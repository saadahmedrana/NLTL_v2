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7f66ece7a8f49f9" /></Relationships>
</file>

<file path=xl/workbook.xml><?xml version="1.0" encoding="utf-8"?>
<x:workbook xmlns:x="http://schemas.openxmlformats.org/spreadsheetml/2006/main">
  <x:sheets>
    <x:sheet xmlns:r="http://schemas.openxmlformats.org/officeDocument/2006/relationships" name="README" sheetId="1" r:id="R57ba96220cde497f"/>
    <x:sheet xmlns:r="http://schemas.openxmlformats.org/officeDocument/2006/relationships" name="REQUIREMENTS" sheetId="2" r:id="R989ed88a93a947f6"/>
    <x:sheet xmlns:r="http://schemas.openxmlformats.org/officeDocument/2006/relationships" name="PREFLIGHT" sheetId="3" r:id="R7974c84234234030"/>
    <x:sheet xmlns:r="http://schemas.openxmlformats.org/officeDocument/2006/relationships" name="DRAFT_TERMS" sheetId="4" r:id="R35b0bdfb77b5429d"/>
    <x:sheet xmlns:r="http://schemas.openxmlformats.org/officeDocument/2006/relationships" name="R2_INDEX_GAPS" sheetId="5" r:id="R2b191f8515594512"/>
    <x:sheet xmlns:r="http://schemas.openxmlformats.org/officeDocument/2006/relationships" name="DEVELOPMENT_TERMS" sheetId="6" r:id="Rd08726a7792042e4"/>
    <x:sheet xmlns:r="http://schemas.openxmlformats.org/officeDocument/2006/relationships" name="OWNERSHIP" sheetId="7" r:id="Ra37b56fc49494eca"/>
    <x:sheet xmlns:r="http://schemas.openxmlformats.org/officeDocument/2006/relationships" name="RDF_CASES" sheetId="8" r:id="Rdf0f815de7e5432a"/>
    <x:sheet xmlns:r="http://schemas.openxmlformats.org/officeDocument/2006/relationships" name="CALIBRATION_ANALYSIS" sheetId="9" r:id="Rd481ed3694ce4da7"/>
    <x:sheet xmlns:r="http://schemas.openxmlformats.org/officeDocument/2006/relationships" name="SUMMARY" sheetId="10" r:id="R328af65a84fc459e"/>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0">
    <x:font>
      <x:sz val="11"/>
      <x:name val="Carlito"/>
    </x:font>
    <x:font>
      <x:b/>
      <x:sz val="16"/>
      <x:color rgb="FFFFFFFF"/>
      <x:name val="Carlito"/>
    </x:font>
    <x:font>
      <x:i/>
      <x:sz val="11"/>
      <x:color rgb="FF5B6573"/>
      <x:name val="Carlito"/>
    </x:font>
    <x:font>
      <x:b/>
      <x:sz val="11"/>
      <x:color rgb="FFFFFFFF"/>
      <x:name val="Carlito"/>
    </x:font>
    <x:font>
      <x:b/>
      <x:sz val="11"/>
      <x:color rgb="FF17324D"/>
      <x:name val="Carlito"/>
    </x:font>
    <x:font>
      <x:b/>
      <x:sz val="16"/>
      <x:color rgb="FFFFFFFF"/>
      <x:name val="Aptos"/>
    </x:font>
    <x:font>
      <x:sz val="11"/>
      <x:name val="Aptos"/>
    </x:font>
    <x:font>
      <x:i/>
      <x:sz val="11"/>
      <x:color rgb="FF5B6573"/>
      <x:name val="Aptos"/>
    </x:font>
    <x:font>
      <x:b/>
      <x:sz val="11"/>
      <x:color rgb="FFFFFFFF"/>
      <x:name val="Aptos"/>
    </x:font>
    <x:font>
      <x:b/>
      <x:sz val="11"/>
      <x:color rgb="FF17324D"/>
      <x:name val="Aptos"/>
    </x:font>
  </x:fonts>
  <x:fills count="5">
    <x:fill>
      <x:patternFill patternType="none"/>
    </x:fill>
    <x:fill>
      <x:patternFill patternType="gray125"/>
    </x:fill>
    <x:fill>
      <x:patternFill patternType="solid">
        <x:fgColor rgb="FF17324D"/>
      </x:patternFill>
    </x:fill>
    <x:fill>
      <x:patternFill patternType="solid">
        <x:fgColor rgb="FFE8F1F5"/>
      </x:patternFill>
    </x:fill>
    <x:fill>
      <x:patternFill patternType="solid">
        <x:fgColor rgb="FF0F766E"/>
      </x:patternFill>
    </x:fill>
  </x:fills>
  <x:borders count="6">
    <x:border/>
    <x:border>
      <x:left style="thin">
        <x:color rgb="FFCBD5E1"/>
      </x:left>
      <x:top style="thin">
        <x:color rgb="FFCBD5E1"/>
      </x:top>
      <x:bottom style="thin">
        <x:color rgb="FFCBD5E1"/>
      </x:bottom>
    </x:border>
    <x:border>
      <x:right style="thin">
        <x:color rgb="FFCBD5E1"/>
      </x:right>
      <x:top style="thin">
        <x:color rgb="FFCBD5E1"/>
      </x:top>
      <x:bottom style="thin">
        <x:color rgb="FFCBD5E1"/>
      </x:bottom>
    </x:border>
    <x:border>
      <x:bottom style="thin">
        <x:color rgb="FFCBD5E1"/>
      </x:bottom>
    </x:border>
    <x:border>
      <x:top style="thin">
        <x:color rgb="FFCBD5E1"/>
      </x:top>
      <x:bottom style="thin">
        <x:color rgb="FFCBD5E1"/>
      </x:bottom>
    </x:border>
    <x:border>
      <x:top style="thin">
        <x:color rgb="FFCBD5E1"/>
      </x:top>
    </x:border>
  </x:borders>
  <x:cellStyleXfs count="1">
    <x:xf numFmtId="0" fontId="0" fillId="0" borderId="0"/>
  </x:cellStyleXfs>
  <x:cellXfs count="69">
    <x:xf numFmtId="0" fontId="0" fillId="0" borderId="0" xfId="0"/>
    <x:xf numFmtId="0" fontId="0" fillId="2" borderId="0" xfId="0" applyNumberFormat="1" applyFont="1" applyFill="1" applyBorder="1"/>
    <x:xf numFmtId="0" fontId="1" fillId="2" borderId="0" xfId="0" applyNumberFormat="1" applyFont="1" applyFill="1" applyBorder="1"/>
    <x:xf numFmtId="0" fontId="0" fillId="3" borderId="0" xfId="0" applyNumberFormat="1" applyFont="1" applyFill="1" applyBorder="1"/>
    <x:xf numFmtId="0" fontId="2" fillId="3" borderId="0" xfId="0" applyNumberFormat="1" applyFont="1" applyFill="1" applyBorder="1"/>
    <x:xf numFmtId="0" fontId="0" fillId="4" borderId="0" xfId="0" applyNumberFormat="1" applyFont="1" applyFill="1" applyBorder="1"/>
    <x:xf numFmtId="0" fontId="3" fillId="4" borderId="0" xfId="0" applyNumberFormat="1" applyFont="1" applyFill="1" applyBorder="1"/>
    <x:xf numFmtId="0" fontId="4" fillId="0" borderId="0" xfId="0" applyNumberFormat="1" applyFont="1" applyFill="1" applyBorder="1"/>
    <x:xf numFmtId="200" fontId="0" fillId="0" borderId="0" xfId="0" applyNumberFormat="1" applyFont="1" applyFill="1" applyBorder="1"/>
    <x:xf numFmtId="0" fontId="4" fillId="3" borderId="0" xfId="0" applyNumberFormat="1" applyFont="1" applyFill="1" applyBorder="1"/>
    <x:xf numFmtId="0" fontId="0" fillId="0" borderId="0" xfId="0" applyNumberFormat="1" applyFont="1" applyFill="1" applyBorder="1" applyAlignment="1">
      <x:alignment wrapText="1"/>
    </x:xf>
    <x:xf numFmtId="0" fontId="5" fillId="2" borderId="0" xfId="0" applyNumberFormat="1" applyFont="1" applyFill="1" applyBorder="1"/>
    <x:xf numFmtId="0" fontId="6" fillId="2" borderId="0" xfId="0" applyNumberFormat="1" applyFont="1" applyFill="1" applyBorder="1"/>
    <x:xf numFmtId="0" fontId="7" fillId="3" borderId="0" xfId="0" applyNumberFormat="1" applyFont="1" applyFill="1" applyBorder="1"/>
    <x:xf numFmtId="0" fontId="6" fillId="0" borderId="0" xfId="0" applyNumberFormat="1" applyFont="1" applyFill="1" applyBorder="1"/>
    <x:xf numFmtId="0" fontId="8" fillId="4" borderId="0" xfId="0" applyNumberFormat="1" applyFont="1" applyFill="1" applyBorder="1"/>
    <x:xf numFmtId="0" fontId="9" fillId="0" borderId="0" xfId="0" applyNumberFormat="1" applyFont="1" applyFill="1" applyBorder="1"/>
    <x:xf numFmtId="200" fontId="6" fillId="0" borderId="0" xfId="0" applyNumberFormat="1" applyFont="1" applyFill="1" applyBorder="1"/>
    <x:xf numFmtId="0" fontId="9" fillId="3" borderId="0" xfId="0" applyNumberFormat="1" applyFont="1" applyFill="1" applyBorder="1"/>
    <x:xf numFmtId="0" fontId="6" fillId="0" borderId="0" xfId="0" applyNumberFormat="1" applyFont="1" applyFill="1" applyBorder="1" applyAlignment="1">
      <x:alignment wrapText="1"/>
    </x:xf>
    <x:xf numFmtId="0" fontId="3" fillId="4" borderId="1" xfId="0" applyNumberFormat="1" applyFont="1" applyFill="1" applyBorder="1"/>
    <x:xf numFmtId="0" fontId="3" fillId="4" borderId="2" xfId="0" applyNumberFormat="1" applyFont="1" applyFill="1" applyBorder="1"/>
    <x:xf numFmtId="0" fontId="3" fillId="4" borderId="1" xfId="0" applyNumberFormat="1" applyFont="1" applyFill="1" applyBorder="1" applyAlignment="1">
      <x:alignment wrapText="1"/>
    </x:xf>
    <x:xf numFmtId="0" fontId="3" fillId="4" borderId="2" xfId="0" applyNumberFormat="1" applyFont="1" applyFill="1" applyBorder="1" applyAlignment="1">
      <x:alignment wrapText="1"/>
    </x:xf>
    <x:xf numFmtId="0" fontId="3" fillId="4" borderId="1" xfId="0" applyNumberFormat="1" applyFont="1" applyFill="1" applyBorder="1" applyAlignment="1">
      <x:alignment vertical="center" wrapText="1"/>
    </x:xf>
    <x:xf numFmtId="0" fontId="3" fillId="4" borderId="2" xfId="0" applyNumberFormat="1" applyFont="1" applyFill="1" applyBorder="1" applyAlignment="1">
      <x:alignment vertical="center" wrapText="1"/>
    </x:xf>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applyAlignment="1">
      <x:alignment vertical="top"/>
    </x:xf>
    <x:xf numFmtId="0" fontId="0" fillId="0" borderId="4" xfId="0" applyNumberFormat="1" applyFont="1" applyFill="1" applyBorder="1" applyAlignment="1">
      <x:alignment vertical="top"/>
    </x:xf>
    <x:xf numFmtId="0" fontId="0" fillId="0" borderId="5" xfId="0" applyNumberFormat="1" applyFont="1" applyFill="1" applyBorder="1" applyAlignment="1">
      <x:alignment vertical="top"/>
    </x:xf>
    <x:xf numFmtId="0" fontId="8" fillId="4" borderId="1" xfId="0" applyNumberFormat="1" applyFont="1" applyFill="1" applyBorder="1" applyAlignment="1">
      <x:alignment vertical="center" wrapText="1"/>
    </x:xf>
    <x:xf numFmtId="0" fontId="8" fillId="4" borderId="2" xfId="0" applyNumberFormat="1" applyFont="1" applyFill="1" applyBorder="1" applyAlignment="1">
      <x:alignment vertical="center" wrapText="1"/>
    </x:xf>
    <x:xf numFmtId="0" fontId="6" fillId="0" borderId="3" xfId="0" applyNumberFormat="1" applyFont="1" applyFill="1" applyBorder="1" applyAlignment="1">
      <x:alignment vertical="top"/>
    </x:xf>
    <x:xf numFmtId="0" fontId="6" fillId="0" borderId="4" xfId="0" applyNumberFormat="1" applyFont="1" applyFill="1" applyBorder="1" applyAlignment="1">
      <x:alignment vertical="top"/>
    </x:xf>
    <x:xf numFmtId="0" fontId="6" fillId="0" borderId="5" xfId="0" applyNumberFormat="1" applyFont="1" applyFill="1" applyBorder="1" applyAlignment="1">
      <x:alignment vertical="top"/>
    </x:xf>
    <x:xf numFmtId="0" fontId="6" fillId="0" borderId="3" xfId="0" applyNumberFormat="1" applyFont="1" applyFill="1" applyBorder="1" applyAlignment="1">
      <x:alignment vertical="top" wrapText="1"/>
    </x:xf>
    <x:xf numFmtId="0" fontId="6" fillId="0" borderId="4" xfId="0" applyNumberFormat="1" applyFont="1" applyFill="1" applyBorder="1" applyAlignment="1">
      <x:alignment vertical="top" wrapText="1"/>
    </x:xf>
    <x:xf numFmtId="0" fontId="6" fillId="0" borderId="5" xfId="0" applyNumberFormat="1" applyFont="1" applyFill="1" applyBorder="1" applyAlignment="1">
      <x:alignment vertical="top" wrapText="1"/>
    </x:xf>
    <x:xf numFmtId="0" fontId="3" fillId="4" borderId="4" xfId="0" applyNumberFormat="1" applyFont="1" applyFill="1" applyBorder="1"/>
    <x:xf numFmtId="0" fontId="3" fillId="4" borderId="4" xfId="0" applyNumberFormat="1" applyFont="1" applyFill="1" applyBorder="1" applyAlignment="1">
      <x:alignment wrapText="1"/>
    </x:xf>
    <x:xf numFmtId="0" fontId="3" fillId="4" borderId="4" xfId="0" applyNumberFormat="1" applyFont="1" applyFill="1" applyBorder="1" applyAlignment="1">
      <x:alignment vertical="center" wrapText="1"/>
    </x:xf>
    <x:xf numFmtId="200" fontId="0" fillId="0" borderId="3" xfId="0" applyNumberFormat="1" applyFont="1" applyFill="1" applyBorder="1" applyAlignment="1">
      <x:alignment vertical="top"/>
    </x:xf>
    <x:xf numFmtId="200" fontId="0" fillId="0" borderId="4" xfId="0" applyNumberFormat="1" applyFont="1" applyFill="1" applyBorder="1" applyAlignment="1">
      <x:alignment vertical="top"/>
    </x:xf>
    <x:xf numFmtId="200" fontId="0" fillId="0" borderId="5" xfId="0" applyNumberFormat="1" applyFont="1" applyFill="1" applyBorder="1" applyAlignment="1">
      <x:alignment vertical="top"/>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200" fontId="0" fillId="0" borderId="3" xfId="0" applyNumberFormat="1" applyFont="1" applyFill="1" applyBorder="1" applyAlignment="1">
      <x:alignment vertical="top" wrapText="1"/>
    </x:xf>
    <x:xf numFmtId="200" fontId="0" fillId="0" borderId="4"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0" fontId="8" fillId="4" borderId="4" xfId="0" applyNumberFormat="1" applyFont="1" applyFill="1" applyBorder="1" applyAlignment="1">
      <x:alignment vertical="center" wrapText="1"/>
    </x:xf>
    <x:xf numFmtId="200" fontId="6" fillId="0" borderId="3" xfId="0" applyNumberFormat="1" applyFont="1" applyFill="1" applyBorder="1" applyAlignment="1">
      <x:alignment vertical="top"/>
    </x:xf>
    <x:xf numFmtId="200" fontId="6" fillId="0" borderId="3" xfId="0" applyNumberFormat="1" applyFont="1" applyFill="1" applyBorder="1" applyAlignment="1">
      <x:alignment vertical="top" wrapText="1"/>
    </x:xf>
    <x:xf numFmtId="200" fontId="6" fillId="0" borderId="4" xfId="0" applyNumberFormat="1" applyFont="1" applyFill="1" applyBorder="1" applyAlignment="1">
      <x:alignment vertical="top"/>
    </x:xf>
    <x:xf numFmtId="200" fontId="6" fillId="0" borderId="4" xfId="0" applyNumberFormat="1" applyFont="1" applyFill="1" applyBorder="1" applyAlignment="1">
      <x:alignment vertical="top" wrapText="1"/>
    </x:xf>
    <x:xf numFmtId="200" fontId="6" fillId="0" borderId="5" xfId="0" applyNumberFormat="1" applyFont="1" applyFill="1" applyBorder="1" applyAlignment="1">
      <x:alignment vertical="top"/>
    </x:xf>
    <x:xf numFmtId="200" fontId="6" fillId="0" borderId="5"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0" fillId="0" borderId="3" xfId="0" applyNumberFormat="1" applyFont="1" applyFill="1" applyBorder="1">
      <x:extLst>
        <x:ext uri="{C7286773-470A-42A8-94C5-96B5CB345126}">
          <xfpb:xfComplement xmlns:xfpb="http://schemas.microsoft.com/office/spreadsheetml/2022/featurepropertybag" i="0"/>
        </x:ext>
      </x:extLst>
    </x:xf>
    <x:xf numFmtId="0" fontId="0" fillId="0" borderId="4" xfId="0" applyNumberFormat="1" applyFont="1" applyFill="1" applyBorder="1">
      <x:extLst>
        <x:ext uri="{C7286773-470A-42A8-94C5-96B5CB345126}">
          <xfpb:xfComplement xmlns:xfpb="http://schemas.microsoft.com/office/spreadsheetml/2022/featurepropertybag" i="0"/>
        </x:ext>
      </x:extLst>
    </x:xf>
    <x:xf numFmtId="0" fontId="0" fillId="0" borderId="5" xfId="0" applyNumberFormat="1" applyFont="1" applyFill="1" applyBorder="1">
      <x:extLst>
        <x:ext uri="{C7286773-470A-42A8-94C5-96B5CB345126}">
          <xfpb:xfComplement xmlns:xfpb="http://schemas.microsoft.com/office/spreadsheetml/2022/featurepropertybag" i="0"/>
        </x:ext>
      </x:extLst>
    </x:xf>
    <x:xf numFmtId="0" fontId="0" fillId="0" borderId="3"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0" borderId="4"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0" borderId="5"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6" fillId="0" borderId="3"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6" fillId="0" borderId="4"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6" fillId="0" borderId="5" xfId="0" applyNumberFormat="1" applyFont="1" applyFill="1" applyBorder="1" applyAlignment="1">
      <x:alignment vertical="top"/>
      <x:extLst>
        <x:ext uri="{C7286773-470A-42A8-94C5-96B5CB345126}">
          <xfpb:xfComplement xmlns:xfpb="http://schemas.microsoft.com/office/spreadsheetml/2022/featurepropertybag" i="0"/>
        </x:ext>
      </x:extLst>
    </x:xf>
  </x:cellXfs>
  <x:cellStyles count="1">
    <x:cellStyle name="Normal" xfId="0"/>
  </x:cellStyles>
  <x:dxfs count="35">
    <x:dxf>
      <x:fill>
        <x:patternFill patternType="solid">
          <x:bgColor rgb="FFDCFCE7"/>
        </x:patternFill>
      </x:fill>
    </x:dxf>
    <x:dxf>
      <x:fill>
        <x:patternFill patternType="solid">
          <x:bgColor rgb="FFDCFCE7"/>
        </x:patternFill>
      </x:fill>
    </x:dxf>
    <x:dxf>
      <x:fill>
        <x:patternFill patternType="solid">
          <x:bgColor rgb="FFFEF3C7"/>
        </x:patternFill>
      </x:fill>
    </x:dxf>
    <x:dxf>
      <x:fill>
        <x:patternFill patternType="solid">
          <x:bgColor rgb="FFFEE2E2"/>
        </x:patternFill>
      </x:fill>
    </x:dxf>
    <x:dxf>
      <x:fill>
        <x:patternFill patternType="solid">
          <x:bgColor rgb="FFFEF3C7"/>
        </x:patternFill>
      </x:fill>
    </x:dxf>
    <x:dxf>
      <x:fill>
        <x:patternFill patternType="solid">
          <x:bgColor rgb="FFDCFCE7"/>
        </x:patternFill>
      </x:fill>
    </x:dxf>
    <x:dxf>
      <x:fill>
        <x:patternFill patternType="solid">
          <x:bgColor rgb="FFDCFCE7"/>
        </x:patternFill>
      </x:fill>
    </x:dxf>
    <x:dxf>
      <x:fill>
        <x:patternFill patternType="solid">
          <x:bgColor rgb="FFFEF3C7"/>
        </x:patternFill>
      </x:fill>
    </x:dxf>
    <x:dxf>
      <x:fill>
        <x:patternFill patternType="solid">
          <x:bgColor rgb="FFFEE2E2"/>
        </x:patternFill>
      </x:fill>
    </x:dxf>
    <x:dxf>
      <x:fill>
        <x:patternFill patternType="solid">
          <x:bgColor rgb="FFFEF3C7"/>
        </x:patternFill>
      </x:fill>
    </x:dxf>
    <x:dxf>
      <x:fill>
        <x:patternFill patternType="solid">
          <x:bgColor rgb="FFDCFCE7"/>
        </x:patternFill>
      </x:fill>
    </x:dxf>
    <x:dxf>
      <x:fill>
        <x:patternFill patternType="solid">
          <x:bgColor rgb="FFDCFCE7"/>
        </x:patternFill>
      </x:fill>
    </x:dxf>
    <x:dxf>
      <x:fill>
        <x:patternFill patternType="solid">
          <x:bgColor rgb="FFFEF3C7"/>
        </x:patternFill>
      </x:fill>
    </x:dxf>
    <x:dxf>
      <x:fill>
        <x:patternFill patternType="solid">
          <x:bgColor rgb="FFFEE2E2"/>
        </x:patternFill>
      </x:fill>
    </x:dxf>
    <x:dxf>
      <x:fill>
        <x:patternFill patternType="solid">
          <x:bgColor rgb="FFFEF3C7"/>
        </x:patternFill>
      </x:fill>
    </x:dxf>
    <x:dxf>
      <x:fill>
        <x:patternFill patternType="solid">
          <x:bgColor rgb="FFDCFCE7"/>
        </x:patternFill>
      </x:fill>
    </x:dxf>
    <x:dxf>
      <x:fill>
        <x:patternFill patternType="solid">
          <x:bgColor rgb="FFDCFCE7"/>
        </x:patternFill>
      </x:fill>
    </x:dxf>
    <x:dxf>
      <x:fill>
        <x:patternFill patternType="solid">
          <x:bgColor rgb="FFFEF3C7"/>
        </x:patternFill>
      </x:fill>
    </x:dxf>
    <x:dxf>
      <x:fill>
        <x:patternFill patternType="solid">
          <x:bgColor rgb="FFFEE2E2"/>
        </x:patternFill>
      </x:fill>
    </x:dxf>
    <x:dxf>
      <x:fill>
        <x:patternFill patternType="solid">
          <x:bgColor rgb="FFFEF3C7"/>
        </x:patternFill>
      </x:fill>
    </x:dxf>
    <x:dxf>
      <x:fill>
        <x:patternFill patternType="solid">
          <x:bgColor rgb="FFDCFCE7"/>
        </x:patternFill>
      </x:fill>
    </x:dxf>
    <x:dxf>
      <x:fill>
        <x:patternFill patternType="solid">
          <x:bgColor rgb="FFDCFCE7"/>
        </x:patternFill>
      </x:fill>
    </x:dxf>
    <x:dxf>
      <x:fill>
        <x:patternFill patternType="solid">
          <x:bgColor rgb="FFFEF3C7"/>
        </x:patternFill>
      </x:fill>
    </x:dxf>
    <x:dxf>
      <x:fill>
        <x:patternFill patternType="solid">
          <x:bgColor rgb="FFFEE2E2"/>
        </x:patternFill>
      </x:fill>
    </x:dxf>
    <x:dxf>
      <x:fill>
        <x:patternFill patternType="solid">
          <x:bgColor rgb="FFFEF3C7"/>
        </x:patternFill>
      </x:fill>
    </x:dxf>
    <x:dxf>
      <x:fill>
        <x:patternFill patternType="solid">
          <x:bgColor rgb="FFDCFCE7"/>
        </x:patternFill>
      </x:fill>
    </x:dxf>
    <x:dxf>
      <x:fill>
        <x:patternFill patternType="solid">
          <x:bgColor rgb="FFDCFCE7"/>
        </x:patternFill>
      </x:fill>
    </x:dxf>
    <x:dxf>
      <x:fill>
        <x:patternFill patternType="solid">
          <x:bgColor rgb="FFFEF3C7"/>
        </x:patternFill>
      </x:fill>
    </x:dxf>
    <x:dxf>
      <x:fill>
        <x:patternFill patternType="solid">
          <x:bgColor rgb="FFFEE2E2"/>
        </x:patternFill>
      </x:fill>
    </x:dxf>
    <x:dxf>
      <x:fill>
        <x:patternFill patternType="solid">
          <x:bgColor rgb="FFFEF3C7"/>
        </x:patternFill>
      </x:fill>
    </x:dxf>
    <x:dxf>
      <x:fill>
        <x:patternFill patternType="solid">
          <x:bgColor rgb="FFDCFCE7"/>
        </x:patternFill>
      </x:fill>
    </x:dxf>
    <x:dxf>
      <x:fill>
        <x:patternFill patternType="solid">
          <x:bgColor rgb="FFDCFCE7"/>
        </x:patternFill>
      </x:fill>
    </x:dxf>
    <x:dxf>
      <x:fill>
        <x:patternFill patternType="solid">
          <x:bgColor rgb="FFFEF3C7"/>
        </x:patternFill>
      </x:fill>
    </x:dxf>
    <x:dxf>
      <x:fill>
        <x:patternFill patternType="solid">
          <x:bgColor rgb="FFFEE2E2"/>
        </x:patternFill>
      </x:fill>
    </x:dxf>
    <x:dxf>
      <x:fill>
        <x:patternFill patternType="solid">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56916ba21514053" /><Relationship Type="http://schemas.openxmlformats.org/officeDocument/2006/relationships/theme" Target="/xl/theme/theme1.xml" Id="R6a76a156fa9a40d6" /><Relationship Type="http://schemas.microsoft.com/office/2022/11/relationships/FeaturePropertyBag" Target="/xl/featurePropertyBag/featurePropertyBag.xml" Id="Rc5e0da1845de4b92" /><Relationship Type="http://schemas.openxmlformats.org/officeDocument/2006/relationships/sharedStrings" Target="/xl/sharedStrings.xml" Id="R2fd257badaa64b74" /><Relationship Type="http://schemas.openxmlformats.org/officeDocument/2006/relationships/worksheet" Target="/xl/worksheets/sheet1.xml" Id="R57ba96220cde497f" /><Relationship Type="http://schemas.openxmlformats.org/officeDocument/2006/relationships/worksheet" Target="/xl/worksheets/sheet2.xml" Id="R989ed88a93a947f6" /><Relationship Type="http://schemas.openxmlformats.org/officeDocument/2006/relationships/worksheet" Target="/xl/worksheets/sheet3.xml" Id="R7974c84234234030" /><Relationship Type="http://schemas.openxmlformats.org/officeDocument/2006/relationships/worksheet" Target="/xl/worksheets/sheet4.xml" Id="R35b0bdfb77b5429d" /><Relationship Type="http://schemas.openxmlformats.org/officeDocument/2006/relationships/worksheet" Target="/xl/worksheets/sheet5.xml" Id="R2b191f8515594512" /><Relationship Type="http://schemas.openxmlformats.org/officeDocument/2006/relationships/worksheet" Target="/xl/worksheets/sheet6.xml" Id="Rd08726a7792042e4" /><Relationship Type="http://schemas.openxmlformats.org/officeDocument/2006/relationships/worksheet" Target="/xl/worksheets/sheet7.xml" Id="Ra37b56fc49494eca" /><Relationship Type="http://schemas.openxmlformats.org/officeDocument/2006/relationships/worksheet" Target="/xl/worksheets/sheet8.xml" Id="Rdf0f815de7e5432a" /><Relationship Type="http://schemas.openxmlformats.org/officeDocument/2006/relationships/worksheet" Target="/xl/worksheets/sheet9.xml" Id="Rd481ed3694ce4da7" /><Relationship Type="http://schemas.openxmlformats.org/officeDocument/2006/relationships/worksheet" Target="/xl/worksheets/sheet10.xml" Id="R328af65a84fc459e"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_README" displayName="T_README" ref="A4:B14" headerRowCount="1" totalsRowCount="0" totalsRowShown="0">
  <x:tableColumns count="2">
    <x:tableColumn id="1" name="SECTION"/>
    <x:tableColumn id="2" name="DETAIL"/>
  </x:tableColumns>
  <x:tableStyleInfo name="TableStyleMedium2" showFirstColumn="0" showLastColumn="0" showRowStripes="1" showColumnStripes="0"/>
</x:table>
</file>

<file path=xl/tables/table2.xml><?xml version="1.0" encoding="utf-8"?>
<x:table xmlns:x="http://schemas.openxmlformats.org/spreadsheetml/2006/main" id="2" name="T_REQUIREMENTS" displayName="T_REQUIREMENTS" ref="A4:O54" headerRowCount="1" totalsRowCount="0" totalsRowShown="0">
  <x:tableColumns count="15">
    <x:tableColumn id="1" name="SEQUENCE"/>
    <x:tableColumn id="2" name="REQUIREMENT_ID"/>
    <x:tableColumn id="3" name="SOURCE_SHEET"/>
    <x:tableColumn id="4" name="PAGE"/>
    <x:tableColumn id="5" name="CLAUSE"/>
    <x:tableColumn id="6" name="EDITION"/>
    <x:tableColumn id="7" name="CATEGORY"/>
    <x:tableColumn id="8" name="ENCODING_PATTERN"/>
    <x:tableColumn id="9" name="R2_INDEXED_TERM_COUNT"/>
    <x:tableColumn id="10" name="R2_INDEXED_TERMS"/>
    <x:tableColumn id="11" name="FIXTURE_PATTERN"/>
    <x:tableColumn id="12" name="MINIMUM_FIXTURE_VARIANTS"/>
    <x:tableColumn id="13" name="R6_DEV_INDEXED_TERM_COUNT"/>
    <x:tableColumn id="14" name="R6_DEV_INDEXED_TERMS"/>
    <x:tableColumn id="15" name="NORMALIZED_REQUIREMENT"/>
  </x:tableColumns>
  <x:tableStyleInfo name="TableStyleMedium2" showFirstColumn="0" showLastColumn="0" showRowStripes="1" showColumnStripes="0"/>
</x:table>
</file>

<file path=xl/tables/table3.xml><?xml version="1.0" encoding="utf-8"?>
<x:table xmlns:x="http://schemas.openxmlformats.org/spreadsheetml/2006/main" id="3" name="T_PREFLIGHT" displayName="T_PREFLIGHT" ref="A4:K54" headerRowCount="1" totalsRowCount="0" totalsRowShown="0">
  <x:tableColumns count="11">
    <x:tableColumn id="1" name="SEQUENCE"/>
    <x:tableColumn id="2" name="REQUIREMENT_ID"/>
    <x:tableColumn id="3" name="PAGE"/>
    <x:tableColumn id="4" name="CLAUSE"/>
    <x:tableColumn id="5" name="DECISION"/>
    <x:tableColumn id="6" name="EXISTING_TERMS_TO_LINK"/>
    <x:tableColumn id="7" name="DRAFT_NEW_TERMS"/>
    <x:tableColumn id="8" name="EXISTING_TERMS_NOT_CURRENTLY_INDEXED"/>
    <x:tableColumn id="9" name="ENGINEERING_ISSUE"/>
    <x:tableColumn id="10" name="PLANNED_FIXTURE_VARIANTS"/>
    <x:tableColumn id="11" name="REVIEW_STATUS"/>
  </x:tableColumns>
  <x:tableStyleInfo name="TableStyleMedium2" showFirstColumn="0" showLastColumn="0" showRowStripes="1" showColumnStripes="0"/>
</x:table>
</file>

<file path=xl/tables/table4.xml><?xml version="1.0" encoding="utf-8"?>
<x:table xmlns:x="http://schemas.openxmlformats.org/spreadsheetml/2006/main" id="4" name="T_DRAFTTERMS" displayName="T_DRAFTTERMS" ref="A4:E138" headerRowCount="1" totalsRowCount="0" totalsRowShown="0">
  <x:tableColumns count="5">
    <x:tableColumn id="1" name="DRAFT_LOCAL_NAME"/>
    <x:tableColumn id="2" name="REQUIREMENT_IDS"/>
    <x:tableColumn id="3" name="REQUIREMENT_COUNT"/>
    <x:tableColumn id="4" name="STATUS"/>
    <x:tableColumn id="5" name="NEXT_REVIEW"/>
  </x:tableColumns>
  <x:tableStyleInfo name="TableStyleMedium2" showFirstColumn="0" showLastColumn="0" showRowStripes="1" showColumnStripes="0"/>
</x:table>
</file>

<file path=xl/tables/table5.xml><?xml version="1.0" encoding="utf-8"?>
<x:table xmlns:x="http://schemas.openxmlformats.org/spreadsheetml/2006/main" id="5" name="T_R2INDEXGAPS" displayName="T_R2INDEXGAPS" ref="A4:D99" headerRowCount="1" totalsRowCount="0" totalsRowShown="0">
  <x:tableColumns count="4">
    <x:tableColumn id="1" name="REQUIREMENT_ID"/>
    <x:tableColumn id="2" name="EXISTING_TERM"/>
    <x:tableColumn id="3" name="PREFLIGHT_DECISION"/>
    <x:tableColumn id="4" name="ACTION"/>
  </x:tableColumns>
  <x:tableStyleInfo name="TableStyleMedium2" showFirstColumn="0" showLastColumn="0" showRowStripes="1" showColumnStripes="0"/>
</x:table>
</file>

<file path=xl/tables/table6.xml><?xml version="1.0" encoding="utf-8"?>
<x:table xmlns:x="http://schemas.openxmlformats.org/spreadsheetml/2006/main" id="6" name="T_DEVELOPMENTTERMS" displayName="T_DEVELOPMENTTERMS" ref="A4:J1075" headerRowCount="1" totalsRowCount="0" totalsRowShown="0">
  <x:tableColumns count="10">
    <x:tableColumn id="1" name="LOCAL_NAME"/>
    <x:tableColumn id="2" name="EXACT_IRI"/>
    <x:tableColumn id="3" name="KIND"/>
    <x:tableColumn id="4" name="RANGE_OR_PARENT"/>
    <x:tableColumn id="5" name="DATATYPE"/>
    <x:tableColumn id="6" name="UNIT"/>
    <x:tableColumn id="7" name="REQUIREMENT_IDS"/>
    <x:tableColumn id="8" name="NAMING_BASIS"/>
    <x:tableColumn id="9" name="NAMING_RULE"/>
    <x:tableColumn id="10" name="ACTION"/>
  </x:tableColumns>
  <x:tableStyleInfo name="TableStyleMedium2" showFirstColumn="0" showLastColumn="0" showRowStripes="1" showColumnStripes="0"/>
</x:table>
</file>

<file path=xl/tables/table7.xml><?xml version="1.0" encoding="utf-8"?>
<x:table xmlns:x="http://schemas.openxmlformats.org/spreadsheetml/2006/main" id="7" name="T_OWNERSHIP" displayName="T_OWNERSHIP" ref="A4:F529" headerRowCount="1" totalsRowCount="0" totalsRowShown="0">
  <x:tableColumns count="6">
    <x:tableColumn id="1" name="REQUIREMENT_ID"/>
    <x:tableColumn id="2" name="TARGET_OWNER"/>
    <x:tableColumn id="3" name="LOCAL_NAME"/>
    <x:tableColumn id="4" name="REQUIRED_OWNER"/>
    <x:tableColumn id="5" name="SEMANTIC_OBLIGATIONS"/>
    <x:tableColumn id="6" name="STATUS"/>
  </x:tableColumns>
  <x:tableStyleInfo name="TableStyleMedium2" showFirstColumn="0" showLastColumn="0" showRowStripes="1" showColumnStripes="0"/>
</x:table>
</file>

<file path=xl/tables/table8.xml><?xml version="1.0" encoding="utf-8"?>
<x:table xmlns:x="http://schemas.openxmlformats.org/spreadsheetml/2006/main" id="8" name="T_RDFCASES" displayName="T_RDFCASES" ref="A4:M154" headerRowCount="1" totalsRowCount="0" totalsRowShown="0">
  <x:tableColumns count="13">
    <x:tableColumn id="1" name="CASE_ID"/>
    <x:tableColumn id="2" name="REQUIREMENT_ID"/>
    <x:tableColumn id="3" name="CASE_KIND"/>
    <x:tableColumn id="4" name="EXPECTED_CONFORMS"/>
    <x:tableColumn id="5" name="SOURCE_PAGE"/>
    <x:tableColumn id="6" name="SOURCE_CLAUSE"/>
    <x:tableColumn id="7" name="SCENARIO_BASIS"/>
    <x:tableColumn id="8" name="RDF_FILE"/>
    <x:tableColumn id="9" name="RDF_SHA256"/>
    <x:tableColumn id="10" name="TRIPLE_COUNT"/>
    <x:tableColumn id="11" name="DEVELOPMENT_VOCABULARY_ID"/>
    <x:tableColumn id="12" name="CALIBRATION_ONLY"/>
    <x:tableColumn id="13" name="EXECUTION_STATUS"/>
  </x:tableColumns>
  <x:tableStyleInfo name="TableStyleMedium2" showFirstColumn="0" showLastColumn="0" showRowStripes="1" showColumnStripes="0"/>
</x:table>
</file>

<file path=xl/tables/table9.xml><?xml version="1.0" encoding="utf-8"?>
<x:table xmlns:x="http://schemas.openxmlformats.org/spreadsheetml/2006/main" id="9" name="T_CALIBRATIONANALYSIS" displayName="T_CALIBRATIONANALYSIS" ref="A4:L54" headerRowCount="1" totalsRowCount="0" totalsRowShown="0">
  <x:tableColumns count="12">
    <x:tableColumn id="1" name="REQUIREMENT_ID"/>
    <x:tableColumn id="2" name="R3_RUN_ID"/>
    <x:tableColumn id="3" name="R3_GENERATION_STATUS"/>
    <x:tableColumn id="4" name="R3_ATTEMPTS"/>
    <x:tableColumn id="5" name="R3_ACCEPTED"/>
    <x:tableColumn id="6" name="R3_EVALUATED_CASES"/>
    <x:tableColumn id="7" name="R3_EXECUTION_FAILURES"/>
    <x:tableColumn id="8" name="R3_EXPECTATION_MISMATCHES"/>
    <x:tableColumn id="9" name="CLASSIFICATION"/>
    <x:tableColumn id="10" name="R4_ACTION"/>
    <x:tableColumn id="11" name="RATIONALE"/>
    <x:tableColumn id="12" name="FINAL_FEEDBACK"/>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8e645529377464a" /></Relationships>
</file>

<file path=xl/worksheets/_rels/sheet2.xml.rels>&#65279;<?xml version="1.0" encoding="utf-8"?><Relationships xmlns="http://schemas.openxmlformats.org/package/2006/relationships"><Relationship Type="http://schemas.openxmlformats.org/officeDocument/2006/relationships/table" Target="/xl/tables/table2.xml" Id="Rf34242ab6c764023" /></Relationships>
</file>

<file path=xl/worksheets/_rels/sheet3.xml.rels>&#65279;<?xml version="1.0" encoding="utf-8"?><Relationships xmlns="http://schemas.openxmlformats.org/package/2006/relationships"><Relationship Type="http://schemas.openxmlformats.org/officeDocument/2006/relationships/table" Target="/xl/tables/table3.xml" Id="R1aa6b2d15d3e4c31" /></Relationships>
</file>

<file path=xl/worksheets/_rels/sheet4.xml.rels>&#65279;<?xml version="1.0" encoding="utf-8"?><Relationships xmlns="http://schemas.openxmlformats.org/package/2006/relationships"><Relationship Type="http://schemas.openxmlformats.org/officeDocument/2006/relationships/table" Target="/xl/tables/table4.xml" Id="Rad3af5315a064dc7" /></Relationships>
</file>

<file path=xl/worksheets/_rels/sheet5.xml.rels>&#65279;<?xml version="1.0" encoding="utf-8"?><Relationships xmlns="http://schemas.openxmlformats.org/package/2006/relationships"><Relationship Type="http://schemas.openxmlformats.org/officeDocument/2006/relationships/table" Target="/xl/tables/table5.xml" Id="Rde5a65fc41f64ebd" /></Relationships>
</file>

<file path=xl/worksheets/_rels/sheet6.xml.rels>&#65279;<?xml version="1.0" encoding="utf-8"?><Relationships xmlns="http://schemas.openxmlformats.org/package/2006/relationships"><Relationship Type="http://schemas.openxmlformats.org/officeDocument/2006/relationships/table" Target="/xl/tables/table6.xml" Id="R5d4e47310b0e4bfe" /></Relationships>
</file>

<file path=xl/worksheets/_rels/sheet7.xml.rels>&#65279;<?xml version="1.0" encoding="utf-8"?><Relationships xmlns="http://schemas.openxmlformats.org/package/2006/relationships"><Relationship Type="http://schemas.openxmlformats.org/officeDocument/2006/relationships/table" Target="/xl/tables/table7.xml" Id="R713f2a4a082c4034" /></Relationships>
</file>

<file path=xl/worksheets/_rels/sheet8.xml.rels>&#65279;<?xml version="1.0" encoding="utf-8"?><Relationships xmlns="http://schemas.openxmlformats.org/package/2006/relationships"><Relationship Type="http://schemas.openxmlformats.org/officeDocument/2006/relationships/table" Target="/xl/tables/table8.xml" Id="R75740acc74a14368" /></Relationships>
</file>

<file path=xl/worksheets/_rels/sheet9.xml.rels>&#65279;<?xml version="1.0" encoding="utf-8"?><Relationships xmlns="http://schemas.openxmlformats.org/package/2006/relationships"><Relationship Type="http://schemas.openxmlformats.org/officeDocument/2006/relationships/table" Target="/xl/tables/table9.xml" Id="R9e36ba281efa4379"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95" hidden="0" customWidth="1"/>
  </x:cols>
  <x:sheetData>
    <x:row r="1">
      <x:c r="A1" s="11" t="str">
        <x:v>NLTL Development Calibration - Batch 01</x:v>
      </x:c>
      <x:c r="B1" s="12"/>
    </x:row>
    <x:row r="2">
      <x:c r="A2" s="13" t="str">
        <x:v>README | DEV-CAL-BATCH-01-FIRST-50 | vocabulary is not frozen</x:v>
      </x:c>
      <x:c r="B2" s="13"/>
    </x:row>
    <x:row r="3">
      <x:c r="A3" s="14"/>
      <x:c r="B3" s="14"/>
    </x:row>
    <x:row r="4" ht="32" customHeight="1">
      <x:c r="A4" s="32" t="str">
        <x:v>SECTION</x:v>
      </x:c>
      <x:c r="B4" s="33" t="str">
        <x:v>DETAIL</x:v>
      </x:c>
    </x:row>
    <x:row r="5" ht="34" customHeight="1">
      <x:c r="A5" s="34" t="str">
        <x:v>PURPOSE</x:v>
      </x:c>
      <x:c r="B5" s="37" t="str">
        <x:v>Active development tracker for the first 50 generation-eligible requirements.</x:v>
      </x:c>
    </x:row>
    <x:row r="6" ht="34" customHeight="1">
      <x:c r="A6" s="35" t="str">
        <x:v>SELECTION</x:v>
      </x:c>
      <x:c r="B6" s="38" t="str">
        <x:v>First 50 generation-eligible requirements in locked R2 evidence order</x:v>
      </x:c>
    </x:row>
    <x:row r="7" ht="34" customHeight="1">
      <x:c r="A7" s="35" t="str">
        <x:v>SOURCE LOCK</x:v>
      </x:c>
      <x:c r="B7" s="38" t="str">
        <x:v>VOCAB-LOCK-2026-08-12-R2</x:v>
      </x:c>
    </x:row>
    <x:row r="8" ht="34" customHeight="1">
      <x:c r="A8" s="35" t="str">
        <x:v>SOURCE EVIDENCE SHA256</x:v>
      </x:c>
      <x:c r="B8" s="38" t="str">
        <x:v>14258845ceb99343705eb4668fadeb17f48f563887308e934649220a71cc5ecf</x:v>
      </x:c>
    </x:row>
    <x:row r="9" ht="34" customHeight="1">
      <x:c r="A9" s="35" t="str">
        <x:v>SOURCE INDEX SHA256</x:v>
      </x:c>
      <x:c r="B9" s="38" t="str">
        <x:v>86c71746197594147dd4d783d315f32414bda31a6ee7d6a21557c82550620d30</x:v>
      </x:c>
    </x:row>
    <x:row r="10" ht="34" customHeight="1">
      <x:c r="A10" s="35" t="str">
        <x:v>BOUNDARY</x:v>
      </x:c>
      <x:c r="B10" s="38" t="str">
        <x:v>Batch membership is fixed; vocabulary terms, indexes and fixtures are still under development.</x:v>
      </x:c>
    </x:row>
    <x:row r="11" ht="34" customHeight="1">
      <x:c r="A11" s="35" t="str">
        <x:v>DEVELOPMENT BINDING</x:v>
      </x:c>
      <x:c r="B11" s="38" t="str">
        <x:v>VOCAB-DEV-2026-08-13-BATCH01-R6</x:v>
      </x:c>
    </x:row>
    <x:row r="12" ht="34" customHeight="1">
      <x:c r="A12" s="35" t="str">
        <x:v>DEVELOPMENT STATUS</x:v>
      </x:c>
      <x:c r="B12" s="38" t="str">
        <x:v>DEVELOPMENT_NOT_EVALUATION_LOCK</x:v>
      </x:c>
    </x:row>
    <x:row r="13" ht="34" customHeight="1">
      <x:c r="A13" s="35" t="str">
        <x:v>RDF FIXTURES</x:v>
      </x:c>
      <x:c r="B13" s="38" t="str">
        <x:v>150 cases; PASS; one pass, one fail and one boundary/non-applicability case per requirement.</x:v>
      </x:c>
    </x:row>
    <x:row r="14" ht="34" customHeight="1">
      <x:c r="A14" s="36" t="str">
        <x:v>NO ANSWER LOGIC</x:v>
      </x:c>
      <x:c r="B14" s="39" t="str">
        <x:v>Draft vocabulary terms must represent observations, entities, relations, quantities or evidence - never a precomputed compliance answer.</x:v>
      </x:c>
    </x:row>
  </x:sheetData>
  <x:pageMargins left="0.7" right="0.7" top="0.75" bottom="0.75" header="0.3" footer="0.3"/>
  <x:tableParts count="1">
    <x:tablePart xmlns:r="http://schemas.openxmlformats.org/officeDocument/2006/relationships" r:id="R38e645529377464a"/>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8" hidden="0" customWidth="1"/>
    <x:col min="2" max="2" width="48" hidden="0" customWidth="1"/>
    <x:col min="3" max="3" width="18" hidden="0" customWidth="1"/>
    <x:col min="4" max="4" width="18" hidden="0" customWidth="1"/>
    <x:col min="5" max="5" width="18" hidden="0" customWidth="1"/>
    <x:col min="6" max="6" width="36" hidden="0" customWidth="1"/>
    <x:col min="7" max="7" width="22" hidden="0" customWidth="1"/>
    <x:col min="8" max="8" width="30" hidden="0" customWidth="1"/>
    <x:col min="9" max="9" width="18" hidden="0" customWidth="1"/>
    <x:col min="10" max="10" width="48" hidden="0" customWidth="1"/>
    <x:col min="11" max="11" width="18" hidden="0" customWidth="1"/>
    <x:col min="12" max="12" width="48" hidden="0" customWidth="1"/>
    <x:col min="13" max="13" width="18" hidden="0" customWidth="1"/>
    <x:col min="14" max="14" width="64" hidden="0" customWidth="1"/>
    <x:col min="15" max="15" width="80" hidden="0" customWidth="1"/>
  </x:cols>
  <x:sheetData>
    <x:row r="1">
      <x:c r="A1" s="11" t="str">
        <x:v>NLTL Development Calibration - Batch 01</x:v>
      </x:c>
      <x:c r="B1" s="12"/>
      <x:c r="C1" s="12"/>
      <x:c r="D1" s="12"/>
      <x:c r="E1" s="12"/>
      <x:c r="F1" s="12"/>
      <x:c r="G1" s="12"/>
      <x:c r="H1" s="12"/>
      <x:c r="I1" s="12"/>
      <x:c r="J1" s="12"/>
      <x:c r="K1" s="12"/>
      <x:c r="L1" s="12"/>
      <x:c r="M1" s="12"/>
      <x:c r="N1" s="12"/>
      <x:c r="O1" s="12"/>
    </x:row>
    <x:row r="2">
      <x:c r="A2" s="13" t="str">
        <x:v>REQUIREMENTS | DEV-CAL-BATCH-01-FIRST-50 | vocabulary is not frozen</x:v>
      </x:c>
      <x:c r="B2" s="13"/>
      <x:c r="C2" s="13"/>
      <x:c r="D2" s="13"/>
      <x:c r="E2" s="13"/>
      <x:c r="F2" s="13"/>
      <x:c r="G2" s="13"/>
      <x:c r="H2" s="13"/>
      <x:c r="I2" s="13"/>
      <x:c r="J2" s="13"/>
      <x:c r="K2" s="13"/>
      <x:c r="L2" s="13"/>
      <x:c r="M2" s="13"/>
      <x:c r="N2" s="13"/>
      <x:c r="O2" s="13"/>
    </x:row>
    <x:row r="3">
      <x:c r="A3" s="14"/>
      <x:c r="B3" s="14"/>
      <x:c r="C3" s="14"/>
      <x:c r="D3" s="14"/>
      <x:c r="E3" s="14"/>
      <x:c r="F3" s="14"/>
      <x:c r="G3" s="14"/>
      <x:c r="H3" s="14"/>
      <x:c r="I3" s="14"/>
      <x:c r="J3" s="14"/>
      <x:c r="K3" s="14"/>
      <x:c r="L3" s="14"/>
      <x:c r="M3" s="14"/>
      <x:c r="N3" s="14"/>
      <x:c r="O3" s="14"/>
    </x:row>
    <x:row r="4" ht="32" customHeight="1">
      <x:c r="A4" s="32" t="str">
        <x:v>SEQUENCE</x:v>
      </x:c>
      <x:c r="B4" s="52" t="str">
        <x:v>REQUIREMENT_ID</x:v>
      </x:c>
      <x:c r="C4" s="52" t="str">
        <x:v>SOURCE_SHEET</x:v>
      </x:c>
      <x:c r="D4" s="52" t="str">
        <x:v>PAGE</x:v>
      </x:c>
      <x:c r="E4" s="52" t="str">
        <x:v>CLAUSE</x:v>
      </x:c>
      <x:c r="F4" s="52" t="str">
        <x:v>EDITION</x:v>
      </x:c>
      <x:c r="G4" s="52" t="str">
        <x:v>CATEGORY</x:v>
      </x:c>
      <x:c r="H4" s="52" t="str">
        <x:v>ENCODING_PATTERN</x:v>
      </x:c>
      <x:c r="I4" s="52" t="str">
        <x:v>R2_INDEXED_TERM_COUNT</x:v>
      </x:c>
      <x:c r="J4" s="52" t="str">
        <x:v>R2_INDEXED_TERMS</x:v>
      </x:c>
      <x:c r="K4" s="52" t="str">
        <x:v>FIXTURE_PATTERN</x:v>
      </x:c>
      <x:c r="L4" s="52" t="str">
        <x:v>MINIMUM_FIXTURE_VARIANTS</x:v>
      </x:c>
      <x:c r="M4" s="52" t="str">
        <x:v>R6_DEV_INDEXED_TERM_COUNT</x:v>
      </x:c>
      <x:c r="N4" s="52" t="str">
        <x:v>R6_DEV_INDEXED_TERMS</x:v>
      </x:c>
      <x:c r="O4" s="33" t="str">
        <x:v>NORMALIZED_REQUIREMENT</x:v>
      </x:c>
    </x:row>
    <x:row r="5">
      <x:c r="A5" s="53" t="n">
        <x:v>1</x:v>
      </x:c>
      <x:c r="B5" s="37" t="str">
        <x:v>TRF-001</x:v>
      </x:c>
      <x:c r="C5" s="34" t="str">
        <x:v>TRAFICOM</x:v>
      </x:c>
      <x:c r="D5" s="53" t="n">
        <x:v>5</x:v>
      </x:c>
      <x:c r="E5" s="34" t="str">
        <x:v>1.1</x:v>
      </x:c>
      <x:c r="F5" s="34" t="str">
        <x:v>TRAFICOM/68863/03.04.01.00/2021</x:v>
      </x:c>
      <x:c r="G5" s="34" t="str">
        <x:v>Static</x:v>
      </x:c>
      <x:c r="H5" s="34" t="str">
        <x:v>Conditional/applicability constraint</x:v>
      </x:c>
      <x:c r="I5" s="53" t="n">
        <x:v>1</x:v>
      </x:c>
      <x:c r="J5" s="37" t="str">
        <x:v>iceClass</x:v>
      </x:c>
      <x:c r="K5" s="34" t="str">
        <x:v>applicable, non-applicable, applicable failure</x:v>
      </x:c>
      <x:c r="L5" s="54" t="n">
        <x:v>3</x:v>
      </x:c>
      <x:c r="M5" s="53" t="n">
        <x:v>7</x:v>
      </x:c>
      <x:c r="N5" s="37" t="str">
        <x:v>applicableIceClassRegulationEdition | applicableIceClassRegulatoryProvision | constructionContractDate | iceClass | iceClassDraughtChapter2Provision2021 | iceClassRegulationEdition2021 | iceClassSection1Point8Provision2021</x:v>
      </x:c>
      <x:c r="O5" s="37" t="str">
        <x:v>The Ice Class Regulations of 2021 apply to ships contracted for construction on or after 5 July 2021. The provisions in section 1.8 (Ice classes) and chapter 2 (Ice Class Draught) in the 2021 Ice Class Regulations apply to all ships irrespective of their year of build.</x:v>
      </x:c>
    </x:row>
    <x:row r="6">
      <x:c r="A6" s="55" t="n">
        <x:v>2</x:v>
      </x:c>
      <x:c r="B6" s="38" t="str">
        <x:v>TRF-002</x:v>
      </x:c>
      <x:c r="C6" s="35" t="str">
        <x:v>TRAFICOM</x:v>
      </x:c>
      <x:c r="D6" s="55" t="n">
        <x:v>5</x:v>
      </x:c>
      <x:c r="E6" s="35" t="str">
        <x:v>1.2</x:v>
      </x:c>
      <x:c r="F6" s="35" t="str">
        <x:v>TRAFICOM/68863/03.04.01.00/2021</x:v>
      </x:c>
      <x:c r="G6" s="35" t="str">
        <x:v>Static</x:v>
      </x:c>
      <x:c r="H6" s="35" t="str">
        <x:v>Conditional/applicability constraint</x:v>
      </x:c>
      <x:c r="I6" s="55" t="n">
        <x:v>1</x:v>
      </x:c>
      <x:c r="J6" s="38" t="str">
        <x:v>iceClass</x:v>
      </x:c>
      <x:c r="K6" s="35" t="str">
        <x:v>applicable, non-applicable, applicable failure</x:v>
      </x:c>
      <x:c r="L6" s="56" t="n">
        <x:v>3</x:v>
      </x:c>
      <x:c r="M6" s="55" t="n">
        <x:v>4</x:v>
      </x:c>
      <x:c r="N6" s="38" t="str">
        <x:v>applicableIceClassRegulationEdition | constructionContractDate | iceClass | iceClassRegulationEdition2017</x:v>
      </x:c>
      <x:c r="O6" s="38" t="str">
        <x:v>The Ice Class Regulations of 2017 apply to ships contracted for construction on or after 1 January 2019 but before 5 July 2021.</x:v>
      </x:c>
    </x:row>
    <x:row r="7">
      <x:c r="A7" s="55" t="n">
        <x:v>3</x:v>
      </x:c>
      <x:c r="B7" s="38" t="str">
        <x:v>TRF-003</x:v>
      </x:c>
      <x:c r="C7" s="35" t="str">
        <x:v>TRAFICOM</x:v>
      </x:c>
      <x:c r="D7" s="55" t="n">
        <x:v>5</x:v>
      </x:c>
      <x:c r="E7" s="35" t="str">
        <x:v>1.3</x:v>
      </x:c>
      <x:c r="F7" s="35" t="str">
        <x:v>TRAFICOM/68863/03.04.01.00/2021</x:v>
      </x:c>
      <x:c r="G7" s="35" t="str">
        <x:v>Static</x:v>
      </x:c>
      <x:c r="H7" s="35" t="str">
        <x:v>Conditional/applicability constraint</x:v>
      </x:c>
      <x:c r="I7" s="55" t="n">
        <x:v>1</x:v>
      </x:c>
      <x:c r="J7" s="38" t="str">
        <x:v>iceClass</x:v>
      </x:c>
      <x:c r="K7" s="35" t="str">
        <x:v>applicable, non-applicable, applicable failure</x:v>
      </x:c>
      <x:c r="L7" s="56" t="n">
        <x:v>3</x:v>
      </x:c>
      <x:c r="M7" s="55" t="n">
        <x:v>4</x:v>
      </x:c>
      <x:c r="N7" s="38" t="str">
        <x:v>applicableIceClassRegulationEdition | constructionContractDate | iceClass | iceClassRegulationEdition2010</x:v>
      </x:c>
      <x:c r="O7" s="38" t="str">
        <x:v>The Ice Class Regulations of 2010 (TRAFI/31298/03.04.01.00/2010) apply to ships contracted for construction on or after 1 January 2012 but before 1 January 2019.</x:v>
      </x:c>
    </x:row>
    <x:row r="8">
      <x:c r="A8" s="55" t="n">
        <x:v>4</x:v>
      </x:c>
      <x:c r="B8" s="38" t="str">
        <x:v>TRF-004</x:v>
      </x:c>
      <x:c r="C8" s="35" t="str">
        <x:v>TRAFICOM</x:v>
      </x:c>
      <x:c r="D8" s="55" t="n">
        <x:v>5</x:v>
      </x:c>
      <x:c r="E8" s="35" t="str">
        <x:v>1.4</x:v>
      </x:c>
      <x:c r="F8" s="35" t="str">
        <x:v>TRAFICOM/68863/03.04.01.00/2021</x:v>
      </x:c>
      <x:c r="G8" s="35" t="str">
        <x:v>Static</x:v>
      </x:c>
      <x:c r="H8" s="35" t="str">
        <x:v>Conditional/applicability constraint</x:v>
      </x:c>
      <x:c r="I8" s="55" t="n">
        <x:v>1</x:v>
      </x:c>
      <x:c r="J8" s="38" t="str">
        <x:v>iceClass</x:v>
      </x:c>
      <x:c r="K8" s="35" t="str">
        <x:v>applicable, non-applicable, applicable failure</x:v>
      </x:c>
      <x:c r="L8" s="56" t="n">
        <x:v>3</x:v>
      </x:c>
      <x:c r="M8" s="55" t="n">
        <x:v>4</x:v>
      </x:c>
      <x:c r="N8" s="38" t="str">
        <x:v>applicableIceClassRegulationEdition | constructionContractDate | iceClass | iceClassRegulationEdition2008</x:v>
      </x:c>
      <x:c r="O8" s="38" t="str">
        <x:v>The Ice Class Regulations of 2008 (8.12.2008 No. 2530/30/2008), issued by the Finnish Maritime Administration, apply to ships contracted for construction on or after 1 January 2010 but before 1 January 2012.</x:v>
      </x:c>
    </x:row>
    <x:row r="9">
      <x:c r="A9" s="55" t="n">
        <x:v>5</x:v>
      </x:c>
      <x:c r="B9" s="38" t="str">
        <x:v>TRF-005</x:v>
      </x:c>
      <x:c r="C9" s="35" t="str">
        <x:v>TRAFICOM</x:v>
      </x:c>
      <x:c r="D9" s="55" t="n">
        <x:v>5</x:v>
      </x:c>
      <x:c r="E9" s="35" t="str">
        <x:v>1.5</x:v>
      </x:c>
      <x:c r="F9" s="35" t="str">
        <x:v>TRAFICOM/68863/03.04.01.00/2021</x:v>
      </x:c>
      <x:c r="G9" s="35" t="str">
        <x:v>Static</x:v>
      </x:c>
      <x:c r="H9" s="35" t="str">
        <x:v>Conditional/applicability constraint</x:v>
      </x:c>
      <x:c r="I9" s="55" t="n">
        <x:v>1</x:v>
      </x:c>
      <x:c r="J9" s="38" t="str">
        <x:v>iceClass</x:v>
      </x:c>
      <x:c r="K9" s="35" t="str">
        <x:v>applicable, non-applicable, applicable failure</x:v>
      </x:c>
      <x:c r="L9" s="56" t="n">
        <x:v>3</x:v>
      </x:c>
      <x:c r="M9" s="55" t="n">
        <x:v>5</x:v>
      </x:c>
      <x:c r="N9" s="38" t="str">
        <x:v>applicableIceClassRegulationEdition | constructionContractDate | constructionStageDate | iceClass | iceClassRegulationEdition2002</x:v>
      </x:c>
      <x:c r="O9" s="38" t="str">
        <x:v>The Ice Class Regulations of 2002 (20.9.2002 No. 5/30/2002), issued by the Finnish Maritime Administration, as amended, apply to ships the keels of which have been laid or which have been at a similar stage of construction on or after 1 September 2003 but which have been contracted for construction before 1 January 2010.</x:v>
      </x:c>
    </x:row>
    <x:row r="10">
      <x:c r="A10" s="55" t="n">
        <x:v>6</x:v>
      </x:c>
      <x:c r="B10" s="38" t="str">
        <x:v>TRF-006</x:v>
      </x:c>
      <x:c r="C10" s="35" t="str">
        <x:v>TRAFICOM</x:v>
      </x:c>
      <x:c r="D10" s="55" t="n">
        <x:v>5</x:v>
      </x:c>
      <x:c r="E10" s="35" t="str">
        <x:v>1.6</x:v>
      </x:c>
      <x:c r="F10" s="35" t="str">
        <x:v>TRAFICOM/68863/03.04.01.00/2021</x:v>
      </x:c>
      <x:c r="G10" s="35" t="str">
        <x:v>Static</x:v>
      </x:c>
      <x:c r="H10" s="35" t="str">
        <x:v>Conditional/applicability constraint</x:v>
      </x:c>
      <x:c r="I10" s="55" t="n">
        <x:v>2</x:v>
      </x:c>
      <x:c r="J10" s="38" t="str">
        <x:v>iceClass | maximumContinuousRatingPower</x:v>
      </x:c>
      <x:c r="K10" s="35" t="str">
        <x:v>applicable, non-applicable, applicable failure</x:v>
      </x:c>
      <x:c r="L10" s="56" t="n">
        <x:v>3</x:v>
      </x:c>
      <x:c r="M10" s="55" t="n">
        <x:v>7</x:v>
      </x:c>
      <x:c r="N10" s="38" t="str">
        <x:v>applicableIceClassRegulationEdition | constructionStageDate | engineOutputRegulationEdition | iceClass | iceClassRegulationEdition2008 | iceClassRuleEdition1985 | maximumContinuousRatingPower</x:v>
      </x:c>
      <x:c r="O10" s="38" t="str">
        <x:v>The Board of Navigation Rules for Assigning Ships Separate Ice-Due Classes, 1985, (2.9.1985 No. 2575/85/307), as amended, apply to ships the keels of which have been laid or which have been at a similar stage of construction on or after 1 November 1986 but before 1 September 2003. On the owner's request, the requirements of the 2008 Ice Class Regulations may, however, be applied to the engine output of such ships.</x:v>
      </x:c>
    </x:row>
    <x:row r="11">
      <x:c r="A11" s="55" t="n">
        <x:v>7</x:v>
      </x:c>
      <x:c r="B11" s="38" t="str">
        <x:v>TRF-007</x:v>
      </x:c>
      <x:c r="C11" s="35" t="str">
        <x:v>TRAFICOM</x:v>
      </x:c>
      <x:c r="D11" s="55" t="n">
        <x:v>5</x:v>
      </x:c>
      <x:c r="E11" s="35" t="str">
        <x:v>1.6</x:v>
      </x:c>
      <x:c r="F11" s="35" t="str">
        <x:v>TRAFICOM/68863/03.04.01.00/2021</x:v>
      </x:c>
      <x:c r="G11" s="35" t="str">
        <x:v>Static</x:v>
      </x:c>
      <x:c r="H11" s="35" t="str">
        <x:v>Conditional/applicability constraint</x:v>
      </x:c>
      <x:c r="I11" s="55" t="n">
        <x:v>1</x:v>
      </x:c>
      <x:c r="J11" s="38" t="str">
        <x:v>iceClass</x:v>
      </x:c>
      <x:c r="K11" s="35" t="str">
        <x:v>applicable, non-applicable, applicable failure</x:v>
      </x:c>
      <x:c r="L11" s="56" t="n">
        <x:v>3</x:v>
      </x:c>
      <x:c r="M11" s="55" t="n">
        <x:v>7</x:v>
      </x:c>
      <x:c r="N11" s="38" t="str">
        <x:v>assessmentDate | constructionStageDate | deliveryDate | engineOutputComplianceMethod | iceClass | traficom2017Section3Point2Point2Method | traficom2017Section3Point2Point4Method</x:v>
      </x:c>
      <x:c r="O11" s="38" t="str">
        <x:v>However, ships of ice class IA Super or IA the keels of which have been laid or which have been at a similar stage of construction before 1 September 2003 shall comply with the requirements in section 3.2.2 or 3.2.4 of the Ice Class Regulations of 2017 not later than 1 January in the year when twenty years have elapsed since the year the ship was delivered.</x:v>
      </x:c>
    </x:row>
    <x:row r="12">
      <x:c r="A12" s="55" t="n">
        <x:v>8</x:v>
      </x:c>
      <x:c r="B12" s="38" t="str">
        <x:v>TRF-009</x:v>
      </x:c>
      <x:c r="C12" s="35" t="str">
        <x:v>TRAFICOM</x:v>
      </x:c>
      <x:c r="D12" s="55" t="n">
        <x:v>6</x:v>
      </x:c>
      <x:c r="E12" s="35" t="str">
        <x:v>1.7</x:v>
      </x:c>
      <x:c r="F12" s="35" t="str">
        <x:v>TRAFICOM/68863/03.04.01.00/2021</x:v>
      </x:c>
      <x:c r="G12" s="35" t="str">
        <x:v>Static</x:v>
      </x:c>
      <x:c r="H12" s="35" t="str">
        <x:v>Conditional/applicability constraint</x:v>
      </x:c>
      <x:c r="I12" s="55" t="n">
        <x:v>1</x:v>
      </x:c>
      <x:c r="J12" s="38" t="str">
        <x:v>iceClass</x:v>
      </x:c>
      <x:c r="K12" s="35" t="str">
        <x:v>applicable, non-applicable, applicable failure</x:v>
      </x:c>
      <x:c r="L12" s="56" t="n">
        <x:v>3</x:v>
      </x:c>
      <x:c r="M12" s="55" t="n">
        <x:v>7</x:v>
      </x:c>
      <x:c r="N12" s="38" t="str">
        <x:v>assessmentDate | constructionStageDate | deliveryDate | engineOutputComplianceMethod | iceClass | traficom2017Section3Point2Point2Method | traficom2017Section3Point2Point4Method</x:v>
      </x:c>
      <x:c r="O12" s="38" t="str">
        <x:v>However, ships of ice class IA Super or IA the keels of which have been laid or which have been at a similar stage of construction before 1 September 2003 shall comply with the requirements in section 3.2.2 or 3.2.4 of the Ice Class Regulations of 2017 not later than 1 January in the year when twenty years have elapsed since the year the ship was delivered.</x:v>
      </x:c>
    </x:row>
    <x:row r="13">
      <x:c r="A13" s="55" t="n">
        <x:v>9</x:v>
      </x:c>
      <x:c r="B13" s="38" t="str">
        <x:v>TRF-010</x:v>
      </x:c>
      <x:c r="C13" s="35" t="str">
        <x:v>TRAFICOM</x:v>
      </x:c>
      <x:c r="D13" s="55" t="n">
        <x:v>6</x:v>
      </x:c>
      <x:c r="E13" s="35" t="str">
        <x:v>1.8</x:v>
      </x:c>
      <x:c r="F13" s="35" t="str">
        <x:v>TRAFICOM/68863/03.04.01.00/2021</x:v>
      </x:c>
      <x:c r="G13" s="35" t="str">
        <x:v>Static</x:v>
      </x:c>
      <x:c r="H13" s="35" t="str">
        <x:v>Direct property/presence constraint</x:v>
      </x:c>
      <x:c r="I13" s="55" t="n">
        <x:v>1</x:v>
      </x:c>
      <x:c r="J13" s="38" t="str">
        <x:v>iceClass</x:v>
      </x:c>
      <x:c r="K13" s="35" t="str">
        <x:v>presence or controlled-value pair</x:v>
      </x:c>
      <x:c r="L13" s="56" t="n">
        <x:v>2</x:v>
      </x:c>
      <x:c r="M13" s="55" t="n">
        <x:v>1</x:v>
      </x:c>
      <x:c r="N13" s="38" t="str">
        <x:v>iceClass</x:v>
      </x:c>
      <x:c r="O13" s="38" t="str">
        <x:v>Under section 3 of the Act on the Ice Classes of Ships and Icebreaker Assistance (1121/2005), ships are assigned to ice classes IA Super, IA, IB, IC, II, or III.</x:v>
      </x:c>
    </x:row>
    <x:row r="14">
      <x:c r="A14" s="55" t="n">
        <x:v>10</x:v>
      </x:c>
      <x:c r="B14" s="38" t="str">
        <x:v>TRF-011</x:v>
      </x:c>
      <x:c r="C14" s="35" t="str">
        <x:v>TRAFICOM</x:v>
      </x:c>
      <x:c r="D14" s="55" t="n">
        <x:v>6</x:v>
      </x:c>
      <x:c r="E14" s="35" t="str">
        <x:v>2.1</x:v>
      </x:c>
      <x:c r="F14" s="35" t="str">
        <x:v>TRAFICOM/68863/03.04.01.00/2021</x:v>
      </x:c>
      <x:c r="G14" s="35" t="str">
        <x:v>Static</x:v>
      </x:c>
      <x:c r="H14" s="35" t="str">
        <x:v>Direct property/presence constraint</x:v>
      </x:c>
      <x:c r="I14" s="55" t="n">
        <x:v>1</x:v>
      </x:c>
      <x:c r="J14" s="38" t="str">
        <x:v>upperIceWaterline</x:v>
      </x:c>
      <x:c r="K14" s="35" t="str">
        <x:v>presence or controlled-value pair</x:v>
      </x:c>
      <x:c r="L14" s="56" t="n">
        <x:v>2</x:v>
      </x:c>
      <x:c r="M14" s="55" t="n">
        <x:v>7</x:v>
      </x:c>
      <x:c r="N14" s="38" t="str">
        <x:v>hasIntendedIceOperatingWaterline | hasUpperIceWaterline | hasWaterlineProfilePoint | iceWaterline | longitudinalPosition | verticalCoordinate | waterlineProfilePoint</x:v>
      </x:c>
      <x:c r="O14" s="38" t="str">
        <x:v>The upper ice waterline (UIWL) shall be the envelope of the highest points of the waterlines at which the ship is intended to operate in ice. The line may be a broken line.</x:v>
      </x:c>
    </x:row>
    <x:row r="15">
      <x:c r="A15" s="55" t="n">
        <x:v>11</x:v>
      </x:c>
      <x:c r="B15" s="38" t="str">
        <x:v>TRF-012</x:v>
      </x:c>
      <x:c r="C15" s="35" t="str">
        <x:v>TRAFICOM</x:v>
      </x:c>
      <x:c r="D15" s="55" t="n">
        <x:v>6</x:v>
      </x:c>
      <x:c r="E15" s="35" t="str">
        <x:v>2.1</x:v>
      </x:c>
      <x:c r="F15" s="35" t="str">
        <x:v>TRAFICOM/68863/03.04.01.00/2021</x:v>
      </x:c>
      <x:c r="G15" s="35" t="str">
        <x:v>Static</x:v>
      </x:c>
      <x:c r="H15" s="35" t="str">
        <x:v>Direct property/presence constraint</x:v>
      </x:c>
      <x:c r="I15" s="55" t="n">
        <x:v>1</x:v>
      </x:c>
      <x:c r="J15" s="38" t="str">
        <x:v>lowerIceWaterline</x:v>
      </x:c>
      <x:c r="K15" s="35" t="str">
        <x:v>presence or controlled-value pair</x:v>
      </x:c>
      <x:c r="L15" s="56" t="n">
        <x:v>2</x:v>
      </x:c>
      <x:c r="M15" s="55" t="n">
        <x:v>7</x:v>
      </x:c>
      <x:c r="N15" s="38" t="str">
        <x:v>hasIntendedIceOperatingWaterline | hasLowerIceWaterline | hasWaterlineProfilePoint | iceWaterline | longitudinalPosition | verticalCoordinate | waterlineProfilePoint</x:v>
      </x:c>
      <x:c r="O15" s="38" t="str">
        <x:v>The lower ice waterline (LIWL) shall be the envelope of the lowest points of the waterlines at which the ship is intended to operate in ice. The line may be a broken line.</x:v>
      </x:c>
    </x:row>
    <x:row r="16">
      <x:c r="A16" s="55" t="n">
        <x:v>12</x:v>
      </x:c>
      <x:c r="B16" s="38" t="str">
        <x:v>TRF-013</x:v>
      </x:c>
      <x:c r="C16" s="35" t="str">
        <x:v>TRAFICOM</x:v>
      </x:c>
      <x:c r="D16" s="55" t="n">
        <x:v>7</x:v>
      </x:c>
      <x:c r="E16" s="35" t="str">
        <x:v>2.2</x:v>
      </x:c>
      <x:c r="F16" s="35" t="str">
        <x:v>TRAFICOM/68863/03.04.01.00/2021</x:v>
      </x:c>
      <x:c r="G16" s="35" t="str">
        <x:v>Static</x:v>
      </x:c>
      <x:c r="H16" s="35" t="str">
        <x:v>Conditional/applicability constraint</x:v>
      </x:c>
      <x:c r="I16" s="55" t="n">
        <x:v>1</x:v>
      </x:c>
      <x:c r="J16" s="38" t="str">
        <x:v>iceClass</x:v>
      </x:c>
      <x:c r="K16" s="35" t="str">
        <x:v>applicable, non-applicable, applicable failure</x:v>
      </x:c>
      <x:c r="L16" s="56" t="n">
        <x:v>3</x:v>
      </x:c>
      <x:c r="M16" s="55" t="n">
        <x:v>8</x:v>
      </x:c>
      <x:c r="N16" s="38" t="str">
        <x:v>draughtAtAftPerpendicular | draughtAtForePerpendicular | hasLowerIceWaterline | hasUpperIceWaterline | iceClass | operatingAftDraught | operatingForeDraught | shipIceStrengthened</x:v>
      </x:c>
      <x:c r="O16" s="38" t="str">
        <x:v>The maximum and minimum ice class draughts at fore and aft perpendiculars shall be determined in accordance with the upper and lower ice waterlines and the draught of the ship at fore and aft perpendiculars, when ice conditions require the ship to be ice-strengthened, shall always be between the upper and lower ice waterlines.</x:v>
      </x:c>
    </x:row>
    <x:row r="17">
      <x:c r="A17" s="55" t="n">
        <x:v>13</x:v>
      </x:c>
      <x:c r="B17" s="38" t="str">
        <x:v>TRF-014</x:v>
      </x:c>
      <x:c r="C17" s="35" t="str">
        <x:v>TRAFICOM</x:v>
      </x:c>
      <x:c r="D17" s="55" t="n">
        <x:v>7</x:v>
      </x:c>
      <x:c r="E17" s="35" t="str">
        <x:v>2.2</x:v>
      </x:c>
      <x:c r="F17" s="35" t="str">
        <x:v>TRAFICOM/68863/03.04.01.00/2021</x:v>
      </x:c>
      <x:c r="G17" s="35" t="str">
        <x:v>Static</x:v>
      </x:c>
      <x:c r="H17" s="35" t="str">
        <x:v>Conditional/applicability constraint</x:v>
      </x:c>
      <x:c r="I17" s="55" t="n">
        <x:v>2</x:v>
      </x:c>
      <x:c r="J17" s="38" t="str">
        <x:v>iceClass | upperIceWaterline</x:v>
      </x:c>
      <x:c r="K17" s="35" t="str">
        <x:v>applicable, non-applicable, applicable failure</x:v>
      </x:c>
      <x:c r="L17" s="56" t="n">
        <x:v>3</x:v>
      </x:c>
      <x:c r="M17" s="55" t="n">
        <x:v>20</x:v>
      </x:c>
      <x:c r="N17" s="38" t="str">
        <x:v>classCertificate | constructionDate | firstScheduledDryDockingDate | hasClassCertificate | hasIceDraughtRestrictionDocument | iceClass | iceClassDraughtMarkDraughtAmidships | iceClassDraughtMarkPresent | iceDraughtRestrictionDocument | maximumIceClassDraughtAft | maximumIceClassDraughtAmidships | maximumIceClassDraughtFore | minimumIceClassDraughtAft | minimumIceClassDraughtAmidships | minimumIceClassDraughtFore | readilyAvailableToMaster | retainedOnBoard | summerLoadLineFreshWaterDraught | upperIceWaterlineDraught | warningTrianglePresent</x:v>
      </x:c>
      <x:c r="O17" s="38" t="str">
        <x:v>Restrictions on draughts when operating in ice shall be documented and kept on board readily available to the master. The maximum and minimum ice class draughts fore, amidships and aft shall be indicated in the class certificate. For ships built on or after 1 July 2007, if the summer load line in fresh water is anywhere located at a higher level than the UIWL, the ship's sides are to be provided with a warning triangle and with an ice class draught mark at the maximum permissible ice class draught amidships (see Annex III). Ships built before 1 July 2007 shall be provided with such a marking, if the UIWL is below the summer load line, not later than the first scheduled dry docking after 1 July 2007.</x:v>
      </x:c>
    </x:row>
    <x:row r="18">
      <x:c r="A18" s="55" t="n">
        <x:v>14</x:v>
      </x:c>
      <x:c r="B18" s="38" t="str">
        <x:v>TRF-015</x:v>
      </x:c>
      <x:c r="C18" s="35" t="str">
        <x:v>TRAFICOM</x:v>
      </x:c>
      <x:c r="D18" s="55" t="n">
        <x:v>7</x:v>
      </x:c>
      <x:c r="E18" s="35" t="str">
        <x:v>2.2</x:v>
      </x:c>
      <x:c r="F18" s="35" t="str">
        <x:v>TRAFICOM/68863/03.04.01.00/2021</x:v>
      </x:c>
      <x:c r="G18" s="35" t="str">
        <x:v>Static</x:v>
      </x:c>
      <x:c r="H18" s="35" t="str">
        <x:v>Conditional/applicability constraint</x:v>
      </x:c>
      <x:c r="I18" s="55" t="n">
        <x:v>1</x:v>
      </x:c>
      <x:c r="J18" s="38" t="str">
        <x:v>upperIceWaterline</x:v>
      </x:c>
      <x:c r="K18" s="35" t="str">
        <x:v>applicable, non-applicable, applicable failure</x:v>
      </x:c>
      <x:c r="L18" s="56" t="n">
        <x:v>3</x:v>
      </x:c>
      <x:c r="M18" s="55" t="n">
        <x:v>8</x:v>
      </x:c>
      <x:c r="N18" s="38" t="str">
        <x:v>gramPerKilogramSalinityUnit | intendedRouteSeaWaterSalinity | loadingCalculationSeaWaterSalinity | maximumPermittedIceTrim | navigatingInIce | operatingDraught | operatingTrim | upperIceWaterlineDraught</x:v>
      </x:c>
      <x:c r="O18" s="38" t="str">
        <x:v>The draught and trim, limited by the UIWL, must not be exceeded when the ship is navigating in ice. The salinity of the sea water along the intended route shall be taken into account when loading the ship.</x:v>
      </x:c>
    </x:row>
    <x:row r="19">
      <x:c r="A19" s="55" t="n">
        <x:v>15</x:v>
      </x:c>
      <x:c r="B19" s="38" t="str">
        <x:v>TRF-016</x:v>
      </x:c>
      <x:c r="C19" s="35" t="str">
        <x:v>TRAFICOM</x:v>
      </x:c>
      <x:c r="D19" s="55" t="n">
        <x:v>7</x:v>
      </x:c>
      <x:c r="E19" s="35" t="str">
        <x:v>2.2</x:v>
      </x:c>
      <x:c r="F19" s="35" t="str">
        <x:v>TRAFICOM/68863/03.04.01.00/2021</x:v>
      </x:c>
      <x:c r="G19" s="35" t="str">
        <x:v>Static Calculation</x:v>
      </x:c>
      <x:c r="H19" s="35" t="str">
        <x:v>Formula-derived constraint</x:v>
      </x:c>
      <x:c r="I19" s="55" t="n">
        <x:v>9</x:v>
      </x:c>
      <x:c r="J19" s="38" t="str">
        <x:v>displacementAtUpperIceWaterline | draughtAmidships | forwardDraught | freezingPreventionPresent | levelIceThickness | liwlDraughtAmidships | lowerIceWaterline | propellerHighestPointSubmerged | upperIceWaterline</x:v>
      </x:c>
      <x:c r="K19" s="35" t="str">
        <x:v>numeric/formula boundary</x:v>
      </x:c>
      <x:c r="L19" s="56" t="n">
        <x:v>3</x:v>
      </x:c>
      <x:c r="M19" s="55" t="n">
        <x:v>15</x:v>
      </x:c>
      <x:c r="N19" s="38" t="str">
        <x:v>ballastTank | displacementAtUpperIceWaterline | draughtAmidships | forwardDraught | freezingPreventionPresent | hasBallastTank | hasLowerIceWaterline | hasUpperIceWaterline | levelIceThickness | liwlDraughtAmidships | navigatingInIce | propellerHighestPointSubmerged | situatedAboveLowerIceWaterline | usedToReachLowerIceWaterline | waterlineDisplacement</x:v>
      </x:c>
      <x:c r="O19" s="38" t="str">
        <x:v>When navigating in ice, draught_amidships_m &gt;= LIWL_draught_amidships_m. Any ballast tank above LIWL that is needed to reach LIWL shall have freezing_prevention_present = true. propeller_highest_point_submerged = true. forward_draught_m &gt;= min((2 + 0.00025*displacement_UIWL_t)*level_ice_thickness_m, 4*level_ice_thickness_m). If multiple UIWL waterlines exist, use the displacement at the greatest-displacement UIWL.</x:v>
      </x:c>
    </x:row>
    <x:row r="20">
      <x:c r="A20" s="55" t="n">
        <x:v>16</x:v>
      </x:c>
      <x:c r="B20" s="38" t="str">
        <x:v>TRF-017</x:v>
      </x:c>
      <x:c r="C20" s="35" t="str">
        <x:v>TRAFICOM</x:v>
      </x:c>
      <x:c r="D20" s="55" t="n">
        <x:v>7</x:v>
      </x:c>
      <x:c r="E20" s="35" t="str">
        <x:v>3.1</x:v>
      </x:c>
      <x:c r="F20" s="35" t="str">
        <x:v>TRAFICOM/68863/03.04.01.00/2021</x:v>
      </x:c>
      <x:c r="G20" s="35" t="str">
        <x:v>Static</x:v>
      </x:c>
      <x:c r="H20" s="35" t="str">
        <x:v>Conditional/applicability constraint</x:v>
      </x:c>
      <x:c r="I20" s="55" t="n">
        <x:v>1</x:v>
      </x:c>
      <x:c r="J20" s="38" t="str">
        <x:v>maximumContinuousRatingPower</x:v>
      </x:c>
      <x:c r="K20" s="35" t="str">
        <x:v>applicable, non-applicable, applicable failure</x:v>
      </x:c>
      <x:c r="L20" s="56" t="n">
        <x:v>3</x:v>
      </x:c>
      <x:c r="M20" s="55" t="n">
        <x:v>4</x:v>
      </x:c>
      <x:c r="N20" s="38" t="str">
        <x:v>maximumContinuousRatingPower | propulsionMachineryContinuousOutput | propulsionOutputRestrictionApplies | restrictedPropulsionOutput</x:v>
      </x:c>
      <x:c r="O20" s="38" t="str">
        <x:v>The engine output P is the maximum output the propulsion machinery can continuously deliver to the propeller(s). If the output is restricted by technical means or regulations, P shall be taken as the restricted output.</x:v>
      </x:c>
    </x:row>
    <x:row r="21">
      <x:c r="A21" s="55" t="n">
        <x:v>17</x:v>
      </x:c>
      <x:c r="B21" s="38" t="str">
        <x:v>TRF-018</x:v>
      </x:c>
      <x:c r="C21" s="35" t="str">
        <x:v>TRAFICOM</x:v>
      </x:c>
      <x:c r="D21" s="55" t="n">
        <x:v>8</x:v>
      </x:c>
      <x:c r="E21" s="35" t="str">
        <x:v>3.2</x:v>
      </x:c>
      <x:c r="F21" s="35" t="str">
        <x:v>TRAFICOM/68863/03.04.01.00/2021</x:v>
      </x:c>
      <x:c r="G21" s="35" t="str">
        <x:v>Static Calculation</x:v>
      </x:c>
      <x:c r="H21" s="35" t="str">
        <x:v>Formula-derived constraint</x:v>
      </x:c>
      <x:c r="I21" s="55" t="n">
        <x:v>3</x:v>
      </x:c>
      <x:c r="J21" s="38" t="str">
        <x:v>calculatedRequiredPower | iceClass | maximumContinuousRatingPower</x:v>
      </x:c>
      <x:c r="K21" s="35" t="str">
        <x:v>numeric/formula boundary</x:v>
      </x:c>
      <x:c r="L21" s="56" t="n">
        <x:v>3</x:v>
      </x:c>
      <x:c r="M21" s="55" t="n">
        <x:v>3</x:v>
      </x:c>
      <x:c r="N21" s="38" t="str">
        <x:v>calculatedRequiredPower | iceClass | maximumContinuousRatingPower</x:v>
      </x:c>
      <x:c r="O21" s="38" t="str">
        <x:v>IF iceClass IN {'IA','IB','IC'}, THEN mcrPower_kW &gt;= max(calculated_required_power_kW, 1000). IF iceClass = 'IA Super', THEN mcrPower_kW &gt;= max(calculated_required_power_kW, 2800).</x:v>
      </x:c>
    </x:row>
    <x:row r="22">
      <x:c r="A22" s="55" t="n">
        <x:v>18</x:v>
      </x:c>
      <x:c r="B22" s="38" t="str">
        <x:v>TRF-020</x:v>
      </x:c>
      <x:c r="C22" s="35" t="str">
        <x:v>TRAFICOM</x:v>
      </x:c>
      <x:c r="D22" s="55" t="str">
        <x:v>8-9</x:v>
      </x:c>
      <x:c r="E22" s="35" t="str">
        <x:v>3.2.2</x:v>
      </x:c>
      <x:c r="F22" s="35" t="str">
        <x:v>TRAFICOM/68863/03.04.01.00/2021</x:v>
      </x:c>
      <x:c r="G22" s="35" t="str">
        <x:v>Static Calculation</x:v>
      </x:c>
      <x:c r="H22" s="35" t="str">
        <x:v>Table-lookup plus constraint</x:v>
      </x:c>
      <x:c r="I22" s="55" t="n">
        <x:v>10</x:v>
      </x:c>
      <x:c r="J22" s="38" t="str">
        <x:v>brashIceChannelResistanceRch | constructionStageDate | engineOutputCoefficientKe | iceClass | lowerIceWaterline | maximumContinuousRatingPower | minimumRequiredPowerAtLowerIceWaterline | minimumRequiredPowerAtUpperIceWaterline | propellerDiameter | upperIceWaterline</x:v>
      </x:c>
      <x:c r="K22" s="35" t="str">
        <x:v>table lookup plus constraint</x:v>
      </x:c>
      <x:c r="L22" s="56" t="n">
        <x:v>3</x:v>
      </x:c>
      <x:c r="M22" s="55" t="n">
        <x:v>18</x:v>
      </x:c>
      <x:c r="N22" s="38" t="str">
        <x:v>brashIceChannelResistanceAtLowerIceWaterline | brashIceChannelResistanceAtUpperIceWaterline | brashIceChannelResistanceRch | constructionStageDate | controllablePitch | conventionalPropulsionSystem | electricPropulsionMachinery | engineOutputCoefficientKe | fixedPitch | hydraulicPropulsionMachinery | iceClass | maximumContinuousRatingPower | minimumRequiredPowerAtLowerIceWaterline | minimumRequiredPowerAtUpperIceWaterline | propellerCount | propellerDiameter | propellerPitchControlType | propulsionSystemType</x:v>
      </x:c>
      <x:c r="O22" s="38" t="str">
        <x:v>IF construction_stage_date &gt;= '2003-09-01' AND iceClass IN {'IA Super','IA','IB','IC'}, THEN compute P_min = K_e*(R_CH/1000)^(3/2)/D_p at UIWL and LIWL; use draught-dependent inputs at the corresponding draught, use L and B at UIWL for both calculations, and require mcrPower_kW &gt;= max(P_min_UIWL_kW, P_min_LIWL_kW). K_e shall be selected from Table 3-1.</x:v>
      </x:c>
    </x:row>
    <x:row r="23">
      <x:c r="A23" s="55" t="n">
        <x:v>19</x:v>
      </x:c>
      <x:c r="B23" s="38" t="str">
        <x:v>TRF-022</x:v>
      </x:c>
      <x:c r="C23" s="35" t="str">
        <x:v>TRAFICOM</x:v>
      </x:c>
      <x:c r="D23" s="55" t="n">
        <x:v>10</x:v>
      </x:c>
      <x:c r="E23" s="35" t="str">
        <x:v>3.2.2</x:v>
      </x:c>
      <x:c r="F23" s="35" t="str">
        <x:v>TRAFICOM/68863/03.04.01.00/2021</x:v>
      </x:c>
      <x:c r="G23" s="35" t="str">
        <x:v>Static Calculation</x:v>
      </x:c>
      <x:c r="H23" s="35" t="str">
        <x:v>Table-lookup plus constraint</x:v>
      </x:c>
      <x:c r="I23" s="55" t="n">
        <x:v>2</x:v>
      </x:c>
      <x:c r="J23" s="38" t="str">
        <x:v>bowRakeAtQuarterBreadth | flareAngle</x:v>
      </x:c>
      <x:c r="K23" s="35" t="str">
        <x:v>table lookup plus constraint</x:v>
      </x:c>
      <x:c r="L23" s="56" t="n">
        <x:v>3</x:v>
      </x:c>
      <x:c r="M23" s="55" t="n">
        <x:v>21</x:v>
      </x:c>
      <x:c r="N23" s="38" t="str">
        <x:v>bowRakeAtQuarterBreadth | clampedHullGeometryTerm | coefficientC3 | coefficientC4 | coefficientC5 | coefficientF1 | coefficientF2 | coefficientF3 | coefficientF4 | coefficientG1 | coefficientG2 | coefficientG3 | constructionStageDate | flareAngle | iceClassDraught | kilogramPerSquareMetreSquareSecondUnit | kilogramPerSquareSecondUnit | newtonPerMetreToPowerOnePointFiveUnit | shipBreadth | shipLength | waterlineAngleAtQuarterBreadth</x:v>
      </x:c>
      <x:c r="O23" s="38" t="str">
        <x:v>Set C_3 = 845 kg/(m^2*s^2), C_4 = 42 kg/(m^2*s^2), C_5 = 825 kg/s^2 and psi = atan(tan(phi_2)/sin(alpha)). Clamp ((L*T)/B^2)^3 to the inclusive interval [5, 20].</x:v>
      </x:c>
    </x:row>
    <x:row r="24">
      <x:c r="A24" s="55" t="n">
        <x:v>20</x:v>
      </x:c>
      <x:c r="B24" s="38" t="str">
        <x:v>TRF-023</x:v>
      </x:c>
      <x:c r="C24" s="35" t="str">
        <x:v>TRAFICOM</x:v>
      </x:c>
      <x:c r="D24" s="55" t="n">
        <x:v>10</x:v>
      </x:c>
      <x:c r="E24" s="35" t="str">
        <x:v>3.2.3</x:v>
      </x:c>
      <x:c r="F24" s="35" t="str">
        <x:v>TRAFICOM/68863/03.04.01.00/2021</x:v>
      </x:c>
      <x:c r="G24" s="35" t="str">
        <x:v>Static</x:v>
      </x:c>
      <x:c r="H24" s="35" t="str">
        <x:v>Conditional/applicability constraint</x:v>
      </x:c>
      <x:c r="I24" s="55" t="n">
        <x:v>2</x:v>
      </x:c>
      <x:c r="J24" s="38" t="str">
        <x:v>iceClass | maximumContinuousRatingPower</x:v>
      </x:c>
      <x:c r="K24" s="35" t="str">
        <x:v>applicable, non-applicable, applicable failure</x:v>
      </x:c>
      <x:c r="L24" s="56" t="n">
        <x:v>3</x:v>
      </x:c>
      <x:c r="M24" s="55" t="n">
        <x:v>5</x:v>
      </x:c>
      <x:c r="N24" s="38" t="str">
        <x:v>applicableIceClassRegulationEdition | iceClass | iceClassRuleEdition1985 | maximumContinuousRatingPower | requiredPowerUnder1985Rules</x:v>
      </x:c>
      <x:c r="O24" s="38" t="str">
        <x:v>In order to retain ice class IB or IC a ship, to which ice class regulations 1985 (2.9.1985, No. 2575/85/307, as amended) apply, shall comply with the required minimum engine output as defined in section 3.2.1 of the ice class regulations 1985. For ease of reference, the provisions for ice classes IB and IC of section 3.2.1 of the ice class regulations 1985 are given in Annex II of these regulations.</x:v>
      </x:c>
    </x:row>
    <x:row r="25">
      <x:c r="A25" s="55" t="n">
        <x:v>21</x:v>
      </x:c>
      <x:c r="B25" s="38" t="str">
        <x:v>TRF-024</x:v>
      </x:c>
      <x:c r="C25" s="35" t="str">
        <x:v>TRAFICOM</x:v>
      </x:c>
      <x:c r="D25" s="55" t="n">
        <x:v>10</x:v>
      </x:c>
      <x:c r="E25" s="35" t="str">
        <x:v>3.2.4</x:v>
      </x:c>
      <x:c r="F25" s="35" t="str">
        <x:v>TRAFICOM/68863/03.04.01.00/2021</x:v>
      </x:c>
      <x:c r="G25" s="35" t="str">
        <x:v>Static</x:v>
      </x:c>
      <x:c r="H25" s="35" t="str">
        <x:v>Conditional/applicability constraint</x:v>
      </x:c>
      <x:c r="I25" s="55" t="n">
        <x:v>1</x:v>
      </x:c>
      <x:c r="J25" s="38" t="str">
        <x:v>iceClass</x:v>
      </x:c>
      <x:c r="K25" s="35" t="str">
        <x:v>applicable, non-applicable, applicable failure</x:v>
      </x:c>
      <x:c r="L25" s="56" t="n">
        <x:v>3</x:v>
      </x:c>
      <x:c r="M25" s="55" t="n">
        <x:v>7</x:v>
      </x:c>
      <x:c r="N25" s="38" t="str">
        <x:v>assessmentDate | constructionStageDate | deliveryDate | engineOutputComplianceMethod | iceClass | traficom2017Section3Point2Point2Method | traficom2017Section3Point2Point4Method</x:v>
      </x:c>
      <x:c r="O25" s="38" t="str">
        <x:v>In order to retain ice class IA Super or IA a ship, the keel of which has been laid or which has been at a similar stage of construction before 1 September 2003, shall comply with the requirements in section 3.2.2 above not later than 1 January in the year when twenty years have elapsed since the year the ship was delivered.</x:v>
      </x:c>
    </x:row>
    <x:row r="26">
      <x:c r="A26" s="55" t="n">
        <x:v>22</x:v>
      </x:c>
      <x:c r="B26" s="38" t="str">
        <x:v>TRF-025</x:v>
      </x:c>
      <x:c r="C26" s="35" t="str">
        <x:v>TRAFICOM</x:v>
      </x:c>
      <x:c r="D26" s="55" t="n">
        <x:v>10</x:v>
      </x:c>
      <x:c r="E26" s="35" t="str">
        <x:v>3.2.4</x:v>
      </x:c>
      <x:c r="F26" s="35" t="str">
        <x:v>TRAFICOM/68863/03.04.01.00/2021</x:v>
      </x:c>
      <x:c r="G26" s="35" t="str">
        <x:v>Static Calculation</x:v>
      </x:c>
      <x:c r="H26" s="35" t="str">
        <x:v>Formula-derived constraint</x:v>
      </x:c>
      <x:c r="I26" s="55" t="n">
        <x:v>1</x:v>
      </x:c>
      <x:c r="J26" s="38" t="str">
        <x:v>iceClass</x:v>
      </x:c>
      <x:c r="K26" s="35" t="str">
        <x:v>numeric/formula boundary</x:v>
      </x:c>
      <x:c r="L26" s="56" t="n">
        <x:v>3</x:v>
      </x:c>
      <x:c r="M26" s="55" t="n">
        <x:v>14</x:v>
      </x:c>
      <x:c r="N26" s="38" t="str">
        <x:v>brashIceResistanceCoefficientC1 | brashIceResistanceCoefficientC2 | bulbousBowPresent | coefficientF1 | coefficientF2 | coefficientF3 | coefficientF4 | coefficientG1 | coefficientG2 | coefficientG3 | iceClass | iceClassDraught | shipBreadth | shipLength</x:v>
      </x:c>
      <x:c r="O26" s="38" t="str">
        <x:v>For IA Super without a bulb, compute C_1=f_1*(B*L)/(2*T/B+1)+1.84*(f_2*B+f_3*L+f_4*B*L) and C_2=3.52*(g_1+g_2*B)+g_3*(1+1.2*T/B)*B^2/sqrt(L).</x:v>
      </x:c>
    </x:row>
    <x:row r="27">
      <x:c r="A27" s="55" t="n">
        <x:v>23</x:v>
      </x:c>
      <x:c r="B27" s="38" t="str">
        <x:v>TRF-026</x:v>
      </x:c>
      <x:c r="C27" s="35" t="str">
        <x:v>TRAFICOM</x:v>
      </x:c>
      <x:c r="D27" s="55" t="n">
        <x:v>11</x:v>
      </x:c>
      <x:c r="E27" s="35" t="str">
        <x:v>3.2.4</x:v>
      </x:c>
      <x:c r="F27" s="35" t="str">
        <x:v>TRAFICOM/68863/03.04.01.00/2021</x:v>
      </x:c>
      <x:c r="G27" s="35" t="str">
        <x:v>Static Calculation</x:v>
      </x:c>
      <x:c r="H27" s="35" t="str">
        <x:v>Formula-derived constraint</x:v>
      </x:c>
      <x:c r="I27" s="55" t="n">
        <x:v>1</x:v>
      </x:c>
      <x:c r="J27" s="38" t="str">
        <x:v>iceClass</x:v>
      </x:c>
      <x:c r="K27" s="35" t="str">
        <x:v>numeric/formula boundary</x:v>
      </x:c>
      <x:c r="L27" s="56" t="n">
        <x:v>3</x:v>
      </x:c>
      <x:c r="M27" s="55" t="n">
        <x:v>14</x:v>
      </x:c>
      <x:c r="N27" s="38" t="str">
        <x:v>brashIceResistanceCoefficientC1 | brashIceResistanceCoefficientC2 | bulbousBowPresent | coefficientF1 | coefficientF2 | coefficientF3 | coefficientF4 | coefficientG1 | coefficientG2 | coefficientG3 | iceClass | iceClassDraught | shipBreadth | shipLength</x:v>
      </x:c>
      <x:c r="O27" s="38" t="str">
        <x:v>For IA Super with a bulb, compute C_1=f_1*(B*L)/(2*T/B+1)+2.89*(f_2*B+f_3*L+f_4*B*L) and C_2=6.67*(g_1+g_2*B)+g_3*(1+1.2*T/B)*B^2/sqrt(L).</x:v>
      </x:c>
    </x:row>
    <x:row r="28">
      <x:c r="A28" s="55" t="n">
        <x:v>24</x:v>
      </x:c>
      <x:c r="B28" s="38" t="str">
        <x:v>TRF-027</x:v>
      </x:c>
      <x:c r="C28" s="35" t="str">
        <x:v>TRAFICOM</x:v>
      </x:c>
      <x:c r="D28" s="55" t="n">
        <x:v>11</x:v>
      </x:c>
      <x:c r="E28" s="35" t="str">
        <x:v>3.2.4</x:v>
      </x:c>
      <x:c r="F28" s="35" t="str">
        <x:v>TRAFICOM/68863/03.04.01.00/2021</x:v>
      </x:c>
      <x:c r="G28" s="35" t="str">
        <x:v>Static Calculation</x:v>
      </x:c>
      <x:c r="H28" s="35" t="str">
        <x:v>Table-lookup plus constraint</x:v>
      </x:c>
      <x:c r="I28" s="55" t="n">
        <x:v>14</x:v>
      </x:c>
      <x:c r="J28" s="38" t="str">
        <x:v>clampedHullGeometryTerm | coefficientC3 | coefficientC4 | coefficientC5 | coefficientF1 | coefficientF2 | coefficientF3 | coefficientF4 | coefficientG1 | coefficientG2 | coefficientG3 | iceClassDraught | shipBreadth | shipLength</x:v>
      </x:c>
      <x:c r="K28" s="35" t="str">
        <x:v>table lookup plus constraint</x:v>
      </x:c>
      <x:c r="L28" s="56" t="n">
        <x:v>3</x:v>
      </x:c>
      <x:c r="M28" s="55" t="n">
        <x:v>21</x:v>
      </x:c>
      <x:c r="N28" s="38" t="str">
        <x:v>clampedHullGeometryTerm | coefficientC3 | coefficientC4 | coefficientC5 | coefficientF1 | coefficientF2 | coefficientF3 | coefficientF4 | coefficientG1 | coefficientG2 | coefficientG3 | constructionStageDate | iceClass | iceClassDraught | iceClassIa | iceClassIaSuper | kilogramPerSquareMetreSquareSecondUnit | kilogramPerSquareSecondUnit | newtonPerMetreToPowerOnePointFiveUnit | shipBreadth | shipLength</x:v>
      </x:c>
      <x:c r="O28" s="38" t="str">
        <x:v>Coefficients f_1-f_4 and g_1-g_3 are given in Table 3-3. C_3 = 460 kg/(m^2*s^2), C_4 = 18.7 kg/(m^2*s^2), C_5 = 825 kg/s^2. If the value of the term ((L*T)/B^2)^3 is less than 5, the value 5 shall be used; if the value is more than 20, the value 20 shall be used.</x:v>
      </x:c>
    </x:row>
    <x:row r="29">
      <x:c r="A29" s="55" t="n">
        <x:v>25</x:v>
      </x:c>
      <x:c r="B29" s="38" t="str">
        <x:v>TRF-030</x:v>
      </x:c>
      <x:c r="C29" s="35" t="str">
        <x:v>TRAFICOM</x:v>
      </x:c>
      <x:c r="D29" s="55" t="n">
        <x:v>12</x:v>
      </x:c>
      <x:c r="E29" s="35" t="str">
        <x:v>4.1</x:v>
      </x:c>
      <x:c r="F29" s="35" t="str">
        <x:v>TRAFICOM/68863/03.04.01.00/2021</x:v>
      </x:c>
      <x:c r="G29" s="35" t="str">
        <x:v>Static Calculation</x:v>
      </x:c>
      <x:c r="H29" s="35" t="str">
        <x:v>Formula-derived constraint</x:v>
      </x:c>
      <x:c r="I29" s="55" t="n">
        <x:v>4</x:v>
      </x:c>
      <x:c r="J29" s="38" t="str">
        <x:v>lowerIceWaterline | spacing | span | upperIceWaterline</x:v>
      </x:c>
      <x:c r="K29" s="35" t="str">
        <x:v>numeric/formula boundary</x:v>
      </x:c>
      <x:c r="L29" s="56" t="n">
        <x:v>3</x:v>
      </x:c>
      <x:c r="M29" s="55" t="n">
        <x:v>24</x:v>
      </x:c>
      <x:c r="N29" s="38" t="str">
        <x:v>appliedIcePressure | capacityMinimizingLoadPositionConfirmed | combinedBendingAndShearEvaluated | directAnalysisCase | halfLoadHeightBelowLowerIceWaterlinePosition | hasDirectAnalysisCase | horizontalLoadPosition | horizontalLoadPositionType | iceLoadAreaFactorCa | icePressure | intermediateVerticalPosition | loadLengthDeterminedFromArrangement | loadPatchApplicationLocation | loadPatchHeight | loadPatchLength | lowerIceWaterlineReferencePosition | midSpanOrSpacingCenteredPosition | otherHorizontalPosition | spacing | span | upperIceWaterlineCenteredPosition | upperIceWaterlineReferencePosition | verticalLoadPosition | verticalLoadPositionType</x:v>
      </x:c>
      <x:c r="O29" s="38" t="str">
        <x:v>Direct analyses are to be carried out using the load patch defined in section 4.2 (p, h and la). The pressure to be used is 1.8p where p is determined according to 4.2.2. The load patch must be applied at locations where the capacity of the structure under the combined effects of bending and shear is minimised. In particular, the structure must be checked with a load centred at the UIWL, 0.5h0 below the LIWL, and positioned at several vertical locations in between. Several horizontal locations shall also be checked, especially the locations centred at the mid-span or -spacing. Furthermore, if the load length la cannot be determined directly from the arrangement of the structure, several values of la shall be checked using corresponding values for ca.</x:v>
      </x:c>
    </x:row>
    <x:row r="30">
      <x:c r="A30" s="55" t="n">
        <x:v>26</x:v>
      </x:c>
      <x:c r="B30" s="38" t="str">
        <x:v>TRF-031</x:v>
      </x:c>
      <x:c r="C30" s="35" t="str">
        <x:v>TRAFICOM</x:v>
      </x:c>
      <x:c r="D30" s="55" t="n">
        <x:v>12</x:v>
      </x:c>
      <x:c r="E30" s="35" t="str">
        <x:v>4.1</x:v>
      </x:c>
      <x:c r="F30" s="35" t="str">
        <x:v>TRAFICOM/68863/03.04.01.00/2021</x:v>
      </x:c>
      <x:c r="G30" s="35" t="str">
        <x:v>Static Calculation</x:v>
      </x:c>
      <x:c r="H30" s="35" t="str">
        <x:v>Formula-derived constraint</x:v>
      </x:c>
      <x:c r="I30" s="55" t="n">
        <x:v>6</x:v>
      </x:c>
      <x:c r="J30" s="38" t="str">
        <x:v>allowableShearStress | beamTheoryUsed | combinedBendingShearStress | directCalculationMethod | vonMisesYieldCriterion | yieldPoint</x:v>
      </x:c>
      <x:c r="K30" s="35" t="str">
        <x:v>numeric/formula boundary</x:v>
      </x:c>
      <x:c r="L30" s="56" t="n">
        <x:v>3</x:v>
      </x:c>
      <x:c r="M30" s="55" t="n">
        <x:v>6</x:v>
      </x:c>
      <x:c r="N30" s="38" t="str">
        <x:v>allowableShearStress | beamTheoryUsed | combinedBendingShearStress | vonMisesYieldCriterion | yieldPoint | yieldShearStress</x:v>
      </x:c>
      <x:c r="O30" s="38" t="str">
        <x:v>The acceptance criterion for designs is that the combined stresses from bending and shear, when using the von Mises yield criterion, are lower than the yield point sigmay. When the direct calculation is based on beam theory, the allowable shear stress must be no larger than 0.9*tauy, where tauy = sigmay/sqrt3.</x:v>
      </x:c>
    </x:row>
    <x:row r="31">
      <x:c r="A31" s="55" t="n">
        <x:v>27</x:v>
      </x:c>
      <x:c r="B31" s="38" t="str">
        <x:v>TRF-032</x:v>
      </x:c>
      <x:c r="C31" s="35" t="str">
        <x:v>TRAFICOM</x:v>
      </x:c>
      <x:c r="D31" s="55" t="n">
        <x:v>12</x:v>
      </x:c>
      <x:c r="E31" s="35" t="str">
        <x:v>4.1</x:v>
      </x:c>
      <x:c r="F31" s="35" t="str">
        <x:v>TRAFICOM/68863/03.04.01.00/2021</x:v>
      </x:c>
      <x:c r="G31" s="35" t="str">
        <x:v>Static</x:v>
      </x:c>
      <x:c r="H31" s="35" t="str">
        <x:v>Conditional/applicability constraint</x:v>
      </x:c>
      <x:c r="I31" s="55" t="n">
        <x:v>3</x:v>
      </x:c>
      <x:c r="J31" s="38" t="str">
        <x:v>classificationSocietyScantling | iceStrengtheningStatus | regulationDerivedScantling</x:v>
      </x:c>
      <x:c r="K31" s="35" t="str">
        <x:v>applicable, non-applicable, applicable failure</x:v>
      </x:c>
      <x:c r="L31" s="56" t="n">
        <x:v>3</x:v>
      </x:c>
      <x:c r="M31" s="55" t="n">
        <x:v>4</x:v>
      </x:c>
      <x:c r="N31" s="38" t="str">
        <x:v>classificationSocietyRequiredScantling | iceStrengtheningStatus | regulationRequiredScantling | selectedDesignScantling</x:v>
      </x:c>
      <x:c r="O31" s="38" t="str">
        <x:v>If scantlings derived from these regulations are less than those required by the classification society for a ship that has not been ice strengthened, the latter shall be used.</x:v>
      </x:c>
    </x:row>
    <x:row r="32">
      <x:c r="A32" s="55" t="n">
        <x:v>28</x:v>
      </x:c>
      <x:c r="B32" s="38" t="str">
        <x:v>TRF-034</x:v>
      </x:c>
      <x:c r="C32" s="35" t="str">
        <x:v>TRAFICOM</x:v>
      </x:c>
      <x:c r="D32" s="55" t="n">
        <x:v>13</x:v>
      </x:c>
      <x:c r="E32" s="35" t="str">
        <x:v>4.1</x:v>
      </x:c>
      <x:c r="F32" s="35" t="str">
        <x:v>TRAFICOM/68863/03.04.01.00/2021</x:v>
      </x:c>
      <x:c r="G32" s="35" t="str">
        <x:v>Static Calculation</x:v>
      </x:c>
      <x:c r="H32" s="35" t="str">
        <x:v>Formula-derived constraint</x:v>
      </x:c>
      <x:c r="I32" s="55" t="n">
        <x:v>2</x:v>
      </x:c>
      <x:c r="J32" s="38" t="str">
        <x:v>sectionModulus | shearArea</x:v>
      </x:c>
      <x:c r="K32" s="35" t="str">
        <x:v>numeric/formula boundary</x:v>
      </x:c>
      <x:c r="L32" s="56" t="n">
        <x:v>3</x:v>
      </x:c>
      <x:c r="M32" s="55" t="n">
        <x:v>7</x:v>
      </x:c>
      <x:c r="N32" s="38" t="str">
        <x:v>effectiveMemberCrossSection | hasClassificationSocietySectionPropertyCalculationEvidence | hasEffectiveMemberCrossSection | iceStringer | memberNormalToPlating | sectionModulus | shearArea</x:v>
      </x:c>
      <x:c r="O32" s="38" t="str">
        <x:v>NB3. The requirements for the section modulus and shear area of the frames, stringers and web frames in 4.4, 4.5 and 4.6 are in accordance with the effective member cross section. For cases where the member is not normal to the plating, the section properties must be calculated in accordance with the appropriate classification society rules for the ship in question.</x:v>
      </x:c>
    </x:row>
    <x:row r="33">
      <x:c r="A33" s="55" t="n">
        <x:v>29</x:v>
      </x:c>
      <x:c r="B33" s="38" t="str">
        <x:v>TRF-035</x:v>
      </x:c>
      <x:c r="C33" s="35" t="str">
        <x:v>TRAFICOM</x:v>
      </x:c>
      <x:c r="D33" s="55" t="n">
        <x:v>13</x:v>
      </x:c>
      <x:c r="E33" s="35" t="str">
        <x:v>4.1.1</x:v>
      </x:c>
      <x:c r="F33" s="35" t="str">
        <x:v>TRAFICOM/68863/03.04.01.00/2021</x:v>
      </x:c>
      <x:c r="G33" s="35" t="str">
        <x:v>Static</x:v>
      </x:c>
      <x:c r="H33" s="35" t="str">
        <x:v>Direct property/presence constraint</x:v>
      </x:c>
      <x:c r="I33" s="55" t="n">
        <x:v>2</x:v>
      </x:c>
      <x:c r="J33" s="38" t="str">
        <x:v>classificationSociety | ruleLength</x:v>
      </x:c>
      <x:c r="K33" s="35" t="str">
        <x:v>presence or controlled-value pair</x:v>
      </x:c>
      <x:c r="L33" s="56" t="n">
        <x:v>2</x:v>
      </x:c>
      <x:c r="M33" s="55" t="n">
        <x:v>7</x:v>
      </x:c>
      <x:c r="N33" s="38" t="str">
        <x:v>bowRegion | classificationSociety | classificationSocietyRuleLength | hullRegion | midbodyRegion | ruleLength | sternRegion</x:v>
      </x:c>
      <x:c r="O33" s="38" t="str">
        <x:v>L shall be taken as the ship's rule length used by the classification society.</x:v>
      </x:c>
    </x:row>
    <x:row r="34">
      <x:c r="A34" s="55" t="n">
        <x:v>30</x:v>
      </x:c>
      <x:c r="B34" s="38" t="str">
        <x:v>TRF-036</x:v>
      </x:c>
      <x:c r="C34" s="35" t="str">
        <x:v>TRAFICOM</x:v>
      </x:c>
      <x:c r="D34" s="55" t="n">
        <x:v>14</x:v>
      </x:c>
      <x:c r="E34" s="35" t="str">
        <x:v>4.2.1</x:v>
      </x:c>
      <x:c r="F34" s="35" t="str">
        <x:v>TRAFICOM/68863/03.04.01.00/2021</x:v>
      </x:c>
      <x:c r="G34" s="35" t="str">
        <x:v>Static Calculation</x:v>
      </x:c>
      <x:c r="H34" s="35" t="str">
        <x:v>Table-lookup plus constraint</x:v>
      </x:c>
      <x:c r="I34" s="55" t="n">
        <x:v>3</x:v>
      </x:c>
      <x:c r="J34" s="38" t="str">
        <x:v>designIceLoadHeight | iceClass | levelIceThickness</x:v>
      </x:c>
      <x:c r="K34" s="35" t="str">
        <x:v>table lookup plus constraint</x:v>
      </x:c>
      <x:c r="L34" s="56" t="n">
        <x:v>3</x:v>
      </x:c>
      <x:c r="M34" s="55" t="n">
        <x:v>5</x:v>
      </x:c>
      <x:c r="N34" s="38" t="str">
        <x:v>designIceLoadHeight | hasIceClassDesignParameterSet | iceClass | iceClassDesignParameterSet | levelIceThickness</x:v>
      </x:c>
      <x:c r="O34" s="38" t="str">
        <x:v>An ice-strengthened ship is assumed to operate in open sea conditions corresponding to a level ice thickness not exceeding hi. The design ice load height (h) of the area actually under ice pressure at any particular point of time is, however, assumed to be only a fraction of the ice thickness. The values for hi and h are given in Table 4-1.</x:v>
      </x:c>
    </x:row>
    <x:row r="35">
      <x:c r="A35" s="55" t="n">
        <x:v>31</x:v>
      </x:c>
      <x:c r="B35" s="38" t="str">
        <x:v>TRF-037</x:v>
      </x:c>
      <x:c r="C35" s="35" t="str">
        <x:v>TRAFICOM</x:v>
      </x:c>
      <x:c r="D35" s="55" t="n">
        <x:v>14</x:v>
      </x:c>
      <x:c r="E35" s="35" t="str">
        <x:v>4.2.2</x:v>
      </x:c>
      <x:c r="F35" s="35" t="str">
        <x:v>TRAFICOM/68863/03.04.01.00/2021</x:v>
      </x:c>
      <x:c r="G35" s="35" t="str">
        <x:v>Static Calculation</x:v>
      </x:c>
      <x:c r="H35" s="35" t="str">
        <x:v>Formula-derived constraint</x:v>
      </x:c>
      <x:c r="I35" s="55" t="n">
        <x:v>1</x:v>
      </x:c>
      <x:c r="J35" s="38" t="str">
        <x:v>maximumContinuousRatingPower</x:v>
      </x:c>
      <x:c r="K35" s="35" t="str">
        <x:v>numeric/formula boundary</x:v>
      </x:c>
      <x:c r="L35" s="56" t="n">
        <x:v>3</x:v>
      </x:c>
      <x:c r="M35" s="55" t="n">
        <x:v>11</x:v>
      </x:c>
      <x:c r="N35" s="38" t="str">
        <x:v>continuousPropulsionPowerAvailableInIce | displacementAtMaximumIceClassDraught | hullRegion | iceClassFactorCp | iceLoadAreaFactorCa | icePressure | nominalIcePressureP0 | shipSizeEngineOutputCoefficientA | shipSizeEngineOutputCoefficientB | shipSizeEngineOutputCoefficientK | shipSizeEngineOutputFactorCd</x:v>
      </x:c>
      <x:c r="O35" s="38" t="str">
        <x:v>The design ice pressure is determined by the formula p = c_d*c_p*c_a*p_0 [MPa] (4.1), where c_d is a factor which takes account of the influence of the size and engine output of the ship. The maximum value is c_d = 1. It is calculated using c_d = (a*k + b)/1000 (4.2).</x:v>
      </x:c>
    </x:row>
    <x:row r="36">
      <x:c r="A36" s="55" t="n">
        <x:v>32</x:v>
      </x:c>
      <x:c r="B36" s="38" t="str">
        <x:v>TRF-041</x:v>
      </x:c>
      <x:c r="C36" s="35" t="str">
        <x:v>TRAFICOM</x:v>
      </x:c>
      <x:c r="D36" s="55" t="n">
        <x:v>17</x:v>
      </x:c>
      <x:c r="E36" s="35" t="str">
        <x:v>4.3.2</x:v>
      </x:c>
      <x:c r="F36" s="35" t="str">
        <x:v>TRAFICOM/68863/03.04.01.00/2021</x:v>
      </x:c>
      <x:c r="G36" s="35" t="str">
        <x:v>Static Calculation</x:v>
      </x:c>
      <x:c r="H36" s="35" t="str">
        <x:v>Formula-derived constraint</x:v>
      </x:c>
      <x:c r="I36" s="55" t="n">
        <x:v>2</x:v>
      </x:c>
      <x:c r="J36" s="38" t="str">
        <x:v>thickness | yieldStrength</x:v>
      </x:c>
      <x:c r="K36" s="35" t="str">
        <x:v>numeric/formula boundary</x:v>
      </x:c>
      <x:c r="L36" s="56" t="n">
        <x:v>3</x:v>
      </x:c>
      <x:c r="M36" s="55" t="n">
        <x:v>12</x:v>
      </x:c>
      <x:c r="N36" s="38" t="str">
        <x:v>corrosionAbrasionAddition | hullStructuralSteelGrade | icePressure | longitudinalFramingOrientation | longitudinalPlatingFactorF2 | platingFramingOrientation | platingPressure | requiredShellPlatingThickness | spacing | transverseFramingOrientation | transversePlatingFactorF1 | yieldStrength</x:v>
      </x:c>
      <x:c r="O36" s="38" t="str">
        <x:v>For transverse framing, the thickness of the shell plating shall be determined by t = 667*s*sqrt(f_1*p_pl/sigma_y) + t_c [mm] (4.5). For longitudinal framing, the thickness shall be determined by t = 667*s*sqrt(p/(f_2*sigma_y)) + t_c [mm] (4.6).</x:v>
      </x:c>
    </x:row>
    <x:row r="37">
      <x:c r="A37" s="55" t="n">
        <x:v>33</x:v>
      </x:c>
      <x:c r="B37" s="38" t="str">
        <x:v>TRF-042</x:v>
      </x:c>
      <x:c r="C37" s="35" t="str">
        <x:v>TRAFICOM</x:v>
      </x:c>
      <x:c r="D37" s="55" t="n">
        <x:v>17</x:v>
      </x:c>
      <x:c r="E37" s="35" t="str">
        <x:v>4.3.2</x:v>
      </x:c>
      <x:c r="F37" s="35" t="str">
        <x:v>TRAFICOM/68863/03.04.01.00/2021</x:v>
      </x:c>
      <x:c r="G37" s="35" t="str">
        <x:v>Static Calculation</x:v>
      </x:c>
      <x:c r="H37" s="35" t="str">
        <x:v>Formula-derived constraint</x:v>
      </x:c>
      <x:c r="I37" s="55" t="n">
        <x:v>1</x:v>
      </x:c>
      <x:c r="J37" s="38" t="str">
        <x:v>yieldStrength</x:v>
      </x:c>
      <x:c r="K37" s="35" t="str">
        <x:v>numeric/formula boundary</x:v>
      </x:c>
      <x:c r="L37" s="56" t="n">
        <x:v>3</x:v>
      </x:c>
      <x:c r="M37" s="55" t="n">
        <x:v>9</x:v>
      </x:c>
      <x:c r="N37" s="38" t="str">
        <x:v>corrosionAbrasionAddition | designIceLoadHeight | hullStructuralSteelGrade | longitudinalPlatingFactorF2 | materialApprovalStatus | requiredShellPlatingThickness | spacing | specialSurfaceCoatingMaintained | yieldStrength</x:v>
      </x:c>
      <x:c r="O37" s="38" t="str">
        <x:v>f_2 = 0.4/(h/s) + 0.6 where h/s &lt;= 1; f_2 = 1.4 - 0.4*(h/s) where 1 &lt;= h/s &lt;= 1.8. Here h is as given in section 4.2.1 and sigma_y is the yield stress of the material [N/mm^2]. Use sigma_y = 235 N/mm^2 for normal-strength hull structural steel and sigma_y = 315 N/mm^2 or higher for high-strength hull structural steel. If steels with different yield stress are used, actual accepted values may be substituted. The abrasion and corrosion increment t_c shall normally be 2 mm; a lower approved value may be used for a suitable maintained special surface coating.</x:v>
      </x:c>
    </x:row>
    <x:row r="38">
      <x:c r="A38" s="55" t="n">
        <x:v>34</x:v>
      </x:c>
      <x:c r="B38" s="38" t="str">
        <x:v>TRF-043</x:v>
      </x:c>
      <x:c r="C38" s="35" t="str">
        <x:v>TRAFICOM</x:v>
      </x:c>
      <x:c r="D38" s="55" t="n">
        <x:v>18</x:v>
      </x:c>
      <x:c r="E38" s="35" t="str">
        <x:v>4.4.1</x:v>
      </x:c>
      <x:c r="F38" s="35" t="str">
        <x:v>TRAFICOM/68863/03.04.01.00/2021</x:v>
      </x:c>
      <x:c r="G38" s="35" t="str">
        <x:v>Static</x:v>
      </x:c>
      <x:c r="H38" s="35" t="str">
        <x:v>Table-lookup plus constraint</x:v>
      </x:c>
      <x:c r="I38" s="55" t="n">
        <x:v>5</x:v>
      </x:c>
      <x:c r="J38" s="38" t="str">
        <x:v>extensionBeyondAdjacentDeckOrTankBoundary | framingIceStrengtheningUpperExtent | iceStrengtheningTerminationAtAdjacentBoundaryPermitted | upperBowIceBeltRequired | upperBowIceBeltTop</x:v>
      </x:c>
      <x:c r="K38" s="35" t="str">
        <x:v>table lookup plus constraint</x:v>
      </x:c>
      <x:c r="L38" s="56" t="n">
        <x:v>3</x:v>
      </x:c>
      <x:c r="M38" s="55" t="n">
        <x:v>10</x:v>
      </x:c>
      <x:c r="N38" s="38" t="str">
        <x:v>extensionBeyondAdjacentDeckOrTankBoundary | frame | framingIceStrengtheningAboveUpperIceWaterline | framingIceStrengtheningBelowLowerIceWaterline | hullRegion | iceClass | iceStrengtheningTerminationAtAdjacentBoundaryPermitted | reachesTankTopOrBelowFloorTop | reachesUpperBowIceBeltTop | upperBowIceBeltRequired</x:v>
      </x:c>
      <x:c r="O38" s="38" t="str">
        <x:v>Set the vertical extent of framing ice strengthening from Table 4-6. IF upper_bow_ice_belt_required = true, THEN framing_ice_strengthening_upper_extent &gt;= upper_bow_ice_belt_top. IF extension_beyond_adjacent_deck_or_tank_boundary_mm &lt;= 250, THEN termination_at_that_boundary is permitted.</x:v>
      </x:c>
    </x:row>
    <x:row r="39">
      <x:c r="A39" s="55" t="n">
        <x:v>35</x:v>
      </x:c>
      <x:c r="B39" s="38" t="str">
        <x:v>TRF-044</x:v>
      </x:c>
      <x:c r="C39" s="35" t="str">
        <x:v>TRAFICOM</x:v>
      </x:c>
      <x:c r="D39" s="55" t="str">
        <x:v>18-19</x:v>
      </x:c>
      <x:c r="E39" s="35" t="str">
        <x:v>4.4.2.1</x:v>
      </x:c>
      <x:c r="F39" s="35" t="str">
        <x:v>TRAFICOM/68863/03.04.01.00/2021</x:v>
      </x:c>
      <x:c r="G39" s="35" t="str">
        <x:v>Static Calculation</x:v>
      </x:c>
      <x:c r="H39" s="35" t="str">
        <x:v>Table-lookup plus constraint</x:v>
      </x:c>
      <x:c r="I39" s="55" t="n">
        <x:v>3</x:v>
      </x:c>
      <x:c r="J39" s="38" t="str">
        <x:v>sectionModulus | shearArea | yieldStrength</x:v>
      </x:c>
      <x:c r="K39" s="35" t="str">
        <x:v>table lookup plus constraint</x:v>
      </x:c>
      <x:c r="L39" s="56" t="n">
        <x:v>3</x:v>
      </x:c>
      <x:c r="M39" s="55" t="n">
        <x:v>14</x:v>
      </x:c>
      <x:c r="N39" s="38" t="str">
        <x:v>designIceLoadHeight | effectiveFrameSpan | frameBoundaryConditionFactorM0 | frameBoundaryConditionType | frameMomentFactorMt | frameShearDistributionFactorF3 | icePressure | intermediateTransverseFrame | mainTransverseFrame | requiredShearArea | sectionModulus | spacing | span | yieldStrength</x:v>
      </x:c>
      <x:c r="O39" s="38" t="str">
        <x:v>Compute m_t = 7*m_0/(7 - 5*h/l), Z_cm3 = p_MPa*s_m*h_m*l_m/(m_t*sigma_y_N_mm2)*10^6, and A_cm2 = sqrt(3)*1.2*p_MPa*h_m*s_m/(2*sigma_y_N_mm2)*10^4. Select m_0 from Table 4-7 for the frame boundary condition.</x:v>
      </x:c>
    </x:row>
    <x:row r="40">
      <x:c r="A40" s="55" t="n">
        <x:v>36</x:v>
      </x:c>
      <x:c r="B40" s="38" t="str">
        <x:v>TRF-045</x:v>
      </x:c>
      <x:c r="C40" s="35" t="str">
        <x:v>TRAFICOM</x:v>
      </x:c>
      <x:c r="D40" s="55" t="n">
        <x:v>19</x:v>
      </x:c>
      <x:c r="E40" s="35" t="str">
        <x:v>4.4.2.1</x:v>
      </x:c>
      <x:c r="F40" s="35" t="str">
        <x:v>TRAFICOM/68863/03.04.01.00/2021</x:v>
      </x:c>
      <x:c r="G40" s="35" t="str">
        <x:v>Static</x:v>
      </x:c>
      <x:c r="H40" s="35" t="str">
        <x:v>Conditional/applicability constraint</x:v>
      </x:c>
      <x:c r="I40" s="55" t="n">
        <x:v>1</x:v>
      </x:c>
      <x:c r="J40" s="38" t="str">
        <x:v>span</x:v>
      </x:c>
      <x:c r="K40" s="35" t="str">
        <x:v>applicable, non-applicable, applicable failure</x:v>
      </x:c>
      <x:c r="L40" s="56" t="n">
        <x:v>3</x:v>
      </x:c>
      <x:c r="M40" s="55" t="n">
        <x:v>3</x:v>
      </x:c>
      <x:c r="N40" s="38" t="str">
        <x:v>frameSpanWithinIceStrengtheningZone | ordinaryFrameScantlingsUsed | span</x:v>
      </x:c>
      <x:c r="O40" s="38" t="str">
        <x:v>Where less than 15% of the span, l, of the frame is situated within the ice-strengthening zone for frames as defined in 4.4.1, ordinary frame scantlings may be used.</x:v>
      </x:c>
    </x:row>
    <x:row r="41">
      <x:c r="A41" s="55" t="n">
        <x:v>37</x:v>
      </x:c>
      <x:c r="B41" s="38" t="str">
        <x:v>TRF-046</x:v>
      </x:c>
      <x:c r="C41" s="35" t="str">
        <x:v>TRAFICOM</x:v>
      </x:c>
      <x:c r="D41" s="55" t="n">
        <x:v>19</x:v>
      </x:c>
      <x:c r="E41" s="35" t="str">
        <x:v>4.4.2.2</x:v>
      </x:c>
      <x:c r="F41" s="35" t="str">
        <x:v>TRAFICOM/68863/03.04.01.00/2021</x:v>
      </x:c>
      <x:c r="G41" s="35" t="str">
        <x:v>Static</x:v>
      </x:c>
      <x:c r="H41" s="35" t="str">
        <x:v>Conditional/applicability constraint</x:v>
      </x:c>
      <x:c r="I41" s="55" t="n">
        <x:v>7</x:v>
      </x:c>
      <x:c r="J41" s="38" t="str">
        <x:v>attachmentType | connectionMemberScantling | frameStrengthenedPart | frameUpperEnd | iceBeltUpperLimit | supportingStructure | transverseFrame</x:v>
      </x:c>
      <x:c r="K41" s="35" t="str">
        <x:v>applicable, non-applicable, applicable failure</x:v>
      </x:c>
      <x:c r="L41" s="56" t="n">
        <x:v>3</x:v>
      </x:c>
      <x:c r="M41" s="55" t="n">
        <x:v>17</x:v>
      </x:c>
      <x:c r="N41" s="38" t="str">
        <x:v>connectsToAdjacentMainFrame | deckStructure | frameStrengthenedPart | hasAttachedSupportingStructure | hasHorizontalConnectionMember | hasTerminationAboveSupportingStructure | hasUpperEnd | horizontalConnectionMember | iceStringer | intermediateIceFrame | mainFrame | ordinaryFrameScantlingsUsed | sameScantlingsAsMainFrame | supportingStructure | supportingStructureAtOrAboveIceBeltUpperLimit | tankBoundaryPlating | transverseFrame</x:v>
      </x:c>
      <x:c r="O41" s="38" t="str">
        <x:v>The upper end of the strengthened part of a main frame and of an intermediate ice frame shall be attached to a deck, top or bottom plating of a tank or an ice stringer (section 4.5). Where a frame terminates above a deck or a stringer which is situated at or above the upper limit of the ice belt (section 4.3.1), the part above the deck or stringer may have the scantlings required by the classification society for an non ice-strengthened ship and the upper end of an intermediate frame may be connected to the adjacent frames by a horizontal member with the same scantlings as the main frame.</x:v>
      </x:c>
    </x:row>
    <x:row r="42">
      <x:c r="A42" s="55" t="n">
        <x:v>38</x:v>
      </x:c>
      <x:c r="B42" s="38" t="str">
        <x:v>TRF-047</x:v>
      </x:c>
      <x:c r="C42" s="35" t="str">
        <x:v>TRAFICOM</x:v>
      </x:c>
      <x:c r="D42" s="55" t="n">
        <x:v>20</x:v>
      </x:c>
      <x:c r="E42" s="35" t="str">
        <x:v>4.4.2.3</x:v>
      </x:c>
      <x:c r="F42" s="35" t="str">
        <x:v>TRAFICOM/68863/03.04.01.00/2021</x:v>
      </x:c>
      <x:c r="G42" s="35" t="str">
        <x:v>Static</x:v>
      </x:c>
      <x:c r="H42" s="35" t="str">
        <x:v>Conditional/applicability constraint</x:v>
      </x:c>
      <x:c r="I42" s="55" t="n">
        <x:v>7</x:v>
      </x:c>
      <x:c r="J42" s="38" t="str">
        <x:v>attachmentType | connectionMemberScantling | frameLowerEnd | frameStrengthenedPart | iceBeltLowerLimit | supportingStructure | transverseFrame</x:v>
      </x:c>
      <x:c r="K42" s="35" t="str">
        <x:v>applicable, non-applicable, applicable failure</x:v>
      </x:c>
      <x:c r="L42" s="56" t="n">
        <x:v>3</x:v>
      </x:c>
      <x:c r="M42" s="55" t="n">
        <x:v>20</x:v>
      </x:c>
      <x:c r="N42" s="38" t="str">
        <x:v>connectsToAdjacentMainFrame | deckStructure | frameStrengthenedPart | hasAttachedSupportingStructure | hasHorizontalConnectionMember | hasLowerEnd | hasStrengthenedPart | hasTerminationBelowSupportingStructure | horizontalConnectionMember | iceStringer | intermediateIceFrame | mainFrame | mainFrameBelowIceBeltStrengthened | ordinaryFrameScantlingsUsed | sameScantlingsAsMainFrame | supportingStructure | supportingStructureAtOrBelowIceBeltLowerLimit | tankBoundaryPlating | tankTop | transverseFrame</x:v>
      </x:c>
      <x:c r="O42" s="38" t="str">
        <x:v>The lower end of the strengthened part of a main frame and of an intermediate ice frame shall be attached to a deck, top or bottom plating of a tank, tank top or an ice stringer (section 4.5). Where an intermediate frame terminates below a deck, top or bottom plating of a tank, tank top or ice stringer which is situated at or below the lower limit of the ice belt (section 4.3.1), the lower end may be connected to the adjacent main frames by a horizontal member of the same scantlings as the main frames. Note that the main frames below the lower edge of the ice belt must be ice strengthened, see 4.4.1.</x:v>
      </x:c>
    </x:row>
    <x:row r="43">
      <x:c r="A43" s="55" t="n">
        <x:v>39</x:v>
      </x:c>
      <x:c r="B43" s="38" t="str">
        <x:v>TRF-048</x:v>
      </x:c>
      <x:c r="C43" s="35" t="str">
        <x:v>TRAFICOM</x:v>
      </x:c>
      <x:c r="D43" s="55" t="n">
        <x:v>20</x:v>
      </x:c>
      <x:c r="E43" s="35" t="str">
        <x:v>4.4.3</x:v>
      </x:c>
      <x:c r="F43" s="35" t="str">
        <x:v>TRAFICOM/68863/03.04.01.00/2021</x:v>
      </x:c>
      <x:c r="G43" s="35" t="str">
        <x:v>Static Calculation</x:v>
      </x:c>
      <x:c r="H43" s="35" t="str">
        <x:v>Formula-derived constraint</x:v>
      </x:c>
      <x:c r="I43" s="55" t="n">
        <x:v>4</x:v>
      </x:c>
      <x:c r="J43" s="38" t="str">
        <x:v>actualFrameShearArea | sectionModulus | shearArea | yieldStrength</x:v>
      </x:c>
      <x:c r="K43" s="35" t="str">
        <x:v>numeric/formula boundary</x:v>
      </x:c>
      <x:c r="L43" s="56" t="n">
        <x:v>3</x:v>
      </x:c>
      <x:c r="M43" s="55" t="n">
        <x:v>17</x:v>
      </x:c>
      <x:c r="N43" s="38" t="str">
        <x:v>actualFrameShearArea | bracketArea | connectionBracket | designIceLoadHeight | frameBoundaryConditionEvidence | frameMomentFactorM | grossFrameShearArea | hasFrameBoundaryConditionEvidence | icePressure | longitudinalFrame | longitudinalFrameLoadDistributionFactorF4 | longitudinalFrameShearFactorF5 | sectionModulus | significantlyDifferentBoundaryConditions | spacing | span | yieldStrength</x:v>
      </x:c>
      <x:c r="O43" s="38" t="str">
        <x:v>Compute f_4 = 1 - 0.2*h/s, Z_cm3 = f_4*p_MPa*h_m*l_m^2/(4*m*sigma_y_N_mm2)*10^6, and A_cm2 = sqrt(3)*f_4*2.16*p_MPa*h_m*l_m/(2*sigma_y_N_mm2)*10^4. Use m = 13.3 for a continuous beam with brackets unless the actual end field requires a smaller factor. Exclude bracket area from actual_frame_shear_area.</x:v>
      </x:c>
    </x:row>
    <x:row r="44">
      <x:c r="A44" s="55" t="n">
        <x:v>40</x:v>
      </x:c>
      <x:c r="B44" s="38" t="str">
        <x:v>TRF-049</x:v>
      </x:c>
      <x:c r="C44" s="35" t="str">
        <x:v>TRAFICOM</x:v>
      </x:c>
      <x:c r="D44" s="55" t="n">
        <x:v>21</x:v>
      </x:c>
      <x:c r="E44" s="35" t="str">
        <x:v>4.4.4.1</x:v>
      </x:c>
      <x:c r="F44" s="35" t="str">
        <x:v>TRAFICOM/68863/03.04.01.00/2021</x:v>
      </x:c>
      <x:c r="G44" s="35" t="str">
        <x:v>Static Calculation</x:v>
      </x:c>
      <x:c r="H44" s="35" t="str">
        <x:v>Formula-derived constraint</x:v>
      </x:c>
      <x:c r="I44" s="55" t="n">
        <x:v>6</x:v>
      </x:c>
      <x:c r="J44" s="38" t="str">
        <x:v>bucklingStiffening | connectionBracket | frame | frameAttachment | frameWebPlateThickness | supportingStructure</x:v>
      </x:c>
      <x:c r="K44" s="35" t="str">
        <x:v>numeric/formula boundary</x:v>
      </x:c>
      <x:c r="L44" s="56" t="n">
        <x:v>3</x:v>
      </x:c>
      <x:c r="M44" s="55" t="n">
        <x:v>22</x:v>
      </x:c>
      <x:c r="N44" s="38" t="str">
        <x:v>bracketEdgeStiffened | bracketThickness | bucklingStiffening | connectionBracket | effectiveAttachmentConfirmed | frame | frameAttachment | frameWebThickness | hasAttachedSupportingStructure | hasConnectionBracket | hasFrameAttachment | hasSupportingBulkhead | hasSupportingStructureAttachment | hasSupportingWebFrame | longitudinalFrame | passesThroughSupportingStructure | similarAttachmentConstructionPresent | supportingStructure | terminatesAtDeckOrIceStringer | transverseFrame | webPlateConnectionSideCount | withinIceStrengthenedArea</x:v>
      </x:c>
      <x:c r="O44" s="38" t="str">
        <x:v>Within the ice-strengthened area, all frames shall be effectively attached to all of the supporting structures. A longitudinal frame shall be attached by brackets to all supporting web frames and bulkheads. When a transversal frame terminates at a stringer or deck, a bracket or similar construction must be fitted. When a frame is running through the supporting structure, both sides of the web plate of the frame must be connected to the structure (by direct welding, collar plate or lug). When a bracket is installed, it must have at least the same thickness as the web plate of the frame and the edge must be appropriately stiffened against buckling.</x:v>
      </x:c>
    </x:row>
    <x:row r="45">
      <x:c r="A45" s="55" t="n">
        <x:v>41</x:v>
      </x:c>
      <x:c r="B45" s="38" t="str">
        <x:v>TRF-050</x:v>
      </x:c>
      <x:c r="C45" s="35" t="str">
        <x:v>TRAFICOM</x:v>
      </x:c>
      <x:c r="D45" s="55" t="n">
        <x:v>21</x:v>
      </x:c>
      <x:c r="E45" s="35" t="str">
        <x:v>4.4.4.2</x:v>
      </x:c>
      <x:c r="F45" s="35" t="str">
        <x:v>TRAFICOM/68863/03.04.01.00/2021</x:v>
      </x:c>
      <x:c r="G45" s="35" t="str">
        <x:v>Static</x:v>
      </x:c>
      <x:c r="H45" s="35" t="str">
        <x:v>Conditional/applicability constraint</x:v>
      </x:c>
      <x:c r="I45" s="55" t="n">
        <x:v>4</x:v>
      </x:c>
      <x:c r="J45" s="38" t="str">
        <x:v>frameShellAttachment | scallopingPresent | shellPlateButtCrossing | weldType</x:v>
      </x:c>
      <x:c r="K45" s="35" t="str">
        <x:v>applicable, non-applicable, applicable failure</x:v>
      </x:c>
      <x:c r="L45" s="56" t="n">
        <x:v>3</x:v>
      </x:c>
      <x:c r="M45" s="55" t="n">
        <x:v>5</x:v>
      </x:c>
      <x:c r="N45" s="38" t="str">
        <x:v>doubleContinuousWeld | frameShellAttachment | frameShellWeldType | scallopingPresent | shellPlateButtCrossing</x:v>
      </x:c>
      <x:c r="O45" s="38" t="str">
        <x:v>The frames shall be attached to the shell by a double continuous weld. No scalloping is allowed (except when crossing shell plate butts).</x:v>
      </x:c>
    </x:row>
    <x:row r="46">
      <x:c r="A46" s="55" t="n">
        <x:v>42</x:v>
      </x:c>
      <x:c r="B46" s="38" t="str">
        <x:v>TRF-051</x:v>
      </x:c>
      <x:c r="C46" s="35" t="str">
        <x:v>TRAFICOM</x:v>
      </x:c>
      <x:c r="D46" s="55" t="n">
        <x:v>21</x:v>
      </x:c>
      <x:c r="E46" s="35" t="str">
        <x:v>4.4.4.2</x:v>
      </x:c>
      <x:c r="F46" s="35" t="str">
        <x:v>TRAFICOM/68863/03.04.01.00/2021</x:v>
      </x:c>
      <x:c r="G46" s="35" t="str">
        <x:v>Static Calculation</x:v>
      </x:c>
      <x:c r="H46" s="35" t="str">
        <x:v>Formula-derived constraint</x:v>
      </x:c>
      <x:c r="I46" s="55" t="n">
        <x:v>2</x:v>
      </x:c>
      <x:c r="J46" s="38" t="str">
        <x:v>thickness | yieldStrength</x:v>
      </x:c>
      <x:c r="K46" s="35" t="str">
        <x:v>numeric/formula boundary</x:v>
      </x:c>
      <x:c r="L46" s="56" t="n">
        <x:v>3</x:v>
      </x:c>
      <x:c r="M46" s="55" t="n">
        <x:v>15</x:v>
      </x:c>
      <x:c r="N46" s="38" t="str">
        <x:v>adjacentFrameHeight | bulkhead | corrosionAbrasionAddition | deckStructure | flatBarSection | frameProfileType | frameWebThickness | hullStructuralSteelGrade | inLieuOfFrame | netShellPlatingThickness | profileSection | tankBottom | tankBoundaryPlating | tankTop | yieldStrength</x:v>
      </x:c>
      <x:c r="O46" s="38" t="str">
        <x:v>The web thickness of the frames shall be at least the maximum of: h_w*sqrt(sigma_y)/C, where C = 805 for profiles and C = 282 for flat bars; half of the net shell-plating thickness t - t_c; and 9 mm. Where a deck, tank top, tank bottom or bulkhead is used in lieu of a frame, its plate thickness shall be calculated in the same way using the adjacent frame height h_w and C = 805.</x:v>
      </x:c>
    </x:row>
    <x:row r="47">
      <x:c r="A47" s="55" t="n">
        <x:v>43</x:v>
      </x:c>
      <x:c r="B47" s="38" t="str">
        <x:v>TRF-052</x:v>
      </x:c>
      <x:c r="C47" s="35" t="str">
        <x:v>TRAFICOM</x:v>
      </x:c>
      <x:c r="D47" s="55" t="n">
        <x:v>21</x:v>
      </x:c>
      <x:c r="E47" s="35" t="str">
        <x:v>4.4.4.2</x:v>
      </x:c>
      <x:c r="F47" s="35" t="str">
        <x:v>TRAFICOM/68863/03.04.01.00/2021</x:v>
      </x:c>
      <x:c r="G47" s="35" t="str">
        <x:v>Static</x:v>
      </x:c>
      <x:c r="H47" s="35" t="str">
        <x:v>Formula-derived constraint</x:v>
      </x:c>
      <x:c r="I47" s="55" t="n">
        <x:v>7</x:v>
      </x:c>
      <x:c r="J47" s="38" t="str">
        <x:v>antitrippingSupportScope | antitrippingSupportSpacing | equivalentSupportStatusByDirectCalculation | frameAsymmetrical | frameSpan | frameWebAngleToShell | iceClass</x:v>
      </x:c>
      <x:c r="K47" s="35" t="str">
        <x:v>numeric/formula boundary</x:v>
      </x:c>
      <x:c r="L47" s="56" t="n">
        <x:v>3</x:v>
      </x:c>
      <x:c r="M47" s="55" t="n">
        <x:v>9</x:v>
      </x:c>
      <x:c r="N47" s="38" t="str">
        <x:v>antitrippingSupportSpacing | bowRegion | equivalentSupportStatusByDirectCalculation | frameAsymmetrical | frameSpan | frameWebAngleToShell | hasAntitrippingSupportRegion | iceClass | midbodyRegion</x:v>
      </x:c>
      <x:c r="O47" s="38" t="str">
        <x:v>IF frame_asymmetrical = true OR frame_web_angle_to_shell_deg &lt; 90, THEN antitripping_support_spacing_mm &lt;= 1300. IF frame_span_m &gt; 4, THEN antitripping_support_scope = 'all regions/all ice classes'. IF frame_span_m &lt;= 4, THEN required scope is all regions for IA Super, bow and midbody for IA, and bow for IB or IC. An alternative arrangement is acceptable only when equivalent_support_status_by_direct_calculation = demonstrated.</x:v>
      </x:c>
    </x:row>
    <x:row r="48">
      <x:c r="A48" s="55" t="n">
        <x:v>44</x:v>
      </x:c>
      <x:c r="B48" s="38" t="str">
        <x:v>TRF-053</x:v>
      </x:c>
      <x:c r="C48" s="35" t="str">
        <x:v>TRAFICOM</x:v>
      </x:c>
      <x:c r="D48" s="55" t="str">
        <x:v>21-22</x:v>
      </x:c>
      <x:c r="E48" s="35" t="str">
        <x:v>4.5.1</x:v>
      </x:c>
      <x:c r="F48" s="35" t="str">
        <x:v>TRAFICOM/68863/03.04.01.00/2021</x:v>
      </x:c>
      <x:c r="G48" s="35" t="str">
        <x:v>Static Calculation</x:v>
      </x:c>
      <x:c r="H48" s="35" t="str">
        <x:v>Formula-derived constraint</x:v>
      </x:c>
      <x:c r="I48" s="55" t="n">
        <x:v>4</x:v>
      </x:c>
      <x:c r="J48" s="38" t="str">
        <x:v>designLineLoad | sectionModulus | shearArea | yieldStrength</x:v>
      </x:c>
      <x:c r="K48" s="35" t="str">
        <x:v>numeric/formula boundary</x:v>
      </x:c>
      <x:c r="L48" s="56" t="n">
        <x:v>3</x:v>
      </x:c>
      <x:c r="M48" s="55" t="n">
        <x:v>13</x:v>
      </x:c>
      <x:c r="N48" s="38" t="str">
        <x:v>designIceLoadHeight | designLineLoad | frameMomentFactorM | icePressure | iceStringer | iceStringerDistributionFactorF6 | iceStringerSafetyFactorF7 | iceStringerShearFactorF8 | locatedWithinIceBelt | requiredShearArea | sectionModulus | span | yieldStrength</x:v>
      </x:c>
      <x:c r="O48" s="38" t="str">
        <x:v>Set design_line_load_MN_m = max(p_MPa*h_m, 0.15). Compute Z_cm3 = 0.9*1.8*design_line_load_MN_m*l_m^2/(m*sigma_y_N_mm2)*10^6 and A_cm2 = sqrt(3)*0.9*1.8*1.2*design_line_load_MN_m*l_m/(2*sigma_y_N_mm2)*10^4, with m selected under 4.4.3.</x:v>
      </x:c>
    </x:row>
    <x:row r="49">
      <x:c r="A49" s="55" t="n">
        <x:v>45</x:v>
      </x:c>
      <x:c r="B49" s="38" t="str">
        <x:v>TRF-054</x:v>
      </x:c>
      <x:c r="C49" s="35" t="str">
        <x:v>TRAFICOM</x:v>
      </x:c>
      <x:c r="D49" s="55" t="str">
        <x:v>22-23</x:v>
      </x:c>
      <x:c r="E49" s="35" t="str">
        <x:v>4.5.2</x:v>
      </x:c>
      <x:c r="F49" s="35" t="str">
        <x:v>TRAFICOM/68863/03.04.01.00/2021</x:v>
      </x:c>
      <x:c r="G49" s="35" t="str">
        <x:v>Static Calculation</x:v>
      </x:c>
      <x:c r="H49" s="35" t="str">
        <x:v>Formula-derived constraint</x:v>
      </x:c>
      <x:c r="I49" s="55" t="n">
        <x:v>5</x:v>
      </x:c>
      <x:c r="J49" s="38" t="str">
        <x:v>designLineLoad | outsideIceBeltFactor | sectionModulus | shearArea | yieldStrength</x:v>
      </x:c>
      <x:c r="K49" s="35" t="str">
        <x:v>numeric/formula boundary</x:v>
      </x:c>
      <x:c r="L49" s="56" t="n">
        <x:v>3</x:v>
      </x:c>
      <x:c r="M49" s="55" t="n">
        <x:v>18</x:v>
      </x:c>
      <x:c r="N49" s="38" t="str">
        <x:v>designIceLoadHeight | designLineLoad | distanceToAdjacentIceStringer | distanceToIceBelt | frameMomentFactorM | icePressure | iceStringer | locatedOutsideIceBelt | outsideIceBeltDistributionFactorF9 | outsideIceBeltFactor | outsideIceBeltSafetyFactorF10 | outsideIceBeltShearFactorF11 | requiredShearArea | sectionModulus | span | stringerSpan | supportsIceStrengthenedFrames | yieldStrength</x:v>
      </x:c>
      <x:c r="O49" s="38" t="str">
        <x:v>Set design_line_load_MN_m = max(p_MPa*h_m, 0.15) and outside_ice_belt_factor = 1 - h_s_m/l_s_m. Compute Z_cm3 = 0.80*1.8*design_line_load_MN_m*l_m^2/(m*sigma_y_N_mm2)*outside_ice_belt_factor*10^6 and A_cm2 = sqrt(3)*0.80*1.8*1.2*design_line_load_MN_m*l_m/(2*sigma_y_N_mm2)*outside_ice_belt_factor*10^4.</x:v>
      </x:c>
    </x:row>
    <x:row r="50">
      <x:c r="A50" s="55" t="n">
        <x:v>46</x:v>
      </x:c>
      <x:c r="B50" s="38" t="str">
        <x:v>TRF-055</x:v>
      </x:c>
      <x:c r="C50" s="35" t="str">
        <x:v>TRAFICOM</x:v>
      </x:c>
      <x:c r="D50" s="55" t="n">
        <x:v>23</x:v>
      </x:c>
      <x:c r="E50" s="35" t="str">
        <x:v>4.5.3</x:v>
      </x:c>
      <x:c r="F50" s="35" t="str">
        <x:v>TRAFICOM/68863/03.04.01.00/2021</x:v>
      </x:c>
      <x:c r="G50" s="35" t="str">
        <x:v>Static Calculation</x:v>
      </x:c>
      <x:c r="H50" s="35" t="str">
        <x:v>Formula-derived constraint</x:v>
      </x:c>
      <x:c r="I50" s="55" t="n">
        <x:v>2</x:v>
      </x:c>
      <x:c r="J50" s="38" t="str">
        <x:v>sectionModulus | shearArea</x:v>
      </x:c>
      <x:c r="K50" s="35" t="str">
        <x:v>numeric/formula boundary</x:v>
      </x:c>
      <x:c r="L50" s="56" t="n">
        <x:v>3</x:v>
      </x:c>
      <x:c r="M50" s="55" t="n">
        <x:v>15</x:v>
      </x:c>
      <x:c r="N50" s="38" t="str">
        <x:v>abreastOfHatch | actualSectionModulus | actualShearArea | designLineLoad | hatchOpeningLength | narrowDeckStrip | permittedReducedLineLoad | reducedLineLoadApprovedByClassificationSociety | requiredSectionModulus | requiredShearArea | scantlingApprovalStatus | sectionModulus | servesAsIceStringer | shipBreadth | veryLongHatchOpening</x:v>
      </x:c>
      <x:c r="O50" s="38" t="str">
        <x:v>Narrow deck strips abreast of hatches and serving as ice stringers shall comply with the section modulus and shear area requirements given in 4.5.1 and 4.5.2 respectively. In the case of very long hatches, the classification society may permit the product p* h to be given a value of less than 0.15 but in no case less than 0.10.</x:v>
      </x:c>
    </x:row>
    <x:row r="51">
      <x:c r="A51" s="55" t="n">
        <x:v>47</x:v>
      </x:c>
      <x:c r="B51" s="38" t="str">
        <x:v>TRF-056</x:v>
      </x:c>
      <x:c r="C51" s="35" t="str">
        <x:v>TRAFICOM</x:v>
      </x:c>
      <x:c r="D51" s="55" t="n">
        <x:v>23</x:v>
      </x:c>
      <x:c r="E51" s="35" t="str">
        <x:v>4.5.3</x:v>
      </x:c>
      <x:c r="F51" s="35" t="str">
        <x:v>TRAFICOM/68863/03.04.01.00/2021</x:v>
      </x:c>
      <x:c r="G51" s="35" t="str">
        <x:v>Static Calculation</x:v>
      </x:c>
      <x:c r="H51" s="35" t="str">
        <x:v>Formula-derived constraint</x:v>
      </x:c>
      <x:c r="I51" s="55" t="n">
        <x:v>5</x:v>
      </x:c>
      <x:c r="J51" s="38" t="str">
        <x:v>hatchCoverDesignEvidence | hatchFittingDesignEvidence | hatchOpeningLength | shipBreadth | shipSideDeflection</x:v>
      </x:c>
      <x:c r="K51" s="35" t="str">
        <x:v>numeric/formula boundary</x:v>
      </x:c>
      <x:c r="L51" s="56" t="n">
        <x:v>3</x:v>
      </x:c>
      <x:c r="M51" s="55" t="n">
        <x:v>9</x:v>
      </x:c>
      <x:c r="N51" s="38" t="str">
        <x:v>hasHatchCoverDesignEvidence | hasHatchFittingDesignEvidence | hasWeatherdeckHatch | hatchCoverDesignEvidence | hatchFittingDesignEvidence | hatchOpeningLength | shipBreadth | shipSideDeflection | weatherdeckHatch</x:v>
      </x:c>
      <x:c r="O51" s="38" t="str">
        <x:v>Regard shall be paid to the deflection of the ship's sides due to ice pressure with respect to very long (more than B/2) hatch openings, when designing weatherdeck hatch covers and their fittings.</x:v>
      </x:c>
    </x:row>
    <x:row r="52">
      <x:c r="A52" s="55" t="n">
        <x:v>48</x:v>
      </x:c>
      <x:c r="B52" s="38" t="str">
        <x:v>TRF-057</x:v>
      </x:c>
      <x:c r="C52" s="35" t="str">
        <x:v>TRAFICOM</x:v>
      </x:c>
      <x:c r="D52" s="55" t="n">
        <x:v>23</x:v>
      </x:c>
      <x:c r="E52" s="35" t="str">
        <x:v>4.6.1</x:v>
      </x:c>
      <x:c r="F52" s="35" t="str">
        <x:v>TRAFICOM/68863/03.04.01.00/2021</x:v>
      </x:c>
      <x:c r="G52" s="35" t="str">
        <x:v>Static Calculation</x:v>
      </x:c>
      <x:c r="H52" s="35" t="str">
        <x:v>Formula-derived constraint</x:v>
      </x:c>
      <x:c r="I52" s="55" t="n">
        <x:v>7</x:v>
      </x:c>
      <x:c r="J52" s="38" t="str">
        <x:v>iceLoadHeight | icePressure | loadLengthParameter | minimumLineLoad | webFrameIceLoad | webFrameSafetyFactor | webFrameSpacing</x:v>
      </x:c>
      <x:c r="K52" s="35" t="str">
        <x:v>numeric/formula boundary</x:v>
      </x:c>
      <x:c r="L52" s="56" t="n">
        <x:v>3</x:v>
      </x:c>
      <x:c r="M52" s="55" t="n">
        <x:v>10</x:v>
      </x:c>
      <x:c r="N52" s="38" t="str">
        <x:v>iceLoadHeight | iceLoadSourceType | icePressure | iceStringerLoadSource | loadLengthParameter | longitudinalFramingLoadSource | minimumLineLoad | webFrameIceLoad | webFrameSafetyFactor | webFrameSpacing</x:v>
      </x:c>
      <x:c r="O52" s="38" t="str">
        <x:v>The ice load transferred to a web frame from an ice stringer or from longitudinal framing shall be F = f_12*p*h*S [MN] (4.15). When calculating c_a, use l_a = 2*S. If p*h is less than 0.15 MN/m, use 0.15 MN/m. Use f_12 = 1.8.</x:v>
      </x:c>
    </x:row>
    <x:row r="53">
      <x:c r="A53" s="55" t="n">
        <x:v>49</x:v>
      </x:c>
      <x:c r="B53" s="38" t="str">
        <x:v>TRF-058</x:v>
      </x:c>
      <x:c r="C53" s="35" t="str">
        <x:v>TRAFICOM</x:v>
      </x:c>
      <x:c r="D53" s="55" t="n">
        <x:v>23</x:v>
      </x:c>
      <x:c r="E53" s="35" t="str">
        <x:v>4.6.1</x:v>
      </x:c>
      <x:c r="F53" s="35" t="str">
        <x:v>TRAFICOM/68863/03.04.01.00/2021</x:v>
      </x:c>
      <x:c r="G53" s="35" t="str">
        <x:v>Static Calculation</x:v>
      </x:c>
      <x:c r="H53" s="35" t="str">
        <x:v>Formula-derived constraint</x:v>
      </x:c>
      <x:c r="I53" s="55" t="n">
        <x:v>3</x:v>
      </x:c>
      <x:c r="J53" s="38" t="str">
        <x:v>iceLoadForce | stringerOutsideIceBeltHeight | stringerSpan</x:v>
      </x:c>
      <x:c r="K53" s="35" t="str">
        <x:v>numeric/formula boundary</x:v>
      </x:c>
      <x:c r="L53" s="56" t="n">
        <x:v>3</x:v>
      </x:c>
      <x:c r="M53" s="55" t="n">
        <x:v>5</x:v>
      </x:c>
      <x:c r="N53" s="38" t="str">
        <x:v>adjustedIceLoadForce | iceLoadForce | stringerOutsideIceBeltHeight | stringerSpan | supportedStringerOutsideIceBelt</x:v>
      </x:c>
      <x:c r="O53" s="38" t="str">
        <x:v>If the supported stringer is outside the ice belt, the force F shall be multiplied by (1- hs/ls), where hs and ls shall be as defined in section 4.5.2.</x:v>
      </x:c>
    </x:row>
    <x:row r="54">
      <x:c r="A54" s="57" t="n">
        <x:v>50</x:v>
      </x:c>
      <x:c r="B54" s="39" t="str">
        <x:v>TRF-059</x:v>
      </x:c>
      <x:c r="C54" s="36" t="str">
        <x:v>TRAFICOM</x:v>
      </x:c>
      <x:c r="D54" s="57" t="n">
        <x:v>23</x:v>
      </x:c>
      <x:c r="E54" s="36" t="str">
        <x:v>4.6.2</x:v>
      </x:c>
      <x:c r="F54" s="36" t="str">
        <x:v>TRAFICOM/68863/03.04.01.00/2021</x:v>
      </x:c>
      <x:c r="G54" s="36" t="str">
        <x:v>Static Calculation</x:v>
      </x:c>
      <x:c r="H54" s="36" t="str">
        <x:v>Formula-derived constraint</x:v>
      </x:c>
      <x:c r="I54" s="57" t="n">
        <x:v>3</x:v>
      </x:c>
      <x:c r="J54" s="39" t="str">
        <x:v>sectionModulus | shearArea | yieldStrength</x:v>
      </x:c>
      <x:c r="K54" s="36" t="str">
        <x:v>numeric/formula boundary</x:v>
      </x:c>
      <x:c r="L54" s="58" t="n">
        <x:v>3</x:v>
      </x:c>
      <x:c r="M54" s="57" t="n">
        <x:v>9</x:v>
      </x:c>
      <x:c r="N54" s="39" t="str">
        <x:v>freeFlangeArea | freeFlangeToWebAreaRatio | maximumCalculatedShearForce | requiredShearArea | sectionModulus | webFrameShearDistributionFactorF13 | webFrameShearFactorAlpha | webPlateArea | yieldStrength</x:v>
      </x:c>
      <x:c r="O54" s="39" t="str">
        <x:v>Compute A_cm2 = sqrt(3)*alpha*1.1*Q_MN/sigma_y_N_mm2*10^4, where Q_MN is the maximum calculated shear force under F and alpha is selected from Table 4-8.</x:v>
      </x:c>
    </x:row>
  </x:sheetData>
  <x:pageMargins left="0.7" right="0.7" top="0.75" bottom="0.75" header="0.3" footer="0.3"/>
  <x:tableParts count="1">
    <x:tablePart xmlns:r="http://schemas.openxmlformats.org/officeDocument/2006/relationships" r:id="Rf34242ab6c764023"/>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48" hidden="0" customWidth="1"/>
    <x:col min="3" max="3" width="18" hidden="0" customWidth="1"/>
    <x:col min="4" max="4" width="18" hidden="0" customWidth="1"/>
    <x:col min="5" max="5" width="28" hidden="0" customWidth="1"/>
    <x:col min="6" max="6" width="48" hidden="0" customWidth="1"/>
    <x:col min="7" max="7" width="48" hidden="0" customWidth="1"/>
    <x:col min="8" max="8" width="48" hidden="0" customWidth="1"/>
    <x:col min="9" max="9" width="72" hidden="0" customWidth="1"/>
    <x:col min="10" max="10" width="58" hidden="0" customWidth="1"/>
    <x:col min="11" max="11" width="32" hidden="0" customWidth="1"/>
  </x:cols>
  <x:sheetData>
    <x:row r="1">
      <x:c r="A1" s="11" t="str">
        <x:v>NLTL Development Calibration - Batch 01</x:v>
      </x:c>
      <x:c r="B1" s="12"/>
      <x:c r="C1" s="12"/>
      <x:c r="D1" s="12"/>
      <x:c r="E1" s="12"/>
      <x:c r="F1" s="12"/>
      <x:c r="G1" s="12"/>
      <x:c r="H1" s="12"/>
      <x:c r="I1" s="12"/>
      <x:c r="J1" s="12"/>
      <x:c r="K1" s="12"/>
    </x:row>
    <x:row r="2">
      <x:c r="A2" s="13" t="str">
        <x:v>PREFLIGHT | DEV-CAL-BATCH-01-FIRST-50 | vocabulary is not frozen</x:v>
      </x:c>
      <x:c r="B2" s="13"/>
      <x:c r="C2" s="13"/>
      <x:c r="D2" s="13"/>
      <x:c r="E2" s="13"/>
      <x:c r="F2" s="13"/>
      <x:c r="G2" s="13"/>
      <x:c r="H2" s="13"/>
      <x:c r="I2" s="13"/>
      <x:c r="J2" s="13"/>
      <x:c r="K2" s="13"/>
    </x:row>
    <x:row r="3">
      <x:c r="A3" s="14"/>
      <x:c r="B3" s="14"/>
      <x:c r="C3" s="14"/>
      <x:c r="D3" s="14"/>
      <x:c r="E3" s="14"/>
      <x:c r="F3" s="14"/>
      <x:c r="G3" s="14"/>
      <x:c r="H3" s="14"/>
      <x:c r="I3" s="14"/>
      <x:c r="J3" s="14"/>
      <x:c r="K3" s="14"/>
    </x:row>
    <x:row r="4" ht="32" customHeight="1">
      <x:c r="A4" s="32" t="str">
        <x:v>SEQUENCE</x:v>
      </x:c>
      <x:c r="B4" s="52" t="str">
        <x:v>REQUIREMENT_ID</x:v>
      </x:c>
      <x:c r="C4" s="52" t="str">
        <x:v>PAGE</x:v>
      </x:c>
      <x:c r="D4" s="52" t="str">
        <x:v>CLAUSE</x:v>
      </x:c>
      <x:c r="E4" s="52" t="str">
        <x:v>DECISION</x:v>
      </x:c>
      <x:c r="F4" s="52" t="str">
        <x:v>EXISTING_TERMS_TO_LINK</x:v>
      </x:c>
      <x:c r="G4" s="52" t="str">
        <x:v>DRAFT_NEW_TERMS</x:v>
      </x:c>
      <x:c r="H4" s="52" t="str">
        <x:v>EXISTING_TERMS_NOT_CURRENTLY_INDEXED</x:v>
      </x:c>
      <x:c r="I4" s="52" t="str">
        <x:v>ENGINEERING_ISSUE</x:v>
      </x:c>
      <x:c r="J4" s="52" t="str">
        <x:v>PLANNED_FIXTURE_VARIANTS</x:v>
      </x:c>
      <x:c r="K4" s="33" t="str">
        <x:v>REVIEW_STATUS</x:v>
      </x:c>
    </x:row>
    <x:row r="5">
      <x:c r="A5" s="53" t="n">
        <x:v>1</x:v>
      </x:c>
      <x:c r="B5" s="37" t="str">
        <x:v>TRF-001</x:v>
      </x:c>
      <x:c r="C5" s="53" t="n">
        <x:v>5</x:v>
      </x:c>
      <x:c r="D5" s="34" t="str">
        <x:v>1.1</x:v>
      </x:c>
      <x:c r="E5" s="34" t="str">
        <x:v>NEW_TERMS</x:v>
      </x:c>
      <x:c r="F5" s="37" t="str">
        <x:v>constructionContractDate</x:v>
      </x:c>
      <x:c r="G5" s="37" t="str">
        <x:v>applicableIceClassRegulationEdition | iceClassRegulationEdition2021</x:v>
      </x:c>
      <x:c r="H5" s="37" t="str">
        <x:v>constructionContractDate</x:v>
      </x:c>
      <x:c r="I5" s="37" t="str">
        <x:v>R2 index omits the date and has no controlled regulation-edition model.</x:v>
      </x:c>
      <x:c r="J5" s="37" t="str">
        <x:v>cutoff-1 day non-applicable; cutoff date pass; wrong edition fail</x:v>
      </x:c>
      <x:c r="K5" s="34" t="str">
        <x:v>ENGINEERING_PREFLIGHT_COMPLETE</x:v>
      </x:c>
    </x:row>
    <x:row r="6">
      <x:c r="A6" s="55" t="n">
        <x:v>2</x:v>
      </x:c>
      <x:c r="B6" s="38" t="str">
        <x:v>TRF-002</x:v>
      </x:c>
      <x:c r="C6" s="55" t="n">
        <x:v>5</x:v>
      </x:c>
      <x:c r="D6" s="35" t="str">
        <x:v>1.2</x:v>
      </x:c>
      <x:c r="E6" s="35" t="str">
        <x:v>NEW_TERMS</x:v>
      </x:c>
      <x:c r="F6" s="38" t="str">
        <x:v>constructionContractDate</x:v>
      </x:c>
      <x:c r="G6" s="38" t="str">
        <x:v>applicableIceClassRegulationEdition | iceClassRegulationEdition2017</x:v>
      </x:c>
      <x:c r="H6" s="38" t="str">
        <x:v>constructionContractDate</x:v>
      </x:c>
      <x:c r="I6" s="38" t="str">
        <x:v>Date exists but edition/value does not.</x:v>
      </x:c>
      <x:c r="J6" s="38" t="str">
        <x:v>lower boundary pass; upper boundary non-applicable; wrong edition fail</x:v>
      </x:c>
      <x:c r="K6" s="35" t="str">
        <x:v>ENGINEERING_PREFLIGHT_COMPLETE</x:v>
      </x:c>
    </x:row>
    <x:row r="7">
      <x:c r="A7" s="55" t="n">
        <x:v>3</x:v>
      </x:c>
      <x:c r="B7" s="38" t="str">
        <x:v>TRF-003</x:v>
      </x:c>
      <x:c r="C7" s="55" t="n">
        <x:v>5</x:v>
      </x:c>
      <x:c r="D7" s="35" t="str">
        <x:v>1.3</x:v>
      </x:c>
      <x:c r="E7" s="35" t="str">
        <x:v>NEW_TERMS</x:v>
      </x:c>
      <x:c r="F7" s="38" t="str">
        <x:v>constructionContractDate</x:v>
      </x:c>
      <x:c r="G7" s="38" t="str">
        <x:v>applicableIceClassRegulationEdition | iceClassRegulationEdition2010</x:v>
      </x:c>
      <x:c r="H7" s="38" t="str">
        <x:v>constructionContractDate</x:v>
      </x:c>
      <x:c r="I7" s="38" t="str">
        <x:v>Date exists but edition/value does not.</x:v>
      </x:c>
      <x:c r="J7" s="38" t="str">
        <x:v>both date boundaries plus wrong edition</x:v>
      </x:c>
      <x:c r="K7" s="35" t="str">
        <x:v>ENGINEERING_PREFLIGHT_COMPLETE</x:v>
      </x:c>
    </x:row>
    <x:row r="8">
      <x:c r="A8" s="55" t="n">
        <x:v>4</x:v>
      </x:c>
      <x:c r="B8" s="38" t="str">
        <x:v>TRF-004</x:v>
      </x:c>
      <x:c r="C8" s="55" t="n">
        <x:v>5</x:v>
      </x:c>
      <x:c r="D8" s="35" t="str">
        <x:v>1.4</x:v>
      </x:c>
      <x:c r="E8" s="35" t="str">
        <x:v>NEW_TERMS</x:v>
      </x:c>
      <x:c r="F8" s="38" t="str">
        <x:v>constructionContractDate</x:v>
      </x:c>
      <x:c r="G8" s="38" t="str">
        <x:v>applicableIceClassRegulationEdition | iceClassRegulationEdition2008</x:v>
      </x:c>
      <x:c r="H8" s="38" t="str">
        <x:v>constructionContractDate</x:v>
      </x:c>
      <x:c r="I8" s="38" t="str">
        <x:v>Date exists but edition/value does not.</x:v>
      </x:c>
      <x:c r="J8" s="38" t="str">
        <x:v>both date boundaries plus wrong edition</x:v>
      </x:c>
      <x:c r="K8" s="35" t="str">
        <x:v>ENGINEERING_PREFLIGHT_COMPLETE</x:v>
      </x:c>
    </x:row>
    <x:row r="9">
      <x:c r="A9" s="55" t="n">
        <x:v>5</x:v>
      </x:c>
      <x:c r="B9" s="38" t="str">
        <x:v>TRF-005</x:v>
      </x:c>
      <x:c r="C9" s="55" t="n">
        <x:v>5</x:v>
      </x:c>
      <x:c r="D9" s="35" t="str">
        <x:v>1.5</x:v>
      </x:c>
      <x:c r="E9" s="35" t="str">
        <x:v>NEW_TERMS</x:v>
      </x:c>
      <x:c r="F9" s="38" t="str">
        <x:v>constructionContractDate | constructionStageDate</x:v>
      </x:c>
      <x:c r="G9" s="38" t="str">
        <x:v>applicableIceClassRegulationEdition | iceClassRegulationEdition2002</x:v>
      </x:c>
      <x:c r="H9" s="38" t="str">
        <x:v>constructionContractDate | constructionStageDate</x:v>
      </x:c>
      <x:c r="I9" s="38" t="str">
        <x:v>Construction-stage date is the benchmark representation of keel laid/similar stage; edition model is absent.</x:v>
      </x:c>
      <x:c r="J9" s="38" t="str">
        <x:v>stage-date boundary, contract-date boundary, wrong edition</x:v>
      </x:c>
      <x:c r="K9" s="35" t="str">
        <x:v>ENGINEERING_PREFLIGHT_COMPLETE</x:v>
      </x:c>
    </x:row>
    <x:row r="10">
      <x:c r="A10" s="55" t="n">
        <x:v>6</x:v>
      </x:c>
      <x:c r="B10" s="38" t="str">
        <x:v>TRF-006</x:v>
      </x:c>
      <x:c r="C10" s="55" t="n">
        <x:v>5</x:v>
      </x:c>
      <x:c r="D10" s="35" t="str">
        <x:v>1.6</x:v>
      </x:c>
      <x:c r="E10" s="35" t="str">
        <x:v>NEW_TERMS</x:v>
      </x:c>
      <x:c r="F10" s="38" t="str">
        <x:v>constructionStageDate</x:v>
      </x:c>
      <x:c r="G10" s="38" t="str">
        <x:v>applicableIceClassRegulationEdition | engineOutputRegulationEdition | iceClassRuleEdition1985 | iceClassRegulationEdition2008</x:v>
      </x:c>
      <x:c r="H10" s="38" t="str">
        <x:v>constructionStageDate</x:v>
      </x:c>
      <x:c r="I10" s="38" t="str">
        <x:v>Separate whole-ship rule edition from the optional owner-selected engine-output edition.</x:v>
      </x:c>
      <x:c r="J10" s="38" t="str">
        <x:v>1985 applicability pass/fail and optional 2008 engine-output branch</x:v>
      </x:c>
      <x:c r="K10" s="35" t="str">
        <x:v>ENGINEERING_PREFLIGHT_COMPLETE</x:v>
      </x:c>
    </x:row>
    <x:row r="11">
      <x:c r="A11" s="55" t="n">
        <x:v>7</x:v>
      </x:c>
      <x:c r="B11" s="38" t="str">
        <x:v>TRF-007</x:v>
      </x:c>
      <x:c r="C11" s="55" t="n">
        <x:v>5</x:v>
      </x:c>
      <x:c r="D11" s="35" t="str">
        <x:v>1.6</x:v>
      </x:c>
      <x:c r="E11" s="35" t="str">
        <x:v>NEW_TERMS</x:v>
      </x:c>
      <x:c r="F11" s="38" t="str">
        <x:v>iceClass | constructionStageDate</x:v>
      </x:c>
      <x:c r="G11" s="38" t="str">
        <x:v>deliveryDate | assessmentDate | engineOutputComplianceMethod | traficom2017Section3Point2Point2Method | traficom2017Section3Point2Point4Method</x:v>
      </x:c>
      <x:c r="H11" s="38" t="str">
        <x:v>constructionStageDate</x:v>
      </x:c>
      <x:c r="I11" s="38" t="str">
        <x:v>Same obligation is repeated in 1.7 as TRF-009; share vocabulary and fixtures but preserve IDs.</x:v>
      </x:c>
      <x:c r="J11" s="38" t="str">
        <x:v>before deadline, at deadline compliant, at deadline missing method</x:v>
      </x:c>
      <x:c r="K11" s="35" t="str">
        <x:v>ENGINEERING_PREFLIGHT_COMPLETE</x:v>
      </x:c>
    </x:row>
    <x:row r="12">
      <x:c r="A12" s="55" t="n">
        <x:v>8</x:v>
      </x:c>
      <x:c r="B12" s="38" t="str">
        <x:v>TRF-009</x:v>
      </x:c>
      <x:c r="C12" s="55" t="n">
        <x:v>6</x:v>
      </x:c>
      <x:c r="D12" s="35" t="str">
        <x:v>1.7</x:v>
      </x:c>
      <x:c r="E12" s="35" t="str">
        <x:v>SEMANTIC_DUPLICATE</x:v>
      </x:c>
      <x:c r="F12" s="38" t="str">
        <x:v>iceClass | constructionStageDate</x:v>
      </x:c>
      <x:c r="G12" s="38" t="str">
        <x:v>deliveryDate | assessmentDate | engineOutputComplianceMethod | traficom2017Section3Point2Point2Method | traficom2017Section3Point2Point4Method</x:v>
      </x:c>
      <x:c r="H12" s="38" t="str">
        <x:v>constructionStageDate</x:v>
      </x:c>
      <x:c r="I12" s="38" t="str">
        <x:v>Exact repeated obligation from clause 1.7; do not create incompatible duplicate terms.</x:v>
      </x:c>
      <x:c r="J12" s="38" t="str">
        <x:v>reuse TRF-007 fixture facts under separate requirement mapping</x:v>
      </x:c>
      <x:c r="K12" s="35" t="str">
        <x:v>ENGINEERING_PREFLIGHT_COMPLETE</x:v>
      </x:c>
    </x:row>
    <x:row r="13">
      <x:c r="A13" s="55" t="n">
        <x:v>9</x:v>
      </x:c>
      <x:c r="B13" s="38" t="str">
        <x:v>TRF-010</x:v>
      </x:c>
      <x:c r="C13" s="55" t="n">
        <x:v>6</x:v>
      </x:c>
      <x:c r="D13" s="35" t="str">
        <x:v>1.8</x:v>
      </x:c>
      <x:c r="E13" s="35" t="str">
        <x:v>READY_AFTER_INDEX_CHECK</x:v>
      </x:c>
      <x:c r="F13" s="38" t="str">
        <x:v>iceClass</x:v>
      </x:c>
      <x:c r="G13" s="38" t="str"/>
      <x:c r="H13" s="38" t="str"/>
      <x:c r="I13" s="38" t="str">
        <x:v>Controlled ice-class individuals already exist in locked ontology infrastructure.</x:v>
      </x:c>
      <x:c r="J13" s="38" t="str">
        <x:v>each allowed class; invalid external value; missing value</x:v>
      </x:c>
      <x:c r="K13" s="35" t="str">
        <x:v>ENGINEERING_PREFLIGHT_COMPLETE</x:v>
      </x:c>
    </x:row>
    <x:row r="14">
      <x:c r="A14" s="55" t="n">
        <x:v>10</x:v>
      </x:c>
      <x:c r="B14" s="38" t="str">
        <x:v>TRF-011</x:v>
      </x:c>
      <x:c r="C14" s="55" t="n">
        <x:v>6</x:v>
      </x:c>
      <x:c r="D14" s="35" t="str">
        <x:v>2.1</x:v>
      </x:c>
      <x:c r="E14" s="35" t="str">
        <x:v>REMODEL</x:v>
      </x:c>
      <x:c r="F14" s="38" t="str"/>
      <x:c r="G14" s="38" t="str">
        <x:v>iceWaterline | waterlineProfilePoint | hasUpperIceWaterline | hasIntendedIceOperatingWaterline | hasWaterlineProfilePoint | longitudinalPosition | verticalCoordinate</x:v>
      </x:c>
      <x:c r="H14" s="38" t="str"/>
      <x:c r="I14" s="38" t="str">
        <x:v>R2 upperIceWaterline is xsd:string and cannot verify an envelope of highest operating-waterline points.</x:v>
      </x:c>
      <x:c r="J14" s="38" t="str">
        <x:v>valid envelope, point below required maximum, missing profile</x:v>
      </x:c>
      <x:c r="K14" s="35" t="str">
        <x:v>ENGINEERING_PREFLIGHT_COMPLETE</x:v>
      </x:c>
    </x:row>
    <x:row r="15">
      <x:c r="A15" s="55" t="n">
        <x:v>11</x:v>
      </x:c>
      <x:c r="B15" s="38" t="str">
        <x:v>TRF-012</x:v>
      </x:c>
      <x:c r="C15" s="55" t="n">
        <x:v>6</x:v>
      </x:c>
      <x:c r="D15" s="35" t="str">
        <x:v>2.1</x:v>
      </x:c>
      <x:c r="E15" s="35" t="str">
        <x:v>REMODEL</x:v>
      </x:c>
      <x:c r="F15" s="38" t="str"/>
      <x:c r="G15" s="38" t="str">
        <x:v>iceWaterline | waterlineProfilePoint | hasLowerIceWaterline | hasIntendedIceOperatingWaterline | hasWaterlineProfilePoint | longitudinalPosition | verticalCoordinate</x:v>
      </x:c>
      <x:c r="H15" s="38" t="str"/>
      <x:c r="I15" s="38" t="str">
        <x:v>R2 lowerIceWaterline is xsd:string and cannot verify an envelope of lowest operating-waterline points.</x:v>
      </x:c>
      <x:c r="J15" s="38" t="str">
        <x:v>valid envelope, point above required minimum, missing profile</x:v>
      </x:c>
      <x:c r="K15" s="35" t="str">
        <x:v>ENGINEERING_PREFLIGHT_COMPLETE</x:v>
      </x:c>
    </x:row>
    <x:row r="16">
      <x:c r="A16" s="55" t="n">
        <x:v>12</x:v>
      </x:c>
      <x:c r="B16" s="38" t="str">
        <x:v>TRF-013</x:v>
      </x:c>
      <x:c r="C16" s="55" t="n">
        <x:v>7</x:v>
      </x:c>
      <x:c r="D16" s="35" t="str">
        <x:v>2.2</x:v>
      </x:c>
      <x:c r="E16" s="35" t="str">
        <x:v>NEW_TERMS</x:v>
      </x:c>
      <x:c r="F16" s="38" t="str">
        <x:v>shipIceStrengthened</x:v>
      </x:c>
      <x:c r="G16" s="38" t="str">
        <x:v>hasUpperIceWaterline | hasLowerIceWaterline | draughtAtForePerpendicular | draughtAtAftPerpendicular | operatingForeDraught | operatingAftDraught</x:v>
      </x:c>
      <x:c r="H16" s="38" t="str">
        <x:v>shipIceStrengthened</x:v>
      </x:c>
      <x:c r="I16" s="38" t="str">
        <x:v>Use draught quantities on typed waterline nodes; string UIWL/LIWL is insufficient.</x:v>
      </x:c>
      <x:c r="J16" s="38" t="str">
        <x:v>inside both bounds, below lower, above upper</x:v>
      </x:c>
      <x:c r="K16" s="35" t="str">
        <x:v>ENGINEERING_PREFLIGHT_COMPLETE</x:v>
      </x:c>
    </x:row>
    <x:row r="17">
      <x:c r="A17" s="55" t="n">
        <x:v>13</x:v>
      </x:c>
      <x:c r="B17" s="38" t="str">
        <x:v>TRF-014</x:v>
      </x:c>
      <x:c r="C17" s="55" t="n">
        <x:v>7</x:v>
      </x:c>
      <x:c r="D17" s="35" t="str">
        <x:v>2.2</x:v>
      </x:c>
      <x:c r="E17" s="35" t="str">
        <x:v>NEW_TERMS</x:v>
      </x:c>
      <x:c r="F17" s="38" t="str">
        <x:v>constructionDate | upperIceWaterlineDraught</x:v>
      </x:c>
      <x:c r="G17" s="38" t="str">
        <x:v>iceDraughtRestrictionDocument | classCertificate | retainedOnBoard | readilyAvailableToMaster | maximumIceClassDraughtFore | minimumIceClassDraughtFore | maximumIceClassDraughtAmidships | minimumIceClassDraughtAmidships | maximumIceClassDraughtAft | minimumIceClassDraughtAft | summerLoadLineFreshWaterDraught | warningTrianglePresent | iceClassDraughtMarkPresent | firstScheduledDryDockingDate</x:v>
      </x:c>
      <x:c r="H17" s="38" t="str">
        <x:v>constructionDate | upperIceWaterlineDraught</x:v>
      </x:c>
      <x:c r="I17" s="38" t="str">
        <x:v>Compound document/marking requirement needs distinct evidence and draught fields; do not collapse into one compliance boolean.</x:v>
      </x:c>
      <x:c r="J17" s="38" t="str">
        <x:v>document evidence, certificate content, post-2007 marking, legacy docking deadline</x:v>
      </x:c>
      <x:c r="K17" s="35" t="str">
        <x:v>ENGINEERING_PREFLIGHT_COMPLETE</x:v>
      </x:c>
    </x:row>
    <x:row r="18">
      <x:c r="A18" s="55" t="n">
        <x:v>14</x:v>
      </x:c>
      <x:c r="B18" s="38" t="str">
        <x:v>TRF-015</x:v>
      </x:c>
      <x:c r="C18" s="55" t="n">
        <x:v>7</x:v>
      </x:c>
      <x:c r="D18" s="35" t="str">
        <x:v>2.2</x:v>
      </x:c>
      <x:c r="E18" s="35" t="str">
        <x:v>NEW_TERMS</x:v>
      </x:c>
      <x:c r="F18" s="38" t="str">
        <x:v>upperIceWaterlineDraught</x:v>
      </x:c>
      <x:c r="G18" s="38" t="str">
        <x:v>operatingDraught | operatingTrim | maximumPermittedIceTrim | intendedRouteSeaWaterSalinity | loadingCalculationSeaWaterSalinity</x:v>
      </x:c>
      <x:c r="H18" s="38" t="str">
        <x:v>upperIceWaterlineDraught</x:v>
      </x:c>
      <x:c r="I18" s="38" t="str">
        <x:v>Salinity-accounted loading is represented by comparing recorded route and calculation salinity rather than an answer-status flag.</x:v>
      </x:c>
      <x:c r="J18" s="38" t="str">
        <x:v>draught/trim within limit; exceeded limit; salinity mismatch</x:v>
      </x:c>
      <x:c r="K18" s="35" t="str">
        <x:v>ENGINEERING_PREFLIGHT_COMPLETE</x:v>
      </x:c>
    </x:row>
    <x:row r="19">
      <x:c r="A19" s="55" t="n">
        <x:v>15</x:v>
      </x:c>
      <x:c r="B19" s="38" t="str">
        <x:v>TRF-016</x:v>
      </x:c>
      <x:c r="C19" s="55" t="n">
        <x:v>7</x:v>
      </x:c>
      <x:c r="D19" s="35" t="str">
        <x:v>2.2</x:v>
      </x:c>
      <x:c r="E19" s="35" t="str">
        <x:v>REMODEL</x:v>
      </x:c>
      <x:c r="F19" s="38" t="str">
        <x:v>draughtAmidships | forwardDraught | levelIceThickness | propellerHighestPointSubmerged | freezingPreventionPresent</x:v>
      </x:c>
      <x:c r="G19" s="38" t="str">
        <x:v>ballastTank | hasBallastTank | situatedAboveLowerIceWaterline | usedToReachLowerIceWaterline | hasUpperIceWaterline | waterlineDisplacement</x:v>
      </x:c>
      <x:c r="H19" s="38" t="str"/>
      <x:c r="I19" s="38" t="str">
        <x:v>Existing single displacement property cannot select the greatest-displacement UIWL; ballast conditions need a target node.</x:v>
      </x:c>
      <x:c r="J19" s="38" t="str">
        <x:v>all clauses pass; exact formula boundary; low draught; missing freeze protection</x:v>
      </x:c>
      <x:c r="K19" s="35" t="str">
        <x:v>ENGINEERING_PREFLIGHT_COMPLETE</x:v>
      </x:c>
    </x:row>
    <x:row r="20">
      <x:c r="A20" s="55" t="n">
        <x:v>16</x:v>
      </x:c>
      <x:c r="B20" s="38" t="str">
        <x:v>TRF-017</x:v>
      </x:c>
      <x:c r="C20" s="55" t="n">
        <x:v>7</x:v>
      </x:c>
      <x:c r="D20" s="35" t="str">
        <x:v>3.1</x:v>
      </x:c>
      <x:c r="E20" s="35" t="str">
        <x:v>NEW_TERMS</x:v>
      </x:c>
      <x:c r="F20" s="38" t="str">
        <x:v>maximumContinuousRatingPower</x:v>
      </x:c>
      <x:c r="G20" s="38" t="str">
        <x:v>propulsionMachineryContinuousOutput | propulsionOutputRestrictionApplies | restrictedPropulsionOutput | additionalPropulsionPower</x:v>
      </x:c>
      <x:c r="H20" s="38" t="str"/>
      <x:c r="I20" s="38" t="str">
        <x:v>Engine output is a derived total/selected value, not merely presence of MCR.</x:v>
      </x:c>
      <x:c r="J20" s="38" t="str">
        <x:v>unrestricted total; restricted output; additional source included; incorrect total</x:v>
      </x:c>
      <x:c r="K20" s="35" t="str">
        <x:v>ENGINEERING_PREFLIGHT_COMPLETE</x:v>
      </x:c>
    </x:row>
    <x:row r="21">
      <x:c r="A21" s="55" t="n">
        <x:v>17</x:v>
      </x:c>
      <x:c r="B21" s="38" t="str">
        <x:v>TRF-018</x:v>
      </x:c>
      <x:c r="C21" s="55" t="n">
        <x:v>8</x:v>
      </x:c>
      <x:c r="D21" s="35" t="str">
        <x:v>3.2</x:v>
      </x:c>
      <x:c r="E21" s="35" t="str">
        <x:v>READY_AFTER_INDEX_CHECK</x:v>
      </x:c>
      <x:c r="F21" s="38" t="str">
        <x:v>iceClass | maximumContinuousRatingPower | calculatedRequiredPower</x:v>
      </x:c>
      <x:c r="G21" s="38" t="str"/>
      <x:c r="H21" s="38" t="str"/>
      <x:c r="I21" s="38" t="str">
        <x:v>Indexed operands and canonical kW power model are sufficient.</x:v>
      </x:c>
      <x:c r="J21" s="38" t="str">
        <x:v>IA/IB/IC 1000-kW floor; IA Super 2800-kW floor; calculated requirement higher than floor</x:v>
      </x:c>
      <x:c r="K21" s="35" t="str">
        <x:v>ENGINEERING_PREFLIGHT_COMPLETE</x:v>
      </x:c>
    </x:row>
    <x:row r="22">
      <x:c r="A22" s="55" t="n">
        <x:v>18</x:v>
      </x:c>
      <x:c r="B22" s="38" t="str">
        <x:v>TRF-020</x:v>
      </x:c>
      <x:c r="C22" s="55" t="str">
        <x:v>8-9</x:v>
      </x:c>
      <x:c r="D22" s="35" t="str">
        <x:v>3.2.2</x:v>
      </x:c>
      <x:c r="E22" s="35" t="str">
        <x:v>INDEX_AND_NEW_TERMS</x:v>
      </x:c>
      <x:c r="F22" s="38" t="str">
        <x:v>constructionStageDate | iceClass | maximumContinuousRatingPower | engineOutputCoefficientKe | brashIceChannelResistanceRch | propellerDiameter | propellerCount | propellerType | upperIceWaterline | lowerIceWaterline</x:v>
      </x:c>
      <x:c r="G22" s="38" t="str">
        <x:v>propulsionSystemType | conventionalPropulsionSystem | fixedPitchPropeller | controllablePitchPropeller</x:v>
      </x:c>
      <x:c r="H22" s="38" t="str">
        <x:v>propellerCount | propellerType</x:v>
      </x:c>
      <x:c r="I22" s="38" t="str">
        <x:v>Ke lookup needs propeller count and propulsion/propeller type; draught-dependent inputs must be attached to typed waterline calculation cases.</x:v>
      </x:c>
      <x:c r="J22" s="38" t="str">
        <x:v>Ke table rows, UIWL/LIWL maximum, construction cutoff, power shortfall</x:v>
      </x:c>
      <x:c r="K22" s="35" t="str">
        <x:v>ENGINEERING_PREFLIGHT_COMPLETE</x:v>
      </x:c>
    </x:row>
    <x:row r="23">
      <x:c r="A23" s="55" t="n">
        <x:v>19</x:v>
      </x:c>
      <x:c r="B23" s="38" t="str">
        <x:v>TRF-022</x:v>
      </x:c>
      <x:c r="C23" s="55" t="n">
        <x:v>10</x:v>
      </x:c>
      <x:c r="D23" s="35" t="str">
        <x:v>3.2.2</x:v>
      </x:c>
      <x:c r="E23" s="35" t="str">
        <x:v>INDEX_AND_NEW_TERMS</x:v>
      </x:c>
      <x:c r="F23" s="38" t="str">
        <x:v>coefficientC3 | coefficientC4 | coefficientC5 | coefficientF1 | coefficientF2 | coefficientF3 | coefficientF4 | coefficientG1 | coefficientG2 | coefficientG3 | bowRakeAtQuarterBreadth | flareAngle | clampedHullGeometryTerm | shipLength | shipBreadth | iceClassDraught</x:v>
      </x:c>
      <x:c r="G23" s="38" t="str">
        <x:v>waterlineAngleAtQuarterBreadth</x:v>
      </x:c>
      <x:c r="H23" s="38" t="str">
        <x:v>clampedHullGeometryTerm | coefficientC3 | coefficientC4 | coefficientC5 | coefficientF1 | coefficientF2 | coefficientF3 | coefficientF4 | coefficientG1 | coefficientG2 | coefficientG3 | iceClassDraught | shipBreadth | shipLength</x:v>
      </x:c>
      <x:c r="I23" s="38" t="str">
        <x:v>R2 index only carries two angles; constants, geometry and coefficient-table values already exist but are not linked.</x:v>
      </x:c>
      <x:c r="J23" s="38" t="str">
        <x:v>angle calculation, exact clamp 5/20, below/above clamp, wrong constant</x:v>
      </x:c>
      <x:c r="K23" s="35" t="str">
        <x:v>ENGINEERING_PREFLIGHT_COMPLETE</x:v>
      </x:c>
    </x:row>
    <x:row r="24">
      <x:c r="A24" s="55" t="n">
        <x:v>20</x:v>
      </x:c>
      <x:c r="B24" s="38" t="str">
        <x:v>TRF-023</x:v>
      </x:c>
      <x:c r="C24" s="55" t="n">
        <x:v>10</x:v>
      </x:c>
      <x:c r="D24" s="35" t="str">
        <x:v>3.2.3</x:v>
      </x:c>
      <x:c r="E24" s="35" t="str">
        <x:v>NEW_TERMS</x:v>
      </x:c>
      <x:c r="F24" s="38" t="str">
        <x:v>iceClass | maximumContinuousRatingPower</x:v>
      </x:c>
      <x:c r="G24" s="38" t="str">
        <x:v>applicableIceClassRegulationEdition | iceClassRuleEdition1985 | requiredPowerUnder1985Rules</x:v>
      </x:c>
      <x:c r="H24" s="38" t="str"/>
      <x:c r="I24" s="38" t="str">
        <x:v>Referenced 1985 minimum must be represented as an input/evidence value; no threshold is invented from the 2021 text.</x:v>
      </x:c>
      <x:c r="J24" s="38" t="str">
        <x:v>IB/IC legacy applicability, exact minimum, below minimum</x:v>
      </x:c>
      <x:c r="K24" s="35" t="str">
        <x:v>ENGINEERING_PREFLIGHT_COMPLETE</x:v>
      </x:c>
    </x:row>
    <x:row r="25">
      <x:c r="A25" s="55" t="n">
        <x:v>21</x:v>
      </x:c>
      <x:c r="B25" s="38" t="str">
        <x:v>TRF-024</x:v>
      </x:c>
      <x:c r="C25" s="55" t="n">
        <x:v>10</x:v>
      </x:c>
      <x:c r="D25" s="35" t="str">
        <x:v>3.2.4</x:v>
      </x:c>
      <x:c r="E25" s="35" t="str">
        <x:v>NEW_TERMS</x:v>
      </x:c>
      <x:c r="F25" s="38" t="str">
        <x:v>iceClass | constructionStageDate</x:v>
      </x:c>
      <x:c r="G25" s="38" t="str">
        <x:v>deliveryDate | assessmentDate | engineOutputComplianceMethod | traficom2017Section3Point2Point2Method | traficom2017Section3Point2Point4Method</x:v>
      </x:c>
      <x:c r="H25" s="38" t="str">
        <x:v>constructionStageDate</x:v>
      </x:c>
      <x:c r="I25" s="38" t="str">
        <x:v>Same deadline model as TRF-007/009.</x:v>
      </x:c>
      <x:c r="J25" s="38" t="str">
        <x:v>before deadline, at deadline valid method, missing method</x:v>
      </x:c>
      <x:c r="K25" s="35" t="str">
        <x:v>ENGINEERING_PREFLIGHT_COMPLETE</x:v>
      </x:c>
    </x:row>
    <x:row r="26">
      <x:c r="A26" s="55" t="n">
        <x:v>22</x:v>
      </x:c>
      <x:c r="B26" s="38" t="str">
        <x:v>TRF-025</x:v>
      </x:c>
      <x:c r="C26" s="55" t="n">
        <x:v>10</x:v>
      </x:c>
      <x:c r="D26" s="35" t="str">
        <x:v>3.2.4</x:v>
      </x:c>
      <x:c r="E26" s="35" t="str">
        <x:v>INDEX_AND_NEW_TERMS</x:v>
      </x:c>
      <x:c r="F26" s="38" t="str">
        <x:v>iceClass | shipBreadth | shipLength | iceClassDraught | coefficientF1 | coefficientF2 | coefficientF3 | coefficientF4 | coefficientG1 | coefficientG2 | coefficientG3 | bulbousBowPresent</x:v>
      </x:c>
      <x:c r="G26" s="38" t="str">
        <x:v>brashIceResistanceCoefficientC1 | brashIceResistanceCoefficientC2</x:v>
      </x:c>
      <x:c r="H26" s="38" t="str">
        <x:v>bulbousBowPresent | coefficientF1 | coefficientF2 | coefficientF3 | coefficientF4 | coefficientG1 | coefficientG2 | coefficientG3 | iceClassDraught | shipBreadth | shipLength</x:v>
      </x:c>
      <x:c r="I26" s="38" t="str">
        <x:v>Formula outputs C1/C2 are missing; all existing operands must be linked.</x:v>
      </x:c>
      <x:c r="J26" s="38" t="str">
        <x:v>IA Super no bulb exact formulas and perturbed C1/C2</x:v>
      </x:c>
      <x:c r="K26" s="35" t="str">
        <x:v>ENGINEERING_PREFLIGHT_COMPLETE</x:v>
      </x:c>
    </x:row>
    <x:row r="27">
      <x:c r="A27" s="55" t="n">
        <x:v>23</x:v>
      </x:c>
      <x:c r="B27" s="38" t="str">
        <x:v>TRF-026</x:v>
      </x:c>
      <x:c r="C27" s="55" t="n">
        <x:v>11</x:v>
      </x:c>
      <x:c r="D27" s="35" t="str">
        <x:v>3.2.4</x:v>
      </x:c>
      <x:c r="E27" s="35" t="str">
        <x:v>INDEX_AND_NEW_TERMS</x:v>
      </x:c>
      <x:c r="F27" s="38" t="str">
        <x:v>iceClass | shipBreadth | shipLength | iceClassDraught | coefficientF1 | coefficientF2 | coefficientF3 | coefficientF4 | coefficientG1 | coefficientG2 | coefficientG3 | bulbousBowPresent</x:v>
      </x:c>
      <x:c r="G27" s="38" t="str">
        <x:v>brashIceResistanceCoefficientC1 | brashIceResistanceCoefficientC2</x:v>
      </x:c>
      <x:c r="H27" s="38" t="str">
        <x:v>bulbousBowPresent | coefficientF1 | coefficientF2 | coefficientF3 | coefficientF4 | coefficientG1 | coefficientG2 | coefficientG3 | iceClassDraught | shipBreadth | shipLength</x:v>
      </x:c>
      <x:c r="I27" s="38" t="str">
        <x:v>Reuse TRF-025 outputs with bulb-specific constants; do not coin duplicate outputs.</x:v>
      </x:c>
      <x:c r="J27" s="38" t="str">
        <x:v>IA Super bulb exact formulas and perturbed C1/C2</x:v>
      </x:c>
      <x:c r="K27" s="35" t="str">
        <x:v>ENGINEERING_PREFLIGHT_COMPLETE</x:v>
      </x:c>
    </x:row>
    <x:row r="28">
      <x:c r="A28" s="55" t="n">
        <x:v>24</x:v>
      </x:c>
      <x:c r="B28" s="38" t="str">
        <x:v>TRF-027</x:v>
      </x:c>
      <x:c r="C28" s="55" t="n">
        <x:v>11</x:v>
      </x:c>
      <x:c r="D28" s="35" t="str">
        <x:v>3.2.4</x:v>
      </x:c>
      <x:c r="E28" s="35" t="str">
        <x:v>INDEX_AND_UNIT_REVIEW</x:v>
      </x:c>
      <x:c r="F28" s="38" t="str">
        <x:v>coefficientC3 | coefficientC4 | coefficientC5 | coefficientF1 | coefficientF2 | coefficientF3 | coefficientF4 | coefficientG1 | coefficientG2 | coefficientG3 | clampedHullGeometryTerm | shipLength | shipBreadth | iceClassDraught</x:v>
      </x:c>
      <x:c r="G28" s="38" t="str"/>
      <x:c r="H28" s="38" t="str"/>
      <x:c r="I28" s="38" t="str">
        <x:v>Terms exist; verify coefficient quantity dimensions and Table 3-3 lookup provenance.</x:v>
      </x:c>
      <x:c r="J28" s="38" t="str">
        <x:v>exact constants, clamp 5/20, out-of-range raw geometry</x:v>
      </x:c>
      <x:c r="K28" s="35" t="str">
        <x:v>ENGINEERING_PREFLIGHT_COMPLETE</x:v>
      </x:c>
    </x:row>
    <x:row r="29">
      <x:c r="A29" s="55" t="n">
        <x:v>25</x:v>
      </x:c>
      <x:c r="B29" s="38" t="str">
        <x:v>TRF-030</x:v>
      </x:c>
      <x:c r="C29" s="55" t="n">
        <x:v>12</x:v>
      </x:c>
      <x:c r="D29" s="35" t="str">
        <x:v>4.1</x:v>
      </x:c>
      <x:c r="E29" s="35" t="str">
        <x:v>NEW_TERMS</x:v>
      </x:c>
      <x:c r="F29" s="38" t="str">
        <x:v>upperIceWaterline | lowerIceWaterline | spacing | span | loadPatchApplicationLocation | loadPatchHeight | loadPatchLength</x:v>
      </x:c>
      <x:c r="G29" s="38" t="str">
        <x:v>directAnalysisCase | hasDirectAnalysisCase | appliedIcePressure | verticalLoadPosition | horizontalLoadPosition | combinedBendingShearCapacity | loadLengthDeterminedFromArrangement | loadLengthCoefficientCa</x:v>
      </x:c>
      <x:c r="H29" s="38" t="str">
        <x:v>loadPatchApplicationLocation | loadPatchHeight | loadPatchLength</x:v>
      </x:c>
      <x:c r="I29" s="38" t="str">
        <x:v>Need repeatable analysis-case nodes; a single string location cannot prove several required positions and load lengths.</x:v>
      </x:c>
      <x:c r="J29" s="38" t="str">
        <x:v>complete location set, missing UIWL case, wrong 1.8p pressure, missing la exploration</x:v>
      </x:c>
      <x:c r="K29" s="35" t="str">
        <x:v>ENGINEERING_PREFLIGHT_COMPLETE</x:v>
      </x:c>
    </x:row>
    <x:row r="30">
      <x:c r="A30" s="55" t="n">
        <x:v>26</x:v>
      </x:c>
      <x:c r="B30" s="38" t="str">
        <x:v>TRF-031</x:v>
      </x:c>
      <x:c r="C30" s="55" t="n">
        <x:v>12</x:v>
      </x:c>
      <x:c r="D30" s="35" t="str">
        <x:v>4.1</x:v>
      </x:c>
      <x:c r="E30" s="35" t="str">
        <x:v>READY_AFTER_INDEX_CHECK</x:v>
      </x:c>
      <x:c r="F30" s="38" t="str">
        <x:v>combinedBendingShearStress | yieldPoint | vonMisesYieldCriterion | beamTheoryUsed | allowableShearStress</x:v>
      </x:c>
      <x:c r="G30" s="38" t="str">
        <x:v>yieldShearStress</x:v>
      </x:c>
      <x:c r="H30" s="38" t="str"/>
      <x:c r="I30" s="38" t="str">
        <x:v>tau_y=sigma_y/sqrt(3) should be explicit or calculated; current terms otherwise cover the rule.</x:v>
      </x:c>
      <x:c r="J30" s="38" t="str">
        <x:v>stress just below/at yield and shear 0.9 boundary</x:v>
      </x:c>
      <x:c r="K30" s="35" t="str">
        <x:v>ENGINEERING_PREFLIGHT_COMPLETE</x:v>
      </x:c>
    </x:row>
    <x:row r="31">
      <x:c r="A31" s="55" t="n">
        <x:v>27</x:v>
      </x:c>
      <x:c r="B31" s="38" t="str">
        <x:v>TRF-032</x:v>
      </x:c>
      <x:c r="C31" s="55" t="n">
        <x:v>12</x:v>
      </x:c>
      <x:c r="D31" s="35" t="str">
        <x:v>4.1</x:v>
      </x:c>
      <x:c r="E31" s="35" t="str">
        <x:v>REMODEL_UNIT</x:v>
      </x:c>
      <x:c r="F31" s="38" t="str">
        <x:v>iceStrengtheningStatus</x:v>
      </x:c>
      <x:c r="G31" s="38" t="str">
        <x:v>classificationSocietyRequiredScantling | regulationRequiredScantling | selectedDesignScantling</x:v>
      </x:c>
      <x:c r="H31" s="38" t="str"/>
      <x:c r="I31" s="38" t="str">
        <x:v>R2 scantling properties are strings and cannot implement the required numeric maximum.</x:v>
      </x:c>
      <x:c r="J31" s="38" t="str">
        <x:v>regulation governs; class governs; selected below maximum</x:v>
      </x:c>
      <x:c r="K31" s="35" t="str">
        <x:v>ENGINEERING_PREFLIGHT_COMPLETE</x:v>
      </x:c>
    </x:row>
    <x:row r="32">
      <x:c r="A32" s="55" t="n">
        <x:v>28</x:v>
      </x:c>
      <x:c r="B32" s="38" t="str">
        <x:v>TRF-034</x:v>
      </x:c>
      <x:c r="C32" s="55" t="n">
        <x:v>13</x:v>
      </x:c>
      <x:c r="D32" s="35" t="str">
        <x:v>4.1</x:v>
      </x:c>
      <x:c r="E32" s="35" t="str">
        <x:v>EVIDENCE_MODEL</x:v>
      </x:c>
      <x:c r="F32" s="38" t="str">
        <x:v>sectionModulus | shearArea</x:v>
      </x:c>
      <x:c r="G32" s="38" t="str">
        <x:v>effectiveMemberCrossSection | memberNormalToPlating | classificationSocietySectionPropertyCalculationEvidence</x:v>
      </x:c>
      <x:c r="H32" s="38" t="str"/>
      <x:c r="I32" s="38" t="str">
        <x:v>The clause defines the basis of section properties; non-normal members require traceable classification-society calculation evidence.</x:v>
      </x:c>
      <x:c r="J32" s="38" t="str">
        <x:v>normal member values; non-normal with evidence; non-normal missing evidence</x:v>
      </x:c>
      <x:c r="K32" s="35" t="str">
        <x:v>ENGINEERING_PREFLIGHT_COMPLETE</x:v>
      </x:c>
    </x:row>
    <x:row r="33">
      <x:c r="A33" s="55" t="n">
        <x:v>29</x:v>
      </x:c>
      <x:c r="B33" s="38" t="str">
        <x:v>TRF-035</x:v>
      </x:c>
      <x:c r="C33" s="55" t="n">
        <x:v>13</x:v>
      </x:c>
      <x:c r="D33" s="35" t="str">
        <x:v>4.1.1</x:v>
      </x:c>
      <x:c r="E33" s="35" t="str">
        <x:v>NEW_TERMS</x:v>
      </x:c>
      <x:c r="F33" s="38" t="str">
        <x:v>ruleLength | classificationSociety</x:v>
      </x:c>
      <x:c r="G33" s="38" t="str">
        <x:v>classificationSocietyRuleLength</x:v>
      </x:c>
      <x:c r="H33" s="38" t="str"/>
      <x:c r="I33" s="38" t="str">
        <x:v>Compare recorded L with the classification society's rule length instead of only requiring L.</x:v>
      </x:c>
      <x:c r="J33" s="38" t="str">
        <x:v>equal length and mismatch</x:v>
      </x:c>
      <x:c r="K33" s="35" t="str">
        <x:v>ENGINEERING_PREFLIGHT_COMPLETE</x:v>
      </x:c>
    </x:row>
    <x:row r="34">
      <x:c r="A34" s="55" t="n">
        <x:v>30</x:v>
      </x:c>
      <x:c r="B34" s="38" t="str">
        <x:v>TRF-036</x:v>
      </x:c>
      <x:c r="C34" s="55" t="n">
        <x:v>14</x:v>
      </x:c>
      <x:c r="D34" s="35" t="str">
        <x:v>4.2.1</x:v>
      </x:c>
      <x:c r="E34" s="35" t="str">
        <x:v>TABLE_MODEL</x:v>
      </x:c>
      <x:c r="F34" s="38" t="str">
        <x:v>iceClass | levelIceThickness | designIceLoadHeight</x:v>
      </x:c>
      <x:c r="G34" s="38" t="str">
        <x:v>iceClassDesignParameterSet</x:v>
      </x:c>
      <x:c r="H34" s="38" t="str"/>
      <x:c r="I34" s="38" t="str">
        <x:v>Table 4-1 row provenance/controlled mapping is needed to distinguish looked-up hi and h from arbitrary values.</x:v>
      </x:c>
      <x:c r="J34" s="38" t="str">
        <x:v>each ice-class row, wrong h, wrong hi</x:v>
      </x:c>
      <x:c r="K34" s="35" t="str">
        <x:v>ENGINEERING_PREFLIGHT_COMPLETE</x:v>
      </x:c>
    </x:row>
    <x:row r="35">
      <x:c r="A35" s="55" t="n">
        <x:v>31</x:v>
      </x:c>
      <x:c r="B35" s="38" t="str">
        <x:v>TRF-037</x:v>
      </x:c>
      <x:c r="C35" s="55" t="n">
        <x:v>14</x:v>
      </x:c>
      <x:c r="D35" s="35" t="str">
        <x:v>4.2.2</x:v>
      </x:c>
      <x:c r="E35" s="35" t="str">
        <x:v>INDEX_AND_NEW_TERMS</x:v>
      </x:c>
      <x:c r="F35" s="38" t="str">
        <x:v>icePressure | nominalIcePressureP0 | maximumContinuousRatingPower | shipLength</x:v>
      </x:c>
      <x:c r="G35" s="38" t="str">
        <x:v>shipSizeEngineOutputFactorCd | iceClassFactorCp | iceLoadAreaFactorCa | coefficientA | coefficientB | coefficientK</x:v>
      </x:c>
      <x:c r="H35" s="38" t="str">
        <x:v>icePressure | nominalIcePressureP0 | shipLength</x:v>
      </x:c>
      <x:c r="I35" s="38" t="str">
        <x:v>R2 links only MCR although every factor and both equations must be available; cd has maximum 1.</x:v>
      </x:c>
      <x:c r="J35" s="38" t="str">
        <x:v>exact p, cd cap at 1, incorrect factor/product</x:v>
      </x:c>
      <x:c r="K35" s="35" t="str">
        <x:v>ENGINEERING_PREFLIGHT_COMPLETE</x:v>
      </x:c>
    </x:row>
    <x:row r="36">
      <x:c r="A36" s="55" t="n">
        <x:v>32</x:v>
      </x:c>
      <x:c r="B36" s="38" t="str">
        <x:v>TRF-041</x:v>
      </x:c>
      <x:c r="C36" s="55" t="n">
        <x:v>17</x:v>
      </x:c>
      <x:c r="D36" s="35" t="str">
        <x:v>4.3.2</x:v>
      </x:c>
      <x:c r="E36" s="35" t="str">
        <x:v>INDEX_AND_UNIT_REVIEW</x:v>
      </x:c>
      <x:c r="F36" s="38" t="str">
        <x:v>thickness | spacing | coefficientF1 | coefficientF2 | icePressure | yieldStrength | corrosionAbrasionAddition</x:v>
      </x:c>
      <x:c r="G36" s="38" t="str">
        <x:v>platingFramingOrientation | transverseFraming | longitudinalFraming | platingPressure</x:v>
      </x:c>
      <x:c r="H36" s="38" t="str">
        <x:v>coefficientF1 | coefficientF2 | corrosionAbrasionAddition | icePressure | spacing</x:v>
      </x:c>
      <x:c r="I36" s="38" t="str">
        <x:v>Generic thickness is recommended in metres while formula result is millimetres; shear/plating terms need formula-native unit alignment.</x:v>
      </x:c>
      <x:c r="J36" s="38" t="str">
        <x:v>both framing branches, exact formula boundary, low thickness</x:v>
      </x:c>
      <x:c r="K36" s="35" t="str">
        <x:v>ENGINEERING_PREFLIGHT_COMPLETE</x:v>
      </x:c>
    </x:row>
    <x:row r="37">
      <x:c r="A37" s="55" t="n">
        <x:v>33</x:v>
      </x:c>
      <x:c r="B37" s="38" t="str">
        <x:v>TRF-042</x:v>
      </x:c>
      <x:c r="C37" s="55" t="n">
        <x:v>17</x:v>
      </x:c>
      <x:c r="D37" s="35" t="str">
        <x:v>4.3.2</x:v>
      </x:c>
      <x:c r="E37" s="35" t="str">
        <x:v>INDEX_AND_UNIT_REVIEW</x:v>
      </x:c>
      <x:c r="F37" s="38" t="str">
        <x:v>coefficientF2 | designIceLoadHeight | spacing | yieldStrength | corrosionAbrasionAddition | steelGrade | materialApprovalStatus</x:v>
      </x:c>
      <x:c r="G37" s="38" t="str">
        <x:v>specialSurfaceCoatingMaintained</x:v>
      </x:c>
      <x:c r="H37" s="38" t="str">
        <x:v>coefficientF2 | corrosionAbrasionAddition | designIceLoadHeight | materialApprovalStatus | spacing | steelGrade</x:v>
      </x:c>
      <x:c r="I37" s="38" t="str">
        <x:v>Piecewise f2, grade-dependent yield strength and approved lower tc all need indexing; thickness/tc should use millimetres.</x:v>
      </x:c>
      <x:c r="J37" s="38" t="str">
        <x:v>h/s at 1 and 1.8, steel-grade values, approved/unapproved lower tc</x:v>
      </x:c>
      <x:c r="K37" s="35" t="str">
        <x:v>ENGINEERING_PREFLIGHT_COMPLETE</x:v>
      </x:c>
    </x:row>
    <x:row r="38">
      <x:c r="A38" s="55" t="n">
        <x:v>34</x:v>
      </x:c>
      <x:c r="B38" s="38" t="str">
        <x:v>TRF-043</x:v>
      </x:c>
      <x:c r="C38" s="55" t="n">
        <x:v>18</x:v>
      </x:c>
      <x:c r="D38" s="35" t="str">
        <x:v>4.4.1</x:v>
      </x:c>
      <x:c r="E38" s="35" t="str">
        <x:v>READY_AFTER_INDEX_CHECK</x:v>
      </x:c>
      <x:c r="F38" s="38" t="str">
        <x:v>iceClass | upperBowIceBeltRequired | framingIceStrengtheningUpperExtent | upperBowIceBeltTop | extensionBeyondAdjacentDeckOrTankBoundary | iceStrengtheningTerminationAtAdjacentBoundaryPermitted</x:v>
      </x:c>
      <x:c r="G38" s="38" t="str"/>
      <x:c r="H38" s="38" t="str">
        <x:v>iceClass</x:v>
      </x:c>
      <x:c r="I38" s="38" t="str">
        <x:v>Table 4-6 selection requires ice class in addition to the indexed extent terms.</x:v>
      </x:c>
      <x:c r="J38" s="38" t="str">
        <x:v>table rows, exact 250-mm boundary, 251-mm failure</x:v>
      </x:c>
      <x:c r="K38" s="35" t="str">
        <x:v>ENGINEERING_PREFLIGHT_COMPLETE</x:v>
      </x:c>
    </x:row>
    <x:row r="39">
      <x:c r="A39" s="55" t="n">
        <x:v>35</x:v>
      </x:c>
      <x:c r="B39" s="38" t="str">
        <x:v>TRF-044</x:v>
      </x:c>
      <x:c r="C39" s="55" t="str">
        <x:v>18-19</x:v>
      </x:c>
      <x:c r="D39" s="35" t="str">
        <x:v>4.4.2.1</x:v>
      </x:c>
      <x:c r="E39" s="35" t="str">
        <x:v>INDEX_AND_UNIT_REVIEW</x:v>
      </x:c>
      <x:c r="F39" s="38" t="str">
        <x:v>sectionModulus | shearArea | yieldStrength | icePressure | spacing | designIceLoadHeight | span</x:v>
      </x:c>
      <x:c r="G39" s="38" t="str">
        <x:v>frameBoundaryConditionFactorM0 | effectiveFrameSpan | frameMomentFactorMt</x:v>
      </x:c>
      <x:c r="H39" s="38" t="str">
        <x:v>designIceLoadHeight | icePressure | spacing | span</x:v>
      </x:c>
      <x:c r="I39" s="38" t="str">
        <x:v>m0 table selection and mt output are missing; shearArea must be formula-native cm2 rather than m2.</x:v>
      </x:c>
      <x:c r="J39" s="38" t="str">
        <x:v>m0 rows, h/l boundary, exact Z/A, low Z/A</x:v>
      </x:c>
      <x:c r="K39" s="35" t="str">
        <x:v>ENGINEERING_PREFLIGHT_COMPLETE</x:v>
      </x:c>
    </x:row>
    <x:row r="40">
      <x:c r="A40" s="55" t="n">
        <x:v>36</x:v>
      </x:c>
      <x:c r="B40" s="38" t="str">
        <x:v>TRF-045</x:v>
      </x:c>
      <x:c r="C40" s="55" t="n">
        <x:v>19</x:v>
      </x:c>
      <x:c r="D40" s="35" t="str">
        <x:v>4.4.2.1</x:v>
      </x:c>
      <x:c r="E40" s="35" t="str">
        <x:v>NEW_TERMS</x:v>
      </x:c>
      <x:c r="F40" s="38" t="str">
        <x:v>span</x:v>
      </x:c>
      <x:c r="G40" s="38" t="str">
        <x:v>frameSpanWithinIceStrengtheningZone | ordinaryFrameScantlingsUsed</x:v>
      </x:c>
      <x:c r="H40" s="38" t="str"/>
      <x:c r="I40" s="38" t="str">
        <x:v>Need the length within zone to calculate the &lt;15% exception; span alone is insufficient.</x:v>
      </x:c>
      <x:c r="J40" s="38" t="str">
        <x:v>14.9% permitted, 15% not permitted, ordinary scantling use</x:v>
      </x:c>
      <x:c r="K40" s="35" t="str">
        <x:v>ENGINEERING_PREFLIGHT_COMPLETE</x:v>
      </x:c>
    </x:row>
    <x:row r="41">
      <x:c r="A41" s="55" t="n">
        <x:v>37</x:v>
      </x:c>
      <x:c r="B41" s="38" t="str">
        <x:v>TRF-046</x:v>
      </x:c>
      <x:c r="C41" s="55" t="n">
        <x:v>19</x:v>
      </x:c>
      <x:c r="D41" s="35" t="str">
        <x:v>4.4.2.2</x:v>
      </x:c>
      <x:c r="E41" s="35" t="str">
        <x:v>REMODEL</x:v>
      </x:c>
      <x:c r="F41" s="38" t="str">
        <x:v>transverseFrame | frameStrengthenedPart | supportingStructure | connectionMemberScantling</x:v>
      </x:c>
      <x:c r="G41" s="38" t="str">
        <x:v>hasUpperEnd | attachedToSupportingStructure | terminatesAboveSupportingStructure | supportingStructureAtOrAboveIceBeltUpperLimit | horizontalConnectionMember | sameScantlingsAsMainFrame</x:v>
      </x:c>
      <x:c r="H41" s="38" t="str"/>
      <x:c r="I41" s="38" t="str">
        <x:v>String attachment/end properties cannot verify the cross-component alternatives.</x:v>
      </x:c>
      <x:c r="J41" s="38" t="str">
        <x:v>direct attachment, permitted termination alternative, missing connection</x:v>
      </x:c>
      <x:c r="K41" s="35" t="str">
        <x:v>ENGINEERING_PREFLIGHT_COMPLETE</x:v>
      </x:c>
    </x:row>
    <x:row r="42">
      <x:c r="A42" s="55" t="n">
        <x:v>38</x:v>
      </x:c>
      <x:c r="B42" s="38" t="str">
        <x:v>TRF-047</x:v>
      </x:c>
      <x:c r="C42" s="55" t="n">
        <x:v>20</x:v>
      </x:c>
      <x:c r="D42" s="35" t="str">
        <x:v>4.4.2.3</x:v>
      </x:c>
      <x:c r="E42" s="35" t="str">
        <x:v>REMODEL</x:v>
      </x:c>
      <x:c r="F42" s="38" t="str">
        <x:v>transverseFrame | frameStrengthenedPart | supportingStructure | connectionMemberScantling</x:v>
      </x:c>
      <x:c r="G42" s="38" t="str">
        <x:v>hasLowerEnd | attachedToSupportingStructure | terminatesBelowSupportingStructure | supportingStructureAtOrBelowIceBeltLowerLimit | horizontalConnectionMember | sameScantlingsAsMainFrame | mainFrameBelowIceBeltStrengthened</x:v>
      </x:c>
      <x:c r="H42" s="38" t="str"/>
      <x:c r="I42" s="38" t="str">
        <x:v>Mirror TRF-046 node model for lower end and retain the extra main-frame strengthening condition.</x:v>
      </x:c>
      <x:c r="J42" s="38" t="str">
        <x:v>direct attachment, permitted lower alternative, missing strengthening</x:v>
      </x:c>
      <x:c r="K42" s="35" t="str">
        <x:v>ENGINEERING_PREFLIGHT_COMPLETE</x:v>
      </x:c>
    </x:row>
    <x:row r="43">
      <x:c r="A43" s="55" t="n">
        <x:v>39</x:v>
      </x:c>
      <x:c r="B43" s="38" t="str">
        <x:v>TRF-048</x:v>
      </x:c>
      <x:c r="C43" s="55" t="n">
        <x:v>20</x:v>
      </x:c>
      <x:c r="D43" s="35" t="str">
        <x:v>4.4.3</x:v>
      </x:c>
      <x:c r="E43" s="35" t="str">
        <x:v>INDEX_AND_UNIT_REVIEW</x:v>
      </x:c>
      <x:c r="F43" s="38" t="str">
        <x:v>sectionModulus | actualFrameShearArea | yieldStrength | icePressure | spacing | designIceLoadHeight | span | connectionBracket | coefficientF4</x:v>
      </x:c>
      <x:c r="G43" s="38" t="str">
        <x:v>frameMomentFactorM | bracketArea | netActualFrameShearArea</x:v>
      </x:c>
      <x:c r="H43" s="38" t="str">
        <x:v>coefficientF4 | connectionBracket | designIceLoadHeight | icePressure | spacing | span</x:v>
      </x:c>
      <x:c r="I43" s="38" t="str">
        <x:v>Formula operands and m assumption are missing; bracket exclusion needs explicit areas; shear outputs use cm2.</x:v>
      </x:c>
      <x:c r="J43" s="38" t="str">
        <x:v>m=13.3 default, smaller end-field m, bracket exclusion, low Z/A</x:v>
      </x:c>
      <x:c r="K43" s="35" t="str">
        <x:v>ENGINEERING_PREFLIGHT_COMPLETE</x:v>
      </x:c>
    </x:row>
    <x:row r="44">
      <x:c r="A44" s="55" t="n">
        <x:v>40</x:v>
      </x:c>
      <x:c r="B44" s="38" t="str">
        <x:v>TRF-049</x:v>
      </x:c>
      <x:c r="C44" s="55" t="n">
        <x:v>21</x:v>
      </x:c>
      <x:c r="D44" s="35" t="str">
        <x:v>4.4.4.1</x:v>
      </x:c>
      <x:c r="E44" s="35" t="str">
        <x:v>REMODEL</x:v>
      </x:c>
      <x:c r="F44" s="38" t="str">
        <x:v>frame | supportingStructure | connectionBracket | frameWebPlateThickness | bucklingStiffening</x:v>
      </x:c>
      <x:c r="G44" s="38" t="str">
        <x:v>hasFrameAttachment | hasSupportingWebFrame | hasSupportingBulkhead | webPlateConnectionSideCount | bracketThickness | bracketEdgeStiffened</x:v>
      </x:c>
      <x:c r="H44" s="38" t="str"/>
      <x:c r="I44" s="38" t="str">
        <x:v>Existing generic attachment records do not express all/each supporting structures or the two-sided connection requirement.</x:v>
      </x:c>
      <x:c r="J44" s="38" t="str">
        <x:v>longitudinal brackets, terminating frame bracket, through-frame two-sided connection, thin bracket</x:v>
      </x:c>
      <x:c r="K44" s="35" t="str">
        <x:v>ENGINEERING_PREFLIGHT_COMPLETE</x:v>
      </x:c>
    </x:row>
    <x:row r="45">
      <x:c r="A45" s="55" t="n">
        <x:v>41</x:v>
      </x:c>
      <x:c r="B45" s="38" t="str">
        <x:v>TRF-050</x:v>
      </x:c>
      <x:c r="C45" s="55" t="n">
        <x:v>21</x:v>
      </x:c>
      <x:c r="D45" s="35" t="str">
        <x:v>4.4.4.2</x:v>
      </x:c>
      <x:c r="E45" s="35" t="str">
        <x:v>CONTROLLED_VALUE_REVIEW</x:v>
      </x:c>
      <x:c r="F45" s="38" t="str">
        <x:v>frameShellAttachment | scallopingPresent | shellPlateButtCrossing | weldType</x:v>
      </x:c>
      <x:c r="G45" s="38" t="str">
        <x:v>doubleContinuousWeld</x:v>
      </x:c>
      <x:c r="H45" s="38" t="str"/>
      <x:c r="I45" s="38" t="str">
        <x:v>weldType is free text; use a controlled weld individual and encode the butt-crossing exception.</x:v>
      </x:c>
      <x:c r="J45" s="38" t="str">
        <x:v>double continuous pass, scallop without crossing fail, crossing exception</x:v>
      </x:c>
      <x:c r="K45" s="35" t="str">
        <x:v>ENGINEERING_PREFLIGHT_COMPLETE</x:v>
      </x:c>
    </x:row>
    <x:row r="46">
      <x:c r="A46" s="55" t="n">
        <x:v>42</x:v>
      </x:c>
      <x:c r="B46" s="38" t="str">
        <x:v>TRF-051</x:v>
      </x:c>
      <x:c r="C46" s="55" t="n">
        <x:v>21</x:v>
      </x:c>
      <x:c r="D46" s="35" t="str">
        <x:v>4.4.4.2</x:v>
      </x:c>
      <x:c r="E46" s="35" t="str">
        <x:v>INDEX_AND_UNIT_REVIEW</x:v>
      </x:c>
      <x:c r="F46" s="38" t="str">
        <x:v>frameWebPlateThickness | yieldStrength | netThickness | corrosionAbrasionAddition</x:v>
      </x:c>
      <x:c r="G46" s="38" t="str">
        <x:v>frameProfileType | profileSection | flatBarSection | adjacentFrameHeight</x:v>
      </x:c>
      <x:c r="H46" s="38" t="str">
        <x:v>corrosionAbrasionAddition | frameWebPlateThickness | netThickness</x:v>
      </x:c>
      <x:c r="I46" s="38" t="str">
        <x:v>C selection and all three maxima need explicit operands; thickness terms should use millimetres.</x:v>
      </x:c>
      <x:c r="J46" s="38" t="str">
        <x:v>profile/flat-bar C branches, 9-mm floor, half-net-shell floor</x:v>
      </x:c>
      <x:c r="K46" s="35" t="str">
        <x:v>ENGINEERING_PREFLIGHT_COMPLETE</x:v>
      </x:c>
    </x:row>
    <x:row r="47">
      <x:c r="A47" s="55" t="n">
        <x:v>43</x:v>
      </x:c>
      <x:c r="B47" s="38" t="str">
        <x:v>TRF-052</x:v>
      </x:c>
      <x:c r="C47" s="55" t="n">
        <x:v>21</x:v>
      </x:c>
      <x:c r="D47" s="35" t="str">
        <x:v>4.4.4.2</x:v>
      </x:c>
      <x:c r="E47" s="35" t="str">
        <x:v>CONTROLLED_VALUE_REVIEW</x:v>
      </x:c>
      <x:c r="F47" s="38" t="str">
        <x:v>frameAsymmetrical | frameWebAngleToShell | antitrippingSupportSpacing | frameSpan | iceClass | equivalentSupportStatusByDirectCalculation</x:v>
      </x:c>
      <x:c r="G47" s="38" t="str">
        <x:v>antitrippingSupportRegion | allRegions | bowRegion | midbodyRegion</x:v>
      </x:c>
      <x:c r="H47" s="38" t="str"/>
      <x:c r="I47" s="38" t="str">
        <x:v>antitrippingSupportScope is free text; replace with controlled regions/set membership.</x:v>
      </x:c>
      <x:c r="J47" s="38" t="str">
        <x:v>1300-mm boundary, &gt;4-m all regions, class/region matrix, equivalent alternative</x:v>
      </x:c>
      <x:c r="K47" s="35" t="str">
        <x:v>ENGINEERING_PREFLIGHT_COMPLETE</x:v>
      </x:c>
    </x:row>
    <x:row r="48">
      <x:c r="A48" s="55" t="n">
        <x:v>44</x:v>
      </x:c>
      <x:c r="B48" s="38" t="str">
        <x:v>TRF-053</x:v>
      </x:c>
      <x:c r="C48" s="55" t="str">
        <x:v>21-22</x:v>
      </x:c>
      <x:c r="D48" s="35" t="str">
        <x:v>4.5.1</x:v>
      </x:c>
      <x:c r="E48" s="35" t="str">
        <x:v>INDEX_AND_UNIT_REVIEW</x:v>
      </x:c>
      <x:c r="F48" s="38" t="str">
        <x:v>designLineLoad | icePressure | designIceLoadHeight | span | yieldStrength | sectionModulus | shearArea</x:v>
      </x:c>
      <x:c r="G48" s="38" t="str">
        <x:v>frameMomentFactorM</x:v>
      </x:c>
      <x:c r="H48" s="38" t="str">
        <x:v>designIceLoadHeight | icePressure | span</x:v>
      </x:c>
      <x:c r="I48" s="38" t="str">
        <x:v>All operands must be indexed; design line load is currently kN/m while source formula uses MN/m, and shear area needs cm2.</x:v>
      </x:c>
      <x:c r="J48" s="38" t="str">
        <x:v>0.15-MN/m floor, exact Z/A, low Z/A</x:v>
      </x:c>
      <x:c r="K48" s="35" t="str">
        <x:v>ENGINEERING_PREFLIGHT_COMPLETE</x:v>
      </x:c>
    </x:row>
    <x:row r="49">
      <x:c r="A49" s="55" t="n">
        <x:v>45</x:v>
      </x:c>
      <x:c r="B49" s="38" t="str">
        <x:v>TRF-054</x:v>
      </x:c>
      <x:c r="C49" s="55" t="str">
        <x:v>22-23</x:v>
      </x:c>
      <x:c r="D49" s="35" t="str">
        <x:v>4.5.2</x:v>
      </x:c>
      <x:c r="E49" s="35" t="str">
        <x:v>INDEX_AND_UNIT_REVIEW</x:v>
      </x:c>
      <x:c r="F49" s="38" t="str">
        <x:v>designLineLoad | icePressure | designIceLoadHeight | span | yieldStrength | sectionModulus | shearArea | outsideIceBeltFactor | stringerOutsideIceBeltHeight | stringerSpan</x:v>
      </x:c>
      <x:c r="G49" s="38" t="str">
        <x:v>frameMomentFactorM</x:v>
      </x:c>
      <x:c r="H49" s="38" t="str">
        <x:v>designIceLoadHeight | icePressure | span | stringerOutsideIceBeltHeight | stringerSpan</x:v>
      </x:c>
      <x:c r="I49" s="38" t="str">
        <x:v>Need hs/ls operands and formula-native line-load/shear-area units.</x:v>
      </x:c>
      <x:c r="J49" s="38" t="str">
        <x:v>inside/outside factor, hs=0, near ls boundary, low Z/A</x:v>
      </x:c>
      <x:c r="K49" s="35" t="str">
        <x:v>ENGINEERING_PREFLIGHT_COMPLETE</x:v>
      </x:c>
    </x:row>
    <x:row r="50">
      <x:c r="A50" s="55" t="n">
        <x:v>46</x:v>
      </x:c>
      <x:c r="B50" s="38" t="str">
        <x:v>TRF-055</x:v>
      </x:c>
      <x:c r="C50" s="55" t="n">
        <x:v>23</x:v>
      </x:c>
      <x:c r="D50" s="35" t="str">
        <x:v>4.5.3</x:v>
      </x:c>
      <x:c r="E50" s="35" t="str">
        <x:v>NEW_TERMS</x:v>
      </x:c>
      <x:c r="F50" s="38" t="str">
        <x:v>sectionModulus | shearArea | hatchOpeningLength | shipBreadth | designLineLoad | scantlingApprovalStatus</x:v>
      </x:c>
      <x:c r="G50" s="38" t="str">
        <x:v>narrowDeckStrip | servesAsIceStringer | veryLongHatch | permittedReducedLineLoad</x:v>
      </x:c>
      <x:c r="H50" s="38" t="str">
        <x:v>designLineLoad | hatchOpeningLength | scantlingApprovalStatus | shipBreadth</x:v>
      </x:c>
      <x:c r="I50" s="38" t="str">
        <x:v>The approval exception changes p*h floor from 0.15 to not below 0.10 MN/m; distinguish approved value from generic designLineLoad.</x:v>
      </x:c>
      <x:c r="J50" s="38" t="str">
        <x:v>normal 0.15 floor, approved 0.10, below 0.10 failure</x:v>
      </x:c>
      <x:c r="K50" s="35" t="str">
        <x:v>ENGINEERING_PREFLIGHT_COMPLETE</x:v>
      </x:c>
    </x:row>
    <x:row r="51">
      <x:c r="A51" s="55" t="n">
        <x:v>47</x:v>
      </x:c>
      <x:c r="B51" s="38" t="str">
        <x:v>TRF-056</x:v>
      </x:c>
      <x:c r="C51" s="55" t="n">
        <x:v>23</x:v>
      </x:c>
      <x:c r="D51" s="35" t="str">
        <x:v>4.5.3</x:v>
      </x:c>
      <x:c r="E51" s="35" t="str">
        <x:v>EVIDENCE_MODEL</x:v>
      </x:c>
      <x:c r="F51" s="38" t="str">
        <x:v>hatchOpeningLength | shipBreadth | shipSideDeflection | hatchCoverDesignEvidence | hatchFittingDesignEvidence</x:v>
      </x:c>
      <x:c r="G51" s="38" t="str"/>
      <x:c r="H51" s="38" t="str"/>
      <x:c r="I51" s="38" t="str">
        <x:v>No numeric deflection limit is stated; verify trigger and required design evidence without inventing a threshold.</x:v>
      </x:c>
      <x:c r="J51" s="38" t="str">
        <x:v>hatch &lt;=B/2 non-applicable, &gt;B/2 with evidence pass, missing evidence fail</x:v>
      </x:c>
      <x:c r="K51" s="35" t="str">
        <x:v>ENGINEERING_PREFLIGHT_COMPLETE</x:v>
      </x:c>
    </x:row>
    <x:row r="52">
      <x:c r="A52" s="55" t="n">
        <x:v>48</x:v>
      </x:c>
      <x:c r="B52" s="38" t="str">
        <x:v>TRF-057</x:v>
      </x:c>
      <x:c r="C52" s="55" t="n">
        <x:v>23</x:v>
      </x:c>
      <x:c r="D52" s="35" t="str">
        <x:v>4.6.1</x:v>
      </x:c>
      <x:c r="E52" s="35" t="str">
        <x:v>INDEX_AND_UNIT_REVIEW</x:v>
      </x:c>
      <x:c r="F52" s="38" t="str">
        <x:v>icePressure | iceLoadHeight | webFrameSpacing | webFrameSafetyFactor | webFrameIceLoad | loadLengthParameter | minimumLineLoad</x:v>
      </x:c>
      <x:c r="G52" s="38" t="str">
        <x:v>iceLoadSourceType | iceStringerLoadSource | longitudinalFramingLoadSource</x:v>
      </x:c>
      <x:c r="H52" s="38" t="str"/>
      <x:c r="I52" s="38" t="str">
        <x:v>f12=1.8, la=2S and 0.15-MN/m floor must be explicit; line-load units need alignment.</x:v>
      </x:c>
      <x:c r="J52" s="38" t="str">
        <x:v>both load sources, floor active/inactive, exact F, wrong la</x:v>
      </x:c>
      <x:c r="K52" s="35" t="str">
        <x:v>ENGINEERING_PREFLIGHT_COMPLETE</x:v>
      </x:c>
    </x:row>
    <x:row r="53">
      <x:c r="A53" s="55" t="n">
        <x:v>49</x:v>
      </x:c>
      <x:c r="B53" s="38" t="str">
        <x:v>TRF-058</x:v>
      </x:c>
      <x:c r="C53" s="55" t="n">
        <x:v>23</x:v>
      </x:c>
      <x:c r="D53" s="35" t="str">
        <x:v>4.6.1</x:v>
      </x:c>
      <x:c r="E53" s="35" t="str">
        <x:v>INDEX_AND_NEW_TERMS</x:v>
      </x:c>
      <x:c r="F53" s="38" t="str">
        <x:v>iceLoadForce | stringerOutsideIceBeltHeight | stringerSpan</x:v>
      </x:c>
      <x:c r="G53" s="38" t="str">
        <x:v>supportedStringerOutsideIceBelt | adjustedIceLoadForce</x:v>
      </x:c>
      <x:c r="H53" s="38" t="str"/>
      <x:c r="I53" s="38" t="str">
        <x:v>Distinguish original F from the outside-belt adjusted force.</x:v>
      </x:c>
      <x:c r="J53" s="38" t="str">
        <x:v>inside belt unchanged, outside factor, hs/ls boundary</x:v>
      </x:c>
      <x:c r="K53" s="35" t="str">
        <x:v>ENGINEERING_PREFLIGHT_COMPLETE</x:v>
      </x:c>
    </x:row>
    <x:row r="54">
      <x:c r="A54" s="57" t="n">
        <x:v>50</x:v>
      </x:c>
      <x:c r="B54" s="39" t="str">
        <x:v>TRF-059</x:v>
      </x:c>
      <x:c r="C54" s="57" t="n">
        <x:v>23</x:v>
      </x:c>
      <x:c r="D54" s="36" t="str">
        <x:v>4.6.2</x:v>
      </x:c>
      <x:c r="E54" s="36" t="str">
        <x:v>INDEX_AND_UNIT_REVIEW</x:v>
      </x:c>
      <x:c r="F54" s="39" t="str">
        <x:v>shearArea | yieldStrength</x:v>
      </x:c>
      <x:c r="G54" s="39" t="str">
        <x:v>maximumCalculatedShearForce | webFrameShearFactorAlpha | webFrameCrossSectionType</x:v>
      </x:c>
      <x:c r="H54" s="39" t="str"/>
      <x:c r="I54" s="39" t="str">
        <x:v>Q and alpha Table 4-8 selection are missing; output shear area must use cm2.</x:v>
      </x:c>
      <x:c r="J54" s="39" t="str">
        <x:v>alpha table rows, exact A, low A</x:v>
      </x:c>
      <x:c r="K54" s="36" t="str">
        <x:v>ENGINEERING_PREFLIGHT_COMPLETE</x:v>
      </x:c>
    </x:row>
  </x:sheetData>
  <x:conditionalFormatting sqref="E5:E54">
    <x:cfRule type="containsText" dxfId="0" priority="1" operator="containsText" text="READY"/>
    <x:cfRule type="containsText" dxfId="1" priority="2" operator="containsText" text="COMPLETE"/>
    <x:cfRule type="containsText" dxfId="2" priority="3" operator="containsText" text="NEW"/>
    <x:cfRule type="containsText" dxfId="3" priority="4" operator="containsText" text="REMODEL"/>
    <x:cfRule type="containsText" dxfId="4" priority="5" operator="containsText" text="UNIT"/>
  </x:conditionalFormatting>
  <x:conditionalFormatting sqref="K5:K54">
    <x:cfRule type="containsText" dxfId="5" priority="6" operator="containsText" text="READY"/>
    <x:cfRule type="containsText" dxfId="6" priority="7" operator="containsText" text="COMPLETE"/>
    <x:cfRule type="containsText" dxfId="7" priority="8" operator="containsText" text="NEW"/>
    <x:cfRule type="containsText" dxfId="8" priority="9" operator="containsText" text="REMODEL"/>
    <x:cfRule type="containsText" dxfId="9" priority="10" operator="containsText" text="UNIT"/>
  </x:conditionalFormatting>
  <x:pageMargins left="0.7" right="0.7" top="0.75" bottom="0.75" header="0.3" footer="0.3"/>
  <x:tableParts count="1">
    <x:tablePart xmlns:r="http://schemas.openxmlformats.org/officeDocument/2006/relationships" r:id="R1aa6b2d15d3e4c31"/>
  </x:tableParts>
</x:worksheet>
</file>

<file path=xl/worksheets/sheet4.xml><?xml version="1.0" encoding="utf-8"?>
<x:worksheet xmlns:x="http://schemas.openxmlformats.org/spreadsheetml/2006/main">
  <x:sheetViews>
    <x:sheetView showGridLines="0" workbookViewId="0"/>
  </x:sheetViews>
  <x:sheetFormatPr defaultRowHeight="15"/>
  <x:cols>
    <x:col min="1" max="1" width="46" hidden="0" customWidth="1"/>
    <x:col min="2" max="2" width="42" hidden="0" customWidth="1"/>
    <x:col min="3" max="3" width="48" hidden="0" customWidth="1"/>
    <x:col min="4" max="4" width="18" hidden="0" customWidth="1"/>
    <x:col min="5" max="5" width="72" hidden="0" customWidth="1"/>
  </x:cols>
  <x:sheetData>
    <x:row r="1">
      <x:c r="A1" s="11" t="str">
        <x:v>NLTL Development Calibration - Batch 01</x:v>
      </x:c>
      <x:c r="B1" s="12"/>
      <x:c r="C1" s="12"/>
      <x:c r="D1" s="12"/>
      <x:c r="E1" s="12"/>
    </x:row>
    <x:row r="2">
      <x:c r="A2" s="13" t="str">
        <x:v>DRAFT_TERMS | DEV-CAL-BATCH-01-FIRST-50 | vocabulary is not frozen</x:v>
      </x:c>
      <x:c r="B2" s="13"/>
      <x:c r="C2" s="13"/>
      <x:c r="D2" s="13"/>
      <x:c r="E2" s="13"/>
    </x:row>
    <x:row r="3">
      <x:c r="A3" s="14"/>
      <x:c r="B3" s="14"/>
      <x:c r="C3" s="14"/>
      <x:c r="D3" s="14"/>
      <x:c r="E3" s="14"/>
    </x:row>
    <x:row r="4" ht="32" customHeight="1">
      <x:c r="A4" s="32" t="str">
        <x:v>DRAFT_LOCAL_NAME</x:v>
      </x:c>
      <x:c r="B4" s="52" t="str">
        <x:v>REQUIREMENT_IDS</x:v>
      </x:c>
      <x:c r="C4" s="52" t="str">
        <x:v>REQUIREMENT_COUNT</x:v>
      </x:c>
      <x:c r="D4" s="52" t="str">
        <x:v>STATUS</x:v>
      </x:c>
      <x:c r="E4" s="33" t="str">
        <x:v>NEXT_REVIEW</x:v>
      </x:c>
    </x:row>
    <x:row r="5">
      <x:c r="A5" s="34" t="str">
        <x:v>additionalPropulsionPower</x:v>
      </x:c>
      <x:c r="B5" s="37" t="str">
        <x:v>TRF-017</x:v>
      </x:c>
      <x:c r="C5" s="54" t="n">
        <x:v>1</x:v>
      </x:c>
      <x:c r="D5" s="34" t="str">
        <x:v>PROVISIONAL</x:v>
      </x:c>
      <x:c r="E5" s="34" t="str">
        <x:v>Initial preflight term retained for comparison with the consolidated R6 registry.</x:v>
      </x:c>
    </x:row>
    <x:row r="6">
      <x:c r="A6" s="35" t="str">
        <x:v>adjacentFrameHeight</x:v>
      </x:c>
      <x:c r="B6" s="38" t="str">
        <x:v>TRF-051</x:v>
      </x:c>
      <x:c r="C6" s="56" t="n">
        <x:v>1</x:v>
      </x:c>
      <x:c r="D6" s="35" t="str">
        <x:v>PROVISIONAL</x:v>
      </x:c>
      <x:c r="E6" s="35" t="str">
        <x:v>Initial preflight term retained for comparison with the consolidated R6 registry.</x:v>
      </x:c>
    </x:row>
    <x:row r="7">
      <x:c r="A7" s="35" t="str">
        <x:v>adjustedIceLoadForce</x:v>
      </x:c>
      <x:c r="B7" s="38" t="str">
        <x:v>TRF-058</x:v>
      </x:c>
      <x:c r="C7" s="56" t="n">
        <x:v>1</x:v>
      </x:c>
      <x:c r="D7" s="35" t="str">
        <x:v>PROVISIONAL</x:v>
      </x:c>
      <x:c r="E7" s="35" t="str">
        <x:v>Initial preflight term retained for comparison with the consolidated R6 registry.</x:v>
      </x:c>
    </x:row>
    <x:row r="8">
      <x:c r="A8" s="35" t="str">
        <x:v>allRegions</x:v>
      </x:c>
      <x:c r="B8" s="38" t="str">
        <x:v>TRF-052</x:v>
      </x:c>
      <x:c r="C8" s="56" t="n">
        <x:v>1</x:v>
      </x:c>
      <x:c r="D8" s="35" t="str">
        <x:v>PROVISIONAL</x:v>
      </x:c>
      <x:c r="E8" s="35" t="str">
        <x:v>Initial preflight term retained for comparison with the consolidated R6 registry.</x:v>
      </x:c>
    </x:row>
    <x:row r="9">
      <x:c r="A9" s="35" t="str">
        <x:v>antitrippingSupportRegion</x:v>
      </x:c>
      <x:c r="B9" s="38" t="str">
        <x:v>TRF-052</x:v>
      </x:c>
      <x:c r="C9" s="56" t="n">
        <x:v>1</x:v>
      </x:c>
      <x:c r="D9" s="35" t="str">
        <x:v>PROVISIONAL</x:v>
      </x:c>
      <x:c r="E9" s="35" t="str">
        <x:v>Initial preflight term retained for comparison with the consolidated R6 registry.</x:v>
      </x:c>
    </x:row>
    <x:row r="10">
      <x:c r="A10" s="35" t="str">
        <x:v>applicableIceClassRegulationEdition</x:v>
      </x:c>
      <x:c r="B10" s="38" t="str">
        <x:v>TRF-001 | TRF-002 | TRF-003 | TRF-004 | TRF-005 | TRF-006 | TRF-023</x:v>
      </x:c>
      <x:c r="C10" s="56" t="n">
        <x:v>7</x:v>
      </x:c>
      <x:c r="D10" s="35" t="str">
        <x:v>PROVISIONAL</x:v>
      </x:c>
      <x:c r="E10" s="35" t="str">
        <x:v>Initial preflight term retained for comparison with the consolidated R6 registry.</x:v>
      </x:c>
    </x:row>
    <x:row r="11">
      <x:c r="A11" s="35" t="str">
        <x:v>appliedIcePressure</x:v>
      </x:c>
      <x:c r="B11" s="38" t="str">
        <x:v>TRF-030</x:v>
      </x:c>
      <x:c r="C11" s="56" t="n">
        <x:v>1</x:v>
      </x:c>
      <x:c r="D11" s="35" t="str">
        <x:v>PROVISIONAL</x:v>
      </x:c>
      <x:c r="E11" s="35" t="str">
        <x:v>Initial preflight term retained for comparison with the consolidated R6 registry.</x:v>
      </x:c>
    </x:row>
    <x:row r="12">
      <x:c r="A12" s="35" t="str">
        <x:v>assessmentDate</x:v>
      </x:c>
      <x:c r="B12" s="38" t="str">
        <x:v>TRF-007 | TRF-009 | TRF-024</x:v>
      </x:c>
      <x:c r="C12" s="56" t="n">
        <x:v>3</x:v>
      </x:c>
      <x:c r="D12" s="35" t="str">
        <x:v>PROVISIONAL</x:v>
      </x:c>
      <x:c r="E12" s="35" t="str">
        <x:v>Initial preflight term retained for comparison with the consolidated R6 registry.</x:v>
      </x:c>
    </x:row>
    <x:row r="13">
      <x:c r="A13" s="35" t="str">
        <x:v>attachedToSupportingStructure</x:v>
      </x:c>
      <x:c r="B13" s="38" t="str">
        <x:v>TRF-046 | TRF-047</x:v>
      </x:c>
      <x:c r="C13" s="56" t="n">
        <x:v>2</x:v>
      </x:c>
      <x:c r="D13" s="35" t="str">
        <x:v>PROVISIONAL</x:v>
      </x:c>
      <x:c r="E13" s="35" t="str">
        <x:v>Initial preflight term retained for comparison with the consolidated R6 registry.</x:v>
      </x:c>
    </x:row>
    <x:row r="14">
      <x:c r="A14" s="35" t="str">
        <x:v>ballastTank</x:v>
      </x:c>
      <x:c r="B14" s="38" t="str">
        <x:v>TRF-016</x:v>
      </x:c>
      <x:c r="C14" s="56" t="n">
        <x:v>1</x:v>
      </x:c>
      <x:c r="D14" s="35" t="str">
        <x:v>PROVISIONAL</x:v>
      </x:c>
      <x:c r="E14" s="35" t="str">
        <x:v>Initial preflight term retained for comparison with the consolidated R6 registry.</x:v>
      </x:c>
    </x:row>
    <x:row r="15">
      <x:c r="A15" s="35" t="str">
        <x:v>bowRegion</x:v>
      </x:c>
      <x:c r="B15" s="38" t="str">
        <x:v>TRF-052</x:v>
      </x:c>
      <x:c r="C15" s="56" t="n">
        <x:v>1</x:v>
      </x:c>
      <x:c r="D15" s="35" t="str">
        <x:v>PROVISIONAL</x:v>
      </x:c>
      <x:c r="E15" s="35" t="str">
        <x:v>Initial preflight term retained for comparison with the consolidated R6 registry.</x:v>
      </x:c>
    </x:row>
    <x:row r="16">
      <x:c r="A16" s="35" t="str">
        <x:v>bracketArea</x:v>
      </x:c>
      <x:c r="B16" s="38" t="str">
        <x:v>TRF-048</x:v>
      </x:c>
      <x:c r="C16" s="56" t="n">
        <x:v>1</x:v>
      </x:c>
      <x:c r="D16" s="35" t="str">
        <x:v>PROVISIONAL</x:v>
      </x:c>
      <x:c r="E16" s="35" t="str">
        <x:v>Initial preflight term retained for comparison with the consolidated R6 registry.</x:v>
      </x:c>
    </x:row>
    <x:row r="17">
      <x:c r="A17" s="35" t="str">
        <x:v>bracketEdgeStiffened</x:v>
      </x:c>
      <x:c r="B17" s="38" t="str">
        <x:v>TRF-049</x:v>
      </x:c>
      <x:c r="C17" s="56" t="n">
        <x:v>1</x:v>
      </x:c>
      <x:c r="D17" s="35" t="str">
        <x:v>PROVISIONAL</x:v>
      </x:c>
      <x:c r="E17" s="35" t="str">
        <x:v>Initial preflight term retained for comparison with the consolidated R6 registry.</x:v>
      </x:c>
    </x:row>
    <x:row r="18">
      <x:c r="A18" s="35" t="str">
        <x:v>bracketThickness</x:v>
      </x:c>
      <x:c r="B18" s="38" t="str">
        <x:v>TRF-049</x:v>
      </x:c>
      <x:c r="C18" s="56" t="n">
        <x:v>1</x:v>
      </x:c>
      <x:c r="D18" s="35" t="str">
        <x:v>PROVISIONAL</x:v>
      </x:c>
      <x:c r="E18" s="35" t="str">
        <x:v>Initial preflight term retained for comparison with the consolidated R6 registry.</x:v>
      </x:c>
    </x:row>
    <x:row r="19">
      <x:c r="A19" s="35" t="str">
        <x:v>brashIceResistanceCoefficientC1</x:v>
      </x:c>
      <x:c r="B19" s="38" t="str">
        <x:v>TRF-025 | TRF-026</x:v>
      </x:c>
      <x:c r="C19" s="56" t="n">
        <x:v>2</x:v>
      </x:c>
      <x:c r="D19" s="35" t="str">
        <x:v>PROVISIONAL</x:v>
      </x:c>
      <x:c r="E19" s="35" t="str">
        <x:v>Initial preflight term retained for comparison with the consolidated R6 registry.</x:v>
      </x:c>
    </x:row>
    <x:row r="20">
      <x:c r="A20" s="35" t="str">
        <x:v>brashIceResistanceCoefficientC2</x:v>
      </x:c>
      <x:c r="B20" s="38" t="str">
        <x:v>TRF-025 | TRF-026</x:v>
      </x:c>
      <x:c r="C20" s="56" t="n">
        <x:v>2</x:v>
      </x:c>
      <x:c r="D20" s="35" t="str">
        <x:v>PROVISIONAL</x:v>
      </x:c>
      <x:c r="E20" s="35" t="str">
        <x:v>Initial preflight term retained for comparison with the consolidated R6 registry.</x:v>
      </x:c>
    </x:row>
    <x:row r="21">
      <x:c r="A21" s="35" t="str">
        <x:v>classCertificate</x:v>
      </x:c>
      <x:c r="B21" s="38" t="str">
        <x:v>TRF-014</x:v>
      </x:c>
      <x:c r="C21" s="56" t="n">
        <x:v>1</x:v>
      </x:c>
      <x:c r="D21" s="35" t="str">
        <x:v>PROVISIONAL</x:v>
      </x:c>
      <x:c r="E21" s="35" t="str">
        <x:v>Initial preflight term retained for comparison with the consolidated R6 registry.</x:v>
      </x:c>
    </x:row>
    <x:row r="22">
      <x:c r="A22" s="35" t="str">
        <x:v>classificationSocietyRequiredScantling</x:v>
      </x:c>
      <x:c r="B22" s="38" t="str">
        <x:v>TRF-032</x:v>
      </x:c>
      <x:c r="C22" s="56" t="n">
        <x:v>1</x:v>
      </x:c>
      <x:c r="D22" s="35" t="str">
        <x:v>PROVISIONAL</x:v>
      </x:c>
      <x:c r="E22" s="35" t="str">
        <x:v>Initial preflight term retained for comparison with the consolidated R6 registry.</x:v>
      </x:c>
    </x:row>
    <x:row r="23">
      <x:c r="A23" s="35" t="str">
        <x:v>classificationSocietyRuleLength</x:v>
      </x:c>
      <x:c r="B23" s="38" t="str">
        <x:v>TRF-035</x:v>
      </x:c>
      <x:c r="C23" s="56" t="n">
        <x:v>1</x:v>
      </x:c>
      <x:c r="D23" s="35" t="str">
        <x:v>PROVISIONAL</x:v>
      </x:c>
      <x:c r="E23" s="35" t="str">
        <x:v>Initial preflight term retained for comparison with the consolidated R6 registry.</x:v>
      </x:c>
    </x:row>
    <x:row r="24">
      <x:c r="A24" s="35" t="str">
        <x:v>classificationSocietySectionPropertyCalculationEvidence</x:v>
      </x:c>
      <x:c r="B24" s="38" t="str">
        <x:v>TRF-034</x:v>
      </x:c>
      <x:c r="C24" s="56" t="n">
        <x:v>1</x:v>
      </x:c>
      <x:c r="D24" s="35" t="str">
        <x:v>PROVISIONAL</x:v>
      </x:c>
      <x:c r="E24" s="35" t="str">
        <x:v>Initial preflight term retained for comparison with the consolidated R6 registry.</x:v>
      </x:c>
    </x:row>
    <x:row r="25">
      <x:c r="A25" s="35" t="str">
        <x:v>coefficientA</x:v>
      </x:c>
      <x:c r="B25" s="38" t="str">
        <x:v>TRF-037</x:v>
      </x:c>
      <x:c r="C25" s="56" t="n">
        <x:v>1</x:v>
      </x:c>
      <x:c r="D25" s="35" t="str">
        <x:v>PROVISIONAL</x:v>
      </x:c>
      <x:c r="E25" s="35" t="str">
        <x:v>Initial preflight term retained for comparison with the consolidated R6 registry.</x:v>
      </x:c>
    </x:row>
    <x:row r="26">
      <x:c r="A26" s="35" t="str">
        <x:v>coefficientB</x:v>
      </x:c>
      <x:c r="B26" s="38" t="str">
        <x:v>TRF-037</x:v>
      </x:c>
      <x:c r="C26" s="56" t="n">
        <x:v>1</x:v>
      </x:c>
      <x:c r="D26" s="35" t="str">
        <x:v>PROVISIONAL</x:v>
      </x:c>
      <x:c r="E26" s="35" t="str">
        <x:v>Initial preflight term retained for comparison with the consolidated R6 registry.</x:v>
      </x:c>
    </x:row>
    <x:row r="27">
      <x:c r="A27" s="35" t="str">
        <x:v>coefficientK</x:v>
      </x:c>
      <x:c r="B27" s="38" t="str">
        <x:v>TRF-037</x:v>
      </x:c>
      <x:c r="C27" s="56" t="n">
        <x:v>1</x:v>
      </x:c>
      <x:c r="D27" s="35" t="str">
        <x:v>PROVISIONAL</x:v>
      </x:c>
      <x:c r="E27" s="35" t="str">
        <x:v>Initial preflight term retained for comparison with the consolidated R6 registry.</x:v>
      </x:c>
    </x:row>
    <x:row r="28">
      <x:c r="A28" s="35" t="str">
        <x:v>combinedBendingShearCapacity</x:v>
      </x:c>
      <x:c r="B28" s="38" t="str">
        <x:v>TRF-030</x:v>
      </x:c>
      <x:c r="C28" s="56" t="n">
        <x:v>1</x:v>
      </x:c>
      <x:c r="D28" s="35" t="str">
        <x:v>PROVISIONAL</x:v>
      </x:c>
      <x:c r="E28" s="35" t="str">
        <x:v>Initial preflight term retained for comparison with the consolidated R6 registry.</x:v>
      </x:c>
    </x:row>
    <x:row r="29">
      <x:c r="A29" s="35" t="str">
        <x:v>controllablePitchPropeller</x:v>
      </x:c>
      <x:c r="B29" s="38" t="str">
        <x:v>TRF-020</x:v>
      </x:c>
      <x:c r="C29" s="56" t="n">
        <x:v>1</x:v>
      </x:c>
      <x:c r="D29" s="35" t="str">
        <x:v>PROVISIONAL</x:v>
      </x:c>
      <x:c r="E29" s="35" t="str">
        <x:v>Initial preflight term retained for comparison with the consolidated R6 registry.</x:v>
      </x:c>
    </x:row>
    <x:row r="30">
      <x:c r="A30" s="35" t="str">
        <x:v>conventionalPropulsionSystem</x:v>
      </x:c>
      <x:c r="B30" s="38" t="str">
        <x:v>TRF-020</x:v>
      </x:c>
      <x:c r="C30" s="56" t="n">
        <x:v>1</x:v>
      </x:c>
      <x:c r="D30" s="35" t="str">
        <x:v>PROVISIONAL</x:v>
      </x:c>
      <x:c r="E30" s="35" t="str">
        <x:v>Initial preflight term retained for comparison with the consolidated R6 registry.</x:v>
      </x:c>
    </x:row>
    <x:row r="31">
      <x:c r="A31" s="35" t="str">
        <x:v>deliveryDate</x:v>
      </x:c>
      <x:c r="B31" s="38" t="str">
        <x:v>TRF-007 | TRF-009 | TRF-024</x:v>
      </x:c>
      <x:c r="C31" s="56" t="n">
        <x:v>3</x:v>
      </x:c>
      <x:c r="D31" s="35" t="str">
        <x:v>PROVISIONAL</x:v>
      </x:c>
      <x:c r="E31" s="35" t="str">
        <x:v>Initial preflight term retained for comparison with the consolidated R6 registry.</x:v>
      </x:c>
    </x:row>
    <x:row r="32">
      <x:c r="A32" s="35" t="str">
        <x:v>directAnalysisCase</x:v>
      </x:c>
      <x:c r="B32" s="38" t="str">
        <x:v>TRF-030</x:v>
      </x:c>
      <x:c r="C32" s="56" t="n">
        <x:v>1</x:v>
      </x:c>
      <x:c r="D32" s="35" t="str">
        <x:v>PROVISIONAL</x:v>
      </x:c>
      <x:c r="E32" s="35" t="str">
        <x:v>Initial preflight term retained for comparison with the consolidated R6 registry.</x:v>
      </x:c>
    </x:row>
    <x:row r="33">
      <x:c r="A33" s="35" t="str">
        <x:v>doubleContinuousWeld</x:v>
      </x:c>
      <x:c r="B33" s="38" t="str">
        <x:v>TRF-050</x:v>
      </x:c>
      <x:c r="C33" s="56" t="n">
        <x:v>1</x:v>
      </x:c>
      <x:c r="D33" s="35" t="str">
        <x:v>PROVISIONAL</x:v>
      </x:c>
      <x:c r="E33" s="35" t="str">
        <x:v>Initial preflight term retained for comparison with the consolidated R6 registry.</x:v>
      </x:c>
    </x:row>
    <x:row r="34">
      <x:c r="A34" s="35" t="str">
        <x:v>draughtAtAftPerpendicular</x:v>
      </x:c>
      <x:c r="B34" s="38" t="str">
        <x:v>TRF-013</x:v>
      </x:c>
      <x:c r="C34" s="56" t="n">
        <x:v>1</x:v>
      </x:c>
      <x:c r="D34" s="35" t="str">
        <x:v>PROVISIONAL</x:v>
      </x:c>
      <x:c r="E34" s="35" t="str">
        <x:v>Initial preflight term retained for comparison with the consolidated R6 registry.</x:v>
      </x:c>
    </x:row>
    <x:row r="35">
      <x:c r="A35" s="35" t="str">
        <x:v>draughtAtForePerpendicular</x:v>
      </x:c>
      <x:c r="B35" s="38" t="str">
        <x:v>TRF-013</x:v>
      </x:c>
      <x:c r="C35" s="56" t="n">
        <x:v>1</x:v>
      </x:c>
      <x:c r="D35" s="35" t="str">
        <x:v>PROVISIONAL</x:v>
      </x:c>
      <x:c r="E35" s="35" t="str">
        <x:v>Initial preflight term retained for comparison with the consolidated R6 registry.</x:v>
      </x:c>
    </x:row>
    <x:row r="36">
      <x:c r="A36" s="35" t="str">
        <x:v>effectiveFrameSpan</x:v>
      </x:c>
      <x:c r="B36" s="38" t="str">
        <x:v>TRF-044</x:v>
      </x:c>
      <x:c r="C36" s="56" t="n">
        <x:v>1</x:v>
      </x:c>
      <x:c r="D36" s="35" t="str">
        <x:v>PROVISIONAL</x:v>
      </x:c>
      <x:c r="E36" s="35" t="str">
        <x:v>Initial preflight term retained for comparison with the consolidated R6 registry.</x:v>
      </x:c>
    </x:row>
    <x:row r="37">
      <x:c r="A37" s="35" t="str">
        <x:v>effectiveMemberCrossSection</x:v>
      </x:c>
      <x:c r="B37" s="38" t="str">
        <x:v>TRF-034</x:v>
      </x:c>
      <x:c r="C37" s="56" t="n">
        <x:v>1</x:v>
      </x:c>
      <x:c r="D37" s="35" t="str">
        <x:v>PROVISIONAL</x:v>
      </x:c>
      <x:c r="E37" s="35" t="str">
        <x:v>Initial preflight term retained for comparison with the consolidated R6 registry.</x:v>
      </x:c>
    </x:row>
    <x:row r="38">
      <x:c r="A38" s="35" t="str">
        <x:v>engineOutputComplianceMethod</x:v>
      </x:c>
      <x:c r="B38" s="38" t="str">
        <x:v>TRF-007 | TRF-009 | TRF-024</x:v>
      </x:c>
      <x:c r="C38" s="56" t="n">
        <x:v>3</x:v>
      </x:c>
      <x:c r="D38" s="35" t="str">
        <x:v>PROVISIONAL</x:v>
      </x:c>
      <x:c r="E38" s="35" t="str">
        <x:v>Initial preflight term retained for comparison with the consolidated R6 registry.</x:v>
      </x:c>
    </x:row>
    <x:row r="39">
      <x:c r="A39" s="35" t="str">
        <x:v>engineOutputRegulationEdition</x:v>
      </x:c>
      <x:c r="B39" s="38" t="str">
        <x:v>TRF-006</x:v>
      </x:c>
      <x:c r="C39" s="56" t="n">
        <x:v>1</x:v>
      </x:c>
      <x:c r="D39" s="35" t="str">
        <x:v>PROVISIONAL</x:v>
      </x:c>
      <x:c r="E39" s="35" t="str">
        <x:v>Initial preflight term retained for comparison with the consolidated R6 registry.</x:v>
      </x:c>
    </x:row>
    <x:row r="40">
      <x:c r="A40" s="35" t="str">
        <x:v>firstScheduledDryDockingDate</x:v>
      </x:c>
      <x:c r="B40" s="38" t="str">
        <x:v>TRF-014</x:v>
      </x:c>
      <x:c r="C40" s="56" t="n">
        <x:v>1</x:v>
      </x:c>
      <x:c r="D40" s="35" t="str">
        <x:v>PROVISIONAL</x:v>
      </x:c>
      <x:c r="E40" s="35" t="str">
        <x:v>Initial preflight term retained for comparison with the consolidated R6 registry.</x:v>
      </x:c>
    </x:row>
    <x:row r="41">
      <x:c r="A41" s="35" t="str">
        <x:v>fixedPitchPropeller</x:v>
      </x:c>
      <x:c r="B41" s="38" t="str">
        <x:v>TRF-020</x:v>
      </x:c>
      <x:c r="C41" s="56" t="n">
        <x:v>1</x:v>
      </x:c>
      <x:c r="D41" s="35" t="str">
        <x:v>PROVISIONAL</x:v>
      </x:c>
      <x:c r="E41" s="35" t="str">
        <x:v>Initial preflight term retained for comparison with the consolidated R6 registry.</x:v>
      </x:c>
    </x:row>
    <x:row r="42">
      <x:c r="A42" s="35" t="str">
        <x:v>flatBarSection</x:v>
      </x:c>
      <x:c r="B42" s="38" t="str">
        <x:v>TRF-051</x:v>
      </x:c>
      <x:c r="C42" s="56" t="n">
        <x:v>1</x:v>
      </x:c>
      <x:c r="D42" s="35" t="str">
        <x:v>PROVISIONAL</x:v>
      </x:c>
      <x:c r="E42" s="35" t="str">
        <x:v>Initial preflight term retained for comparison with the consolidated R6 registry.</x:v>
      </x:c>
    </x:row>
    <x:row r="43">
      <x:c r="A43" s="35" t="str">
        <x:v>frameBoundaryConditionFactorM0</x:v>
      </x:c>
      <x:c r="B43" s="38" t="str">
        <x:v>TRF-044</x:v>
      </x:c>
      <x:c r="C43" s="56" t="n">
        <x:v>1</x:v>
      </x:c>
      <x:c r="D43" s="35" t="str">
        <x:v>PROVISIONAL</x:v>
      </x:c>
      <x:c r="E43" s="35" t="str">
        <x:v>Initial preflight term retained for comparison with the consolidated R6 registry.</x:v>
      </x:c>
    </x:row>
    <x:row r="44">
      <x:c r="A44" s="35" t="str">
        <x:v>frameMomentFactorM</x:v>
      </x:c>
      <x:c r="B44" s="38" t="str">
        <x:v>TRF-048 | TRF-053 | TRF-054</x:v>
      </x:c>
      <x:c r="C44" s="56" t="n">
        <x:v>3</x:v>
      </x:c>
      <x:c r="D44" s="35" t="str">
        <x:v>PROVISIONAL</x:v>
      </x:c>
      <x:c r="E44" s="35" t="str">
        <x:v>Initial preflight term retained for comparison with the consolidated R6 registry.</x:v>
      </x:c>
    </x:row>
    <x:row r="45">
      <x:c r="A45" s="35" t="str">
        <x:v>frameMomentFactorMt</x:v>
      </x:c>
      <x:c r="B45" s="38" t="str">
        <x:v>TRF-044</x:v>
      </x:c>
      <x:c r="C45" s="56" t="n">
        <x:v>1</x:v>
      </x:c>
      <x:c r="D45" s="35" t="str">
        <x:v>PROVISIONAL</x:v>
      </x:c>
      <x:c r="E45" s="35" t="str">
        <x:v>Initial preflight term retained for comparison with the consolidated R6 registry.</x:v>
      </x:c>
    </x:row>
    <x:row r="46">
      <x:c r="A46" s="35" t="str">
        <x:v>frameProfileType</x:v>
      </x:c>
      <x:c r="B46" s="38" t="str">
        <x:v>TRF-051</x:v>
      </x:c>
      <x:c r="C46" s="56" t="n">
        <x:v>1</x:v>
      </x:c>
      <x:c r="D46" s="35" t="str">
        <x:v>PROVISIONAL</x:v>
      </x:c>
      <x:c r="E46" s="35" t="str">
        <x:v>Initial preflight term retained for comparison with the consolidated R6 registry.</x:v>
      </x:c>
    </x:row>
    <x:row r="47">
      <x:c r="A47" s="35" t="str">
        <x:v>frameSpanWithinIceStrengtheningZone</x:v>
      </x:c>
      <x:c r="B47" s="38" t="str">
        <x:v>TRF-045</x:v>
      </x:c>
      <x:c r="C47" s="56" t="n">
        <x:v>1</x:v>
      </x:c>
      <x:c r="D47" s="35" t="str">
        <x:v>PROVISIONAL</x:v>
      </x:c>
      <x:c r="E47" s="35" t="str">
        <x:v>Initial preflight term retained for comparison with the consolidated R6 registry.</x:v>
      </x:c>
    </x:row>
    <x:row r="48">
      <x:c r="A48" s="35" t="str">
        <x:v>hasBallastTank</x:v>
      </x:c>
      <x:c r="B48" s="38" t="str">
        <x:v>TRF-016</x:v>
      </x:c>
      <x:c r="C48" s="56" t="n">
        <x:v>1</x:v>
      </x:c>
      <x:c r="D48" s="35" t="str">
        <x:v>PROVISIONAL</x:v>
      </x:c>
      <x:c r="E48" s="35" t="str">
        <x:v>Initial preflight term retained for comparison with the consolidated R6 registry.</x:v>
      </x:c>
    </x:row>
    <x:row r="49">
      <x:c r="A49" s="35" t="str">
        <x:v>hasDirectAnalysisCase</x:v>
      </x:c>
      <x:c r="B49" s="38" t="str">
        <x:v>TRF-030</x:v>
      </x:c>
      <x:c r="C49" s="56" t="n">
        <x:v>1</x:v>
      </x:c>
      <x:c r="D49" s="35" t="str">
        <x:v>PROVISIONAL</x:v>
      </x:c>
      <x:c r="E49" s="35" t="str">
        <x:v>Initial preflight term retained for comparison with the consolidated R6 registry.</x:v>
      </x:c>
    </x:row>
    <x:row r="50">
      <x:c r="A50" s="35" t="str">
        <x:v>hasFrameAttachment</x:v>
      </x:c>
      <x:c r="B50" s="38" t="str">
        <x:v>TRF-049</x:v>
      </x:c>
      <x:c r="C50" s="56" t="n">
        <x:v>1</x:v>
      </x:c>
      <x:c r="D50" s="35" t="str">
        <x:v>PROVISIONAL</x:v>
      </x:c>
      <x:c r="E50" s="35" t="str">
        <x:v>Initial preflight term retained for comparison with the consolidated R6 registry.</x:v>
      </x:c>
    </x:row>
    <x:row r="51">
      <x:c r="A51" s="35" t="str">
        <x:v>hasIntendedIceOperatingWaterline</x:v>
      </x:c>
      <x:c r="B51" s="38" t="str">
        <x:v>TRF-011 | TRF-012</x:v>
      </x:c>
      <x:c r="C51" s="56" t="n">
        <x:v>2</x:v>
      </x:c>
      <x:c r="D51" s="35" t="str">
        <x:v>PROVISIONAL</x:v>
      </x:c>
      <x:c r="E51" s="35" t="str">
        <x:v>Initial preflight term retained for comparison with the consolidated R6 registry.</x:v>
      </x:c>
    </x:row>
    <x:row r="52">
      <x:c r="A52" s="35" t="str">
        <x:v>hasLowerEnd</x:v>
      </x:c>
      <x:c r="B52" s="38" t="str">
        <x:v>TRF-047</x:v>
      </x:c>
      <x:c r="C52" s="56" t="n">
        <x:v>1</x:v>
      </x:c>
      <x:c r="D52" s="35" t="str">
        <x:v>PROVISIONAL</x:v>
      </x:c>
      <x:c r="E52" s="35" t="str">
        <x:v>Initial preflight term retained for comparison with the consolidated R6 registry.</x:v>
      </x:c>
    </x:row>
    <x:row r="53">
      <x:c r="A53" s="35" t="str">
        <x:v>hasLowerIceWaterline</x:v>
      </x:c>
      <x:c r="B53" s="38" t="str">
        <x:v>TRF-012 | TRF-013</x:v>
      </x:c>
      <x:c r="C53" s="56" t="n">
        <x:v>2</x:v>
      </x:c>
      <x:c r="D53" s="35" t="str">
        <x:v>PROVISIONAL</x:v>
      </x:c>
      <x:c r="E53" s="35" t="str">
        <x:v>Initial preflight term retained for comparison with the consolidated R6 registry.</x:v>
      </x:c>
    </x:row>
    <x:row r="54">
      <x:c r="A54" s="35" t="str">
        <x:v>hasSupportingBulkhead</x:v>
      </x:c>
      <x:c r="B54" s="38" t="str">
        <x:v>TRF-049</x:v>
      </x:c>
      <x:c r="C54" s="56" t="n">
        <x:v>1</x:v>
      </x:c>
      <x:c r="D54" s="35" t="str">
        <x:v>PROVISIONAL</x:v>
      </x:c>
      <x:c r="E54" s="35" t="str">
        <x:v>Initial preflight term retained for comparison with the consolidated R6 registry.</x:v>
      </x:c>
    </x:row>
    <x:row r="55">
      <x:c r="A55" s="35" t="str">
        <x:v>hasSupportingWebFrame</x:v>
      </x:c>
      <x:c r="B55" s="38" t="str">
        <x:v>TRF-049</x:v>
      </x:c>
      <x:c r="C55" s="56" t="n">
        <x:v>1</x:v>
      </x:c>
      <x:c r="D55" s="35" t="str">
        <x:v>PROVISIONAL</x:v>
      </x:c>
      <x:c r="E55" s="35" t="str">
        <x:v>Initial preflight term retained for comparison with the consolidated R6 registry.</x:v>
      </x:c>
    </x:row>
    <x:row r="56">
      <x:c r="A56" s="35" t="str">
        <x:v>hasUpperEnd</x:v>
      </x:c>
      <x:c r="B56" s="38" t="str">
        <x:v>TRF-046</x:v>
      </x:c>
      <x:c r="C56" s="56" t="n">
        <x:v>1</x:v>
      </x:c>
      <x:c r="D56" s="35" t="str">
        <x:v>PROVISIONAL</x:v>
      </x:c>
      <x:c r="E56" s="35" t="str">
        <x:v>Initial preflight term retained for comparison with the consolidated R6 registry.</x:v>
      </x:c>
    </x:row>
    <x:row r="57">
      <x:c r="A57" s="35" t="str">
        <x:v>hasUpperIceWaterline</x:v>
      </x:c>
      <x:c r="B57" s="38" t="str">
        <x:v>TRF-011 | TRF-013 | TRF-016</x:v>
      </x:c>
      <x:c r="C57" s="56" t="n">
        <x:v>3</x:v>
      </x:c>
      <x:c r="D57" s="35" t="str">
        <x:v>PROVISIONAL</x:v>
      </x:c>
      <x:c r="E57" s="35" t="str">
        <x:v>Initial preflight term retained for comparison with the consolidated R6 registry.</x:v>
      </x:c>
    </x:row>
    <x:row r="58">
      <x:c r="A58" s="35" t="str">
        <x:v>hasWaterlineProfilePoint</x:v>
      </x:c>
      <x:c r="B58" s="38" t="str">
        <x:v>TRF-011 | TRF-012</x:v>
      </x:c>
      <x:c r="C58" s="56" t="n">
        <x:v>2</x:v>
      </x:c>
      <x:c r="D58" s="35" t="str">
        <x:v>PROVISIONAL</x:v>
      </x:c>
      <x:c r="E58" s="35" t="str">
        <x:v>Initial preflight term retained for comparison with the consolidated R6 registry.</x:v>
      </x:c>
    </x:row>
    <x:row r="59">
      <x:c r="A59" s="35" t="str">
        <x:v>horizontalConnectionMember</x:v>
      </x:c>
      <x:c r="B59" s="38" t="str">
        <x:v>TRF-046 | TRF-047</x:v>
      </x:c>
      <x:c r="C59" s="56" t="n">
        <x:v>2</x:v>
      </x:c>
      <x:c r="D59" s="35" t="str">
        <x:v>PROVISIONAL</x:v>
      </x:c>
      <x:c r="E59" s="35" t="str">
        <x:v>Initial preflight term retained for comparison with the consolidated R6 registry.</x:v>
      </x:c>
    </x:row>
    <x:row r="60">
      <x:c r="A60" s="35" t="str">
        <x:v>horizontalLoadPosition</x:v>
      </x:c>
      <x:c r="B60" s="38" t="str">
        <x:v>TRF-030</x:v>
      </x:c>
      <x:c r="C60" s="56" t="n">
        <x:v>1</x:v>
      </x:c>
      <x:c r="D60" s="35" t="str">
        <x:v>PROVISIONAL</x:v>
      </x:c>
      <x:c r="E60" s="35" t="str">
        <x:v>Initial preflight term retained for comparison with the consolidated R6 registry.</x:v>
      </x:c>
    </x:row>
    <x:row r="61">
      <x:c r="A61" s="35" t="str">
        <x:v>iceClassDesignParameterSet</x:v>
      </x:c>
      <x:c r="B61" s="38" t="str">
        <x:v>TRF-036</x:v>
      </x:c>
      <x:c r="C61" s="56" t="n">
        <x:v>1</x:v>
      </x:c>
      <x:c r="D61" s="35" t="str">
        <x:v>PROVISIONAL</x:v>
      </x:c>
      <x:c r="E61" s="35" t="str">
        <x:v>Initial preflight term retained for comparison with the consolidated R6 registry.</x:v>
      </x:c>
    </x:row>
    <x:row r="62">
      <x:c r="A62" s="35" t="str">
        <x:v>iceClassDraughtMarkPresent</x:v>
      </x:c>
      <x:c r="B62" s="38" t="str">
        <x:v>TRF-014</x:v>
      </x:c>
      <x:c r="C62" s="56" t="n">
        <x:v>1</x:v>
      </x:c>
      <x:c r="D62" s="35" t="str">
        <x:v>PROVISIONAL</x:v>
      </x:c>
      <x:c r="E62" s="35" t="str">
        <x:v>Initial preflight term retained for comparison with the consolidated R6 registry.</x:v>
      </x:c>
    </x:row>
    <x:row r="63">
      <x:c r="A63" s="35" t="str">
        <x:v>iceClassFactorCp</x:v>
      </x:c>
      <x:c r="B63" s="38" t="str">
        <x:v>TRF-037</x:v>
      </x:c>
      <x:c r="C63" s="56" t="n">
        <x:v>1</x:v>
      </x:c>
      <x:c r="D63" s="35" t="str">
        <x:v>PROVISIONAL</x:v>
      </x:c>
      <x:c r="E63" s="35" t="str">
        <x:v>Initial preflight term retained for comparison with the consolidated R6 registry.</x:v>
      </x:c>
    </x:row>
    <x:row r="64">
      <x:c r="A64" s="35" t="str">
        <x:v>iceClassRegulationEdition2002</x:v>
      </x:c>
      <x:c r="B64" s="38" t="str">
        <x:v>TRF-005</x:v>
      </x:c>
      <x:c r="C64" s="56" t="n">
        <x:v>1</x:v>
      </x:c>
      <x:c r="D64" s="35" t="str">
        <x:v>PROVISIONAL</x:v>
      </x:c>
      <x:c r="E64" s="35" t="str">
        <x:v>Initial preflight term retained for comparison with the consolidated R6 registry.</x:v>
      </x:c>
    </x:row>
    <x:row r="65">
      <x:c r="A65" s="35" t="str">
        <x:v>iceClassRegulationEdition2008</x:v>
      </x:c>
      <x:c r="B65" s="38" t="str">
        <x:v>TRF-004 | TRF-006</x:v>
      </x:c>
      <x:c r="C65" s="56" t="n">
        <x:v>2</x:v>
      </x:c>
      <x:c r="D65" s="35" t="str">
        <x:v>PROVISIONAL</x:v>
      </x:c>
      <x:c r="E65" s="35" t="str">
        <x:v>Initial preflight term retained for comparison with the consolidated R6 registry.</x:v>
      </x:c>
    </x:row>
    <x:row r="66">
      <x:c r="A66" s="35" t="str">
        <x:v>iceClassRegulationEdition2010</x:v>
      </x:c>
      <x:c r="B66" s="38" t="str">
        <x:v>TRF-003</x:v>
      </x:c>
      <x:c r="C66" s="56" t="n">
        <x:v>1</x:v>
      </x:c>
      <x:c r="D66" s="35" t="str">
        <x:v>PROVISIONAL</x:v>
      </x:c>
      <x:c r="E66" s="35" t="str">
        <x:v>Initial preflight term retained for comparison with the consolidated R6 registry.</x:v>
      </x:c>
    </x:row>
    <x:row r="67">
      <x:c r="A67" s="35" t="str">
        <x:v>iceClassRegulationEdition2017</x:v>
      </x:c>
      <x:c r="B67" s="38" t="str">
        <x:v>TRF-002</x:v>
      </x:c>
      <x:c r="C67" s="56" t="n">
        <x:v>1</x:v>
      </x:c>
      <x:c r="D67" s="35" t="str">
        <x:v>PROVISIONAL</x:v>
      </x:c>
      <x:c r="E67" s="35" t="str">
        <x:v>Initial preflight term retained for comparison with the consolidated R6 registry.</x:v>
      </x:c>
    </x:row>
    <x:row r="68">
      <x:c r="A68" s="35" t="str">
        <x:v>iceClassRegulationEdition2021</x:v>
      </x:c>
      <x:c r="B68" s="38" t="str">
        <x:v>TRF-001</x:v>
      </x:c>
      <x:c r="C68" s="56" t="n">
        <x:v>1</x:v>
      </x:c>
      <x:c r="D68" s="35" t="str">
        <x:v>PROVISIONAL</x:v>
      </x:c>
      <x:c r="E68" s="35" t="str">
        <x:v>Initial preflight term retained for comparison with the consolidated R6 registry.</x:v>
      </x:c>
    </x:row>
    <x:row r="69">
      <x:c r="A69" s="35" t="str">
        <x:v>iceClassRuleEdition1985</x:v>
      </x:c>
      <x:c r="B69" s="38" t="str">
        <x:v>TRF-006 | TRF-023</x:v>
      </x:c>
      <x:c r="C69" s="56" t="n">
        <x:v>2</x:v>
      </x:c>
      <x:c r="D69" s="35" t="str">
        <x:v>PROVISIONAL</x:v>
      </x:c>
      <x:c r="E69" s="35" t="str">
        <x:v>Initial preflight term retained for comparison with the consolidated R6 registry.</x:v>
      </x:c>
    </x:row>
    <x:row r="70">
      <x:c r="A70" s="35" t="str">
        <x:v>iceDraughtRestrictionDocument</x:v>
      </x:c>
      <x:c r="B70" s="38" t="str">
        <x:v>TRF-014</x:v>
      </x:c>
      <x:c r="C70" s="56" t="n">
        <x:v>1</x:v>
      </x:c>
      <x:c r="D70" s="35" t="str">
        <x:v>PROVISIONAL</x:v>
      </x:c>
      <x:c r="E70" s="35" t="str">
        <x:v>Initial preflight term retained for comparison with the consolidated R6 registry.</x:v>
      </x:c>
    </x:row>
    <x:row r="71">
      <x:c r="A71" s="35" t="str">
        <x:v>iceLoadAreaFactorCa</x:v>
      </x:c>
      <x:c r="B71" s="38" t="str">
        <x:v>TRF-037</x:v>
      </x:c>
      <x:c r="C71" s="56" t="n">
        <x:v>1</x:v>
      </x:c>
      <x:c r="D71" s="35" t="str">
        <x:v>PROVISIONAL</x:v>
      </x:c>
      <x:c r="E71" s="35" t="str">
        <x:v>Initial preflight term retained for comparison with the consolidated R6 registry.</x:v>
      </x:c>
    </x:row>
    <x:row r="72">
      <x:c r="A72" s="35" t="str">
        <x:v>iceLoadSourceType</x:v>
      </x:c>
      <x:c r="B72" s="38" t="str">
        <x:v>TRF-057</x:v>
      </x:c>
      <x:c r="C72" s="56" t="n">
        <x:v>1</x:v>
      </x:c>
      <x:c r="D72" s="35" t="str">
        <x:v>PROVISIONAL</x:v>
      </x:c>
      <x:c r="E72" s="35" t="str">
        <x:v>Initial preflight term retained for comparison with the consolidated R6 registry.</x:v>
      </x:c>
    </x:row>
    <x:row r="73">
      <x:c r="A73" s="35" t="str">
        <x:v>iceStringerLoadSource</x:v>
      </x:c>
      <x:c r="B73" s="38" t="str">
        <x:v>TRF-057</x:v>
      </x:c>
      <x:c r="C73" s="56" t="n">
        <x:v>1</x:v>
      </x:c>
      <x:c r="D73" s="35" t="str">
        <x:v>PROVISIONAL</x:v>
      </x:c>
      <x:c r="E73" s="35" t="str">
        <x:v>Initial preflight term retained for comparison with the consolidated R6 registry.</x:v>
      </x:c>
    </x:row>
    <x:row r="74">
      <x:c r="A74" s="35" t="str">
        <x:v>iceWaterline</x:v>
      </x:c>
      <x:c r="B74" s="38" t="str">
        <x:v>TRF-011 | TRF-012</x:v>
      </x:c>
      <x:c r="C74" s="56" t="n">
        <x:v>2</x:v>
      </x:c>
      <x:c r="D74" s="35" t="str">
        <x:v>PROVISIONAL</x:v>
      </x:c>
      <x:c r="E74" s="35" t="str">
        <x:v>Initial preflight term retained for comparison with the consolidated R6 registry.</x:v>
      </x:c>
    </x:row>
    <x:row r="75">
      <x:c r="A75" s="35" t="str">
        <x:v>intendedRouteSeaWaterSalinity</x:v>
      </x:c>
      <x:c r="B75" s="38" t="str">
        <x:v>TRF-015</x:v>
      </x:c>
      <x:c r="C75" s="56" t="n">
        <x:v>1</x:v>
      </x:c>
      <x:c r="D75" s="35" t="str">
        <x:v>PROVISIONAL</x:v>
      </x:c>
      <x:c r="E75" s="35" t="str">
        <x:v>Initial preflight term retained for comparison with the consolidated R6 registry.</x:v>
      </x:c>
    </x:row>
    <x:row r="76">
      <x:c r="A76" s="35" t="str">
        <x:v>loadingCalculationSeaWaterSalinity</x:v>
      </x:c>
      <x:c r="B76" s="38" t="str">
        <x:v>TRF-015</x:v>
      </x:c>
      <x:c r="C76" s="56" t="n">
        <x:v>1</x:v>
      </x:c>
      <x:c r="D76" s="35" t="str">
        <x:v>PROVISIONAL</x:v>
      </x:c>
      <x:c r="E76" s="35" t="str">
        <x:v>Initial preflight term retained for comparison with the consolidated R6 registry.</x:v>
      </x:c>
    </x:row>
    <x:row r="77">
      <x:c r="A77" s="35" t="str">
        <x:v>loadLengthCoefficientCa</x:v>
      </x:c>
      <x:c r="B77" s="38" t="str">
        <x:v>TRF-030</x:v>
      </x:c>
      <x:c r="C77" s="56" t="n">
        <x:v>1</x:v>
      </x:c>
      <x:c r="D77" s="35" t="str">
        <x:v>PROVISIONAL</x:v>
      </x:c>
      <x:c r="E77" s="35" t="str">
        <x:v>Initial preflight term retained for comparison with the consolidated R6 registry.</x:v>
      </x:c>
    </x:row>
    <x:row r="78">
      <x:c r="A78" s="35" t="str">
        <x:v>loadLengthDeterminedFromArrangement</x:v>
      </x:c>
      <x:c r="B78" s="38" t="str">
        <x:v>TRF-030</x:v>
      </x:c>
      <x:c r="C78" s="56" t="n">
        <x:v>1</x:v>
      </x:c>
      <x:c r="D78" s="35" t="str">
        <x:v>PROVISIONAL</x:v>
      </x:c>
      <x:c r="E78" s="35" t="str">
        <x:v>Initial preflight term retained for comparison with the consolidated R6 registry.</x:v>
      </x:c>
    </x:row>
    <x:row r="79">
      <x:c r="A79" s="35" t="str">
        <x:v>longitudinalFraming</x:v>
      </x:c>
      <x:c r="B79" s="38" t="str">
        <x:v>TRF-041</x:v>
      </x:c>
      <x:c r="C79" s="56" t="n">
        <x:v>1</x:v>
      </x:c>
      <x:c r="D79" s="35" t="str">
        <x:v>PROVISIONAL</x:v>
      </x:c>
      <x:c r="E79" s="35" t="str">
        <x:v>Initial preflight term retained for comparison with the consolidated R6 registry.</x:v>
      </x:c>
    </x:row>
    <x:row r="80">
      <x:c r="A80" s="35" t="str">
        <x:v>longitudinalFramingLoadSource</x:v>
      </x:c>
      <x:c r="B80" s="38" t="str">
        <x:v>TRF-057</x:v>
      </x:c>
      <x:c r="C80" s="56" t="n">
        <x:v>1</x:v>
      </x:c>
      <x:c r="D80" s="35" t="str">
        <x:v>PROVISIONAL</x:v>
      </x:c>
      <x:c r="E80" s="35" t="str">
        <x:v>Initial preflight term retained for comparison with the consolidated R6 registry.</x:v>
      </x:c>
    </x:row>
    <x:row r="81">
      <x:c r="A81" s="35" t="str">
        <x:v>longitudinalPosition</x:v>
      </x:c>
      <x:c r="B81" s="38" t="str">
        <x:v>TRF-011 | TRF-012</x:v>
      </x:c>
      <x:c r="C81" s="56" t="n">
        <x:v>2</x:v>
      </x:c>
      <x:c r="D81" s="35" t="str">
        <x:v>PROVISIONAL</x:v>
      </x:c>
      <x:c r="E81" s="35" t="str">
        <x:v>Initial preflight term retained for comparison with the consolidated R6 registry.</x:v>
      </x:c>
    </x:row>
    <x:row r="82">
      <x:c r="A82" s="35" t="str">
        <x:v>mainFrameBelowIceBeltStrengthened</x:v>
      </x:c>
      <x:c r="B82" s="38" t="str">
        <x:v>TRF-047</x:v>
      </x:c>
      <x:c r="C82" s="56" t="n">
        <x:v>1</x:v>
      </x:c>
      <x:c r="D82" s="35" t="str">
        <x:v>PROVISIONAL</x:v>
      </x:c>
      <x:c r="E82" s="35" t="str">
        <x:v>Initial preflight term retained for comparison with the consolidated R6 registry.</x:v>
      </x:c>
    </x:row>
    <x:row r="83">
      <x:c r="A83" s="35" t="str">
        <x:v>maximumCalculatedShearForce</x:v>
      </x:c>
      <x:c r="B83" s="38" t="str">
        <x:v>TRF-059</x:v>
      </x:c>
      <x:c r="C83" s="56" t="n">
        <x:v>1</x:v>
      </x:c>
      <x:c r="D83" s="35" t="str">
        <x:v>PROVISIONAL</x:v>
      </x:c>
      <x:c r="E83" s="35" t="str">
        <x:v>Initial preflight term retained for comparison with the consolidated R6 registry.</x:v>
      </x:c>
    </x:row>
    <x:row r="84">
      <x:c r="A84" s="35" t="str">
        <x:v>maximumIceClassDraughtAft</x:v>
      </x:c>
      <x:c r="B84" s="38" t="str">
        <x:v>TRF-014</x:v>
      </x:c>
      <x:c r="C84" s="56" t="n">
        <x:v>1</x:v>
      </x:c>
      <x:c r="D84" s="35" t="str">
        <x:v>PROVISIONAL</x:v>
      </x:c>
      <x:c r="E84" s="35" t="str">
        <x:v>Initial preflight term retained for comparison with the consolidated R6 registry.</x:v>
      </x:c>
    </x:row>
    <x:row r="85">
      <x:c r="A85" s="35" t="str">
        <x:v>maximumIceClassDraughtAmidships</x:v>
      </x:c>
      <x:c r="B85" s="38" t="str">
        <x:v>TRF-014</x:v>
      </x:c>
      <x:c r="C85" s="56" t="n">
        <x:v>1</x:v>
      </x:c>
      <x:c r="D85" s="35" t="str">
        <x:v>PROVISIONAL</x:v>
      </x:c>
      <x:c r="E85" s="35" t="str">
        <x:v>Initial preflight term retained for comparison with the consolidated R6 registry.</x:v>
      </x:c>
    </x:row>
    <x:row r="86">
      <x:c r="A86" s="35" t="str">
        <x:v>maximumIceClassDraughtFore</x:v>
      </x:c>
      <x:c r="B86" s="38" t="str">
        <x:v>TRF-014</x:v>
      </x:c>
      <x:c r="C86" s="56" t="n">
        <x:v>1</x:v>
      </x:c>
      <x:c r="D86" s="35" t="str">
        <x:v>PROVISIONAL</x:v>
      </x:c>
      <x:c r="E86" s="35" t="str">
        <x:v>Initial preflight term retained for comparison with the consolidated R6 registry.</x:v>
      </x:c>
    </x:row>
    <x:row r="87">
      <x:c r="A87" s="35" t="str">
        <x:v>maximumPermittedIceTrim</x:v>
      </x:c>
      <x:c r="B87" s="38" t="str">
        <x:v>TRF-015</x:v>
      </x:c>
      <x:c r="C87" s="56" t="n">
        <x:v>1</x:v>
      </x:c>
      <x:c r="D87" s="35" t="str">
        <x:v>PROVISIONAL</x:v>
      </x:c>
      <x:c r="E87" s="35" t="str">
        <x:v>Initial preflight term retained for comparison with the consolidated R6 registry.</x:v>
      </x:c>
    </x:row>
    <x:row r="88">
      <x:c r="A88" s="35" t="str">
        <x:v>memberNormalToPlating</x:v>
      </x:c>
      <x:c r="B88" s="38" t="str">
        <x:v>TRF-034</x:v>
      </x:c>
      <x:c r="C88" s="56" t="n">
        <x:v>1</x:v>
      </x:c>
      <x:c r="D88" s="35" t="str">
        <x:v>PROVISIONAL</x:v>
      </x:c>
      <x:c r="E88" s="35" t="str">
        <x:v>Initial preflight term retained for comparison with the consolidated R6 registry.</x:v>
      </x:c>
    </x:row>
    <x:row r="89">
      <x:c r="A89" s="35" t="str">
        <x:v>midbodyRegion</x:v>
      </x:c>
      <x:c r="B89" s="38" t="str">
        <x:v>TRF-052</x:v>
      </x:c>
      <x:c r="C89" s="56" t="n">
        <x:v>1</x:v>
      </x:c>
      <x:c r="D89" s="35" t="str">
        <x:v>PROVISIONAL</x:v>
      </x:c>
      <x:c r="E89" s="35" t="str">
        <x:v>Initial preflight term retained for comparison with the consolidated R6 registry.</x:v>
      </x:c>
    </x:row>
    <x:row r="90">
      <x:c r="A90" s="35" t="str">
        <x:v>minimumIceClassDraughtAft</x:v>
      </x:c>
      <x:c r="B90" s="38" t="str">
        <x:v>TRF-014</x:v>
      </x:c>
      <x:c r="C90" s="56" t="n">
        <x:v>1</x:v>
      </x:c>
      <x:c r="D90" s="35" t="str">
        <x:v>PROVISIONAL</x:v>
      </x:c>
      <x:c r="E90" s="35" t="str">
        <x:v>Initial preflight term retained for comparison with the consolidated R6 registry.</x:v>
      </x:c>
    </x:row>
    <x:row r="91">
      <x:c r="A91" s="35" t="str">
        <x:v>minimumIceClassDraughtAmidships</x:v>
      </x:c>
      <x:c r="B91" s="38" t="str">
        <x:v>TRF-014</x:v>
      </x:c>
      <x:c r="C91" s="56" t="n">
        <x:v>1</x:v>
      </x:c>
      <x:c r="D91" s="35" t="str">
        <x:v>PROVISIONAL</x:v>
      </x:c>
      <x:c r="E91" s="35" t="str">
        <x:v>Initial preflight term retained for comparison with the consolidated R6 registry.</x:v>
      </x:c>
    </x:row>
    <x:row r="92">
      <x:c r="A92" s="35" t="str">
        <x:v>minimumIceClassDraughtFore</x:v>
      </x:c>
      <x:c r="B92" s="38" t="str">
        <x:v>TRF-014</x:v>
      </x:c>
      <x:c r="C92" s="56" t="n">
        <x:v>1</x:v>
      </x:c>
      <x:c r="D92" s="35" t="str">
        <x:v>PROVISIONAL</x:v>
      </x:c>
      <x:c r="E92" s="35" t="str">
        <x:v>Initial preflight term retained for comparison with the consolidated R6 registry.</x:v>
      </x:c>
    </x:row>
    <x:row r="93">
      <x:c r="A93" s="35" t="str">
        <x:v>narrowDeckStrip</x:v>
      </x:c>
      <x:c r="B93" s="38" t="str">
        <x:v>TRF-055</x:v>
      </x:c>
      <x:c r="C93" s="56" t="n">
        <x:v>1</x:v>
      </x:c>
      <x:c r="D93" s="35" t="str">
        <x:v>PROVISIONAL</x:v>
      </x:c>
      <x:c r="E93" s="35" t="str">
        <x:v>Initial preflight term retained for comparison with the consolidated R6 registry.</x:v>
      </x:c>
    </x:row>
    <x:row r="94">
      <x:c r="A94" s="35" t="str">
        <x:v>netActualFrameShearArea</x:v>
      </x:c>
      <x:c r="B94" s="38" t="str">
        <x:v>TRF-048</x:v>
      </x:c>
      <x:c r="C94" s="56" t="n">
        <x:v>1</x:v>
      </x:c>
      <x:c r="D94" s="35" t="str">
        <x:v>PROVISIONAL</x:v>
      </x:c>
      <x:c r="E94" s="35" t="str">
        <x:v>Initial preflight term retained for comparison with the consolidated R6 registry.</x:v>
      </x:c>
    </x:row>
    <x:row r="95">
      <x:c r="A95" s="35" t="str">
        <x:v>operatingAftDraught</x:v>
      </x:c>
      <x:c r="B95" s="38" t="str">
        <x:v>TRF-013</x:v>
      </x:c>
      <x:c r="C95" s="56" t="n">
        <x:v>1</x:v>
      </x:c>
      <x:c r="D95" s="35" t="str">
        <x:v>PROVISIONAL</x:v>
      </x:c>
      <x:c r="E95" s="35" t="str">
        <x:v>Initial preflight term retained for comparison with the consolidated R6 registry.</x:v>
      </x:c>
    </x:row>
    <x:row r="96">
      <x:c r="A96" s="35" t="str">
        <x:v>operatingDraught</x:v>
      </x:c>
      <x:c r="B96" s="38" t="str">
        <x:v>TRF-015</x:v>
      </x:c>
      <x:c r="C96" s="56" t="n">
        <x:v>1</x:v>
      </x:c>
      <x:c r="D96" s="35" t="str">
        <x:v>PROVISIONAL</x:v>
      </x:c>
      <x:c r="E96" s="35" t="str">
        <x:v>Initial preflight term retained for comparison with the consolidated R6 registry.</x:v>
      </x:c>
    </x:row>
    <x:row r="97">
      <x:c r="A97" s="35" t="str">
        <x:v>operatingForeDraught</x:v>
      </x:c>
      <x:c r="B97" s="38" t="str">
        <x:v>TRF-013</x:v>
      </x:c>
      <x:c r="C97" s="56" t="n">
        <x:v>1</x:v>
      </x:c>
      <x:c r="D97" s="35" t="str">
        <x:v>PROVISIONAL</x:v>
      </x:c>
      <x:c r="E97" s="35" t="str">
        <x:v>Initial preflight term retained for comparison with the consolidated R6 registry.</x:v>
      </x:c>
    </x:row>
    <x:row r="98">
      <x:c r="A98" s="35" t="str">
        <x:v>operatingTrim</x:v>
      </x:c>
      <x:c r="B98" s="38" t="str">
        <x:v>TRF-015</x:v>
      </x:c>
      <x:c r="C98" s="56" t="n">
        <x:v>1</x:v>
      </x:c>
      <x:c r="D98" s="35" t="str">
        <x:v>PROVISIONAL</x:v>
      </x:c>
      <x:c r="E98" s="35" t="str">
        <x:v>Initial preflight term retained for comparison with the consolidated R6 registry.</x:v>
      </x:c>
    </x:row>
    <x:row r="99">
      <x:c r="A99" s="35" t="str">
        <x:v>ordinaryFrameScantlingsUsed</x:v>
      </x:c>
      <x:c r="B99" s="38" t="str">
        <x:v>TRF-045</x:v>
      </x:c>
      <x:c r="C99" s="56" t="n">
        <x:v>1</x:v>
      </x:c>
      <x:c r="D99" s="35" t="str">
        <x:v>PROVISIONAL</x:v>
      </x:c>
      <x:c r="E99" s="35" t="str">
        <x:v>Initial preflight term retained for comparison with the consolidated R6 registry.</x:v>
      </x:c>
    </x:row>
    <x:row r="100">
      <x:c r="A100" s="35" t="str">
        <x:v>permittedReducedLineLoad</x:v>
      </x:c>
      <x:c r="B100" s="38" t="str">
        <x:v>TRF-055</x:v>
      </x:c>
      <x:c r="C100" s="56" t="n">
        <x:v>1</x:v>
      </x:c>
      <x:c r="D100" s="35" t="str">
        <x:v>PROVISIONAL</x:v>
      </x:c>
      <x:c r="E100" s="35" t="str">
        <x:v>Initial preflight term retained for comparison with the consolidated R6 registry.</x:v>
      </x:c>
    </x:row>
    <x:row r="101">
      <x:c r="A101" s="35" t="str">
        <x:v>platingFramingOrientation</x:v>
      </x:c>
      <x:c r="B101" s="38" t="str">
        <x:v>TRF-041</x:v>
      </x:c>
      <x:c r="C101" s="56" t="n">
        <x:v>1</x:v>
      </x:c>
      <x:c r="D101" s="35" t="str">
        <x:v>PROVISIONAL</x:v>
      </x:c>
      <x:c r="E101" s="35" t="str">
        <x:v>Initial preflight term retained for comparison with the consolidated R6 registry.</x:v>
      </x:c>
    </x:row>
    <x:row r="102">
      <x:c r="A102" s="35" t="str">
        <x:v>platingPressure</x:v>
      </x:c>
      <x:c r="B102" s="38" t="str">
        <x:v>TRF-041</x:v>
      </x:c>
      <x:c r="C102" s="56" t="n">
        <x:v>1</x:v>
      </x:c>
      <x:c r="D102" s="35" t="str">
        <x:v>PROVISIONAL</x:v>
      </x:c>
      <x:c r="E102" s="35" t="str">
        <x:v>Initial preflight term retained for comparison with the consolidated R6 registry.</x:v>
      </x:c>
    </x:row>
    <x:row r="103">
      <x:c r="A103" s="35" t="str">
        <x:v>profileSection</x:v>
      </x:c>
      <x:c r="B103" s="38" t="str">
        <x:v>TRF-051</x:v>
      </x:c>
      <x:c r="C103" s="56" t="n">
        <x:v>1</x:v>
      </x:c>
      <x:c r="D103" s="35" t="str">
        <x:v>PROVISIONAL</x:v>
      </x:c>
      <x:c r="E103" s="35" t="str">
        <x:v>Initial preflight term retained for comparison with the consolidated R6 registry.</x:v>
      </x:c>
    </x:row>
    <x:row r="104">
      <x:c r="A104" s="35" t="str">
        <x:v>propulsionMachineryContinuousOutput</x:v>
      </x:c>
      <x:c r="B104" s="38" t="str">
        <x:v>TRF-017</x:v>
      </x:c>
      <x:c r="C104" s="56" t="n">
        <x:v>1</x:v>
      </x:c>
      <x:c r="D104" s="35" t="str">
        <x:v>PROVISIONAL</x:v>
      </x:c>
      <x:c r="E104" s="35" t="str">
        <x:v>Initial preflight term retained for comparison with the consolidated R6 registry.</x:v>
      </x:c>
    </x:row>
    <x:row r="105">
      <x:c r="A105" s="35" t="str">
        <x:v>propulsionOutputRestrictionApplies</x:v>
      </x:c>
      <x:c r="B105" s="38" t="str">
        <x:v>TRF-017</x:v>
      </x:c>
      <x:c r="C105" s="56" t="n">
        <x:v>1</x:v>
      </x:c>
      <x:c r="D105" s="35" t="str">
        <x:v>PROVISIONAL</x:v>
      </x:c>
      <x:c r="E105" s="35" t="str">
        <x:v>Initial preflight term retained for comparison with the consolidated R6 registry.</x:v>
      </x:c>
    </x:row>
    <x:row r="106">
      <x:c r="A106" s="35" t="str">
        <x:v>propulsionSystemType</x:v>
      </x:c>
      <x:c r="B106" s="38" t="str">
        <x:v>TRF-020</x:v>
      </x:c>
      <x:c r="C106" s="56" t="n">
        <x:v>1</x:v>
      </x:c>
      <x:c r="D106" s="35" t="str">
        <x:v>PROVISIONAL</x:v>
      </x:c>
      <x:c r="E106" s="35" t="str">
        <x:v>Initial preflight term retained for comparison with the consolidated R6 registry.</x:v>
      </x:c>
    </x:row>
    <x:row r="107">
      <x:c r="A107" s="35" t="str">
        <x:v>readilyAvailableToMaster</x:v>
      </x:c>
      <x:c r="B107" s="38" t="str">
        <x:v>TRF-014</x:v>
      </x:c>
      <x:c r="C107" s="56" t="n">
        <x:v>1</x:v>
      </x:c>
      <x:c r="D107" s="35" t="str">
        <x:v>PROVISIONAL</x:v>
      </x:c>
      <x:c r="E107" s="35" t="str">
        <x:v>Initial preflight term retained for comparison with the consolidated R6 registry.</x:v>
      </x:c>
    </x:row>
    <x:row r="108">
      <x:c r="A108" s="35" t="str">
        <x:v>regulationRequiredScantling</x:v>
      </x:c>
      <x:c r="B108" s="38" t="str">
        <x:v>TRF-032</x:v>
      </x:c>
      <x:c r="C108" s="56" t="n">
        <x:v>1</x:v>
      </x:c>
      <x:c r="D108" s="35" t="str">
        <x:v>PROVISIONAL</x:v>
      </x:c>
      <x:c r="E108" s="35" t="str">
        <x:v>Initial preflight term retained for comparison with the consolidated R6 registry.</x:v>
      </x:c>
    </x:row>
    <x:row r="109">
      <x:c r="A109" s="35" t="str">
        <x:v>requiredPowerUnder1985Rules</x:v>
      </x:c>
      <x:c r="B109" s="38" t="str">
        <x:v>TRF-023</x:v>
      </x:c>
      <x:c r="C109" s="56" t="n">
        <x:v>1</x:v>
      </x:c>
      <x:c r="D109" s="35" t="str">
        <x:v>PROVISIONAL</x:v>
      </x:c>
      <x:c r="E109" s="35" t="str">
        <x:v>Initial preflight term retained for comparison with the consolidated R6 registry.</x:v>
      </x:c>
    </x:row>
    <x:row r="110">
      <x:c r="A110" s="35" t="str">
        <x:v>restrictedPropulsionOutput</x:v>
      </x:c>
      <x:c r="B110" s="38" t="str">
        <x:v>TRF-017</x:v>
      </x:c>
      <x:c r="C110" s="56" t="n">
        <x:v>1</x:v>
      </x:c>
      <x:c r="D110" s="35" t="str">
        <x:v>PROVISIONAL</x:v>
      </x:c>
      <x:c r="E110" s="35" t="str">
        <x:v>Initial preflight term retained for comparison with the consolidated R6 registry.</x:v>
      </x:c>
    </x:row>
    <x:row r="111">
      <x:c r="A111" s="35" t="str">
        <x:v>retainedOnBoard</x:v>
      </x:c>
      <x:c r="B111" s="38" t="str">
        <x:v>TRF-014</x:v>
      </x:c>
      <x:c r="C111" s="56" t="n">
        <x:v>1</x:v>
      </x:c>
      <x:c r="D111" s="35" t="str">
        <x:v>PROVISIONAL</x:v>
      </x:c>
      <x:c r="E111" s="35" t="str">
        <x:v>Initial preflight term retained for comparison with the consolidated R6 registry.</x:v>
      </x:c>
    </x:row>
    <x:row r="112">
      <x:c r="A112" s="35" t="str">
        <x:v>sameScantlingsAsMainFrame</x:v>
      </x:c>
      <x:c r="B112" s="38" t="str">
        <x:v>TRF-046 | TRF-047</x:v>
      </x:c>
      <x:c r="C112" s="56" t="n">
        <x:v>2</x:v>
      </x:c>
      <x:c r="D112" s="35" t="str">
        <x:v>PROVISIONAL</x:v>
      </x:c>
      <x:c r="E112" s="35" t="str">
        <x:v>Initial preflight term retained for comparison with the consolidated R6 registry.</x:v>
      </x:c>
    </x:row>
    <x:row r="113">
      <x:c r="A113" s="35" t="str">
        <x:v>selectedDesignScantling</x:v>
      </x:c>
      <x:c r="B113" s="38" t="str">
        <x:v>TRF-032</x:v>
      </x:c>
      <x:c r="C113" s="56" t="n">
        <x:v>1</x:v>
      </x:c>
      <x:c r="D113" s="35" t="str">
        <x:v>PROVISIONAL</x:v>
      </x:c>
      <x:c r="E113" s="35" t="str">
        <x:v>Initial preflight term retained for comparison with the consolidated R6 registry.</x:v>
      </x:c>
    </x:row>
    <x:row r="114">
      <x:c r="A114" s="35" t="str">
        <x:v>servesAsIceStringer</x:v>
      </x:c>
      <x:c r="B114" s="38" t="str">
        <x:v>TRF-055</x:v>
      </x:c>
      <x:c r="C114" s="56" t="n">
        <x:v>1</x:v>
      </x:c>
      <x:c r="D114" s="35" t="str">
        <x:v>PROVISIONAL</x:v>
      </x:c>
      <x:c r="E114" s="35" t="str">
        <x:v>Initial preflight term retained for comparison with the consolidated R6 registry.</x:v>
      </x:c>
    </x:row>
    <x:row r="115">
      <x:c r="A115" s="35" t="str">
        <x:v>shipSizeEngineOutputFactorCd</x:v>
      </x:c>
      <x:c r="B115" s="38" t="str">
        <x:v>TRF-037</x:v>
      </x:c>
      <x:c r="C115" s="56" t="n">
        <x:v>1</x:v>
      </x:c>
      <x:c r="D115" s="35" t="str">
        <x:v>PROVISIONAL</x:v>
      </x:c>
      <x:c r="E115" s="35" t="str">
        <x:v>Initial preflight term retained for comparison with the consolidated R6 registry.</x:v>
      </x:c>
    </x:row>
    <x:row r="116">
      <x:c r="A116" s="35" t="str">
        <x:v>situatedAboveLowerIceWaterline</x:v>
      </x:c>
      <x:c r="B116" s="38" t="str">
        <x:v>TRF-016</x:v>
      </x:c>
      <x:c r="C116" s="56" t="n">
        <x:v>1</x:v>
      </x:c>
      <x:c r="D116" s="35" t="str">
        <x:v>PROVISIONAL</x:v>
      </x:c>
      <x:c r="E116" s="35" t="str">
        <x:v>Initial preflight term retained for comparison with the consolidated R6 registry.</x:v>
      </x:c>
    </x:row>
    <x:row r="117">
      <x:c r="A117" s="35" t="str">
        <x:v>specialSurfaceCoatingMaintained</x:v>
      </x:c>
      <x:c r="B117" s="38" t="str">
        <x:v>TRF-042</x:v>
      </x:c>
      <x:c r="C117" s="56" t="n">
        <x:v>1</x:v>
      </x:c>
      <x:c r="D117" s="35" t="str">
        <x:v>PROVISIONAL</x:v>
      </x:c>
      <x:c r="E117" s="35" t="str">
        <x:v>Initial preflight term retained for comparison with the consolidated R6 registry.</x:v>
      </x:c>
    </x:row>
    <x:row r="118">
      <x:c r="A118" s="35" t="str">
        <x:v>summerLoadLineFreshWaterDraught</x:v>
      </x:c>
      <x:c r="B118" s="38" t="str">
        <x:v>TRF-014</x:v>
      </x:c>
      <x:c r="C118" s="56" t="n">
        <x:v>1</x:v>
      </x:c>
      <x:c r="D118" s="35" t="str">
        <x:v>PROVISIONAL</x:v>
      </x:c>
      <x:c r="E118" s="35" t="str">
        <x:v>Initial preflight term retained for comparison with the consolidated R6 registry.</x:v>
      </x:c>
    </x:row>
    <x:row r="119">
      <x:c r="A119" s="35" t="str">
        <x:v>supportedStringerOutsideIceBelt</x:v>
      </x:c>
      <x:c r="B119" s="38" t="str">
        <x:v>TRF-058</x:v>
      </x:c>
      <x:c r="C119" s="56" t="n">
        <x:v>1</x:v>
      </x:c>
      <x:c r="D119" s="35" t="str">
        <x:v>PROVISIONAL</x:v>
      </x:c>
      <x:c r="E119" s="35" t="str">
        <x:v>Initial preflight term retained for comparison with the consolidated R6 registry.</x:v>
      </x:c>
    </x:row>
    <x:row r="120">
      <x:c r="A120" s="35" t="str">
        <x:v>supportingStructureAtOrAboveIceBeltUpperLimit</x:v>
      </x:c>
      <x:c r="B120" s="38" t="str">
        <x:v>TRF-046</x:v>
      </x:c>
      <x:c r="C120" s="56" t="n">
        <x:v>1</x:v>
      </x:c>
      <x:c r="D120" s="35" t="str">
        <x:v>PROVISIONAL</x:v>
      </x:c>
      <x:c r="E120" s="35" t="str">
        <x:v>Initial preflight term retained for comparison with the consolidated R6 registry.</x:v>
      </x:c>
    </x:row>
    <x:row r="121">
      <x:c r="A121" s="35" t="str">
        <x:v>supportingStructureAtOrBelowIceBeltLowerLimit</x:v>
      </x:c>
      <x:c r="B121" s="38" t="str">
        <x:v>TRF-047</x:v>
      </x:c>
      <x:c r="C121" s="56" t="n">
        <x:v>1</x:v>
      </x:c>
      <x:c r="D121" s="35" t="str">
        <x:v>PROVISIONAL</x:v>
      </x:c>
      <x:c r="E121" s="35" t="str">
        <x:v>Initial preflight term retained for comparison with the consolidated R6 registry.</x:v>
      </x:c>
    </x:row>
    <x:row r="122">
      <x:c r="A122" s="35" t="str">
        <x:v>terminatesAboveSupportingStructure</x:v>
      </x:c>
      <x:c r="B122" s="38" t="str">
        <x:v>TRF-046</x:v>
      </x:c>
      <x:c r="C122" s="56" t="n">
        <x:v>1</x:v>
      </x:c>
      <x:c r="D122" s="35" t="str">
        <x:v>PROVISIONAL</x:v>
      </x:c>
      <x:c r="E122" s="35" t="str">
        <x:v>Initial preflight term retained for comparison with the consolidated R6 registry.</x:v>
      </x:c>
    </x:row>
    <x:row r="123">
      <x:c r="A123" s="35" t="str">
        <x:v>terminatesBelowSupportingStructure</x:v>
      </x:c>
      <x:c r="B123" s="38" t="str">
        <x:v>TRF-047</x:v>
      </x:c>
      <x:c r="C123" s="56" t="n">
        <x:v>1</x:v>
      </x:c>
      <x:c r="D123" s="35" t="str">
        <x:v>PROVISIONAL</x:v>
      </x:c>
      <x:c r="E123" s="35" t="str">
        <x:v>Initial preflight term retained for comparison with the consolidated R6 registry.</x:v>
      </x:c>
    </x:row>
    <x:row r="124">
      <x:c r="A124" s="35" t="str">
        <x:v>traficom2017Section3Point2Point2Method</x:v>
      </x:c>
      <x:c r="B124" s="38" t="str">
        <x:v>TRF-007 | TRF-009 | TRF-024</x:v>
      </x:c>
      <x:c r="C124" s="56" t="n">
        <x:v>3</x:v>
      </x:c>
      <x:c r="D124" s="35" t="str">
        <x:v>PROVISIONAL</x:v>
      </x:c>
      <x:c r="E124" s="35" t="str">
        <x:v>Initial preflight term retained for comparison with the consolidated R6 registry.</x:v>
      </x:c>
    </x:row>
    <x:row r="125">
      <x:c r="A125" s="35" t="str">
        <x:v>traficom2017Section3Point2Point4Method</x:v>
      </x:c>
      <x:c r="B125" s="38" t="str">
        <x:v>TRF-007 | TRF-009 | TRF-024</x:v>
      </x:c>
      <x:c r="C125" s="56" t="n">
        <x:v>3</x:v>
      </x:c>
      <x:c r="D125" s="35" t="str">
        <x:v>PROVISIONAL</x:v>
      </x:c>
      <x:c r="E125" s="35" t="str">
        <x:v>Initial preflight term retained for comparison with the consolidated R6 registry.</x:v>
      </x:c>
    </x:row>
    <x:row r="126">
      <x:c r="A126" s="35" t="str">
        <x:v>transverseFraming</x:v>
      </x:c>
      <x:c r="B126" s="38" t="str">
        <x:v>TRF-041</x:v>
      </x:c>
      <x:c r="C126" s="56" t="n">
        <x:v>1</x:v>
      </x:c>
      <x:c r="D126" s="35" t="str">
        <x:v>PROVISIONAL</x:v>
      </x:c>
      <x:c r="E126" s="35" t="str">
        <x:v>Initial preflight term retained for comparison with the consolidated R6 registry.</x:v>
      </x:c>
    </x:row>
    <x:row r="127">
      <x:c r="A127" s="35" t="str">
        <x:v>usedToReachLowerIceWaterline</x:v>
      </x:c>
      <x:c r="B127" s="38" t="str">
        <x:v>TRF-016</x:v>
      </x:c>
      <x:c r="C127" s="56" t="n">
        <x:v>1</x:v>
      </x:c>
      <x:c r="D127" s="35" t="str">
        <x:v>PROVISIONAL</x:v>
      </x:c>
      <x:c r="E127" s="35" t="str">
        <x:v>Initial preflight term retained for comparison with the consolidated R6 registry.</x:v>
      </x:c>
    </x:row>
    <x:row r="128">
      <x:c r="A128" s="35" t="str">
        <x:v>verticalCoordinate</x:v>
      </x:c>
      <x:c r="B128" s="38" t="str">
        <x:v>TRF-011 | TRF-012</x:v>
      </x:c>
      <x:c r="C128" s="56" t="n">
        <x:v>2</x:v>
      </x:c>
      <x:c r="D128" s="35" t="str">
        <x:v>PROVISIONAL</x:v>
      </x:c>
      <x:c r="E128" s="35" t="str">
        <x:v>Initial preflight term retained for comparison with the consolidated R6 registry.</x:v>
      </x:c>
    </x:row>
    <x:row r="129">
      <x:c r="A129" s="35" t="str">
        <x:v>verticalLoadPosition</x:v>
      </x:c>
      <x:c r="B129" s="38" t="str">
        <x:v>TRF-030</x:v>
      </x:c>
      <x:c r="C129" s="56" t="n">
        <x:v>1</x:v>
      </x:c>
      <x:c r="D129" s="35" t="str">
        <x:v>PROVISIONAL</x:v>
      </x:c>
      <x:c r="E129" s="35" t="str">
        <x:v>Initial preflight term retained for comparison with the consolidated R6 registry.</x:v>
      </x:c>
    </x:row>
    <x:row r="130">
      <x:c r="A130" s="35" t="str">
        <x:v>veryLongHatch</x:v>
      </x:c>
      <x:c r="B130" s="38" t="str">
        <x:v>TRF-055</x:v>
      </x:c>
      <x:c r="C130" s="56" t="n">
        <x:v>1</x:v>
      </x:c>
      <x:c r="D130" s="35" t="str">
        <x:v>PROVISIONAL</x:v>
      </x:c>
      <x:c r="E130" s="35" t="str">
        <x:v>Initial preflight term retained for comparison with the consolidated R6 registry.</x:v>
      </x:c>
    </x:row>
    <x:row r="131">
      <x:c r="A131" s="35" t="str">
        <x:v>warningTrianglePresent</x:v>
      </x:c>
      <x:c r="B131" s="38" t="str">
        <x:v>TRF-014</x:v>
      </x:c>
      <x:c r="C131" s="56" t="n">
        <x:v>1</x:v>
      </x:c>
      <x:c r="D131" s="35" t="str">
        <x:v>PROVISIONAL</x:v>
      </x:c>
      <x:c r="E131" s="35" t="str">
        <x:v>Initial preflight term retained for comparison with the consolidated R6 registry.</x:v>
      </x:c>
    </x:row>
    <x:row r="132">
      <x:c r="A132" s="35" t="str">
        <x:v>waterlineAngleAtQuarterBreadth</x:v>
      </x:c>
      <x:c r="B132" s="38" t="str">
        <x:v>TRF-022</x:v>
      </x:c>
      <x:c r="C132" s="56" t="n">
        <x:v>1</x:v>
      </x:c>
      <x:c r="D132" s="35" t="str">
        <x:v>PROVISIONAL</x:v>
      </x:c>
      <x:c r="E132" s="35" t="str">
        <x:v>Initial preflight term retained for comparison with the consolidated R6 registry.</x:v>
      </x:c>
    </x:row>
    <x:row r="133">
      <x:c r="A133" s="35" t="str">
        <x:v>waterlineDisplacement</x:v>
      </x:c>
      <x:c r="B133" s="38" t="str">
        <x:v>TRF-016</x:v>
      </x:c>
      <x:c r="C133" s="56" t="n">
        <x:v>1</x:v>
      </x:c>
      <x:c r="D133" s="35" t="str">
        <x:v>PROVISIONAL</x:v>
      </x:c>
      <x:c r="E133" s="35" t="str">
        <x:v>Initial preflight term retained for comparison with the consolidated R6 registry.</x:v>
      </x:c>
    </x:row>
    <x:row r="134">
      <x:c r="A134" s="35" t="str">
        <x:v>waterlineProfilePoint</x:v>
      </x:c>
      <x:c r="B134" s="38" t="str">
        <x:v>TRF-011 | TRF-012</x:v>
      </x:c>
      <x:c r="C134" s="56" t="n">
        <x:v>2</x:v>
      </x:c>
      <x:c r="D134" s="35" t="str">
        <x:v>PROVISIONAL</x:v>
      </x:c>
      <x:c r="E134" s="35" t="str">
        <x:v>Initial preflight term retained for comparison with the consolidated R6 registry.</x:v>
      </x:c>
    </x:row>
    <x:row r="135">
      <x:c r="A135" s="35" t="str">
        <x:v>webFrameCrossSectionType</x:v>
      </x:c>
      <x:c r="B135" s="38" t="str">
        <x:v>TRF-059</x:v>
      </x:c>
      <x:c r="C135" s="56" t="n">
        <x:v>1</x:v>
      </x:c>
      <x:c r="D135" s="35" t="str">
        <x:v>PROVISIONAL</x:v>
      </x:c>
      <x:c r="E135" s="35" t="str">
        <x:v>Initial preflight term retained for comparison with the consolidated R6 registry.</x:v>
      </x:c>
    </x:row>
    <x:row r="136">
      <x:c r="A136" s="35" t="str">
        <x:v>webFrameShearFactorAlpha</x:v>
      </x:c>
      <x:c r="B136" s="38" t="str">
        <x:v>TRF-059</x:v>
      </x:c>
      <x:c r="C136" s="56" t="n">
        <x:v>1</x:v>
      </x:c>
      <x:c r="D136" s="35" t="str">
        <x:v>PROVISIONAL</x:v>
      </x:c>
      <x:c r="E136" s="35" t="str">
        <x:v>Initial preflight term retained for comparison with the consolidated R6 registry.</x:v>
      </x:c>
    </x:row>
    <x:row r="137">
      <x:c r="A137" s="35" t="str">
        <x:v>webPlateConnectionSideCount</x:v>
      </x:c>
      <x:c r="B137" s="38" t="str">
        <x:v>TRF-049</x:v>
      </x:c>
      <x:c r="C137" s="56" t="n">
        <x:v>1</x:v>
      </x:c>
      <x:c r="D137" s="35" t="str">
        <x:v>PROVISIONAL</x:v>
      </x:c>
      <x:c r="E137" s="35" t="str">
        <x:v>Initial preflight term retained for comparison with the consolidated R6 registry.</x:v>
      </x:c>
    </x:row>
    <x:row r="138">
      <x:c r="A138" s="36" t="str">
        <x:v>yieldShearStress</x:v>
      </x:c>
      <x:c r="B138" s="39" t="str">
        <x:v>TRF-031</x:v>
      </x:c>
      <x:c r="C138" s="58" t="n">
        <x:v>1</x:v>
      </x:c>
      <x:c r="D138" s="36" t="str">
        <x:v>PROVISIONAL</x:v>
      </x:c>
      <x:c r="E138" s="36" t="str">
        <x:v>Initial preflight term retained for comparison with the consolidated R6 registry.</x:v>
      </x:c>
    </x:row>
  </x:sheetData>
  <x:conditionalFormatting sqref="D5:D138">
    <x:cfRule type="containsText" dxfId="10" priority="1" operator="containsText" text="READY"/>
    <x:cfRule type="containsText" dxfId="11" priority="2" operator="containsText" text="COMPLETE"/>
    <x:cfRule type="containsText" dxfId="12" priority="3" operator="containsText" text="NEW"/>
    <x:cfRule type="containsText" dxfId="13" priority="4" operator="containsText" text="REMODEL"/>
    <x:cfRule type="containsText" dxfId="14" priority="5" operator="containsText" text="UNIT"/>
  </x:conditionalFormatting>
  <x:pageMargins left="0.7" right="0.7" top="0.75" bottom="0.75" header="0.3" footer="0.3"/>
  <x:tableParts count="1">
    <x:tablePart xmlns:r="http://schemas.openxmlformats.org/officeDocument/2006/relationships" r:id="Rad3af5315a064dc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48" hidden="0" customWidth="1"/>
    <x:col min="2" max="2" width="44" hidden="0" customWidth="1"/>
    <x:col min="3" max="3" width="28" hidden="0" customWidth="1"/>
    <x:col min="4" max="4" width="52" hidden="0" customWidth="1"/>
  </x:cols>
  <x:sheetData>
    <x:row r="1">
      <x:c r="A1" s="11" t="str">
        <x:v>NLTL Development Calibration - Batch 01</x:v>
      </x:c>
      <x:c r="B1" s="12"/>
      <x:c r="C1" s="12"/>
      <x:c r="D1" s="12"/>
    </x:row>
    <x:row r="2">
      <x:c r="A2" s="13" t="str">
        <x:v>R2_INDEX_GAPS | DEV-CAL-BATCH-01-FIRST-50 | vocabulary is not frozen</x:v>
      </x:c>
      <x:c r="B2" s="13"/>
      <x:c r="C2" s="13"/>
      <x:c r="D2" s="13"/>
    </x:row>
    <x:row r="3">
      <x:c r="A3" s="14"/>
      <x:c r="B3" s="14"/>
      <x:c r="C3" s="14"/>
      <x:c r="D3" s="14"/>
    </x:row>
    <x:row r="4" ht="32" customHeight="1">
      <x:c r="A4" s="32" t="str">
        <x:v>REQUIREMENT_ID</x:v>
      </x:c>
      <x:c r="B4" s="52" t="str">
        <x:v>EXISTING_TERM</x:v>
      </x:c>
      <x:c r="C4" s="52" t="str">
        <x:v>PREFLIGHT_DECISION</x:v>
      </x:c>
      <x:c r="D4" s="33" t="str">
        <x:v>ACTION</x:v>
      </x:c>
    </x:row>
    <x:row r="5">
      <x:c r="A5" s="37" t="str">
        <x:v>TRF-001</x:v>
      </x:c>
      <x:c r="B5" s="34" t="str">
        <x:v>constructionContractDate</x:v>
      </x:c>
      <x:c r="C5" s="34" t="str">
        <x:v>NEW_TERMS</x:v>
      </x:c>
      <x:c r="D5" s="34" t="str">
        <x:v>ADD_TO_DEVELOPMENT_INDEX_AFTER_SEMANTIC_CONFIRMATION</x:v>
      </x:c>
    </x:row>
    <x:row r="6">
      <x:c r="A6" s="38" t="str">
        <x:v>TRF-002</x:v>
      </x:c>
      <x:c r="B6" s="35" t="str">
        <x:v>constructionContractDate</x:v>
      </x:c>
      <x:c r="C6" s="35" t="str">
        <x:v>NEW_TERMS</x:v>
      </x:c>
      <x:c r="D6" s="35" t="str">
        <x:v>ADD_TO_DEVELOPMENT_INDEX_AFTER_SEMANTIC_CONFIRMATION</x:v>
      </x:c>
    </x:row>
    <x:row r="7">
      <x:c r="A7" s="38" t="str">
        <x:v>TRF-003</x:v>
      </x:c>
      <x:c r="B7" s="35" t="str">
        <x:v>constructionContractDate</x:v>
      </x:c>
      <x:c r="C7" s="35" t="str">
        <x:v>NEW_TERMS</x:v>
      </x:c>
      <x:c r="D7" s="35" t="str">
        <x:v>ADD_TO_DEVELOPMENT_INDEX_AFTER_SEMANTIC_CONFIRMATION</x:v>
      </x:c>
    </x:row>
    <x:row r="8">
      <x:c r="A8" s="38" t="str">
        <x:v>TRF-004</x:v>
      </x:c>
      <x:c r="B8" s="35" t="str">
        <x:v>constructionContractDate</x:v>
      </x:c>
      <x:c r="C8" s="35" t="str">
        <x:v>NEW_TERMS</x:v>
      </x:c>
      <x:c r="D8" s="35" t="str">
        <x:v>ADD_TO_DEVELOPMENT_INDEX_AFTER_SEMANTIC_CONFIRMATION</x:v>
      </x:c>
    </x:row>
    <x:row r="9">
      <x:c r="A9" s="38" t="str">
        <x:v>TRF-005</x:v>
      </x:c>
      <x:c r="B9" s="35" t="str">
        <x:v>constructionContractDate</x:v>
      </x:c>
      <x:c r="C9" s="35" t="str">
        <x:v>NEW_TERMS</x:v>
      </x:c>
      <x:c r="D9" s="35" t="str">
        <x:v>ADD_TO_DEVELOPMENT_INDEX_AFTER_SEMANTIC_CONFIRMATION</x:v>
      </x:c>
    </x:row>
    <x:row r="10">
      <x:c r="A10" s="38" t="str">
        <x:v>TRF-005</x:v>
      </x:c>
      <x:c r="B10" s="35" t="str">
        <x:v>constructionStageDate</x:v>
      </x:c>
      <x:c r="C10" s="35" t="str">
        <x:v>NEW_TERMS</x:v>
      </x:c>
      <x:c r="D10" s="35" t="str">
        <x:v>ADD_TO_DEVELOPMENT_INDEX_AFTER_SEMANTIC_CONFIRMATION</x:v>
      </x:c>
    </x:row>
    <x:row r="11">
      <x:c r="A11" s="38" t="str">
        <x:v>TRF-006</x:v>
      </x:c>
      <x:c r="B11" s="35" t="str">
        <x:v>constructionStageDate</x:v>
      </x:c>
      <x:c r="C11" s="35" t="str">
        <x:v>NEW_TERMS</x:v>
      </x:c>
      <x:c r="D11" s="35" t="str">
        <x:v>ADD_TO_DEVELOPMENT_INDEX_AFTER_SEMANTIC_CONFIRMATION</x:v>
      </x:c>
    </x:row>
    <x:row r="12">
      <x:c r="A12" s="38" t="str">
        <x:v>TRF-007</x:v>
      </x:c>
      <x:c r="B12" s="35" t="str">
        <x:v>constructionStageDate</x:v>
      </x:c>
      <x:c r="C12" s="35" t="str">
        <x:v>NEW_TERMS</x:v>
      </x:c>
      <x:c r="D12" s="35" t="str">
        <x:v>ADD_TO_DEVELOPMENT_INDEX_AFTER_SEMANTIC_CONFIRMATION</x:v>
      </x:c>
    </x:row>
    <x:row r="13">
      <x:c r="A13" s="38" t="str">
        <x:v>TRF-009</x:v>
      </x:c>
      <x:c r="B13" s="35" t="str">
        <x:v>constructionStageDate</x:v>
      </x:c>
      <x:c r="C13" s="35" t="str">
        <x:v>SEMANTIC_DUPLICATE</x:v>
      </x:c>
      <x:c r="D13" s="35" t="str">
        <x:v>ADD_TO_DEVELOPMENT_INDEX_AFTER_SEMANTIC_CONFIRMATION</x:v>
      </x:c>
    </x:row>
    <x:row r="14">
      <x:c r="A14" s="38" t="str">
        <x:v>TRF-013</x:v>
      </x:c>
      <x:c r="B14" s="35" t="str">
        <x:v>shipIceStrengthened</x:v>
      </x:c>
      <x:c r="C14" s="35" t="str">
        <x:v>NEW_TERMS</x:v>
      </x:c>
      <x:c r="D14" s="35" t="str">
        <x:v>ADD_TO_DEVELOPMENT_INDEX_AFTER_SEMANTIC_CONFIRMATION</x:v>
      </x:c>
    </x:row>
    <x:row r="15">
      <x:c r="A15" s="38" t="str">
        <x:v>TRF-014</x:v>
      </x:c>
      <x:c r="B15" s="35" t="str">
        <x:v>constructionDate</x:v>
      </x:c>
      <x:c r="C15" s="35" t="str">
        <x:v>NEW_TERMS</x:v>
      </x:c>
      <x:c r="D15" s="35" t="str">
        <x:v>ADD_TO_DEVELOPMENT_INDEX_AFTER_SEMANTIC_CONFIRMATION</x:v>
      </x:c>
    </x:row>
    <x:row r="16">
      <x:c r="A16" s="38" t="str">
        <x:v>TRF-014</x:v>
      </x:c>
      <x:c r="B16" s="35" t="str">
        <x:v>upperIceWaterlineDraught</x:v>
      </x:c>
      <x:c r="C16" s="35" t="str">
        <x:v>NEW_TERMS</x:v>
      </x:c>
      <x:c r="D16" s="35" t="str">
        <x:v>ADD_TO_DEVELOPMENT_INDEX_AFTER_SEMANTIC_CONFIRMATION</x:v>
      </x:c>
    </x:row>
    <x:row r="17">
      <x:c r="A17" s="38" t="str">
        <x:v>TRF-015</x:v>
      </x:c>
      <x:c r="B17" s="35" t="str">
        <x:v>upperIceWaterlineDraught</x:v>
      </x:c>
      <x:c r="C17" s="35" t="str">
        <x:v>NEW_TERMS</x:v>
      </x:c>
      <x:c r="D17" s="35" t="str">
        <x:v>ADD_TO_DEVELOPMENT_INDEX_AFTER_SEMANTIC_CONFIRMATION</x:v>
      </x:c>
    </x:row>
    <x:row r="18">
      <x:c r="A18" s="38" t="str">
        <x:v>TRF-020</x:v>
      </x:c>
      <x:c r="B18" s="35" t="str">
        <x:v>propellerCount</x:v>
      </x:c>
      <x:c r="C18" s="35" t="str">
        <x:v>INDEX_AND_NEW_TERMS</x:v>
      </x:c>
      <x:c r="D18" s="35" t="str">
        <x:v>ADD_TO_DEVELOPMENT_INDEX_AFTER_SEMANTIC_CONFIRMATION</x:v>
      </x:c>
    </x:row>
    <x:row r="19">
      <x:c r="A19" s="38" t="str">
        <x:v>TRF-020</x:v>
      </x:c>
      <x:c r="B19" s="35" t="str">
        <x:v>propellerType</x:v>
      </x:c>
      <x:c r="C19" s="35" t="str">
        <x:v>INDEX_AND_NEW_TERMS</x:v>
      </x:c>
      <x:c r="D19" s="35" t="str">
        <x:v>ADD_TO_DEVELOPMENT_INDEX_AFTER_SEMANTIC_CONFIRMATION</x:v>
      </x:c>
    </x:row>
    <x:row r="20">
      <x:c r="A20" s="38" t="str">
        <x:v>TRF-022</x:v>
      </x:c>
      <x:c r="B20" s="35" t="str">
        <x:v>clampedHullGeometryTerm</x:v>
      </x:c>
      <x:c r="C20" s="35" t="str">
        <x:v>INDEX_AND_NEW_TERMS</x:v>
      </x:c>
      <x:c r="D20" s="35" t="str">
        <x:v>ADD_TO_DEVELOPMENT_INDEX_AFTER_SEMANTIC_CONFIRMATION</x:v>
      </x:c>
    </x:row>
    <x:row r="21">
      <x:c r="A21" s="38" t="str">
        <x:v>TRF-022</x:v>
      </x:c>
      <x:c r="B21" s="35" t="str">
        <x:v>coefficientC3</x:v>
      </x:c>
      <x:c r="C21" s="35" t="str">
        <x:v>INDEX_AND_NEW_TERMS</x:v>
      </x:c>
      <x:c r="D21" s="35" t="str">
        <x:v>ADD_TO_DEVELOPMENT_INDEX_AFTER_SEMANTIC_CONFIRMATION</x:v>
      </x:c>
    </x:row>
    <x:row r="22">
      <x:c r="A22" s="38" t="str">
        <x:v>TRF-022</x:v>
      </x:c>
      <x:c r="B22" s="35" t="str">
        <x:v>coefficientC4</x:v>
      </x:c>
      <x:c r="C22" s="35" t="str">
        <x:v>INDEX_AND_NEW_TERMS</x:v>
      </x:c>
      <x:c r="D22" s="35" t="str">
        <x:v>ADD_TO_DEVELOPMENT_INDEX_AFTER_SEMANTIC_CONFIRMATION</x:v>
      </x:c>
    </x:row>
    <x:row r="23">
      <x:c r="A23" s="38" t="str">
        <x:v>TRF-022</x:v>
      </x:c>
      <x:c r="B23" s="35" t="str">
        <x:v>coefficientC5</x:v>
      </x:c>
      <x:c r="C23" s="35" t="str">
        <x:v>INDEX_AND_NEW_TERMS</x:v>
      </x:c>
      <x:c r="D23" s="35" t="str">
        <x:v>ADD_TO_DEVELOPMENT_INDEX_AFTER_SEMANTIC_CONFIRMATION</x:v>
      </x:c>
    </x:row>
    <x:row r="24">
      <x:c r="A24" s="38" t="str">
        <x:v>TRF-022</x:v>
      </x:c>
      <x:c r="B24" s="35" t="str">
        <x:v>coefficientF1</x:v>
      </x:c>
      <x:c r="C24" s="35" t="str">
        <x:v>INDEX_AND_NEW_TERMS</x:v>
      </x:c>
      <x:c r="D24" s="35" t="str">
        <x:v>ADD_TO_DEVELOPMENT_INDEX_AFTER_SEMANTIC_CONFIRMATION</x:v>
      </x:c>
    </x:row>
    <x:row r="25">
      <x:c r="A25" s="38" t="str">
        <x:v>TRF-022</x:v>
      </x:c>
      <x:c r="B25" s="35" t="str">
        <x:v>coefficientF2</x:v>
      </x:c>
      <x:c r="C25" s="35" t="str">
        <x:v>INDEX_AND_NEW_TERMS</x:v>
      </x:c>
      <x:c r="D25" s="35" t="str">
        <x:v>ADD_TO_DEVELOPMENT_INDEX_AFTER_SEMANTIC_CONFIRMATION</x:v>
      </x:c>
    </x:row>
    <x:row r="26">
      <x:c r="A26" s="38" t="str">
        <x:v>TRF-022</x:v>
      </x:c>
      <x:c r="B26" s="35" t="str">
        <x:v>coefficientF3</x:v>
      </x:c>
      <x:c r="C26" s="35" t="str">
        <x:v>INDEX_AND_NEW_TERMS</x:v>
      </x:c>
      <x:c r="D26" s="35" t="str">
        <x:v>ADD_TO_DEVELOPMENT_INDEX_AFTER_SEMANTIC_CONFIRMATION</x:v>
      </x:c>
    </x:row>
    <x:row r="27">
      <x:c r="A27" s="38" t="str">
        <x:v>TRF-022</x:v>
      </x:c>
      <x:c r="B27" s="35" t="str">
        <x:v>coefficientF4</x:v>
      </x:c>
      <x:c r="C27" s="35" t="str">
        <x:v>INDEX_AND_NEW_TERMS</x:v>
      </x:c>
      <x:c r="D27" s="35" t="str">
        <x:v>ADD_TO_DEVELOPMENT_INDEX_AFTER_SEMANTIC_CONFIRMATION</x:v>
      </x:c>
    </x:row>
    <x:row r="28">
      <x:c r="A28" s="38" t="str">
        <x:v>TRF-022</x:v>
      </x:c>
      <x:c r="B28" s="35" t="str">
        <x:v>coefficientG1</x:v>
      </x:c>
      <x:c r="C28" s="35" t="str">
        <x:v>INDEX_AND_NEW_TERMS</x:v>
      </x:c>
      <x:c r="D28" s="35" t="str">
        <x:v>ADD_TO_DEVELOPMENT_INDEX_AFTER_SEMANTIC_CONFIRMATION</x:v>
      </x:c>
    </x:row>
    <x:row r="29">
      <x:c r="A29" s="38" t="str">
        <x:v>TRF-022</x:v>
      </x:c>
      <x:c r="B29" s="35" t="str">
        <x:v>coefficientG2</x:v>
      </x:c>
      <x:c r="C29" s="35" t="str">
        <x:v>INDEX_AND_NEW_TERMS</x:v>
      </x:c>
      <x:c r="D29" s="35" t="str">
        <x:v>ADD_TO_DEVELOPMENT_INDEX_AFTER_SEMANTIC_CONFIRMATION</x:v>
      </x:c>
    </x:row>
    <x:row r="30">
      <x:c r="A30" s="38" t="str">
        <x:v>TRF-022</x:v>
      </x:c>
      <x:c r="B30" s="35" t="str">
        <x:v>coefficientG3</x:v>
      </x:c>
      <x:c r="C30" s="35" t="str">
        <x:v>INDEX_AND_NEW_TERMS</x:v>
      </x:c>
      <x:c r="D30" s="35" t="str">
        <x:v>ADD_TO_DEVELOPMENT_INDEX_AFTER_SEMANTIC_CONFIRMATION</x:v>
      </x:c>
    </x:row>
    <x:row r="31">
      <x:c r="A31" s="38" t="str">
        <x:v>TRF-022</x:v>
      </x:c>
      <x:c r="B31" s="35" t="str">
        <x:v>iceClassDraught</x:v>
      </x:c>
      <x:c r="C31" s="35" t="str">
        <x:v>INDEX_AND_NEW_TERMS</x:v>
      </x:c>
      <x:c r="D31" s="35" t="str">
        <x:v>ADD_TO_DEVELOPMENT_INDEX_AFTER_SEMANTIC_CONFIRMATION</x:v>
      </x:c>
    </x:row>
    <x:row r="32">
      <x:c r="A32" s="38" t="str">
        <x:v>TRF-022</x:v>
      </x:c>
      <x:c r="B32" s="35" t="str">
        <x:v>shipBreadth</x:v>
      </x:c>
      <x:c r="C32" s="35" t="str">
        <x:v>INDEX_AND_NEW_TERMS</x:v>
      </x:c>
      <x:c r="D32" s="35" t="str">
        <x:v>ADD_TO_DEVELOPMENT_INDEX_AFTER_SEMANTIC_CONFIRMATION</x:v>
      </x:c>
    </x:row>
    <x:row r="33">
      <x:c r="A33" s="38" t="str">
        <x:v>TRF-022</x:v>
      </x:c>
      <x:c r="B33" s="35" t="str">
        <x:v>shipLength</x:v>
      </x:c>
      <x:c r="C33" s="35" t="str">
        <x:v>INDEX_AND_NEW_TERMS</x:v>
      </x:c>
      <x:c r="D33" s="35" t="str">
        <x:v>ADD_TO_DEVELOPMENT_INDEX_AFTER_SEMANTIC_CONFIRMATION</x:v>
      </x:c>
    </x:row>
    <x:row r="34">
      <x:c r="A34" s="38" t="str">
        <x:v>TRF-024</x:v>
      </x:c>
      <x:c r="B34" s="35" t="str">
        <x:v>constructionStageDate</x:v>
      </x:c>
      <x:c r="C34" s="35" t="str">
        <x:v>NEW_TERMS</x:v>
      </x:c>
      <x:c r="D34" s="35" t="str">
        <x:v>ADD_TO_DEVELOPMENT_INDEX_AFTER_SEMANTIC_CONFIRMATION</x:v>
      </x:c>
    </x:row>
    <x:row r="35">
      <x:c r="A35" s="38" t="str">
        <x:v>TRF-025</x:v>
      </x:c>
      <x:c r="B35" s="35" t="str">
        <x:v>bulbousBowPresent</x:v>
      </x:c>
      <x:c r="C35" s="35" t="str">
        <x:v>INDEX_AND_NEW_TERMS</x:v>
      </x:c>
      <x:c r="D35" s="35" t="str">
        <x:v>ADD_TO_DEVELOPMENT_INDEX_AFTER_SEMANTIC_CONFIRMATION</x:v>
      </x:c>
    </x:row>
    <x:row r="36">
      <x:c r="A36" s="38" t="str">
        <x:v>TRF-025</x:v>
      </x:c>
      <x:c r="B36" s="35" t="str">
        <x:v>coefficientF1</x:v>
      </x:c>
      <x:c r="C36" s="35" t="str">
        <x:v>INDEX_AND_NEW_TERMS</x:v>
      </x:c>
      <x:c r="D36" s="35" t="str">
        <x:v>ADD_TO_DEVELOPMENT_INDEX_AFTER_SEMANTIC_CONFIRMATION</x:v>
      </x:c>
    </x:row>
    <x:row r="37">
      <x:c r="A37" s="38" t="str">
        <x:v>TRF-025</x:v>
      </x:c>
      <x:c r="B37" s="35" t="str">
        <x:v>coefficientF2</x:v>
      </x:c>
      <x:c r="C37" s="35" t="str">
        <x:v>INDEX_AND_NEW_TERMS</x:v>
      </x:c>
      <x:c r="D37" s="35" t="str">
        <x:v>ADD_TO_DEVELOPMENT_INDEX_AFTER_SEMANTIC_CONFIRMATION</x:v>
      </x:c>
    </x:row>
    <x:row r="38">
      <x:c r="A38" s="38" t="str">
        <x:v>TRF-025</x:v>
      </x:c>
      <x:c r="B38" s="35" t="str">
        <x:v>coefficientF3</x:v>
      </x:c>
      <x:c r="C38" s="35" t="str">
        <x:v>INDEX_AND_NEW_TERMS</x:v>
      </x:c>
      <x:c r="D38" s="35" t="str">
        <x:v>ADD_TO_DEVELOPMENT_INDEX_AFTER_SEMANTIC_CONFIRMATION</x:v>
      </x:c>
    </x:row>
    <x:row r="39">
      <x:c r="A39" s="38" t="str">
        <x:v>TRF-025</x:v>
      </x:c>
      <x:c r="B39" s="35" t="str">
        <x:v>coefficientF4</x:v>
      </x:c>
      <x:c r="C39" s="35" t="str">
        <x:v>INDEX_AND_NEW_TERMS</x:v>
      </x:c>
      <x:c r="D39" s="35" t="str">
        <x:v>ADD_TO_DEVELOPMENT_INDEX_AFTER_SEMANTIC_CONFIRMATION</x:v>
      </x:c>
    </x:row>
    <x:row r="40">
      <x:c r="A40" s="38" t="str">
        <x:v>TRF-025</x:v>
      </x:c>
      <x:c r="B40" s="35" t="str">
        <x:v>coefficientG1</x:v>
      </x:c>
      <x:c r="C40" s="35" t="str">
        <x:v>INDEX_AND_NEW_TERMS</x:v>
      </x:c>
      <x:c r="D40" s="35" t="str">
        <x:v>ADD_TO_DEVELOPMENT_INDEX_AFTER_SEMANTIC_CONFIRMATION</x:v>
      </x:c>
    </x:row>
    <x:row r="41">
      <x:c r="A41" s="38" t="str">
        <x:v>TRF-025</x:v>
      </x:c>
      <x:c r="B41" s="35" t="str">
        <x:v>coefficientG2</x:v>
      </x:c>
      <x:c r="C41" s="35" t="str">
        <x:v>INDEX_AND_NEW_TERMS</x:v>
      </x:c>
      <x:c r="D41" s="35" t="str">
        <x:v>ADD_TO_DEVELOPMENT_INDEX_AFTER_SEMANTIC_CONFIRMATION</x:v>
      </x:c>
    </x:row>
    <x:row r="42">
      <x:c r="A42" s="38" t="str">
        <x:v>TRF-025</x:v>
      </x:c>
      <x:c r="B42" s="35" t="str">
        <x:v>coefficientG3</x:v>
      </x:c>
      <x:c r="C42" s="35" t="str">
        <x:v>INDEX_AND_NEW_TERMS</x:v>
      </x:c>
      <x:c r="D42" s="35" t="str">
        <x:v>ADD_TO_DEVELOPMENT_INDEX_AFTER_SEMANTIC_CONFIRMATION</x:v>
      </x:c>
    </x:row>
    <x:row r="43">
      <x:c r="A43" s="38" t="str">
        <x:v>TRF-025</x:v>
      </x:c>
      <x:c r="B43" s="35" t="str">
        <x:v>iceClassDraught</x:v>
      </x:c>
      <x:c r="C43" s="35" t="str">
        <x:v>INDEX_AND_NEW_TERMS</x:v>
      </x:c>
      <x:c r="D43" s="35" t="str">
        <x:v>ADD_TO_DEVELOPMENT_INDEX_AFTER_SEMANTIC_CONFIRMATION</x:v>
      </x:c>
    </x:row>
    <x:row r="44">
      <x:c r="A44" s="38" t="str">
        <x:v>TRF-025</x:v>
      </x:c>
      <x:c r="B44" s="35" t="str">
        <x:v>shipBreadth</x:v>
      </x:c>
      <x:c r="C44" s="35" t="str">
        <x:v>INDEX_AND_NEW_TERMS</x:v>
      </x:c>
      <x:c r="D44" s="35" t="str">
        <x:v>ADD_TO_DEVELOPMENT_INDEX_AFTER_SEMANTIC_CONFIRMATION</x:v>
      </x:c>
    </x:row>
    <x:row r="45">
      <x:c r="A45" s="38" t="str">
        <x:v>TRF-025</x:v>
      </x:c>
      <x:c r="B45" s="35" t="str">
        <x:v>shipLength</x:v>
      </x:c>
      <x:c r="C45" s="35" t="str">
        <x:v>INDEX_AND_NEW_TERMS</x:v>
      </x:c>
      <x:c r="D45" s="35" t="str">
        <x:v>ADD_TO_DEVELOPMENT_INDEX_AFTER_SEMANTIC_CONFIRMATION</x:v>
      </x:c>
    </x:row>
    <x:row r="46">
      <x:c r="A46" s="38" t="str">
        <x:v>TRF-026</x:v>
      </x:c>
      <x:c r="B46" s="35" t="str">
        <x:v>bulbousBowPresent</x:v>
      </x:c>
      <x:c r="C46" s="35" t="str">
        <x:v>INDEX_AND_NEW_TERMS</x:v>
      </x:c>
      <x:c r="D46" s="35" t="str">
        <x:v>ADD_TO_DEVELOPMENT_INDEX_AFTER_SEMANTIC_CONFIRMATION</x:v>
      </x:c>
    </x:row>
    <x:row r="47">
      <x:c r="A47" s="38" t="str">
        <x:v>TRF-026</x:v>
      </x:c>
      <x:c r="B47" s="35" t="str">
        <x:v>coefficientF1</x:v>
      </x:c>
      <x:c r="C47" s="35" t="str">
        <x:v>INDEX_AND_NEW_TERMS</x:v>
      </x:c>
      <x:c r="D47" s="35" t="str">
        <x:v>ADD_TO_DEVELOPMENT_INDEX_AFTER_SEMANTIC_CONFIRMATION</x:v>
      </x:c>
    </x:row>
    <x:row r="48">
      <x:c r="A48" s="38" t="str">
        <x:v>TRF-026</x:v>
      </x:c>
      <x:c r="B48" s="35" t="str">
        <x:v>coefficientF2</x:v>
      </x:c>
      <x:c r="C48" s="35" t="str">
        <x:v>INDEX_AND_NEW_TERMS</x:v>
      </x:c>
      <x:c r="D48" s="35" t="str">
        <x:v>ADD_TO_DEVELOPMENT_INDEX_AFTER_SEMANTIC_CONFIRMATION</x:v>
      </x:c>
    </x:row>
    <x:row r="49">
      <x:c r="A49" s="38" t="str">
        <x:v>TRF-026</x:v>
      </x:c>
      <x:c r="B49" s="35" t="str">
        <x:v>coefficientF3</x:v>
      </x:c>
      <x:c r="C49" s="35" t="str">
        <x:v>INDEX_AND_NEW_TERMS</x:v>
      </x:c>
      <x:c r="D49" s="35" t="str">
        <x:v>ADD_TO_DEVELOPMENT_INDEX_AFTER_SEMANTIC_CONFIRMATION</x:v>
      </x:c>
    </x:row>
    <x:row r="50">
      <x:c r="A50" s="38" t="str">
        <x:v>TRF-026</x:v>
      </x:c>
      <x:c r="B50" s="35" t="str">
        <x:v>coefficientF4</x:v>
      </x:c>
      <x:c r="C50" s="35" t="str">
        <x:v>INDEX_AND_NEW_TERMS</x:v>
      </x:c>
      <x:c r="D50" s="35" t="str">
        <x:v>ADD_TO_DEVELOPMENT_INDEX_AFTER_SEMANTIC_CONFIRMATION</x:v>
      </x:c>
    </x:row>
    <x:row r="51">
      <x:c r="A51" s="38" t="str">
        <x:v>TRF-026</x:v>
      </x:c>
      <x:c r="B51" s="35" t="str">
        <x:v>coefficientG1</x:v>
      </x:c>
      <x:c r="C51" s="35" t="str">
        <x:v>INDEX_AND_NEW_TERMS</x:v>
      </x:c>
      <x:c r="D51" s="35" t="str">
        <x:v>ADD_TO_DEVELOPMENT_INDEX_AFTER_SEMANTIC_CONFIRMATION</x:v>
      </x:c>
    </x:row>
    <x:row r="52">
      <x:c r="A52" s="38" t="str">
        <x:v>TRF-026</x:v>
      </x:c>
      <x:c r="B52" s="35" t="str">
        <x:v>coefficientG2</x:v>
      </x:c>
      <x:c r="C52" s="35" t="str">
        <x:v>INDEX_AND_NEW_TERMS</x:v>
      </x:c>
      <x:c r="D52" s="35" t="str">
        <x:v>ADD_TO_DEVELOPMENT_INDEX_AFTER_SEMANTIC_CONFIRMATION</x:v>
      </x:c>
    </x:row>
    <x:row r="53">
      <x:c r="A53" s="38" t="str">
        <x:v>TRF-026</x:v>
      </x:c>
      <x:c r="B53" s="35" t="str">
        <x:v>coefficientG3</x:v>
      </x:c>
      <x:c r="C53" s="35" t="str">
        <x:v>INDEX_AND_NEW_TERMS</x:v>
      </x:c>
      <x:c r="D53" s="35" t="str">
        <x:v>ADD_TO_DEVELOPMENT_INDEX_AFTER_SEMANTIC_CONFIRMATION</x:v>
      </x:c>
    </x:row>
    <x:row r="54">
      <x:c r="A54" s="38" t="str">
        <x:v>TRF-026</x:v>
      </x:c>
      <x:c r="B54" s="35" t="str">
        <x:v>iceClassDraught</x:v>
      </x:c>
      <x:c r="C54" s="35" t="str">
        <x:v>INDEX_AND_NEW_TERMS</x:v>
      </x:c>
      <x:c r="D54" s="35" t="str">
        <x:v>ADD_TO_DEVELOPMENT_INDEX_AFTER_SEMANTIC_CONFIRMATION</x:v>
      </x:c>
    </x:row>
    <x:row r="55">
      <x:c r="A55" s="38" t="str">
        <x:v>TRF-026</x:v>
      </x:c>
      <x:c r="B55" s="35" t="str">
        <x:v>shipBreadth</x:v>
      </x:c>
      <x:c r="C55" s="35" t="str">
        <x:v>INDEX_AND_NEW_TERMS</x:v>
      </x:c>
      <x:c r="D55" s="35" t="str">
        <x:v>ADD_TO_DEVELOPMENT_INDEX_AFTER_SEMANTIC_CONFIRMATION</x:v>
      </x:c>
    </x:row>
    <x:row r="56">
      <x:c r="A56" s="38" t="str">
        <x:v>TRF-026</x:v>
      </x:c>
      <x:c r="B56" s="35" t="str">
        <x:v>shipLength</x:v>
      </x:c>
      <x:c r="C56" s="35" t="str">
        <x:v>INDEX_AND_NEW_TERMS</x:v>
      </x:c>
      <x:c r="D56" s="35" t="str">
        <x:v>ADD_TO_DEVELOPMENT_INDEX_AFTER_SEMANTIC_CONFIRMATION</x:v>
      </x:c>
    </x:row>
    <x:row r="57">
      <x:c r="A57" s="38" t="str">
        <x:v>TRF-030</x:v>
      </x:c>
      <x:c r="B57" s="35" t="str">
        <x:v>loadPatchApplicationLocation</x:v>
      </x:c>
      <x:c r="C57" s="35" t="str">
        <x:v>NEW_TERMS</x:v>
      </x:c>
      <x:c r="D57" s="35" t="str">
        <x:v>ADD_TO_DEVELOPMENT_INDEX_AFTER_SEMANTIC_CONFIRMATION</x:v>
      </x:c>
    </x:row>
    <x:row r="58">
      <x:c r="A58" s="38" t="str">
        <x:v>TRF-030</x:v>
      </x:c>
      <x:c r="B58" s="35" t="str">
        <x:v>loadPatchHeight</x:v>
      </x:c>
      <x:c r="C58" s="35" t="str">
        <x:v>NEW_TERMS</x:v>
      </x:c>
      <x:c r="D58" s="35" t="str">
        <x:v>ADD_TO_DEVELOPMENT_INDEX_AFTER_SEMANTIC_CONFIRMATION</x:v>
      </x:c>
    </x:row>
    <x:row r="59">
      <x:c r="A59" s="38" t="str">
        <x:v>TRF-030</x:v>
      </x:c>
      <x:c r="B59" s="35" t="str">
        <x:v>loadPatchLength</x:v>
      </x:c>
      <x:c r="C59" s="35" t="str">
        <x:v>NEW_TERMS</x:v>
      </x:c>
      <x:c r="D59" s="35" t="str">
        <x:v>ADD_TO_DEVELOPMENT_INDEX_AFTER_SEMANTIC_CONFIRMATION</x:v>
      </x:c>
    </x:row>
    <x:row r="60">
      <x:c r="A60" s="38" t="str">
        <x:v>TRF-037</x:v>
      </x:c>
      <x:c r="B60" s="35" t="str">
        <x:v>icePressure</x:v>
      </x:c>
      <x:c r="C60" s="35" t="str">
        <x:v>INDEX_AND_NEW_TERMS</x:v>
      </x:c>
      <x:c r="D60" s="35" t="str">
        <x:v>ADD_TO_DEVELOPMENT_INDEX_AFTER_SEMANTIC_CONFIRMATION</x:v>
      </x:c>
    </x:row>
    <x:row r="61">
      <x:c r="A61" s="38" t="str">
        <x:v>TRF-037</x:v>
      </x:c>
      <x:c r="B61" s="35" t="str">
        <x:v>nominalIcePressureP0</x:v>
      </x:c>
      <x:c r="C61" s="35" t="str">
        <x:v>INDEX_AND_NEW_TERMS</x:v>
      </x:c>
      <x:c r="D61" s="35" t="str">
        <x:v>ADD_TO_DEVELOPMENT_INDEX_AFTER_SEMANTIC_CONFIRMATION</x:v>
      </x:c>
    </x:row>
    <x:row r="62">
      <x:c r="A62" s="38" t="str">
        <x:v>TRF-037</x:v>
      </x:c>
      <x:c r="B62" s="35" t="str">
        <x:v>shipLength</x:v>
      </x:c>
      <x:c r="C62" s="35" t="str">
        <x:v>INDEX_AND_NEW_TERMS</x:v>
      </x:c>
      <x:c r="D62" s="35" t="str">
        <x:v>ADD_TO_DEVELOPMENT_INDEX_AFTER_SEMANTIC_CONFIRMATION</x:v>
      </x:c>
    </x:row>
    <x:row r="63">
      <x:c r="A63" s="38" t="str">
        <x:v>TRF-041</x:v>
      </x:c>
      <x:c r="B63" s="35" t="str">
        <x:v>coefficientF1</x:v>
      </x:c>
      <x:c r="C63" s="35" t="str">
        <x:v>INDEX_AND_UNIT_REVIEW</x:v>
      </x:c>
      <x:c r="D63" s="35" t="str">
        <x:v>ADD_TO_DEVELOPMENT_INDEX_AFTER_SEMANTIC_CONFIRMATION</x:v>
      </x:c>
    </x:row>
    <x:row r="64">
      <x:c r="A64" s="38" t="str">
        <x:v>TRF-041</x:v>
      </x:c>
      <x:c r="B64" s="35" t="str">
        <x:v>coefficientF2</x:v>
      </x:c>
      <x:c r="C64" s="35" t="str">
        <x:v>INDEX_AND_UNIT_REVIEW</x:v>
      </x:c>
      <x:c r="D64" s="35" t="str">
        <x:v>ADD_TO_DEVELOPMENT_INDEX_AFTER_SEMANTIC_CONFIRMATION</x:v>
      </x:c>
    </x:row>
    <x:row r="65">
      <x:c r="A65" s="38" t="str">
        <x:v>TRF-041</x:v>
      </x:c>
      <x:c r="B65" s="35" t="str">
        <x:v>corrosionAbrasionAddition</x:v>
      </x:c>
      <x:c r="C65" s="35" t="str">
        <x:v>INDEX_AND_UNIT_REVIEW</x:v>
      </x:c>
      <x:c r="D65" s="35" t="str">
        <x:v>ADD_TO_DEVELOPMENT_INDEX_AFTER_SEMANTIC_CONFIRMATION</x:v>
      </x:c>
    </x:row>
    <x:row r="66">
      <x:c r="A66" s="38" t="str">
        <x:v>TRF-041</x:v>
      </x:c>
      <x:c r="B66" s="35" t="str">
        <x:v>icePressure</x:v>
      </x:c>
      <x:c r="C66" s="35" t="str">
        <x:v>INDEX_AND_UNIT_REVIEW</x:v>
      </x:c>
      <x:c r="D66" s="35" t="str">
        <x:v>ADD_TO_DEVELOPMENT_INDEX_AFTER_SEMANTIC_CONFIRMATION</x:v>
      </x:c>
    </x:row>
    <x:row r="67">
      <x:c r="A67" s="38" t="str">
        <x:v>TRF-041</x:v>
      </x:c>
      <x:c r="B67" s="35" t="str">
        <x:v>spacing</x:v>
      </x:c>
      <x:c r="C67" s="35" t="str">
        <x:v>INDEX_AND_UNIT_REVIEW</x:v>
      </x:c>
      <x:c r="D67" s="35" t="str">
        <x:v>ADD_TO_DEVELOPMENT_INDEX_AFTER_SEMANTIC_CONFIRMATION</x:v>
      </x:c>
    </x:row>
    <x:row r="68">
      <x:c r="A68" s="38" t="str">
        <x:v>TRF-042</x:v>
      </x:c>
      <x:c r="B68" s="35" t="str">
        <x:v>coefficientF2</x:v>
      </x:c>
      <x:c r="C68" s="35" t="str">
        <x:v>INDEX_AND_UNIT_REVIEW</x:v>
      </x:c>
      <x:c r="D68" s="35" t="str">
        <x:v>ADD_TO_DEVELOPMENT_INDEX_AFTER_SEMANTIC_CONFIRMATION</x:v>
      </x:c>
    </x:row>
    <x:row r="69">
      <x:c r="A69" s="38" t="str">
        <x:v>TRF-042</x:v>
      </x:c>
      <x:c r="B69" s="35" t="str">
        <x:v>corrosionAbrasionAddition</x:v>
      </x:c>
      <x:c r="C69" s="35" t="str">
        <x:v>INDEX_AND_UNIT_REVIEW</x:v>
      </x:c>
      <x:c r="D69" s="35" t="str">
        <x:v>ADD_TO_DEVELOPMENT_INDEX_AFTER_SEMANTIC_CONFIRMATION</x:v>
      </x:c>
    </x:row>
    <x:row r="70">
      <x:c r="A70" s="38" t="str">
        <x:v>TRF-042</x:v>
      </x:c>
      <x:c r="B70" s="35" t="str">
        <x:v>designIceLoadHeight</x:v>
      </x:c>
      <x:c r="C70" s="35" t="str">
        <x:v>INDEX_AND_UNIT_REVIEW</x:v>
      </x:c>
      <x:c r="D70" s="35" t="str">
        <x:v>ADD_TO_DEVELOPMENT_INDEX_AFTER_SEMANTIC_CONFIRMATION</x:v>
      </x:c>
    </x:row>
    <x:row r="71">
      <x:c r="A71" s="38" t="str">
        <x:v>TRF-042</x:v>
      </x:c>
      <x:c r="B71" s="35" t="str">
        <x:v>materialApprovalStatus</x:v>
      </x:c>
      <x:c r="C71" s="35" t="str">
        <x:v>INDEX_AND_UNIT_REVIEW</x:v>
      </x:c>
      <x:c r="D71" s="35" t="str">
        <x:v>ADD_TO_DEVELOPMENT_INDEX_AFTER_SEMANTIC_CONFIRMATION</x:v>
      </x:c>
    </x:row>
    <x:row r="72">
      <x:c r="A72" s="38" t="str">
        <x:v>TRF-042</x:v>
      </x:c>
      <x:c r="B72" s="35" t="str">
        <x:v>spacing</x:v>
      </x:c>
      <x:c r="C72" s="35" t="str">
        <x:v>INDEX_AND_UNIT_REVIEW</x:v>
      </x:c>
      <x:c r="D72" s="35" t="str">
        <x:v>ADD_TO_DEVELOPMENT_INDEX_AFTER_SEMANTIC_CONFIRMATION</x:v>
      </x:c>
    </x:row>
    <x:row r="73">
      <x:c r="A73" s="38" t="str">
        <x:v>TRF-042</x:v>
      </x:c>
      <x:c r="B73" s="35" t="str">
        <x:v>steelGrade</x:v>
      </x:c>
      <x:c r="C73" s="35" t="str">
        <x:v>INDEX_AND_UNIT_REVIEW</x:v>
      </x:c>
      <x:c r="D73" s="35" t="str">
        <x:v>ADD_TO_DEVELOPMENT_INDEX_AFTER_SEMANTIC_CONFIRMATION</x:v>
      </x:c>
    </x:row>
    <x:row r="74">
      <x:c r="A74" s="38" t="str">
        <x:v>TRF-043</x:v>
      </x:c>
      <x:c r="B74" s="35" t="str">
        <x:v>iceClass</x:v>
      </x:c>
      <x:c r="C74" s="35" t="str">
        <x:v>READY_AFTER_INDEX_CHECK</x:v>
      </x:c>
      <x:c r="D74" s="35" t="str">
        <x:v>ADD_TO_DEVELOPMENT_INDEX_AFTER_SEMANTIC_CONFIRMATION</x:v>
      </x:c>
    </x:row>
    <x:row r="75">
      <x:c r="A75" s="38" t="str">
        <x:v>TRF-044</x:v>
      </x:c>
      <x:c r="B75" s="35" t="str">
        <x:v>designIceLoadHeight</x:v>
      </x:c>
      <x:c r="C75" s="35" t="str">
        <x:v>INDEX_AND_UNIT_REVIEW</x:v>
      </x:c>
      <x:c r="D75" s="35" t="str">
        <x:v>ADD_TO_DEVELOPMENT_INDEX_AFTER_SEMANTIC_CONFIRMATION</x:v>
      </x:c>
    </x:row>
    <x:row r="76">
      <x:c r="A76" s="38" t="str">
        <x:v>TRF-044</x:v>
      </x:c>
      <x:c r="B76" s="35" t="str">
        <x:v>icePressure</x:v>
      </x:c>
      <x:c r="C76" s="35" t="str">
        <x:v>INDEX_AND_UNIT_REVIEW</x:v>
      </x:c>
      <x:c r="D76" s="35" t="str">
        <x:v>ADD_TO_DEVELOPMENT_INDEX_AFTER_SEMANTIC_CONFIRMATION</x:v>
      </x:c>
    </x:row>
    <x:row r="77">
      <x:c r="A77" s="38" t="str">
        <x:v>TRF-044</x:v>
      </x:c>
      <x:c r="B77" s="35" t="str">
        <x:v>spacing</x:v>
      </x:c>
      <x:c r="C77" s="35" t="str">
        <x:v>INDEX_AND_UNIT_REVIEW</x:v>
      </x:c>
      <x:c r="D77" s="35" t="str">
        <x:v>ADD_TO_DEVELOPMENT_INDEX_AFTER_SEMANTIC_CONFIRMATION</x:v>
      </x:c>
    </x:row>
    <x:row r="78">
      <x:c r="A78" s="38" t="str">
        <x:v>TRF-044</x:v>
      </x:c>
      <x:c r="B78" s="35" t="str">
        <x:v>span</x:v>
      </x:c>
      <x:c r="C78" s="35" t="str">
        <x:v>INDEX_AND_UNIT_REVIEW</x:v>
      </x:c>
      <x:c r="D78" s="35" t="str">
        <x:v>ADD_TO_DEVELOPMENT_INDEX_AFTER_SEMANTIC_CONFIRMATION</x:v>
      </x:c>
    </x:row>
    <x:row r="79">
      <x:c r="A79" s="38" t="str">
        <x:v>TRF-048</x:v>
      </x:c>
      <x:c r="B79" s="35" t="str">
        <x:v>coefficientF4</x:v>
      </x:c>
      <x:c r="C79" s="35" t="str">
        <x:v>INDEX_AND_UNIT_REVIEW</x:v>
      </x:c>
      <x:c r="D79" s="35" t="str">
        <x:v>ADD_TO_DEVELOPMENT_INDEX_AFTER_SEMANTIC_CONFIRMATION</x:v>
      </x:c>
    </x:row>
    <x:row r="80">
      <x:c r="A80" s="38" t="str">
        <x:v>TRF-048</x:v>
      </x:c>
      <x:c r="B80" s="35" t="str">
        <x:v>connectionBracket</x:v>
      </x:c>
      <x:c r="C80" s="35" t="str">
        <x:v>INDEX_AND_UNIT_REVIEW</x:v>
      </x:c>
      <x:c r="D80" s="35" t="str">
        <x:v>ADD_TO_DEVELOPMENT_INDEX_AFTER_SEMANTIC_CONFIRMATION</x:v>
      </x:c>
    </x:row>
    <x:row r="81">
      <x:c r="A81" s="38" t="str">
        <x:v>TRF-048</x:v>
      </x:c>
      <x:c r="B81" s="35" t="str">
        <x:v>designIceLoadHeight</x:v>
      </x:c>
      <x:c r="C81" s="35" t="str">
        <x:v>INDEX_AND_UNIT_REVIEW</x:v>
      </x:c>
      <x:c r="D81" s="35" t="str">
        <x:v>ADD_TO_DEVELOPMENT_INDEX_AFTER_SEMANTIC_CONFIRMATION</x:v>
      </x:c>
    </x:row>
    <x:row r="82">
      <x:c r="A82" s="38" t="str">
        <x:v>TRF-048</x:v>
      </x:c>
      <x:c r="B82" s="35" t="str">
        <x:v>icePressure</x:v>
      </x:c>
      <x:c r="C82" s="35" t="str">
        <x:v>INDEX_AND_UNIT_REVIEW</x:v>
      </x:c>
      <x:c r="D82" s="35" t="str">
        <x:v>ADD_TO_DEVELOPMENT_INDEX_AFTER_SEMANTIC_CONFIRMATION</x:v>
      </x:c>
    </x:row>
    <x:row r="83">
      <x:c r="A83" s="38" t="str">
        <x:v>TRF-048</x:v>
      </x:c>
      <x:c r="B83" s="35" t="str">
        <x:v>spacing</x:v>
      </x:c>
      <x:c r="C83" s="35" t="str">
        <x:v>INDEX_AND_UNIT_REVIEW</x:v>
      </x:c>
      <x:c r="D83" s="35" t="str">
        <x:v>ADD_TO_DEVELOPMENT_INDEX_AFTER_SEMANTIC_CONFIRMATION</x:v>
      </x:c>
    </x:row>
    <x:row r="84">
      <x:c r="A84" s="38" t="str">
        <x:v>TRF-048</x:v>
      </x:c>
      <x:c r="B84" s="35" t="str">
        <x:v>span</x:v>
      </x:c>
      <x:c r="C84" s="35" t="str">
        <x:v>INDEX_AND_UNIT_REVIEW</x:v>
      </x:c>
      <x:c r="D84" s="35" t="str">
        <x:v>ADD_TO_DEVELOPMENT_INDEX_AFTER_SEMANTIC_CONFIRMATION</x:v>
      </x:c>
    </x:row>
    <x:row r="85">
      <x:c r="A85" s="38" t="str">
        <x:v>TRF-051</x:v>
      </x:c>
      <x:c r="B85" s="35" t="str">
        <x:v>corrosionAbrasionAddition</x:v>
      </x:c>
      <x:c r="C85" s="35" t="str">
        <x:v>INDEX_AND_UNIT_REVIEW</x:v>
      </x:c>
      <x:c r="D85" s="35" t="str">
        <x:v>ADD_TO_DEVELOPMENT_INDEX_AFTER_SEMANTIC_CONFIRMATION</x:v>
      </x:c>
    </x:row>
    <x:row r="86">
      <x:c r="A86" s="38" t="str">
        <x:v>TRF-051</x:v>
      </x:c>
      <x:c r="B86" s="35" t="str">
        <x:v>frameWebPlateThickness</x:v>
      </x:c>
      <x:c r="C86" s="35" t="str">
        <x:v>INDEX_AND_UNIT_REVIEW</x:v>
      </x:c>
      <x:c r="D86" s="35" t="str">
        <x:v>ADD_TO_DEVELOPMENT_INDEX_AFTER_SEMANTIC_CONFIRMATION</x:v>
      </x:c>
    </x:row>
    <x:row r="87">
      <x:c r="A87" s="38" t="str">
        <x:v>TRF-051</x:v>
      </x:c>
      <x:c r="B87" s="35" t="str">
        <x:v>netThickness</x:v>
      </x:c>
      <x:c r="C87" s="35" t="str">
        <x:v>INDEX_AND_UNIT_REVIEW</x:v>
      </x:c>
      <x:c r="D87" s="35" t="str">
        <x:v>ADD_TO_DEVELOPMENT_INDEX_AFTER_SEMANTIC_CONFIRMATION</x:v>
      </x:c>
    </x:row>
    <x:row r="88">
      <x:c r="A88" s="38" t="str">
        <x:v>TRF-053</x:v>
      </x:c>
      <x:c r="B88" s="35" t="str">
        <x:v>designIceLoadHeight</x:v>
      </x:c>
      <x:c r="C88" s="35" t="str">
        <x:v>INDEX_AND_UNIT_REVIEW</x:v>
      </x:c>
      <x:c r="D88" s="35" t="str">
        <x:v>ADD_TO_DEVELOPMENT_INDEX_AFTER_SEMANTIC_CONFIRMATION</x:v>
      </x:c>
    </x:row>
    <x:row r="89">
      <x:c r="A89" s="38" t="str">
        <x:v>TRF-053</x:v>
      </x:c>
      <x:c r="B89" s="35" t="str">
        <x:v>icePressure</x:v>
      </x:c>
      <x:c r="C89" s="35" t="str">
        <x:v>INDEX_AND_UNIT_REVIEW</x:v>
      </x:c>
      <x:c r="D89" s="35" t="str">
        <x:v>ADD_TO_DEVELOPMENT_INDEX_AFTER_SEMANTIC_CONFIRMATION</x:v>
      </x:c>
    </x:row>
    <x:row r="90">
      <x:c r="A90" s="38" t="str">
        <x:v>TRF-053</x:v>
      </x:c>
      <x:c r="B90" s="35" t="str">
        <x:v>span</x:v>
      </x:c>
      <x:c r="C90" s="35" t="str">
        <x:v>INDEX_AND_UNIT_REVIEW</x:v>
      </x:c>
      <x:c r="D90" s="35" t="str">
        <x:v>ADD_TO_DEVELOPMENT_INDEX_AFTER_SEMANTIC_CONFIRMATION</x:v>
      </x:c>
    </x:row>
    <x:row r="91">
      <x:c r="A91" s="38" t="str">
        <x:v>TRF-054</x:v>
      </x:c>
      <x:c r="B91" s="35" t="str">
        <x:v>designIceLoadHeight</x:v>
      </x:c>
      <x:c r="C91" s="35" t="str">
        <x:v>INDEX_AND_UNIT_REVIEW</x:v>
      </x:c>
      <x:c r="D91" s="35" t="str">
        <x:v>ADD_TO_DEVELOPMENT_INDEX_AFTER_SEMANTIC_CONFIRMATION</x:v>
      </x:c>
    </x:row>
    <x:row r="92">
      <x:c r="A92" s="38" t="str">
        <x:v>TRF-054</x:v>
      </x:c>
      <x:c r="B92" s="35" t="str">
        <x:v>icePressure</x:v>
      </x:c>
      <x:c r="C92" s="35" t="str">
        <x:v>INDEX_AND_UNIT_REVIEW</x:v>
      </x:c>
      <x:c r="D92" s="35" t="str">
        <x:v>ADD_TO_DEVELOPMENT_INDEX_AFTER_SEMANTIC_CONFIRMATION</x:v>
      </x:c>
    </x:row>
    <x:row r="93">
      <x:c r="A93" s="38" t="str">
        <x:v>TRF-054</x:v>
      </x:c>
      <x:c r="B93" s="35" t="str">
        <x:v>span</x:v>
      </x:c>
      <x:c r="C93" s="35" t="str">
        <x:v>INDEX_AND_UNIT_REVIEW</x:v>
      </x:c>
      <x:c r="D93" s="35" t="str">
        <x:v>ADD_TO_DEVELOPMENT_INDEX_AFTER_SEMANTIC_CONFIRMATION</x:v>
      </x:c>
    </x:row>
    <x:row r="94">
      <x:c r="A94" s="38" t="str">
        <x:v>TRF-054</x:v>
      </x:c>
      <x:c r="B94" s="35" t="str">
        <x:v>stringerOutsideIceBeltHeight</x:v>
      </x:c>
      <x:c r="C94" s="35" t="str">
        <x:v>INDEX_AND_UNIT_REVIEW</x:v>
      </x:c>
      <x:c r="D94" s="35" t="str">
        <x:v>ADD_TO_DEVELOPMENT_INDEX_AFTER_SEMANTIC_CONFIRMATION</x:v>
      </x:c>
    </x:row>
    <x:row r="95">
      <x:c r="A95" s="38" t="str">
        <x:v>TRF-054</x:v>
      </x:c>
      <x:c r="B95" s="35" t="str">
        <x:v>stringerSpan</x:v>
      </x:c>
      <x:c r="C95" s="35" t="str">
        <x:v>INDEX_AND_UNIT_REVIEW</x:v>
      </x:c>
      <x:c r="D95" s="35" t="str">
        <x:v>ADD_TO_DEVELOPMENT_INDEX_AFTER_SEMANTIC_CONFIRMATION</x:v>
      </x:c>
    </x:row>
    <x:row r="96">
      <x:c r="A96" s="38" t="str">
        <x:v>TRF-055</x:v>
      </x:c>
      <x:c r="B96" s="35" t="str">
        <x:v>designLineLoad</x:v>
      </x:c>
      <x:c r="C96" s="35" t="str">
        <x:v>NEW_TERMS</x:v>
      </x:c>
      <x:c r="D96" s="35" t="str">
        <x:v>ADD_TO_DEVELOPMENT_INDEX_AFTER_SEMANTIC_CONFIRMATION</x:v>
      </x:c>
    </x:row>
    <x:row r="97">
      <x:c r="A97" s="38" t="str">
        <x:v>TRF-055</x:v>
      </x:c>
      <x:c r="B97" s="35" t="str">
        <x:v>hatchOpeningLength</x:v>
      </x:c>
      <x:c r="C97" s="35" t="str">
        <x:v>NEW_TERMS</x:v>
      </x:c>
      <x:c r="D97" s="35" t="str">
        <x:v>ADD_TO_DEVELOPMENT_INDEX_AFTER_SEMANTIC_CONFIRMATION</x:v>
      </x:c>
    </x:row>
    <x:row r="98">
      <x:c r="A98" s="38" t="str">
        <x:v>TRF-055</x:v>
      </x:c>
      <x:c r="B98" s="35" t="str">
        <x:v>scantlingApprovalStatus</x:v>
      </x:c>
      <x:c r="C98" s="35" t="str">
        <x:v>NEW_TERMS</x:v>
      </x:c>
      <x:c r="D98" s="35" t="str">
        <x:v>ADD_TO_DEVELOPMENT_INDEX_AFTER_SEMANTIC_CONFIRMATION</x:v>
      </x:c>
    </x:row>
    <x:row r="99">
      <x:c r="A99" s="39" t="str">
        <x:v>TRF-055</x:v>
      </x:c>
      <x:c r="B99" s="36" t="str">
        <x:v>shipBreadth</x:v>
      </x:c>
      <x:c r="C99" s="36" t="str">
        <x:v>NEW_TERMS</x:v>
      </x:c>
      <x:c r="D99" s="36" t="str">
        <x:v>ADD_TO_DEVELOPMENT_INDEX_AFTER_SEMANTIC_CONFIRMATION</x:v>
      </x:c>
    </x:row>
  </x:sheetData>
  <x:conditionalFormatting sqref="C5:C99">
    <x:cfRule type="containsText" dxfId="15" priority="1" operator="containsText" text="READY"/>
    <x:cfRule type="containsText" dxfId="16" priority="2" operator="containsText" text="COMPLETE"/>
    <x:cfRule type="containsText" dxfId="17" priority="3" operator="containsText" text="NEW"/>
    <x:cfRule type="containsText" dxfId="18" priority="4" operator="containsText" text="REMODEL"/>
    <x:cfRule type="containsText" dxfId="19" priority="5" operator="containsText" text="UNIT"/>
  </x:conditionalFormatting>
  <x:pageMargins left="0.7" right="0.7" top="0.75" bottom="0.75" header="0.3" footer="0.3"/>
  <x:tableParts count="1">
    <x:tablePart xmlns:r="http://schemas.openxmlformats.org/officeDocument/2006/relationships" r:id="Rde5a65fc41f64ebd"/>
  </x:tableParts>
</x:worksheet>
</file>

<file path=xl/worksheets/sheet6.xml><?xml version="1.0" encoding="utf-8"?>
<x:worksheet xmlns:x="http://schemas.openxmlformats.org/spreadsheetml/2006/main">
  <x:sheetViews>
    <x:sheetView showGridLines="0" workbookViewId="0"/>
  </x:sheetViews>
  <x:sheetFormatPr defaultRowHeight="15"/>
  <x:cols>
    <x:col min="1" max="1" width="46" hidden="0" customWidth="1"/>
    <x:col min="2" max="2" width="62" hidden="0" customWidth="1"/>
    <x:col min="3" max="3" width="24" hidden="0" customWidth="1"/>
    <x:col min="4" max="4" width="58" hidden="0" customWidth="1"/>
    <x:col min="5" max="5" width="18" hidden="0" customWidth="1"/>
    <x:col min="6" max="6" width="18" hidden="0" customWidth="1"/>
    <x:col min="7" max="7" width="44" hidden="0" customWidth="1"/>
    <x:col min="8" max="8" width="72" hidden="0" customWidth="1"/>
    <x:col min="9" max="9" width="72" hidden="0" customWidth="1"/>
    <x:col min="10" max="10" width="28" hidden="0" customWidth="1"/>
  </x:cols>
  <x:sheetData>
    <x:row r="1">
      <x:c r="A1" s="11" t="str">
        <x:v>NLTL Development Calibration - Batch 01</x:v>
      </x:c>
      <x:c r="B1" s="12"/>
      <x:c r="C1" s="12"/>
      <x:c r="D1" s="12"/>
      <x:c r="E1" s="12"/>
      <x:c r="F1" s="12"/>
      <x:c r="G1" s="12"/>
      <x:c r="H1" s="12"/>
      <x:c r="I1" s="12"/>
      <x:c r="J1" s="12"/>
    </x:row>
    <x:row r="2">
      <x:c r="A2" s="13" t="str">
        <x:v>DEVELOPMENT_TERMS | DEV-CAL-BATCH-01-FIRST-50 | vocabulary is not frozen</x:v>
      </x:c>
      <x:c r="B2" s="13"/>
      <x:c r="C2" s="13"/>
      <x:c r="D2" s="13"/>
      <x:c r="E2" s="13"/>
      <x:c r="F2" s="13"/>
      <x:c r="G2" s="13"/>
      <x:c r="H2" s="13"/>
      <x:c r="I2" s="13"/>
      <x:c r="J2" s="13"/>
    </x:row>
    <x:row r="3">
      <x:c r="A3" s="14"/>
      <x:c r="B3" s="14"/>
      <x:c r="C3" s="14"/>
      <x:c r="D3" s="14"/>
      <x:c r="E3" s="14"/>
      <x:c r="F3" s="14"/>
      <x:c r="G3" s="14"/>
      <x:c r="H3" s="14"/>
      <x:c r="I3" s="14"/>
      <x:c r="J3" s="14"/>
    </x:row>
    <x:row r="4" ht="32" customHeight="1">
      <x:c r="A4" s="32" t="str">
        <x:v>LOCAL_NAME</x:v>
      </x:c>
      <x:c r="B4" s="52" t="str">
        <x:v>EXACT_IRI</x:v>
      </x:c>
      <x:c r="C4" s="52" t="str">
        <x:v>KIND</x:v>
      </x:c>
      <x:c r="D4" s="52" t="str">
        <x:v>RANGE_OR_PARENT</x:v>
      </x:c>
      <x:c r="E4" s="52" t="str">
        <x:v>DATATYPE</x:v>
      </x:c>
      <x:c r="F4" s="52" t="str">
        <x:v>UNIT</x:v>
      </x:c>
      <x:c r="G4" s="52" t="str">
        <x:v>REQUIREMENT_IDS</x:v>
      </x:c>
      <x:c r="H4" s="52" t="str">
        <x:v>NAMING_BASIS</x:v>
      </x:c>
      <x:c r="I4" s="52" t="str">
        <x:v>NAMING_RULE</x:v>
      </x:c>
      <x:c r="J4" s="33" t="str">
        <x:v>ACTION</x:v>
      </x:c>
    </x:row>
    <x:row r="5">
      <x:c r="A5" s="34" t="str">
        <x:v>abandonmentEnvironment</x:v>
      </x:c>
      <x:c r="B5" s="34" t="str">
        <x:v>https://w3id.org/nltl-benchmark/vocab#abandonmentEnvironment</x:v>
      </x:c>
      <x:c r="C5" s="34" t="str">
        <x:v>DatatypeProperty</x:v>
      </x:c>
      <x:c r="D5" s="34" t="str">
        <x:v>http://www.w3.org/2001/XMLSchema#string</x:v>
      </x:c>
      <x:c r="E5" s="34" t="str">
        <x:v>xsd:string</x:v>
      </x:c>
      <x:c r="F5" s="34" t="str"/>
      <x:c r="G5" s="37" t="str">
        <x:v>IMO-065</x:v>
      </x:c>
      <x:c r="H5" s="34" t="str">
        <x:v>Locked-workbook normalized regulatory term</x:v>
      </x:c>
      <x:c r="I5" s="34" t="str">
        <x:v>N4 - preserve the source concept; normalize spelling to ASCII lowerCamelCase</x:v>
      </x:c>
      <x:c r="J5" s="34" t="str">
        <x:v>REUSE_R2_TERM</x:v>
      </x:c>
    </x:row>
    <x:row r="6">
      <x:c r="A6" s="35" t="str">
        <x:v>abandonmentOntoIceOrLandPotential</x:v>
      </x:c>
      <x:c r="B6" s="35" t="str">
        <x:v>https://w3id.org/nltl-benchmark/vocab#abandonmentOntoIceOrLandPotential</x:v>
      </x:c>
      <x:c r="C6" s="35" t="str">
        <x:v>DatatypeProperty</x:v>
      </x:c>
      <x:c r="D6" s="35" t="str">
        <x:v>http://www.w3.org/2001/XMLSchema#boolean</x:v>
      </x:c>
      <x:c r="E6" s="35" t="str">
        <x:v>xsd:boolean</x:v>
      </x:c>
      <x:c r="F6" s="35" t="str"/>
      <x:c r="G6" s="38" t="str">
        <x:v>IMO-074</x:v>
      </x:c>
      <x:c r="H6" s="35" t="str">
        <x:v>Locked-workbook normalized regulatory term</x:v>
      </x:c>
      <x:c r="I6" s="35" t="str">
        <x:v>N4 - preserve the source concept; normalize spelling to ASCII lowerCamelCase</x:v>
      </x:c>
      <x:c r="J6" s="35" t="str">
        <x:v>REUSE_R2_TERM</x:v>
      </x:c>
    </x:row>
    <x:row r="7">
      <x:c r="A7" s="35" t="str">
        <x:v>abreastOfHatch</x:v>
      </x:c>
      <x:c r="B7" s="35" t="str">
        <x:v>https://w3id.org/nltl-benchmark/vocab#abreastOfHatch</x:v>
      </x:c>
      <x:c r="C7" s="35" t="str">
        <x:v>DatatypeProperty</x:v>
      </x:c>
      <x:c r="D7" s="35" t="str">
        <x:v>http://www.w3.org/2001/XMLSchema#boolean</x:v>
      </x:c>
      <x:c r="E7" s="35" t="str">
        <x:v>xsd:boolean</x:v>
      </x:c>
      <x:c r="F7" s="35" t="str"/>
      <x:c r="G7" s="38" t="str">
        <x:v>TRF-055</x:v>
      </x:c>
      <x:c r="H7" s="35" t="str">
        <x:v>Applicable TRAFICOM regulation wording plus explicit engineering node/operand role</x:v>
      </x:c>
      <x:c r="I7" s="35" t="str">
        <x:v>N4 - explicit regulatory concept in ASCII lowerCamelCase with an XSD datatype.</x:v>
      </x:c>
      <x:c r="J7" s="35" t="str">
        <x:v>ADD_DEVELOPMENT_TERM</x:v>
      </x:c>
    </x:row>
    <x:row r="8">
      <x:c r="A8" s="35" t="str">
        <x:v>accessRequiredAtSea</x:v>
      </x:c>
      <x:c r="B8" s="35" t="str">
        <x:v>https://w3id.org/nltl-benchmark/vocab#accessRequiredAtSea</x:v>
      </x:c>
      <x:c r="C8" s="35" t="str">
        <x:v>DatatypeProperty</x:v>
      </x:c>
      <x:c r="D8" s="35" t="str">
        <x:v>http://www.w3.org/2001/XMLSchema#boolean</x:v>
      </x:c>
      <x:c r="E8" s="35" t="str">
        <x:v>xsd:boolean</x:v>
      </x:c>
      <x:c r="F8" s="35" t="str"/>
      <x:c r="G8" s="38" t="str">
        <x:v>IMO-042</x:v>
      </x:c>
      <x:c r="H8" s="35" t="str">
        <x:v>Locked-workbook normalized regulatory term</x:v>
      </x:c>
      <x:c r="I8" s="35" t="str">
        <x:v>N4 - preserve the source concept; normalize spelling to ASCII lowerCamelCase</x:v>
      </x:c>
      <x:c r="J8" s="35" t="str">
        <x:v>REUSE_R2_TERM</x:v>
      </x:c>
    </x:row>
    <x:row r="9">
      <x:c r="A9" s="35" t="str">
        <x:v>accessibleStatus</x:v>
      </x:c>
      <x:c r="B9" s="35" t="str">
        <x:v>https://w3id.org/nltl-benchmark/vocab#accessibleStatus</x:v>
      </x:c>
      <x:c r="C9" s="35" t="str">
        <x:v>DatatypeProperty</x:v>
      </x:c>
      <x:c r="D9" s="35" t="str">
        <x:v>http://www.w3.org/2001/XMLSchema#boolean</x:v>
      </x:c>
      <x:c r="E9" s="35" t="str">
        <x:v>xsd:boolean</x:v>
      </x:c>
      <x:c r="F9" s="35" t="str"/>
      <x:c r="G9" s="38" t="str">
        <x:v>IMO-062</x:v>
      </x:c>
      <x:c r="H9" s="35" t="str">
        <x:v>Locked-workbook normalized regulatory term</x:v>
      </x:c>
      <x:c r="I9" s="35" t="str">
        <x:v>N4 - preserve the source concept; normalize spelling to ASCII lowerCamelCase</x:v>
      </x:c>
      <x:c r="J9" s="35" t="str">
        <x:v>REUSE_R2_TERM</x:v>
      </x:c>
    </x:row>
    <x:row r="10">
      <x:c r="A10" s="35" t="str">
        <x:v>accommodationSpacePresent</x:v>
      </x:c>
      <x:c r="B10" s="35" t="str">
        <x:v>https://w3id.org/nltl-benchmark/vocab#accommodationSpacePresent</x:v>
      </x:c>
      <x:c r="C10" s="35" t="str">
        <x:v>DatatypeProperty</x:v>
      </x:c>
      <x:c r="D10" s="35" t="str">
        <x:v>http://www.w3.org/2001/XMLSchema#boolean</x:v>
      </x:c>
      <x:c r="E10" s="35" t="str">
        <x:v>xsd:boolean</x:v>
      </x:c>
      <x:c r="F10" s="35" t="str"/>
      <x:c r="G10" s="38" t="str">
        <x:v>IMO-065</x:v>
      </x:c>
      <x:c r="H10" s="35" t="str">
        <x:v>Locked-workbook normalized regulatory term</x:v>
      </x:c>
      <x:c r="I10" s="35" t="str">
        <x:v>N4 - preserve the source concept; normalize spelling to ASCII lowerCamelCase</x:v>
      </x:c>
      <x:c r="J10" s="35" t="str">
        <x:v>REUSE_R2_TERM</x:v>
      </x:c>
    </x:row>
    <x:row r="11">
      <x:c r="A11" s="35" t="str">
        <x:v>actualFrameShearArea</x:v>
      </x:c>
      <x:c r="B11" s="35" t="str">
        <x:v>https://w3id.org/nltl-benchmark/vocab#actualFrameShearArea</x:v>
      </x:c>
      <x:c r="C11" s="35" t="str">
        <x:v>QuantityProperty</x:v>
      </x:c>
      <x:c r="D11" s="35" t="str">
        <x:v>http://qudt.org/schema/qudt/QuantityValue</x:v>
      </x:c>
      <x:c r="E11" s="35" t="str"/>
      <x:c r="F11" s="35" t="str">
        <x:v>cm^2</x:v>
      </x:c>
      <x:c r="G11" s="38" t="str">
        <x:v>TRF-048</x:v>
      </x:c>
      <x:c r="H11" s="35" t="str">
        <x:v>Benchmark-coined descriptive engineering term</x:v>
      </x:c>
      <x:c r="I11" s="35" t="str">
        <x:v>N5 - component or subject first, followed by characteristic and qualifier/state; no unsupported external mapping</x:v>
      </x:c>
      <x:c r="J11" s="35" t="str">
        <x:v>REUSE_R2_TERM</x:v>
      </x:c>
    </x:row>
    <x:row r="12">
      <x:c r="A12" s="35" t="str">
        <x:v>actualSectionModulus</x:v>
      </x:c>
      <x:c r="B12" s="35" t="str">
        <x:v>https://w3id.org/nltl-benchmark/vocab#actualSectionModulus</x:v>
      </x:c>
      <x:c r="C12" s="35" t="str">
        <x:v>QuantityProperty</x:v>
      </x:c>
      <x:c r="D12" s="35" t="str">
        <x:v>http://qudt.org/schema/qudt/QuantityValue</x:v>
      </x:c>
      <x:c r="E12" s="35" t="str"/>
      <x:c r="F12" s="35" t="str">
        <x:v>cm^3</x:v>
      </x:c>
      <x:c r="G12" s="38" t="str">
        <x:v>TRF-055</x:v>
      </x:c>
      <x:c r="H12" s="35" t="str">
        <x:v>Applicable TRAFICOM regulation wording plus explicit engineering node/operand role</x:v>
      </x:c>
      <x:c r="I12" s="35" t="str">
        <x:v>N4 - explicit engineering quantity in ASCII lowerCamelCase; formula symbols remain aliases only.</x:v>
      </x:c>
      <x:c r="J12" s="35" t="str">
        <x:v>ADD_DEVELOPMENT_TERM</x:v>
      </x:c>
    </x:row>
    <x:row r="13">
      <x:c r="A13" s="35" t="str">
        <x:v>actualShearArea</x:v>
      </x:c>
      <x:c r="B13" s="35" t="str">
        <x:v>https://w3id.org/nltl-benchmark/vocab#actualShearArea</x:v>
      </x:c>
      <x:c r="C13" s="35" t="str">
        <x:v>QuantityProperty</x:v>
      </x:c>
      <x:c r="D13" s="35" t="str">
        <x:v>http://qudt.org/schema/qudt/QuantityValue</x:v>
      </x:c>
      <x:c r="E13" s="35" t="str"/>
      <x:c r="F13" s="35" t="str">
        <x:v>cm^2</x:v>
      </x:c>
      <x:c r="G13" s="38" t="str">
        <x:v>TRF-055</x:v>
      </x:c>
      <x:c r="H13" s="35" t="str">
        <x:v>Applicable TRAFICOM regulation wording plus explicit engineering node/operand role</x:v>
      </x:c>
      <x:c r="I13" s="35" t="str">
        <x:v>N4 - explicit engineering quantity in ASCII lowerCamelCase; formula symbols remain aliases only.</x:v>
      </x:c>
      <x:c r="J13" s="35" t="str">
        <x:v>ADD_DEVELOPMENT_TERM</x:v>
      </x:c>
    </x:row>
    <x:row r="14">
      <x:c r="A14" s="35" t="str">
        <x:v>actualWebFrameCrossSectionalArea</x:v>
      </x:c>
      <x:c r="B14" s="35" t="str">
        <x:v>https://w3id.org/nltl-benchmark/vocab#actualWebFrameCrossSectionalArea</x:v>
      </x:c>
      <x:c r="C14" s="35" t="str">
        <x:v>QuantityProperty</x:v>
      </x:c>
      <x:c r="D14" s="35" t="str">
        <x:v>http://qudt.org/schema/qudt/QuantityValue</x:v>
      </x:c>
      <x:c r="E14" s="35" t="str"/>
      <x:c r="F14" s="35" t="str">
        <x:v>cm^2</x:v>
      </x:c>
      <x:c r="G14" s="38" t="str">
        <x:v>TRF-060</x:v>
      </x:c>
      <x:c r="H14" s="35" t="str">
        <x:v>Benchmark-coined descriptive engineering term</x:v>
      </x:c>
      <x:c r="I14" s="35" t="str">
        <x:v>N5 - component or subject first, followed by characteristic and qualifier/state; no unsupported external mapping</x:v>
      </x:c>
      <x:c r="J14" s="35" t="str">
        <x:v>REUSE_R2_TERM</x:v>
      </x:c>
    </x:row>
    <x:row r="15">
      <x:c r="A15" s="35" t="str">
        <x:v>addedLifeSavingDeviceRequiresPower</x:v>
      </x:c>
      <x:c r="B15" s="35" t="str">
        <x:v>https://w3id.org/nltl-benchmark/vocab#addedLifeSavingDeviceRequiresPower</x:v>
      </x:c>
      <x:c r="C15" s="35" t="str">
        <x:v>DatatypeProperty</x:v>
      </x:c>
      <x:c r="D15" s="35" t="str">
        <x:v>http://www.w3.org/2001/XMLSchema#boolean</x:v>
      </x:c>
      <x:c r="E15" s="35" t="str">
        <x:v>xsd:boolean</x:v>
      </x:c>
      <x:c r="F15" s="35" t="str"/>
      <x:c r="G15" s="38" t="str">
        <x:v>IMO-069</x:v>
      </x:c>
      <x:c r="H15" s="35" t="str">
        <x:v>Locked-workbook normalized regulatory term</x:v>
      </x:c>
      <x:c r="I15" s="35" t="str">
        <x:v>N4 - preserve the source concept; normalize spelling to ASCII lowerCamelCase</x:v>
      </x:c>
      <x:c r="J15" s="35" t="str">
        <x:v>REUSE_R2_TERM</x:v>
      </x:c>
    </x:row>
    <x:row r="16">
      <x:c r="A16" s="35" t="str">
        <x:v>additionalEquipmentCapacityRequirement</x:v>
      </x:c>
      <x:c r="B16" s="35" t="str">
        <x:v>https://w3id.org/nltl-benchmark/vocab#additionalEquipmentCapacityRequirement</x:v>
      </x:c>
      <x:c r="C16" s="35" t="str">
        <x:v>DatatypeProperty</x:v>
      </x:c>
      <x:c r="D16" s="35" t="str">
        <x:v>http://www.w3.org/2001/XMLSchema#integer</x:v>
      </x:c>
      <x:c r="E16" s="35" t="str">
        <x:v>xsd:integer</x:v>
      </x:c>
      <x:c r="F16" s="35" t="str"/>
      <x:c r="G16" s="38" t="str">
        <x:v>IMO-077</x:v>
      </x:c>
      <x:c r="H16" s="35" t="str">
        <x:v>Locked-workbook normalized regulatory term</x:v>
      </x:c>
      <x:c r="I16" s="35" t="str">
        <x:v>N4 - preserve the source concept; normalize spelling to ASCII lowerCamelCase</x:v>
      </x:c>
      <x:c r="J16" s="35" t="str">
        <x:v>REUSE_R2_TERM</x:v>
      </x:c>
    </x:row>
    <x:row r="17">
      <x:c r="A17" s="35" t="str">
        <x:v>additionalEquipmentCarriedInSurvivalCraft</x:v>
      </x:c>
      <x:c r="B17" s="35" t="str">
        <x:v>https://w3id.org/nltl-benchmark/vocab#additionalEquipmentCarriedInSurvivalCraft</x:v>
      </x:c>
      <x:c r="C17" s="35" t="str">
        <x:v>DatatypeProperty</x:v>
      </x:c>
      <x:c r="D17" s="35" t="str">
        <x:v>http://www.w3.org/2001/XMLSchema#boolean</x:v>
      </x:c>
      <x:c r="E17" s="35" t="str">
        <x:v>xsd:boolean</x:v>
      </x:c>
      <x:c r="F17" s="35" t="str"/>
      <x:c r="G17" s="38" t="str">
        <x:v>IMO-077</x:v>
      </x:c>
      <x:c r="H17" s="35" t="str">
        <x:v>Locked-workbook normalized regulatory term</x:v>
      </x:c>
      <x:c r="I17" s="35" t="str">
        <x:v>N4 - preserve the source concept; normalize spelling to ASCII lowerCamelCase</x:v>
      </x:c>
      <x:c r="J17" s="35" t="str">
        <x:v>REUSE_R2_TERM</x:v>
      </x:c>
    </x:row>
    <x:row r="18">
      <x:c r="A18" s="35" t="str">
        <x:v>additionalPropulsionPower</x:v>
      </x:c>
      <x:c r="B18" s="35" t="str">
        <x:v>https://w3id.org/nltl-benchmark/vocab#additionalPropulsionPower</x:v>
      </x:c>
      <x:c r="C18" s="35" t="str">
        <x:v>QuantityProperty</x:v>
      </x:c>
      <x:c r="D18" s="35" t="str">
        <x:v>http://qudt.org/schema/qudt/QuantityValue</x:v>
      </x:c>
      <x:c r="E18" s="35" t="str"/>
      <x:c r="F18" s="35" t="str">
        <x:v>kW</x:v>
      </x:c>
      <x:c r="G18" s="38" t="str">
        <x:v>TRF-017</x:v>
      </x:c>
      <x:c r="H18" s="35" t="str">
        <x:v>Applicable TRAFICOM regulation wording plus explicit engineering node/operand role</x:v>
      </x:c>
      <x:c r="I18" s="35" t="str">
        <x:v>N4 - explicit engineering quantity in ASCII lowerCamelCase; formula symbols remain aliases only.</x:v>
      </x:c>
      <x:c r="J18" s="35" t="str">
        <x:v>ADD_DEVELOPMENT_TERM</x:v>
      </x:c>
    </x:row>
    <x:row r="19">
      <x:c r="A19" s="35" t="str">
        <x:v>adequateReceptionFacilitiesAvailable</x:v>
      </x:c>
      <x:c r="B19" s="35" t="str">
        <x:v>https://w3id.org/nltl-benchmark/vocab#adequateReceptionFacilitiesAvailable</x:v>
      </x:c>
      <x:c r="C19" s="35" t="str">
        <x:v>DatatypeProperty</x:v>
      </x:c>
      <x:c r="D19" s="35" t="str">
        <x:v>http://www.w3.org/2001/XMLSchema#boolean</x:v>
      </x:c>
      <x:c r="E19" s="35" t="str">
        <x:v>xsd:boolean</x:v>
      </x:c>
      <x:c r="F19" s="35" t="str"/>
      <x:c r="G19" s="38" t="str">
        <x:v>IMO-123</x:v>
      </x:c>
      <x:c r="H19" s="35" t="str">
        <x:v>Locked-workbook normalized regulatory term</x:v>
      </x:c>
      <x:c r="I19" s="35" t="str">
        <x:v>N4 - preserve the source concept; normalize spelling to ASCII lowerCamelCase</x:v>
      </x:c>
      <x:c r="J19" s="35" t="str">
        <x:v>REUSE_R2_TERM</x:v>
      </x:c>
    </x:row>
    <x:row r="20">
      <x:c r="A20" s="35" t="str">
        <x:v>adjacentFrameHeight</x:v>
      </x:c>
      <x:c r="B20" s="35" t="str">
        <x:v>https://w3id.org/nltl-benchmark/vocab#adjacentFrameHeight</x:v>
      </x:c>
      <x:c r="C20" s="35" t="str">
        <x:v>QuantityProperty</x:v>
      </x:c>
      <x:c r="D20" s="35" t="str">
        <x:v>http://qudt.org/schema/qudt/QuantityValue</x:v>
      </x:c>
      <x:c r="E20" s="35" t="str"/>
      <x:c r="F20" s="35" t="str">
        <x:v>mm</x:v>
      </x:c>
      <x:c r="G20" s="38" t="str">
        <x:v>TRF-051</x:v>
      </x:c>
      <x:c r="H20" s="35" t="str">
        <x:v>Applicable TRAFICOM regulation wording plus explicit engineering node/operand role</x:v>
      </x:c>
      <x:c r="I20" s="35" t="str">
        <x:v>N4 - explicit engineering quantity in ASCII lowerCamelCase; formula symbols remain aliases only.</x:v>
      </x:c>
      <x:c r="J20" s="35" t="str">
        <x:v>ADD_DEVELOPMENT_TERM</x:v>
      </x:c>
    </x:row>
    <x:row r="21">
      <x:c r="A21" s="35" t="str">
        <x:v>adjustedIceLoadForce</x:v>
      </x:c>
      <x:c r="B21" s="35" t="str">
        <x:v>https://w3id.org/nltl-benchmark/vocab#adjustedIceLoadForce</x:v>
      </x:c>
      <x:c r="C21" s="35" t="str">
        <x:v>QuantityProperty</x:v>
      </x:c>
      <x:c r="D21" s="35" t="str">
        <x:v>http://qudt.org/schema/qudt/QuantityValue</x:v>
      </x:c>
      <x:c r="E21" s="35" t="str"/>
      <x:c r="F21" s="35" t="str">
        <x:v>kN</x:v>
      </x:c>
      <x:c r="G21" s="38" t="str">
        <x:v>TRF-058</x:v>
      </x:c>
      <x:c r="H21" s="35" t="str">
        <x:v>Applicable TRAFICOM regulation wording plus explicit engineering node/operand role</x:v>
      </x:c>
      <x:c r="I21" s="35" t="str">
        <x:v>N4 - explicit engineering quantity in ASCII lowerCamelCase; formula symbols remain aliases only.</x:v>
      </x:c>
      <x:c r="J21" s="35" t="str">
        <x:v>ADD_DEVELOPMENT_TERM</x:v>
      </x:c>
    </x:row>
    <x:row r="22">
      <x:c r="A22" s="35" t="str">
        <x:v>administrationAcceptanceStatus</x:v>
      </x:c>
      <x:c r="B22" s="35" t="str">
        <x:v>https://w3id.org/nltl-benchmark/vocab#administrationAcceptanceStatus</x:v>
      </x:c>
      <x:c r="C22" s="35" t="str">
        <x:v>DatatypeProperty</x:v>
      </x:c>
      <x:c r="D22" s="35" t="str">
        <x:v>http://www.w3.org/2001/XMLSchema#boolean</x:v>
      </x:c>
      <x:c r="E22" s="35" t="str">
        <x:v>xsd:boolean</x:v>
      </x:c>
      <x:c r="F22" s="35" t="str"/>
      <x:c r="G22" s="38" t="str">
        <x:v>IMO-018</x:v>
      </x:c>
      <x:c r="H22" s="35" t="str">
        <x:v>Locked-workbook normalized regulatory term</x:v>
      </x:c>
      <x:c r="I22" s="35" t="str">
        <x:v>N4 - preserve the source concept; normalize spelling to ASCII lowerCamelCase</x:v>
      </x:c>
      <x:c r="J22" s="35" t="str">
        <x:v>REUSE_R2_TERM</x:v>
      </x:c>
    </x:row>
    <x:row r="23">
      <x:c r="A23" s="35" t="str">
        <x:v>administrationApprovedEquivalentBridgeWingProtectionPresent</x:v>
      </x:c>
      <x:c r="B23" s="35" t="str">
        <x:v>https://w3id.org/nltl-benchmark/vocab#administrationApprovedEquivalentBridgeWingProtectionPresent</x:v>
      </x:c>
      <x:c r="C23" s="35" t="str">
        <x:v>DatatypeProperty</x:v>
      </x:c>
      <x:c r="D23" s="35" t="str">
        <x:v>http://www.w3.org/2001/XMLSchema#boolean</x:v>
      </x:c>
      <x:c r="E23" s="35" t="str">
        <x:v>xsd:boolean</x:v>
      </x:c>
      <x:c r="F23" s="35" t="str"/>
      <x:c r="G23" s="38" t="str">
        <x:v>IMO26-011</x:v>
      </x:c>
      <x:c r="H23" s="35" t="str">
        <x:v>Locked-workbook normalized regulatory term</x:v>
      </x:c>
      <x:c r="I23" s="35" t="str">
        <x:v>N4 - preserve the source concept; normalize spelling to ASCII lowerCamelCase</x:v>
      </x:c>
      <x:c r="J23" s="35" t="str">
        <x:v>REUSE_R2_TERM</x:v>
      </x:c>
    </x:row>
    <x:row r="24">
      <x:c r="A24" s="35" t="str">
        <x:v>administrationApprovedEquivalentDepthSoundingDevicePresent</x:v>
      </x:c>
      <x:c r="B24" s="35" t="str">
        <x:v>https://w3id.org/nltl-benchmark/vocab#administrationApprovedEquivalentDepthSoundingDevicePresent</x:v>
      </x:c>
      <x:c r="C24" s="35" t="str">
        <x:v>DatatypeProperty</x:v>
      </x:c>
      <x:c r="D24" s="35" t="str">
        <x:v>http://www.w3.org/2001/XMLSchema#boolean</x:v>
      </x:c>
      <x:c r="E24" s="35" t="str">
        <x:v>xsd:boolean</x:v>
      </x:c>
      <x:c r="F24" s="35" t="str"/>
      <x:c r="G24" s="38" t="str">
        <x:v>IMO26-007</x:v>
      </x:c>
      <x:c r="H24" s="35" t="str">
        <x:v>Locked-workbook normalized regulatory term</x:v>
      </x:c>
      <x:c r="I24" s="35" t="str">
        <x:v>N4 - preserve the source concept; normalize spelling to ASCII lowerCamelCase</x:v>
      </x:c>
      <x:c r="J24" s="35" t="str">
        <x:v>REUSE_R2_TERM</x:v>
      </x:c>
    </x:row>
    <x:row r="25">
      <x:c r="A25" s="35" t="str">
        <x:v>administrationApprovedEquivalentVisibilityArrangementPresent</x:v>
      </x:c>
      <x:c r="B25" s="35" t="str">
        <x:v>https://w3id.org/nltl-benchmark/vocab#administrationApprovedEquivalentVisibilityArrangementPresent</x:v>
      </x:c>
      <x:c r="C25" s="35" t="str">
        <x:v>DatatypeProperty</x:v>
      </x:c>
      <x:c r="D25" s="35" t="str">
        <x:v>http://www.w3.org/2001/XMLSchema#boolean</x:v>
      </x:c>
      <x:c r="E25" s="35" t="str">
        <x:v>xsd:boolean</x:v>
      </x:c>
      <x:c r="F25" s="35" t="str"/>
      <x:c r="G25" s="38" t="str">
        <x:v>IMO26-008</x:v>
      </x:c>
      <x:c r="H25" s="35" t="str">
        <x:v>Locked-workbook normalized regulatory term</x:v>
      </x:c>
      <x:c r="I25" s="35" t="str">
        <x:v>N4 - preserve the source concept; normalize spelling to ASCII lowerCamelCase</x:v>
      </x:c>
      <x:c r="J25" s="35" t="str">
        <x:v>REUSE_R2_TERM</x:v>
      </x:c>
    </x:row>
    <x:row r="26">
      <x:c r="A26" s="35" t="str">
        <x:v>administrationCarriageApprovalStatus</x:v>
      </x:c>
      <x:c r="B26" s="35" t="str">
        <x:v>https://w3id.org/nltl-benchmark/vocab#administrationCarriageApprovalStatus</x:v>
      </x:c>
      <x:c r="C26" s="35" t="str">
        <x:v>ObjectProperty</x:v>
      </x:c>
      <x:c r="D26" s="35" t="str">
        <x:v>https://w3id.org/nltl-benchmark/vocab#evidenceState</x:v>
      </x:c>
      <x:c r="E26" s="35" t="str"/>
      <x:c r="F26" s="35" t="str"/>
      <x:c r="G26" s="38" t="str">
        <x:v>IMO-114</x:v>
      </x:c>
      <x:c r="H26" s="35" t="str">
        <x:v>Locked-workbook normalized regulatory term</x:v>
      </x:c>
      <x:c r="I26" s="35" t="str">
        <x:v>N4 - preserve the source concept; normalize spelling to ASCII lowerCamelCase</x:v>
      </x:c>
      <x:c r="J26" s="35" t="str">
        <x:v>REUSE_R2_TERM</x:v>
      </x:c>
    </x:row>
    <x:row r="27">
      <x:c r="A27" s="35" t="str">
        <x:v>administrationDatasetApprovalStatus</x:v>
      </x:c>
      <x:c r="B27" s="35" t="str">
        <x:v>https://w3id.org/nltl-benchmark/vocab#administrationDatasetApprovalStatus</x:v>
      </x:c>
      <x:c r="C27" s="35" t="str">
        <x:v>ObjectProperty</x:v>
      </x:c>
      <x:c r="D27" s="35" t="str">
        <x:v>https://w3id.org/nltl-benchmark/vocab#evidenceState</x:v>
      </x:c>
      <x:c r="E27" s="35" t="str"/>
      <x:c r="F27" s="35" t="str"/>
      <x:c r="G27" s="38" t="str">
        <x:v>IMO-011</x:v>
      </x:c>
      <x:c r="H27" s="35" t="str">
        <x:v>Locked-workbook normalized regulatory term</x:v>
      </x:c>
      <x:c r="I27" s="35" t="str">
        <x:v>N4 - preserve the source concept; normalize spelling to ASCII lowerCamelCase</x:v>
      </x:c>
      <x:c r="J27" s="35" t="str">
        <x:v>REUSE_R2_TERM</x:v>
      </x:c>
    </x:row>
    <x:row r="28">
      <x:c r="A28" s="35" t="str">
        <x:v>administrationDischargeApprovalStatus</x:v>
      </x:c>
      <x:c r="B28" s="35" t="str">
        <x:v>https://w3id.org/nltl-benchmark/vocab#administrationDischargeApprovalStatus</x:v>
      </x:c>
      <x:c r="C28" s="35" t="str">
        <x:v>ObjectProperty</x:v>
      </x:c>
      <x:c r="D28" s="35" t="str">
        <x:v>https://w3id.org/nltl-benchmark/vocab#evidenceState</x:v>
      </x:c>
      <x:c r="E28" s="35" t="str"/>
      <x:c r="F28" s="35" t="str"/>
      <x:c r="G28" s="38" t="str">
        <x:v>IMO-119</x:v>
      </x:c>
      <x:c r="H28" s="35" t="str">
        <x:v>Locked-workbook normalized regulatory term</x:v>
      </x:c>
      <x:c r="I28" s="35" t="str">
        <x:v>N4 - preserve the source concept; normalize spelling to ASCII lowerCamelCase</x:v>
      </x:c>
      <x:c r="J28" s="35" t="str">
        <x:v>REUSE_R2_TERM</x:v>
      </x:c>
    </x:row>
    <x:row r="29">
      <x:c r="A29" s="35" t="str">
        <x:v>administrationPermissionStatus</x:v>
      </x:c>
      <x:c r="B29" s="35" t="str">
        <x:v>https://w3id.org/nltl-benchmark/vocab#administrationPermissionStatus</x:v>
      </x:c>
      <x:c r="C29" s="35" t="str">
        <x:v>DatatypeProperty</x:v>
      </x:c>
      <x:c r="D29" s="35" t="str">
        <x:v>http://www.w3.org/2001/XMLSchema#boolean</x:v>
      </x:c>
      <x:c r="E29" s="35" t="str">
        <x:v>xsd:boolean</x:v>
      </x:c>
      <x:c r="F29" s="35" t="str"/>
      <x:c r="G29" s="38" t="str">
        <x:v>IMO-103</x:v>
      </x:c>
      <x:c r="H29" s="35" t="str">
        <x:v>Locked-workbook normalized regulatory term</x:v>
      </x:c>
      <x:c r="I29" s="35" t="str">
        <x:v>N4 - preserve the source concept; normalize spelling to ASCII lowerCamelCase</x:v>
      </x:c>
      <x:c r="J29" s="35" t="str">
        <x:v>REUSE_R2_TERM</x:v>
      </x:c>
    </x:row>
    <x:row r="30">
      <x:c r="A30" s="35" t="str">
        <x:v>administrationRequiredIceRemovalMeans</x:v>
      </x:c>
      <x:c r="B30" s="35" t="str">
        <x:v>https://w3id.org/nltl-benchmark/vocab#administrationRequiredIceRemovalMeans</x:v>
      </x:c>
      <x:c r="C30" s="35" t="str">
        <x:v>DatatypeProperty</x:v>
      </x:c>
      <x:c r="D30" s="35" t="str">
        <x:v>http://www.w3.org/2001/XMLSchema#string</x:v>
      </x:c>
      <x:c r="E30" s="35" t="str">
        <x:v>xsd:string</x:v>
      </x:c>
      <x:c r="F30" s="35" t="str"/>
      <x:c r="G30" s="38" t="str">
        <x:v>IMO-034</x:v>
      </x:c>
      <x:c r="H30" s="35" t="str">
        <x:v>Locked-workbook normalized regulatory term</x:v>
      </x:c>
      <x:c r="I30" s="35" t="str">
        <x:v>N4 - preserve the source concept; normalize spelling to ASCII lowerCamelCase</x:v>
      </x:c>
      <x:c r="J30" s="35" t="str">
        <x:v>REUSE_R2_TERM</x:v>
      </x:c>
    </x:row>
    <x:row r="31">
      <x:c r="A31" s="35" t="str">
        <x:v>advancedPolarTrainingStatus</x:v>
      </x:c>
      <x:c r="B31" s="35" t="str">
        <x:v>https://w3id.org/nltl-benchmark/vocab#advancedPolarTrainingStatus</x:v>
      </x:c>
      <x:c r="C31" s="35" t="str">
        <x:v>DatatypeProperty</x:v>
      </x:c>
      <x:c r="D31" s="35" t="str">
        <x:v>http://www.w3.org/2001/XMLSchema#boolean</x:v>
      </x:c>
      <x:c r="E31" s="35" t="str">
        <x:v>xsd:boolean</x:v>
      </x:c>
      <x:c r="F31" s="35" t="str"/>
      <x:c r="G31" s="38" t="str">
        <x:v>IMO-103</x:v>
      </x:c>
      <x:c r="H31" s="35" t="str">
        <x:v>Locked-workbook normalized regulatory term</x:v>
      </x:c>
      <x:c r="I31" s="35" t="str">
        <x:v>N4 - preserve the source concept; normalize spelling to ASCII lowerCamelCase</x:v>
      </x:c>
      <x:c r="J31" s="35" t="str">
        <x:v>REUSE_R2_TERM</x:v>
      </x:c>
    </x:row>
    <x:row r="32">
      <x:c r="A32" s="35" t="str">
        <x:v>adverseEnvironmentalCondition</x:v>
      </x:c>
      <x:c r="B32" s="35" t="str">
        <x:v>https://w3id.org/nltl-benchmark/vocab#adverseEnvironmentalCondition</x:v>
      </x:c>
      <x:c r="C32" s="35" t="str">
        <x:v>DatatypeProperty</x:v>
      </x:c>
      <x:c r="D32" s="35" t="str">
        <x:v>http://www.w3.org/2001/XMLSchema#string</x:v>
      </x:c>
      <x:c r="E32" s="35" t="str">
        <x:v>xsd:string</x:v>
      </x:c>
      <x:c r="F32" s="35" t="str"/>
      <x:c r="G32" s="38" t="str">
        <x:v>IMO-063</x:v>
      </x:c>
      <x:c r="H32" s="35" t="str">
        <x:v>Locked-workbook normalized regulatory term</x:v>
      </x:c>
      <x:c r="I32" s="35" t="str">
        <x:v>N4 - preserve the source concept; normalize spelling to ASCII lowerCamelCase</x:v>
      </x:c>
      <x:c r="J32" s="35" t="str">
        <x:v>REUSE_R2_TERM</x:v>
      </x:c>
    </x:row>
    <x:row r="33">
      <x:c r="A33" s="35" t="str">
        <x:v>aeronauticalFrequencyCapabilityPresent</x:v>
      </x:c>
      <x:c r="B33" s="35" t="str">
        <x:v>https://w3id.org/nltl-benchmark/vocab#aeronauticalFrequencyCapabilityPresent</x:v>
      </x:c>
      <x:c r="C33" s="35" t="str">
        <x:v>DatatypeProperty</x:v>
      </x:c>
      <x:c r="D33" s="35" t="str">
        <x:v>http://www.w3.org/2001/XMLSchema#boolean</x:v>
      </x:c>
      <x:c r="E33" s="35" t="str">
        <x:v>xsd:boolean</x:v>
      </x:c>
      <x:c r="F33" s="35" t="str"/>
      <x:c r="G33" s="38" t="str">
        <x:v>IMO-091</x:v>
      </x:c>
      <x:c r="H33" s="35" t="str">
        <x:v>Locked-workbook normalized regulatory term</x:v>
      </x:c>
      <x:c r="I33" s="35" t="str">
        <x:v>N4 - preserve the source concept; normalize spelling to ASCII lowerCamelCase</x:v>
      </x:c>
      <x:c r="J33" s="35" t="str">
        <x:v>REUSE_R2_TERM</x:v>
      </x:c>
    </x:row>
    <x:row r="34">
      <x:c r="A34" s="35" t="str">
        <x:v>aftSectionDesignBasis</x:v>
      </x:c>
      <x:c r="B34" s="35" t="str">
        <x:v>https://w3id.org/nltl-benchmark/vocab#aftSectionDesignBasis</x:v>
      </x:c>
      <x:c r="C34" s="35" t="str">
        <x:v>DatatypeProperty</x:v>
      </x:c>
      <x:c r="D34" s="35" t="str">
        <x:v>http://www.w3.org/2001/XMLSchema#string</x:v>
      </x:c>
      <x:c r="E34" s="35" t="str">
        <x:v>xsd:string</x:v>
      </x:c>
      <x:c r="F34" s="35" t="str"/>
      <x:c r="G34" s="38" t="str">
        <x:v>I2-006</x:v>
      </x:c>
      <x:c r="H34" s="35" t="str">
        <x:v>Benchmark-coined descriptive engineering term</x:v>
      </x:c>
      <x:c r="I34" s="35" t="str">
        <x:v>N5 - component or subject first, followed by characteristic and qualifier/state; no unsupported external mapping</x:v>
      </x:c>
      <x:c r="J34" s="35" t="str">
        <x:v>REUSE_R2_TERM</x:v>
      </x:c>
    </x:row>
    <x:row r="35">
      <x:c r="A35" s="35" t="str">
        <x:v>aggregateOilFuelCapacity</x:v>
      </x:c>
      <x:c r="B35" s="35" t="str">
        <x:v>https://w3id.org/nltl-benchmark/vocab#aggregateOilFuelCapacity</x:v>
      </x:c>
      <x:c r="C35" s="35" t="str">
        <x:v>QuantityProperty</x:v>
      </x:c>
      <x:c r="D35" s="35" t="str">
        <x:v>http://qudt.org/schema/qudt/QuantityValue</x:v>
      </x:c>
      <x:c r="E35" s="35" t="str"/>
      <x:c r="F35" s="35" t="str">
        <x:v>m^3</x:v>
      </x:c>
      <x:c r="G35" s="38" t="str">
        <x:v>IMO-108</x:v>
      </x:c>
      <x:c r="H35" s="35" t="str">
        <x:v>Unit-stripped normalized regulatory variable</x:v>
      </x:c>
      <x:c r="I35" s="35" t="str">
        <x:v>N3 - remove unit from the identifier and retain it in unit/quantity metadata</x:v>
      </x:c>
      <x:c r="J35" s="35" t="str">
        <x:v>REUSE_R2_TERM</x:v>
      </x:c>
    </x:row>
    <x:row r="36">
      <x:c r="A36" s="35" t="str">
        <x:v>airReceiverCapacity</x:v>
      </x:c>
      <x:c r="B36" s="35" t="str">
        <x:v>https://w3id.org/nltl-benchmark/vocab#airReceiverCapacity</x:v>
      </x:c>
      <x:c r="C36" s="35" t="str">
        <x:v>QuantityProperty</x:v>
      </x:c>
      <x:c r="D36" s="35" t="str">
        <x:v>http://qudt.org/schema/qudt/QuantityValue</x:v>
      </x:c>
      <x:c r="E36" s="35" t="str"/>
      <x:c r="F36" s="35" t="str">
        <x:v>m^3</x:v>
      </x:c>
      <x:c r="G36" s="38" t="str">
        <x:v>TRF-126 | TRF-127 | TRF-128</x:v>
      </x:c>
      <x:c r="H36" s="35" t="str">
        <x:v>Verified exact implementation term</x:v>
      </x:c>
      <x:c r="I36" s="35" t="str">
        <x:v>N1 - reuse only after exact URI and semantic-context verification</x:v>
      </x:c>
      <x:c r="J36" s="35" t="str">
        <x:v>REUSE_R2_TERM</x:v>
      </x:c>
    </x:row>
    <x:row r="37">
      <x:c r="A37" s="35" t="str">
        <x:v>airReceiverConsecutiveStartCapacity</x:v>
      </x:c>
      <x:c r="B37" s="35" t="str">
        <x:v>https://w3id.org/nltl-benchmark/vocab#airReceiverConsecutiveStartCapacity</x:v>
      </x:c>
      <x:c r="C37" s="35" t="str">
        <x:v>DatatypeProperty</x:v>
      </x:c>
      <x:c r="D37" s="35" t="str">
        <x:v>http://www.w3.org/2001/XMLSchema#integer</x:v>
      </x:c>
      <x:c r="E37" s="35" t="str">
        <x:v>xsd:integer</x:v>
      </x:c>
      <x:c r="F37" s="35" t="str"/>
      <x:c r="G37" s="38" t="str">
        <x:v>TRF-126</x:v>
      </x:c>
      <x:c r="H37" s="35" t="str">
        <x:v>Benchmark-coined descriptive engineering term</x:v>
      </x:c>
      <x:c r="I37" s="35" t="str">
        <x:v>N5 - component or subject first, followed by characteristic and qualifier/state; no unsupported external mapping</x:v>
      </x:c>
      <x:c r="J37" s="35" t="str">
        <x:v>REUSE_R2_TERM</x:v>
      </x:c>
    </x:row>
    <x:row r="38">
      <x:c r="A38" s="35" t="str">
        <x:v>allowableShearStress</x:v>
      </x:c>
      <x:c r="B38" s="35" t="str">
        <x:v>https://w3id.org/nltl-benchmark/vocab#allowableShearStress</x:v>
      </x:c>
      <x:c r="C38" s="35" t="str">
        <x:v>QuantityProperty</x:v>
      </x:c>
      <x:c r="D38" s="35" t="str">
        <x:v>http://qudt.org/schema/qudt/QuantityValue</x:v>
      </x:c>
      <x:c r="E38" s="35" t="str"/>
      <x:c r="F38" s="35" t="str">
        <x:v>MPa</x:v>
      </x:c>
      <x:c r="G38" s="38" t="str">
        <x:v>TRF-031</x:v>
      </x:c>
      <x:c r="H38" s="35" t="str">
        <x:v>Benchmark-coined descriptive engineering term</x:v>
      </x:c>
      <x:c r="I38" s="35" t="str">
        <x:v>N5 - component or subject first, followed by characteristic and qualifier/state; no unsupported external mapping</x:v>
      </x:c>
      <x:c r="J38" s="35" t="str">
        <x:v>REUSE_R2_TERM</x:v>
      </x:c>
    </x:row>
    <x:row r="39">
      <x:c r="A39" s="35" t="str">
        <x:v>allowedVerticalPosition</x:v>
      </x:c>
      <x:c r="B39" s="35" t="str">
        <x:v>https://w3id.org/nltl-benchmark/vocab#allowedVerticalPosition</x:v>
      </x:c>
      <x:c r="C39" s="35" t="str">
        <x:v>DatatypeProperty</x:v>
      </x:c>
      <x:c r="D39" s="35" t="str">
        <x:v>http://www.w3.org/2001/XMLSchema#string</x:v>
      </x:c>
      <x:c r="E39" s="35" t="str">
        <x:v>xsd:string</x:v>
      </x:c>
      <x:c r="F39" s="35" t="str"/>
      <x:c r="G39" s="38" t="str">
        <x:v>IMO-038</x:v>
      </x:c>
      <x:c r="H39" s="35" t="str">
        <x:v>Locked-workbook normalized regulatory term</x:v>
      </x:c>
      <x:c r="I39" s="35" t="str">
        <x:v>N4 - preserve the source concept; normalize spelling to ASCII lowerCamelCase</x:v>
      </x:c>
      <x:c r="J39" s="35" t="str">
        <x:v>REUSE_R2_TERM</x:v>
      </x:c>
    </x:row>
    <x:row r="40">
      <x:c r="A40" s="35" t="str">
        <x:v>alternateFunctionalityArrangementApprovalStatus</x:v>
      </x:c>
      <x:c r="B40" s="35" t="str">
        <x:v>https://w3id.org/nltl-benchmark/vocab#alternateFunctionalityArrangementApprovalStatus</x:v>
      </x:c>
      <x:c r="C40" s="35" t="str">
        <x:v>ObjectProperty</x:v>
      </x:c>
      <x:c r="D40" s="35" t="str">
        <x:v>https://w3id.org/nltl-benchmark/vocab#evidenceState</x:v>
      </x:c>
      <x:c r="E40" s="35" t="str"/>
      <x:c r="F40" s="35" t="str"/>
      <x:c r="G40" s="38" t="str">
        <x:v>IMO-045</x:v>
      </x:c>
      <x:c r="H40" s="35" t="str">
        <x:v>Locked-workbook normalized regulatory term</x:v>
      </x:c>
      <x:c r="I40" s="35" t="str">
        <x:v>N4 - preserve the source concept; normalize spelling to ASCII lowerCamelCase</x:v>
      </x:c>
      <x:c r="J40" s="35" t="str">
        <x:v>REUSE_R2_TERM</x:v>
      </x:c>
    </x:row>
    <x:row r="41">
      <x:c r="A41" s="35" t="str">
        <x:v>alternateQualifiedPersonUsed</x:v>
      </x:c>
      <x:c r="B41" s="35" t="str">
        <x:v>https://w3id.org/nltl-benchmark/vocab#alternateQualifiedPersonUsed</x:v>
      </x:c>
      <x:c r="C41" s="35" t="str">
        <x:v>DatatypeProperty</x:v>
      </x:c>
      <x:c r="D41" s="35" t="str">
        <x:v>http://www.w3.org/2001/XMLSchema#boolean</x:v>
      </x:c>
      <x:c r="E41" s="35" t="str">
        <x:v>xsd:boolean</x:v>
      </x:c>
      <x:c r="F41" s="35" t="str"/>
      <x:c r="G41" s="38" t="str">
        <x:v>IMO-103</x:v>
      </x:c>
      <x:c r="H41" s="35" t="str">
        <x:v>Locked-workbook normalized regulatory term</x:v>
      </x:c>
      <x:c r="I41" s="35" t="str">
        <x:v>N4 - preserve the source concept; normalize spelling to ASCII lowerCamelCase</x:v>
      </x:c>
      <x:c r="J41" s="35" t="str">
        <x:v>REUSE_R2_TERM</x:v>
      </x:c>
    </x:row>
    <x:row r="42">
      <x:c r="A42" s="35" t="str">
        <x:v>alternateVisualIceDetectionMeansApprovalStatus</x:v>
      </x:c>
      <x:c r="B42" s="35" t="str">
        <x:v>https://w3id.org/nltl-benchmark/vocab#alternateVisualIceDetectionMeansApprovalStatus</x:v>
      </x:c>
      <x:c r="C42" s="35" t="str">
        <x:v>ObjectProperty</x:v>
      </x:c>
      <x:c r="D42" s="35" t="str">
        <x:v>https://w3id.org/nltl-benchmark/vocab#evidenceState</x:v>
      </x:c>
      <x:c r="E42" s="35" t="str"/>
      <x:c r="F42" s="35" t="str"/>
      <x:c r="G42" s="38" t="str">
        <x:v>IMO-088</x:v>
      </x:c>
      <x:c r="H42" s="35" t="str">
        <x:v>Locked-workbook normalized regulatory term</x:v>
      </x:c>
      <x:c r="I42" s="35" t="str">
        <x:v>N4 - preserve the source concept; normalize spelling to ASCII lowerCamelCase</x:v>
      </x:c>
      <x:c r="J42" s="35" t="str">
        <x:v>REUSE_R2_TERM</x:v>
      </x:c>
    </x:row>
    <x:row r="43">
      <x:c r="A43" s="35" t="str">
        <x:v>alternativeCalculationEvidence</x:v>
      </x:c>
      <x:c r="B43" s="35" t="str">
        <x:v>https://w3id.org/nltl-benchmark/vocab#alternativeCalculationEvidence</x:v>
      </x:c>
      <x:c r="C43" s="35" t="str">
        <x:v>Class</x:v>
      </x:c>
      <x:c r="D43" s="35" t="str">
        <x:v>https://w3id.org/nltl-benchmark/vocab#documentEvidence</x:v>
      </x:c>
      <x:c r="E43" s="35" t="str"/>
      <x:c r="F43" s="35" t="str"/>
      <x:c r="G43" s="38" t="str">
        <x:v>TRF-028</x:v>
      </x:c>
      <x:c r="H43" s="35" t="str">
        <x:v>Benchmark-coined descriptive engineering term</x:v>
      </x:c>
      <x:c r="I43" s="35" t="str">
        <x:v>N5 - component or subject first, followed by characteristic and qualifier/state; no unsupported external mapping</x:v>
      </x:c>
      <x:c r="J43" s="35" t="str">
        <x:v>REUSE_R2_TERM</x:v>
      </x:c>
    </x:row>
    <x:row r="44">
      <x:c r="A44" s="35" t="str">
        <x:v>alternativeInstrumentApplicable</x:v>
      </x:c>
      <x:c r="B44" s="35" t="str">
        <x:v>https://w3id.org/nltl-benchmark/vocab#alternativeInstrumentApplicable</x:v>
      </x:c>
      <x:c r="C44" s="35" t="str">
        <x:v>DatatypeProperty</x:v>
      </x:c>
      <x:c r="D44" s="35" t="str">
        <x:v>http://www.w3.org/2001/XMLSchema#boolean</x:v>
      </x:c>
      <x:c r="E44" s="35" t="str">
        <x:v>xsd:boolean</x:v>
      </x:c>
      <x:c r="F44" s="35" t="str"/>
      <x:c r="G44" s="38" t="str">
        <x:v>IMO-037</x:v>
      </x:c>
      <x:c r="H44" s="35" t="str">
        <x:v>Locked-workbook normalized regulatory term</x:v>
      </x:c>
      <x:c r="I44" s="35" t="str">
        <x:v>N4 - preserve the source concept; normalize spelling to ASCII lowerCamelCase</x:v>
      </x:c>
      <x:c r="J44" s="35" t="str">
        <x:v>REUSE_R2_TERM</x:v>
      </x:c>
    </x:row>
    <x:row r="45">
      <x:c r="A45" s="35" t="str">
        <x:v>alternativeInstrumentResidualStabilityStatus</x:v>
      </x:c>
      <x:c r="B45" s="35" t="str">
        <x:v>https://w3id.org/nltl-benchmark/vocab#alternativeInstrumentResidualStabilityStatus</x:v>
      </x:c>
      <x:c r="C45" s="35" t="str">
        <x:v>DatatypeProperty</x:v>
      </x:c>
      <x:c r="D45" s="35" t="str">
        <x:v>http://www.w3.org/2001/XMLSchema#boolean</x:v>
      </x:c>
      <x:c r="E45" s="35" t="str">
        <x:v>xsd:boolean</x:v>
      </x:c>
      <x:c r="F45" s="35" t="str"/>
      <x:c r="G45" s="38" t="str">
        <x:v>IMO-037</x:v>
      </x:c>
      <x:c r="H45" s="35" t="str">
        <x:v>Locked-workbook normalized regulatory term</x:v>
      </x:c>
      <x:c r="I45" s="35" t="str">
        <x:v>N4 - preserve the source concept; normalize spelling to ASCII lowerCamelCase</x:v>
      </x:c>
      <x:c r="J45" s="35" t="str">
        <x:v>REUSE_R2_TERM</x:v>
      </x:c>
    </x:row>
    <x:row r="46">
      <x:c r="A46" s="35" t="str">
        <x:v>analysisMaximumSpeed</x:v>
      </x:c>
      <x:c r="B46" s="35" t="str">
        <x:v>https://w3id.org/nltl-benchmark/vocab#analysisMaximumSpeed</x:v>
      </x:c>
      <x:c r="C46" s="35" t="str">
        <x:v>QuantityProperty</x:v>
      </x:c>
      <x:c r="D46" s="35" t="str">
        <x:v>http://qudt.org/schema/qudt/QuantityValue</x:v>
      </x:c>
      <x:c r="E46" s="35" t="str"/>
      <x:c r="F46" s="35" t="str">
        <x:v>kn</x:v>
      </x:c>
      <x:c r="G46" s="38" t="str">
        <x:v>TRF-094</x:v>
      </x:c>
      <x:c r="H46" s="35" t="str">
        <x:v>Benchmark-coined descriptive engineering term</x:v>
      </x:c>
      <x:c r="I46" s="35" t="str">
        <x:v>N5 - component or subject first, followed by characteristic and qualifier/state; no unsupported external mapping</x:v>
      </x:c>
      <x:c r="J46" s="35" t="str">
        <x:v>REUSE_R2_TERM</x:v>
      </x:c>
    </x:row>
    <x:row r="47">
      <x:c r="A47" s="35" t="str">
        <x:v>animalCarcassDischarge</x:v>
      </x:c>
      <x:c r="B47" s="35" t="str">
        <x:v>https://w3id.org/nltl-benchmark/vocab#animalCarcassDischarge</x:v>
      </x:c>
      <x:c r="C47" s="35" t="str">
        <x:v>DatatypeProperty</x:v>
      </x:c>
      <x:c r="D47" s="35" t="str">
        <x:v>http://www.w3.org/2001/XMLSchema#boolean</x:v>
      </x:c>
      <x:c r="E47" s="35" t="str">
        <x:v>xsd:boolean</x:v>
      </x:c>
      <x:c r="F47" s="35" t="str"/>
      <x:c r="G47" s="38" t="str">
        <x:v>IMO-122</x:v>
      </x:c>
      <x:c r="H47" s="35" t="str">
        <x:v>Locked-workbook normalized regulatory term</x:v>
      </x:c>
      <x:c r="I47" s="35" t="str">
        <x:v>N4 - preserve the source concept; normalize spelling to ASCII lowerCamelCase</x:v>
      </x:c>
      <x:c r="J47" s="35" t="str">
        <x:v>REUSE_R2_TERM</x:v>
      </x:c>
    </x:row>
    <x:row r="48">
      <x:c r="A48" s="35" t="str">
        <x:v>antarcticArea</x:v>
      </x:c>
      <x:c r="B48" s="35" t="str">
        <x:v>https://w3id.org/nltl-benchmark/vocab#antarcticArea</x:v>
      </x:c>
      <x:c r="C48" s="35" t="str">
        <x:v>DatatypeProperty</x:v>
      </x:c>
      <x:c r="D48" s="35" t="str">
        <x:v>http://www.w3.org/2001/XMLSchema#string</x:v>
      </x:c>
      <x:c r="E48" s="35" t="str">
        <x:v>xsd:string</x:v>
      </x:c>
      <x:c r="F48" s="35" t="str"/>
      <x:c r="G48" s="38" t="str">
        <x:v>IMO-124</x:v>
      </x:c>
      <x:c r="H48" s="35" t="str">
        <x:v>Benchmark-coined descriptive engineering term</x:v>
      </x:c>
      <x:c r="I48" s="35" t="str">
        <x:v>N5 - component or subject first, followed by characteristic and qualifier/state; no unsupported external mapping</x:v>
      </x:c>
      <x:c r="J48" s="35" t="str">
        <x:v>REUSE_R2_TERM</x:v>
      </x:c>
    </x:row>
    <x:row r="49">
      <x:c r="A49" s="35" t="str">
        <x:v>anticipatedCold</x:v>
      </x:c>
      <x:c r="B49" s="35" t="str">
        <x:v>https://w3id.org/nltl-benchmark/vocab#anticipatedCold</x:v>
      </x:c>
      <x:c r="C49" s="35" t="str">
        <x:v>DatatypeProperty</x:v>
      </x:c>
      <x:c r="D49" s="35" t="str">
        <x:v>http://www.w3.org/2001/XMLSchema#string</x:v>
      </x:c>
      <x:c r="E49" s="35" t="str">
        <x:v>xsd:string</x:v>
      </x:c>
      <x:c r="F49" s="35" t="str"/>
      <x:c r="G49" s="38" t="str">
        <x:v>IMO-064</x:v>
      </x:c>
      <x:c r="H49" s="35" t="str">
        <x:v>Locked-workbook normalized regulatory term</x:v>
      </x:c>
      <x:c r="I49" s="35" t="str">
        <x:v>N4 - preserve the source concept; normalize spelling to ASCII lowerCamelCase</x:v>
      </x:c>
      <x:c r="J49" s="35" t="str">
        <x:v>REUSE_R2_TERM</x:v>
      </x:c>
    </x:row>
    <x:row r="50">
      <x:c r="A50" s="35" t="str">
        <x:v>anticipatedWind</x:v>
      </x:c>
      <x:c r="B50" s="35" t="str">
        <x:v>https://w3id.org/nltl-benchmark/vocab#anticipatedWind</x:v>
      </x:c>
      <x:c r="C50" s="35" t="str">
        <x:v>DatatypeProperty</x:v>
      </x:c>
      <x:c r="D50" s="35" t="str">
        <x:v>http://www.w3.org/2001/XMLSchema#string</x:v>
      </x:c>
      <x:c r="E50" s="35" t="str">
        <x:v>xsd:string</x:v>
      </x:c>
      <x:c r="F50" s="35" t="str"/>
      <x:c r="G50" s="38" t="str">
        <x:v>IMO-064</x:v>
      </x:c>
      <x:c r="H50" s="35" t="str">
        <x:v>Locked-workbook normalized regulatory term</x:v>
      </x:c>
      <x:c r="I50" s="35" t="str">
        <x:v>N4 - preserve the source concept; normalize spelling to ASCII lowerCamelCase</x:v>
      </x:c>
      <x:c r="J50" s="35" t="str">
        <x:v>REUSE_R2_TERM</x:v>
      </x:c>
    </x:row>
    <x:row r="51">
      <x:c r="A51" s="35" t="str">
        <x:v>antitrippingSupportScope</x:v>
      </x:c>
      <x:c r="B51" s="35" t="str">
        <x:v>https://w3id.org/nltl-benchmark/vocab#antitrippingSupportScope</x:v>
      </x:c>
      <x:c r="C51" s="35" t="str">
        <x:v>DatatypeProperty</x:v>
      </x:c>
      <x:c r="D51" s="35" t="str">
        <x:v>http://www.w3.org/2001/XMLSchema#string</x:v>
      </x:c>
      <x:c r="E51" s="35" t="str">
        <x:v>xsd:string</x:v>
      </x:c>
      <x:c r="F51" s="35" t="str"/>
      <x:c r="G51" s="38" t="str">
        <x:v>TRF-052</x:v>
      </x:c>
      <x:c r="H51" s="35" t="str">
        <x:v>Benchmark-coined descriptive engineering term</x:v>
      </x:c>
      <x:c r="I51" s="35" t="str">
        <x:v>N5 - component or subject first, followed by characteristic and qualifier/state; no unsupported external mapping</x:v>
      </x:c>
      <x:c r="J51" s="35" t="str">
        <x:v>REUSE_R2_TERM</x:v>
      </x:c>
    </x:row>
    <x:row r="52">
      <x:c r="A52" s="35" t="str">
        <x:v>antitrippingSupportSpacing</x:v>
      </x:c>
      <x:c r="B52" s="35" t="str">
        <x:v>https://w3id.org/nltl-benchmark/vocab#antitrippingSupportSpacing</x:v>
      </x:c>
      <x:c r="C52" s="35" t="str">
        <x:v>QuantityProperty</x:v>
      </x:c>
      <x:c r="D52" s="35" t="str">
        <x:v>http://qudt.org/schema/qudt/QuantityValue</x:v>
      </x:c>
      <x:c r="E52" s="35" t="str"/>
      <x:c r="F52" s="35" t="str">
        <x:v>mm</x:v>
      </x:c>
      <x:c r="G52" s="38" t="str">
        <x:v>TRF-052</x:v>
      </x:c>
      <x:c r="H52" s="35" t="str">
        <x:v>Unit-stripped normalized regulatory variable</x:v>
      </x:c>
      <x:c r="I52" s="35" t="str">
        <x:v>N3 - remove unit from the identifier and retain it in unit/quantity metadata</x:v>
      </x:c>
      <x:c r="J52" s="35" t="str">
        <x:v>REUSE_R2_TERM</x:v>
      </x:c>
    </x:row>
    <x:row r="53">
      <x:c r="A53" s="35" t="str">
        <x:v>applicableCertificatePolarOperationEntryPresent</x:v>
      </x:c>
      <x:c r="B53" s="35" t="str">
        <x:v>https://w3id.org/nltl-benchmark/vocab#applicableCertificatePolarOperationEntryPresent</x:v>
      </x:c>
      <x:c r="C53" s="35" t="str">
        <x:v>DatatypeProperty</x:v>
      </x:c>
      <x:c r="D53" s="35" t="str">
        <x:v>http://www.w3.org/2001/XMLSchema#boolean</x:v>
      </x:c>
      <x:c r="E53" s="35" t="str">
        <x:v>xsd:boolean</x:v>
      </x:c>
      <x:c r="F53" s="35" t="str"/>
      <x:c r="G53" s="38" t="str">
        <x:v>IMO-114</x:v>
      </x:c>
      <x:c r="H53" s="35" t="str">
        <x:v>Locked-workbook normalized regulatory term</x:v>
      </x:c>
      <x:c r="I53" s="35" t="str">
        <x:v>N4 - preserve the source concept; normalize spelling to ASCII lowerCamelCase</x:v>
      </x:c>
      <x:c r="J53" s="35" t="str">
        <x:v>REUSE_R2_TERM</x:v>
      </x:c>
    </x:row>
    <x:row r="54">
      <x:c r="A54" s="35" t="str">
        <x:v>applicableIceClassRegulationEdition</x:v>
      </x:c>
      <x:c r="B54" s="35" t="str">
        <x:v>https://w3id.org/nltl-benchmark/vocab#applicableIceClassRegulationEdition</x:v>
      </x:c>
      <x:c r="C54" s="35" t="str">
        <x:v>ObjectProperty</x:v>
      </x:c>
      <x:c r="D54" s="35" t="str">
        <x:v>https://w3id.org/nltl-benchmark/vocab#iceClassRegulationEditionValue</x:v>
      </x:c>
      <x:c r="E54" s="35" t="str"/>
      <x:c r="F54" s="35" t="str"/>
      <x:c r="G54" s="38" t="str">
        <x:v>TRF-001 | TRF-002 | TRF-003 | TRF-004 | TRF-005 | TRF-006 | TRF-023</x:v>
      </x:c>
      <x:c r="H54" s="35" t="str">
        <x:v>Applicable TRAFICOM regulation wording plus explicit engineering node/operand role</x:v>
      </x:c>
      <x:c r="I54" s="35" t="str">
        <x:v>N5 - ASCII lowerCamelCase relationship; use has + object role when it improves direction clarity.</x:v>
      </x:c>
      <x:c r="J54" s="35" t="str">
        <x:v>ADD_DEVELOPMENT_TERM</x:v>
      </x:c>
    </x:row>
    <x:row r="55">
      <x:c r="A55" s="35" t="str">
        <x:v>applicableIceClassRegulatoryProvision</x:v>
      </x:c>
      <x:c r="B55" s="35" t="str">
        <x:v>https://w3id.org/nltl-benchmark/vocab#applicableIceClassRegulatoryProvision</x:v>
      </x:c>
      <x:c r="C55" s="35" t="str">
        <x:v>ObjectProperty</x:v>
      </x:c>
      <x:c r="D55" s="35" t="str">
        <x:v>https://w3id.org/nltl-benchmark/vocab#iceClassRegulatoryProvisionValue</x:v>
      </x:c>
      <x:c r="E55" s="35" t="str"/>
      <x:c r="F55" s="35" t="str"/>
      <x:c r="G55" s="38" t="str">
        <x:v>TRF-001</x:v>
      </x:c>
      <x:c r="H55" s="35" t="str">
        <x:v>Applicable TRAFICOM regulation wording plus explicit engineering node/operand role</x:v>
      </x:c>
      <x:c r="I55" s="35" t="str">
        <x:v>N5 - ASCII lowerCamelCase relationship; use has + object role when it improves direction clarity.</x:v>
      </x:c>
      <x:c r="J55" s="35" t="str">
        <x:v>ADD_DEVELOPMENT_TERM</x:v>
      </x:c>
    </x:row>
    <x:row r="56">
      <x:c r="A56" s="35" t="str">
        <x:v>appliedIcePressure</x:v>
      </x:c>
      <x:c r="B56" s="35" t="str">
        <x:v>https://w3id.org/nltl-benchmark/vocab#appliedIcePressure</x:v>
      </x:c>
      <x:c r="C56" s="35" t="str">
        <x:v>QuantityProperty</x:v>
      </x:c>
      <x:c r="D56" s="35" t="str">
        <x:v>http://qudt.org/schema/qudt/QuantityValue</x:v>
      </x:c>
      <x:c r="E56" s="35" t="str"/>
      <x:c r="F56" s="35" t="str">
        <x:v>MPa</x:v>
      </x:c>
      <x:c r="G56" s="38" t="str">
        <x:v>TRF-030</x:v>
      </x:c>
      <x:c r="H56" s="35" t="str">
        <x:v>Applicable TRAFICOM regulation wording plus explicit engineering node/operand role</x:v>
      </x:c>
      <x:c r="I56" s="35" t="str">
        <x:v>N4 - explicit engineering quantity in ASCII lowerCamelCase; formula symbols remain aliases only.</x:v>
      </x:c>
      <x:c r="J56" s="35" t="str">
        <x:v>ADD_DEVELOPMENT_TERM</x:v>
      </x:c>
    </x:row>
    <x:row r="57">
      <x:c r="A57" s="35" t="str">
        <x:v>appliedVerticalShearStress</x:v>
      </x:c>
      <x:c r="B57" s="35" t="str">
        <x:v>https://w3id.org/nltl-benchmark/vocab#appliedVerticalShearStress</x:v>
      </x:c>
      <x:c r="C57" s="35" t="str">
        <x:v>QuantityProperty</x:v>
      </x:c>
      <x:c r="D57" s="35" t="str">
        <x:v>http://qudt.org/schema/qudt/QuantityValue</x:v>
      </x:c>
      <x:c r="E57" s="35" t="str"/>
      <x:c r="F57" s="35" t="str">
        <x:v>MPa</x:v>
      </x:c>
      <x:c r="G57" s="38" t="str">
        <x:v>I2-053</x:v>
      </x:c>
      <x:c r="H57" s="35" t="str">
        <x:v>Benchmark-coined descriptive engineering term</x:v>
      </x:c>
      <x:c r="I57" s="35" t="str">
        <x:v>N5 - component or subject first, followed by characteristic and qualifier/state; no unsupported external mapping</x:v>
      </x:c>
      <x:c r="J57" s="35" t="str">
        <x:v>REUSE_R2_TERM</x:v>
      </x:c>
    </x:row>
    <x:row r="58">
      <x:c r="A58" s="35" t="str">
        <x:v>approvalRevocationStatus</x:v>
      </x:c>
      <x:c r="B58" s="35" t="str">
        <x:v>https://w3id.org/nltl-benchmark/vocab#approvalRevocationStatus</x:v>
      </x:c>
      <x:c r="C58" s="35" t="str">
        <x:v>ObjectProperty</x:v>
      </x:c>
      <x:c r="D58" s="35" t="str">
        <x:v>https://w3id.org/nltl-benchmark/vocab#evidenceState</x:v>
      </x:c>
      <x:c r="E58" s="35" t="str"/>
      <x:c r="F58" s="35" t="str"/>
      <x:c r="G58" s="38" t="str">
        <x:v>TRF-028</x:v>
      </x:c>
      <x:c r="H58" s="35" t="str">
        <x:v>Benchmark-coined descriptive engineering term</x:v>
      </x:c>
      <x:c r="I58" s="35" t="str">
        <x:v>N5 - component or subject first, followed by characteristic and qualifier/state; no unsupported external mapping</x:v>
      </x:c>
      <x:c r="J58" s="35" t="str">
        <x:v>REUSE_R2_TERM</x:v>
      </x:c>
    </x:row>
    <x:row r="59">
      <x:c r="A59" s="35" t="str">
        <x:v>approvalStandard</x:v>
      </x:c>
      <x:c r="B59" s="35" t="str">
        <x:v>https://w3id.org/nltl-benchmark/vocab#approvalStandard</x:v>
      </x:c>
      <x:c r="C59" s="35" t="str">
        <x:v>DatatypeProperty</x:v>
      </x:c>
      <x:c r="D59" s="35" t="str">
        <x:v>http://www.w3.org/2001/XMLSchema#string</x:v>
      </x:c>
      <x:c r="E59" s="35" t="str">
        <x:v>xsd:string</x:v>
      </x:c>
      <x:c r="F59" s="35" t="str"/>
      <x:c r="G59" s="38" t="str">
        <x:v>IMO-031 | IMO-032 | IMO-048 | IMO-049</x:v>
      </x:c>
      <x:c r="H59" s="35" t="str">
        <x:v>Locked-workbook normalized regulatory term</x:v>
      </x:c>
      <x:c r="I59" s="35" t="str">
        <x:v>N4 - preserve the source concept; normalize spelling to ASCII lowerCamelCase</x:v>
      </x:c>
      <x:c r="J59" s="35" t="str">
        <x:v>REUSE_R2_TERM</x:v>
      </x:c>
    </x:row>
    <x:row r="60">
      <x:c r="A60" s="35" t="str">
        <x:v>approvalStatus</x:v>
      </x:c>
      <x:c r="B60" s="35" t="str">
        <x:v>https://w3id.org/nltl-benchmark/vocab#approvalStatus</x:v>
      </x:c>
      <x:c r="C60" s="35" t="str">
        <x:v>DatatypeProperty</x:v>
      </x:c>
      <x:c r="D60" s="35" t="str">
        <x:v>http://www.w3.org/2001/XMLSchema#boolean</x:v>
      </x:c>
      <x:c r="E60" s="35" t="str">
        <x:v>xsd:boolean</x:v>
      </x:c>
      <x:c r="F60" s="35" t="str"/>
      <x:c r="G60" s="38" t="str">
        <x:v>TRF-028</x:v>
      </x:c>
      <x:c r="H60" s="35" t="str">
        <x:v>Benchmark-coined descriptive engineering term</x:v>
      </x:c>
      <x:c r="I60" s="35" t="str">
        <x:v>N5 - component or subject first, followed by characteristic and qualifier/state; no unsupported external mapping</x:v>
      </x:c>
      <x:c r="J60" s="35" t="str">
        <x:v>REUSE_R2_TERM</x:v>
      </x:c>
    </x:row>
    <x:row r="61">
      <x:c r="A61" s="35" t="str">
        <x:v>approvedSewageTreatmentPlantUsed</x:v>
      </x:c>
      <x:c r="B61" s="35" t="str">
        <x:v>https://w3id.org/nltl-benchmark/vocab#approvedSewageTreatmentPlantUsed</x:v>
      </x:c>
      <x:c r="C61" s="35" t="str">
        <x:v>DatatypeProperty</x:v>
      </x:c>
      <x:c r="D61" s="35" t="str">
        <x:v>http://www.w3.org/2001/XMLSchema#boolean</x:v>
      </x:c>
      <x:c r="E61" s="35" t="str">
        <x:v>xsd:boolean</x:v>
      </x:c>
      <x:c r="F61" s="35" t="str"/>
      <x:c r="G61" s="38" t="str">
        <x:v>IMO-119</x:v>
      </x:c>
      <x:c r="H61" s="35" t="str">
        <x:v>Locked-workbook normalized regulatory term</x:v>
      </x:c>
      <x:c r="I61" s="35" t="str">
        <x:v>N4 - preserve the source concept; normalize spelling to ASCII lowerCamelCase</x:v>
      </x:c>
      <x:c r="J61" s="35" t="str">
        <x:v>REUSE_R2_TERM</x:v>
      </x:c>
    </x:row>
    <x:row r="62">
      <x:c r="A62" s="35" t="str">
        <x:v>approvedTranslationPresent</x:v>
      </x:c>
      <x:c r="B62" s="35" t="str">
        <x:v>https://w3id.org/nltl-benchmark/vocab#approvedTranslationPresent</x:v>
      </x:c>
      <x:c r="C62" s="35" t="str">
        <x:v>DatatypeProperty</x:v>
      </x:c>
      <x:c r="D62" s="35" t="str">
        <x:v>http://www.w3.org/2001/XMLSchema#boolean</x:v>
      </x:c>
      <x:c r="E62" s="35" t="str">
        <x:v>xsd:boolean</x:v>
      </x:c>
      <x:c r="F62" s="35" t="str"/>
      <x:c r="G62" s="38" t="str">
        <x:v>IMO-016</x:v>
      </x:c>
      <x:c r="H62" s="35" t="str">
        <x:v>Locked-workbook normalized regulatory term</x:v>
      </x:c>
      <x:c r="I62" s="35" t="str">
        <x:v>N4 - preserve the source concept; normalize spelling to ASCII lowerCamelCase</x:v>
      </x:c>
      <x:c r="J62" s="35" t="str">
        <x:v>REUSE_R2_TERM</x:v>
      </x:c>
    </x:row>
    <x:row r="63">
      <x:c r="A63" s="35" t="str">
        <x:v>approvingAuthority</x:v>
      </x:c>
      <x:c r="B63" s="35" t="str">
        <x:v>https://w3id.org/nltl-benchmark/vocab#approvingAuthority</x:v>
      </x:c>
      <x:c r="C63" s="35" t="str">
        <x:v>DatatypeProperty</x:v>
      </x:c>
      <x:c r="D63" s="35" t="str">
        <x:v>http://www.w3.org/2001/XMLSchema#string</x:v>
      </x:c>
      <x:c r="E63" s="35" t="str">
        <x:v>xsd:string</x:v>
      </x:c>
      <x:c r="F63" s="35" t="str"/>
      <x:c r="G63" s="38" t="str">
        <x:v>IMO-031 | IMO-032 | IMO-048 | IMO-049</x:v>
      </x:c>
      <x:c r="H63" s="35" t="str">
        <x:v>Locked-workbook normalized regulatory term</x:v>
      </x:c>
      <x:c r="I63" s="35" t="str">
        <x:v>N4 - preserve the source concept; normalize spelling to ASCII lowerCamelCase</x:v>
      </x:c>
      <x:c r="J63" s="35" t="str">
        <x:v>REUSE_R2_TERM</x:v>
      </x:c>
    </x:row>
    <x:row r="64">
      <x:c r="A64" s="35" t="str">
        <x:v>arcticWaters</x:v>
      </x:c>
      <x:c r="B64" s="35" t="str">
        <x:v>https://w3id.org/nltl-benchmark/vocab#arcticWaters</x:v>
      </x:c>
      <x:c r="C64" s="35" t="str">
        <x:v>DatatypeProperty</x:v>
      </x:c>
      <x:c r="D64" s="35" t="str">
        <x:v>http://www.w3.org/2001/XMLSchema#string</x:v>
      </x:c>
      <x:c r="E64" s="35" t="str">
        <x:v>xsd:string</x:v>
      </x:c>
      <x:c r="F64" s="35" t="str"/>
      <x:c r="G64" s="38" t="str">
        <x:v>IMO-105 | IMO-112 | IMO-120</x:v>
      </x:c>
      <x:c r="H64" s="35" t="str">
        <x:v>Benchmark-coined descriptive engineering term</x:v>
      </x:c>
      <x:c r="I64" s="35" t="str">
        <x:v>N5 - component or subject first, followed by characteristic and qualifier/state; no unsupported external mapping</x:v>
      </x:c>
      <x:c r="J64" s="35" t="str">
        <x:v>REUSE_R2_TERM</x:v>
      </x:c>
    </x:row>
    <x:row r="65">
      <x:c r="A65" s="35" t="str">
        <x:v>asBuiltThickness</x:v>
      </x:c>
      <x:c r="B65" s="35" t="str">
        <x:v>https://w3id.org/nltl-benchmark/vocab#asBuiltThickness</x:v>
      </x:c>
      <x:c r="C65" s="35" t="str">
        <x:v>QuantityProperty</x:v>
      </x:c>
      <x:c r="D65" s="35" t="str">
        <x:v>http://qudt.org/schema/qudt/QuantityValue</x:v>
      </x:c>
      <x:c r="E65" s="35" t="str"/>
      <x:c r="F65" s="35" t="str">
        <x:v>m</x:v>
      </x:c>
      <x:c r="G65" s="38" t="str">
        <x:v>I2-046 | I2-048</x:v>
      </x:c>
      <x:c r="H65" s="35" t="str">
        <x:v>Benchmark-coined descriptive engineering term</x:v>
      </x:c>
      <x:c r="I65" s="35" t="str">
        <x:v>N5 - component or subject first, followed by characteristic and qualifier/state; no unsupported external mapping</x:v>
      </x:c>
      <x:c r="J65" s="35" t="str">
        <x:v>REUSE_R2_TERM</x:v>
      </x:c>
    </x:row>
    <x:row r="66">
      <x:c r="A66" s="35" t="str">
        <x:v>assessedAbandonment</x:v>
      </x:c>
      <x:c r="B66" s="35" t="str">
        <x:v>https://w3id.org/nltl-benchmark/vocab#assessedAbandonment</x:v>
      </x:c>
      <x:c r="C66" s="35" t="str">
        <x:v>DatatypeProperty</x:v>
      </x:c>
      <x:c r="D66" s="35" t="str">
        <x:v>http://www.w3.org/2001/XMLSchema#boolean</x:v>
      </x:c>
      <x:c r="E66" s="35" t="str">
        <x:v>xsd:boolean</x:v>
      </x:c>
      <x:c r="F66" s="35" t="str"/>
      <x:c r="G66" s="38" t="str">
        <x:v>IMO-021</x:v>
      </x:c>
      <x:c r="H66" s="35" t="str">
        <x:v>Locked-workbook normalized regulatory term</x:v>
      </x:c>
      <x:c r="I66" s="35" t="str">
        <x:v>N4 - preserve the source concept; normalize spelling to ASCII lowerCamelCase</x:v>
      </x:c>
      <x:c r="J66" s="35" t="str">
        <x:v>REUSE_R2_TERM</x:v>
      </x:c>
    </x:row>
    <x:row r="67">
      <x:c r="A67" s="35" t="str">
        <x:v>assessedAdditionalHazards</x:v>
      </x:c>
      <x:c r="B67" s="35" t="str">
        <x:v>https://w3id.org/nltl-benchmark/vocab#assessedAdditionalHazards</x:v>
      </x:c>
      <x:c r="C67" s="35" t="str">
        <x:v>DatatypeProperty</x:v>
      </x:c>
      <x:c r="D67" s="35" t="str">
        <x:v>http://www.w3.org/2001/XMLSchema#boolean</x:v>
      </x:c>
      <x:c r="E67" s="35" t="str">
        <x:v>xsd:boolean</x:v>
      </x:c>
      <x:c r="F67" s="35" t="str"/>
      <x:c r="G67" s="38" t="str">
        <x:v>IMO-021</x:v>
      </x:c>
      <x:c r="H67" s="35" t="str">
        <x:v>Locked-workbook normalized regulatory term</x:v>
      </x:c>
      <x:c r="I67" s="35" t="str">
        <x:v>N4 - preserve the source concept; normalize spelling to ASCII lowerCamelCase</x:v>
      </x:c>
      <x:c r="J67" s="35" t="str">
        <x:v>REUSE_R2_TERM</x:v>
      </x:c>
    </x:row>
    <x:row r="68">
      <x:c r="A68" s="35" t="str">
        <x:v>assessedCodeHazards</x:v>
      </x:c>
      <x:c r="B68" s="35" t="str">
        <x:v>https://w3id.org/nltl-benchmark/vocab#assessedCodeHazards</x:v>
      </x:c>
      <x:c r="C68" s="35" t="str">
        <x:v>DatatypeProperty</x:v>
      </x:c>
      <x:c r="D68" s="35" t="str">
        <x:v>http://www.w3.org/2001/XMLSchema#boolean</x:v>
      </x:c>
      <x:c r="E68" s="35" t="str">
        <x:v>xsd:boolean</x:v>
      </x:c>
      <x:c r="F68" s="35" t="str"/>
      <x:c r="G68" s="38" t="str">
        <x:v>IMO-021</x:v>
      </x:c>
      <x:c r="H68" s="35" t="str">
        <x:v>Locked-workbook normalized regulatory term</x:v>
      </x:c>
      <x:c r="I68" s="35" t="str">
        <x:v>N4 - preserve the source concept; normalize spelling to ASCII lowerCamelCase</x:v>
      </x:c>
      <x:c r="J68" s="35" t="str">
        <x:v>REUSE_R2_TERM</x:v>
      </x:c>
    </x:row>
    <x:row r="69">
      <x:c r="A69" s="35" t="str">
        <x:v>assessedHighLatitude</x:v>
      </x:c>
      <x:c r="B69" s="35" t="str">
        <x:v>https://w3id.org/nltl-benchmark/vocab#assessedHighLatitude</x:v>
      </x:c>
      <x:c r="C69" s="35" t="str">
        <x:v>DatatypeProperty</x:v>
      </x:c>
      <x:c r="D69" s="35" t="str">
        <x:v>http://www.w3.org/2001/XMLSchema#boolean</x:v>
      </x:c>
      <x:c r="E69" s="35" t="str">
        <x:v>xsd:boolean</x:v>
      </x:c>
      <x:c r="F69" s="35" t="str"/>
      <x:c r="G69" s="38" t="str">
        <x:v>IMO-021</x:v>
      </x:c>
      <x:c r="H69" s="35" t="str">
        <x:v>Locked-workbook normalized regulatory term</x:v>
      </x:c>
      <x:c r="I69" s="35" t="str">
        <x:v>N4 - preserve the source concept; normalize spelling to ASCII lowerCamelCase</x:v>
      </x:c>
      <x:c r="J69" s="35" t="str">
        <x:v>REUSE_R2_TERM</x:v>
      </x:c>
    </x:row>
    <x:row r="70">
      <x:c r="A70" s="35" t="str">
        <x:v>assessedIceOperation</x:v>
      </x:c>
      <x:c r="B70" s="35" t="str">
        <x:v>https://w3id.org/nltl-benchmark/vocab#assessedIceOperation</x:v>
      </x:c>
      <x:c r="C70" s="35" t="str">
        <x:v>DatatypeProperty</x:v>
      </x:c>
      <x:c r="D70" s="35" t="str">
        <x:v>http://www.w3.org/2001/XMLSchema#boolean</x:v>
      </x:c>
      <x:c r="E70" s="35" t="str">
        <x:v>xsd:boolean</x:v>
      </x:c>
      <x:c r="F70" s="35" t="str"/>
      <x:c r="G70" s="38" t="str">
        <x:v>IMO-021</x:v>
      </x:c>
      <x:c r="H70" s="35" t="str">
        <x:v>Locked-workbook normalized regulatory term</x:v>
      </x:c>
      <x:c r="I70" s="35" t="str">
        <x:v>N4 - preserve the source concept; normalize spelling to ASCII lowerCamelCase</x:v>
      </x:c>
      <x:c r="J70" s="35" t="str">
        <x:v>REUSE_R2_TERM</x:v>
      </x:c>
    </x:row>
    <x:row r="71">
      <x:c r="A71" s="35" t="str">
        <x:v>assessedLowAirTemperature</x:v>
      </x:c>
      <x:c r="B71" s="35" t="str">
        <x:v>https://w3id.org/nltl-benchmark/vocab#assessedLowAirTemperature</x:v>
      </x:c>
      <x:c r="C71" s="35" t="str">
        <x:v>QuantityProperty</x:v>
      </x:c>
      <x:c r="D71" s="35" t="str">
        <x:v>http://qudt.org/schema/qudt/QuantityValue</x:v>
      </x:c>
      <x:c r="E71" s="35" t="str"/>
      <x:c r="F71" s="35" t="str">
        <x:v>deg C</x:v>
      </x:c>
      <x:c r="G71" s="38" t="str">
        <x:v>IMO-021</x:v>
      </x:c>
      <x:c r="H71" s="35" t="str">
        <x:v>Locked-workbook normalized regulatory term</x:v>
      </x:c>
      <x:c r="I71" s="35" t="str">
        <x:v>N4 - preserve the source concept; normalize spelling to ASCII lowerCamelCase</x:v>
      </x:c>
      <x:c r="J71" s="35" t="str">
        <x:v>REUSE_R2_TERM</x:v>
      </x:c>
    </x:row>
    <x:row r="72">
      <x:c r="A72" s="35" t="str">
        <x:v>assessmentDate</x:v>
      </x:c>
      <x:c r="B72" s="35" t="str">
        <x:v>https://w3id.org/nltl-benchmark/vocab#assessmentDate</x:v>
      </x:c>
      <x:c r="C72" s="35" t="str">
        <x:v>DatatypeProperty</x:v>
      </x:c>
      <x:c r="D72" s="35" t="str">
        <x:v>http://www.w3.org/2001/XMLSchema#date</x:v>
      </x:c>
      <x:c r="E72" s="35" t="str">
        <x:v>xsd:date</x:v>
      </x:c>
      <x:c r="F72" s="35" t="str"/>
      <x:c r="G72" s="38" t="str">
        <x:v>TRF-007 | TRF-009 | TRF-024</x:v>
      </x:c>
      <x:c r="H72" s="35" t="str">
        <x:v>Applicable TRAFICOM regulation wording plus explicit engineering node/operand role</x:v>
      </x:c>
      <x:c r="I72" s="35" t="str">
        <x:v>N4 - explicit regulatory concept in ASCII lowerCamelCase with an XSD datatype.</x:v>
      </x:c>
      <x:c r="J72" s="35" t="str">
        <x:v>ADD_DEVELOPMENT_TERM</x:v>
      </x:c>
    </x:row>
    <x:row r="73">
      <x:c r="A73" s="35" t="str">
        <x:v>assignedDuties</x:v>
      </x:c>
      <x:c r="B73" s="35" t="str">
        <x:v>https://w3id.org/nltl-benchmark/vocab#assignedDuties</x:v>
      </x:c>
      <x:c r="C73" s="35" t="str">
        <x:v>DatatypeProperty</x:v>
      </x:c>
      <x:c r="D73" s="35" t="str">
        <x:v>http://www.w3.org/2001/XMLSchema#string</x:v>
      </x:c>
      <x:c r="E73" s="35" t="str">
        <x:v>xsd:string</x:v>
      </x:c>
      <x:c r="F73" s="35" t="str"/>
      <x:c r="G73" s="38" t="str">
        <x:v>IMO-104</x:v>
      </x:c>
      <x:c r="H73" s="35" t="str">
        <x:v>Locked-workbook normalized regulatory term</x:v>
      </x:c>
      <x:c r="I73" s="35" t="str">
        <x:v>N4 - preserve the source concept; normalize spelling to ASCII lowerCamelCase</x:v>
      </x:c>
      <x:c r="J73" s="35" t="str">
        <x:v>REUSE_R2_TERM</x:v>
      </x:c>
    </x:row>
    <x:row r="74">
      <x:c r="A74" s="35" t="str">
        <x:v>assignedImmersionSuit</x:v>
      </x:c>
      <x:c r="B74" s="35" t="str">
        <x:v>https://w3id.org/nltl-benchmark/vocab#assignedImmersionSuit</x:v>
      </x:c>
      <x:c r="C74" s="35" t="str">
        <x:v>DatatypeProperty</x:v>
      </x:c>
      <x:c r="D74" s="35" t="str">
        <x:v>http://www.w3.org/2001/XMLSchema#string</x:v>
      </x:c>
      <x:c r="E74" s="35" t="str">
        <x:v>xsd:string</x:v>
      </x:c>
      <x:c r="F74" s="35" t="str"/>
      <x:c r="G74" s="38" t="str">
        <x:v>IMO-070</x:v>
      </x:c>
      <x:c r="H74" s="35" t="str">
        <x:v>Locked-workbook normalized regulatory term</x:v>
      </x:c>
      <x:c r="I74" s="35" t="str">
        <x:v>N4 - preserve the source concept; normalize spelling to ASCII lowerCamelCase</x:v>
      </x:c>
      <x:c r="J74" s="35" t="str">
        <x:v>REUSE_R2_TERM</x:v>
      </x:c>
    </x:row>
    <x:row r="75">
      <x:c r="A75" s="35" t="str">
        <x:v>assignedSearchlight</x:v>
      </x:c>
      <x:c r="B75" s="35" t="str">
        <x:v>https://w3id.org/nltl-benchmark/vocab#assignedSearchlight</x:v>
      </x:c>
      <x:c r="C75" s="35" t="str">
        <x:v>DatatypeProperty</x:v>
      </x:c>
      <x:c r="D75" s="35" t="str">
        <x:v>http://www.w3.org/2001/XMLSchema#string</x:v>
      </x:c>
      <x:c r="E75" s="35" t="str">
        <x:v>xsd:string</x:v>
      </x:c>
      <x:c r="F75" s="35" t="str"/>
      <x:c r="G75" s="38" t="str">
        <x:v>IMO-072</x:v>
      </x:c>
      <x:c r="H75" s="35" t="str">
        <x:v>Locked-workbook normalized regulatory term</x:v>
      </x:c>
      <x:c r="I75" s="35" t="str">
        <x:v>N4 - preserve the source concept; normalize spelling to ASCII lowerCamelCase</x:v>
      </x:c>
      <x:c r="J75" s="35" t="str">
        <x:v>REUSE_R2_TERM</x:v>
      </x:c>
    </x:row>
    <x:row r="76">
      <x:c r="A76" s="35" t="str">
        <x:v>assignedThermalProtection</x:v>
      </x:c>
      <x:c r="B76" s="35" t="str">
        <x:v>https://w3id.org/nltl-benchmark/vocab#assignedThermalProtection</x:v>
      </x:c>
      <x:c r="C76" s="35" t="str">
        <x:v>DatatypeProperty</x:v>
      </x:c>
      <x:c r="D76" s="35" t="str">
        <x:v>http://www.w3.org/2001/XMLSchema#boolean</x:v>
      </x:c>
      <x:c r="E76" s="35" t="str">
        <x:v>xsd:boolean</x:v>
      </x:c>
      <x:c r="F76" s="35" t="str"/>
      <x:c r="G76" s="38" t="str">
        <x:v>IMO-064</x:v>
      </x:c>
      <x:c r="H76" s="35" t="str">
        <x:v>Locked-workbook normalized regulatory term</x:v>
      </x:c>
      <x:c r="I76" s="35" t="str">
        <x:v>N4 - preserve the source concept; normalize spelling to ASCII lowerCamelCase</x:v>
      </x:c>
      <x:c r="J76" s="35" t="str">
        <x:v>REUSE_R2_TERM</x:v>
      </x:c>
    </x:row>
    <x:row r="77">
      <x:c r="A77" s="35" t="str">
        <x:v>assignedThermalProtectiveAid</x:v>
      </x:c>
      <x:c r="B77" s="35" t="str">
        <x:v>https://w3id.org/nltl-benchmark/vocab#assignedThermalProtectiveAid</x:v>
      </x:c>
      <x:c r="C77" s="35" t="str">
        <x:v>DatatypeProperty</x:v>
      </x:c>
      <x:c r="D77" s="35" t="str">
        <x:v>http://www.w3.org/2001/XMLSchema#string</x:v>
      </x:c>
      <x:c r="E77" s="35" t="str">
        <x:v>xsd:string</x:v>
      </x:c>
      <x:c r="F77" s="35" t="str"/>
      <x:c r="G77" s="38" t="str">
        <x:v>IMO-070</x:v>
      </x:c>
      <x:c r="H77" s="35" t="str">
        <x:v>Locked-workbook normalized regulatory term</x:v>
      </x:c>
      <x:c r="I77" s="35" t="str">
        <x:v>N4 - preserve the source concept; normalize spelling to ASCII lowerCamelCase</x:v>
      </x:c>
      <x:c r="J77" s="35" t="str">
        <x:v>REUSE_R2_TERM</x:v>
      </x:c>
    </x:row>
    <x:row r="78">
      <x:c r="A78" s="35" t="str">
        <x:v>asternFacingSoundSignalingSystemPresent</x:v>
      </x:c>
      <x:c r="B78" s="35" t="str">
        <x:v>https://w3id.org/nltl-benchmark/vocab#asternFacingSoundSignalingSystemPresent</x:v>
      </x:c>
      <x:c r="C78" s="35" t="str">
        <x:v>DatatypeProperty</x:v>
      </x:c>
      <x:c r="D78" s="35" t="str">
        <x:v>http://www.w3.org/2001/XMLSchema#boolean</x:v>
      </x:c>
      <x:c r="E78" s="35" t="str">
        <x:v>xsd:boolean</x:v>
      </x:c>
      <x:c r="F78" s="35" t="str"/>
      <x:c r="G78" s="38" t="str">
        <x:v>IMO-094</x:v>
      </x:c>
      <x:c r="H78" s="35" t="str">
        <x:v>Locked-workbook normalized regulatory term</x:v>
      </x:c>
      <x:c r="I78" s="35" t="str">
        <x:v>N4 - preserve the source concept; normalize spelling to ASCII lowerCamelCase</x:v>
      </x:c>
      <x:c r="J78" s="35" t="str">
        <x:v>REUSE_R2_TERM</x:v>
      </x:c>
    </x:row>
    <x:row r="79">
      <x:c r="A79" s="35" t="str">
        <x:v>asternIceOperationIntent</x:v>
      </x:c>
      <x:c r="B79" s="35" t="str">
        <x:v>https://w3id.org/nltl-benchmark/vocab#asternIceOperationIntent</x:v>
      </x:c>
      <x:c r="C79" s="35" t="str">
        <x:v>DatatypeProperty</x:v>
      </x:c>
      <x:c r="D79" s="35" t="str">
        <x:v>http://www.w3.org/2001/XMLSchema#boolean</x:v>
      </x:c>
      <x:c r="E79" s="35" t="str">
        <x:v>xsd:boolean</x:v>
      </x:c>
      <x:c r="F79" s="35" t="str"/>
      <x:c r="G79" s="38" t="str">
        <x:v>I2-006</x:v>
      </x:c>
      <x:c r="H79" s="35" t="str">
        <x:v>Benchmark-coined descriptive engineering term</x:v>
      </x:c>
      <x:c r="I79" s="35" t="str">
        <x:v>N5 - component or subject first, followed by characteristic and qualifier/state; no unsupported external mapping</x:v>
      </x:c>
      <x:c r="J79" s="35" t="str">
        <x:v>REUSE_R2_TERM</x:v>
      </x:c>
    </x:row>
    <x:row r="80">
      <x:c r="A80" s="35" t="str">
        <x:v>attachmentType</x:v>
      </x:c>
      <x:c r="B80" s="35" t="str">
        <x:v>https://w3id.org/nltl-benchmark/vocab#attachmentType</x:v>
      </x:c>
      <x:c r="C80" s="35" t="str">
        <x:v>DatatypeProperty</x:v>
      </x:c>
      <x:c r="D80" s="35" t="str">
        <x:v>http://www.w3.org/2001/XMLSchema#string</x:v>
      </x:c>
      <x:c r="E80" s="35" t="str">
        <x:v>xsd:string</x:v>
      </x:c>
      <x:c r="F80" s="35" t="str"/>
      <x:c r="G80" s="38" t="str">
        <x:v>TRF-046 | TRF-047</x:v>
      </x:c>
      <x:c r="H80" s="35" t="str">
        <x:v>Benchmark-coined descriptive engineering term</x:v>
      </x:c>
      <x:c r="I80" s="35" t="str">
        <x:v>N5 - component or subject first, followed by characteristic and qualifier/state; no unsupported external mapping</x:v>
      </x:c>
      <x:c r="J80" s="35" t="str">
        <x:v>REUSE_R2_TERM</x:v>
      </x:c>
    </x:row>
    <x:row r="81">
      <x:c r="A81" s="35" t="str">
        <x:v>availableEmergencyRationPerson</x:v>
      </x:c>
      <x:c r="B81" s="35" t="str">
        <x:v>https://w3id.org/nltl-benchmark/vocab#availableEmergencyRationPerson</x:v>
      </x:c>
      <x:c r="C81" s="35" t="str">
        <x:v>QuantityProperty</x:v>
      </x:c>
      <x:c r="D81" s="35" t="str">
        <x:v>http://qudt.org/schema/qudt/QuantityValue</x:v>
      </x:c>
      <x:c r="E81" s="35" t="str"/>
      <x:c r="F81" s="35" t="str">
        <x:v>day</x:v>
      </x:c>
      <x:c r="G81" s="38" t="str">
        <x:v>IMO-079</x:v>
      </x:c>
      <x:c r="H81" s="35" t="str">
        <x:v>Unit-stripped normalized regulatory variable</x:v>
      </x:c>
      <x:c r="I81" s="35" t="str">
        <x:v>N3 - remove unit from the identifier and retain it in unit/quantity metadata</x:v>
      </x:c>
      <x:c r="J81" s="35" t="str">
        <x:v>REUSE_R2_TERM</x:v>
      </x:c>
    </x:row>
    <x:row r="82">
      <x:c r="A82" s="35" t="str">
        <x:v>availableSurvivalEquipmentCapacity</x:v>
      </x:c>
      <x:c r="B82" s="35" t="str">
        <x:v>https://w3id.org/nltl-benchmark/vocab#availableSurvivalEquipmentCapacity</x:v>
      </x:c>
      <x:c r="C82" s="35" t="str">
        <x:v>DatatypeProperty</x:v>
      </x:c>
      <x:c r="D82" s="35" t="str">
        <x:v>http://www.w3.org/2001/XMLSchema#integer</x:v>
      </x:c>
      <x:c r="E82" s="35" t="str">
        <x:v>xsd:integer</x:v>
      </x:c>
      <x:c r="F82" s="35" t="str"/>
      <x:c r="G82" s="38" t="str">
        <x:v>IMO-075</x:v>
      </x:c>
      <x:c r="H82" s="35" t="str">
        <x:v>Locked-workbook normalized regulatory term</x:v>
      </x:c>
      <x:c r="I82" s="35" t="str">
        <x:v>N4 - preserve the source concept; normalize spelling to ASCII lowerCamelCase</x:v>
      </x:c>
      <x:c r="J82" s="35" t="str">
        <x:v>REUSE_R2_TERM</x:v>
      </x:c>
    </x:row>
    <x:row r="83">
      <x:c r="A83" s="35" t="str">
        <x:v>averageIcePressure</x:v>
      </x:c>
      <x:c r="B83" s="35" t="str">
        <x:v>https://w3id.org/nltl-benchmark/vocab#averageIcePressure</x:v>
      </x:c>
      <x:c r="C83" s="35" t="str">
        <x:v>QuantityProperty</x:v>
      </x:c>
      <x:c r="D83" s="35" t="str">
        <x:v>http://qudt.org/schema/qudt/QuantityValue</x:v>
      </x:c>
      <x:c r="E83" s="35" t="str"/>
      <x:c r="F83" s="35" t="str">
        <x:v>MPa</x:v>
      </x:c>
      <x:c r="G83" s="38" t="str">
        <x:v>I2-008 | I2-009 | I2-017 | I2-018 | I2-022 | I2-023 | I2-032 | I2-035</x:v>
      </x:c>
      <x:c r="H83" s="35" t="str">
        <x:v>Benchmark-coined descriptive engineering term</x:v>
      </x:c>
      <x:c r="I83" s="35" t="str">
        <x:v>N5 - component or subject first, followed by characteristic and qualifier/state; no unsupported external mapping</x:v>
      </x:c>
      <x:c r="J83" s="35" t="str">
        <x:v>REUSE_R2_TERM</x:v>
      </x:c>
    </x:row>
    <x:row r="84">
      <x:c r="A84" s="35" t="str">
        <x:v>averageImpactEnergy</x:v>
      </x:c>
      <x:c r="B84" s="35" t="str">
        <x:v>https://w3id.org/nltl-benchmark/vocab#averageImpactEnergy</x:v>
      </x:c>
      <x:c r="C84" s="35" t="str">
        <x:v>QuantityProperty</x:v>
      </x:c>
      <x:c r="D84" s="35" t="str">
        <x:v>http://qudt.org/schema/qudt/QuantityValue</x:v>
      </x:c>
      <x:c r="E84" s="35" t="str"/>
      <x:c r="F84" s="35" t="str">
        <x:v>J</x:v>
      </x:c>
      <x:c r="G84" s="38" t="str">
        <x:v>TRF-072 | TRF-073</x:v>
      </x:c>
      <x:c r="H84" s="35" t="str">
        <x:v>Benchmark-coined descriptive engineering term</x:v>
      </x:c>
      <x:c r="I84" s="35" t="str">
        <x:v>N5 - component or subject first, followed by characteristic and qualifier/state; no unsupported external mapping</x:v>
      </x:c>
      <x:c r="J84" s="35" t="str">
        <x:v>REUSE_R2_TERM</x:v>
      </x:c>
    </x:row>
    <x:row r="85">
      <x:c r="A85" s="35" t="str">
        <x:v>backwardBladeForce</x:v>
      </x:c>
      <x:c r="B85" s="35" t="str">
        <x:v>https://w3id.org/nltl-benchmark/vocab#backwardBladeForce</x:v>
      </x:c>
      <x:c r="C85" s="35" t="str">
        <x:v>QuantityProperty</x:v>
      </x:c>
      <x:c r="D85" s="35" t="str">
        <x:v>http://qudt.org/schema/qudt/QuantityValue</x:v>
      </x:c>
      <x:c r="E85" s="35" t="str"/>
      <x:c r="F85" s="35" t="str">
        <x:v>kN</x:v>
      </x:c>
      <x:c r="G85" s="38" t="str">
        <x:v>TRF-075 | TRF-081</x:v>
      </x:c>
      <x:c r="H85" s="35" t="str">
        <x:v>Unit-stripped normalized regulatory variable</x:v>
      </x:c>
      <x:c r="I85" s="35" t="str">
        <x:v>N3 - remove unit from the identifier and retain it in unit/quantity metadata</x:v>
      </x:c>
      <x:c r="J85" s="35" t="str">
        <x:v>REUSE_R2_TERM</x:v>
      </x:c>
    </x:row>
    <x:row r="86">
      <x:c r="A86" s="35" t="str">
        <x:v>backwardIceThrust</x:v>
      </x:c>
      <x:c r="B86" s="35" t="str">
        <x:v>https://w3id.org/nltl-benchmark/vocab#backwardIceThrust</x:v>
      </x:c>
      <x:c r="C86" s="35" t="str">
        <x:v>QuantityProperty</x:v>
      </x:c>
      <x:c r="D86" s="35" t="str">
        <x:v>http://qudt.org/schema/qudt/QuantityValue</x:v>
      </x:c>
      <x:c r="E86" s="35" t="str"/>
      <x:c r="F86" s="35" t="str">
        <x:v>kN</x:v>
      </x:c>
      <x:c r="G86" s="38" t="str">
        <x:v>TRF-081</x:v>
      </x:c>
      <x:c r="H86" s="35" t="str">
        <x:v>Verified exact implementation term</x:v>
      </x:c>
      <x:c r="I86" s="35" t="str">
        <x:v>N1 - reuse only after exact URI and semantic-context verification</x:v>
      </x:c>
      <x:c r="J86" s="35" t="str">
        <x:v>REUSE_R2_TERM</x:v>
      </x:c>
    </x:row>
    <x:row r="87">
      <x:c r="A87" s="35" t="str">
        <x:v>backwardPropellerShaftDesignThrust</x:v>
      </x:c>
      <x:c r="B87" s="35" t="str">
        <x:v>https://w3id.org/nltl-benchmark/vocab#backwardPropellerShaftDesignThrust</x:v>
      </x:c>
      <x:c r="C87" s="35" t="str">
        <x:v>QuantityProperty</x:v>
      </x:c>
      <x:c r="D87" s="35" t="str">
        <x:v>http://qudt.org/schema/qudt/QuantityValue</x:v>
      </x:c>
      <x:c r="E87" s="35" t="str"/>
      <x:c r="F87" s="35" t="str">
        <x:v>kN</x:v>
      </x:c>
      <x:c r="G87" s="38" t="str">
        <x:v>TRF-081</x:v>
      </x:c>
      <x:c r="H87" s="35" t="str">
        <x:v>Unit-stripped normalized regulatory variable</x:v>
      </x:c>
      <x:c r="I87" s="35" t="str">
        <x:v>N3 - remove unit from the identifier and retain it in unit/quantity metadata</x:v>
      </x:c>
      <x:c r="J87" s="35" t="str">
        <x:v>REUSE_R2_TERM</x:v>
      </x:c>
    </x:row>
    <x:row r="88">
      <x:c r="A88" s="35" t="str">
        <x:v>ballastTank</x:v>
      </x:c>
      <x:c r="B88" s="35" t="str">
        <x:v>https://w3id.org/nltl-benchmark/vocab#ballastTank</x:v>
      </x:c>
      <x:c r="C88" s="35" t="str">
        <x:v>Class</x:v>
      </x:c>
      <x:c r="D88" s="35" t="str">
        <x:v>https://w3id.org/nltl-benchmark/vocab#shipComponent</x:v>
      </x:c>
      <x:c r="E88" s="35" t="str"/>
      <x:c r="F88" s="35" t="str"/>
      <x:c r="G88" s="38" t="str">
        <x:v>TRF-016</x:v>
      </x:c>
      <x:c r="H88" s="35" t="str">
        <x:v>Applicable TRAFICOM regulation wording plus explicit engineering node/operand role</x:v>
      </x:c>
      <x:c r="I88" s="35" t="str">
        <x:v>N4 - singular ASCII lowerCamelCase entity name derived from the linked regulatory role.</x:v>
      </x:c>
      <x:c r="J88" s="35" t="str">
        <x:v>ADD_DEVELOPMENT_TERM</x:v>
      </x:c>
    </x:row>
    <x:row r="89">
      <x:c r="A89" s="35" t="str">
        <x:v>ballastWaterCoolingArrangement</x:v>
      </x:c>
      <x:c r="B89" s="35" t="str">
        <x:v>https://w3id.org/nltl-benchmark/vocab#ballastWaterCoolingArrangement</x:v>
      </x:c>
      <x:c r="C89" s="35" t="str">
        <x:v>DatatypeProperty</x:v>
      </x:c>
      <x:c r="D89" s="35" t="str">
        <x:v>http://www.w3.org/2001/XMLSchema#string</x:v>
      </x:c>
      <x:c r="E89" s="35" t="str">
        <x:v>xsd:string</x:v>
      </x:c>
      <x:c r="F89" s="35" t="str"/>
      <x:c r="G89" s="38" t="str">
        <x:v>TRF-131</x:v>
      </x:c>
      <x:c r="H89" s="35" t="str">
        <x:v>Benchmark-coined descriptive engineering term</x:v>
      </x:c>
      <x:c r="I89" s="35" t="str">
        <x:v>N5 - component or subject first, followed by characteristic and qualifier/state; no unsupported external mapping</x:v>
      </x:c>
      <x:c r="J89" s="35" t="str">
        <x:v>REUSE_R2_TERM</x:v>
      </x:c>
    </x:row>
    <x:row r="90">
      <x:c r="A90" s="35" t="str">
        <x:v>batteryLifeManagementProcedurePresent</x:v>
      </x:c>
      <x:c r="B90" s="35" t="str">
        <x:v>https://w3id.org/nltl-benchmark/vocab#batteryLifeManagementProcedurePresent</x:v>
      </x:c>
      <x:c r="C90" s="35" t="str">
        <x:v>DatatypeProperty</x:v>
      </x:c>
      <x:c r="D90" s="35" t="str">
        <x:v>http://www.w3.org/2001/XMLSchema#boolean</x:v>
      </x:c>
      <x:c r="E90" s="35" t="str">
        <x:v>xsd:boolean</x:v>
      </x:c>
      <x:c r="F90" s="35" t="str"/>
      <x:c r="G90" s="38" t="str">
        <x:v>IMO-099</x:v>
      </x:c>
      <x:c r="H90" s="35" t="str">
        <x:v>Locked-workbook normalized regulatory term</x:v>
      </x:c>
      <x:c r="I90" s="35" t="str">
        <x:v>N4 - preserve the source concept; normalize spelling to ASCII lowerCamelCase</x:v>
      </x:c>
      <x:c r="J90" s="35" t="str">
        <x:v>REUSE_R2_TERM</x:v>
      </x:c>
    </x:row>
    <x:row r="91">
      <x:c r="A91" s="35" t="str">
        <x:v>beamTheoryUsed</x:v>
      </x:c>
      <x:c r="B91" s="35" t="str">
        <x:v>https://w3id.org/nltl-benchmark/vocab#beamTheoryUsed</x:v>
      </x:c>
      <x:c r="C91" s="35" t="str">
        <x:v>DatatypeProperty</x:v>
      </x:c>
      <x:c r="D91" s="35" t="str">
        <x:v>http://www.w3.org/2001/XMLSchema#boolean</x:v>
      </x:c>
      <x:c r="E91" s="35" t="str">
        <x:v>xsd:boolean</x:v>
      </x:c>
      <x:c r="F91" s="35" t="str"/>
      <x:c r="G91" s="38" t="str">
        <x:v>TRF-031</x:v>
      </x:c>
      <x:c r="H91" s="35" t="str">
        <x:v>Benchmark-coined descriptive engineering term</x:v>
      </x:c>
      <x:c r="I91" s="35" t="str">
        <x:v>N5 - component or subject first, followed by characteristic and qualifier/state; no unsupported external mapping</x:v>
      </x:c>
      <x:c r="J91" s="35" t="str">
        <x:v>REUSE_R2_TERM</x:v>
      </x:c>
    </x:row>
    <x:row r="92">
      <x:c r="A92" s="35" t="str">
        <x:v>betaIPrime</x:v>
      </x:c>
      <x:c r="B92" s="35" t="str">
        <x:v>https://w3id.org/nltl-benchmark/vocab#betaIPrime</x:v>
      </x:c>
      <x:c r="C92" s="35" t="str">
        <x:v>QuantityProperty</x:v>
      </x:c>
      <x:c r="D92" s="35" t="str">
        <x:v>http://qudt.org/schema/qudt/QuantityValue</x:v>
      </x:c>
      <x:c r="E92" s="35" t="str"/>
      <x:c r="F92" s="35" t="str">
        <x:v>1</x:v>
      </x:c>
      <x:c r="G92" s="38" t="str">
        <x:v>I2-015</x:v>
      </x:c>
      <x:c r="H92" s="35" t="str">
        <x:v>Benchmark-coined descriptive engineering term</x:v>
      </x:c>
      <x:c r="I92" s="35" t="str">
        <x:v>N5 - component or subject first, followed by characteristic and qualifier/state; no unsupported external mapping</x:v>
      </x:c>
      <x:c r="J92" s="35" t="str">
        <x:v>REUSE_R2_TERM</x:v>
      </x:c>
    </x:row>
    <x:row r="93">
      <x:c r="A93" s="35" t="str">
        <x:v>bladeBendingMoment</x:v>
      </x:c>
      <x:c r="B93" s="35" t="str">
        <x:v>https://w3id.org/nltl-benchmark/vocab#bladeBendingMoment</x:v>
      </x:c>
      <x:c r="C93" s="35" t="str">
        <x:v>QuantityProperty</x:v>
      </x:c>
      <x:c r="D93" s="35" t="str">
        <x:v>http://qudt.org/schema/qudt/QuantityValue</x:v>
      </x:c>
      <x:c r="E93" s="35" t="str"/>
      <x:c r="F93" s="35" t="str">
        <x:v>kN*m</x:v>
      </x:c>
      <x:c r="G93" s="38" t="str">
        <x:v>TRF-105</x:v>
      </x:c>
      <x:c r="H93" s="35" t="str">
        <x:v>Benchmark-coined descriptive engineering term</x:v>
      </x:c>
      <x:c r="I93" s="35" t="str">
        <x:v>N5 - component or subject first, followed by characteristic and qualifier/state; no unsupported external mapping</x:v>
      </x:c>
      <x:c r="J93" s="35" t="str">
        <x:v>REUSE_R2_TERM</x:v>
      </x:c>
    </x:row>
    <x:row r="94">
      <x:c r="A94" s="35" t="str">
        <x:v>bladeExcitationOrder</x:v>
      </x:c>
      <x:c r="B94" s="35" t="str">
        <x:v>https://w3id.org/nltl-benchmark/vocab#bladeExcitationOrder</x:v>
      </x:c>
      <x:c r="C94" s="35" t="str">
        <x:v>DatatypeProperty</x:v>
      </x:c>
      <x:c r="D94" s="35" t="str">
        <x:v>http://www.w3.org/2001/XMLSchema#string</x:v>
      </x:c>
      <x:c r="E94" s="35" t="str">
        <x:v>xsd:string</x:v>
      </x:c>
      <x:c r="F94" s="35" t="str"/>
      <x:c r="G94" s="38" t="str">
        <x:v>TRF-100</x:v>
      </x:c>
      <x:c r="H94" s="35" t="str">
        <x:v>Benchmark-coined descriptive engineering term</x:v>
      </x:c>
      <x:c r="I94" s="35" t="str">
        <x:v>N5 - component or subject first, followed by characteristic and qualifier/state; no unsupported external mapping</x:v>
      </x:c>
      <x:c r="J94" s="35" t="str">
        <x:v>REUSE_R2_TERM</x:v>
      </x:c>
    </x:row>
    <x:row r="95">
      <x:c r="A95" s="35" t="str">
        <x:v>bladeFailureSpindleTorque</x:v>
      </x:c>
      <x:c r="B95" s="35" t="str">
        <x:v>https://w3id.org/nltl-benchmark/vocab#bladeFailureSpindleTorque</x:v>
      </x:c>
      <x:c r="C95" s="35" t="str">
        <x:v>QuantityProperty</x:v>
      </x:c>
      <x:c r="D95" s="35" t="str">
        <x:v>http://qudt.org/schema/qudt/QuantityValue</x:v>
      </x:c>
      <x:c r="E95" s="35" t="str"/>
      <x:c r="F95" s="35" t="str">
        <x:v>kN*m</x:v>
      </x:c>
      <x:c r="G95" s="38" t="str">
        <x:v>TRF-102</x:v>
      </x:c>
      <x:c r="H95" s="35" t="str">
        <x:v>Verified exact implementation term</x:v>
      </x:c>
      <x:c r="I95" s="35" t="str">
        <x:v>N1 - reuse only after exact URI and semantic-context verification</x:v>
      </x:c>
      <x:c r="J95" s="35" t="str">
        <x:v>REUSE_R2_TERM</x:v>
      </x:c>
    </x:row>
    <x:row r="96">
      <x:c r="A96" s="35" t="str">
        <x:v>bladeFailureStatus</x:v>
      </x:c>
      <x:c r="B96" s="35" t="str">
        <x:v>https://w3id.org/nltl-benchmark/vocab#bladeFailureStatus</x:v>
      </x:c>
      <x:c r="C96" s="35" t="str">
        <x:v>DatatypeProperty</x:v>
      </x:c>
      <x:c r="D96" s="35" t="str">
        <x:v>http://www.w3.org/2001/XMLSchema#boolean</x:v>
      </x:c>
      <x:c r="E96" s="35" t="str">
        <x:v>xsd:boolean</x:v>
      </x:c>
      <x:c r="F96" s="35" t="str"/>
      <x:c r="G96" s="38" t="str">
        <x:v>TRF-101</x:v>
      </x:c>
      <x:c r="H96" s="35" t="str">
        <x:v>Benchmark-coined descriptive engineering term</x:v>
      </x:c>
      <x:c r="I96" s="35" t="str">
        <x:v>N5 - component or subject first, followed by characteristic and qualifier/state; no unsupported external mapping</x:v>
      </x:c>
      <x:c r="J96" s="35" t="str">
        <x:v>REUSE_R2_TERM</x:v>
      </x:c>
    </x:row>
    <x:row r="97">
      <x:c r="A97" s="35" t="str">
        <x:v>bladeFailureUltimateLoad</x:v>
      </x:c>
      <x:c r="B97" s="35" t="str">
        <x:v>https://w3id.org/nltl-benchmark/vocab#bladeFailureUltimateLoad</x:v>
      </x:c>
      <x:c r="C97" s="35" t="str">
        <x:v>QuantityProperty</x:v>
      </x:c>
      <x:c r="D97" s="35" t="str">
        <x:v>http://qudt.org/schema/qudt/QuantityValue</x:v>
      </x:c>
      <x:c r="E97" s="35" t="str"/>
      <x:c r="F97" s="35" t="str">
        <x:v>kN</x:v>
      </x:c>
      <x:c r="G97" s="38" t="str">
        <x:v>TRF-101 | TRF-112</x:v>
      </x:c>
      <x:c r="H97" s="35" t="str">
        <x:v>Unit-stripped normalized regulatory variable</x:v>
      </x:c>
      <x:c r="I97" s="35" t="str">
        <x:v>N3 - remove unit from the identifier and retain it in unit/quantity metadata</x:v>
      </x:c>
      <x:c r="J97" s="35" t="str">
        <x:v>REUSE_R2_TERM</x:v>
      </x:c>
    </x:row>
    <x:row r="98">
      <x:c r="A98" s="35" t="str">
        <x:v>bladeIceLoad</x:v>
      </x:c>
      <x:c r="B98" s="35" t="str">
        <x:v>https://w3id.org/nltl-benchmark/vocab#bladeIceLoad</x:v>
      </x:c>
      <x:c r="C98" s="35" t="str">
        <x:v>QuantityProperty</x:v>
      </x:c>
      <x:c r="D98" s="35" t="str">
        <x:v>http://qudt.org/schema/qudt/QuantityValue</x:v>
      </x:c>
      <x:c r="E98" s="35" t="str"/>
      <x:c r="F98" s="35" t="str">
        <x:v>kN</x:v>
      </x:c>
      <x:c r="G98" s="38" t="str">
        <x:v>TRF-077</x:v>
      </x:c>
      <x:c r="H98" s="35" t="str">
        <x:v>Benchmark-coined descriptive engineering term</x:v>
      </x:c>
      <x:c r="I98" s="35" t="str">
        <x:v>N5 - component or subject first, followed by characteristic and qualifier/state; no unsupported external mapping</x:v>
      </x:c>
      <x:c r="J98" s="35" t="str">
        <x:v>REUSE_R2_TERM</x:v>
      </x:c>
    </x:row>
    <x:row r="99">
      <x:c r="A99" s="35" t="str">
        <x:v>bladeLoadCaseCoverage</x:v>
      </x:c>
      <x:c r="B99" s="35" t="str">
        <x:v>https://w3id.org/nltl-benchmark/vocab#bladeLoadCaseCoverage</x:v>
      </x:c>
      <x:c r="C99" s="35" t="str">
        <x:v>DatatypeProperty</x:v>
      </x:c>
      <x:c r="D99" s="35" t="str">
        <x:v>http://www.w3.org/2001/XMLSchema#boolean</x:v>
      </x:c>
      <x:c r="E99" s="35" t="str">
        <x:v>xsd:boolean</x:v>
      </x:c>
      <x:c r="F99" s="35" t="str"/>
      <x:c r="G99" s="38" t="str">
        <x:v>TRF-076</x:v>
      </x:c>
      <x:c r="H99" s="35" t="str">
        <x:v>Benchmark-coined descriptive engineering term</x:v>
      </x:c>
      <x:c r="I99" s="35" t="str">
        <x:v>N5 - component or subject first, followed by characteristic and qualifier/state; no unsupported external mapping</x:v>
      </x:c>
      <x:c r="J99" s="35" t="str">
        <x:v>REUSE_R2_TERM</x:v>
      </x:c>
    </x:row>
    <x:row r="100">
      <x:c r="A100" s="35" t="str">
        <x:v>bladeLossLoad</x:v>
      </x:c>
      <x:c r="B100" s="35" t="str">
        <x:v>https://w3id.org/nltl-benchmark/vocab#bladeLossLoad</x:v>
      </x:c>
      <x:c r="C100" s="35" t="str">
        <x:v>QuantityProperty</x:v>
      </x:c>
      <x:c r="D100" s="35" t="str">
        <x:v>http://qudt.org/schema/qudt/QuantityValue</x:v>
      </x:c>
      <x:c r="E100" s="35" t="str"/>
      <x:c r="F100" s="35" t="str">
        <x:v>kN</x:v>
      </x:c>
      <x:c r="G100" s="38" t="str">
        <x:v>TRF-113</x:v>
      </x:c>
      <x:c r="H100" s="35" t="str">
        <x:v>Benchmark-coined descriptive engineering term</x:v>
      </x:c>
      <x:c r="I100" s="35" t="str">
        <x:v>N5 - component or subject first, followed by characteristic and qualifier/state; no unsupported external mapping</x:v>
      </x:c>
      <x:c r="J100" s="35" t="str">
        <x:v>REUSE_R2_TERM</x:v>
      </x:c>
    </x:row>
    <x:row r="101">
      <x:c r="A101" s="35" t="str">
        <x:v>bladeOrderExcitationFrequency</x:v>
      </x:c>
      <x:c r="B101" s="35" t="str">
        <x:v>https://w3id.org/nltl-benchmark/vocab#bladeOrderExcitationFrequency</x:v>
      </x:c>
      <x:c r="C101" s="35" t="str">
        <x:v>QuantityProperty</x:v>
      </x:c>
      <x:c r="D101" s="35" t="str">
        <x:v>http://qudt.org/schema/qudt/QuantityValue</x:v>
      </x:c>
      <x:c r="E101" s="35" t="str"/>
      <x:c r="F101" s="35" t="str">
        <x:v>Hz</x:v>
      </x:c>
      <x:c r="G101" s="38" t="str">
        <x:v>TRF-119</x:v>
      </x:c>
      <x:c r="H101" s="35" t="str">
        <x:v>Benchmark-coined descriptive engineering term</x:v>
      </x:c>
      <x:c r="I101" s="35" t="str">
        <x:v>N5 - component or subject first, followed by characteristic and qualifier/state; no unsupported external mapping</x:v>
      </x:c>
      <x:c r="J101" s="35" t="str">
        <x:v>REUSE_R2_TERM</x:v>
      </x:c>
    </x:row>
    <x:row r="102">
      <x:c r="A102" s="35" t="str">
        <x:v>bladeOrderResonance</x:v>
      </x:c>
      <x:c r="B102" s="35" t="str">
        <x:v>https://w3id.org/nltl-benchmark/vocab#bladeOrderResonance</x:v>
      </x:c>
      <x:c r="C102" s="35" t="str">
        <x:v>DatatypeProperty</x:v>
      </x:c>
      <x:c r="D102" s="35" t="str">
        <x:v>http://www.w3.org/2001/XMLSchema#boolean</x:v>
      </x:c>
      <x:c r="E102" s="35" t="str">
        <x:v>xsd:boolean</x:v>
      </x:c>
      <x:c r="F102" s="35" t="str"/>
      <x:c r="G102" s="38" t="str">
        <x:v>TRF-094</x:v>
      </x:c>
      <x:c r="H102" s="35" t="str">
        <x:v>Benchmark-coined descriptive engineering term</x:v>
      </x:c>
      <x:c r="I102" s="35" t="str">
        <x:v>N5 - component or subject first, followed by characteristic and qualifier/state; no unsupported external mapping</x:v>
      </x:c>
      <x:c r="J102" s="35" t="str">
        <x:v>REUSE_R2_TERM</x:v>
      </x:c>
    </x:row>
    <x:row r="103">
      <x:c r="A103" s="35" t="str">
        <x:v>bladeOrderResonantSpeed</x:v>
      </x:c>
      <x:c r="B103" s="35" t="str">
        <x:v>https://w3id.org/nltl-benchmark/vocab#bladeOrderResonantSpeed</x:v>
      </x:c>
      <x:c r="C103" s="35" t="str">
        <x:v>QuantityProperty</x:v>
      </x:c>
      <x:c r="D103" s="35" t="str">
        <x:v>http://qudt.org/schema/qudt/QuantityValue</x:v>
      </x:c>
      <x:c r="E103" s="35" t="str"/>
      <x:c r="F103" s="35" t="str">
        <x:v>rev/min</x:v>
      </x:c>
      <x:c r="G103" s="38" t="str">
        <x:v>TRF-090</x:v>
      </x:c>
      <x:c r="H103" s="35" t="str">
        <x:v>Benchmark-coined descriptive engineering term</x:v>
      </x:c>
      <x:c r="I103" s="35" t="str">
        <x:v>N5 - component or subject first, followed by characteristic and qualifier/state; no unsupported external mapping</x:v>
      </x:c>
      <x:c r="J103" s="35" t="str">
        <x:v>REUSE_R2_TERM</x:v>
      </x:c>
    </x:row>
    <x:row r="104">
      <x:c r="A104" s="35" t="str">
        <x:v>bladeOrderTorsionalResonance</x:v>
      </x:c>
      <x:c r="B104" s="35" t="str">
        <x:v>https://w3id.org/nltl-benchmark/vocab#bladeOrderTorsionalResonance</x:v>
      </x:c>
      <x:c r="C104" s="35" t="str">
        <x:v>DatatypeProperty</x:v>
      </x:c>
      <x:c r="D104" s="35" t="str">
        <x:v>http://www.w3.org/2001/XMLSchema#boolean</x:v>
      </x:c>
      <x:c r="E104" s="35" t="str">
        <x:v>xsd:boolean</x:v>
      </x:c>
      <x:c r="F104" s="35" t="str"/>
      <x:c r="G104" s="38" t="str">
        <x:v>TRF-089</x:v>
      </x:c>
      <x:c r="H104" s="35" t="str">
        <x:v>Benchmark-coined descriptive engineering term</x:v>
      </x:c>
      <x:c r="I104" s="35" t="str">
        <x:v>N5 - component or subject first, followed by characteristic and qualifier/state; no unsupported external mapping</x:v>
      </x:c>
      <x:c r="J104" s="35" t="str">
        <x:v>REUSE_R2_TERM</x:v>
      </x:c>
    </x:row>
    <x:row r="105">
      <x:c r="A105" s="35" t="str">
        <x:v>bladePlasticBending</x:v>
      </x:c>
      <x:c r="B105" s="35" t="str">
        <x:v>https://w3id.org/nltl-benchmark/vocab#bladePlasticBending</x:v>
      </x:c>
      <x:c r="C105" s="35" t="str">
        <x:v>DatatypeProperty</x:v>
      </x:c>
      <x:c r="D105" s="35" t="str">
        <x:v>http://www.w3.org/2001/XMLSchema#string</x:v>
      </x:c>
      <x:c r="E105" s="35" t="str">
        <x:v>xsd:string</x:v>
      </x:c>
      <x:c r="F105" s="35" t="str"/>
      <x:c r="G105" s="38" t="str">
        <x:v>TRF-113</x:v>
      </x:c>
      <x:c r="H105" s="35" t="str">
        <x:v>Benchmark-coined descriptive engineering term</x:v>
      </x:c>
      <x:c r="I105" s="35" t="str">
        <x:v>N5 - component or subject first, followed by characteristic and qualifier/state; no unsupported external mapping</x:v>
      </x:c>
      <x:c r="J105" s="35" t="str">
        <x:v>REUSE_R2_TERM</x:v>
      </x:c>
    </x:row>
    <x:row r="106">
      <x:c r="A106" s="35" t="str">
        <x:v>bladeReferenceStrength1</x:v>
      </x:c>
      <x:c r="B106" s="35" t="str">
        <x:v>https://w3id.org/nltl-benchmark/vocab#bladeReferenceStrength1</x:v>
      </x:c>
      <x:c r="C106" s="35" t="str">
        <x:v>QuantityProperty</x:v>
      </x:c>
      <x:c r="D106" s="35" t="str">
        <x:v>http://qudt.org/schema/qudt/QuantityValue</x:v>
      </x:c>
      <x:c r="E106" s="35" t="str"/>
      <x:c r="F106" s="35" t="str">
        <x:v>MPa</x:v>
      </x:c>
      <x:c r="G106" s="38" t="str">
        <x:v>TRF-101</x:v>
      </x:c>
      <x:c r="H106" s="35" t="str">
        <x:v>Benchmark-coined descriptive engineering term</x:v>
      </x:c>
      <x:c r="I106" s="35" t="str">
        <x:v>N5 - component or subject first, followed by characteristic and qualifier/state; no unsupported external mapping</x:v>
      </x:c>
      <x:c r="J106" s="35" t="str">
        <x:v>REUSE_R2_TERM</x:v>
      </x:c>
    </x:row>
    <x:row r="107">
      <x:c r="A107" s="35" t="str">
        <x:v>bladeReferenceStrength2</x:v>
      </x:c>
      <x:c r="B107" s="35" t="str">
        <x:v>https://w3id.org/nltl-benchmark/vocab#bladeReferenceStrength2</x:v>
      </x:c>
      <x:c r="C107" s="35" t="str">
        <x:v>QuantityProperty</x:v>
      </x:c>
      <x:c r="D107" s="35" t="str">
        <x:v>http://qudt.org/schema/qudt/QuantityValue</x:v>
      </x:c>
      <x:c r="E107" s="35" t="str"/>
      <x:c r="F107" s="35" t="str">
        <x:v>MPa</x:v>
      </x:c>
      <x:c r="G107" s="38" t="str">
        <x:v>TRF-106</x:v>
      </x:c>
      <x:c r="H107" s="35" t="str">
        <x:v>Unit-stripped normalized regulatory variable</x:v>
      </x:c>
      <x:c r="I107" s="35" t="str">
        <x:v>N3 - remove unit from the identifier and retain it in unit/quantity metadata</x:v>
      </x:c>
      <x:c r="J107" s="35" t="str">
        <x:v>REUSE_R2_TERM</x:v>
      </x:c>
    </x:row>
    <x:row r="108">
      <x:c r="A108" s="35" t="str">
        <x:v>bladeTipOffset</x:v>
      </x:c>
      <x:c r="B108" s="35" t="str">
        <x:v>https://w3id.org/nltl-benchmark/vocab#bladeTipOffset</x:v>
      </x:c>
      <x:c r="C108" s="35" t="str">
        <x:v>QuantityProperty</x:v>
      </x:c>
      <x:c r="D108" s="35" t="str">
        <x:v>http://qudt.org/schema/qudt/QuantityValue</x:v>
      </x:c>
      <x:c r="E108" s="35" t="str"/>
      <x:c r="F108" s="35" t="str">
        <x:v>m</x:v>
      </x:c>
      <x:c r="G108" s="38" t="str">
        <x:v>TRF-101</x:v>
      </x:c>
      <x:c r="H108" s="35" t="str">
        <x:v>Unit-stripped normalized regulatory variable</x:v>
      </x:c>
      <x:c r="I108" s="35" t="str">
        <x:v>N3 - remove unit from the identifier and retain it in unit/quantity metadata</x:v>
      </x:c>
      <x:c r="J108" s="35" t="str">
        <x:v>REUSE_R2_TERM</x:v>
      </x:c>
    </x:row>
    <x:row r="109">
      <x:c r="A109" s="35" t="str">
        <x:v>bollardThrustKnown</x:v>
      </x:c>
      <x:c r="B109" s="35" t="str">
        <x:v>https://w3id.org/nltl-benchmark/vocab#bollardThrustKnown</x:v>
      </x:c>
      <x:c r="C109" s="35" t="str">
        <x:v>DatatypeProperty</x:v>
      </x:c>
      <x:c r="D109" s="35" t="str">
        <x:v>http://www.w3.org/2001/XMLSchema#boolean</x:v>
      </x:c>
      <x:c r="E109" s="35" t="str">
        <x:v>xsd:boolean</x:v>
      </x:c>
      <x:c r="F109" s="35" t="str"/>
      <x:c r="G109" s="38" t="str">
        <x:v>TRF-082</x:v>
      </x:c>
      <x:c r="H109" s="35" t="str">
        <x:v>Benchmark-coined descriptive engineering term</x:v>
      </x:c>
      <x:c r="I109" s="35" t="str">
        <x:v>N5 - component or subject first, followed by characteristic and qualifier/state; no unsupported external mapping</x:v>
      </x:c>
      <x:c r="J109" s="35" t="str">
        <x:v>REUSE_R2_TERM</x:v>
      </x:c>
    </x:row>
    <x:row r="110">
      <x:c r="A110" s="35" t="str">
        <x:v>bottomRegionLowerRegionBoundary</x:v>
      </x:c>
      <x:c r="B110" s="35" t="str">
        <x:v>https://w3id.org/nltl-benchmark/vocab#bottomRegionLowerRegionBoundary</x:v>
      </x:c>
      <x:c r="C110" s="35" t="str">
        <x:v>DatatypeProperty</x:v>
      </x:c>
      <x:c r="D110" s="35" t="str">
        <x:v>http://www.w3.org/2001/XMLSchema#string</x:v>
      </x:c>
      <x:c r="E110" s="35" t="str">
        <x:v>xsd:string</x:v>
      </x:c>
      <x:c r="F110" s="35" t="str"/>
      <x:c r="G110" s="38" t="str">
        <x:v>I2-005</x:v>
      </x:c>
      <x:c r="H110" s="35" t="str">
        <x:v>Benchmark-coined descriptive engineering term</x:v>
      </x:c>
      <x:c r="I110" s="35" t="str">
        <x:v>N5 - component or subject first, followed by characteristic and qualifier/state; no unsupported external mapping</x:v>
      </x:c>
      <x:c r="J110" s="35" t="str">
        <x:v>REUSE_R2_TERM</x:v>
      </x:c>
    </x:row>
    <x:row r="111">
      <x:c r="A111" s="35" t="str">
        <x:v>bowDesignForce</x:v>
      </x:c>
      <x:c r="B111" s="35" t="str">
        <x:v>https://w3id.org/nltl-benchmark/vocab#bowDesignForce</x:v>
      </x:c>
      <x:c r="C111" s="35" t="str">
        <x:v>QuantityProperty</x:v>
      </x:c>
      <x:c r="D111" s="35" t="str">
        <x:v>http://qudt.org/schema/qudt/QuantityValue</x:v>
      </x:c>
      <x:c r="E111" s="35" t="str"/>
      <x:c r="F111" s="35" t="str">
        <x:v>kN</x:v>
      </x:c>
      <x:c r="G111" s="38" t="str">
        <x:v>I2-011</x:v>
      </x:c>
      <x:c r="H111" s="35" t="str">
        <x:v>Benchmark-coined descriptive engineering term</x:v>
      </x:c>
      <x:c r="I111" s="35" t="str">
        <x:v>N5 - component or subject first, followed by characteristic and qualifier/state; no unsupported external mapping</x:v>
      </x:c>
      <x:c r="J111" s="35" t="str">
        <x:v>REUSE_R2_TERM</x:v>
      </x:c>
    </x:row>
    <x:row r="112">
      <x:c r="A112" s="35" t="str">
        <x:v>bowDesignForceMethod</x:v>
      </x:c>
      <x:c r="B112" s="35" t="str">
        <x:v>https://w3id.org/nltl-benchmark/vocab#bowDesignForceMethod</x:v>
      </x:c>
      <x:c r="C112" s="35" t="str">
        <x:v>DatatypeProperty</x:v>
      </x:c>
      <x:c r="D112" s="35" t="str">
        <x:v>http://www.w3.org/2001/XMLSchema#string</x:v>
      </x:c>
      <x:c r="E112" s="35" t="str">
        <x:v>xsd:string</x:v>
      </x:c>
      <x:c r="F112" s="35" t="str"/>
      <x:c r="G112" s="38" t="str">
        <x:v>I2-010</x:v>
      </x:c>
      <x:c r="H112" s="35" t="str">
        <x:v>Benchmark-coined descriptive engineering term</x:v>
      </x:c>
      <x:c r="I112" s="35" t="str">
        <x:v>N5 - component or subject first, followed by characteristic and qualifier/state; no unsupported external mapping</x:v>
      </x:c>
      <x:c r="J112" s="35" t="str">
        <x:v>REUSE_R2_TERM</x:v>
      </x:c>
    </x:row>
    <x:row r="113">
      <x:c r="A113" s="35" t="str">
        <x:v>bowFormApplicability</x:v>
      </x:c>
      <x:c r="B113" s="35" t="str">
        <x:v>https://w3id.org/nltl-benchmark/vocab#bowFormApplicability</x:v>
      </x:c>
      <x:c r="C113" s="35" t="str">
        <x:v>DatatypeProperty</x:v>
      </x:c>
      <x:c r="D113" s="35" t="str">
        <x:v>http://www.w3.org/2001/XMLSchema#boolean</x:v>
      </x:c>
      <x:c r="E113" s="35" t="str">
        <x:v>xsd:boolean</x:v>
      </x:c>
      <x:c r="F113" s="35" t="str"/>
      <x:c r="G113" s="38" t="str">
        <x:v>I2-009</x:v>
      </x:c>
      <x:c r="H113" s="35" t="str">
        <x:v>Benchmark-coined descriptive engineering term</x:v>
      </x:c>
      <x:c r="I113" s="35" t="str">
        <x:v>N5 - component or subject first, followed by characteristic and qualifier/state; no unsupported external mapping</x:v>
      </x:c>
      <x:c r="J113" s="35" t="str">
        <x:v>REUSE_R2_TERM</x:v>
      </x:c>
    </x:row>
    <x:row r="114">
      <x:c r="A114" s="35" t="str">
        <x:v>bowLength</x:v>
      </x:c>
      <x:c r="B114" s="35" t="str">
        <x:v>https://w3id.org/nltl-benchmark/vocab#bowLength</x:v>
      </x:c>
      <x:c r="C114" s="35" t="str">
        <x:v>QuantityProperty</x:v>
      </x:c>
      <x:c r="D114" s="35" t="str">
        <x:v>http://qudt.org/schema/qudt/QuantityValue</x:v>
      </x:c>
      <x:c r="E114" s="35" t="str"/>
      <x:c r="F114" s="35" t="str">
        <x:v>m</x:v>
      </x:c>
      <x:c r="G114" s="38" t="str">
        <x:v>I2-014</x:v>
      </x:c>
      <x:c r="H114" s="35" t="str">
        <x:v>Verified exact implementation term</x:v>
      </x:c>
      <x:c r="I114" s="35" t="str">
        <x:v>N1 - reuse only after exact URI and semantic-context verification</x:v>
      </x:c>
      <x:c r="J114" s="35" t="str">
        <x:v>REUSE_R2_TERM</x:v>
      </x:c>
    </x:row>
    <x:row r="115">
      <x:c r="A115" s="35" t="str">
        <x:v>bowRakeAtQuarterBreadth</x:v>
      </x:c>
      <x:c r="B115" s="35" t="str">
        <x:v>https://w3id.org/nltl-benchmark/vocab#bowRakeAtQuarterBreadth</x:v>
      </x:c>
      <x:c r="C115" s="35" t="str">
        <x:v>QuantityProperty</x:v>
      </x:c>
      <x:c r="D115" s="35" t="str">
        <x:v>http://qudt.org/schema/qudt/QuantityValue</x:v>
      </x:c>
      <x:c r="E115" s="35" t="str"/>
      <x:c r="F115" s="35" t="str">
        <x:v>deg</x:v>
      </x:c>
      <x:c r="G115" s="38" t="str">
        <x:v>TRF-022</x:v>
      </x:c>
      <x:c r="H115" s="35" t="str">
        <x:v>Locked-workbook normalized regulatory term</x:v>
      </x:c>
      <x:c r="I115" s="35" t="str">
        <x:v>N4 - preserve the source concept; normalize spelling to ASCII lowerCamelCase</x:v>
      </x:c>
      <x:c r="J115" s="35" t="str">
        <x:v>REUSE_R2_TERM</x:v>
      </x:c>
    </x:row>
    <x:row r="116">
      <x:c r="A116" s="35" t="str">
        <x:v>bowRegion</x:v>
      </x:c>
      <x:c r="B116" s="35" t="str">
        <x:v>https://w3id.org/nltl-benchmark/vocab#bowRegion</x:v>
      </x:c>
      <x:c r="C116" s="35" t="str">
        <x:v>NamedIndividual</x:v>
      </x:c>
      <x:c r="D116" s="35" t="str">
        <x:v>https://w3id.org/nltl-benchmark/vocab#hullRegionValue</x:v>
      </x:c>
      <x:c r="E116" s="35" t="str"/>
      <x:c r="F116" s="35" t="str"/>
      <x:c r="G116" s="38" t="str">
        <x:v>TRF-035 | TRF-037 | TRF-043 | TRF-052</x:v>
      </x:c>
      <x:c r="H116" s="35" t="str">
        <x:v>Applicable TRAFICOM regulation wording plus explicit engineering node/operand role</x:v>
      </x:c>
      <x:c r="I116" s="35" t="str">
        <x:v>N6 - concise ASCII lowerCamelCase controlled-value name grounded in the linked regulation.</x:v>
      </x:c>
      <x:c r="J116" s="35" t="str">
        <x:v>ADD_DEVELOPMENT_TERM</x:v>
      </x:c>
    </x:row>
    <x:row r="117">
      <x:c r="A117" s="35" t="str">
        <x:v>bowRegionEquivalent</x:v>
      </x:c>
      <x:c r="B117" s="35" t="str">
        <x:v>https://w3id.org/nltl-benchmark/vocab#bowRegionEquivalent</x:v>
      </x:c>
      <x:c r="C117" s="35" t="str">
        <x:v>DatatypeProperty</x:v>
      </x:c>
      <x:c r="D117" s="35" t="str">
        <x:v>http://www.w3.org/2001/XMLSchema#boolean</x:v>
      </x:c>
      <x:c r="E117" s="35" t="str">
        <x:v>xsd:boolean</x:v>
      </x:c>
      <x:c r="F117" s="35" t="str"/>
      <x:c r="G117" s="38" t="str">
        <x:v>TRF-040</x:v>
      </x:c>
      <x:c r="H117" s="35" t="str">
        <x:v>Benchmark-coined descriptive engineering term</x:v>
      </x:c>
      <x:c r="I117" s="35" t="str">
        <x:v>N5 - component or subject first, followed by characteristic and qualifier/state; no unsupported external mapping</x:v>
      </x:c>
      <x:c r="J117" s="35" t="str">
        <x:v>REUSE_R2_TERM</x:v>
      </x:c>
    </x:row>
    <x:row r="118">
      <x:c r="A118" s="35" t="str">
        <x:v>bowShape</x:v>
      </x:c>
      <x:c r="B118" s="35" t="str">
        <x:v>https://w3id.org/nltl-benchmark/vocab#bowShape</x:v>
      </x:c>
      <x:c r="C118" s="35" t="str">
        <x:v>DatatypeProperty</x:v>
      </x:c>
      <x:c r="D118" s="35" t="str">
        <x:v>http://www.w3.org/2001/XMLSchema#string</x:v>
      </x:c>
      <x:c r="E118" s="35" t="str">
        <x:v>xsd:string</x:v>
      </x:c>
      <x:c r="F118" s="35" t="str"/>
      <x:c r="G118" s="38" t="str">
        <x:v>I2-008</x:v>
      </x:c>
      <x:c r="H118" s="35" t="str">
        <x:v>Benchmark-coined descriptive engineering term</x:v>
      </x:c>
      <x:c r="I118" s="35" t="str">
        <x:v>N5 - component or subject first, followed by characteristic and qualifier/state; no unsupported external mapping</x:v>
      </x:c>
      <x:c r="J118" s="35" t="str">
        <x:v>REUSE_R2_TERM</x:v>
      </x:c>
    </x:row>
    <x:row r="119">
      <x:c r="A119" s="35" t="str">
        <x:v>bowVerticalSideStatus</x:v>
      </x:c>
      <x:c r="B119" s="35" t="str">
        <x:v>https://w3id.org/nltl-benchmark/vocab#bowVerticalSideStatus</x:v>
      </x:c>
      <x:c r="C119" s="35" t="str">
        <x:v>DatatypeProperty</x:v>
      </x:c>
      <x:c r="D119" s="35" t="str">
        <x:v>http://www.w3.org/2001/XMLSchema#boolean</x:v>
      </x:c>
      <x:c r="E119" s="35" t="str">
        <x:v>xsd:boolean</x:v>
      </x:c>
      <x:c r="F119" s="35" t="str"/>
      <x:c r="G119" s="38" t="str">
        <x:v>I2-010</x:v>
      </x:c>
      <x:c r="H119" s="35" t="str">
        <x:v>Benchmark-coined descriptive engineering term</x:v>
      </x:c>
      <x:c r="I119" s="35" t="str">
        <x:v>N5 - component or subject first, followed by characteristic and qualifier/state; no unsupported external mapping</x:v>
      </x:c>
      <x:c r="J119" s="35" t="str">
        <x:v>REUSE_R2_TERM</x:v>
      </x:c>
    </x:row>
    <x:row r="120">
      <x:c r="A120" s="35" t="str">
        <x:v>bracketArea</x:v>
      </x:c>
      <x:c r="B120" s="35" t="str">
        <x:v>https://w3id.org/nltl-benchmark/vocab#bracketArea</x:v>
      </x:c>
      <x:c r="C120" s="35" t="str">
        <x:v>QuantityProperty</x:v>
      </x:c>
      <x:c r="D120" s="35" t="str">
        <x:v>http://qudt.org/schema/qudt/QuantityValue</x:v>
      </x:c>
      <x:c r="E120" s="35" t="str"/>
      <x:c r="F120" s="35" t="str">
        <x:v>cm^2</x:v>
      </x:c>
      <x:c r="G120" s="38" t="str">
        <x:v>TRF-048</x:v>
      </x:c>
      <x:c r="H120" s="35" t="str">
        <x:v>Applicable TRAFICOM regulation wording plus explicit engineering node/operand role</x:v>
      </x:c>
      <x:c r="I120" s="35" t="str">
        <x:v>N4 - explicit engineering quantity in ASCII lowerCamelCase; formula symbols remain aliases only.</x:v>
      </x:c>
      <x:c r="J120" s="35" t="str">
        <x:v>ADD_DEVELOPMENT_TERM</x:v>
      </x:c>
    </x:row>
    <x:row r="121">
      <x:c r="A121" s="35" t="str">
        <x:v>bracketEdgeStiffened</x:v>
      </x:c>
      <x:c r="B121" s="35" t="str">
        <x:v>https://w3id.org/nltl-benchmark/vocab#bracketEdgeStiffened</x:v>
      </x:c>
      <x:c r="C121" s="35" t="str">
        <x:v>DatatypeProperty</x:v>
      </x:c>
      <x:c r="D121" s="35" t="str">
        <x:v>http://www.w3.org/2001/XMLSchema#boolean</x:v>
      </x:c>
      <x:c r="E121" s="35" t="str">
        <x:v>xsd:boolean</x:v>
      </x:c>
      <x:c r="F121" s="35" t="str"/>
      <x:c r="G121" s="38" t="str">
        <x:v>TRF-049</x:v>
      </x:c>
      <x:c r="H121" s="35" t="str">
        <x:v>Applicable TRAFICOM regulation wording plus explicit engineering node/operand role</x:v>
      </x:c>
      <x:c r="I121" s="35" t="str">
        <x:v>N4 - explicit regulatory concept in ASCII lowerCamelCase with an XSD datatype.</x:v>
      </x:c>
      <x:c r="J121" s="35" t="str">
        <x:v>ADD_DEVELOPMENT_TERM</x:v>
      </x:c>
    </x:row>
    <x:row r="122">
      <x:c r="A122" s="35" t="str">
        <x:v>bracketThickness</x:v>
      </x:c>
      <x:c r="B122" s="35" t="str">
        <x:v>https://w3id.org/nltl-benchmark/vocab#bracketThickness</x:v>
      </x:c>
      <x:c r="C122" s="35" t="str">
        <x:v>QuantityProperty</x:v>
      </x:c>
      <x:c r="D122" s="35" t="str">
        <x:v>http://qudt.org/schema/qudt/QuantityValue</x:v>
      </x:c>
      <x:c r="E122" s="35" t="str"/>
      <x:c r="F122" s="35" t="str">
        <x:v>mm</x:v>
      </x:c>
      <x:c r="G122" s="38" t="str">
        <x:v>TRF-049</x:v>
      </x:c>
      <x:c r="H122" s="35" t="str">
        <x:v>Applicable TRAFICOM regulation wording plus explicit engineering node/operand role</x:v>
      </x:c>
      <x:c r="I122" s="35" t="str">
        <x:v>N4 - explicit engineering quantity in ASCII lowerCamelCase; formula symbols remain aliases only.</x:v>
      </x:c>
      <x:c r="J122" s="35" t="str">
        <x:v>ADD_DEVELOPMENT_TERM</x:v>
      </x:c>
    </x:row>
    <x:row r="123">
      <x:c r="A123" s="35" t="str">
        <x:v>brashIceChannelResistanceAtLowerIceWaterline</x:v>
      </x:c>
      <x:c r="B123" s="35" t="str">
        <x:v>https://w3id.org/nltl-benchmark/vocab#brashIceChannelResistanceAtLowerIceWaterline</x:v>
      </x:c>
      <x:c r="C123" s="35" t="str">
        <x:v>QuantityProperty</x:v>
      </x:c>
      <x:c r="D123" s="35" t="str">
        <x:v>http://qudt.org/schema/qudt/QuantityValue</x:v>
      </x:c>
      <x:c r="E123" s="35" t="str"/>
      <x:c r="F123" s="35" t="str"/>
      <x:c r="G123" s="38" t="str">
        <x:v>TRF-020</x:v>
      </x:c>
      <x:c r="H123" s="35" t="str">
        <x:v>Applicable TRAFICOM regulation wording plus explicit engineering node/operand role</x:v>
      </x:c>
      <x:c r="I123" s="35" t="str">
        <x:v>N4 - explicit engineering quantity in ASCII lowerCamelCase; formula symbols remain aliases only.</x:v>
      </x:c>
      <x:c r="J123" s="35" t="str">
        <x:v>ADD_DEVELOPMENT_TERM</x:v>
      </x:c>
    </x:row>
    <x:row r="124">
      <x:c r="A124" s="35" t="str">
        <x:v>brashIceChannelResistanceAtUpperIceWaterline</x:v>
      </x:c>
      <x:c r="B124" s="35" t="str">
        <x:v>https://w3id.org/nltl-benchmark/vocab#brashIceChannelResistanceAtUpperIceWaterline</x:v>
      </x:c>
      <x:c r="C124" s="35" t="str">
        <x:v>QuantityProperty</x:v>
      </x:c>
      <x:c r="D124" s="35" t="str">
        <x:v>http://qudt.org/schema/qudt/QuantityValue</x:v>
      </x:c>
      <x:c r="E124" s="35" t="str"/>
      <x:c r="F124" s="35" t="str"/>
      <x:c r="G124" s="38" t="str">
        <x:v>TRF-020</x:v>
      </x:c>
      <x:c r="H124" s="35" t="str">
        <x:v>Applicable TRAFICOM regulation wording plus explicit engineering node/operand role</x:v>
      </x:c>
      <x:c r="I124" s="35" t="str">
        <x:v>N4 - explicit engineering quantity in ASCII lowerCamelCase; formula symbols remain aliases only.</x:v>
      </x:c>
      <x:c r="J124" s="35" t="str">
        <x:v>ADD_DEVELOPMENT_TERM</x:v>
      </x:c>
    </x:row>
    <x:row r="125">
      <x:c r="A125" s="35" t="str">
        <x:v>brashIceChannelResistanceRch</x:v>
      </x:c>
      <x:c r="B125" s="35" t="str">
        <x:v>https://w3id.org/nltl-benchmark/vocab#brashIceChannelResistanceRch</x:v>
      </x:c>
      <x:c r="C125" s="35" t="str">
        <x:v>QuantityProperty</x:v>
      </x:c>
      <x:c r="D125" s="35" t="str">
        <x:v>http://qudt.org/schema/qudt/QuantityValue</x:v>
      </x:c>
      <x:c r="E125" s="35" t="str"/>
      <x:c r="F125" s="35" t="str">
        <x:v>N</x:v>
      </x:c>
      <x:c r="G125" s="38" t="str">
        <x:v>TRF-020 | TRF-028</x:v>
      </x:c>
      <x:c r="H125" s="35" t="str">
        <x:v>Regulatory symbol expanded from a directly verified definition</x:v>
      </x:c>
      <x:c r="I125" s="35" t="str">
        <x:v>N2 - replace formula symbol with its clause-defined engineering meaning; preserve symbol as alias</x:v>
      </x:c>
      <x:c r="J125" s="35" t="str">
        <x:v>REUSE_R2_TERM</x:v>
      </x:c>
    </x:row>
    <x:row r="126">
      <x:c r="A126" s="35" t="str">
        <x:v>brashIceResistanceCoefficientC1</x:v>
      </x:c>
      <x:c r="B126" s="35" t="str">
        <x:v>https://w3id.org/nltl-benchmark/vocab#brashIceResistanceCoefficientC1</x:v>
      </x:c>
      <x:c r="C126" s="35" t="str">
        <x:v>QuantityProperty</x:v>
      </x:c>
      <x:c r="D126" s="35" t="str">
        <x:v>http://qudt.org/schema/qudt/QuantityValue</x:v>
      </x:c>
      <x:c r="E126" s="35" t="str"/>
      <x:c r="F126" s="35" t="str"/>
      <x:c r="G126" s="38" t="str">
        <x:v>TRF-025 | TRF-026</x:v>
      </x:c>
      <x:c r="H126" s="35" t="str">
        <x:v>Applicable TRAFICOM regulation wording plus explicit engineering node/operand role</x:v>
      </x:c>
      <x:c r="I126" s="35" t="str">
        <x:v>N4 - explicit engineering quantity in ASCII lowerCamelCase; formula symbols remain aliases only.</x:v>
      </x:c>
      <x:c r="J126" s="35" t="str">
        <x:v>ADD_DEVELOPMENT_TERM</x:v>
      </x:c>
    </x:row>
    <x:row r="127">
      <x:c r="A127" s="35" t="str">
        <x:v>brashIceResistanceCoefficientC2</x:v>
      </x:c>
      <x:c r="B127" s="35" t="str">
        <x:v>https://w3id.org/nltl-benchmark/vocab#brashIceResistanceCoefficientC2</x:v>
      </x:c>
      <x:c r="C127" s="35" t="str">
        <x:v>QuantityProperty</x:v>
      </x:c>
      <x:c r="D127" s="35" t="str">
        <x:v>http://qudt.org/schema/qudt/QuantityValue</x:v>
      </x:c>
      <x:c r="E127" s="35" t="str"/>
      <x:c r="F127" s="35" t="str"/>
      <x:c r="G127" s="38" t="str">
        <x:v>TRF-025 | TRF-026</x:v>
      </x:c>
      <x:c r="H127" s="35" t="str">
        <x:v>Applicable TRAFICOM regulation wording plus explicit engineering node/operand role</x:v>
      </x:c>
      <x:c r="I127" s="35" t="str">
        <x:v>N4 - explicit engineering quantity in ASCII lowerCamelCase; formula symbols remain aliases only.</x:v>
      </x:c>
      <x:c r="J127" s="35" t="str">
        <x:v>ADD_DEVELOPMENT_TERM</x:v>
      </x:c>
    </x:row>
    <x:row r="128">
      <x:c r="A128" s="35" t="str">
        <x:v>bridgeConfiguration</x:v>
      </x:c>
      <x:c r="B128" s="35" t="str">
        <x:v>https://w3id.org/nltl-benchmark/vocab#bridgeConfiguration</x:v>
      </x:c>
      <x:c r="C128" s="35" t="str">
        <x:v>DatatypeProperty</x:v>
      </x:c>
      <x:c r="D128" s="35" t="str">
        <x:v>http://www.w3.org/2001/XMLSchema#string</x:v>
      </x:c>
      <x:c r="E128" s="35" t="str">
        <x:v>xsd:string</x:v>
      </x:c>
      <x:c r="F128" s="35" t="str"/>
      <x:c r="G128" s="38" t="str">
        <x:v>IMO-082</x:v>
      </x:c>
      <x:c r="H128" s="35" t="str">
        <x:v>Locked-workbook normalized regulatory term</x:v>
      </x:c>
      <x:c r="I128" s="35" t="str">
        <x:v>N4 - preserve the source concept; normalize spelling to ASCII lowerCamelCase</x:v>
      </x:c>
      <x:c r="J128" s="35" t="str">
        <x:v>REUSE_R2_TERM</x:v>
      </x:c>
    </x:row>
    <x:row r="129">
      <x:c r="A129" s="35" t="str">
        <x:v>bridgeControlledRotatableNarrowBeamSearchlightCount</x:v>
      </x:c>
      <x:c r="B129" s="35" t="str">
        <x:v>https://w3id.org/nltl-benchmark/vocab#bridgeControlledRotatableNarrowBeamSearchlightCount</x:v>
      </x:c>
      <x:c r="C129" s="35" t="str">
        <x:v>DatatypeProperty</x:v>
      </x:c>
      <x:c r="D129" s="35" t="str">
        <x:v>http://www.w3.org/2001/XMLSchema#integer</x:v>
      </x:c>
      <x:c r="E129" s="35" t="str">
        <x:v>xsd:integer</x:v>
      </x:c>
      <x:c r="F129" s="35" t="str"/>
      <x:c r="G129" s="38" t="str">
        <x:v>IMO-088</x:v>
      </x:c>
      <x:c r="H129" s="35" t="str">
        <x:v>Locked-workbook normalized regulatory term</x:v>
      </x:c>
      <x:c r="I129" s="35" t="str">
        <x:v>N4 - preserve the source concept; normalize spelling to ASCII lowerCamelCase</x:v>
      </x:c>
      <x:c r="J129" s="35" t="str">
        <x:v>REUSE_R2_TERM</x:v>
      </x:c>
    </x:row>
    <x:row r="130">
      <x:c r="A130" s="35" t="str">
        <x:v>bridgeWingProtectionDesignStatus</x:v>
      </x:c>
      <x:c r="B130" s="35" t="str">
        <x:v>https://w3id.org/nltl-benchmark/vocab#bridgeWingProtectionDesignStatus</x:v>
      </x:c>
      <x:c r="C130" s="35" t="str">
        <x:v>DatatypeProperty</x:v>
      </x:c>
      <x:c r="D130" s="35" t="str">
        <x:v>http://www.w3.org/2001/XMLSchema#boolean</x:v>
      </x:c>
      <x:c r="E130" s="35" t="str">
        <x:v>xsd:boolean</x:v>
      </x:c>
      <x:c r="F130" s="35" t="str"/>
      <x:c r="G130" s="38" t="str">
        <x:v>IMO-085 | IMO26-011</x:v>
      </x:c>
      <x:c r="H130" s="35" t="str">
        <x:v>Locked-workbook normalized regulatory term</x:v>
      </x:c>
      <x:c r="I130" s="35" t="str">
        <x:v>N4 - preserve the source concept; normalize spelling to ASCII lowerCamelCase</x:v>
      </x:c>
      <x:c r="J130" s="35" t="str">
        <x:v>REUSE_R2_TERM</x:v>
      </x:c>
    </x:row>
    <x:row r="131">
      <x:c r="A131" s="35" t="str">
        <x:v>bridgeWingsEnclosed</x:v>
      </x:c>
      <x:c r="B131" s="35" t="str">
        <x:v>https://w3id.org/nltl-benchmark/vocab#bridgeWingsEnclosed</x:v>
      </x:c>
      <x:c r="C131" s="35" t="str">
        <x:v>DatatypeProperty</x:v>
      </x:c>
      <x:c r="D131" s="35" t="str">
        <x:v>http://www.w3.org/2001/XMLSchema#boolean</x:v>
      </x:c>
      <x:c r="E131" s="35" t="str">
        <x:v>xsd:boolean</x:v>
      </x:c>
      <x:c r="F131" s="35" t="str"/>
      <x:c r="G131" s="38" t="str">
        <x:v>IMO-085 | IMO26-011</x:v>
      </x:c>
      <x:c r="H131" s="35" t="str">
        <x:v>Locked-workbook normalized regulatory term</x:v>
      </x:c>
      <x:c r="I131" s="35" t="str">
        <x:v>N4 - preserve the source concept; normalize spelling to ASCII lowerCamelCase</x:v>
      </x:c>
      <x:c r="J131" s="35" t="str">
        <x:v>REUSE_R2_TERM</x:v>
      </x:c>
    </x:row>
    <x:row r="132">
      <x:c r="A132" s="35" t="str">
        <x:v>bucklingResponse</x:v>
      </x:c>
      <x:c r="B132" s="35" t="str">
        <x:v>https://w3id.org/nltl-benchmark/vocab#bucklingResponse</x:v>
      </x:c>
      <x:c r="C132" s="35" t="str">
        <x:v>DatatypeProperty</x:v>
      </x:c>
      <x:c r="D132" s="35" t="str">
        <x:v>http://www.w3.org/2001/XMLSchema#string</x:v>
      </x:c>
      <x:c r="E132" s="35" t="str">
        <x:v>xsd:string</x:v>
      </x:c>
      <x:c r="F132" s="35" t="str"/>
      <x:c r="G132" s="38" t="str">
        <x:v>I2-065</x:v>
      </x:c>
      <x:c r="H132" s="35" t="str">
        <x:v>Benchmark-coined descriptive engineering term</x:v>
      </x:c>
      <x:c r="I132" s="35" t="str">
        <x:v>N5 - component or subject first, followed by characteristic and qualifier/state; no unsupported external mapping</x:v>
      </x:c>
      <x:c r="J132" s="35" t="str">
        <x:v>REUSE_R2_TERM</x:v>
      </x:c>
    </x:row>
    <x:row r="133">
      <x:c r="A133" s="35" t="str">
        <x:v>bucklingStiffening</x:v>
      </x:c>
      <x:c r="B133" s="35" t="str">
        <x:v>https://w3id.org/nltl-benchmark/vocab#bucklingStiffening</x:v>
      </x:c>
      <x:c r="C133" s="35" t="str">
        <x:v>DatatypeProperty</x:v>
      </x:c>
      <x:c r="D133" s="35" t="str">
        <x:v>http://www.w3.org/2001/XMLSchema#boolean</x:v>
      </x:c>
      <x:c r="E133" s="35" t="str">
        <x:v>xsd:boolean</x:v>
      </x:c>
      <x:c r="F133" s="35" t="str"/>
      <x:c r="G133" s="38" t="str">
        <x:v>TRF-049</x:v>
      </x:c>
      <x:c r="H133" s="35" t="str">
        <x:v>Benchmark-coined descriptive engineering term</x:v>
      </x:c>
      <x:c r="I133" s="35" t="str">
        <x:v>N5 - component or subject first, followed by characteristic and qualifier/state; no unsupported external mapping</x:v>
      </x:c>
      <x:c r="J133" s="35" t="str">
        <x:v>REUSE_R2_TERM</x:v>
      </x:c>
    </x:row>
    <x:row r="134">
      <x:c r="A134" s="35" t="str">
        <x:v>bulbousBowPresent</x:v>
      </x:c>
      <x:c r="B134" s="35" t="str">
        <x:v>https://w3id.org/nltl-benchmark/vocab#bulbousBowPresent</x:v>
      </x:c>
      <x:c r="C134" s="35" t="str">
        <x:v>DatatypeProperty</x:v>
      </x:c>
      <x:c r="D134" s="35" t="str">
        <x:v>http://www.w3.org/2001/XMLSchema#boolean</x:v>
      </x:c>
      <x:c r="E134" s="35" t="str">
        <x:v>xsd:boolean</x:v>
      </x:c>
      <x:c r="F134" s="35" t="str"/>
      <x:c r="G134" s="38" t="str">
        <x:v>I2-011</x:v>
      </x:c>
      <x:c r="H134" s="35" t="str">
        <x:v>Benchmark-coined descriptive engineering term</x:v>
      </x:c>
      <x:c r="I134" s="35" t="str">
        <x:v>N5 - component or subject first, followed by characteristic and qualifier/state; no unsupported external mapping</x:v>
      </x:c>
      <x:c r="J134" s="35" t="str">
        <x:v>REUSE_R2_TERM</x:v>
      </x:c>
    </x:row>
    <x:row r="135">
      <x:c r="A135" s="35" t="str">
        <x:v>bulkCarrierTopWingTankFrameCondition</x:v>
      </x:c>
      <x:c r="B135" s="35" t="str">
        <x:v>https://w3id.org/nltl-benchmark/vocab#bulkCarrierTopWingTankFrameCondition</x:v>
      </x:c>
      <x:c r="C135" s="35" t="str">
        <x:v>NamedIndividual</x:v>
      </x:c>
      <x:c r="D135" s="35" t="str">
        <x:v>https://w3id.org/nltl-benchmark/vocab#frameBoundaryConditionTypeValue</x:v>
      </x:c>
      <x:c r="E135" s="35" t="str"/>
      <x:c r="F135" s="35" t="str"/>
      <x:c r="G135" s="38" t="str">
        <x:v>TRF-044</x:v>
      </x:c>
      <x:c r="H135" s="35" t="str">
        <x:v>Applicable TRAFICOM regulation wording plus explicit engineering node/operand role</x:v>
      </x:c>
      <x:c r="I135" s="35" t="str">
        <x:v>N6 - concise ASCII lowerCamelCase controlled-value name grounded in the linked regulation.</x:v>
      </x:c>
      <x:c r="J135" s="35" t="str">
        <x:v>ADD_DEVELOPMENT_TERM</x:v>
      </x:c>
    </x:row>
    <x:row r="136">
      <x:c r="A136" s="35" t="str">
        <x:v>bulkhead</x:v>
      </x:c>
      <x:c r="B136" s="35" t="str">
        <x:v>https://w3id.org/nltl-benchmark/vocab#bulkhead</x:v>
      </x:c>
      <x:c r="C136" s="35" t="str">
        <x:v>Class</x:v>
      </x:c>
      <x:c r="D136" s="35" t="str">
        <x:v>https://w3id.org/nltl-benchmark/vocab#hullStructure</x:v>
      </x:c>
      <x:c r="E136" s="35" t="str"/>
      <x:c r="F136" s="35" t="str"/>
      <x:c r="G136" s="38" t="str">
        <x:v>TRF-051</x:v>
      </x:c>
      <x:c r="H136" s="35" t="str">
        <x:v>Applicable TRAFICOM regulation wording plus explicit engineering node/operand role</x:v>
      </x:c>
      <x:c r="I136" s="35" t="str">
        <x:v>N4 - singular ASCII lowerCamelCase entity name derived from the linked regulatory role.</x:v>
      </x:c>
      <x:c r="J136" s="35" t="str">
        <x:v>ADD_DEVELOPMENT_TERM</x:v>
      </x:c>
    </x:row>
    <x:row r="137">
      <x:c r="A137" s="35" t="str">
        <x:v>bulwarkStrengthStatus</x:v>
      </x:c>
      <x:c r="B137" s="35" t="str">
        <x:v>https://w3id.org/nltl-benchmark/vocab#bulwarkStrengthStatus</x:v>
      </x:c>
      <x:c r="C137" s="35" t="str">
        <x:v>DatatypeProperty</x:v>
      </x:c>
      <x:c r="D137" s="35" t="str">
        <x:v>http://www.w3.org/2001/XMLSchema#boolean</x:v>
      </x:c>
      <x:c r="E137" s="35" t="str">
        <x:v>xsd:boolean</x:v>
      </x:c>
      <x:c r="F137" s="35" t="str"/>
      <x:c r="G137" s="38" t="str">
        <x:v>TRF-040</x:v>
      </x:c>
      <x:c r="H137" s="35" t="str">
        <x:v>Benchmark-coined descriptive engineering term</x:v>
      </x:c>
      <x:c r="I137" s="35" t="str">
        <x:v>N5 - component or subject first, followed by characteristic and qualifier/state; no unsupported external mapping</x:v>
      </x:c>
      <x:c r="J137" s="35" t="str">
        <x:v>REUSE_R2_TERM</x:v>
      </x:c>
    </x:row>
    <x:row r="138">
      <x:c r="A138" s="35" t="str">
        <x:v>buttockAngle</x:v>
      </x:c>
      <x:c r="B138" s="35" t="str">
        <x:v>https://w3id.org/nltl-benchmark/vocab#buttockAngle</x:v>
      </x:c>
      <x:c r="C138" s="35" t="str">
        <x:v>QuantityProperty</x:v>
      </x:c>
      <x:c r="D138" s="35" t="str">
        <x:v>http://qudt.org/schema/qudt/QuantityValue</x:v>
      </x:c>
      <x:c r="E138" s="35" t="str"/>
      <x:c r="F138" s="35" t="str">
        <x:v>deg</x:v>
      </x:c>
      <x:c r="G138" s="38" t="str">
        <x:v>I2-009</x:v>
      </x:c>
      <x:c r="H138" s="35" t="str">
        <x:v>Benchmark-coined descriptive engineering term</x:v>
      </x:c>
      <x:c r="I138" s="35" t="str">
        <x:v>N5 - component or subject first, followed by characteristic and qualifier/state; no unsupported external mapping</x:v>
      </x:c>
      <x:c r="J138" s="35" t="str">
        <x:v>REUSE_R2_TERM</x:v>
      </x:c>
    </x:row>
    <x:row r="139">
      <x:c r="A139" s="35" t="str">
        <x:v>calculatedBladeStress</x:v>
      </x:c>
      <x:c r="B139" s="35" t="str">
        <x:v>https://w3id.org/nltl-benchmark/vocab#calculatedBladeStress</x:v>
      </x:c>
      <x:c r="C139" s="35" t="str">
        <x:v>QuantityProperty</x:v>
      </x:c>
      <x:c r="D139" s="35" t="str">
        <x:v>http://qudt.org/schema/qudt/QuantityValue</x:v>
      </x:c>
      <x:c r="E139" s="35" t="str"/>
      <x:c r="F139" s="35" t="str">
        <x:v>MPa</x:v>
      </x:c>
      <x:c r="G139" s="38" t="str">
        <x:v>TRF-105 | TRF-106</x:v>
      </x:c>
      <x:c r="H139" s="35" t="str">
        <x:v>Unit-stripped normalized regulatory variable</x:v>
      </x:c>
      <x:c r="I139" s="35" t="str">
        <x:v>N3 - remove unit from the identifier and retain it in unit/quantity metadata</x:v>
      </x:c>
      <x:c r="J139" s="35" t="str">
        <x:v>REUSE_R2_TERM</x:v>
      </x:c>
    </x:row>
    <x:row r="140">
      <x:c r="A140" s="35" t="str">
        <x:v>calculatedRequiredPower</x:v>
      </x:c>
      <x:c r="B140" s="35" t="str">
        <x:v>https://w3id.org/nltl-benchmark/vocab#calculatedRequiredPower</x:v>
      </x:c>
      <x:c r="C140" s="35" t="str">
        <x:v>QuantityProperty</x:v>
      </x:c>
      <x:c r="D140" s="35" t="str">
        <x:v>http://qudt.org/schema/qudt/QuantityValue</x:v>
      </x:c>
      <x:c r="E140" s="35" t="str"/>
      <x:c r="F140" s="35" t="str">
        <x:v>kW</x:v>
      </x:c>
      <x:c r="G140" s="38" t="str">
        <x:v>TRF-018</x:v>
      </x:c>
      <x:c r="H140" s="35" t="str">
        <x:v>Unit-stripped normalized regulatory variable</x:v>
      </x:c>
      <x:c r="I140" s="35" t="str">
        <x:v>N3 - remove unit from the identifier and retain it in unit/quantity metadata</x:v>
      </x:c>
      <x:c r="J140" s="35" t="str">
        <x:v>REUSE_R2_TERM</x:v>
      </x:c>
    </x:row>
    <x:row r="141">
      <x:c r="A141" s="35" t="str">
        <x:v>capabilitiesSectionPresent</x:v>
      </x:c>
      <x:c r="B141" s="35" t="str">
        <x:v>https://w3id.org/nltl-benchmark/vocab#capabilitiesSectionPresent</x:v>
      </x:c>
      <x:c r="C141" s="35" t="str">
        <x:v>DatatypeProperty</x:v>
      </x:c>
      <x:c r="D141" s="35" t="str">
        <x:v>http://www.w3.org/2001/XMLSchema#boolean</x:v>
      </x:c>
      <x:c r="E141" s="35" t="str">
        <x:v>xsd:boolean</x:v>
      </x:c>
      <x:c r="F141" s="35" t="str"/>
      <x:c r="G141" s="38" t="str">
        <x:v>IMO-022</x:v>
      </x:c>
      <x:c r="H141" s="35" t="str">
        <x:v>Locked-workbook normalized regulatory term</x:v>
      </x:c>
      <x:c r="I141" s="35" t="str">
        <x:v>N4 - preserve the source concept; normalize spelling to ASCII lowerCamelCase</x:v>
      </x:c>
      <x:c r="J141" s="35" t="str">
        <x:v>REUSE_R2_TERM</x:v>
      </x:c>
    </x:row>
    <x:row r="142">
      <x:c r="A142" s="35" t="str">
        <x:v>capabilityExceedanceAvoidanceProcedurePresent</x:v>
      </x:c>
      <x:c r="B142" s="35" t="str">
        <x:v>https://w3id.org/nltl-benchmark/vocab#capabilityExceedanceAvoidanceProcedurePresent</x:v>
      </x:c>
      <x:c r="C142" s="35" t="str">
        <x:v>DatatypeProperty</x:v>
      </x:c>
      <x:c r="D142" s="35" t="str">
        <x:v>http://www.w3.org/2001/XMLSchema#boolean</x:v>
      </x:c>
      <x:c r="E142" s="35" t="str">
        <x:v>xsd:boolean</x:v>
      </x:c>
      <x:c r="F142" s="35" t="str"/>
      <x:c r="G142" s="38" t="str">
        <x:v>IMO-023</x:v>
      </x:c>
      <x:c r="H142" s="35" t="str">
        <x:v>Locked-workbook normalized regulatory term</x:v>
      </x:c>
      <x:c r="I142" s="35" t="str">
        <x:v>N4 - preserve the source concept; normalize spelling to ASCII lowerCamelCase</x:v>
      </x:c>
      <x:c r="J142" s="35" t="str">
        <x:v>REUSE_R2_TERM</x:v>
      </x:c>
    </x:row>
    <x:row r="143">
      <x:c r="A143" s="35" t="str">
        <x:v>capacityMinimizingLoadPositionConfirmed</x:v>
      </x:c>
      <x:c r="B143" s="35" t="str">
        <x:v>https://w3id.org/nltl-benchmark/vocab#capacityMinimizingLoadPositionConfirmed</x:v>
      </x:c>
      <x:c r="C143" s="35" t="str">
        <x:v>DatatypeProperty</x:v>
      </x:c>
      <x:c r="D143" s="35" t="str">
        <x:v>http://www.w3.org/2001/XMLSchema#boolean</x:v>
      </x:c>
      <x:c r="E143" s="35" t="str">
        <x:v>xsd:boolean</x:v>
      </x:c>
      <x:c r="F143" s="35" t="str"/>
      <x:c r="G143" s="38" t="str">
        <x:v>TRF-030</x:v>
      </x:c>
      <x:c r="H143" s="35" t="str">
        <x:v>Applicable TRAFICOM regulation wording plus explicit engineering node/operand role</x:v>
      </x:c>
      <x:c r="I143" s="35" t="str">
        <x:v>N4 - explicit regulatory concept in ASCII lowerCamelCase with an XSD datatype.</x:v>
      </x:c>
      <x:c r="J143" s="35" t="str">
        <x:v>ADD_DEVELOPMENT_TERM</x:v>
      </x:c>
    </x:row>
    <x:row r="144">
      <x:c r="A144" s="35" t="str">
        <x:v>cargoRecordBookPolarCoverage</x:v>
      </x:c>
      <x:c r="B144" s="35" t="str">
        <x:v>https://w3id.org/nltl-benchmark/vocab#cargoRecordBookPolarCoverage</x:v>
      </x:c>
      <x:c r="C144" s="35" t="str">
        <x:v>DatatypeProperty</x:v>
      </x:c>
      <x:c r="D144" s="35" t="str">
        <x:v>http://www.w3.org/2001/XMLSchema#boolean</x:v>
      </x:c>
      <x:c r="E144" s="35" t="str">
        <x:v>xsd:boolean</x:v>
      </x:c>
      <x:c r="F144" s="35" t="str"/>
      <x:c r="G144" s="38" t="str">
        <x:v>IMO-113</x:v>
      </x:c>
      <x:c r="H144" s="35" t="str">
        <x:v>Locked-workbook normalized regulatory term</x:v>
      </x:c>
      <x:c r="I144" s="35" t="str">
        <x:v>N4 - preserve the source concept; normalize spelling to ASCII lowerCamelCase</x:v>
      </x:c>
      <x:c r="J144" s="35" t="str">
        <x:v>REUSE_R2_TERM</x:v>
      </x:c>
    </x:row>
    <x:row r="145">
      <x:c r="A145" s="35" t="str">
        <x:v>cargoShip</x:v>
      </x:c>
      <x:c r="B145" s="35" t="str">
        <x:v>https://w3id.org/nltl-benchmark/vocab#cargoShip</x:v>
      </x:c>
      <x:c r="C145" s="35" t="str">
        <x:v>Class</x:v>
      </x:c>
      <x:c r="D145" s="35" t="str">
        <x:v>https://w3id.org/nltl-benchmark/vocab#ship</x:v>
      </x:c>
      <x:c r="E145" s="35" t="str"/>
      <x:c r="F145" s="35" t="str"/>
      <x:c r="G145" s="38" t="str">
        <x:v>IMO26-002 | IMO26-016</x:v>
      </x:c>
      <x:c r="H145" s="35" t="str">
        <x:v>Benchmark-coined descriptive engineering term</x:v>
      </x:c>
      <x:c r="I145" s="35" t="str">
        <x:v>N5 - component or subject first, followed by characteristic and qualifier/state; no unsupported external mapping</x:v>
      </x:c>
      <x:c r="J145" s="35" t="str">
        <x:v>REUSE_R2_TERM</x:v>
      </x:c>
    </x:row>
    <x:row r="146">
      <x:c r="A146" s="35" t="str">
        <x:v>cargoTankCarriesOil</x:v>
      </x:c>
      <x:c r="B146" s="35" t="str">
        <x:v>https://w3id.org/nltl-benchmark/vocab#cargoTankCarriesOil</x:v>
      </x:c>
      <x:c r="C146" s="35" t="str">
        <x:v>DatatypeProperty</x:v>
      </x:c>
      <x:c r="D146" s="35" t="str">
        <x:v>http://www.w3.org/2001/XMLSchema#boolean</x:v>
      </x:c>
      <x:c r="E146" s="35" t="str">
        <x:v>xsd:boolean</x:v>
      </x:c>
      <x:c r="F146" s="35" t="str"/>
      <x:c r="G146" s="38" t="str">
        <x:v>IMO-109</x:v>
      </x:c>
      <x:c r="H146" s="35" t="str">
        <x:v>Locked-workbook normalized regulatory term</x:v>
      </x:c>
      <x:c r="I146" s="35" t="str">
        <x:v>N4 - preserve the source concept; normalize spelling to ASCII lowerCamelCase</x:v>
      </x:c>
      <x:c r="J146" s="35" t="str">
        <x:v>REUSE_R2_TERM</x:v>
      </x:c>
    </x:row>
    <x:row r="147">
      <x:c r="A147" s="35" t="str">
        <x:v>cargoTankOuterShellSeparation</x:v>
      </x:c>
      <x:c r="B147" s="35" t="str">
        <x:v>https://w3id.org/nltl-benchmark/vocab#cargoTankOuterShellSeparation</x:v>
      </x:c>
      <x:c r="C147" s="35" t="str">
        <x:v>QuantityProperty</x:v>
      </x:c>
      <x:c r="D147" s="35" t="str">
        <x:v>http://qudt.org/schema/qudt/QuantityValue</x:v>
      </x:c>
      <x:c r="E147" s="35" t="str"/>
      <x:c r="F147" s="35" t="str">
        <x:v>m</x:v>
      </x:c>
      <x:c r="G147" s="38" t="str">
        <x:v>IMO-109</x:v>
      </x:c>
      <x:c r="H147" s="35" t="str">
        <x:v>Unit-stripped normalized regulatory variable</x:v>
      </x:c>
      <x:c r="I147" s="35" t="str">
        <x:v>N3 - remove unit from the identifier and retain it in unit/quantity metadata</x:v>
      </x:c>
      <x:c r="J147" s="35" t="str">
        <x:v>REUSE_R2_TERM</x:v>
      </x:c>
    </x:row>
    <x:row r="148">
      <x:c r="A148" s="35" t="str">
        <x:v>cargoTankType</x:v>
      </x:c>
      <x:c r="B148" s="35" t="str">
        <x:v>https://w3id.org/nltl-benchmark/vocab#cargoTankType</x:v>
      </x:c>
      <x:c r="C148" s="35" t="str">
        <x:v>DatatypeProperty</x:v>
      </x:c>
      <x:c r="D148" s="35" t="str">
        <x:v>http://www.w3.org/2001/XMLSchema#string</x:v>
      </x:c>
      <x:c r="E148" s="35" t="str">
        <x:v>xsd:string</x:v>
      </x:c>
      <x:c r="F148" s="35" t="str"/>
      <x:c r="G148" s="38" t="str">
        <x:v>IMO-114</x:v>
      </x:c>
      <x:c r="H148" s="35" t="str">
        <x:v>Locked-workbook normalized regulatory term</x:v>
      </x:c>
      <x:c r="I148" s="35" t="str">
        <x:v>N4 - preserve the source concept; normalize spelling to ASCII lowerCamelCase</x:v>
      </x:c>
      <x:c r="J148" s="35" t="str">
        <x:v>REUSE_R2_TERM</x:v>
      </x:c>
    </x:row>
    <x:row r="149">
      <x:c r="A149" s="35" t="str">
        <x:v>carriedNoxiousLiquidSubstanceRequiresType3Tank</x:v>
      </x:c>
      <x:c r="B149" s="35" t="str">
        <x:v>https://w3id.org/nltl-benchmark/vocab#carriedNoxiousLiquidSubstanceRequiresType3Tank</x:v>
      </x:c>
      <x:c r="C149" s="35" t="str">
        <x:v>DatatypeProperty</x:v>
      </x:c>
      <x:c r="D149" s="35" t="str">
        <x:v>http://www.w3.org/2001/XMLSchema#boolean</x:v>
      </x:c>
      <x:c r="E149" s="35" t="str">
        <x:v>xsd:boolean</x:v>
      </x:c>
      <x:c r="F149" s="35" t="str"/>
      <x:c r="G149" s="38" t="str">
        <x:v>IMO-114</x:v>
      </x:c>
      <x:c r="H149" s="35" t="str">
        <x:v>Locked-workbook normalized regulatory term</x:v>
      </x:c>
      <x:c r="I149" s="35" t="str">
        <x:v>N4 - preserve the source concept; normalize spelling to ASCII lowerCamelCase</x:v>
      </x:c>
      <x:c r="J149" s="35" t="str">
        <x:v>REUSE_R2_TERM</x:v>
      </x:c>
    </x:row>
    <x:row r="150">
      <x:c r="A150" s="35" t="str">
        <x:v>certificateIssued</x:v>
      </x:c>
      <x:c r="B150" s="35" t="str">
        <x:v>https://w3id.org/nltl-benchmark/vocab#certificateIssued</x:v>
      </x:c>
      <x:c r="C150" s="35" t="str">
        <x:v>DatatypeProperty</x:v>
      </x:c>
      <x:c r="D150" s="35" t="str">
        <x:v>http://www.w3.org/2001/XMLSchema#boolean</x:v>
      </x:c>
      <x:c r="E150" s="35" t="str">
        <x:v>xsd:boolean</x:v>
      </x:c>
      <x:c r="F150" s="35" t="str"/>
      <x:c r="G150" s="38" t="str">
        <x:v>IMO-015</x:v>
      </x:c>
      <x:c r="H150" s="35" t="str">
        <x:v>Locked-workbook normalized regulatory term</x:v>
      </x:c>
      <x:c r="I150" s="35" t="str">
        <x:v>N4 - preserve the source concept; normalize spelling to ASCII lowerCamelCase</x:v>
      </x:c>
      <x:c r="J150" s="35" t="str">
        <x:v>REUSE_R2_TERM</x:v>
      </x:c>
    </x:row>
    <x:row r="151">
      <x:c r="A151" s="35" t="str">
        <x:v>certificateLanguage</x:v>
      </x:c>
      <x:c r="B151" s="35" t="str">
        <x:v>https://w3id.org/nltl-benchmark/vocab#certificateLanguage</x:v>
      </x:c>
      <x:c r="C151" s="35" t="str">
        <x:v>DatatypeProperty</x:v>
      </x:c>
      <x:c r="D151" s="35" t="str">
        <x:v>http://www.w3.org/2001/XMLSchema#string</x:v>
      </x:c>
      <x:c r="E151" s="35" t="str">
        <x:v>xsd:string</x:v>
      </x:c>
      <x:c r="F151" s="35" t="str"/>
      <x:c r="G151" s="38" t="str">
        <x:v>IMO-016</x:v>
      </x:c>
      <x:c r="H151" s="35" t="str">
        <x:v>Locked-workbook normalized regulatory term</x:v>
      </x:c>
      <x:c r="I151" s="35" t="str">
        <x:v>N4 - preserve the source concept; normalize spelling to ASCII lowerCamelCase</x:v>
      </x:c>
      <x:c r="J151" s="35" t="str">
        <x:v>REUSE_R2_TERM</x:v>
      </x:c>
    </x:row>
    <x:row r="152">
      <x:c r="A152" s="35" t="str">
        <x:v>certificateMethodologyReferencePresent</x:v>
      </x:c>
      <x:c r="B152" s="35" t="str">
        <x:v>https://w3id.org/nltl-benchmark/vocab#certificateMethodologyReferencePresent</x:v>
      </x:c>
      <x:c r="C152" s="35" t="str">
        <x:v>DatatypeProperty</x:v>
      </x:c>
      <x:c r="D152" s="35" t="str">
        <x:v>http://www.w3.org/2001/XMLSchema#boolean</x:v>
      </x:c>
      <x:c r="E152" s="35" t="str">
        <x:v>xsd:boolean</x:v>
      </x:c>
      <x:c r="F152" s="35" t="str"/>
      <x:c r="G152" s="38" t="str">
        <x:v>IMO-018</x:v>
      </x:c>
      <x:c r="H152" s="35" t="str">
        <x:v>Locked-workbook normalized regulatory term</x:v>
      </x:c>
      <x:c r="I152" s="35" t="str">
        <x:v>N4 - preserve the source concept; normalize spelling to ASCII lowerCamelCase</x:v>
      </x:c>
      <x:c r="J152" s="35" t="str">
        <x:v>REUSE_R2_TERM</x:v>
      </x:c>
    </x:row>
    <x:row r="153">
      <x:c r="A153" s="35" t="str">
        <x:v>charpyVTestCount</x:v>
      </x:c>
      <x:c r="B153" s="35" t="str">
        <x:v>https://w3id.org/nltl-benchmark/vocab#charpyVTestCount</x:v>
      </x:c>
      <x:c r="C153" s="35" t="str">
        <x:v>DatatypeProperty</x:v>
      </x:c>
      <x:c r="D153" s="35" t="str">
        <x:v>http://www.w3.org/2001/XMLSchema#integer</x:v>
      </x:c>
      <x:c r="E153" s="35" t="str">
        <x:v>xsd:integer</x:v>
      </x:c>
      <x:c r="F153" s="35" t="str"/>
      <x:c r="G153" s="38" t="str">
        <x:v>TRF-072 | TRF-073</x:v>
      </x:c>
      <x:c r="H153" s="35" t="str">
        <x:v>Benchmark-coined descriptive engineering term</x:v>
      </x:c>
      <x:c r="I153" s="35" t="str">
        <x:v>N5 - component or subject first, followed by characteristic and qualifier/state; no unsupported external mapping</x:v>
      </x:c>
      <x:c r="J153" s="35" t="str">
        <x:v>REUSE_R2_TERM</x:v>
      </x:c>
    </x:row>
    <x:row r="154">
      <x:c r="A154" s="35" t="str">
        <x:v>clampedHullGeometryTerm</x:v>
      </x:c>
      <x:c r="B154" s="35" t="str">
        <x:v>https://w3id.org/nltl-benchmark/vocab#clampedHullGeometryTerm</x:v>
      </x:c>
      <x:c r="C154" s="35" t="str">
        <x:v>QuantityProperty</x:v>
      </x:c>
      <x:c r="D154" s="35" t="str">
        <x:v>http://qudt.org/schema/qudt/QuantityValue</x:v>
      </x:c>
      <x:c r="E154" s="35" t="str"/>
      <x:c r="F154" s="35" t="str">
        <x:v>1</x:v>
      </x:c>
      <x:c r="G154" s="38" t="str">
        <x:v>TRF-027</x:v>
      </x:c>
      <x:c r="H154" s="35" t="str">
        <x:v>Benchmark-coined descriptive engineering term</x:v>
      </x:c>
      <x:c r="I154" s="35" t="str">
        <x:v>N5 - component or subject first, followed by characteristic and qualifier/state; no unsupported external mapping</x:v>
      </x:c>
      <x:c r="J154" s="35" t="str">
        <x:v>REUSE_R2_TERM</x:v>
      </x:c>
    </x:row>
    <x:row r="155">
      <x:c r="A155" s="35" t="str">
        <x:v>classCertificate</x:v>
      </x:c>
      <x:c r="B155" s="35" t="str">
        <x:v>https://w3id.org/nltl-benchmark/vocab#classCertificate</x:v>
      </x:c>
      <x:c r="C155" s="35" t="str">
        <x:v>Class</x:v>
      </x:c>
      <x:c r="D155" s="35" t="str">
        <x:v>https://w3id.org/nltl-benchmark/vocab#documentArtifact</x:v>
      </x:c>
      <x:c r="E155" s="35" t="str"/>
      <x:c r="F155" s="35" t="str"/>
      <x:c r="G155" s="38" t="str">
        <x:v>TRF-014</x:v>
      </x:c>
      <x:c r="H155" s="35" t="str">
        <x:v>Applicable TRAFICOM regulation wording plus explicit engineering node/operand role</x:v>
      </x:c>
      <x:c r="I155" s="35" t="str">
        <x:v>N4 - singular ASCII lowerCamelCase entity name derived from the linked regulatory role.</x:v>
      </x:c>
      <x:c r="J155" s="35" t="str">
        <x:v>ADD_DEVELOPMENT_TERM</x:v>
      </x:c>
    </x:row>
    <x:row r="156">
      <x:c r="A156" s="35" t="str">
        <x:v>classLoadCycleCount</x:v>
      </x:c>
      <x:c r="B156" s="35" t="str">
        <x:v>https://w3id.org/nltl-benchmark/vocab#classLoadCycleCount</x:v>
      </x:c>
      <x:c r="C156" s="35" t="str">
        <x:v>DatatypeProperty</x:v>
      </x:c>
      <x:c r="D156" s="35" t="str">
        <x:v>http://www.w3.org/2001/XMLSchema#integer</x:v>
      </x:c>
      <x:c r="E156" s="35" t="str">
        <x:v>xsd:integer</x:v>
      </x:c>
      <x:c r="F156" s="35" t="str"/>
      <x:c r="G156" s="38" t="str">
        <x:v>TRF-078</x:v>
      </x:c>
      <x:c r="H156" s="35" t="str">
        <x:v>Locked-workbook normalized regulatory term</x:v>
      </x:c>
      <x:c r="I156" s="35" t="str">
        <x:v>N4 - preserve the source concept; normalize spelling to ASCII lowerCamelCase</x:v>
      </x:c>
      <x:c r="J156" s="35" t="str">
        <x:v>REUSE_R2_TERM</x:v>
      </x:c>
    </x:row>
    <x:row r="157">
      <x:c r="A157" s="35" t="str">
        <x:v>classificationSociety</x:v>
      </x:c>
      <x:c r="B157" s="35" t="str">
        <x:v>https://w3id.org/nltl-benchmark/vocab#classificationSociety</x:v>
      </x:c>
      <x:c r="C157" s="35" t="str">
        <x:v>DatatypeProperty</x:v>
      </x:c>
      <x:c r="D157" s="35" t="str">
        <x:v>http://www.w3.org/2001/XMLSchema#string</x:v>
      </x:c>
      <x:c r="E157" s="35" t="str">
        <x:v>xsd:string</x:v>
      </x:c>
      <x:c r="F157" s="35" t="str"/>
      <x:c r="G157" s="38" t="str">
        <x:v>TRF-035</x:v>
      </x:c>
      <x:c r="H157" s="35" t="str">
        <x:v>Benchmark-coined descriptive engineering term</x:v>
      </x:c>
      <x:c r="I157" s="35" t="str">
        <x:v>N5 - component or subject first, followed by characteristic and qualifier/state; no unsupported external mapping</x:v>
      </x:c>
      <x:c r="J157" s="35" t="str">
        <x:v>REUSE_R2_TERM</x:v>
      </x:c>
    </x:row>
    <x:row r="158">
      <x:c r="A158" s="35" t="str">
        <x:v>classificationSocietyRequiredScantling</x:v>
      </x:c>
      <x:c r="B158" s="35" t="str">
        <x:v>https://w3id.org/nltl-benchmark/vocab#classificationSocietyRequiredScantling</x:v>
      </x:c>
      <x:c r="C158" s="35" t="str">
        <x:v>QuantityProperty</x:v>
      </x:c>
      <x:c r="D158" s="35" t="str">
        <x:v>http://qudt.org/schema/qudt/QuantityValue</x:v>
      </x:c>
      <x:c r="E158" s="35" t="str"/>
      <x:c r="F158" s="35" t="str"/>
      <x:c r="G158" s="38" t="str">
        <x:v>TRF-032</x:v>
      </x:c>
      <x:c r="H158" s="35" t="str">
        <x:v>Applicable TRAFICOM regulation wording plus explicit engineering node/operand role</x:v>
      </x:c>
      <x:c r="I158" s="35" t="str">
        <x:v>N4 - explicit engineering quantity in ASCII lowerCamelCase; formula symbols remain aliases only.</x:v>
      </x:c>
      <x:c r="J158" s="35" t="str">
        <x:v>ADD_DEVELOPMENT_TERM</x:v>
      </x:c>
    </x:row>
    <x:row r="159">
      <x:c r="A159" s="35" t="str">
        <x:v>classificationSocietyRuleLength</x:v>
      </x:c>
      <x:c r="B159" s="35" t="str">
        <x:v>https://w3id.org/nltl-benchmark/vocab#classificationSocietyRuleLength</x:v>
      </x:c>
      <x:c r="C159" s="35" t="str">
        <x:v>QuantityProperty</x:v>
      </x:c>
      <x:c r="D159" s="35" t="str">
        <x:v>http://qudt.org/schema/qudt/QuantityValue</x:v>
      </x:c>
      <x:c r="E159" s="35" t="str"/>
      <x:c r="F159" s="35" t="str">
        <x:v>m</x:v>
      </x:c>
      <x:c r="G159" s="38" t="str">
        <x:v>TRF-035</x:v>
      </x:c>
      <x:c r="H159" s="35" t="str">
        <x:v>Applicable TRAFICOM regulation wording plus explicit engineering node/operand role</x:v>
      </x:c>
      <x:c r="I159" s="35" t="str">
        <x:v>N4 - explicit engineering quantity in ASCII lowerCamelCase; formula symbols remain aliases only.</x:v>
      </x:c>
      <x:c r="J159" s="35" t="str">
        <x:v>ADD_DEVELOPMENT_TERM</x:v>
      </x:c>
    </x:row>
    <x:row r="160">
      <x:c r="A160" s="35" t="str">
        <x:v>classificationSocietyScantling</x:v>
      </x:c>
      <x:c r="B160" s="35" t="str">
        <x:v>https://w3id.org/nltl-benchmark/vocab#classificationSocietyScantling</x:v>
      </x:c>
      <x:c r="C160" s="35" t="str">
        <x:v>DatatypeProperty</x:v>
      </x:c>
      <x:c r="D160" s="35" t="str">
        <x:v>http://www.w3.org/2001/XMLSchema#string</x:v>
      </x:c>
      <x:c r="E160" s="35" t="str">
        <x:v>xsd:string</x:v>
      </x:c>
      <x:c r="F160" s="35" t="str"/>
      <x:c r="G160" s="38" t="str">
        <x:v>TRF-032</x:v>
      </x:c>
      <x:c r="H160" s="35" t="str">
        <x:v>Benchmark-coined descriptive engineering term</x:v>
      </x:c>
      <x:c r="I160" s="35" t="str">
        <x:v>N5 - component or subject first, followed by characteristic and qualifier/state; no unsupported external mapping</x:v>
      </x:c>
      <x:c r="J160" s="35" t="str">
        <x:v>REUSE_R2_TERM</x:v>
      </x:c>
    </x:row>
    <x:row r="161">
      <x:c r="A161" s="35" t="str">
        <x:v>cleanBallast</x:v>
      </x:c>
      <x:c r="B161" s="35" t="str">
        <x:v>https://w3id.org/nltl-benchmark/vocab#cleanBallast</x:v>
      </x:c>
      <x:c r="C161" s="35" t="str">
        <x:v>DatatypeProperty</x:v>
      </x:c>
      <x:c r="D161" s="35" t="str">
        <x:v>http://www.w3.org/2001/XMLSchema#boolean</x:v>
      </x:c>
      <x:c r="E161" s="35" t="str">
        <x:v>xsd:boolean</x:v>
      </x:c>
      <x:c r="F161" s="35" t="str"/>
      <x:c r="G161" s="38" t="str">
        <x:v>IMO-106</x:v>
      </x:c>
      <x:c r="H161" s="35" t="str">
        <x:v>Benchmark-coined descriptive engineering term</x:v>
      </x:c>
      <x:c r="I161" s="35" t="str">
        <x:v>N5 - component or subject first, followed by characteristic and qualifier/state; no unsupported external mapping</x:v>
      </x:c>
      <x:c r="J161" s="35" t="str">
        <x:v>REUSE_R2_TERM</x:v>
      </x:c>
    </x:row>
    <x:row r="162">
      <x:c r="A162" s="35" t="str">
        <x:v>clearViewAsternStatus</x:v>
      </x:c>
      <x:c r="B162" s="35" t="str">
        <x:v>https://w3id.org/nltl-benchmark/vocab#clearViewAsternStatus</x:v>
      </x:c>
      <x:c r="C162" s="35" t="str">
        <x:v>DatatypeProperty</x:v>
      </x:c>
      <x:c r="D162" s="35" t="str">
        <x:v>http://www.w3.org/2001/XMLSchema#boolean</x:v>
      </x:c>
      <x:c r="E162" s="35" t="str">
        <x:v>xsd:boolean</x:v>
      </x:c>
      <x:c r="F162" s="35" t="str"/>
      <x:c r="G162" s="38" t="str">
        <x:v>IMO-082 | IMO26-008</x:v>
      </x:c>
      <x:c r="H162" s="35" t="str">
        <x:v>Locked-workbook normalized regulatory term</x:v>
      </x:c>
      <x:c r="I162" s="35" t="str">
        <x:v>N4 - preserve the source concept; normalize spelling to ASCII lowerCamelCase</x:v>
      </x:c>
      <x:c r="J162" s="35" t="str">
        <x:v>REUSE_R2_TERM</x:v>
      </x:c>
    </x:row>
    <x:row r="163">
      <x:c r="A163" s="35" t="str">
        <x:v>closingDeviceOutsideHabitableEnvironment</x:v>
      </x:c>
      <x:c r="B163" s="35" t="str">
        <x:v>https://w3id.org/nltl-benchmark/vocab#closingDeviceOutsideHabitableEnvironment</x:v>
      </x:c>
      <x:c r="C163" s="35" t="str">
        <x:v>DatatypeProperty</x:v>
      </x:c>
      <x:c r="D163" s="35" t="str">
        <x:v>http://www.w3.org/2001/XMLSchema#boolean</x:v>
      </x:c>
      <x:c r="E163" s="35" t="str">
        <x:v>xsd:boolean</x:v>
      </x:c>
      <x:c r="F163" s="35" t="str"/>
      <x:c r="G163" s="38" t="str">
        <x:v>IMO-042</x:v>
      </x:c>
      <x:c r="H163" s="35" t="str">
        <x:v>Locked-workbook normalized regulatory term</x:v>
      </x:c>
      <x:c r="I163" s="35" t="str">
        <x:v>N4 - preserve the source concept; normalize spelling to ASCII lowerCamelCase</x:v>
      </x:c>
      <x:c r="J163" s="35" t="str">
        <x:v>REUSE_R2_TERM</x:v>
      </x:c>
    </x:row>
    <x:row r="164">
      <x:c r="A164" s="35" t="str">
        <x:v>coefficientC3</x:v>
      </x:c>
      <x:c r="B164" s="35" t="str">
        <x:v>https://w3id.org/nltl-benchmark/vocab#coefficientC3</x:v>
      </x:c>
      <x:c r="C164" s="35" t="str">
        <x:v>QuantityProperty</x:v>
      </x:c>
      <x:c r="D164" s="35" t="str">
        <x:v>http://qudt.org/schema/qudt/QuantityValue</x:v>
      </x:c>
      <x:c r="E164" s="35" t="str"/>
      <x:c r="F164" s="35" t="str">
        <x:v>kg/(m^2*s^2)</x:v>
      </x:c>
      <x:c r="G164" s="38" t="str">
        <x:v>TRF-027</x:v>
      </x:c>
      <x:c r="H164" s="35" t="str">
        <x:v>Benchmark-coined descriptive engineering term</x:v>
      </x:c>
      <x:c r="I164" s="35" t="str">
        <x:v>N5 - component or subject first, followed by characteristic and qualifier/state; no unsupported external mapping</x:v>
      </x:c>
      <x:c r="J164" s="35" t="str">
        <x:v>REUSE_R2_TERM</x:v>
      </x:c>
    </x:row>
    <x:row r="165">
      <x:c r="A165" s="35" t="str">
        <x:v>coefficientC4</x:v>
      </x:c>
      <x:c r="B165" s="35" t="str">
        <x:v>https://w3id.org/nltl-benchmark/vocab#coefficientC4</x:v>
      </x:c>
      <x:c r="C165" s="35" t="str">
        <x:v>QuantityProperty</x:v>
      </x:c>
      <x:c r="D165" s="35" t="str">
        <x:v>http://qudt.org/schema/qudt/QuantityValue</x:v>
      </x:c>
      <x:c r="E165" s="35" t="str"/>
      <x:c r="F165" s="35" t="str">
        <x:v>kg/(m^2*s^2)</x:v>
      </x:c>
      <x:c r="G165" s="38" t="str">
        <x:v>TRF-027</x:v>
      </x:c>
      <x:c r="H165" s="35" t="str">
        <x:v>Benchmark-coined descriptive engineering term</x:v>
      </x:c>
      <x:c r="I165" s="35" t="str">
        <x:v>N5 - component or subject first, followed by characteristic and qualifier/state; no unsupported external mapping</x:v>
      </x:c>
      <x:c r="J165" s="35" t="str">
        <x:v>REUSE_R2_TERM</x:v>
      </x:c>
    </x:row>
    <x:row r="166">
      <x:c r="A166" s="35" t="str">
        <x:v>coefficientC5</x:v>
      </x:c>
      <x:c r="B166" s="35" t="str">
        <x:v>https://w3id.org/nltl-benchmark/vocab#coefficientC5</x:v>
      </x:c>
      <x:c r="C166" s="35" t="str">
        <x:v>QuantityProperty</x:v>
      </x:c>
      <x:c r="D166" s="35" t="str">
        <x:v>http://qudt.org/schema/qudt/QuantityValue</x:v>
      </x:c>
      <x:c r="E166" s="35" t="str"/>
      <x:c r="F166" s="35" t="str">
        <x:v>kg/s^2</x:v>
      </x:c>
      <x:c r="G166" s="38" t="str">
        <x:v>TRF-027</x:v>
      </x:c>
      <x:c r="H166" s="35" t="str">
        <x:v>Benchmark-coined descriptive engineering term</x:v>
      </x:c>
      <x:c r="I166" s="35" t="str">
        <x:v>N5 - component or subject first, followed by characteristic and qualifier/state; no unsupported external mapping</x:v>
      </x:c>
      <x:c r="J166" s="35" t="str">
        <x:v>REUSE_R2_TERM</x:v>
      </x:c>
    </x:row>
    <x:row r="167">
      <x:c r="A167" s="35" t="str">
        <x:v>coefficientF1</x:v>
      </x:c>
      <x:c r="B167" s="35" t="str">
        <x:v>https://w3id.org/nltl-benchmark/vocab#coefficientF1</x:v>
      </x:c>
      <x:c r="C167" s="35" t="str">
        <x:v>QuantityProperty</x:v>
      </x:c>
      <x:c r="D167" s="35" t="str">
        <x:v>http://qudt.org/schema/qudt/QuantityValue</x:v>
      </x:c>
      <x:c r="E167" s="35" t="str"/>
      <x:c r="F167" s="35" t="str">
        <x:v>N/m^2</x:v>
      </x:c>
      <x:c r="G167" s="38" t="str">
        <x:v>TRF-027</x:v>
      </x:c>
      <x:c r="H167" s="35" t="str">
        <x:v>Benchmark-coined descriptive engineering term</x:v>
      </x:c>
      <x:c r="I167" s="35" t="str">
        <x:v>N5 - component or subject first, followed by characteristic and qualifier/state; no unsupported external mapping</x:v>
      </x:c>
      <x:c r="J167" s="35" t="str">
        <x:v>REUSE_R2_TERM</x:v>
      </x:c>
    </x:row>
    <x:row r="168">
      <x:c r="A168" s="35" t="str">
        <x:v>coefficientF2</x:v>
      </x:c>
      <x:c r="B168" s="35" t="str">
        <x:v>https://w3id.org/nltl-benchmark/vocab#coefficientF2</x:v>
      </x:c>
      <x:c r="C168" s="35" t="str">
        <x:v>QuantityProperty</x:v>
      </x:c>
      <x:c r="D168" s="35" t="str">
        <x:v>http://qudt.org/schema/qudt/QuantityValue</x:v>
      </x:c>
      <x:c r="E168" s="35" t="str"/>
      <x:c r="F168" s="35" t="str">
        <x:v>N/m</x:v>
      </x:c>
      <x:c r="G168" s="38" t="str">
        <x:v>TRF-027</x:v>
      </x:c>
      <x:c r="H168" s="35" t="str">
        <x:v>Benchmark-coined descriptive engineering term</x:v>
      </x:c>
      <x:c r="I168" s="35" t="str">
        <x:v>N5 - component or subject first, followed by characteristic and qualifier/state; no unsupported external mapping</x:v>
      </x:c>
      <x:c r="J168" s="35" t="str">
        <x:v>REUSE_R2_TERM</x:v>
      </x:c>
    </x:row>
    <x:row r="169">
      <x:c r="A169" s="35" t="str">
        <x:v>coefficientF3</x:v>
      </x:c>
      <x:c r="B169" s="35" t="str">
        <x:v>https://w3id.org/nltl-benchmark/vocab#coefficientF3</x:v>
      </x:c>
      <x:c r="C169" s="35" t="str">
        <x:v>QuantityProperty</x:v>
      </x:c>
      <x:c r="D169" s="35" t="str">
        <x:v>http://qudt.org/schema/qudt/QuantityValue</x:v>
      </x:c>
      <x:c r="E169" s="35" t="str"/>
      <x:c r="F169" s="35" t="str">
        <x:v>N/m</x:v>
      </x:c>
      <x:c r="G169" s="38" t="str">
        <x:v>TRF-027</x:v>
      </x:c>
      <x:c r="H169" s="35" t="str">
        <x:v>Benchmark-coined descriptive engineering term</x:v>
      </x:c>
      <x:c r="I169" s="35" t="str">
        <x:v>N5 - component or subject first, followed by characteristic and qualifier/state; no unsupported external mapping</x:v>
      </x:c>
      <x:c r="J169" s="35" t="str">
        <x:v>REUSE_R2_TERM</x:v>
      </x:c>
    </x:row>
    <x:row r="170">
      <x:c r="A170" s="35" t="str">
        <x:v>coefficientF4</x:v>
      </x:c>
      <x:c r="B170" s="35" t="str">
        <x:v>https://w3id.org/nltl-benchmark/vocab#coefficientF4</x:v>
      </x:c>
      <x:c r="C170" s="35" t="str">
        <x:v>QuantityProperty</x:v>
      </x:c>
      <x:c r="D170" s="35" t="str">
        <x:v>http://qudt.org/schema/qudt/QuantityValue</x:v>
      </x:c>
      <x:c r="E170" s="35" t="str"/>
      <x:c r="F170" s="35" t="str">
        <x:v>N/m^2</x:v>
      </x:c>
      <x:c r="G170" s="38" t="str">
        <x:v>TRF-027</x:v>
      </x:c>
      <x:c r="H170" s="35" t="str">
        <x:v>Benchmark-coined descriptive engineering term</x:v>
      </x:c>
      <x:c r="I170" s="35" t="str">
        <x:v>N5 - component or subject first, followed by characteristic and qualifier/state; no unsupported external mapping</x:v>
      </x:c>
      <x:c r="J170" s="35" t="str">
        <x:v>REUSE_R2_TERM</x:v>
      </x:c>
    </x:row>
    <x:row r="171">
      <x:c r="A171" s="35" t="str">
        <x:v>coefficientG1</x:v>
      </x:c>
      <x:c r="B171" s="35" t="str">
        <x:v>https://w3id.org/nltl-benchmark/vocab#coefficientG1</x:v>
      </x:c>
      <x:c r="C171" s="35" t="str">
        <x:v>QuantityProperty</x:v>
      </x:c>
      <x:c r="D171" s="35" t="str">
        <x:v>http://qudt.org/schema/qudt/QuantityValue</x:v>
      </x:c>
      <x:c r="E171" s="35" t="str"/>
      <x:c r="F171" s="35" t="str">
        <x:v>N</x:v>
      </x:c>
      <x:c r="G171" s="38" t="str">
        <x:v>TRF-027</x:v>
      </x:c>
      <x:c r="H171" s="35" t="str">
        <x:v>Benchmark-coined descriptive engineering term</x:v>
      </x:c>
      <x:c r="I171" s="35" t="str">
        <x:v>N5 - component or subject first, followed by characteristic and qualifier/state; no unsupported external mapping</x:v>
      </x:c>
      <x:c r="J171" s="35" t="str">
        <x:v>REUSE_R2_TERM</x:v>
      </x:c>
    </x:row>
    <x:row r="172">
      <x:c r="A172" s="35" t="str">
        <x:v>coefficientG2</x:v>
      </x:c>
      <x:c r="B172" s="35" t="str">
        <x:v>https://w3id.org/nltl-benchmark/vocab#coefficientG2</x:v>
      </x:c>
      <x:c r="C172" s="35" t="str">
        <x:v>QuantityProperty</x:v>
      </x:c>
      <x:c r="D172" s="35" t="str">
        <x:v>http://qudt.org/schema/qudt/QuantityValue</x:v>
      </x:c>
      <x:c r="E172" s="35" t="str"/>
      <x:c r="F172" s="35" t="str">
        <x:v>N/m</x:v>
      </x:c>
      <x:c r="G172" s="38" t="str">
        <x:v>TRF-027</x:v>
      </x:c>
      <x:c r="H172" s="35" t="str">
        <x:v>Benchmark-coined descriptive engineering term</x:v>
      </x:c>
      <x:c r="I172" s="35" t="str">
        <x:v>N5 - component or subject first, followed by characteristic and qualifier/state; no unsupported external mapping</x:v>
      </x:c>
      <x:c r="J172" s="35" t="str">
        <x:v>REUSE_R2_TERM</x:v>
      </x:c>
    </x:row>
    <x:row r="173">
      <x:c r="A173" s="35" t="str">
        <x:v>coefficientG3</x:v>
      </x:c>
      <x:c r="B173" s="35" t="str">
        <x:v>https://w3id.org/nltl-benchmark/vocab#coefficientG3</x:v>
      </x:c>
      <x:c r="C173" s="35" t="str">
        <x:v>QuantityProperty</x:v>
      </x:c>
      <x:c r="D173" s="35" t="str">
        <x:v>http://qudt.org/schema/qudt/QuantityValue</x:v>
      </x:c>
      <x:c r="E173" s="35" t="str"/>
      <x:c r="F173" s="35" t="str">
        <x:v>N/m^1.5</x:v>
      </x:c>
      <x:c r="G173" s="38" t="str">
        <x:v>TRF-027</x:v>
      </x:c>
      <x:c r="H173" s="35" t="str">
        <x:v>Benchmark-coined descriptive engineering term</x:v>
      </x:c>
      <x:c r="I173" s="35" t="str">
        <x:v>N5 - component or subject first, followed by characteristic and qualifier/state; no unsupported external mapping</x:v>
      </x:c>
      <x:c r="J173" s="35" t="str">
        <x:v>REUSE_R2_TERM</x:v>
      </x:c>
    </x:row>
    <x:row r="174">
      <x:c r="A174" s="35" t="str">
        <x:v>colregSternLightArcComplianceStatus</x:v>
      </x:c>
      <x:c r="B174" s="35" t="str">
        <x:v>https://w3id.org/nltl-benchmark/vocab#colregSternLightArcComplianceStatus</x:v>
      </x:c>
      <x:c r="C174" s="35" t="str">
        <x:v>DatatypeProperty</x:v>
      </x:c>
      <x:c r="D174" s="35" t="str">
        <x:v>http://www.w3.org/2001/XMLSchema#boolean</x:v>
      </x:c>
      <x:c r="E174" s="35" t="str">
        <x:v>xsd:boolean</x:v>
      </x:c>
      <x:c r="F174" s="35" t="str"/>
      <x:c r="G174" s="38" t="str">
        <x:v>IMO-089</x:v>
      </x:c>
      <x:c r="H174" s="35" t="str">
        <x:v>Locked-workbook normalized regulatory term</x:v>
      </x:c>
      <x:c r="I174" s="35" t="str">
        <x:v>N4 - preserve the source concept; normalize spelling to ASCII lowerCamelCase</x:v>
      </x:c>
      <x:c r="J174" s="35" t="str">
        <x:v>REUSE_R2_TERM</x:v>
      </x:c>
    </x:row>
    <x:row r="175">
      <x:c r="A175" s="35" t="str">
        <x:v>combinedAxialBendingTorsionLoad</x:v>
      </x:c>
      <x:c r="B175" s="35" t="str">
        <x:v>https://w3id.org/nltl-benchmark/vocab#combinedAxialBendingTorsionLoad</x:v>
      </x:c>
      <x:c r="C175" s="35" t="str">
        <x:v>QuantityProperty</x:v>
      </x:c>
      <x:c r="D175" s="35" t="str">
        <x:v>http://qudt.org/schema/qudt/QuantityValue</x:v>
      </x:c>
      <x:c r="E175" s="35" t="str"/>
      <x:c r="F175" s="35" t="str">
        <x:v>kN</x:v>
      </x:c>
      <x:c r="G175" s="38" t="str">
        <x:v>TRF-112</x:v>
      </x:c>
      <x:c r="H175" s="35" t="str">
        <x:v>Benchmark-coined descriptive engineering term</x:v>
      </x:c>
      <x:c r="I175" s="35" t="str">
        <x:v>N5 - component or subject first, followed by characteristic and qualifier/state; no unsupported external mapping</x:v>
      </x:c>
      <x:c r="J175" s="35" t="str">
        <x:v>REUSE_R2_TERM</x:v>
      </x:c>
    </x:row>
    <x:row r="176">
      <x:c r="A176" s="35" t="str">
        <x:v>combinedBendingAndShearEvaluated</x:v>
      </x:c>
      <x:c r="B176" s="35" t="str">
        <x:v>https://w3id.org/nltl-benchmark/vocab#combinedBendingAndShearEvaluated</x:v>
      </x:c>
      <x:c r="C176" s="35" t="str">
        <x:v>DatatypeProperty</x:v>
      </x:c>
      <x:c r="D176" s="35" t="str">
        <x:v>http://www.w3.org/2001/XMLSchema#boolean</x:v>
      </x:c>
      <x:c r="E176" s="35" t="str">
        <x:v>xsd:boolean</x:v>
      </x:c>
      <x:c r="F176" s="35" t="str"/>
      <x:c r="G176" s="38" t="str">
        <x:v>TRF-030</x:v>
      </x:c>
      <x:c r="H176" s="35" t="str">
        <x:v>Applicable TRAFICOM regulation wording plus explicit engineering node/operand role</x:v>
      </x:c>
      <x:c r="I176" s="35" t="str">
        <x:v>N4 - explicit regulatory concept in ASCII lowerCamelCase with an XSD datatype.</x:v>
      </x:c>
      <x:c r="J176" s="35" t="str">
        <x:v>ADD_DEVELOPMENT_TERM</x:v>
      </x:c>
    </x:row>
    <x:row r="177">
      <x:c r="A177" s="35" t="str">
        <x:v>combinedBendingShearStress</x:v>
      </x:c>
      <x:c r="B177" s="35" t="str">
        <x:v>https://w3id.org/nltl-benchmark/vocab#combinedBendingShearStress</x:v>
      </x:c>
      <x:c r="C177" s="35" t="str">
        <x:v>QuantityProperty</x:v>
      </x:c>
      <x:c r="D177" s="35" t="str">
        <x:v>http://qudt.org/schema/qudt/QuantityValue</x:v>
      </x:c>
      <x:c r="E177" s="35" t="str"/>
      <x:c r="F177" s="35" t="str">
        <x:v>MPa</x:v>
      </x:c>
      <x:c r="G177" s="38" t="str">
        <x:v>TRF-031</x:v>
      </x:c>
      <x:c r="H177" s="35" t="str">
        <x:v>Benchmark-coined descriptive engineering term</x:v>
      </x:c>
      <x:c r="I177" s="35" t="str">
        <x:v>N5 - component or subject first, followed by characteristic and qualifier/state; no unsupported external mapping</x:v>
      </x:c>
      <x:c r="J177" s="35" t="str">
        <x:v>REUSE_R2_TERM</x:v>
      </x:c>
    </x:row>
    <x:row r="178">
      <x:c r="A178" s="35" t="str">
        <x:v>combinedShearBendingEffect</x:v>
      </x:c>
      <x:c r="B178" s="35" t="str">
        <x:v>https://w3id.org/nltl-benchmark/vocab#combinedShearBendingEffect</x:v>
      </x:c>
      <x:c r="C178" s="35" t="str">
        <x:v>DatatypeProperty</x:v>
      </x:c>
      <x:c r="D178" s="35" t="str">
        <x:v>http://www.w3.org/2001/XMLSchema#string</x:v>
      </x:c>
      <x:c r="E178" s="35" t="str">
        <x:v>xsd:string</x:v>
      </x:c>
      <x:c r="F178" s="35" t="str"/>
      <x:c r="G178" s="38" t="str">
        <x:v>I2-031 | I2-034 | I2-037</x:v>
      </x:c>
      <x:c r="H178" s="35" t="str">
        <x:v>Benchmark-coined descriptive engineering term</x:v>
      </x:c>
      <x:c r="I178" s="35" t="str">
        <x:v>N5 - component or subject first, followed by characteristic and qualifier/state; no unsupported external mapping</x:v>
      </x:c>
      <x:c r="J178" s="35" t="str">
        <x:v>REUSE_R2_TERM</x:v>
      </x:c>
    </x:row>
    <x:row r="179">
      <x:c r="A179" s="35" t="str">
        <x:v>combustionAirTemperature</x:v>
      </x:c>
      <x:c r="B179" s="35" t="str">
        <x:v>https://w3id.org/nltl-benchmark/vocab#combustionAirTemperature</x:v>
      </x:c>
      <x:c r="C179" s="35" t="str">
        <x:v>QuantityProperty</x:v>
      </x:c>
      <x:c r="D179" s="35" t="str">
        <x:v>http://qudt.org/schema/qudt/QuantityValue</x:v>
      </x:c>
      <x:c r="E179" s="35" t="str"/>
      <x:c r="F179" s="35" t="str">
        <x:v>deg C</x:v>
      </x:c>
      <x:c r="G179" s="38" t="str">
        <x:v>IMO-047</x:v>
      </x:c>
      <x:c r="H179" s="35" t="str">
        <x:v>Unit-stripped normalized regulatory variable</x:v>
      </x:c>
      <x:c r="I179" s="35" t="str">
        <x:v>N3 - remove unit from the identifier and retain it in unit/quantity metadata</x:v>
      </x:c>
      <x:c r="J179" s="35" t="str">
        <x:v>REUSE_R2_TERM</x:v>
      </x:c>
    </x:row>
    <x:row r="180">
      <x:c r="A180" s="35" t="str">
        <x:v>combustionAirTemperatureControlPresent</x:v>
      </x:c>
      <x:c r="B180" s="35" t="str">
        <x:v>https://w3id.org/nltl-benchmark/vocab#combustionAirTemperatureControlPresent</x:v>
      </x:c>
      <x:c r="C180" s="35" t="str">
        <x:v>DatatypeProperty</x:v>
      </x:c>
      <x:c r="D180" s="35" t="str">
        <x:v>http://www.w3.org/2001/XMLSchema#boolean</x:v>
      </x:c>
      <x:c r="E180" s="35" t="str">
        <x:v>xsd:boolean</x:v>
      </x:c>
      <x:c r="F180" s="35" t="str"/>
      <x:c r="G180" s="38" t="str">
        <x:v>IMO-047</x:v>
      </x:c>
      <x:c r="H180" s="35" t="str">
        <x:v>Locked-workbook normalized regulatory term</x:v>
      </x:c>
      <x:c r="I180" s="35" t="str">
        <x:v>N4 - preserve the source concept; normalize spelling to ASCII lowerCamelCase</x:v>
      </x:c>
      <x:c r="J180" s="35" t="str">
        <x:v>REUSE_R2_TERM</x:v>
      </x:c>
    </x:row>
    <x:row r="181">
      <x:c r="A181" s="35" t="str">
        <x:v>comminutedAndDisinfected</x:v>
      </x:c>
      <x:c r="B181" s="35" t="str">
        <x:v>https://w3id.org/nltl-benchmark/vocab#comminutedAndDisinfected</x:v>
      </x:c>
      <x:c r="C181" s="35" t="str">
        <x:v>DatatypeProperty</x:v>
      </x:c>
      <x:c r="D181" s="35" t="str">
        <x:v>http://www.w3.org/2001/XMLSchema#boolean</x:v>
      </x:c>
      <x:c r="E181" s="35" t="str">
        <x:v>xsd:boolean</x:v>
      </x:c>
      <x:c r="F181" s="35" t="str"/>
      <x:c r="G181" s="38" t="str">
        <x:v>IMO-115</x:v>
      </x:c>
      <x:c r="H181" s="35" t="str">
        <x:v>Benchmark-coined descriptive engineering term</x:v>
      </x:c>
      <x:c r="I181" s="35" t="str">
        <x:v>N5 - component or subject first, followed by characteristic and qualifier/state; no unsupported external mapping</x:v>
      </x:c>
      <x:c r="J181" s="35" t="str">
        <x:v>REUSE_R2_TERM</x:v>
      </x:c>
    </x:row>
    <x:row r="182">
      <x:c r="A182" s="35" t="str">
        <x:v>communicationDeviceAvailability</x:v>
      </x:c>
      <x:c r="B182" s="35" t="str">
        <x:v>https://w3id.org/nltl-benchmark/vocab#communicationDeviceAvailability</x:v>
      </x:c>
      <x:c r="C182" s="35" t="str">
        <x:v>QuantityProperty</x:v>
      </x:c>
      <x:c r="D182" s="35" t="str">
        <x:v>http://qudt.org/schema/qudt/QuantityValue</x:v>
      </x:c>
      <x:c r="E182" s="35" t="str"/>
      <x:c r="F182" s="35" t="str">
        <x:v>day</x:v>
      </x:c>
      <x:c r="G182" s="38" t="str">
        <x:v>IMO-099</x:v>
      </x:c>
      <x:c r="H182" s="35" t="str">
        <x:v>Unit-stripped normalized regulatory variable</x:v>
      </x:c>
      <x:c r="I182" s="35" t="str">
        <x:v>N3 - remove unit from the identifier and retain it in unit/quantity metadata</x:v>
      </x:c>
      <x:c r="J182" s="35" t="str">
        <x:v>REUSE_R2_TERM</x:v>
      </x:c>
    </x:row>
    <x:row r="183">
      <x:c r="A183" s="35" t="str">
        <x:v>communicationMode</x:v>
      </x:c>
      <x:c r="B183" s="35" t="str">
        <x:v>https://w3id.org/nltl-benchmark/vocab#communicationMode</x:v>
      </x:c>
      <x:c r="C183" s="35" t="str">
        <x:v>DatatypeProperty</x:v>
      </x:c>
      <x:c r="D183" s="35" t="str">
        <x:v>http://www.w3.org/2001/XMLSchema#string</x:v>
      </x:c>
      <x:c r="E183" s="35" t="str">
        <x:v>xsd:string</x:v>
      </x:c>
      <x:c r="F183" s="35" t="str"/>
      <x:c r="G183" s="38" t="str">
        <x:v>IMO-090</x:v>
      </x:c>
      <x:c r="H183" s="35" t="str">
        <x:v>Locked-workbook normalized regulatory term</x:v>
      </x:c>
      <x:c r="I183" s="35" t="str">
        <x:v>N4 - preserve the source concept; normalize spelling to ASCII lowerCamelCase</x:v>
      </x:c>
      <x:c r="J183" s="35" t="str">
        <x:v>REUSE_R2_TERM</x:v>
      </x:c>
    </x:row>
    <x:row r="184">
      <x:c r="A184" s="35" t="str">
        <x:v>compartment</x:v>
      </x:c>
      <x:c r="B184" s="35" t="str">
        <x:v>https://w3id.org/nltl-benchmark/vocab#compartment</x:v>
      </x:c>
      <x:c r="C184" s="35" t="str">
        <x:v>Class</x:v>
      </x:c>
      <x:c r="D184" s="35" t="str">
        <x:v>https://w3id.org/nltl-benchmark/vocab#shipComponent</x:v>
      </x:c>
      <x:c r="E184" s="35" t="str"/>
      <x:c r="F184" s="35" t="str"/>
      <x:c r="G184" s="38" t="str">
        <x:v>IMO-057</x:v>
      </x:c>
      <x:c r="H184" s="35" t="str">
        <x:v>Applicable regulation explicit wording; R2 benchmark gap repair</x:v>
      </x:c>
      <x:c r="I184" s="35" t="str">
        <x:v>N4 - preserve explicit regulatory entity as ASCII lowerCamelCase</x:v>
      </x:c>
      <x:c r="J184" s="35" t="str">
        <x:v>REUSE_R2_TERM</x:v>
      </x:c>
    </x:row>
    <x:row r="185">
      <x:c r="A185" s="35" t="str">
        <x:v>compressorChargeTime</x:v>
      </x:c>
      <x:c r="B185" s="35" t="str">
        <x:v>https://w3id.org/nltl-benchmark/vocab#compressorChargeTime</x:v>
      </x:c>
      <x:c r="C185" s="35" t="str">
        <x:v>QuantityProperty</x:v>
      </x:c>
      <x:c r="D185" s="35" t="str">
        <x:v>http://qudt.org/schema/qudt/QuantityValue</x:v>
      </x:c>
      <x:c r="E185" s="35" t="str"/>
      <x:c r="F185" s="35" t="str">
        <x:v>h</x:v>
      </x:c>
      <x:c r="G185" s="38" t="str">
        <x:v>TRF-128</x:v>
      </x:c>
      <x:c r="H185" s="35" t="str">
        <x:v>Unit-stripped normalized regulatory variable</x:v>
      </x:c>
      <x:c r="I185" s="35" t="str">
        <x:v>N3 - remove unit from the identifier and retain it in unit/quantity metadata</x:v>
      </x:c>
      <x:c r="J185" s="35" t="str">
        <x:v>REUSE_R2_TERM</x:v>
      </x:c>
    </x:row>
    <x:row r="186">
      <x:c r="A186" s="35" t="str">
        <x:v>connectedToEmergencyPower</x:v>
      </x:c>
      <x:c r="B186" s="35" t="str">
        <x:v>https://w3id.org/nltl-benchmark/vocab#connectedToEmergencyPower</x:v>
      </x:c>
      <x:c r="C186" s="35" t="str">
        <x:v>ObjectProperty</x:v>
      </x:c>
      <x:c r="D186" s="35" t="str">
        <x:v>https://w3id.org/nltl-benchmark/vocab#benchmarkEntity</x:v>
      </x:c>
      <x:c r="E186" s="35" t="str"/>
      <x:c r="F186" s="35" t="str"/>
      <x:c r="G186" s="38" t="str">
        <x:v>IMO-086 | IMO-087 | IMO26-012 | IMO26-013</x:v>
      </x:c>
      <x:c r="H186" s="35" t="str">
        <x:v>Locked-workbook normalized regulatory term</x:v>
      </x:c>
      <x:c r="I186" s="35" t="str">
        <x:v>N4 - preserve the source concept; normalize spelling to ASCII lowerCamelCase</x:v>
      </x:c>
      <x:c r="J186" s="35" t="str">
        <x:v>REUSE_R2_TERM</x:v>
      </x:c>
    </x:row>
    <x:row r="187">
      <x:c r="A187" s="35" t="str">
        <x:v>connectedToMainPower</x:v>
      </x:c>
      <x:c r="B187" s="35" t="str">
        <x:v>https://w3id.org/nltl-benchmark/vocab#connectedToMainPower</x:v>
      </x:c>
      <x:c r="C187" s="35" t="str">
        <x:v>ObjectProperty</x:v>
      </x:c>
      <x:c r="D187" s="35" t="str">
        <x:v>https://w3id.org/nltl-benchmark/vocab#benchmarkEntity</x:v>
      </x:c>
      <x:c r="E187" s="35" t="str"/>
      <x:c r="F187" s="35" t="str"/>
      <x:c r="G187" s="38" t="str">
        <x:v>IMO-086 | IMO-087 | IMO26-012 | IMO26-013</x:v>
      </x:c>
      <x:c r="H187" s="35" t="str">
        <x:v>Locked-workbook normalized regulatory term</x:v>
      </x:c>
      <x:c r="I187" s="35" t="str">
        <x:v>N4 - preserve the source concept; normalize spelling to ASCII lowerCamelCase</x:v>
      </x:c>
      <x:c r="J187" s="35" t="str">
        <x:v>REUSE_R2_TERM</x:v>
      </x:c>
    </x:row>
    <x:row r="188">
      <x:c r="A188" s="35" t="str">
        <x:v>connectionBracket</x:v>
      </x:c>
      <x:c r="B188" s="35" t="str">
        <x:v>https://w3id.org/nltl-benchmark/vocab#connectionBracket</x:v>
      </x:c>
      <x:c r="C188" s="35" t="str">
        <x:v>Class</x:v>
      </x:c>
      <x:c r="D188" s="35" t="str">
        <x:v>https://w3id.org/nltl-benchmark/vocab#hullStructure</x:v>
      </x:c>
      <x:c r="E188" s="35" t="str"/>
      <x:c r="F188" s="35" t="str"/>
      <x:c r="G188" s="38" t="str">
        <x:v>I2-026 | TRF-049</x:v>
      </x:c>
      <x:c r="H188" s="35" t="str">
        <x:v>Benchmark-coined descriptive engineering term</x:v>
      </x:c>
      <x:c r="I188" s="35" t="str">
        <x:v>N5 - component or subject first, followed by characteristic and qualifier/state; no unsupported external mapping</x:v>
      </x:c>
      <x:c r="J188" s="35" t="str">
        <x:v>REUSE_R2_TERM</x:v>
      </x:c>
    </x:row>
    <x:row r="189">
      <x:c r="A189" s="35" t="str">
        <x:v>connectionMemberScantling</x:v>
      </x:c>
      <x:c r="B189" s="35" t="str">
        <x:v>https://w3id.org/nltl-benchmark/vocab#connectionMemberScantling</x:v>
      </x:c>
      <x:c r="C189" s="35" t="str">
        <x:v>DatatypeProperty</x:v>
      </x:c>
      <x:c r="D189" s="35" t="str">
        <x:v>http://www.w3.org/2001/XMLSchema#string</x:v>
      </x:c>
      <x:c r="E189" s="35" t="str">
        <x:v>xsd:string</x:v>
      </x:c>
      <x:c r="F189" s="35" t="str"/>
      <x:c r="G189" s="38" t="str">
        <x:v>TRF-046 | TRF-047</x:v>
      </x:c>
      <x:c r="H189" s="35" t="str">
        <x:v>Benchmark-coined descriptive engineering term</x:v>
      </x:c>
      <x:c r="I189" s="35" t="str">
        <x:v>N5 - component or subject first, followed by characteristic and qualifier/state; no unsupported external mapping</x:v>
      </x:c>
      <x:c r="J189" s="35" t="str">
        <x:v>REUSE_R2_TERM</x:v>
      </x:c>
    </x:row>
    <x:row r="190">
      <x:c r="A190" s="35" t="str">
        <x:v>connectsToAdjacentMainFrame</x:v>
      </x:c>
      <x:c r="B190" s="35" t="str">
        <x:v>https://w3id.org/nltl-benchmark/vocab#connectsToAdjacentMainFrame</x:v>
      </x:c>
      <x:c r="C190" s="35" t="str">
        <x:v>ObjectProperty</x:v>
      </x:c>
      <x:c r="D190" s="35" t="str">
        <x:v>https://w3id.org/nltl-benchmark/vocab#mainFrame</x:v>
      </x:c>
      <x:c r="E190" s="35" t="str"/>
      <x:c r="F190" s="35" t="str"/>
      <x:c r="G190" s="38" t="str">
        <x:v>TRF-046 | TRF-047</x:v>
      </x:c>
      <x:c r="H190" s="35" t="str">
        <x:v>Applicable TRAFICOM regulation wording plus explicit engineering node/operand role</x:v>
      </x:c>
      <x:c r="I190" s="35" t="str">
        <x:v>N5 - ASCII lowerCamelCase relationship; use has + object role when it improves direction clarity.</x:v>
      </x:c>
      <x:c r="J190" s="35" t="str">
        <x:v>ADD_DEVELOPMENT_TERM</x:v>
      </x:c>
    </x:row>
    <x:row r="191">
      <x:c r="A191" s="35" t="str">
        <x:v>constructionContractDate</x:v>
      </x:c>
      <x:c r="B191" s="35" t="str">
        <x:v>https://w3id.org/nltl-benchmark/vocab#constructionContractDate</x:v>
      </x:c>
      <x:c r="C191" s="35" t="str">
        <x:v>DatatypeProperty</x:v>
      </x:c>
      <x:c r="D191" s="35" t="str">
        <x:v>http://www.w3.org/2001/XMLSchema#date</x:v>
      </x:c>
      <x:c r="E191" s="35" t="str">
        <x:v>xsd:date</x:v>
      </x:c>
      <x:c r="F191" s="35" t="str"/>
      <x:c r="G191" s="38" t="str">
        <x:v>I2-001</x:v>
      </x:c>
      <x:c r="H191" s="35" t="str">
        <x:v>Benchmark-coined descriptive engineering term</x:v>
      </x:c>
      <x:c r="I191" s="35" t="str">
        <x:v>N5 - component or subject first, followed by characteristic and qualifier/state; no unsupported external mapping</x:v>
      </x:c>
      <x:c r="J191" s="35" t="str">
        <x:v>REUSE_R2_TERM</x:v>
      </x:c>
    </x:row>
    <x:row r="192">
      <x:c r="A192" s="35" t="str">
        <x:v>constructionDate</x:v>
      </x:c>
      <x:c r="B192" s="35" t="str">
        <x:v>https://w3id.org/nltl-benchmark/vocab#constructionDate</x:v>
      </x:c>
      <x:c r="C192" s="35" t="str">
        <x:v>DatatypeProperty</x:v>
      </x:c>
      <x:c r="D192" s="35" t="str">
        <x:v>http://www.w3.org/2001/XMLSchema#date</x:v>
      </x:c>
      <x:c r="E192" s="35" t="str">
        <x:v>xsd:date</x:v>
      </x:c>
      <x:c r="F192" s="35" t="str"/>
      <x:c r="G192" s="38" t="str">
        <x:v>IMO-037 | IMO-067 | IMO-081 | IMO-085 | IMO-108 | IMO-109 | IMO-110 | IMO-111 | IMO-114 | IMO-118 | IMO26-007 | IMO26-011</x:v>
      </x:c>
      <x:c r="H192" s="35" t="str">
        <x:v>Locked-workbook normalized regulatory term</x:v>
      </x:c>
      <x:c r="I192" s="35" t="str">
        <x:v>N4 - preserve the source concept; normalize spelling to ASCII lowerCamelCase</x:v>
      </x:c>
      <x:c r="J192" s="35" t="str">
        <x:v>REUSE_R2_TERM</x:v>
      </x:c>
    </x:row>
    <x:row r="193">
      <x:c r="A193" s="35" t="str">
        <x:v>constructionStageDate</x:v>
      </x:c>
      <x:c r="B193" s="35" t="str">
        <x:v>https://w3id.org/nltl-benchmark/vocab#constructionStageDate</x:v>
      </x:c>
      <x:c r="C193" s="35" t="str">
        <x:v>DatatypeProperty</x:v>
      </x:c>
      <x:c r="D193" s="35" t="str">
        <x:v>http://www.w3.org/2001/XMLSchema#date</x:v>
      </x:c>
      <x:c r="E193" s="35" t="str">
        <x:v>xsd:date</x:v>
      </x:c>
      <x:c r="F193" s="35" t="str"/>
      <x:c r="G193" s="38" t="str">
        <x:v>TRF-020</x:v>
      </x:c>
      <x:c r="H193" s="35" t="str">
        <x:v>Benchmark-coined descriptive engineering term</x:v>
      </x:c>
      <x:c r="I193" s="35" t="str">
        <x:v>N5 - component or subject first, followed by characteristic and qualifier/state; no unsupported external mapping</x:v>
      </x:c>
      <x:c r="J193" s="35" t="str">
        <x:v>REUSE_R2_TERM</x:v>
      </x:c>
    </x:row>
    <x:row r="194">
      <x:c r="A194" s="35" t="str">
        <x:v>contactGeometry</x:v>
      </x:c>
      <x:c r="B194" s="35" t="str">
        <x:v>https://w3id.org/nltl-benchmark/vocab#contactGeometry</x:v>
      </x:c>
      <x:c r="C194" s="35" t="str">
        <x:v>DatatypeProperty</x:v>
      </x:c>
      <x:c r="D194" s="35" t="str">
        <x:v>http://www.w3.org/2001/XMLSchema#string</x:v>
      </x:c>
      <x:c r="E194" s="35" t="str">
        <x:v>xsd:string</x:v>
      </x:c>
      <x:c r="F194" s="35" t="str"/>
      <x:c r="G194" s="38" t="str">
        <x:v>TRF-114</x:v>
      </x:c>
      <x:c r="H194" s="35" t="str">
        <x:v>Benchmark-coined descriptive engineering term</x:v>
      </x:c>
      <x:c r="I194" s="35" t="str">
        <x:v>N5 - component or subject first, followed by characteristic and qualifier/state; no unsupported external mapping</x:v>
      </x:c>
      <x:c r="J194" s="35" t="str">
        <x:v>REUSE_R2_TERM</x:v>
      </x:c>
    </x:row>
    <x:row r="195">
      <x:c r="A195" s="35" t="str">
        <x:v>contaminatedByOtherGarbage</x:v>
      </x:c>
      <x:c r="B195" s="35" t="str">
        <x:v>https://w3id.org/nltl-benchmark/vocab#contaminatedByOtherGarbage</x:v>
      </x:c>
      <x:c r="C195" s="35" t="str">
        <x:v>DatatypeProperty</x:v>
      </x:c>
      <x:c r="D195" s="35" t="str">
        <x:v>http://www.w3.org/2001/XMLSchema#boolean</x:v>
      </x:c>
      <x:c r="E195" s="35" t="str">
        <x:v>xsd:boolean</x:v>
      </x:c>
      <x:c r="F195" s="35" t="str"/>
      <x:c r="G195" s="38" t="str">
        <x:v>IMO-121</x:v>
      </x:c>
      <x:c r="H195" s="35" t="str">
        <x:v>Locked-workbook normalized regulatory term</x:v>
      </x:c>
      <x:c r="I195" s="35" t="str">
        <x:v>N4 - preserve the source concept; normalize spelling to ASCII lowerCamelCase</x:v>
      </x:c>
      <x:c r="J195" s="35" t="str">
        <x:v>REUSE_R2_TERM</x:v>
      </x:c>
    </x:row>
    <x:row r="196">
      <x:c r="A196" s="35" t="str">
        <x:v>continuousPropulsionPowerAvailableInIce</x:v>
      </x:c>
      <x:c r="B196" s="35" t="str">
        <x:v>https://w3id.org/nltl-benchmark/vocab#continuousPropulsionPowerAvailableInIce</x:v>
      </x:c>
      <x:c r="C196" s="35" t="str">
        <x:v>QuantityProperty</x:v>
      </x:c>
      <x:c r="D196" s="35" t="str">
        <x:v>http://qudt.org/schema/qudt/QuantityValue</x:v>
      </x:c>
      <x:c r="E196" s="35" t="str"/>
      <x:c r="F196" s="35" t="str">
        <x:v>kW</x:v>
      </x:c>
      <x:c r="G196" s="38" t="str">
        <x:v>TRF-037</x:v>
      </x:c>
      <x:c r="H196" s="35" t="str">
        <x:v>Applicable TRAFICOM regulation wording plus explicit engineering node/operand role</x:v>
      </x:c>
      <x:c r="I196" s="35" t="str">
        <x:v>N4 - explicit engineering quantity in ASCII lowerCamelCase; formula symbols remain aliases only.</x:v>
      </x:c>
      <x:c r="J196" s="35" t="str">
        <x:v>ADD_DEVELOPMENT_TERM</x:v>
      </x:c>
    </x:row>
    <x:row r="197">
      <x:c r="A197" s="35" t="str">
        <x:v>continuousSurfaceProjectedArea</x:v>
      </x:c>
      <x:c r="B197" s="35" t="str">
        <x:v>https://w3id.org/nltl-benchmark/vocab#continuousSurfaceProjectedArea</x:v>
      </x:c>
      <x:c r="C197" s="35" t="str">
        <x:v>QuantityProperty</x:v>
      </x:c>
      <x:c r="D197" s="35" t="str">
        <x:v>http://qudt.org/schema/qudt/QuantityValue</x:v>
      </x:c>
      <x:c r="E197" s="35" t="str"/>
      <x:c r="F197" s="35" t="str">
        <x:v>m^2</x:v>
      </x:c>
      <x:c r="G197" s="38" t="str">
        <x:v>IMO-033</x:v>
      </x:c>
      <x:c r="H197" s="35" t="str">
        <x:v>Locked-workbook normalized regulatory term</x:v>
      </x:c>
      <x:c r="I197" s="35" t="str">
        <x:v>N4 - preserve the source concept; normalize spelling to ASCII lowerCamelCase</x:v>
      </x:c>
      <x:c r="J197" s="35" t="str">
        <x:v>REUSE_R2_TERM</x:v>
      </x:c>
    </x:row>
    <x:row r="198">
      <x:c r="A198" s="35" t="str">
        <x:v>continuousSurfaceStaticMoment</x:v>
      </x:c>
      <x:c r="B198" s="35" t="str">
        <x:v>https://w3id.org/nltl-benchmark/vocab#continuousSurfaceStaticMoment</x:v>
      </x:c>
      <x:c r="C198" s="35" t="str">
        <x:v>QuantityProperty</x:v>
      </x:c>
      <x:c r="D198" s="35" t="str">
        <x:v>http://qudt.org/schema/qudt/QuantityValue</x:v>
      </x:c>
      <x:c r="E198" s="35" t="str"/>
      <x:c r="F198" s="35" t="str">
        <x:v>kN*m</x:v>
      </x:c>
      <x:c r="G198" s="38" t="str">
        <x:v>IMO-033</x:v>
      </x:c>
      <x:c r="H198" s="35" t="str">
        <x:v>Locked-workbook normalized regulatory term</x:v>
      </x:c>
      <x:c r="I198" s="35" t="str">
        <x:v>N4 - preserve the source concept; normalize spelling to ASCII lowerCamelCase</x:v>
      </x:c>
      <x:c r="J198" s="35" t="str">
        <x:v>REUSE_R2_TERM</x:v>
      </x:c>
    </x:row>
    <x:row r="199">
      <x:c r="A199" s="35" t="str">
        <x:v>continuousUseSuitabilityStatus</x:v>
      </x:c>
      <x:c r="B199" s="35" t="str">
        <x:v>https://w3id.org/nltl-benchmark/vocab#continuousUseSuitabilityStatus</x:v>
      </x:c>
      <x:c r="C199" s="35" t="str">
        <x:v>DatatypeProperty</x:v>
      </x:c>
      <x:c r="D199" s="35" t="str">
        <x:v>http://www.w3.org/2001/XMLSchema#boolean</x:v>
      </x:c>
      <x:c r="E199" s="35" t="str">
        <x:v>xsd:boolean</x:v>
      </x:c>
      <x:c r="F199" s="35" t="str"/>
      <x:c r="G199" s="38" t="str">
        <x:v>IMO-072</x:v>
      </x:c>
      <x:c r="H199" s="35" t="str">
        <x:v>Locked-workbook normalized regulatory term</x:v>
      </x:c>
      <x:c r="I199" s="35" t="str">
        <x:v>N4 - preserve the source concept; normalize spelling to ASCII lowerCamelCase</x:v>
      </x:c>
      <x:c r="J199" s="35" t="str">
        <x:v>REUSE_R2_TERM</x:v>
      </x:c>
    </x:row>
    <x:row r="200">
      <x:c r="A200" s="35" t="str">
        <x:v>continuouslyAccessible</x:v>
      </x:c>
      <x:c r="B200" s="35" t="str">
        <x:v>https://w3id.org/nltl-benchmark/vocab#continuouslyAccessible</x:v>
      </x:c>
      <x:c r="C200" s="35" t="str">
        <x:v>DatatypeProperty</x:v>
      </x:c>
      <x:c r="D200" s="35" t="str">
        <x:v>http://www.w3.org/2001/XMLSchema#boolean</x:v>
      </x:c>
      <x:c r="E200" s="35" t="str">
        <x:v>xsd:boolean</x:v>
      </x:c>
      <x:c r="F200" s="35" t="str"/>
      <x:c r="G200" s="38" t="str">
        <x:v>IMO-051 | IMO-055</x:v>
      </x:c>
      <x:c r="H200" s="35" t="str">
        <x:v>Locked-workbook normalized regulatory term</x:v>
      </x:c>
      <x:c r="I200" s="35" t="str">
        <x:v>N4 - preserve the source concept; normalize spelling to ASCII lowerCamelCase</x:v>
      </x:c>
      <x:c r="J200" s="35" t="str">
        <x:v>REUSE_R2_TERM</x:v>
      </x:c>
    </x:row>
    <x:row r="201">
      <x:c r="A201" s="35" t="str">
        <x:v>controllablePitch</x:v>
      </x:c>
      <x:c r="B201" s="35" t="str">
        <x:v>https://w3id.org/nltl-benchmark/vocab#controllablePitch</x:v>
      </x:c>
      <x:c r="C201" s="35" t="str">
        <x:v>NamedIndividual</x:v>
      </x:c>
      <x:c r="D201" s="35" t="str">
        <x:v>https://w3id.org/nltl-benchmark/vocab#propellerPitchControlTypeValue</x:v>
      </x:c>
      <x:c r="E201" s="35" t="str"/>
      <x:c r="F201" s="35" t="str"/>
      <x:c r="G201" s="38" t="str">
        <x:v>TRF-020</x:v>
      </x:c>
      <x:c r="H201" s="35" t="str">
        <x:v>Applicable TRAFICOM regulation wording plus explicit engineering node/operand role</x:v>
      </x:c>
      <x:c r="I201" s="35" t="str">
        <x:v>N6 - concise ASCII lowerCamelCase controlled-value name grounded in the linked regulation.</x:v>
      </x:c>
      <x:c r="J201" s="35" t="str">
        <x:v>ADD_DEVELOPMENT_TERM</x:v>
      </x:c>
    </x:row>
    <x:row r="202">
      <x:c r="A202" s="35" t="str">
        <x:v>conventionalPropulsionSystem</x:v>
      </x:c>
      <x:c r="B202" s="35" t="str">
        <x:v>https://w3id.org/nltl-benchmark/vocab#conventionalPropulsionSystem</x:v>
      </x:c>
      <x:c r="C202" s="35" t="str">
        <x:v>NamedIndividual</x:v>
      </x:c>
      <x:c r="D202" s="35" t="str">
        <x:v>https://w3id.org/nltl-benchmark/vocab#propulsionSystemTypeValue</x:v>
      </x:c>
      <x:c r="E202" s="35" t="str"/>
      <x:c r="F202" s="35" t="str"/>
      <x:c r="G202" s="38" t="str">
        <x:v>TRF-020</x:v>
      </x:c>
      <x:c r="H202" s="35" t="str">
        <x:v>Applicable TRAFICOM regulation wording plus explicit engineering node/operand role</x:v>
      </x:c>
      <x:c r="I202" s="35" t="str">
        <x:v>N6 - concise ASCII lowerCamelCase controlled-value name grounded in the linked regulation.</x:v>
      </x:c>
      <x:c r="J202" s="35" t="str">
        <x:v>ADD_DEVELOPMENT_TERM</x:v>
      </x:c>
    </x:row>
    <x:row r="203">
      <x:c r="A203" s="35" t="str">
        <x:v>coolingWaterSupplySecured</x:v>
      </x:c>
      <x:c r="B203" s="35" t="str">
        <x:v>https://w3id.org/nltl-benchmark/vocab#coolingWaterSupplySecured</x:v>
      </x:c>
      <x:c r="C203" s="35" t="str">
        <x:v>DatatypeProperty</x:v>
      </x:c>
      <x:c r="D203" s="35" t="str">
        <x:v>http://www.w3.org/2001/XMLSchema#boolean</x:v>
      </x:c>
      <x:c r="E203" s="35" t="str">
        <x:v>xsd:boolean</x:v>
      </x:c>
      <x:c r="F203" s="35" t="str"/>
      <x:c r="G203" s="38" t="str">
        <x:v>TRF-129</x:v>
      </x:c>
      <x:c r="H203" s="35" t="str">
        <x:v>Benchmark-coined descriptive engineering term</x:v>
      </x:c>
      <x:c r="I203" s="35" t="str">
        <x:v>N5 - component or subject first, followed by characteristic and qualifier/state; no unsupported external mapping</x:v>
      </x:c>
      <x:c r="J203" s="35" t="str">
        <x:v>REUSE_R2_TERM</x:v>
      </x:c>
    </x:row>
    <x:row r="204">
      <x:c r="A204" s="35" t="str">
        <x:v>coolingWaterSystem</x:v>
      </x:c>
      <x:c r="B204" s="35" t="str">
        <x:v>https://w3id.org/nltl-benchmark/vocab#coolingWaterSystem</x:v>
      </x:c>
      <x:c r="C204" s="35" t="str">
        <x:v>Class</x:v>
      </x:c>
      <x:c r="D204" s="35" t="str">
        <x:v>https://w3id.org/nltl-benchmark/vocab#machineryComponent</x:v>
      </x:c>
      <x:c r="E204" s="35" t="str"/>
      <x:c r="F204" s="35" t="str"/>
      <x:c r="G204" s="38" t="str">
        <x:v>TRF-129</x:v>
      </x:c>
      <x:c r="H204" s="35" t="str">
        <x:v>Benchmark-coined descriptive engineering term</x:v>
      </x:c>
      <x:c r="I204" s="35" t="str">
        <x:v>N5 - component or subject first, followed by characteristic and qualifier/state; no unsupported external mapping</x:v>
      </x:c>
      <x:c r="J204" s="35" t="str">
        <x:v>REUSE_R2_TERM</x:v>
      </x:c>
    </x:row>
    <x:row r="205">
      <x:c r="A205" s="35" t="str">
        <x:v>correctiveActionStatus</x:v>
      </x:c>
      <x:c r="B205" s="35" t="str">
        <x:v>https://w3id.org/nltl-benchmark/vocab#correctiveActionStatus</x:v>
      </x:c>
      <x:c r="C205" s="35" t="str">
        <x:v>DatatypeProperty</x:v>
      </x:c>
      <x:c r="D205" s="35" t="str">
        <x:v>http://www.w3.org/2001/XMLSchema#boolean</x:v>
      </x:c>
      <x:c r="E205" s="35" t="str">
        <x:v>xsd:boolean</x:v>
      </x:c>
      <x:c r="F205" s="35" t="str"/>
      <x:c r="G205" s="38" t="str">
        <x:v>IMO-036</x:v>
      </x:c>
      <x:c r="H205" s="35" t="str">
        <x:v>Locked-workbook normalized regulatory term</x:v>
      </x:c>
      <x:c r="I205" s="35" t="str">
        <x:v>N4 - preserve the source concept; normalize spelling to ASCII lowerCamelCase</x:v>
      </x:c>
      <x:c r="J205" s="35" t="str">
        <x:v>REUSE_R2_TERM</x:v>
      </x:c>
    </x:row>
    <x:row r="206">
      <x:c r="A206" s="35" t="str">
        <x:v>corrosionAbrasionAddition</x:v>
      </x:c>
      <x:c r="B206" s="35" t="str">
        <x:v>https://w3id.org/nltl-benchmark/vocab#corrosionAbrasionAddition</x:v>
      </x:c>
      <x:c r="C206" s="35" t="str">
        <x:v>QuantityProperty</x:v>
      </x:c>
      <x:c r="D206" s="35" t="str">
        <x:v>http://qudt.org/schema/qudt/QuantityValue</x:v>
      </x:c>
      <x:c r="E206" s="35" t="str"/>
      <x:c r="F206" s="35" t="str">
        <x:v>mm</x:v>
      </x:c>
      <x:c r="G206" s="38" t="str">
        <x:v>I2-046</x:v>
      </x:c>
      <x:c r="H206" s="35" t="str">
        <x:v>Benchmark-coined descriptive engineering term</x:v>
      </x:c>
      <x:c r="I206" s="35" t="str">
        <x:v>N5 - component or subject first, followed by characteristic and qualifier/state; no unsupported external mapping</x:v>
      </x:c>
      <x:c r="J206" s="35" t="str">
        <x:v>REUSE_R2_TERM</x:v>
      </x:c>
    </x:row>
    <x:row r="207">
      <x:c r="A207" s="35" t="str">
        <x:v>crewMember</x:v>
      </x:c>
      <x:c r="B207" s="35" t="str">
        <x:v>https://w3id.org/nltl-benchmark/vocab#crewMember</x:v>
      </x:c>
      <x:c r="C207" s="35" t="str">
        <x:v>Class</x:v>
      </x:c>
      <x:c r="D207" s="35" t="str">
        <x:v>https://w3id.org/nltl-benchmark/vocab#person</x:v>
      </x:c>
      <x:c r="E207" s="35" t="str"/>
      <x:c r="F207" s="35" t="str"/>
      <x:c r="G207" s="38" t="str">
        <x:v>IMO-078 | IMO-104</x:v>
      </x:c>
      <x:c r="H207" s="35" t="str">
        <x:v>Locked-workbook normalized regulatory term</x:v>
      </x:c>
      <x:c r="I207" s="35" t="str">
        <x:v>N4 - preserve the source concept; normalize spelling to ASCII lowerCamelCase</x:v>
      </x:c>
      <x:c r="J207" s="35" t="str">
        <x:v>REUSE_R2_TERM</x:v>
      </x:c>
    </x:row>
    <x:row r="208">
      <x:c r="A208" s="35" t="str">
        <x:v>crewRole</x:v>
      </x:c>
      <x:c r="B208" s="35" t="str">
        <x:v>https://w3id.org/nltl-benchmark/vocab#crewRole</x:v>
      </x:c>
      <x:c r="C208" s="35" t="str">
        <x:v>DatatypeProperty</x:v>
      </x:c>
      <x:c r="D208" s="35" t="str">
        <x:v>http://www.w3.org/2001/XMLSchema#string</x:v>
      </x:c>
      <x:c r="E208" s="35" t="str">
        <x:v>xsd:string</x:v>
      </x:c>
      <x:c r="F208" s="35" t="str"/>
      <x:c r="G208" s="38" t="str">
        <x:v>IMO-102</x:v>
      </x:c>
      <x:c r="H208" s="35" t="str">
        <x:v>Locked-workbook normalized regulatory term</x:v>
      </x:c>
      <x:c r="I208" s="35" t="str">
        <x:v>N4 - preserve the source concept; normalize spelling to ASCII lowerCamelCase</x:v>
      </x:c>
      <x:c r="J208" s="35" t="str">
        <x:v>REUSE_R2_TERM</x:v>
      </x:c>
    </x:row>
    <x:row r="209">
      <x:c r="A209" s="35" t="str">
        <x:v>crewSurvivalEquipmentTrainingStatus</x:v>
      </x:c>
      <x:c r="B209" s="35" t="str">
        <x:v>https://w3id.org/nltl-benchmark/vocab#crewSurvivalEquipmentTrainingStatus</x:v>
      </x:c>
      <x:c r="C209" s="35" t="str">
        <x:v>DatatypeProperty</x:v>
      </x:c>
      <x:c r="D209" s="35" t="str">
        <x:v>http://www.w3.org/2001/XMLSchema#boolean</x:v>
      </x:c>
      <x:c r="E209" s="35" t="str">
        <x:v>xsd:boolean</x:v>
      </x:c>
      <x:c r="F209" s="35" t="str"/>
      <x:c r="G209" s="38" t="str">
        <x:v>IMO-078</x:v>
      </x:c>
      <x:c r="H209" s="35" t="str">
        <x:v>Locked-workbook normalized regulatory term</x:v>
      </x:c>
      <x:c r="I209" s="35" t="str">
        <x:v>N4 - preserve the source concept; normalize spelling to ASCII lowerCamelCase</x:v>
      </x:c>
      <x:c r="J209" s="35" t="str">
        <x:v>REUSE_R2_TERM</x:v>
      </x:c>
    </x:row>
    <x:row r="210">
      <x:c r="A210" s="35" t="str">
        <x:v>currentIceInformationReceivingCapability</x:v>
      </x:c>
      <x:c r="B210" s="35" t="str">
        <x:v>https://w3id.org/nltl-benchmark/vocab#currentIceInformationReceivingCapability</x:v>
      </x:c>
      <x:c r="C210" s="35" t="str">
        <x:v>DatatypeProperty</x:v>
      </x:c>
      <x:c r="D210" s="35" t="str">
        <x:v>http://www.w3.org/2001/XMLSchema#boolean</x:v>
      </x:c>
      <x:c r="E210" s="35" t="str">
        <x:v>xsd:boolean</x:v>
      </x:c>
      <x:c r="F210" s="35" t="str"/>
      <x:c r="G210" s="38" t="str">
        <x:v>IMO26-003</x:v>
      </x:c>
      <x:c r="H210" s="35" t="str">
        <x:v>Locked-workbook normalized regulatory term</x:v>
      </x:c>
      <x:c r="I210" s="35" t="str">
        <x:v>N4 - preserve the source concept; normalize spelling to ASCII lowerCamelCase</x:v>
      </x:c>
      <x:c r="J210" s="35" t="str">
        <x:v>REUSE_R2_TERM</x:v>
      </x:c>
    </x:row>
    <x:row r="211">
      <x:c r="A211" s="35" t="str">
        <x:v>currentNavigationInformationReceivingCapability</x:v>
      </x:c>
      <x:c r="B211" s="35" t="str">
        <x:v>https://w3id.org/nltl-benchmark/vocab#currentNavigationInformationReceivingCapability</x:v>
      </x:c>
      <x:c r="C211" s="35" t="str">
        <x:v>DatatypeProperty</x:v>
      </x:c>
      <x:c r="D211" s="35" t="str">
        <x:v>http://www.w3.org/2001/XMLSchema#boolean</x:v>
      </x:c>
      <x:c r="E211" s="35" t="str">
        <x:v>xsd:boolean</x:v>
      </x:c>
      <x:c r="F211" s="35" t="str"/>
      <x:c r="G211" s="38" t="str">
        <x:v>IMO26-003</x:v>
      </x:c>
      <x:c r="H211" s="35" t="str">
        <x:v>Locked-workbook normalized regulatory term</x:v>
      </x:c>
      <x:c r="I211" s="35" t="str">
        <x:v>N4 - preserve the source concept; normalize spelling to ASCII lowerCamelCase</x:v>
      </x:c>
      <x:c r="J211" s="35" t="str">
        <x:v>REUSE_R2_TERM</x:v>
      </x:c>
    </x:row>
    <x:row r="212">
      <x:c r="A212" s="35" t="str">
        <x:v>cutout</x:v>
      </x:c>
      <x:c r="B212" s="35" t="str">
        <x:v>https://w3id.org/nltl-benchmark/vocab#cutout</x:v>
      </x:c>
      <x:c r="C212" s="35" t="str">
        <x:v>Class</x:v>
      </x:c>
      <x:c r="D212" s="35" t="str">
        <x:v>https://w3id.org/nltl-benchmark/vocab#hullStructure</x:v>
      </x:c>
      <x:c r="E212" s="35" t="str"/>
      <x:c r="F212" s="35" t="str"/>
      <x:c r="G212" s="38" t="str">
        <x:v>I2-060</x:v>
      </x:c>
      <x:c r="H212" s="35" t="str">
        <x:v>Benchmark-coined descriptive engineering term</x:v>
      </x:c>
      <x:c r="I212" s="35" t="str">
        <x:v>N5 - component or subject first, followed by characteristic and qualifier/state; no unsupported external mapping</x:v>
      </x:c>
      <x:c r="J212" s="35" t="str">
        <x:v>REUSE_R2_TERM</x:v>
      </x:c>
    </x:row>
    <x:row r="213">
      <x:c r="A213" s="35" t="str">
        <x:v>dailyLowTemperature</x:v>
      </x:c>
      <x:c r="B213" s="35" t="str">
        <x:v>https://w3id.org/nltl-benchmark/vocab#dailyLowTemperature</x:v>
      </x:c>
      <x:c r="C213" s="35" t="str">
        <x:v>QuantityProperty</x:v>
      </x:c>
      <x:c r="D213" s="35" t="str">
        <x:v>http://qudt.org/schema/qudt/QuantityValue</x:v>
      </x:c>
      <x:c r="E213" s="35" t="str"/>
      <x:c r="F213" s="35" t="str">
        <x:v>deg C</x:v>
      </x:c>
      <x:c r="G213" s="38" t="str">
        <x:v>IMO-011</x:v>
      </x:c>
      <x:c r="H213" s="35" t="str">
        <x:v>Unit-stripped normalized regulatory variable</x:v>
      </x:c>
      <x:c r="I213" s="35" t="str">
        <x:v>N3 - remove unit from the identifier and retain it in unit/quantity metadata</x:v>
      </x:c>
      <x:c r="J213" s="35" t="str">
        <x:v>REUSE_R2_TERM</x:v>
      </x:c>
    </x:row>
    <x:row r="214">
      <x:c r="A214" s="35" t="str">
        <x:v>damageCenterForwardOfMaxBreadth</x:v>
      </x:c>
      <x:c r="B214" s="35" t="str">
        <x:v>https://w3id.org/nltl-benchmark/vocab#damageCenterForwardOfMaxBreadth</x:v>
      </x:c>
      <x:c r="C214" s="35" t="str">
        <x:v>DatatypeProperty</x:v>
      </x:c>
      <x:c r="D214" s="35" t="str">
        <x:v>http://www.w3.org/2001/XMLSchema#boolean</x:v>
      </x:c>
      <x:c r="E214" s="35" t="str">
        <x:v>xsd:boolean</x:v>
      </x:c>
      <x:c r="F214" s="35" t="str"/>
      <x:c r="G214" s="38" t="str">
        <x:v>IMO-038</x:v>
      </x:c>
      <x:c r="H214" s="35" t="str">
        <x:v>Locked-workbook normalized regulatory term</x:v>
      </x:c>
      <x:c r="I214" s="35" t="str">
        <x:v>N4 - preserve the source concept; normalize spelling to ASCII lowerCamelCase</x:v>
      </x:c>
      <x:c r="J214" s="35" t="str">
        <x:v>REUSE_R2_TERM</x:v>
      </x:c>
    </x:row>
    <x:row r="215">
      <x:c r="A215" s="35" t="str">
        <x:v>damping</x:v>
      </x:c>
      <x:c r="B215" s="35" t="str">
        <x:v>https://w3id.org/nltl-benchmark/vocab#damping</x:v>
      </x:c>
      <x:c r="C215" s="35" t="str">
        <x:v>DatatypeProperty</x:v>
      </x:c>
      <x:c r="D215" s="35" t="str">
        <x:v>http://www.w3.org/2001/XMLSchema#string</x:v>
      </x:c>
      <x:c r="E215" s="35" t="str">
        <x:v>xsd:string</x:v>
      </x:c>
      <x:c r="F215" s="35" t="str"/>
      <x:c r="G215" s="38" t="str">
        <x:v>TRF-100 | TRF-120</x:v>
      </x:c>
      <x:c r="H215" s="35" t="str">
        <x:v>Benchmark-coined descriptive engineering term</x:v>
      </x:c>
      <x:c r="I215" s="35" t="str">
        <x:v>N5 - component or subject first, followed by characteristic and qualifier/state; no unsupported external mapping</x:v>
      </x:c>
      <x:c r="J215" s="35" t="str">
        <x:v>REUSE_R2_TERM</x:v>
      </x:c>
    </x:row>
    <x:row r="216">
      <x:c r="A216" s="35" t="str">
        <x:v>dataPeriod</x:v>
      </x:c>
      <x:c r="B216" s="35" t="str">
        <x:v>https://w3id.org/nltl-benchmark/vocab#dataPeriod</x:v>
      </x:c>
      <x:c r="C216" s="35" t="str">
        <x:v>QuantityProperty</x:v>
      </x:c>
      <x:c r="D216" s="35" t="str">
        <x:v>http://qudt.org/schema/qudt/QuantityValue</x:v>
      </x:c>
      <x:c r="E216" s="35" t="str"/>
      <x:c r="F216" s="35" t="str">
        <x:v>year</x:v>
      </x:c>
      <x:c r="G216" s="38" t="str">
        <x:v>IMO-011</x:v>
      </x:c>
      <x:c r="H216" s="35" t="str">
        <x:v>Unit-stripped normalized regulatory variable</x:v>
      </x:c>
      <x:c r="I216" s="35" t="str">
        <x:v>N3 - remove unit from the identifier and retain it in unit/quantity metadata</x:v>
      </x:c>
      <x:c r="J216" s="35" t="str">
        <x:v>REUSE_R2_TERM</x:v>
      </x:c>
    </x:row>
    <x:row r="217">
      <x:c r="A217" s="35" t="str">
        <x:v>deadweight</x:v>
      </x:c>
      <x:c r="B217" s="35" t="str">
        <x:v>https://w3id.org/nltl-benchmark/vocab#deadweight</x:v>
      </x:c>
      <x:c r="C217" s="35" t="str">
        <x:v>QuantityProperty</x:v>
      </x:c>
      <x:c r="D217" s="35" t="str">
        <x:v>http://qudt.org/schema/qudt/QuantityValue</x:v>
      </x:c>
      <x:c r="E217" s="35" t="str"/>
      <x:c r="F217" s="35" t="str">
        <x:v>t</x:v>
      </x:c>
      <x:c r="G217" s="38" t="str">
        <x:v>IMO-110</x:v>
      </x:c>
      <x:c r="H217" s="35" t="str">
        <x:v>Locked-workbook normalized regulatory term</x:v>
      </x:c>
      <x:c r="I217" s="35" t="str">
        <x:v>N4 - preserve the source concept; normalize spelling to ASCII lowerCamelCase</x:v>
      </x:c>
      <x:c r="J217" s="35" t="str">
        <x:v>REUSE_R2_TERM</x:v>
      </x:c>
    </x:row>
    <x:row r="218">
      <x:c r="A218" s="35" t="str">
        <x:v>deckIcingAllowance</x:v>
      </x:c>
      <x:c r="B218" s="35" t="str">
        <x:v>https://w3id.org/nltl-benchmark/vocab#deckIcingAllowance</x:v>
      </x:c>
      <x:c r="C218" s="35" t="str">
        <x:v>QuantityProperty</x:v>
      </x:c>
      <x:c r="D218" s="35" t="str">
        <x:v>http://qudt.org/schema/qudt/QuantityValue</x:v>
      </x:c>
      <x:c r="E218" s="35" t="str"/>
      <x:c r="F218" s="35" t="str">
        <x:v>kg/m^2</x:v>
      </x:c>
      <x:c r="G218" s="38" t="str">
        <x:v>IMO-033</x:v>
      </x:c>
      <x:c r="H218" s="35" t="str">
        <x:v>Unit-stripped normalized regulatory variable</x:v>
      </x:c>
      <x:c r="I218" s="35" t="str">
        <x:v>N3 - remove unit from the identifier and retain it in unit/quantity metadata</x:v>
      </x:c>
      <x:c r="J218" s="35" t="str">
        <x:v>REUSE_R2_TERM</x:v>
      </x:c>
    </x:row>
    <x:row r="219">
      <x:c r="A219" s="35" t="str">
        <x:v>deckStructure</x:v>
      </x:c>
      <x:c r="B219" s="35" t="str">
        <x:v>https://w3id.org/nltl-benchmark/vocab#deckStructure</x:v>
      </x:c>
      <x:c r="C219" s="35" t="str">
        <x:v>Class</x:v>
      </x:c>
      <x:c r="D219" s="35" t="str">
        <x:v>https://w3id.org/nltl-benchmark/vocab#hullStructure</x:v>
      </x:c>
      <x:c r="E219" s="35" t="str"/>
      <x:c r="F219" s="35" t="str"/>
      <x:c r="G219" s="38" t="str">
        <x:v>TRF-046 | TRF-047 | TRF-051</x:v>
      </x:c>
      <x:c r="H219" s="35" t="str">
        <x:v>Applicable TRAFICOM regulation wording plus explicit engineering node/operand role</x:v>
      </x:c>
      <x:c r="I219" s="35" t="str">
        <x:v>N4 - singular ASCII lowerCamelCase entity name derived from the linked regulatory role.</x:v>
      </x:c>
      <x:c r="J219" s="35" t="str">
        <x:v>ADD_DEVELOPMENT_TERM</x:v>
      </x:c>
    </x:row>
    <x:row r="220">
      <x:c r="A220" s="35" t="str">
        <x:v>deliveryDate</x:v>
      </x:c>
      <x:c r="B220" s="35" t="str">
        <x:v>https://w3id.org/nltl-benchmark/vocab#deliveryDate</x:v>
      </x:c>
      <x:c r="C220" s="35" t="str">
        <x:v>DatatypeProperty</x:v>
      </x:c>
      <x:c r="D220" s="35" t="str">
        <x:v>http://www.w3.org/2001/XMLSchema#date</x:v>
      </x:c>
      <x:c r="E220" s="35" t="str">
        <x:v>xsd:date</x:v>
      </x:c>
      <x:c r="F220" s="35" t="str"/>
      <x:c r="G220" s="38" t="str">
        <x:v>TRF-007 | TRF-009 | TRF-024</x:v>
      </x:c>
      <x:c r="H220" s="35" t="str">
        <x:v>Applicable TRAFICOM regulation wording plus explicit engineering node/operand role</x:v>
      </x:c>
      <x:c r="I220" s="35" t="str">
        <x:v>N4 - explicit regulatory concept in ASCII lowerCamelCase with an XSD datatype.</x:v>
      </x:c>
      <x:c r="J220" s="35" t="str">
        <x:v>ADD_DEVELOPMENT_TERM</x:v>
      </x:c>
    </x:row>
    <x:row r="221">
      <x:c r="A221" s="35" t="str">
        <x:v>demonstratedDuration</x:v>
      </x:c>
      <x:c r="B221" s="35" t="str">
        <x:v>https://w3id.org/nltl-benchmark/vocab#demonstratedDuration</x:v>
      </x:c>
      <x:c r="C221" s="35" t="str">
        <x:v>QuantityProperty</x:v>
      </x:c>
      <x:c r="D221" s="35" t="str">
        <x:v>http://qudt.org/schema/qudt/QuantityValue</x:v>
      </x:c>
      <x:c r="E221" s="35" t="str"/>
      <x:c r="F221" s="35" t="str">
        <x:v>day</x:v>
      </x:c>
      <x:c r="G221" s="38" t="str">
        <x:v>IMO-063</x:v>
      </x:c>
      <x:c r="H221" s="35" t="str">
        <x:v>Unit-stripped normalized regulatory variable</x:v>
      </x:c>
      <x:c r="I221" s="35" t="str">
        <x:v>N3 - remove unit from the identifier and retain it in unit/quantity metadata</x:v>
      </x:c>
      <x:c r="J221" s="35" t="str">
        <x:v>REUSE_R2_TERM</x:v>
      </x:c>
    </x:row>
    <x:row r="222">
      <x:c r="A222" s="35" t="str">
        <x:v>demonstratedOperatingDuration</x:v>
      </x:c>
      <x:c r="B222" s="35" t="str">
        <x:v>https://w3id.org/nltl-benchmark/vocab#demonstratedOperatingDuration</x:v>
      </x:c>
      <x:c r="C222" s="35" t="str">
        <x:v>QuantityProperty</x:v>
      </x:c>
      <x:c r="D222" s="35" t="str">
        <x:v>http://qudt.org/schema/qudt/QuantityValue</x:v>
      </x:c>
      <x:c r="E222" s="35" t="str"/>
      <x:c r="F222" s="35" t="str">
        <x:v>day</x:v>
      </x:c>
      <x:c r="G222" s="38" t="str">
        <x:v>IMO-020 | IMO-093</x:v>
      </x:c>
      <x:c r="H222" s="35" t="str">
        <x:v>Unit-stripped normalized regulatory variable</x:v>
      </x:c>
      <x:c r="I222" s="35" t="str">
        <x:v>N3 - remove unit from the identifier and retain it in unit/quantity metadata</x:v>
      </x:c>
      <x:c r="J222" s="35" t="str">
        <x:v>REUSE_R2_TERM</x:v>
      </x:c>
    </x:row>
    <x:row r="223">
      <x:c r="A223" s="35" t="str">
        <x:v>departureAndDestinationWithinArctic</x:v>
      </x:c>
      <x:c r="B223" s="35" t="str">
        <x:v>https://w3id.org/nltl-benchmark/vocab#departureAndDestinationWithinArctic</x:v>
      </x:c>
      <x:c r="C223" s="35" t="str">
        <x:v>DatatypeProperty</x:v>
      </x:c>
      <x:c r="D223" s="35" t="str">
        <x:v>http://www.w3.org/2001/XMLSchema#boolean</x:v>
      </x:c>
      <x:c r="E223" s="35" t="str">
        <x:v>xsd:boolean</x:v>
      </x:c>
      <x:c r="F223" s="35" t="str"/>
      <x:c r="G223" s="38" t="str">
        <x:v>IMO-123</x:v>
      </x:c>
      <x:c r="H223" s="35" t="str">
        <x:v>Locked-workbook normalized regulatory term</x:v>
      </x:c>
      <x:c r="I223" s="35" t="str">
        <x:v>N4 - preserve the source concept; normalize spelling to ASCII lowerCamelCase</x:v>
      </x:c>
      <x:c r="J223" s="35" t="str">
        <x:v>REUSE_R2_TERM</x:v>
      </x:c>
    </x:row>
    <x:row r="224">
      <x:c r="A224" s="35" t="str">
        <x:v>designIceBlock</x:v>
      </x:c>
      <x:c r="B224" s="35" t="str">
        <x:v>https://w3id.org/nltl-benchmark/vocab#designIceBlock</x:v>
      </x:c>
      <x:c r="C224" s="35" t="str">
        <x:v>DatatypeProperty</x:v>
      </x:c>
      <x:c r="D224" s="35" t="str">
        <x:v>http://www.w3.org/2001/XMLSchema#string</x:v>
      </x:c>
      <x:c r="E224" s="35" t="str">
        <x:v>xsd:string</x:v>
      </x:c>
      <x:c r="F224" s="35" t="str"/>
      <x:c r="G224" s="38" t="str">
        <x:v>TRF-114</x:v>
      </x:c>
      <x:c r="H224" s="35" t="str">
        <x:v>Benchmark-coined descriptive engineering term</x:v>
      </x:c>
      <x:c r="I224" s="35" t="str">
        <x:v>N5 - component or subject first, followed by characteristic and qualifier/state; no unsupported external mapping</x:v>
      </x:c>
      <x:c r="J224" s="35" t="str">
        <x:v>REUSE_R2_TERM</x:v>
      </x:c>
    </x:row>
    <x:row r="225">
      <x:c r="A225" s="35" t="str">
        <x:v>designIceCondition</x:v>
      </x:c>
      <x:c r="B225" s="35" t="str">
        <x:v>https://w3id.org/nltl-benchmark/vocab#designIceCondition</x:v>
      </x:c>
      <x:c r="C225" s="35" t="str">
        <x:v>DatatypeProperty</x:v>
      </x:c>
      <x:c r="D225" s="35" t="str">
        <x:v>http://www.w3.org/2001/XMLSchema#string</x:v>
      </x:c>
      <x:c r="E225" s="35" t="str">
        <x:v>xsd:string</x:v>
      </x:c>
      <x:c r="F225" s="35" t="str"/>
      <x:c r="G225" s="38" t="str">
        <x:v>IMO-001 | IMO-002 | IMO-003</x:v>
      </x:c>
      <x:c r="H225" s="35" t="str">
        <x:v>Locked-workbook normalized regulatory term</x:v>
      </x:c>
      <x:c r="I225" s="35" t="str">
        <x:v>N4 - preserve the source concept; normalize spelling to ASCII lowerCamelCase</x:v>
      </x:c>
      <x:c r="J225" s="35" t="str">
        <x:v>REUSE_R2_TERM</x:v>
      </x:c>
    </x:row>
    <x:row r="226">
      <x:c r="A226" s="35" t="str">
        <x:v>designIceLoadHeight</x:v>
      </x:c>
      <x:c r="B226" s="35" t="str">
        <x:v>https://w3id.org/nltl-benchmark/vocab#designIceLoadHeight</x:v>
      </x:c>
      <x:c r="C226" s="35" t="str">
        <x:v>QuantityProperty</x:v>
      </x:c>
      <x:c r="D226" s="35" t="str">
        <x:v>http://qudt.org/schema/qudt/QuantityValue</x:v>
      </x:c>
      <x:c r="E226" s="35" t="str"/>
      <x:c r="F226" s="35" t="str">
        <x:v>m</x:v>
      </x:c>
      <x:c r="G226" s="38" t="str">
        <x:v>TRF-036</x:v>
      </x:c>
      <x:c r="H226" s="35" t="str">
        <x:v>Benchmark-coined descriptive engineering term</x:v>
      </x:c>
      <x:c r="I226" s="35" t="str">
        <x:v>N5 - component or subject first, followed by characteristic and qualifier/state; no unsupported external mapping</x:v>
      </x:c>
      <x:c r="J226" s="35" t="str">
        <x:v>REUSE_R2_TERM</x:v>
      </x:c>
    </x:row>
    <x:row r="227">
      <x:c r="A227" s="35" t="str">
        <x:v>designLineLoad</x:v>
      </x:c>
      <x:c r="B227" s="35" t="str">
        <x:v>https://w3id.org/nltl-benchmark/vocab#designLineLoad</x:v>
      </x:c>
      <x:c r="C227" s="35" t="str">
        <x:v>QuantityProperty</x:v>
      </x:c>
      <x:c r="D227" s="35" t="str">
        <x:v>http://qudt.org/schema/qudt/QuantityValue</x:v>
      </x:c>
      <x:c r="E227" s="35" t="str"/>
      <x:c r="F227" s="35" t="str">
        <x:v>kN/m</x:v>
      </x:c>
      <x:c r="G227" s="38" t="str">
        <x:v>TRF-053 | TRF-054</x:v>
      </x:c>
      <x:c r="H227" s="35" t="str">
        <x:v>Unit-stripped normalized regulatory variable</x:v>
      </x:c>
      <x:c r="I227" s="35" t="str">
        <x:v>N3 - remove unit from the identifier and retain it in unit/quantity metadata</x:v>
      </x:c>
      <x:c r="J227" s="35" t="str">
        <x:v>REUSE_R2_TERM</x:v>
      </x:c>
    </x:row>
    <x:row r="228">
      <x:c r="A228" s="35" t="str">
        <x:v>designOperationSpeedInIce</x:v>
      </x:c>
      <x:c r="B228" s="35" t="str">
        <x:v>https://w3id.org/nltl-benchmark/vocab#designOperationSpeedInIce</x:v>
      </x:c>
      <x:c r="C228" s="35" t="str">
        <x:v>QuantityProperty</x:v>
      </x:c>
      <x:c r="D228" s="35" t="str">
        <x:v>http://qudt.org/schema/qudt/QuantityValue</x:v>
      </x:c>
      <x:c r="E228" s="35" t="str"/>
      <x:c r="F228" s="35" t="str">
        <x:v>kn</x:v>
      </x:c>
      <x:c r="G228" s="38" t="str">
        <x:v>TRF-040 | TRF-065</x:v>
      </x:c>
      <x:c r="H228" s="35" t="str">
        <x:v>Unit-stripped normalized regulatory variable</x:v>
      </x:c>
      <x:c r="I228" s="35" t="str">
        <x:v>N3 - remove unit from the identifier and retain it in unit/quantity metadata</x:v>
      </x:c>
      <x:c r="J228" s="35" t="str">
        <x:v>REUSE_R2_TERM</x:v>
      </x:c>
    </x:row>
    <x:row r="229">
      <x:c r="A229" s="35" t="str">
        <x:v>designStress</x:v>
      </x:c>
      <x:c r="B229" s="35" t="str">
        <x:v>https://w3id.org/nltl-benchmark/vocab#designStress</x:v>
      </x:c>
      <x:c r="C229" s="35" t="str">
        <x:v>QuantityProperty</x:v>
      </x:c>
      <x:c r="D229" s="35" t="str">
        <x:v>http://qudt.org/schema/qudt/QuantityValue</x:v>
      </x:c>
      <x:c r="E229" s="35" t="str"/>
      <x:c r="F229" s="35" t="str">
        <x:v>MPa</x:v>
      </x:c>
      <x:c r="G229" s="38" t="str">
        <x:v>I2-055</x:v>
      </x:c>
      <x:c r="H229" s="35" t="str">
        <x:v>Benchmark-coined descriptive engineering term</x:v>
      </x:c>
      <x:c r="I229" s="35" t="str">
        <x:v>N5 - component or subject first, followed by characteristic and qualifier/state; no unsupported external mapping</x:v>
      </x:c>
      <x:c r="J229" s="35" t="str">
        <x:v>REUSE_R2_TERM</x:v>
      </x:c>
    </x:row>
    <x:row r="230">
      <x:c r="A230" s="35" t="str">
        <x:v>designVerticalIceShearForce</x:v>
      </x:c>
      <x:c r="B230" s="35" t="str">
        <x:v>https://w3id.org/nltl-benchmark/vocab#designVerticalIceShearForce</x:v>
      </x:c>
      <x:c r="C230" s="35" t="str">
        <x:v>QuantityProperty</x:v>
      </x:c>
      <x:c r="D230" s="35" t="str">
        <x:v>http://qudt.org/schema/qudt/QuantityValue</x:v>
      </x:c>
      <x:c r="E230" s="35" t="str"/>
      <x:c r="F230" s="35" t="str">
        <x:v>kN</x:v>
      </x:c>
      <x:c r="G230" s="38" t="str">
        <x:v>I2-051 | I2-053</x:v>
      </x:c>
      <x:c r="H230" s="35" t="str">
        <x:v>Benchmark-coined descriptive engineering term</x:v>
      </x:c>
      <x:c r="I230" s="35" t="str">
        <x:v>N5 - component or subject first, followed by characteristic and qualifier/state; no unsupported external mapping</x:v>
      </x:c>
      <x:c r="J230" s="35" t="str">
        <x:v>REUSE_R2_TERM</x:v>
      </x:c>
    </x:row>
    <x:row r="231">
      <x:c r="A231" s="35" t="str">
        <x:v>designVerticalWaveShearForce</x:v>
      </x:c>
      <x:c r="B231" s="35" t="str">
        <x:v>https://w3id.org/nltl-benchmark/vocab#designVerticalWaveShearForce</x:v>
      </x:c>
      <x:c r="C231" s="35" t="str">
        <x:v>QuantityProperty</x:v>
      </x:c>
      <x:c r="D231" s="35" t="str">
        <x:v>http://qudt.org/schema/qudt/QuantityValue</x:v>
      </x:c>
      <x:c r="E231" s="35" t="str"/>
      <x:c r="F231" s="35" t="str">
        <x:v>kN</x:v>
      </x:c>
      <x:c r="G231" s="38" t="str">
        <x:v>I2-053</x:v>
      </x:c>
      <x:c r="H231" s="35" t="str">
        <x:v>Benchmark-coined descriptive engineering term</x:v>
      </x:c>
      <x:c r="I231" s="35" t="str">
        <x:v>N5 - component or subject first, followed by characteristic and qualifier/state; no unsupported external mapping</x:v>
      </x:c>
      <x:c r="J231" s="35" t="str">
        <x:v>REUSE_R2_TERM</x:v>
      </x:c>
    </x:row>
    <x:row r="232">
      <x:c r="A232" s="35" t="str">
        <x:v>designatedOfficerBasicTrainingStatus</x:v>
      </x:c>
      <x:c r="B232" s="35" t="str">
        <x:v>https://w3id.org/nltl-benchmark/vocab#designatedOfficerBasicTrainingStatus</x:v>
      </x:c>
      <x:c r="C232" s="35" t="str">
        <x:v>DatatypeProperty</x:v>
      </x:c>
      <x:c r="D232" s="35" t="str">
        <x:v>http://www.w3.org/2001/XMLSchema#boolean</x:v>
      </x:c>
      <x:c r="E232" s="35" t="str">
        <x:v>xsd:boolean</x:v>
      </x:c>
      <x:c r="F232" s="35" t="str"/>
      <x:c r="G232" s="38" t="str">
        <x:v>IMO-103</x:v>
      </x:c>
      <x:c r="H232" s="35" t="str">
        <x:v>Locked-workbook normalized regulatory term</x:v>
      </x:c>
      <x:c r="I232" s="35" t="str">
        <x:v>N4 - preserve the source concept; normalize spelling to ASCII lowerCamelCase</x:v>
      </x:c>
      <x:c r="J232" s="35" t="str">
        <x:v>REUSE_R2_TERM</x:v>
      </x:c>
    </x:row>
    <x:row r="233">
      <x:c r="A233" s="35" t="str">
        <x:v>detachedStrut</x:v>
      </x:c>
      <x:c r="B233" s="35" t="str">
        <x:v>https://w3id.org/nltl-benchmark/vocab#detachedStrut</x:v>
      </x:c>
      <x:c r="C233" s="35" t="str">
        <x:v>DatatypeProperty</x:v>
      </x:c>
      <x:c r="D233" s="35" t="str">
        <x:v>http://www.w3.org/2001/XMLSchema#boolean</x:v>
      </x:c>
      <x:c r="E233" s="35" t="str">
        <x:v>xsd:boolean</x:v>
      </x:c>
      <x:c r="F233" s="35" t="str"/>
      <x:c r="G233" s="38" t="str">
        <x:v>TRF-064</x:v>
      </x:c>
      <x:c r="H233" s="35" t="str">
        <x:v>Benchmark-coined descriptive engineering term</x:v>
      </x:c>
      <x:c r="I233" s="35" t="str">
        <x:v>N5 - component or subject first, followed by characteristic and qualifier/state; no unsupported external mapping</x:v>
      </x:c>
      <x:c r="J233" s="35" t="str">
        <x:v>REUSE_R2_TERM</x:v>
      </x:c>
    </x:row>
    <x:row r="234">
      <x:c r="A234" s="35" t="str">
        <x:v>devicePowerSourceIndependentOfMainPower</x:v>
      </x:c>
      <x:c r="B234" s="35" t="str">
        <x:v>https://w3id.org/nltl-benchmark/vocab#devicePowerSourceIndependentOfMainPower</x:v>
      </x:c>
      <x:c r="C234" s="35" t="str">
        <x:v>DatatypeProperty</x:v>
      </x:c>
      <x:c r="D234" s="35" t="str">
        <x:v>http://www.w3.org/2001/XMLSchema#boolean</x:v>
      </x:c>
      <x:c r="E234" s="35" t="str">
        <x:v>xsd:boolean</x:v>
      </x:c>
      <x:c r="F234" s="35" t="str"/>
      <x:c r="G234" s="38" t="str">
        <x:v>IMO-069</x:v>
      </x:c>
      <x:c r="H234" s="35" t="str">
        <x:v>Locked-workbook normalized regulatory term</x:v>
      </x:c>
      <x:c r="I234" s="35" t="str">
        <x:v>N4 - preserve the source concept; normalize spelling to ASCII lowerCamelCase</x:v>
      </x:c>
      <x:c r="J234" s="35" t="str">
        <x:v>REUSE_R2_TERM</x:v>
      </x:c>
    </x:row>
    <x:row r="235">
      <x:c r="A235" s="35" t="str">
        <x:v>dieselEnginePlant</x:v>
      </x:c>
      <x:c r="B235" s="35" t="str">
        <x:v>https://w3id.org/nltl-benchmark/vocab#dieselEnginePlant</x:v>
      </x:c>
      <x:c r="C235" s="35" t="str">
        <x:v>Class</x:v>
      </x:c>
      <x:c r="D235" s="35" t="str">
        <x:v>https://w3id.org/nltl-benchmark/vocab#machineryComponent</x:v>
      </x:c>
      <x:c r="E235" s="35" t="str"/>
      <x:c r="F235" s="35" t="str"/>
      <x:c r="G235" s="38" t="str">
        <x:v>TRF-093</x:v>
      </x:c>
      <x:c r="H235" s="35" t="str">
        <x:v>Benchmark-coined descriptive engineering term</x:v>
      </x:c>
      <x:c r="I235" s="35" t="str">
        <x:v>N5 - component or subject first, followed by characteristic and qualifier/state; no unsupported external mapping</x:v>
      </x:c>
      <x:c r="J235" s="35" t="str">
        <x:v>REUSE_R2_TERM</x:v>
      </x:c>
    </x:row>
    <x:row r="236">
      <x:c r="A236" s="35" t="str">
        <x:v>dimensioningAnalysisStatus</x:v>
      </x:c>
      <x:c r="B236" s="35" t="str">
        <x:v>https://w3id.org/nltl-benchmark/vocab#dimensioningAnalysisStatus</x:v>
      </x:c>
      <x:c r="C236" s="35" t="str">
        <x:v>DatatypeProperty</x:v>
      </x:c>
      <x:c r="D236" s="35" t="str">
        <x:v>http://www.w3.org/2001/XMLSchema#boolean</x:v>
      </x:c>
      <x:c r="E236" s="35" t="str">
        <x:v>xsd:boolean</x:v>
      </x:c>
      <x:c r="F236" s="35" t="str"/>
      <x:c r="G236" s="38" t="str">
        <x:v>TRF-068</x:v>
      </x:c>
      <x:c r="H236" s="35" t="str">
        <x:v>Benchmark-coined descriptive engineering term</x:v>
      </x:c>
      <x:c r="I236" s="35" t="str">
        <x:v>N5 - component or subject first, followed by characteristic and qualifier/state; no unsupported external mapping</x:v>
      </x:c>
      <x:c r="J236" s="35" t="str">
        <x:v>REUSE_R2_TERM</x:v>
      </x:c>
    </x:row>
    <x:row r="237">
      <x:c r="A237" s="35" t="str">
        <x:v>directAnalysisApprovalStatus</x:v>
      </x:c>
      <x:c r="B237" s="35" t="str">
        <x:v>https://w3id.org/nltl-benchmark/vocab#directAnalysisApprovalStatus</x:v>
      </x:c>
      <x:c r="C237" s="35" t="str">
        <x:v>ObjectProperty</x:v>
      </x:c>
      <x:c r="D237" s="35" t="str">
        <x:v>https://w3id.org/nltl-benchmark/vocab#evidenceState</x:v>
      </x:c>
      <x:c r="E237" s="35" t="str"/>
      <x:c r="F237" s="35" t="str"/>
      <x:c r="G237" s="38" t="str">
        <x:v>TRF-029</x:v>
      </x:c>
      <x:c r="H237" s="35" t="str">
        <x:v>Benchmark-coined descriptive engineering term</x:v>
      </x:c>
      <x:c r="I237" s="35" t="str">
        <x:v>N5 - component or subject first, followed by characteristic and qualifier/state; no unsupported external mapping</x:v>
      </x:c>
      <x:c r="J237" s="35" t="str">
        <x:v>REUSE_R2_TERM</x:v>
      </x:c>
    </x:row>
    <x:row r="238">
      <x:c r="A238" s="35" t="str">
        <x:v>directAnalysisCase</x:v>
      </x:c>
      <x:c r="B238" s="35" t="str">
        <x:v>https://w3id.org/nltl-benchmark/vocab#directAnalysisCase</x:v>
      </x:c>
      <x:c r="C238" s="35" t="str">
        <x:v>Class</x:v>
      </x:c>
      <x:c r="D238" s="35" t="str">
        <x:v>https://w3id.org/nltl-benchmark/vocab#benchmarkEntity</x:v>
      </x:c>
      <x:c r="E238" s="35" t="str"/>
      <x:c r="F238" s="35" t="str"/>
      <x:c r="G238" s="38" t="str">
        <x:v>TRF-030</x:v>
      </x:c>
      <x:c r="H238" s="35" t="str">
        <x:v>Applicable TRAFICOM regulation wording plus explicit engineering node/operand role</x:v>
      </x:c>
      <x:c r="I238" s="35" t="str">
        <x:v>N4 - singular ASCII lowerCamelCase entity name derived from the linked regulatory role.</x:v>
      </x:c>
      <x:c r="J238" s="35" t="str">
        <x:v>ADD_DEVELOPMENT_TERM</x:v>
      </x:c>
    </x:row>
    <x:row r="239">
      <x:c r="A239" s="35" t="str">
        <x:v>directAnalysisUsed</x:v>
      </x:c>
      <x:c r="B239" s="35" t="str">
        <x:v>https://w3id.org/nltl-benchmark/vocab#directAnalysisUsed</x:v>
      </x:c>
      <x:c r="C239" s="35" t="str">
        <x:v>DatatypeProperty</x:v>
      </x:c>
      <x:c r="D239" s="35" t="str">
        <x:v>http://www.w3.org/2001/XMLSchema#boolean</x:v>
      </x:c>
      <x:c r="E239" s="35" t="str">
        <x:v>xsd:boolean</x:v>
      </x:c>
      <x:c r="F239" s="35" t="str"/>
      <x:c r="G239" s="38" t="str">
        <x:v>TRF-029</x:v>
      </x:c>
      <x:c r="H239" s="35" t="str">
        <x:v>Benchmark-coined descriptive engineering term</x:v>
      </x:c>
      <x:c r="I239" s="35" t="str">
        <x:v>N5 - component or subject first, followed by characteristic and qualifier/state; no unsupported external mapping</x:v>
      </x:c>
      <x:c r="J239" s="35" t="str">
        <x:v>REUSE_R2_TERM</x:v>
      </x:c>
    </x:row>
    <x:row r="240">
      <x:c r="A240" s="35" t="str">
        <x:v>directCalculationMethod</x:v>
      </x:c>
      <x:c r="B240" s="35" t="str">
        <x:v>https://w3id.org/nltl-benchmark/vocab#directCalculationMethod</x:v>
      </x:c>
      <x:c r="C240" s="35" t="str">
        <x:v>DatatypeProperty</x:v>
      </x:c>
      <x:c r="D240" s="35" t="str">
        <x:v>http://www.w3.org/2001/XMLSchema#string</x:v>
      </x:c>
      <x:c r="E240" s="35" t="str">
        <x:v>xsd:string</x:v>
      </x:c>
      <x:c r="F240" s="35" t="str"/>
      <x:c r="G240" s="38" t="str">
        <x:v>TRF-031</x:v>
      </x:c>
      <x:c r="H240" s="35" t="str">
        <x:v>Benchmark-coined descriptive engineering term</x:v>
      </x:c>
      <x:c r="I240" s="35" t="str">
        <x:v>N5 - component or subject first, followed by characteristic and qualifier/state; no unsupported external mapping</x:v>
      </x:c>
      <x:c r="J240" s="35" t="str">
        <x:v>REUSE_R2_TERM</x:v>
      </x:c>
    </x:row>
    <x:row r="241">
      <x:c r="A241" s="35" t="str">
        <x:v>directCalculationUsed</x:v>
      </x:c>
      <x:c r="B241" s="35" t="str">
        <x:v>https://w3id.org/nltl-benchmark/vocab#directCalculationUsed</x:v>
      </x:c>
      <x:c r="C241" s="35" t="str">
        <x:v>DatatypeProperty</x:v>
      </x:c>
      <x:c r="D241" s="35" t="str">
        <x:v>http://www.w3.org/2001/XMLSchema#boolean</x:v>
      </x:c>
      <x:c r="E241" s="35" t="str">
        <x:v>xsd:boolean</x:v>
      </x:c>
      <x:c r="F241" s="35" t="str"/>
      <x:c r="G241" s="38" t="str">
        <x:v>I2-062</x:v>
      </x:c>
      <x:c r="H241" s="35" t="str">
        <x:v>Benchmark-coined descriptive engineering term</x:v>
      </x:c>
      <x:c r="I241" s="35" t="str">
        <x:v>N5 - component or subject first, followed by characteristic and qualifier/state; no unsupported external mapping</x:v>
      </x:c>
      <x:c r="J241" s="35" t="str">
        <x:v>REUSE_R2_TERM</x:v>
      </x:c>
    </x:row>
    <x:row r="242">
      <x:c r="A242" s="35" t="str">
        <x:v>directEvacuationOntoIceApplicable</x:v>
      </x:c>
      <x:c r="B242" s="35" t="str">
        <x:v>https://w3id.org/nltl-benchmark/vocab#directEvacuationOntoIceApplicable</x:v>
      </x:c>
      <x:c r="C242" s="35" t="str">
        <x:v>DatatypeProperty</x:v>
      </x:c>
      <x:c r="D242" s="35" t="str">
        <x:v>http://www.w3.org/2001/XMLSchema#boolean</x:v>
      </x:c>
      <x:c r="E242" s="35" t="str">
        <x:v>xsd:boolean</x:v>
      </x:c>
      <x:c r="F242" s="35" t="str"/>
      <x:c r="G242" s="38" t="str">
        <x:v>IMO-068</x:v>
      </x:c>
      <x:c r="H242" s="35" t="str">
        <x:v>Locked-workbook normalized regulatory term</x:v>
      </x:c>
      <x:c r="I242" s="35" t="str">
        <x:v>N4 - preserve the source concept; normalize spelling to ASCII lowerCamelCase</x:v>
      </x:c>
      <x:c r="J242" s="35" t="str">
        <x:v>REUSE_R2_TERM</x:v>
      </x:c>
    </x:row>
    <x:row r="243">
      <x:c r="A243" s="35" t="str">
        <x:v>dischargeDistanceRecords</x:v>
      </x:c>
      <x:c r="B243" s="35" t="str">
        <x:v>https://w3id.org/nltl-benchmark/vocab#dischargeDistanceRecords</x:v>
      </x:c>
      <x:c r="C243" s="35" t="str">
        <x:v>Class</x:v>
      </x:c>
      <x:c r="D243" s="35" t="str">
        <x:v>https://w3id.org/nltl-benchmark/vocab#documentEvidence</x:v>
      </x:c>
      <x:c r="E243" s="35" t="str"/>
      <x:c r="F243" s="35" t="str"/>
      <x:c r="G243" s="38" t="str">
        <x:v>IMO-117</x:v>
      </x:c>
      <x:c r="H243" s="35" t="str">
        <x:v>Locked-workbook normalized regulatory term</x:v>
      </x:c>
      <x:c r="I243" s="35" t="str">
        <x:v>N4 - preserve the source concept; normalize spelling to ASCII lowerCamelCase</x:v>
      </x:c>
      <x:c r="J243" s="35" t="str">
        <x:v>REUSE_R2_TERM</x:v>
      </x:c>
    </x:row>
    <x:row r="244">
      <x:c r="A244" s="35" t="str">
        <x:v>dischargedMaterialType</x:v>
      </x:c>
      <x:c r="B244" s="35" t="str">
        <x:v>https://w3id.org/nltl-benchmark/vocab#dischargedMaterialType</x:v>
      </x:c>
      <x:c r="C244" s="35" t="str">
        <x:v>DatatypeProperty</x:v>
      </x:c>
      <x:c r="D244" s="35" t="str">
        <x:v>http://www.w3.org/2001/XMLSchema#string</x:v>
      </x:c>
      <x:c r="E244" s="35" t="str">
        <x:v>xsd:string</x:v>
      </x:c>
      <x:c r="F244" s="35" t="str"/>
      <x:c r="G244" s="38" t="str">
        <x:v>IMO-106</x:v>
      </x:c>
      <x:c r="H244" s="35" t="str">
        <x:v>Locked-workbook normalized regulatory term</x:v>
      </x:c>
      <x:c r="I244" s="35" t="str">
        <x:v>N4 - preserve the source concept; normalize spelling to ASCII lowerCamelCase</x:v>
      </x:c>
      <x:c r="J244" s="35" t="str">
        <x:v>REUSE_R2_TERM</x:v>
      </x:c>
    </x:row>
    <x:row r="245">
      <x:c r="A245" s="35" t="str">
        <x:v>discontinuousSurfaceProjectedArea</x:v>
      </x:c>
      <x:c r="B245" s="35" t="str">
        <x:v>https://w3id.org/nltl-benchmark/vocab#discontinuousSurfaceProjectedArea</x:v>
      </x:c>
      <x:c r="C245" s="35" t="str">
        <x:v>QuantityProperty</x:v>
      </x:c>
      <x:c r="D245" s="35" t="str">
        <x:v>http://qudt.org/schema/qudt/QuantityValue</x:v>
      </x:c>
      <x:c r="E245" s="35" t="str"/>
      <x:c r="F245" s="35" t="str">
        <x:v>m^2</x:v>
      </x:c>
      <x:c r="G245" s="38" t="str">
        <x:v>IMO-033</x:v>
      </x:c>
      <x:c r="H245" s="35" t="str">
        <x:v>Locked-workbook normalized regulatory term</x:v>
      </x:c>
      <x:c r="I245" s="35" t="str">
        <x:v>N4 - preserve the source concept; normalize spelling to ASCII lowerCamelCase</x:v>
      </x:c>
      <x:c r="J245" s="35" t="str">
        <x:v>REUSE_R2_TERM</x:v>
      </x:c>
    </x:row>
    <x:row r="246">
      <x:c r="A246" s="35" t="str">
        <x:v>discontinuousSurfaceStaticMoment</x:v>
      </x:c>
      <x:c r="B246" s="35" t="str">
        <x:v>https://w3id.org/nltl-benchmark/vocab#discontinuousSurfaceStaticMoment</x:v>
      </x:c>
      <x:c r="C246" s="35" t="str">
        <x:v>QuantityProperty</x:v>
      </x:c>
      <x:c r="D246" s="35" t="str">
        <x:v>http://qudt.org/schema/qudt/QuantityValue</x:v>
      </x:c>
      <x:c r="E246" s="35" t="str"/>
      <x:c r="F246" s="35" t="str">
        <x:v>kN*m</x:v>
      </x:c>
      <x:c r="G246" s="38" t="str">
        <x:v>IMO-033</x:v>
      </x:c>
      <x:c r="H246" s="35" t="str">
        <x:v>Locked-workbook normalized regulatory term</x:v>
      </x:c>
      <x:c r="I246" s="35" t="str">
        <x:v>N4 - preserve the source concept; normalize spelling to ASCII lowerCamelCase</x:v>
      </x:c>
      <x:c r="J246" s="35" t="str">
        <x:v>REUSE_R2_TERM</x:v>
      </x:c>
    </x:row>
    <x:row r="247">
      <x:c r="A247" s="35" t="str">
        <x:v>displacementAtMaximumIceClassDraught</x:v>
      </x:c>
      <x:c r="B247" s="35" t="str">
        <x:v>https://w3id.org/nltl-benchmark/vocab#displacementAtMaximumIceClassDraught</x:v>
      </x:c>
      <x:c r="C247" s="35" t="str">
        <x:v>QuantityProperty</x:v>
      </x:c>
      <x:c r="D247" s="35" t="str">
        <x:v>http://qudt.org/schema/qudt/QuantityValue</x:v>
      </x:c>
      <x:c r="E247" s="35" t="str"/>
      <x:c r="F247" s="35" t="str">
        <x:v>t</x:v>
      </x:c>
      <x:c r="G247" s="38" t="str">
        <x:v>TRF-039</x:v>
      </x:c>
      <x:c r="H247" s="35" t="str">
        <x:v>Benchmark-coined descriptive engineering term</x:v>
      </x:c>
      <x:c r="I247" s="35" t="str">
        <x:v>N5 - component or subject first, followed by characteristic and qualifier/state; no unsupported external mapping</x:v>
      </x:c>
      <x:c r="J247" s="35" t="str">
        <x:v>REUSE_R2_TERM</x:v>
      </x:c>
    </x:row>
    <x:row r="248">
      <x:c r="A248" s="35" t="str">
        <x:v>displacementAtUpperIceWaterline</x:v>
      </x:c>
      <x:c r="B248" s="35" t="str">
        <x:v>https://w3id.org/nltl-benchmark/vocab#displacementAtUpperIceWaterline</x:v>
      </x:c>
      <x:c r="C248" s="35" t="str">
        <x:v>QuantityProperty</x:v>
      </x:c>
      <x:c r="D248" s="35" t="str">
        <x:v>http://qudt.org/schema/qudt/QuantityValue</x:v>
      </x:c>
      <x:c r="E248" s="35" t="str"/>
      <x:c r="F248" s="35" t="str">
        <x:v>t</x:v>
      </x:c>
      <x:c r="G248" s="38" t="str">
        <x:v>TRF-016</x:v>
      </x:c>
      <x:c r="H248" s="35" t="str">
        <x:v>Benchmark-coined descriptive engineering term</x:v>
      </x:c>
      <x:c r="I248" s="35" t="str">
        <x:v>N5 - component or subject first, followed by characteristic and qualifier/state; no unsupported external mapping</x:v>
      </x:c>
      <x:c r="J248" s="35" t="str">
        <x:v>REUSE_R2_TERM</x:v>
      </x:c>
    </x:row>
    <x:row r="249">
      <x:c r="A249" s="35" t="str">
        <x:v>displayedIceInformationStatus</x:v>
      </x:c>
      <x:c r="B249" s="35" t="str">
        <x:v>https://w3id.org/nltl-benchmark/vocab#displayedIceInformationStatus</x:v>
      </x:c>
      <x:c r="C249" s="35" t="str">
        <x:v>DatatypeProperty</x:v>
      </x:c>
      <x:c r="D249" s="35" t="str">
        <x:v>http://www.w3.org/2001/XMLSchema#boolean</x:v>
      </x:c>
      <x:c r="E249" s="35" t="str">
        <x:v>xsd:boolean</x:v>
      </x:c>
      <x:c r="F249" s="35" t="str"/>
      <x:c r="G249" s="38" t="str">
        <x:v>IMO-080 | IMO26-006</x:v>
      </x:c>
      <x:c r="H249" s="35" t="str">
        <x:v>Locked-workbook normalized regulatory term</x:v>
      </x:c>
      <x:c r="I249" s="35" t="str">
        <x:v>N4 - preserve the source concept; normalize spelling to ASCII lowerCamelCase</x:v>
      </x:c>
      <x:c r="J249" s="35" t="str">
        <x:v>REUSE_R2_TERM</x:v>
      </x:c>
    </x:row>
    <x:row r="250">
      <x:c r="A250" s="35" t="str">
        <x:v>distanceToAdjacentIceStringer</x:v>
      </x:c>
      <x:c r="B250" s="35" t="str">
        <x:v>https://w3id.org/nltl-benchmark/vocab#distanceToAdjacentIceStringer</x:v>
      </x:c>
      <x:c r="C250" s="35" t="str">
        <x:v>QuantityProperty</x:v>
      </x:c>
      <x:c r="D250" s="35" t="str">
        <x:v>http://qudt.org/schema/qudt/QuantityValue</x:v>
      </x:c>
      <x:c r="E250" s="35" t="str"/>
      <x:c r="F250" s="35" t="str">
        <x:v>m</x:v>
      </x:c>
      <x:c r="G250" s="38" t="str">
        <x:v>TRF-054</x:v>
      </x:c>
      <x:c r="H250" s="35" t="str">
        <x:v>Applicable TRAFICOM regulation wording plus explicit engineering node/operand role</x:v>
      </x:c>
      <x:c r="I250" s="35" t="str">
        <x:v>N4 - explicit engineering quantity in ASCII lowerCamelCase; formula symbols remain aliases only.</x:v>
      </x:c>
      <x:c r="J250" s="35" t="str">
        <x:v>ADD_DEVELOPMENT_TERM</x:v>
      </x:c>
    </x:row>
    <x:row r="251">
      <x:c r="A251" s="35" t="str">
        <x:v>distanceToIceBelt</x:v>
      </x:c>
      <x:c r="B251" s="35" t="str">
        <x:v>https://w3id.org/nltl-benchmark/vocab#distanceToIceBelt</x:v>
      </x:c>
      <x:c r="C251" s="35" t="str">
        <x:v>QuantityProperty</x:v>
      </x:c>
      <x:c r="D251" s="35" t="str">
        <x:v>http://qudt.org/schema/qudt/QuantityValue</x:v>
      </x:c>
      <x:c r="E251" s="35" t="str"/>
      <x:c r="F251" s="35" t="str">
        <x:v>m</x:v>
      </x:c>
      <x:c r="G251" s="38" t="str">
        <x:v>TRF-054</x:v>
      </x:c>
      <x:c r="H251" s="35" t="str">
        <x:v>Applicable TRAFICOM regulation wording plus explicit engineering node/operand role</x:v>
      </x:c>
      <x:c r="I251" s="35" t="str">
        <x:v>N4 - explicit engineering quantity in ASCII lowerCamelCase; formula symbols remain aliases only.</x:v>
      </x:c>
      <x:c r="J251" s="35" t="str">
        <x:v>ADD_DEVELOPMENT_TERM</x:v>
      </x:c>
    </x:row>
    <x:row r="252">
      <x:c r="A252" s="35" t="str">
        <x:v>distanceToNearestFastIce</x:v>
      </x:c>
      <x:c r="B252" s="35" t="str">
        <x:v>https://w3id.org/nltl-benchmark/vocab#distanceToNearestFastIce</x:v>
      </x:c>
      <x:c r="C252" s="35" t="str">
        <x:v>QuantityProperty</x:v>
      </x:c>
      <x:c r="D252" s="35" t="str">
        <x:v>http://qudt.org/schema/qudt/QuantityValue</x:v>
      </x:c>
      <x:c r="E252" s="35" t="str"/>
      <x:c r="F252" s="35" t="str">
        <x:v>nautical mile</x:v>
      </x:c>
      <x:c r="G252" s="38" t="str">
        <x:v>IMO-124</x:v>
      </x:c>
      <x:c r="H252" s="35" t="str">
        <x:v>Unit-stripped normalized regulatory variable</x:v>
      </x:c>
      <x:c r="I252" s="35" t="str">
        <x:v>N3 - remove unit from the identifier and retain it in unit/quantity metadata</x:v>
      </x:c>
      <x:c r="J252" s="35" t="str">
        <x:v>REUSE_R2_TERM</x:v>
      </x:c>
    </x:row>
    <x:row r="253">
      <x:c r="A253" s="35" t="str">
        <x:v>distanceToNearestIceShelfOrFastIce</x:v>
      </x:c>
      <x:c r="B253" s="35" t="str">
        <x:v>https://w3id.org/nltl-benchmark/vocab#distanceToNearestIceShelfOrFastIce</x:v>
      </x:c>
      <x:c r="C253" s="35" t="str">
        <x:v>QuantityProperty</x:v>
      </x:c>
      <x:c r="D253" s="35" t="str">
        <x:v>http://qudt.org/schema/qudt/QuantityValue</x:v>
      </x:c>
      <x:c r="E253" s="35" t="str"/>
      <x:c r="F253" s="35" t="str">
        <x:v>nautical mile</x:v>
      </x:c>
      <x:c r="G253" s="38" t="str">
        <x:v>IMO-115 | IMO-116</x:v>
      </x:c>
      <x:c r="H253" s="35" t="str">
        <x:v>Unit-stripped normalized regulatory variable</x:v>
      </x:c>
      <x:c r="I253" s="35" t="str">
        <x:v>N3 - remove unit from the identifier and retain it in unit/quantity metadata</x:v>
      </x:c>
      <x:c r="J253" s="35" t="str">
        <x:v>REUSE_R2_TERM</x:v>
      </x:c>
    </x:row>
    <x:row r="254">
      <x:c r="A254" s="35" t="str">
        <x:v>distanceToNearestLandIceShelfOrFastIce</x:v>
      </x:c>
      <x:c r="B254" s="35" t="str">
        <x:v>https://w3id.org/nltl-benchmark/vocab#distanceToNearestLandIceShelfOrFastIce</x:v>
      </x:c>
      <x:c r="C254" s="35" t="str">
        <x:v>QuantityProperty</x:v>
      </x:c>
      <x:c r="D254" s="35" t="str">
        <x:v>http://qudt.org/schema/qudt/QuantityValue</x:v>
      </x:c>
      <x:c r="E254" s="35" t="str"/>
      <x:c r="F254" s="35" t="str">
        <x:v>nautical mile</x:v>
      </x:c>
      <x:c r="G254" s="38" t="str">
        <x:v>IMO-120 | IMO-123</x:v>
      </x:c>
      <x:c r="H254" s="35" t="str">
        <x:v>Unit-stripped normalized regulatory variable</x:v>
      </x:c>
      <x:c r="I254" s="35" t="str">
        <x:v>N3 - remove unit from the identifier and retain it in unit/quantity metadata</x:v>
      </x:c>
      <x:c r="J254" s="35" t="str">
        <x:v>REUSE_R2_TERM</x:v>
      </x:c>
    </x:row>
    <x:row r="255">
      <x:c r="A255" s="35" t="str">
        <x:v>distressAlertDeviceCount</x:v>
      </x:c>
      <x:c r="B255" s="35" t="str">
        <x:v>https://w3id.org/nltl-benchmark/vocab#distressAlertDeviceCount</x:v>
      </x:c>
      <x:c r="C255" s="35" t="str">
        <x:v>DatatypeProperty</x:v>
      </x:c>
      <x:c r="D255" s="35" t="str">
        <x:v>http://www.w3.org/2001/XMLSchema#integer</x:v>
      </x:c>
      <x:c r="E255" s="35" t="str">
        <x:v>xsd:integer</x:v>
      </x:c>
      <x:c r="F255" s="35" t="str"/>
      <x:c r="G255" s="38" t="str">
        <x:v>IMO-097</x:v>
      </x:c>
      <x:c r="H255" s="35" t="str">
        <x:v>Locked-workbook normalized regulatory term</x:v>
      </x:c>
      <x:c r="I255" s="35" t="str">
        <x:v>N4 - preserve the source concept; normalize spelling to ASCII lowerCamelCase</x:v>
      </x:c>
      <x:c r="J255" s="35" t="str">
        <x:v>REUSE_R2_TERM</x:v>
      </x:c>
    </x:row>
    <x:row r="256">
      <x:c r="A256" s="35" t="str">
        <x:v>documentArtifact</x:v>
      </x:c>
      <x:c r="B256" s="35" t="str">
        <x:v>https://w3id.org/nltl-benchmark/vocab#documentArtifact</x:v>
      </x:c>
      <x:c r="C256" s="35" t="str">
        <x:v>Class</x:v>
      </x:c>
      <x:c r="D256" s="35" t="str">
        <x:v>https://w3id.org/nltl-benchmark/vocab#evidenceArtifact</x:v>
      </x:c>
      <x:c r="E256" s="35" t="str"/>
      <x:c r="F256" s="35" t="str"/>
      <x:c r="G256" s="38" t="str">
        <x:v>TRF-014 | TRF-034</x:v>
      </x:c>
      <x:c r="H256" s="35" t="str">
        <x:v>Applicable TRAFICOM regulation wording plus explicit engineering node/operand role</x:v>
      </x:c>
      <x:c r="I256" s="35" t="str">
        <x:v>N4 - singular ASCII lowerCamelCase entity name derived from the linked regulatory role.</x:v>
      </x:c>
      <x:c r="J256" s="35" t="str">
        <x:v>ADD_DEVELOPMENT_TERM</x:v>
      </x:c>
    </x:row>
    <x:row r="257">
      <x:c r="A257" s="35" t="str">
        <x:v>documentedPolarOperationProcedurePresent</x:v>
      </x:c>
      <x:c r="B257" s="35" t="str">
        <x:v>https://w3id.org/nltl-benchmark/vocab#documentedPolarOperationProcedurePresent</x:v>
      </x:c>
      <x:c r="C257" s="35" t="str">
        <x:v>DatatypeProperty</x:v>
      </x:c>
      <x:c r="D257" s="35" t="str">
        <x:v>http://www.w3.org/2001/XMLSchema#boolean</x:v>
      </x:c>
      <x:c r="E257" s="35" t="str">
        <x:v>xsd:boolean</x:v>
      </x:c>
      <x:c r="F257" s="35" t="str"/>
      <x:c r="G257" s="38" t="str">
        <x:v>IMO26-018</x:v>
      </x:c>
      <x:c r="H257" s="35" t="str">
        <x:v>Locked-workbook normalized regulatory term</x:v>
      </x:c>
      <x:c r="I257" s="35" t="str">
        <x:v>N4 - preserve the source concept; normalize spelling to ASCII lowerCamelCase</x:v>
      </x:c>
      <x:c r="J257" s="35" t="str">
        <x:v>REUSE_R2_TERM</x:v>
      </x:c>
    </x:row>
    <x:row r="258">
      <x:c r="A258" s="35" t="str">
        <x:v>doubleContinuousWeld</x:v>
      </x:c>
      <x:c r="B258" s="35" t="str">
        <x:v>https://w3id.org/nltl-benchmark/vocab#doubleContinuousWeld</x:v>
      </x:c>
      <x:c r="C258" s="35" t="str">
        <x:v>NamedIndividual</x:v>
      </x:c>
      <x:c r="D258" s="35" t="str">
        <x:v>https://w3id.org/nltl-benchmark/vocab#weldTypeValue</x:v>
      </x:c>
      <x:c r="E258" s="35" t="str"/>
      <x:c r="F258" s="35" t="str"/>
      <x:c r="G258" s="38" t="str">
        <x:v>TRF-050</x:v>
      </x:c>
      <x:c r="H258" s="35" t="str">
        <x:v>Applicable TRAFICOM regulation wording plus explicit engineering node/operand role</x:v>
      </x:c>
      <x:c r="I258" s="35" t="str">
        <x:v>N6 - concise ASCII lowerCamelCase controlled-value name grounded in the linked regulation.</x:v>
      </x:c>
      <x:c r="J258" s="35" t="str">
        <x:v>ADD_DEVELOPMENT_TERM</x:v>
      </x:c>
    </x:row>
    <x:row r="259">
      <x:c r="A259" s="35" t="str">
        <x:v>drainageMeansPresent</x:v>
      </x:c>
      <x:c r="B259" s="35" t="str">
        <x:v>https://w3id.org/nltl-benchmark/vocab#drainageMeansPresent</x:v>
      </x:c>
      <x:c r="C259" s="35" t="str">
        <x:v>DatatypeProperty</x:v>
      </x:c>
      <x:c r="D259" s="35" t="str">
        <x:v>http://www.w3.org/2001/XMLSchema#boolean</x:v>
      </x:c>
      <x:c r="E259" s="35" t="str">
        <x:v>xsd:boolean</x:v>
      </x:c>
      <x:c r="F259" s="35" t="str"/>
      <x:c r="G259" s="38" t="str">
        <x:v>IMO-058</x:v>
      </x:c>
      <x:c r="H259" s="35" t="str">
        <x:v>Locked-workbook normalized regulatory term</x:v>
      </x:c>
      <x:c r="I259" s="35" t="str">
        <x:v>N4 - preserve the source concept; normalize spelling to ASCII lowerCamelCase</x:v>
      </x:c>
      <x:c r="J259" s="35" t="str">
        <x:v>REUSE_R2_TERM</x:v>
      </x:c>
    </x:row>
    <x:row r="260">
      <x:c r="A260" s="35" t="str">
        <x:v>draughtAmidships</x:v>
      </x:c>
      <x:c r="B260" s="35" t="str">
        <x:v>https://w3id.org/nltl-benchmark/vocab#draughtAmidships</x:v>
      </x:c>
      <x:c r="C260" s="35" t="str">
        <x:v>QuantityProperty</x:v>
      </x:c>
      <x:c r="D260" s="35" t="str">
        <x:v>http://qudt.org/schema/qudt/QuantityValue</x:v>
      </x:c>
      <x:c r="E260" s="35" t="str"/>
      <x:c r="F260" s="35" t="str">
        <x:v>m</x:v>
      </x:c>
      <x:c r="G260" s="38" t="str">
        <x:v>TRF-016</x:v>
      </x:c>
      <x:c r="H260" s="35" t="str">
        <x:v>Unit-stripped normalized regulatory variable</x:v>
      </x:c>
      <x:c r="I260" s="35" t="str">
        <x:v>N3 - remove unit from the identifier and retain it in unit/quantity metadata</x:v>
      </x:c>
      <x:c r="J260" s="35" t="str">
        <x:v>REUSE_R2_TERM</x:v>
      </x:c>
    </x:row>
    <x:row r="261">
      <x:c r="A261" s="35" t="str">
        <x:v>draughtAtAftPerpendicular</x:v>
      </x:c>
      <x:c r="B261" s="35" t="str">
        <x:v>https://w3id.org/nltl-benchmark/vocab#draughtAtAftPerpendicular</x:v>
      </x:c>
      <x:c r="C261" s="35" t="str">
        <x:v>QuantityProperty</x:v>
      </x:c>
      <x:c r="D261" s="35" t="str">
        <x:v>http://qudt.org/schema/qudt/QuantityValue</x:v>
      </x:c>
      <x:c r="E261" s="35" t="str"/>
      <x:c r="F261" s="35" t="str">
        <x:v>m</x:v>
      </x:c>
      <x:c r="G261" s="38" t="str">
        <x:v>TRF-013</x:v>
      </x:c>
      <x:c r="H261" s="35" t="str">
        <x:v>Applicable TRAFICOM regulation wording plus explicit engineering node/operand role</x:v>
      </x:c>
      <x:c r="I261" s="35" t="str">
        <x:v>N4 - explicit engineering quantity in ASCII lowerCamelCase; formula symbols remain aliases only.</x:v>
      </x:c>
      <x:c r="J261" s="35" t="str">
        <x:v>ADD_DEVELOPMENT_TERM</x:v>
      </x:c>
    </x:row>
    <x:row r="262">
      <x:c r="A262" s="35" t="str">
        <x:v>draughtAtForePerpendicular</x:v>
      </x:c>
      <x:c r="B262" s="35" t="str">
        <x:v>https://w3id.org/nltl-benchmark/vocab#draughtAtForePerpendicular</x:v>
      </x:c>
      <x:c r="C262" s="35" t="str">
        <x:v>QuantityProperty</x:v>
      </x:c>
      <x:c r="D262" s="35" t="str">
        <x:v>http://qudt.org/schema/qudt/QuantityValue</x:v>
      </x:c>
      <x:c r="E262" s="35" t="str"/>
      <x:c r="F262" s="35" t="str">
        <x:v>m</x:v>
      </x:c>
      <x:c r="G262" s="38" t="str">
        <x:v>TRF-013</x:v>
      </x:c>
      <x:c r="H262" s="35" t="str">
        <x:v>Applicable TRAFICOM regulation wording plus explicit engineering node/operand role</x:v>
      </x:c>
      <x:c r="I262" s="35" t="str">
        <x:v>N4 - explicit engineering quantity in ASCII lowerCamelCase; formula symbols remain aliases only.</x:v>
      </x:c>
      <x:c r="J262" s="35" t="str">
        <x:v>ADD_DEVELOPMENT_TERM</x:v>
      </x:c>
    </x:row>
    <x:row r="263">
      <x:c r="A263" s="35" t="str">
        <x:v>durationTestStatus</x:v>
      </x:c>
      <x:c r="B263" s="35" t="str">
        <x:v>https://w3id.org/nltl-benchmark/vocab#durationTestStatus</x:v>
      </x:c>
      <x:c r="C263" s="35" t="str">
        <x:v>DatatypeProperty</x:v>
      </x:c>
      <x:c r="D263" s="35" t="str">
        <x:v>http://www.w3.org/2001/XMLSchema#boolean</x:v>
      </x:c>
      <x:c r="E263" s="35" t="str">
        <x:v>xsd:boolean</x:v>
      </x:c>
      <x:c r="F263" s="35" t="str"/>
      <x:c r="G263" s="38" t="str">
        <x:v>IMO-093</x:v>
      </x:c>
      <x:c r="H263" s="35" t="str">
        <x:v>Locked-workbook normalized regulatory term</x:v>
      </x:c>
      <x:c r="I263" s="35" t="str">
        <x:v>N4 - preserve the source concept; normalize spelling to ASCII lowerCamelCase</x:v>
      </x:c>
      <x:c r="J263" s="35" t="str">
        <x:v>REUSE_R2_TERM</x:v>
      </x:c>
    </x:row>
    <x:row r="264">
      <x:c r="A264" s="35" t="str">
        <x:v>echoSoundingDeviceCount</x:v>
      </x:c>
      <x:c r="B264" s="35" t="str">
        <x:v>https://w3id.org/nltl-benchmark/vocab#echoSoundingDeviceCount</x:v>
      </x:c>
      <x:c r="C264" s="35" t="str">
        <x:v>DatatypeProperty</x:v>
      </x:c>
      <x:c r="D264" s="35" t="str">
        <x:v>http://www.w3.org/2001/XMLSchema#integer</x:v>
      </x:c>
      <x:c r="E264" s="35" t="str">
        <x:v>xsd:integer</x:v>
      </x:c>
      <x:c r="F264" s="35" t="str"/>
      <x:c r="G264" s="38" t="str">
        <x:v>IMO-081 | IMO26-007</x:v>
      </x:c>
      <x:c r="H264" s="35" t="str">
        <x:v>Locked-workbook normalized regulatory term</x:v>
      </x:c>
      <x:c r="I264" s="35" t="str">
        <x:v>N4 - preserve the source concept; normalize spelling to ASCII lowerCamelCase</x:v>
      </x:c>
      <x:c r="J264" s="35" t="str">
        <x:v>REUSE_R2_TERM</x:v>
      </x:c>
    </x:row>
    <x:row r="265">
      <x:c r="A265" s="35" t="str">
        <x:v>effectiveAttachmentConfirmed</x:v>
      </x:c>
      <x:c r="B265" s="35" t="str">
        <x:v>https://w3id.org/nltl-benchmark/vocab#effectiveAttachmentConfirmed</x:v>
      </x:c>
      <x:c r="C265" s="35" t="str">
        <x:v>DatatypeProperty</x:v>
      </x:c>
      <x:c r="D265" s="35" t="str">
        <x:v>http://www.w3.org/2001/XMLSchema#boolean</x:v>
      </x:c>
      <x:c r="E265" s="35" t="str">
        <x:v>xsd:boolean</x:v>
      </x:c>
      <x:c r="F265" s="35" t="str"/>
      <x:c r="G265" s="38" t="str">
        <x:v>TRF-049</x:v>
      </x:c>
      <x:c r="H265" s="35" t="str">
        <x:v>Applicable TRAFICOM regulation wording plus explicit engineering node/operand role</x:v>
      </x:c>
      <x:c r="I265" s="35" t="str">
        <x:v>N4 - explicit regulatory concept in ASCII lowerCamelCase with an XSD datatype.</x:v>
      </x:c>
      <x:c r="J265" s="35" t="str">
        <x:v>ADD_DEVELOPMENT_TERM</x:v>
      </x:c>
    </x:row>
    <x:row r="266">
      <x:c r="A266" s="35" t="str">
        <x:v>effectiveFrameSpan</x:v>
      </x:c>
      <x:c r="B266" s="35" t="str">
        <x:v>https://w3id.org/nltl-benchmark/vocab#effectiveFrameSpan</x:v>
      </x:c>
      <x:c r="C266" s="35" t="str">
        <x:v>QuantityProperty</x:v>
      </x:c>
      <x:c r="D266" s="35" t="str">
        <x:v>http://qudt.org/schema/qudt/QuantityValue</x:v>
      </x:c>
      <x:c r="E266" s="35" t="str"/>
      <x:c r="F266" s="35" t="str">
        <x:v>m</x:v>
      </x:c>
      <x:c r="G266" s="38" t="str">
        <x:v>TRF-044</x:v>
      </x:c>
      <x:c r="H266" s="35" t="str">
        <x:v>Applicable TRAFICOM regulation wording plus explicit engineering node/operand role</x:v>
      </x:c>
      <x:c r="I266" s="35" t="str">
        <x:v>N4 - explicit engineering quantity in ASCII lowerCamelCase; formula symbols remain aliases only.</x:v>
      </x:c>
      <x:c r="J266" s="35" t="str">
        <x:v>ADD_DEVELOPMENT_TERM</x:v>
      </x:c>
    </x:row>
    <x:row r="267">
      <x:c r="A267" s="35" t="str">
        <x:v>effectiveMemberCrossSection</x:v>
      </x:c>
      <x:c r="B267" s="35" t="str">
        <x:v>https://w3id.org/nltl-benchmark/vocab#effectiveMemberCrossSection</x:v>
      </x:c>
      <x:c r="C267" s="35" t="str">
        <x:v>Class</x:v>
      </x:c>
      <x:c r="D267" s="35" t="str">
        <x:v>https://w3id.org/nltl-benchmark/vocab#benchmarkEntity</x:v>
      </x:c>
      <x:c r="E267" s="35" t="str"/>
      <x:c r="F267" s="35" t="str"/>
      <x:c r="G267" s="38" t="str">
        <x:v>TRF-034</x:v>
      </x:c>
      <x:c r="H267" s="35" t="str">
        <x:v>Applicable TRAFICOM regulation wording plus explicit engineering node/operand role</x:v>
      </x:c>
      <x:c r="I267" s="35" t="str">
        <x:v>N4 - singular ASCII lowerCamelCase entity name derived from the linked regulatory role.</x:v>
      </x:c>
      <x:c r="J267" s="35" t="str">
        <x:v>ADD_DEVELOPMENT_TERM</x:v>
      </x:c>
    </x:row>
    <x:row r="268">
      <x:c r="A268" s="35" t="str">
        <x:v>elasticCouplingPresent</x:v>
      </x:c>
      <x:c r="B268" s="35" t="str">
        <x:v>https://w3id.org/nltl-benchmark/vocab#elasticCouplingPresent</x:v>
      </x:c>
      <x:c r="C268" s="35" t="str">
        <x:v>DatatypeProperty</x:v>
      </x:c>
      <x:c r="D268" s="35" t="str">
        <x:v>http://www.w3.org/2001/XMLSchema#boolean</x:v>
      </x:c>
      <x:c r="E268" s="35" t="str">
        <x:v>xsd:boolean</x:v>
      </x:c>
      <x:c r="F268" s="35" t="str"/>
      <x:c r="G268" s="38" t="str">
        <x:v>TRF-093</x:v>
      </x:c>
      <x:c r="H268" s="35" t="str">
        <x:v>Benchmark-coined descriptive engineering term</x:v>
      </x:c>
      <x:c r="I268" s="35" t="str">
        <x:v>N5 - component or subject first, followed by characteristic and qualifier/state; no unsupported external mapping</x:v>
      </x:c>
      <x:c r="J268" s="35" t="str">
        <x:v>REUSE_R2_TERM</x:v>
      </x:c>
    </x:row>
    <x:row r="269">
      <x:c r="A269" s="35" t="str">
        <x:v>electricPropulsionMachinery</x:v>
      </x:c>
      <x:c r="B269" s="35" t="str">
        <x:v>https://w3id.org/nltl-benchmark/vocab#electricPropulsionMachinery</x:v>
      </x:c>
      <x:c r="C269" s="35" t="str">
        <x:v>NamedIndividual</x:v>
      </x:c>
      <x:c r="D269" s="35" t="str">
        <x:v>https://w3id.org/nltl-benchmark/vocab#propulsionSystemTypeValue</x:v>
      </x:c>
      <x:c r="E269" s="35" t="str"/>
      <x:c r="F269" s="35" t="str"/>
      <x:c r="G269" s="38" t="str">
        <x:v>TRF-020</x:v>
      </x:c>
      <x:c r="H269" s="35" t="str">
        <x:v>Applicable TRAFICOM regulation wording plus explicit engineering node/operand role</x:v>
      </x:c>
      <x:c r="I269" s="35" t="str">
        <x:v>N6 - concise ASCII lowerCamelCase controlled-value name grounded in the linked regulation.</x:v>
      </x:c>
      <x:c r="J269" s="35" t="str">
        <x:v>ADD_DEVELOPMENT_TERM</x:v>
      </x:c>
    </x:row>
    <x:row r="270">
      <x:c r="A270" s="35" t="str">
        <x:v>elongationAtTest</x:v>
      </x:c>
      <x:c r="B270" s="35" t="str">
        <x:v>https://w3id.org/nltl-benchmark/vocab#elongationAtTest</x:v>
      </x:c>
      <x:c r="C270" s="35" t="str">
        <x:v>QuantityProperty</x:v>
      </x:c>
      <x:c r="D270" s="35" t="str">
        <x:v>http://qudt.org/schema/qudt/QuantityValue</x:v>
      </x:c>
      <x:c r="E270" s="35" t="str"/>
      <x:c r="F270" s="35" t="str">
        <x:v>%</x:v>
      </x:c>
      <x:c r="G270" s="38" t="str">
        <x:v>TRF-072</x:v>
      </x:c>
      <x:c r="H270" s="35" t="str">
        <x:v>Benchmark-coined descriptive engineering term</x:v>
      </x:c>
      <x:c r="I270" s="35" t="str">
        <x:v>N5 - component or subject first, followed by characteristic and qualifier/state; no unsupported external mapping</x:v>
      </x:c>
      <x:c r="J270" s="35" t="str">
        <x:v>REUSE_R2_TERM</x:v>
      </x:c>
    </x:row>
    <x:row r="271">
      <x:c r="A271" s="35" t="str">
        <x:v>emergencyFirePump</x:v>
      </x:c>
      <x:c r="B271" s="35" t="str">
        <x:v>https://w3id.org/nltl-benchmark/vocab#emergencyFirePump</x:v>
      </x:c>
      <x:c r="C271" s="35" t="str">
        <x:v>Class</x:v>
      </x:c>
      <x:c r="D271" s="35" t="str">
        <x:v>https://w3id.org/nltl-benchmark/vocab#firePump</x:v>
      </x:c>
      <x:c r="E271" s="35" t="str"/>
      <x:c r="F271" s="35" t="str"/>
      <x:c r="G271" s="38" t="str">
        <x:v>IMO-057</x:v>
      </x:c>
      <x:c r="H271" s="35" t="str">
        <x:v>Applicable regulation explicit wording; R2 benchmark gap repair</x:v>
      </x:c>
      <x:c r="I271" s="35" t="str">
        <x:v>N4 - preserve explicit regulatory entity as ASCII lowerCamelCase</x:v>
      </x:c>
      <x:c r="J271" s="35" t="str">
        <x:v>REUSE_R2_TERM</x:v>
      </x:c>
    </x:row>
    <x:row r="272">
      <x:c r="A272" s="35" t="str">
        <x:v>emergencyPower</x:v>
      </x:c>
      <x:c r="B272" s="35" t="str">
        <x:v>https://w3id.org/nltl-benchmark/vocab#emergencyPower</x:v>
      </x:c>
      <x:c r="C272" s="35" t="str">
        <x:v>QuantityProperty</x:v>
      </x:c>
      <x:c r="D272" s="35" t="str">
        <x:v>http://qudt.org/schema/qudt/QuantityValue</x:v>
      </x:c>
      <x:c r="E272" s="35" t="str"/>
      <x:c r="F272" s="35" t="str">
        <x:v>kW</x:v>
      </x:c>
      <x:c r="G272" s="38" t="str">
        <x:v>IMO-086 | IMO26-012</x:v>
      </x:c>
      <x:c r="H272" s="35" t="str">
        <x:v>Benchmark-coined descriptive engineering term</x:v>
      </x:c>
      <x:c r="I272" s="35" t="str">
        <x:v>N5 - component or subject first, followed by characteristic and qualifier/state; no unsupported external mapping</x:v>
      </x:c>
      <x:c r="J272" s="35" t="str">
        <x:v>REUSE_R2_TERM</x:v>
      </x:c>
    </x:row>
    <x:row r="273">
      <x:c r="A273" s="35" t="str">
        <x:v>emergencyProviderContactProcedurePresent</x:v>
      </x:c>
      <x:c r="B273" s="35" t="str">
        <x:v>https://w3id.org/nltl-benchmark/vocab#emergencyProviderContactProcedurePresent</x:v>
      </x:c>
      <x:c r="C273" s="35" t="str">
        <x:v>DatatypeProperty</x:v>
      </x:c>
      <x:c r="D273" s="35" t="str">
        <x:v>http://www.w3.org/2001/XMLSchema#boolean</x:v>
      </x:c>
      <x:c r="E273" s="35" t="str">
        <x:v>xsd:boolean</x:v>
      </x:c>
      <x:c r="F273" s="35" t="str"/>
      <x:c r="G273" s="38" t="str">
        <x:v>IMO-028</x:v>
      </x:c>
      <x:c r="H273" s="35" t="str">
        <x:v>Locked-workbook normalized regulatory term</x:v>
      </x:c>
      <x:c r="I273" s="35" t="str">
        <x:v>N4 - preserve the source concept; normalize spelling to ASCII lowerCamelCase</x:v>
      </x:c>
      <x:c r="J273" s="35" t="str">
        <x:v>REUSE_R2_TERM</x:v>
      </x:c>
    </x:row>
    <x:row r="274">
      <x:c r="A274" s="35" t="str">
        <x:v>endorsementDates</x:v>
      </x:c>
      <x:c r="B274" s="35" t="str">
        <x:v>https://w3id.org/nltl-benchmark/vocab#endorsementDates</x:v>
      </x:c>
      <x:c r="C274" s="35" t="str">
        <x:v>DatatypeProperty</x:v>
      </x:c>
      <x:c r="D274" s="35" t="str">
        <x:v>http://www.w3.org/2001/XMLSchema#date</x:v>
      </x:c>
      <x:c r="E274" s="35" t="str">
        <x:v>xsd:date</x:v>
      </x:c>
      <x:c r="F274" s="35" t="str"/>
      <x:c r="G274" s="38" t="str">
        <x:v>IMO-017</x:v>
      </x:c>
      <x:c r="H274" s="35" t="str">
        <x:v>Locked-workbook normalized regulatory term</x:v>
      </x:c>
      <x:c r="I274" s="35" t="str">
        <x:v>N4 - preserve the source concept; normalize spelling to ASCII lowerCamelCase</x:v>
      </x:c>
      <x:c r="J274" s="35" t="str">
        <x:v>REUSE_R2_TERM</x:v>
      </x:c>
    </x:row>
    <x:row r="275">
      <x:c r="A275" s="35" t="str">
        <x:v>engagedInTrade</x:v>
      </x:c>
      <x:c r="B275" s="35" t="str">
        <x:v>https://w3id.org/nltl-benchmark/vocab#engagedInTrade</x:v>
      </x:c>
      <x:c r="C275" s="35" t="str">
        <x:v>DatatypeProperty</x:v>
      </x:c>
      <x:c r="D275" s="35" t="str">
        <x:v>http://www.w3.org/2001/XMLSchema#boolean</x:v>
      </x:c>
      <x:c r="E275" s="35" t="str">
        <x:v>xsd:boolean</x:v>
      </x:c>
      <x:c r="F275" s="35" t="str"/>
      <x:c r="G275" s="38" t="str">
        <x:v>IMO26-002 | IMO26-016</x:v>
      </x:c>
      <x:c r="H275" s="35" t="str">
        <x:v>Locked-workbook normalized regulatory term</x:v>
      </x:c>
      <x:c r="I275" s="35" t="str">
        <x:v>N4 - preserve the source concept; normalize spelling to ASCII lowerCamelCase</x:v>
      </x:c>
      <x:c r="J275" s="35" t="str">
        <x:v>REUSE_R2_TERM</x:v>
      </x:c>
    </x:row>
    <x:row r="276">
      <x:c r="A276" s="35" t="str">
        <x:v>engineFiringPulse</x:v>
      </x:c>
      <x:c r="B276" s="35" t="str">
        <x:v>https://w3id.org/nltl-benchmark/vocab#engineFiringPulse</x:v>
      </x:c>
      <x:c r="C276" s="35" t="str">
        <x:v>DatatypeProperty</x:v>
      </x:c>
      <x:c r="D276" s="35" t="str">
        <x:v>http://www.w3.org/2001/XMLSchema#string</x:v>
      </x:c>
      <x:c r="E276" s="35" t="str">
        <x:v>xsd:string</x:v>
      </x:c>
      <x:c r="F276" s="35" t="str"/>
      <x:c r="G276" s="38" t="str">
        <x:v>TRF-093</x:v>
      </x:c>
      <x:c r="H276" s="35" t="str">
        <x:v>Benchmark-coined descriptive engineering term</x:v>
      </x:c>
      <x:c r="I276" s="35" t="str">
        <x:v>N5 - component or subject first, followed by characteristic and qualifier/state; no unsupported external mapping</x:v>
      </x:c>
      <x:c r="J276" s="35" t="str">
        <x:v>REUSE_R2_TERM</x:v>
      </x:c>
    </x:row>
    <x:row r="277">
      <x:c r="A277" s="35" t="str">
        <x:v>engineOutputCoefficientKe</x:v>
      </x:c>
      <x:c r="B277" s="35" t="str">
        <x:v>https://w3id.org/nltl-benchmark/vocab#engineOutputCoefficientKe</x:v>
      </x:c>
      <x:c r="C277" s="35" t="str">
        <x:v>QuantityProperty</x:v>
      </x:c>
      <x:c r="D277" s="35" t="str">
        <x:v>http://qudt.org/schema/qudt/QuantityValue</x:v>
      </x:c>
      <x:c r="E277" s="35" t="str"/>
      <x:c r="F277" s="35" t="str">
        <x:v>1</x:v>
      </x:c>
      <x:c r="G277" s="38" t="str">
        <x:v>TRF-020 | TRF-028</x:v>
      </x:c>
      <x:c r="H277" s="35" t="str">
        <x:v>Verified exact implementation term</x:v>
      </x:c>
      <x:c r="I277" s="35" t="str">
        <x:v>N1 - reuse only after exact URI and semantic-context verification</x:v>
      </x:c>
      <x:c r="J277" s="35" t="str">
        <x:v>REUSE_R2_TERM</x:v>
      </x:c>
    </x:row>
    <x:row r="278">
      <x:c r="A278" s="35" t="str">
        <x:v>engineOutputComplianceMethod</x:v>
      </x:c>
      <x:c r="B278" s="35" t="str">
        <x:v>https://w3id.org/nltl-benchmark/vocab#engineOutputComplianceMethod</x:v>
      </x:c>
      <x:c r="C278" s="35" t="str">
        <x:v>ObjectProperty</x:v>
      </x:c>
      <x:c r="D278" s="35" t="str">
        <x:v>https://w3id.org/nltl-benchmark/vocab#engineOutputComplianceMethodValue</x:v>
      </x:c>
      <x:c r="E278" s="35" t="str"/>
      <x:c r="F278" s="35" t="str"/>
      <x:c r="G278" s="38" t="str">
        <x:v>TRF-007 | TRF-009 | TRF-024</x:v>
      </x:c>
      <x:c r="H278" s="35" t="str">
        <x:v>Applicable TRAFICOM regulation wording plus explicit engineering node/operand role</x:v>
      </x:c>
      <x:c r="I278" s="35" t="str">
        <x:v>N5 - ASCII lowerCamelCase relationship; use has + object role when it improves direction clarity.</x:v>
      </x:c>
      <x:c r="J278" s="35" t="str">
        <x:v>ADD_DEVELOPMENT_TERM</x:v>
      </x:c>
    </x:row>
    <x:row r="279">
      <x:c r="A279" s="35" t="str">
        <x:v>engineOutputComplianceMethodValue</x:v>
      </x:c>
      <x:c r="B279" s="35" t="str">
        <x:v>https://w3id.org/nltl-benchmark/vocab#engineOutputComplianceMethodValue</x:v>
      </x:c>
      <x:c r="C279" s="35" t="str">
        <x:v>Class</x:v>
      </x:c>
      <x:c r="D279" s="35" t="str">
        <x:v>https://w3id.org/nltl-benchmark/vocab#benchmarkEntity</x:v>
      </x:c>
      <x:c r="E279" s="35" t="str"/>
      <x:c r="F279" s="35" t="str"/>
      <x:c r="G279" s="38" t="str">
        <x:v>TRF-007 | TRF-009 | TRF-024</x:v>
      </x:c>
      <x:c r="H279" s="35" t="str">
        <x:v>Applicable TRAFICOM regulation wording plus explicit engineering node/operand role</x:v>
      </x:c>
      <x:c r="I279" s="35" t="str">
        <x:v>N4 - singular ASCII lowerCamelCase entity name derived from the linked regulatory role.</x:v>
      </x:c>
      <x:c r="J279" s="35" t="str">
        <x:v>ADD_DEVELOPMENT_TERM</x:v>
      </x:c>
    </x:row>
    <x:row r="280">
      <x:c r="A280" s="35" t="str">
        <x:v>engineOutputRegulationEdition</x:v>
      </x:c>
      <x:c r="B280" s="35" t="str">
        <x:v>https://w3id.org/nltl-benchmark/vocab#engineOutputRegulationEdition</x:v>
      </x:c>
      <x:c r="C280" s="35" t="str">
        <x:v>ObjectProperty</x:v>
      </x:c>
      <x:c r="D280" s="35" t="str">
        <x:v>https://w3id.org/nltl-benchmark/vocab#iceClassRegulationEditionValue</x:v>
      </x:c>
      <x:c r="E280" s="35" t="str"/>
      <x:c r="F280" s="35" t="str"/>
      <x:c r="G280" s="38" t="str">
        <x:v>TRF-006</x:v>
      </x:c>
      <x:c r="H280" s="35" t="str">
        <x:v>Applicable TRAFICOM regulation wording plus explicit engineering node/operand role</x:v>
      </x:c>
      <x:c r="I280" s="35" t="str">
        <x:v>N5 - ASCII lowerCamelCase relationship; use has + object role when it improves direction clarity.</x:v>
      </x:c>
      <x:c r="J280" s="35" t="str">
        <x:v>ADD_DEVELOPMENT_TERM</x:v>
      </x:c>
    </x:row>
    <x:row r="281">
      <x:c r="A281" s="35" t="str">
        <x:v>engineSpeedDrop</x:v>
      </x:c>
      <x:c r="B281" s="35" t="str">
        <x:v>https://w3id.org/nltl-benchmark/vocab#engineSpeedDrop</x:v>
      </x:c>
      <x:c r="C281" s="35" t="str">
        <x:v>QuantityProperty</x:v>
      </x:c>
      <x:c r="D281" s="35" t="str">
        <x:v>http://qudt.org/schema/qudt/QuantityValue</x:v>
      </x:c>
      <x:c r="E281" s="35" t="str"/>
      <x:c r="F281" s="35" t="str">
        <x:v>rev/min</x:v>
      </x:c>
      <x:c r="G281" s="38" t="str">
        <x:v>TRF-096</x:v>
      </x:c>
      <x:c r="H281" s="35" t="str">
        <x:v>Benchmark-coined descriptive engineering term</x:v>
      </x:c>
      <x:c r="I281" s="35" t="str">
        <x:v>N5 - component or subject first, followed by characteristic and qualifier/state; no unsupported external mapping</x:v>
      </x:c>
      <x:c r="J281" s="35" t="str">
        <x:v>REUSE_R2_TERM</x:v>
      </x:c>
    </x:row>
    <x:row r="282">
      <x:c r="A282" s="35" t="str">
        <x:v>engineStandstillReached</x:v>
      </x:c>
      <x:c r="B282" s="35" t="str">
        <x:v>https://w3id.org/nltl-benchmark/vocab#engineStandstillReached</x:v>
      </x:c>
      <x:c r="C282" s="35" t="str">
        <x:v>DatatypeProperty</x:v>
      </x:c>
      <x:c r="D282" s="35" t="str">
        <x:v>http://www.w3.org/2001/XMLSchema#boolean</x:v>
      </x:c>
      <x:c r="E282" s="35" t="str">
        <x:v>xsd:boolean</x:v>
      </x:c>
      <x:c r="F282" s="35" t="str"/>
      <x:c r="G282" s="38" t="str">
        <x:v>TRF-096</x:v>
      </x:c>
      <x:c r="H282" s="35" t="str">
        <x:v>Benchmark-coined descriptive engineering term</x:v>
      </x:c>
      <x:c r="I282" s="35" t="str">
        <x:v>N5 - component or subject first, followed by characteristic and qualifier/state; no unsupported external mapping</x:v>
      </x:c>
      <x:c r="J282" s="35" t="str">
        <x:v>REUSE_R2_TERM</x:v>
      </x:c>
    </x:row>
    <x:row r="283">
      <x:c r="A283" s="35" t="str">
        <x:v>entireCargoTankLengthDoubleBottomProtectionStatus</x:v>
      </x:c>
      <x:c r="B283" s="35" t="str">
        <x:v>https://w3id.org/nltl-benchmark/vocab#entireCargoTankLengthDoubleBottomProtectionStatus</x:v>
      </x:c>
      <x:c r="C283" s="35" t="str">
        <x:v>DatatypeProperty</x:v>
      </x:c>
      <x:c r="D283" s="35" t="str">
        <x:v>http://www.w3.org/2001/XMLSchema#boolean</x:v>
      </x:c>
      <x:c r="E283" s="35" t="str">
        <x:v>xsd:boolean</x:v>
      </x:c>
      <x:c r="F283" s="35" t="str"/>
      <x:c r="G283" s="38" t="str">
        <x:v>IMO-110</x:v>
      </x:c>
      <x:c r="H283" s="35" t="str">
        <x:v>Locked-workbook normalized regulatory term</x:v>
      </x:c>
      <x:c r="I283" s="35" t="str">
        <x:v>N4 - preserve the source concept; normalize spelling to ASCII lowerCamelCase</x:v>
      </x:c>
      <x:c r="J283" s="35" t="str">
        <x:v>REUSE_R2_TERM</x:v>
      </x:c>
    </x:row>
    <x:row r="284">
      <x:c r="A284" s="35" t="str">
        <x:v>environmentalForecastArrangements</x:v>
      </x:c>
      <x:c r="B284" s="35" t="str">
        <x:v>https://w3id.org/nltl-benchmark/vocab#environmentalForecastArrangements</x:v>
      </x:c>
      <x:c r="C284" s="35" t="str">
        <x:v>DatatypeProperty</x:v>
      </x:c>
      <x:c r="D284" s="35" t="str">
        <x:v>http://www.w3.org/2001/XMLSchema#string</x:v>
      </x:c>
      <x:c r="E284" s="35" t="str">
        <x:v>xsd:string</x:v>
      </x:c>
      <x:c r="F284" s="35" t="str"/>
      <x:c r="G284" s="38" t="str">
        <x:v>IMO-027</x:v>
      </x:c>
      <x:c r="H284" s="35" t="str">
        <x:v>Locked-workbook normalized regulatory term</x:v>
      </x:c>
      <x:c r="I284" s="35" t="str">
        <x:v>N4 - preserve the source concept; normalize spelling to ASCII lowerCamelCase</x:v>
      </x:c>
      <x:c r="J284" s="35" t="str">
        <x:v>REUSE_R2_TERM</x:v>
      </x:c>
    </x:row>
    <x:row r="285">
      <x:c r="A285" s="35" t="str">
        <x:v>environmentalFunctionalityMeasures</x:v>
      </x:c>
      <x:c r="B285" s="35" t="str">
        <x:v>https://w3id.org/nltl-benchmark/vocab#environmentalFunctionalityMeasures</x:v>
      </x:c>
      <x:c r="C285" s="35" t="str">
        <x:v>DatatypeProperty</x:v>
      </x:c>
      <x:c r="D285" s="35" t="str">
        <x:v>http://www.w3.org/2001/XMLSchema#boolean</x:v>
      </x:c>
      <x:c r="E285" s="35" t="str">
        <x:v>xsd:boolean</x:v>
      </x:c>
      <x:c r="F285" s="35" t="str"/>
      <x:c r="G285" s="38" t="str">
        <x:v>IMO-027</x:v>
      </x:c>
      <x:c r="H285" s="35" t="str">
        <x:v>Locked-workbook normalized regulatory term</x:v>
      </x:c>
      <x:c r="I285" s="35" t="str">
        <x:v>N4 - preserve the source concept; normalize spelling to ASCII lowerCamelCase</x:v>
      </x:c>
      <x:c r="J285" s="35" t="str">
        <x:v>REUSE_R2_TERM</x:v>
      </x:c>
    </x:row>
    <x:row r="286">
      <x:c r="A286" s="35" t="str">
        <x:v>environmentalFunctionalityTestStatus</x:v>
      </x:c>
      <x:c r="B286" s="35" t="str">
        <x:v>https://w3id.org/nltl-benchmark/vocab#environmentalFunctionalityTestStatus</x:v>
      </x:c>
      <x:c r="C286" s="35" t="str">
        <x:v>DatatypeProperty</x:v>
      </x:c>
      <x:c r="D286" s="35" t="str">
        <x:v>http://www.w3.org/2001/XMLSchema#boolean</x:v>
      </x:c>
      <x:c r="E286" s="35" t="str">
        <x:v>xsd:boolean</x:v>
      </x:c>
      <x:c r="F286" s="35" t="str"/>
      <x:c r="G286" s="38" t="str">
        <x:v>IMO26-004</x:v>
      </x:c>
      <x:c r="H286" s="35" t="str">
        <x:v>Locked-workbook normalized regulatory term</x:v>
      </x:c>
      <x:c r="I286" s="35" t="str">
        <x:v>N4 - preserve the source concept; normalize spelling to ASCII lowerCamelCase</x:v>
      </x:c>
      <x:c r="J286" s="35" t="str">
        <x:v>REUSE_R2_TERM</x:v>
      </x:c>
    </x:row>
    <x:row r="287">
      <x:c r="A287" s="35" t="str">
        <x:v>equivalentBladeFatigueStress</x:v>
      </x:c>
      <x:c r="B287" s="35" t="str">
        <x:v>https://w3id.org/nltl-benchmark/vocab#equivalentBladeFatigueStress</x:v>
      </x:c>
      <x:c r="C287" s="35" t="str">
        <x:v>QuantityProperty</x:v>
      </x:c>
      <x:c r="D287" s="35" t="str">
        <x:v>http://qudt.org/schema/qudt/QuantityValue</x:v>
      </x:c>
      <x:c r="E287" s="35" t="str"/>
      <x:c r="F287" s="35" t="str">
        <x:v>MPa</x:v>
      </x:c>
      <x:c r="G287" s="38" t="str">
        <x:v>TRF-110</x:v>
      </x:c>
      <x:c r="H287" s="35" t="str">
        <x:v>Regulatory symbol expanded from a directly verified definition</x:v>
      </x:c>
      <x:c r="I287" s="35" t="str">
        <x:v>N2 - replace formula symbol with its clause-defined engineering meaning; preserve symbol as alias</x:v>
      </x:c>
      <x:c r="J287" s="35" t="str">
        <x:v>REUSE_R2_TERM</x:v>
      </x:c>
    </x:row>
    <x:row r="288">
      <x:c r="A288" s="35" t="str">
        <x:v>equivalentImpactSphereRadius</x:v>
      </x:c>
      <x:c r="B288" s="35" t="str">
        <x:v>https://w3id.org/nltl-benchmark/vocab#equivalentImpactSphereRadius</x:v>
      </x:c>
      <x:c r="C288" s="35" t="str">
        <x:v>QuantityProperty</x:v>
      </x:c>
      <x:c r="D288" s="35" t="str">
        <x:v>http://qudt.org/schema/qudt/QuantityValue</x:v>
      </x:c>
      <x:c r="E288" s="35" t="str"/>
      <x:c r="F288" s="35" t="str">
        <x:v>m</x:v>
      </x:c>
      <x:c r="G288" s="38" t="str">
        <x:v>TRF-114 | TRF-116</x:v>
      </x:c>
      <x:c r="H288" s="35" t="str">
        <x:v>Benchmark-coined descriptive engineering term</x:v>
      </x:c>
      <x:c r="I288" s="35" t="str">
        <x:v>N5 - component or subject first, followed by characteristic and qualifier/state; no unsupported external mapping</x:v>
      </x:c>
      <x:c r="J288" s="35" t="str">
        <x:v>REUSE_R2_TERM</x:v>
      </x:c>
    </x:row>
    <x:row r="289">
      <x:c r="A289" s="35" t="str">
        <x:v>equivalentStressCycles</x:v>
      </x:c>
      <x:c r="B289" s="35" t="str">
        <x:v>https://w3id.org/nltl-benchmark/vocab#equivalentStressCycles</x:v>
      </x:c>
      <x:c r="C289" s="35" t="str">
        <x:v>DatatypeProperty</x:v>
      </x:c>
      <x:c r="D289" s="35" t="str">
        <x:v>http://www.w3.org/2001/XMLSchema#integer</x:v>
      </x:c>
      <x:c r="E289" s="35" t="str">
        <x:v>xsd:integer</x:v>
      </x:c>
      <x:c r="F289" s="35" t="str"/>
      <x:c r="G289" s="38" t="str">
        <x:v>TRF-106</x:v>
      </x:c>
      <x:c r="H289" s="35" t="str">
        <x:v>Locked-workbook normalized regulatory term</x:v>
      </x:c>
      <x:c r="I289" s="35" t="str">
        <x:v>N4 - preserve the source concept; normalize spelling to ASCII lowerCamelCase</x:v>
      </x:c>
      <x:c r="J289" s="35" t="str">
        <x:v>REUSE_R2_TERM</x:v>
      </x:c>
    </x:row>
    <x:row r="290">
      <x:c r="A290" s="35" t="str">
        <x:v>equivalentSupportStatusByDirectCalculation</x:v>
      </x:c>
      <x:c r="B290" s="35" t="str">
        <x:v>https://w3id.org/nltl-benchmark/vocab#equivalentSupportStatusByDirectCalculation</x:v>
      </x:c>
      <x:c r="C290" s="35" t="str">
        <x:v>DatatypeProperty</x:v>
      </x:c>
      <x:c r="D290" s="35" t="str">
        <x:v>http://www.w3.org/2001/XMLSchema#boolean</x:v>
      </x:c>
      <x:c r="E290" s="35" t="str">
        <x:v>xsd:boolean</x:v>
      </x:c>
      <x:c r="F290" s="35" t="str"/>
      <x:c r="G290" s="38" t="str">
        <x:v>TRF-052</x:v>
      </x:c>
      <x:c r="H290" s="35" t="str">
        <x:v>Benchmark-coined descriptive engineering term</x:v>
      </x:c>
      <x:c r="I290" s="35" t="str">
        <x:v>N5 - component or subject first, followed by characteristic and qualifier/state; no unsupported external mapping</x:v>
      </x:c>
      <x:c r="J290" s="35" t="str">
        <x:v>REUSE_R2_TERM</x:v>
      </x:c>
    </x:row>
    <x:row r="291">
      <x:c r="A291" s="35" t="str">
        <x:v>escortRequirementsPresent</x:v>
      </x:c>
      <x:c r="B291" s="35" t="str">
        <x:v>https://w3id.org/nltl-benchmark/vocab#escortRequirementsPresent</x:v>
      </x:c>
      <x:c r="C291" s="35" t="str">
        <x:v>DatatypeProperty</x:v>
      </x:c>
      <x:c r="D291" s="35" t="str">
        <x:v>http://www.w3.org/2001/XMLSchema#boolean</x:v>
      </x:c>
      <x:c r="E291" s="35" t="str">
        <x:v>xsd:boolean</x:v>
      </x:c>
      <x:c r="F291" s="35" t="str"/>
      <x:c r="G291" s="38" t="str">
        <x:v>IMO-030</x:v>
      </x:c>
      <x:c r="H291" s="35" t="str">
        <x:v>Locked-workbook normalized regulatory term</x:v>
      </x:c>
      <x:c r="I291" s="35" t="str">
        <x:v>N4 - preserve the source concept; normalize spelling to ASCII lowerCamelCase</x:v>
      </x:c>
      <x:c r="J291" s="35" t="str">
        <x:v>REUSE_R2_TERM</x:v>
      </x:c>
    </x:row>
    <x:row r="292">
      <x:c r="A292" s="35" t="str">
        <x:v>escortedOperationLimits</x:v>
      </x:c>
      <x:c r="B292" s="35" t="str">
        <x:v>https://w3id.org/nltl-benchmark/vocab#escortedOperationLimits</x:v>
      </x:c>
      <x:c r="C292" s="35" t="str">
        <x:v>DatatypeProperty</x:v>
      </x:c>
      <x:c r="D292" s="35" t="str">
        <x:v>http://www.w3.org/2001/XMLSchema#string</x:v>
      </x:c>
      <x:c r="E292" s="35" t="str">
        <x:v>xsd:string</x:v>
      </x:c>
      <x:c r="F292" s="35" t="str"/>
      <x:c r="G292" s="38" t="str">
        <x:v>IMO-030</x:v>
      </x:c>
      <x:c r="H292" s="35" t="str">
        <x:v>Locked-workbook normalized regulatory term</x:v>
      </x:c>
      <x:c r="I292" s="35" t="str">
        <x:v>N4 - preserve the source concept; normalize spelling to ASCII lowerCamelCase</x:v>
      </x:c>
      <x:c r="J292" s="35" t="str">
        <x:v>REUSE_R2_TERM</x:v>
      </x:c>
    </x:row>
    <x:row r="293">
      <x:c r="A293" s="35" t="str">
        <x:v>essentialEngine</x:v>
      </x:c>
      <x:c r="B293" s="35" t="str">
        <x:v>https://w3id.org/nltl-benchmark/vocab#essentialEngine</x:v>
      </x:c>
      <x:c r="C293" s="35" t="str">
        <x:v>Class</x:v>
      </x:c>
      <x:c r="D293" s="35" t="str">
        <x:v>https://w3id.org/nltl-benchmark/vocab#machineryComponent</x:v>
      </x:c>
      <x:c r="E293" s="35" t="str"/>
      <x:c r="F293" s="35" t="str"/>
      <x:c r="G293" s="38" t="str">
        <x:v>IMO-047</x:v>
      </x:c>
      <x:c r="H293" s="35" t="str">
        <x:v>Locked-workbook normalized regulatory term</x:v>
      </x:c>
      <x:c r="I293" s="35" t="str">
        <x:v>N4 - preserve the source concept; normalize spelling to ASCII lowerCamelCase</x:v>
      </x:c>
      <x:c r="J293" s="35" t="str">
        <x:v>REUSE_R2_TERM</x:v>
      </x:c>
    </x:row>
    <x:row r="294">
      <x:c r="A294" s="35" t="str">
        <x:v>evacuationTestStatus</x:v>
      </x:c>
      <x:c r="B294" s="35" t="str">
        <x:v>https://w3id.org/nltl-benchmark/vocab#evacuationTestStatus</x:v>
      </x:c>
      <x:c r="C294" s="35" t="str">
        <x:v>DatatypeProperty</x:v>
      </x:c>
      <x:c r="D294" s="35" t="str">
        <x:v>http://www.w3.org/2001/XMLSchema#boolean</x:v>
      </x:c>
      <x:c r="E294" s="35" t="str">
        <x:v>xsd:boolean</x:v>
      </x:c>
      <x:c r="F294" s="35" t="str"/>
      <x:c r="G294" s="38" t="str">
        <x:v>IMO-063</x:v>
      </x:c>
      <x:c r="H294" s="35" t="str">
        <x:v>Locked-workbook normalized regulatory term</x:v>
      </x:c>
      <x:c r="I294" s="35" t="str">
        <x:v>N4 - preserve the source concept; normalize spelling to ASCII lowerCamelCase</x:v>
      </x:c>
      <x:c r="J294" s="35" t="str">
        <x:v>REUSE_R2_TERM</x:v>
      </x:c>
    </x:row>
    <x:row r="295">
      <x:c r="A295" s="35" t="str">
        <x:v>exceedanceResponseProcedurePresent</x:v>
      </x:c>
      <x:c r="B295" s="35" t="str">
        <x:v>https://w3id.org/nltl-benchmark/vocab#exceedanceResponseProcedurePresent</x:v>
      </x:c>
      <x:c r="C295" s="35" t="str">
        <x:v>DatatypeProperty</x:v>
      </x:c>
      <x:c r="D295" s="35" t="str">
        <x:v>http://www.w3.org/2001/XMLSchema#boolean</x:v>
      </x:c>
      <x:c r="E295" s="35" t="str">
        <x:v>xsd:boolean</x:v>
      </x:c>
      <x:c r="F295" s="35" t="str"/>
      <x:c r="G295" s="38" t="str">
        <x:v>IMO-029</x:v>
      </x:c>
      <x:c r="H295" s="35" t="str">
        <x:v>Locked-workbook normalized regulatory term</x:v>
      </x:c>
      <x:c r="I295" s="35" t="str">
        <x:v>N4 - preserve the source concept; normalize spelling to ASCII lowerCamelCase</x:v>
      </x:c>
      <x:c r="J295" s="35" t="str">
        <x:v>REUSE_R2_TERM</x:v>
      </x:c>
    </x:row>
    <x:row r="296">
      <x:c r="A296" s="35" t="str">
        <x:v>excitationPhaseVariation</x:v>
      </x:c>
      <x:c r="B296" s="35" t="str">
        <x:v>https://w3id.org/nltl-benchmark/vocab#excitationPhaseVariation</x:v>
      </x:c>
      <x:c r="C296" s="35" t="str">
        <x:v>DatatypeProperty</x:v>
      </x:c>
      <x:c r="D296" s="35" t="str">
        <x:v>http://www.w3.org/2001/XMLSchema#string</x:v>
      </x:c>
      <x:c r="E296" s="35" t="str">
        <x:v>xsd:string</x:v>
      </x:c>
      <x:c r="F296" s="35" t="str"/>
      <x:c r="G296" s="38" t="str">
        <x:v>TRF-100</x:v>
      </x:c>
      <x:c r="H296" s="35" t="str">
        <x:v>Benchmark-coined descriptive engineering term</x:v>
      </x:c>
      <x:c r="I296" s="35" t="str">
        <x:v>N5 - component or subject first, followed by characteristic and qualifier/state; no unsupported external mapping</x:v>
      </x:c>
      <x:c r="J296" s="35" t="str">
        <x:v>REUSE_R2_TERM</x:v>
      </x:c>
    </x:row>
    <x:row r="297">
      <x:c r="A297" s="35" t="str">
        <x:v>expectedEnvironmentalCondition</x:v>
      </x:c>
      <x:c r="B297" s="35" t="str">
        <x:v>https://w3id.org/nltl-benchmark/vocab#expectedEnvironmentalCondition</x:v>
      </x:c>
      <x:c r="C297" s="35" t="str">
        <x:v>DatatypeProperty</x:v>
      </x:c>
      <x:c r="D297" s="35" t="str">
        <x:v>http://www.w3.org/2001/XMLSchema#string</x:v>
      </x:c>
      <x:c r="E297" s="35" t="str">
        <x:v>xsd:string</x:v>
      </x:c>
      <x:c r="F297" s="35" t="str"/>
      <x:c r="G297" s="38" t="str">
        <x:v>IMO26-004</x:v>
      </x:c>
      <x:c r="H297" s="35" t="str">
        <x:v>Locked-workbook normalized regulatory term</x:v>
      </x:c>
      <x:c r="I297" s="35" t="str">
        <x:v>N4 - preserve the source concept; normalize spelling to ASCII lowerCamelCase</x:v>
      </x:c>
      <x:c r="J297" s="35" t="str">
        <x:v>REUSE_R2_TERM</x:v>
      </x:c>
    </x:row>
    <x:row r="298">
      <x:c r="A298" s="35" t="str">
        <x:v>exposedEquipment</x:v>
      </x:c>
      <x:c r="B298" s="35" t="str">
        <x:v>https://w3id.org/nltl-benchmark/vocab#exposedEquipment</x:v>
      </x:c>
      <x:c r="C298" s="35" t="str">
        <x:v>Class</x:v>
      </x:c>
      <x:c r="D298" s="35" t="str">
        <x:v>https://w3id.org/nltl-benchmark/vocab#benchmarkEntity</x:v>
      </x:c>
      <x:c r="E298" s="35" t="str"/>
      <x:c r="F298" s="35" t="str"/>
      <x:c r="G298" s="38" t="str">
        <x:v>IMO-046</x:v>
      </x:c>
      <x:c r="H298" s="35" t="str">
        <x:v>Locked-workbook normalized regulatory term</x:v>
      </x:c>
      <x:c r="I298" s="35" t="str">
        <x:v>N4 - preserve the source concept; normalize spelling to ASCII lowerCamelCase</x:v>
      </x:c>
      <x:c r="J298" s="35" t="str">
        <x:v>REUSE_R2_TERM</x:v>
      </x:c>
    </x:row>
    <x:row r="299">
      <x:c r="A299" s="35" t="str">
        <x:v>exposedEscapeRoute</x:v>
      </x:c>
      <x:c r="B299" s="35" t="str">
        <x:v>https://w3id.org/nltl-benchmark/vocab#exposedEscapeRoute</x:v>
      </x:c>
      <x:c r="C299" s="35" t="str">
        <x:v>Class</x:v>
      </x:c>
      <x:c r="D299" s="35" t="str">
        <x:v>https://w3id.org/nltl-benchmark/vocab#benchmarkEntity</x:v>
      </x:c>
      <x:c r="E299" s="35" t="str"/>
      <x:c r="F299" s="35" t="str"/>
      <x:c r="G299" s="38" t="str">
        <x:v>IMO-062 | IMO-067</x:v>
      </x:c>
      <x:c r="H299" s="35" t="str">
        <x:v>Locked-workbook normalized regulatory term</x:v>
      </x:c>
      <x:c r="I299" s="35" t="str">
        <x:v>N4 - preserve the source concept; normalize spelling to ASCII lowerCamelCase</x:v>
      </x:c>
      <x:c r="J299" s="35" t="str">
        <x:v>REUSE_R2_TERM</x:v>
      </x:c>
    </x:row>
    <x:row r="300">
      <x:c r="A300" s="35" t="str">
        <x:v>exposedFireMainSection</x:v>
      </x:c>
      <x:c r="B300" s="35" t="str">
        <x:v>https://w3id.org/nltl-benchmark/vocab#exposedFireMainSection</x:v>
      </x:c>
      <x:c r="C300" s="35" t="str">
        <x:v>DatatypeProperty</x:v>
      </x:c>
      <x:c r="D300" s="35" t="str">
        <x:v>http://www.w3.org/2001/XMLSchema#string</x:v>
      </x:c>
      <x:c r="E300" s="35" t="str">
        <x:v>xsd:string</x:v>
      </x:c>
      <x:c r="F300" s="35" t="str"/>
      <x:c r="G300" s="38" t="str">
        <x:v>IMO-058</x:v>
      </x:c>
      <x:c r="H300" s="35" t="str">
        <x:v>Locked-workbook normalized regulatory term</x:v>
      </x:c>
      <x:c r="I300" s="35" t="str">
        <x:v>N4 - preserve the source concept; normalize spelling to ASCII lowerCamelCase</x:v>
      </x:c>
      <x:c r="J300" s="35" t="str">
        <x:v>REUSE_R2_TERM</x:v>
      </x:c>
    </x:row>
    <x:row r="301">
      <x:c r="A301" s="35" t="str">
        <x:v>exposedMachineryOrFoundationMaterial</x:v>
      </x:c>
      <x:c r="B301" s="35" t="str">
        <x:v>https://w3id.org/nltl-benchmark/vocab#exposedMachineryOrFoundationMaterial</x:v>
      </x:c>
      <x:c r="C301" s="35" t="str">
        <x:v>DatatypeProperty</x:v>
      </x:c>
      <x:c r="D301" s="35" t="str">
        <x:v>http://www.w3.org/2001/XMLSchema#string</x:v>
      </x:c>
      <x:c r="E301" s="35" t="str">
        <x:v>xsd:string</x:v>
      </x:c>
      <x:c r="F301" s="35" t="str"/>
      <x:c r="G301" s="38" t="str">
        <x:v>IMO-048</x:v>
      </x:c>
      <x:c r="H301" s="35" t="str">
        <x:v>Locked-workbook normalized regulatory term</x:v>
      </x:c>
      <x:c r="I301" s="35" t="str">
        <x:v>N4 - preserve the source concept; normalize spelling to ASCII lowerCamelCase</x:v>
      </x:c>
      <x:c r="J301" s="35" t="str">
        <x:v>REUSE_R2_TERM</x:v>
      </x:c>
    </x:row>
    <x:row r="302">
      <x:c r="A302" s="35" t="str">
        <x:v>exposedStructureMaterial</x:v>
      </x:c>
      <x:c r="B302" s="35" t="str">
        <x:v>https://w3id.org/nltl-benchmark/vocab#exposedStructureMaterial</x:v>
      </x:c>
      <x:c r="C302" s="35" t="str">
        <x:v>DatatypeProperty</x:v>
      </x:c>
      <x:c r="D302" s="35" t="str">
        <x:v>http://www.w3.org/2001/XMLSchema#string</x:v>
      </x:c>
      <x:c r="E302" s="35" t="str">
        <x:v>xsd:string</x:v>
      </x:c>
      <x:c r="F302" s="35" t="str"/>
      <x:c r="G302" s="38" t="str">
        <x:v>IMO-031</x:v>
      </x:c>
      <x:c r="H302" s="35" t="str">
        <x:v>Locked-workbook normalized regulatory term</x:v>
      </x:c>
      <x:c r="I302" s="35" t="str">
        <x:v>N4 - preserve the source concept; normalize spelling to ASCII lowerCamelCase</x:v>
      </x:c>
      <x:c r="J302" s="35" t="str">
        <x:v>REUSE_R2_TERM</x:v>
      </x:c>
    </x:row>
    <x:row r="303">
      <x:c r="A303" s="35" t="str">
        <x:v>extendedDarknessOperation</x:v>
      </x:c>
      <x:c r="B303" s="35" t="str">
        <x:v>https://w3id.org/nltl-benchmark/vocab#extendedDarknessOperation</x:v>
      </x:c>
      <x:c r="C303" s="35" t="str">
        <x:v>DatatypeProperty</x:v>
      </x:c>
      <x:c r="D303" s="35" t="str">
        <x:v>http://www.w3.org/2001/XMLSchema#boolean</x:v>
      </x:c>
      <x:c r="E303" s="35" t="str">
        <x:v>xsd:boolean</x:v>
      </x:c>
      <x:c r="F303" s="35" t="str"/>
      <x:c r="G303" s="38" t="str">
        <x:v>IMO-072</x:v>
      </x:c>
      <x:c r="H303" s="35" t="str">
        <x:v>Locked-workbook normalized regulatory term</x:v>
      </x:c>
      <x:c r="I303" s="35" t="str">
        <x:v>N4 - preserve the source concept; normalize spelling to ASCII lowerCamelCase</x:v>
      </x:c>
      <x:c r="J303" s="35" t="str">
        <x:v>REUSE_R2_TERM</x:v>
      </x:c>
    </x:row>
    <x:row r="304">
      <x:c r="A304" s="35" t="str">
        <x:v>extendedPeriodOperation</x:v>
      </x:c>
      <x:c r="B304" s="35" t="str">
        <x:v>https://w3id.org/nltl-benchmark/vocab#extendedPeriodOperation</x:v>
      </x:c>
      <x:c r="C304" s="35" t="str">
        <x:v>DatatypeProperty</x:v>
      </x:c>
      <x:c r="D304" s="35" t="str">
        <x:v>http://www.w3.org/2001/XMLSchema#boolean</x:v>
      </x:c>
      <x:c r="E304" s="35" t="str">
        <x:v>xsd:boolean</x:v>
      </x:c>
      <x:c r="F304" s="35" t="str"/>
      <x:c r="G304" s="38" t="str">
        <x:v>IMO-119</x:v>
      </x:c>
      <x:c r="H304" s="35" t="str">
        <x:v>Locked-workbook normalized regulatory term</x:v>
      </x:c>
      <x:c r="I304" s="35" t="str">
        <x:v>N4 - preserve the source concept; normalize spelling to ASCII lowerCamelCase</x:v>
      </x:c>
      <x:c r="J304" s="35" t="str">
        <x:v>REUSE_R2_TERM</x:v>
      </x:c>
    </x:row>
    <x:row r="305">
      <x:c r="A305" s="35" t="str">
        <x:v>extensionBeyondAdjacentDeckOrTankBoundary</x:v>
      </x:c>
      <x:c r="B305" s="35" t="str">
        <x:v>https://w3id.org/nltl-benchmark/vocab#extensionBeyondAdjacentDeckOrTankBoundary</x:v>
      </x:c>
      <x:c r="C305" s="35" t="str">
        <x:v>QuantityProperty</x:v>
      </x:c>
      <x:c r="D305" s="35" t="str">
        <x:v>http://qudt.org/schema/qudt/QuantityValue</x:v>
      </x:c>
      <x:c r="E305" s="35" t="str"/>
      <x:c r="F305" s="35" t="str">
        <x:v>mm</x:v>
      </x:c>
      <x:c r="G305" s="38" t="str">
        <x:v>TRF-043</x:v>
      </x:c>
      <x:c r="H305" s="35" t="str">
        <x:v>Unit-stripped normalized regulatory variable</x:v>
      </x:c>
      <x:c r="I305" s="35" t="str">
        <x:v>N3 - remove unit from the identifier and retain it in unit/quantity metadata</x:v>
      </x:c>
      <x:c r="J305" s="35" t="str">
        <x:v>REUSE_R2_TERM</x:v>
      </x:c>
    </x:row>
    <x:row r="306">
      <x:c r="A306" s="35" t="str">
        <x:v>extinguisher</x:v>
      </x:c>
      <x:c r="B306" s="35" t="str">
        <x:v>https://w3id.org/nltl-benchmark/vocab#extinguisher</x:v>
      </x:c>
      <x:c r="C306" s="35" t="str">
        <x:v>Class</x:v>
      </x:c>
      <x:c r="D306" s="35" t="str">
        <x:v>https://w3id.org/nltl-benchmark/vocab#benchmarkEntity</x:v>
      </x:c>
      <x:c r="E306" s="35" t="str"/>
      <x:c r="F306" s="35" t="str"/>
      <x:c r="G306" s="38" t="str">
        <x:v>IMO-061</x:v>
      </x:c>
      <x:c r="H306" s="35" t="str">
        <x:v>Locked-workbook normalized regulatory term</x:v>
      </x:c>
      <x:c r="I306" s="35" t="str">
        <x:v>N4 - preserve the source concept; normalize spelling to ASCII lowerCamelCase</x:v>
      </x:c>
      <x:c r="J306" s="35" t="str">
        <x:v>REUSE_R2_TERM</x:v>
      </x:c>
    </x:row>
    <x:row r="307">
      <x:c r="A307" s="35" t="str">
        <x:v>extinguisherOperatingTestTemperature</x:v>
      </x:c>
      <x:c r="B307" s="35" t="str">
        <x:v>https://w3id.org/nltl-benchmark/vocab#extinguisherOperatingTestTemperature</x:v>
      </x:c>
      <x:c r="C307" s="35" t="str">
        <x:v>QuantityProperty</x:v>
      </x:c>
      <x:c r="D307" s="35" t="str">
        <x:v>http://qudt.org/schema/qudt/QuantityValue</x:v>
      </x:c>
      <x:c r="E307" s="35" t="str"/>
      <x:c r="F307" s="35" t="str">
        <x:v>deg C</x:v>
      </x:c>
      <x:c r="G307" s="38" t="str">
        <x:v>IMO-061</x:v>
      </x:c>
      <x:c r="H307" s="35" t="str">
        <x:v>Unit-stripped normalized regulatory variable</x:v>
      </x:c>
      <x:c r="I307" s="35" t="str">
        <x:v>N3 - remove unit from the identifier and retain it in unit/quantity metadata</x:v>
      </x:c>
      <x:c r="J307" s="35" t="str">
        <x:v>REUSE_R2_TERM</x:v>
      </x:c>
    </x:row>
    <x:row r="308">
      <x:c r="A308" s="35" t="str">
        <x:v>extinguishingMedium</x:v>
      </x:c>
      <x:c r="B308" s="35" t="str">
        <x:v>https://w3id.org/nltl-benchmark/vocab#extinguishingMedium</x:v>
      </x:c>
      <x:c r="C308" s="35" t="str">
        <x:v>DatatypeProperty</x:v>
      </x:c>
      <x:c r="D308" s="35" t="str">
        <x:v>http://www.w3.org/2001/XMLSchema#string</x:v>
      </x:c>
      <x:c r="E308" s="35" t="str">
        <x:v>xsd:string</x:v>
      </x:c>
      <x:c r="F308" s="35" t="str"/>
      <x:c r="G308" s="38" t="str">
        <x:v>IMO-053</x:v>
      </x:c>
      <x:c r="H308" s="35" t="str">
        <x:v>Locked-workbook normalized regulatory term</x:v>
      </x:c>
      <x:c r="I308" s="35" t="str">
        <x:v>N4 - preserve the source concept; normalize spelling to ASCII lowerCamelCase</x:v>
      </x:c>
      <x:c r="J308" s="35" t="str">
        <x:v>REUSE_R2_TERM</x:v>
      </x:c>
    </x:row>
    <x:row r="309">
      <x:c r="A309" s="35" t="str">
        <x:v>extremeIceForce</x:v>
      </x:c>
      <x:c r="B309" s="35" t="str">
        <x:v>https://w3id.org/nltl-benchmark/vocab#extremeIceForce</x:v>
      </x:c>
      <x:c r="C309" s="35" t="str">
        <x:v>QuantityProperty</x:v>
      </x:c>
      <x:c r="D309" s="35" t="str">
        <x:v>http://qudt.org/schema/qudt/QuantityValue</x:v>
      </x:c>
      <x:c r="E309" s="35" t="str"/>
      <x:c r="F309" s="35" t="str">
        <x:v>kN</x:v>
      </x:c>
      <x:c r="G309" s="38" t="str">
        <x:v>TRF-102 | TRF-111</x:v>
      </x:c>
      <x:c r="H309" s="35" t="str">
        <x:v>Unit-stripped normalized regulatory variable</x:v>
      </x:c>
      <x:c r="I309" s="35" t="str">
        <x:v>N3 - remove unit from the identifier and retain it in unit/quantity metadata</x:v>
      </x:c>
      <x:c r="J309" s="35" t="str">
        <x:v>REUSE_R2_TERM</x:v>
      </x:c>
    </x:row>
    <x:row r="310">
      <x:c r="A310" s="35" t="str">
        <x:v>extremeLoad</x:v>
      </x:c>
      <x:c r="B310" s="35" t="str">
        <x:v>https://w3id.org/nltl-benchmark/vocab#extremeLoad</x:v>
      </x:c>
      <x:c r="C310" s="35" t="str">
        <x:v>QuantityProperty</x:v>
      </x:c>
      <x:c r="D310" s="35" t="str">
        <x:v>http://qudt.org/schema/qudt/QuantityValue</x:v>
      </x:c>
      <x:c r="E310" s="35" t="str"/>
      <x:c r="F310" s="35" t="str">
        <x:v>kN</x:v>
      </x:c>
      <x:c r="G310" s="38" t="str">
        <x:v>TRF-070</x:v>
      </x:c>
      <x:c r="H310" s="35" t="str">
        <x:v>Benchmark-coined descriptive engineering term</x:v>
      </x:c>
      <x:c r="I310" s="35" t="str">
        <x:v>N5 - component or subject first, followed by characteristic and qualifier/state; no unsupported external mapping</x:v>
      </x:c>
      <x:c r="J310" s="35" t="str">
        <x:v>REUSE_R2_TERM</x:v>
      </x:c>
    </x:row>
    <x:row r="311">
      <x:c r="A311" s="35" t="str">
        <x:v>fatigueCoefficient</x:v>
      </x:c>
      <x:c r="B311" s="35" t="str">
        <x:v>https://w3id.org/nltl-benchmark/vocab#fatigueCoefficient</x:v>
      </x:c>
      <x:c r="C311" s="35" t="str">
        <x:v>QuantityProperty</x:v>
      </x:c>
      <x:c r="D311" s="35" t="str">
        <x:v>http://qudt.org/schema/qudt/QuantityValue</x:v>
      </x:c>
      <x:c r="E311" s="35" t="str"/>
      <x:c r="F311" s="35" t="str">
        <x:v>1</x:v>
      </x:c>
      <x:c r="G311" s="38" t="str">
        <x:v>TRF-109</x:v>
      </x:c>
      <x:c r="H311" s="35" t="str">
        <x:v>Benchmark-coined descriptive engineering term</x:v>
      </x:c>
      <x:c r="I311" s="35" t="str">
        <x:v>N5 - component or subject first, followed by characteristic and qualifier/state; no unsupported external mapping</x:v>
      </x:c>
      <x:c r="J311" s="35" t="str">
        <x:v>REUSE_R2_TERM</x:v>
      </x:c>
    </x:row>
    <x:row r="312">
      <x:c r="A312" s="35" t="str">
        <x:v>fatigueFactorRho</x:v>
      </x:c>
      <x:c r="B312" s="35" t="str">
        <x:v>https://w3id.org/nltl-benchmark/vocab#fatigueFactorRho</x:v>
      </x:c>
      <x:c r="C312" s="35" t="str">
        <x:v>QuantityProperty</x:v>
      </x:c>
      <x:c r="D312" s="35" t="str">
        <x:v>http://qudt.org/schema/qudt/QuantityValue</x:v>
      </x:c>
      <x:c r="E312" s="35" t="str"/>
      <x:c r="F312" s="35" t="str">
        <x:v>1</x:v>
      </x:c>
      <x:c r="G312" s="38" t="str">
        <x:v>TRF-109</x:v>
      </x:c>
      <x:c r="H312" s="35" t="str">
        <x:v>Benchmark-coined descriptive engineering term</x:v>
      </x:c>
      <x:c r="I312" s="35" t="str">
        <x:v>N5 - component or subject first, followed by characteristic and qualifier/state; no unsupported external mapping</x:v>
      </x:c>
      <x:c r="J312" s="35" t="str">
        <x:v>REUSE_R2_TERM</x:v>
      </x:c>
    </x:row>
    <x:row r="313">
      <x:c r="A313" s="35" t="str">
        <x:v>fatigueScatterReductionFactor</x:v>
      </x:c>
      <x:c r="B313" s="35" t="str">
        <x:v>https://w3id.org/nltl-benchmark/vocab#fatigueScatterReductionFactor</x:v>
      </x:c>
      <x:c r="C313" s="35" t="str">
        <x:v>QuantityProperty</x:v>
      </x:c>
      <x:c r="D313" s="35" t="str">
        <x:v>http://qudt.org/schema/qudt/QuantityValue</x:v>
      </x:c>
      <x:c r="E313" s="35" t="str"/>
      <x:c r="F313" s="35" t="str">
        <x:v>1</x:v>
      </x:c>
      <x:c r="G313" s="38" t="str">
        <x:v>TRF-110</x:v>
      </x:c>
      <x:c r="H313" s="35" t="str">
        <x:v>Regulatory symbol expanded from a directly verified definition</x:v>
      </x:c>
      <x:c r="I313" s="35" t="str">
        <x:v>N2 - replace formula symbol with its clause-defined engineering meaning; preserve symbol as alias</x:v>
      </x:c>
      <x:c r="J313" s="35" t="str">
        <x:v>REUSE_R2_TERM</x:v>
      </x:c>
    </x:row>
    <x:row r="314">
      <x:c r="A314" s="35" t="str">
        <x:v>finiteElementAnalysisUsed</x:v>
      </x:c>
      <x:c r="B314" s="35" t="str">
        <x:v>https://w3id.org/nltl-benchmark/vocab#finiteElementAnalysisUsed</x:v>
      </x:c>
      <x:c r="C314" s="35" t="str">
        <x:v>DatatypeProperty</x:v>
      </x:c>
      <x:c r="D314" s="35" t="str">
        <x:v>http://www.w3.org/2001/XMLSchema#boolean</x:v>
      </x:c>
      <x:c r="E314" s="35" t="str">
        <x:v>xsd:boolean</x:v>
      </x:c>
      <x:c r="F314" s="35" t="str"/>
      <x:c r="G314" s="38" t="str">
        <x:v>TRF-106</x:v>
      </x:c>
      <x:c r="H314" s="35" t="str">
        <x:v>Locked-workbook normalized regulatory term</x:v>
      </x:c>
      <x:c r="I314" s="35" t="str">
        <x:v>N4 - preserve the source concept; normalize spelling to ASCII lowerCamelCase</x:v>
      </x:c>
      <x:c r="J314" s="35" t="str">
        <x:v>REUSE_R2_TERM</x:v>
      </x:c>
    </x:row>
    <x:row r="315">
      <x:c r="A315" s="35" t="str">
        <x:v>firePump</x:v>
      </x:c>
      <x:c r="B315" s="35" t="str">
        <x:v>https://w3id.org/nltl-benchmark/vocab#firePump</x:v>
      </x:c>
      <x:c r="C315" s="35" t="str">
        <x:v>Class</x:v>
      </x:c>
      <x:c r="D315" s="35" t="str">
        <x:v>https://w3id.org/nltl-benchmark/vocab#machineryComponent</x:v>
      </x:c>
      <x:c r="E315" s="35" t="str"/>
      <x:c r="F315" s="35" t="str"/>
      <x:c r="G315" s="38" t="str">
        <x:v>IMO-057</x:v>
      </x:c>
      <x:c r="H315" s="35" t="str">
        <x:v>Locked-workbook normalized regulatory term</x:v>
      </x:c>
      <x:c r="I315" s="35" t="str">
        <x:v>N4 - preserve the source concept; normalize spelling to ASCII lowerCamelCase</x:v>
      </x:c>
      <x:c r="J315" s="35" t="str">
        <x:v>REUSE_R2_TERM</x:v>
      </x:c>
    </x:row>
    <x:row r="316">
      <x:c r="A316" s="35" t="str">
        <x:v>fireSafetyComponent</x:v>
      </x:c>
      <x:c r="B316" s="35" t="str">
        <x:v>https://w3id.org/nltl-benchmark/vocab#fireSafetyComponent</x:v>
      </x:c>
      <x:c r="C316" s="35" t="str">
        <x:v>Class</x:v>
      </x:c>
      <x:c r="D316" s="35" t="str">
        <x:v>https://w3id.org/nltl-benchmark/vocab#machineryComponent</x:v>
      </x:c>
      <x:c r="E316" s="35" t="str"/>
      <x:c r="F316" s="35" t="str"/>
      <x:c r="G316" s="38" t="str">
        <x:v>IMO-050 | IMO-054</x:v>
      </x:c>
      <x:c r="H316" s="35" t="str">
        <x:v>Locked-workbook normalized regulatory term</x:v>
      </x:c>
      <x:c r="I316" s="35" t="str">
        <x:v>N4 - preserve the source concept; normalize spelling to ASCII lowerCamelCase</x:v>
      </x:c>
      <x:c r="J316" s="35" t="str">
        <x:v>REUSE_R2_TERM</x:v>
      </x:c>
    </x:row>
    <x:row r="317">
      <x:c r="A317" s="35" t="str">
        <x:v>fireSafetyComponentExposed</x:v>
      </x:c>
      <x:c r="B317" s="35" t="str">
        <x:v>https://w3id.org/nltl-benchmark/vocab#fireSafetyComponentExposed</x:v>
      </x:c>
      <x:c r="C317" s="35" t="str">
        <x:v>DatatypeProperty</x:v>
      </x:c>
      <x:c r="D317" s="35" t="str">
        <x:v>http://www.w3.org/2001/XMLSchema#boolean</x:v>
      </x:c>
      <x:c r="E317" s="35" t="str">
        <x:v>xsd:boolean</x:v>
      </x:c>
      <x:c r="F317" s="35" t="str"/>
      <x:c r="G317" s="38" t="str">
        <x:v>IMO-050</x:v>
      </x:c>
      <x:c r="H317" s="35" t="str">
        <x:v>Locked-workbook normalized regulatory term</x:v>
      </x:c>
      <x:c r="I317" s="35" t="str">
        <x:v>N4 - preserve the source concept; normalize spelling to ASCII lowerCamelCase</x:v>
      </x:c>
      <x:c r="J317" s="35" t="str">
        <x:v>REUSE_R2_TERM</x:v>
      </x:c>
    </x:row>
    <x:row r="318">
      <x:c r="A318" s="35" t="str">
        <x:v>firefighterOutfit</x:v>
      </x:c>
      <x:c r="B318" s="35" t="str">
        <x:v>https://w3id.org/nltl-benchmark/vocab#firefighterOutfit</x:v>
      </x:c>
      <x:c r="C318" s="35" t="str">
        <x:v>DatatypeProperty</x:v>
      </x:c>
      <x:c r="D318" s="35" t="str">
        <x:v>http://www.w3.org/2001/XMLSchema#string</x:v>
      </x:c>
      <x:c r="E318" s="35" t="str">
        <x:v>xsd:string</x:v>
      </x:c>
      <x:c r="F318" s="35" t="str"/>
      <x:c r="G318" s="38" t="str">
        <x:v>IMO-059</x:v>
      </x:c>
      <x:c r="H318" s="35" t="str">
        <x:v>Locked-workbook normalized regulatory term</x:v>
      </x:c>
      <x:c r="I318" s="35" t="str">
        <x:v>N4 - preserve the source concept; normalize spelling to ASCII lowerCamelCase</x:v>
      </x:c>
      <x:c r="J318" s="35" t="str">
        <x:v>REUSE_R2_TERM</x:v>
      </x:c>
    </x:row>
    <x:row r="319">
      <x:c r="A319" s="35" t="str">
        <x:v>firstScheduledDryDockingDate</x:v>
      </x:c>
      <x:c r="B319" s="35" t="str">
        <x:v>https://w3id.org/nltl-benchmark/vocab#firstScheduledDryDockingDate</x:v>
      </x:c>
      <x:c r="C319" s="35" t="str">
        <x:v>DatatypeProperty</x:v>
      </x:c>
      <x:c r="D319" s="35" t="str">
        <x:v>http://www.w3.org/2001/XMLSchema#date</x:v>
      </x:c>
      <x:c r="E319" s="35" t="str">
        <x:v>xsd:date</x:v>
      </x:c>
      <x:c r="F319" s="35" t="str"/>
      <x:c r="G319" s="38" t="str">
        <x:v>TRF-014</x:v>
      </x:c>
      <x:c r="H319" s="35" t="str">
        <x:v>Applicable TRAFICOM regulation wording plus explicit engineering node/operand role</x:v>
      </x:c>
      <x:c r="I319" s="35" t="str">
        <x:v>N4 - explicit regulatory concept in ASCII lowerCamelCase with an XSD datatype.</x:v>
      </x:c>
      <x:c r="J319" s="35" t="str">
        <x:v>ADD_DEVELOPMENT_TERM</x:v>
      </x:c>
    </x:row>
    <x:row r="320">
      <x:c r="A320" s="35" t="str">
        <x:v>fishingVessel</x:v>
      </x:c>
      <x:c r="B320" s="35" t="str">
        <x:v>https://w3id.org/nltl-benchmark/vocab#fishingVessel</x:v>
      </x:c>
      <x:c r="C320" s="35" t="str">
        <x:v>Class</x:v>
      </x:c>
      <x:c r="D320" s="35" t="str">
        <x:v>https://w3id.org/nltl-benchmark/vocab#ship</x:v>
      </x:c>
      <x:c r="E320" s="35" t="str"/>
      <x:c r="F320" s="35" t="str"/>
      <x:c r="G320" s="38" t="str">
        <x:v>IMO26-002 | IMO26-016</x:v>
      </x:c>
      <x:c r="H320" s="35" t="str">
        <x:v>Benchmark-coined descriptive engineering term</x:v>
      </x:c>
      <x:c r="I320" s="35" t="str">
        <x:v>N5 - component or subject first, followed by characteristic and qualifier/state; no unsupported external mapping</x:v>
      </x:c>
      <x:c r="J320" s="35" t="str">
        <x:v>REUSE_R2_TERM</x:v>
      </x:c>
    </x:row>
    <x:row r="321">
      <x:c r="A321" s="35" t="str">
        <x:v>fixedPitch</x:v>
      </x:c>
      <x:c r="B321" s="35" t="str">
        <x:v>https://w3id.org/nltl-benchmark/vocab#fixedPitch</x:v>
      </x:c>
      <x:c r="C321" s="35" t="str">
        <x:v>NamedIndividual</x:v>
      </x:c>
      <x:c r="D321" s="35" t="str">
        <x:v>https://w3id.org/nltl-benchmark/vocab#propellerPitchControlTypeValue</x:v>
      </x:c>
      <x:c r="E321" s="35" t="str"/>
      <x:c r="F321" s="35" t="str"/>
      <x:c r="G321" s="38" t="str">
        <x:v>TRF-020</x:v>
      </x:c>
      <x:c r="H321" s="35" t="str">
        <x:v>Applicable TRAFICOM regulation wording plus explicit engineering node/operand role</x:v>
      </x:c>
      <x:c r="I321" s="35" t="str">
        <x:v>N6 - concise ASCII lowerCamelCase controlled-value name grounded in the linked regulation.</x:v>
      </x:c>
      <x:c r="J321" s="35" t="str">
        <x:v>ADD_DEVELOPMENT_TERM</x:v>
      </x:c>
    </x:row>
    <x:row r="322">
      <x:c r="A322" s="35" t="str">
        <x:v>fixedWaterSystemSeparateFromMainFirePumps</x:v>
      </x:c>
      <x:c r="B322" s="35" t="str">
        <x:v>https://w3id.org/nltl-benchmark/vocab#fixedWaterSystemSeparateFromMainFirePumps</x:v>
      </x:c>
      <x:c r="C322" s="35" t="str">
        <x:v>DatatypeProperty</x:v>
      </x:c>
      <x:c r="D322" s="35" t="str">
        <x:v>http://www.w3.org/2001/XMLSchema#boolean</x:v>
      </x:c>
      <x:c r="E322" s="35" t="str">
        <x:v>xsd:boolean</x:v>
      </x:c>
      <x:c r="F322" s="35" t="str"/>
      <x:c r="G322" s="38" t="str">
        <x:v>IMO-060</x:v>
      </x:c>
      <x:c r="H322" s="35" t="str">
        <x:v>Locked-workbook normalized regulatory term</x:v>
      </x:c>
      <x:c r="I322" s="35" t="str">
        <x:v>N4 - preserve the source concept; normalize spelling to ASCII lowerCamelCase</x:v>
      </x:c>
      <x:c r="J322" s="35" t="str">
        <x:v>REUSE_R2_TERM</x:v>
      </x:c>
    </x:row>
    <x:row r="323">
      <x:c r="A323" s="35" t="str">
        <x:v>flareAngle</x:v>
      </x:c>
      <x:c r="B323" s="35" t="str">
        <x:v>https://w3id.org/nltl-benchmark/vocab#flareAngle</x:v>
      </x:c>
      <x:c r="C323" s="35" t="str">
        <x:v>QuantityProperty</x:v>
      </x:c>
      <x:c r="D323" s="35" t="str">
        <x:v>http://qudt.org/schema/qudt/QuantityValue</x:v>
      </x:c>
      <x:c r="E323" s="35" t="str"/>
      <x:c r="F323" s="35" t="str">
        <x:v>deg</x:v>
      </x:c>
      <x:c r="G323" s="38" t="str">
        <x:v>TRF-022 | TRF-061</x:v>
      </x:c>
      <x:c r="H323" s="35" t="str">
        <x:v>Verified exact implementation term</x:v>
      </x:c>
      <x:c r="I323" s="35" t="str">
        <x:v>N1 - reuse only after exact URI and semantic-context verification</x:v>
      </x:c>
      <x:c r="J323" s="35" t="str">
        <x:v>REUSE_R2_TERM</x:v>
      </x:c>
    </x:row>
    <x:row r="324">
      <x:c r="A324" s="35" t="str">
        <x:v>flashingRed</x:v>
      </x:c>
      <x:c r="B324" s="35" t="str">
        <x:v>https://w3id.org/nltl-benchmark/vocab#flashingRed</x:v>
      </x:c>
      <x:c r="C324" s="35" t="str">
        <x:v>DatatypeProperty</x:v>
      </x:c>
      <x:c r="D324" s="35" t="str">
        <x:v>http://www.w3.org/2001/XMLSchema#boolean</x:v>
      </x:c>
      <x:c r="E324" s="35" t="str">
        <x:v>xsd:boolean</x:v>
      </x:c>
      <x:c r="F324" s="35" t="str"/>
      <x:c r="G324" s="38" t="str">
        <x:v>IMO-089</x:v>
      </x:c>
      <x:c r="H324" s="35" t="str">
        <x:v>Locked-workbook normalized regulatory term</x:v>
      </x:c>
      <x:c r="I324" s="35" t="str">
        <x:v>N4 - preserve the source concept; normalize spelling to ASCII lowerCamelCase</x:v>
      </x:c>
      <x:c r="J324" s="35" t="str">
        <x:v>REUSE_R2_TERM</x:v>
      </x:c>
    </x:row>
    <x:row r="325">
      <x:c r="A325" s="35" t="str">
        <x:v>flatBarSection</x:v>
      </x:c>
      <x:c r="B325" s="35" t="str">
        <x:v>https://w3id.org/nltl-benchmark/vocab#flatBarSection</x:v>
      </x:c>
      <x:c r="C325" s="35" t="str">
        <x:v>NamedIndividual</x:v>
      </x:c>
      <x:c r="D325" s="35" t="str">
        <x:v>https://w3id.org/nltl-benchmark/vocab#frameProfileTypeValue</x:v>
      </x:c>
      <x:c r="E325" s="35" t="str"/>
      <x:c r="F325" s="35" t="str"/>
      <x:c r="G325" s="38" t="str">
        <x:v>TRF-051</x:v>
      </x:c>
      <x:c r="H325" s="35" t="str">
        <x:v>Applicable TRAFICOM regulation wording plus explicit engineering node/operand role</x:v>
      </x:c>
      <x:c r="I325" s="35" t="str">
        <x:v>N6 - concise ASCII lowerCamelCase controlled-value name grounded in the linked regulation.</x:v>
      </x:c>
      <x:c r="J325" s="35" t="str">
        <x:v>ADD_DEVELOPMENT_TERM</x:v>
      </x:c>
    </x:row>
    <x:row r="326">
      <x:c r="A326" s="35" t="str">
        <x:v>flotationTestStatus</x:v>
      </x:c>
      <x:c r="B326" s="35" t="str">
        <x:v>https://w3id.org/nltl-benchmark/vocab#flotationTestStatus</x:v>
      </x:c>
      <x:c r="C326" s="35" t="str">
        <x:v>DatatypeProperty</x:v>
      </x:c>
      <x:c r="D326" s="35" t="str">
        <x:v>http://www.w3.org/2001/XMLSchema#boolean</x:v>
      </x:c>
      <x:c r="E326" s="35" t="str">
        <x:v>xsd:boolean</x:v>
      </x:c>
      <x:c r="F326" s="35" t="str"/>
      <x:c r="G326" s="38" t="str">
        <x:v>IMO-076</x:v>
      </x:c>
      <x:c r="H326" s="35" t="str">
        <x:v>Locked-workbook normalized regulatory term</x:v>
      </x:c>
      <x:c r="I326" s="35" t="str">
        <x:v>N4 - preserve the source concept; normalize spelling to ASCII lowerCamelCase</x:v>
      </x:c>
      <x:c r="J326" s="35" t="str">
        <x:v>REUSE_R2_TERM</x:v>
      </x:c>
    </x:row>
    <x:row r="327">
      <x:c r="A327" s="35" t="str">
        <x:v>foodWasteComminutedOrGround</x:v>
      </x:c>
      <x:c r="B327" s="35" t="str">
        <x:v>https://w3id.org/nltl-benchmark/vocab#foodWasteComminutedOrGround</x:v>
      </x:c>
      <x:c r="C327" s="35" t="str">
        <x:v>DatatypeProperty</x:v>
      </x:c>
      <x:c r="D327" s="35" t="str">
        <x:v>http://www.w3.org/2001/XMLSchema#boolean</x:v>
      </x:c>
      <x:c r="E327" s="35" t="str">
        <x:v>xsd:boolean</x:v>
      </x:c>
      <x:c r="F327" s="35" t="str"/>
      <x:c r="G327" s="38" t="str">
        <x:v>IMO-121</x:v>
      </x:c>
      <x:c r="H327" s="35" t="str">
        <x:v>Locked-workbook normalized regulatory term</x:v>
      </x:c>
      <x:c r="I327" s="35" t="str">
        <x:v>N4 - preserve the source concept; normalize spelling to ASCII lowerCamelCase</x:v>
      </x:c>
      <x:c r="J327" s="35" t="str">
        <x:v>REUSE_R2_TERM</x:v>
      </x:c>
    </x:row>
    <x:row r="328">
      <x:c r="A328" s="35" t="str">
        <x:v>foodWasteDischargeOntoIce</x:v>
      </x:c>
      <x:c r="B328" s="35" t="str">
        <x:v>https://w3id.org/nltl-benchmark/vocab#foodWasteDischargeOntoIce</x:v>
      </x:c>
      <x:c r="C328" s="35" t="str">
        <x:v>DatatypeProperty</x:v>
      </x:c>
      <x:c r="D328" s="35" t="str">
        <x:v>http://www.w3.org/2001/XMLSchema#boolean</x:v>
      </x:c>
      <x:c r="E328" s="35" t="str">
        <x:v>xsd:boolean</x:v>
      </x:c>
      <x:c r="F328" s="35" t="str"/>
      <x:c r="G328" s="38" t="str">
        <x:v>IMO-122 | IMO-124</x:v>
      </x:c>
      <x:c r="H328" s="35" t="str">
        <x:v>Locked-workbook normalized regulatory term</x:v>
      </x:c>
      <x:c r="I328" s="35" t="str">
        <x:v>N4 - preserve the source concept; normalize spelling to ASCII lowerCamelCase</x:v>
      </x:c>
      <x:c r="J328" s="35" t="str">
        <x:v>REUSE_R2_TERM</x:v>
      </x:c>
    </x:row>
    <x:row r="329">
      <x:c r="A329" s="35" t="str">
        <x:v>foodWasteDischargeToSea</x:v>
      </x:c>
      <x:c r="B329" s="35" t="str">
        <x:v>https://w3id.org/nltl-benchmark/vocab#foodWasteDischargeToSea</x:v>
      </x:c>
      <x:c r="C329" s="35" t="str">
        <x:v>DatatypeProperty</x:v>
      </x:c>
      <x:c r="D329" s="35" t="str">
        <x:v>http://www.w3.org/2001/XMLSchema#boolean</x:v>
      </x:c>
      <x:c r="E329" s="35" t="str">
        <x:v>xsd:boolean</x:v>
      </x:c>
      <x:c r="F329" s="35" t="str"/>
      <x:c r="G329" s="38" t="str">
        <x:v>IMO-120 | IMO-121</x:v>
      </x:c>
      <x:c r="H329" s="35" t="str">
        <x:v>Locked-workbook normalized regulatory term</x:v>
      </x:c>
      <x:c r="I329" s="35" t="str">
        <x:v>N4 - preserve the source concept; normalize spelling to ASCII lowerCamelCase</x:v>
      </x:c>
      <x:c r="J329" s="35" t="str">
        <x:v>REUSE_R2_TERM</x:v>
      </x:c>
    </x:row>
    <x:row r="330">
      <x:c r="A330" s="35" t="str">
        <x:v>forceLoadCase</x:v>
      </x:c>
      <x:c r="B330" s="35" t="str">
        <x:v>https://w3id.org/nltl-benchmark/vocab#forceLoadCase</x:v>
      </x:c>
      <x:c r="C330" s="35" t="str">
        <x:v>DatatypeProperty</x:v>
      </x:c>
      <x:c r="D330" s="35" t="str">
        <x:v>http://www.w3.org/2001/XMLSchema#string</x:v>
      </x:c>
      <x:c r="E330" s="35" t="str">
        <x:v>xsd:string</x:v>
      </x:c>
      <x:c r="F330" s="35" t="str"/>
      <x:c r="G330" s="38" t="str">
        <x:v>TRF-075</x:v>
      </x:c>
      <x:c r="H330" s="35" t="str">
        <x:v>Benchmark-coined descriptive engineering term</x:v>
      </x:c>
      <x:c r="I330" s="35" t="str">
        <x:v>N5 - component or subject first, followed by characteristic and qualifier/state; no unsupported external mapping</x:v>
      </x:c>
      <x:c r="J330" s="35" t="str">
        <x:v>REUSE_R2_TERM</x:v>
      </x:c>
    </x:row>
    <x:row r="331">
      <x:c r="A331" s="35" t="str">
        <x:v>forefootShellStrengtheningStatus</x:v>
      </x:c>
      <x:c r="B331" s="35" t="str">
        <x:v>https://w3id.org/nltl-benchmark/vocab#forefootShellStrengtheningStatus</x:v>
      </x:c>
      <x:c r="C331" s="35" t="str">
        <x:v>DatatypeProperty</x:v>
      </x:c>
      <x:c r="D331" s="35" t="str">
        <x:v>http://www.w3.org/2001/XMLSchema#boolean</x:v>
      </x:c>
      <x:c r="E331" s="35" t="str">
        <x:v>xsd:boolean</x:v>
      </x:c>
      <x:c r="F331" s="35" t="str"/>
      <x:c r="G331" s="38" t="str">
        <x:v>TRF-040</x:v>
      </x:c>
      <x:c r="H331" s="35" t="str">
        <x:v>Benchmark-coined descriptive engineering term</x:v>
      </x:c>
      <x:c r="I331" s="35" t="str">
        <x:v>N5 - component or subject first, followed by characteristic and qualifier/state; no unsupported external mapping</x:v>
      </x:c>
      <x:c r="J331" s="35" t="str">
        <x:v>REUSE_R2_TERM</x:v>
      </x:c>
    </x:row>
    <x:row r="332">
      <x:c r="A332" s="35" t="str">
        <x:v>forwardBladeForce</x:v>
      </x:c>
      <x:c r="B332" s="35" t="str">
        <x:v>https://w3id.org/nltl-benchmark/vocab#forwardBladeForce</x:v>
      </x:c>
      <x:c r="C332" s="35" t="str">
        <x:v>QuantityProperty</x:v>
      </x:c>
      <x:c r="D332" s="35" t="str">
        <x:v>http://qudt.org/schema/qudt/QuantityValue</x:v>
      </x:c>
      <x:c r="E332" s="35" t="str"/>
      <x:c r="F332" s="35" t="str">
        <x:v>kN</x:v>
      </x:c>
      <x:c r="G332" s="38" t="str">
        <x:v>TRF-075 | TRF-081</x:v>
      </x:c>
      <x:c r="H332" s="35" t="str">
        <x:v>Unit-stripped normalized regulatory variable</x:v>
      </x:c>
      <x:c r="I332" s="35" t="str">
        <x:v>N3 - remove unit from the identifier and retain it in unit/quantity metadata</x:v>
      </x:c>
      <x:c r="J332" s="35" t="str">
        <x:v>REUSE_R2_TERM</x:v>
      </x:c>
    </x:row>
    <x:row r="333">
      <x:c r="A333" s="35" t="str">
        <x:v>forwardDraught</x:v>
      </x:c>
      <x:c r="B333" s="35" t="str">
        <x:v>https://w3id.org/nltl-benchmark/vocab#forwardDraught</x:v>
      </x:c>
      <x:c r="C333" s="35" t="str">
        <x:v>QuantityProperty</x:v>
      </x:c>
      <x:c r="D333" s="35" t="str">
        <x:v>http://qudt.org/schema/qudt/QuantityValue</x:v>
      </x:c>
      <x:c r="E333" s="35" t="str"/>
      <x:c r="F333" s="35" t="str">
        <x:v>m</x:v>
      </x:c>
      <x:c r="G333" s="38" t="str">
        <x:v>TRF-016</x:v>
      </x:c>
      <x:c r="H333" s="35" t="str">
        <x:v>Verified exact implementation term</x:v>
      </x:c>
      <x:c r="I333" s="35" t="str">
        <x:v>N1 - reuse only after exact URI and semantic-context verification</x:v>
      </x:c>
      <x:c r="J333" s="35" t="str">
        <x:v>REUSE_R2_TERM</x:v>
      </x:c>
    </x:row>
    <x:row r="334">
      <x:c r="A334" s="35" t="str">
        <x:v>forwardIceThrust</x:v>
      </x:c>
      <x:c r="B334" s="35" t="str">
        <x:v>https://w3id.org/nltl-benchmark/vocab#forwardIceThrust</x:v>
      </x:c>
      <x:c r="C334" s="35" t="str">
        <x:v>QuantityProperty</x:v>
      </x:c>
      <x:c r="D334" s="35" t="str">
        <x:v>http://qudt.org/schema/qudt/QuantityValue</x:v>
      </x:c>
      <x:c r="E334" s="35" t="str"/>
      <x:c r="F334" s="35" t="str">
        <x:v>kN</x:v>
      </x:c>
      <x:c r="G334" s="38" t="str">
        <x:v>TRF-081</x:v>
      </x:c>
      <x:c r="H334" s="35" t="str">
        <x:v>Verified exact implementation term</x:v>
      </x:c>
      <x:c r="I334" s="35" t="str">
        <x:v>N1 - reuse only after exact URI and semantic-context verification</x:v>
      </x:c>
      <x:c r="J334" s="35" t="str">
        <x:v>REUSE_R2_TERM</x:v>
      </x:c>
    </x:row>
    <x:row r="335">
      <x:c r="A335" s="35" t="str">
        <x:v>forwardPropellerShaftDesignThrust</x:v>
      </x:c>
      <x:c r="B335" s="35" t="str">
        <x:v>https://w3id.org/nltl-benchmark/vocab#forwardPropellerShaftDesignThrust</x:v>
      </x:c>
      <x:c r="C335" s="35" t="str">
        <x:v>QuantityProperty</x:v>
      </x:c>
      <x:c r="D335" s="35" t="str">
        <x:v>http://qudt.org/schema/qudt/QuantityValue</x:v>
      </x:c>
      <x:c r="E335" s="35" t="str"/>
      <x:c r="F335" s="35" t="str">
        <x:v>kN</x:v>
      </x:c>
      <x:c r="G335" s="38" t="str">
        <x:v>TRF-081</x:v>
      </x:c>
      <x:c r="H335" s="35" t="str">
        <x:v>Unit-stripped normalized regulatory variable</x:v>
      </x:c>
      <x:c r="I335" s="35" t="str">
        <x:v>N3 - remove unit from the identifier and retain it in unit/quantity metadata</x:v>
      </x:c>
      <x:c r="J335" s="35" t="str">
        <x:v>REUSE_R2_TERM</x:v>
      </x:c>
    </x:row>
    <x:row r="336">
      <x:c r="A336" s="35" t="str">
        <x:v>fractureMargin</x:v>
      </x:c>
      <x:c r="B336" s="35" t="str">
        <x:v>https://w3id.org/nltl-benchmark/vocab#fractureMargin</x:v>
      </x:c>
      <x:c r="C336" s="35" t="str">
        <x:v>QuantityProperty</x:v>
      </x:c>
      <x:c r="D336" s="35" t="str">
        <x:v>http://qudt.org/schema/qudt/QuantityValue</x:v>
      </x:c>
      <x:c r="E336" s="35" t="str"/>
      <x:c r="F336" s="35" t="str">
        <x:v>1</x:v>
      </x:c>
      <x:c r="G336" s="38" t="str">
        <x:v>I2-065</x:v>
      </x:c>
      <x:c r="H336" s="35" t="str">
        <x:v>Benchmark-coined descriptive engineering term</x:v>
      </x:c>
      <x:c r="I336" s="35" t="str">
        <x:v>N5 - component or subject first, followed by characteristic and qualifier/state; no unsupported external mapping</x:v>
      </x:c>
      <x:c r="J336" s="35" t="str">
        <x:v>REUSE_R2_TERM</x:v>
      </x:c>
    </x:row>
    <x:row r="337">
      <x:c r="A337" s="35" t="str">
        <x:v>frame</x:v>
      </x:c>
      <x:c r="B337" s="35" t="str">
        <x:v>https://w3id.org/nltl-benchmark/vocab#frame</x:v>
      </x:c>
      <x:c r="C337" s="35" t="str">
        <x:v>Class</x:v>
      </x:c>
      <x:c r="D337" s="35" t="str">
        <x:v>https://w3id.org/nltl-benchmark/vocab#hullStructure</x:v>
      </x:c>
      <x:c r="E337" s="35" t="str"/>
      <x:c r="F337" s="35" t="str"/>
      <x:c r="G337" s="38" t="str">
        <x:v>TRF-049</x:v>
      </x:c>
      <x:c r="H337" s="35" t="str">
        <x:v>Benchmark-coined descriptive engineering term</x:v>
      </x:c>
      <x:c r="I337" s="35" t="str">
        <x:v>N5 - component or subject first, followed by characteristic and qualifier/state; no unsupported external mapping</x:v>
      </x:c>
      <x:c r="J337" s="35" t="str">
        <x:v>REUSE_R2_TERM</x:v>
      </x:c>
    </x:row>
    <x:row r="338">
      <x:c r="A338" s="35" t="str">
        <x:v>frameAsymmetrical</x:v>
      </x:c>
      <x:c r="B338" s="35" t="str">
        <x:v>https://w3id.org/nltl-benchmark/vocab#frameAsymmetrical</x:v>
      </x:c>
      <x:c r="C338" s="35" t="str">
        <x:v>DatatypeProperty</x:v>
      </x:c>
      <x:c r="D338" s="35" t="str">
        <x:v>http://www.w3.org/2001/XMLSchema#boolean</x:v>
      </x:c>
      <x:c r="E338" s="35" t="str">
        <x:v>xsd:boolean</x:v>
      </x:c>
      <x:c r="F338" s="35" t="str"/>
      <x:c r="G338" s="38" t="str">
        <x:v>TRF-052</x:v>
      </x:c>
      <x:c r="H338" s="35" t="str">
        <x:v>Benchmark-coined descriptive engineering term</x:v>
      </x:c>
      <x:c r="I338" s="35" t="str">
        <x:v>N5 - component or subject first, followed by characteristic and qualifier/state; no unsupported external mapping</x:v>
      </x:c>
      <x:c r="J338" s="35" t="str">
        <x:v>REUSE_R2_TERM</x:v>
      </x:c>
    </x:row>
    <x:row r="339">
      <x:c r="A339" s="35" t="str">
        <x:v>frameAttachment</x:v>
      </x:c>
      <x:c r="B339" s="35" t="str">
        <x:v>https://w3id.org/nltl-benchmark/vocab#frameAttachment</x:v>
      </x:c>
      <x:c r="C339" s="35" t="str">
        <x:v>ObjectProperty</x:v>
      </x:c>
      <x:c r="D339" s="35" t="str">
        <x:v>https://w3id.org/nltl-benchmark/vocab#benchmarkEntity</x:v>
      </x:c>
      <x:c r="E339" s="35" t="str"/>
      <x:c r="F339" s="35" t="str"/>
      <x:c r="G339" s="38" t="str">
        <x:v>TRF-049</x:v>
      </x:c>
      <x:c r="H339" s="35" t="str">
        <x:v>Benchmark-coined descriptive engineering term</x:v>
      </x:c>
      <x:c r="I339" s="35" t="str">
        <x:v>N5 - component or subject first, followed by characteristic and qualifier/state; no unsupported external mapping</x:v>
      </x:c>
      <x:c r="J339" s="35" t="str">
        <x:v>REUSE_R2_TERM</x:v>
      </x:c>
    </x:row>
    <x:row r="340">
      <x:c r="A340" s="35" t="str">
        <x:v>frameBoundaryConditionEvidence</x:v>
      </x:c>
      <x:c r="B340" s="35" t="str">
        <x:v>https://w3id.org/nltl-benchmark/vocab#frameBoundaryConditionEvidence</x:v>
      </x:c>
      <x:c r="C340" s="35" t="str">
        <x:v>Class</x:v>
      </x:c>
      <x:c r="D340" s="35" t="str">
        <x:v>https://w3id.org/nltl-benchmark/vocab#evidenceArtifact</x:v>
      </x:c>
      <x:c r="E340" s="35" t="str"/>
      <x:c r="F340" s="35" t="str"/>
      <x:c r="G340" s="38" t="str">
        <x:v>TRF-048</x:v>
      </x:c>
      <x:c r="H340" s="35" t="str">
        <x:v>Applicable TRAFICOM regulation wording plus explicit engineering node/operand role</x:v>
      </x:c>
      <x:c r="I340" s="35" t="str">
        <x:v>N4 - singular ASCII lowerCamelCase entity name derived from the linked regulatory role.</x:v>
      </x:c>
      <x:c r="J340" s="35" t="str">
        <x:v>ADD_DEVELOPMENT_TERM</x:v>
      </x:c>
    </x:row>
    <x:row r="341">
      <x:c r="A341" s="35" t="str">
        <x:v>frameBoundaryConditionFactorM0</x:v>
      </x:c>
      <x:c r="B341" s="35" t="str">
        <x:v>https://w3id.org/nltl-benchmark/vocab#frameBoundaryConditionFactorM0</x:v>
      </x:c>
      <x:c r="C341" s="35" t="str">
        <x:v>QuantityProperty</x:v>
      </x:c>
      <x:c r="D341" s="35" t="str">
        <x:v>http://qudt.org/schema/qudt/QuantityValue</x:v>
      </x:c>
      <x:c r="E341" s="35" t="str"/>
      <x:c r="F341" s="35" t="str">
        <x:v>1</x:v>
      </x:c>
      <x:c r="G341" s="38" t="str">
        <x:v>TRF-044</x:v>
      </x:c>
      <x:c r="H341" s="35" t="str">
        <x:v>Applicable TRAFICOM regulation wording plus explicit engineering node/operand role</x:v>
      </x:c>
      <x:c r="I341" s="35" t="str">
        <x:v>N4 - explicit engineering quantity in ASCII lowerCamelCase; formula symbols remain aliases only.</x:v>
      </x:c>
      <x:c r="J341" s="35" t="str">
        <x:v>ADD_DEVELOPMENT_TERM</x:v>
      </x:c>
    </x:row>
    <x:row r="342">
      <x:c r="A342" s="35" t="str">
        <x:v>frameBoundaryConditionType</x:v>
      </x:c>
      <x:c r="B342" s="35" t="str">
        <x:v>https://w3id.org/nltl-benchmark/vocab#frameBoundaryConditionType</x:v>
      </x:c>
      <x:c r="C342" s="35" t="str">
        <x:v>ObjectProperty</x:v>
      </x:c>
      <x:c r="D342" s="35" t="str">
        <x:v>https://w3id.org/nltl-benchmark/vocab#frameBoundaryConditionTypeValue</x:v>
      </x:c>
      <x:c r="E342" s="35" t="str"/>
      <x:c r="F342" s="35" t="str"/>
      <x:c r="G342" s="38" t="str">
        <x:v>TRF-044</x:v>
      </x:c>
      <x:c r="H342" s="35" t="str">
        <x:v>Applicable TRAFICOM regulation wording plus explicit engineering node/operand role</x:v>
      </x:c>
      <x:c r="I342" s="35" t="str">
        <x:v>N5 - ASCII lowerCamelCase relationship; use has + object role when it improves direction clarity.</x:v>
      </x:c>
      <x:c r="J342" s="35" t="str">
        <x:v>ADD_DEVELOPMENT_TERM</x:v>
      </x:c>
    </x:row>
    <x:row r="343">
      <x:c r="A343" s="35" t="str">
        <x:v>frameBoundaryConditionTypeValue</x:v>
      </x:c>
      <x:c r="B343" s="35" t="str">
        <x:v>https://w3id.org/nltl-benchmark/vocab#frameBoundaryConditionTypeValue</x:v>
      </x:c>
      <x:c r="C343" s="35" t="str">
        <x:v>Class</x:v>
      </x:c>
      <x:c r="D343" s="35" t="str">
        <x:v>https://w3id.org/nltl-benchmark/vocab#benchmarkEntity</x:v>
      </x:c>
      <x:c r="E343" s="35" t="str"/>
      <x:c r="F343" s="35" t="str"/>
      <x:c r="G343" s="38" t="str">
        <x:v>TRF-044</x:v>
      </x:c>
      <x:c r="H343" s="35" t="str">
        <x:v>Applicable TRAFICOM regulation wording plus explicit engineering node/operand role</x:v>
      </x:c>
      <x:c r="I343" s="35" t="str">
        <x:v>N4 - singular ASCII lowerCamelCase entity name derived from the linked regulatory role.</x:v>
      </x:c>
      <x:c r="J343" s="35" t="str">
        <x:v>ADD_DEVELOPMENT_TERM</x:v>
      </x:c>
    </x:row>
    <x:row r="344">
      <x:c r="A344" s="35" t="str">
        <x:v>frameEnd</x:v>
      </x:c>
      <x:c r="B344" s="35" t="str">
        <x:v>https://w3id.org/nltl-benchmark/vocab#frameEnd</x:v>
      </x:c>
      <x:c r="C344" s="35" t="str">
        <x:v>Class</x:v>
      </x:c>
      <x:c r="D344" s="35" t="str">
        <x:v>https://w3id.org/nltl-benchmark/vocab#hullStructure</x:v>
      </x:c>
      <x:c r="E344" s="35" t="str"/>
      <x:c r="F344" s="35" t="str"/>
      <x:c r="G344" s="38" t="str">
        <x:v>TRF-046 | TRF-047</x:v>
      </x:c>
      <x:c r="H344" s="35" t="str">
        <x:v>Applicable TRAFICOM regulation wording plus explicit engineering node/operand role</x:v>
      </x:c>
      <x:c r="I344" s="35" t="str">
        <x:v>N4 - singular ASCII lowerCamelCase entity name derived from the linked regulatory role.</x:v>
      </x:c>
      <x:c r="J344" s="35" t="str">
        <x:v>ADD_DEVELOPMENT_TERM</x:v>
      </x:c>
    </x:row>
    <x:row r="345">
      <x:c r="A345" s="35" t="str">
        <x:v>frameLowerEnd</x:v>
      </x:c>
      <x:c r="B345" s="35" t="str">
        <x:v>https://w3id.org/nltl-benchmark/vocab#frameLowerEnd</x:v>
      </x:c>
      <x:c r="C345" s="35" t="str">
        <x:v>DatatypeProperty</x:v>
      </x:c>
      <x:c r="D345" s="35" t="str">
        <x:v>http://www.w3.org/2001/XMLSchema#string</x:v>
      </x:c>
      <x:c r="E345" s="35" t="str">
        <x:v>xsd:string</x:v>
      </x:c>
      <x:c r="F345" s="35" t="str"/>
      <x:c r="G345" s="38" t="str">
        <x:v>TRF-047</x:v>
      </x:c>
      <x:c r="H345" s="35" t="str">
        <x:v>Benchmark-coined descriptive engineering term</x:v>
      </x:c>
      <x:c r="I345" s="35" t="str">
        <x:v>N5 - component or subject first, followed by characteristic and qualifier/state; no unsupported external mapping</x:v>
      </x:c>
      <x:c r="J345" s="35" t="str">
        <x:v>REUSE_R2_TERM</x:v>
      </x:c>
    </x:row>
    <x:row r="346">
      <x:c r="A346" s="35" t="str">
        <x:v>frameMomentFactorM</x:v>
      </x:c>
      <x:c r="B346" s="35" t="str">
        <x:v>https://w3id.org/nltl-benchmark/vocab#frameMomentFactorM</x:v>
      </x:c>
      <x:c r="C346" s="35" t="str">
        <x:v>QuantityProperty</x:v>
      </x:c>
      <x:c r="D346" s="35" t="str">
        <x:v>http://qudt.org/schema/qudt/QuantityValue</x:v>
      </x:c>
      <x:c r="E346" s="35" t="str"/>
      <x:c r="F346" s="35" t="str">
        <x:v>1</x:v>
      </x:c>
      <x:c r="G346" s="38" t="str">
        <x:v>TRF-048 | TRF-053 | TRF-054</x:v>
      </x:c>
      <x:c r="H346" s="35" t="str">
        <x:v>Applicable TRAFICOM regulation wording plus explicit engineering node/operand role</x:v>
      </x:c>
      <x:c r="I346" s="35" t="str">
        <x:v>N4 - explicit engineering quantity in ASCII lowerCamelCase; formula symbols remain aliases only.</x:v>
      </x:c>
      <x:c r="J346" s="35" t="str">
        <x:v>ADD_DEVELOPMENT_TERM</x:v>
      </x:c>
    </x:row>
    <x:row r="347">
      <x:c r="A347" s="35" t="str">
        <x:v>frameMomentFactorMt</x:v>
      </x:c>
      <x:c r="B347" s="35" t="str">
        <x:v>https://w3id.org/nltl-benchmark/vocab#frameMomentFactorMt</x:v>
      </x:c>
      <x:c r="C347" s="35" t="str">
        <x:v>QuantityProperty</x:v>
      </x:c>
      <x:c r="D347" s="35" t="str">
        <x:v>http://qudt.org/schema/qudt/QuantityValue</x:v>
      </x:c>
      <x:c r="E347" s="35" t="str"/>
      <x:c r="F347" s="35" t="str">
        <x:v>1</x:v>
      </x:c>
      <x:c r="G347" s="38" t="str">
        <x:v>TRF-044</x:v>
      </x:c>
      <x:c r="H347" s="35" t="str">
        <x:v>Applicable TRAFICOM regulation wording plus explicit engineering node/operand role</x:v>
      </x:c>
      <x:c r="I347" s="35" t="str">
        <x:v>N4 - explicit engineering quantity in ASCII lowerCamelCase; formula symbols remain aliases only.</x:v>
      </x:c>
      <x:c r="J347" s="35" t="str">
        <x:v>ADD_DEVELOPMENT_TERM</x:v>
      </x:c>
    </x:row>
    <x:row r="348">
      <x:c r="A348" s="35" t="str">
        <x:v>frameProfileType</x:v>
      </x:c>
      <x:c r="B348" s="35" t="str">
        <x:v>https://w3id.org/nltl-benchmark/vocab#frameProfileType</x:v>
      </x:c>
      <x:c r="C348" s="35" t="str">
        <x:v>ObjectProperty</x:v>
      </x:c>
      <x:c r="D348" s="35" t="str">
        <x:v>https://w3id.org/nltl-benchmark/vocab#frameProfileTypeValue</x:v>
      </x:c>
      <x:c r="E348" s="35" t="str"/>
      <x:c r="F348" s="35" t="str"/>
      <x:c r="G348" s="38" t="str">
        <x:v>TRF-051</x:v>
      </x:c>
      <x:c r="H348" s="35" t="str">
        <x:v>Applicable TRAFICOM regulation wording plus explicit engineering node/operand role</x:v>
      </x:c>
      <x:c r="I348" s="35" t="str">
        <x:v>N5 - ASCII lowerCamelCase relationship; use has + object role when it improves direction clarity.</x:v>
      </x:c>
      <x:c r="J348" s="35" t="str">
        <x:v>ADD_DEVELOPMENT_TERM</x:v>
      </x:c>
    </x:row>
    <x:row r="349">
      <x:c r="A349" s="35" t="str">
        <x:v>frameProfileTypeValue</x:v>
      </x:c>
      <x:c r="B349" s="35" t="str">
        <x:v>https://w3id.org/nltl-benchmark/vocab#frameProfileTypeValue</x:v>
      </x:c>
      <x:c r="C349" s="35" t="str">
        <x:v>Class</x:v>
      </x:c>
      <x:c r="D349" s="35" t="str">
        <x:v>https://w3id.org/nltl-benchmark/vocab#benchmarkEntity</x:v>
      </x:c>
      <x:c r="E349" s="35" t="str"/>
      <x:c r="F349" s="35" t="str"/>
      <x:c r="G349" s="38" t="str">
        <x:v>TRF-051</x:v>
      </x:c>
      <x:c r="H349" s="35" t="str">
        <x:v>Applicable TRAFICOM regulation wording plus explicit engineering node/operand role</x:v>
      </x:c>
      <x:c r="I349" s="35" t="str">
        <x:v>N4 - singular ASCII lowerCamelCase entity name derived from the linked regulatory role.</x:v>
      </x:c>
      <x:c r="J349" s="35" t="str">
        <x:v>ADD_DEVELOPMENT_TERM</x:v>
      </x:c>
    </x:row>
    <x:row r="350">
      <x:c r="A350" s="35" t="str">
        <x:v>frameShearDistributionFactorF3</x:v>
      </x:c>
      <x:c r="B350" s="35" t="str">
        <x:v>https://w3id.org/nltl-benchmark/vocab#frameShearDistributionFactorF3</x:v>
      </x:c>
      <x:c r="C350" s="35" t="str">
        <x:v>QuantityProperty</x:v>
      </x:c>
      <x:c r="D350" s="35" t="str">
        <x:v>http://qudt.org/schema/qudt/QuantityValue</x:v>
      </x:c>
      <x:c r="E350" s="35" t="str"/>
      <x:c r="F350" s="35" t="str">
        <x:v>1</x:v>
      </x:c>
      <x:c r="G350" s="38" t="str">
        <x:v>TRF-044</x:v>
      </x:c>
      <x:c r="H350" s="35" t="str">
        <x:v>Applicable TRAFICOM regulation wording plus explicit engineering node/operand role</x:v>
      </x:c>
      <x:c r="I350" s="35" t="str">
        <x:v>N4 - explicit engineering quantity in ASCII lowerCamelCase; formula symbols remain aliases only.</x:v>
      </x:c>
      <x:c r="J350" s="35" t="str">
        <x:v>ADD_DEVELOPMENT_TERM</x:v>
      </x:c>
    </x:row>
    <x:row r="351">
      <x:c r="A351" s="35" t="str">
        <x:v>frameShellAttachment</x:v>
      </x:c>
      <x:c r="B351" s="35" t="str">
        <x:v>https://w3id.org/nltl-benchmark/vocab#frameShellAttachment</x:v>
      </x:c>
      <x:c r="C351" s="35" t="str">
        <x:v>ObjectProperty</x:v>
      </x:c>
      <x:c r="D351" s="35" t="str">
        <x:v>https://w3id.org/nltl-benchmark/vocab#benchmarkEntity</x:v>
      </x:c>
      <x:c r="E351" s="35" t="str"/>
      <x:c r="F351" s="35" t="str"/>
      <x:c r="G351" s="38" t="str">
        <x:v>TRF-050</x:v>
      </x:c>
      <x:c r="H351" s="35" t="str">
        <x:v>Benchmark-coined descriptive engineering term</x:v>
      </x:c>
      <x:c r="I351" s="35" t="str">
        <x:v>N5 - component or subject first, followed by characteristic and qualifier/state; no unsupported external mapping</x:v>
      </x:c>
      <x:c r="J351" s="35" t="str">
        <x:v>REUSE_R2_TERM</x:v>
      </x:c>
    </x:row>
    <x:row r="352">
      <x:c r="A352" s="35" t="str">
        <x:v>frameShellWeldType</x:v>
      </x:c>
      <x:c r="B352" s="35" t="str">
        <x:v>https://w3id.org/nltl-benchmark/vocab#frameShellWeldType</x:v>
      </x:c>
      <x:c r="C352" s="35" t="str">
        <x:v>ObjectProperty</x:v>
      </x:c>
      <x:c r="D352" s="35" t="str">
        <x:v>https://w3id.org/nltl-benchmark/vocab#weldTypeValue</x:v>
      </x:c>
      <x:c r="E352" s="35" t="str"/>
      <x:c r="F352" s="35" t="str"/>
      <x:c r="G352" s="38" t="str">
        <x:v>TRF-050</x:v>
      </x:c>
      <x:c r="H352" s="35" t="str">
        <x:v>Applicable TRAFICOM regulation wording plus explicit engineering node/operand role</x:v>
      </x:c>
      <x:c r="I352" s="35" t="str">
        <x:v>N5 - ASCII lowerCamelCase relationship; use has + object role when it improves direction clarity.</x:v>
      </x:c>
      <x:c r="J352" s="35" t="str">
        <x:v>ADD_DEVELOPMENT_TERM</x:v>
      </x:c>
    </x:row>
    <x:row r="353">
      <x:c r="A353" s="35" t="str">
        <x:v>frameSpan</x:v>
      </x:c>
      <x:c r="B353" s="35" t="str">
        <x:v>https://w3id.org/nltl-benchmark/vocab#frameSpan</x:v>
      </x:c>
      <x:c r="C353" s="35" t="str">
        <x:v>QuantityProperty</x:v>
      </x:c>
      <x:c r="D353" s="35" t="str">
        <x:v>http://qudt.org/schema/qudt/QuantityValue</x:v>
      </x:c>
      <x:c r="E353" s="35" t="str"/>
      <x:c r="F353" s="35" t="str">
        <x:v>m</x:v>
      </x:c>
      <x:c r="G353" s="38" t="str">
        <x:v>TRF-052</x:v>
      </x:c>
      <x:c r="H353" s="35" t="str">
        <x:v>Verified exact implementation term</x:v>
      </x:c>
      <x:c r="I353" s="35" t="str">
        <x:v>N1 - reuse only after exact URI and semantic-context verification</x:v>
      </x:c>
      <x:c r="J353" s="35" t="str">
        <x:v>REUSE_R2_TERM</x:v>
      </x:c>
    </x:row>
    <x:row r="354">
      <x:c r="A354" s="35" t="str">
        <x:v>frameSpanWithinIceStrengtheningZone</x:v>
      </x:c>
      <x:c r="B354" s="35" t="str">
        <x:v>https://w3id.org/nltl-benchmark/vocab#frameSpanWithinIceStrengtheningZone</x:v>
      </x:c>
      <x:c r="C354" s="35" t="str">
        <x:v>QuantityProperty</x:v>
      </x:c>
      <x:c r="D354" s="35" t="str">
        <x:v>http://qudt.org/schema/qudt/QuantityValue</x:v>
      </x:c>
      <x:c r="E354" s="35" t="str"/>
      <x:c r="F354" s="35" t="str">
        <x:v>m</x:v>
      </x:c>
      <x:c r="G354" s="38" t="str">
        <x:v>TRF-045</x:v>
      </x:c>
      <x:c r="H354" s="35" t="str">
        <x:v>Applicable TRAFICOM regulation wording plus explicit engineering node/operand role</x:v>
      </x:c>
      <x:c r="I354" s="35" t="str">
        <x:v>N4 - explicit engineering quantity in ASCII lowerCamelCase; formula symbols remain aliases only.</x:v>
      </x:c>
      <x:c r="J354" s="35" t="str">
        <x:v>ADD_DEVELOPMENT_TERM</x:v>
      </x:c>
    </x:row>
    <x:row r="355">
      <x:c r="A355" s="35" t="str">
        <x:v>frameStrengthenedPart</x:v>
      </x:c>
      <x:c r="B355" s="35" t="str">
        <x:v>https://w3id.org/nltl-benchmark/vocab#frameStrengthenedPart</x:v>
      </x:c>
      <x:c r="C355" s="35" t="str">
        <x:v>Class</x:v>
      </x:c>
      <x:c r="D355" s="35" t="str">
        <x:v>https://w3id.org/nltl-benchmark/vocab#benchmarkEntity</x:v>
      </x:c>
      <x:c r="E355" s="35" t="str"/>
      <x:c r="F355" s="35" t="str"/>
      <x:c r="G355" s="38" t="str">
        <x:v>TRF-046 | TRF-047</x:v>
      </x:c>
      <x:c r="H355" s="35" t="str">
        <x:v>Benchmark-coined descriptive engineering term</x:v>
      </x:c>
      <x:c r="I355" s="35" t="str">
        <x:v>N5 - component or subject first, followed by characteristic and qualifier/state; no unsupported external mapping</x:v>
      </x:c>
      <x:c r="J355" s="35" t="str">
        <x:v>REUSE_R2_TERM</x:v>
      </x:c>
    </x:row>
    <x:row r="356">
      <x:c r="A356" s="35" t="str">
        <x:v>frameUpperEnd</x:v>
      </x:c>
      <x:c r="B356" s="35" t="str">
        <x:v>https://w3id.org/nltl-benchmark/vocab#frameUpperEnd</x:v>
      </x:c>
      <x:c r="C356" s="35" t="str">
        <x:v>DatatypeProperty</x:v>
      </x:c>
      <x:c r="D356" s="35" t="str">
        <x:v>http://www.w3.org/2001/XMLSchema#string</x:v>
      </x:c>
      <x:c r="E356" s="35" t="str">
        <x:v>xsd:string</x:v>
      </x:c>
      <x:c r="F356" s="35" t="str"/>
      <x:c r="G356" s="38" t="str">
        <x:v>TRF-046</x:v>
      </x:c>
      <x:c r="H356" s="35" t="str">
        <x:v>Benchmark-coined descriptive engineering term</x:v>
      </x:c>
      <x:c r="I356" s="35" t="str">
        <x:v>N5 - component or subject first, followed by characteristic and qualifier/state; no unsupported external mapping</x:v>
      </x:c>
      <x:c r="J356" s="35" t="str">
        <x:v>REUSE_R2_TERM</x:v>
      </x:c>
    </x:row>
    <x:row r="357">
      <x:c r="A357" s="35" t="str">
        <x:v>frameWebAngleToShell</x:v>
      </x:c>
      <x:c r="B357" s="35" t="str">
        <x:v>https://w3id.org/nltl-benchmark/vocab#frameWebAngleToShell</x:v>
      </x:c>
      <x:c r="C357" s="35" t="str">
        <x:v>QuantityProperty</x:v>
      </x:c>
      <x:c r="D357" s="35" t="str">
        <x:v>http://qudt.org/schema/qudt/QuantityValue</x:v>
      </x:c>
      <x:c r="E357" s="35" t="str"/>
      <x:c r="F357" s="35" t="str">
        <x:v>deg</x:v>
      </x:c>
      <x:c r="G357" s="38" t="str">
        <x:v>TRF-052</x:v>
      </x:c>
      <x:c r="H357" s="35" t="str">
        <x:v>Unit-stripped normalized regulatory variable</x:v>
      </x:c>
      <x:c r="I357" s="35" t="str">
        <x:v>N3 - remove unit from the identifier and retain it in unit/quantity metadata</x:v>
      </x:c>
      <x:c r="J357" s="35" t="str">
        <x:v>REUSE_R2_TERM</x:v>
      </x:c>
    </x:row>
    <x:row r="358">
      <x:c r="A358" s="35" t="str">
        <x:v>frameWebPlateThickness</x:v>
      </x:c>
      <x:c r="B358" s="35" t="str">
        <x:v>https://w3id.org/nltl-benchmark/vocab#frameWebPlateThickness</x:v>
      </x:c>
      <x:c r="C358" s="35" t="str">
        <x:v>QuantityProperty</x:v>
      </x:c>
      <x:c r="D358" s="35" t="str">
        <x:v>http://qudt.org/schema/qudt/QuantityValue</x:v>
      </x:c>
      <x:c r="E358" s="35" t="str"/>
      <x:c r="F358" s="35" t="str">
        <x:v>m</x:v>
      </x:c>
      <x:c r="G358" s="38" t="str">
        <x:v>TRF-049</x:v>
      </x:c>
      <x:c r="H358" s="35" t="str">
        <x:v>Benchmark-coined descriptive engineering term</x:v>
      </x:c>
      <x:c r="I358" s="35" t="str">
        <x:v>N5 - component or subject first, followed by characteristic and qualifier/state; no unsupported external mapping</x:v>
      </x:c>
      <x:c r="J358" s="35" t="str">
        <x:v>REUSE_R2_TERM</x:v>
      </x:c>
    </x:row>
    <x:row r="359">
      <x:c r="A359" s="35" t="str">
        <x:v>frameWebThickness</x:v>
      </x:c>
      <x:c r="B359" s="35" t="str">
        <x:v>https://w3id.org/nltl-benchmark/vocab#frameWebThickness</x:v>
      </x:c>
      <x:c r="C359" s="35" t="str">
        <x:v>QuantityProperty</x:v>
      </x:c>
      <x:c r="D359" s="35" t="str">
        <x:v>http://qudt.org/schema/qudt/QuantityValue</x:v>
      </x:c>
      <x:c r="E359" s="35" t="str"/>
      <x:c r="F359" s="35" t="str">
        <x:v>mm</x:v>
      </x:c>
      <x:c r="G359" s="38" t="str">
        <x:v>TRF-049 | TRF-051</x:v>
      </x:c>
      <x:c r="H359" s="35" t="str">
        <x:v>Applicable TRAFICOM regulation wording plus explicit engineering node/operand role</x:v>
      </x:c>
      <x:c r="I359" s="35" t="str">
        <x:v>N4 - explicit engineering quantity in ASCII lowerCamelCase; formula symbols remain aliases only.</x:v>
      </x:c>
      <x:c r="J359" s="35" t="str">
        <x:v>ADD_DEVELOPMENT_TERM</x:v>
      </x:c>
    </x:row>
    <x:row r="360">
      <x:c r="A360" s="35" t="str">
        <x:v>framingAngle</x:v>
      </x:c>
      <x:c r="B360" s="35" t="str">
        <x:v>https://w3id.org/nltl-benchmark/vocab#framingAngle</x:v>
      </x:c>
      <x:c r="C360" s="35" t="str">
        <x:v>QuantityProperty</x:v>
      </x:c>
      <x:c r="D360" s="35" t="str">
        <x:v>http://qudt.org/schema/qudt/QuantityValue</x:v>
      </x:c>
      <x:c r="E360" s="35" t="str"/>
      <x:c r="F360" s="35" t="str">
        <x:v>deg</x:v>
      </x:c>
      <x:c r="G360" s="38" t="str">
        <x:v>I2-024</x:v>
      </x:c>
      <x:c r="H360" s="35" t="str">
        <x:v>Benchmark-coined descriptive engineering term</x:v>
      </x:c>
      <x:c r="I360" s="35" t="str">
        <x:v>N5 - component or subject first, followed by characteristic and qualifier/state; no unsupported external mapping</x:v>
      </x:c>
      <x:c r="J360" s="35" t="str">
        <x:v>REUSE_R2_TERM</x:v>
      </x:c>
    </x:row>
    <x:row r="361">
      <x:c r="A361" s="35" t="str">
        <x:v>framingIceStrengtheningAboveUpperIceWaterline</x:v>
      </x:c>
      <x:c r="B361" s="35" t="str">
        <x:v>https://w3id.org/nltl-benchmark/vocab#framingIceStrengtheningAboveUpperIceWaterline</x:v>
      </x:c>
      <x:c r="C361" s="35" t="str">
        <x:v>QuantityProperty</x:v>
      </x:c>
      <x:c r="D361" s="35" t="str">
        <x:v>http://qudt.org/schema/qudt/QuantityValue</x:v>
      </x:c>
      <x:c r="E361" s="35" t="str"/>
      <x:c r="F361" s="35" t="str">
        <x:v>m</x:v>
      </x:c>
      <x:c r="G361" s="38" t="str">
        <x:v>TRF-043</x:v>
      </x:c>
      <x:c r="H361" s="35" t="str">
        <x:v>Applicable TRAFICOM regulation wording plus explicit engineering node/operand role</x:v>
      </x:c>
      <x:c r="I361" s="35" t="str">
        <x:v>N4 - explicit engineering quantity in ASCII lowerCamelCase; formula symbols remain aliases only.</x:v>
      </x:c>
      <x:c r="J361" s="35" t="str">
        <x:v>ADD_DEVELOPMENT_TERM</x:v>
      </x:c>
    </x:row>
    <x:row r="362">
      <x:c r="A362" s="35" t="str">
        <x:v>framingIceStrengtheningBelowLowerIceWaterline</x:v>
      </x:c>
      <x:c r="B362" s="35" t="str">
        <x:v>https://w3id.org/nltl-benchmark/vocab#framingIceStrengtheningBelowLowerIceWaterline</x:v>
      </x:c>
      <x:c r="C362" s="35" t="str">
        <x:v>QuantityProperty</x:v>
      </x:c>
      <x:c r="D362" s="35" t="str">
        <x:v>http://qudt.org/schema/qudt/QuantityValue</x:v>
      </x:c>
      <x:c r="E362" s="35" t="str"/>
      <x:c r="F362" s="35" t="str">
        <x:v>m</x:v>
      </x:c>
      <x:c r="G362" s="38" t="str">
        <x:v>TRF-043</x:v>
      </x:c>
      <x:c r="H362" s="35" t="str">
        <x:v>Applicable TRAFICOM regulation wording plus explicit engineering node/operand role</x:v>
      </x:c>
      <x:c r="I362" s="35" t="str">
        <x:v>N4 - explicit engineering quantity in ASCII lowerCamelCase; formula symbols remain aliases only.</x:v>
      </x:c>
      <x:c r="J362" s="35" t="str">
        <x:v>ADD_DEVELOPMENT_TERM</x:v>
      </x:c>
    </x:row>
    <x:row r="363">
      <x:c r="A363" s="35" t="str">
        <x:v>framingIceStrengtheningExtent</x:v>
      </x:c>
      <x:c r="B363" s="35" t="str">
        <x:v>https://w3id.org/nltl-benchmark/vocab#framingIceStrengtheningExtent</x:v>
      </x:c>
      <x:c r="C363" s="35" t="str">
        <x:v>DatatypeProperty</x:v>
      </x:c>
      <x:c r="D363" s="35" t="str">
        <x:v>http://www.w3.org/2001/XMLSchema#string</x:v>
      </x:c>
      <x:c r="E363" s="35" t="str">
        <x:v>xsd:string</x:v>
      </x:c>
      <x:c r="F363" s="35" t="str"/>
      <x:c r="G363" s="38" t="str">
        <x:v>TRF-063</x:v>
      </x:c>
      <x:c r="H363" s="35" t="str">
        <x:v>Benchmark-coined descriptive engineering term</x:v>
      </x:c>
      <x:c r="I363" s="35" t="str">
        <x:v>N5 - component or subject first, followed by characteristic and qualifier/state; no unsupported external mapping</x:v>
      </x:c>
      <x:c r="J363" s="35" t="str">
        <x:v>REUSE_R2_TERM</x:v>
      </x:c>
    </x:row>
    <x:row r="364">
      <x:c r="A364" s="35" t="str">
        <x:v>framingIceStrengtheningUpperExtent</x:v>
      </x:c>
      <x:c r="B364" s="35" t="str">
        <x:v>https://w3id.org/nltl-benchmark/vocab#framingIceStrengtheningUpperExtent</x:v>
      </x:c>
      <x:c r="C364" s="35" t="str">
        <x:v>DatatypeProperty</x:v>
      </x:c>
      <x:c r="D364" s="35" t="str">
        <x:v>http://www.w3.org/2001/XMLSchema#string</x:v>
      </x:c>
      <x:c r="E364" s="35" t="str">
        <x:v>xsd:string</x:v>
      </x:c>
      <x:c r="F364" s="35" t="str"/>
      <x:c r="G364" s="38" t="str">
        <x:v>TRF-043</x:v>
      </x:c>
      <x:c r="H364" s="35" t="str">
        <x:v>Benchmark-coined descriptive engineering term</x:v>
      </x:c>
      <x:c r="I364" s="35" t="str">
        <x:v>N5 - component or subject first, followed by characteristic and qualifier/state; no unsupported external mapping</x:v>
      </x:c>
      <x:c r="J364" s="35" t="str">
        <x:v>REUSE_R2_TERM</x:v>
      </x:c>
    </x:row>
    <x:row r="365">
      <x:c r="A365" s="35" t="str">
        <x:v>framingMember</x:v>
      </x:c>
      <x:c r="B365" s="35" t="str">
        <x:v>https://w3id.org/nltl-benchmark/vocab#framingMember</x:v>
      </x:c>
      <x:c r="C365" s="35" t="str">
        <x:v>Class</x:v>
      </x:c>
      <x:c r="D365" s="35" t="str">
        <x:v>https://w3id.org/nltl-benchmark/vocab#hullStructure</x:v>
      </x:c>
      <x:c r="E365" s="35" t="str"/>
      <x:c r="F365" s="35" t="str"/>
      <x:c r="G365" s="38" t="str">
        <x:v>I2-026</x:v>
      </x:c>
      <x:c r="H365" s="35" t="str">
        <x:v>Benchmark-coined descriptive engineering term</x:v>
      </x:c>
      <x:c r="I365" s="35" t="str">
        <x:v>N5 - component or subject first, followed by characteristic and qualifier/state; no unsupported external mapping</x:v>
      </x:c>
      <x:c r="J365" s="35" t="str">
        <x:v>REUSE_R2_TERM</x:v>
      </x:c>
    </x:row>
    <x:row r="366">
      <x:c r="A366" s="35" t="str">
        <x:v>freeFlangeArea</x:v>
      </x:c>
      <x:c r="B366" s="35" t="str">
        <x:v>https://w3id.org/nltl-benchmark/vocab#freeFlangeArea</x:v>
      </x:c>
      <x:c r="C366" s="35" t="str">
        <x:v>QuantityProperty</x:v>
      </x:c>
      <x:c r="D366" s="35" t="str">
        <x:v>http://qudt.org/schema/qudt/QuantityValue</x:v>
      </x:c>
      <x:c r="E366" s="35" t="str"/>
      <x:c r="F366" s="35" t="str">
        <x:v>cm^2</x:v>
      </x:c>
      <x:c r="G366" s="38" t="str">
        <x:v>TRF-059</x:v>
      </x:c>
      <x:c r="H366" s="35" t="str">
        <x:v>Applicable TRAFICOM regulation wording plus explicit engineering node/operand role</x:v>
      </x:c>
      <x:c r="I366" s="35" t="str">
        <x:v>N4 - explicit engineering quantity in ASCII lowerCamelCase; formula symbols remain aliases only.</x:v>
      </x:c>
      <x:c r="J366" s="35" t="str">
        <x:v>ADD_DEVELOPMENT_TERM</x:v>
      </x:c>
    </x:row>
    <x:row r="367">
      <x:c r="A367" s="35" t="str">
        <x:v>freeFlangeToWebAreaRatio</x:v>
      </x:c>
      <x:c r="B367" s="35" t="str">
        <x:v>https://w3id.org/nltl-benchmark/vocab#freeFlangeToWebAreaRatio</x:v>
      </x:c>
      <x:c r="C367" s="35" t="str">
        <x:v>QuantityProperty</x:v>
      </x:c>
      <x:c r="D367" s="35" t="str">
        <x:v>http://qudt.org/schema/qudt/QuantityValue</x:v>
      </x:c>
      <x:c r="E367" s="35" t="str"/>
      <x:c r="F367" s="35" t="str">
        <x:v>1</x:v>
      </x:c>
      <x:c r="G367" s="38" t="str">
        <x:v>TRF-059</x:v>
      </x:c>
      <x:c r="H367" s="35" t="str">
        <x:v>Applicable TRAFICOM regulation wording plus explicit engineering node/operand role</x:v>
      </x:c>
      <x:c r="I367" s="35" t="str">
        <x:v>N4 - explicit engineering quantity in ASCII lowerCamelCase; formula symbols remain aliases only.</x:v>
      </x:c>
      <x:c r="J367" s="35" t="str">
        <x:v>ADD_DEVELOPMENT_TERM</x:v>
      </x:c>
    </x:row>
    <x:row r="368">
      <x:c r="A368" s="35" t="str">
        <x:v>freeingPortStrengthStatus</x:v>
      </x:c>
      <x:c r="B368" s="35" t="str">
        <x:v>https://w3id.org/nltl-benchmark/vocab#freeingPortStrengthStatus</x:v>
      </x:c>
      <x:c r="C368" s="35" t="str">
        <x:v>DatatypeProperty</x:v>
      </x:c>
      <x:c r="D368" s="35" t="str">
        <x:v>http://www.w3.org/2001/XMLSchema#boolean</x:v>
      </x:c>
      <x:c r="E368" s="35" t="str">
        <x:v>xsd:boolean</x:v>
      </x:c>
      <x:c r="F368" s="35" t="str"/>
      <x:c r="G368" s="38" t="str">
        <x:v>TRF-040</x:v>
      </x:c>
      <x:c r="H368" s="35" t="str">
        <x:v>Benchmark-coined descriptive engineering term</x:v>
      </x:c>
      <x:c r="I368" s="35" t="str">
        <x:v>N5 - component or subject first, followed by characteristic and qualifier/state; no unsupported external mapping</x:v>
      </x:c>
      <x:c r="J368" s="35" t="str">
        <x:v>REUSE_R2_TERM</x:v>
      </x:c>
    </x:row>
    <x:row r="369">
      <x:c r="A369" s="35" t="str">
        <x:v>freezingPreventionPresent</x:v>
      </x:c>
      <x:c r="B369" s="35" t="str">
        <x:v>https://w3id.org/nltl-benchmark/vocab#freezingPreventionPresent</x:v>
      </x:c>
      <x:c r="C369" s="35" t="str">
        <x:v>DatatypeProperty</x:v>
      </x:c>
      <x:c r="D369" s="35" t="str">
        <x:v>http://www.w3.org/2001/XMLSchema#boolean</x:v>
      </x:c>
      <x:c r="E369" s="35" t="str">
        <x:v>xsd:boolean</x:v>
      </x:c>
      <x:c r="F369" s="35" t="str"/>
      <x:c r="G369" s="38" t="str">
        <x:v>TRF-016</x:v>
      </x:c>
      <x:c r="H369" s="35" t="str">
        <x:v>Benchmark-coined descriptive engineering term</x:v>
      </x:c>
      <x:c r="I369" s="35" t="str">
        <x:v>N5 - component or subject first, followed by characteristic and qualifier/state; no unsupported external mapping</x:v>
      </x:c>
      <x:c r="J369" s="35" t="str">
        <x:v>REUSE_R2_TERM</x:v>
      </x:c>
    </x:row>
    <x:row r="370">
      <x:c r="A370" s="35" t="str">
        <x:v>freezingProtectionPresent</x:v>
      </x:c>
      <x:c r="B370" s="35" t="str">
        <x:v>https://w3id.org/nltl-benchmark/vocab#freezingProtectionPresent</x:v>
      </x:c>
      <x:c r="C370" s="35" t="str">
        <x:v>DatatypeProperty</x:v>
      </x:c>
      <x:c r="D370" s="35" t="str">
        <x:v>http://www.w3.org/2001/XMLSchema#boolean</x:v>
      </x:c>
      <x:c r="E370" s="35" t="str">
        <x:v>xsd:boolean</x:v>
      </x:c>
      <x:c r="F370" s="35" t="str"/>
      <x:c r="G370" s="38" t="str">
        <x:v>IMO-061</x:v>
      </x:c>
      <x:c r="H370" s="35" t="str">
        <x:v>Locked-workbook normalized regulatory term</x:v>
      </x:c>
      <x:c r="I370" s="35" t="str">
        <x:v>N4 - preserve the source concept; normalize spelling to ASCII lowerCamelCase</x:v>
      </x:c>
      <x:c r="J370" s="35" t="str">
        <x:v>REUSE_R2_TERM</x:v>
      </x:c>
    </x:row>
    <x:row r="371">
      <x:c r="A371" s="35" t="str">
        <x:v>freezingSnowIceProtectionPresent</x:v>
      </x:c>
      <x:c r="B371" s="35" t="str">
        <x:v>https://w3id.org/nltl-benchmark/vocab#freezingSnowIceProtectionPresent</x:v>
      </x:c>
      <x:c r="C371" s="35" t="str">
        <x:v>DatatypeProperty</x:v>
      </x:c>
      <x:c r="D371" s="35" t="str">
        <x:v>http://www.w3.org/2001/XMLSchema#boolean</x:v>
      </x:c>
      <x:c r="E371" s="35" t="str">
        <x:v>xsd:boolean</x:v>
      </x:c>
      <x:c r="F371" s="35" t="str"/>
      <x:c r="G371" s="38" t="str">
        <x:v>IMO-051</x:v>
      </x:c>
      <x:c r="H371" s="35" t="str">
        <x:v>Locked-workbook normalized regulatory term</x:v>
      </x:c>
      <x:c r="I371" s="35" t="str">
        <x:v>N4 - preserve the source concept; normalize spelling to ASCII lowerCamelCase</x:v>
      </x:c>
      <x:c r="J371" s="35" t="str">
        <x:v>REUSE_R2_TERM</x:v>
      </x:c>
    </x:row>
    <x:row r="372">
      <x:c r="A372" s="35" t="str">
        <x:v>frequencyDomainAnalysis</x:v>
      </x:c>
      <x:c r="B372" s="35" t="str">
        <x:v>https://w3id.org/nltl-benchmark/vocab#frequencyDomainAnalysis</x:v>
      </x:c>
      <x:c r="C372" s="35" t="str">
        <x:v>Class</x:v>
      </x:c>
      <x:c r="D372" s="35" t="str">
        <x:v>https://w3id.org/nltl-benchmark/vocab#engineeringAnalysis</x:v>
      </x:c>
      <x:c r="E372" s="35" t="str"/>
      <x:c r="F372" s="35" t="str"/>
      <x:c r="G372" s="38" t="str">
        <x:v>TRF-100</x:v>
      </x:c>
      <x:c r="H372" s="35" t="str">
        <x:v>Benchmark-coined descriptive engineering term</x:v>
      </x:c>
      <x:c r="I372" s="35" t="str">
        <x:v>N5 - component or subject first, followed by characteristic and qualifier/state; no unsupported external mapping</x:v>
      </x:c>
      <x:c r="J372" s="35" t="str">
        <x:v>REUSE_R2_TERM</x:v>
      </x:c>
    </x:row>
    <x:row r="373">
      <x:c r="A373" s="35" t="str">
        <x:v>frequencyDomainMethod</x:v>
      </x:c>
      <x:c r="B373" s="35" t="str">
        <x:v>https://w3id.org/nltl-benchmark/vocab#frequencyDomainMethod</x:v>
      </x:c>
      <x:c r="C373" s="35" t="str">
        <x:v>DatatypeProperty</x:v>
      </x:c>
      <x:c r="D373" s="35" t="str">
        <x:v>http://www.w3.org/2001/XMLSchema#string</x:v>
      </x:c>
      <x:c r="E373" s="35" t="str">
        <x:v>xsd:string</x:v>
      </x:c>
      <x:c r="F373" s="35" t="str"/>
      <x:c r="G373" s="38" t="str">
        <x:v>TRF-089</x:v>
      </x:c>
      <x:c r="H373" s="35" t="str">
        <x:v>Benchmark-coined descriptive engineering term</x:v>
      </x:c>
      <x:c r="I373" s="35" t="str">
        <x:v>N5 - component or subject first, followed by characteristic and qualifier/state; no unsupported external mapping</x:v>
      </x:c>
      <x:c r="J373" s="35" t="str">
        <x:v>REUSE_R2_TERM</x:v>
      </x:c>
    </x:row>
    <x:row r="374">
      <x:c r="A374" s="35" t="str">
        <x:v>fullCapacityDischargePipeConnected</x:v>
      </x:c>
      <x:c r="B374" s="35" t="str">
        <x:v>https://w3id.org/nltl-benchmark/vocab#fullCapacityDischargePipeConnected</x:v>
      </x:c>
      <x:c r="C374" s="35" t="str">
        <x:v>DatatypeProperty</x:v>
      </x:c>
      <x:c r="D374" s="35" t="str">
        <x:v>http://www.w3.org/2001/XMLSchema#boolean</x:v>
      </x:c>
      <x:c r="E374" s="35" t="str">
        <x:v>xsd:boolean</x:v>
      </x:c>
      <x:c r="F374" s="35" t="str"/>
      <x:c r="G374" s="38" t="str">
        <x:v>TRF-130</x:v>
      </x:c>
      <x:c r="H374" s="35" t="str">
        <x:v>Benchmark-coined descriptive engineering term</x:v>
      </x:c>
      <x:c r="I374" s="35" t="str">
        <x:v>N5 - component or subject first, followed by characteristic and qualifier/state; no unsupported external mapping</x:v>
      </x:c>
      <x:c r="J374" s="35" t="str">
        <x:v>REUSE_R2_TERM</x:v>
      </x:c>
    </x:row>
    <x:row r="375">
      <x:c r="A375" s="35" t="str">
        <x:v>functionalTestStatus</x:v>
      </x:c>
      <x:c r="B375" s="35" t="str">
        <x:v>https://w3id.org/nltl-benchmark/vocab#functionalTestStatus</x:v>
      </x:c>
      <x:c r="C375" s="35" t="str">
        <x:v>DatatypeProperty</x:v>
      </x:c>
      <x:c r="D375" s="35" t="str">
        <x:v>http://www.w3.org/2001/XMLSchema#boolean</x:v>
      </x:c>
      <x:c r="E375" s="35" t="str">
        <x:v>xsd:boolean</x:v>
      </x:c>
      <x:c r="F375" s="35" t="str"/>
      <x:c r="G375" s="38" t="str">
        <x:v>IMO-046</x:v>
      </x:c>
      <x:c r="H375" s="35" t="str">
        <x:v>Locked-workbook normalized regulatory term</x:v>
      </x:c>
      <x:c r="I375" s="35" t="str">
        <x:v>N4 - preserve the source concept; normalize spelling to ASCII lowerCamelCase</x:v>
      </x:c>
      <x:c r="J375" s="35" t="str">
        <x:v>REUSE_R2_TERM</x:v>
      </x:c>
    </x:row>
    <x:row r="376">
      <x:c r="A376" s="35" t="str">
        <x:v>functionalTestTemperature</x:v>
      </x:c>
      <x:c r="B376" s="35" t="str">
        <x:v>https://w3id.org/nltl-benchmark/vocab#functionalTestTemperature</x:v>
      </x:c>
      <x:c r="C376" s="35" t="str">
        <x:v>QuantityProperty</x:v>
      </x:c>
      <x:c r="D376" s="35" t="str">
        <x:v>http://qudt.org/schema/qudt/QuantityValue</x:v>
      </x:c>
      <x:c r="E376" s="35" t="str"/>
      <x:c r="F376" s="35" t="str">
        <x:v>deg C</x:v>
      </x:c>
      <x:c r="G376" s="38" t="str">
        <x:v>IMO-046</x:v>
      </x:c>
      <x:c r="H376" s="35" t="str">
        <x:v>Unit-stripped normalized regulatory variable</x:v>
      </x:c>
      <x:c r="I376" s="35" t="str">
        <x:v>N3 - remove unit from the identifier and retain it in unit/quantity metadata</x:v>
      </x:c>
      <x:c r="J376" s="35" t="str">
        <x:v>REUSE_R2_TERM</x:v>
      </x:c>
    </x:row>
    <x:row r="377">
      <x:c r="A377" s="35" t="str">
        <x:v>garbageManagementPlanPolarCoverage</x:v>
      </x:c>
      <x:c r="B377" s="35" t="str">
        <x:v>https://w3id.org/nltl-benchmark/vocab#garbageManagementPlanPolarCoverage</x:v>
      </x:c>
      <x:c r="C377" s="35" t="str">
        <x:v>DatatypeProperty</x:v>
      </x:c>
      <x:c r="D377" s="35" t="str">
        <x:v>http://www.w3.org/2001/XMLSchema#boolean</x:v>
      </x:c>
      <x:c r="E377" s="35" t="str">
        <x:v>xsd:boolean</x:v>
      </x:c>
      <x:c r="F377" s="35" t="str"/>
      <x:c r="G377" s="38" t="str">
        <x:v>IMO-125</x:v>
      </x:c>
      <x:c r="H377" s="35" t="str">
        <x:v>Locked-workbook normalized regulatory term</x:v>
      </x:c>
      <x:c r="I377" s="35" t="str">
        <x:v>N4 - preserve the source concept; normalize spelling to ASCII lowerCamelCase</x:v>
      </x:c>
      <x:c r="J377" s="35" t="str">
        <x:v>REUSE_R2_TERM</x:v>
      </x:c>
    </x:row>
    <x:row r="378">
      <x:c r="A378" s="35" t="str">
        <x:v>garbagePlacardPolarCoverage</x:v>
      </x:c>
      <x:c r="B378" s="35" t="str">
        <x:v>https://w3id.org/nltl-benchmark/vocab#garbagePlacardPolarCoverage</x:v>
      </x:c>
      <x:c r="C378" s="35" t="str">
        <x:v>DatatypeProperty</x:v>
      </x:c>
      <x:c r="D378" s="35" t="str">
        <x:v>http://www.w3.org/2001/XMLSchema#boolean</x:v>
      </x:c>
      <x:c r="E378" s="35" t="str">
        <x:v>xsd:boolean</x:v>
      </x:c>
      <x:c r="F378" s="35" t="str"/>
      <x:c r="G378" s="38" t="str">
        <x:v>IMO-125</x:v>
      </x:c>
      <x:c r="H378" s="35" t="str">
        <x:v>Locked-workbook normalized regulatory term</x:v>
      </x:c>
      <x:c r="I378" s="35" t="str">
        <x:v>N4 - preserve the source concept; normalize spelling to ASCII lowerCamelCase</x:v>
      </x:c>
      <x:c r="J378" s="35" t="str">
        <x:v>REUSE_R2_TERM</x:v>
      </x:c>
    </x:row>
    <x:row r="379">
      <x:c r="A379" s="35" t="str">
        <x:v>garbageRecordBookPolarCoverage</x:v>
      </x:c>
      <x:c r="B379" s="35" t="str">
        <x:v>https://w3id.org/nltl-benchmark/vocab#garbageRecordBookPolarCoverage</x:v>
      </x:c>
      <x:c r="C379" s="35" t="str">
        <x:v>DatatypeProperty</x:v>
      </x:c>
      <x:c r="D379" s="35" t="str">
        <x:v>http://www.w3.org/2001/XMLSchema#boolean</x:v>
      </x:c>
      <x:c r="E379" s="35" t="str">
        <x:v>xsd:boolean</x:v>
      </x:c>
      <x:c r="F379" s="35" t="str"/>
      <x:c r="G379" s="38" t="str">
        <x:v>IMO-125</x:v>
      </x:c>
      <x:c r="H379" s="35" t="str">
        <x:v>Locked-workbook normalized regulatory term</x:v>
      </x:c>
      <x:c r="I379" s="35" t="str">
        <x:v>N4 - preserve the source concept; normalize spelling to ASCII lowerCamelCase</x:v>
      </x:c>
      <x:c r="J379" s="35" t="str">
        <x:v>REUSE_R2_TERM</x:v>
      </x:c>
    </x:row>
    <x:row r="380">
      <x:c r="A380" s="35" t="str">
        <x:v>gaugeLength</x:v>
      </x:c>
      <x:c r="B380" s="35" t="str">
        <x:v>https://w3id.org/nltl-benchmark/vocab#gaugeLength</x:v>
      </x:c>
      <x:c r="C380" s="35" t="str">
        <x:v>QuantityProperty</x:v>
      </x:c>
      <x:c r="D380" s="35" t="str">
        <x:v>http://qudt.org/schema/qudt/QuantityValue</x:v>
      </x:c>
      <x:c r="E380" s="35" t="str"/>
      <x:c r="F380" s="35" t="str">
        <x:v>m</x:v>
      </x:c>
      <x:c r="G380" s="38" t="str">
        <x:v>TRF-072</x:v>
      </x:c>
      <x:c r="H380" s="35" t="str">
        <x:v>Benchmark-coined descriptive engineering term</x:v>
      </x:c>
      <x:c r="I380" s="35" t="str">
        <x:v>N5 - component or subject first, followed by characteristic and qualifier/state; no unsupported external mapping</x:v>
      </x:c>
      <x:c r="J380" s="35" t="str">
        <x:v>REUSE_R2_TERM</x:v>
      </x:c>
    </x:row>
    <x:row r="381">
      <x:c r="A381" s="35" t="str">
        <x:v>gaugedThickness</x:v>
      </x:c>
      <x:c r="B381" s="35" t="str">
        <x:v>https://w3id.org/nltl-benchmark/vocab#gaugedThickness</x:v>
      </x:c>
      <x:c r="C381" s="35" t="str">
        <x:v>QuantityProperty</x:v>
      </x:c>
      <x:c r="D381" s="35" t="str">
        <x:v>http://qudt.org/schema/qudt/QuantityValue</x:v>
      </x:c>
      <x:c r="E381" s="35" t="str"/>
      <x:c r="F381" s="35" t="str">
        <x:v>m</x:v>
      </x:c>
      <x:c r="G381" s="38" t="str">
        <x:v>I2-047</x:v>
      </x:c>
      <x:c r="H381" s="35" t="str">
        <x:v>Benchmark-coined descriptive engineering term</x:v>
      </x:c>
      <x:c r="I381" s="35" t="str">
        <x:v>N5 - component or subject first, followed by characteristic and qualifier/state; no unsupported external mapping</x:v>
      </x:c>
      <x:c r="J381" s="35" t="str">
        <x:v>REUSE_R2_TERM</x:v>
      </x:c>
    </x:row>
    <x:row r="382">
      <x:c r="A382" s="35" t="str">
        <x:v>globalBladeOrderResonance</x:v>
      </x:c>
      <x:c r="B382" s="35" t="str">
        <x:v>https://w3id.org/nltl-benchmark/vocab#globalBladeOrderResonance</x:v>
      </x:c>
      <x:c r="C382" s="35" t="str">
        <x:v>DatatypeProperty</x:v>
      </x:c>
      <x:c r="D382" s="35" t="str">
        <x:v>http://www.w3.org/2001/XMLSchema#boolean</x:v>
      </x:c>
      <x:c r="E382" s="35" t="str">
        <x:v>xsd:boolean</x:v>
      </x:c>
      <x:c r="F382" s="35" t="str"/>
      <x:c r="G382" s="38" t="str">
        <x:v>TRF-119</x:v>
      </x:c>
      <x:c r="H382" s="35" t="str">
        <x:v>Benchmark-coined descriptive engineering term</x:v>
      </x:c>
      <x:c r="I382" s="35" t="str">
        <x:v>N5 - component or subject first, followed by characteristic and qualifier/state; no unsupported external mapping</x:v>
      </x:c>
      <x:c r="J382" s="35" t="str">
        <x:v>REUSE_R2_TERM</x:v>
      </x:c>
    </x:row>
    <x:row r="383">
      <x:c r="A383" s="35" t="str">
        <x:v>gnssCompassOrEquivalentCount</x:v>
      </x:c>
      <x:c r="B383" s="35" t="str">
        <x:v>https://w3id.org/nltl-benchmark/vocab#gnssCompassOrEquivalentCount</x:v>
      </x:c>
      <x:c r="C383" s="35" t="str">
        <x:v>DatatypeProperty</x:v>
      </x:c>
      <x:c r="D383" s="35" t="str">
        <x:v>http://www.w3.org/2001/XMLSchema#integer</x:v>
      </x:c>
      <x:c r="E383" s="35" t="str">
        <x:v>xsd:integer</x:v>
      </x:c>
      <x:c r="F383" s="35" t="str"/>
      <x:c r="G383" s="38" t="str">
        <x:v>IMO-087 | IMO26-013</x:v>
      </x:c>
      <x:c r="H383" s="35" t="str">
        <x:v>Locked-workbook normalized regulatory term</x:v>
      </x:c>
      <x:c r="I383" s="35" t="str">
        <x:v>N4 - preserve the source concept; normalize spelling to ASCII lowerCamelCase</x:v>
      </x:c>
      <x:c r="J383" s="35" t="str">
        <x:v>REUSE_R2_TERM</x:v>
      </x:c>
    </x:row>
    <x:row r="384">
      <x:c r="A384" s="35" t="str">
        <x:v>gramPerKilogramSalinityUnit</x:v>
      </x:c>
      <x:c r="B384" s="35" t="str">
        <x:v>https://w3id.org/nltl-benchmark/vocab#gramPerKilogramSalinityUnit</x:v>
      </x:c>
      <x:c r="C384" s="35" t="str">
        <x:v>NamedIndividual</x:v>
      </x:c>
      <x:c r="D384" s="35" t="str">
        <x:v>http://qudt.org/schema/qudt/Unit</x:v>
      </x:c>
      <x:c r="E384" s="35" t="str"/>
      <x:c r="F384" s="35" t="str"/>
      <x:c r="G384" s="38" t="str">
        <x:v>TRF-015</x:v>
      </x:c>
      <x:c r="H384" s="35" t="str">
        <x:v>Applicable TRAFICOM regulation wording plus explicit engineering node/operand role</x:v>
      </x:c>
      <x:c r="I384" s="35" t="str">
        <x:v>N6 - concise ASCII lowerCamelCase controlled-value name grounded in the linked regulation.</x:v>
      </x:c>
      <x:c r="J384" s="35" t="str">
        <x:v>ADD_DEVELOPMENT_TERM</x:v>
      </x:c>
    </x:row>
    <x:row r="385">
      <x:c r="A385" s="35" t="str">
        <x:v>grillageSystem</x:v>
      </x:c>
      <x:c r="B385" s="35" t="str">
        <x:v>https://w3id.org/nltl-benchmark/vocab#grillageSystem</x:v>
      </x:c>
      <x:c r="C385" s="35" t="str">
        <x:v>Class</x:v>
      </x:c>
      <x:c r="D385" s="35" t="str">
        <x:v>https://w3id.org/nltl-benchmark/vocab#hullStructure</x:v>
      </x:c>
      <x:c r="E385" s="35" t="str"/>
      <x:c r="F385" s="35" t="str"/>
      <x:c r="G385" s="38" t="str">
        <x:v>I2-062</x:v>
      </x:c>
      <x:c r="H385" s="35" t="str">
        <x:v>Benchmark-coined descriptive engineering term</x:v>
      </x:c>
      <x:c r="I385" s="35" t="str">
        <x:v>N5 - component or subject first, followed by characteristic and qualifier/state; no unsupported external mapping</x:v>
      </x:c>
      <x:c r="J385" s="35" t="str">
        <x:v>REUSE_R2_TERM</x:v>
      </x:c>
    </x:row>
    <x:row r="386">
      <x:c r="A386" s="35" t="str">
        <x:v>grossFrameShearArea</x:v>
      </x:c>
      <x:c r="B386" s="35" t="str">
        <x:v>https://w3id.org/nltl-benchmark/vocab#grossFrameShearArea</x:v>
      </x:c>
      <x:c r="C386" s="35" t="str">
        <x:v>QuantityProperty</x:v>
      </x:c>
      <x:c r="D386" s="35" t="str">
        <x:v>http://qudt.org/schema/qudt/QuantityValue</x:v>
      </x:c>
      <x:c r="E386" s="35" t="str"/>
      <x:c r="F386" s="35" t="str">
        <x:v>cm^2</x:v>
      </x:c>
      <x:c r="G386" s="38" t="str">
        <x:v>TRF-048</x:v>
      </x:c>
      <x:c r="H386" s="35" t="str">
        <x:v>Applicable TRAFICOM regulation wording plus explicit engineering node/operand role</x:v>
      </x:c>
      <x:c r="I386" s="35" t="str">
        <x:v>N4 - explicit engineering quantity in ASCII lowerCamelCase; formula symbols remain aliases only.</x:v>
      </x:c>
      <x:c r="J386" s="35" t="str">
        <x:v>ADD_DEVELOPMENT_TERM</x:v>
      </x:c>
    </x:row>
    <x:row r="387">
      <x:c r="A387" s="35" t="str">
        <x:v>grossTonnage</x:v>
      </x:c>
      <x:c r="B387" s="35" t="str">
        <x:v>https://w3id.org/nltl-benchmark/vocab#grossTonnage</x:v>
      </x:c>
      <x:c r="C387" s="35" t="str">
        <x:v>QuantityProperty</x:v>
      </x:c>
      <x:c r="D387" s="35" t="str">
        <x:v>http://qudt.org/schema/qudt/QuantityValue</x:v>
      </x:c>
      <x:c r="E387" s="35" t="str"/>
      <x:c r="F387" s="35" t="str">
        <x:v>1</x:v>
      </x:c>
      <x:c r="G387" s="38" t="str">
        <x:v>IMO26-002 | IMO26-012 | IMO26-016</x:v>
      </x:c>
      <x:c r="H387" s="35" t="str">
        <x:v>Locked-workbook normalized regulatory term</x:v>
      </x:c>
      <x:c r="I387" s="35" t="str">
        <x:v>N4 - preserve the source concept; normalize spelling to ASCII lowerCamelCase</x:v>
      </x:c>
      <x:c r="J387" s="35" t="str">
        <x:v>REUSE_R2_TERM</x:v>
      </x:c>
    </x:row>
    <x:row r="388">
      <x:c r="A388" s="35" t="str">
        <x:v>groupSurvivalEquipmentCarried</x:v>
      </x:c>
      <x:c r="B388" s="35" t="str">
        <x:v>https://w3id.org/nltl-benchmark/vocab#groupSurvivalEquipmentCarried</x:v>
      </x:c>
      <x:c r="C388" s="35" t="str">
        <x:v>DatatypeProperty</x:v>
      </x:c>
      <x:c r="D388" s="35" t="str">
        <x:v>http://www.w3.org/2001/XMLSchema#boolean</x:v>
      </x:c>
      <x:c r="E388" s="35" t="str">
        <x:v>xsd:boolean</x:v>
      </x:c>
      <x:c r="F388" s="35" t="str"/>
      <x:c r="G388" s="38" t="str">
        <x:v>IMO-074</x:v>
      </x:c>
      <x:c r="H388" s="35" t="str">
        <x:v>Locked-workbook normalized regulatory term</x:v>
      </x:c>
      <x:c r="I388" s="35" t="str">
        <x:v>N4 - preserve the source concept; normalize spelling to ASCII lowerCamelCase</x:v>
      </x:c>
      <x:c r="J388" s="35" t="str">
        <x:v>REUSE_R2_TERM</x:v>
      </x:c>
    </x:row>
    <x:row r="389">
      <x:c r="A389" s="35" t="str">
        <x:v>groupSurvivalEquipmentContainer</x:v>
      </x:c>
      <x:c r="B389" s="35" t="str">
        <x:v>https://w3id.org/nltl-benchmark/vocab#groupSurvivalEquipmentContainer</x:v>
      </x:c>
      <x:c r="C389" s="35" t="str">
        <x:v>Class</x:v>
      </x:c>
      <x:c r="D389" s="35" t="str">
        <x:v>https://w3id.org/nltl-benchmark/vocab#benchmarkEntity</x:v>
      </x:c>
      <x:c r="E389" s="35" t="str"/>
      <x:c r="F389" s="35" t="str"/>
      <x:c r="G389" s="38" t="str">
        <x:v>IMO-076</x:v>
      </x:c>
      <x:c r="H389" s="35" t="str">
        <x:v>Locked-workbook normalized regulatory term</x:v>
      </x:c>
      <x:c r="I389" s="35" t="str">
        <x:v>N4 - preserve the source concept; normalize spelling to ASCII lowerCamelCase</x:v>
      </x:c>
      <x:c r="J389" s="35" t="str">
        <x:v>REUSE_R2_TERM</x:v>
      </x:c>
    </x:row>
    <x:row r="390">
      <x:c r="A390" s="35" t="str">
        <x:v>habitableEnvironmentPresent</x:v>
      </x:c>
      <x:c r="B390" s="35" t="str">
        <x:v>https://w3id.org/nltl-benchmark/vocab#habitableEnvironmentPresent</x:v>
      </x:c>
      <x:c r="C390" s="35" t="str">
        <x:v>DatatypeProperty</x:v>
      </x:c>
      <x:c r="D390" s="35" t="str">
        <x:v>http://www.w3.org/2001/XMLSchema#boolean</x:v>
      </x:c>
      <x:c r="E390" s="35" t="str">
        <x:v>xsd:boolean</x:v>
      </x:c>
      <x:c r="F390" s="35" t="str"/>
      <x:c r="G390" s="38" t="str">
        <x:v>IMO-065</x:v>
      </x:c>
      <x:c r="H390" s="35" t="str">
        <x:v>Locked-workbook normalized regulatory term</x:v>
      </x:c>
      <x:c r="I390" s="35" t="str">
        <x:v>N4 - preserve the source concept; normalize spelling to ASCII lowerCamelCase</x:v>
      </x:c>
      <x:c r="J390" s="35" t="str">
        <x:v>REUSE_R2_TERM</x:v>
      </x:c>
    </x:row>
    <x:row r="391">
      <x:c r="A391" s="35" t="str">
        <x:v>halfLoadHeightBelowLowerIceWaterlinePosition</x:v>
      </x:c>
      <x:c r="B391" s="35" t="str">
        <x:v>https://w3id.org/nltl-benchmark/vocab#halfLoadHeightBelowLowerIceWaterlinePosition</x:v>
      </x:c>
      <x:c r="C391" s="35" t="str">
        <x:v>NamedIndividual</x:v>
      </x:c>
      <x:c r="D391" s="35" t="str">
        <x:v>https://w3id.org/nltl-benchmark/vocab#loadPositionTypeValue</x:v>
      </x:c>
      <x:c r="E391" s="35" t="str"/>
      <x:c r="F391" s="35" t="str"/>
      <x:c r="G391" s="38" t="str">
        <x:v>TRF-030</x:v>
      </x:c>
      <x:c r="H391" s="35" t="str">
        <x:v>Applicable TRAFICOM regulation wording plus explicit engineering node/operand role</x:v>
      </x:c>
      <x:c r="I391" s="35" t="str">
        <x:v>N6 - concise ASCII lowerCamelCase controlled-value name grounded in the linked regulation.</x:v>
      </x:c>
      <x:c r="J391" s="35" t="str">
        <x:v>ADD_DEVELOPMENT_TERM</x:v>
      </x:c>
    </x:row>
    <x:row r="392">
      <x:c r="A392" s="35" t="str">
        <x:v>harmfulSubstancePresent</x:v>
      </x:c>
      <x:c r="B392" s="35" t="str">
        <x:v>https://w3id.org/nltl-benchmark/vocab#harmfulSubstancePresent</x:v>
      </x:c>
      <x:c r="C392" s="35" t="str">
        <x:v>DatatypeProperty</x:v>
      </x:c>
      <x:c r="D392" s="35" t="str">
        <x:v>http://www.w3.org/2001/XMLSchema#boolean</x:v>
      </x:c>
      <x:c r="E392" s="35" t="str">
        <x:v>xsd:boolean</x:v>
      </x:c>
      <x:c r="F392" s="35" t="str"/>
      <x:c r="G392" s="38" t="str">
        <x:v>IMO-123</x:v>
      </x:c>
      <x:c r="H392" s="35" t="str">
        <x:v>Locked-workbook normalized regulatory term</x:v>
      </x:c>
      <x:c r="I392" s="35" t="str">
        <x:v>N4 - preserve the source concept; normalize spelling to ASCII lowerCamelCase</x:v>
      </x:c>
      <x:c r="J392" s="35" t="str">
        <x:v>REUSE_R2_TERM</x:v>
      </x:c>
    </x:row>
    <x:row r="393">
      <x:c r="A393" s="35" t="str">
        <x:v>harmfulTorsionalResonance</x:v>
      </x:c>
      <x:c r="B393" s="35" t="str">
        <x:v>https://w3id.org/nltl-benchmark/vocab#harmfulTorsionalResonance</x:v>
      </x:c>
      <x:c r="C393" s="35" t="str">
        <x:v>DatatypeProperty</x:v>
      </x:c>
      <x:c r="D393" s="35" t="str">
        <x:v>http://www.w3.org/2001/XMLSchema#boolean</x:v>
      </x:c>
      <x:c r="E393" s="35" t="str">
        <x:v>xsd:boolean</x:v>
      </x:c>
      <x:c r="F393" s="35" t="str"/>
      <x:c r="G393" s="38" t="str">
        <x:v>TRF-125</x:v>
      </x:c>
      <x:c r="H393" s="35" t="str">
        <x:v>Benchmark-coined descriptive engineering term</x:v>
      </x:c>
      <x:c r="I393" s="35" t="str">
        <x:v>N5 - component or subject first, followed by characteristic and qualifier/state; no unsupported external mapping</x:v>
      </x:c>
      <x:c r="J393" s="35" t="str">
        <x:v>REUSE_R2_TERM</x:v>
      </x:c>
    </x:row>
    <x:row r="394">
      <x:c r="A394" s="35" t="str">
        <x:v>hasAntitrippingSupportRegion</x:v>
      </x:c>
      <x:c r="B394" s="35" t="str">
        <x:v>https://w3id.org/nltl-benchmark/vocab#hasAntitrippingSupportRegion</x:v>
      </x:c>
      <x:c r="C394" s="35" t="str">
        <x:v>ObjectProperty</x:v>
      </x:c>
      <x:c r="D394" s="35" t="str">
        <x:v>https://w3id.org/nltl-benchmark/vocab#hullRegionValue</x:v>
      </x:c>
      <x:c r="E394" s="35" t="str"/>
      <x:c r="F394" s="35" t="str"/>
      <x:c r="G394" s="38" t="str">
        <x:v>TRF-052</x:v>
      </x:c>
      <x:c r="H394" s="35" t="str">
        <x:v>Applicable TRAFICOM regulation wording plus explicit engineering node/operand role</x:v>
      </x:c>
      <x:c r="I394" s="35" t="str">
        <x:v>N5 - ASCII lowerCamelCase relationship; use has + object role when it improves direction clarity.</x:v>
      </x:c>
      <x:c r="J394" s="35" t="str">
        <x:v>ADD_DEVELOPMENT_TERM</x:v>
      </x:c>
    </x:row>
    <x:row r="395">
      <x:c r="A395" s="35" t="str">
        <x:v>hasAttachedSupportingStructure</x:v>
      </x:c>
      <x:c r="B395" s="35" t="str">
        <x:v>https://w3id.org/nltl-benchmark/vocab#hasAttachedSupportingStructure</x:v>
      </x:c>
      <x:c r="C395" s="35" t="str">
        <x:v>ObjectProperty</x:v>
      </x:c>
      <x:c r="D395" s="35" t="str">
        <x:v>https://w3id.org/nltl-benchmark/vocab#supportingStructure</x:v>
      </x:c>
      <x:c r="E395" s="35" t="str"/>
      <x:c r="F395" s="35" t="str"/>
      <x:c r="G395" s="38" t="str">
        <x:v>TRF-046 | TRF-047</x:v>
      </x:c>
      <x:c r="H395" s="35" t="str">
        <x:v>Applicable TRAFICOM regulation wording plus explicit engineering node/operand role</x:v>
      </x:c>
      <x:c r="I395" s="35" t="str">
        <x:v>N5 - ASCII lowerCamelCase relationship; use has + object role when it improves direction clarity.</x:v>
      </x:c>
      <x:c r="J395" s="35" t="str">
        <x:v>ADD_DEVELOPMENT_TERM</x:v>
      </x:c>
    </x:row>
    <x:row r="396">
      <x:c r="A396" s="35" t="str">
        <x:v>hasBallastTank</x:v>
      </x:c>
      <x:c r="B396" s="35" t="str">
        <x:v>https://w3id.org/nltl-benchmark/vocab#hasBallastTank</x:v>
      </x:c>
      <x:c r="C396" s="35" t="str">
        <x:v>ObjectProperty</x:v>
      </x:c>
      <x:c r="D396" s="35" t="str">
        <x:v>https://w3id.org/nltl-benchmark/vocab#ballastTank</x:v>
      </x:c>
      <x:c r="E396" s="35" t="str"/>
      <x:c r="F396" s="35" t="str"/>
      <x:c r="G396" s="38" t="str">
        <x:v>TRF-016</x:v>
      </x:c>
      <x:c r="H396" s="35" t="str">
        <x:v>Applicable TRAFICOM regulation wording plus explicit engineering node/operand role</x:v>
      </x:c>
      <x:c r="I396" s="35" t="str">
        <x:v>N5 - ASCII lowerCamelCase relationship; use has + object role when it improves direction clarity.</x:v>
      </x:c>
      <x:c r="J396" s="35" t="str">
        <x:v>ADD_DEVELOPMENT_TERM</x:v>
      </x:c>
    </x:row>
    <x:row r="397">
      <x:c r="A397" s="35" t="str">
        <x:v>hasClassCertificate</x:v>
      </x:c>
      <x:c r="B397" s="35" t="str">
        <x:v>https://w3id.org/nltl-benchmark/vocab#hasClassCertificate</x:v>
      </x:c>
      <x:c r="C397" s="35" t="str">
        <x:v>ObjectProperty</x:v>
      </x:c>
      <x:c r="D397" s="35" t="str">
        <x:v>https://w3id.org/nltl-benchmark/vocab#classCertificate</x:v>
      </x:c>
      <x:c r="E397" s="35" t="str"/>
      <x:c r="F397" s="35" t="str"/>
      <x:c r="G397" s="38" t="str">
        <x:v>TRF-014</x:v>
      </x:c>
      <x:c r="H397" s="35" t="str">
        <x:v>Applicable TRAFICOM regulation wording plus explicit engineering node/operand role</x:v>
      </x:c>
      <x:c r="I397" s="35" t="str">
        <x:v>N5 - ASCII lowerCamelCase relationship; use has + object role when it improves direction clarity.</x:v>
      </x:c>
      <x:c r="J397" s="35" t="str">
        <x:v>ADD_DEVELOPMENT_TERM</x:v>
      </x:c>
    </x:row>
    <x:row r="398">
      <x:c r="A398" s="35" t="str">
        <x:v>hasClassificationSocietySectionPropertyCalculationEvidence</x:v>
      </x:c>
      <x:c r="B398" s="35" t="str">
        <x:v>https://w3id.org/nltl-benchmark/vocab#hasClassificationSocietySectionPropertyCalculationEvidence</x:v>
      </x:c>
      <x:c r="C398" s="35" t="str">
        <x:v>ObjectProperty</x:v>
      </x:c>
      <x:c r="D398" s="35" t="str">
        <x:v>https://w3id.org/nltl-benchmark/vocab#evidenceArtifact</x:v>
      </x:c>
      <x:c r="E398" s="35" t="str"/>
      <x:c r="F398" s="35" t="str"/>
      <x:c r="G398" s="38" t="str">
        <x:v>TRF-034</x:v>
      </x:c>
      <x:c r="H398" s="35" t="str">
        <x:v>Applicable TRAFICOM regulation wording plus explicit engineering node/operand role</x:v>
      </x:c>
      <x:c r="I398" s="35" t="str">
        <x:v>N5 - ASCII lowerCamelCase relationship; use has + object role when it improves direction clarity.</x:v>
      </x:c>
      <x:c r="J398" s="35" t="str">
        <x:v>ADD_DEVELOPMENT_TERM</x:v>
      </x:c>
    </x:row>
    <x:row r="399">
      <x:c r="A399" s="35" t="str">
        <x:v>hasConnectionBracket</x:v>
      </x:c>
      <x:c r="B399" s="35" t="str">
        <x:v>https://w3id.org/nltl-benchmark/vocab#hasConnectionBracket</x:v>
      </x:c>
      <x:c r="C399" s="35" t="str">
        <x:v>ObjectProperty</x:v>
      </x:c>
      <x:c r="D399" s="35" t="str">
        <x:v>https://w3id.org/nltl-benchmark/vocab#connectionBracket</x:v>
      </x:c>
      <x:c r="E399" s="35" t="str"/>
      <x:c r="F399" s="35" t="str"/>
      <x:c r="G399" s="38" t="str">
        <x:v>TRF-049</x:v>
      </x:c>
      <x:c r="H399" s="35" t="str">
        <x:v>Applicable TRAFICOM regulation wording plus explicit engineering node/operand role</x:v>
      </x:c>
      <x:c r="I399" s="35" t="str">
        <x:v>N5 - ASCII lowerCamelCase relationship; use has + object role when it improves direction clarity.</x:v>
      </x:c>
      <x:c r="J399" s="35" t="str">
        <x:v>ADD_DEVELOPMENT_TERM</x:v>
      </x:c>
    </x:row>
    <x:row r="400">
      <x:c r="A400" s="35" t="str">
        <x:v>hasContainingCompartment</x:v>
      </x:c>
      <x:c r="B400" s="35" t="str">
        <x:v>https://w3id.org/nltl-benchmark/vocab#hasContainingCompartment</x:v>
      </x:c>
      <x:c r="C400" s="35" t="str">
        <x:v>ObjectProperty</x:v>
      </x:c>
      <x:c r="D400" s="35" t="str">
        <x:v>https://w3id.org/nltl-benchmark/vocab#compartment</x:v>
      </x:c>
      <x:c r="E400" s="35" t="str"/>
      <x:c r="F400" s="35" t="str"/>
      <x:c r="G400" s="38" t="str">
        <x:v>IMO-057</x:v>
      </x:c>
      <x:c r="H400" s="35" t="str">
        <x:v>Applicable regulation explicit wording; R2 benchmark gap repair</x:v>
      </x:c>
      <x:c r="I400" s="35" t="str">
        <x:v>N5 - subject-to-object relationship named has + object role in ASCII lowerCamelCase</x:v>
      </x:c>
      <x:c r="J400" s="35" t="str">
        <x:v>REUSE_R2_TERM</x:v>
      </x:c>
    </x:row>
    <x:row r="401">
      <x:c r="A401" s="35" t="str">
        <x:v>hasDirectAnalysisCase</x:v>
      </x:c>
      <x:c r="B401" s="35" t="str">
        <x:v>https://w3id.org/nltl-benchmark/vocab#hasDirectAnalysisCase</x:v>
      </x:c>
      <x:c r="C401" s="35" t="str">
        <x:v>ObjectProperty</x:v>
      </x:c>
      <x:c r="D401" s="35" t="str">
        <x:v>https://w3id.org/nltl-benchmark/vocab#directAnalysisCase</x:v>
      </x:c>
      <x:c r="E401" s="35" t="str"/>
      <x:c r="F401" s="35" t="str"/>
      <x:c r="G401" s="38" t="str">
        <x:v>TRF-030</x:v>
      </x:c>
      <x:c r="H401" s="35" t="str">
        <x:v>Applicable TRAFICOM regulation wording plus explicit engineering node/operand role</x:v>
      </x:c>
      <x:c r="I401" s="35" t="str">
        <x:v>N5 - ASCII lowerCamelCase relationship; use has + object role when it improves direction clarity.</x:v>
      </x:c>
      <x:c r="J401" s="35" t="str">
        <x:v>ADD_DEVELOPMENT_TERM</x:v>
      </x:c>
    </x:row>
    <x:row r="402">
      <x:c r="A402" s="35" t="str">
        <x:v>hasEffectiveMemberCrossSection</x:v>
      </x:c>
      <x:c r="B402" s="35" t="str">
        <x:v>https://w3id.org/nltl-benchmark/vocab#hasEffectiveMemberCrossSection</x:v>
      </x:c>
      <x:c r="C402" s="35" t="str">
        <x:v>ObjectProperty</x:v>
      </x:c>
      <x:c r="D402" s="35" t="str">
        <x:v>https://w3id.org/nltl-benchmark/vocab#effectiveMemberCrossSection</x:v>
      </x:c>
      <x:c r="E402" s="35" t="str"/>
      <x:c r="F402" s="35" t="str"/>
      <x:c r="G402" s="38" t="str">
        <x:v>TRF-034</x:v>
      </x:c>
      <x:c r="H402" s="35" t="str">
        <x:v>Applicable TRAFICOM regulation wording plus explicit engineering node/operand role</x:v>
      </x:c>
      <x:c r="I402" s="35" t="str">
        <x:v>N5 - ASCII lowerCamelCase relationship; use has + object role when it improves direction clarity.</x:v>
      </x:c>
      <x:c r="J402" s="35" t="str">
        <x:v>ADD_DEVELOPMENT_TERM</x:v>
      </x:c>
    </x:row>
    <x:row r="403">
      <x:c r="A403" s="35" t="str">
        <x:v>hasFrameAttachment</x:v>
      </x:c>
      <x:c r="B403" s="35" t="str">
        <x:v>https://w3id.org/nltl-benchmark/vocab#hasFrameAttachment</x:v>
      </x:c>
      <x:c r="C403" s="35" t="str">
        <x:v>ObjectProperty</x:v>
      </x:c>
      <x:c r="D403" s="35" t="str">
        <x:v>https://w3id.org/nltl-benchmark/vocab#frameAttachment</x:v>
      </x:c>
      <x:c r="E403" s="35" t="str"/>
      <x:c r="F403" s="35" t="str"/>
      <x:c r="G403" s="38" t="str">
        <x:v>TRF-049</x:v>
      </x:c>
      <x:c r="H403" s="35" t="str">
        <x:v>Applicable TRAFICOM regulation wording plus explicit engineering node/operand role</x:v>
      </x:c>
      <x:c r="I403" s="35" t="str">
        <x:v>N5 - ASCII lowerCamelCase relationship; use has + object role when it improves direction clarity.</x:v>
      </x:c>
      <x:c r="J403" s="35" t="str">
        <x:v>ADD_DEVELOPMENT_TERM</x:v>
      </x:c>
    </x:row>
    <x:row r="404">
      <x:c r="A404" s="35" t="str">
        <x:v>hasFrameBoundaryConditionEvidence</x:v>
      </x:c>
      <x:c r="B404" s="35" t="str">
        <x:v>https://w3id.org/nltl-benchmark/vocab#hasFrameBoundaryConditionEvidence</x:v>
      </x:c>
      <x:c r="C404" s="35" t="str">
        <x:v>ObjectProperty</x:v>
      </x:c>
      <x:c r="D404" s="35" t="str">
        <x:v>https://w3id.org/nltl-benchmark/vocab#frameBoundaryConditionEvidence</x:v>
      </x:c>
      <x:c r="E404" s="35" t="str"/>
      <x:c r="F404" s="35" t="str"/>
      <x:c r="G404" s="38" t="str">
        <x:v>TRF-048</x:v>
      </x:c>
      <x:c r="H404" s="35" t="str">
        <x:v>Applicable TRAFICOM regulation wording plus explicit engineering node/operand role</x:v>
      </x:c>
      <x:c r="I404" s="35" t="str">
        <x:v>N5 - ASCII lowerCamelCase relationship; use has + object role when it improves direction clarity.</x:v>
      </x:c>
      <x:c r="J404" s="35" t="str">
        <x:v>ADD_DEVELOPMENT_TERM</x:v>
      </x:c>
    </x:row>
    <x:row r="405">
      <x:c r="A405" s="35" t="str">
        <x:v>hasHatchCoverDesignEvidence</x:v>
      </x:c>
      <x:c r="B405" s="35" t="str">
        <x:v>https://w3id.org/nltl-benchmark/vocab#hasHatchCoverDesignEvidence</x:v>
      </x:c>
      <x:c r="C405" s="35" t="str">
        <x:v>ObjectProperty</x:v>
      </x:c>
      <x:c r="D405" s="35" t="str">
        <x:v>https://w3id.org/nltl-benchmark/vocab#hatchCoverDesignEvidence</x:v>
      </x:c>
      <x:c r="E405" s="35" t="str"/>
      <x:c r="F405" s="35" t="str"/>
      <x:c r="G405" s="38" t="str">
        <x:v>TRF-056</x:v>
      </x:c>
      <x:c r="H405" s="35" t="str">
        <x:v>Applicable TRAFICOM regulation wording plus explicit engineering node/operand role</x:v>
      </x:c>
      <x:c r="I405" s="35" t="str">
        <x:v>N5 - ASCII lowerCamelCase relationship; use has + object role when it improves direction clarity.</x:v>
      </x:c>
      <x:c r="J405" s="35" t="str">
        <x:v>ADD_DEVELOPMENT_TERM</x:v>
      </x:c>
    </x:row>
    <x:row r="406">
      <x:c r="A406" s="35" t="str">
        <x:v>hasHatchFittingDesignEvidence</x:v>
      </x:c>
      <x:c r="B406" s="35" t="str">
        <x:v>https://w3id.org/nltl-benchmark/vocab#hasHatchFittingDesignEvidence</x:v>
      </x:c>
      <x:c r="C406" s="35" t="str">
        <x:v>ObjectProperty</x:v>
      </x:c>
      <x:c r="D406" s="35" t="str">
        <x:v>https://w3id.org/nltl-benchmark/vocab#hatchFittingDesignEvidence</x:v>
      </x:c>
      <x:c r="E406" s="35" t="str"/>
      <x:c r="F406" s="35" t="str"/>
      <x:c r="G406" s="38" t="str">
        <x:v>TRF-056</x:v>
      </x:c>
      <x:c r="H406" s="35" t="str">
        <x:v>Applicable TRAFICOM regulation wording plus explicit engineering node/operand role</x:v>
      </x:c>
      <x:c r="I406" s="35" t="str">
        <x:v>N5 - ASCII lowerCamelCase relationship; use has + object role when it improves direction clarity.</x:v>
      </x:c>
      <x:c r="J406" s="35" t="str">
        <x:v>ADD_DEVELOPMENT_TERM</x:v>
      </x:c>
    </x:row>
    <x:row r="407">
      <x:c r="A407" s="35" t="str">
        <x:v>hasHorizontalConnectionMember</x:v>
      </x:c>
      <x:c r="B407" s="35" t="str">
        <x:v>https://w3id.org/nltl-benchmark/vocab#hasHorizontalConnectionMember</x:v>
      </x:c>
      <x:c r="C407" s="35" t="str">
        <x:v>ObjectProperty</x:v>
      </x:c>
      <x:c r="D407" s="35" t="str">
        <x:v>https://w3id.org/nltl-benchmark/vocab#horizontalConnectionMember</x:v>
      </x:c>
      <x:c r="E407" s="35" t="str"/>
      <x:c r="F407" s="35" t="str"/>
      <x:c r="G407" s="38" t="str">
        <x:v>TRF-046 | TRF-047</x:v>
      </x:c>
      <x:c r="H407" s="35" t="str">
        <x:v>Applicable TRAFICOM regulation wording plus explicit engineering node/operand role</x:v>
      </x:c>
      <x:c r="I407" s="35" t="str">
        <x:v>N5 - ASCII lowerCamelCase relationship; use has + object role when it improves direction clarity.</x:v>
      </x:c>
      <x:c r="J407" s="35" t="str">
        <x:v>ADD_DEVELOPMENT_TERM</x:v>
      </x:c>
    </x:row>
    <x:row r="408">
      <x:c r="A408" s="35" t="str">
        <x:v>hasIceClassDesignParameterSet</x:v>
      </x:c>
      <x:c r="B408" s="35" t="str">
        <x:v>https://w3id.org/nltl-benchmark/vocab#hasIceClassDesignParameterSet</x:v>
      </x:c>
      <x:c r="C408" s="35" t="str">
        <x:v>ObjectProperty</x:v>
      </x:c>
      <x:c r="D408" s="35" t="str">
        <x:v>https://w3id.org/nltl-benchmark/vocab#iceClassDesignParameterSet</x:v>
      </x:c>
      <x:c r="E408" s="35" t="str"/>
      <x:c r="F408" s="35" t="str"/>
      <x:c r="G408" s="38" t="str">
        <x:v>TRF-036</x:v>
      </x:c>
      <x:c r="H408" s="35" t="str">
        <x:v>Applicable TRAFICOM regulation wording plus explicit engineering node/operand role</x:v>
      </x:c>
      <x:c r="I408" s="35" t="str">
        <x:v>N5 - ASCII lowerCamelCase relationship; use has + object role when it improves direction clarity.</x:v>
      </x:c>
      <x:c r="J408" s="35" t="str">
        <x:v>ADD_DEVELOPMENT_TERM</x:v>
      </x:c>
    </x:row>
    <x:row r="409">
      <x:c r="A409" s="35" t="str">
        <x:v>hasIceDraughtRestrictionDocument</x:v>
      </x:c>
      <x:c r="B409" s="35" t="str">
        <x:v>https://w3id.org/nltl-benchmark/vocab#hasIceDraughtRestrictionDocument</x:v>
      </x:c>
      <x:c r="C409" s="35" t="str">
        <x:v>ObjectProperty</x:v>
      </x:c>
      <x:c r="D409" s="35" t="str">
        <x:v>https://w3id.org/nltl-benchmark/vocab#iceDraughtRestrictionDocument</x:v>
      </x:c>
      <x:c r="E409" s="35" t="str"/>
      <x:c r="F409" s="35" t="str"/>
      <x:c r="G409" s="38" t="str">
        <x:v>TRF-014</x:v>
      </x:c>
      <x:c r="H409" s="35" t="str">
        <x:v>Applicable TRAFICOM regulation wording plus explicit engineering node/operand role</x:v>
      </x:c>
      <x:c r="I409" s="35" t="str">
        <x:v>N5 - ASCII lowerCamelCase relationship; use has + object role when it improves direction clarity.</x:v>
      </x:c>
      <x:c r="J409" s="35" t="str">
        <x:v>ADD_DEVELOPMENT_TERM</x:v>
      </x:c>
    </x:row>
    <x:row r="410">
      <x:c r="A410" s="35" t="str">
        <x:v>hasIntendedIceOperatingWaterline</x:v>
      </x:c>
      <x:c r="B410" s="35" t="str">
        <x:v>https://w3id.org/nltl-benchmark/vocab#hasIntendedIceOperatingWaterline</x:v>
      </x:c>
      <x:c r="C410" s="35" t="str">
        <x:v>ObjectProperty</x:v>
      </x:c>
      <x:c r="D410" s="35" t="str">
        <x:v>https://w3id.org/nltl-benchmark/vocab#iceWaterline</x:v>
      </x:c>
      <x:c r="E410" s="35" t="str"/>
      <x:c r="F410" s="35" t="str"/>
      <x:c r="G410" s="38" t="str">
        <x:v>TRF-011 | TRF-012</x:v>
      </x:c>
      <x:c r="H410" s="35" t="str">
        <x:v>Applicable TRAFICOM regulation wording plus explicit engineering node/operand role</x:v>
      </x:c>
      <x:c r="I410" s="35" t="str">
        <x:v>N5 - ASCII lowerCamelCase relationship; use has + object role when it improves direction clarity.</x:v>
      </x:c>
      <x:c r="J410" s="35" t="str">
        <x:v>ADD_DEVELOPMENT_TERM</x:v>
      </x:c>
    </x:row>
    <x:row r="411">
      <x:c r="A411" s="35" t="str">
        <x:v>hasLowerEnd</x:v>
      </x:c>
      <x:c r="B411" s="35" t="str">
        <x:v>https://w3id.org/nltl-benchmark/vocab#hasLowerEnd</x:v>
      </x:c>
      <x:c r="C411" s="35" t="str">
        <x:v>ObjectProperty</x:v>
      </x:c>
      <x:c r="D411" s="35" t="str">
        <x:v>https://w3id.org/nltl-benchmark/vocab#frameEnd</x:v>
      </x:c>
      <x:c r="E411" s="35" t="str"/>
      <x:c r="F411" s="35" t="str"/>
      <x:c r="G411" s="38" t="str">
        <x:v>TRF-047</x:v>
      </x:c>
      <x:c r="H411" s="35" t="str">
        <x:v>Applicable TRAFICOM regulation wording plus explicit engineering node/operand role</x:v>
      </x:c>
      <x:c r="I411" s="35" t="str">
        <x:v>N5 - ASCII lowerCamelCase relationship; use has + object role when it improves direction clarity.</x:v>
      </x:c>
      <x:c r="J411" s="35" t="str">
        <x:v>ADD_DEVELOPMENT_TERM</x:v>
      </x:c>
    </x:row>
    <x:row r="412">
      <x:c r="A412" s="35" t="str">
        <x:v>hasLowerIceWaterline</x:v>
      </x:c>
      <x:c r="B412" s="35" t="str">
        <x:v>https://w3id.org/nltl-benchmark/vocab#hasLowerIceWaterline</x:v>
      </x:c>
      <x:c r="C412" s="35" t="str">
        <x:v>ObjectProperty</x:v>
      </x:c>
      <x:c r="D412" s="35" t="str">
        <x:v>https://w3id.org/nltl-benchmark/vocab#iceWaterline</x:v>
      </x:c>
      <x:c r="E412" s="35" t="str"/>
      <x:c r="F412" s="35" t="str"/>
      <x:c r="G412" s="38" t="str">
        <x:v>TRF-012 | TRF-013</x:v>
      </x:c>
      <x:c r="H412" s="35" t="str">
        <x:v>Applicable TRAFICOM regulation wording plus explicit engineering node/operand role</x:v>
      </x:c>
      <x:c r="I412" s="35" t="str">
        <x:v>N5 - ASCII lowerCamelCase relationship; use has + object role when it improves direction clarity.</x:v>
      </x:c>
      <x:c r="J412" s="35" t="str">
        <x:v>ADD_DEVELOPMENT_TERM</x:v>
      </x:c>
    </x:row>
    <x:row r="413">
      <x:c r="A413" s="35" t="str">
        <x:v>hasStrengthenedPart</x:v>
      </x:c>
      <x:c r="B413" s="35" t="str">
        <x:v>https://w3id.org/nltl-benchmark/vocab#hasStrengthenedPart</x:v>
      </x:c>
      <x:c r="C413" s="35" t="str">
        <x:v>ObjectProperty</x:v>
      </x:c>
      <x:c r="D413" s="35" t="str">
        <x:v>https://w3id.org/nltl-benchmark/vocab#frameStrengthenedPart</x:v>
      </x:c>
      <x:c r="E413" s="35" t="str"/>
      <x:c r="F413" s="35" t="str"/>
      <x:c r="G413" s="38" t="str">
        <x:v>TRF-047</x:v>
      </x:c>
      <x:c r="H413" s="35" t="str">
        <x:v>Applicable TRAFICOM regulation wording plus explicit engineering node/operand role</x:v>
      </x:c>
      <x:c r="I413" s="35" t="str">
        <x:v>N5 - ASCII lowerCamelCase relationship; use has + object role when it improves direction clarity.</x:v>
      </x:c>
      <x:c r="J413" s="35" t="str">
        <x:v>ADD_DEVELOPMENT_TERM</x:v>
      </x:c>
    </x:row>
    <x:row r="414">
      <x:c r="A414" s="35" t="str">
        <x:v>hasSupportingBulkhead</x:v>
      </x:c>
      <x:c r="B414" s="35" t="str">
        <x:v>https://w3id.org/nltl-benchmark/vocab#hasSupportingBulkhead</x:v>
      </x:c>
      <x:c r="C414" s="35" t="str">
        <x:v>ObjectProperty</x:v>
      </x:c>
      <x:c r="D414" s="35" t="str">
        <x:v>https://w3id.org/nltl-benchmark/vocab#supportingStructure</x:v>
      </x:c>
      <x:c r="E414" s="35" t="str"/>
      <x:c r="F414" s="35" t="str"/>
      <x:c r="G414" s="38" t="str">
        <x:v>TRF-049</x:v>
      </x:c>
      <x:c r="H414" s="35" t="str">
        <x:v>Applicable TRAFICOM regulation wording plus explicit engineering node/operand role</x:v>
      </x:c>
      <x:c r="I414" s="35" t="str">
        <x:v>N5 - ASCII lowerCamelCase relationship; use has + object role when it improves direction clarity.</x:v>
      </x:c>
      <x:c r="J414" s="35" t="str">
        <x:v>ADD_DEVELOPMENT_TERM</x:v>
      </x:c>
    </x:row>
    <x:row r="415">
      <x:c r="A415" s="35" t="str">
        <x:v>hasSupportingStructureAttachment</x:v>
      </x:c>
      <x:c r="B415" s="35" t="str">
        <x:v>https://w3id.org/nltl-benchmark/vocab#hasSupportingStructureAttachment</x:v>
      </x:c>
      <x:c r="C415" s="35" t="str">
        <x:v>ObjectProperty</x:v>
      </x:c>
      <x:c r="D415" s="35" t="str">
        <x:v>https://w3id.org/nltl-benchmark/vocab#frameAttachment</x:v>
      </x:c>
      <x:c r="E415" s="35" t="str"/>
      <x:c r="F415" s="35" t="str"/>
      <x:c r="G415" s="38" t="str">
        <x:v>TRF-049</x:v>
      </x:c>
      <x:c r="H415" s="35" t="str">
        <x:v>Applicable TRAFICOM regulation wording plus explicit engineering node/operand role</x:v>
      </x:c>
      <x:c r="I415" s="35" t="str">
        <x:v>N5 - ASCII lowerCamelCase relationship; use has + object role when it improves direction clarity.</x:v>
      </x:c>
      <x:c r="J415" s="35" t="str">
        <x:v>ADD_DEVELOPMENT_TERM</x:v>
      </x:c>
    </x:row>
    <x:row r="416">
      <x:c r="A416" s="35" t="str">
        <x:v>hasSupportingWebFrame</x:v>
      </x:c>
      <x:c r="B416" s="35" t="str">
        <x:v>https://w3id.org/nltl-benchmark/vocab#hasSupportingWebFrame</x:v>
      </x:c>
      <x:c r="C416" s="35" t="str">
        <x:v>ObjectProperty</x:v>
      </x:c>
      <x:c r="D416" s="35" t="str">
        <x:v>https://w3id.org/nltl-benchmark/vocab#supportingStructure</x:v>
      </x:c>
      <x:c r="E416" s="35" t="str"/>
      <x:c r="F416" s="35" t="str"/>
      <x:c r="G416" s="38" t="str">
        <x:v>TRF-049</x:v>
      </x:c>
      <x:c r="H416" s="35" t="str">
        <x:v>Applicable TRAFICOM regulation wording plus explicit engineering node/operand role</x:v>
      </x:c>
      <x:c r="I416" s="35" t="str">
        <x:v>N5 - ASCII lowerCamelCase relationship; use has + object role when it improves direction clarity.</x:v>
      </x:c>
      <x:c r="J416" s="35" t="str">
        <x:v>ADD_DEVELOPMENT_TERM</x:v>
      </x:c>
    </x:row>
    <x:row r="417">
      <x:c r="A417" s="35" t="str">
        <x:v>hasTerminationAboveSupportingStructure</x:v>
      </x:c>
      <x:c r="B417" s="35" t="str">
        <x:v>https://w3id.org/nltl-benchmark/vocab#hasTerminationAboveSupportingStructure</x:v>
      </x:c>
      <x:c r="C417" s="35" t="str">
        <x:v>ObjectProperty</x:v>
      </x:c>
      <x:c r="D417" s="35" t="str">
        <x:v>https://w3id.org/nltl-benchmark/vocab#supportingStructure</x:v>
      </x:c>
      <x:c r="E417" s="35" t="str"/>
      <x:c r="F417" s="35" t="str"/>
      <x:c r="G417" s="38" t="str">
        <x:v>TRF-046</x:v>
      </x:c>
      <x:c r="H417" s="35" t="str">
        <x:v>Applicable TRAFICOM regulation wording plus explicit engineering node/operand role</x:v>
      </x:c>
      <x:c r="I417" s="35" t="str">
        <x:v>N5 - ASCII lowerCamelCase relationship; use has + object role when it improves direction clarity.</x:v>
      </x:c>
      <x:c r="J417" s="35" t="str">
        <x:v>ADD_DEVELOPMENT_TERM</x:v>
      </x:c>
    </x:row>
    <x:row r="418">
      <x:c r="A418" s="35" t="str">
        <x:v>hasTerminationBelowSupportingStructure</x:v>
      </x:c>
      <x:c r="B418" s="35" t="str">
        <x:v>https://w3id.org/nltl-benchmark/vocab#hasTerminationBelowSupportingStructure</x:v>
      </x:c>
      <x:c r="C418" s="35" t="str">
        <x:v>ObjectProperty</x:v>
      </x:c>
      <x:c r="D418" s="35" t="str">
        <x:v>https://w3id.org/nltl-benchmark/vocab#supportingStructure</x:v>
      </x:c>
      <x:c r="E418" s="35" t="str"/>
      <x:c r="F418" s="35" t="str"/>
      <x:c r="G418" s="38" t="str">
        <x:v>TRF-047</x:v>
      </x:c>
      <x:c r="H418" s="35" t="str">
        <x:v>Applicable TRAFICOM regulation wording plus explicit engineering node/operand role</x:v>
      </x:c>
      <x:c r="I418" s="35" t="str">
        <x:v>N5 - ASCII lowerCamelCase relationship; use has + object role when it improves direction clarity.</x:v>
      </x:c>
      <x:c r="J418" s="35" t="str">
        <x:v>ADD_DEVELOPMENT_TERM</x:v>
      </x:c>
    </x:row>
    <x:row r="419">
      <x:c r="A419" s="35" t="str">
        <x:v>hasUpperEnd</x:v>
      </x:c>
      <x:c r="B419" s="35" t="str">
        <x:v>https://w3id.org/nltl-benchmark/vocab#hasUpperEnd</x:v>
      </x:c>
      <x:c r="C419" s="35" t="str">
        <x:v>ObjectProperty</x:v>
      </x:c>
      <x:c r="D419" s="35" t="str">
        <x:v>https://w3id.org/nltl-benchmark/vocab#frameEnd</x:v>
      </x:c>
      <x:c r="E419" s="35" t="str"/>
      <x:c r="F419" s="35" t="str"/>
      <x:c r="G419" s="38" t="str">
        <x:v>TRF-046</x:v>
      </x:c>
      <x:c r="H419" s="35" t="str">
        <x:v>Applicable TRAFICOM regulation wording plus explicit engineering node/operand role</x:v>
      </x:c>
      <x:c r="I419" s="35" t="str">
        <x:v>N5 - ASCII lowerCamelCase relationship; use has + object role when it improves direction clarity.</x:v>
      </x:c>
      <x:c r="J419" s="35" t="str">
        <x:v>ADD_DEVELOPMENT_TERM</x:v>
      </x:c>
    </x:row>
    <x:row r="420">
      <x:c r="A420" s="35" t="str">
        <x:v>hasUpperIceWaterline</x:v>
      </x:c>
      <x:c r="B420" s="35" t="str">
        <x:v>https://w3id.org/nltl-benchmark/vocab#hasUpperIceWaterline</x:v>
      </x:c>
      <x:c r="C420" s="35" t="str">
        <x:v>ObjectProperty</x:v>
      </x:c>
      <x:c r="D420" s="35" t="str">
        <x:v>https://w3id.org/nltl-benchmark/vocab#iceWaterline</x:v>
      </x:c>
      <x:c r="E420" s="35" t="str"/>
      <x:c r="F420" s="35" t="str"/>
      <x:c r="G420" s="38" t="str">
        <x:v>TRF-011 | TRF-013 | TRF-016</x:v>
      </x:c>
      <x:c r="H420" s="35" t="str">
        <x:v>Applicable TRAFICOM regulation wording plus explicit engineering node/operand role</x:v>
      </x:c>
      <x:c r="I420" s="35" t="str">
        <x:v>N5 - ASCII lowerCamelCase relationship; use has + object role when it improves direction clarity.</x:v>
      </x:c>
      <x:c r="J420" s="35" t="str">
        <x:v>ADD_DEVELOPMENT_TERM</x:v>
      </x:c>
    </x:row>
    <x:row r="421">
      <x:c r="A421" s="35" t="str">
        <x:v>hasWaterlineProfilePoint</x:v>
      </x:c>
      <x:c r="B421" s="35" t="str">
        <x:v>https://w3id.org/nltl-benchmark/vocab#hasWaterlineProfilePoint</x:v>
      </x:c>
      <x:c r="C421" s="35" t="str">
        <x:v>ObjectProperty</x:v>
      </x:c>
      <x:c r="D421" s="35" t="str">
        <x:v>https://w3id.org/nltl-benchmark/vocab#waterlineProfilePoint</x:v>
      </x:c>
      <x:c r="E421" s="35" t="str"/>
      <x:c r="F421" s="35" t="str"/>
      <x:c r="G421" s="38" t="str">
        <x:v>TRF-011 | TRF-012</x:v>
      </x:c>
      <x:c r="H421" s="35" t="str">
        <x:v>Applicable TRAFICOM regulation wording plus explicit engineering node/operand role</x:v>
      </x:c>
      <x:c r="I421" s="35" t="str">
        <x:v>N5 - ASCII lowerCamelCase relationship; use has + object role when it improves direction clarity.</x:v>
      </x:c>
      <x:c r="J421" s="35" t="str">
        <x:v>ADD_DEVELOPMENT_TERM</x:v>
      </x:c>
    </x:row>
    <x:row r="422">
      <x:c r="A422" s="35" t="str">
        <x:v>hasWeatherdeckHatch</x:v>
      </x:c>
      <x:c r="B422" s="35" t="str">
        <x:v>https://w3id.org/nltl-benchmark/vocab#hasWeatherdeckHatch</x:v>
      </x:c>
      <x:c r="C422" s="35" t="str">
        <x:v>ObjectProperty</x:v>
      </x:c>
      <x:c r="D422" s="35" t="str">
        <x:v>https://w3id.org/nltl-benchmark/vocab#weatherdeckHatch</x:v>
      </x:c>
      <x:c r="E422" s="35" t="str"/>
      <x:c r="F422" s="35" t="str"/>
      <x:c r="G422" s="38" t="str">
        <x:v>TRF-056</x:v>
      </x:c>
      <x:c r="H422" s="35" t="str">
        <x:v>Applicable TRAFICOM regulation wording plus explicit engineering node/operand role</x:v>
      </x:c>
      <x:c r="I422" s="35" t="str">
        <x:v>N5 - ASCII lowerCamelCase relationship; use has + object role when it improves direction clarity.</x:v>
      </x:c>
      <x:c r="J422" s="35" t="str">
        <x:v>ADD_DEVELOPMENT_TERM</x:v>
      </x:c>
    </x:row>
    <x:row r="423">
      <x:c r="A423" s="35" t="str">
        <x:v>hatchCoverDesignEvidence</x:v>
      </x:c>
      <x:c r="B423" s="35" t="str">
        <x:v>https://w3id.org/nltl-benchmark/vocab#hatchCoverDesignEvidence</x:v>
      </x:c>
      <x:c r="C423" s="35" t="str">
        <x:v>Class</x:v>
      </x:c>
      <x:c r="D423" s="35" t="str">
        <x:v>https://w3id.org/nltl-benchmark/vocab#documentEvidence</x:v>
      </x:c>
      <x:c r="E423" s="35" t="str"/>
      <x:c r="F423" s="35" t="str"/>
      <x:c r="G423" s="38" t="str">
        <x:v>TRF-056</x:v>
      </x:c>
      <x:c r="H423" s="35" t="str">
        <x:v>Benchmark-coined descriptive engineering term</x:v>
      </x:c>
      <x:c r="I423" s="35" t="str">
        <x:v>N5 - component or subject first, followed by characteristic and qualifier/state; no unsupported external mapping</x:v>
      </x:c>
      <x:c r="J423" s="35" t="str">
        <x:v>REUSE_R2_TERM</x:v>
      </x:c>
    </x:row>
    <x:row r="424">
      <x:c r="A424" s="35" t="str">
        <x:v>hatchFittingDesignEvidence</x:v>
      </x:c>
      <x:c r="B424" s="35" t="str">
        <x:v>https://w3id.org/nltl-benchmark/vocab#hatchFittingDesignEvidence</x:v>
      </x:c>
      <x:c r="C424" s="35" t="str">
        <x:v>Class</x:v>
      </x:c>
      <x:c r="D424" s="35" t="str">
        <x:v>https://w3id.org/nltl-benchmark/vocab#documentEvidence</x:v>
      </x:c>
      <x:c r="E424" s="35" t="str"/>
      <x:c r="F424" s="35" t="str"/>
      <x:c r="G424" s="38" t="str">
        <x:v>TRF-056</x:v>
      </x:c>
      <x:c r="H424" s="35" t="str">
        <x:v>Benchmark-coined descriptive engineering term</x:v>
      </x:c>
      <x:c r="I424" s="35" t="str">
        <x:v>N5 - component or subject first, followed by characteristic and qualifier/state; no unsupported external mapping</x:v>
      </x:c>
      <x:c r="J424" s="35" t="str">
        <x:v>REUSE_R2_TERM</x:v>
      </x:c>
    </x:row>
    <x:row r="425">
      <x:c r="A425" s="35" t="str">
        <x:v>hatchOpeningLength</x:v>
      </x:c>
      <x:c r="B425" s="35" t="str">
        <x:v>https://w3id.org/nltl-benchmark/vocab#hatchOpeningLength</x:v>
      </x:c>
      <x:c r="C425" s="35" t="str">
        <x:v>QuantityProperty</x:v>
      </x:c>
      <x:c r="D425" s="35" t="str">
        <x:v>http://qudt.org/schema/qudt/QuantityValue</x:v>
      </x:c>
      <x:c r="E425" s="35" t="str"/>
      <x:c r="F425" s="35" t="str">
        <x:v>m</x:v>
      </x:c>
      <x:c r="G425" s="38" t="str">
        <x:v>TRF-056</x:v>
      </x:c>
      <x:c r="H425" s="35" t="str">
        <x:v>Benchmark-coined descriptive engineering term</x:v>
      </x:c>
      <x:c r="I425" s="35" t="str">
        <x:v>N5 - component or subject first, followed by characteristic and qualifier/state; no unsupported external mapping</x:v>
      </x:c>
      <x:c r="J425" s="35" t="str">
        <x:v>REUSE_R2_TERM</x:v>
      </x:c>
    </x:row>
    <x:row r="426">
      <x:c r="A426" s="35" t="str">
        <x:v>hazardProtectionCoverage</x:v>
      </x:c>
      <x:c r="B426" s="35" t="str">
        <x:v>https://w3id.org/nltl-benchmark/vocab#hazardProtectionCoverage</x:v>
      </x:c>
      <x:c r="C426" s="35" t="str">
        <x:v>DatatypeProperty</x:v>
      </x:c>
      <x:c r="D426" s="35" t="str">
        <x:v>http://www.w3.org/2001/XMLSchema#boolean</x:v>
      </x:c>
      <x:c r="E426" s="35" t="str">
        <x:v>xsd:boolean</x:v>
      </x:c>
      <x:c r="F426" s="35" t="str"/>
      <x:c r="G426" s="38" t="str">
        <x:v>IMO-043</x:v>
      </x:c>
      <x:c r="H426" s="35" t="str">
        <x:v>Locked-workbook normalized regulatory term</x:v>
      </x:c>
      <x:c r="I426" s="35" t="str">
        <x:v>N4 - preserve the source concept; normalize spelling to ASCII lowerCamelCase</x:v>
      </x:c>
      <x:c r="J426" s="35" t="str">
        <x:v>REUSE_R2_TERM</x:v>
      </x:c>
    </x:row>
    <x:row r="427">
      <x:c r="A427" s="35" t="str">
        <x:v>headingMeansIndependent</x:v>
      </x:c>
      <x:c r="B427" s="35" t="str">
        <x:v>https://w3id.org/nltl-benchmark/vocab#headingMeansIndependent</x:v>
      </x:c>
      <x:c r="C427" s="35" t="str">
        <x:v>DatatypeProperty</x:v>
      </x:c>
      <x:c r="D427" s="35" t="str">
        <x:v>http://www.w3.org/2001/XMLSchema#boolean</x:v>
      </x:c>
      <x:c r="E427" s="35" t="str">
        <x:v>xsd:boolean</x:v>
      </x:c>
      <x:c r="F427" s="35" t="str"/>
      <x:c r="G427" s="38" t="str">
        <x:v>IMO-086 | IMO26-012</x:v>
      </x:c>
      <x:c r="H427" s="35" t="str">
        <x:v>Locked-workbook normalized regulatory term</x:v>
      </x:c>
      <x:c r="I427" s="35" t="str">
        <x:v>N4 - preserve the source concept; normalize spelling to ASCII lowerCamelCase</x:v>
      </x:c>
      <x:c r="J427" s="35" t="str">
        <x:v>REUSE_R2_TERM</x:v>
      </x:c>
    </x:row>
    <x:row r="428">
      <x:c r="A428" s="35" t="str">
        <x:v>headingOrPositionSystem</x:v>
      </x:c>
      <x:c r="B428" s="35" t="str">
        <x:v>https://w3id.org/nltl-benchmark/vocab#headingOrPositionSystem</x:v>
      </x:c>
      <x:c r="C428" s="35" t="str">
        <x:v>DatatypeProperty</x:v>
      </x:c>
      <x:c r="D428" s="35" t="str">
        <x:v>http://www.w3.org/2001/XMLSchema#string</x:v>
      </x:c>
      <x:c r="E428" s="35" t="str">
        <x:v>xsd:string</x:v>
      </x:c>
      <x:c r="F428" s="35" t="str"/>
      <x:c r="G428" s="38" t="str">
        <x:v>IMO26-005</x:v>
      </x:c>
      <x:c r="H428" s="35" t="str">
        <x:v>Locked-workbook normalized regulatory term</x:v>
      </x:c>
      <x:c r="I428" s="35" t="str">
        <x:v>N4 - preserve the source concept; normalize spelling to ASCII lowerCamelCase</x:v>
      </x:c>
      <x:c r="J428" s="35" t="str">
        <x:v>REUSE_R2_TERM</x:v>
      </x:c>
    </x:row>
    <x:row r="429">
      <x:c r="A429" s="35" t="str">
        <x:v>highStrengthHullStructuralSteel</x:v>
      </x:c>
      <x:c r="B429" s="35" t="str">
        <x:v>https://w3id.org/nltl-benchmark/vocab#highStrengthHullStructuralSteel</x:v>
      </x:c>
      <x:c r="C429" s="35" t="str">
        <x:v>NamedIndividual</x:v>
      </x:c>
      <x:c r="D429" s="35" t="str">
        <x:v>https://w3id.org/nltl-benchmark/vocab#steelGradeValue</x:v>
      </x:c>
      <x:c r="E429" s="35" t="str"/>
      <x:c r="F429" s="35" t="str"/>
      <x:c r="G429" s="38" t="str">
        <x:v>TRF-041 | TRF-042 | TRF-051</x:v>
      </x:c>
      <x:c r="H429" s="35" t="str">
        <x:v>Applicable TRAFICOM regulation wording plus explicit engineering node/operand role</x:v>
      </x:c>
      <x:c r="I429" s="35" t="str">
        <x:v>N6 - concise ASCII lowerCamelCase controlled-value name grounded in the linked regulation.</x:v>
      </x:c>
      <x:c r="J429" s="35" t="str">
        <x:v>ADD_DEVELOPMENT_TERM</x:v>
      </x:c>
    </x:row>
    <x:row r="430">
      <x:c r="A430" s="35" t="str">
        <x:v>horizontalConnectionMember</x:v>
      </x:c>
      <x:c r="B430" s="35" t="str">
        <x:v>https://w3id.org/nltl-benchmark/vocab#horizontalConnectionMember</x:v>
      </x:c>
      <x:c r="C430" s="35" t="str">
        <x:v>Class</x:v>
      </x:c>
      <x:c r="D430" s="35" t="str">
        <x:v>https://w3id.org/nltl-benchmark/vocab#hullStructure</x:v>
      </x:c>
      <x:c r="E430" s="35" t="str"/>
      <x:c r="F430" s="35" t="str"/>
      <x:c r="G430" s="38" t="str">
        <x:v>TRF-046 | TRF-047</x:v>
      </x:c>
      <x:c r="H430" s="35" t="str">
        <x:v>Applicable TRAFICOM regulation wording plus explicit engineering node/operand role</x:v>
      </x:c>
      <x:c r="I430" s="35" t="str">
        <x:v>N4 - singular ASCII lowerCamelCase entity name derived from the linked regulatory role.</x:v>
      </x:c>
      <x:c r="J430" s="35" t="str">
        <x:v>ADD_DEVELOPMENT_TERM</x:v>
      </x:c>
    </x:row>
    <x:row r="431">
      <x:c r="A431" s="35" t="str">
        <x:v>horizontalLoadPosition</x:v>
      </x:c>
      <x:c r="B431" s="35" t="str">
        <x:v>https://w3id.org/nltl-benchmark/vocab#horizontalLoadPosition</x:v>
      </x:c>
      <x:c r="C431" s="35" t="str">
        <x:v>QuantityProperty</x:v>
      </x:c>
      <x:c r="D431" s="35" t="str">
        <x:v>http://qudt.org/schema/qudt/QuantityValue</x:v>
      </x:c>
      <x:c r="E431" s="35" t="str"/>
      <x:c r="F431" s="35" t="str">
        <x:v>m</x:v>
      </x:c>
      <x:c r="G431" s="38" t="str">
        <x:v>TRF-030</x:v>
      </x:c>
      <x:c r="H431" s="35" t="str">
        <x:v>Applicable TRAFICOM regulation wording plus explicit engineering node/operand role</x:v>
      </x:c>
      <x:c r="I431" s="35" t="str">
        <x:v>N4 - explicit engineering quantity in ASCII lowerCamelCase; formula symbols remain aliases only.</x:v>
      </x:c>
      <x:c r="J431" s="35" t="str">
        <x:v>ADD_DEVELOPMENT_TERM</x:v>
      </x:c>
    </x:row>
    <x:row r="432">
      <x:c r="A432" s="35" t="str">
        <x:v>horizontalLoadPositionType</x:v>
      </x:c>
      <x:c r="B432" s="35" t="str">
        <x:v>https://w3id.org/nltl-benchmark/vocab#horizontalLoadPositionType</x:v>
      </x:c>
      <x:c r="C432" s="35" t="str">
        <x:v>ObjectProperty</x:v>
      </x:c>
      <x:c r="D432" s="35" t="str">
        <x:v>https://w3id.org/nltl-benchmark/vocab#loadPositionTypeValue</x:v>
      </x:c>
      <x:c r="E432" s="35" t="str"/>
      <x:c r="F432" s="35" t="str"/>
      <x:c r="G432" s="38" t="str">
        <x:v>TRF-030</x:v>
      </x:c>
      <x:c r="H432" s="35" t="str">
        <x:v>Applicable TRAFICOM regulation wording plus explicit engineering node/operand role</x:v>
      </x:c>
      <x:c r="I432" s="35" t="str">
        <x:v>N5 - ASCII lowerCamelCase relationship; use has + object role when it improves direction clarity.</x:v>
      </x:c>
      <x:c r="J432" s="35" t="str">
        <x:v>ADD_DEVELOPMENT_TERM</x:v>
      </x:c>
    </x:row>
    <x:row r="433">
      <x:c r="A433" s="35" t="str">
        <x:v>hullArea</x:v>
      </x:c>
      <x:c r="B433" s="35" t="str">
        <x:v>https://w3id.org/nltl-benchmark/vocab#hullArea</x:v>
      </x:c>
      <x:c r="C433" s="35" t="str">
        <x:v>DatatypeProperty</x:v>
      </x:c>
      <x:c r="D433" s="35" t="str">
        <x:v>http://www.w3.org/2001/XMLSchema#string</x:v>
      </x:c>
      <x:c r="E433" s="35" t="str">
        <x:v>xsd:string</x:v>
      </x:c>
      <x:c r="F433" s="35" t="str"/>
      <x:c r="G433" s="38" t="str">
        <x:v>I2-008 | I2-009</x:v>
      </x:c>
      <x:c r="H433" s="35" t="str">
        <x:v>Benchmark-coined descriptive engineering term</x:v>
      </x:c>
      <x:c r="I433" s="35" t="str">
        <x:v>N5 - component or subject first, followed by characteristic and qualifier/state; no unsupported external mapping</x:v>
      </x:c>
      <x:c r="J433" s="35" t="str">
        <x:v>REUSE_R2_TERM</x:v>
      </x:c>
    </x:row>
    <x:row r="434">
      <x:c r="A434" s="35" t="str">
        <x:v>hullAreaBoundary</x:v>
      </x:c>
      <x:c r="B434" s="35" t="str">
        <x:v>https://w3id.org/nltl-benchmark/vocab#hullAreaBoundary</x:v>
      </x:c>
      <x:c r="C434" s="35" t="str">
        <x:v>DatatypeProperty</x:v>
      </x:c>
      <x:c r="D434" s="35" t="str">
        <x:v>http://www.w3.org/2001/XMLSchema#string</x:v>
      </x:c>
      <x:c r="E434" s="35" t="str">
        <x:v>xsd:string</x:v>
      </x:c>
      <x:c r="F434" s="35" t="str"/>
      <x:c r="G434" s="38" t="str">
        <x:v>I2-019</x:v>
      </x:c>
      <x:c r="H434" s="35" t="str">
        <x:v>Benchmark-coined descriptive engineering term</x:v>
      </x:c>
      <x:c r="I434" s="35" t="str">
        <x:v>N5 - component or subject first, followed by characteristic and qualifier/state; no unsupported external mapping</x:v>
      </x:c>
      <x:c r="J434" s="35" t="str">
        <x:v>REUSE_R2_TERM</x:v>
      </x:c>
    </x:row>
    <x:row r="435">
      <x:c r="A435" s="35" t="str">
        <x:v>hullAreaFactor</x:v>
      </x:c>
      <x:c r="B435" s="35" t="str">
        <x:v>https://w3id.org/nltl-benchmark/vocab#hullAreaFactor</x:v>
      </x:c>
      <x:c r="C435" s="35" t="str">
        <x:v>QuantityProperty</x:v>
      </x:c>
      <x:c r="D435" s="35" t="str">
        <x:v>http://qudt.org/schema/qudt/QuantityValue</x:v>
      </x:c>
      <x:c r="E435" s="35" t="str"/>
      <x:c r="F435" s="35" t="str">
        <x:v>1</x:v>
      </x:c>
      <x:c r="G435" s="38" t="str">
        <x:v>I2-019</x:v>
      </x:c>
      <x:c r="H435" s="35" t="str">
        <x:v>Benchmark-coined descriptive engineering term</x:v>
      </x:c>
      <x:c r="I435" s="35" t="str">
        <x:v>N5 - component or subject first, followed by characteristic and qualifier/state; no unsupported external mapping</x:v>
      </x:c>
      <x:c r="J435" s="35" t="str">
        <x:v>REUSE_R2_TERM</x:v>
      </x:c>
    </x:row>
    <x:row r="436">
      <x:c r="A436" s="35" t="str">
        <x:v>hullAreaRequirementSet</x:v>
      </x:c>
      <x:c r="B436" s="35" t="str">
        <x:v>https://w3id.org/nltl-benchmark/vocab#hullAreaRequirementSet</x:v>
      </x:c>
      <x:c r="C436" s="35" t="str">
        <x:v>DatatypeProperty</x:v>
      </x:c>
      <x:c r="D436" s="35" t="str">
        <x:v>http://www.w3.org/2001/XMLSchema#string</x:v>
      </x:c>
      <x:c r="E436" s="35" t="str">
        <x:v>xsd:string</x:v>
      </x:c>
      <x:c r="F436" s="35" t="str"/>
      <x:c r="G436" s="38" t="str">
        <x:v>I2-006</x:v>
      </x:c>
      <x:c r="H436" s="35" t="str">
        <x:v>Benchmark-coined descriptive engineering term</x:v>
      </x:c>
      <x:c r="I436" s="35" t="str">
        <x:v>N5 - component or subject first, followed by characteristic and qualifier/state; no unsupported external mapping</x:v>
      </x:c>
      <x:c r="J436" s="35" t="str">
        <x:v>REUSE_R2_TERM</x:v>
      </x:c>
    </x:row>
    <x:row r="437">
      <x:c r="A437" s="35" t="str">
        <x:v>hullGirder</x:v>
      </x:c>
      <x:c r="B437" s="35" t="str">
        <x:v>https://w3id.org/nltl-benchmark/vocab#hullGirder</x:v>
      </x:c>
      <x:c r="C437" s="35" t="str">
        <x:v>Class</x:v>
      </x:c>
      <x:c r="D437" s="35" t="str">
        <x:v>https://w3id.org/nltl-benchmark/vocab#hullStructure</x:v>
      </x:c>
      <x:c r="E437" s="35" t="str"/>
      <x:c r="F437" s="35" t="str"/>
      <x:c r="G437" s="38" t="str">
        <x:v>I2-053</x:v>
      </x:c>
      <x:c r="H437" s="35" t="str">
        <x:v>Benchmark-coined descriptive engineering term</x:v>
      </x:c>
      <x:c r="I437" s="35" t="str">
        <x:v>N5 - component or subject first, followed by characteristic and qualifier/state; no unsupported external mapping</x:v>
      </x:c>
      <x:c r="J437" s="35" t="str">
        <x:v>REUSE_R2_TERM</x:v>
      </x:c>
    </x:row>
    <x:row r="438">
      <x:c r="A438" s="35" t="str">
        <x:v>hullGirderPosition</x:v>
      </x:c>
      <x:c r="B438" s="35" t="str">
        <x:v>https://w3id.org/nltl-benchmark/vocab#hullGirderPosition</x:v>
      </x:c>
      <x:c r="C438" s="35" t="str">
        <x:v>DatatypeProperty</x:v>
      </x:c>
      <x:c r="D438" s="35" t="str">
        <x:v>http://www.w3.org/2001/XMLSchema#string</x:v>
      </x:c>
      <x:c r="E438" s="35" t="str">
        <x:v>xsd:string</x:v>
      </x:c>
      <x:c r="F438" s="35" t="str"/>
      <x:c r="G438" s="38" t="str">
        <x:v>I2-051</x:v>
      </x:c>
      <x:c r="H438" s="35" t="str">
        <x:v>Benchmark-coined descriptive engineering term</x:v>
      </x:c>
      <x:c r="I438" s="35" t="str">
        <x:v>N5 - component or subject first, followed by characteristic and qualifier/state; no unsupported external mapping</x:v>
      </x:c>
      <x:c r="J438" s="35" t="str">
        <x:v>REUSE_R2_TERM</x:v>
      </x:c>
    </x:row>
    <x:row r="439">
      <x:c r="A439" s="35" t="str">
        <x:v>hullRegion</x:v>
      </x:c>
      <x:c r="B439" s="35" t="str">
        <x:v>https://w3id.org/nltl-benchmark/vocab#hullRegion</x:v>
      </x:c>
      <x:c r="C439" s="35" t="str">
        <x:v>ObjectProperty</x:v>
      </x:c>
      <x:c r="D439" s="35" t="str">
        <x:v>https://w3id.org/nltl-benchmark/vocab#hullRegionValue</x:v>
      </x:c>
      <x:c r="E439" s="35" t="str"/>
      <x:c r="F439" s="35" t="str"/>
      <x:c r="G439" s="38" t="str">
        <x:v>TRF-035 | TRF-037 | TRF-043 | TRF-052</x:v>
      </x:c>
      <x:c r="H439" s="35" t="str">
        <x:v>Applicable TRAFICOM regulation wording plus explicit engineering node/operand role</x:v>
      </x:c>
      <x:c r="I439" s="35" t="str">
        <x:v>N5 - ASCII lowerCamelCase relationship; use has + object role when it improves direction clarity.</x:v>
      </x:c>
      <x:c r="J439" s="35" t="str">
        <x:v>ADD_DEVELOPMENT_TERM</x:v>
      </x:c>
    </x:row>
    <x:row r="440">
      <x:c r="A440" s="35" t="str">
        <x:v>hullRegionValue</x:v>
      </x:c>
      <x:c r="B440" s="35" t="str">
        <x:v>https://w3id.org/nltl-benchmark/vocab#hullRegionValue</x:v>
      </x:c>
      <x:c r="C440" s="35" t="str">
        <x:v>Class</x:v>
      </x:c>
      <x:c r="D440" s="35" t="str">
        <x:v>https://w3id.org/nltl-benchmark/vocab#benchmarkEntity</x:v>
      </x:c>
      <x:c r="E440" s="35" t="str"/>
      <x:c r="F440" s="35" t="str"/>
      <x:c r="G440" s="38" t="str">
        <x:v>TRF-035 | TRF-037 | TRF-043 | TRF-052</x:v>
      </x:c>
      <x:c r="H440" s="35" t="str">
        <x:v>Applicable TRAFICOM regulation wording plus explicit engineering node/operand role</x:v>
      </x:c>
      <x:c r="I440" s="35" t="str">
        <x:v>N4 - singular ASCII lowerCamelCase entity name derived from the linked regulatory role.</x:v>
      </x:c>
      <x:c r="J440" s="35" t="str">
        <x:v>ADD_DEVELOPMENT_TERM</x:v>
      </x:c>
    </x:row>
    <x:row r="441">
      <x:c r="A441" s="35" t="str">
        <x:v>hullStructuralSteelGrade</x:v>
      </x:c>
      <x:c r="B441" s="35" t="str">
        <x:v>https://w3id.org/nltl-benchmark/vocab#hullStructuralSteelGrade</x:v>
      </x:c>
      <x:c r="C441" s="35" t="str">
        <x:v>ObjectProperty</x:v>
      </x:c>
      <x:c r="D441" s="35" t="str">
        <x:v>https://w3id.org/nltl-benchmark/vocab#steelGradeValue</x:v>
      </x:c>
      <x:c r="E441" s="35" t="str"/>
      <x:c r="F441" s="35" t="str"/>
      <x:c r="G441" s="38" t="str">
        <x:v>TRF-041 | TRF-042 | TRF-051</x:v>
      </x:c>
      <x:c r="H441" s="35" t="str">
        <x:v>Applicable TRAFICOM regulation wording plus explicit engineering node/operand role</x:v>
      </x:c>
      <x:c r="I441" s="35" t="str">
        <x:v>N5 - ASCII lowerCamelCase relationship; use has + object role when it improves direction clarity.</x:v>
      </x:c>
      <x:c r="J441" s="35" t="str">
        <x:v>ADD_DEVELOPMENT_TERM</x:v>
      </x:c>
    </x:row>
    <x:row r="442">
      <x:c r="A442" s="35" t="str">
        <x:v>hydraulicFluidFreezingOrViscosityControlPresent</x:v>
      </x:c>
      <x:c r="B442" s="35" t="str">
        <x:v>https://w3id.org/nltl-benchmark/vocab#hydraulicFluidFreezingOrViscosityControlPresent</x:v>
      </x:c>
      <x:c r="C442" s="35" t="str">
        <x:v>DatatypeProperty</x:v>
      </x:c>
      <x:c r="D442" s="35" t="str">
        <x:v>http://www.w3.org/2001/XMLSchema#boolean</x:v>
      </x:c>
      <x:c r="E442" s="35" t="str">
        <x:v>xsd:boolean</x:v>
      </x:c>
      <x:c r="F442" s="35" t="str"/>
      <x:c r="G442" s="38" t="str">
        <x:v>IMO-041</x:v>
      </x:c>
      <x:c r="H442" s="35" t="str">
        <x:v>Locked-workbook normalized regulatory term</x:v>
      </x:c>
      <x:c r="I442" s="35" t="str">
        <x:v>N4 - preserve the source concept; normalize spelling to ASCII lowerCamelCase</x:v>
      </x:c>
      <x:c r="J442" s="35" t="str">
        <x:v>REUSE_R2_TERM</x:v>
      </x:c>
    </x:row>
    <x:row r="443">
      <x:c r="A443" s="35" t="str">
        <x:v>hydraulicPropulsionMachinery</x:v>
      </x:c>
      <x:c r="B443" s="35" t="str">
        <x:v>https://w3id.org/nltl-benchmark/vocab#hydraulicPropulsionMachinery</x:v>
      </x:c>
      <x:c r="C443" s="35" t="str">
        <x:v>NamedIndividual</x:v>
      </x:c>
      <x:c r="D443" s="35" t="str">
        <x:v>https://w3id.org/nltl-benchmark/vocab#propulsionSystemTypeValue</x:v>
      </x:c>
      <x:c r="E443" s="35" t="str"/>
      <x:c r="F443" s="35" t="str"/>
      <x:c r="G443" s="38" t="str">
        <x:v>TRF-020</x:v>
      </x:c>
      <x:c r="H443" s="35" t="str">
        <x:v>Applicable TRAFICOM regulation wording plus explicit engineering node/operand role</x:v>
      </x:c>
      <x:c r="I443" s="35" t="str">
        <x:v>N6 - concise ASCII lowerCamelCase controlled-value name grounded in the linked regulation.</x:v>
      </x:c>
      <x:c r="J443" s="35" t="str">
        <x:v>ADD_DEVELOPMENT_TERM</x:v>
      </x:c>
    </x:row>
    <x:row r="444">
      <x:c r="A444" s="35" t="str">
        <x:v>hydraulicRudderReliefValvePresent</x:v>
      </x:c>
      <x:c r="B444" s="35" t="str">
        <x:v>https://w3id.org/nltl-benchmark/vocab#hydraulicRudderReliefValvePresent</x:v>
      </x:c>
      <x:c r="C444" s="35" t="str">
        <x:v>DatatypeProperty</x:v>
      </x:c>
      <x:c r="D444" s="35" t="str">
        <x:v>http://www.w3.org/2001/XMLSchema#boolean</x:v>
      </x:c>
      <x:c r="E444" s="35" t="str">
        <x:v>xsd:boolean</x:v>
      </x:c>
      <x:c r="F444" s="35" t="str"/>
      <x:c r="G444" s="38" t="str">
        <x:v>TRF-068</x:v>
      </x:c>
      <x:c r="H444" s="35" t="str">
        <x:v>Benchmark-coined descriptive engineering term</x:v>
      </x:c>
      <x:c r="I444" s="35" t="str">
        <x:v>N5 - component or subject first, followed by characteristic and qualifier/state; no unsupported external mapping</x:v>
      </x:c>
      <x:c r="J444" s="35" t="str">
        <x:v>REUSE_R2_TERM</x:v>
      </x:c>
    </x:row>
    <x:row r="445">
      <x:c r="A445" s="35" t="str">
        <x:v>hydrodynamicBollardThrust</x:v>
      </x:c>
      <x:c r="B445" s="35" t="str">
        <x:v>https://w3id.org/nltl-benchmark/vocab#hydrodynamicBollardThrust</x:v>
      </x:c>
      <x:c r="C445" s="35" t="str">
        <x:v>QuantityProperty</x:v>
      </x:c>
      <x:c r="D445" s="35" t="str">
        <x:v>http://qudt.org/schema/qudt/QuantityValue</x:v>
      </x:c>
      <x:c r="E445" s="35" t="str"/>
      <x:c r="F445" s="35" t="str">
        <x:v>kN</x:v>
      </x:c>
      <x:c r="G445" s="38" t="str">
        <x:v>TRF-081 | TRF-082</x:v>
      </x:c>
      <x:c r="H445" s="35" t="str">
        <x:v>Verified exact implementation term</x:v>
      </x:c>
      <x:c r="I445" s="35" t="str">
        <x:v>N1 - reuse only after exact URI and semantic-context verification</x:v>
      </x:c>
      <x:c r="J445" s="35" t="str">
        <x:v>REUSE_R2_TERM</x:v>
      </x:c>
    </x:row>
    <x:row r="446">
      <x:c r="A446" s="35" t="str">
        <x:v>hydrodynamicPropellerMeanTorque</x:v>
      </x:c>
      <x:c r="B446" s="35" t="str">
        <x:v>https://w3id.org/nltl-benchmark/vocab#hydrodynamicPropellerMeanTorque</x:v>
      </x:c>
      <x:c r="C446" s="35" t="str">
        <x:v>QuantityProperty</x:v>
      </x:c>
      <x:c r="D446" s="35" t="str">
        <x:v>http://qudt.org/schema/qudt/QuantityValue</x:v>
      </x:c>
      <x:c r="E446" s="35" t="str"/>
      <x:c r="F446" s="35" t="str">
        <x:v>kN*m</x:v>
      </x:c>
      <x:c r="G446" s="38" t="str">
        <x:v>TRF-100</x:v>
      </x:c>
      <x:c r="H446" s="35" t="str">
        <x:v>Benchmark-coined descriptive engineering term</x:v>
      </x:c>
      <x:c r="I446" s="35" t="str">
        <x:v>N5 - component or subject first, followed by characteristic and qualifier/state; no unsupported external mapping</x:v>
      </x:c>
      <x:c r="J446" s="35" t="str">
        <x:v>REUSE_R2_TERM</x:v>
      </x:c>
    </x:row>
    <x:row r="447">
      <x:c r="A447" s="35" t="str">
        <x:v>iceAccretionLikely</x:v>
      </x:c>
      <x:c r="B447" s="35" t="str">
        <x:v>https://w3id.org/nltl-benchmark/vocab#iceAccretionLikely</x:v>
      </x:c>
      <x:c r="C447" s="35" t="str">
        <x:v>DatatypeProperty</x:v>
      </x:c>
      <x:c r="D447" s="35" t="str">
        <x:v>http://www.w3.org/2001/XMLSchema#boolean</x:v>
      </x:c>
      <x:c r="E447" s="35" t="str">
        <x:v>xsd:boolean</x:v>
      </x:c>
      <x:c r="F447" s="35" t="str"/>
      <x:c r="G447" s="38" t="str">
        <x:v>IMO-033 | IMO-034 | IMO-040 | IMO-083 | IMO26-009</x:v>
      </x:c>
      <x:c r="H447" s="35" t="str">
        <x:v>Locked-workbook normalized regulatory term</x:v>
      </x:c>
      <x:c r="I447" s="35" t="str">
        <x:v>N4 - preserve the source concept; normalize spelling to ASCII lowerCamelCase</x:v>
      </x:c>
      <x:c r="J447" s="35" t="str">
        <x:v>REUSE_R2_TERM</x:v>
      </x:c>
    </x:row>
    <x:row r="448">
      <x:c r="A448" s="35" t="str">
        <x:v>iceAccretionMinimizationDesignPresent</x:v>
      </x:c>
      <x:c r="B448" s="35" t="str">
        <x:v>https://w3id.org/nltl-benchmark/vocab#iceAccretionMinimizationDesignPresent</x:v>
      </x:c>
      <x:c r="C448" s="35" t="str">
        <x:v>DatatypeProperty</x:v>
      </x:c>
      <x:c r="D448" s="35" t="str">
        <x:v>http://www.w3.org/2001/XMLSchema#boolean</x:v>
      </x:c>
      <x:c r="E448" s="35" t="str">
        <x:v>xsd:boolean</x:v>
      </x:c>
      <x:c r="F448" s="35" t="str"/>
      <x:c r="G448" s="38" t="str">
        <x:v>IMO-034</x:v>
      </x:c>
      <x:c r="H448" s="35" t="str">
        <x:v>Locked-workbook normalized regulatory term</x:v>
      </x:c>
      <x:c r="I448" s="35" t="str">
        <x:v>N4 - preserve the source concept; normalize spelling to ASCII lowerCamelCase</x:v>
      </x:c>
      <x:c r="J448" s="35" t="str">
        <x:v>REUSE_R2_TERM</x:v>
      </x:c>
    </x:row>
    <x:row r="449">
      <x:c r="A449" s="35" t="str">
        <x:v>iceAccretionMonitoringActive</x:v>
      </x:c>
      <x:c r="B449" s="35" t="str">
        <x:v>https://w3id.org/nltl-benchmark/vocab#iceAccretionMonitoringActive</x:v>
      </x:c>
      <x:c r="C449" s="35" t="str">
        <x:v>DatatypeProperty</x:v>
      </x:c>
      <x:c r="D449" s="35" t="str">
        <x:v>http://www.w3.org/2001/XMLSchema#boolean</x:v>
      </x:c>
      <x:c r="E449" s="35" t="str">
        <x:v>xsd:boolean</x:v>
      </x:c>
      <x:c r="F449" s="35" t="str"/>
      <x:c r="G449" s="38" t="str">
        <x:v>IMO-036</x:v>
      </x:c>
      <x:c r="H449" s="35" t="str">
        <x:v>Locked-workbook normalized regulatory term</x:v>
      </x:c>
      <x:c r="I449" s="35" t="str">
        <x:v>N4 - preserve the source concept; normalize spelling to ASCII lowerCamelCase</x:v>
      </x:c>
      <x:c r="J449" s="35" t="str">
        <x:v>REUSE_R2_TERM</x:v>
      </x:c>
    </x:row>
    <x:row r="450">
      <x:c r="A450" s="35" t="str">
        <x:v>iceAccretionProtectionPresent</x:v>
      </x:c>
      <x:c r="B450" s="35" t="str">
        <x:v>https://w3id.org/nltl-benchmark/vocab#iceAccretionProtectionPresent</x:v>
      </x:c>
      <x:c r="C450" s="35" t="str">
        <x:v>DatatypeProperty</x:v>
      </x:c>
      <x:c r="D450" s="35" t="str">
        <x:v>http://www.w3.org/2001/XMLSchema#boolean</x:v>
      </x:c>
      <x:c r="E450" s="35" t="str">
        <x:v>xsd:boolean</x:v>
      </x:c>
      <x:c r="F450" s="35" t="str"/>
      <x:c r="G450" s="38" t="str">
        <x:v>IMO-055</x:v>
      </x:c>
      <x:c r="H450" s="35" t="str">
        <x:v>Locked-workbook normalized regulatory term</x:v>
      </x:c>
      <x:c r="I450" s="35" t="str">
        <x:v>N4 - preserve the source concept; normalize spelling to ASCII lowerCamelCase</x:v>
      </x:c>
      <x:c r="J450" s="35" t="str">
        <x:v>REUSE_R2_TERM</x:v>
      </x:c>
    </x:row>
    <x:row r="451">
      <x:c r="A451" s="35" t="str">
        <x:v>iceAccumulationPreventionMeansPresent</x:v>
      </x:c>
      <x:c r="B451" s="35" t="str">
        <x:v>https://w3id.org/nltl-benchmark/vocab#iceAccumulationPreventionMeansPresent</x:v>
      </x:c>
      <x:c r="C451" s="35" t="str">
        <x:v>DatatypeProperty</x:v>
      </x:c>
      <x:c r="D451" s="35" t="str">
        <x:v>http://www.w3.org/2001/XMLSchema#boolean</x:v>
      </x:c>
      <x:c r="E451" s="35" t="str">
        <x:v>xsd:boolean</x:v>
      </x:c>
      <x:c r="F451" s="35" t="str"/>
      <x:c r="G451" s="38" t="str">
        <x:v>IMO-083 | IMO26-009</x:v>
      </x:c>
      <x:c r="H451" s="35" t="str">
        <x:v>Locked-workbook normalized regulatory term</x:v>
      </x:c>
      <x:c r="I451" s="35" t="str">
        <x:v>N4 - preserve the source concept; normalize spelling to ASCII lowerCamelCase</x:v>
      </x:c>
      <x:c r="J451" s="35" t="str">
        <x:v>REUSE_R2_TERM</x:v>
      </x:c>
    </x:row>
    <x:row r="452">
      <x:c r="A452" s="35" t="str">
        <x:v>iceAccumulationSpaceAboveInlet</x:v>
      </x:c>
      <x:c r="B452" s="35" t="str">
        <x:v>https://w3id.org/nltl-benchmark/vocab#iceAccumulationSpaceAboveInlet</x:v>
      </x:c>
      <x:c r="C452" s="35" t="str">
        <x:v>DatatypeProperty</x:v>
      </x:c>
      <x:c r="D452" s="35" t="str">
        <x:v>http://www.w3.org/2001/XMLSchema#boolean</x:v>
      </x:c>
      <x:c r="E452" s="35" t="str">
        <x:v>xsd:boolean</x:v>
      </x:c>
      <x:c r="F452" s="35" t="str"/>
      <x:c r="G452" s="38" t="str">
        <x:v>TRF-130</x:v>
      </x:c>
      <x:c r="H452" s="35" t="str">
        <x:v>Benchmark-coined descriptive engineering term</x:v>
      </x:c>
      <x:c r="I452" s="35" t="str">
        <x:v>N5 - component or subject first, followed by characteristic and qualifier/state; no unsupported external mapping</x:v>
      </x:c>
      <x:c r="J452" s="35" t="str">
        <x:v>REUSE_R2_TERM</x:v>
      </x:c>
    </x:row>
    <x:row r="453">
      <x:c r="A453" s="35" t="str">
        <x:v>iceAndSnowProtectionPresent</x:v>
      </x:c>
      <x:c r="B453" s="35" t="str">
        <x:v>https://w3id.org/nltl-benchmark/vocab#iceAndSnowProtectionPresent</x:v>
      </x:c>
      <x:c r="C453" s="35" t="str">
        <x:v>DatatypeProperty</x:v>
      </x:c>
      <x:c r="D453" s="35" t="str">
        <x:v>http://www.w3.org/2001/XMLSchema#boolean</x:v>
      </x:c>
      <x:c r="E453" s="35" t="str">
        <x:v>xsd:boolean</x:v>
      </x:c>
      <x:c r="F453" s="35" t="str"/>
      <x:c r="G453" s="38" t="str">
        <x:v>IMO-050</x:v>
      </x:c>
      <x:c r="H453" s="35" t="str">
        <x:v>Locked-workbook normalized regulatory term</x:v>
      </x:c>
      <x:c r="I453" s="35" t="str">
        <x:v>N4 - preserve the source concept; normalize spelling to ASCII lowerCamelCase</x:v>
      </x:c>
      <x:c r="J453" s="35" t="str">
        <x:v>REUSE_R2_TERM</x:v>
      </x:c>
    </x:row>
    <x:row r="454">
      <x:c r="A454" s="35" t="str">
        <x:v>iceBeltLowerLimit</x:v>
      </x:c>
      <x:c r="B454" s="35" t="str">
        <x:v>https://w3id.org/nltl-benchmark/vocab#iceBeltLowerLimit</x:v>
      </x:c>
      <x:c r="C454" s="35" t="str">
        <x:v>DatatypeProperty</x:v>
      </x:c>
      <x:c r="D454" s="35" t="str">
        <x:v>http://www.w3.org/2001/XMLSchema#string</x:v>
      </x:c>
      <x:c r="E454" s="35" t="str">
        <x:v>xsd:string</x:v>
      </x:c>
      <x:c r="F454" s="35" t="str"/>
      <x:c r="G454" s="38" t="str">
        <x:v>TRF-047</x:v>
      </x:c>
      <x:c r="H454" s="35" t="str">
        <x:v>Benchmark-coined descriptive engineering term</x:v>
      </x:c>
      <x:c r="I454" s="35" t="str">
        <x:v>N5 - component or subject first, followed by characteristic and qualifier/state; no unsupported external mapping</x:v>
      </x:c>
      <x:c r="J454" s="35" t="str">
        <x:v>REUSE_R2_TERM</x:v>
      </x:c>
    </x:row>
    <x:row r="455">
      <x:c r="A455" s="35" t="str">
        <x:v>iceBeltUpperLimit</x:v>
      </x:c>
      <x:c r="B455" s="35" t="str">
        <x:v>https://w3id.org/nltl-benchmark/vocab#iceBeltUpperLimit</x:v>
      </x:c>
      <x:c r="C455" s="35" t="str">
        <x:v>DatatypeProperty</x:v>
      </x:c>
      <x:c r="D455" s="35" t="str">
        <x:v>http://www.w3.org/2001/XMLSchema#string</x:v>
      </x:c>
      <x:c r="E455" s="35" t="str">
        <x:v>xsd:string</x:v>
      </x:c>
      <x:c r="F455" s="35" t="str"/>
      <x:c r="G455" s="38" t="str">
        <x:v>TRF-046</x:v>
      </x:c>
      <x:c r="H455" s="35" t="str">
        <x:v>Benchmark-coined descriptive engineering term</x:v>
      </x:c>
      <x:c r="I455" s="35" t="str">
        <x:v>N5 - component or subject first, followed by characteristic and qualifier/state; no unsupported external mapping</x:v>
      </x:c>
      <x:c r="J455" s="35" t="str">
        <x:v>REUSE_R2_TERM</x:v>
      </x:c>
    </x:row>
    <x:row r="456">
      <x:c r="A456" s="35" t="str">
        <x:v>iceBlock</x:v>
      </x:c>
      <x:c r="B456" s="35" t="str">
        <x:v>https://w3id.org/nltl-benchmark/vocab#iceBlock</x:v>
      </x:c>
      <x:c r="C456" s="35" t="str">
        <x:v>Class</x:v>
      </x:c>
      <x:c r="D456" s="35" t="str">
        <x:v>https://w3id.org/nltl-benchmark/vocab#benchmarkEntity</x:v>
      </x:c>
      <x:c r="E456" s="35" t="str"/>
      <x:c r="F456" s="35" t="str"/>
      <x:c r="G456" s="38" t="str">
        <x:v>TRF-075</x:v>
      </x:c>
      <x:c r="H456" s="35" t="str">
        <x:v>Benchmark-coined descriptive engineering term</x:v>
      </x:c>
      <x:c r="I456" s="35" t="str">
        <x:v>N5 - component or subject first, followed by characteristic and qualifier/state; no unsupported external mapping</x:v>
      </x:c>
      <x:c r="J456" s="35" t="str">
        <x:v>REUSE_R2_TERM</x:v>
      </x:c>
    </x:row>
    <x:row r="457">
      <x:c r="A457" s="35" t="str">
        <x:v>iceCapabilityMethodologyApplicable</x:v>
      </x:c>
      <x:c r="B457" s="35" t="str">
        <x:v>https://w3id.org/nltl-benchmark/vocab#iceCapabilityMethodologyApplicable</x:v>
      </x:c>
      <x:c r="C457" s="35" t="str">
        <x:v>DatatypeProperty</x:v>
      </x:c>
      <x:c r="D457" s="35" t="str">
        <x:v>http://www.w3.org/2001/XMLSchema#boolean</x:v>
      </x:c>
      <x:c r="E457" s="35" t="str">
        <x:v>xsd:boolean</x:v>
      </x:c>
      <x:c r="F457" s="35" t="str"/>
      <x:c r="G457" s="38" t="str">
        <x:v>IMO-018 | IMO-026</x:v>
      </x:c>
      <x:c r="H457" s="35" t="str">
        <x:v>Locked-workbook normalized regulatory term</x:v>
      </x:c>
      <x:c r="I457" s="35" t="str">
        <x:v>N4 - preserve the source concept; normalize spelling to ASCII lowerCamelCase</x:v>
      </x:c>
      <x:c r="J457" s="35" t="str">
        <x:v>REUSE_R2_TERM</x:v>
      </x:c>
    </x:row>
    <x:row r="458">
      <x:c r="A458" s="35" t="str">
        <x:v>iceClass</x:v>
      </x:c>
      <x:c r="B458" s="35" t="str">
        <x:v>https://w3id.org/nltl-benchmark/vocab#iceClass</x:v>
      </x:c>
      <x:c r="C458" s="35" t="str">
        <x:v>ObjectProperty</x:v>
      </x:c>
      <x:c r="D458" s="35" t="str">
        <x:v>https://w3id.org/nltl-benchmark/vocab#iceClassValue</x:v>
      </x:c>
      <x:c r="E458" s="35" t="str"/>
      <x:c r="F458" s="35" t="str"/>
      <x:c r="G458" s="38" t="str">
        <x:v>TRF-001 | TRF-002 | TRF-003 | TRF-004 | TRF-005 | TRF-006 | TRF-007 | TRF-009 | TRF-010 | TRF-013 | TRF-014 | TRF-018 | TRF-020 | TRF-023 | TRF-024 | TRF-025 | TRF-026 | TRF-036 | TRF-039 | TRF-040 | TRF-052 | TRF-066 | TRF-067 | TRF-069 | TRF-074 | TRF-121 | TRF-128 | TRF-132 | TRF-133</x:v>
      </x:c>
      <x:c r="H458" s="35" t="str">
        <x:v>Verified exact implementation term</x:v>
      </x:c>
      <x:c r="I458" s="35" t="str">
        <x:v>N1 - reuse only after exact URI and semantic-context verification</x:v>
      </x:c>
      <x:c r="J458" s="35" t="str">
        <x:v>REUSE_R2_TERM</x:v>
      </x:c>
    </x:row>
    <x:row r="459">
      <x:c r="A459" s="35" t="str">
        <x:v>iceClassDesignParameterSet</x:v>
      </x:c>
      <x:c r="B459" s="35" t="str">
        <x:v>https://w3id.org/nltl-benchmark/vocab#iceClassDesignParameterSet</x:v>
      </x:c>
      <x:c r="C459" s="35" t="str">
        <x:v>Class</x:v>
      </x:c>
      <x:c r="D459" s="35" t="str">
        <x:v>https://w3id.org/nltl-benchmark/vocab#benchmarkEntity</x:v>
      </x:c>
      <x:c r="E459" s="35" t="str"/>
      <x:c r="F459" s="35" t="str"/>
      <x:c r="G459" s="38" t="str">
        <x:v>TRF-036</x:v>
      </x:c>
      <x:c r="H459" s="35" t="str">
        <x:v>Applicable TRAFICOM regulation wording plus explicit engineering node/operand role</x:v>
      </x:c>
      <x:c r="I459" s="35" t="str">
        <x:v>N4 - singular ASCII lowerCamelCase entity name derived from the linked regulatory role.</x:v>
      </x:c>
      <x:c r="J459" s="35" t="str">
        <x:v>ADD_DEVELOPMENT_TERM</x:v>
      </x:c>
    </x:row>
    <x:row r="460">
      <x:c r="A460" s="35" t="str">
        <x:v>iceClassDraught</x:v>
      </x:c>
      <x:c r="B460" s="35" t="str">
        <x:v>https://w3id.org/nltl-benchmark/vocab#iceClassDraught</x:v>
      </x:c>
      <x:c r="C460" s="35" t="str">
        <x:v>QuantityProperty</x:v>
      </x:c>
      <x:c r="D460" s="35" t="str">
        <x:v>http://qudt.org/schema/qudt/QuantityValue</x:v>
      </x:c>
      <x:c r="E460" s="35" t="str"/>
      <x:c r="F460" s="35" t="str">
        <x:v>m</x:v>
      </x:c>
      <x:c r="G460" s="38" t="str">
        <x:v>TRF-027</x:v>
      </x:c>
      <x:c r="H460" s="35" t="str">
        <x:v>Benchmark-coined descriptive engineering term</x:v>
      </x:c>
      <x:c r="I460" s="35" t="str">
        <x:v>N5 - component or subject first, followed by characteristic and qualifier/state; no unsupported external mapping</x:v>
      </x:c>
      <x:c r="J460" s="35" t="str">
        <x:v>REUSE_R2_TERM</x:v>
      </x:c>
    </x:row>
    <x:row r="461">
      <x:c r="A461" s="35" t="str">
        <x:v>iceClassDraughtChapter2Provision2021</x:v>
      </x:c>
      <x:c r="B461" s="35" t="str">
        <x:v>https://w3id.org/nltl-benchmark/vocab#iceClassDraughtChapter2Provision2021</x:v>
      </x:c>
      <x:c r="C461" s="35" t="str">
        <x:v>NamedIndividual</x:v>
      </x:c>
      <x:c r="D461" s="35" t="str">
        <x:v>https://w3id.org/nltl-benchmark/vocab#iceClassRegulatoryProvisionValue</x:v>
      </x:c>
      <x:c r="E461" s="35" t="str"/>
      <x:c r="F461" s="35" t="str"/>
      <x:c r="G461" s="38" t="str">
        <x:v>TRF-001</x:v>
      </x:c>
      <x:c r="H461" s="35" t="str">
        <x:v>Applicable TRAFICOM regulation wording plus explicit engineering node/operand role</x:v>
      </x:c>
      <x:c r="I461" s="35" t="str">
        <x:v>N6 - concise ASCII lowerCamelCase controlled-value name grounded in the linked regulation.</x:v>
      </x:c>
      <x:c r="J461" s="35" t="str">
        <x:v>ADD_DEVELOPMENT_TERM</x:v>
      </x:c>
    </x:row>
    <x:row r="462">
      <x:c r="A462" s="35" t="str">
        <x:v>iceClassDraughtMarkDraughtAmidships</x:v>
      </x:c>
      <x:c r="B462" s="35" t="str">
        <x:v>https://w3id.org/nltl-benchmark/vocab#iceClassDraughtMarkDraughtAmidships</x:v>
      </x:c>
      <x:c r="C462" s="35" t="str">
        <x:v>QuantityProperty</x:v>
      </x:c>
      <x:c r="D462" s="35" t="str">
        <x:v>http://qudt.org/schema/qudt/QuantityValue</x:v>
      </x:c>
      <x:c r="E462" s="35" t="str"/>
      <x:c r="F462" s="35" t="str">
        <x:v>m</x:v>
      </x:c>
      <x:c r="G462" s="38" t="str">
        <x:v>TRF-014</x:v>
      </x:c>
      <x:c r="H462" s="35" t="str">
        <x:v>Applicable TRAFICOM regulation wording plus explicit engineering node/operand role</x:v>
      </x:c>
      <x:c r="I462" s="35" t="str">
        <x:v>N4 - explicit engineering quantity in ASCII lowerCamelCase; formula symbols remain aliases only.</x:v>
      </x:c>
      <x:c r="J462" s="35" t="str">
        <x:v>ADD_DEVELOPMENT_TERM</x:v>
      </x:c>
    </x:row>
    <x:row r="463">
      <x:c r="A463" s="35" t="str">
        <x:v>iceClassDraughtMarkPresent</x:v>
      </x:c>
      <x:c r="B463" s="35" t="str">
        <x:v>https://w3id.org/nltl-benchmark/vocab#iceClassDraughtMarkPresent</x:v>
      </x:c>
      <x:c r="C463" s="35" t="str">
        <x:v>DatatypeProperty</x:v>
      </x:c>
      <x:c r="D463" s="35" t="str">
        <x:v>http://www.w3.org/2001/XMLSchema#boolean</x:v>
      </x:c>
      <x:c r="E463" s="35" t="str">
        <x:v>xsd:boolean</x:v>
      </x:c>
      <x:c r="F463" s="35" t="str"/>
      <x:c r="G463" s="38" t="str">
        <x:v>TRF-014</x:v>
      </x:c>
      <x:c r="H463" s="35" t="str">
        <x:v>Applicable TRAFICOM regulation wording plus explicit engineering node/operand role</x:v>
      </x:c>
      <x:c r="I463" s="35" t="str">
        <x:v>N4 - explicit regulatory concept in ASCII lowerCamelCase with an XSD datatype.</x:v>
      </x:c>
      <x:c r="J463" s="35" t="str">
        <x:v>ADD_DEVELOPMENT_TERM</x:v>
      </x:c>
    </x:row>
    <x:row r="464">
      <x:c r="A464" s="35" t="str">
        <x:v>iceClassFactorCp</x:v>
      </x:c>
      <x:c r="B464" s="35" t="str">
        <x:v>https://w3id.org/nltl-benchmark/vocab#iceClassFactorCp</x:v>
      </x:c>
      <x:c r="C464" s="35" t="str">
        <x:v>QuantityProperty</x:v>
      </x:c>
      <x:c r="D464" s="35" t="str">
        <x:v>http://qudt.org/schema/qudt/QuantityValue</x:v>
      </x:c>
      <x:c r="E464" s="35" t="str"/>
      <x:c r="F464" s="35" t="str">
        <x:v>1</x:v>
      </x:c>
      <x:c r="G464" s="38" t="str">
        <x:v>TRF-037</x:v>
      </x:c>
      <x:c r="H464" s="35" t="str">
        <x:v>Applicable TRAFICOM regulation wording plus explicit engineering node/operand role</x:v>
      </x:c>
      <x:c r="I464" s="35" t="str">
        <x:v>N4 - explicit engineering quantity in ASCII lowerCamelCase; formula symbols remain aliases only.</x:v>
      </x:c>
      <x:c r="J464" s="35" t="str">
        <x:v>ADD_DEVELOPMENT_TERM</x:v>
      </x:c>
    </x:row>
    <x:row r="465">
      <x:c r="A465" s="35" t="str">
        <x:v>iceClassRegulationEdition2002</x:v>
      </x:c>
      <x:c r="B465" s="35" t="str">
        <x:v>https://w3id.org/nltl-benchmark/vocab#iceClassRegulationEdition2002</x:v>
      </x:c>
      <x:c r="C465" s="35" t="str">
        <x:v>NamedIndividual</x:v>
      </x:c>
      <x:c r="D465" s="35" t="str">
        <x:v>https://w3id.org/nltl-benchmark/vocab#iceClassRegulationEditionValue</x:v>
      </x:c>
      <x:c r="E465" s="35" t="str"/>
      <x:c r="F465" s="35" t="str"/>
      <x:c r="G465" s="38" t="str">
        <x:v>TRF-005</x:v>
      </x:c>
      <x:c r="H465" s="35" t="str">
        <x:v>Applicable TRAFICOM regulation wording plus explicit engineering node/operand role</x:v>
      </x:c>
      <x:c r="I465" s="35" t="str">
        <x:v>N6 - concise ASCII lowerCamelCase controlled-value name grounded in the linked regulation.</x:v>
      </x:c>
      <x:c r="J465" s="35" t="str">
        <x:v>ADD_DEVELOPMENT_TERM</x:v>
      </x:c>
    </x:row>
    <x:row r="466">
      <x:c r="A466" s="35" t="str">
        <x:v>iceClassRegulationEdition2008</x:v>
      </x:c>
      <x:c r="B466" s="35" t="str">
        <x:v>https://w3id.org/nltl-benchmark/vocab#iceClassRegulationEdition2008</x:v>
      </x:c>
      <x:c r="C466" s="35" t="str">
        <x:v>NamedIndividual</x:v>
      </x:c>
      <x:c r="D466" s="35" t="str">
        <x:v>https://w3id.org/nltl-benchmark/vocab#iceClassRegulationEditionValue</x:v>
      </x:c>
      <x:c r="E466" s="35" t="str"/>
      <x:c r="F466" s="35" t="str"/>
      <x:c r="G466" s="38" t="str">
        <x:v>TRF-004 | TRF-006</x:v>
      </x:c>
      <x:c r="H466" s="35" t="str">
        <x:v>Applicable TRAFICOM regulation wording plus explicit engineering node/operand role</x:v>
      </x:c>
      <x:c r="I466" s="35" t="str">
        <x:v>N6 - concise ASCII lowerCamelCase controlled-value name grounded in the linked regulation.</x:v>
      </x:c>
      <x:c r="J466" s="35" t="str">
        <x:v>ADD_DEVELOPMENT_TERM</x:v>
      </x:c>
    </x:row>
    <x:row r="467">
      <x:c r="A467" s="35" t="str">
        <x:v>iceClassRegulationEdition2010</x:v>
      </x:c>
      <x:c r="B467" s="35" t="str">
        <x:v>https://w3id.org/nltl-benchmark/vocab#iceClassRegulationEdition2010</x:v>
      </x:c>
      <x:c r="C467" s="35" t="str">
        <x:v>NamedIndividual</x:v>
      </x:c>
      <x:c r="D467" s="35" t="str">
        <x:v>https://w3id.org/nltl-benchmark/vocab#iceClassRegulationEditionValue</x:v>
      </x:c>
      <x:c r="E467" s="35" t="str"/>
      <x:c r="F467" s="35" t="str"/>
      <x:c r="G467" s="38" t="str">
        <x:v>TRF-003</x:v>
      </x:c>
      <x:c r="H467" s="35" t="str">
        <x:v>Applicable TRAFICOM regulation wording plus explicit engineering node/operand role</x:v>
      </x:c>
      <x:c r="I467" s="35" t="str">
        <x:v>N6 - concise ASCII lowerCamelCase controlled-value name grounded in the linked regulation.</x:v>
      </x:c>
      <x:c r="J467" s="35" t="str">
        <x:v>ADD_DEVELOPMENT_TERM</x:v>
      </x:c>
    </x:row>
    <x:row r="468">
      <x:c r="A468" s="35" t="str">
        <x:v>iceClassRegulationEdition2017</x:v>
      </x:c>
      <x:c r="B468" s="35" t="str">
        <x:v>https://w3id.org/nltl-benchmark/vocab#iceClassRegulationEdition2017</x:v>
      </x:c>
      <x:c r="C468" s="35" t="str">
        <x:v>NamedIndividual</x:v>
      </x:c>
      <x:c r="D468" s="35" t="str">
        <x:v>https://w3id.org/nltl-benchmark/vocab#iceClassRegulationEditionValue</x:v>
      </x:c>
      <x:c r="E468" s="35" t="str"/>
      <x:c r="F468" s="35" t="str"/>
      <x:c r="G468" s="38" t="str">
        <x:v>TRF-002</x:v>
      </x:c>
      <x:c r="H468" s="35" t="str">
        <x:v>Applicable TRAFICOM regulation wording plus explicit engineering node/operand role</x:v>
      </x:c>
      <x:c r="I468" s="35" t="str">
        <x:v>N6 - concise ASCII lowerCamelCase controlled-value name grounded in the linked regulation.</x:v>
      </x:c>
      <x:c r="J468" s="35" t="str">
        <x:v>ADD_DEVELOPMENT_TERM</x:v>
      </x:c>
    </x:row>
    <x:row r="469">
      <x:c r="A469" s="35" t="str">
        <x:v>iceClassRegulationEdition2021</x:v>
      </x:c>
      <x:c r="B469" s="35" t="str">
        <x:v>https://w3id.org/nltl-benchmark/vocab#iceClassRegulationEdition2021</x:v>
      </x:c>
      <x:c r="C469" s="35" t="str">
        <x:v>NamedIndividual</x:v>
      </x:c>
      <x:c r="D469" s="35" t="str">
        <x:v>https://w3id.org/nltl-benchmark/vocab#iceClassRegulationEditionValue</x:v>
      </x:c>
      <x:c r="E469" s="35" t="str"/>
      <x:c r="F469" s="35" t="str"/>
      <x:c r="G469" s="38" t="str">
        <x:v>TRF-001</x:v>
      </x:c>
      <x:c r="H469" s="35" t="str">
        <x:v>Applicable TRAFICOM regulation wording plus explicit engineering node/operand role</x:v>
      </x:c>
      <x:c r="I469" s="35" t="str">
        <x:v>N6 - concise ASCII lowerCamelCase controlled-value name grounded in the linked regulation.</x:v>
      </x:c>
      <x:c r="J469" s="35" t="str">
        <x:v>ADD_DEVELOPMENT_TERM</x:v>
      </x:c>
    </x:row>
    <x:row r="470">
      <x:c r="A470" s="35" t="str">
        <x:v>iceClassRegulationEditionValue</x:v>
      </x:c>
      <x:c r="B470" s="35" t="str">
        <x:v>https://w3id.org/nltl-benchmark/vocab#iceClassRegulationEditionValue</x:v>
      </x:c>
      <x:c r="C470" s="35" t="str">
        <x:v>Class</x:v>
      </x:c>
      <x:c r="D470" s="35" t="str">
        <x:v>https://w3id.org/nltl-benchmark/vocab#benchmarkEntity</x:v>
      </x:c>
      <x:c r="E470" s="35" t="str"/>
      <x:c r="F470" s="35" t="str"/>
      <x:c r="G470" s="38" t="str">
        <x:v>TRF-001 | TRF-002 | TRF-003 | TRF-004 | TRF-005 | TRF-006 | TRF-023</x:v>
      </x:c>
      <x:c r="H470" s="35" t="str">
        <x:v>Applicable TRAFICOM regulation wording plus explicit engineering node/operand role</x:v>
      </x:c>
      <x:c r="I470" s="35" t="str">
        <x:v>N4 - singular ASCII lowerCamelCase entity name derived from the linked regulatory role.</x:v>
      </x:c>
      <x:c r="J470" s="35" t="str">
        <x:v>ADD_DEVELOPMENT_TERM</x:v>
      </x:c>
    </x:row>
    <x:row r="471">
      <x:c r="A471" s="35" t="str">
        <x:v>iceClassRegulatoryProvisionValue</x:v>
      </x:c>
      <x:c r="B471" s="35" t="str">
        <x:v>https://w3id.org/nltl-benchmark/vocab#iceClassRegulatoryProvisionValue</x:v>
      </x:c>
      <x:c r="C471" s="35" t="str">
        <x:v>Class</x:v>
      </x:c>
      <x:c r="D471" s="35" t="str">
        <x:v>https://w3id.org/nltl-benchmark/vocab#benchmarkEntity</x:v>
      </x:c>
      <x:c r="E471" s="35" t="str"/>
      <x:c r="F471" s="35" t="str"/>
      <x:c r="G471" s="38" t="str">
        <x:v>TRF-001</x:v>
      </x:c>
      <x:c r="H471" s="35" t="str">
        <x:v>Applicable TRAFICOM regulation wording plus explicit engineering node/operand role</x:v>
      </x:c>
      <x:c r="I471" s="35" t="str">
        <x:v>N4 - singular ASCII lowerCamelCase entity name derived from the linked regulatory role.</x:v>
      </x:c>
      <x:c r="J471" s="35" t="str">
        <x:v>ADD_DEVELOPMENT_TERM</x:v>
      </x:c>
    </x:row>
    <x:row r="472">
      <x:c r="A472" s="35" t="str">
        <x:v>iceClassRuleEdition1985</x:v>
      </x:c>
      <x:c r="B472" s="35" t="str">
        <x:v>https://w3id.org/nltl-benchmark/vocab#iceClassRuleEdition1985</x:v>
      </x:c>
      <x:c r="C472" s="35" t="str">
        <x:v>NamedIndividual</x:v>
      </x:c>
      <x:c r="D472" s="35" t="str">
        <x:v>https://w3id.org/nltl-benchmark/vocab#iceClassRegulationEditionValue</x:v>
      </x:c>
      <x:c r="E472" s="35" t="str"/>
      <x:c r="F472" s="35" t="str"/>
      <x:c r="G472" s="38" t="str">
        <x:v>TRF-006 | TRF-023</x:v>
      </x:c>
      <x:c r="H472" s="35" t="str">
        <x:v>Applicable TRAFICOM regulation wording plus explicit engineering node/operand role</x:v>
      </x:c>
      <x:c r="I472" s="35" t="str">
        <x:v>N6 - concise ASCII lowerCamelCase controlled-value name grounded in the linked regulation.</x:v>
      </x:c>
      <x:c r="J472" s="35" t="str">
        <x:v>ADD_DEVELOPMENT_TERM</x:v>
      </x:c>
    </x:row>
    <x:row r="473">
      <x:c r="A473" s="35" t="str">
        <x:v>iceClassSection1Point8Provision2021</x:v>
      </x:c>
      <x:c r="B473" s="35" t="str">
        <x:v>https://w3id.org/nltl-benchmark/vocab#iceClassSection1Point8Provision2021</x:v>
      </x:c>
      <x:c r="C473" s="35" t="str">
        <x:v>NamedIndividual</x:v>
      </x:c>
      <x:c r="D473" s="35" t="str">
        <x:v>https://w3id.org/nltl-benchmark/vocab#iceClassRegulatoryProvisionValue</x:v>
      </x:c>
      <x:c r="E473" s="35" t="str"/>
      <x:c r="F473" s="35" t="str"/>
      <x:c r="G473" s="38" t="str">
        <x:v>TRF-001</x:v>
      </x:c>
      <x:c r="H473" s="35" t="str">
        <x:v>Applicable TRAFICOM regulation wording plus explicit engineering node/operand role</x:v>
      </x:c>
      <x:c r="I473" s="35" t="str">
        <x:v>N6 - concise ASCII lowerCamelCase controlled-value name grounded in the linked regulation.</x:v>
      </x:c>
      <x:c r="J473" s="35" t="str">
        <x:v>ADD_DEVELOPMENT_TERM</x:v>
      </x:c>
    </x:row>
    <x:row r="474">
      <x:c r="A474" s="35" t="str">
        <x:v>iceConcentration</x:v>
      </x:c>
      <x:c r="B474" s="35" t="str">
        <x:v>https://w3id.org/nltl-benchmark/vocab#iceConcentration</x:v>
      </x:c>
      <x:c r="C474" s="35" t="str">
        <x:v>QuantityProperty</x:v>
      </x:c>
      <x:c r="D474" s="35" t="str">
        <x:v>http://qudt.org/schema/qudt/QuantityValue</x:v>
      </x:c>
      <x:c r="E474" s="35" t="str"/>
      <x:c r="F474" s="35" t="str">
        <x:v>1</x:v>
      </x:c>
      <x:c r="G474" s="38" t="str">
        <x:v>IMO-103 | IMO-115 | IMO-116 | IMO-119 | IMO-120 | IMO-124</x:v>
      </x:c>
      <x:c r="H474" s="35" t="str">
        <x:v>Unit-stripped normalized regulatory variable</x:v>
      </x:c>
      <x:c r="I474" s="35" t="str">
        <x:v>N3 - remove unit from the identifier and retain it in unit/quantity metadata</x:v>
      </x:c>
      <x:c r="J474" s="35" t="str">
        <x:v>REUSE_R2_TERM</x:v>
      </x:c>
    </x:row>
    <x:row r="475">
      <x:c r="A475" s="35" t="str">
        <x:v>iceCondition</x:v>
      </x:c>
      <x:c r="B475" s="35" t="str">
        <x:v>https://w3id.org/nltl-benchmark/vocab#iceCondition</x:v>
      </x:c>
      <x:c r="C475" s="35" t="str">
        <x:v>DatatypeProperty</x:v>
      </x:c>
      <x:c r="D475" s="35" t="str">
        <x:v>http://www.w3.org/2001/XMLSchema#string</x:v>
      </x:c>
      <x:c r="E475" s="35" t="str">
        <x:v>xsd:string</x:v>
      </x:c>
      <x:c r="F475" s="35" t="str"/>
      <x:c r="G475" s="38" t="str">
        <x:v>IMO-005 | IMO-007 | IMO-009 | IMO-102 | IMO-103</x:v>
      </x:c>
      <x:c r="H475" s="35" t="str">
        <x:v>Locked-workbook normalized regulatory term</x:v>
      </x:c>
      <x:c r="I475" s="35" t="str">
        <x:v>N4 - preserve the source concept; normalize spelling to ASCII lowerCamelCase</x:v>
      </x:c>
      <x:c r="J475" s="35" t="str">
        <x:v>REUSE_R2_TERM</x:v>
      </x:c>
    </x:row>
    <x:row r="476">
      <x:c r="A476" s="35" t="str">
        <x:v>iceDraughtRestrictionDocument</x:v>
      </x:c>
      <x:c r="B476" s="35" t="str">
        <x:v>https://w3id.org/nltl-benchmark/vocab#iceDraughtRestrictionDocument</x:v>
      </x:c>
      <x:c r="C476" s="35" t="str">
        <x:v>Class</x:v>
      </x:c>
      <x:c r="D476" s="35" t="str">
        <x:v>https://w3id.org/nltl-benchmark/vocab#documentArtifact</x:v>
      </x:c>
      <x:c r="E476" s="35" t="str"/>
      <x:c r="F476" s="35" t="str"/>
      <x:c r="G476" s="38" t="str">
        <x:v>TRF-014</x:v>
      </x:c>
      <x:c r="H476" s="35" t="str">
        <x:v>Applicable TRAFICOM regulation wording plus explicit engineering node/operand role</x:v>
      </x:c>
      <x:c r="I476" s="35" t="str">
        <x:v>N4 - singular ASCII lowerCamelCase entity name derived from the linked regulatory role.</x:v>
      </x:c>
      <x:c r="J476" s="35" t="str">
        <x:v>ADD_DEVELOPMENT_TERM</x:v>
      </x:c>
    </x:row>
    <x:row r="477">
      <x:c r="A477" s="35" t="str">
        <x:v>iceEngineExcitationPhaseAngle</x:v>
      </x:c>
      <x:c r="B477" s="35" t="str">
        <x:v>https://w3id.org/nltl-benchmark/vocab#iceEngineExcitationPhaseAngle</x:v>
      </x:c>
      <x:c r="C477" s="35" t="str">
        <x:v>QuantityProperty</x:v>
      </x:c>
      <x:c r="D477" s="35" t="str">
        <x:v>http://qudt.org/schema/qudt/QuantityValue</x:v>
      </x:c>
      <x:c r="E477" s="35" t="str"/>
      <x:c r="F477" s="35" t="str">
        <x:v>deg</x:v>
      </x:c>
      <x:c r="G477" s="38" t="str">
        <x:v>TRF-093</x:v>
      </x:c>
      <x:c r="H477" s="35" t="str">
        <x:v>Benchmark-coined descriptive engineering term</x:v>
      </x:c>
      <x:c r="I477" s="35" t="str">
        <x:v>N5 - component or subject first, followed by characteristic and qualifier/state; no unsupported external mapping</x:v>
      </x:c>
      <x:c r="J477" s="35" t="str">
        <x:v>REUSE_R2_TERM</x:v>
      </x:c>
    </x:row>
    <x:row r="478">
      <x:c r="A478" s="35" t="str">
        <x:v>iceForce</x:v>
      </x:c>
      <x:c r="B478" s="35" t="str">
        <x:v>https://w3id.org/nltl-benchmark/vocab#iceForce</x:v>
      </x:c>
      <x:c r="C478" s="35" t="str">
        <x:v>QuantityProperty</x:v>
      </x:c>
      <x:c r="D478" s="35" t="str">
        <x:v>http://qudt.org/schema/qudt/QuantityValue</x:v>
      </x:c>
      <x:c r="E478" s="35" t="str"/>
      <x:c r="F478" s="35" t="str">
        <x:v>kN</x:v>
      </x:c>
      <x:c r="G478" s="38" t="str">
        <x:v>I2-018</x:v>
      </x:c>
      <x:c r="H478" s="35" t="str">
        <x:v>Benchmark-coined descriptive engineering term</x:v>
      </x:c>
      <x:c r="I478" s="35" t="str">
        <x:v>N5 - component or subject first, followed by characteristic and qualifier/state; no unsupported external mapping</x:v>
      </x:c>
      <x:c r="J478" s="35" t="str">
        <x:v>REUSE_R2_TERM</x:v>
      </x:c>
    </x:row>
    <x:row r="479">
      <x:c r="A479" s="35" t="str">
        <x:v>iceInformationDisplayPresent</x:v>
      </x:c>
      <x:c r="B479" s="35" t="str">
        <x:v>https://w3id.org/nltl-benchmark/vocab#iceInformationDisplayPresent</x:v>
      </x:c>
      <x:c r="C479" s="35" t="str">
        <x:v>DatatypeProperty</x:v>
      </x:c>
      <x:c r="D479" s="35" t="str">
        <x:v>http://www.w3.org/2001/XMLSchema#boolean</x:v>
      </x:c>
      <x:c r="E479" s="35" t="str">
        <x:v>xsd:boolean</x:v>
      </x:c>
      <x:c r="F479" s="35" t="str"/>
      <x:c r="G479" s="38" t="str">
        <x:v>IMO-080 | IMO26-006</x:v>
      </x:c>
      <x:c r="H479" s="35" t="str">
        <x:v>Locked-workbook normalized regulatory term</x:v>
      </x:c>
      <x:c r="I479" s="35" t="str">
        <x:v>N4 - preserve the source concept; normalize spelling to ASCII lowerCamelCase</x:v>
      </x:c>
      <x:c r="J479" s="35" t="str">
        <x:v>REUSE_R2_TERM</x:v>
      </x:c>
    </x:row>
    <x:row r="480">
      <x:c r="A480" s="35" t="str">
        <x:v>iceInformationReceiverPresent</x:v>
      </x:c>
      <x:c r="B480" s="35" t="str">
        <x:v>https://w3id.org/nltl-benchmark/vocab#iceInformationReceiverPresent</x:v>
      </x:c>
      <x:c r="C480" s="35" t="str">
        <x:v>DatatypeProperty</x:v>
      </x:c>
      <x:c r="D480" s="35" t="str">
        <x:v>http://www.w3.org/2001/XMLSchema#boolean</x:v>
      </x:c>
      <x:c r="E480" s="35" t="str">
        <x:v>xsd:boolean</x:v>
      </x:c>
      <x:c r="F480" s="35" t="str"/>
      <x:c r="G480" s="38" t="str">
        <x:v>IMO-080 | IMO26-006</x:v>
      </x:c>
      <x:c r="H480" s="35" t="str">
        <x:v>Locked-workbook normalized regulatory term</x:v>
      </x:c>
      <x:c r="I480" s="35" t="str">
        <x:v>N4 - preserve the source concept; normalize spelling to ASCII lowerCamelCase</x:v>
      </x:c>
      <x:c r="J480" s="35" t="str">
        <x:v>REUSE_R2_TERM</x:v>
      </x:c>
    </x:row>
    <x:row r="481">
      <x:c r="A481" s="35" t="str">
        <x:v>iceIngestionPreventionPresent</x:v>
      </x:c>
      <x:c r="B481" s="35" t="str">
        <x:v>https://w3id.org/nltl-benchmark/vocab#iceIngestionPreventionPresent</x:v>
      </x:c>
      <x:c r="C481" s="35" t="str">
        <x:v>DatatypeProperty</x:v>
      </x:c>
      <x:c r="D481" s="35" t="str">
        <x:v>http://www.w3.org/2001/XMLSchema#boolean</x:v>
      </x:c>
      <x:c r="E481" s="35" t="str">
        <x:v>xsd:boolean</x:v>
      </x:c>
      <x:c r="F481" s="35" t="str"/>
      <x:c r="G481" s="38" t="str">
        <x:v>IMO-045</x:v>
      </x:c>
      <x:c r="H481" s="35" t="str">
        <x:v>Locked-workbook normalized regulatory term</x:v>
      </x:c>
      <x:c r="I481" s="35" t="str">
        <x:v>N4 - preserve the source concept; normalize spelling to ASCII lowerCamelCase</x:v>
      </x:c>
      <x:c r="J481" s="35" t="str">
        <x:v>REUSE_R2_TERM</x:v>
      </x:c>
    </x:row>
    <x:row r="482">
      <x:c r="A482" s="35" t="str">
        <x:v>iceLoadAreaFactorCa</x:v>
      </x:c>
      <x:c r="B482" s="35" t="str">
        <x:v>https://w3id.org/nltl-benchmark/vocab#iceLoadAreaFactorCa</x:v>
      </x:c>
      <x:c r="C482" s="35" t="str">
        <x:v>QuantityProperty</x:v>
      </x:c>
      <x:c r="D482" s="35" t="str">
        <x:v>http://qudt.org/schema/qudt/QuantityValue</x:v>
      </x:c>
      <x:c r="E482" s="35" t="str"/>
      <x:c r="F482" s="35" t="str">
        <x:v>1</x:v>
      </x:c>
      <x:c r="G482" s="38" t="str">
        <x:v>TRF-030 | TRF-037</x:v>
      </x:c>
      <x:c r="H482" s="35" t="str">
        <x:v>Applicable TRAFICOM regulation wording plus explicit engineering node/operand role</x:v>
      </x:c>
      <x:c r="I482" s="35" t="str">
        <x:v>N4 - explicit engineering quantity in ASCII lowerCamelCase; formula symbols remain aliases only.</x:v>
      </x:c>
      <x:c r="J482" s="35" t="str">
        <x:v>ADD_DEVELOPMENT_TERM</x:v>
      </x:c>
    </x:row>
    <x:row r="483">
      <x:c r="A483" s="35" t="str">
        <x:v>iceLoadCycleCoefficientK1</x:v>
      </x:c>
      <x:c r="B483" s="35" t="str">
        <x:v>https://w3id.org/nltl-benchmark/vocab#iceLoadCycleCoefficientK1</x:v>
      </x:c>
      <x:c r="C483" s="35" t="str">
        <x:v>QuantityProperty</x:v>
      </x:c>
      <x:c r="D483" s="35" t="str">
        <x:v>http://qudt.org/schema/qudt/QuantityValue</x:v>
      </x:c>
      <x:c r="E483" s="35" t="str"/>
      <x:c r="F483" s="35" t="str">
        <x:v>1</x:v>
      </x:c>
      <x:c r="G483" s="38" t="str">
        <x:v>TRF-078</x:v>
      </x:c>
      <x:c r="H483" s="35" t="str">
        <x:v>Locked-workbook normalized regulatory term</x:v>
      </x:c>
      <x:c r="I483" s="35" t="str">
        <x:v>N4 - preserve the source concept; normalize spelling to ASCII lowerCamelCase</x:v>
      </x:c>
      <x:c r="J483" s="35" t="str">
        <x:v>REUSE_R2_TERM</x:v>
      </x:c>
    </x:row>
    <x:row r="484">
      <x:c r="A484" s="35" t="str">
        <x:v>iceLoadCycleCoefficientK2</x:v>
      </x:c>
      <x:c r="B484" s="35" t="str">
        <x:v>https://w3id.org/nltl-benchmark/vocab#iceLoadCycleCoefficientK2</x:v>
      </x:c>
      <x:c r="C484" s="35" t="str">
        <x:v>QuantityProperty</x:v>
      </x:c>
      <x:c r="D484" s="35" t="str">
        <x:v>http://qudt.org/schema/qudt/QuantityValue</x:v>
      </x:c>
      <x:c r="E484" s="35" t="str"/>
      <x:c r="F484" s="35" t="str">
        <x:v>1</x:v>
      </x:c>
      <x:c r="G484" s="38" t="str">
        <x:v>TRF-078 | TRF-079</x:v>
      </x:c>
      <x:c r="H484" s="35" t="str">
        <x:v>Locked-workbook normalized regulatory term</x:v>
      </x:c>
      <x:c r="I484" s="35" t="str">
        <x:v>N4 - preserve the source concept; normalize spelling to ASCII lowerCamelCase</x:v>
      </x:c>
      <x:c r="J484" s="35" t="str">
        <x:v>REUSE_R2_TERM</x:v>
      </x:c>
    </x:row>
    <x:row r="485">
      <x:c r="A485" s="35" t="str">
        <x:v>iceLoadCycleCoefficientK3</x:v>
      </x:c>
      <x:c r="B485" s="35" t="str">
        <x:v>https://w3id.org/nltl-benchmark/vocab#iceLoadCycleCoefficientK3</x:v>
      </x:c>
      <x:c r="C485" s="35" t="str">
        <x:v>QuantityProperty</x:v>
      </x:c>
      <x:c r="D485" s="35" t="str">
        <x:v>http://qudt.org/schema/qudt/QuantityValue</x:v>
      </x:c>
      <x:c r="E485" s="35" t="str"/>
      <x:c r="F485" s="35" t="str">
        <x:v>1</x:v>
      </x:c>
      <x:c r="G485" s="38" t="str">
        <x:v>TRF-078</x:v>
      </x:c>
      <x:c r="H485" s="35" t="str">
        <x:v>Locked-workbook normalized regulatory term</x:v>
      </x:c>
      <x:c r="I485" s="35" t="str">
        <x:v>N4 - preserve the source concept; normalize spelling to ASCII lowerCamelCase</x:v>
      </x:c>
      <x:c r="J485" s="35" t="str">
        <x:v>REUSE_R2_TERM</x:v>
      </x:c>
    </x:row>
    <x:row r="486">
      <x:c r="A486" s="35" t="str">
        <x:v>iceLoadCycleCount</x:v>
      </x:c>
      <x:c r="B486" s="35" t="str">
        <x:v>https://w3id.org/nltl-benchmark/vocab#iceLoadCycleCount</x:v>
      </x:c>
      <x:c r="C486" s="35" t="str">
        <x:v>DatatypeProperty</x:v>
      </x:c>
      <x:c r="D486" s="35" t="str">
        <x:v>http://www.w3.org/2001/XMLSchema#integer</x:v>
      </x:c>
      <x:c r="E486" s="35" t="str">
        <x:v>xsd:integer</x:v>
      </x:c>
      <x:c r="F486" s="35" t="str"/>
      <x:c r="G486" s="38" t="str">
        <x:v>TRF-077 | TRF-078 | TRF-080 | TRF-109</x:v>
      </x:c>
      <x:c r="H486" s="35" t="str">
        <x:v>Locked-workbook normalized regulatory term</x:v>
      </x:c>
      <x:c r="I486" s="35" t="str">
        <x:v>N4 - preserve the source concept; normalize spelling to ASCII lowerCamelCase</x:v>
      </x:c>
      <x:c r="J486" s="35" t="str">
        <x:v>REUSE_R2_TERM</x:v>
      </x:c>
    </x:row>
    <x:row r="487">
      <x:c r="A487" s="35" t="str">
        <x:v>iceLoadForce</x:v>
      </x:c>
      <x:c r="B487" s="35" t="str">
        <x:v>https://w3id.org/nltl-benchmark/vocab#iceLoadForce</x:v>
      </x:c>
      <x:c r="C487" s="35" t="str">
        <x:v>QuantityProperty</x:v>
      </x:c>
      <x:c r="D487" s="35" t="str">
        <x:v>http://qudt.org/schema/qudt/QuantityValue</x:v>
      </x:c>
      <x:c r="E487" s="35" t="str"/>
      <x:c r="F487" s="35" t="str">
        <x:v>kN</x:v>
      </x:c>
      <x:c r="G487" s="38" t="str">
        <x:v>TRF-058</x:v>
      </x:c>
      <x:c r="H487" s="35" t="str">
        <x:v>Benchmark-coined descriptive engineering term</x:v>
      </x:c>
      <x:c r="I487" s="35" t="str">
        <x:v>N5 - component or subject first, followed by characteristic and qualifier/state; no unsupported external mapping</x:v>
      </x:c>
      <x:c r="J487" s="35" t="str">
        <x:v>REUSE_R2_TERM</x:v>
      </x:c>
    </x:row>
    <x:row r="488">
      <x:c r="A488" s="35" t="str">
        <x:v>iceLoadHeight</x:v>
      </x:c>
      <x:c r="B488" s="35" t="str">
        <x:v>https://w3id.org/nltl-benchmark/vocab#iceLoadHeight</x:v>
      </x:c>
      <x:c r="C488" s="35" t="str">
        <x:v>QuantityProperty</x:v>
      </x:c>
      <x:c r="D488" s="35" t="str">
        <x:v>http://qudt.org/schema/qudt/QuantityValue</x:v>
      </x:c>
      <x:c r="E488" s="35" t="str"/>
      <x:c r="F488" s="35" t="str">
        <x:v>m</x:v>
      </x:c>
      <x:c r="G488" s="38" t="str">
        <x:v>TRF-057</x:v>
      </x:c>
      <x:c r="H488" s="35" t="str">
        <x:v>Benchmark-coined descriptive engineering term</x:v>
      </x:c>
      <x:c r="I488" s="35" t="str">
        <x:v>N5 - component or subject first, followed by characteristic and qualifier/state; no unsupported external mapping</x:v>
      </x:c>
      <x:c r="J488" s="35" t="str">
        <x:v>REUSE_R2_TERM</x:v>
      </x:c>
    </x:row>
    <x:row r="489">
      <x:c r="A489" s="35" t="str">
        <x:v>iceLoadPatch</x:v>
      </x:c>
      <x:c r="B489" s="35" t="str">
        <x:v>https://w3id.org/nltl-benchmark/vocab#iceLoadPatch</x:v>
      </x:c>
      <x:c r="C489" s="35" t="str">
        <x:v>Class</x:v>
      </x:c>
      <x:c r="D489" s="35" t="str">
        <x:v>https://w3id.org/nltl-benchmark/vocab#hullStructure</x:v>
      </x:c>
      <x:c r="E489" s="35" t="str"/>
      <x:c r="F489" s="35" t="str"/>
      <x:c r="G489" s="38" t="str">
        <x:v>I2-037</x:v>
      </x:c>
      <x:c r="H489" s="35" t="str">
        <x:v>Benchmark-coined descriptive engineering term</x:v>
      </x:c>
      <x:c r="I489" s="35" t="str">
        <x:v>N5 - component or subject first, followed by characteristic and qualifier/state; no unsupported external mapping</x:v>
      </x:c>
      <x:c r="J489" s="35" t="str">
        <x:v>REUSE_R2_TERM</x:v>
      </x:c>
    </x:row>
    <x:row r="490">
      <x:c r="A490" s="35" t="str">
        <x:v>iceLoadSourceType</x:v>
      </x:c>
      <x:c r="B490" s="35" t="str">
        <x:v>https://w3id.org/nltl-benchmark/vocab#iceLoadSourceType</x:v>
      </x:c>
      <x:c r="C490" s="35" t="str">
        <x:v>ObjectProperty</x:v>
      </x:c>
      <x:c r="D490" s="35" t="str">
        <x:v>https://w3id.org/nltl-benchmark/vocab#iceLoadSourceTypeValue</x:v>
      </x:c>
      <x:c r="E490" s="35" t="str"/>
      <x:c r="F490" s="35" t="str"/>
      <x:c r="G490" s="38" t="str">
        <x:v>TRF-057</x:v>
      </x:c>
      <x:c r="H490" s="35" t="str">
        <x:v>Applicable TRAFICOM regulation wording plus explicit engineering node/operand role</x:v>
      </x:c>
      <x:c r="I490" s="35" t="str">
        <x:v>N5 - ASCII lowerCamelCase relationship; use has + object role when it improves direction clarity.</x:v>
      </x:c>
      <x:c r="J490" s="35" t="str">
        <x:v>ADD_DEVELOPMENT_TERM</x:v>
      </x:c>
    </x:row>
    <x:row r="491">
      <x:c r="A491" s="35" t="str">
        <x:v>iceLoadSourceTypeValue</x:v>
      </x:c>
      <x:c r="B491" s="35" t="str">
        <x:v>https://w3id.org/nltl-benchmark/vocab#iceLoadSourceTypeValue</x:v>
      </x:c>
      <x:c r="C491" s="35" t="str">
        <x:v>Class</x:v>
      </x:c>
      <x:c r="D491" s="35" t="str">
        <x:v>https://w3id.org/nltl-benchmark/vocab#benchmarkEntity</x:v>
      </x:c>
      <x:c r="E491" s="35" t="str"/>
      <x:c r="F491" s="35" t="str"/>
      <x:c r="G491" s="38" t="str">
        <x:v>TRF-057</x:v>
      </x:c>
      <x:c r="H491" s="35" t="str">
        <x:v>Applicable TRAFICOM regulation wording plus explicit engineering node/operand role</x:v>
      </x:c>
      <x:c r="I491" s="35" t="str">
        <x:v>N4 - singular ASCII lowerCamelCase entity name derived from the linked regulatory role.</x:v>
      </x:c>
      <x:c r="J491" s="35" t="str">
        <x:v>ADD_DEVELOPMENT_TERM</x:v>
      </x:c>
    </x:row>
    <x:row r="492">
      <x:c r="A492" s="35" t="str">
        <x:v>iceMobilityTestStatus</x:v>
      </x:c>
      <x:c r="B492" s="35" t="str">
        <x:v>https://w3id.org/nltl-benchmark/vocab#iceMobilityTestStatus</x:v>
      </x:c>
      <x:c r="C492" s="35" t="str">
        <x:v>DatatypeProperty</x:v>
      </x:c>
      <x:c r="D492" s="35" t="str">
        <x:v>http://www.w3.org/2001/XMLSchema#boolean</x:v>
      </x:c>
      <x:c r="E492" s="35" t="str">
        <x:v>xsd:boolean</x:v>
      </x:c>
      <x:c r="F492" s="35" t="str"/>
      <x:c r="G492" s="38" t="str">
        <x:v>IMO-076</x:v>
      </x:c>
      <x:c r="H492" s="35" t="str">
        <x:v>Locked-workbook normalized regulatory term</x:v>
      </x:c>
      <x:c r="I492" s="35" t="str">
        <x:v>N4 - preserve the source concept; normalize spelling to ASCII lowerCamelCase</x:v>
      </x:c>
      <x:c r="J492" s="35" t="str">
        <x:v>REUSE_R2_TERM</x:v>
      </x:c>
    </x:row>
    <x:row r="493">
      <x:c r="A493" s="35" t="str">
        <x:v>iceNavigationCondition</x:v>
      </x:c>
      <x:c r="B493" s="35" t="str">
        <x:v>https://w3id.org/nltl-benchmark/vocab#iceNavigationCondition</x:v>
      </x:c>
      <x:c r="C493" s="35" t="str">
        <x:v>DatatypeProperty</x:v>
      </x:c>
      <x:c r="D493" s="35" t="str">
        <x:v>http://www.w3.org/2001/XMLSchema#string</x:v>
      </x:c>
      <x:c r="E493" s="35" t="str">
        <x:v>xsd:string</x:v>
      </x:c>
      <x:c r="F493" s="35" t="str"/>
      <x:c r="G493" s="38" t="str">
        <x:v>TRF-129</x:v>
      </x:c>
      <x:c r="H493" s="35" t="str">
        <x:v>Benchmark-coined descriptive engineering term</x:v>
      </x:c>
      <x:c r="I493" s="35" t="str">
        <x:v>N5 - component or subject first, followed by characteristic and qualifier/state; no unsupported external mapping</x:v>
      </x:c>
      <x:c r="J493" s="35" t="str">
        <x:v>REUSE_R2_TERM</x:v>
      </x:c>
    </x:row>
    <x:row r="494">
      <x:c r="A494" s="35" t="str">
        <x:v>iceOfLandOriginPresent</x:v>
      </x:c>
      <x:c r="B494" s="35" t="str">
        <x:v>https://w3id.org/nltl-benchmark/vocab#iceOfLandOriginPresent</x:v>
      </x:c>
      <x:c r="C494" s="35" t="str">
        <x:v>DatatypeProperty</x:v>
      </x:c>
      <x:c r="D494" s="35" t="str">
        <x:v>http://www.w3.org/2001/XMLSchema#boolean</x:v>
      </x:c>
      <x:c r="E494" s="35" t="str">
        <x:v>xsd:boolean</x:v>
      </x:c>
      <x:c r="F494" s="35" t="str"/>
      <x:c r="G494" s="38" t="str">
        <x:v>IMO-007</x:v>
      </x:c>
      <x:c r="H494" s="35" t="str">
        <x:v>Locked-workbook normalized regulatory term</x:v>
      </x:c>
      <x:c r="I494" s="35" t="str">
        <x:v>N4 - preserve the source concept; normalize spelling to ASCII lowerCamelCase</x:v>
      </x:c>
      <x:c r="J494" s="35" t="str">
        <x:v>REUSE_R2_TERM</x:v>
      </x:c>
    </x:row>
    <x:row r="495">
      <x:c r="A495" s="35" t="str">
        <x:v>iceOperatingSpeed</x:v>
      </x:c>
      <x:c r="B495" s="35" t="str">
        <x:v>https://w3id.org/nltl-benchmark/vocab#iceOperatingSpeed</x:v>
      </x:c>
      <x:c r="C495" s="35" t="str">
        <x:v>QuantityProperty</x:v>
      </x:c>
      <x:c r="D495" s="35" t="str">
        <x:v>http://qudt.org/schema/qudt/QuantityValue</x:v>
      </x:c>
      <x:c r="E495" s="35" t="str"/>
      <x:c r="F495" s="35" t="str">
        <x:v>kn</x:v>
      </x:c>
      <x:c r="G495" s="38" t="str">
        <x:v>TRF-114</x:v>
      </x:c>
      <x:c r="H495" s="35" t="str">
        <x:v>Benchmark-coined descriptive engineering term</x:v>
      </x:c>
      <x:c r="I495" s="35" t="str">
        <x:v>N5 - component or subject first, followed by characteristic and qualifier/state; no unsupported external mapping</x:v>
      </x:c>
      <x:c r="J495" s="35" t="str">
        <x:v>REUSE_R2_TERM</x:v>
      </x:c>
    </x:row>
    <x:row r="496">
      <x:c r="A496" s="35" t="str">
        <x:v>iceOperationApplicable</x:v>
      </x:c>
      <x:c r="B496" s="35" t="str">
        <x:v>https://w3id.org/nltl-benchmark/vocab#iceOperationApplicable</x:v>
      </x:c>
      <x:c r="C496" s="35" t="str">
        <x:v>DatatypeProperty</x:v>
      </x:c>
      <x:c r="D496" s="35" t="str">
        <x:v>http://www.w3.org/2001/XMLSchema#boolean</x:v>
      </x:c>
      <x:c r="E496" s="35" t="str">
        <x:v>xsd:boolean</x:v>
      </x:c>
      <x:c r="F496" s="35" t="str"/>
      <x:c r="G496" s="38" t="str">
        <x:v>IMO-030</x:v>
      </x:c>
      <x:c r="H496" s="35" t="str">
        <x:v>Locked-workbook normalized regulatory term</x:v>
      </x:c>
      <x:c r="I496" s="35" t="str">
        <x:v>N4 - preserve the source concept; normalize spelling to ASCII lowerCamelCase</x:v>
      </x:c>
      <x:c r="J496" s="35" t="str">
        <x:v>REUSE_R2_TERM</x:v>
      </x:c>
    </x:row>
    <x:row r="497">
      <x:c r="A497" s="35" t="str">
        <x:v>iceOrSnowRemovalOrPreventionMeans</x:v>
      </x:c>
      <x:c r="B497" s="35" t="str">
        <x:v>https://w3id.org/nltl-benchmark/vocab#iceOrSnowRemovalOrPreventionMeans</x:v>
      </x:c>
      <x:c r="C497" s="35" t="str">
        <x:v>DatatypeProperty</x:v>
      </x:c>
      <x:c r="D497" s="35" t="str">
        <x:v>http://www.w3.org/2001/XMLSchema#string</x:v>
      </x:c>
      <x:c r="E497" s="35" t="str">
        <x:v>xsd:string</x:v>
      </x:c>
      <x:c r="F497" s="35" t="str"/>
      <x:c r="G497" s="38" t="str">
        <x:v>IMO-040 | IMO-052 | IMO-066</x:v>
      </x:c>
      <x:c r="H497" s="35" t="str">
        <x:v>Locked-workbook normalized regulatory term</x:v>
      </x:c>
      <x:c r="I497" s="35" t="str">
        <x:v>N4 - preserve the source concept; normalize spelling to ASCII lowerCamelCase</x:v>
      </x:c>
      <x:c r="J497" s="35" t="str">
        <x:v>REUSE_R2_TERM</x:v>
      </x:c>
    </x:row>
    <x:row r="498">
      <x:c r="A498" s="35" t="str">
        <x:v>iceOrigin</x:v>
      </x:c>
      <x:c r="B498" s="35" t="str">
        <x:v>https://w3id.org/nltl-benchmark/vocab#iceOrigin</x:v>
      </x:c>
      <x:c r="C498" s="35" t="str">
        <x:v>DatatypeProperty</x:v>
      </x:c>
      <x:c r="D498" s="35" t="str">
        <x:v>http://www.w3.org/2001/XMLSchema#string</x:v>
      </x:c>
      <x:c r="E498" s="35" t="str">
        <x:v>xsd:string</x:v>
      </x:c>
      <x:c r="F498" s="35" t="str"/>
      <x:c r="G498" s="38" t="str">
        <x:v>IMO-004</x:v>
      </x:c>
      <x:c r="H498" s="35" t="str">
        <x:v>Locked-workbook normalized regulatory term</x:v>
      </x:c>
      <x:c r="I498" s="35" t="str">
        <x:v>N4 - preserve the source concept; normalize spelling to ASCII lowerCamelCase</x:v>
      </x:c>
      <x:c r="J498" s="35" t="str">
        <x:v>REUSE_R2_TERM</x:v>
      </x:c>
    </x:row>
    <x:row r="499">
      <x:c r="A499" s="35" t="str">
        <x:v>icePressure</x:v>
      </x:c>
      <x:c r="B499" s="35" t="str">
        <x:v>https://w3id.org/nltl-benchmark/vocab#icePressure</x:v>
      </x:c>
      <x:c r="C499" s="35" t="str">
        <x:v>QuantityProperty</x:v>
      </x:c>
      <x:c r="D499" s="35" t="str">
        <x:v>http://qudt.org/schema/qudt/QuantityValue</x:v>
      </x:c>
      <x:c r="E499" s="35" t="str"/>
      <x:c r="F499" s="35" t="str">
        <x:v>MPa</x:v>
      </x:c>
      <x:c r="G499" s="38" t="str">
        <x:v>TRF-057</x:v>
      </x:c>
      <x:c r="H499" s="35" t="str">
        <x:v>Verified exact implementation term</x:v>
      </x:c>
      <x:c r="I499" s="35" t="str">
        <x:v>N1 - reuse only after exact URI and semantic-context verification</x:v>
      </x:c>
      <x:c r="J499" s="35" t="str">
        <x:v>REUSE_R2_TERM</x:v>
      </x:c>
    </x:row>
    <x:row r="500">
      <x:c r="A500" s="35" t="str">
        <x:v>iceSafetyMonitoringProcedurePresent</x:v>
      </x:c>
      <x:c r="B500" s="35" t="str">
        <x:v>https://w3id.org/nltl-benchmark/vocab#iceSafetyMonitoringProcedurePresent</x:v>
      </x:c>
      <x:c r="C500" s="35" t="str">
        <x:v>DatatypeProperty</x:v>
      </x:c>
      <x:c r="D500" s="35" t="str">
        <x:v>http://www.w3.org/2001/XMLSchema#boolean</x:v>
      </x:c>
      <x:c r="E500" s="35" t="str">
        <x:v>xsd:boolean</x:v>
      </x:c>
      <x:c r="F500" s="35" t="str"/>
      <x:c r="G500" s="38" t="str">
        <x:v>IMO-030</x:v>
      </x:c>
      <x:c r="H500" s="35" t="str">
        <x:v>Locked-workbook normalized regulatory term</x:v>
      </x:c>
      <x:c r="I500" s="35" t="str">
        <x:v>N4 - preserve the source concept; normalize spelling to ASCII lowerCamelCase</x:v>
      </x:c>
      <x:c r="J500" s="35" t="str">
        <x:v>REUSE_R2_TERM</x:v>
      </x:c>
    </x:row>
    <x:row r="501">
      <x:c r="A501" s="35" t="str">
        <x:v>iceSnowMitigationCoverage</x:v>
      </x:c>
      <x:c r="B501" s="35" t="str">
        <x:v>https://w3id.org/nltl-benchmark/vocab#iceSnowMitigationCoverage</x:v>
      </x:c>
      <x:c r="C501" s="35" t="str">
        <x:v>DatatypeProperty</x:v>
      </x:c>
      <x:c r="D501" s="35" t="str">
        <x:v>http://www.w3.org/2001/XMLSchema#boolean</x:v>
      </x:c>
      <x:c r="E501" s="35" t="str">
        <x:v>xsd:boolean</x:v>
      </x:c>
      <x:c r="F501" s="35" t="str"/>
      <x:c r="G501" s="38" t="str">
        <x:v>IMO-062</x:v>
      </x:c>
      <x:c r="H501" s="35" t="str">
        <x:v>Locked-workbook normalized regulatory term</x:v>
      </x:c>
      <x:c r="I501" s="35" t="str">
        <x:v>N4 - preserve the source concept; normalize spelling to ASCII lowerCamelCase</x:v>
      </x:c>
      <x:c r="J501" s="35" t="str">
        <x:v>REUSE_R2_TERM</x:v>
      </x:c>
    </x:row>
    <x:row r="502">
      <x:c r="A502" s="35" t="str">
        <x:v>iceStrengthenedArea</x:v>
      </x:c>
      <x:c r="B502" s="35" t="str">
        <x:v>https://w3id.org/nltl-benchmark/vocab#iceStrengthenedArea</x:v>
      </x:c>
      <x:c r="C502" s="35" t="str">
        <x:v>DatatypeProperty</x:v>
      </x:c>
      <x:c r="D502" s="35" t="str">
        <x:v>http://www.w3.org/2001/XMLSchema#string</x:v>
      </x:c>
      <x:c r="E502" s="35" t="str">
        <x:v>xsd:string</x:v>
      </x:c>
      <x:c r="F502" s="35" t="str"/>
      <x:c r="G502" s="38" t="str">
        <x:v>I2-026 | I2-066</x:v>
      </x:c>
      <x:c r="H502" s="35" t="str">
        <x:v>Benchmark-coined descriptive engineering term</x:v>
      </x:c>
      <x:c r="I502" s="35" t="str">
        <x:v>N5 - component or subject first, followed by characteristic and qualifier/state; no unsupported external mapping</x:v>
      </x:c>
      <x:c r="J502" s="35" t="str">
        <x:v>REUSE_R2_TERM</x:v>
      </x:c>
    </x:row>
    <x:row r="503">
      <x:c r="A503" s="35" t="str">
        <x:v>iceStrengthenedHullArea</x:v>
      </x:c>
      <x:c r="B503" s="35" t="str">
        <x:v>https://w3id.org/nltl-benchmark/vocab#iceStrengthenedHullArea</x:v>
      </x:c>
      <x:c r="C503" s="35" t="str">
        <x:v>DatatypeProperty</x:v>
      </x:c>
      <x:c r="D503" s="35" t="str">
        <x:v>http://www.w3.org/2001/XMLSchema#string</x:v>
      </x:c>
      <x:c r="E503" s="35" t="str">
        <x:v>xsd:string</x:v>
      </x:c>
      <x:c r="F503" s="35" t="str"/>
      <x:c r="G503" s="38" t="str">
        <x:v>I2-046</x:v>
      </x:c>
      <x:c r="H503" s="35" t="str">
        <x:v>Benchmark-coined descriptive engineering term</x:v>
      </x:c>
      <x:c r="I503" s="35" t="str">
        <x:v>N5 - component or subject first, followed by characteristic and qualifier/state; no unsupported external mapping</x:v>
      </x:c>
      <x:c r="J503" s="35" t="str">
        <x:v>REUSE_R2_TERM</x:v>
      </x:c>
    </x:row>
    <x:row r="504">
      <x:c r="A504" s="35" t="str">
        <x:v>iceStrengtheningStatus</x:v>
      </x:c>
      <x:c r="B504" s="35" t="str">
        <x:v>https://w3id.org/nltl-benchmark/vocab#iceStrengtheningStatus</x:v>
      </x:c>
      <x:c r="C504" s="35" t="str">
        <x:v>DatatypeProperty</x:v>
      </x:c>
      <x:c r="D504" s="35" t="str">
        <x:v>http://www.w3.org/2001/XMLSchema#boolean</x:v>
      </x:c>
      <x:c r="E504" s="35" t="str">
        <x:v>xsd:boolean</x:v>
      </x:c>
      <x:c r="F504" s="35" t="str"/>
      <x:c r="G504" s="38" t="str">
        <x:v>TRF-032</x:v>
      </x:c>
      <x:c r="H504" s="35" t="str">
        <x:v>Benchmark-coined descriptive engineering term</x:v>
      </x:c>
      <x:c r="I504" s="35" t="str">
        <x:v>N5 - component or subject first, followed by characteristic and qualifier/state; no unsupported external mapping</x:v>
      </x:c>
      <x:c r="J504" s="35" t="str">
        <x:v>REUSE_R2_TERM</x:v>
      </x:c>
    </x:row>
    <x:row r="505">
      <x:c r="A505" s="35" t="str">
        <x:v>iceStrengtheningTerminationAtAdjacentBoundaryPermitted</x:v>
      </x:c>
      <x:c r="B505" s="35" t="str">
        <x:v>https://w3id.org/nltl-benchmark/vocab#iceStrengtheningTerminationAtAdjacentBoundaryPermitted</x:v>
      </x:c>
      <x:c r="C505" s="35" t="str">
        <x:v>DatatypeProperty</x:v>
      </x:c>
      <x:c r="D505" s="35" t="str">
        <x:v>http://www.w3.org/2001/XMLSchema#boolean</x:v>
      </x:c>
      <x:c r="E505" s="35" t="str">
        <x:v>xsd:boolean</x:v>
      </x:c>
      <x:c r="F505" s="35" t="str"/>
      <x:c r="G505" s="38" t="str">
        <x:v>TRF-043</x:v>
      </x:c>
      <x:c r="H505" s="35" t="str">
        <x:v>Benchmark-coined descriptive engineering term</x:v>
      </x:c>
      <x:c r="I505" s="35" t="str">
        <x:v>N5 - component or subject first, followed by characteristic and qualifier/state; no unsupported external mapping</x:v>
      </x:c>
      <x:c r="J505" s="35" t="str">
        <x:v>REUSE_R2_TERM</x:v>
      </x:c>
    </x:row>
    <x:row r="506">
      <x:c r="A506" s="35" t="str">
        <x:v>iceStringer</x:v>
      </x:c>
      <x:c r="B506" s="35" t="str">
        <x:v>https://w3id.org/nltl-benchmark/vocab#iceStringer</x:v>
      </x:c>
      <x:c r="C506" s="35" t="str">
        <x:v>Class</x:v>
      </x:c>
      <x:c r="D506" s="35" t="str">
        <x:v>https://w3id.org/nltl-benchmark/vocab#hullStructure</x:v>
      </x:c>
      <x:c r="E506" s="35" t="str"/>
      <x:c r="F506" s="35" t="str"/>
      <x:c r="G506" s="38" t="str">
        <x:v>TRF-034 | TRF-046 | TRF-047 | TRF-053 | TRF-054</x:v>
      </x:c>
      <x:c r="H506" s="35" t="str">
        <x:v>Applicable TRAFICOM regulation wording plus explicit engineering node/operand role</x:v>
      </x:c>
      <x:c r="I506" s="35" t="str">
        <x:v>N4 - singular ASCII lowerCamelCase entity name derived from the linked regulatory role.</x:v>
      </x:c>
      <x:c r="J506" s="35" t="str">
        <x:v>ADD_DEVELOPMENT_TERM</x:v>
      </x:c>
    </x:row>
    <x:row r="507">
      <x:c r="A507" s="35" t="str">
        <x:v>iceStringerDistributionFactorF6</x:v>
      </x:c>
      <x:c r="B507" s="35" t="str">
        <x:v>https://w3id.org/nltl-benchmark/vocab#iceStringerDistributionFactorF6</x:v>
      </x:c>
      <x:c r="C507" s="35" t="str">
        <x:v>QuantityProperty</x:v>
      </x:c>
      <x:c r="D507" s="35" t="str">
        <x:v>http://qudt.org/schema/qudt/QuantityValue</x:v>
      </x:c>
      <x:c r="E507" s="35" t="str"/>
      <x:c r="F507" s="35" t="str">
        <x:v>1</x:v>
      </x:c>
      <x:c r="G507" s="38" t="str">
        <x:v>TRF-053</x:v>
      </x:c>
      <x:c r="H507" s="35" t="str">
        <x:v>Applicable TRAFICOM regulation wording plus explicit engineering node/operand role</x:v>
      </x:c>
      <x:c r="I507" s="35" t="str">
        <x:v>N4 - explicit engineering quantity in ASCII lowerCamelCase; formula symbols remain aliases only.</x:v>
      </x:c>
      <x:c r="J507" s="35" t="str">
        <x:v>ADD_DEVELOPMENT_TERM</x:v>
      </x:c>
    </x:row>
    <x:row r="508">
      <x:c r="A508" s="35" t="str">
        <x:v>iceStringerLoadSource</x:v>
      </x:c>
      <x:c r="B508" s="35" t="str">
        <x:v>https://w3id.org/nltl-benchmark/vocab#iceStringerLoadSource</x:v>
      </x:c>
      <x:c r="C508" s="35" t="str">
        <x:v>NamedIndividual</x:v>
      </x:c>
      <x:c r="D508" s="35" t="str">
        <x:v>https://w3id.org/nltl-benchmark/vocab#iceLoadSourceTypeValue</x:v>
      </x:c>
      <x:c r="E508" s="35" t="str"/>
      <x:c r="F508" s="35" t="str"/>
      <x:c r="G508" s="38" t="str">
        <x:v>TRF-057</x:v>
      </x:c>
      <x:c r="H508" s="35" t="str">
        <x:v>Applicable TRAFICOM regulation wording plus explicit engineering node/operand role</x:v>
      </x:c>
      <x:c r="I508" s="35" t="str">
        <x:v>N6 - concise ASCII lowerCamelCase controlled-value name grounded in the linked regulation.</x:v>
      </x:c>
      <x:c r="J508" s="35" t="str">
        <x:v>ADD_DEVELOPMENT_TERM</x:v>
      </x:c>
    </x:row>
    <x:row r="509">
      <x:c r="A509" s="35" t="str">
        <x:v>iceStringerSafetyFactorF7</x:v>
      </x:c>
      <x:c r="B509" s="35" t="str">
        <x:v>https://w3id.org/nltl-benchmark/vocab#iceStringerSafetyFactorF7</x:v>
      </x:c>
      <x:c r="C509" s="35" t="str">
        <x:v>QuantityProperty</x:v>
      </x:c>
      <x:c r="D509" s="35" t="str">
        <x:v>http://qudt.org/schema/qudt/QuantityValue</x:v>
      </x:c>
      <x:c r="E509" s="35" t="str"/>
      <x:c r="F509" s="35" t="str">
        <x:v>1</x:v>
      </x:c>
      <x:c r="G509" s="38" t="str">
        <x:v>TRF-053</x:v>
      </x:c>
      <x:c r="H509" s="35" t="str">
        <x:v>Applicable TRAFICOM regulation wording plus explicit engineering node/operand role</x:v>
      </x:c>
      <x:c r="I509" s="35" t="str">
        <x:v>N4 - explicit engineering quantity in ASCII lowerCamelCase; formula symbols remain aliases only.</x:v>
      </x:c>
      <x:c r="J509" s="35" t="str">
        <x:v>ADD_DEVELOPMENT_TERM</x:v>
      </x:c>
    </x:row>
    <x:row r="510">
      <x:c r="A510" s="35" t="str">
        <x:v>iceStringerShearFactorF8</x:v>
      </x:c>
      <x:c r="B510" s="35" t="str">
        <x:v>https://w3id.org/nltl-benchmark/vocab#iceStringerShearFactorF8</x:v>
      </x:c>
      <x:c r="C510" s="35" t="str">
        <x:v>QuantityProperty</x:v>
      </x:c>
      <x:c r="D510" s="35" t="str">
        <x:v>http://qudt.org/schema/qudt/QuantityValue</x:v>
      </x:c>
      <x:c r="E510" s="35" t="str"/>
      <x:c r="F510" s="35" t="str">
        <x:v>1</x:v>
      </x:c>
      <x:c r="G510" s="38" t="str">
        <x:v>TRF-053</x:v>
      </x:c>
      <x:c r="H510" s="35" t="str">
        <x:v>Applicable TRAFICOM regulation wording plus explicit engineering node/operand role</x:v>
      </x:c>
      <x:c r="I510" s="35" t="str">
        <x:v>N4 - explicit engineering quantity in ASCII lowerCamelCase; formula symbols remain aliases only.</x:v>
      </x:c>
      <x:c r="J510" s="35" t="str">
        <x:v>ADD_DEVELOPMENT_TERM</x:v>
      </x:c>
    </x:row>
    <x:row r="511">
      <x:c r="A511" s="35" t="str">
        <x:v>iceThickness</x:v>
      </x:c>
      <x:c r="B511" s="35" t="str">
        <x:v>https://w3id.org/nltl-benchmark/vocab#iceThickness</x:v>
      </x:c>
      <x:c r="C511" s="35" t="str">
        <x:v>QuantityProperty</x:v>
      </x:c>
      <x:c r="D511" s="35" t="str">
        <x:v>http://qudt.org/schema/qudt/QuantityValue</x:v>
      </x:c>
      <x:c r="E511" s="35" t="str"/>
      <x:c r="F511" s="35" t="str">
        <x:v>m</x:v>
      </x:c>
      <x:c r="G511" s="38" t="str">
        <x:v>IMO-004 | IMO-006 | IMO-008</x:v>
      </x:c>
      <x:c r="H511" s="35" t="str">
        <x:v>Unit-stripped normalized regulatory variable</x:v>
      </x:c>
      <x:c r="I511" s="35" t="str">
        <x:v>N3 - remove unit from the identifier and retain it in unit/quantity metadata</x:v>
      </x:c>
      <x:c r="J511" s="35" t="str">
        <x:v>REUSE_R2_TERM</x:v>
      </x:c>
    </x:row>
    <x:row r="512">
      <x:c r="A512" s="35" t="str">
        <x:v>iceType</x:v>
      </x:c>
      <x:c r="B512" s="35" t="str">
        <x:v>https://w3id.org/nltl-benchmark/vocab#iceType</x:v>
      </x:c>
      <x:c r="C512" s="35" t="str">
        <x:v>DatatypeProperty</x:v>
      </x:c>
      <x:c r="D512" s="35" t="str">
        <x:v>http://www.w3.org/2001/XMLSchema#string</x:v>
      </x:c>
      <x:c r="E512" s="35" t="str">
        <x:v>xsd:string</x:v>
      </x:c>
      <x:c r="F512" s="35" t="str"/>
      <x:c r="G512" s="38" t="str">
        <x:v>IMO-004 | IMO-006 | IMO-008</x:v>
      </x:c>
      <x:c r="H512" s="35" t="str">
        <x:v>Locked-workbook normalized regulatory term</x:v>
      </x:c>
      <x:c r="I512" s="35" t="str">
        <x:v>N4 - preserve the source concept; normalize spelling to ASCII lowerCamelCase</x:v>
      </x:c>
      <x:c r="J512" s="35" t="str">
        <x:v>REUSE_R2_TERM</x:v>
      </x:c>
    </x:row>
    <x:row r="513">
      <x:c r="A513" s="35" t="str">
        <x:v>iceWaterline</x:v>
      </x:c>
      <x:c r="B513" s="35" t="str">
        <x:v>https://w3id.org/nltl-benchmark/vocab#iceWaterline</x:v>
      </x:c>
      <x:c r="C513" s="35" t="str">
        <x:v>Class</x:v>
      </x:c>
      <x:c r="D513" s="35" t="str">
        <x:v>https://w3id.org/nltl-benchmark/vocab#benchmarkEntity</x:v>
      </x:c>
      <x:c r="E513" s="35" t="str"/>
      <x:c r="F513" s="35" t="str"/>
      <x:c r="G513" s="38" t="str">
        <x:v>TRF-011 | TRF-012</x:v>
      </x:c>
      <x:c r="H513" s="35" t="str">
        <x:v>Applicable TRAFICOM regulation wording plus explicit engineering node/operand role</x:v>
      </x:c>
      <x:c r="I513" s="35" t="str">
        <x:v>N4 - singular ASCII lowerCamelCase entity name derived from the linked regulatory role.</x:v>
      </x:c>
      <x:c r="J513" s="35" t="str">
        <x:v>ADD_DEVELOPMENT_TERM</x:v>
      </x:c>
    </x:row>
    <x:row r="514">
      <x:c r="A514" s="35" t="str">
        <x:v>icebreakerEscortOperation</x:v>
      </x:c>
      <x:c r="B514" s="35" t="str">
        <x:v>https://w3id.org/nltl-benchmark/vocab#icebreakerEscortOperation</x:v>
      </x:c>
      <x:c r="C514" s="35" t="str">
        <x:v>DatatypeProperty</x:v>
      </x:c>
      <x:c r="D514" s="35" t="str">
        <x:v>http://www.w3.org/2001/XMLSchema#boolean</x:v>
      </x:c>
      <x:c r="E514" s="35" t="str">
        <x:v>xsd:boolean</x:v>
      </x:c>
      <x:c r="F514" s="35" t="str"/>
      <x:c r="G514" s="38" t="str">
        <x:v>IMO-089</x:v>
      </x:c>
      <x:c r="H514" s="35" t="str">
        <x:v>Locked-workbook normalized regulatory term</x:v>
      </x:c>
      <x:c r="I514" s="35" t="str">
        <x:v>N4 - preserve the source concept; normalize spelling to ASCII lowerCamelCase</x:v>
      </x:c>
      <x:c r="J514" s="35" t="str">
        <x:v>REUSE_R2_TERM</x:v>
      </x:c>
    </x:row>
    <x:row r="515">
      <x:c r="A515" s="35" t="str">
        <x:v>identifiedIntendedVoyageHazard</x:v>
      </x:c>
      <x:c r="B515" s="35" t="str">
        <x:v>https://w3id.org/nltl-benchmark/vocab#identifiedIntendedVoyageHazard</x:v>
      </x:c>
      <x:c r="C515" s="35" t="str">
        <x:v>DatatypeProperty</x:v>
      </x:c>
      <x:c r="D515" s="35" t="str">
        <x:v>http://www.w3.org/2001/XMLSchema#string</x:v>
      </x:c>
      <x:c r="E515" s="35" t="str">
        <x:v>xsd:string</x:v>
      </x:c>
      <x:c r="F515" s="35" t="str"/>
      <x:c r="G515" s="38" t="str">
        <x:v>IMO-100</x:v>
      </x:c>
      <x:c r="H515" s="35" t="str">
        <x:v>Locked-workbook normalized regulatory term</x:v>
      </x:c>
      <x:c r="I515" s="35" t="str">
        <x:v>N4 - preserve the source concept; normalize spelling to ASCII lowerCamelCase</x:v>
      </x:c>
      <x:c r="J515" s="35" t="str">
        <x:v>REUSE_R2_TERM</x:v>
      </x:c>
    </x:row>
    <x:row r="516">
      <x:c r="A516" s="35" t="str">
        <x:v>immersionPotential</x:v>
      </x:c>
      <x:c r="B516" s="35" t="str">
        <x:v>https://w3id.org/nltl-benchmark/vocab#immersionPotential</x:v>
      </x:c>
      <x:c r="C516" s="35" t="str">
        <x:v>DatatypeProperty</x:v>
      </x:c>
      <x:c r="D516" s="35" t="str">
        <x:v>http://www.w3.org/2001/XMLSchema#boolean</x:v>
      </x:c>
      <x:c r="E516" s="35" t="str">
        <x:v>xsd:boolean</x:v>
      </x:c>
      <x:c r="F516" s="35" t="str"/>
      <x:c r="G516" s="38" t="str">
        <x:v>IMO-064</x:v>
      </x:c>
      <x:c r="H516" s="35" t="str">
        <x:v>Locked-workbook normalized regulatory term</x:v>
      </x:c>
      <x:c r="I516" s="35" t="str">
        <x:v>N4 - preserve the source concept; normalize spelling to ASCII lowerCamelCase</x:v>
      </x:c>
      <x:c r="J516" s="35" t="str">
        <x:v>REUSE_R2_TERM</x:v>
      </x:c>
    </x:row>
    <x:row r="517">
      <x:c r="A517" s="35" t="str">
        <x:v>immersionSuitRequired</x:v>
      </x:c>
      <x:c r="B517" s="35" t="str">
        <x:v>https://w3id.org/nltl-benchmark/vocab#immersionSuitRequired</x:v>
      </x:c>
      <x:c r="C517" s="35" t="str">
        <x:v>DatatypeProperty</x:v>
      </x:c>
      <x:c r="D517" s="35" t="str">
        <x:v>http://www.w3.org/2001/XMLSchema#boolean</x:v>
      </x:c>
      <x:c r="E517" s="35" t="str">
        <x:v>xsd:boolean</x:v>
      </x:c>
      <x:c r="F517" s="35" t="str"/>
      <x:c r="G517" s="38" t="str">
        <x:v>IMO-071</x:v>
      </x:c>
      <x:c r="H517" s="35" t="str">
        <x:v>Locked-workbook normalized regulatory term</x:v>
      </x:c>
      <x:c r="I517" s="35" t="str">
        <x:v>N4 - preserve the source concept; normalize spelling to ASCII lowerCamelCase</x:v>
      </x:c>
      <x:c r="J517" s="35" t="str">
        <x:v>REUSE_R2_TERM</x:v>
      </x:c>
    </x:row>
    <x:row r="518">
      <x:c r="A518" s="35" t="str">
        <x:v>immersionSuitType</x:v>
      </x:c>
      <x:c r="B518" s="35" t="str">
        <x:v>https://w3id.org/nltl-benchmark/vocab#immersionSuitType</x:v>
      </x:c>
      <x:c r="C518" s="35" t="str">
        <x:v>DatatypeProperty</x:v>
      </x:c>
      <x:c r="D518" s="35" t="str">
        <x:v>http://www.w3.org/2001/XMLSchema#string</x:v>
      </x:c>
      <x:c r="E518" s="35" t="str">
        <x:v>xsd:string</x:v>
      </x:c>
      <x:c r="F518" s="35" t="str"/>
      <x:c r="G518" s="38" t="str">
        <x:v>IMO-071</x:v>
      </x:c>
      <x:c r="H518" s="35" t="str">
        <x:v>Locked-workbook normalized regulatory term</x:v>
      </x:c>
      <x:c r="I518" s="35" t="str">
        <x:v>N4 - preserve the source concept; normalize spelling to ASCII lowerCamelCase</x:v>
      </x:c>
      <x:c r="J518" s="35" t="str">
        <x:v>REUSE_R2_TERM</x:v>
      </x:c>
    </x:row>
    <x:row r="519">
      <x:c r="A519" s="35" t="str">
        <x:v>impactLoadCase</x:v>
      </x:c>
      <x:c r="B519" s="35" t="str">
        <x:v>https://w3id.org/nltl-benchmark/vocab#impactLoadCase</x:v>
      </x:c>
      <x:c r="C519" s="35" t="str">
        <x:v>DatatypeProperty</x:v>
      </x:c>
      <x:c r="D519" s="35" t="str">
        <x:v>http://www.w3.org/2001/XMLSchema#string</x:v>
      </x:c>
      <x:c r="E519" s="35" t="str">
        <x:v>xsd:string</x:v>
      </x:c>
      <x:c r="F519" s="35" t="str"/>
      <x:c r="G519" s="38" t="str">
        <x:v>TRF-114</x:v>
      </x:c>
      <x:c r="H519" s="35" t="str">
        <x:v>Benchmark-coined descriptive engineering term</x:v>
      </x:c>
      <x:c r="I519" s="35" t="str">
        <x:v>N5 - component or subject first, followed by characteristic and qualifier/state; no unsupported external mapping</x:v>
      </x:c>
      <x:c r="J519" s="35" t="str">
        <x:v>REUSE_R2_TERM</x:v>
      </x:c>
    </x:row>
    <x:row r="520">
      <x:c r="A520" s="35" t="str">
        <x:v>inLieuOfFrame</x:v>
      </x:c>
      <x:c r="B520" s="35" t="str">
        <x:v>https://w3id.org/nltl-benchmark/vocab#inLieuOfFrame</x:v>
      </x:c>
      <x:c r="C520" s="35" t="str">
        <x:v>DatatypeProperty</x:v>
      </x:c>
      <x:c r="D520" s="35" t="str">
        <x:v>http://www.w3.org/2001/XMLSchema#boolean</x:v>
      </x:c>
      <x:c r="E520" s="35" t="str">
        <x:v>xsd:boolean</x:v>
      </x:c>
      <x:c r="F520" s="35" t="str"/>
      <x:c r="G520" s="38" t="str">
        <x:v>TRF-051</x:v>
      </x:c>
      <x:c r="H520" s="35" t="str">
        <x:v>Applicable TRAFICOM regulation wording plus explicit engineering node/operand role</x:v>
      </x:c>
      <x:c r="I520" s="35" t="str">
        <x:v>N4 - explicit regulatory concept in ASCII lowerCamelCase with an XSD datatype.</x:v>
      </x:c>
      <x:c r="J520" s="35" t="str">
        <x:v>ADD_DEVELOPMENT_TERM</x:v>
      </x:c>
    </x:row>
    <x:row r="521">
      <x:c r="A521" s="35" t="str">
        <x:v>independentEchoSoundingDeviceCount</x:v>
      </x:c>
      <x:c r="B521" s="35" t="str">
        <x:v>https://w3id.org/nltl-benchmark/vocab#independentEchoSoundingDeviceCount</x:v>
      </x:c>
      <x:c r="C521" s="35" t="str">
        <x:v>DatatypeProperty</x:v>
      </x:c>
      <x:c r="D521" s="35" t="str">
        <x:v>http://www.w3.org/2001/XMLSchema#integer</x:v>
      </x:c>
      <x:c r="E521" s="35" t="str">
        <x:v>xsd:integer</x:v>
      </x:c>
      <x:c r="F521" s="35" t="str"/>
      <x:c r="G521" s="38" t="str">
        <x:v>IMO-081 | IMO26-007</x:v>
      </x:c>
      <x:c r="H521" s="35" t="str">
        <x:v>Locked-workbook normalized regulatory term</x:v>
      </x:c>
      <x:c r="I521" s="35" t="str">
        <x:v>N4 - preserve the source concept; normalize spelling to ASCII lowerCamelCase</x:v>
      </x:c>
      <x:c r="J521" s="35" t="str">
        <x:v>REUSE_R2_TERM</x:v>
      </x:c>
    </x:row>
    <x:row r="522">
      <x:c r="A522" s="35" t="str">
        <x:v>independentOperationLimits</x:v>
      </x:c>
      <x:c r="B522" s="35" t="str">
        <x:v>https://w3id.org/nltl-benchmark/vocab#independentOperationLimits</x:v>
      </x:c>
      <x:c r="C522" s="35" t="str">
        <x:v>DatatypeProperty</x:v>
      </x:c>
      <x:c r="D522" s="35" t="str">
        <x:v>http://www.w3.org/2001/XMLSchema#string</x:v>
      </x:c>
      <x:c r="E522" s="35" t="str">
        <x:v>xsd:string</x:v>
      </x:c>
      <x:c r="F522" s="35" t="str"/>
      <x:c r="G522" s="38" t="str">
        <x:v>IMO-030</x:v>
      </x:c>
      <x:c r="H522" s="35" t="str">
        <x:v>Locked-workbook normalized regulatory term</x:v>
      </x:c>
      <x:c r="I522" s="35" t="str">
        <x:v>N4 - preserve the source concept; normalize spelling to ASCII lowerCamelCase</x:v>
      </x:c>
      <x:c r="J522" s="35" t="str">
        <x:v>REUSE_R2_TERM</x:v>
      </x:c>
    </x:row>
    <x:row r="523">
      <x:c r="A523" s="35" t="str">
        <x:v>independentSeaSuctionUsed</x:v>
      </x:c>
      <x:c r="B523" s="35" t="str">
        <x:v>https://w3id.org/nltl-benchmark/vocab#independentSeaSuctionUsed</x:v>
      </x:c>
      <x:c r="C523" s="35" t="str">
        <x:v>DatatypeProperty</x:v>
      </x:c>
      <x:c r="D523" s="35" t="str">
        <x:v>http://www.w3.org/2001/XMLSchema#boolean</x:v>
      </x:c>
      <x:c r="E523" s="35" t="str">
        <x:v>xsd:boolean</x:v>
      </x:c>
      <x:c r="F523" s="35" t="str"/>
      <x:c r="G523" s="38" t="str">
        <x:v>IMO-060</x:v>
      </x:c>
      <x:c r="H523" s="35" t="str">
        <x:v>Locked-workbook normalized regulatory term</x:v>
      </x:c>
      <x:c r="I523" s="35" t="str">
        <x:v>N4 - preserve the source concept; normalize spelling to ASCII lowerCamelCase</x:v>
      </x:c>
      <x:c r="J523" s="35" t="str">
        <x:v>REUSE_R2_TERM</x:v>
      </x:c>
    </x:row>
    <x:row r="524">
      <x:c r="A524" s="35" t="str">
        <x:v>independentTransducerCount</x:v>
      </x:c>
      <x:c r="B524" s="35" t="str">
        <x:v>https://w3id.org/nltl-benchmark/vocab#independentTransducerCount</x:v>
      </x:c>
      <x:c r="C524" s="35" t="str">
        <x:v>DatatypeProperty</x:v>
      </x:c>
      <x:c r="D524" s="35" t="str">
        <x:v>http://www.w3.org/2001/XMLSchema#integer</x:v>
      </x:c>
      <x:c r="E524" s="35" t="str">
        <x:v>xsd:integer</x:v>
      </x:c>
      <x:c r="F524" s="35" t="str"/>
      <x:c r="G524" s="38" t="str">
        <x:v>IMO-081 | IMO26-007</x:v>
      </x:c>
      <x:c r="H524" s="35" t="str">
        <x:v>Locked-workbook normalized regulatory term</x:v>
      </x:c>
      <x:c r="I524" s="35" t="str">
        <x:v>N4 - preserve the source concept; normalize spelling to ASCII lowerCamelCase</x:v>
      </x:c>
      <x:c r="J524" s="35" t="str">
        <x:v>REUSE_R2_TERM</x:v>
      </x:c>
    </x:row>
    <x:row r="525">
      <x:c r="A525" s="35" t="str">
        <x:v>individualOilFuelTankCapacity</x:v>
      </x:c>
      <x:c r="B525" s="35" t="str">
        <x:v>https://w3id.org/nltl-benchmark/vocab#individualOilFuelTankCapacity</x:v>
      </x:c>
      <x:c r="C525" s="35" t="str">
        <x:v>QuantityProperty</x:v>
      </x:c>
      <x:c r="D525" s="35" t="str">
        <x:v>http://qudt.org/schema/qudt/QuantityValue</x:v>
      </x:c>
      <x:c r="E525" s="35" t="str"/>
      <x:c r="F525" s="35" t="str">
        <x:v>m^3</x:v>
      </x:c>
      <x:c r="G525" s="38" t="str">
        <x:v>IMO-108</x:v>
      </x:c>
      <x:c r="H525" s="35" t="str">
        <x:v>Unit-stripped normalized regulatory variable</x:v>
      </x:c>
      <x:c r="I525" s="35" t="str">
        <x:v>N3 - remove unit from the identifier and retain it in unit/quantity metadata</x:v>
      </x:c>
      <x:c r="J525" s="35" t="str">
        <x:v>REUSE_R2_TERM</x:v>
      </x:c>
    </x:row>
    <x:row r="526">
      <x:c r="A526" s="35" t="str">
        <x:v>individualTankCapacity</x:v>
      </x:c>
      <x:c r="B526" s="35" t="str">
        <x:v>https://w3id.org/nltl-benchmark/vocab#individualTankCapacity</x:v>
      </x:c>
      <x:c r="C526" s="35" t="str">
        <x:v>QuantityProperty</x:v>
      </x:c>
      <x:c r="D526" s="35" t="str">
        <x:v>http://qudt.org/schema/qudt/QuantityValue</x:v>
      </x:c>
      <x:c r="E526" s="35" t="str"/>
      <x:c r="F526" s="35" t="str">
        <x:v>m^3</x:v>
      </x:c>
      <x:c r="G526" s="38" t="str">
        <x:v>IMO-111</x:v>
      </x:c>
      <x:c r="H526" s="35" t="str">
        <x:v>Unit-stripped normalized regulatory variable</x:v>
      </x:c>
      <x:c r="I526" s="35" t="str">
        <x:v>N3 - remove unit from the identifier and retain it in unit/quantity metadata</x:v>
      </x:c>
      <x:c r="J526" s="35" t="str">
        <x:v>REUSE_R2_TERM</x:v>
      </x:c>
    </x:row>
    <x:row r="527">
      <x:c r="A527" s="35" t="str">
        <x:v>inertiaRatioIeIt</x:v>
      </x:c>
      <x:c r="B527" s="35" t="str">
        <x:v>https://w3id.org/nltl-benchmark/vocab#inertiaRatioIeIt</x:v>
      </x:c>
      <x:c r="C527" s="35" t="str">
        <x:v>QuantityProperty</x:v>
      </x:c>
      <x:c r="D527" s="35" t="str">
        <x:v>http://qudt.org/schema/qudt/QuantityValue</x:v>
      </x:c>
      <x:c r="E527" s="35" t="str"/>
      <x:c r="F527" s="35" t="str">
        <x:v>1</x:v>
      </x:c>
      <x:c r="G527" s="38" t="str">
        <x:v>I2-013 | TRF-087 | TRF-099</x:v>
      </x:c>
      <x:c r="H527" s="35" t="str">
        <x:v>Locked-workbook normalized regulatory term</x:v>
      </x:c>
      <x:c r="I527" s="35" t="str">
        <x:v>N4 - preserve the source concept; normalize spelling to ASCII lowerCamelCase</x:v>
      </x:c>
      <x:c r="J527" s="35" t="str">
        <x:v>REUSE_R2_TERM</x:v>
      </x:c>
    </x:row>
    <x:row r="528">
      <x:c r="A528" s="35" t="str">
        <x:v>informationLimitationMeasures</x:v>
      </x:c>
      <x:c r="B528" s="35" t="str">
        <x:v>https://w3id.org/nltl-benchmark/vocab#informationLimitationMeasures</x:v>
      </x:c>
      <x:c r="C528" s="35" t="str">
        <x:v>DatatypeProperty</x:v>
      </x:c>
      <x:c r="D528" s="35" t="str">
        <x:v>http://www.w3.org/2001/XMLSchema#string</x:v>
      </x:c>
      <x:c r="E528" s="35" t="str">
        <x:v>xsd:string</x:v>
      </x:c>
      <x:c r="F528" s="35" t="str"/>
      <x:c r="G528" s="38" t="str">
        <x:v>IMO-027</x:v>
      </x:c>
      <x:c r="H528" s="35" t="str">
        <x:v>Locked-workbook normalized regulatory term</x:v>
      </x:c>
      <x:c r="I528" s="35" t="str">
        <x:v>N4 - preserve the source concept; normalize spelling to ASCII lowerCamelCase</x:v>
      </x:c>
      <x:c r="J528" s="35" t="str">
        <x:v>REUSE_R2_TERM</x:v>
      </x:c>
    </x:row>
    <x:row r="529">
      <x:c r="A529" s="35" t="str">
        <x:v>inletChest</x:v>
      </x:c>
      <x:c r="B529" s="35" t="str">
        <x:v>https://w3id.org/nltl-benchmark/vocab#inletChest</x:v>
      </x:c>
      <x:c r="C529" s="35" t="str">
        <x:v>Class</x:v>
      </x:c>
      <x:c r="D529" s="35" t="str">
        <x:v>https://w3id.org/nltl-benchmark/vocab#machineryComponent</x:v>
      </x:c>
      <x:c r="E529" s="35" t="str"/>
      <x:c r="F529" s="35" t="str"/>
      <x:c r="G529" s="38" t="str">
        <x:v>TRF-131</x:v>
      </x:c>
      <x:c r="H529" s="35" t="str">
        <x:v>Benchmark-coined descriptive engineering term</x:v>
      </x:c>
      <x:c r="I529" s="35" t="str">
        <x:v>N5 - component or subject first, followed by characteristic and qualifier/state; no unsupported external mapping</x:v>
      </x:c>
      <x:c r="J529" s="35" t="str">
        <x:v>REUSE_R2_TERM</x:v>
      </x:c>
    </x:row>
    <x:row r="530">
      <x:c r="A530" s="35" t="str">
        <x:v>inletPipeArea</x:v>
      </x:c>
      <x:c r="B530" s="35" t="str">
        <x:v>https://w3id.org/nltl-benchmark/vocab#inletPipeArea</x:v>
      </x:c>
      <x:c r="C530" s="35" t="str">
        <x:v>QuantityProperty</x:v>
      </x:c>
      <x:c r="D530" s="35" t="str">
        <x:v>http://qudt.org/schema/qudt/QuantityValue</x:v>
      </x:c>
      <x:c r="E530" s="35" t="str"/>
      <x:c r="F530" s="35" t="str">
        <x:v>m^2</x:v>
      </x:c>
      <x:c r="G530" s="38" t="str">
        <x:v>TRF-130</x:v>
      </x:c>
      <x:c r="H530" s="35" t="str">
        <x:v>Unit-stripped normalized regulatory variable</x:v>
      </x:c>
      <x:c r="I530" s="35" t="str">
        <x:v>N3 - remove unit from the identifier and retain it in unit/quantity metadata</x:v>
      </x:c>
      <x:c r="J530" s="35" t="str">
        <x:v>REUSE_R2_TERM</x:v>
      </x:c>
    </x:row>
    <x:row r="531">
      <x:c r="A531" s="35" t="str">
        <x:v>instructionStatus</x:v>
      </x:c>
      <x:c r="B531" s="35" t="str">
        <x:v>https://w3id.org/nltl-benchmark/vocab#instructionStatus</x:v>
      </x:c>
      <x:c r="C531" s="35" t="str">
        <x:v>DatatypeProperty</x:v>
      </x:c>
      <x:c r="D531" s="35" t="str">
        <x:v>http://www.w3.org/2001/XMLSchema#boolean</x:v>
      </x:c>
      <x:c r="E531" s="35" t="str">
        <x:v>xsd:boolean</x:v>
      </x:c>
      <x:c r="F531" s="35" t="str"/>
      <x:c r="G531" s="38" t="str">
        <x:v>IMO-078</x:v>
      </x:c>
      <x:c r="H531" s="35" t="str">
        <x:v>Benchmark-coined descriptive engineering term</x:v>
      </x:c>
      <x:c r="I531" s="35" t="str">
        <x:v>N5 - component or subject first, followed by characteristic and qualifier/state; no unsupported external mapping</x:v>
      </x:c>
      <x:c r="J531" s="35" t="str">
        <x:v>REUSE_R2_TERM</x:v>
      </x:c>
    </x:row>
    <x:row r="532">
      <x:c r="A532" s="35" t="str">
        <x:v>intendedArea</x:v>
      </x:c>
      <x:c r="B532" s="35" t="str">
        <x:v>https://w3id.org/nltl-benchmark/vocab#intendedArea</x:v>
      </x:c>
      <x:c r="C532" s="35" t="str">
        <x:v>DatatypeProperty</x:v>
      </x:c>
      <x:c r="D532" s="35" t="str">
        <x:v>http://www.w3.org/2001/XMLSchema#string</x:v>
      </x:c>
      <x:c r="E532" s="35" t="str">
        <x:v>xsd:string</x:v>
      </x:c>
      <x:c r="F532" s="35" t="str"/>
      <x:c r="G532" s="38" t="str">
        <x:v>IMO26-005</x:v>
      </x:c>
      <x:c r="H532" s="35" t="str">
        <x:v>Locked-workbook normalized regulatory term</x:v>
      </x:c>
      <x:c r="I532" s="35" t="str">
        <x:v>N4 - preserve the source concept; normalize spelling to ASCII lowerCamelCase</x:v>
      </x:c>
      <x:c r="J532" s="35" t="str">
        <x:v>REUSE_R2_TERM</x:v>
      </x:c>
    </x:row>
    <x:row r="533">
      <x:c r="A533" s="35" t="str">
        <x:v>intendedAreaSuitabilityApprovalStatus</x:v>
      </x:c>
      <x:c r="B533" s="35" t="str">
        <x:v>https://w3id.org/nltl-benchmark/vocab#intendedAreaSuitabilityApprovalStatus</x:v>
      </x:c>
      <x:c r="C533" s="35" t="str">
        <x:v>ObjectProperty</x:v>
      </x:c>
      <x:c r="D533" s="35" t="str">
        <x:v>https://w3id.org/nltl-benchmark/vocab#evidenceState</x:v>
      </x:c>
      <x:c r="E533" s="35" t="str"/>
      <x:c r="F533" s="35" t="str"/>
      <x:c r="G533" s="38" t="str">
        <x:v>IMO26-005</x:v>
      </x:c>
      <x:c r="H533" s="35" t="str">
        <x:v>Locked-workbook normalized regulatory term</x:v>
      </x:c>
      <x:c r="I533" s="35" t="str">
        <x:v>N4 - preserve the source concept; normalize spelling to ASCII lowerCamelCase</x:v>
      </x:c>
      <x:c r="J533" s="35" t="str">
        <x:v>REUSE_R2_TERM</x:v>
      </x:c>
    </x:row>
    <x:row r="534">
      <x:c r="A534" s="35" t="str">
        <x:v>intendedOperationCompatibilityStatus</x:v>
      </x:c>
      <x:c r="B534" s="35" t="str">
        <x:v>https://w3id.org/nltl-benchmark/vocab#intendedOperationCompatibilityStatus</x:v>
      </x:c>
      <x:c r="C534" s="35" t="str">
        <x:v>DatatypeProperty</x:v>
      </x:c>
      <x:c r="D534" s="35" t="str">
        <x:v>http://www.w3.org/2001/XMLSchema#boolean</x:v>
      </x:c>
      <x:c r="E534" s="35" t="str">
        <x:v>xsd:boolean</x:v>
      </x:c>
      <x:c r="F534" s="35" t="str"/>
      <x:c r="G534" s="38" t="str">
        <x:v>IMO-053</x:v>
      </x:c>
      <x:c r="H534" s="35" t="str">
        <x:v>Locked-workbook normalized regulatory term</x:v>
      </x:c>
      <x:c r="I534" s="35" t="str">
        <x:v>N4 - preserve the source concept; normalize spelling to ASCII lowerCamelCase</x:v>
      </x:c>
      <x:c r="J534" s="35" t="str">
        <x:v>REUSE_R2_TERM</x:v>
      </x:c>
    </x:row>
    <x:row r="535">
      <x:c r="A535" s="35" t="str">
        <x:v>intendedRouteSeaWaterSalinity</x:v>
      </x:c>
      <x:c r="B535" s="35" t="str">
        <x:v>https://w3id.org/nltl-benchmark/vocab#intendedRouteSeaWaterSalinity</x:v>
      </x:c>
      <x:c r="C535" s="35" t="str">
        <x:v>QuantityProperty</x:v>
      </x:c>
      <x:c r="D535" s="35" t="str">
        <x:v>http://qudt.org/schema/qudt/QuantityValue</x:v>
      </x:c>
      <x:c r="E535" s="35" t="str"/>
      <x:c r="F535" s="35" t="str">
        <x:v>g/kg</x:v>
      </x:c>
      <x:c r="G535" s="38" t="str">
        <x:v>TRF-015</x:v>
      </x:c>
      <x:c r="H535" s="35" t="str">
        <x:v>Applicable TRAFICOM regulation wording plus explicit engineering node/operand role</x:v>
      </x:c>
      <x:c r="I535" s="35" t="str">
        <x:v>N4 - explicit engineering quantity in ASCII lowerCamelCase; formula symbols remain aliases only.</x:v>
      </x:c>
      <x:c r="J535" s="35" t="str">
        <x:v>ADD_DEVELOPMENT_TERM</x:v>
      </x:c>
    </x:row>
    <x:row r="536">
      <x:c r="A536" s="35" t="str">
        <x:v>intendedServicePowerAdequacy</x:v>
      </x:c>
      <x:c r="B536" s="35" t="str">
        <x:v>https://w3id.org/nltl-benchmark/vocab#intendedServicePowerAdequacy</x:v>
      </x:c>
      <x:c r="C536" s="35" t="str">
        <x:v>DatatypeProperty</x:v>
      </x:c>
      <x:c r="D536" s="35" t="str">
        <x:v>http://www.w3.org/2001/XMLSchema#boolean</x:v>
      </x:c>
      <x:c r="E536" s="35" t="str">
        <x:v>xsd:boolean</x:v>
      </x:c>
      <x:c r="F536" s="35" t="str"/>
      <x:c r="G536" s="38" t="str">
        <x:v>TRF-096</x:v>
      </x:c>
      <x:c r="H536" s="35" t="str">
        <x:v>Benchmark-coined descriptive engineering term</x:v>
      </x:c>
      <x:c r="I536" s="35" t="str">
        <x:v>N5 - component or subject first, followed by characteristic and qualifier/state; no unsupported external mapping</x:v>
      </x:c>
      <x:c r="J536" s="35" t="str">
        <x:v>REUSE_R2_TERM</x:v>
      </x:c>
    </x:row>
    <x:row r="537">
      <x:c r="A537" s="35" t="str">
        <x:v>intendedVoyage</x:v>
      </x:c>
      <x:c r="B537" s="35" t="str">
        <x:v>https://w3id.org/nltl-benchmark/vocab#intendedVoyage</x:v>
      </x:c>
      <x:c r="C537" s="35" t="str">
        <x:v>DatatypeProperty</x:v>
      </x:c>
      <x:c r="D537" s="35" t="str">
        <x:v>http://www.w3.org/2001/XMLSchema#string</x:v>
      </x:c>
      <x:c r="E537" s="35" t="str">
        <x:v>xsd:string</x:v>
      </x:c>
      <x:c r="F537" s="35" t="str"/>
      <x:c r="G537" s="38" t="str">
        <x:v>IMO-064</x:v>
      </x:c>
      <x:c r="H537" s="35" t="str">
        <x:v>Locked-workbook normalized regulatory term</x:v>
      </x:c>
      <x:c r="I537" s="35" t="str">
        <x:v>N4 - preserve the source concept; normalize spelling to ASCII lowerCamelCase</x:v>
      </x:c>
      <x:c r="J537" s="35" t="str">
        <x:v>REUSE_R2_TERM</x:v>
      </x:c>
    </x:row>
    <x:row r="538">
      <x:c r="A538" s="35" t="str">
        <x:v>intendedVoyageHazard</x:v>
      </x:c>
      <x:c r="B538" s="35" t="str">
        <x:v>https://w3id.org/nltl-benchmark/vocab#intendedVoyageHazard</x:v>
      </x:c>
      <x:c r="C538" s="35" t="str">
        <x:v>DatatypeProperty</x:v>
      </x:c>
      <x:c r="D538" s="35" t="str">
        <x:v>http://www.w3.org/2001/XMLSchema#string</x:v>
      </x:c>
      <x:c r="E538" s="35" t="str">
        <x:v>xsd:string</x:v>
      </x:c>
      <x:c r="F538" s="35" t="str"/>
      <x:c r="G538" s="38" t="str">
        <x:v>IMO26-017</x:v>
      </x:c>
      <x:c r="H538" s="35" t="str">
        <x:v>Locked-workbook normalized regulatory term</x:v>
      </x:c>
      <x:c r="I538" s="35" t="str">
        <x:v>N4 - preserve the source concept; normalize spelling to ASCII lowerCamelCase</x:v>
      </x:c>
      <x:c r="J538" s="35" t="str">
        <x:v>REUSE_R2_TERM</x:v>
      </x:c>
    </x:row>
    <x:row r="539">
      <x:c r="A539" s="35" t="str">
        <x:v>intermediateIceFrame</x:v>
      </x:c>
      <x:c r="B539" s="35" t="str">
        <x:v>https://w3id.org/nltl-benchmark/vocab#intermediateIceFrame</x:v>
      </x:c>
      <x:c r="C539" s="35" t="str">
        <x:v>Class</x:v>
      </x:c>
      <x:c r="D539" s="35" t="str">
        <x:v>https://w3id.org/nltl-benchmark/vocab#frame</x:v>
      </x:c>
      <x:c r="E539" s="35" t="str"/>
      <x:c r="F539" s="35" t="str"/>
      <x:c r="G539" s="38" t="str">
        <x:v>TRF-046 | TRF-047</x:v>
      </x:c>
      <x:c r="H539" s="35" t="str">
        <x:v>Applicable TRAFICOM regulation wording plus explicit engineering node/operand role</x:v>
      </x:c>
      <x:c r="I539" s="35" t="str">
        <x:v>N4 - singular ASCII lowerCamelCase entity name derived from the linked regulatory role.</x:v>
      </x:c>
      <x:c r="J539" s="35" t="str">
        <x:v>ADD_DEVELOPMENT_TERM</x:v>
      </x:c>
    </x:row>
    <x:row r="540">
      <x:c r="A540" s="35" t="str">
        <x:v>intermediateTransverseFrame</x:v>
      </x:c>
      <x:c r="B540" s="35" t="str">
        <x:v>https://w3id.org/nltl-benchmark/vocab#intermediateTransverseFrame</x:v>
      </x:c>
      <x:c r="C540" s="35" t="str">
        <x:v>Class</x:v>
      </x:c>
      <x:c r="D540" s="35" t="str">
        <x:v>https://w3id.org/nltl-benchmark/vocab#transverseFrame</x:v>
      </x:c>
      <x:c r="E540" s="35" t="str"/>
      <x:c r="F540" s="35" t="str"/>
      <x:c r="G540" s="38" t="str">
        <x:v>TRF-044</x:v>
      </x:c>
      <x:c r="H540" s="35" t="str">
        <x:v>Applicable TRAFICOM regulation wording plus explicit engineering node/operand role</x:v>
      </x:c>
      <x:c r="I540" s="35" t="str">
        <x:v>N4 - singular ASCII lowerCamelCase entity name derived from the linked regulatory role.</x:v>
      </x:c>
      <x:c r="J540" s="35" t="str">
        <x:v>ADD_DEVELOPMENT_TERM</x:v>
      </x:c>
    </x:row>
    <x:row r="541">
      <x:c r="A541" s="35" t="str">
        <x:v>intermediateVerticalPosition</x:v>
      </x:c>
      <x:c r="B541" s="35" t="str">
        <x:v>https://w3id.org/nltl-benchmark/vocab#intermediateVerticalPosition</x:v>
      </x:c>
      <x:c r="C541" s="35" t="str">
        <x:v>NamedIndividual</x:v>
      </x:c>
      <x:c r="D541" s="35" t="str">
        <x:v>https://w3id.org/nltl-benchmark/vocab#loadPositionTypeValue</x:v>
      </x:c>
      <x:c r="E541" s="35" t="str"/>
      <x:c r="F541" s="35" t="str"/>
      <x:c r="G541" s="38" t="str">
        <x:v>TRF-030</x:v>
      </x:c>
      <x:c r="H541" s="35" t="str">
        <x:v>Applicable TRAFICOM regulation wording plus explicit engineering node/operand role</x:v>
      </x:c>
      <x:c r="I541" s="35" t="str">
        <x:v>N6 - concise ASCII lowerCamelCase controlled-value name grounded in the linked regulation.</x:v>
      </x:c>
      <x:c r="J541" s="35" t="str">
        <x:v>ADD_DEVELOPMENT_TERM</x:v>
      </x:c>
    </x:row>
    <x:row r="542">
      <x:c r="A542" s="35" t="str">
        <x:v>internalStructure</x:v>
      </x:c>
      <x:c r="B542" s="35" t="str">
        <x:v>https://w3id.org/nltl-benchmark/vocab#internalStructure</x:v>
      </x:c>
      <x:c r="C542" s="35" t="str">
        <x:v>Class</x:v>
      </x:c>
      <x:c r="D542" s="35" t="str">
        <x:v>https://w3id.org/nltl-benchmark/vocab#hullStructure</x:v>
      </x:c>
      <x:c r="E542" s="35" t="str"/>
      <x:c r="F542" s="35" t="str"/>
      <x:c r="G542" s="38" t="str">
        <x:v>I2-046</x:v>
      </x:c>
      <x:c r="H542" s="35" t="str">
        <x:v>Benchmark-coined descriptive engineering term</x:v>
      </x:c>
      <x:c r="I542" s="35" t="str">
        <x:v>N5 - component or subject first, followed by characteristic and qualifier/state; no unsupported external mapping</x:v>
      </x:c>
      <x:c r="J542" s="35" t="str">
        <x:v>REUSE_R2_TERM</x:v>
      </x:c>
    </x:row>
    <x:row r="543">
      <x:c r="A543" s="35" t="str">
        <x:v>internationalCodeOfSignalsComplianceStatus</x:v>
      </x:c>
      <x:c r="B543" s="35" t="str">
        <x:v>https://w3id.org/nltl-benchmark/vocab#internationalCodeOfSignalsComplianceStatus</x:v>
      </x:c>
      <x:c r="C543" s="35" t="str">
        <x:v>DatatypeProperty</x:v>
      </x:c>
      <x:c r="D543" s="35" t="str">
        <x:v>http://www.w3.org/2001/XMLSchema#boolean</x:v>
      </x:c>
      <x:c r="E543" s="35" t="str">
        <x:v>xsd:boolean</x:v>
      </x:c>
      <x:c r="F543" s="35" t="str"/>
      <x:c r="G543" s="38" t="str">
        <x:v>IMO-094</x:v>
      </x:c>
      <x:c r="H543" s="35" t="str">
        <x:v>Locked-workbook normalized regulatory term</x:v>
      </x:c>
      <x:c r="I543" s="35" t="str">
        <x:v>N4 - preserve the source concept; normalize spelling to ASCII lowerCamelCase</x:v>
      </x:c>
      <x:c r="J543" s="35" t="str">
        <x:v>REUSE_R2_TERM</x:v>
      </x:c>
    </x:row>
    <x:row r="544">
      <x:c r="A544" s="35" t="str">
        <x:v>interpolatedShellPlateRequirement</x:v>
      </x:c>
      <x:c r="B544" s="35" t="str">
        <x:v>https://w3id.org/nltl-benchmark/vocab#interpolatedShellPlateRequirement</x:v>
      </x:c>
      <x:c r="C544" s="35" t="str">
        <x:v>DatatypeProperty</x:v>
      </x:c>
      <x:c r="D544" s="35" t="str">
        <x:v>http://www.w3.org/2001/XMLSchema#boolean</x:v>
      </x:c>
      <x:c r="E544" s="35" t="str">
        <x:v>xsd:boolean</x:v>
      </x:c>
      <x:c r="F544" s="35" t="str"/>
      <x:c r="G544" s="38" t="str">
        <x:v>I2-024</x:v>
      </x:c>
      <x:c r="H544" s="35" t="str">
        <x:v>Benchmark-coined descriptive engineering term</x:v>
      </x:c>
      <x:c r="I544" s="35" t="str">
        <x:v>N5 - component or subject first, followed by characteristic and qualifier/state; no unsupported external mapping</x:v>
      </x:c>
      <x:c r="J544" s="35" t="str">
        <x:v>REUSE_R2_TERM</x:v>
      </x:c>
    </x:row>
    <x:row r="545">
      <x:c r="A545" s="35" t="str">
        <x:v>interpolatedValue</x:v>
      </x:c>
      <x:c r="B545" s="35" t="str">
        <x:v>https://w3id.org/nltl-benchmark/vocab#interpolatedValue</x:v>
      </x:c>
      <x:c r="C545" s="35" t="str">
        <x:v>DatatypeProperty</x:v>
      </x:c>
      <x:c r="D545" s="35" t="str">
        <x:v>http://www.w3.org/2001/XMLSchema#string</x:v>
      </x:c>
      <x:c r="E545" s="35" t="str">
        <x:v>xsd:string</x:v>
      </x:c>
      <x:c r="F545" s="35" t="str"/>
      <x:c r="G545" s="38" t="str">
        <x:v>I2-052</x:v>
      </x:c>
      <x:c r="H545" s="35" t="str">
        <x:v>Benchmark-coined descriptive engineering term</x:v>
      </x:c>
      <x:c r="I545" s="35" t="str">
        <x:v>N5 - component or subject first, followed by characteristic and qualifier/state; no unsupported external mapping</x:v>
      </x:c>
      <x:c r="J545" s="35" t="str">
        <x:v>REUSE_R2_TERM</x:v>
      </x:c>
    </x:row>
    <x:row r="546">
      <x:c r="A546" s="35" t="str">
        <x:v>interpolationInput</x:v>
      </x:c>
      <x:c r="B546" s="35" t="str">
        <x:v>https://w3id.org/nltl-benchmark/vocab#interpolationInput</x:v>
      </x:c>
      <x:c r="C546" s="35" t="str">
        <x:v>DatatypeProperty</x:v>
      </x:c>
      <x:c r="D546" s="35" t="str">
        <x:v>http://www.w3.org/2001/XMLSchema#string</x:v>
      </x:c>
      <x:c r="E546" s="35" t="str">
        <x:v>xsd:string</x:v>
      </x:c>
      <x:c r="F546" s="35" t="str"/>
      <x:c r="G546" s="38" t="str">
        <x:v>I2-052</x:v>
      </x:c>
      <x:c r="H546" s="35" t="str">
        <x:v>Benchmark-coined descriptive engineering term</x:v>
      </x:c>
      <x:c r="I546" s="35" t="str">
        <x:v>N5 - component or subject first, followed by characteristic and qualifier/state; no unsupported external mapping</x:v>
      </x:c>
      <x:c r="J546" s="35" t="str">
        <x:v>REUSE_R2_TERM</x:v>
      </x:c>
    </x:row>
    <x:row r="547">
      <x:c r="A547" s="35" t="str">
        <x:v>isolationCapability</x:v>
      </x:c>
      <x:c r="B547" s="35" t="str">
        <x:v>https://w3id.org/nltl-benchmark/vocab#isolationCapability</x:v>
      </x:c>
      <x:c r="C547" s="35" t="str">
        <x:v>DatatypeProperty</x:v>
      </x:c>
      <x:c r="D547" s="35" t="str">
        <x:v>http://www.w3.org/2001/XMLSchema#boolean</x:v>
      </x:c>
      <x:c r="E547" s="35" t="str">
        <x:v>xsd:boolean</x:v>
      </x:c>
      <x:c r="F547" s="35" t="str"/>
      <x:c r="G547" s="38" t="str">
        <x:v>IMO-058</x:v>
      </x:c>
      <x:c r="H547" s="35" t="str">
        <x:v>Locked-workbook normalized regulatory term</x:v>
      </x:c>
      <x:c r="I547" s="35" t="str">
        <x:v>N4 - preserve the source concept; normalize spelling to ASCII lowerCamelCase</x:v>
      </x:c>
      <x:c r="J547" s="35" t="str">
        <x:v>REUSE_R2_TERM</x:v>
      </x:c>
    </x:row>
    <x:row r="548">
      <x:c r="A548" s="35" t="str">
        <x:v>kilogramPerSquareMetreSquareSecondUnit</x:v>
      </x:c>
      <x:c r="B548" s="35" t="str">
        <x:v>https://w3id.org/nltl-benchmark/vocab#kilogramPerSquareMetreSquareSecondUnit</x:v>
      </x:c>
      <x:c r="C548" s="35" t="str">
        <x:v>NamedIndividual</x:v>
      </x:c>
      <x:c r="D548" s="35" t="str">
        <x:v>http://qudt.org/schema/qudt/Unit</x:v>
      </x:c>
      <x:c r="E548" s="35" t="str"/>
      <x:c r="F548" s="35" t="str"/>
      <x:c r="G548" s="38" t="str">
        <x:v>TRF-022 | TRF-027</x:v>
      </x:c>
      <x:c r="H548" s="35" t="str">
        <x:v>Applicable TRAFICOM regulation wording plus explicit engineering node/operand role</x:v>
      </x:c>
      <x:c r="I548" s="35" t="str">
        <x:v>N6 - concise ASCII lowerCamelCase controlled-value name grounded in the linked regulation.</x:v>
      </x:c>
      <x:c r="J548" s="35" t="str">
        <x:v>ADD_DEVELOPMENT_TERM</x:v>
      </x:c>
    </x:row>
    <x:row r="549">
      <x:c r="A549" s="35" t="str">
        <x:v>kilogramPerSquareSecondUnit</x:v>
      </x:c>
      <x:c r="B549" s="35" t="str">
        <x:v>https://w3id.org/nltl-benchmark/vocab#kilogramPerSquareSecondUnit</x:v>
      </x:c>
      <x:c r="C549" s="35" t="str">
        <x:v>NamedIndividual</x:v>
      </x:c>
      <x:c r="D549" s="35" t="str">
        <x:v>http://qudt.org/schema/qudt/Unit</x:v>
      </x:c>
      <x:c r="E549" s="35" t="str"/>
      <x:c r="F549" s="35" t="str"/>
      <x:c r="G549" s="38" t="str">
        <x:v>TRF-022 | TRF-027</x:v>
      </x:c>
      <x:c r="H549" s="35" t="str">
        <x:v>Applicable TRAFICOM regulation wording plus explicit engineering node/operand role</x:v>
      </x:c>
      <x:c r="I549" s="35" t="str">
        <x:v>N6 - concise ASCII lowerCamelCase controlled-value name grounded in the linked regulation.</x:v>
      </x:c>
      <x:c r="J549" s="35" t="str">
        <x:v>ADD_DEVELOPMENT_TERM</x:v>
      </x:c>
    </x:row>
    <x:row r="550">
      <x:c r="A550" s="35" t="str">
        <x:v>landOriginIceConcentration</x:v>
      </x:c>
      <x:c r="B550" s="35" t="str">
        <x:v>https://w3id.org/nltl-benchmark/vocab#landOriginIceConcentration</x:v>
      </x:c>
      <x:c r="C550" s="35" t="str">
        <x:v>QuantityProperty</x:v>
      </x:c>
      <x:c r="D550" s="35" t="str">
        <x:v>http://qudt.org/schema/qudt/QuantityValue</x:v>
      </x:c>
      <x:c r="E550" s="35" t="str"/>
      <x:c r="F550" s="35" t="str">
        <x:v>1</x:v>
      </x:c>
      <x:c r="G550" s="38" t="str">
        <x:v>IMO-009</x:v>
      </x:c>
      <x:c r="H550" s="35" t="str">
        <x:v>Unit-stripped normalized regulatory variable</x:v>
      </x:c>
      <x:c r="I550" s="35" t="str">
        <x:v>N3 - remove unit from the identifier and retain it in unit/quantity metadata</x:v>
      </x:c>
      <x:c r="J550" s="35" t="str">
        <x:v>REUSE_R2_TERM</x:v>
      </x:c>
    </x:row>
    <x:row r="551">
      <x:c r="A551" s="35" t="str">
        <x:v>launchingApplianceCapacity</x:v>
      </x:c>
      <x:c r="B551" s="35" t="str">
        <x:v>https://w3id.org/nltl-benchmark/vocab#launchingApplianceCapacity</x:v>
      </x:c>
      <x:c r="C551" s="35" t="str">
        <x:v>QuantityProperty</x:v>
      </x:c>
      <x:c r="D551" s="35" t="str">
        <x:v>http://qudt.org/schema/qudt/QuantityValue</x:v>
      </x:c>
      <x:c r="E551" s="35" t="str"/>
      <x:c r="F551" s="35" t="str">
        <x:v>kg</x:v>
      </x:c>
      <x:c r="G551" s="38" t="str">
        <x:v>IMO-077</x:v>
      </x:c>
      <x:c r="H551" s="35" t="str">
        <x:v>Locked-workbook normalized regulatory term</x:v>
      </x:c>
      <x:c r="I551" s="35" t="str">
        <x:v>N4 - preserve the source concept; normalize spelling to ASCII lowerCamelCase</x:v>
      </x:c>
      <x:c r="J551" s="35" t="str">
        <x:v>REUSE_R2_TERM</x:v>
      </x:c>
    </x:row>
    <x:row r="552">
      <x:c r="A552" s="35" t="str">
        <x:v>lengthOverall</x:v>
      </x:c>
      <x:c r="B552" s="35" t="str">
        <x:v>https://w3id.org/nltl-benchmark/vocab#lengthOverall</x:v>
      </x:c>
      <x:c r="C552" s="35" t="str">
        <x:v>QuantityProperty</x:v>
      </x:c>
      <x:c r="D552" s="35" t="str">
        <x:v>http://qudt.org/schema/qudt/QuantityValue</x:v>
      </x:c>
      <x:c r="E552" s="35" t="str"/>
      <x:c r="F552" s="35" t="str">
        <x:v>m</x:v>
      </x:c>
      <x:c r="G552" s="38" t="str">
        <x:v>IMO26-002 | IMO26-016</x:v>
      </x:c>
      <x:c r="H552" s="35" t="str">
        <x:v>Unit-stripped normalized regulatory variable</x:v>
      </x:c>
      <x:c r="I552" s="35" t="str">
        <x:v>N3 - remove unit from the identifier and retain it in unit/quantity metadata</x:v>
      </x:c>
      <x:c r="J552" s="35" t="str">
        <x:v>REUSE_R2_TERM</x:v>
      </x:c>
    </x:row>
    <x:row r="553">
      <x:c r="A553" s="35" t="str">
        <x:v>levelIceThickness</x:v>
      </x:c>
      <x:c r="B553" s="35" t="str">
        <x:v>https://w3id.org/nltl-benchmark/vocab#levelIceThickness</x:v>
      </x:c>
      <x:c r="C553" s="35" t="str">
        <x:v>QuantityProperty</x:v>
      </x:c>
      <x:c r="D553" s="35" t="str">
        <x:v>http://qudt.org/schema/qudt/QuantityValue</x:v>
      </x:c>
      <x:c r="E553" s="35" t="str"/>
      <x:c r="F553" s="35" t="str">
        <x:v>m</x:v>
      </x:c>
      <x:c r="G553" s="38" t="str">
        <x:v>TRF-016 | TRF-036</x:v>
      </x:c>
      <x:c r="H553" s="35" t="str">
        <x:v>Verified exact implementation term</x:v>
      </x:c>
      <x:c r="I553" s="35" t="str">
        <x:v>N1 - reuse only after exact URI and semantic-context verification</x:v>
      </x:c>
      <x:c r="J553" s="35" t="str">
        <x:v>REUSE_R2_TERM</x:v>
      </x:c>
    </x:row>
    <x:row r="554">
      <x:c r="A554" s="35" t="str">
        <x:v>lifeSavingAppliance</x:v>
      </x:c>
      <x:c r="B554" s="35" t="str">
        <x:v>https://w3id.org/nltl-benchmark/vocab#lifeSavingAppliance</x:v>
      </x:c>
      <x:c r="C554" s="35" t="str">
        <x:v>Class</x:v>
      </x:c>
      <x:c r="D554" s="35" t="str">
        <x:v>https://w3id.org/nltl-benchmark/vocab#benchmarkEntity</x:v>
      </x:c>
      <x:c r="E554" s="35" t="str"/>
      <x:c r="F554" s="35" t="str"/>
      <x:c r="G554" s="38" t="str">
        <x:v>IMO-063</x:v>
      </x:c>
      <x:c r="H554" s="35" t="str">
        <x:v>Locked-workbook normalized regulatory term</x:v>
      </x:c>
      <x:c r="I554" s="35" t="str">
        <x:v>N4 - preserve the source concept; normalize spelling to ASCII lowerCamelCase</x:v>
      </x:c>
      <x:c r="J554" s="35" t="str">
        <x:v>REUSE_R2_TERM</x:v>
      </x:c>
    </x:row>
    <x:row r="555">
      <x:c r="A555" s="35" t="str">
        <x:v>lifeboat</x:v>
      </x:c>
      <x:c r="B555" s="35" t="str">
        <x:v>https://w3id.org/nltl-benchmark/vocab#lifeboat</x:v>
      </x:c>
      <x:c r="C555" s="35" t="str">
        <x:v>Class</x:v>
      </x:c>
      <x:c r="D555" s="35" t="str">
        <x:v>https://w3id.org/nltl-benchmark/vocab#benchmarkEntity</x:v>
      </x:c>
      <x:c r="E555" s="35" t="str"/>
      <x:c r="F555" s="35" t="str"/>
      <x:c r="G555" s="38" t="str">
        <x:v>IMO-072 | IMO-073</x:v>
      </x:c>
      <x:c r="H555" s="35" t="str">
        <x:v>Locked-workbook normalized regulatory term</x:v>
      </x:c>
      <x:c r="I555" s="35" t="str">
        <x:v>N4 - preserve the source concept; normalize spelling to ASCII lowerCamelCase</x:v>
      </x:c>
      <x:c r="J555" s="35" t="str">
        <x:v>REUSE_R2_TERM</x:v>
      </x:c>
    </x:row>
    <x:row r="556">
      <x:c r="A556" s="35" t="str">
        <x:v>lifeboatType</x:v>
      </x:c>
      <x:c r="B556" s="35" t="str">
        <x:v>https://w3id.org/nltl-benchmark/vocab#lifeboatType</x:v>
      </x:c>
      <x:c r="C556" s="35" t="str">
        <x:v>DatatypeProperty</x:v>
      </x:c>
      <x:c r="D556" s="35" t="str">
        <x:v>http://www.w3.org/2001/XMLSchema#string</x:v>
      </x:c>
      <x:c r="E556" s="35" t="str">
        <x:v>xsd:string</x:v>
      </x:c>
      <x:c r="F556" s="35" t="str"/>
      <x:c r="G556" s="38" t="str">
        <x:v>IMO-073</x:v>
      </x:c>
      <x:c r="H556" s="35" t="str">
        <x:v>Locked-workbook normalized regulatory term</x:v>
      </x:c>
      <x:c r="I556" s="35" t="str">
        <x:v>N4 - preserve the source concept; normalize spelling to ASCII lowerCamelCase</x:v>
      </x:c>
      <x:c r="J556" s="35" t="str">
        <x:v>REUSE_R2_TERM</x:v>
      </x:c>
    </x:row>
    <x:row r="557">
      <x:c r="A557" s="35" t="str">
        <x:v>lightVisibleFromAstern</x:v>
      </x:c>
      <x:c r="B557" s="35" t="str">
        <x:v>https://w3id.org/nltl-benchmark/vocab#lightVisibleFromAstern</x:v>
      </x:c>
      <x:c r="C557" s="35" t="str">
        <x:v>DatatypeProperty</x:v>
      </x:c>
      <x:c r="D557" s="35" t="str">
        <x:v>http://www.w3.org/2001/XMLSchema#boolean</x:v>
      </x:c>
      <x:c r="E557" s="35" t="str">
        <x:v>xsd:boolean</x:v>
      </x:c>
      <x:c r="F557" s="35" t="str"/>
      <x:c r="G557" s="38" t="str">
        <x:v>IMO-089</x:v>
      </x:c>
      <x:c r="H557" s="35" t="str">
        <x:v>Benchmark-coined descriptive engineering term</x:v>
      </x:c>
      <x:c r="I557" s="35" t="str">
        <x:v>N5 - component or subject first, followed by characteristic and qualifier/state; no unsupported external mapping</x:v>
      </x:c>
      <x:c r="J557" s="35" t="str">
        <x:v>REUSE_R2_TERM</x:v>
      </x:c>
    </x:row>
    <x:row r="558">
      <x:c r="A558" s="35" t="str">
        <x:v>limitationsSectionPresent</x:v>
      </x:c>
      <x:c r="B558" s="35" t="str">
        <x:v>https://w3id.org/nltl-benchmark/vocab#limitationsSectionPresent</x:v>
      </x:c>
      <x:c r="C558" s="35" t="str">
        <x:v>DatatypeProperty</x:v>
      </x:c>
      <x:c r="D558" s="35" t="str">
        <x:v>http://www.w3.org/2001/XMLSchema#boolean</x:v>
      </x:c>
      <x:c r="E558" s="35" t="str">
        <x:v>xsd:boolean</x:v>
      </x:c>
      <x:c r="F558" s="35" t="str"/>
      <x:c r="G558" s="38" t="str">
        <x:v>IMO-022</x:v>
      </x:c>
      <x:c r="H558" s="35" t="str">
        <x:v>Locked-workbook normalized regulatory term</x:v>
      </x:c>
      <x:c r="I558" s="35" t="str">
        <x:v>N4 - preserve the source concept; normalize spelling to ASCII lowerCamelCase</x:v>
      </x:c>
      <x:c r="J558" s="35" t="str">
        <x:v>REUSE_R2_TERM</x:v>
      </x:c>
    </x:row>
    <x:row r="559">
      <x:c r="A559" s="35" t="str">
        <x:v>lineLoad</x:v>
      </x:c>
      <x:c r="B559" s="35" t="str">
        <x:v>https://w3id.org/nltl-benchmark/vocab#lineLoad</x:v>
      </x:c>
      <x:c r="C559" s="35" t="str">
        <x:v>QuantityProperty</x:v>
      </x:c>
      <x:c r="D559" s="35" t="str">
        <x:v>http://qudt.org/schema/qudt/QuantityValue</x:v>
      </x:c>
      <x:c r="E559" s="35" t="str"/>
      <x:c r="F559" s="35" t="str">
        <x:v>kN/m</x:v>
      </x:c>
      <x:c r="G559" s="38" t="str">
        <x:v>I2-008</x:v>
      </x:c>
      <x:c r="H559" s="35" t="str">
        <x:v>Benchmark-coined descriptive engineering term</x:v>
      </x:c>
      <x:c r="I559" s="35" t="str">
        <x:v>N5 - component or subject first, followed by characteristic and qualifier/state; no unsupported external mapping</x:v>
      </x:c>
      <x:c r="J559" s="35" t="str">
        <x:v>REUSE_R2_TERM</x:v>
      </x:c>
    </x:row>
    <x:row r="560">
      <x:c r="A560" s="35" t="str">
        <x:v>liwlDraughtAmidships</x:v>
      </x:c>
      <x:c r="B560" s="35" t="str">
        <x:v>https://w3id.org/nltl-benchmark/vocab#liwlDraughtAmidships</x:v>
      </x:c>
      <x:c r="C560" s="35" t="str">
        <x:v>QuantityProperty</x:v>
      </x:c>
      <x:c r="D560" s="35" t="str">
        <x:v>http://qudt.org/schema/qudt/QuantityValue</x:v>
      </x:c>
      <x:c r="E560" s="35" t="str"/>
      <x:c r="F560" s="35" t="str">
        <x:v>m</x:v>
      </x:c>
      <x:c r="G560" s="38" t="str">
        <x:v>TRF-016</x:v>
      </x:c>
      <x:c r="H560" s="35" t="str">
        <x:v>Unit-stripped normalized regulatory variable</x:v>
      </x:c>
      <x:c r="I560" s="35" t="str">
        <x:v>N3 - remove unit from the identifier and retain it in unit/quantity metadata</x:v>
      </x:c>
      <x:c r="J560" s="35" t="str">
        <x:v>REUSE_R2_TERM</x:v>
      </x:c>
    </x:row>
    <x:row r="561">
      <x:c r="A561" s="35" t="str">
        <x:v>loadCarryingStringer</x:v>
      </x:c>
      <x:c r="B561" s="35" t="str">
        <x:v>https://w3id.org/nltl-benchmark/vocab#loadCarryingStringer</x:v>
      </x:c>
      <x:c r="C561" s="35" t="str">
        <x:v>Class</x:v>
      </x:c>
      <x:c r="D561" s="35" t="str">
        <x:v>https://w3id.org/nltl-benchmark/vocab#hullStructure</x:v>
      </x:c>
      <x:c r="E561" s="35" t="str"/>
      <x:c r="F561" s="35" t="str"/>
      <x:c r="G561" s="38" t="str">
        <x:v>I2-037 | I2-062</x:v>
      </x:c>
      <x:c r="H561" s="35" t="str">
        <x:v>Benchmark-coined descriptive engineering term</x:v>
      </x:c>
      <x:c r="I561" s="35" t="str">
        <x:v>N5 - component or subject first, followed by characteristic and qualifier/state; no unsupported external mapping</x:v>
      </x:c>
      <x:c r="J561" s="35" t="str">
        <x:v>REUSE_R2_TERM</x:v>
      </x:c>
    </x:row>
    <x:row r="562">
      <x:c r="A562" s="35" t="str">
        <x:v>loadLengthDeterminedFromArrangement</x:v>
      </x:c>
      <x:c r="B562" s="35" t="str">
        <x:v>https://w3id.org/nltl-benchmark/vocab#loadLengthDeterminedFromArrangement</x:v>
      </x:c>
      <x:c r="C562" s="35" t="str">
        <x:v>DatatypeProperty</x:v>
      </x:c>
      <x:c r="D562" s="35" t="str">
        <x:v>http://www.w3.org/2001/XMLSchema#boolean</x:v>
      </x:c>
      <x:c r="E562" s="35" t="str">
        <x:v>xsd:boolean</x:v>
      </x:c>
      <x:c r="F562" s="35" t="str"/>
      <x:c r="G562" s="38" t="str">
        <x:v>TRF-030</x:v>
      </x:c>
      <x:c r="H562" s="35" t="str">
        <x:v>Applicable TRAFICOM regulation wording plus explicit engineering node/operand role</x:v>
      </x:c>
      <x:c r="I562" s="35" t="str">
        <x:v>N4 - explicit regulatory concept in ASCII lowerCamelCase with an XSD datatype.</x:v>
      </x:c>
      <x:c r="J562" s="35" t="str">
        <x:v>ADD_DEVELOPMENT_TERM</x:v>
      </x:c>
    </x:row>
    <x:row r="563">
      <x:c r="A563" s="35" t="str">
        <x:v>loadLengthParameter</x:v>
      </x:c>
      <x:c r="B563" s="35" t="str">
        <x:v>https://w3id.org/nltl-benchmark/vocab#loadLengthParameter</x:v>
      </x:c>
      <x:c r="C563" s="35" t="str">
        <x:v>QuantityProperty</x:v>
      </x:c>
      <x:c r="D563" s="35" t="str">
        <x:v>http://qudt.org/schema/qudt/QuantityValue</x:v>
      </x:c>
      <x:c r="E563" s="35" t="str"/>
      <x:c r="F563" s="35" t="str">
        <x:v>m</x:v>
      </x:c>
      <x:c r="G563" s="38" t="str">
        <x:v>TRF-057</x:v>
      </x:c>
      <x:c r="H563" s="35" t="str">
        <x:v>Benchmark-coined descriptive engineering term</x:v>
      </x:c>
      <x:c r="I563" s="35" t="str">
        <x:v>N5 - component or subject first, followed by characteristic and qualifier/state; no unsupported external mapping</x:v>
      </x:c>
      <x:c r="J563" s="35" t="str">
        <x:v>REUSE_R2_TERM</x:v>
      </x:c>
    </x:row>
    <x:row r="564">
      <x:c r="A564" s="35" t="str">
        <x:v>loadPatchApplicationLocation</x:v>
      </x:c>
      <x:c r="B564" s="35" t="str">
        <x:v>https://w3id.org/nltl-benchmark/vocab#loadPatchApplicationLocation</x:v>
      </x:c>
      <x:c r="C564" s="35" t="str">
        <x:v>DatatypeProperty</x:v>
      </x:c>
      <x:c r="D564" s="35" t="str">
        <x:v>http://www.w3.org/2001/XMLSchema#string</x:v>
      </x:c>
      <x:c r="E564" s="35" t="str">
        <x:v>xsd:string</x:v>
      </x:c>
      <x:c r="F564" s="35" t="str"/>
      <x:c r="G564" s="38" t="str">
        <x:v>I2-037</x:v>
      </x:c>
      <x:c r="H564" s="35" t="str">
        <x:v>Benchmark-coined descriptive engineering term</x:v>
      </x:c>
      <x:c r="I564" s="35" t="str">
        <x:v>N5 - component or subject first, followed by characteristic and qualifier/state; no unsupported external mapping</x:v>
      </x:c>
      <x:c r="J564" s="35" t="str">
        <x:v>REUSE_R2_TERM</x:v>
      </x:c>
    </x:row>
    <x:row r="565">
      <x:c r="A565" s="35" t="str">
        <x:v>loadPatchAspectRatio</x:v>
      </x:c>
      <x:c r="B565" s="35" t="str">
        <x:v>https://w3id.org/nltl-benchmark/vocab#loadPatchAspectRatio</x:v>
      </x:c>
      <x:c r="C565" s="35" t="str">
        <x:v>QuantityProperty</x:v>
      </x:c>
      <x:c r="D565" s="35" t="str">
        <x:v>http://qudt.org/schema/qudt/QuantityValue</x:v>
      </x:c>
      <x:c r="E565" s="35" t="str"/>
      <x:c r="F565" s="35" t="str">
        <x:v>1</x:v>
      </x:c>
      <x:c r="G565" s="38" t="str">
        <x:v>I2-009 | I2-011</x:v>
      </x:c>
      <x:c r="H565" s="35" t="str">
        <x:v>Benchmark-coined descriptive engineering term</x:v>
      </x:c>
      <x:c r="I565" s="35" t="str">
        <x:v>N5 - component or subject first, followed by characteristic and qualifier/state; no unsupported external mapping</x:v>
      </x:c>
      <x:c r="J565" s="35" t="str">
        <x:v>REUSE_R2_TERM</x:v>
      </x:c>
    </x:row>
    <x:row r="566">
      <x:c r="A566" s="35" t="str">
        <x:v>loadPatchHeight</x:v>
      </x:c>
      <x:c r="B566" s="35" t="str">
        <x:v>https://w3id.org/nltl-benchmark/vocab#loadPatchHeight</x:v>
      </x:c>
      <x:c r="C566" s="35" t="str">
        <x:v>QuantityProperty</x:v>
      </x:c>
      <x:c r="D566" s="35" t="str">
        <x:v>http://qudt.org/schema/qudt/QuantityValue</x:v>
      </x:c>
      <x:c r="E566" s="35" t="str"/>
      <x:c r="F566" s="35" t="str">
        <x:v>m</x:v>
      </x:c>
      <x:c r="G566" s="38" t="str">
        <x:v>I2-008 | I2-018</x:v>
      </x:c>
      <x:c r="H566" s="35" t="str">
        <x:v>Benchmark-coined descriptive engineering term</x:v>
      </x:c>
      <x:c r="I566" s="35" t="str">
        <x:v>N5 - component or subject first, followed by characteristic and qualifier/state; no unsupported external mapping</x:v>
      </x:c>
      <x:c r="J566" s="35" t="str">
        <x:v>REUSE_R2_TERM</x:v>
      </x:c>
    </x:row>
    <x:row r="567">
      <x:c r="A567" s="35" t="str">
        <x:v>loadPatchLength</x:v>
      </x:c>
      <x:c r="B567" s="35" t="str">
        <x:v>https://w3id.org/nltl-benchmark/vocab#loadPatchLength</x:v>
      </x:c>
      <x:c r="C567" s="35" t="str">
        <x:v>QuantityProperty</x:v>
      </x:c>
      <x:c r="D567" s="35" t="str">
        <x:v>http://qudt.org/schema/qudt/QuantityValue</x:v>
      </x:c>
      <x:c r="E567" s="35" t="str"/>
      <x:c r="F567" s="35" t="str">
        <x:v>m</x:v>
      </x:c>
      <x:c r="G567" s="38" t="str">
        <x:v>I2-008 | I2-018</x:v>
      </x:c>
      <x:c r="H567" s="35" t="str">
        <x:v>Benchmark-coined descriptive engineering term</x:v>
      </x:c>
      <x:c r="I567" s="35" t="str">
        <x:v>N5 - component or subject first, followed by characteristic and qualifier/state; no unsupported external mapping</x:v>
      </x:c>
      <x:c r="J567" s="35" t="str">
        <x:v>REUSE_R2_TERM</x:v>
      </x:c>
    </x:row>
    <x:row r="568">
      <x:c r="A568" s="35" t="str">
        <x:v>loadPositionTypeValue</x:v>
      </x:c>
      <x:c r="B568" s="35" t="str">
        <x:v>https://w3id.org/nltl-benchmark/vocab#loadPositionTypeValue</x:v>
      </x:c>
      <x:c r="C568" s="35" t="str">
        <x:v>Class</x:v>
      </x:c>
      <x:c r="D568" s="35" t="str">
        <x:v>https://w3id.org/nltl-benchmark/vocab#benchmarkEntity</x:v>
      </x:c>
      <x:c r="E568" s="35" t="str"/>
      <x:c r="F568" s="35" t="str"/>
      <x:c r="G568" s="38" t="str">
        <x:v>TRF-030</x:v>
      </x:c>
      <x:c r="H568" s="35" t="str">
        <x:v>Applicable TRAFICOM regulation wording plus explicit engineering node/operand role</x:v>
      </x:c>
      <x:c r="I568" s="35" t="str">
        <x:v>N4 - singular ASCII lowerCamelCase entity name derived from the linked regulatory role.</x:v>
      </x:c>
      <x:c r="J568" s="35" t="str">
        <x:v>ADD_DEVELOPMENT_TERM</x:v>
      </x:c>
    </x:row>
    <x:row r="569">
      <x:c r="A569" s="35" t="str">
        <x:v>loadSpectrumShapeParameter</x:v>
      </x:c>
      <x:c r="B569" s="35" t="str">
        <x:v>https://w3id.org/nltl-benchmark/vocab#loadSpectrumShapeParameter</x:v>
      </x:c>
      <x:c r="C569" s="35" t="str">
        <x:v>QuantityProperty</x:v>
      </x:c>
      <x:c r="D569" s="35" t="str">
        <x:v>http://qudt.org/schema/qudt/QuantityValue</x:v>
      </x:c>
      <x:c r="E569" s="35" t="str"/>
      <x:c r="F569" s="35" t="str">
        <x:v>1</x:v>
      </x:c>
      <x:c r="G569" s="38" t="str">
        <x:v>TRF-077</x:v>
      </x:c>
      <x:c r="H569" s="35" t="str">
        <x:v>Benchmark-coined descriptive engineering term</x:v>
      </x:c>
      <x:c r="I569" s="35" t="str">
        <x:v>N5 - component or subject first, followed by characteristic and qualifier/state; no unsupported external mapping</x:v>
      </x:c>
      <x:c r="J569" s="35" t="str">
        <x:v>REUSE_R2_TERM</x:v>
      </x:c>
    </x:row>
    <x:row r="570">
      <x:c r="A570" s="35" t="str">
        <x:v>loadedSurvivalCraftRequirement</x:v>
      </x:c>
      <x:c r="B570" s="35" t="str">
        <x:v>https://w3id.org/nltl-benchmark/vocab#loadedSurvivalCraftRequirement</x:v>
      </x:c>
      <x:c r="C570" s="35" t="str">
        <x:v>QuantityProperty</x:v>
      </x:c>
      <x:c r="D570" s="35" t="str">
        <x:v>http://qudt.org/schema/qudt/QuantityValue</x:v>
      </x:c>
      <x:c r="E570" s="35" t="str"/>
      <x:c r="F570" s="35" t="str">
        <x:v>kg</x:v>
      </x:c>
      <x:c r="G570" s="38" t="str">
        <x:v>IMO-077</x:v>
      </x:c>
      <x:c r="H570" s="35" t="str">
        <x:v>Locked-workbook normalized regulatory term</x:v>
      </x:c>
      <x:c r="I570" s="35" t="str">
        <x:v>N4 - preserve the source concept; normalize spelling to ASCII lowerCamelCase</x:v>
      </x:c>
      <x:c r="J570" s="35" t="str">
        <x:v>REUSE_R2_TERM</x:v>
      </x:c>
    </x:row>
    <x:row r="571">
      <x:c r="A571" s="35" t="str">
        <x:v>loadingCalculationSeaWaterSalinity</x:v>
      </x:c>
      <x:c r="B571" s="35" t="str">
        <x:v>https://w3id.org/nltl-benchmark/vocab#loadingCalculationSeaWaterSalinity</x:v>
      </x:c>
      <x:c r="C571" s="35" t="str">
        <x:v>QuantityProperty</x:v>
      </x:c>
      <x:c r="D571" s="35" t="str">
        <x:v>http://qudt.org/schema/qudt/QuantityValue</x:v>
      </x:c>
      <x:c r="E571" s="35" t="str"/>
      <x:c r="F571" s="35" t="str">
        <x:v>g/kg</x:v>
      </x:c>
      <x:c r="G571" s="38" t="str">
        <x:v>TRF-015</x:v>
      </x:c>
      <x:c r="H571" s="35" t="str">
        <x:v>Applicable TRAFICOM regulation wording plus explicit engineering node/operand role</x:v>
      </x:c>
      <x:c r="I571" s="35" t="str">
        <x:v>N4 - explicit engineering quantity in ASCII lowerCamelCase; formula symbols remain aliases only.</x:v>
      </x:c>
      <x:c r="J571" s="35" t="str">
        <x:v>ADD_DEVELOPMENT_TERM</x:v>
      </x:c>
    </x:row>
    <x:row r="572">
      <x:c r="A572" s="35" t="str">
        <x:v>loadingCondition</x:v>
      </x:c>
      <x:c r="B572" s="35" t="str">
        <x:v>https://w3id.org/nltl-benchmark/vocab#loadingCondition</x:v>
      </x:c>
      <x:c r="C572" s="35" t="str">
        <x:v>DatatypeProperty</x:v>
      </x:c>
      <x:c r="D572" s="35" t="str">
        <x:v>http://www.w3.org/2001/XMLSchema#string</x:v>
      </x:c>
      <x:c r="E572" s="35" t="str">
        <x:v>xsd:string</x:v>
      </x:c>
      <x:c r="F572" s="35" t="str"/>
      <x:c r="G572" s="38" t="str">
        <x:v>IMO-037</x:v>
      </x:c>
      <x:c r="H572" s="35" t="str">
        <x:v>Locked-workbook normalized regulatory term</x:v>
      </x:c>
      <x:c r="I572" s="35" t="str">
        <x:v>N4 - preserve the source concept; normalize spelling to ASCII lowerCamelCase</x:v>
      </x:c>
      <x:c r="J572" s="35" t="str">
        <x:v>REUSE_R2_TERM</x:v>
      </x:c>
    </x:row>
    <x:row r="573">
      <x:c r="A573" s="35" t="str">
        <x:v>localControl</x:v>
      </x:c>
      <x:c r="B573" s="35" t="str">
        <x:v>https://w3id.org/nltl-benchmark/vocab#localControl</x:v>
      </x:c>
      <x:c r="C573" s="35" t="str">
        <x:v>DatatypeProperty</x:v>
      </x:c>
      <x:c r="D573" s="35" t="str">
        <x:v>http://www.w3.org/2001/XMLSchema#boolean</x:v>
      </x:c>
      <x:c r="E573" s="35" t="str">
        <x:v>xsd:boolean</x:v>
      </x:c>
      <x:c r="F573" s="35" t="str"/>
      <x:c r="G573" s="38" t="str">
        <x:v>IMO-051</x:v>
      </x:c>
      <x:c r="H573" s="35" t="str">
        <x:v>Locked-workbook normalized regulatory term</x:v>
      </x:c>
      <x:c r="I573" s="35" t="str">
        <x:v>N4 - preserve the source concept; normalize spelling to ASCII lowerCamelCase</x:v>
      </x:c>
      <x:c r="J573" s="35" t="str">
        <x:v>REUSE_R2_TERM</x:v>
      </x:c>
    </x:row>
    <x:row r="574">
      <x:c r="A574" s="35" t="str">
        <x:v>localFrame</x:v>
      </x:c>
      <x:c r="B574" s="35" t="str">
        <x:v>https://w3id.org/nltl-benchmark/vocab#localFrame</x:v>
      </x:c>
      <x:c r="C574" s="35" t="str">
        <x:v>Class</x:v>
      </x:c>
      <x:c r="D574" s="35" t="str">
        <x:v>https://w3id.org/nltl-benchmark/vocab#hullStructure</x:v>
      </x:c>
      <x:c r="E574" s="35" t="str"/>
      <x:c r="F574" s="35" t="str"/>
      <x:c r="G574" s="38" t="str">
        <x:v>I2-031</x:v>
      </x:c>
      <x:c r="H574" s="35" t="str">
        <x:v>Benchmark-coined descriptive engineering term</x:v>
      </x:c>
      <x:c r="I574" s="35" t="str">
        <x:v>N5 - component or subject first, followed by characteristic and qualifier/state; no unsupported external mapping</x:v>
      </x:c>
      <x:c r="J574" s="35" t="str">
        <x:v>REUSE_R2_TERM</x:v>
      </x:c>
    </x:row>
    <x:row r="575">
      <x:c r="A575" s="35" t="str">
        <x:v>localIcePressure</x:v>
      </x:c>
      <x:c r="B575" s="35" t="str">
        <x:v>https://w3id.org/nltl-benchmark/vocab#localIcePressure</x:v>
      </x:c>
      <x:c r="C575" s="35" t="str">
        <x:v>QuantityProperty</x:v>
      </x:c>
      <x:c r="D575" s="35" t="str">
        <x:v>http://qudt.org/schema/qudt/QuantityValue</x:v>
      </x:c>
      <x:c r="E575" s="35" t="str"/>
      <x:c r="F575" s="35" t="str">
        <x:v>MPa</x:v>
      </x:c>
      <x:c r="G575" s="38" t="str">
        <x:v>I2-008 | TRF-070</x:v>
      </x:c>
      <x:c r="H575" s="35" t="str">
        <x:v>Benchmark-coined descriptive engineering term</x:v>
      </x:c>
      <x:c r="I575" s="35" t="str">
        <x:v>N5 - component or subject first, followed by characteristic and qualifier/state; no unsupported external mapping</x:v>
      </x:c>
      <x:c r="J575" s="35" t="str">
        <x:v>REUSE_R2_TERM</x:v>
      </x:c>
    </x:row>
    <x:row r="576">
      <x:c r="A576" s="35" t="str">
        <x:v>localStressConcentration</x:v>
      </x:c>
      <x:c r="B576" s="35" t="str">
        <x:v>https://w3id.org/nltl-benchmark/vocab#localStressConcentration</x:v>
      </x:c>
      <x:c r="C576" s="35" t="str">
        <x:v>QuantityProperty</x:v>
      </x:c>
      <x:c r="D576" s="35" t="str">
        <x:v>http://qudt.org/schema/qudt/QuantityValue</x:v>
      </x:c>
      <x:c r="E576" s="35" t="str"/>
      <x:c r="F576" s="35" t="str">
        <x:v>1</x:v>
      </x:c>
      <x:c r="G576" s="38" t="str">
        <x:v>TRF-118</x:v>
      </x:c>
      <x:c r="H576" s="35" t="str">
        <x:v>Benchmark-coined descriptive engineering term</x:v>
      </x:c>
      <x:c r="I576" s="35" t="str">
        <x:v>N5 - component or subject first, followed by characteristic and qualifier/state; no unsupported external mapping</x:v>
      </x:c>
      <x:c r="J576" s="35" t="str">
        <x:v>REUSE_R2_TERM</x:v>
      </x:c>
    </x:row>
    <x:row r="577">
      <x:c r="A577" s="35" t="str">
        <x:v>locatedOutsideIceBelt</x:v>
      </x:c>
      <x:c r="B577" s="35" t="str">
        <x:v>https://w3id.org/nltl-benchmark/vocab#locatedOutsideIceBelt</x:v>
      </x:c>
      <x:c r="C577" s="35" t="str">
        <x:v>DatatypeProperty</x:v>
      </x:c>
      <x:c r="D577" s="35" t="str">
        <x:v>http://www.w3.org/2001/XMLSchema#boolean</x:v>
      </x:c>
      <x:c r="E577" s="35" t="str">
        <x:v>xsd:boolean</x:v>
      </x:c>
      <x:c r="F577" s="35" t="str"/>
      <x:c r="G577" s="38" t="str">
        <x:v>TRF-054</x:v>
      </x:c>
      <x:c r="H577" s="35" t="str">
        <x:v>Applicable TRAFICOM regulation wording plus explicit engineering node/operand role</x:v>
      </x:c>
      <x:c r="I577" s="35" t="str">
        <x:v>N4 - explicit regulatory concept in ASCII lowerCamelCase with an XSD datatype.</x:v>
      </x:c>
      <x:c r="J577" s="35" t="str">
        <x:v>ADD_DEVELOPMENT_TERM</x:v>
      </x:c>
    </x:row>
    <x:row r="578">
      <x:c r="A578" s="35" t="str">
        <x:v>locatedWithinIceBelt</x:v>
      </x:c>
      <x:c r="B578" s="35" t="str">
        <x:v>https://w3id.org/nltl-benchmark/vocab#locatedWithinIceBelt</x:v>
      </x:c>
      <x:c r="C578" s="35" t="str">
        <x:v>DatatypeProperty</x:v>
      </x:c>
      <x:c r="D578" s="35" t="str">
        <x:v>http://www.w3.org/2001/XMLSchema#boolean</x:v>
      </x:c>
      <x:c r="E578" s="35" t="str">
        <x:v>xsd:boolean</x:v>
      </x:c>
      <x:c r="F578" s="35" t="str"/>
      <x:c r="G578" s="38" t="str">
        <x:v>TRF-053</x:v>
      </x:c>
      <x:c r="H578" s="35" t="str">
        <x:v>Applicable TRAFICOM regulation wording plus explicit engineering node/operand role</x:v>
      </x:c>
      <x:c r="I578" s="35" t="str">
        <x:v>N4 - explicit regulatory concept in ASCII lowerCamelCase with an XSD datatype.</x:v>
      </x:c>
      <x:c r="J578" s="35" t="str">
        <x:v>ADD_DEVELOPMENT_TERM</x:v>
      </x:c>
    </x:row>
    <x:row r="579">
      <x:c r="A579" s="35" t="str">
        <x:v>locationSignalDeviceCount</x:v>
      </x:c>
      <x:c r="B579" s="35" t="str">
        <x:v>https://w3id.org/nltl-benchmark/vocab#locationSignalDeviceCount</x:v>
      </x:c>
      <x:c r="C579" s="35" t="str">
        <x:v>DatatypeProperty</x:v>
      </x:c>
      <x:c r="D579" s="35" t="str">
        <x:v>http://www.w3.org/2001/XMLSchema#integer</x:v>
      </x:c>
      <x:c r="E579" s="35" t="str">
        <x:v>xsd:integer</x:v>
      </x:c>
      <x:c r="F579" s="35" t="str"/>
      <x:c r="G579" s="38" t="str">
        <x:v>IMO-097 | IMO-098</x:v>
      </x:c>
      <x:c r="H579" s="35" t="str">
        <x:v>Locked-workbook normalized regulatory term</x:v>
      </x:c>
      <x:c r="I579" s="35" t="str">
        <x:v>N4 - preserve the source concept; normalize spelling to ASCII lowerCamelCase</x:v>
      </x:c>
      <x:c r="J579" s="35" t="str">
        <x:v>REUSE_R2_TERM</x:v>
      </x:c>
    </x:row>
    <x:row r="580">
      <x:c r="A580" s="35" t="str">
        <x:v>longitudinalDamageExtent</x:v>
      </x:c>
      <x:c r="B580" s="35" t="str">
        <x:v>https://w3id.org/nltl-benchmark/vocab#longitudinalDamageExtent</x:v>
      </x:c>
      <x:c r="C580" s="35" t="str">
        <x:v>QuantityProperty</x:v>
      </x:c>
      <x:c r="D580" s="35" t="str">
        <x:v>http://qudt.org/schema/qudt/QuantityValue</x:v>
      </x:c>
      <x:c r="E580" s="35" t="str"/>
      <x:c r="F580" s="35" t="str">
        <x:v>m</x:v>
      </x:c>
      <x:c r="G580" s="38" t="str">
        <x:v>IMO-038</x:v>
      </x:c>
      <x:c r="H580" s="35" t="str">
        <x:v>Locked-workbook normalized regulatory term</x:v>
      </x:c>
      <x:c r="I580" s="35" t="str">
        <x:v>N4 - preserve the source concept; normalize spelling to ASCII lowerCamelCase</x:v>
      </x:c>
      <x:c r="J580" s="35" t="str">
        <x:v>REUSE_R2_TERM</x:v>
      </x:c>
    </x:row>
    <x:row r="581">
      <x:c r="A581" s="35" t="str">
        <x:v>longitudinalDistributionFactor</x:v>
      </x:c>
      <x:c r="B581" s="35" t="str">
        <x:v>https://w3id.org/nltl-benchmark/vocab#longitudinalDistributionFactor</x:v>
      </x:c>
      <x:c r="C581" s="35" t="str">
        <x:v>QuantityProperty</x:v>
      </x:c>
      <x:c r="D581" s="35" t="str">
        <x:v>http://qudt.org/schema/qudt/QuantityValue</x:v>
      </x:c>
      <x:c r="E581" s="35" t="str"/>
      <x:c r="F581" s="35" t="str">
        <x:v>1</x:v>
      </x:c>
      <x:c r="G581" s="38" t="str">
        <x:v>I2-051</x:v>
      </x:c>
      <x:c r="H581" s="35" t="str">
        <x:v>Benchmark-coined descriptive engineering term</x:v>
      </x:c>
      <x:c r="I581" s="35" t="str">
        <x:v>N5 - component or subject first, followed by characteristic and qualifier/state; no unsupported external mapping</x:v>
      </x:c>
      <x:c r="J581" s="35" t="str">
        <x:v>REUSE_R2_TERM</x:v>
      </x:c>
    </x:row>
    <x:row r="582">
      <x:c r="A582" s="35" t="str">
        <x:v>longitudinalFrame</x:v>
      </x:c>
      <x:c r="B582" s="35" t="str">
        <x:v>https://w3id.org/nltl-benchmark/vocab#longitudinalFrame</x:v>
      </x:c>
      <x:c r="C582" s="35" t="str">
        <x:v>Class</x:v>
      </x:c>
      <x:c r="D582" s="35" t="str">
        <x:v>https://w3id.org/nltl-benchmark/vocab#frame</x:v>
      </x:c>
      <x:c r="E582" s="35" t="str"/>
      <x:c r="F582" s="35" t="str"/>
      <x:c r="G582" s="38" t="str">
        <x:v>TRF-048 | TRF-049</x:v>
      </x:c>
      <x:c r="H582" s="35" t="str">
        <x:v>Applicable TRAFICOM regulation wording plus explicit engineering node/operand role</x:v>
      </x:c>
      <x:c r="I582" s="35" t="str">
        <x:v>N4 - singular ASCII lowerCamelCase entity name derived from the linked regulatory role.</x:v>
      </x:c>
      <x:c r="J582" s="35" t="str">
        <x:v>ADD_DEVELOPMENT_TERM</x:v>
      </x:c>
    </x:row>
    <x:row r="583">
      <x:c r="A583" s="35" t="str">
        <x:v>longitudinalFrameLoadDistributionFactorF4</x:v>
      </x:c>
      <x:c r="B583" s="35" t="str">
        <x:v>https://w3id.org/nltl-benchmark/vocab#longitudinalFrameLoadDistributionFactorF4</x:v>
      </x:c>
      <x:c r="C583" s="35" t="str">
        <x:v>QuantityProperty</x:v>
      </x:c>
      <x:c r="D583" s="35" t="str">
        <x:v>http://qudt.org/schema/qudt/QuantityValue</x:v>
      </x:c>
      <x:c r="E583" s="35" t="str"/>
      <x:c r="F583" s="35" t="str">
        <x:v>1</x:v>
      </x:c>
      <x:c r="G583" s="38" t="str">
        <x:v>TRF-048</x:v>
      </x:c>
      <x:c r="H583" s="35" t="str">
        <x:v>Applicable TRAFICOM regulation wording plus explicit engineering node/operand role</x:v>
      </x:c>
      <x:c r="I583" s="35" t="str">
        <x:v>N4 - explicit engineering quantity in ASCII lowerCamelCase; formula symbols remain aliases only.</x:v>
      </x:c>
      <x:c r="J583" s="35" t="str">
        <x:v>ADD_DEVELOPMENT_TERM</x:v>
      </x:c>
    </x:row>
    <x:row r="584">
      <x:c r="A584" s="35" t="str">
        <x:v>longitudinalFrameShearFactorF5</x:v>
      </x:c>
      <x:c r="B584" s="35" t="str">
        <x:v>https://w3id.org/nltl-benchmark/vocab#longitudinalFrameShearFactorF5</x:v>
      </x:c>
      <x:c r="C584" s="35" t="str">
        <x:v>QuantityProperty</x:v>
      </x:c>
      <x:c r="D584" s="35" t="str">
        <x:v>http://qudt.org/schema/qudt/QuantityValue</x:v>
      </x:c>
      <x:c r="E584" s="35" t="str"/>
      <x:c r="F584" s="35" t="str">
        <x:v>1</x:v>
      </x:c>
      <x:c r="G584" s="38" t="str">
        <x:v>TRF-048</x:v>
      </x:c>
      <x:c r="H584" s="35" t="str">
        <x:v>Applicable TRAFICOM regulation wording plus explicit engineering node/operand role</x:v>
      </x:c>
      <x:c r="I584" s="35" t="str">
        <x:v>N4 - explicit engineering quantity in ASCII lowerCamelCase; formula symbols remain aliases only.</x:v>
      </x:c>
      <x:c r="J584" s="35" t="str">
        <x:v>ADD_DEVELOPMENT_TERM</x:v>
      </x:c>
    </x:row>
    <x:row r="585">
      <x:c r="A585" s="35" t="str">
        <x:v>longitudinalFramingLoadSource</x:v>
      </x:c>
      <x:c r="B585" s="35" t="str">
        <x:v>https://w3id.org/nltl-benchmark/vocab#longitudinalFramingLoadSource</x:v>
      </x:c>
      <x:c r="C585" s="35" t="str">
        <x:v>NamedIndividual</x:v>
      </x:c>
      <x:c r="D585" s="35" t="str">
        <x:v>https://w3id.org/nltl-benchmark/vocab#iceLoadSourceTypeValue</x:v>
      </x:c>
      <x:c r="E585" s="35" t="str"/>
      <x:c r="F585" s="35" t="str"/>
      <x:c r="G585" s="38" t="str">
        <x:v>TRF-057</x:v>
      </x:c>
      <x:c r="H585" s="35" t="str">
        <x:v>Applicable TRAFICOM regulation wording plus explicit engineering node/operand role</x:v>
      </x:c>
      <x:c r="I585" s="35" t="str">
        <x:v>N6 - concise ASCII lowerCamelCase controlled-value name grounded in the linked regulation.</x:v>
      </x:c>
      <x:c r="J585" s="35" t="str">
        <x:v>ADD_DEVELOPMENT_TERM</x:v>
      </x:c>
    </x:row>
    <x:row r="586">
      <x:c r="A586" s="35" t="str">
        <x:v>longitudinalFramingOrientation</x:v>
      </x:c>
      <x:c r="B586" s="35" t="str">
        <x:v>https://w3id.org/nltl-benchmark/vocab#longitudinalFramingOrientation</x:v>
      </x:c>
      <x:c r="C586" s="35" t="str">
        <x:v>NamedIndividual</x:v>
      </x:c>
      <x:c r="D586" s="35" t="str">
        <x:v>https://w3id.org/nltl-benchmark/vocab#platingFramingOrientationValue</x:v>
      </x:c>
      <x:c r="E586" s="35" t="str"/>
      <x:c r="F586" s="35" t="str"/>
      <x:c r="G586" s="38" t="str">
        <x:v>TRF-041</x:v>
      </x:c>
      <x:c r="H586" s="35" t="str">
        <x:v>Applicable TRAFICOM regulation wording plus explicit engineering node/operand role</x:v>
      </x:c>
      <x:c r="I586" s="35" t="str">
        <x:v>N6 - concise ASCII lowerCamelCase controlled-value name grounded in the linked regulation.</x:v>
      </x:c>
      <x:c r="J586" s="35" t="str">
        <x:v>ADD_DEVELOPMENT_TERM</x:v>
      </x:c>
    </x:row>
    <x:row r="587">
      <x:c r="A587" s="35" t="str">
        <x:v>longitudinalLocalFrame</x:v>
      </x:c>
      <x:c r="B587" s="35" t="str">
        <x:v>https://w3id.org/nltl-benchmark/vocab#longitudinalLocalFrame</x:v>
      </x:c>
      <x:c r="C587" s="35" t="str">
        <x:v>Class</x:v>
      </x:c>
      <x:c r="D587" s="35" t="str">
        <x:v>https://w3id.org/nltl-benchmark/vocab#hullStructure</x:v>
      </x:c>
      <x:c r="E587" s="35" t="str"/>
      <x:c r="F587" s="35" t="str"/>
      <x:c r="G587" s="38" t="str">
        <x:v>I2-034</x:v>
      </x:c>
      <x:c r="H587" s="35" t="str">
        <x:v>Benchmark-coined descriptive engineering term</x:v>
      </x:c>
      <x:c r="I587" s="35" t="str">
        <x:v>N5 - component or subject first, followed by characteristic and qualifier/state; no unsupported external mapping</x:v>
      </x:c>
      <x:c r="J587" s="35" t="str">
        <x:v>REUSE_R2_TERM</x:v>
      </x:c>
    </x:row>
    <x:row r="588">
      <x:c r="A588" s="35" t="str">
        <x:v>longitudinalPlatingFactorF2</x:v>
      </x:c>
      <x:c r="B588" s="35" t="str">
        <x:v>https://w3id.org/nltl-benchmark/vocab#longitudinalPlatingFactorF2</x:v>
      </x:c>
      <x:c r="C588" s="35" t="str">
        <x:v>QuantityProperty</x:v>
      </x:c>
      <x:c r="D588" s="35" t="str">
        <x:v>http://qudt.org/schema/qudt/QuantityValue</x:v>
      </x:c>
      <x:c r="E588" s="35" t="str"/>
      <x:c r="F588" s="35" t="str">
        <x:v>1</x:v>
      </x:c>
      <x:c r="G588" s="38" t="str">
        <x:v>TRF-041 | TRF-042</x:v>
      </x:c>
      <x:c r="H588" s="35" t="str">
        <x:v>Applicable TRAFICOM regulation wording plus explicit engineering node/operand role</x:v>
      </x:c>
      <x:c r="I588" s="35" t="str">
        <x:v>N4 - explicit engineering quantity in ASCII lowerCamelCase; formula symbols remain aliases only.</x:v>
      </x:c>
      <x:c r="J588" s="35" t="str">
        <x:v>ADD_DEVELOPMENT_TERM</x:v>
      </x:c>
    </x:row>
    <x:row r="589">
      <x:c r="A589" s="35" t="str">
        <x:v>longitudinalPosition</x:v>
      </x:c>
      <x:c r="B589" s="35" t="str">
        <x:v>https://w3id.org/nltl-benchmark/vocab#longitudinalPosition</x:v>
      </x:c>
      <x:c r="C589" s="35" t="str">
        <x:v>QuantityProperty</x:v>
      </x:c>
      <x:c r="D589" s="35" t="str">
        <x:v>http://qudt.org/schema/qudt/QuantityValue</x:v>
      </x:c>
      <x:c r="E589" s="35" t="str"/>
      <x:c r="F589" s="35" t="str">
        <x:v>m</x:v>
      </x:c>
      <x:c r="G589" s="38" t="str">
        <x:v>TRF-011 | TRF-012</x:v>
      </x:c>
      <x:c r="H589" s="35" t="str">
        <x:v>Applicable TRAFICOM regulation wording plus explicit engineering node/operand role</x:v>
      </x:c>
      <x:c r="I589" s="35" t="str">
        <x:v>N4 - explicit engineering quantity in ASCII lowerCamelCase; formula symbols remain aliases only.</x:v>
      </x:c>
      <x:c r="J589" s="35" t="str">
        <x:v>ADD_DEVELOPMENT_TERM</x:v>
      </x:c>
    </x:row>
    <x:row r="590">
      <x:c r="A590" s="35" t="str">
        <x:v>lowerIceWaterline</x:v>
      </x:c>
      <x:c r="B590" s="35" t="str">
        <x:v>https://w3id.org/nltl-benchmark/vocab#lowerIceWaterline</x:v>
      </x:c>
      <x:c r="C590" s="35" t="str">
        <x:v>DatatypeProperty</x:v>
      </x:c>
      <x:c r="D590" s="35" t="str">
        <x:v>http://www.w3.org/2001/XMLSchema#string</x:v>
      </x:c>
      <x:c r="E590" s="35" t="str">
        <x:v>xsd:string</x:v>
      </x:c>
      <x:c r="F590" s="35" t="str"/>
      <x:c r="G590" s="38" t="str">
        <x:v>TRF-012 | TRF-016 | TRF-020 | TRF-030 | TRF-066</x:v>
      </x:c>
      <x:c r="H590" s="35" t="str">
        <x:v>Verified exact implementation term</x:v>
      </x:c>
      <x:c r="I590" s="35" t="str">
        <x:v>N1 - reuse only after exact URI and semantic-context verification</x:v>
      </x:c>
      <x:c r="J590" s="35" t="str">
        <x:v>REUSE_R2_TERM</x:v>
      </x:c>
    </x:row>
    <x:row r="591">
      <x:c r="A591" s="35" t="str">
        <x:v>lowerIceWaterlineReferencePosition</x:v>
      </x:c>
      <x:c r="B591" s="35" t="str">
        <x:v>https://w3id.org/nltl-benchmark/vocab#lowerIceWaterlineReferencePosition</x:v>
      </x:c>
      <x:c r="C591" s="35" t="str">
        <x:v>QuantityProperty</x:v>
      </x:c>
      <x:c r="D591" s="35" t="str">
        <x:v>http://qudt.org/schema/qudt/QuantityValue</x:v>
      </x:c>
      <x:c r="E591" s="35" t="str"/>
      <x:c r="F591" s="35" t="str">
        <x:v>m</x:v>
      </x:c>
      <x:c r="G591" s="38" t="str">
        <x:v>TRF-030</x:v>
      </x:c>
      <x:c r="H591" s="35" t="str">
        <x:v>Applicable TRAFICOM regulation wording plus explicit engineering node/operand role</x:v>
      </x:c>
      <x:c r="I591" s="35" t="str">
        <x:v>N4 - explicit engineering quantity in ASCII lowerCamelCase; formula symbols remain aliases only.</x:v>
      </x:c>
      <x:c r="J591" s="35" t="str">
        <x:v>ADD_DEVELOPMENT_TERM</x:v>
      </x:c>
    </x:row>
    <x:row r="592">
      <x:c r="A592" s="35" t="str">
        <x:v>lowestMdlt</x:v>
      </x:c>
      <x:c r="B592" s="35" t="str">
        <x:v>https://w3id.org/nltl-benchmark/vocab#lowestMdlt</x:v>
      </x:c>
      <x:c r="C592" s="35" t="str">
        <x:v>QuantityProperty</x:v>
      </x:c>
      <x:c r="D592" s="35" t="str">
        <x:v>http://qudt.org/schema/qudt/QuantityValue</x:v>
      </x:c>
      <x:c r="E592" s="35" t="str"/>
      <x:c r="F592" s="35" t="str">
        <x:v>deg C</x:v>
      </x:c>
      <x:c r="G592" s="38" t="str">
        <x:v>IMO-012 | IMO-013 | IMO-019</x:v>
      </x:c>
      <x:c r="H592" s="35" t="str">
        <x:v>Unit-stripped normalized regulatory variable</x:v>
      </x:c>
      <x:c r="I592" s="35" t="str">
        <x:v>N3 - remove unit from the identifier and retain it in unit/quantity metadata</x:v>
      </x:c>
      <x:c r="J592" s="35" t="str">
        <x:v>REUSE_R2_TERM</x:v>
      </x:c>
    </x:row>
    <x:row r="593">
      <x:c r="A593" s="35" t="str">
        <x:v>machineryComponentType</x:v>
      </x:c>
      <x:c r="B593" s="35" t="str">
        <x:v>https://w3id.org/nltl-benchmark/vocab#machineryComponentType</x:v>
      </x:c>
      <x:c r="C593" s="35" t="str">
        <x:v>DatatypeProperty</x:v>
      </x:c>
      <x:c r="D593" s="35" t="str">
        <x:v>http://www.w3.org/2001/XMLSchema#string</x:v>
      </x:c>
      <x:c r="E593" s="35" t="str">
        <x:v>xsd:string</x:v>
      </x:c>
      <x:c r="F593" s="35" t="str"/>
      <x:c r="G593" s="38" t="str">
        <x:v>IMO-049</x:v>
      </x:c>
      <x:c r="H593" s="35" t="str">
        <x:v>Locked-workbook normalized regulatory term</x:v>
      </x:c>
      <x:c r="I593" s="35" t="str">
        <x:v>N4 - preserve the source concept; normalize spelling to ASCII lowerCamelCase</x:v>
      </x:c>
      <x:c r="J593" s="35" t="str">
        <x:v>REUSE_R2_TERM</x:v>
      </x:c>
    </x:row>
    <x:row r="594">
      <x:c r="A594" s="35" t="str">
        <x:v>machineryInstallation</x:v>
      </x:c>
      <x:c r="B594" s="35" t="str">
        <x:v>https://w3id.org/nltl-benchmark/vocab#machineryInstallation</x:v>
      </x:c>
      <x:c r="C594" s="35" t="str">
        <x:v>DatatypeProperty</x:v>
      </x:c>
      <x:c r="D594" s="35" t="str">
        <x:v>http://www.w3.org/2001/XMLSchema#string</x:v>
      </x:c>
      <x:c r="E594" s="35" t="str">
        <x:v>xsd:string</x:v>
      </x:c>
      <x:c r="F594" s="35" t="str"/>
      <x:c r="G594" s="38" t="str">
        <x:v>IMO-043</x:v>
      </x:c>
      <x:c r="H594" s="35" t="str">
        <x:v>Locked-workbook normalized regulatory term</x:v>
      </x:c>
      <x:c r="I594" s="35" t="str">
        <x:v>N4 - preserve the source concept; normalize spelling to ASCII lowerCamelCase</x:v>
      </x:c>
      <x:c r="J594" s="35" t="str">
        <x:v>REUSE_R2_TERM</x:v>
      </x:c>
    </x:row>
    <x:row r="595">
      <x:c r="A595" s="35" t="str">
        <x:v>machinerySeawaterSupply</x:v>
      </x:c>
      <x:c r="B595" s="35" t="str">
        <x:v>https://w3id.org/nltl-benchmark/vocab#machinerySeawaterSupply</x:v>
      </x:c>
      <x:c r="C595" s="35" t="str">
        <x:v>DatatypeProperty</x:v>
      </x:c>
      <x:c r="D595" s="35" t="str">
        <x:v>http://www.w3.org/2001/XMLSchema#boolean</x:v>
      </x:c>
      <x:c r="E595" s="35" t="str">
        <x:v>xsd:boolean</x:v>
      </x:c>
      <x:c r="F595" s="35" t="str"/>
      <x:c r="G595" s="38" t="str">
        <x:v>IMO-045</x:v>
      </x:c>
      <x:c r="H595" s="35" t="str">
        <x:v>Locked-workbook normalized regulatory term</x:v>
      </x:c>
      <x:c r="I595" s="35" t="str">
        <x:v>N4 - preserve the source concept; normalize spelling to ASCII lowerCamelCase</x:v>
      </x:c>
      <x:c r="J595" s="35" t="str">
        <x:v>REUSE_R2_TERM</x:v>
      </x:c>
    </x:row>
    <x:row r="596">
      <x:c r="A596" s="35" t="str">
        <x:v>mainFrame</x:v>
      </x:c>
      <x:c r="B596" s="35" t="str">
        <x:v>https://w3id.org/nltl-benchmark/vocab#mainFrame</x:v>
      </x:c>
      <x:c r="C596" s="35" t="str">
        <x:v>Class</x:v>
      </x:c>
      <x:c r="D596" s="35" t="str">
        <x:v>https://w3id.org/nltl-benchmark/vocab#frame</x:v>
      </x:c>
      <x:c r="E596" s="35" t="str"/>
      <x:c r="F596" s="35" t="str"/>
      <x:c r="G596" s="38" t="str">
        <x:v>TRF-046 | TRF-047</x:v>
      </x:c>
      <x:c r="H596" s="35" t="str">
        <x:v>Applicable TRAFICOM regulation wording plus explicit engineering node/operand role</x:v>
      </x:c>
      <x:c r="I596" s="35" t="str">
        <x:v>N4 - singular ASCII lowerCamelCase entity name derived from the linked regulatory role.</x:v>
      </x:c>
      <x:c r="J596" s="35" t="str">
        <x:v>ADD_DEVELOPMENT_TERM</x:v>
      </x:c>
    </x:row>
    <x:row r="597">
      <x:c r="A597" s="35" t="str">
        <x:v>mainFrameBelowIceBeltStrengthened</x:v>
      </x:c>
      <x:c r="B597" s="35" t="str">
        <x:v>https://w3id.org/nltl-benchmark/vocab#mainFrameBelowIceBeltStrengthened</x:v>
      </x:c>
      <x:c r="C597" s="35" t="str">
        <x:v>DatatypeProperty</x:v>
      </x:c>
      <x:c r="D597" s="35" t="str">
        <x:v>http://www.w3.org/2001/XMLSchema#boolean</x:v>
      </x:c>
      <x:c r="E597" s="35" t="str">
        <x:v>xsd:boolean</x:v>
      </x:c>
      <x:c r="F597" s="35" t="str"/>
      <x:c r="G597" s="38" t="str">
        <x:v>TRF-047</x:v>
      </x:c>
      <x:c r="H597" s="35" t="str">
        <x:v>Applicable TRAFICOM regulation wording plus explicit engineering node/operand role</x:v>
      </x:c>
      <x:c r="I597" s="35" t="str">
        <x:v>N4 - explicit regulatory concept in ASCII lowerCamelCase with an XSD datatype.</x:v>
      </x:c>
      <x:c r="J597" s="35" t="str">
        <x:v>ADD_DEVELOPMENT_TERM</x:v>
      </x:c>
    </x:row>
    <x:row r="598">
      <x:c r="A598" s="35" t="str">
        <x:v>mainPower</x:v>
      </x:c>
      <x:c r="B598" s="35" t="str">
        <x:v>https://w3id.org/nltl-benchmark/vocab#mainPower</x:v>
      </x:c>
      <x:c r="C598" s="35" t="str">
        <x:v>QuantityProperty</x:v>
      </x:c>
      <x:c r="D598" s="35" t="str">
        <x:v>http://qudt.org/schema/qudt/QuantityValue</x:v>
      </x:c>
      <x:c r="E598" s="35" t="str"/>
      <x:c r="F598" s="35" t="str">
        <x:v>kW</x:v>
      </x:c>
      <x:c r="G598" s="38" t="str">
        <x:v>IMO-086 | IMO26-012</x:v>
      </x:c>
      <x:c r="H598" s="35" t="str">
        <x:v>Benchmark-coined descriptive engineering term</x:v>
      </x:c>
      <x:c r="I598" s="35" t="str">
        <x:v>N5 - component or subject first, followed by characteristic and qualifier/state; no unsupported external mapping</x:v>
      </x:c>
      <x:c r="J598" s="35" t="str">
        <x:v>REUSE_R2_TERM</x:v>
      </x:c>
    </x:row>
    <x:row r="599">
      <x:c r="A599" s="35" t="str">
        <x:v>mainTransverseFrame</x:v>
      </x:c>
      <x:c r="B599" s="35" t="str">
        <x:v>https://w3id.org/nltl-benchmark/vocab#mainTransverseFrame</x:v>
      </x:c>
      <x:c r="C599" s="35" t="str">
        <x:v>Class</x:v>
      </x:c>
      <x:c r="D599" s="35" t="str">
        <x:v>https://w3id.org/nltl-benchmark/vocab#transverseFrame</x:v>
      </x:c>
      <x:c r="E599" s="35" t="str"/>
      <x:c r="F599" s="35" t="str"/>
      <x:c r="G599" s="38" t="str">
        <x:v>TRF-044</x:v>
      </x:c>
      <x:c r="H599" s="35" t="str">
        <x:v>Applicable TRAFICOM regulation wording plus explicit engineering node/operand role</x:v>
      </x:c>
      <x:c r="I599" s="35" t="str">
        <x:v>N4 - singular ASCII lowerCamelCase entity name derived from the linked regulatory role.</x:v>
      </x:c>
      <x:c r="J599" s="35" t="str">
        <x:v>ADD_DEVELOPMENT_TERM</x:v>
      </x:c>
    </x:row>
    <x:row r="600">
      <x:c r="A600" s="35" t="str">
        <x:v>maintainedTemperature</x:v>
      </x:c>
      <x:c r="B600" s="35" t="str">
        <x:v>https://w3id.org/nltl-benchmark/vocab#maintainedTemperature</x:v>
      </x:c>
      <x:c r="C600" s="35" t="str">
        <x:v>QuantityProperty</x:v>
      </x:c>
      <x:c r="D600" s="35" t="str">
        <x:v>http://qudt.org/schema/qudt/QuantityValue</x:v>
      </x:c>
      <x:c r="E600" s="35" t="str"/>
      <x:c r="F600" s="35" t="str">
        <x:v>deg C</x:v>
      </x:c>
      <x:c r="G600" s="38" t="str">
        <x:v>IMO-057</x:v>
      </x:c>
      <x:c r="H600" s="35" t="str">
        <x:v>Unit-stripped normalized regulatory variable</x:v>
      </x:c>
      <x:c r="I600" s="35" t="str">
        <x:v>N3 - remove unit from the identifier and retain it in unit/quantity metadata</x:v>
      </x:c>
      <x:c r="J600" s="35" t="str">
        <x:v>REUSE_R2_TERM</x:v>
      </x:c>
    </x:row>
    <x:row r="601">
      <x:c r="A601" s="35" t="str">
        <x:v>majorBucklingMargin</x:v>
      </x:c>
      <x:c r="B601" s="35" t="str">
        <x:v>https://w3id.org/nltl-benchmark/vocab#majorBucklingMargin</x:v>
      </x:c>
      <x:c r="C601" s="35" t="str">
        <x:v>QuantityProperty</x:v>
      </x:c>
      <x:c r="D601" s="35" t="str">
        <x:v>http://qudt.org/schema/qudt/QuantityValue</x:v>
      </x:c>
      <x:c r="E601" s="35" t="str"/>
      <x:c r="F601" s="35" t="str">
        <x:v>1</x:v>
      </x:c>
      <x:c r="G601" s="38" t="str">
        <x:v>I2-065</x:v>
      </x:c>
      <x:c r="H601" s="35" t="str">
        <x:v>Benchmark-coined descriptive engineering term</x:v>
      </x:c>
      <x:c r="I601" s="35" t="str">
        <x:v>N5 - component or subject first, followed by characteristic and qualifier/state; no unsupported external mapping</x:v>
      </x:c>
      <x:c r="J601" s="35" t="str">
        <x:v>REUSE_R2_TERM</x:v>
      </x:c>
    </x:row>
    <x:row r="602">
      <x:c r="A602" s="35" t="str">
        <x:v>manualInitiation</x:v>
      </x:c>
      <x:c r="B602" s="35" t="str">
        <x:v>https://w3id.org/nltl-benchmark/vocab#manualInitiation</x:v>
      </x:c>
      <x:c r="C602" s="35" t="str">
        <x:v>DatatypeProperty</x:v>
      </x:c>
      <x:c r="D602" s="35" t="str">
        <x:v>http://www.w3.org/2001/XMLSchema#boolean</x:v>
      </x:c>
      <x:c r="E602" s="35" t="str">
        <x:v>xsd:boolean</x:v>
      </x:c>
      <x:c r="F602" s="35" t="str"/>
      <x:c r="G602" s="38" t="str">
        <x:v>IMO-089</x:v>
      </x:c>
      <x:c r="H602" s="35" t="str">
        <x:v>Locked-workbook normalized regulatory term</x:v>
      </x:c>
      <x:c r="I602" s="35" t="str">
        <x:v>N4 - preserve the source concept; normalize spelling to ASCII lowerCamelCase</x:v>
      </x:c>
      <x:c r="J602" s="35" t="str">
        <x:v>REUSE_R2_TERM</x:v>
      </x:c>
    </x:row>
    <x:row r="603">
      <x:c r="A603" s="35" t="str">
        <x:v>manualPolarCoverage</x:v>
      </x:c>
      <x:c r="B603" s="35" t="str">
        <x:v>https://w3id.org/nltl-benchmark/vocab#manualPolarCoverage</x:v>
      </x:c>
      <x:c r="C603" s="35" t="str">
        <x:v>DatatypeProperty</x:v>
      </x:c>
      <x:c r="D603" s="35" t="str">
        <x:v>http://www.w3.org/2001/XMLSchema#boolean</x:v>
      </x:c>
      <x:c r="E603" s="35" t="str">
        <x:v>xsd:boolean</x:v>
      </x:c>
      <x:c r="F603" s="35" t="str"/>
      <x:c r="G603" s="38" t="str">
        <x:v>IMO-107 | IMO-113</x:v>
      </x:c>
      <x:c r="H603" s="35" t="str">
        <x:v>Locked-workbook normalized regulatory term</x:v>
      </x:c>
      <x:c r="I603" s="35" t="str">
        <x:v>N4 - preserve the source concept; normalize spelling to ASCII lowerCamelCase</x:v>
      </x:c>
      <x:c r="J603" s="35" t="str">
        <x:v>REUSE_R2_TERM</x:v>
      </x:c>
    </x:row>
    <x:row r="604">
      <x:c r="A604" s="35" t="str">
        <x:v>manuallyInitiatedFlashingRedStoppedLightPresent</x:v>
      </x:c>
      <x:c r="B604" s="35" t="str">
        <x:v>https://w3id.org/nltl-benchmark/vocab#manuallyInitiatedFlashingRedStoppedLightPresent</x:v>
      </x:c>
      <x:c r="C604" s="35" t="str">
        <x:v>DatatypeProperty</x:v>
      </x:c>
      <x:c r="D604" s="35" t="str">
        <x:v>http://www.w3.org/2001/XMLSchema#boolean</x:v>
      </x:c>
      <x:c r="E604" s="35" t="str">
        <x:v>xsd:boolean</x:v>
      </x:c>
      <x:c r="F604" s="35" t="str"/>
      <x:c r="G604" s="38" t="str">
        <x:v>IMO-089</x:v>
      </x:c>
      <x:c r="H604" s="35" t="str">
        <x:v>Benchmark-coined descriptive engineering term</x:v>
      </x:c>
      <x:c r="I604" s="35" t="str">
        <x:v>N5 - component or subject first, followed by characteristic and qualifier/state; no unsupported external mapping</x:v>
      </x:c>
      <x:c r="J604" s="35" t="str">
        <x:v>REUSE_R2_TERM</x:v>
      </x:c>
    </x:row>
    <x:row r="605">
      <x:c r="A605" s="35" t="str">
        <x:v>manufacturerMaxAirTemperature</x:v>
      </x:c>
      <x:c r="B605" s="35" t="str">
        <x:v>https://w3id.org/nltl-benchmark/vocab#manufacturerMaxAirTemperature</x:v>
      </x:c>
      <x:c r="C605" s="35" t="str">
        <x:v>QuantityProperty</x:v>
      </x:c>
      <x:c r="D605" s="35" t="str">
        <x:v>http://qudt.org/schema/qudt/QuantityValue</x:v>
      </x:c>
      <x:c r="E605" s="35" t="str"/>
      <x:c r="F605" s="35" t="str">
        <x:v>deg C</x:v>
      </x:c>
      <x:c r="G605" s="38" t="str">
        <x:v>IMO-047</x:v>
      </x:c>
      <x:c r="H605" s="35" t="str">
        <x:v>Unit-stripped normalized regulatory variable</x:v>
      </x:c>
      <x:c r="I605" s="35" t="str">
        <x:v>N3 - remove unit from the identifier and retain it in unit/quantity metadata</x:v>
      </x:c>
      <x:c r="J605" s="35" t="str">
        <x:v>REUSE_R2_TERM</x:v>
      </x:c>
    </x:row>
    <x:row r="606">
      <x:c r="A606" s="35" t="str">
        <x:v>manufacturerMaxViscosity</x:v>
      </x:c>
      <x:c r="B606" s="35" t="str">
        <x:v>https://w3id.org/nltl-benchmark/vocab#manufacturerMaxViscosity</x:v>
      </x:c>
      <x:c r="C606" s="35" t="str">
        <x:v>QuantityProperty</x:v>
      </x:c>
      <x:c r="D606" s="35" t="str">
        <x:v>http://qudt.org/schema/qudt/QuantityValue</x:v>
      </x:c>
      <x:c r="E606" s="35" t="str"/>
      <x:c r="F606" s="35" t="str"/>
      <x:c r="G606" s="38" t="str">
        <x:v>IMO-044</x:v>
      </x:c>
      <x:c r="H606" s="35" t="str">
        <x:v>Locked-workbook normalized regulatory term</x:v>
      </x:c>
      <x:c r="I606" s="35" t="str">
        <x:v>N4 - preserve the source concept; normalize spelling to ASCII lowerCamelCase</x:v>
      </x:c>
      <x:c r="J606" s="35" t="str">
        <x:v>REUSE_R2_TERM</x:v>
      </x:c>
    </x:row>
    <x:row r="607">
      <x:c r="A607" s="35" t="str">
        <x:v>manufacturerMinAirTemperature</x:v>
      </x:c>
      <x:c r="B607" s="35" t="str">
        <x:v>https://w3id.org/nltl-benchmark/vocab#manufacturerMinAirTemperature</x:v>
      </x:c>
      <x:c r="C607" s="35" t="str">
        <x:v>QuantityProperty</x:v>
      </x:c>
      <x:c r="D607" s="35" t="str">
        <x:v>http://qudt.org/schema/qudt/QuantityValue</x:v>
      </x:c>
      <x:c r="E607" s="35" t="str"/>
      <x:c r="F607" s="35" t="str">
        <x:v>deg C</x:v>
      </x:c>
      <x:c r="G607" s="38" t="str">
        <x:v>IMO-047</x:v>
      </x:c>
      <x:c r="H607" s="35" t="str">
        <x:v>Unit-stripped normalized regulatory variable</x:v>
      </x:c>
      <x:c r="I607" s="35" t="str">
        <x:v>N3 - remove unit from the identifier and retain it in unit/quantity metadata</x:v>
      </x:c>
      <x:c r="J607" s="35" t="str">
        <x:v>REUSE_R2_TERM</x:v>
      </x:c>
    </x:row>
    <x:row r="608">
      <x:c r="A608" s="35" t="str">
        <x:v>manufacturerMinViscosity</x:v>
      </x:c>
      <x:c r="B608" s="35" t="str">
        <x:v>https://w3id.org/nltl-benchmark/vocab#manufacturerMinViscosity</x:v>
      </x:c>
      <x:c r="C608" s="35" t="str">
        <x:v>QuantityProperty</x:v>
      </x:c>
      <x:c r="D608" s="35" t="str">
        <x:v>http://qudt.org/schema/qudt/QuantityValue</x:v>
      </x:c>
      <x:c r="E608" s="35" t="str"/>
      <x:c r="F608" s="35" t="str"/>
      <x:c r="G608" s="38" t="str">
        <x:v>IMO-044</x:v>
      </x:c>
      <x:c r="H608" s="35" t="str">
        <x:v>Locked-workbook normalized regulatory term</x:v>
      </x:c>
      <x:c r="I608" s="35" t="str">
        <x:v>N4 - preserve the source concept; normalize spelling to ASCII lowerCamelCase</x:v>
      </x:c>
      <x:c r="J608" s="35" t="str">
        <x:v>REUSE_R2_TERM</x:v>
      </x:c>
    </x:row>
    <x:row r="609">
      <x:c r="A609" s="35" t="str">
        <x:v>marpolAnnexIvRegulation11Point1Point1ComplianceStatus</x:v>
      </x:c>
      <x:c r="B609" s="35" t="str">
        <x:v>https://w3id.org/nltl-benchmark/vocab#marpolAnnexIvRegulation11Point1Point1ComplianceStatus</x:v>
      </x:c>
      <x:c r="C609" s="35" t="str">
        <x:v>DatatypeProperty</x:v>
      </x:c>
      <x:c r="D609" s="35" t="str">
        <x:v>http://www.w3.org/2001/XMLSchema#boolean</x:v>
      </x:c>
      <x:c r="E609" s="35" t="str">
        <x:v>xsd:boolean</x:v>
      </x:c>
      <x:c r="F609" s="35" t="str"/>
      <x:c r="G609" s="38" t="str">
        <x:v>IMO-115 | IMO-116</x:v>
      </x:c>
      <x:c r="H609" s="35" t="str">
        <x:v>Explicit regulation-reference transcription</x:v>
      </x:c>
      <x:c r="I609" s="35" t="str">
        <x:v>N6 - spell separators as Point or Dash and identify the governing instrument</x:v>
      </x:c>
      <x:c r="J609" s="35" t="str">
        <x:v>REUSE_R2_TERM</x:v>
      </x:c>
    </x:row>
    <x:row r="610">
      <x:c r="A610" s="35" t="str">
        <x:v>marpolAnnexIvRegulation11Point1Point2DischargeComplianceStatus</x:v>
      </x:c>
      <x:c r="B610" s="35" t="str">
        <x:v>https://w3id.org/nltl-benchmark/vocab#marpolAnnexIvRegulation11Point1Point2DischargeComplianceStatus</x:v>
      </x:c>
      <x:c r="C610" s="35" t="str">
        <x:v>DatatypeProperty</x:v>
      </x:c>
      <x:c r="D610" s="35" t="str">
        <x:v>http://www.w3.org/2001/XMLSchema#boolean</x:v>
      </x:c>
      <x:c r="E610" s="35" t="str">
        <x:v>xsd:boolean</x:v>
      </x:c>
      <x:c r="F610" s="35" t="str"/>
      <x:c r="G610" s="38" t="str">
        <x:v>IMO-117</x:v>
      </x:c>
      <x:c r="H610" s="35" t="str">
        <x:v>Explicit regulation-reference transcription</x:v>
      </x:c>
      <x:c r="I610" s="35" t="str">
        <x:v>N6 - spell separators as Point or Dash and identify the governing instrument</x:v>
      </x:c>
      <x:c r="J610" s="35" t="str">
        <x:v>REUSE_R2_TERM</x:v>
      </x:c>
    </x:row>
    <x:row r="611">
      <x:c r="A611" s="35" t="str">
        <x:v>marpolAnnexIvRegulation9Point1Point1Or9Point2Point1CertificationStatus</x:v>
      </x:c>
      <x:c r="B611" s="35" t="str">
        <x:v>https://w3id.org/nltl-benchmark/vocab#marpolAnnexIvRegulation9Point1Point1Or9Point2Point1CertificationStatus</x:v>
      </x:c>
      <x:c r="C611" s="35" t="str">
        <x:v>ObjectProperty</x:v>
      </x:c>
      <x:c r="D611" s="35" t="str">
        <x:v>https://w3id.org/nltl-benchmark/vocab#evidenceState</x:v>
      </x:c>
      <x:c r="E611" s="35" t="str"/>
      <x:c r="F611" s="35" t="str"/>
      <x:c r="G611" s="38" t="str">
        <x:v>IMO-117 | IMO-119</x:v>
      </x:c>
      <x:c r="H611" s="35" t="str">
        <x:v>Explicit regulation-reference transcription</x:v>
      </x:c>
      <x:c r="I611" s="35" t="str">
        <x:v>N6 - spell separators as Point or Dash and identify the governing instrument</x:v>
      </x:c>
      <x:c r="J611" s="35" t="str">
        <x:v>REUSE_R2_TERM</x:v>
      </x:c>
    </x:row>
    <x:row r="612">
      <x:c r="A612" s="35" t="str">
        <x:v>marpolAnnexVRegulation6Point1DischargeOccurs</x:v>
      </x:c>
      <x:c r="B612" s="35" t="str">
        <x:v>https://w3id.org/nltl-benchmark/vocab#marpolAnnexVRegulation6Point1DischargeOccurs</x:v>
      </x:c>
      <x:c r="C612" s="35" t="str">
        <x:v>DatatypeProperty</x:v>
      </x:c>
      <x:c r="D612" s="35" t="str">
        <x:v>http://www.w3.org/2001/XMLSchema#boolean</x:v>
      </x:c>
      <x:c r="E612" s="35" t="str">
        <x:v>xsd:boolean</x:v>
      </x:c>
      <x:c r="F612" s="35" t="str"/>
      <x:c r="G612" s="38" t="str">
        <x:v>IMO-124</x:v>
      </x:c>
      <x:c r="H612" s="35" t="str">
        <x:v>Explicit regulation-reference transcription</x:v>
      </x:c>
      <x:c r="I612" s="35" t="str">
        <x:v>N6 - spell separators as Point or Dash and identify the governing instrument</x:v>
      </x:c>
      <x:c r="J612" s="35" t="str">
        <x:v>REUSE_R2_TERM</x:v>
      </x:c>
    </x:row>
    <x:row r="613">
      <x:c r="A613" s="35" t="str">
        <x:v>marpolCertificationStatus</x:v>
      </x:c>
      <x:c r="B613" s="35" t="str">
        <x:v>https://w3id.org/nltl-benchmark/vocab#marpolCertificationStatus</x:v>
      </x:c>
      <x:c r="C613" s="35" t="str">
        <x:v>ObjectProperty</x:v>
      </x:c>
      <x:c r="D613" s="35" t="str">
        <x:v>https://w3id.org/nltl-benchmark/vocab#evidenceState</x:v>
      </x:c>
      <x:c r="E613" s="35" t="str"/>
      <x:c r="F613" s="35" t="str"/>
      <x:c r="G613" s="38" t="str">
        <x:v>IMO-117 | IMO-119</x:v>
      </x:c>
      <x:c r="H613" s="35" t="str">
        <x:v>Locked-workbook normalized regulatory term</x:v>
      </x:c>
      <x:c r="I613" s="35" t="str">
        <x:v>N4 - preserve the source concept; normalize spelling to ASCII lowerCamelCase</x:v>
      </x:c>
      <x:c r="J613" s="35" t="str">
        <x:v>REUSE_R2_TERM</x:v>
      </x:c>
    </x:row>
    <x:row r="614">
      <x:c r="A614" s="35" t="str">
        <x:v>marpolDischargeStatus</x:v>
      </x:c>
      <x:c r="B614" s="35" t="str">
        <x:v>https://w3id.org/nltl-benchmark/vocab#marpolDischargeStatus</x:v>
      </x:c>
      <x:c r="C614" s="35" t="str">
        <x:v>DatatypeProperty</x:v>
      </x:c>
      <x:c r="D614" s="35" t="str">
        <x:v>http://www.w3.org/2001/XMLSchema#boolean</x:v>
      </x:c>
      <x:c r="E614" s="35" t="str">
        <x:v>xsd:boolean</x:v>
      </x:c>
      <x:c r="F614" s="35" t="str"/>
      <x:c r="G614" s="38" t="str">
        <x:v>IMO-117</x:v>
      </x:c>
      <x:c r="H614" s="35" t="str">
        <x:v>Locked-workbook normalized regulatory term</x:v>
      </x:c>
      <x:c r="I614" s="35" t="str">
        <x:v>N4 - preserve the source concept; normalize spelling to ASCII lowerCamelCase</x:v>
      </x:c>
      <x:c r="J614" s="35" t="str">
        <x:v>REUSE_R2_TERM</x:v>
      </x:c>
    </x:row>
    <x:row r="615">
      <x:c r="A615" s="35" t="str">
        <x:v>materialApprovalStatus</x:v>
      </x:c>
      <x:c r="B615" s="35" t="str">
        <x:v>https://w3id.org/nltl-benchmark/vocab#materialApprovalStatus</x:v>
      </x:c>
      <x:c r="C615" s="35" t="str">
        <x:v>ObjectProperty</x:v>
      </x:c>
      <x:c r="D615" s="35" t="str">
        <x:v>https://w3id.org/nltl-benchmark/vocab#evidenceState</x:v>
      </x:c>
      <x:c r="E615" s="35" t="str"/>
      <x:c r="F615" s="35" t="str"/>
      <x:c r="G615" s="38" t="str">
        <x:v>IMO-031 | IMO-048</x:v>
      </x:c>
      <x:c r="H615" s="35" t="str">
        <x:v>Locked-workbook normalized regulatory term</x:v>
      </x:c>
      <x:c r="I615" s="35" t="str">
        <x:v>N4 - preserve the source concept; normalize spelling to ASCII lowerCamelCase</x:v>
      </x:c>
      <x:c r="J615" s="35" t="str">
        <x:v>REUSE_R2_TERM</x:v>
      </x:c>
    </x:row>
    <x:row r="616">
      <x:c r="A616" s="35" t="str">
        <x:v>materialClass</x:v>
      </x:c>
      <x:c r="B616" s="35" t="str">
        <x:v>https://w3id.org/nltl-benchmark/vocab#materialClass</x:v>
      </x:c>
      <x:c r="C616" s="35" t="str">
        <x:v>DatatypeProperty</x:v>
      </x:c>
      <x:c r="D616" s="35" t="str">
        <x:v>http://www.w3.org/2001/XMLSchema#string</x:v>
      </x:c>
      <x:c r="E616" s="35" t="str">
        <x:v>xsd:string</x:v>
      </x:c>
      <x:c r="F616" s="35" t="str"/>
      <x:c r="G616" s="38" t="str">
        <x:v>I2-048</x:v>
      </x:c>
      <x:c r="H616" s="35" t="str">
        <x:v>Benchmark-coined descriptive engineering term</x:v>
      </x:c>
      <x:c r="I616" s="35" t="str">
        <x:v>N5 - component or subject first, followed by characteristic and qualifier/state; no unsupported external mapping</x:v>
      </x:c>
      <x:c r="J616" s="35" t="str">
        <x:v>REUSE_R2_TERM</x:v>
      </x:c>
    </x:row>
    <x:row r="617">
      <x:c r="A617" s="35" t="str">
        <x:v>materialType</x:v>
      </x:c>
      <x:c r="B617" s="35" t="str">
        <x:v>https://w3id.org/nltl-benchmark/vocab#materialType</x:v>
      </x:c>
      <x:c r="C617" s="35" t="str">
        <x:v>DatatypeProperty</x:v>
      </x:c>
      <x:c r="D617" s="35" t="str">
        <x:v>http://www.w3.org/2001/XMLSchema#string</x:v>
      </x:c>
      <x:c r="E617" s="35" t="str">
        <x:v>xsd:string</x:v>
      </x:c>
      <x:c r="F617" s="35" t="str"/>
      <x:c r="G617" s="38" t="str">
        <x:v>TRF-072</x:v>
      </x:c>
      <x:c r="H617" s="35" t="str">
        <x:v>Benchmark-coined descriptive engineering term</x:v>
      </x:c>
      <x:c r="I617" s="35" t="str">
        <x:v>N5 - component or subject first, followed by characteristic and qualifier/state; no unsupported external mapping</x:v>
      </x:c>
      <x:c r="J617" s="35" t="str">
        <x:v>REUSE_R2_TERM</x:v>
      </x:c>
    </x:row>
    <x:row r="618">
      <x:c r="A618" s="35" t="str">
        <x:v>maximumCalculatedShearForce</x:v>
      </x:c>
      <x:c r="B618" s="35" t="str">
        <x:v>https://w3id.org/nltl-benchmark/vocab#maximumCalculatedShearForce</x:v>
      </x:c>
      <x:c r="C618" s="35" t="str">
        <x:v>QuantityProperty</x:v>
      </x:c>
      <x:c r="D618" s="35" t="str">
        <x:v>http://qudt.org/schema/qudt/QuantityValue</x:v>
      </x:c>
      <x:c r="E618" s="35" t="str"/>
      <x:c r="F618" s="35" t="str">
        <x:v>kN</x:v>
      </x:c>
      <x:c r="G618" s="38" t="str">
        <x:v>TRF-059</x:v>
      </x:c>
      <x:c r="H618" s="35" t="str">
        <x:v>Applicable TRAFICOM regulation wording plus explicit engineering node/operand role</x:v>
      </x:c>
      <x:c r="I618" s="35" t="str">
        <x:v>N4 - explicit engineering quantity in ASCII lowerCamelCase; formula symbols remain aliases only.</x:v>
      </x:c>
      <x:c r="J618" s="35" t="str">
        <x:v>ADD_DEVELOPMENT_TERM</x:v>
      </x:c>
    </x:row>
    <x:row r="619">
      <x:c r="A619" s="35" t="str">
        <x:v>maximumContinuousRatingPower</x:v>
      </x:c>
      <x:c r="B619" s="35" t="str">
        <x:v>https://w3id.org/nltl-benchmark/vocab#maximumContinuousRatingPower</x:v>
      </x:c>
      <x:c r="C619" s="35" t="str">
        <x:v>QuantityProperty</x:v>
      </x:c>
      <x:c r="D619" s="35" t="str">
        <x:v>http://qudt.org/schema/qudt/QuantityValue</x:v>
      </x:c>
      <x:c r="E619" s="35" t="str"/>
      <x:c r="F619" s="35" t="str">
        <x:v>kW</x:v>
      </x:c>
      <x:c r="G619" s="38" t="str">
        <x:v>TRF-006 | TRF-017 | TRF-018 | TRF-020 | TRF-023 | TRF-037 | TRF-039 | TRF-130 | TRF-132</x:v>
      </x:c>
      <x:c r="H619" s="35" t="str">
        <x:v>Unit-stripped normalized regulatory variable</x:v>
      </x:c>
      <x:c r="I619" s="35" t="str">
        <x:v>N3 - remove unit from the identifier and retain it in unit/quantity metadata</x:v>
      </x:c>
      <x:c r="J619" s="35" t="str">
        <x:v>REUSE_R2_TERM</x:v>
      </x:c>
    </x:row>
    <x:row r="620">
      <x:c r="A620" s="35" t="str">
        <x:v>maximumEngineTorque</x:v>
      </x:c>
      <x:c r="B620" s="35" t="str">
        <x:v>https://w3id.org/nltl-benchmark/vocab#maximumEngineTorque</x:v>
      </x:c>
      <x:c r="C620" s="35" t="str">
        <x:v>QuantityProperty</x:v>
      </x:c>
      <x:c r="D620" s="35" t="str">
        <x:v>http://qudt.org/schema/qudt/QuantityValue</x:v>
      </x:c>
      <x:c r="E620" s="35" t="str"/>
      <x:c r="F620" s="35" t="str">
        <x:v>kN*m</x:v>
      </x:c>
      <x:c r="G620" s="38" t="str">
        <x:v>TRF-088</x:v>
      </x:c>
      <x:c r="H620" s="35" t="str">
        <x:v>Benchmark-coined descriptive engineering term</x:v>
      </x:c>
      <x:c r="I620" s="35" t="str">
        <x:v>N5 - component or subject first, followed by characteristic and qualifier/state; no unsupported external mapping</x:v>
      </x:c>
      <x:c r="J620" s="35" t="str">
        <x:v>REUSE_R2_TERM</x:v>
      </x:c>
    </x:row>
    <x:row r="621">
      <x:c r="A621" s="35" t="str">
        <x:v>maximumEngineTorqueKnown</x:v>
      </x:c>
      <x:c r="B621" s="35" t="str">
        <x:v>https://w3id.org/nltl-benchmark/vocab#maximumEngineTorqueKnown</x:v>
      </x:c>
      <x:c r="C621" s="35" t="str">
        <x:v>DatatypeProperty</x:v>
      </x:c>
      <x:c r="D621" s="35" t="str">
        <x:v>http://www.w3.org/2001/XMLSchema#boolean</x:v>
      </x:c>
      <x:c r="E621" s="35" t="str">
        <x:v>xsd:boolean</x:v>
      </x:c>
      <x:c r="F621" s="35" t="str"/>
      <x:c r="G621" s="38" t="str">
        <x:v>TRF-088</x:v>
      </x:c>
      <x:c r="H621" s="35" t="str">
        <x:v>Benchmark-coined descriptive engineering term</x:v>
      </x:c>
      <x:c r="I621" s="35" t="str">
        <x:v>N5 - component or subject first, followed by characteristic and qualifier/state; no unsupported external mapping</x:v>
      </x:c>
      <x:c r="J621" s="35" t="str">
        <x:v>REUSE_R2_TERM</x:v>
      </x:c>
    </x:row>
    <x:row r="622">
      <x:c r="A622" s="35" t="str">
        <x:v>maximumExpectedRescueTime</x:v>
      </x:c>
      <x:c r="B622" s="35" t="str">
        <x:v>https://w3id.org/nltl-benchmark/vocab#maximumExpectedRescueTime</x:v>
      </x:c>
      <x:c r="C622" s="35" t="str">
        <x:v>QuantityProperty</x:v>
      </x:c>
      <x:c r="D622" s="35" t="str">
        <x:v>http://qudt.org/schema/qudt/QuantityValue</x:v>
      </x:c>
      <x:c r="E622" s="35" t="str"/>
      <x:c r="F622" s="35" t="str">
        <x:v>day</x:v>
      </x:c>
      <x:c r="G622" s="38" t="str">
        <x:v>IMO-010 | IMO-020 | IMO-063 | IMO-065 | IMO-079 | IMO-093 | IMO-099</x:v>
      </x:c>
      <x:c r="H622" s="35" t="str">
        <x:v>Unit-stripped normalized regulatory variable</x:v>
      </x:c>
      <x:c r="I622" s="35" t="str">
        <x:v>N3 - remove unit from the identifier and retain it in unit/quantity metadata</x:v>
      </x:c>
      <x:c r="J622" s="35" t="str">
        <x:v>REUSE_R2_TERM</x:v>
      </x:c>
    </x:row>
    <x:row r="623">
      <x:c r="A623" s="35" t="str">
        <x:v>maximumIceClassDraughtAft</x:v>
      </x:c>
      <x:c r="B623" s="35" t="str">
        <x:v>https://w3id.org/nltl-benchmark/vocab#maximumIceClassDraughtAft</x:v>
      </x:c>
      <x:c r="C623" s="35" t="str">
        <x:v>QuantityProperty</x:v>
      </x:c>
      <x:c r="D623" s="35" t="str">
        <x:v>http://qudt.org/schema/qudt/QuantityValue</x:v>
      </x:c>
      <x:c r="E623" s="35" t="str"/>
      <x:c r="F623" s="35" t="str">
        <x:v>m</x:v>
      </x:c>
      <x:c r="G623" s="38" t="str">
        <x:v>TRF-014</x:v>
      </x:c>
      <x:c r="H623" s="35" t="str">
        <x:v>Applicable TRAFICOM regulation wording plus explicit engineering node/operand role</x:v>
      </x:c>
      <x:c r="I623" s="35" t="str">
        <x:v>N4 - explicit engineering quantity in ASCII lowerCamelCase; formula symbols remain aliases only.</x:v>
      </x:c>
      <x:c r="J623" s="35" t="str">
        <x:v>ADD_DEVELOPMENT_TERM</x:v>
      </x:c>
    </x:row>
    <x:row r="624">
      <x:c r="A624" s="35" t="str">
        <x:v>maximumIceClassDraughtAmidships</x:v>
      </x:c>
      <x:c r="B624" s="35" t="str">
        <x:v>https://w3id.org/nltl-benchmark/vocab#maximumIceClassDraughtAmidships</x:v>
      </x:c>
      <x:c r="C624" s="35" t="str">
        <x:v>QuantityProperty</x:v>
      </x:c>
      <x:c r="D624" s="35" t="str">
        <x:v>http://qudt.org/schema/qudt/QuantityValue</x:v>
      </x:c>
      <x:c r="E624" s="35" t="str"/>
      <x:c r="F624" s="35" t="str">
        <x:v>m</x:v>
      </x:c>
      <x:c r="G624" s="38" t="str">
        <x:v>TRF-014</x:v>
      </x:c>
      <x:c r="H624" s="35" t="str">
        <x:v>Applicable TRAFICOM regulation wording plus explicit engineering node/operand role</x:v>
      </x:c>
      <x:c r="I624" s="35" t="str">
        <x:v>N4 - explicit engineering quantity in ASCII lowerCamelCase; formula symbols remain aliases only.</x:v>
      </x:c>
      <x:c r="J624" s="35" t="str">
        <x:v>ADD_DEVELOPMENT_TERM</x:v>
      </x:c>
    </x:row>
    <x:row r="625">
      <x:c r="A625" s="35" t="str">
        <x:v>maximumIceClassDraughtFore</x:v>
      </x:c>
      <x:c r="B625" s="35" t="str">
        <x:v>https://w3id.org/nltl-benchmark/vocab#maximumIceClassDraughtFore</x:v>
      </x:c>
      <x:c r="C625" s="35" t="str">
        <x:v>QuantityProperty</x:v>
      </x:c>
      <x:c r="D625" s="35" t="str">
        <x:v>http://qudt.org/schema/qudt/QuantityValue</x:v>
      </x:c>
      <x:c r="E625" s="35" t="str"/>
      <x:c r="F625" s="35" t="str">
        <x:v>m</x:v>
      </x:c>
      <x:c r="G625" s="38" t="str">
        <x:v>TRF-014</x:v>
      </x:c>
      <x:c r="H625" s="35" t="str">
        <x:v>Applicable TRAFICOM regulation wording plus explicit engineering node/operand role</x:v>
      </x:c>
      <x:c r="I625" s="35" t="str">
        <x:v>N4 - explicit engineering quantity in ASCII lowerCamelCase; formula symbols remain aliases only.</x:v>
      </x:c>
      <x:c r="J625" s="35" t="str">
        <x:v>ADD_DEVELOPMENT_TERM</x:v>
      </x:c>
    </x:row>
    <x:row r="626">
      <x:c r="A626" s="35" t="str">
        <x:v>maximumIceTorque</x:v>
      </x:c>
      <x:c r="B626" s="35" t="str">
        <x:v>https://w3id.org/nltl-benchmark/vocab#maximumIceTorque</x:v>
      </x:c>
      <x:c r="C626" s="35" t="str">
        <x:v>QuantityProperty</x:v>
      </x:c>
      <x:c r="D626" s="35" t="str">
        <x:v>http://qudt.org/schema/qudt/QuantityValue</x:v>
      </x:c>
      <x:c r="E626" s="35" t="str"/>
      <x:c r="F626" s="35" t="str">
        <x:v>kN*m</x:v>
      </x:c>
      <x:c r="G626" s="38" t="str">
        <x:v>TRF-069 | TRF-092 | TRF-095 | TRF-098</x:v>
      </x:c>
      <x:c r="H626" s="35" t="str">
        <x:v>Unit-stripped normalized regulatory variable</x:v>
      </x:c>
      <x:c r="I626" s="35" t="str">
        <x:v>N3 - remove unit from the identifier and retain it in unit/quantity metadata</x:v>
      </x:c>
      <x:c r="J626" s="35" t="str">
        <x:v>REUSE_R2_TERM</x:v>
      </x:c>
    </x:row>
    <x:row r="627">
      <x:c r="A627" s="35" t="str">
        <x:v>maximumOperatingSpeed</x:v>
      </x:c>
      <x:c r="B627" s="35" t="str">
        <x:v>https://w3id.org/nltl-benchmark/vocab#maximumOperatingSpeed</x:v>
      </x:c>
      <x:c r="C627" s="35" t="str">
        <x:v>QuantityProperty</x:v>
      </x:c>
      <x:c r="D627" s="35" t="str">
        <x:v>http://qudt.org/schema/qudt/QuantityValue</x:v>
      </x:c>
      <x:c r="E627" s="35" t="str"/>
      <x:c r="F627" s="35" t="str">
        <x:v>kn</x:v>
      </x:c>
      <x:c r="G627" s="38" t="str">
        <x:v>TRF-089</x:v>
      </x:c>
      <x:c r="H627" s="35" t="str">
        <x:v>Benchmark-coined descriptive engineering term</x:v>
      </x:c>
      <x:c r="I627" s="35" t="str">
        <x:v>N5 - component or subject first, followed by characteristic and qualifier/state; no unsupported external mapping</x:v>
      </x:c>
      <x:c r="J627" s="35" t="str">
        <x:v>REUSE_R2_TERM</x:v>
      </x:c>
    </x:row>
    <x:row r="628">
      <x:c r="A628" s="35" t="str">
        <x:v>maximumPermittedIceTrim</x:v>
      </x:c>
      <x:c r="B628" s="35" t="str">
        <x:v>https://w3id.org/nltl-benchmark/vocab#maximumPermittedIceTrim</x:v>
      </x:c>
      <x:c r="C628" s="35" t="str">
        <x:v>QuantityProperty</x:v>
      </x:c>
      <x:c r="D628" s="35" t="str">
        <x:v>http://qudt.org/schema/qudt/QuantityValue</x:v>
      </x:c>
      <x:c r="E628" s="35" t="str"/>
      <x:c r="F628" s="35" t="str">
        <x:v>m</x:v>
      </x:c>
      <x:c r="G628" s="38" t="str">
        <x:v>TRF-015</x:v>
      </x:c>
      <x:c r="H628" s="35" t="str">
        <x:v>Applicable TRAFICOM regulation wording plus explicit engineering node/operand role</x:v>
      </x:c>
      <x:c r="I628" s="35" t="str">
        <x:v>N4 - explicit engineering quantity in ASCII lowerCamelCase; formula symbols remain aliases only.</x:v>
      </x:c>
      <x:c r="J628" s="35" t="str">
        <x:v>ADD_DEVELOPMENT_TERM</x:v>
      </x:c>
    </x:row>
    <x:row r="629">
      <x:c r="A629" s="35" t="str">
        <x:v>maximumSpindleTorque</x:v>
      </x:c>
      <x:c r="B629" s="35" t="str">
        <x:v>https://w3id.org/nltl-benchmark/vocab#maximumSpindleTorque</x:v>
      </x:c>
      <x:c r="C629" s="35" t="str">
        <x:v>QuantityProperty</x:v>
      </x:c>
      <x:c r="D629" s="35" t="str">
        <x:v>http://qudt.org/schema/qudt/QuantityValue</x:v>
      </x:c>
      <x:c r="E629" s="35" t="str"/>
      <x:c r="F629" s="35" t="str">
        <x:v>kN*m</x:v>
      </x:c>
      <x:c r="G629" s="38" t="str">
        <x:v>TRF-102 | TRF-103</x:v>
      </x:c>
      <x:c r="H629" s="35" t="str">
        <x:v>Unit-stripped normalized regulatory variable</x:v>
      </x:c>
      <x:c r="I629" s="35" t="str">
        <x:v>N3 - remove unit from the identifier and retain it in unit/quantity metadata</x:v>
      </x:c>
      <x:c r="J629" s="35" t="str">
        <x:v>REUSE_R2_TERM</x:v>
      </x:c>
    </x:row>
    <x:row r="630">
      <x:c r="A630" s="35" t="str">
        <x:v>maximumTorqueDuringSpeedDrop</x:v>
      </x:c>
      <x:c r="B630" s="35" t="str">
        <x:v>https://w3id.org/nltl-benchmark/vocab#maximumTorqueDuringSpeedDrop</x:v>
      </x:c>
      <x:c r="C630" s="35" t="str">
        <x:v>QuantityProperty</x:v>
      </x:c>
      <x:c r="D630" s="35" t="str">
        <x:v>http://qudt.org/schema/qudt/QuantityValue</x:v>
      </x:c>
      <x:c r="E630" s="35" t="str"/>
      <x:c r="F630" s="35" t="str">
        <x:v>kn</x:v>
      </x:c>
      <x:c r="G630" s="38" t="str">
        <x:v>TRF-096</x:v>
      </x:c>
      <x:c r="H630" s="35" t="str">
        <x:v>Benchmark-coined descriptive engineering term</x:v>
      </x:c>
      <x:c r="I630" s="35" t="str">
        <x:v>N5 - component or subject first, followed by characteristic and qualifier/state; no unsupported external mapping</x:v>
      </x:c>
      <x:c r="J630" s="35" t="str">
        <x:v>REUSE_R2_TERM</x:v>
      </x:c>
    </x:row>
    <x:row r="631">
      <x:c r="A631" s="35" t="str">
        <x:v>mcrBollardCondition</x:v>
      </x:c>
      <x:c r="B631" s="35" t="str">
        <x:v>https://w3id.org/nltl-benchmark/vocab#mcrBollardCondition</x:v>
      </x:c>
      <x:c r="C631" s="35" t="str">
        <x:v>DatatypeProperty</x:v>
      </x:c>
      <x:c r="D631" s="35" t="str">
        <x:v>http://www.w3.org/2001/XMLSchema#string</x:v>
      </x:c>
      <x:c r="E631" s="35" t="str">
        <x:v>xsd:string</x:v>
      </x:c>
      <x:c r="F631" s="35" t="str"/>
      <x:c r="G631" s="38" t="str">
        <x:v>TRF-090</x:v>
      </x:c>
      <x:c r="H631" s="35" t="str">
        <x:v>Benchmark-coined descriptive engineering term</x:v>
      </x:c>
      <x:c r="I631" s="35" t="str">
        <x:v>N5 - component or subject first, followed by characteristic and qualifier/state; no unsupported external mapping</x:v>
      </x:c>
      <x:c r="J631" s="35" t="str">
        <x:v>REUSE_R2_TERM</x:v>
      </x:c>
    </x:row>
    <x:row r="632">
      <x:c r="A632" s="35" t="str">
        <x:v>mcrCondition</x:v>
      </x:c>
      <x:c r="B632" s="35" t="str">
        <x:v>https://w3id.org/nltl-benchmark/vocab#mcrCondition</x:v>
      </x:c>
      <x:c r="C632" s="35" t="str">
        <x:v>DatatypeProperty</x:v>
      </x:c>
      <x:c r="D632" s="35" t="str">
        <x:v>http://www.w3.org/2001/XMLSchema#string</x:v>
      </x:c>
      <x:c r="E632" s="35" t="str">
        <x:v>xsd:string</x:v>
      </x:c>
      <x:c r="F632" s="35" t="str"/>
      <x:c r="G632" s="38" t="str">
        <x:v>TRF-090</x:v>
      </x:c>
      <x:c r="H632" s="35" t="str">
        <x:v>Benchmark-coined descriptive engineering term</x:v>
      </x:c>
      <x:c r="I632" s="35" t="str">
        <x:v>N5 - component or subject first, followed by characteristic and qualifier/state; no unsupported external mapping</x:v>
      </x:c>
      <x:c r="J632" s="35" t="str">
        <x:v>REUSE_R2_TERM</x:v>
      </x:c>
    </x:row>
    <x:row r="633">
      <x:c r="A633" s="35" t="str">
        <x:v>mcrSpeed</x:v>
      </x:c>
      <x:c r="B633" s="35" t="str">
        <x:v>https://w3id.org/nltl-benchmark/vocab#mcrSpeed</x:v>
      </x:c>
      <x:c r="C633" s="35" t="str">
        <x:v>QuantityProperty</x:v>
      </x:c>
      <x:c r="D633" s="35" t="str">
        <x:v>http://qudt.org/schema/qudt/QuantityValue</x:v>
      </x:c>
      <x:c r="E633" s="35" t="str"/>
      <x:c r="F633" s="35" t="str">
        <x:v>rev/min</x:v>
      </x:c>
      <x:c r="G633" s="38" t="str">
        <x:v>TRF-094</x:v>
      </x:c>
      <x:c r="H633" s="35" t="str">
        <x:v>Benchmark-coined descriptive engineering term</x:v>
      </x:c>
      <x:c r="I633" s="35" t="str">
        <x:v>N5 - component or subject first, followed by characteristic and qualifier/state; no unsupported external mapping</x:v>
      </x:c>
      <x:c r="J633" s="35" t="str">
        <x:v>REUSE_R2_TERM</x:v>
      </x:c>
    </x:row>
    <x:row r="634">
      <x:c r="A634" s="35" t="str">
        <x:v>meanBladeMaterialFatigueStrengthInSeawater</x:v>
      </x:c>
      <x:c r="B634" s="35" t="str">
        <x:v>https://w3id.org/nltl-benchmark/vocab#meanBladeMaterialFatigueStrengthInSeawater</x:v>
      </x:c>
      <x:c r="C634" s="35" t="str">
        <x:v>QuantityProperty</x:v>
      </x:c>
      <x:c r="D634" s="35" t="str">
        <x:v>http://qudt.org/schema/qudt/QuantityValue</x:v>
      </x:c>
      <x:c r="E634" s="35" t="str"/>
      <x:c r="F634" s="35" t="str">
        <x:v>MPa</x:v>
      </x:c>
      <x:c r="G634" s="38" t="str">
        <x:v>TRF-110</x:v>
      </x:c>
      <x:c r="H634" s="35" t="str">
        <x:v>Regulatory symbol expanded from a directly verified definition</x:v>
      </x:c>
      <x:c r="I634" s="35" t="str">
        <x:v>N2 - replace formula symbol with its clause-defined engineering meaning; preserve symbol as alias</x:v>
      </x:c>
      <x:c r="J634" s="35" t="str">
        <x:v>REUSE_R2_TERM</x:v>
      </x:c>
    </x:row>
    <x:row r="635">
      <x:c r="A635" s="35" t="str">
        <x:v>meanDailyLowTemperature</x:v>
      </x:c>
      <x:c r="B635" s="35" t="str">
        <x:v>https://w3id.org/nltl-benchmark/vocab#meanDailyLowTemperature</x:v>
      </x:c>
      <x:c r="C635" s="35" t="str">
        <x:v>QuantityProperty</x:v>
      </x:c>
      <x:c r="D635" s="35" t="str">
        <x:v>http://qudt.org/schema/qudt/QuantityValue</x:v>
      </x:c>
      <x:c r="E635" s="35" t="str"/>
      <x:c r="F635" s="35" t="str">
        <x:v>deg C</x:v>
      </x:c>
      <x:c r="G635" s="38" t="str">
        <x:v>IMO-011</x:v>
      </x:c>
      <x:c r="H635" s="35" t="str">
        <x:v>Unit-stripped normalized regulatory variable</x:v>
      </x:c>
      <x:c r="I635" s="35" t="str">
        <x:v>N3 - remove unit from the identifier and retain it in unit/quantity metadata</x:v>
      </x:c>
      <x:c r="J635" s="35" t="str">
        <x:v>REUSE_R2_TERM</x:v>
      </x:c>
    </x:row>
    <x:row r="636">
      <x:c r="A636" s="35" t="str">
        <x:v>meanStressReductionFactor</x:v>
      </x:c>
      <x:c r="B636" s="35" t="str">
        <x:v>https://w3id.org/nltl-benchmark/vocab#meanStressReductionFactor</x:v>
      </x:c>
      <x:c r="C636" s="35" t="str">
        <x:v>QuantityProperty</x:v>
      </x:c>
      <x:c r="D636" s="35" t="str">
        <x:v>http://qudt.org/schema/qudt/QuantityValue</x:v>
      </x:c>
      <x:c r="E636" s="35" t="str"/>
      <x:c r="F636" s="35" t="str">
        <x:v>1</x:v>
      </x:c>
      <x:c r="G636" s="38" t="str">
        <x:v>TRF-110</x:v>
      </x:c>
      <x:c r="H636" s="35" t="str">
        <x:v>Regulatory symbol expanded from a directly verified definition</x:v>
      </x:c>
      <x:c r="I636" s="35" t="str">
        <x:v>N2 - replace formula symbol with its clause-defined engineering meaning; preserve symbol as alias</x:v>
      </x:c>
      <x:c r="J636" s="35" t="str">
        <x:v>REUSE_R2_TERM</x:v>
      </x:c>
    </x:row>
    <x:row r="637">
      <x:c r="A637" s="35" t="str">
        <x:v>memberCapacity</x:v>
      </x:c>
      <x:c r="B637" s="35" t="str">
        <x:v>https://w3id.org/nltl-benchmark/vocab#memberCapacity</x:v>
      </x:c>
      <x:c r="C637" s="35" t="str">
        <x:v>QuantityProperty</x:v>
      </x:c>
      <x:c r="D637" s="35" t="str">
        <x:v>http://qudt.org/schema/qudt/QuantityValue</x:v>
      </x:c>
      <x:c r="E637" s="35" t="str"/>
      <x:c r="F637" s="35" t="str">
        <x:v>kN</x:v>
      </x:c>
      <x:c r="G637" s="38" t="str">
        <x:v>I2-037</x:v>
      </x:c>
      <x:c r="H637" s="35" t="str">
        <x:v>Benchmark-coined descriptive engineering term</x:v>
      </x:c>
      <x:c r="I637" s="35" t="str">
        <x:v>N5 - component or subject first, followed by characteristic and qualifier/state; no unsupported external mapping</x:v>
      </x:c>
      <x:c r="J637" s="35" t="str">
        <x:v>REUSE_R2_TERM</x:v>
      </x:c>
    </x:row>
    <x:row r="638">
      <x:c r="A638" s="35" t="str">
        <x:v>memberInstability</x:v>
      </x:c>
      <x:c r="B638" s="35" t="str">
        <x:v>https://w3id.org/nltl-benchmark/vocab#memberInstability</x:v>
      </x:c>
      <x:c r="C638" s="35" t="str">
        <x:v>DatatypeProperty</x:v>
      </x:c>
      <x:c r="D638" s="35" t="str">
        <x:v>http://www.w3.org/2001/XMLSchema#boolean</x:v>
      </x:c>
      <x:c r="E638" s="35" t="str">
        <x:v>xsd:boolean</x:v>
      </x:c>
      <x:c r="F638" s="35" t="str"/>
      <x:c r="G638" s="38" t="str">
        <x:v>I2-060</x:v>
      </x:c>
      <x:c r="H638" s="35" t="str">
        <x:v>Benchmark-coined descriptive engineering term</x:v>
      </x:c>
      <x:c r="I638" s="35" t="str">
        <x:v>N5 - component or subject first, followed by characteristic and qualifier/state; no unsupported external mapping</x:v>
      </x:c>
      <x:c r="J638" s="35" t="str">
        <x:v>REUSE_R2_TERM</x:v>
      </x:c>
    </x:row>
    <x:row r="639">
      <x:c r="A639" s="35" t="str">
        <x:v>memberNormalToPlating</x:v>
      </x:c>
      <x:c r="B639" s="35" t="str">
        <x:v>https://w3id.org/nltl-benchmark/vocab#memberNormalToPlating</x:v>
      </x:c>
      <x:c r="C639" s="35" t="str">
        <x:v>DatatypeProperty</x:v>
      </x:c>
      <x:c r="D639" s="35" t="str">
        <x:v>http://www.w3.org/2001/XMLSchema#boolean</x:v>
      </x:c>
      <x:c r="E639" s="35" t="str">
        <x:v>xsd:boolean</x:v>
      </x:c>
      <x:c r="F639" s="35" t="str"/>
      <x:c r="G639" s="38" t="str">
        <x:v>TRF-034</x:v>
      </x:c>
      <x:c r="H639" s="35" t="str">
        <x:v>Applicable TRAFICOM regulation wording plus explicit engineering node/operand role</x:v>
      </x:c>
      <x:c r="I639" s="35" t="str">
        <x:v>N4 - explicit regulatory concept in ASCII lowerCamelCase with an XSD datatype.</x:v>
      </x:c>
      <x:c r="J639" s="35" t="str">
        <x:v>ADD_DEVELOPMENT_TERM</x:v>
      </x:c>
    </x:row>
    <x:row r="640">
      <x:c r="A640" s="35" t="str">
        <x:v>midSpanOrSpacingCenteredPosition</x:v>
      </x:c>
      <x:c r="B640" s="35" t="str">
        <x:v>https://w3id.org/nltl-benchmark/vocab#midSpanOrSpacingCenteredPosition</x:v>
      </x:c>
      <x:c r="C640" s="35" t="str">
        <x:v>NamedIndividual</x:v>
      </x:c>
      <x:c r="D640" s="35" t="str">
        <x:v>https://w3id.org/nltl-benchmark/vocab#loadPositionTypeValue</x:v>
      </x:c>
      <x:c r="E640" s="35" t="str"/>
      <x:c r="F640" s="35" t="str"/>
      <x:c r="G640" s="38" t="str">
        <x:v>TRF-030</x:v>
      </x:c>
      <x:c r="H640" s="35" t="str">
        <x:v>Applicable TRAFICOM regulation wording plus explicit engineering node/operand role</x:v>
      </x:c>
      <x:c r="I640" s="35" t="str">
        <x:v>N6 - concise ASCII lowerCamelCase controlled-value name grounded in the linked regulation.</x:v>
      </x:c>
      <x:c r="J640" s="35" t="str">
        <x:v>ADD_DEVELOPMENT_TERM</x:v>
      </x:c>
    </x:row>
    <x:row r="641">
      <x:c r="A641" s="35" t="str">
        <x:v>midbodyEquivalent</x:v>
      </x:c>
      <x:c r="B641" s="35" t="str">
        <x:v>https://w3id.org/nltl-benchmark/vocab#midbodyEquivalent</x:v>
      </x:c>
      <x:c r="C641" s="35" t="str">
        <x:v>DatatypeProperty</x:v>
      </x:c>
      <x:c r="D641" s="35" t="str">
        <x:v>http://www.w3.org/2001/XMLSchema#boolean</x:v>
      </x:c>
      <x:c r="E641" s="35" t="str">
        <x:v>xsd:boolean</x:v>
      </x:c>
      <x:c r="F641" s="35" t="str"/>
      <x:c r="G641" s="38" t="str">
        <x:v>TRF-040</x:v>
      </x:c>
      <x:c r="H641" s="35" t="str">
        <x:v>Benchmark-coined descriptive engineering term</x:v>
      </x:c>
      <x:c r="I641" s="35" t="str">
        <x:v>N5 - component or subject first, followed by characteristic and qualifier/state; no unsupported external mapping</x:v>
      </x:c>
      <x:c r="J641" s="35" t="str">
        <x:v>REUSE_R2_TERM</x:v>
      </x:c>
    </x:row>
    <x:row r="642">
      <x:c r="A642" s="35" t="str">
        <x:v>midbodyRegion</x:v>
      </x:c>
      <x:c r="B642" s="35" t="str">
        <x:v>https://w3id.org/nltl-benchmark/vocab#midbodyRegion</x:v>
      </x:c>
      <x:c r="C642" s="35" t="str">
        <x:v>NamedIndividual</x:v>
      </x:c>
      <x:c r="D642" s="35" t="str">
        <x:v>https://w3id.org/nltl-benchmark/vocab#hullRegionValue</x:v>
      </x:c>
      <x:c r="E642" s="35" t="str"/>
      <x:c r="F642" s="35" t="str"/>
      <x:c r="G642" s="38" t="str">
        <x:v>TRF-035 | TRF-037 | TRF-043 | TRF-052</x:v>
      </x:c>
      <x:c r="H642" s="35" t="str">
        <x:v>Applicable TRAFICOM regulation wording plus explicit engineering node/operand role</x:v>
      </x:c>
      <x:c r="I642" s="35" t="str">
        <x:v>N6 - concise ASCII lowerCamelCase controlled-value name grounded in the linked regulation.</x:v>
      </x:c>
      <x:c r="J642" s="35" t="str">
        <x:v>ADD_DEVELOPMENT_TERM</x:v>
      </x:c>
    </x:row>
    <x:row r="643">
      <x:c r="A643" s="35" t="str">
        <x:v>minimumClearance</x:v>
      </x:c>
      <x:c r="B643" s="35" t="str">
        <x:v>https://w3id.org/nltl-benchmark/vocab#minimumClearance</x:v>
      </x:c>
      <x:c r="C643" s="35" t="str">
        <x:v>QuantityProperty</x:v>
      </x:c>
      <x:c r="D643" s="35" t="str">
        <x:v>http://qudt.org/schema/qudt/QuantityValue</x:v>
      </x:c>
      <x:c r="E643" s="35" t="str"/>
      <x:c r="F643" s="35" t="str">
        <x:v>m</x:v>
      </x:c>
      <x:c r="G643" s="38" t="str">
        <x:v>TRF-062</x:v>
      </x:c>
      <x:c r="H643" s="35" t="str">
        <x:v>Benchmark-coined descriptive engineering term</x:v>
      </x:c>
      <x:c r="I643" s="35" t="str">
        <x:v>N5 - component or subject first, followed by characteristic and qualifier/state; no unsupported external mapping</x:v>
      </x:c>
      <x:c r="J643" s="35" t="str">
        <x:v>REUSE_R2_TERM</x:v>
      </x:c>
    </x:row>
    <x:row r="644">
      <x:c r="A644" s="35" t="str">
        <x:v>minimumIceClassDraughtAft</x:v>
      </x:c>
      <x:c r="B644" s="35" t="str">
        <x:v>https://w3id.org/nltl-benchmark/vocab#minimumIceClassDraughtAft</x:v>
      </x:c>
      <x:c r="C644" s="35" t="str">
        <x:v>QuantityProperty</x:v>
      </x:c>
      <x:c r="D644" s="35" t="str">
        <x:v>http://qudt.org/schema/qudt/QuantityValue</x:v>
      </x:c>
      <x:c r="E644" s="35" t="str"/>
      <x:c r="F644" s="35" t="str">
        <x:v>m</x:v>
      </x:c>
      <x:c r="G644" s="38" t="str">
        <x:v>TRF-014</x:v>
      </x:c>
      <x:c r="H644" s="35" t="str">
        <x:v>Applicable TRAFICOM regulation wording plus explicit engineering node/operand role</x:v>
      </x:c>
      <x:c r="I644" s="35" t="str">
        <x:v>N4 - explicit engineering quantity in ASCII lowerCamelCase; formula symbols remain aliases only.</x:v>
      </x:c>
      <x:c r="J644" s="35" t="str">
        <x:v>ADD_DEVELOPMENT_TERM</x:v>
      </x:c>
    </x:row>
    <x:row r="645">
      <x:c r="A645" s="35" t="str">
        <x:v>minimumIceClassDraughtAmidships</x:v>
      </x:c>
      <x:c r="B645" s="35" t="str">
        <x:v>https://w3id.org/nltl-benchmark/vocab#minimumIceClassDraughtAmidships</x:v>
      </x:c>
      <x:c r="C645" s="35" t="str">
        <x:v>QuantityProperty</x:v>
      </x:c>
      <x:c r="D645" s="35" t="str">
        <x:v>http://qudt.org/schema/qudt/QuantityValue</x:v>
      </x:c>
      <x:c r="E645" s="35" t="str"/>
      <x:c r="F645" s="35" t="str">
        <x:v>m</x:v>
      </x:c>
      <x:c r="G645" s="38" t="str">
        <x:v>TRF-014</x:v>
      </x:c>
      <x:c r="H645" s="35" t="str">
        <x:v>Applicable TRAFICOM regulation wording plus explicit engineering node/operand role</x:v>
      </x:c>
      <x:c r="I645" s="35" t="str">
        <x:v>N4 - explicit engineering quantity in ASCII lowerCamelCase; formula symbols remain aliases only.</x:v>
      </x:c>
      <x:c r="J645" s="35" t="str">
        <x:v>ADD_DEVELOPMENT_TERM</x:v>
      </x:c>
    </x:row>
    <x:row r="646">
      <x:c r="A646" s="35" t="str">
        <x:v>minimumIceClassDraughtFore</x:v>
      </x:c>
      <x:c r="B646" s="35" t="str">
        <x:v>https://w3id.org/nltl-benchmark/vocab#minimumIceClassDraughtFore</x:v>
      </x:c>
      <x:c r="C646" s="35" t="str">
        <x:v>QuantityProperty</x:v>
      </x:c>
      <x:c r="D646" s="35" t="str">
        <x:v>http://qudt.org/schema/qudt/QuantityValue</x:v>
      </x:c>
      <x:c r="E646" s="35" t="str"/>
      <x:c r="F646" s="35" t="str">
        <x:v>m</x:v>
      </x:c>
      <x:c r="G646" s="38" t="str">
        <x:v>TRF-014</x:v>
      </x:c>
      <x:c r="H646" s="35" t="str">
        <x:v>Applicable TRAFICOM regulation wording plus explicit engineering node/operand role</x:v>
      </x:c>
      <x:c r="I646" s="35" t="str">
        <x:v>N4 - explicit engineering quantity in ASCII lowerCamelCase; formula symbols remain aliases only.</x:v>
      </x:c>
      <x:c r="J646" s="35" t="str">
        <x:v>ADD_DEVELOPMENT_TERM</x:v>
      </x:c>
    </x:row>
    <x:row r="647">
      <x:c r="A647" s="35" t="str">
        <x:v>minimumLineLoad</x:v>
      </x:c>
      <x:c r="B647" s="35" t="str">
        <x:v>https://w3id.org/nltl-benchmark/vocab#minimumLineLoad</x:v>
      </x:c>
      <x:c r="C647" s="35" t="str">
        <x:v>QuantityProperty</x:v>
      </x:c>
      <x:c r="D647" s="35" t="str">
        <x:v>http://qudt.org/schema/qudt/QuantityValue</x:v>
      </x:c>
      <x:c r="E647" s="35" t="str"/>
      <x:c r="F647" s="35" t="str">
        <x:v>kN/m</x:v>
      </x:c>
      <x:c r="G647" s="38" t="str">
        <x:v>TRF-057</x:v>
      </x:c>
      <x:c r="H647" s="35" t="str">
        <x:v>Benchmark-coined descriptive engineering term</x:v>
      </x:c>
      <x:c r="I647" s="35" t="str">
        <x:v>N5 - component or subject first, followed by characteristic and qualifier/state; no unsupported external mapping</x:v>
      </x:c>
      <x:c r="J647" s="35" t="str">
        <x:v>REUSE_R2_TERM</x:v>
      </x:c>
    </x:row>
    <x:row r="648">
      <x:c r="A648" s="35" t="str">
        <x:v>minimumRequiredPowerAtLowerIceWaterline</x:v>
      </x:c>
      <x:c r="B648" s="35" t="str">
        <x:v>https://w3id.org/nltl-benchmark/vocab#minimumRequiredPowerAtLowerIceWaterline</x:v>
      </x:c>
      <x:c r="C648" s="35" t="str">
        <x:v>QuantityProperty</x:v>
      </x:c>
      <x:c r="D648" s="35" t="str">
        <x:v>http://qudt.org/schema/qudt/QuantityValue</x:v>
      </x:c>
      <x:c r="E648" s="35" t="str"/>
      <x:c r="F648" s="35" t="str">
        <x:v>kW</x:v>
      </x:c>
      <x:c r="G648" s="38" t="str">
        <x:v>TRF-020</x:v>
      </x:c>
      <x:c r="H648" s="35" t="str">
        <x:v>Unit-stripped normalized regulatory variable</x:v>
      </x:c>
      <x:c r="I648" s="35" t="str">
        <x:v>N3 - remove unit from the identifier and retain it in unit/quantity metadata</x:v>
      </x:c>
      <x:c r="J648" s="35" t="str">
        <x:v>REUSE_R2_TERM</x:v>
      </x:c>
    </x:row>
    <x:row r="649">
      <x:c r="A649" s="35" t="str">
        <x:v>minimumRequiredPowerAtUpperIceWaterline</x:v>
      </x:c>
      <x:c r="B649" s="35" t="str">
        <x:v>https://w3id.org/nltl-benchmark/vocab#minimumRequiredPowerAtUpperIceWaterline</x:v>
      </x:c>
      <x:c r="C649" s="35" t="str">
        <x:v>QuantityProperty</x:v>
      </x:c>
      <x:c r="D649" s="35" t="str">
        <x:v>http://qudt.org/schema/qudt/QuantityValue</x:v>
      </x:c>
      <x:c r="E649" s="35" t="str"/>
      <x:c r="F649" s="35" t="str">
        <x:v>kW</x:v>
      </x:c>
      <x:c r="G649" s="38" t="str">
        <x:v>TRF-020</x:v>
      </x:c>
      <x:c r="H649" s="35" t="str">
        <x:v>Unit-stripped normalized regulatory variable</x:v>
      </x:c>
      <x:c r="I649" s="35" t="str">
        <x:v>N3 - remove unit from the identifier and retain it in unit/quantity metadata</x:v>
      </x:c>
      <x:c r="J649" s="35" t="str">
        <x:v>REUSE_R2_TERM</x:v>
      </x:c>
    </x:row>
    <x:row r="650">
      <x:c r="A650" s="35" t="str">
        <x:v>modelTestEvidence</x:v>
      </x:c>
      <x:c r="B650" s="35" t="str">
        <x:v>https://w3id.org/nltl-benchmark/vocab#modelTestEvidence</x:v>
      </x:c>
      <x:c r="C650" s="35" t="str">
        <x:v>Class</x:v>
      </x:c>
      <x:c r="D650" s="35" t="str">
        <x:v>https://w3id.org/nltl-benchmark/vocab#physicalTestEvidence</x:v>
      </x:c>
      <x:c r="E650" s="35" t="str"/>
      <x:c r="F650" s="35" t="str"/>
      <x:c r="G650" s="38" t="str">
        <x:v>TRF-028</x:v>
      </x:c>
      <x:c r="H650" s="35" t="str">
        <x:v>Benchmark-coined descriptive engineering term</x:v>
      </x:c>
      <x:c r="I650" s="35" t="str">
        <x:v>N5 - component or subject first, followed by characteristic and qualifier/state; no unsupported external mapping</x:v>
      </x:c>
      <x:c r="J650" s="35" t="str">
        <x:v>REUSE_R2_TERM</x:v>
      </x:c>
    </x:row>
    <x:row r="651">
      <x:c r="A651" s="35" t="str">
        <x:v>multiDeckOrStringerContinuousFrameCondition</x:v>
      </x:c>
      <x:c r="B651" s="35" t="str">
        <x:v>https://w3id.org/nltl-benchmark/vocab#multiDeckOrStringerContinuousFrameCondition</x:v>
      </x:c>
      <x:c r="C651" s="35" t="str">
        <x:v>NamedIndividual</x:v>
      </x:c>
      <x:c r="D651" s="35" t="str">
        <x:v>https://w3id.org/nltl-benchmark/vocab#frameBoundaryConditionTypeValue</x:v>
      </x:c>
      <x:c r="E651" s="35" t="str"/>
      <x:c r="F651" s="35" t="str"/>
      <x:c r="G651" s="38" t="str">
        <x:v>TRF-044</x:v>
      </x:c>
      <x:c r="H651" s="35" t="str">
        <x:v>Applicable TRAFICOM regulation wording plus explicit engineering node/operand role</x:v>
      </x:c>
      <x:c r="I651" s="35" t="str">
        <x:v>N6 - concise ASCII lowerCamelCase controlled-value name grounded in the linked regulation.</x:v>
      </x:c>
      <x:c r="J651" s="35" t="str">
        <x:v>ADD_DEVELOPMENT_TERM</x:v>
      </x:c>
    </x:row>
    <x:row r="652">
      <x:c r="A652" s="35" t="str">
        <x:v>narrowDeckStrip</x:v>
      </x:c>
      <x:c r="B652" s="35" t="str">
        <x:v>https://w3id.org/nltl-benchmark/vocab#narrowDeckStrip</x:v>
      </x:c>
      <x:c r="C652" s="35" t="str">
        <x:v>Class</x:v>
      </x:c>
      <x:c r="D652" s="35" t="str">
        <x:v>https://w3id.org/nltl-benchmark/vocab#hullStructure</x:v>
      </x:c>
      <x:c r="E652" s="35" t="str"/>
      <x:c r="F652" s="35" t="str"/>
      <x:c r="G652" s="38" t="str">
        <x:v>TRF-055</x:v>
      </x:c>
      <x:c r="H652" s="35" t="str">
        <x:v>Applicable TRAFICOM regulation wording plus explicit engineering node/operand role</x:v>
      </x:c>
      <x:c r="I652" s="35" t="str">
        <x:v>N4 - singular ASCII lowerCamelCase entity name derived from the linked regulatory role.</x:v>
      </x:c>
      <x:c r="J652" s="35" t="str">
        <x:v>ADD_DEVELOPMENT_TERM</x:v>
      </x:c>
    </x:row>
    <x:row r="653">
      <x:c r="A653" s="35" t="str">
        <x:v>navigatingInIce</x:v>
      </x:c>
      <x:c r="B653" s="35" t="str">
        <x:v>https://w3id.org/nltl-benchmark/vocab#navigatingInIce</x:v>
      </x:c>
      <x:c r="C653" s="35" t="str">
        <x:v>DatatypeProperty</x:v>
      </x:c>
      <x:c r="D653" s="35" t="str">
        <x:v>http://www.w3.org/2001/XMLSchema#boolean</x:v>
      </x:c>
      <x:c r="E653" s="35" t="str">
        <x:v>xsd:boolean</x:v>
      </x:c>
      <x:c r="F653" s="35" t="str"/>
      <x:c r="G653" s="38" t="str">
        <x:v>TRF-015 | TRF-016</x:v>
      </x:c>
      <x:c r="H653" s="35" t="str">
        <x:v>Applicable TRAFICOM regulation wording plus explicit engineering node/operand role</x:v>
      </x:c>
      <x:c r="I653" s="35" t="str">
        <x:v>N4 - explicit regulatory concept in ASCII lowerCamelCase with an XSD datatype.</x:v>
      </x:c>
      <x:c r="J653" s="35" t="str">
        <x:v>ADD_DEVELOPMENT_TERM</x:v>
      </x:c>
    </x:row>
    <x:row r="654">
      <x:c r="A654" s="35" t="str">
        <x:v>navigationEquipmentItem</x:v>
      </x:c>
      <x:c r="B654" s="35" t="str">
        <x:v>https://w3id.org/nltl-benchmark/vocab#navigationEquipmentItem</x:v>
      </x:c>
      <x:c r="C654" s="35" t="str">
        <x:v>Class</x:v>
      </x:c>
      <x:c r="D654" s="35" t="str">
        <x:v>https://w3id.org/nltl-benchmark/vocab#benchmarkEntity</x:v>
      </x:c>
      <x:c r="E654" s="35" t="str"/>
      <x:c r="F654" s="35" t="str"/>
      <x:c r="G654" s="38" t="str">
        <x:v>IMO26-004</x:v>
      </x:c>
      <x:c r="H654" s="35" t="str">
        <x:v>Locked-workbook normalized regulatory term</x:v>
      </x:c>
      <x:c r="I654" s="35" t="str">
        <x:v>N4 - preserve the source concept; normalize spelling to ASCII lowerCamelCase</x:v>
      </x:c>
      <x:c r="J654" s="35" t="str">
        <x:v>REUSE_R2_TERM</x:v>
      </x:c>
    </x:row>
    <x:row r="655">
      <x:c r="A655" s="35" t="str">
        <x:v>nearCentrelineAndWellAftIfPossible</x:v>
      </x:c>
      <x:c r="B655" s="35" t="str">
        <x:v>https://w3id.org/nltl-benchmark/vocab#nearCentrelineAndWellAftIfPossible</x:v>
      </x:c>
      <x:c r="C655" s="35" t="str">
        <x:v>DatatypeProperty</x:v>
      </x:c>
      <x:c r="D655" s="35" t="str">
        <x:v>http://www.w3.org/2001/XMLSchema#boolean</x:v>
      </x:c>
      <x:c r="E655" s="35" t="str">
        <x:v>xsd:boolean</x:v>
      </x:c>
      <x:c r="F655" s="35" t="str"/>
      <x:c r="G655" s="38" t="str">
        <x:v>TRF-130</x:v>
      </x:c>
      <x:c r="H655" s="35" t="str">
        <x:v>Benchmark-coined descriptive engineering term</x:v>
      </x:c>
      <x:c r="I655" s="35" t="str">
        <x:v>N5 - component or subject first, followed by characteristic and qualifier/state; no unsupported external mapping</x:v>
      </x:c>
      <x:c r="J655" s="35" t="str">
        <x:v>REUSE_R2_TERM</x:v>
      </x:c>
    </x:row>
    <x:row r="656">
      <x:c r="A656" s="35" t="str">
        <x:v>nearbyIceConcentration</x:v>
      </x:c>
      <x:c r="B656" s="35" t="str">
        <x:v>https://w3id.org/nltl-benchmark/vocab#nearbyIceConcentration</x:v>
      </x:c>
      <x:c r="C656" s="35" t="str">
        <x:v>QuantityProperty</x:v>
      </x:c>
      <x:c r="D656" s="35" t="str">
        <x:v>http://qudt.org/schema/qudt/QuantityValue</x:v>
      </x:c>
      <x:c r="E656" s="35" t="str"/>
      <x:c r="F656" s="35" t="str">
        <x:v>1</x:v>
      </x:c>
      <x:c r="G656" s="38" t="str">
        <x:v>IMO-115 | IMO-116 | IMO-120 | IMO-123 | IMO-124</x:v>
      </x:c>
      <x:c r="H656" s="35" t="str">
        <x:v>Unit-stripped normalized regulatory variable</x:v>
      </x:c>
      <x:c r="I656" s="35" t="str">
        <x:v>N3 - remove unit from the identifier and retain it in unit/quantity metadata</x:v>
      </x:c>
      <x:c r="J656" s="35" t="str">
        <x:v>REUSE_R2_TERM</x:v>
      </x:c>
    </x:row>
    <x:row r="657">
      <x:c r="A657" s="35" t="str">
        <x:v>netShellPlatingThickness</x:v>
      </x:c>
      <x:c r="B657" s="35" t="str">
        <x:v>https://w3id.org/nltl-benchmark/vocab#netShellPlatingThickness</x:v>
      </x:c>
      <x:c r="C657" s="35" t="str">
        <x:v>QuantityProperty</x:v>
      </x:c>
      <x:c r="D657" s="35" t="str">
        <x:v>http://qudt.org/schema/qudt/QuantityValue</x:v>
      </x:c>
      <x:c r="E657" s="35" t="str"/>
      <x:c r="F657" s="35" t="str">
        <x:v>mm</x:v>
      </x:c>
      <x:c r="G657" s="38" t="str">
        <x:v>TRF-051</x:v>
      </x:c>
      <x:c r="H657" s="35" t="str">
        <x:v>Applicable TRAFICOM regulation wording plus explicit engineering node/operand role</x:v>
      </x:c>
      <x:c r="I657" s="35" t="str">
        <x:v>N4 - explicit engineering quantity in ASCII lowerCamelCase; formula symbols remain aliases only.</x:v>
      </x:c>
      <x:c r="J657" s="35" t="str">
        <x:v>ADD_DEVELOPMENT_TERM</x:v>
      </x:c>
    </x:row>
    <x:row r="658">
      <x:c r="A658" s="35" t="str">
        <x:v>netThickness</x:v>
      </x:c>
      <x:c r="B658" s="35" t="str">
        <x:v>https://w3id.org/nltl-benchmark/vocab#netThickness</x:v>
      </x:c>
      <x:c r="C658" s="35" t="str">
        <x:v>QuantityProperty</x:v>
      </x:c>
      <x:c r="D658" s="35" t="str">
        <x:v>http://qudt.org/schema/qudt/QuantityValue</x:v>
      </x:c>
      <x:c r="E658" s="35" t="str"/>
      <x:c r="F658" s="35" t="str">
        <x:v>m</x:v>
      </x:c>
      <x:c r="G658" s="38" t="str">
        <x:v>I2-047</x:v>
      </x:c>
      <x:c r="H658" s="35" t="str">
        <x:v>Benchmark-coined descriptive engineering term</x:v>
      </x:c>
      <x:c r="I658" s="35" t="str">
        <x:v>N5 - component or subject first, followed by characteristic and qualifier/state; no unsupported external mapping</x:v>
      </x:c>
      <x:c r="J658" s="35" t="str">
        <x:v>REUSE_R2_TERM</x:v>
      </x:c>
    </x:row>
    <x:row r="659">
      <x:c r="A659" s="35" t="str">
        <x:v>newtonPerMetreToPowerOnePointFiveUnit</x:v>
      </x:c>
      <x:c r="B659" s="35" t="str">
        <x:v>https://w3id.org/nltl-benchmark/vocab#newtonPerMetreToPowerOnePointFiveUnit</x:v>
      </x:c>
      <x:c r="C659" s="35" t="str">
        <x:v>NamedIndividual</x:v>
      </x:c>
      <x:c r="D659" s="35" t="str">
        <x:v>http://qudt.org/schema/qudt/Unit</x:v>
      </x:c>
      <x:c r="E659" s="35" t="str"/>
      <x:c r="F659" s="35" t="str"/>
      <x:c r="G659" s="38" t="str">
        <x:v>TRF-022 | TRF-027</x:v>
      </x:c>
      <x:c r="H659" s="35" t="str">
        <x:v>Applicable TRAFICOM regulation wording plus explicit engineering node/operand role</x:v>
      </x:c>
      <x:c r="I659" s="35" t="str">
        <x:v>N6 - concise ASCII lowerCamelCase controlled-value name grounded in the linked regulation.</x:v>
      </x:c>
      <x:c r="J659" s="35" t="str">
        <x:v>ADD_DEVELOPMENT_TERM</x:v>
      </x:c>
    </x:row>
    <x:row r="660">
      <x:c r="A660" s="35" t="str">
        <x:v>nominalIcePressureP0</x:v>
      </x:c>
      <x:c r="B660" s="35" t="str">
        <x:v>https://w3id.org/nltl-benchmark/vocab#nominalIcePressureP0</x:v>
      </x:c>
      <x:c r="C660" s="35" t="str">
        <x:v>QuantityProperty</x:v>
      </x:c>
      <x:c r="D660" s="35" t="str">
        <x:v>http://qudt.org/schema/qudt/QuantityValue</x:v>
      </x:c>
      <x:c r="E660" s="35" t="str"/>
      <x:c r="F660" s="35" t="str">
        <x:v>MPa</x:v>
      </x:c>
      <x:c r="G660" s="38" t="str">
        <x:v>TRF-039</x:v>
      </x:c>
      <x:c r="H660" s="35" t="str">
        <x:v>Unit-stripped normalized regulatory variable</x:v>
      </x:c>
      <x:c r="I660" s="35" t="str">
        <x:v>N3 - remove unit from the identifier and retain it in unit/quantity metadata</x:v>
      </x:c>
      <x:c r="J660" s="35" t="str">
        <x:v>REUSE_R2_TERM</x:v>
      </x:c>
    </x:row>
    <x:row r="661">
      <x:c r="A661" s="35" t="str">
        <x:v>nominalVonMisesStress</x:v>
      </x:c>
      <x:c r="B661" s="35" t="str">
        <x:v>https://w3id.org/nltl-benchmark/vocab#nominalVonMisesStress</x:v>
      </x:c>
      <x:c r="C661" s="35" t="str">
        <x:v>QuantityProperty</x:v>
      </x:c>
      <x:c r="D661" s="35" t="str">
        <x:v>http://qudt.org/schema/qudt/QuantityValue</x:v>
      </x:c>
      <x:c r="E661" s="35" t="str"/>
      <x:c r="F661" s="35" t="str">
        <x:v>MPa</x:v>
      </x:c>
      <x:c r="G661" s="38" t="str">
        <x:v>TRF-118</x:v>
      </x:c>
      <x:c r="H661" s="35" t="str">
        <x:v>Benchmark-coined descriptive engineering term</x:v>
      </x:c>
      <x:c r="I661" s="35" t="str">
        <x:v>N5 - component or subject first, followed by characteristic and qualifier/state; no unsupported external mapping</x:v>
      </x:c>
      <x:c r="J661" s="35" t="str">
        <x:v>REUSE_R2_TERM</x:v>
      </x:c>
    </x:row>
    <x:row r="662">
      <x:c r="A662" s="35" t="str">
        <x:v>nonBowIceForce</x:v>
      </x:c>
      <x:c r="B662" s="35" t="str">
        <x:v>https://w3id.org/nltl-benchmark/vocab#nonBowIceForce</x:v>
      </x:c>
      <x:c r="C662" s="35" t="str">
        <x:v>QuantityProperty</x:v>
      </x:c>
      <x:c r="D662" s="35" t="str">
        <x:v>http://qudt.org/schema/qudt/QuantityValue</x:v>
      </x:c>
      <x:c r="E662" s="35" t="str"/>
      <x:c r="F662" s="35" t="str">
        <x:v>kN</x:v>
      </x:c>
      <x:c r="G662" s="38" t="str">
        <x:v>I2-017</x:v>
      </x:c>
      <x:c r="H662" s="35" t="str">
        <x:v>Benchmark-coined descriptive engineering term</x:v>
      </x:c>
      <x:c r="I662" s="35" t="str">
        <x:v>N5 - component or subject first, followed by characteristic and qualifier/state; no unsupported external mapping</x:v>
      </x:c>
      <x:c r="J662" s="35" t="str">
        <x:v>REUSE_R2_TERM</x:v>
      </x:c>
    </x:row>
    <x:row r="663">
      <x:c r="A663" s="35" t="str">
        <x:v>nonBowLineLoad</x:v>
      </x:c>
      <x:c r="B663" s="35" t="str">
        <x:v>https://w3id.org/nltl-benchmark/vocab#nonBowLineLoad</x:v>
      </x:c>
      <x:c r="C663" s="35" t="str">
        <x:v>QuantityProperty</x:v>
      </x:c>
      <x:c r="D663" s="35" t="str">
        <x:v>http://qudt.org/schema/qudt/QuantityValue</x:v>
      </x:c>
      <x:c r="E663" s="35" t="str"/>
      <x:c r="F663" s="35" t="str">
        <x:v>kN/m</x:v>
      </x:c>
      <x:c r="G663" s="38" t="str">
        <x:v>I2-017</x:v>
      </x:c>
      <x:c r="H663" s="35" t="str">
        <x:v>Benchmark-coined descriptive engineering term</x:v>
      </x:c>
      <x:c r="I663" s="35" t="str">
        <x:v>N5 - component or subject first, followed by characteristic and qualifier/state; no unsupported external mapping</x:v>
      </x:c>
      <x:c r="J663" s="35" t="str">
        <x:v>REUSE_R2_TERM</x:v>
      </x:c>
    </x:row>
    <x:row r="664">
      <x:c r="A664" s="35" t="str">
        <x:v>nonBowLoadPatchHeight</x:v>
      </x:c>
      <x:c r="B664" s="35" t="str">
        <x:v>https://w3id.org/nltl-benchmark/vocab#nonBowLoadPatchHeight</x:v>
      </x:c>
      <x:c r="C664" s="35" t="str">
        <x:v>QuantityProperty</x:v>
      </x:c>
      <x:c r="D664" s="35" t="str">
        <x:v>http://qudt.org/schema/qudt/QuantityValue</x:v>
      </x:c>
      <x:c r="E664" s="35" t="str"/>
      <x:c r="F664" s="35" t="str">
        <x:v>m</x:v>
      </x:c>
      <x:c r="G664" s="38" t="str">
        <x:v>I2-009 | I2-017</x:v>
      </x:c>
      <x:c r="H664" s="35" t="str">
        <x:v>Benchmark-coined descriptive engineering term</x:v>
      </x:c>
      <x:c r="I664" s="35" t="str">
        <x:v>N5 - component or subject first, followed by characteristic and qualifier/state; no unsupported external mapping</x:v>
      </x:c>
      <x:c r="J664" s="35" t="str">
        <x:v>REUSE_R2_TERM</x:v>
      </x:c>
    </x:row>
    <x:row r="665">
      <x:c r="A665" s="35" t="str">
        <x:v>nonBowLoadPatchLength</x:v>
      </x:c>
      <x:c r="B665" s="35" t="str">
        <x:v>https://w3id.org/nltl-benchmark/vocab#nonBowLoadPatchLength</x:v>
      </x:c>
      <x:c r="C665" s="35" t="str">
        <x:v>QuantityProperty</x:v>
      </x:c>
      <x:c r="D665" s="35" t="str">
        <x:v>http://qudt.org/schema/qudt/QuantityValue</x:v>
      </x:c>
      <x:c r="E665" s="35" t="str"/>
      <x:c r="F665" s="35" t="str">
        <x:v>m</x:v>
      </x:c>
      <x:c r="G665" s="38" t="str">
        <x:v>I2-009 | I2-017</x:v>
      </x:c>
      <x:c r="H665" s="35" t="str">
        <x:v>Benchmark-coined descriptive engineering term</x:v>
      </x:c>
      <x:c r="I665" s="35" t="str">
        <x:v>N5 - component or subject first, followed by characteristic and qualifier/state; no unsupported external mapping</x:v>
      </x:c>
      <x:c r="J665" s="35" t="str">
        <x:v>REUSE_R2_TERM</x:v>
      </x:c>
    </x:row>
    <x:row r="666">
      <x:c r="A666" s="35" t="str">
        <x:v>nonHemisphericalImpactArea</x:v>
      </x:c>
      <x:c r="B666" s="35" t="str">
        <x:v>https://w3id.org/nltl-benchmark/vocab#nonHemisphericalImpactArea</x:v>
      </x:c>
      <x:c r="C666" s="35" t="str">
        <x:v>DatatypeProperty</x:v>
      </x:c>
      <x:c r="D666" s="35" t="str">
        <x:v>http://www.w3.org/2001/XMLSchema#string</x:v>
      </x:c>
      <x:c r="E666" s="35" t="str">
        <x:v>xsd:string</x:v>
      </x:c>
      <x:c r="F666" s="35" t="str"/>
      <x:c r="G666" s="38" t="str">
        <x:v>TRF-116</x:v>
      </x:c>
      <x:c r="H666" s="35" t="str">
        <x:v>Benchmark-coined descriptive engineering term</x:v>
      </x:c>
      <x:c r="I666" s="35" t="str">
        <x:v>N5 - component or subject first, followed by characteristic and qualifier/state; no unsupported external mapping</x:v>
      </x:c>
      <x:c r="J666" s="35" t="str">
        <x:v>REUSE_R2_TERM</x:v>
      </x:c>
    </x:row>
    <x:row r="667">
      <x:c r="A667" s="35" t="str">
        <x:v>nonMagneticHeadingMeansCount</x:v>
      </x:c>
      <x:c r="B667" s="35" t="str">
        <x:v>https://w3id.org/nltl-benchmark/vocab#nonMagneticHeadingMeansCount</x:v>
      </x:c>
      <x:c r="C667" s="35" t="str">
        <x:v>DatatypeProperty</x:v>
      </x:c>
      <x:c r="D667" s="35" t="str">
        <x:v>http://www.w3.org/2001/XMLSchema#integer</x:v>
      </x:c>
      <x:c r="E667" s="35" t="str">
        <x:v>xsd:integer</x:v>
      </x:c>
      <x:c r="F667" s="35" t="str"/>
      <x:c r="G667" s="38" t="str">
        <x:v>IMO-086 | IMO26-012</x:v>
      </x:c>
      <x:c r="H667" s="35" t="str">
        <x:v>Locked-workbook normalized regulatory term</x:v>
      </x:c>
      <x:c r="I667" s="35" t="str">
        <x:v>N4 - preserve the source concept; normalize spelling to ASCII lowerCamelCase</x:v>
      </x:c>
      <x:c r="J667" s="35" t="str">
        <x:v>REUSE_R2_TERM</x:v>
      </x:c>
    </x:row>
    <x:row r="668">
      <x:c r="A668" s="35" t="str">
        <x:v>nonlinearCalculationMethod</x:v>
      </x:c>
      <x:c r="B668" s="35" t="str">
        <x:v>https://w3id.org/nltl-benchmark/vocab#nonlinearCalculationMethod</x:v>
      </x:c>
      <x:c r="C668" s="35" t="str">
        <x:v>DatatypeProperty</x:v>
      </x:c>
      <x:c r="D668" s="35" t="str">
        <x:v>http://www.w3.org/2001/XMLSchema#string</x:v>
      </x:c>
      <x:c r="E668" s="35" t="str">
        <x:v>xsd:string</x:v>
      </x:c>
      <x:c r="F668" s="35" t="str"/>
      <x:c r="G668" s="38" t="str">
        <x:v>I2-065</x:v>
      </x:c>
      <x:c r="H668" s="35" t="str">
        <x:v>Benchmark-coined descriptive engineering term</x:v>
      </x:c>
      <x:c r="I668" s="35" t="str">
        <x:v>N5 - component or subject first, followed by characteristic and qualifier/state; no unsupported external mapping</x:v>
      </x:c>
      <x:c r="J668" s="35" t="str">
        <x:v>REUSE_R2_TERM</x:v>
      </x:c>
    </x:row>
    <x:row r="669">
      <x:c r="A669" s="35" t="str">
        <x:v>normalFrameAngle</x:v>
      </x:c>
      <x:c r="B669" s="35" t="str">
        <x:v>https://w3id.org/nltl-benchmark/vocab#normalFrameAngle</x:v>
      </x:c>
      <x:c r="C669" s="35" t="str">
        <x:v>QuantityProperty</x:v>
      </x:c>
      <x:c r="D669" s="35" t="str">
        <x:v>http://qudt.org/schema/qudt/QuantityValue</x:v>
      </x:c>
      <x:c r="E669" s="35" t="str"/>
      <x:c r="F669" s="35" t="str">
        <x:v>deg</x:v>
      </x:c>
      <x:c r="G669" s="38" t="str">
        <x:v>I2-009 | I2-010</x:v>
      </x:c>
      <x:c r="H669" s="35" t="str">
        <x:v>Benchmark-coined descriptive engineering term</x:v>
      </x:c>
      <x:c r="I669" s="35" t="str">
        <x:v>N5 - component or subject first, followed by characteristic and qualifier/state; no unsupported external mapping</x:v>
      </x:c>
      <x:c r="J669" s="35" t="str">
        <x:v>REUSE_R2_TERM</x:v>
      </x:c>
    </x:row>
    <x:row r="670">
      <x:c r="A670" s="35" t="str">
        <x:v>normalLifeSavingEquivalentFunctionalityApprovalStatus</x:v>
      </x:c>
      <x:c r="B670" s="35" t="str">
        <x:v>https://w3id.org/nltl-benchmark/vocab#normalLifeSavingEquivalentFunctionalityApprovalStatus</x:v>
      </x:c>
      <x:c r="C670" s="35" t="str">
        <x:v>ObjectProperty</x:v>
      </x:c>
      <x:c r="D670" s="35" t="str">
        <x:v>https://w3id.org/nltl-benchmark/vocab#evidenceState</x:v>
      </x:c>
      <x:c r="E670" s="35" t="str"/>
      <x:c r="F670" s="35" t="str"/>
      <x:c r="G670" s="38" t="str">
        <x:v>IMO-074</x:v>
      </x:c>
      <x:c r="H670" s="35" t="str">
        <x:v>Locked-workbook normalized regulatory term</x:v>
      </x:c>
      <x:c r="I670" s="35" t="str">
        <x:v>N4 - preserve the source concept; normalize spelling to ASCII lowerCamelCase</x:v>
      </x:c>
      <x:c r="J670" s="35" t="str">
        <x:v>REUSE_R2_TERM</x:v>
      </x:c>
    </x:row>
    <x:row r="671">
      <x:c r="A671" s="35" t="str">
        <x:v>normalOperationProcedurePresent</x:v>
      </x:c>
      <x:c r="B671" s="35" t="str">
        <x:v>https://w3id.org/nltl-benchmark/vocab#normalOperationProcedurePresent</x:v>
      </x:c>
      <x:c r="C671" s="35" t="str">
        <x:v>DatatypeProperty</x:v>
      </x:c>
      <x:c r="D671" s="35" t="str">
        <x:v>http://www.w3.org/2001/XMLSchema#boolean</x:v>
      </x:c>
      <x:c r="E671" s="35" t="str">
        <x:v>xsd:boolean</x:v>
      </x:c>
      <x:c r="F671" s="35" t="str"/>
      <x:c r="G671" s="38" t="str">
        <x:v>IMO-023</x:v>
      </x:c>
      <x:c r="H671" s="35" t="str">
        <x:v>Locked-workbook normalized regulatory term</x:v>
      </x:c>
      <x:c r="I671" s="35" t="str">
        <x:v>N4 - preserve the source concept; normalize spelling to ASCII lowerCamelCase</x:v>
      </x:c>
      <x:c r="J671" s="35" t="str">
        <x:v>REUSE_R2_TERM</x:v>
      </x:c>
    </x:row>
    <x:row r="672">
      <x:c r="A672" s="35" t="str">
        <x:v>normalStrengthHullStructuralSteel</x:v>
      </x:c>
      <x:c r="B672" s="35" t="str">
        <x:v>https://w3id.org/nltl-benchmark/vocab#normalStrengthHullStructuralSteel</x:v>
      </x:c>
      <x:c r="C672" s="35" t="str">
        <x:v>NamedIndividual</x:v>
      </x:c>
      <x:c r="D672" s="35" t="str">
        <x:v>https://w3id.org/nltl-benchmark/vocab#steelGradeValue</x:v>
      </x:c>
      <x:c r="E672" s="35" t="str"/>
      <x:c r="F672" s="35" t="str"/>
      <x:c r="G672" s="38" t="str">
        <x:v>TRF-041 | TRF-042 | TRF-051</x:v>
      </x:c>
      <x:c r="H672" s="35" t="str">
        <x:v>Applicable TRAFICOM regulation wording plus explicit engineering node/operand role</x:v>
      </x:c>
      <x:c r="I672" s="35" t="str">
        <x:v>N6 - concise ASCII lowerCamelCase controlled-value name grounded in the linked regulation.</x:v>
      </x:c>
      <x:c r="J672" s="35" t="str">
        <x:v>ADD_DEVELOPMENT_TERM</x:v>
      </x:c>
    </x:row>
    <x:row r="673">
      <x:c r="A673" s="35" t="str">
        <x:v>notComminutedOrDisinfected</x:v>
      </x:c>
      <x:c r="B673" s="35" t="str">
        <x:v>https://w3id.org/nltl-benchmark/vocab#notComminutedOrDisinfected</x:v>
      </x:c>
      <x:c r="C673" s="35" t="str">
        <x:v>DatatypeProperty</x:v>
      </x:c>
      <x:c r="D673" s="35" t="str">
        <x:v>http://www.w3.org/2001/XMLSchema#boolean</x:v>
      </x:c>
      <x:c r="E673" s="35" t="str">
        <x:v>xsd:boolean</x:v>
      </x:c>
      <x:c r="F673" s="35" t="str"/>
      <x:c r="G673" s="38" t="str">
        <x:v>IMO-116</x:v>
      </x:c>
      <x:c r="H673" s="35" t="str">
        <x:v>Benchmark-coined descriptive engineering term</x:v>
      </x:c>
      <x:c r="I673" s="35" t="str">
        <x:v>N5 - component or subject first, followed by characteristic and qualifier/state; no unsupported external mapping</x:v>
      </x:c>
      <x:c r="J673" s="35" t="str">
        <x:v>REUSE_R2_TERM</x:v>
      </x:c>
    </x:row>
    <x:row r="674">
      <x:c r="A674" s="35" t="str">
        <x:v>noxiousLiquidSubstanceEmergencyPlanPolarCoverage</x:v>
      </x:c>
      <x:c r="B674" s="35" t="str">
        <x:v>https://w3id.org/nltl-benchmark/vocab#noxiousLiquidSubstanceEmergencyPlanPolarCoverage</x:v>
      </x:c>
      <x:c r="C674" s="35" t="str">
        <x:v>DatatypeProperty</x:v>
      </x:c>
      <x:c r="D674" s="35" t="str">
        <x:v>http://www.w3.org/2001/XMLSchema#boolean</x:v>
      </x:c>
      <x:c r="E674" s="35" t="str">
        <x:v>xsd:boolean</x:v>
      </x:c>
      <x:c r="F674" s="35" t="str"/>
      <x:c r="G674" s="38" t="str">
        <x:v>IMO-113</x:v>
      </x:c>
      <x:c r="H674" s="35" t="str">
        <x:v>Locked-workbook normalized regulatory term</x:v>
      </x:c>
      <x:c r="I674" s="35" t="str">
        <x:v>N4 - preserve the source concept; normalize spelling to ASCII lowerCamelCase</x:v>
      </x:c>
      <x:c r="J674" s="35" t="str">
        <x:v>REUSE_R2_TERM</x:v>
      </x:c>
    </x:row>
    <x:row r="675">
      <x:c r="A675" s="35" t="str">
        <x:v>noxiousLiquidSubstanceOrNoxiousLiquidSubstanceMixtureDischargeToSea</x:v>
      </x:c>
      <x:c r="B675" s="35" t="str">
        <x:v>https://w3id.org/nltl-benchmark/vocab#noxiousLiquidSubstanceOrNoxiousLiquidSubstanceMixtureDischargeToSea</x:v>
      </x:c>
      <x:c r="C675" s="35" t="str">
        <x:v>DatatypeProperty</x:v>
      </x:c>
      <x:c r="D675" s="35" t="str">
        <x:v>http://www.w3.org/2001/XMLSchema#boolean</x:v>
      </x:c>
      <x:c r="E675" s="35" t="str">
        <x:v>xsd:boolean</x:v>
      </x:c>
      <x:c r="F675" s="35" t="str"/>
      <x:c r="G675" s="38" t="str">
        <x:v>IMO-112</x:v>
      </x:c>
      <x:c r="H675" s="35" t="str">
        <x:v>Locked-workbook normalized regulatory term</x:v>
      </x:c>
      <x:c r="I675" s="35" t="str">
        <x:v>N4 - preserve the source concept; normalize spelling to ASCII lowerCamelCase</x:v>
      </x:c>
      <x:c r="J675" s="35" t="str">
        <x:v>REUSE_R2_TERM</x:v>
      </x:c>
    </x:row>
    <x:row r="676">
      <x:c r="A676" s="35" t="str">
        <x:v>observationTime</x:v>
      </x:c>
      <x:c r="B676" s="35" t="str">
        <x:v>https://w3id.org/nltl-benchmark/vocab#observationTime</x:v>
      </x:c>
      <x:c r="C676" s="35" t="str">
        <x:v>DatatypeProperty</x:v>
      </x:c>
      <x:c r="D676" s="35" t="str">
        <x:v>http://www.w3.org/2001/XMLSchema#dateTime</x:v>
      </x:c>
      <x:c r="E676" s="35" t="str">
        <x:v>xsd:dateTime</x:v>
      </x:c>
      <x:c r="F676" s="35" t="str"/>
      <x:c r="G676" s="38" t="str">
        <x:v>IMO-044</x:v>
      </x:c>
      <x:c r="H676" s="35" t="str">
        <x:v>Locked-workbook normalized regulatory term</x:v>
      </x:c>
      <x:c r="I676" s="35" t="str">
        <x:v>N4 - preserve the source concept; normalize spelling to ASCII lowerCamelCase</x:v>
      </x:c>
      <x:c r="J676" s="35" t="str">
        <x:v>REUSE_R2_TERM</x:v>
      </x:c>
    </x:row>
    <x:row r="677">
      <x:c r="A677" s="35" t="str">
        <x:v>observedIceAccretion</x:v>
      </x:c>
      <x:c r="B677" s="35" t="str">
        <x:v>https://w3id.org/nltl-benchmark/vocab#observedIceAccretion</x:v>
      </x:c>
      <x:c r="C677" s="35" t="str">
        <x:v>QuantityProperty</x:v>
      </x:c>
      <x:c r="D677" s="35" t="str">
        <x:v>http://qudt.org/schema/qudt/QuantityValue</x:v>
      </x:c>
      <x:c r="E677" s="35" t="str"/>
      <x:c r="F677" s="35" t="str">
        <x:v>m</x:v>
      </x:c>
      <x:c r="G677" s="38" t="str">
        <x:v>IMO-036</x:v>
      </x:c>
      <x:c r="H677" s="35" t="str">
        <x:v>Locked-workbook normalized regulatory term</x:v>
      </x:c>
      <x:c r="I677" s="35" t="str">
        <x:v>N4 - preserve the source concept; normalize spelling to ASCII lowerCamelCase</x:v>
      </x:c>
      <x:c r="J677" s="35" t="str">
        <x:v>REUSE_R2_TERM</x:v>
      </x:c>
    </x:row>
    <x:row r="678">
      <x:c r="A678" s="35" t="str">
        <x:v>observedViscosity</x:v>
      </x:c>
      <x:c r="B678" s="35" t="str">
        <x:v>https://w3id.org/nltl-benchmark/vocab#observedViscosity</x:v>
      </x:c>
      <x:c r="C678" s="35" t="str">
        <x:v>QuantityProperty</x:v>
      </x:c>
      <x:c r="D678" s="35" t="str">
        <x:v>http://qudt.org/schema/qudt/QuantityValue</x:v>
      </x:c>
      <x:c r="E678" s="35" t="str"/>
      <x:c r="F678" s="35" t="str"/>
      <x:c r="G678" s="38" t="str">
        <x:v>IMO-044</x:v>
      </x:c>
      <x:c r="H678" s="35" t="str">
        <x:v>Locked-workbook normalized regulatory term</x:v>
      </x:c>
      <x:c r="I678" s="35" t="str">
        <x:v>N4 - preserve the source concept; normalize spelling to ASCII lowerCamelCase</x:v>
      </x:c>
      <x:c r="J678" s="35" t="str">
        <x:v>REUSE_R2_TERM</x:v>
      </x:c>
    </x:row>
    <x:row r="679">
      <x:c r="A679" s="35" t="str">
        <x:v>oilFuelTankOuterShellSeparation</x:v>
      </x:c>
      <x:c r="B679" s="35" t="str">
        <x:v>https://w3id.org/nltl-benchmark/vocab#oilFuelTankOuterShellSeparation</x:v>
      </x:c>
      <x:c r="C679" s="35" t="str">
        <x:v>QuantityProperty</x:v>
      </x:c>
      <x:c r="D679" s="35" t="str">
        <x:v>http://qudt.org/schema/qudt/QuantityValue</x:v>
      </x:c>
      <x:c r="E679" s="35" t="str"/>
      <x:c r="F679" s="35" t="str">
        <x:v>m</x:v>
      </x:c>
      <x:c r="G679" s="38" t="str">
        <x:v>IMO-108</x:v>
      </x:c>
      <x:c r="H679" s="35" t="str">
        <x:v>Unit-stripped normalized regulatory variable</x:v>
      </x:c>
      <x:c r="I679" s="35" t="str">
        <x:v>N3 - remove unit from the identifier and retain it in unit/quantity metadata</x:v>
      </x:c>
      <x:c r="J679" s="35" t="str">
        <x:v>REUSE_R2_TERM</x:v>
      </x:c>
    </x:row>
    <x:row r="680">
      <x:c r="A680" s="35" t="str">
        <x:v>oilOrOilyMixtureDischargeToSea</x:v>
      </x:c>
      <x:c r="B680" s="35" t="str">
        <x:v>https://w3id.org/nltl-benchmark/vocab#oilOrOilyMixtureDischargeToSea</x:v>
      </x:c>
      <x:c r="C680" s="35" t="str">
        <x:v>DatatypeProperty</x:v>
      </x:c>
      <x:c r="D680" s="35" t="str">
        <x:v>http://www.w3.org/2001/XMLSchema#boolean</x:v>
      </x:c>
      <x:c r="E680" s="35" t="str">
        <x:v>xsd:boolean</x:v>
      </x:c>
      <x:c r="F680" s="35" t="str"/>
      <x:c r="G680" s="38" t="str">
        <x:v>IMO-105</x:v>
      </x:c>
      <x:c r="H680" s="35" t="str">
        <x:v>Locked-workbook normalized regulatory term</x:v>
      </x:c>
      <x:c r="I680" s="35" t="str">
        <x:v>N4 - preserve the source concept; normalize spelling to ASCII lowerCamelCase</x:v>
      </x:c>
      <x:c r="J680" s="35" t="str">
        <x:v>REUSE_R2_TERM</x:v>
      </x:c>
    </x:row>
    <x:row r="681">
      <x:c r="A681" s="35" t="str">
        <x:v>oilRecordBookPolarCoverage</x:v>
      </x:c>
      <x:c r="B681" s="35" t="str">
        <x:v>https://w3id.org/nltl-benchmark/vocab#oilRecordBookPolarCoverage</x:v>
      </x:c>
      <x:c r="C681" s="35" t="str">
        <x:v>DatatypeProperty</x:v>
      </x:c>
      <x:c r="D681" s="35" t="str">
        <x:v>http://www.w3.org/2001/XMLSchema#boolean</x:v>
      </x:c>
      <x:c r="E681" s="35" t="str">
        <x:v>xsd:boolean</x:v>
      </x:c>
      <x:c r="F681" s="35" t="str"/>
      <x:c r="G681" s="38" t="str">
        <x:v>IMO-107</x:v>
      </x:c>
      <x:c r="H681" s="35" t="str">
        <x:v>Locked-workbook normalized regulatory term</x:v>
      </x:c>
      <x:c r="I681" s="35" t="str">
        <x:v>N4 - preserve the source concept; normalize spelling to ASCII lowerCamelCase</x:v>
      </x:c>
      <x:c r="J681" s="35" t="str">
        <x:v>REUSE_R2_TERM</x:v>
      </x:c>
    </x:row>
    <x:row r="682">
      <x:c r="A682" s="35" t="str">
        <x:v>oilResidueTank</x:v>
      </x:c>
      <x:c r="B682" s="35" t="str">
        <x:v>https://w3id.org/nltl-benchmark/vocab#oilResidueTank</x:v>
      </x:c>
      <x:c r="C682" s="35" t="str">
        <x:v>Class</x:v>
      </x:c>
      <x:c r="D682" s="35" t="str">
        <x:v>https://w3id.org/nltl-benchmark/vocab#machineryComponent</x:v>
      </x:c>
      <x:c r="E682" s="35" t="str"/>
      <x:c r="F682" s="35" t="str"/>
      <x:c r="G682" s="38" t="str">
        <x:v>IMO-111</x:v>
      </x:c>
      <x:c r="H682" s="35" t="str">
        <x:v>Benchmark-coined descriptive engineering term</x:v>
      </x:c>
      <x:c r="I682" s="35" t="str">
        <x:v>N5 - component or subject first, followed by characteristic and qualifier/state; no unsupported external mapping</x:v>
      </x:c>
      <x:c r="J682" s="35" t="str">
        <x:v>REUSE_R2_TERM</x:v>
      </x:c>
    </x:row>
    <x:row r="683">
      <x:c r="A683" s="35" t="str">
        <x:v>oilTanker</x:v>
      </x:c>
      <x:c r="B683" s="35" t="str">
        <x:v>https://w3id.org/nltl-benchmark/vocab#oilTanker</x:v>
      </x:c>
      <x:c r="C683" s="35" t="str">
        <x:v>Class</x:v>
      </x:c>
      <x:c r="D683" s="35" t="str">
        <x:v>https://w3id.org/nltl-benchmark/vocab#ship</x:v>
      </x:c>
      <x:c r="E683" s="35" t="str"/>
      <x:c r="F683" s="35" t="str"/>
      <x:c r="G683" s="38" t="str">
        <x:v>IMO-109 | IMO-110</x:v>
      </x:c>
      <x:c r="H683" s="35" t="str">
        <x:v>Benchmark-coined descriptive engineering term</x:v>
      </x:c>
      <x:c r="I683" s="35" t="str">
        <x:v>N5 - component or subject first, followed by characteristic and qualifier/state; no unsupported external mapping</x:v>
      </x:c>
      <x:c r="J683" s="35" t="str">
        <x:v>REUSE_R2_TERM</x:v>
      </x:c>
    </x:row>
    <x:row r="684">
      <x:c r="A684" s="35" t="str">
        <x:v>oilyBilgeWaterHoldingTank</x:v>
      </x:c>
      <x:c r="B684" s="35" t="str">
        <x:v>https://w3id.org/nltl-benchmark/vocab#oilyBilgeWaterHoldingTank</x:v>
      </x:c>
      <x:c r="C684" s="35" t="str">
        <x:v>Class</x:v>
      </x:c>
      <x:c r="D684" s="35" t="str">
        <x:v>https://w3id.org/nltl-benchmark/vocab#machineryComponent</x:v>
      </x:c>
      <x:c r="E684" s="35" t="str"/>
      <x:c r="F684" s="35" t="str"/>
      <x:c r="G684" s="38" t="str">
        <x:v>IMO-111</x:v>
      </x:c>
      <x:c r="H684" s="35" t="str">
        <x:v>Benchmark-coined descriptive engineering term</x:v>
      </x:c>
      <x:c r="I684" s="35" t="str">
        <x:v>N5 - component or subject first, followed by characteristic and qualifier/state; no unsupported external mapping</x:v>
      </x:c>
      <x:c r="J684" s="35" t="str">
        <x:v>REUSE_R2_TERM</x:v>
      </x:c>
    </x:row>
    <x:row r="685">
      <x:c r="A685" s="35" t="str">
        <x:v>onSceneTransmitReceiveDeviceCount</x:v>
      </x:c>
      <x:c r="B685" s="35" t="str">
        <x:v>https://w3id.org/nltl-benchmark/vocab#onSceneTransmitReceiveDeviceCount</x:v>
      </x:c>
      <x:c r="C685" s="35" t="str">
        <x:v>DatatypeProperty</x:v>
      </x:c>
      <x:c r="D685" s="35" t="str">
        <x:v>http://www.w3.org/2001/XMLSchema#integer</x:v>
      </x:c>
      <x:c r="E685" s="35" t="str">
        <x:v>xsd:integer</x:v>
      </x:c>
      <x:c r="F685" s="35" t="str"/>
      <x:c r="G685" s="38" t="str">
        <x:v>IMO-097 | IMO-098</x:v>
      </x:c>
      <x:c r="H685" s="35" t="str">
        <x:v>Locked-workbook normalized regulatory term</x:v>
      </x:c>
      <x:c r="I685" s="35" t="str">
        <x:v>N4 - preserve the source concept; normalize spelling to ASCII lowerCamelCase</x:v>
      </x:c>
      <x:c r="J685" s="35" t="str">
        <x:v>REUSE_R2_TERM</x:v>
      </x:c>
    </x:row>
    <x:row r="686">
      <x:c r="A686" s="35" t="str">
        <x:v>openWaterServiceSpeed</x:v>
      </x:c>
      <x:c r="B686" s="35" t="str">
        <x:v>https://w3id.org/nltl-benchmark/vocab#openWaterServiceSpeed</x:v>
      </x:c>
      <x:c r="C686" s="35" t="str">
        <x:v>QuantityProperty</x:v>
      </x:c>
      <x:c r="D686" s="35" t="str">
        <x:v>http://qudt.org/schema/qudt/QuantityValue</x:v>
      </x:c>
      <x:c r="E686" s="35" t="str"/>
      <x:c r="F686" s="35" t="str">
        <x:v>kn</x:v>
      </x:c>
      <x:c r="G686" s="38" t="str">
        <x:v>TRF-040</x:v>
      </x:c>
      <x:c r="H686" s="35" t="str">
        <x:v>Unit-stripped normalized regulatory variable</x:v>
      </x:c>
      <x:c r="I686" s="35" t="str">
        <x:v>N3 - remove unit from the identifier and retain it in unit/quantity metadata</x:v>
      </x:c>
      <x:c r="J686" s="35" t="str">
        <x:v>REUSE_R2_TERM</x:v>
      </x:c>
    </x:row>
    <x:row r="687">
      <x:c r="A687" s="35" t="str">
        <x:v>openingActuationType</x:v>
      </x:c>
      <x:c r="B687" s="35" t="str">
        <x:v>https://w3id.org/nltl-benchmark/vocab#openingActuationType</x:v>
      </x:c>
      <x:c r="C687" s="35" t="str">
        <x:v>DatatypeProperty</x:v>
      </x:c>
      <x:c r="D687" s="35" t="str">
        <x:v>http://www.w3.org/2001/XMLSchema#string</x:v>
      </x:c>
      <x:c r="E687" s="35" t="str">
        <x:v>xsd:string</x:v>
      </x:c>
      <x:c r="F687" s="35" t="str"/>
      <x:c r="G687" s="38" t="str">
        <x:v>IMO-041</x:v>
      </x:c>
      <x:c r="H687" s="35" t="str">
        <x:v>Locked-workbook normalized regulatory term</x:v>
      </x:c>
      <x:c r="I687" s="35" t="str">
        <x:v>N4 - preserve the source concept; normalize spelling to ASCII lowerCamelCase</x:v>
      </x:c>
      <x:c r="J687" s="35" t="str">
        <x:v>REUSE_R2_TERM</x:v>
      </x:c>
    </x:row>
    <x:row r="688">
      <x:c r="A688" s="35" t="str">
        <x:v>operabilityTestStatus</x:v>
      </x:c>
      <x:c r="B688" s="35" t="str">
        <x:v>https://w3id.org/nltl-benchmark/vocab#operabilityTestStatus</x:v>
      </x:c>
      <x:c r="C688" s="35" t="str">
        <x:v>DatatypeProperty</x:v>
      </x:c>
      <x:c r="D688" s="35" t="str">
        <x:v>http://www.w3.org/2001/XMLSchema#boolean</x:v>
      </x:c>
      <x:c r="E688" s="35" t="str">
        <x:v>xsd:boolean</x:v>
      </x:c>
      <x:c r="F688" s="35" t="str"/>
      <x:c r="G688" s="38" t="str">
        <x:v>IMO-039</x:v>
      </x:c>
      <x:c r="H688" s="35" t="str">
        <x:v>Locked-workbook normalized regulatory term</x:v>
      </x:c>
      <x:c r="I688" s="35" t="str">
        <x:v>N4 - preserve the source concept; normalize spelling to ASCII lowerCamelCase</x:v>
      </x:c>
      <x:c r="J688" s="35" t="str">
        <x:v>REUSE_R2_TERM</x:v>
      </x:c>
    </x:row>
    <x:row r="689">
      <x:c r="A689" s="35" t="str">
        <x:v>operatesOnlyInContinuousDaylight</x:v>
      </x:c>
      <x:c r="B689" s="35" t="str">
        <x:v>https://w3id.org/nltl-benchmark/vocab#operatesOnlyInContinuousDaylight</x:v>
      </x:c>
      <x:c r="C689" s="35" t="str">
        <x:v>DatatypeProperty</x:v>
      </x:c>
      <x:c r="D689" s="35" t="str">
        <x:v>http://www.w3.org/2001/XMLSchema#boolean</x:v>
      </x:c>
      <x:c r="E689" s="35" t="str">
        <x:v>xsd:boolean</x:v>
      </x:c>
      <x:c r="F689" s="35" t="str"/>
      <x:c r="G689" s="38" t="str">
        <x:v>IMO-088 | IMO26-014</x:v>
      </x:c>
      <x:c r="H689" s="35" t="str">
        <x:v>Locked-workbook normalized regulatory term</x:v>
      </x:c>
      <x:c r="I689" s="35" t="str">
        <x:v>N4 - preserve the source concept; normalize spelling to ASCII lowerCamelCase</x:v>
      </x:c>
      <x:c r="J689" s="35" t="str">
        <x:v>REUSE_R2_TERM</x:v>
      </x:c>
    </x:row>
    <x:row r="690">
      <x:c r="A690" s="35" t="str">
        <x:v>operatingAftDraught</x:v>
      </x:c>
      <x:c r="B690" s="35" t="str">
        <x:v>https://w3id.org/nltl-benchmark/vocab#operatingAftDraught</x:v>
      </x:c>
      <x:c r="C690" s="35" t="str">
        <x:v>QuantityProperty</x:v>
      </x:c>
      <x:c r="D690" s="35" t="str">
        <x:v>http://qudt.org/schema/qudt/QuantityValue</x:v>
      </x:c>
      <x:c r="E690" s="35" t="str"/>
      <x:c r="F690" s="35" t="str">
        <x:v>m</x:v>
      </x:c>
      <x:c r="G690" s="38" t="str">
        <x:v>TRF-013</x:v>
      </x:c>
      <x:c r="H690" s="35" t="str">
        <x:v>Applicable TRAFICOM regulation wording plus explicit engineering node/operand role</x:v>
      </x:c>
      <x:c r="I690" s="35" t="str">
        <x:v>N4 - explicit engineering quantity in ASCII lowerCamelCase; formula symbols remain aliases only.</x:v>
      </x:c>
      <x:c r="J690" s="35" t="str">
        <x:v>ADD_DEVELOPMENT_TERM</x:v>
      </x:c>
    </x:row>
    <x:row r="691">
      <x:c r="A691" s="35" t="str">
        <x:v>operatingArea</x:v>
      </x:c>
      <x:c r="B691" s="35" t="str">
        <x:v>https://w3id.org/nltl-benchmark/vocab#operatingArea</x:v>
      </x:c>
      <x:c r="C691" s="35" t="str">
        <x:v>DatatypeProperty</x:v>
      </x:c>
      <x:c r="D691" s="35" t="str">
        <x:v>http://www.w3.org/2001/XMLSchema#string</x:v>
      </x:c>
      <x:c r="E691" s="35" t="str">
        <x:v>xsd:string</x:v>
      </x:c>
      <x:c r="F691" s="35" t="str"/>
      <x:c r="G691" s="38" t="str">
        <x:v>IMO-080 | IMO-105 | IMO-112 | IMO-120 | IMO-124 | IMO26-006</x:v>
      </x:c>
      <x:c r="H691" s="35" t="str">
        <x:v>Locked-workbook normalized regulatory term</x:v>
      </x:c>
      <x:c r="I691" s="35" t="str">
        <x:v>N4 - preserve the source concept; normalize spelling to ASCII lowerCamelCase</x:v>
      </x:c>
      <x:c r="J691" s="35" t="str">
        <x:v>REUSE_R2_TERM</x:v>
      </x:c>
    </x:row>
    <x:row r="692">
      <x:c r="A692" s="35" t="str">
        <x:v>operatingDraught</x:v>
      </x:c>
      <x:c r="B692" s="35" t="str">
        <x:v>https://w3id.org/nltl-benchmark/vocab#operatingDraught</x:v>
      </x:c>
      <x:c r="C692" s="35" t="str">
        <x:v>QuantityProperty</x:v>
      </x:c>
      <x:c r="D692" s="35" t="str">
        <x:v>http://qudt.org/schema/qudt/QuantityValue</x:v>
      </x:c>
      <x:c r="E692" s="35" t="str"/>
      <x:c r="F692" s="35" t="str">
        <x:v>m</x:v>
      </x:c>
      <x:c r="G692" s="38" t="str">
        <x:v>TRF-015</x:v>
      </x:c>
      <x:c r="H692" s="35" t="str">
        <x:v>Applicable TRAFICOM regulation wording plus explicit engineering node/operand role</x:v>
      </x:c>
      <x:c r="I692" s="35" t="str">
        <x:v>N4 - explicit engineering quantity in ASCII lowerCamelCase; formula symbols remain aliases only.</x:v>
      </x:c>
      <x:c r="J692" s="35" t="str">
        <x:v>ADD_DEVELOPMENT_TERM</x:v>
      </x:c>
    </x:row>
    <x:row r="693">
      <x:c r="A693" s="35" t="str">
        <x:v>operatingForeDraught</x:v>
      </x:c>
      <x:c r="B693" s="35" t="str">
        <x:v>https://w3id.org/nltl-benchmark/vocab#operatingForeDraught</x:v>
      </x:c>
      <x:c r="C693" s="35" t="str">
        <x:v>QuantityProperty</x:v>
      </x:c>
      <x:c r="D693" s="35" t="str">
        <x:v>http://qudt.org/schema/qudt/QuantityValue</x:v>
      </x:c>
      <x:c r="E693" s="35" t="str"/>
      <x:c r="F693" s="35" t="str">
        <x:v>m</x:v>
      </x:c>
      <x:c r="G693" s="38" t="str">
        <x:v>TRF-013</x:v>
      </x:c>
      <x:c r="H693" s="35" t="str">
        <x:v>Applicable TRAFICOM regulation wording plus explicit engineering node/operand role</x:v>
      </x:c>
      <x:c r="I693" s="35" t="str">
        <x:v>N4 - explicit engineering quantity in ASCII lowerCamelCase; formula symbols remain aliases only.</x:v>
      </x:c>
      <x:c r="J693" s="35" t="str">
        <x:v>ADD_DEVELOPMENT_TERM</x:v>
      </x:c>
    </x:row>
    <x:row r="694">
      <x:c r="A694" s="35" t="str">
        <x:v>operatingIceConcentration</x:v>
      </x:c>
      <x:c r="B694" s="35" t="str">
        <x:v>https://w3id.org/nltl-benchmark/vocab#operatingIceConcentration</x:v>
      </x:c>
      <x:c r="C694" s="35" t="str">
        <x:v>QuantityProperty</x:v>
      </x:c>
      <x:c r="D694" s="35" t="str">
        <x:v>http://qudt.org/schema/qudt/QuantityValue</x:v>
      </x:c>
      <x:c r="E694" s="35" t="str"/>
      <x:c r="F694" s="35" t="str">
        <x:v>1</x:v>
      </x:c>
      <x:c r="G694" s="38" t="str">
        <x:v>IMO-032 | IMO-049</x:v>
      </x:c>
      <x:c r="H694" s="35" t="str">
        <x:v>Locked-workbook normalized regulatory term</x:v>
      </x:c>
      <x:c r="I694" s="35" t="str">
        <x:v>N4 - preserve the source concept; normalize spelling to ASCII lowerCamelCase</x:v>
      </x:c>
      <x:c r="J694" s="35" t="str">
        <x:v>REUSE_R2_TERM</x:v>
      </x:c>
    </x:row>
    <x:row r="695">
      <x:c r="A695" s="35" t="str">
        <x:v>operatingIceType</x:v>
      </x:c>
      <x:c r="B695" s="35" t="str">
        <x:v>https://w3id.org/nltl-benchmark/vocab#operatingIceType</x:v>
      </x:c>
      <x:c r="C695" s="35" t="str">
        <x:v>DatatypeProperty</x:v>
      </x:c>
      <x:c r="D695" s="35" t="str">
        <x:v>http://www.w3.org/2001/XMLSchema#string</x:v>
      </x:c>
      <x:c r="E695" s="35" t="str">
        <x:v>xsd:string</x:v>
      </x:c>
      <x:c r="F695" s="35" t="str"/>
      <x:c r="G695" s="38" t="str">
        <x:v>IMO-032 | IMO-049</x:v>
      </x:c>
      <x:c r="H695" s="35" t="str">
        <x:v>Locked-workbook normalized regulatory term</x:v>
      </x:c>
      <x:c r="I695" s="35" t="str">
        <x:v>N4 - preserve the source concept; normalize spelling to ASCII lowerCamelCase</x:v>
      </x:c>
      <x:c r="J695" s="35" t="str">
        <x:v>REUSE_R2_TERM</x:v>
      </x:c>
    </x:row>
    <x:row r="696">
      <x:c r="A696" s="35" t="str">
        <x:v>operatingTestStatus</x:v>
      </x:c>
      <x:c r="B696" s="35" t="str">
        <x:v>https://w3id.org/nltl-benchmark/vocab#operatingTestStatus</x:v>
      </x:c>
      <x:c r="C696" s="35" t="str">
        <x:v>DatatypeProperty</x:v>
      </x:c>
      <x:c r="D696" s="35" t="str">
        <x:v>http://www.w3.org/2001/XMLSchema#boolean</x:v>
      </x:c>
      <x:c r="E696" s="35" t="str">
        <x:v>xsd:boolean</x:v>
      </x:c>
      <x:c r="F696" s="35" t="str"/>
      <x:c r="G696" s="38" t="str">
        <x:v>IMO-056 | IMO-061</x:v>
      </x:c>
      <x:c r="H696" s="35" t="str">
        <x:v>Locked-workbook normalized regulatory term</x:v>
      </x:c>
      <x:c r="I696" s="35" t="str">
        <x:v>N4 - preserve the source concept; normalize spelling to ASCII lowerCamelCase</x:v>
      </x:c>
      <x:c r="J696" s="35" t="str">
        <x:v>REUSE_R2_TERM</x:v>
      </x:c>
    </x:row>
    <x:row r="697">
      <x:c r="A697" s="35" t="str">
        <x:v>operatingTestTemperature</x:v>
      </x:c>
      <x:c r="B697" s="35" t="str">
        <x:v>https://w3id.org/nltl-benchmark/vocab#operatingTestTemperature</x:v>
      </x:c>
      <x:c r="C697" s="35" t="str">
        <x:v>QuantityProperty</x:v>
      </x:c>
      <x:c r="D697" s="35" t="str">
        <x:v>http://qudt.org/schema/qudt/QuantityValue</x:v>
      </x:c>
      <x:c r="E697" s="35" t="str"/>
      <x:c r="F697" s="35" t="str">
        <x:v>deg C</x:v>
      </x:c>
      <x:c r="G697" s="38" t="str">
        <x:v>IMO-056</x:v>
      </x:c>
      <x:c r="H697" s="35" t="str">
        <x:v>Unit-stripped normalized regulatory variable</x:v>
      </x:c>
      <x:c r="I697" s="35" t="str">
        <x:v>N3 - remove unit from the identifier and retain it in unit/quantity metadata</x:v>
      </x:c>
      <x:c r="J697" s="35" t="str">
        <x:v>REUSE_R2_TERM</x:v>
      </x:c>
    </x:row>
    <x:row r="698">
      <x:c r="A698" s="35" t="str">
        <x:v>operatingTrim</x:v>
      </x:c>
      <x:c r="B698" s="35" t="str">
        <x:v>https://w3id.org/nltl-benchmark/vocab#operatingTrim</x:v>
      </x:c>
      <x:c r="C698" s="35" t="str">
        <x:v>QuantityProperty</x:v>
      </x:c>
      <x:c r="D698" s="35" t="str">
        <x:v>http://qudt.org/schema/qudt/QuantityValue</x:v>
      </x:c>
      <x:c r="E698" s="35" t="str"/>
      <x:c r="F698" s="35" t="str">
        <x:v>m</x:v>
      </x:c>
      <x:c r="G698" s="38" t="str">
        <x:v>TRF-015</x:v>
      </x:c>
      <x:c r="H698" s="35" t="str">
        <x:v>Applicable TRAFICOM regulation wording plus explicit engineering node/operand role</x:v>
      </x:c>
      <x:c r="I698" s="35" t="str">
        <x:v>N4 - explicit engineering quantity in ASCII lowerCamelCase; formula symbols remain aliases only.</x:v>
      </x:c>
      <x:c r="J698" s="35" t="str">
        <x:v>ADD_DEVELOPMENT_TERM</x:v>
      </x:c>
    </x:row>
    <x:row r="699">
      <x:c r="A699" s="35" t="str">
        <x:v>operationalAssessmentPresent</x:v>
      </x:c>
      <x:c r="B699" s="35" t="str">
        <x:v>https://w3id.org/nltl-benchmark/vocab#operationalAssessmentPresent</x:v>
      </x:c>
      <x:c r="C699" s="35" t="str">
        <x:v>DatatypeProperty</x:v>
      </x:c>
      <x:c r="D699" s="35" t="str">
        <x:v>http://www.w3.org/2001/XMLSchema#boolean</x:v>
      </x:c>
      <x:c r="E699" s="35" t="str">
        <x:v>xsd:boolean</x:v>
      </x:c>
      <x:c r="F699" s="35" t="str"/>
      <x:c r="G699" s="38" t="str">
        <x:v>IMO-021</x:v>
      </x:c>
      <x:c r="H699" s="35" t="str">
        <x:v>Locked-workbook normalized regulatory term</x:v>
      </x:c>
      <x:c r="I699" s="35" t="str">
        <x:v>N4 - preserve the source concept; normalize spelling to ASCII lowerCamelCase</x:v>
      </x:c>
      <x:c r="J699" s="35" t="str">
        <x:v>REUSE_R2_TERM</x:v>
      </x:c>
    </x:row>
    <x:row r="700">
      <x:c r="A700" s="35" t="str">
        <x:v>operationalAssessmentReference</x:v>
      </x:c>
      <x:c r="B700" s="35" t="str">
        <x:v>https://w3id.org/nltl-benchmark/vocab#operationalAssessmentReference</x:v>
      </x:c>
      <x:c r="C700" s="35" t="str">
        <x:v>DatatypeProperty</x:v>
      </x:c>
      <x:c r="D700" s="35" t="str">
        <x:v>http://www.w3.org/2001/XMLSchema#string</x:v>
      </x:c>
      <x:c r="E700" s="35" t="str">
        <x:v>xsd:string</x:v>
      </x:c>
      <x:c r="F700" s="35" t="str"/>
      <x:c r="G700" s="38" t="str">
        <x:v>IMO-022</x:v>
      </x:c>
      <x:c r="H700" s="35" t="str">
        <x:v>Locked-workbook normalized regulatory term</x:v>
      </x:c>
      <x:c r="I700" s="35" t="str">
        <x:v>N4 - preserve the source concept; normalize spelling to ASCII lowerCamelCase</x:v>
      </x:c>
      <x:c r="J700" s="35" t="str">
        <x:v>REUSE_R2_TERM</x:v>
      </x:c>
    </x:row>
    <x:row r="701">
      <x:c r="A701" s="35" t="str">
        <x:v>operationalSpeedRange</x:v>
      </x:c>
      <x:c r="B701" s="35" t="str">
        <x:v>https://w3id.org/nltl-benchmark/vocab#operationalSpeedRange</x:v>
      </x:c>
      <x:c r="C701" s="35" t="str">
        <x:v>QuantityProperty</x:v>
      </x:c>
      <x:c r="D701" s="35" t="str">
        <x:v>http://qudt.org/schema/qudt/QuantityValue</x:v>
      </x:c>
      <x:c r="E701" s="35" t="str"/>
      <x:c r="F701" s="35" t="str">
        <x:v>kn</x:v>
      </x:c>
      <x:c r="G701" s="38" t="str">
        <x:v>TRF-089</x:v>
      </x:c>
      <x:c r="H701" s="35" t="str">
        <x:v>Benchmark-coined descriptive engineering term</x:v>
      </x:c>
      <x:c r="I701" s="35" t="str">
        <x:v>N5 - component or subject first, followed by characteristic and qualifier/state; no unsupported external mapping</x:v>
      </x:c>
      <x:c r="J701" s="35" t="str">
        <x:v>REUSE_R2_TERM</x:v>
      </x:c>
    </x:row>
    <x:row r="702">
      <x:c r="A702" s="35" t="str">
        <x:v>ordinaryFrameScantlingsUsed</x:v>
      </x:c>
      <x:c r="B702" s="35" t="str">
        <x:v>https://w3id.org/nltl-benchmark/vocab#ordinaryFrameScantlingsUsed</x:v>
      </x:c>
      <x:c r="C702" s="35" t="str">
        <x:v>DatatypeProperty</x:v>
      </x:c>
      <x:c r="D702" s="35" t="str">
        <x:v>http://www.w3.org/2001/XMLSchema#boolean</x:v>
      </x:c>
      <x:c r="E702" s="35" t="str">
        <x:v>xsd:boolean</x:v>
      </x:c>
      <x:c r="F702" s="35" t="str"/>
      <x:c r="G702" s="38" t="str">
        <x:v>TRF-045</x:v>
      </x:c>
      <x:c r="H702" s="35" t="str">
        <x:v>Applicable TRAFICOM regulation wording plus explicit engineering node/operand role</x:v>
      </x:c>
      <x:c r="I702" s="35" t="str">
        <x:v>N4 - explicit regulatory concept in ASCII lowerCamelCase with an XSD datatype.</x:v>
      </x:c>
      <x:c r="J702" s="35" t="str">
        <x:v>ADD_DEVELOPMENT_TERM</x:v>
      </x:c>
    </x:row>
    <x:row r="703">
      <x:c r="A703" s="35" t="str">
        <x:v>otherHorizontalPosition</x:v>
      </x:c>
      <x:c r="B703" s="35" t="str">
        <x:v>https://w3id.org/nltl-benchmark/vocab#otherHorizontalPosition</x:v>
      </x:c>
      <x:c r="C703" s="35" t="str">
        <x:v>NamedIndividual</x:v>
      </x:c>
      <x:c r="D703" s="35" t="str">
        <x:v>https://w3id.org/nltl-benchmark/vocab#loadPositionTypeValue</x:v>
      </x:c>
      <x:c r="E703" s="35" t="str"/>
      <x:c r="F703" s="35" t="str"/>
      <x:c r="G703" s="38" t="str">
        <x:v>TRF-030</x:v>
      </x:c>
      <x:c r="H703" s="35" t="str">
        <x:v>Applicable TRAFICOM regulation wording plus explicit engineering node/operand role</x:v>
      </x:c>
      <x:c r="I703" s="35" t="str">
        <x:v>N6 - concise ASCII lowerCamelCase controlled-value name grounded in the linked regulation.</x:v>
      </x:c>
      <x:c r="J703" s="35" t="str">
        <x:v>ADD_DEVELOPMENT_TERM</x:v>
      </x:c>
    </x:row>
    <x:row r="704">
      <x:c r="A704" s="35" t="str">
        <x:v>otherSurvivalCraft</x:v>
      </x:c>
      <x:c r="B704" s="35" t="str">
        <x:v>https://w3id.org/nltl-benchmark/vocab#otherSurvivalCraft</x:v>
      </x:c>
      <x:c r="C704" s="35" t="str">
        <x:v>Class</x:v>
      </x:c>
      <x:c r="D704" s="35" t="str">
        <x:v>https://w3id.org/nltl-benchmark/vocab#benchmarkEntity</x:v>
      </x:c>
      <x:c r="E704" s="35" t="str"/>
      <x:c r="F704" s="35" t="str"/>
      <x:c r="G704" s="38" t="str">
        <x:v>IMO-098</x:v>
      </x:c>
      <x:c r="H704" s="35" t="str">
        <x:v>Locked-workbook normalized regulatory term</x:v>
      </x:c>
      <x:c r="I704" s="35" t="str">
        <x:v>N4 - preserve the source concept; normalize spelling to ASCII lowerCamelCase</x:v>
      </x:c>
      <x:c r="J704" s="35" t="str">
        <x:v>REUSE_R2_TERM</x:v>
      </x:c>
    </x:row>
    <x:row r="705">
      <x:c r="A705" s="35" t="str">
        <x:v>outsideIceBeltDistributionFactorF9</x:v>
      </x:c>
      <x:c r="B705" s="35" t="str">
        <x:v>https://w3id.org/nltl-benchmark/vocab#outsideIceBeltDistributionFactorF9</x:v>
      </x:c>
      <x:c r="C705" s="35" t="str">
        <x:v>QuantityProperty</x:v>
      </x:c>
      <x:c r="D705" s="35" t="str">
        <x:v>http://qudt.org/schema/qudt/QuantityValue</x:v>
      </x:c>
      <x:c r="E705" s="35" t="str"/>
      <x:c r="F705" s="35" t="str">
        <x:v>1</x:v>
      </x:c>
      <x:c r="G705" s="38" t="str">
        <x:v>TRF-054</x:v>
      </x:c>
      <x:c r="H705" s="35" t="str">
        <x:v>Applicable TRAFICOM regulation wording plus explicit engineering node/operand role</x:v>
      </x:c>
      <x:c r="I705" s="35" t="str">
        <x:v>N4 - explicit engineering quantity in ASCII lowerCamelCase; formula symbols remain aliases only.</x:v>
      </x:c>
      <x:c r="J705" s="35" t="str">
        <x:v>ADD_DEVELOPMENT_TERM</x:v>
      </x:c>
    </x:row>
    <x:row r="706">
      <x:c r="A706" s="35" t="str">
        <x:v>outsideIceBeltFactor</x:v>
      </x:c>
      <x:c r="B706" s="35" t="str">
        <x:v>https://w3id.org/nltl-benchmark/vocab#outsideIceBeltFactor</x:v>
      </x:c>
      <x:c r="C706" s="35" t="str">
        <x:v>QuantityProperty</x:v>
      </x:c>
      <x:c r="D706" s="35" t="str">
        <x:v>http://qudt.org/schema/qudt/QuantityValue</x:v>
      </x:c>
      <x:c r="E706" s="35" t="str"/>
      <x:c r="F706" s="35" t="str">
        <x:v>1</x:v>
      </x:c>
      <x:c r="G706" s="38" t="str">
        <x:v>TRF-054</x:v>
      </x:c>
      <x:c r="H706" s="35" t="str">
        <x:v>Benchmark-coined descriptive engineering term</x:v>
      </x:c>
      <x:c r="I706" s="35" t="str">
        <x:v>N5 - component or subject first, followed by characteristic and qualifier/state; no unsupported external mapping</x:v>
      </x:c>
      <x:c r="J706" s="35" t="str">
        <x:v>REUSE_R2_TERM</x:v>
      </x:c>
    </x:row>
    <x:row r="707">
      <x:c r="A707" s="35" t="str">
        <x:v>outsideIceBeltSafetyFactorF10</x:v>
      </x:c>
      <x:c r="B707" s="35" t="str">
        <x:v>https://w3id.org/nltl-benchmark/vocab#outsideIceBeltSafetyFactorF10</x:v>
      </x:c>
      <x:c r="C707" s="35" t="str">
        <x:v>QuantityProperty</x:v>
      </x:c>
      <x:c r="D707" s="35" t="str">
        <x:v>http://qudt.org/schema/qudt/QuantityValue</x:v>
      </x:c>
      <x:c r="E707" s="35" t="str"/>
      <x:c r="F707" s="35" t="str">
        <x:v>1</x:v>
      </x:c>
      <x:c r="G707" s="38" t="str">
        <x:v>TRF-054</x:v>
      </x:c>
      <x:c r="H707" s="35" t="str">
        <x:v>Applicable TRAFICOM regulation wording plus explicit engineering node/operand role</x:v>
      </x:c>
      <x:c r="I707" s="35" t="str">
        <x:v>N4 - explicit engineering quantity in ASCII lowerCamelCase; formula symbols remain aliases only.</x:v>
      </x:c>
      <x:c r="J707" s="35" t="str">
        <x:v>ADD_DEVELOPMENT_TERM</x:v>
      </x:c>
    </x:row>
    <x:row r="708">
      <x:c r="A708" s="35" t="str">
        <x:v>outsideIceBeltShearFactorF11</x:v>
      </x:c>
      <x:c r="B708" s="35" t="str">
        <x:v>https://w3id.org/nltl-benchmark/vocab#outsideIceBeltShearFactorF11</x:v>
      </x:c>
      <x:c r="C708" s="35" t="str">
        <x:v>QuantityProperty</x:v>
      </x:c>
      <x:c r="D708" s="35" t="str">
        <x:v>http://qudt.org/schema/qudt/QuantityValue</x:v>
      </x:c>
      <x:c r="E708" s="35" t="str"/>
      <x:c r="F708" s="35" t="str">
        <x:v>1</x:v>
      </x:c>
      <x:c r="G708" s="38" t="str">
        <x:v>TRF-054</x:v>
      </x:c>
      <x:c r="H708" s="35" t="str">
        <x:v>Applicable TRAFICOM regulation wording plus explicit engineering node/operand role</x:v>
      </x:c>
      <x:c r="I708" s="35" t="str">
        <x:v>N4 - explicit engineering quantity in ASCII lowerCamelCase; formula symbols remain aliases only.</x:v>
      </x:c>
      <x:c r="J708" s="35" t="str">
        <x:v>ADD_DEVELOPMENT_TERM</x:v>
      </x:c>
    </x:row>
    <x:row r="709">
      <x:c r="A709" s="35" t="str">
        <x:v>passenger</x:v>
      </x:c>
      <x:c r="B709" s="35" t="str">
        <x:v>https://w3id.org/nltl-benchmark/vocab#passenger</x:v>
      </x:c>
      <x:c r="C709" s="35" t="str">
        <x:v>Class</x:v>
      </x:c>
      <x:c r="D709" s="35" t="str">
        <x:v>https://w3id.org/nltl-benchmark/vocab#person</x:v>
      </x:c>
      <x:c r="E709" s="35" t="str"/>
      <x:c r="F709" s="35" t="str"/>
      <x:c r="G709" s="38" t="str">
        <x:v>IMO-078</x:v>
      </x:c>
      <x:c r="H709" s="35" t="str">
        <x:v>Locked-workbook normalized regulatory term</x:v>
      </x:c>
      <x:c r="I709" s="35" t="str">
        <x:v>N4 - preserve the source concept; normalize spelling to ASCII lowerCamelCase</x:v>
      </x:c>
      <x:c r="J709" s="35" t="str">
        <x:v>REUSE_R2_TERM</x:v>
      </x:c>
    </x:row>
    <x:row r="710">
      <x:c r="A710" s="35" t="str">
        <x:v>passengerInstructionStatus</x:v>
      </x:c>
      <x:c r="B710" s="35" t="str">
        <x:v>https://w3id.org/nltl-benchmark/vocab#passengerInstructionStatus</x:v>
      </x:c>
      <x:c r="C710" s="35" t="str">
        <x:v>DatatypeProperty</x:v>
      </x:c>
      <x:c r="D710" s="35" t="str">
        <x:v>http://www.w3.org/2001/XMLSchema#boolean</x:v>
      </x:c>
      <x:c r="E710" s="35" t="str">
        <x:v>xsd:boolean</x:v>
      </x:c>
      <x:c r="F710" s="35" t="str"/>
      <x:c r="G710" s="38" t="str">
        <x:v>IMO-078</x:v>
      </x:c>
      <x:c r="H710" s="35" t="str">
        <x:v>Locked-workbook normalized regulatory term</x:v>
      </x:c>
      <x:c r="I710" s="35" t="str">
        <x:v>N4 - preserve the source concept; normalize spelling to ASCII lowerCamelCase</x:v>
      </x:c>
      <x:c r="J710" s="35" t="str">
        <x:v>REUSE_R2_TERM</x:v>
      </x:c>
    </x:row>
    <x:row r="711">
      <x:c r="A711" s="35" t="str">
        <x:v>passengerShip</x:v>
      </x:c>
      <x:c r="B711" s="35" t="str">
        <x:v>https://w3id.org/nltl-benchmark/vocab#passengerShip</x:v>
      </x:c>
      <x:c r="C711" s="35" t="str">
        <x:v>Class</x:v>
      </x:c>
      <x:c r="D711" s="35" t="str">
        <x:v>https://w3id.org/nltl-benchmark/vocab#ship</x:v>
      </x:c>
      <x:c r="E711" s="35" t="str"/>
      <x:c r="F711" s="35" t="str"/>
      <x:c r="G711" s="38" t="str">
        <x:v>IMO-070 | IMO-118</x:v>
      </x:c>
      <x:c r="H711" s="35" t="str">
        <x:v>Benchmark-coined descriptive engineering term</x:v>
      </x:c>
      <x:c r="I711" s="35" t="str">
        <x:v>N5 - component or subject first, followed by characteristic and qualifier/state; no unsupported external mapping</x:v>
      </x:c>
      <x:c r="J711" s="35" t="str">
        <x:v>REUSE_R2_TERM</x:v>
      </x:c>
    </x:row>
    <x:row r="712">
      <x:c r="A712" s="35" t="str">
        <x:v>passesThroughSupportingStructure</x:v>
      </x:c>
      <x:c r="B712" s="35" t="str">
        <x:v>https://w3id.org/nltl-benchmark/vocab#passesThroughSupportingStructure</x:v>
      </x:c>
      <x:c r="C712" s="35" t="str">
        <x:v>DatatypeProperty</x:v>
      </x:c>
      <x:c r="D712" s="35" t="str">
        <x:v>http://www.w3.org/2001/XMLSchema#boolean</x:v>
      </x:c>
      <x:c r="E712" s="35" t="str">
        <x:v>xsd:boolean</x:v>
      </x:c>
      <x:c r="F712" s="35" t="str"/>
      <x:c r="G712" s="38" t="str">
        <x:v>TRF-049</x:v>
      </x:c>
      <x:c r="H712" s="35" t="str">
        <x:v>Applicable TRAFICOM regulation wording plus explicit engineering node/operand role</x:v>
      </x:c>
      <x:c r="I712" s="35" t="str">
        <x:v>N4 - explicit regulatory concept in ASCII lowerCamelCase with an XSD datatype.</x:v>
      </x:c>
      <x:c r="J712" s="35" t="str">
        <x:v>ADD_DEVELOPMENT_TERM</x:v>
      </x:c>
    </x:row>
    <x:row r="713">
      <x:c r="A713" s="35" t="str">
        <x:v>patchLoad</x:v>
      </x:c>
      <x:c r="B713" s="35" t="str">
        <x:v>https://w3id.org/nltl-benchmark/vocab#patchLoad</x:v>
      </x:c>
      <x:c r="C713" s="35" t="str">
        <x:v>QuantityProperty</x:v>
      </x:c>
      <x:c r="D713" s="35" t="str">
        <x:v>http://qudt.org/schema/qudt/QuantityValue</x:v>
      </x:c>
      <x:c r="E713" s="35" t="str"/>
      <x:c r="F713" s="35" t="str">
        <x:v>kN</x:v>
      </x:c>
      <x:c r="G713" s="38" t="str">
        <x:v>I2-031</x:v>
      </x:c>
      <x:c r="H713" s="35" t="str">
        <x:v>Benchmark-coined descriptive engineering term</x:v>
      </x:c>
      <x:c r="I713" s="35" t="str">
        <x:v>N5 - component or subject first, followed by characteristic and qualifier/state; no unsupported external mapping</x:v>
      </x:c>
      <x:c r="J713" s="35" t="str">
        <x:v>REUSE_R2_TERM</x:v>
      </x:c>
    </x:row>
    <x:row r="714">
      <x:c r="A714" s="35" t="str">
        <x:v>peakPressureFactor</x:v>
      </x:c>
      <x:c r="B714" s="35" t="str">
        <x:v>https://w3id.org/nltl-benchmark/vocab#peakPressureFactor</x:v>
      </x:c>
      <x:c r="C714" s="35" t="str">
        <x:v>QuantityProperty</x:v>
      </x:c>
      <x:c r="D714" s="35" t="str">
        <x:v>http://qudt.org/schema/qudt/QuantityValue</x:v>
      </x:c>
      <x:c r="E714" s="35" t="str"/>
      <x:c r="F714" s="35" t="str">
        <x:v>1</x:v>
      </x:c>
      <x:c r="G714" s="38" t="str">
        <x:v>I2-018</x:v>
      </x:c>
      <x:c r="H714" s="35" t="str">
        <x:v>Benchmark-coined descriptive engineering term</x:v>
      </x:c>
      <x:c r="I714" s="35" t="str">
        <x:v>N5 - component or subject first, followed by characteristic and qualifier/state; no unsupported external mapping</x:v>
      </x:c>
      <x:c r="J714" s="35" t="str">
        <x:v>REUSE_R2_TERM</x:v>
      </x:c>
    </x:row>
    <x:row r="715">
      <x:c r="A715" s="35" t="str">
        <x:v>permanentDeformation</x:v>
      </x:c>
      <x:c r="B715" s="35" t="str">
        <x:v>https://w3id.org/nltl-benchmark/vocab#permanentDeformation</x:v>
      </x:c>
      <x:c r="C715" s="35" t="str">
        <x:v>DatatypeProperty</x:v>
      </x:c>
      <x:c r="D715" s="35" t="str">
        <x:v>http://www.w3.org/2001/XMLSchema#string</x:v>
      </x:c>
      <x:c r="E715" s="35" t="str">
        <x:v>xsd:string</x:v>
      </x:c>
      <x:c r="F715" s="35" t="str"/>
      <x:c r="G715" s="38" t="str">
        <x:v>I2-065</x:v>
      </x:c>
      <x:c r="H715" s="35" t="str">
        <x:v>Benchmark-coined descriptive engineering term</x:v>
      </x:c>
      <x:c r="I715" s="35" t="str">
        <x:v>N5 - component or subject first, followed by characteristic and qualifier/state; no unsupported external mapping</x:v>
      </x:c>
      <x:c r="J715" s="35" t="str">
        <x:v>REUSE_R2_TERM</x:v>
      </x:c>
    </x:row>
    <x:row r="716">
      <x:c r="A716" s="35" t="str">
        <x:v>permissibleStress</x:v>
      </x:c>
      <x:c r="B716" s="35" t="str">
        <x:v>https://w3id.org/nltl-benchmark/vocab#permissibleStress</x:v>
      </x:c>
      <x:c r="C716" s="35" t="str">
        <x:v>QuantityProperty</x:v>
      </x:c>
      <x:c r="D716" s="35" t="str">
        <x:v>http://qudt.org/schema/qudt/QuantityValue</x:v>
      </x:c>
      <x:c r="E716" s="35" t="str"/>
      <x:c r="F716" s="35" t="str">
        <x:v>MPa</x:v>
      </x:c>
      <x:c r="G716" s="38" t="str">
        <x:v>I2-055</x:v>
      </x:c>
      <x:c r="H716" s="35" t="str">
        <x:v>Benchmark-coined descriptive engineering term</x:v>
      </x:c>
      <x:c r="I716" s="35" t="str">
        <x:v>N5 - component or subject first, followed by characteristic and qualifier/state; no unsupported external mapping</x:v>
      </x:c>
      <x:c r="J716" s="35" t="str">
        <x:v>REUSE_R2_TERM</x:v>
      </x:c>
    </x:row>
    <x:row r="717">
      <x:c r="A717" s="35" t="str">
        <x:v>permittedReducedLineLoad</x:v>
      </x:c>
      <x:c r="B717" s="35" t="str">
        <x:v>https://w3id.org/nltl-benchmark/vocab#permittedReducedLineLoad</x:v>
      </x:c>
      <x:c r="C717" s="35" t="str">
        <x:v>QuantityProperty</x:v>
      </x:c>
      <x:c r="D717" s="35" t="str">
        <x:v>http://qudt.org/schema/qudt/QuantityValue</x:v>
      </x:c>
      <x:c r="E717" s="35" t="str"/>
      <x:c r="F717" s="35" t="str">
        <x:v>kN/m</x:v>
      </x:c>
      <x:c r="G717" s="38" t="str">
        <x:v>TRF-055</x:v>
      </x:c>
      <x:c r="H717" s="35" t="str">
        <x:v>Applicable TRAFICOM regulation wording plus explicit engineering node/operand role</x:v>
      </x:c>
      <x:c r="I717" s="35" t="str">
        <x:v>N4 - explicit engineering quantity in ASCII lowerCamelCase; formula symbols remain aliases only.</x:v>
      </x:c>
      <x:c r="J717" s="35" t="str">
        <x:v>ADD_DEVELOPMENT_TERM</x:v>
      </x:c>
    </x:row>
    <x:row r="718">
      <x:c r="A718" s="35" t="str">
        <x:v>personOnBoard</x:v>
      </x:c>
      <x:c r="B718" s="35" t="str">
        <x:v>https://w3id.org/nltl-benchmark/vocab#personOnBoard</x:v>
      </x:c>
      <x:c r="C718" s="35" t="str">
        <x:v>DatatypeProperty</x:v>
      </x:c>
      <x:c r="D718" s="35" t="str">
        <x:v>http://www.w3.org/2001/XMLSchema#integer</x:v>
      </x:c>
      <x:c r="E718" s="35" t="str">
        <x:v>xsd:integer</x:v>
      </x:c>
      <x:c r="F718" s="35" t="str"/>
      <x:c r="G718" s="38" t="str">
        <x:v>IMO-064 | IMO-070</x:v>
      </x:c>
      <x:c r="H718" s="35" t="str">
        <x:v>Locked-workbook normalized regulatory term</x:v>
      </x:c>
      <x:c r="I718" s="35" t="str">
        <x:v>N4 - preserve the source concept; normalize spelling to ASCII lowerCamelCase</x:v>
      </x:c>
      <x:c r="J718" s="35" t="str">
        <x:v>REUSE_R2_TERM</x:v>
      </x:c>
    </x:row>
    <x:row r="719">
      <x:c r="A719" s="35" t="str">
        <x:v>personalAndGroupSurvivalEquipmentTrainingStatus</x:v>
      </x:c>
      <x:c r="B719" s="35" t="str">
        <x:v>https://w3id.org/nltl-benchmark/vocab#personalAndGroupSurvivalEquipmentTrainingStatus</x:v>
      </x:c>
      <x:c r="C719" s="35" t="str">
        <x:v>DatatypeProperty</x:v>
      </x:c>
      <x:c r="D719" s="35" t="str">
        <x:v>http://www.w3.org/2001/XMLSchema#boolean</x:v>
      </x:c>
      <x:c r="E719" s="35" t="str">
        <x:v>xsd:boolean</x:v>
      </x:c>
      <x:c r="F719" s="35" t="str"/>
      <x:c r="G719" s="38" t="str">
        <x:v>IMO-078</x:v>
      </x:c>
      <x:c r="H719" s="35" t="str">
        <x:v>Benchmark-coined descriptive engineering term</x:v>
      </x:c>
      <x:c r="I719" s="35" t="str">
        <x:v>N5 - component or subject first, followed by characteristic and qualifier/state; no unsupported external mapping</x:v>
      </x:c>
      <x:c r="J719" s="35" t="str">
        <x:v>REUSE_R2_TERM</x:v>
      </x:c>
    </x:row>
    <x:row r="720">
      <x:c r="A720" s="35" t="str">
        <x:v>personalOrGroupSurvivalEquipmentRequired</x:v>
      </x:c>
      <x:c r="B720" s="35" t="str">
        <x:v>https://w3id.org/nltl-benchmark/vocab#personalOrGroupSurvivalEquipmentRequired</x:v>
      </x:c>
      <x:c r="C720" s="35" t="str">
        <x:v>DatatypeProperty</x:v>
      </x:c>
      <x:c r="D720" s="35" t="str">
        <x:v>http://www.w3.org/2001/XMLSchema#boolean</x:v>
      </x:c>
      <x:c r="E720" s="35" t="str">
        <x:v>xsd:boolean</x:v>
      </x:c>
      <x:c r="F720" s="35" t="str"/>
      <x:c r="G720" s="38" t="str">
        <x:v>IMO-075</x:v>
      </x:c>
      <x:c r="H720" s="35" t="str">
        <x:v>Locked-workbook normalized regulatory term</x:v>
      </x:c>
      <x:c r="I720" s="35" t="str">
        <x:v>N4 - preserve the source concept; normalize spelling to ASCII lowerCamelCase</x:v>
      </x:c>
      <x:c r="J720" s="35" t="str">
        <x:v>REUSE_R2_TERM</x:v>
      </x:c>
    </x:row>
    <x:row r="721">
      <x:c r="A721" s="35" t="str">
        <x:v>personsCapacityRequirement</x:v>
      </x:c>
      <x:c r="B721" s="35" t="str">
        <x:v>https://w3id.org/nltl-benchmark/vocab#personsCapacityRequirement</x:v>
      </x:c>
      <x:c r="C721" s="35" t="str">
        <x:v>DatatypeProperty</x:v>
      </x:c>
      <x:c r="D721" s="35" t="str">
        <x:v>http://www.w3.org/2001/XMLSchema#integer</x:v>
      </x:c>
      <x:c r="E721" s="35" t="str">
        <x:v>xsd:integer</x:v>
      </x:c>
      <x:c r="F721" s="35" t="str"/>
      <x:c r="G721" s="38" t="str">
        <x:v>IMO-077</x:v>
      </x:c>
      <x:c r="H721" s="35" t="str">
        <x:v>Locked-workbook normalized regulatory term</x:v>
      </x:c>
      <x:c r="I721" s="35" t="str">
        <x:v>N4 - preserve the source concept; normalize spelling to ASCII lowerCamelCase</x:v>
      </x:c>
      <x:c r="J721" s="35" t="str">
        <x:v>REUSE_R2_TERM</x:v>
      </x:c>
    </x:row>
    <x:row r="722">
      <x:c r="A722" s="35" t="str">
        <x:v>personsOnBoard</x:v>
      </x:c>
      <x:c r="B722" s="35" t="str">
        <x:v>https://w3id.org/nltl-benchmark/vocab#personsOnBoard</x:v>
      </x:c>
      <x:c r="C722" s="35" t="str">
        <x:v>DatatypeProperty</x:v>
      </x:c>
      <x:c r="D722" s="35" t="str">
        <x:v>http://www.w3.org/2001/XMLSchema#integer</x:v>
      </x:c>
      <x:c r="E722" s="35" t="str">
        <x:v>xsd:integer</x:v>
      </x:c>
      <x:c r="F722" s="35" t="str"/>
      <x:c r="G722" s="38" t="str">
        <x:v>IMO-075 | IMO-079</x:v>
      </x:c>
      <x:c r="H722" s="35" t="str">
        <x:v>Locked-workbook normalized regulatory term</x:v>
      </x:c>
      <x:c r="I722" s="35" t="str">
        <x:v>N4 - preserve the source concept; normalize spelling to ASCII lowerCamelCase</x:v>
      </x:c>
      <x:c r="J722" s="35" t="str">
        <x:v>REUSE_R2_TERM</x:v>
      </x:c>
    </x:row>
    <x:row r="723">
      <x:c r="A723" s="35" t="str">
        <x:v>pitchType</x:v>
      </x:c>
      <x:c r="B723" s="35" t="str">
        <x:v>https://w3id.org/nltl-benchmark/vocab#pitchType</x:v>
      </x:c>
      <x:c r="C723" s="35" t="str">
        <x:v>DatatypeProperty</x:v>
      </x:c>
      <x:c r="D723" s="35" t="str">
        <x:v>http://www.w3.org/2001/XMLSchema#string</x:v>
      </x:c>
      <x:c r="E723" s="35" t="str">
        <x:v>xsd:string</x:v>
      </x:c>
      <x:c r="F723" s="35" t="str"/>
      <x:c r="G723" s="38" t="str">
        <x:v>TRF-069</x:v>
      </x:c>
      <x:c r="H723" s="35" t="str">
        <x:v>Benchmark-coined descriptive engineering term</x:v>
      </x:c>
      <x:c r="I723" s="35" t="str">
        <x:v>N5 - component or subject first, followed by characteristic and qualifier/state; no unsupported external mapping</x:v>
      </x:c>
      <x:c r="J723" s="35" t="str">
        <x:v>REUSE_R2_TERM</x:v>
      </x:c>
    </x:row>
    <x:row r="724">
      <x:c r="A724" s="35" t="str">
        <x:v>pitchValueKnown</x:v>
      </x:c>
      <x:c r="B724" s="35" t="str">
        <x:v>https://w3id.org/nltl-benchmark/vocab#pitchValueKnown</x:v>
      </x:c>
      <x:c r="C724" s="35" t="str">
        <x:v>DatatypeProperty</x:v>
      </x:c>
      <x:c r="D724" s="35" t="str">
        <x:v>http://www.w3.org/2001/XMLSchema#boolean</x:v>
      </x:c>
      <x:c r="E724" s="35" t="str">
        <x:v>xsd:boolean</x:v>
      </x:c>
      <x:c r="F724" s="35" t="str"/>
      <x:c r="G724" s="38" t="str">
        <x:v>TRF-084 | TRF-086</x:v>
      </x:c>
      <x:c r="H724" s="35" t="str">
        <x:v>Benchmark-coined descriptive engineering term</x:v>
      </x:c>
      <x:c r="I724" s="35" t="str">
        <x:v>N5 - component or subject first, followed by characteristic and qualifier/state; no unsupported external mapping</x:v>
      </x:c>
      <x:c r="J724" s="35" t="str">
        <x:v>REUSE_R2_TERM</x:v>
      </x:c>
    </x:row>
    <x:row r="725">
      <x:c r="A725" s="35" t="str">
        <x:v>plannedOrActualLatitude</x:v>
      </x:c>
      <x:c r="B725" s="35" t="str">
        <x:v>https://w3id.org/nltl-benchmark/vocab#plannedOrActualLatitude</x:v>
      </x:c>
      <x:c r="C725" s="35" t="str">
        <x:v>QuantityProperty</x:v>
      </x:c>
      <x:c r="D725" s="35" t="str">
        <x:v>http://qudt.org/schema/qudt/QuantityValue</x:v>
      </x:c>
      <x:c r="E725" s="35" t="str"/>
      <x:c r="F725" s="35" t="str">
        <x:v>deg</x:v>
      </x:c>
      <x:c r="G725" s="38" t="str">
        <x:v>IMO-087 | IMO26-013</x:v>
      </x:c>
      <x:c r="H725" s="35" t="str">
        <x:v>Unit-stripped normalized regulatory variable</x:v>
      </x:c>
      <x:c r="I725" s="35" t="str">
        <x:v>N3 - remove unit from the identifier and retain it in unit/quantity metadata</x:v>
      </x:c>
      <x:c r="J725" s="35" t="str">
        <x:v>REUSE_R2_TERM</x:v>
      </x:c>
    </x:row>
    <x:row r="726">
      <x:c r="A726" s="35" t="str">
        <x:v>plasticCollapseMechanism</x:v>
      </x:c>
      <x:c r="B726" s="35" t="str">
        <x:v>https://w3id.org/nltl-benchmark/vocab#plasticCollapseMechanism</x:v>
      </x:c>
      <x:c r="C726" s="35" t="str">
        <x:v>DatatypeProperty</x:v>
      </x:c>
      <x:c r="D726" s="35" t="str">
        <x:v>http://www.w3.org/2001/XMLSchema#string</x:v>
      </x:c>
      <x:c r="E726" s="35" t="str">
        <x:v>xsd:string</x:v>
      </x:c>
      <x:c r="F726" s="35" t="str"/>
      <x:c r="G726" s="38" t="str">
        <x:v>I2-031 | I2-034</x:v>
      </x:c>
      <x:c r="H726" s="35" t="str">
        <x:v>Benchmark-coined descriptive engineering term</x:v>
      </x:c>
      <x:c r="I726" s="35" t="str">
        <x:v>N5 - component or subject first, followed by characteristic and qualifier/state; no unsupported external mapping</x:v>
      </x:c>
      <x:c r="J726" s="35" t="str">
        <x:v>REUSE_R2_TERM</x:v>
      </x:c>
    </x:row>
    <x:row r="727">
      <x:c r="A727" s="35" t="str">
        <x:v>plasticDeformation</x:v>
      </x:c>
      <x:c r="B727" s="35" t="str">
        <x:v>https://w3id.org/nltl-benchmark/vocab#plasticDeformation</x:v>
      </x:c>
      <x:c r="C727" s="35" t="str">
        <x:v>DatatypeProperty</x:v>
      </x:c>
      <x:c r="D727" s="35" t="str">
        <x:v>http://www.w3.org/2001/XMLSchema#string</x:v>
      </x:c>
      <x:c r="E727" s="35" t="str">
        <x:v>xsd:string</x:v>
      </x:c>
      <x:c r="F727" s="35" t="str"/>
      <x:c r="G727" s="38" t="str">
        <x:v>I2-065</x:v>
      </x:c>
      <x:c r="H727" s="35" t="str">
        <x:v>Benchmark-coined descriptive engineering term</x:v>
      </x:c>
      <x:c r="I727" s="35" t="str">
        <x:v>N5 - component or subject first, followed by characteristic and qualifier/state; no unsupported external mapping</x:v>
      </x:c>
      <x:c r="J727" s="35" t="str">
        <x:v>REUSE_R2_TERM</x:v>
      </x:c>
    </x:row>
    <x:row r="728">
      <x:c r="A728" s="35" t="str">
        <x:v>plasticStrength</x:v>
      </x:c>
      <x:c r="B728" s="35" t="str">
        <x:v>https://w3id.org/nltl-benchmark/vocab#plasticStrength</x:v>
      </x:c>
      <x:c r="C728" s="35" t="str">
        <x:v>QuantityProperty</x:v>
      </x:c>
      <x:c r="D728" s="35" t="str">
        <x:v>http://qudt.org/schema/qudt/QuantityValue</x:v>
      </x:c>
      <x:c r="E728" s="35" t="str"/>
      <x:c r="F728" s="35" t="str">
        <x:v>kN</x:v>
      </x:c>
      <x:c r="G728" s="38" t="str">
        <x:v>I2-031 | I2-034</x:v>
      </x:c>
      <x:c r="H728" s="35" t="str">
        <x:v>Benchmark-coined descriptive engineering term</x:v>
      </x:c>
      <x:c r="I728" s="35" t="str">
        <x:v>N5 - component or subject first, followed by characteristic and qualifier/state; no unsupported external mapping</x:v>
      </x:c>
      <x:c r="J728" s="35" t="str">
        <x:v>REUSE_R2_TERM</x:v>
      </x:c>
    </x:row>
    <x:row r="729">
      <x:c r="A729" s="35" t="str">
        <x:v>platedBossing</x:v>
      </x:c>
      <x:c r="B729" s="35" t="str">
        <x:v>https://w3id.org/nltl-benchmark/vocab#platedBossing</x:v>
      </x:c>
      <x:c r="C729" s="35" t="str">
        <x:v>DatatypeProperty</x:v>
      </x:c>
      <x:c r="D729" s="35" t="str">
        <x:v>http://www.w3.org/2001/XMLSchema#string</x:v>
      </x:c>
      <x:c r="E729" s="35" t="str">
        <x:v>xsd:string</x:v>
      </x:c>
      <x:c r="F729" s="35" t="str"/>
      <x:c r="G729" s="38" t="str">
        <x:v>TRF-064</x:v>
      </x:c>
      <x:c r="H729" s="35" t="str">
        <x:v>Benchmark-coined descriptive engineering term</x:v>
      </x:c>
      <x:c r="I729" s="35" t="str">
        <x:v>N5 - component or subject first, followed by characteristic and qualifier/state; no unsupported external mapping</x:v>
      </x:c>
      <x:c r="J729" s="35" t="str">
        <x:v>REUSE_R2_TERM</x:v>
      </x:c>
    </x:row>
    <x:row r="730">
      <x:c r="A730" s="35" t="str">
        <x:v>plating</x:v>
      </x:c>
      <x:c r="B730" s="35" t="str">
        <x:v>https://w3id.org/nltl-benchmark/vocab#plating</x:v>
      </x:c>
      <x:c r="C730" s="35" t="str">
        <x:v>Class</x:v>
      </x:c>
      <x:c r="D730" s="35" t="str">
        <x:v>https://w3id.org/nltl-benchmark/vocab#hullStructure</x:v>
      </x:c>
      <x:c r="E730" s="35" t="str"/>
      <x:c r="F730" s="35" t="str"/>
      <x:c r="G730" s="38" t="str">
        <x:v>I2-048</x:v>
      </x:c>
      <x:c r="H730" s="35" t="str">
        <x:v>Benchmark-coined descriptive engineering term</x:v>
      </x:c>
      <x:c r="I730" s="35" t="str">
        <x:v>N5 - component or subject first, followed by characteristic and qualifier/state; no unsupported external mapping</x:v>
      </x:c>
      <x:c r="J730" s="35" t="str">
        <x:v>REUSE_R2_TERM</x:v>
      </x:c>
    </x:row>
    <x:row r="731">
      <x:c r="A731" s="35" t="str">
        <x:v>platingFramingOrientation</x:v>
      </x:c>
      <x:c r="B731" s="35" t="str">
        <x:v>https://w3id.org/nltl-benchmark/vocab#platingFramingOrientation</x:v>
      </x:c>
      <x:c r="C731" s="35" t="str">
        <x:v>ObjectProperty</x:v>
      </x:c>
      <x:c r="D731" s="35" t="str">
        <x:v>https://w3id.org/nltl-benchmark/vocab#platingFramingOrientationValue</x:v>
      </x:c>
      <x:c r="E731" s="35" t="str"/>
      <x:c r="F731" s="35" t="str"/>
      <x:c r="G731" s="38" t="str">
        <x:v>TRF-041</x:v>
      </x:c>
      <x:c r="H731" s="35" t="str">
        <x:v>Applicable TRAFICOM regulation wording plus explicit engineering node/operand role</x:v>
      </x:c>
      <x:c r="I731" s="35" t="str">
        <x:v>N5 - ASCII lowerCamelCase relationship; use has + object role when it improves direction clarity.</x:v>
      </x:c>
      <x:c r="J731" s="35" t="str">
        <x:v>ADD_DEVELOPMENT_TERM</x:v>
      </x:c>
    </x:row>
    <x:row r="732">
      <x:c r="A732" s="35" t="str">
        <x:v>platingFramingOrientationValue</x:v>
      </x:c>
      <x:c r="B732" s="35" t="str">
        <x:v>https://w3id.org/nltl-benchmark/vocab#platingFramingOrientationValue</x:v>
      </x:c>
      <x:c r="C732" s="35" t="str">
        <x:v>Class</x:v>
      </x:c>
      <x:c r="D732" s="35" t="str">
        <x:v>https://w3id.org/nltl-benchmark/vocab#benchmarkEntity</x:v>
      </x:c>
      <x:c r="E732" s="35" t="str"/>
      <x:c r="F732" s="35" t="str"/>
      <x:c r="G732" s="38" t="str">
        <x:v>TRF-041</x:v>
      </x:c>
      <x:c r="H732" s="35" t="str">
        <x:v>Applicable TRAFICOM regulation wording plus explicit engineering node/operand role</x:v>
      </x:c>
      <x:c r="I732" s="35" t="str">
        <x:v>N4 - singular ASCII lowerCamelCase entity name derived from the linked regulatory role.</x:v>
      </x:c>
      <x:c r="J732" s="35" t="str">
        <x:v>ADD_DEVELOPMENT_TERM</x:v>
      </x:c>
    </x:row>
    <x:row r="733">
      <x:c r="A733" s="35" t="str">
        <x:v>platingPressure</x:v>
      </x:c>
      <x:c r="B733" s="35" t="str">
        <x:v>https://w3id.org/nltl-benchmark/vocab#platingPressure</x:v>
      </x:c>
      <x:c r="C733" s="35" t="str">
        <x:v>QuantityProperty</x:v>
      </x:c>
      <x:c r="D733" s="35" t="str">
        <x:v>http://qudt.org/schema/qudt/QuantityValue</x:v>
      </x:c>
      <x:c r="E733" s="35" t="str"/>
      <x:c r="F733" s="35" t="str">
        <x:v>MPa</x:v>
      </x:c>
      <x:c r="G733" s="38" t="str">
        <x:v>TRF-041</x:v>
      </x:c>
      <x:c r="H733" s="35" t="str">
        <x:v>Applicable TRAFICOM regulation wording plus explicit engineering node/operand role</x:v>
      </x:c>
      <x:c r="I733" s="35" t="str">
        <x:v>N4 - explicit engineering quantity in ASCII lowerCamelCase; formula symbols remain aliases only.</x:v>
      </x:c>
      <x:c r="J733" s="35" t="str">
        <x:v>ADD_DEVELOPMENT_TERM</x:v>
      </x:c>
    </x:row>
    <x:row r="734">
      <x:c r="A734" s="35" t="str">
        <x:v>pleasureYacht</x:v>
      </x:c>
      <x:c r="B734" s="35" t="str">
        <x:v>https://w3id.org/nltl-benchmark/vocab#pleasureYacht</x:v>
      </x:c>
      <x:c r="C734" s="35" t="str">
        <x:v>Class</x:v>
      </x:c>
      <x:c r="D734" s="35" t="str">
        <x:v>https://w3id.org/nltl-benchmark/vocab#ship</x:v>
      </x:c>
      <x:c r="E734" s="35" t="str"/>
      <x:c r="F734" s="35" t="str"/>
      <x:c r="G734" s="38" t="str">
        <x:v>IMO26-002 | IMO26-016</x:v>
      </x:c>
      <x:c r="H734" s="35" t="str">
        <x:v>Benchmark-coined descriptive engineering term</x:v>
      </x:c>
      <x:c r="I734" s="35" t="str">
        <x:v>N5 - component or subject first, followed by characteristic and qualifier/state; no unsupported external mapping</x:v>
      </x:c>
      <x:c r="J734" s="35" t="str">
        <x:v>REUSE_R2_TERM</x:v>
      </x:c>
    </x:row>
    <x:row r="735">
      <x:c r="A735" s="35" t="str">
        <x:v>polarCertificateSupplementPresent</x:v>
      </x:c>
      <x:c r="B735" s="35" t="str">
        <x:v>https://w3id.org/nltl-benchmark/vocab#polarCertificateSupplementPresent</x:v>
      </x:c>
      <x:c r="C735" s="35" t="str">
        <x:v>DatatypeProperty</x:v>
      </x:c>
      <x:c r="D735" s="35" t="str">
        <x:v>http://www.w3.org/2001/XMLSchema#boolean</x:v>
      </x:c>
      <x:c r="E735" s="35" t="str">
        <x:v>xsd:boolean</x:v>
      </x:c>
      <x:c r="F735" s="35" t="str"/>
      <x:c r="G735" s="38" t="str">
        <x:v>IMO-017</x:v>
      </x:c>
      <x:c r="H735" s="35" t="str">
        <x:v>Locked-workbook normalized regulatory term</x:v>
      </x:c>
      <x:c r="I735" s="35" t="str">
        <x:v>N4 - preserve the source concept; normalize spelling to ASCII lowerCamelCase</x:v>
      </x:c>
      <x:c r="J735" s="35" t="str">
        <x:v>REUSE_R2_TERM</x:v>
      </x:c>
    </x:row>
    <x:row r="736">
      <x:c r="A736" s="35" t="str">
        <x:v>polarCertificateValidityDates</x:v>
      </x:c>
      <x:c r="B736" s="35" t="str">
        <x:v>https://w3id.org/nltl-benchmark/vocab#polarCertificateValidityDates</x:v>
      </x:c>
      <x:c r="C736" s="35" t="str">
        <x:v>DatatypeProperty</x:v>
      </x:c>
      <x:c r="D736" s="35" t="str">
        <x:v>http://www.w3.org/2001/XMLSchema#date</x:v>
      </x:c>
      <x:c r="E736" s="35" t="str">
        <x:v>xsd:date</x:v>
      </x:c>
      <x:c r="F736" s="35" t="str"/>
      <x:c r="G736" s="38" t="str">
        <x:v>IMO-017</x:v>
      </x:c>
      <x:c r="H736" s="35" t="str">
        <x:v>Locked-workbook normalized regulatory term</x:v>
      </x:c>
      <x:c r="I736" s="35" t="str">
        <x:v>N4 - preserve the source concept; normalize spelling to ASCII lowerCamelCase</x:v>
      </x:c>
      <x:c r="J736" s="35" t="str">
        <x:v>REUSE_R2_TERM</x:v>
      </x:c>
    </x:row>
    <x:row r="737">
      <x:c r="A737" s="35" t="str">
        <x:v>polarClass</x:v>
      </x:c>
      <x:c r="B737" s="35" t="str">
        <x:v>https://w3id.org/nltl-benchmark/vocab#polarClass</x:v>
      </x:c>
      <x:c r="C737" s="35" t="str">
        <x:v>ObjectProperty</x:v>
      </x:c>
      <x:c r="D737" s="35" t="str">
        <x:v>https://w3id.org/nltl-benchmark/vocab#polarClassValue</x:v>
      </x:c>
      <x:c r="E737" s="35" t="str"/>
      <x:c r="F737" s="35" t="str"/>
      <x:c r="G737" s="38" t="str">
        <x:v>I2-002 | I2-008 | I2-010 | I2-011 | I2-048</x:v>
      </x:c>
      <x:c r="H737" s="35" t="str">
        <x:v>Benchmark-coined descriptive engineering term</x:v>
      </x:c>
      <x:c r="I737" s="35" t="str">
        <x:v>N5 - component or subject first, followed by characteristic and qualifier/state; no unsupported external mapping</x:v>
      </x:c>
      <x:c r="J737" s="35" t="str">
        <x:v>REUSE_R2_TERM</x:v>
      </x:c>
    </x:row>
    <x:row r="738">
      <x:c r="A738" s="35" t="str">
        <x:v>polarClothingPassageTestStatus</x:v>
      </x:c>
      <x:c r="B738" s="35" t="str">
        <x:v>https://w3id.org/nltl-benchmark/vocab#polarClothingPassageTestStatus</x:v>
      </x:c>
      <x:c r="C738" s="35" t="str">
        <x:v>DatatypeProperty</x:v>
      </x:c>
      <x:c r="D738" s="35" t="str">
        <x:v>http://www.w3.org/2001/XMLSchema#boolean</x:v>
      </x:c>
      <x:c r="E738" s="35" t="str">
        <x:v>xsd:boolean</x:v>
      </x:c>
      <x:c r="F738" s="35" t="str"/>
      <x:c r="G738" s="38" t="str">
        <x:v>IMO-067</x:v>
      </x:c>
      <x:c r="H738" s="35" t="str">
        <x:v>Locked-workbook normalized regulatory term</x:v>
      </x:c>
      <x:c r="I738" s="35" t="str">
        <x:v>N4 - preserve the source concept; normalize spelling to ASCII lowerCamelCase</x:v>
      </x:c>
      <x:c r="J738" s="35" t="str">
        <x:v>REUSE_R2_TERM</x:v>
      </x:c>
    </x:row>
    <x:row r="739">
      <x:c r="A739" s="35" t="str">
        <x:v>polarCodeApplies</x:v>
      </x:c>
      <x:c r="B739" s="35" t="str">
        <x:v>https://w3id.org/nltl-benchmark/vocab#polarCodeApplies</x:v>
      </x:c>
      <x:c r="C739" s="35" t="str">
        <x:v>DatatypeProperty</x:v>
      </x:c>
      <x:c r="D739" s="35" t="str">
        <x:v>http://www.w3.org/2001/XMLSchema#boolean</x:v>
      </x:c>
      <x:c r="E739" s="35" t="str">
        <x:v>xsd:boolean</x:v>
      </x:c>
      <x:c r="F739" s="35" t="str"/>
      <x:c r="G739" s="38" t="str">
        <x:v>IMO-014</x:v>
      </x:c>
      <x:c r="H739" s="35" t="str">
        <x:v>Locked-workbook normalized regulatory term</x:v>
      </x:c>
      <x:c r="I739" s="35" t="str">
        <x:v>N4 - preserve the source concept; normalize spelling to ASCII lowerCamelCase</x:v>
      </x:c>
      <x:c r="J739" s="35" t="str">
        <x:v>REUSE_R2_TERM</x:v>
      </x:c>
    </x:row>
    <x:row r="740">
      <x:c r="A740" s="35" t="str">
        <x:v>polarCodeChapter11Applicable</x:v>
      </x:c>
      <x:c r="B740" s="35" t="str">
        <x:v>https://w3id.org/nltl-benchmark/vocab#polarCodeChapter11Applicable</x:v>
      </x:c>
      <x:c r="C740" s="35" t="str">
        <x:v>DatatypeProperty</x:v>
      </x:c>
      <x:c r="D740" s="35" t="str">
        <x:v>http://www.w3.org/2001/XMLSchema#boolean</x:v>
      </x:c>
      <x:c r="E740" s="35" t="str">
        <x:v>xsd:boolean</x:v>
      </x:c>
      <x:c r="F740" s="35" t="str"/>
      <x:c r="G740" s="38" t="str">
        <x:v>IMO26-015</x:v>
      </x:c>
      <x:c r="H740" s="35" t="str">
        <x:v>Locked-workbook normalized regulatory term</x:v>
      </x:c>
      <x:c r="I740" s="35" t="str">
        <x:v>N4 - preserve the source concept; normalize spelling to ASCII lowerCamelCase</x:v>
      </x:c>
      <x:c r="J740" s="35" t="str">
        <x:v>REUSE_R2_TERM</x:v>
      </x:c>
    </x:row>
    <x:row r="741">
      <x:c r="A741" s="35" t="str">
        <x:v>polarCodeChapter11Dash1Applicable</x:v>
      </x:c>
      <x:c r="B741" s="35" t="str">
        <x:v>https://w3id.org/nltl-benchmark/vocab#polarCodeChapter11Dash1Applicable</x:v>
      </x:c>
      <x:c r="C741" s="35" t="str">
        <x:v>DatatypeProperty</x:v>
      </x:c>
      <x:c r="D741" s="35" t="str">
        <x:v>http://www.w3.org/2001/XMLSchema#boolean</x:v>
      </x:c>
      <x:c r="E741" s="35" t="str">
        <x:v>xsd:boolean</x:v>
      </x:c>
      <x:c r="F741" s="35" t="str"/>
      <x:c r="G741" s="38" t="str">
        <x:v>IMO26-016 | IMO26-017 | IMO26-018</x:v>
      </x:c>
      <x:c r="H741" s="35" t="str">
        <x:v>Explicit regulation-reference transcription</x:v>
      </x:c>
      <x:c r="I741" s="35" t="str">
        <x:v>N6 - spell separators as Point or Dash and identify the governing instrument</x:v>
      </x:c>
      <x:c r="J741" s="35" t="str">
        <x:v>REUSE_R2_TERM</x:v>
      </x:c>
    </x:row>
    <x:row r="742">
      <x:c r="A742" s="35" t="str">
        <x:v>polarCodeChapter9Applicable</x:v>
      </x:c>
      <x:c r="B742" s="35" t="str">
        <x:v>https://w3id.org/nltl-benchmark/vocab#polarCodeChapter9Applicable</x:v>
      </x:c>
      <x:c r="C742" s="35" t="str">
        <x:v>DatatypeProperty</x:v>
      </x:c>
      <x:c r="D742" s="35" t="str">
        <x:v>http://www.w3.org/2001/XMLSchema#boolean</x:v>
      </x:c>
      <x:c r="E742" s="35" t="str">
        <x:v>xsd:boolean</x:v>
      </x:c>
      <x:c r="F742" s="35" t="str"/>
      <x:c r="G742" s="38" t="str">
        <x:v>IMO26-001</x:v>
      </x:c>
      <x:c r="H742" s="35" t="str">
        <x:v>Locked-workbook normalized regulatory term</x:v>
      </x:c>
      <x:c r="I742" s="35" t="str">
        <x:v>N4 - preserve the source concept; normalize spelling to ASCII lowerCamelCase</x:v>
      </x:c>
      <x:c r="J742" s="35" t="str">
        <x:v>REUSE_R2_TERM</x:v>
      </x:c>
    </x:row>
    <x:row r="743">
      <x:c r="A743" s="35" t="str">
        <x:v>polarCodeChapter9Dash1Applicable</x:v>
      </x:c>
      <x:c r="B743" s="35" t="str">
        <x:v>https://w3id.org/nltl-benchmark/vocab#polarCodeChapter9Dash1Applicable</x:v>
      </x:c>
      <x:c r="C743" s="35" t="str">
        <x:v>DatatypeProperty</x:v>
      </x:c>
      <x:c r="D743" s="35" t="str">
        <x:v>http://www.w3.org/2001/XMLSchema#boolean</x:v>
      </x:c>
      <x:c r="E743" s="35" t="str">
        <x:v>xsd:boolean</x:v>
      </x:c>
      <x:c r="F743" s="35" t="str"/>
      <x:c r="G743" s="38" t="str">
        <x:v>IMO26-002 | IMO26-003 | IMO26-004 | IMO26-006</x:v>
      </x:c>
      <x:c r="H743" s="35" t="str">
        <x:v>Explicit regulation-reference transcription</x:v>
      </x:c>
      <x:c r="I743" s="35" t="str">
        <x:v>N6 - spell separators as Point or Dash and identify the governing instrument</x:v>
      </x:c>
      <x:c r="J743" s="35" t="str">
        <x:v>REUSE_R2_TERM</x:v>
      </x:c>
    </x:row>
    <x:row r="744">
      <x:c r="A744" s="35" t="str">
        <x:v>polarCodeOilDischargeParagraph1Point1Point1Applicable</x:v>
      </x:c>
      <x:c r="B744" s="35" t="str">
        <x:v>https://w3id.org/nltl-benchmark/vocab#polarCodeOilDischargeParagraph1Point1Point1Applicable</x:v>
      </x:c>
      <x:c r="C744" s="35" t="str">
        <x:v>DatatypeProperty</x:v>
      </x:c>
      <x:c r="D744" s="35" t="str">
        <x:v>http://www.w3.org/2001/XMLSchema#boolean</x:v>
      </x:c>
      <x:c r="E744" s="35" t="str">
        <x:v>xsd:boolean</x:v>
      </x:c>
      <x:c r="F744" s="35" t="str"/>
      <x:c r="G744" s="38" t="str">
        <x:v>IMO-106</x:v>
      </x:c>
      <x:c r="H744" s="35" t="str">
        <x:v>Explicit regulation-reference transcription</x:v>
      </x:c>
      <x:c r="I744" s="35" t="str">
        <x:v>N6 - spell separators as Point or Dash and identify the governing instrument</x:v>
      </x:c>
      <x:c r="J744" s="35" t="str">
        <x:v>REUSE_R2_TERM</x:v>
      </x:c>
    </x:row>
    <x:row r="745">
      <x:c r="A745" s="35" t="str">
        <x:v>polarCodeSewageParagraph4Point2Point1Point3ComplianceStatus</x:v>
      </x:c>
      <x:c r="B745" s="35" t="str">
        <x:v>https://w3id.org/nltl-benchmark/vocab#polarCodeSewageParagraph4Point2Point1Point3ComplianceStatus</x:v>
      </x:c>
      <x:c r="C745" s="35" t="str">
        <x:v>DatatypeProperty</x:v>
      </x:c>
      <x:c r="D745" s="35" t="str">
        <x:v>http://www.w3.org/2001/XMLSchema#boolean</x:v>
      </x:c>
      <x:c r="E745" s="35" t="str">
        <x:v>xsd:boolean</x:v>
      </x:c>
      <x:c r="F745" s="35" t="str"/>
      <x:c r="G745" s="38" t="str">
        <x:v>IMO-118</x:v>
      </x:c>
      <x:c r="H745" s="35" t="str">
        <x:v>Explicit regulation-reference transcription</x:v>
      </x:c>
      <x:c r="I745" s="35" t="str">
        <x:v>N6 - spell separators as Point or Dash and identify the governing instrument</x:v>
      </x:c>
      <x:c r="J745" s="35" t="str">
        <x:v>REUSE_R2_TERM</x:v>
      </x:c>
    </x:row>
    <x:row r="746">
      <x:c r="A746" s="35" t="str">
        <x:v>polarIncidentProcedurePresent</x:v>
      </x:c>
      <x:c r="B746" s="35" t="str">
        <x:v>https://w3id.org/nltl-benchmark/vocab#polarIncidentProcedurePresent</x:v>
      </x:c>
      <x:c r="C746" s="35" t="str">
        <x:v>DatatypeProperty</x:v>
      </x:c>
      <x:c r="D746" s="35" t="str">
        <x:v>http://www.w3.org/2001/XMLSchema#boolean</x:v>
      </x:c>
      <x:c r="E746" s="35" t="str">
        <x:v>xsd:boolean</x:v>
      </x:c>
      <x:c r="F746" s="35" t="str"/>
      <x:c r="G746" s="38" t="str">
        <x:v>IMO-024</x:v>
      </x:c>
      <x:c r="H746" s="35" t="str">
        <x:v>Locked-workbook normalized regulatory term</x:v>
      </x:c>
      <x:c r="I746" s="35" t="str">
        <x:v>N4 - preserve the source concept; normalize spelling to ASCII lowerCamelCase</x:v>
      </x:c>
      <x:c r="J746" s="35" t="str">
        <x:v>REUSE_R2_TERM</x:v>
      </x:c>
    </x:row>
    <x:row r="747">
      <x:c r="A747" s="35" t="str">
        <x:v>polarOperationCoverage</x:v>
      </x:c>
      <x:c r="B747" s="35" t="str">
        <x:v>https://w3id.org/nltl-benchmark/vocab#polarOperationCoverage</x:v>
      </x:c>
      <x:c r="C747" s="35" t="str">
        <x:v>DatatypeProperty</x:v>
      </x:c>
      <x:c r="D747" s="35" t="str">
        <x:v>http://www.w3.org/2001/XMLSchema#boolean</x:v>
      </x:c>
      <x:c r="E747" s="35" t="str">
        <x:v>xsd:boolean</x:v>
      </x:c>
      <x:c r="F747" s="35" t="str"/>
      <x:c r="G747" s="38" t="str">
        <x:v>IMO-107 | IMO-113 | IMO-125</x:v>
      </x:c>
      <x:c r="H747" s="35" t="str">
        <x:v>Benchmark-coined descriptive engineering term</x:v>
      </x:c>
      <x:c r="I747" s="35" t="str">
        <x:v>N5 - component or subject first, followed by characteristic and qualifier/state; no unsupported external mapping</x:v>
      </x:c>
      <x:c r="J747" s="35" t="str">
        <x:v>REUSE_R2_TERM</x:v>
      </x:c>
    </x:row>
    <x:row r="748">
      <x:c r="A748" s="35" t="str">
        <x:v>polarRoutePlan</x:v>
      </x:c>
      <x:c r="B748" s="35" t="str">
        <x:v>https://w3id.org/nltl-benchmark/vocab#polarRoutePlan</x:v>
      </x:c>
      <x:c r="C748" s="35" t="str">
        <x:v>Class</x:v>
      </x:c>
      <x:c r="D748" s="35" t="str">
        <x:v>https://w3id.org/nltl-benchmark/vocab#documentEvidence</x:v>
      </x:c>
      <x:c r="E748" s="35" t="str"/>
      <x:c r="F748" s="35" t="str"/>
      <x:c r="G748" s="38" t="str">
        <x:v>IMO-101</x:v>
      </x:c>
      <x:c r="H748" s="35" t="str">
        <x:v>Locked-workbook normalized regulatory term</x:v>
      </x:c>
      <x:c r="I748" s="35" t="str">
        <x:v>N4 - preserve the source concept; normalize spelling to ASCII lowerCamelCase</x:v>
      </x:c>
      <x:c r="J748" s="35" t="str">
        <x:v>REUSE_R2_TERM</x:v>
      </x:c>
    </x:row>
    <x:row r="749">
      <x:c r="A749" s="35" t="str">
        <x:v>polarServiceTemperature</x:v>
      </x:c>
      <x:c r="B749" s="35" t="str">
        <x:v>https://w3id.org/nltl-benchmark/vocab#polarServiceTemperature</x:v>
      </x:c>
      <x:c r="C749" s="35" t="str">
        <x:v>QuantityProperty</x:v>
      </x:c>
      <x:c r="D749" s="35" t="str">
        <x:v>http://qudt.org/schema/qudt/QuantityValue</x:v>
      </x:c>
      <x:c r="E749" s="35" t="str"/>
      <x:c r="F749" s="35" t="str">
        <x:v>deg C</x:v>
      </x:c>
      <x:c r="G749" s="38" t="str">
        <x:v>IMO-012 | IMO-019 | IMO-020 | IMO-031 | IMO-046 | IMO-048 | IMO-054 | IMO-056 | IMO-061</x:v>
      </x:c>
      <x:c r="H749" s="35" t="str">
        <x:v>Unit-stripped normalized regulatory variable</x:v>
      </x:c>
      <x:c r="I749" s="35" t="str">
        <x:v>N3 - remove unit from the identifier and retain it in unit/quantity metadata</x:v>
      </x:c>
      <x:c r="J749" s="35" t="str">
        <x:v>REUSE_R2_TERM</x:v>
      </x:c>
    </x:row>
    <x:row r="750">
      <x:c r="A750" s="35" t="str">
        <x:v>polarShipCertificateForm</x:v>
      </x:c>
      <x:c r="B750" s="35" t="str">
        <x:v>https://w3id.org/nltl-benchmark/vocab#polarShipCertificateForm</x:v>
      </x:c>
      <x:c r="C750" s="35" t="str">
        <x:v>Class</x:v>
      </x:c>
      <x:c r="D750" s="35" t="str">
        <x:v>https://w3id.org/nltl-benchmark/vocab#documentEvidence</x:v>
      </x:c>
      <x:c r="E750" s="35" t="str"/>
      <x:c r="F750" s="35" t="str"/>
      <x:c r="G750" s="38" t="str">
        <x:v>IMO-016</x:v>
      </x:c>
      <x:c r="H750" s="35" t="str">
        <x:v>Locked-workbook normalized regulatory term</x:v>
      </x:c>
      <x:c r="I750" s="35" t="str">
        <x:v>N4 - preserve the source concept; normalize spelling to ASCII lowerCamelCase</x:v>
      </x:c>
      <x:c r="J750" s="35" t="str">
        <x:v>REUSE_R2_TERM</x:v>
      </x:c>
    </x:row>
    <x:row r="751">
      <x:c r="A751" s="35" t="str">
        <x:v>polarShipCertificateParagraph1Point3Point3ExceptionApplies</x:v>
      </x:c>
      <x:c r="B751" s="35" t="str">
        <x:v>https://w3id.org/nltl-benchmark/vocab#polarShipCertificateParagraph1Point3Point3ExceptionApplies</x:v>
      </x:c>
      <x:c r="C751" s="35" t="str">
        <x:v>DatatypeProperty</x:v>
      </x:c>
      <x:c r="D751" s="35" t="str">
        <x:v>http://www.w3.org/2001/XMLSchema#boolean</x:v>
      </x:c>
      <x:c r="E751" s="35" t="str">
        <x:v>xsd:boolean</x:v>
      </x:c>
      <x:c r="F751" s="35" t="str"/>
      <x:c r="G751" s="38" t="str">
        <x:v>IMO-015</x:v>
      </x:c>
      <x:c r="H751" s="35" t="str">
        <x:v>Explicit regulation-reference transcription</x:v>
      </x:c>
      <x:c r="I751" s="35" t="str">
        <x:v>N6 - spell separators as Point or Dash and identify the governing instrument</x:v>
      </x:c>
      <x:c r="J751" s="35" t="str">
        <x:v>REUSE_R2_TERM</x:v>
      </x:c>
    </x:row>
    <x:row r="752">
      <x:c r="A752" s="35" t="str">
        <x:v>polarShipCertificatePresent</x:v>
      </x:c>
      <x:c r="B752" s="35" t="str">
        <x:v>https://w3id.org/nltl-benchmark/vocab#polarShipCertificatePresent</x:v>
      </x:c>
      <x:c r="C752" s="35" t="str">
        <x:v>DatatypeProperty</x:v>
      </x:c>
      <x:c r="D752" s="35" t="str">
        <x:v>http://www.w3.org/2001/XMLSchema#boolean</x:v>
      </x:c>
      <x:c r="E752" s="35" t="str">
        <x:v>xsd:boolean</x:v>
      </x:c>
      <x:c r="F752" s="35" t="str"/>
      <x:c r="G752" s="38" t="str">
        <x:v>IMO-014</x:v>
      </x:c>
      <x:c r="H752" s="35" t="str">
        <x:v>Locked-workbook normalized regulatory term</x:v>
      </x:c>
      <x:c r="I752" s="35" t="str">
        <x:v>N4 - preserve the source concept; normalize spelling to ASCII lowerCamelCase</x:v>
      </x:c>
      <x:c r="J752" s="35" t="str">
        <x:v>REUSE_R2_TERM</x:v>
      </x:c>
    </x:row>
    <x:row r="753">
      <x:c r="A753" s="35" t="str">
        <x:v>polarShipCertificateStatus</x:v>
      </x:c>
      <x:c r="B753" s="35" t="str">
        <x:v>https://w3id.org/nltl-benchmark/vocab#polarShipCertificateStatus</x:v>
      </x:c>
      <x:c r="C753" s="35" t="str">
        <x:v>DatatypeProperty</x:v>
      </x:c>
      <x:c r="D753" s="35" t="str">
        <x:v>http://www.w3.org/2001/XMLSchema#boolean</x:v>
      </x:c>
      <x:c r="E753" s="35" t="str">
        <x:v>xsd:boolean</x:v>
      </x:c>
      <x:c r="F753" s="35" t="str"/>
      <x:c r="G753" s="38" t="str">
        <x:v>IMO-014</x:v>
      </x:c>
      <x:c r="H753" s="35" t="str">
        <x:v>Locked-workbook normalized regulatory term</x:v>
      </x:c>
      <x:c r="I753" s="35" t="str">
        <x:v>N4 - preserve the source concept; normalize spelling to ASCII lowerCamelCase</x:v>
      </x:c>
      <x:c r="J753" s="35" t="str">
        <x:v>REUSE_R2_TERM</x:v>
      </x:c>
    </x:row>
    <x:row r="754">
      <x:c r="A754" s="35" t="str">
        <x:v>polarWaterOperationalManualFamiliarizationStatus</x:v>
      </x:c>
      <x:c r="B754" s="35" t="str">
        <x:v>https://w3id.org/nltl-benchmark/vocab#polarWaterOperationalManualFamiliarizationStatus</x:v>
      </x:c>
      <x:c r="C754" s="35" t="str">
        <x:v>DatatypeProperty</x:v>
      </x:c>
      <x:c r="D754" s="35" t="str">
        <x:v>http://www.w3.org/2001/XMLSchema#boolean</x:v>
      </x:c>
      <x:c r="E754" s="35" t="str">
        <x:v>xsd:boolean</x:v>
      </x:c>
      <x:c r="F754" s="35" t="str"/>
      <x:c r="G754" s="38" t="str">
        <x:v>IMO-104</x:v>
      </x:c>
      <x:c r="H754" s="35" t="str">
        <x:v>Locked-workbook normalized regulatory term</x:v>
      </x:c>
      <x:c r="I754" s="35" t="str">
        <x:v>N4 - preserve the source concept; normalize spelling to ASCII lowerCamelCase</x:v>
      </x:c>
      <x:c r="J754" s="35" t="str">
        <x:v>REUSE_R2_TERM</x:v>
      </x:c>
    </x:row>
    <x:row r="755">
      <x:c r="A755" s="35" t="str">
        <x:v>polarWaterOperationalManualIceAccretionLimit</x:v>
      </x:c>
      <x:c r="B755" s="35" t="str">
        <x:v>https://w3id.org/nltl-benchmark/vocab#polarWaterOperationalManualIceAccretionLimit</x:v>
      </x:c>
      <x:c r="C755" s="35" t="str">
        <x:v>DatatypeProperty</x:v>
      </x:c>
      <x:c r="D755" s="35" t="str">
        <x:v>http://www.w3.org/2001/XMLSchema#string</x:v>
      </x:c>
      <x:c r="E755" s="35" t="str">
        <x:v>xsd:string</x:v>
      </x:c>
      <x:c r="F755" s="35" t="str"/>
      <x:c r="G755" s="38" t="str">
        <x:v>IMO-036</x:v>
      </x:c>
      <x:c r="H755" s="35" t="str">
        <x:v>Locked-workbook normalized regulatory term</x:v>
      </x:c>
      <x:c r="I755" s="35" t="str">
        <x:v>N4 - preserve the source concept; normalize spelling to ASCII lowerCamelCase</x:v>
      </x:c>
      <x:c r="J755" s="35" t="str">
        <x:v>REUSE_R2_TERM</x:v>
      </x:c>
    </x:row>
    <x:row r="756">
      <x:c r="A756" s="35" t="str">
        <x:v>polarWaterOperationalManualIceCapabilityMethodologyPresent</x:v>
      </x:c>
      <x:c r="B756" s="35" t="str">
        <x:v>https://w3id.org/nltl-benchmark/vocab#polarWaterOperationalManualIceCapabilityMethodologyPresent</x:v>
      </x:c>
      <x:c r="C756" s="35" t="str">
        <x:v>DatatypeProperty</x:v>
      </x:c>
      <x:c r="D756" s="35" t="str">
        <x:v>http://www.w3.org/2001/XMLSchema#boolean</x:v>
      </x:c>
      <x:c r="E756" s="35" t="str">
        <x:v>xsd:boolean</x:v>
      </x:c>
      <x:c r="F756" s="35" t="str"/>
      <x:c r="G756" s="38" t="str">
        <x:v>IMO-026</x:v>
      </x:c>
      <x:c r="H756" s="35" t="str">
        <x:v>Locked-workbook normalized regulatory term</x:v>
      </x:c>
      <x:c r="I756" s="35" t="str">
        <x:v>N4 - preserve the source concept; normalize spelling to ASCII lowerCamelCase</x:v>
      </x:c>
      <x:c r="J756" s="35" t="str">
        <x:v>REUSE_R2_TERM</x:v>
      </x:c>
    </x:row>
    <x:row r="757">
      <x:c r="A757" s="35" t="str">
        <x:v>polarWaterOperationalManualIcingAllowanceInformationPresent</x:v>
      </x:c>
      <x:c r="B757" s="35" t="str">
        <x:v>https://w3id.org/nltl-benchmark/vocab#polarWaterOperationalManualIcingAllowanceInformationPresent</x:v>
      </x:c>
      <x:c r="C757" s="35" t="str">
        <x:v>DatatypeProperty</x:v>
      </x:c>
      <x:c r="D757" s="35" t="str">
        <x:v>http://www.w3.org/2001/XMLSchema#boolean</x:v>
      </x:c>
      <x:c r="E757" s="35" t="str">
        <x:v>xsd:boolean</x:v>
      </x:c>
      <x:c r="F757" s="35" t="str"/>
      <x:c r="G757" s="38" t="str">
        <x:v>IMO-035</x:v>
      </x:c>
      <x:c r="H757" s="35" t="str">
        <x:v>Locked-workbook normalized regulatory term</x:v>
      </x:c>
      <x:c r="I757" s="35" t="str">
        <x:v>N4 - preserve the source concept; normalize spelling to ASCII lowerCamelCase</x:v>
      </x:c>
      <x:c r="J757" s="35" t="str">
        <x:v>REUSE_R2_TERM</x:v>
      </x:c>
    </x:row>
    <x:row r="758">
      <x:c r="A758" s="35" t="str">
        <x:v>polarWaterOperationalManualIcingAllowanceValues</x:v>
      </x:c>
      <x:c r="B758" s="35" t="str">
        <x:v>https://w3id.org/nltl-benchmark/vocab#polarWaterOperationalManualIcingAllowanceValues</x:v>
      </x:c>
      <x:c r="C758" s="35" t="str">
        <x:v>DatatypeProperty</x:v>
      </x:c>
      <x:c r="D758" s="35" t="str">
        <x:v>http://www.w3.org/2001/XMLSchema#string</x:v>
      </x:c>
      <x:c r="E758" s="35" t="str">
        <x:v>xsd:string</x:v>
      </x:c>
      <x:c r="F758" s="35" t="str"/>
      <x:c r="G758" s="38" t="str">
        <x:v>IMO-035</x:v>
      </x:c>
      <x:c r="H758" s="35" t="str">
        <x:v>Locked-workbook normalized regulatory term</x:v>
      </x:c>
      <x:c r="I758" s="35" t="str">
        <x:v>N4 - preserve the source concept; normalize spelling to ASCII lowerCamelCase</x:v>
      </x:c>
      <x:c r="J758" s="35" t="str">
        <x:v>REUSE_R2_TERM</x:v>
      </x:c>
    </x:row>
    <x:row r="759">
      <x:c r="A759" s="35" t="str">
        <x:v>polarWaterOperationalManualPresent</x:v>
      </x:c>
      <x:c r="B759" s="35" t="str">
        <x:v>https://w3id.org/nltl-benchmark/vocab#polarWaterOperationalManualPresent</x:v>
      </x:c>
      <x:c r="C759" s="35" t="str">
        <x:v>DatatypeProperty</x:v>
      </x:c>
      <x:c r="D759" s="35" t="str">
        <x:v>http://www.w3.org/2001/XMLSchema#boolean</x:v>
      </x:c>
      <x:c r="E759" s="35" t="str">
        <x:v>xsd:boolean</x:v>
      </x:c>
      <x:c r="F759" s="35" t="str"/>
      <x:c r="G759" s="38" t="str">
        <x:v>IMO-022</x:v>
      </x:c>
      <x:c r="H759" s="35" t="str">
        <x:v>Locked-workbook normalized regulatory term</x:v>
      </x:c>
      <x:c r="I759" s="35" t="str">
        <x:v>N4 - preserve the source concept; normalize spelling to ASCII lowerCamelCase</x:v>
      </x:c>
      <x:c r="J759" s="35" t="str">
        <x:v>REUSE_R2_TERM</x:v>
      </x:c>
    </x:row>
    <x:row r="760">
      <x:c r="A760" s="35" t="str">
        <x:v>polarWaterOperationalManualPresentOnBoard</x:v>
      </x:c>
      <x:c r="B760" s="35" t="str">
        <x:v>https://w3id.org/nltl-benchmark/vocab#polarWaterOperationalManualPresentOnBoard</x:v>
      </x:c>
      <x:c r="C760" s="35" t="str">
        <x:v>DatatypeProperty</x:v>
      </x:c>
      <x:c r="D760" s="35" t="str">
        <x:v>http://www.w3.org/2001/XMLSchema#boolean</x:v>
      </x:c>
      <x:c r="E760" s="35" t="str">
        <x:v>xsd:boolean</x:v>
      </x:c>
      <x:c r="F760" s="35" t="str"/>
      <x:c r="G760" s="38" t="str">
        <x:v>IMO-025</x:v>
      </x:c>
      <x:c r="H760" s="35" t="str">
        <x:v>Locked-workbook normalized regulatory term</x:v>
      </x:c>
      <x:c r="I760" s="35" t="str">
        <x:v>N4 - preserve the source concept; normalize spelling to ASCII lowerCamelCase</x:v>
      </x:c>
      <x:c r="J760" s="35" t="str">
        <x:v>REUSE_R2_TERM</x:v>
      </x:c>
    </x:row>
    <x:row r="761">
      <x:c r="A761" s="35" t="str">
        <x:v>polarWaterOperationalManualRiskProcedureCoverage</x:v>
      </x:c>
      <x:c r="B761" s="35" t="str">
        <x:v>https://w3id.org/nltl-benchmark/vocab#polarWaterOperationalManualRiskProcedureCoverage</x:v>
      </x:c>
      <x:c r="C761" s="35" t="str">
        <x:v>DatatypeProperty</x:v>
      </x:c>
      <x:c r="D761" s="35" t="str">
        <x:v>http://www.w3.org/2001/XMLSchema#boolean</x:v>
      </x:c>
      <x:c r="E761" s="35" t="str">
        <x:v>xsd:boolean</x:v>
      </x:c>
      <x:c r="F761" s="35" t="str"/>
      <x:c r="G761" s="38" t="str">
        <x:v>IMO-027</x:v>
      </x:c>
      <x:c r="H761" s="35" t="str">
        <x:v>Locked-workbook normalized regulatory term</x:v>
      </x:c>
      <x:c r="I761" s="35" t="str">
        <x:v>N4 - preserve the source concept; normalize spelling to ASCII lowerCamelCase</x:v>
      </x:c>
      <x:c r="J761" s="35" t="str">
        <x:v>REUSE_R2_TERM</x:v>
      </x:c>
    </x:row>
    <x:row r="762">
      <x:c r="A762" s="35" t="str">
        <x:v>pollutionEmergencyPlanPolarCoverage</x:v>
      </x:c>
      <x:c r="B762" s="35" t="str">
        <x:v>https://w3id.org/nltl-benchmark/vocab#pollutionEmergencyPlanPolarCoverage</x:v>
      </x:c>
      <x:c r="C762" s="35" t="str">
        <x:v>DatatypeProperty</x:v>
      </x:c>
      <x:c r="D762" s="35" t="str">
        <x:v>http://www.w3.org/2001/XMLSchema#boolean</x:v>
      </x:c>
      <x:c r="E762" s="35" t="str">
        <x:v>xsd:boolean</x:v>
      </x:c>
      <x:c r="F762" s="35" t="str"/>
      <x:c r="G762" s="38" t="str">
        <x:v>IMO-107</x:v>
      </x:c>
      <x:c r="H762" s="35" t="str">
        <x:v>Locked-workbook normalized regulatory term</x:v>
      </x:c>
      <x:c r="I762" s="35" t="str">
        <x:v>N4 - preserve the source concept; normalize spelling to ASCII lowerCamelCase</x:v>
      </x:c>
      <x:c r="J762" s="35" t="str">
        <x:v>REUSE_R2_TERM</x:v>
      </x:c>
    </x:row>
    <x:row r="763">
      <x:c r="A763" s="35" t="str">
        <x:v>portableTwoWayRadio</x:v>
      </x:c>
      <x:c r="B763" s="35" t="str">
        <x:v>https://w3id.org/nltl-benchmark/vocab#portableTwoWayRadio</x:v>
      </x:c>
      <x:c r="C763" s="35" t="str">
        <x:v>Class</x:v>
      </x:c>
      <x:c r="D763" s="35" t="str">
        <x:v>https://w3id.org/nltl-benchmark/vocab#benchmarkEntity</x:v>
      </x:c>
      <x:c r="E763" s="35" t="str"/>
      <x:c r="F763" s="35" t="str"/>
      <x:c r="G763" s="38" t="str">
        <x:v>IMO-056</x:v>
      </x:c>
      <x:c r="H763" s="35" t="str">
        <x:v>Locked-workbook normalized regulatory term</x:v>
      </x:c>
      <x:c r="I763" s="35" t="str">
        <x:v>N4 - preserve the source concept; normalize spelling to ASCII lowerCamelCase</x:v>
      </x:c>
      <x:c r="J763" s="35" t="str">
        <x:v>REUSE_R2_TERM</x:v>
      </x:c>
    </x:row>
    <x:row r="764">
      <x:c r="A764" s="35" t="str">
        <x:v>prescribedProcedureApplicability</x:v>
      </x:c>
      <x:c r="B764" s="35" t="str">
        <x:v>https://w3id.org/nltl-benchmark/vocab#prescribedProcedureApplicability</x:v>
      </x:c>
      <x:c r="C764" s="35" t="str">
        <x:v>DatatypeProperty</x:v>
      </x:c>
      <x:c r="D764" s="35" t="str">
        <x:v>http://www.w3.org/2001/XMLSchema#boolean</x:v>
      </x:c>
      <x:c r="E764" s="35" t="str">
        <x:v>xsd:boolean</x:v>
      </x:c>
      <x:c r="F764" s="35" t="str"/>
      <x:c r="G764" s="38" t="str">
        <x:v>TRF-029</x:v>
      </x:c>
      <x:c r="H764" s="35" t="str">
        <x:v>Benchmark-coined descriptive engineering term</x:v>
      </x:c>
      <x:c r="I764" s="35" t="str">
        <x:v>N5 - component or subject first, followed by characteristic and qualifier/state; no unsupported external mapping</x:v>
      </x:c>
      <x:c r="J764" s="35" t="str">
        <x:v>REUSE_R2_TERM</x:v>
      </x:c>
    </x:row>
    <x:row r="765">
      <x:c r="A765" s="35" t="str">
        <x:v>primeMoverMeanTorque</x:v>
      </x:c>
      <x:c r="B765" s="35" t="str">
        <x:v>https://w3id.org/nltl-benchmark/vocab#primeMoverMeanTorque</x:v>
      </x:c>
      <x:c r="C765" s="35" t="str">
        <x:v>QuantityProperty</x:v>
      </x:c>
      <x:c r="D765" s="35" t="str">
        <x:v>http://qudt.org/schema/qudt/QuantityValue</x:v>
      </x:c>
      <x:c r="E765" s="35" t="str"/>
      <x:c r="F765" s="35" t="str">
        <x:v>kN*m</x:v>
      </x:c>
      <x:c r="G765" s="38" t="str">
        <x:v>TRF-100</x:v>
      </x:c>
      <x:c r="H765" s="35" t="str">
        <x:v>Benchmark-coined descriptive engineering term</x:v>
      </x:c>
      <x:c r="I765" s="35" t="str">
        <x:v>N5 - component or subject first, followed by characteristic and qualifier/state; no unsupported external mapping</x:v>
      </x:c>
      <x:c r="J765" s="35" t="str">
        <x:v>REUSE_R2_TERM</x:v>
      </x:c>
    </x:row>
    <x:row r="766">
      <x:c r="A766" s="35" t="str">
        <x:v>procedureImplementationStatus</x:v>
      </x:c>
      <x:c r="B766" s="35" t="str">
        <x:v>https://w3id.org/nltl-benchmark/vocab#procedureImplementationStatus</x:v>
      </x:c>
      <x:c r="C766" s="35" t="str">
        <x:v>DatatypeProperty</x:v>
      </x:c>
      <x:c r="D766" s="35" t="str">
        <x:v>http://www.w3.org/2001/XMLSchema#boolean</x:v>
      </x:c>
      <x:c r="E766" s="35" t="str">
        <x:v>xsd:boolean</x:v>
      </x:c>
      <x:c r="F766" s="35" t="str"/>
      <x:c r="G766" s="38" t="str">
        <x:v>IMO-099</x:v>
      </x:c>
      <x:c r="H766" s="35" t="str">
        <x:v>Locked-workbook normalized regulatory term</x:v>
      </x:c>
      <x:c r="I766" s="35" t="str">
        <x:v>N4 - preserve the source concept; normalize spelling to ASCII lowerCamelCase</x:v>
      </x:c>
      <x:c r="J766" s="35" t="str">
        <x:v>REUSE_R2_TERM</x:v>
      </x:c>
    </x:row>
    <x:row r="767">
      <x:c r="A767" s="35" t="str">
        <x:v>profileSection</x:v>
      </x:c>
      <x:c r="B767" s="35" t="str">
        <x:v>https://w3id.org/nltl-benchmark/vocab#profileSection</x:v>
      </x:c>
      <x:c r="C767" s="35" t="str">
        <x:v>NamedIndividual</x:v>
      </x:c>
      <x:c r="D767" s="35" t="str">
        <x:v>https://w3id.org/nltl-benchmark/vocab#frameProfileTypeValue</x:v>
      </x:c>
      <x:c r="E767" s="35" t="str"/>
      <x:c r="F767" s="35" t="str"/>
      <x:c r="G767" s="38" t="str">
        <x:v>TRF-051</x:v>
      </x:c>
      <x:c r="H767" s="35" t="str">
        <x:v>Applicable TRAFICOM regulation wording plus explicit engineering node/operand role</x:v>
      </x:c>
      <x:c r="I767" s="35" t="str">
        <x:v>N6 - concise ASCII lowerCamelCase controlled-value name grounded in the linked regulation.</x:v>
      </x:c>
      <x:c r="J767" s="35" t="str">
        <x:v>ADD_DEVELOPMENT_TERM</x:v>
      </x:c>
    </x:row>
    <x:row r="768">
      <x:c r="A768" s="35" t="str">
        <x:v>prolongedEntrapmentProcedurePresent</x:v>
      </x:c>
      <x:c r="B768" s="35" t="str">
        <x:v>https://w3id.org/nltl-benchmark/vocab#prolongedEntrapmentProcedurePresent</x:v>
      </x:c>
      <x:c r="C768" s="35" t="str">
        <x:v>DatatypeProperty</x:v>
      </x:c>
      <x:c r="D768" s="35" t="str">
        <x:v>http://www.w3.org/2001/XMLSchema#boolean</x:v>
      </x:c>
      <x:c r="E768" s="35" t="str">
        <x:v>xsd:boolean</x:v>
      </x:c>
      <x:c r="F768" s="35" t="str"/>
      <x:c r="G768" s="38" t="str">
        <x:v>IMO-028</x:v>
      </x:c>
      <x:c r="H768" s="35" t="str">
        <x:v>Locked-workbook normalized regulatory term</x:v>
      </x:c>
      <x:c r="I768" s="35" t="str">
        <x:v>N4 - preserve the source concept; normalize spelling to ASCII lowerCamelCase</x:v>
      </x:c>
      <x:c r="J768" s="35" t="str">
        <x:v>REUSE_R2_TERM</x:v>
      </x:c>
    </x:row>
    <x:row r="769">
      <x:c r="A769" s="35" t="str">
        <x:v>propellerBlade</x:v>
      </x:c>
      <x:c r="B769" s="35" t="str">
        <x:v>https://w3id.org/nltl-benchmark/vocab#propellerBlade</x:v>
      </x:c>
      <x:c r="C769" s="35" t="str">
        <x:v>Class</x:v>
      </x:c>
      <x:c r="D769" s="35" t="str">
        <x:v>https://w3id.org/nltl-benchmark/vocab#machineryComponent</x:v>
      </x:c>
      <x:c r="E769" s="35" t="str"/>
      <x:c r="F769" s="35" t="str"/>
      <x:c r="G769" s="38" t="str">
        <x:v>TRF-075</x:v>
      </x:c>
      <x:c r="H769" s="35" t="str">
        <x:v>Benchmark-coined descriptive engineering term</x:v>
      </x:c>
      <x:c r="I769" s="35" t="str">
        <x:v>N5 - component or subject first, followed by characteristic and qualifier/state; no unsupported external mapping</x:v>
      </x:c>
      <x:c r="J769" s="35" t="str">
        <x:v>REUSE_R2_TERM</x:v>
      </x:c>
    </x:row>
    <x:row r="770">
      <x:c r="A770" s="35" t="str">
        <x:v>propellerBladeCount</x:v>
      </x:c>
      <x:c r="B770" s="35" t="str">
        <x:v>https://w3id.org/nltl-benchmark/vocab#propellerBladeCount</x:v>
      </x:c>
      <x:c r="C770" s="35" t="str">
        <x:v>DatatypeProperty</x:v>
      </x:c>
      <x:c r="D770" s="35" t="str">
        <x:v>http://www.w3.org/2001/XMLSchema#integer</x:v>
      </x:c>
      <x:c r="E770" s="35" t="str">
        <x:v>xsd:integer</x:v>
      </x:c>
      <x:c r="F770" s="35" t="str"/>
      <x:c r="G770" s="38" t="str">
        <x:v>TRF-080</x:v>
      </x:c>
      <x:c r="H770" s="35" t="str">
        <x:v>Benchmark-coined descriptive engineering term</x:v>
      </x:c>
      <x:c r="I770" s="35" t="str">
        <x:v>N5 - component or subject first, followed by characteristic and qualifier/state; no unsupported external mapping</x:v>
      </x:c>
      <x:c r="J770" s="35" t="str">
        <x:v>REUSE_R2_TERM</x:v>
      </x:c>
    </x:row>
    <x:row r="771">
      <x:c r="A771" s="35" t="str">
        <x:v>propellerBladeLoss</x:v>
      </x:c>
      <x:c r="B771" s="35" t="str">
        <x:v>https://w3id.org/nltl-benchmark/vocab#propellerBladeLoss</x:v>
      </x:c>
      <x:c r="C771" s="35" t="str">
        <x:v>DatatypeProperty</x:v>
      </x:c>
      <x:c r="D771" s="35" t="str">
        <x:v>http://www.w3.org/2001/XMLSchema#boolean</x:v>
      </x:c>
      <x:c r="E771" s="35" t="str">
        <x:v>xsd:boolean</x:v>
      </x:c>
      <x:c r="F771" s="35" t="str"/>
      <x:c r="G771" s="38" t="str">
        <x:v>TRF-104</x:v>
      </x:c>
      <x:c r="H771" s="35" t="str">
        <x:v>Benchmark-coined descriptive engineering term</x:v>
      </x:c>
      <x:c r="I771" s="35" t="str">
        <x:v>N5 - component or subject first, followed by characteristic and qualifier/state; no unsupported external mapping</x:v>
      </x:c>
      <x:c r="J771" s="35" t="str">
        <x:v>REUSE_R2_TERM</x:v>
      </x:c>
    </x:row>
    <x:row r="772">
      <x:c r="A772" s="35" t="str">
        <x:v>propellerBladeMaterialProperty</x:v>
      </x:c>
      <x:c r="B772" s="35" t="str">
        <x:v>https://w3id.org/nltl-benchmark/vocab#propellerBladeMaterialProperty</x:v>
      </x:c>
      <x:c r="C772" s="35" t="str">
        <x:v>DatatypeProperty</x:v>
      </x:c>
      <x:c r="D772" s="35" t="str">
        <x:v>http://www.w3.org/2001/XMLSchema#string</x:v>
      </x:c>
      <x:c r="E772" s="35" t="str">
        <x:v>xsd:string</x:v>
      </x:c>
      <x:c r="F772" s="35" t="str"/>
      <x:c r="G772" s="38" t="str">
        <x:v>TRF-108</x:v>
      </x:c>
      <x:c r="H772" s="35" t="str">
        <x:v>Benchmark-coined descriptive engineering term</x:v>
      </x:c>
      <x:c r="I772" s="35" t="str">
        <x:v>N5 - component or subject first, followed by characteristic and qualifier/state; no unsupported external mapping</x:v>
      </x:c>
      <x:c r="J772" s="35" t="str">
        <x:v>REUSE_R2_TERM</x:v>
      </x:c>
    </x:row>
    <x:row r="773">
      <x:c r="A773" s="35" t="str">
        <x:v>propellerBladeOrientation</x:v>
      </x:c>
      <x:c r="B773" s="35" t="str">
        <x:v>https://w3id.org/nltl-benchmark/vocab#propellerBladeOrientation</x:v>
      </x:c>
      <x:c r="C773" s="35" t="str">
        <x:v>DatatypeProperty</x:v>
      </x:c>
      <x:c r="D773" s="35" t="str">
        <x:v>http://www.w3.org/2001/XMLSchema#string</x:v>
      </x:c>
      <x:c r="E773" s="35" t="str">
        <x:v>xsd:string</x:v>
      </x:c>
      <x:c r="F773" s="35" t="str"/>
      <x:c r="G773" s="38" t="str">
        <x:v>TRF-113</x:v>
      </x:c>
      <x:c r="H773" s="35" t="str">
        <x:v>Benchmark-coined descriptive engineering term</x:v>
      </x:c>
      <x:c r="I773" s="35" t="str">
        <x:v>N5 - component or subject first, followed by characteristic and qualifier/state; no unsupported external mapping</x:v>
      </x:c>
      <x:c r="J773" s="35" t="str">
        <x:v>REUSE_R2_TERM</x:v>
      </x:c>
    </x:row>
    <x:row r="774">
      <x:c r="A774" s="35" t="str">
        <x:v>propellerBladeTipHullClearance</x:v>
      </x:c>
      <x:c r="B774" s="35" t="str">
        <x:v>https://w3id.org/nltl-benchmark/vocab#propellerBladeTipHullClearance</x:v>
      </x:c>
      <x:c r="C774" s="35" t="str">
        <x:v>QuantityProperty</x:v>
      </x:c>
      <x:c r="D774" s="35" t="str">
        <x:v>http://qudt.org/schema/qudt/QuantityValue</x:v>
      </x:c>
      <x:c r="E774" s="35" t="str"/>
      <x:c r="F774" s="35" t="str">
        <x:v>m</x:v>
      </x:c>
      <x:c r="G774" s="38" t="str">
        <x:v>TRF-062</x:v>
      </x:c>
      <x:c r="H774" s="35" t="str">
        <x:v>Benchmark-coined descriptive engineering term</x:v>
      </x:c>
      <x:c r="I774" s="35" t="str">
        <x:v>N5 - component or subject first, followed by characteristic and qualifier/state; no unsupported external mapping</x:v>
      </x:c>
      <x:c r="J774" s="35" t="str">
        <x:v>REUSE_R2_TERM</x:v>
      </x:c>
    </x:row>
    <x:row r="775">
      <x:c r="A775" s="35" t="str">
        <x:v>propellerCount</x:v>
      </x:c>
      <x:c r="B775" s="35" t="str">
        <x:v>https://w3id.org/nltl-benchmark/vocab#propellerCount</x:v>
      </x:c>
      <x:c r="C775" s="35" t="str">
        <x:v>DatatypeProperty</x:v>
      </x:c>
      <x:c r="D775" s="35" t="str">
        <x:v>http://www.w3.org/2001/XMLSchema#integer</x:v>
      </x:c>
      <x:c r="E775" s="35" t="str">
        <x:v>xsd:integer</x:v>
      </x:c>
      <x:c r="F775" s="35" t="str"/>
      <x:c r="G775" s="38" t="str">
        <x:v>TRF-063</x:v>
      </x:c>
      <x:c r="H775" s="35" t="str">
        <x:v>Benchmark-coined descriptive engineering term</x:v>
      </x:c>
      <x:c r="I775" s="35" t="str">
        <x:v>N5 - component or subject first, followed by characteristic and qualifier/state; no unsupported external mapping</x:v>
      </x:c>
      <x:c r="J775" s="35" t="str">
        <x:v>REUSE_R2_TERM</x:v>
      </x:c>
    </x:row>
    <x:row r="776">
      <x:c r="A776" s="35" t="str">
        <x:v>propellerDiameter</x:v>
      </x:c>
      <x:c r="B776" s="35" t="str">
        <x:v>https://w3id.org/nltl-benchmark/vocab#propellerDiameter</x:v>
      </x:c>
      <x:c r="C776" s="35" t="str">
        <x:v>QuantityProperty</x:v>
      </x:c>
      <x:c r="D776" s="35" t="str">
        <x:v>http://qudt.org/schema/qudt/QuantityValue</x:v>
      </x:c>
      <x:c r="E776" s="35" t="str"/>
      <x:c r="F776" s="35" t="str">
        <x:v>m</x:v>
      </x:c>
      <x:c r="G776" s="38" t="str">
        <x:v>TRF-020 | TRF-072 | TRF-085 | TRF-101</x:v>
      </x:c>
      <x:c r="H776" s="35" t="str">
        <x:v>Verified exact implementation term</x:v>
      </x:c>
      <x:c r="I776" s="35" t="str">
        <x:v>N1 - reuse only after exact URI and semantic-context verification</x:v>
      </x:c>
      <x:c r="J776" s="35" t="str">
        <x:v>REUSE_R2_TERM</x:v>
      </x:c>
    </x:row>
    <x:row r="777">
      <x:c r="A777" s="35" t="str">
        <x:v>propellerHighestPointSubmerged</x:v>
      </x:c>
      <x:c r="B777" s="35" t="str">
        <x:v>https://w3id.org/nltl-benchmark/vocab#propellerHighestPointSubmerged</x:v>
      </x:c>
      <x:c r="C777" s="35" t="str">
        <x:v>DatatypeProperty</x:v>
      </x:c>
      <x:c r="D777" s="35" t="str">
        <x:v>http://www.w3.org/2001/XMLSchema#boolean</x:v>
      </x:c>
      <x:c r="E777" s="35" t="str">
        <x:v>xsd:boolean</x:v>
      </x:c>
      <x:c r="F777" s="35" t="str"/>
      <x:c r="G777" s="38" t="str">
        <x:v>TRF-016</x:v>
      </x:c>
      <x:c r="H777" s="35" t="str">
        <x:v>Benchmark-coined descriptive engineering term</x:v>
      </x:c>
      <x:c r="I777" s="35" t="str">
        <x:v>N5 - component or subject first, followed by characteristic and qualifier/state; no unsupported external mapping</x:v>
      </x:c>
      <x:c r="J777" s="35" t="str">
        <x:v>REUSE_R2_TERM</x:v>
      </x:c>
    </x:row>
    <x:row r="778">
      <x:c r="A778" s="35" t="str">
        <x:v>propellerIceExcitation</x:v>
      </x:c>
      <x:c r="B778" s="35" t="str">
        <x:v>https://w3id.org/nltl-benchmark/vocab#propellerIceExcitation</x:v>
      </x:c>
      <x:c r="C778" s="35" t="str">
        <x:v>DatatypeProperty</x:v>
      </x:c>
      <x:c r="D778" s="35" t="str">
        <x:v>http://www.w3.org/2001/XMLSchema#string</x:v>
      </x:c>
      <x:c r="E778" s="35" t="str">
        <x:v>xsd:string</x:v>
      </x:c>
      <x:c r="F778" s="35" t="str"/>
      <x:c r="G778" s="38" t="str">
        <x:v>TRF-100</x:v>
      </x:c>
      <x:c r="H778" s="35" t="str">
        <x:v>Benchmark-coined descriptive engineering term</x:v>
      </x:c>
      <x:c r="I778" s="35" t="str">
        <x:v>N5 - component or subject first, followed by characteristic and qualifier/state; no unsupported external mapping</x:v>
      </x:c>
      <x:c r="J778" s="35" t="str">
        <x:v>REUSE_R2_TERM</x:v>
      </x:c>
    </x:row>
    <x:row r="779">
      <x:c r="A779" s="35" t="str">
        <x:v>propellerIceInteraction</x:v>
      </x:c>
      <x:c r="B779" s="35" t="str">
        <x:v>https://w3id.org/nltl-benchmark/vocab#propellerIceInteraction</x:v>
      </x:c>
      <x:c r="C779" s="35" t="str">
        <x:v>DatatypeProperty</x:v>
      </x:c>
      <x:c r="D779" s="35" t="str">
        <x:v>http://www.w3.org/2001/XMLSchema#string</x:v>
      </x:c>
      <x:c r="E779" s="35" t="str">
        <x:v>xsd:string</x:v>
      </x:c>
      <x:c r="F779" s="35" t="str"/>
      <x:c r="G779" s="38" t="str">
        <x:v>TRF-125</x:v>
      </x:c>
      <x:c r="H779" s="35" t="str">
        <x:v>Benchmark-coined descriptive engineering term</x:v>
      </x:c>
      <x:c r="I779" s="35" t="str">
        <x:v>N5 - component or subject first, followed by characteristic and qualifier/state; no unsupported external mapping</x:v>
      </x:c>
      <x:c r="J779" s="35" t="str">
        <x:v>REUSE_R2_TERM</x:v>
      </x:c>
    </x:row>
    <x:row r="780">
      <x:c r="A780" s="35" t="str">
        <x:v>propellerIceInteractionComponent</x:v>
      </x:c>
      <x:c r="B780" s="35" t="str">
        <x:v>https://w3id.org/nltl-benchmark/vocab#propellerIceInteractionComponent</x:v>
      </x:c>
      <x:c r="C780" s="35" t="str">
        <x:v>Class</x:v>
      </x:c>
      <x:c r="D780" s="35" t="str">
        <x:v>https://w3id.org/nltl-benchmark/vocab#machineryComponent</x:v>
      </x:c>
      <x:c r="E780" s="35" t="str"/>
      <x:c r="F780" s="35" t="str"/>
      <x:c r="G780" s="38" t="str">
        <x:v>TRF-080</x:v>
      </x:c>
      <x:c r="H780" s="35" t="str">
        <x:v>Benchmark-coined descriptive engineering term</x:v>
      </x:c>
      <x:c r="I780" s="35" t="str">
        <x:v>N5 - component or subject first, followed by characteristic and qualifier/state; no unsupported external mapping</x:v>
      </x:c>
      <x:c r="J780" s="35" t="str">
        <x:v>REUSE_R2_TERM</x:v>
      </x:c>
    </x:row>
    <x:row r="781">
      <x:c r="A781" s="35" t="str">
        <x:v>propellerIceInteractionLoad</x:v>
      </x:c>
      <x:c r="B781" s="35" t="str">
        <x:v>https://w3id.org/nltl-benchmark/vocab#propellerIceInteractionLoad</x:v>
      </x:c>
      <x:c r="C781" s="35" t="str">
        <x:v>QuantityProperty</x:v>
      </x:c>
      <x:c r="D781" s="35" t="str">
        <x:v>http://qudt.org/schema/qudt/QuantityValue</x:v>
      </x:c>
      <x:c r="E781" s="35" t="str"/>
      <x:c r="F781" s="35" t="str">
        <x:v>kN</x:v>
      </x:c>
      <x:c r="G781" s="38" t="str">
        <x:v>TRF-070</x:v>
      </x:c>
      <x:c r="H781" s="35" t="str">
        <x:v>Benchmark-coined descriptive engineering term</x:v>
      </x:c>
      <x:c r="I781" s="35" t="str">
        <x:v>N5 - component or subject first, followed by characteristic and qualifier/state; no unsupported external mapping</x:v>
      </x:c>
      <x:c r="J781" s="35" t="str">
        <x:v>REUSE_R2_TERM</x:v>
      </x:c>
    </x:row>
    <x:row r="782">
      <x:c r="A782" s="35" t="str">
        <x:v>propellerIceInteractionLoadCase</x:v>
      </x:c>
      <x:c r="B782" s="35" t="str">
        <x:v>https://w3id.org/nltl-benchmark/vocab#propellerIceInteractionLoadCase</x:v>
      </x:c>
      <x:c r="C782" s="35" t="str">
        <x:v>DatatypeProperty</x:v>
      </x:c>
      <x:c r="D782" s="35" t="str">
        <x:v>http://www.w3.org/2001/XMLSchema#string</x:v>
      </x:c>
      <x:c r="E782" s="35" t="str">
        <x:v>xsd:string</x:v>
      </x:c>
      <x:c r="F782" s="35" t="str"/>
      <x:c r="G782" s="38" t="str">
        <x:v>TRF-092</x:v>
      </x:c>
      <x:c r="H782" s="35" t="str">
        <x:v>Benchmark-coined descriptive engineering term</x:v>
      </x:c>
      <x:c r="I782" s="35" t="str">
        <x:v>N5 - component or subject first, followed by characteristic and qualifier/state; no unsupported external mapping</x:v>
      </x:c>
      <x:c r="J782" s="35" t="str">
        <x:v>REUSE_R2_TERM</x:v>
      </x:c>
    </x:row>
    <x:row r="783">
      <x:c r="A783" s="35" t="str">
        <x:v>propellerIceMillingLoadSequence</x:v>
      </x:c>
      <x:c r="B783" s="35" t="str">
        <x:v>https://w3id.org/nltl-benchmark/vocab#propellerIceMillingLoadSequence</x:v>
      </x:c>
      <x:c r="C783" s="35" t="str">
        <x:v>DatatypeProperty</x:v>
      </x:c>
      <x:c r="D783" s="35" t="str">
        <x:v>http://www.w3.org/2001/XMLSchema#string</x:v>
      </x:c>
      <x:c r="E783" s="35" t="str">
        <x:v>xsd:string</x:v>
      </x:c>
      <x:c r="F783" s="35" t="str"/>
      <x:c r="G783" s="38" t="str">
        <x:v>TRF-091</x:v>
      </x:c>
      <x:c r="H783" s="35" t="str">
        <x:v>Benchmark-coined descriptive engineering term</x:v>
      </x:c>
      <x:c r="I783" s="35" t="str">
        <x:v>N5 - component or subject first, followed by characteristic and qualifier/state; no unsupported external mapping</x:v>
      </x:c>
      <x:c r="J783" s="35" t="str">
        <x:v>REUSE_R2_TERM</x:v>
      </x:c>
    </x:row>
    <x:row r="784">
      <x:c r="A784" s="35" t="str">
        <x:v>propellerPitchAtMcrBollard</x:v>
      </x:c>
      <x:c r="B784" s="35" t="str">
        <x:v>https://w3id.org/nltl-benchmark/vocab#propellerPitchAtMcrBollard</x:v>
      </x:c>
      <x:c r="C784" s="35" t="str">
        <x:v>QuantityProperty</x:v>
      </x:c>
      <x:c r="D784" s="35" t="str">
        <x:v>http://qudt.org/schema/qudt/QuantityValue</x:v>
      </x:c>
      <x:c r="E784" s="35" t="str"/>
      <x:c r="F784" s="35" t="str">
        <x:v>m</x:v>
      </x:c>
      <x:c r="G784" s="38" t="str">
        <x:v>TRF-084 | TRF-086</x:v>
      </x:c>
      <x:c r="H784" s="35" t="str">
        <x:v>Benchmark-coined descriptive engineering term</x:v>
      </x:c>
      <x:c r="I784" s="35" t="str">
        <x:v>N5 - component or subject first, followed by characteristic and qualifier/state; no unsupported external mapping</x:v>
      </x:c>
      <x:c r="J784" s="35" t="str">
        <x:v>REUSE_R2_TERM</x:v>
      </x:c>
    </x:row>
    <x:row r="785">
      <x:c r="A785" s="35" t="str">
        <x:v>propellerPitchAtMcrFreeRunning</x:v>
      </x:c>
      <x:c r="B785" s="35" t="str">
        <x:v>https://w3id.org/nltl-benchmark/vocab#propellerPitchAtMcrFreeRunning</x:v>
      </x:c>
      <x:c r="C785" s="35" t="str">
        <x:v>QuantityProperty</x:v>
      </x:c>
      <x:c r="D785" s="35" t="str">
        <x:v>http://qudt.org/schema/qudt/QuantityValue</x:v>
      </x:c>
      <x:c r="E785" s="35" t="str"/>
      <x:c r="F785" s="35" t="str">
        <x:v>m</x:v>
      </x:c>
      <x:c r="G785" s="38" t="str">
        <x:v>TRF-084 | TRF-086</x:v>
      </x:c>
      <x:c r="H785" s="35" t="str">
        <x:v>Benchmark-coined descriptive engineering term</x:v>
      </x:c>
      <x:c r="I785" s="35" t="str">
        <x:v>N5 - component or subject first, followed by characteristic and qualifier/state; no unsupported external mapping</x:v>
      </x:c>
      <x:c r="J785" s="35" t="str">
        <x:v>REUSE_R2_TERM</x:v>
      </x:c>
    </x:row>
    <x:row r="786">
      <x:c r="A786" s="35" t="str">
        <x:v>propellerPitchControlType</x:v>
      </x:c>
      <x:c r="B786" s="35" t="str">
        <x:v>https://w3id.org/nltl-benchmark/vocab#propellerPitchControlType</x:v>
      </x:c>
      <x:c r="C786" s="35" t="str">
        <x:v>ObjectProperty</x:v>
      </x:c>
      <x:c r="D786" s="35" t="str">
        <x:v>https://w3id.org/nltl-benchmark/vocab#propellerPitchControlTypeValue</x:v>
      </x:c>
      <x:c r="E786" s="35" t="str"/>
      <x:c r="F786" s="35" t="str"/>
      <x:c r="G786" s="38" t="str">
        <x:v>TRF-020</x:v>
      </x:c>
      <x:c r="H786" s="35" t="str">
        <x:v>Applicable TRAFICOM regulation wording plus explicit engineering node/operand role</x:v>
      </x:c>
      <x:c r="I786" s="35" t="str">
        <x:v>N5 - ASCII lowerCamelCase relationship; use has + object role when it improves direction clarity.</x:v>
      </x:c>
      <x:c r="J786" s="35" t="str">
        <x:v>ADD_DEVELOPMENT_TERM</x:v>
      </x:c>
    </x:row>
    <x:row r="787">
      <x:c r="A787" s="35" t="str">
        <x:v>propellerPitchControlTypeValue</x:v>
      </x:c>
      <x:c r="B787" s="35" t="str">
        <x:v>https://w3id.org/nltl-benchmark/vocab#propellerPitchControlTypeValue</x:v>
      </x:c>
      <x:c r="C787" s="35" t="str">
        <x:v>Class</x:v>
      </x:c>
      <x:c r="D787" s="35" t="str">
        <x:v>https://w3id.org/nltl-benchmark/vocab#benchmarkEntity</x:v>
      </x:c>
      <x:c r="E787" s="35" t="str"/>
      <x:c r="F787" s="35" t="str"/>
      <x:c r="G787" s="38" t="str">
        <x:v>TRF-020</x:v>
      </x:c>
      <x:c r="H787" s="35" t="str">
        <x:v>Applicable TRAFICOM regulation wording plus explicit engineering node/operand role</x:v>
      </x:c>
      <x:c r="I787" s="35" t="str">
        <x:v>N4 - singular ASCII lowerCamelCase entity name derived from the linked regulatory role.</x:v>
      </x:c>
      <x:c r="J787" s="35" t="str">
        <x:v>ADD_DEVELOPMENT_TERM</x:v>
      </x:c>
    </x:row>
    <x:row r="788">
      <x:c r="A788" s="35" t="str">
        <x:v>propellerPowerFraction</x:v>
      </x:c>
      <x:c r="B788" s="35" t="str">
        <x:v>https://w3id.org/nltl-benchmark/vocab#propellerPowerFraction</x:v>
      </x:c>
      <x:c r="C788" s="35" t="str">
        <x:v>QuantityProperty</x:v>
      </x:c>
      <x:c r="D788" s="35" t="str">
        <x:v>http://qudt.org/schema/qudt/QuantityValue</x:v>
      </x:c>
      <x:c r="E788" s="35" t="str"/>
      <x:c r="F788" s="35" t="str">
        <x:v>1</x:v>
      </x:c>
      <x:c r="G788" s="38" t="str">
        <x:v>TRF-119</x:v>
      </x:c>
      <x:c r="H788" s="35" t="str">
        <x:v>Benchmark-coined descriptive engineering term</x:v>
      </x:c>
      <x:c r="I788" s="35" t="str">
        <x:v>N5 - component or subject first, followed by characteristic and qualifier/state; no unsupported external mapping</x:v>
      </x:c>
      <x:c r="J788" s="35" t="str">
        <x:v>REUSE_R2_TERM</x:v>
      </x:c>
    </x:row>
    <x:row r="789">
      <x:c r="A789" s="35" t="str">
        <x:v>propellerReversingCapability</x:v>
      </x:c>
      <x:c r="B789" s="35" t="str">
        <x:v>https://w3id.org/nltl-benchmark/vocab#propellerReversingCapability</x:v>
      </x:c>
      <x:c r="C789" s="35" t="str">
        <x:v>DatatypeProperty</x:v>
      </x:c>
      <x:c r="D789" s="35" t="str">
        <x:v>http://www.w3.org/2001/XMLSchema#boolean</x:v>
      </x:c>
      <x:c r="E789" s="35" t="str">
        <x:v>xsd:boolean</x:v>
      </x:c>
      <x:c r="F789" s="35" t="str"/>
      <x:c r="G789" s="38" t="str">
        <x:v>TRF-076</x:v>
      </x:c>
      <x:c r="H789" s="35" t="str">
        <x:v>Benchmark-coined descriptive engineering term</x:v>
      </x:c>
      <x:c r="I789" s="35" t="str">
        <x:v>N5 - component or subject first, followed by characteristic and qualifier/state; no unsupported external mapping</x:v>
      </x:c>
      <x:c r="J789" s="35" t="str">
        <x:v>REUSE_R2_TERM</x:v>
      </x:c>
    </x:row>
    <x:row r="790">
      <x:c r="A790" s="35" t="str">
        <x:v>propellerRotationalSpeedAtMaximumContinuousRatingBollard</x:v>
      </x:c>
      <x:c r="B790" s="35" t="str">
        <x:v>https://w3id.org/nltl-benchmark/vocab#propellerRotationalSpeedAtMaximumContinuousRatingBollard</x:v>
      </x:c>
      <x:c r="C790" s="35" t="str">
        <x:v>QuantityProperty</x:v>
      </x:c>
      <x:c r="D790" s="35" t="str">
        <x:v>http://qudt.org/schema/qudt/QuantityValue</x:v>
      </x:c>
      <x:c r="E790" s="35" t="str"/>
      <x:c r="F790" s="35" t="str">
        <x:v>rev/min</x:v>
      </x:c>
      <x:c r="G790" s="38" t="str">
        <x:v>TRF-083 | TRF-085</x:v>
      </x:c>
      <x:c r="H790" s="35" t="str">
        <x:v>Benchmark-coined descriptive engineering term</x:v>
      </x:c>
      <x:c r="I790" s="35" t="str">
        <x:v>N5 - component or subject first, followed by characteristic and qualifier/state; no unsupported external mapping</x:v>
      </x:c>
      <x:c r="J790" s="35" t="str">
        <x:v>REUSE_R2_TERM</x:v>
      </x:c>
    </x:row>
    <x:row r="791">
      <x:c r="A791" s="35" t="str">
        <x:v>propellerShaftDesignThrust</x:v>
      </x:c>
      <x:c r="B791" s="35" t="str">
        <x:v>https://w3id.org/nltl-benchmark/vocab#propellerShaftDesignThrust</x:v>
      </x:c>
      <x:c r="C791" s="35" t="str">
        <x:v>QuantityProperty</x:v>
      </x:c>
      <x:c r="D791" s="35" t="str">
        <x:v>http://qudt.org/schema/qudt/QuantityValue</x:v>
      </x:c>
      <x:c r="E791" s="35" t="str"/>
      <x:c r="F791" s="35" t="str">
        <x:v>kN</x:v>
      </x:c>
      <x:c r="G791" s="38" t="str">
        <x:v>TRF-081</x:v>
      </x:c>
      <x:c r="H791" s="35" t="str">
        <x:v>Unit-stripped normalized regulatory variable</x:v>
      </x:c>
      <x:c r="I791" s="35" t="str">
        <x:v>N3 - remove unit from the identifier and retain it in unit/quantity metadata</x:v>
      </x:c>
      <x:c r="J791" s="35" t="str">
        <x:v>REUSE_R2_TERM</x:v>
      </x:c>
    </x:row>
    <x:row r="792">
      <x:c r="A792" s="35" t="str">
        <x:v>propellerType</x:v>
      </x:c>
      <x:c r="B792" s="35" t="str">
        <x:v>https://w3id.org/nltl-benchmark/vocab#propellerType</x:v>
      </x:c>
      <x:c r="C792" s="35" t="str">
        <x:v>DatatypeProperty</x:v>
      </x:c>
      <x:c r="D792" s="35" t="str">
        <x:v>http://www.w3.org/2001/XMLSchema#string</x:v>
      </x:c>
      <x:c r="E792" s="35" t="str">
        <x:v>xsd:string</x:v>
      </x:c>
      <x:c r="F792" s="35" t="str"/>
      <x:c r="G792" s="38" t="str">
        <x:v>TRF-069 | TRF-076 | TRF-077 | TRF-084 | TRF-086</x:v>
      </x:c>
      <x:c r="H792" s="35" t="str">
        <x:v>Verified exact implementation term</x:v>
      </x:c>
      <x:c r="I792" s="35" t="str">
        <x:v>N1 - reuse only after exact URI and semantic-context verification</x:v>
      </x:c>
      <x:c r="J792" s="35" t="str">
        <x:v>REUSE_R2_TERM</x:v>
      </x:c>
    </x:row>
    <x:row r="793">
      <x:c r="A793" s="35" t="str">
        <x:v>propulsionEngineReversedForAstern</x:v>
      </x:c>
      <x:c r="B793" s="35" t="str">
        <x:v>https://w3id.org/nltl-benchmark/vocab#propulsionEngineReversedForAstern</x:v>
      </x:c>
      <x:c r="C793" s="35" t="str">
        <x:v>DatatypeProperty</x:v>
      </x:c>
      <x:c r="D793" s="35" t="str">
        <x:v>http://www.w3.org/2001/XMLSchema#boolean</x:v>
      </x:c>
      <x:c r="E793" s="35" t="str">
        <x:v>xsd:boolean</x:v>
      </x:c>
      <x:c r="F793" s="35" t="str"/>
      <x:c r="G793" s="38" t="str">
        <x:v>TRF-126</x:v>
      </x:c>
      <x:c r="H793" s="35" t="str">
        <x:v>Benchmark-coined descriptive engineering term</x:v>
      </x:c>
      <x:c r="I793" s="35" t="str">
        <x:v>N5 - component or subject first, followed by characteristic and qualifier/state; no unsupported external mapping</x:v>
      </x:c>
      <x:c r="J793" s="35" t="str">
        <x:v>REUSE_R2_TERM</x:v>
      </x:c>
    </x:row>
    <x:row r="794">
      <x:c r="A794" s="35" t="str">
        <x:v>propulsionLineStrengthEvaluation</x:v>
      </x:c>
      <x:c r="B794" s="35" t="str">
        <x:v>https://w3id.org/nltl-benchmark/vocab#propulsionLineStrengthEvaluation</x:v>
      </x:c>
      <x:c r="C794" s="35" t="str">
        <x:v>DatatypeProperty</x:v>
      </x:c>
      <x:c r="D794" s="35" t="str">
        <x:v>http://www.w3.org/2001/XMLSchema#string</x:v>
      </x:c>
      <x:c r="E794" s="35" t="str">
        <x:v>xsd:string</x:v>
      </x:c>
      <x:c r="F794" s="35" t="str"/>
      <x:c r="G794" s="38" t="str">
        <x:v>TRF-091</x:v>
      </x:c>
      <x:c r="H794" s="35" t="str">
        <x:v>Benchmark-coined descriptive engineering term</x:v>
      </x:c>
      <x:c r="I794" s="35" t="str">
        <x:v>N5 - component or subject first, followed by characteristic and qualifier/state; no unsupported external mapping</x:v>
      </x:c>
      <x:c r="J794" s="35" t="str">
        <x:v>REUSE_R2_TERM</x:v>
      </x:c>
    </x:row>
    <x:row r="795">
      <x:c r="A795" s="35" t="str">
        <x:v>propulsionMachineryContinuousOutput</x:v>
      </x:c>
      <x:c r="B795" s="35" t="str">
        <x:v>https://w3id.org/nltl-benchmark/vocab#propulsionMachineryContinuousOutput</x:v>
      </x:c>
      <x:c r="C795" s="35" t="str">
        <x:v>QuantityProperty</x:v>
      </x:c>
      <x:c r="D795" s="35" t="str">
        <x:v>http://qudt.org/schema/qudt/QuantityValue</x:v>
      </x:c>
      <x:c r="E795" s="35" t="str"/>
      <x:c r="F795" s="35" t="str">
        <x:v>kW</x:v>
      </x:c>
      <x:c r="G795" s="38" t="str">
        <x:v>TRF-017</x:v>
      </x:c>
      <x:c r="H795" s="35" t="str">
        <x:v>Applicable TRAFICOM regulation wording plus explicit engineering node/operand role</x:v>
      </x:c>
      <x:c r="I795" s="35" t="str">
        <x:v>N4 - explicit engineering quantity in ASCII lowerCamelCase; formula symbols remain aliases only.</x:v>
      </x:c>
      <x:c r="J795" s="35" t="str">
        <x:v>ADD_DEVELOPMENT_TERM</x:v>
      </x:c>
    </x:row>
    <x:row r="796">
      <x:c r="A796" s="35" t="str">
        <x:v>propulsionOutputRestrictionApplies</x:v>
      </x:c>
      <x:c r="B796" s="35" t="str">
        <x:v>https://w3id.org/nltl-benchmark/vocab#propulsionOutputRestrictionApplies</x:v>
      </x:c>
      <x:c r="C796" s="35" t="str">
        <x:v>DatatypeProperty</x:v>
      </x:c>
      <x:c r="D796" s="35" t="str">
        <x:v>http://www.w3.org/2001/XMLSchema#boolean</x:v>
      </x:c>
      <x:c r="E796" s="35" t="str">
        <x:v>xsd:boolean</x:v>
      </x:c>
      <x:c r="F796" s="35" t="str"/>
      <x:c r="G796" s="38" t="str">
        <x:v>TRF-017</x:v>
      </x:c>
      <x:c r="H796" s="35" t="str">
        <x:v>Applicable TRAFICOM regulation wording plus explicit engineering node/operand role</x:v>
      </x:c>
      <x:c r="I796" s="35" t="str">
        <x:v>N4 - explicit regulatory concept in ASCII lowerCamelCase with an XSD datatype.</x:v>
      </x:c>
      <x:c r="J796" s="35" t="str">
        <x:v>ADD_DEVELOPMENT_TERM</x:v>
      </x:c>
    </x:row>
    <x:row r="797">
      <x:c r="A797" s="35" t="str">
        <x:v>propulsionSystemType</x:v>
      </x:c>
      <x:c r="B797" s="35" t="str">
        <x:v>https://w3id.org/nltl-benchmark/vocab#propulsionSystemType</x:v>
      </x:c>
      <x:c r="C797" s="35" t="str">
        <x:v>ObjectProperty</x:v>
      </x:c>
      <x:c r="D797" s="35" t="str">
        <x:v>https://w3id.org/nltl-benchmark/vocab#propulsionSystemTypeValue</x:v>
      </x:c>
      <x:c r="E797" s="35" t="str"/>
      <x:c r="F797" s="35" t="str"/>
      <x:c r="G797" s="38" t="str">
        <x:v>TRF-020</x:v>
      </x:c>
      <x:c r="H797" s="35" t="str">
        <x:v>Applicable TRAFICOM regulation wording plus explicit engineering node/operand role</x:v>
      </x:c>
      <x:c r="I797" s="35" t="str">
        <x:v>N5 - ASCII lowerCamelCase relationship; use has + object role when it improves direction clarity.</x:v>
      </x:c>
      <x:c r="J797" s="35" t="str">
        <x:v>ADD_DEVELOPMENT_TERM</x:v>
      </x:c>
    </x:row>
    <x:row r="798">
      <x:c r="A798" s="35" t="str">
        <x:v>propulsionSystemTypeValue</x:v>
      </x:c>
      <x:c r="B798" s="35" t="str">
        <x:v>https://w3id.org/nltl-benchmark/vocab#propulsionSystemTypeValue</x:v>
      </x:c>
      <x:c r="C798" s="35" t="str">
        <x:v>Class</x:v>
      </x:c>
      <x:c r="D798" s="35" t="str">
        <x:v>https://w3id.org/nltl-benchmark/vocab#benchmarkEntity</x:v>
      </x:c>
      <x:c r="E798" s="35" t="str"/>
      <x:c r="F798" s="35" t="str"/>
      <x:c r="G798" s="38" t="str">
        <x:v>TRF-020</x:v>
      </x:c>
      <x:c r="H798" s="35" t="str">
        <x:v>Applicable TRAFICOM regulation wording plus explicit engineering node/operand role</x:v>
      </x:c>
      <x:c r="I798" s="35" t="str">
        <x:v>N4 - singular ASCII lowerCamelCase entity name derived from the linked regulatory role.</x:v>
      </x:c>
      <x:c r="J798" s="35" t="str">
        <x:v>ADD_DEVELOPMENT_TERM</x:v>
      </x:c>
    </x:row>
    <x:row r="799">
      <x:c r="A799" s="35" t="str">
        <x:v>protectedLocationOrEquipment</x:v>
      </x:c>
      <x:c r="B799" s="35" t="str">
        <x:v>https://w3id.org/nltl-benchmark/vocab#protectedLocationOrEquipment</x:v>
      </x:c>
      <x:c r="C799" s="35" t="str">
        <x:v>DatatypeProperty</x:v>
      </x:c>
      <x:c r="D799" s="35" t="str">
        <x:v>http://www.w3.org/2001/XMLSchema#string</x:v>
      </x:c>
      <x:c r="E799" s="35" t="str">
        <x:v>xsd:string</x:v>
      </x:c>
      <x:c r="F799" s="35" t="str"/>
      <x:c r="G799" s="38" t="str">
        <x:v>IMO-066</x:v>
      </x:c>
      <x:c r="H799" s="35" t="str">
        <x:v>Locked-workbook normalized regulatory term</x:v>
      </x:c>
      <x:c r="I799" s="35" t="str">
        <x:v>N4 - preserve the source concept; normalize spelling to ASCII lowerCamelCase</x:v>
      </x:c>
      <x:c r="J799" s="35" t="str">
        <x:v>REUSE_R2_TERM</x:v>
      </x:c>
    </x:row>
    <x:row r="800">
      <x:c r="A800" s="35" t="str">
        <x:v>pstAvailabilityEffectivenessTestTemperature</x:v>
      </x:c>
      <x:c r="B800" s="35" t="str">
        <x:v>https://w3id.org/nltl-benchmark/vocab#pstAvailabilityEffectivenessTestTemperature</x:v>
      </x:c>
      <x:c r="C800" s="35" t="str">
        <x:v>QuantityProperty</x:v>
      </x:c>
      <x:c r="D800" s="35" t="str">
        <x:v>http://qudt.org/schema/qudt/QuantityValue</x:v>
      </x:c>
      <x:c r="E800" s="35" t="str"/>
      <x:c r="F800" s="35" t="str">
        <x:v>deg C</x:v>
      </x:c>
      <x:c r="G800" s="38" t="str">
        <x:v>IMO-054</x:v>
      </x:c>
      <x:c r="H800" s="35" t="str">
        <x:v>Unit-stripped normalized regulatory variable</x:v>
      </x:c>
      <x:c r="I800" s="35" t="str">
        <x:v>N3 - remove unit from the identifier and retain it in unit/quantity metadata</x:v>
      </x:c>
      <x:c r="J800" s="35" t="str">
        <x:v>REUSE_R2_TERM</x:v>
      </x:c>
    </x:row>
    <x:row r="801">
      <x:c r="A801" s="35" t="str">
        <x:v>pstTestStatus</x:v>
      </x:c>
      <x:c r="B801" s="35" t="str">
        <x:v>https://w3id.org/nltl-benchmark/vocab#pstTestStatus</x:v>
      </x:c>
      <x:c r="C801" s="35" t="str">
        <x:v>DatatypeProperty</x:v>
      </x:c>
      <x:c r="D801" s="35" t="str">
        <x:v>http://www.w3.org/2001/XMLSchema#boolean</x:v>
      </x:c>
      <x:c r="E801" s="35" t="str">
        <x:v>xsd:boolean</x:v>
      </x:c>
      <x:c r="F801" s="35" t="str"/>
      <x:c r="G801" s="38" t="str">
        <x:v>IMO-054</x:v>
      </x:c>
      <x:c r="H801" s="35" t="str">
        <x:v>Locked-workbook normalized regulatory term</x:v>
      </x:c>
      <x:c r="I801" s="35" t="str">
        <x:v>N4 - preserve the source concept; normalize spelling to ASCII lowerCamelCase</x:v>
      </x:c>
      <x:c r="J801" s="35" t="str">
        <x:v>REUSE_R2_TERM</x:v>
      </x:c>
    </x:row>
    <x:row r="802">
      <x:c r="A802" s="35" t="str">
        <x:v>pyramidStrengthPrinciple</x:v>
      </x:c>
      <x:c r="B802" s="35" t="str">
        <x:v>https://w3id.org/nltl-benchmark/vocab#pyramidStrengthPrinciple</x:v>
      </x:c>
      <x:c r="C802" s="35" t="str">
        <x:v>DatatypeProperty</x:v>
      </x:c>
      <x:c r="D802" s="35" t="str">
        <x:v>http://www.w3.org/2001/XMLSchema#string</x:v>
      </x:c>
      <x:c r="E802" s="35" t="str">
        <x:v>xsd:string</x:v>
      </x:c>
      <x:c r="F802" s="35" t="str"/>
      <x:c r="G802" s="38" t="str">
        <x:v>TRF-104</x:v>
      </x:c>
      <x:c r="H802" s="35" t="str">
        <x:v>Benchmark-coined descriptive engineering term</x:v>
      </x:c>
      <x:c r="I802" s="35" t="str">
        <x:v>N5 - component or subject first, followed by characteristic and qualifier/state; no unsupported external mapping</x:v>
      </x:c>
      <x:c r="J802" s="35" t="str">
        <x:v>REUSE_R2_TERM</x:v>
      </x:c>
    </x:row>
    <x:row r="803">
      <x:c r="A803" s="35" t="str">
        <x:v>qualifyingSurveyType</x:v>
      </x:c>
      <x:c r="B803" s="35" t="str">
        <x:v>https://w3id.org/nltl-benchmark/vocab#qualifyingSurveyType</x:v>
      </x:c>
      <x:c r="C803" s="35" t="str">
        <x:v>DatatypeProperty</x:v>
      </x:c>
      <x:c r="D803" s="35" t="str">
        <x:v>http://www.w3.org/2001/XMLSchema#string</x:v>
      </x:c>
      <x:c r="E803" s="35" t="str">
        <x:v>xsd:string</x:v>
      </x:c>
      <x:c r="F803" s="35" t="str"/>
      <x:c r="G803" s="38" t="str">
        <x:v>IMO-015</x:v>
      </x:c>
      <x:c r="H803" s="35" t="str">
        <x:v>Locked-workbook normalized regulatory term</x:v>
      </x:c>
      <x:c r="I803" s="35" t="str">
        <x:v>N4 - preserve the source concept; normalize spelling to ASCII lowerCamelCase</x:v>
      </x:c>
      <x:c r="J803" s="35" t="str">
        <x:v>REUSE_R2_TERM</x:v>
      </x:c>
    </x:row>
    <x:row r="804">
      <x:c r="A804" s="35" t="str">
        <x:v>reachesTankTopOrBelowFloorTop</x:v>
      </x:c>
      <x:c r="B804" s="35" t="str">
        <x:v>https://w3id.org/nltl-benchmark/vocab#reachesTankTopOrBelowFloorTop</x:v>
      </x:c>
      <x:c r="C804" s="35" t="str">
        <x:v>DatatypeProperty</x:v>
      </x:c>
      <x:c r="D804" s="35" t="str">
        <x:v>http://www.w3.org/2001/XMLSchema#boolean</x:v>
      </x:c>
      <x:c r="E804" s="35" t="str">
        <x:v>xsd:boolean</x:v>
      </x:c>
      <x:c r="F804" s="35" t="str"/>
      <x:c r="G804" s="38" t="str">
        <x:v>TRF-043</x:v>
      </x:c>
      <x:c r="H804" s="35" t="str">
        <x:v>Applicable TRAFICOM regulation wording plus explicit engineering node/operand role</x:v>
      </x:c>
      <x:c r="I804" s="35" t="str">
        <x:v>N4 - explicit regulatory concept in ASCII lowerCamelCase with an XSD datatype.</x:v>
      </x:c>
      <x:c r="J804" s="35" t="str">
        <x:v>ADD_DEVELOPMENT_TERM</x:v>
      </x:c>
    </x:row>
    <x:row r="805">
      <x:c r="A805" s="35" t="str">
        <x:v>reachesUpperBowIceBeltTop</x:v>
      </x:c>
      <x:c r="B805" s="35" t="str">
        <x:v>https://w3id.org/nltl-benchmark/vocab#reachesUpperBowIceBeltTop</x:v>
      </x:c>
      <x:c r="C805" s="35" t="str">
        <x:v>DatatypeProperty</x:v>
      </x:c>
      <x:c r="D805" s="35" t="str">
        <x:v>http://www.w3.org/2001/XMLSchema#boolean</x:v>
      </x:c>
      <x:c r="E805" s="35" t="str">
        <x:v>xsd:boolean</x:v>
      </x:c>
      <x:c r="F805" s="35" t="str"/>
      <x:c r="G805" s="38" t="str">
        <x:v>TRF-043</x:v>
      </x:c>
      <x:c r="H805" s="35" t="str">
        <x:v>Applicable TRAFICOM regulation wording plus explicit engineering node/operand role</x:v>
      </x:c>
      <x:c r="I805" s="35" t="str">
        <x:v>N4 - explicit regulatory concept in ASCII lowerCamelCase with an XSD datatype.</x:v>
      </x:c>
      <x:c r="J805" s="35" t="str">
        <x:v>ADD_DEVELOPMENT_TERM</x:v>
      </x:c>
    </x:row>
    <x:row r="806">
      <x:c r="A806" s="35" t="str">
        <x:v>readilyAvailableToMaster</x:v>
      </x:c>
      <x:c r="B806" s="35" t="str">
        <x:v>https://w3id.org/nltl-benchmark/vocab#readilyAvailableToMaster</x:v>
      </x:c>
      <x:c r="C806" s="35" t="str">
        <x:v>DatatypeProperty</x:v>
      </x:c>
      <x:c r="D806" s="35" t="str">
        <x:v>http://www.w3.org/2001/XMLSchema#boolean</x:v>
      </x:c>
      <x:c r="E806" s="35" t="str">
        <x:v>xsd:boolean</x:v>
      </x:c>
      <x:c r="F806" s="35" t="str"/>
      <x:c r="G806" s="38" t="str">
        <x:v>TRF-014</x:v>
      </x:c>
      <x:c r="H806" s="35" t="str">
        <x:v>Applicable TRAFICOM regulation wording plus explicit engineering node/operand role</x:v>
      </x:c>
      <x:c r="I806" s="35" t="str">
        <x:v>N4 - explicit regulatory concept in ASCII lowerCamelCase with an XSD datatype.</x:v>
      </x:c>
      <x:c r="J806" s="35" t="str">
        <x:v>ADD_DEVELOPMENT_TERM</x:v>
      </x:c>
    </x:row>
    <x:row r="807">
      <x:c r="A807" s="35" t="str">
        <x:v>recommendedChestVolume</x:v>
      </x:c>
      <x:c r="B807" s="35" t="str">
        <x:v>https://w3id.org/nltl-benchmark/vocab#recommendedChestVolume</x:v>
      </x:c>
      <x:c r="C807" s="35" t="str">
        <x:v>QuantityProperty</x:v>
      </x:c>
      <x:c r="D807" s="35" t="str">
        <x:v>http://qudt.org/schema/qudt/QuantityValue</x:v>
      </x:c>
      <x:c r="E807" s="35" t="str"/>
      <x:c r="F807" s="35" t="str">
        <x:v>m^3</x:v>
      </x:c>
      <x:c r="G807" s="38" t="str">
        <x:v>TRF-130</x:v>
      </x:c>
      <x:c r="H807" s="35" t="str">
        <x:v>Unit-stripped normalized regulatory variable</x:v>
      </x:c>
      <x:c r="I807" s="35" t="str">
        <x:v>N3 - remove unit from the identifier and retain it in unit/quantity metadata</x:v>
      </x:c>
      <x:c r="J807" s="35" t="str">
        <x:v>REUSE_R2_TERM</x:v>
      </x:c>
    </x:row>
    <x:row r="808">
      <x:c r="A808" s="35" t="str">
        <x:v>reducedBladeFatigueStrength</x:v>
      </x:c>
      <x:c r="B808" s="35" t="str">
        <x:v>https://w3id.org/nltl-benchmark/vocab#reducedBladeFatigueStrength</x:v>
      </x:c>
      <x:c r="C808" s="35" t="str">
        <x:v>QuantityProperty</x:v>
      </x:c>
      <x:c r="D808" s="35" t="str">
        <x:v>http://qudt.org/schema/qudt/QuantityValue</x:v>
      </x:c>
      <x:c r="E808" s="35" t="str"/>
      <x:c r="F808" s="35" t="str">
        <x:v>MPa</x:v>
      </x:c>
      <x:c r="G808" s="38" t="str">
        <x:v>TRF-110</x:v>
      </x:c>
      <x:c r="H808" s="35" t="str">
        <x:v>Regulatory symbol expanded from a directly verified definition</x:v>
      </x:c>
      <x:c r="I808" s="35" t="str">
        <x:v>N2 - replace formula symbol with its clause-defined engineering meaning; preserve symbol as alias</x:v>
      </x:c>
      <x:c r="J808" s="35" t="str">
        <x:v>REUSE_R2_TERM</x:v>
      </x:c>
    </x:row>
    <x:row r="809">
      <x:c r="A809" s="35" t="str">
        <x:v>reducedLineLoadApprovedByClassificationSociety</x:v>
      </x:c>
      <x:c r="B809" s="35" t="str">
        <x:v>https://w3id.org/nltl-benchmark/vocab#reducedLineLoadApprovedByClassificationSociety</x:v>
      </x:c>
      <x:c r="C809" s="35" t="str">
        <x:v>DatatypeProperty</x:v>
      </x:c>
      <x:c r="D809" s="35" t="str">
        <x:v>http://www.w3.org/2001/XMLSchema#boolean</x:v>
      </x:c>
      <x:c r="E809" s="35" t="str">
        <x:v>xsd:boolean</x:v>
      </x:c>
      <x:c r="F809" s="35" t="str"/>
      <x:c r="G809" s="38" t="str">
        <x:v>TRF-055</x:v>
      </x:c>
      <x:c r="H809" s="35" t="str">
        <x:v>Applicable TRAFICOM regulation wording plus explicit engineering node/operand role</x:v>
      </x:c>
      <x:c r="I809" s="35" t="str">
        <x:v>N4 - explicit regulatory concept in ASCII lowerCamelCase with an XSD datatype.</x:v>
      </x:c>
      <x:c r="J809" s="35" t="str">
        <x:v>ADD_DEVELOPMENT_TERM</x:v>
      </x:c>
    </x:row>
    <x:row r="810">
      <x:c r="A810" s="35" t="str">
        <x:v>regulationDerivedScantling</x:v>
      </x:c>
      <x:c r="B810" s="35" t="str">
        <x:v>https://w3id.org/nltl-benchmark/vocab#regulationDerivedScantling</x:v>
      </x:c>
      <x:c r="C810" s="35" t="str">
        <x:v>DatatypeProperty</x:v>
      </x:c>
      <x:c r="D810" s="35" t="str">
        <x:v>http://www.w3.org/2001/XMLSchema#string</x:v>
      </x:c>
      <x:c r="E810" s="35" t="str">
        <x:v>xsd:string</x:v>
      </x:c>
      <x:c r="F810" s="35" t="str"/>
      <x:c r="G810" s="38" t="str">
        <x:v>TRF-032</x:v>
      </x:c>
      <x:c r="H810" s="35" t="str">
        <x:v>Benchmark-coined descriptive engineering term</x:v>
      </x:c>
      <x:c r="I810" s="35" t="str">
        <x:v>N5 - component or subject first, followed by characteristic and qualifier/state; no unsupported external mapping</x:v>
      </x:c>
      <x:c r="J810" s="35" t="str">
        <x:v>REUSE_R2_TERM</x:v>
      </x:c>
    </x:row>
    <x:row r="811">
      <x:c r="A811" s="35" t="str">
        <x:v>regulationRequiredScantling</x:v>
      </x:c>
      <x:c r="B811" s="35" t="str">
        <x:v>https://w3id.org/nltl-benchmark/vocab#regulationRequiredScantling</x:v>
      </x:c>
      <x:c r="C811" s="35" t="str">
        <x:v>QuantityProperty</x:v>
      </x:c>
      <x:c r="D811" s="35" t="str">
        <x:v>http://qudt.org/schema/qudt/QuantityValue</x:v>
      </x:c>
      <x:c r="E811" s="35" t="str"/>
      <x:c r="F811" s="35" t="str"/>
      <x:c r="G811" s="38" t="str">
        <x:v>TRF-032</x:v>
      </x:c>
      <x:c r="H811" s="35" t="str">
        <x:v>Applicable TRAFICOM regulation wording plus explicit engineering node/operand role</x:v>
      </x:c>
      <x:c r="I811" s="35" t="str">
        <x:v>N4 - explicit engineering quantity in ASCII lowerCamelCase; formula symbols remain aliases only.</x:v>
      </x:c>
      <x:c r="J811" s="35" t="str">
        <x:v>ADD_DEVELOPMENT_TERM</x:v>
      </x:c>
    </x:row>
    <x:row r="812">
      <x:c r="A812" s="35" t="str">
        <x:v>releasedRescueBoatOrLifeboat</x:v>
      </x:c>
      <x:c r="B812" s="35" t="str">
        <x:v>https://w3id.org/nltl-benchmark/vocab#releasedRescueBoatOrLifeboat</x:v>
      </x:c>
      <x:c r="C812" s="35" t="str">
        <x:v>DatatypeProperty</x:v>
      </x:c>
      <x:c r="D812" s="35" t="str">
        <x:v>http://www.w3.org/2001/XMLSchema#boolean</x:v>
      </x:c>
      <x:c r="E812" s="35" t="str">
        <x:v>xsd:boolean</x:v>
      </x:c>
      <x:c r="F812" s="35" t="str"/>
      <x:c r="G812" s="38" t="str">
        <x:v>IMO-097</x:v>
      </x:c>
      <x:c r="H812" s="35" t="str">
        <x:v>Locked-workbook normalized regulatory term</x:v>
      </x:c>
      <x:c r="I812" s="35" t="str">
        <x:v>N4 - preserve the source concept; normalize spelling to ASCII lowerCamelCase</x:v>
      </x:c>
      <x:c r="J812" s="35" t="str">
        <x:v>REUSE_R2_TERM</x:v>
      </x:c>
    </x:row>
    <x:row r="813">
      <x:c r="A813" s="35" t="str">
        <x:v>relevantHatchOrDoor</x:v>
      </x:c>
      <x:c r="B813" s="35" t="str">
        <x:v>https://w3id.org/nltl-benchmark/vocab#relevantHatchOrDoor</x:v>
      </x:c>
      <x:c r="C813" s="35" t="str">
        <x:v>DatatypeProperty</x:v>
      </x:c>
      <x:c r="D813" s="35" t="str">
        <x:v>http://www.w3.org/2001/XMLSchema#string</x:v>
      </x:c>
      <x:c r="E813" s="35" t="str">
        <x:v>xsd:string</x:v>
      </x:c>
      <x:c r="F813" s="35" t="str"/>
      <x:c r="G813" s="38" t="str">
        <x:v>IMO-040</x:v>
      </x:c>
      <x:c r="H813" s="35" t="str">
        <x:v>Locked-workbook normalized regulatory term</x:v>
      </x:c>
      <x:c r="I813" s="35" t="str">
        <x:v>N4 - preserve the source concept; normalize spelling to ASCII lowerCamelCase</x:v>
      </x:c>
      <x:c r="J813" s="35" t="str">
        <x:v>REUSE_R2_TERM</x:v>
      </x:c>
    </x:row>
    <x:row r="814">
      <x:c r="A814" s="35" t="str">
        <x:v>relevantPolarWaterOperationalManualProcedureOrEquipment</x:v>
      </x:c>
      <x:c r="B814" s="35" t="str">
        <x:v>https://w3id.org/nltl-benchmark/vocab#relevantPolarWaterOperationalManualProcedureOrEquipment</x:v>
      </x:c>
      <x:c r="C814" s="35" t="str">
        <x:v>DatatypeProperty</x:v>
      </x:c>
      <x:c r="D814" s="35" t="str">
        <x:v>http://www.w3.org/2001/XMLSchema#string</x:v>
      </x:c>
      <x:c r="E814" s="35" t="str">
        <x:v>xsd:string</x:v>
      </x:c>
      <x:c r="F814" s="35" t="str"/>
      <x:c r="G814" s="38" t="str">
        <x:v>IMO-104</x:v>
      </x:c>
      <x:c r="H814" s="35" t="str">
        <x:v>Locked-workbook normalized regulatory term</x:v>
      </x:c>
      <x:c r="I814" s="35" t="str">
        <x:v>N4 - preserve the source concept; normalize spelling to ASCII lowerCamelCase</x:v>
      </x:c>
      <x:c r="J814" s="35" t="str">
        <x:v>REUSE_R2_TERM</x:v>
      </x:c>
    </x:row>
    <x:row r="815">
      <x:c r="A815" s="35" t="str">
        <x:v>repairRequired</x:v>
      </x:c>
      <x:c r="B815" s="35" t="str">
        <x:v>https://w3id.org/nltl-benchmark/vocab#repairRequired</x:v>
      </x:c>
      <x:c r="C815" s="35" t="str">
        <x:v>DatatypeProperty</x:v>
      </x:c>
      <x:c r="D815" s="35" t="str">
        <x:v>http://www.w3.org/2001/XMLSchema#boolean</x:v>
      </x:c>
      <x:c r="E815" s="35" t="str">
        <x:v>xsd:boolean</x:v>
      </x:c>
      <x:c r="F815" s="35" t="str"/>
      <x:c r="G815" s="38" t="str">
        <x:v>TRF-118</x:v>
      </x:c>
      <x:c r="H815" s="35" t="str">
        <x:v>Benchmark-coined descriptive engineering term</x:v>
      </x:c>
      <x:c r="I815" s="35" t="str">
        <x:v>N5 - component or subject first, followed by characteristic and qualifier/state; no unsupported external mapping</x:v>
      </x:c>
      <x:c r="J815" s="35" t="str">
        <x:v>REUSE_R2_TERM</x:v>
      </x:c>
    </x:row>
    <x:row r="816">
      <x:c r="A816" s="35" t="str">
        <x:v>requiredAccess</x:v>
      </x:c>
      <x:c r="B816" s="35" t="str">
        <x:v>https://w3id.org/nltl-benchmark/vocab#requiredAccess</x:v>
      </x:c>
      <x:c r="C816" s="35" t="str">
        <x:v>DatatypeProperty</x:v>
      </x:c>
      <x:c r="D816" s="35" t="str">
        <x:v>http://www.w3.org/2001/XMLSchema#string</x:v>
      </x:c>
      <x:c r="E816" s="35" t="str">
        <x:v>xsd:string</x:v>
      </x:c>
      <x:c r="F816" s="35" t="str"/>
      <x:c r="G816" s="38" t="str">
        <x:v>IMO-052</x:v>
      </x:c>
      <x:c r="H816" s="35" t="str">
        <x:v>Locked-workbook normalized regulatory term</x:v>
      </x:c>
      <x:c r="I816" s="35" t="str">
        <x:v>N4 - preserve the source concept; normalize spelling to ASCII lowerCamelCase</x:v>
      </x:c>
      <x:c r="J816" s="35" t="str">
        <x:v>REUSE_R2_TERM</x:v>
      </x:c>
    </x:row>
    <x:row r="817">
      <x:c r="A817" s="35" t="str">
        <x:v>requiredEquipmentOperation</x:v>
      </x:c>
      <x:c r="B817" s="35" t="str">
        <x:v>https://w3id.org/nltl-benchmark/vocab#requiredEquipmentOperation</x:v>
      </x:c>
      <x:c r="C817" s="35" t="str">
        <x:v>DatatypeProperty</x:v>
      </x:c>
      <x:c r="D817" s="35" t="str">
        <x:v>http://www.w3.org/2001/XMLSchema#string</x:v>
      </x:c>
      <x:c r="E817" s="35" t="str">
        <x:v>xsd:string</x:v>
      </x:c>
      <x:c r="F817" s="35" t="str"/>
      <x:c r="G817" s="38" t="str">
        <x:v>IMO-027</x:v>
      </x:c>
      <x:c r="H817" s="35" t="str">
        <x:v>Locked-workbook normalized regulatory term</x:v>
      </x:c>
      <x:c r="I817" s="35" t="str">
        <x:v>N4 - preserve the source concept; normalize spelling to ASCII lowerCamelCase</x:v>
      </x:c>
      <x:c r="J817" s="35" t="str">
        <x:v>REUSE_R2_TERM</x:v>
      </x:c>
    </x:row>
    <x:row r="818">
      <x:c r="A818" s="35" t="str">
        <x:v>requiredEquipmentRecords</x:v>
      </x:c>
      <x:c r="B818" s="35" t="str">
        <x:v>https://w3id.org/nltl-benchmark/vocab#requiredEquipmentRecords</x:v>
      </x:c>
      <x:c r="C818" s="35" t="str">
        <x:v>Class</x:v>
      </x:c>
      <x:c r="D818" s="35" t="str">
        <x:v>https://w3id.org/nltl-benchmark/vocab#documentEvidence</x:v>
      </x:c>
      <x:c r="E818" s="35" t="str"/>
      <x:c r="F818" s="35" t="str"/>
      <x:c r="G818" s="38" t="str">
        <x:v>IMO-017</x:v>
      </x:c>
      <x:c r="H818" s="35" t="str">
        <x:v>Locked-workbook normalized regulatory term</x:v>
      </x:c>
      <x:c r="I818" s="35" t="str">
        <x:v>N4 - preserve the source concept; normalize spelling to ASCII lowerCamelCase</x:v>
      </x:c>
      <x:c r="J818" s="35" t="str">
        <x:v>REUSE_R2_TERM</x:v>
      </x:c>
    </x:row>
    <x:row r="819">
      <x:c r="A819" s="35" t="str">
        <x:v>requiredIceRemovalMeansPresent</x:v>
      </x:c>
      <x:c r="B819" s="35" t="str">
        <x:v>https://w3id.org/nltl-benchmark/vocab#requiredIceRemovalMeansPresent</x:v>
      </x:c>
      <x:c r="C819" s="35" t="str">
        <x:v>DatatypeProperty</x:v>
      </x:c>
      <x:c r="D819" s="35" t="str">
        <x:v>http://www.w3.org/2001/XMLSchema#boolean</x:v>
      </x:c>
      <x:c r="E819" s="35" t="str">
        <x:v>xsd:boolean</x:v>
      </x:c>
      <x:c r="F819" s="35" t="str"/>
      <x:c r="G819" s="38" t="str">
        <x:v>IMO-034</x:v>
      </x:c>
      <x:c r="H819" s="35" t="str">
        <x:v>Locked-workbook normalized regulatory term</x:v>
      </x:c>
      <x:c r="I819" s="35" t="str">
        <x:v>N4 - preserve the source concept; normalize spelling to ASCII lowerCamelCase</x:v>
      </x:c>
      <x:c r="J819" s="35" t="str">
        <x:v>REUSE_R2_TERM</x:v>
      </x:c>
    </x:row>
    <x:row r="820">
      <x:c r="A820" s="35" t="str">
        <x:v>requiredNavigationOrCommunicationAntenna</x:v>
      </x:c>
      <x:c r="B820" s="35" t="str">
        <x:v>https://w3id.org/nltl-benchmark/vocab#requiredNavigationOrCommunicationAntenna</x:v>
      </x:c>
      <x:c r="C820" s="35" t="str">
        <x:v>DatatypeProperty</x:v>
      </x:c>
      <x:c r="D820" s="35" t="str">
        <x:v>http://www.w3.org/2001/XMLSchema#string</x:v>
      </x:c>
      <x:c r="E820" s="35" t="str">
        <x:v>xsd:string</x:v>
      </x:c>
      <x:c r="F820" s="35" t="str"/>
      <x:c r="G820" s="38" t="str">
        <x:v>IMO-083 | IMO26-009</x:v>
      </x:c>
      <x:c r="H820" s="35" t="str">
        <x:v>Locked-workbook normalized regulatory term</x:v>
      </x:c>
      <x:c r="I820" s="35" t="str">
        <x:v>N4 - preserve the source concept; normalize spelling to ASCII lowerCamelCase</x:v>
      </x:c>
      <x:c r="J820" s="35" t="str">
        <x:v>REUSE_R2_TERM</x:v>
      </x:c>
    </x:row>
    <x:row r="821">
      <x:c r="A821" s="35" t="str">
        <x:v>requiredPolarTrainingLevel</x:v>
      </x:c>
      <x:c r="B821" s="35" t="str">
        <x:v>https://w3id.org/nltl-benchmark/vocab#requiredPolarTrainingLevel</x:v>
      </x:c>
      <x:c r="C821" s="35" t="str">
        <x:v>DatatypeProperty</x:v>
      </x:c>
      <x:c r="D821" s="35" t="str">
        <x:v>http://www.w3.org/2001/XMLSchema#string</x:v>
      </x:c>
      <x:c r="E821" s="35" t="str">
        <x:v>xsd:string</x:v>
      </x:c>
      <x:c r="F821" s="35" t="str"/>
      <x:c r="G821" s="38" t="str">
        <x:v>IMO-102</x:v>
      </x:c>
      <x:c r="H821" s="35" t="str">
        <x:v>Locked-workbook normalized regulatory term</x:v>
      </x:c>
      <x:c r="I821" s="35" t="str">
        <x:v>N4 - preserve the source concept; normalize spelling to ASCII lowerCamelCase</x:v>
      </x:c>
      <x:c r="J821" s="35" t="str">
        <x:v>REUSE_R2_TERM</x:v>
      </x:c>
    </x:row>
    <x:row r="822">
      <x:c r="A822" s="35" t="str">
        <x:v>requiredPowerUnder1985Rules</x:v>
      </x:c>
      <x:c r="B822" s="35" t="str">
        <x:v>https://w3id.org/nltl-benchmark/vocab#requiredPowerUnder1985Rules</x:v>
      </x:c>
      <x:c r="C822" s="35" t="str">
        <x:v>QuantityProperty</x:v>
      </x:c>
      <x:c r="D822" s="35" t="str">
        <x:v>http://qudt.org/schema/qudt/QuantityValue</x:v>
      </x:c>
      <x:c r="E822" s="35" t="str"/>
      <x:c r="F822" s="35" t="str">
        <x:v>kW</x:v>
      </x:c>
      <x:c r="G822" s="38" t="str">
        <x:v>TRF-023</x:v>
      </x:c>
      <x:c r="H822" s="35" t="str">
        <x:v>Applicable TRAFICOM regulation wording plus explicit engineering node/operand role</x:v>
      </x:c>
      <x:c r="I822" s="35" t="str">
        <x:v>N4 - explicit engineering quantity in ASCII lowerCamelCase; formula symbols remain aliases only.</x:v>
      </x:c>
      <x:c r="J822" s="35" t="str">
        <x:v>ADD_DEVELOPMENT_TERM</x:v>
      </x:c>
    </x:row>
    <x:row r="823">
      <x:c r="A823" s="35" t="str">
        <x:v>requiredScreenOpening</x:v>
      </x:c>
      <x:c r="B823" s="35" t="str">
        <x:v>https://w3id.org/nltl-benchmark/vocab#requiredScreenOpening</x:v>
      </x:c>
      <x:c r="C823" s="35" t="str">
        <x:v>QuantityProperty</x:v>
      </x:c>
      <x:c r="D823" s="35" t="str">
        <x:v>http://qudt.org/schema/qudt/QuantityValue</x:v>
      </x:c>
      <x:c r="E823" s="35" t="str"/>
      <x:c r="F823" s="35" t="str">
        <x:v>mm</x:v>
      </x:c>
      <x:c r="G823" s="38" t="str">
        <x:v>IMO-121</x:v>
      </x:c>
      <x:c r="H823" s="35" t="str">
        <x:v>Unit-stripped normalized regulatory variable</x:v>
      </x:c>
      <x:c r="I823" s="35" t="str">
        <x:v>N3 - remove unit from the identifier and retain it in unit/quantity metadata</x:v>
      </x:c>
      <x:c r="J823" s="35" t="str">
        <x:v>REUSE_R2_TERM</x:v>
      </x:c>
    </x:row>
    <x:row r="824">
      <x:c r="A824" s="35" t="str">
        <x:v>requiredSectionModulus</x:v>
      </x:c>
      <x:c r="B824" s="35" t="str">
        <x:v>https://w3id.org/nltl-benchmark/vocab#requiredSectionModulus</x:v>
      </x:c>
      <x:c r="C824" s="35" t="str">
        <x:v>QuantityProperty</x:v>
      </x:c>
      <x:c r="D824" s="35" t="str">
        <x:v>http://qudt.org/schema/qudt/QuantityValue</x:v>
      </x:c>
      <x:c r="E824" s="35" t="str"/>
      <x:c r="F824" s="35" t="str">
        <x:v>cm^3</x:v>
      </x:c>
      <x:c r="G824" s="38" t="str">
        <x:v>TRF-055</x:v>
      </x:c>
      <x:c r="H824" s="35" t="str">
        <x:v>Applicable TRAFICOM regulation wording plus explicit engineering node/operand role</x:v>
      </x:c>
      <x:c r="I824" s="35" t="str">
        <x:v>N4 - explicit engineering quantity in ASCII lowerCamelCase; formula symbols remain aliases only.</x:v>
      </x:c>
      <x:c r="J824" s="35" t="str">
        <x:v>ADD_DEVELOPMENT_TERM</x:v>
      </x:c>
    </x:row>
    <x:row r="825">
      <x:c r="A825" s="35" t="str">
        <x:v>requiredSensorProjectsBelowHull</x:v>
      </x:c>
      <x:c r="B825" s="35" t="str">
        <x:v>https://w3id.org/nltl-benchmark/vocab#requiredSensorProjectsBelowHull</x:v>
      </x:c>
      <x:c r="C825" s="35" t="str">
        <x:v>DatatypeProperty</x:v>
      </x:c>
      <x:c r="D825" s="35" t="str">
        <x:v>http://www.w3.org/2001/XMLSchema#boolean</x:v>
      </x:c>
      <x:c r="E825" s="35" t="str">
        <x:v>xsd:boolean</x:v>
      </x:c>
      <x:c r="F825" s="35" t="str"/>
      <x:c r="G825" s="38" t="str">
        <x:v>IMO-084 | IMO26-010</x:v>
      </x:c>
      <x:c r="H825" s="35" t="str">
        <x:v>Locked-workbook normalized regulatory term</x:v>
      </x:c>
      <x:c r="I825" s="35" t="str">
        <x:v>N4 - preserve the source concept; normalize spelling to ASCII lowerCamelCase</x:v>
      </x:c>
      <x:c r="J825" s="35" t="str">
        <x:v>REUSE_R2_TERM</x:v>
      </x:c>
    </x:row>
    <x:row r="826">
      <x:c r="A826" s="35" t="str">
        <x:v>requiredShearArea</x:v>
      </x:c>
      <x:c r="B826" s="35" t="str">
        <x:v>https://w3id.org/nltl-benchmark/vocab#requiredShearArea</x:v>
      </x:c>
      <x:c r="C826" s="35" t="str">
        <x:v>QuantityProperty</x:v>
      </x:c>
      <x:c r="D826" s="35" t="str">
        <x:v>http://qudt.org/schema/qudt/QuantityValue</x:v>
      </x:c>
      <x:c r="E826" s="35" t="str"/>
      <x:c r="F826" s="35" t="str">
        <x:v>cm^2</x:v>
      </x:c>
      <x:c r="G826" s="38" t="str">
        <x:v>TRF-060</x:v>
      </x:c>
      <x:c r="H826" s="35" t="str">
        <x:v>Benchmark-coined descriptive engineering term</x:v>
      </x:c>
      <x:c r="I826" s="35" t="str">
        <x:v>N5 - component or subject first, followed by characteristic and qualifier/state; no unsupported external mapping</x:v>
      </x:c>
      <x:c r="J826" s="35" t="str">
        <x:v>REUSE_R2_TERM</x:v>
      </x:c>
    </x:row>
    <x:row r="827">
      <x:c r="A827" s="35" t="str">
        <x:v>requiredShellPlatingThickness</x:v>
      </x:c>
      <x:c r="B827" s="35" t="str">
        <x:v>https://w3id.org/nltl-benchmark/vocab#requiredShellPlatingThickness</x:v>
      </x:c>
      <x:c r="C827" s="35" t="str">
        <x:v>QuantityProperty</x:v>
      </x:c>
      <x:c r="D827" s="35" t="str">
        <x:v>http://qudt.org/schema/qudt/QuantityValue</x:v>
      </x:c>
      <x:c r="E827" s="35" t="str"/>
      <x:c r="F827" s="35" t="str">
        <x:v>mm</x:v>
      </x:c>
      <x:c r="G827" s="38" t="str">
        <x:v>TRF-041 | TRF-042</x:v>
      </x:c>
      <x:c r="H827" s="35" t="str">
        <x:v>Applicable TRAFICOM regulation wording plus explicit engineering node/operand role</x:v>
      </x:c>
      <x:c r="I827" s="35" t="str">
        <x:v>N4 - explicit engineering quantity in ASCII lowerCamelCase; formula symbols remain aliases only.</x:v>
      </x:c>
      <x:c r="J827" s="35" t="str">
        <x:v>ADD_DEVELOPMENT_TERM</x:v>
      </x:c>
    </x:row>
    <x:row r="828">
      <x:c r="A828" s="35" t="str">
        <x:v>requiredSystemsFunctionalAtPst</x:v>
      </x:c>
      <x:c r="B828" s="35" t="str">
        <x:v>https://w3id.org/nltl-benchmark/vocab#requiredSystemsFunctionalAtPst</x:v>
      </x:c>
      <x:c r="C828" s="35" t="str">
        <x:v>DatatypeProperty</x:v>
      </x:c>
      <x:c r="D828" s="35" t="str">
        <x:v>http://www.w3.org/2001/XMLSchema#boolean</x:v>
      </x:c>
      <x:c r="E828" s="35" t="str">
        <x:v>xsd:boolean</x:v>
      </x:c>
      <x:c r="F828" s="35" t="str"/>
      <x:c r="G828" s="38" t="str">
        <x:v>IMO-019</x:v>
      </x:c>
      <x:c r="H828" s="35" t="str">
        <x:v>Locked-workbook normalized regulatory term</x:v>
      </x:c>
      <x:c r="I828" s="35" t="str">
        <x:v>N4 - preserve the source concept; normalize spelling to ASCII lowerCamelCase</x:v>
      </x:c>
      <x:c r="J828" s="35" t="str">
        <x:v>REUSE_R2_TERM</x:v>
      </x:c>
    </x:row>
    <x:row r="829">
      <x:c r="A829" s="35" t="str">
        <x:v>rescueCommunicationPresent</x:v>
      </x:c>
      <x:c r="B829" s="35" t="str">
        <x:v>https://w3id.org/nltl-benchmark/vocab#rescueCommunicationPresent</x:v>
      </x:c>
      <x:c r="C829" s="35" t="str">
        <x:v>DatatypeProperty</x:v>
      </x:c>
      <x:c r="D829" s="35" t="str">
        <x:v>http://www.w3.org/2001/XMLSchema#boolean</x:v>
      </x:c>
      <x:c r="E829" s="35" t="str">
        <x:v>xsd:boolean</x:v>
      </x:c>
      <x:c r="F829" s="35" t="str"/>
      <x:c r="G829" s="38" t="str">
        <x:v>IMO-065</x:v>
      </x:c>
      <x:c r="H829" s="35" t="str">
        <x:v>Locked-workbook normalized regulatory term</x:v>
      </x:c>
      <x:c r="I829" s="35" t="str">
        <x:v>N4 - preserve the source concept; normalize spelling to ASCII lowerCamelCase</x:v>
      </x:c>
      <x:c r="J829" s="35" t="str">
        <x:v>REUSE_R2_TERM</x:v>
      </x:c>
    </x:row>
    <x:row r="830">
      <x:c r="A830" s="35" t="str">
        <x:v>rescueCoordinationCentreVoiceOrData</x:v>
      </x:c>
      <x:c r="B830" s="35" t="str">
        <x:v>https://w3id.org/nltl-benchmark/vocab#rescueCoordinationCentreVoiceOrData</x:v>
      </x:c>
      <x:c r="C830" s="35" t="str">
        <x:v>DatatypeProperty</x:v>
      </x:c>
      <x:c r="D830" s="35" t="str">
        <x:v>http://www.w3.org/2001/XMLSchema#boolean</x:v>
      </x:c>
      <x:c r="E830" s="35" t="str">
        <x:v>xsd:boolean</x:v>
      </x:c>
      <x:c r="F830" s="35" t="str"/>
      <x:c r="G830" s="38" t="str">
        <x:v>IMO-095</x:v>
      </x:c>
      <x:c r="H830" s="35" t="str">
        <x:v>Locked-workbook normalized regulatory term</x:v>
      </x:c>
      <x:c r="I830" s="35" t="str">
        <x:v>N4 - preserve the source concept; normalize spelling to ASCII lowerCamelCase</x:v>
      </x:c>
      <x:c r="J830" s="35" t="str">
        <x:v>REUSE_R2_TERM</x:v>
      </x:c>
    </x:row>
    <x:row r="831">
      <x:c r="A831" s="35" t="str">
        <x:v>reserveCoolingFunction</x:v>
      </x:c>
      <x:c r="B831" s="35" t="str">
        <x:v>https://w3id.org/nltl-benchmark/vocab#reserveCoolingFunction</x:v>
      </x:c>
      <x:c r="C831" s="35" t="str">
        <x:v>DatatypeProperty</x:v>
      </x:c>
      <x:c r="D831" s="35" t="str">
        <x:v>http://www.w3.org/2001/XMLSchema#string</x:v>
      </x:c>
      <x:c r="E831" s="35" t="str">
        <x:v>xsd:string</x:v>
      </x:c>
      <x:c r="F831" s="35" t="str"/>
      <x:c r="G831" s="38" t="str">
        <x:v>TRF-131</x:v>
      </x:c>
      <x:c r="H831" s="35" t="str">
        <x:v>Benchmark-coined descriptive engineering term</x:v>
      </x:c>
      <x:c r="I831" s="35" t="str">
        <x:v>N5 - component or subject first, followed by characteristic and qualifier/state; no unsupported external mapping</x:v>
      </x:c>
      <x:c r="J831" s="35" t="str">
        <x:v>REUSE_R2_TERM</x:v>
      </x:c>
    </x:row>
    <x:row r="832">
      <x:c r="A832" s="35" t="str">
        <x:v>residualStabilityFactorSI</x:v>
      </x:c>
      <x:c r="B832" s="35" t="str">
        <x:v>https://w3id.org/nltl-benchmark/vocab#residualStabilityFactorSI</x:v>
      </x:c>
      <x:c r="C832" s="35" t="str">
        <x:v>QuantityProperty</x:v>
      </x:c>
      <x:c r="D832" s="35" t="str">
        <x:v>http://qudt.org/schema/qudt/QuantityValue</x:v>
      </x:c>
      <x:c r="E832" s="35" t="str"/>
      <x:c r="F832" s="35" t="str">
        <x:v>1</x:v>
      </x:c>
      <x:c r="G832" s="38" t="str">
        <x:v>IMO-037</x:v>
      </x:c>
      <x:c r="H832" s="35" t="str">
        <x:v>Locked-workbook normalized regulatory term</x:v>
      </x:c>
      <x:c r="I832" s="35" t="str">
        <x:v>N4 - preserve the source concept; normalize spelling to ASCII lowerCamelCase</x:v>
      </x:c>
      <x:c r="J832" s="35" t="str">
        <x:v>REUSE_R2_TERM</x:v>
      </x:c>
    </x:row>
    <x:row r="833">
      <x:c r="A833" s="35" t="str">
        <x:v>residueNotRecoverableByCommonMethods</x:v>
      </x:c>
      <x:c r="B833" s="35" t="str">
        <x:v>https://w3id.org/nltl-benchmark/vocab#residueNotRecoverableByCommonMethods</x:v>
      </x:c>
      <x:c r="C833" s="35" t="str">
        <x:v>DatatypeProperty</x:v>
      </x:c>
      <x:c r="D833" s="35" t="str">
        <x:v>http://www.w3.org/2001/XMLSchema#boolean</x:v>
      </x:c>
      <x:c r="E833" s="35" t="str">
        <x:v>xsd:boolean</x:v>
      </x:c>
      <x:c r="F833" s="35" t="str"/>
      <x:c r="G833" s="38" t="str">
        <x:v>IMO-123</x:v>
      </x:c>
      <x:c r="H833" s="35" t="str">
        <x:v>Locked-workbook normalized regulatory term</x:v>
      </x:c>
      <x:c r="I833" s="35" t="str">
        <x:v>N4 - preserve the source concept; normalize spelling to ASCII lowerCamelCase</x:v>
      </x:c>
      <x:c r="J833" s="35" t="str">
        <x:v>REUSE_R2_TERM</x:v>
      </x:c>
    </x:row>
    <x:row r="834">
      <x:c r="A834" s="35" t="str">
        <x:v>resonantVibrationResponse</x:v>
      </x:c>
      <x:c r="B834" s="35" t="str">
        <x:v>https://w3id.org/nltl-benchmark/vocab#resonantVibrationResponse</x:v>
      </x:c>
      <x:c r="C834" s="35" t="str">
        <x:v>DatatypeProperty</x:v>
      </x:c>
      <x:c r="D834" s="35" t="str">
        <x:v>http://www.w3.org/2001/XMLSchema#string</x:v>
      </x:c>
      <x:c r="E834" s="35" t="str">
        <x:v>xsd:string</x:v>
      </x:c>
      <x:c r="F834" s="35" t="str"/>
      <x:c r="G834" s="38" t="str">
        <x:v>TRF-090</x:v>
      </x:c>
      <x:c r="H834" s="35" t="str">
        <x:v>Benchmark-coined descriptive engineering term</x:v>
      </x:c>
      <x:c r="I834" s="35" t="str">
        <x:v>N5 - component or subject first, followed by characteristic and qualifier/state; no unsupported external mapping</x:v>
      </x:c>
      <x:c r="J834" s="35" t="str">
        <x:v>REUSE_R2_TERM</x:v>
      </x:c>
    </x:row>
    <x:row r="835">
      <x:c r="A835" s="35" t="str">
        <x:v>responseTorque</x:v>
      </x:c>
      <x:c r="B835" s="35" t="str">
        <x:v>https://w3id.org/nltl-benchmark/vocab#responseTorque</x:v>
      </x:c>
      <x:c r="C835" s="35" t="str">
        <x:v>QuantityProperty</x:v>
      </x:c>
      <x:c r="D835" s="35" t="str">
        <x:v>http://qudt.org/schema/qudt/QuantityValue</x:v>
      </x:c>
      <x:c r="E835" s="35" t="str"/>
      <x:c r="F835" s="35" t="str">
        <x:v>kN*m</x:v>
      </x:c>
      <x:c r="G835" s="38" t="str">
        <x:v>TRF-097</x:v>
      </x:c>
      <x:c r="H835" s="35" t="str">
        <x:v>Unit-stripped normalized regulatory variable</x:v>
      </x:c>
      <x:c r="I835" s="35" t="str">
        <x:v>N3 - remove unit from the identifier and retain it in unit/quantity metadata</x:v>
      </x:c>
      <x:c r="J835" s="35" t="str">
        <x:v>REUSE_R2_TERM</x:v>
      </x:c>
    </x:row>
    <x:row r="836">
      <x:c r="A836" s="35" t="str">
        <x:v>restComplianceStatus</x:v>
      </x:c>
      <x:c r="B836" s="35" t="str">
        <x:v>https://w3id.org/nltl-benchmark/vocab#restComplianceStatus</x:v>
      </x:c>
      <x:c r="C836" s="35" t="str">
        <x:v>DatatypeProperty</x:v>
      </x:c>
      <x:c r="D836" s="35" t="str">
        <x:v>http://www.w3.org/2001/XMLSchema#boolean</x:v>
      </x:c>
      <x:c r="E836" s="35" t="str">
        <x:v>xsd:boolean</x:v>
      </x:c>
      <x:c r="F836" s="35" t="str"/>
      <x:c r="G836" s="38" t="str">
        <x:v>IMO-103</x:v>
      </x:c>
      <x:c r="H836" s="35" t="str">
        <x:v>Locked-workbook normalized regulatory term</x:v>
      </x:c>
      <x:c r="I836" s="35" t="str">
        <x:v>N4 - preserve the source concept; normalize spelling to ASCII lowerCamelCase</x:v>
      </x:c>
      <x:c r="J836" s="35" t="str">
        <x:v>REUSE_R2_TERM</x:v>
      </x:c>
    </x:row>
    <x:row r="837">
      <x:c r="A837" s="35" t="str">
        <x:v>restrictedPropulsionOutput</x:v>
      </x:c>
      <x:c r="B837" s="35" t="str">
        <x:v>https://w3id.org/nltl-benchmark/vocab#restrictedPropulsionOutput</x:v>
      </x:c>
      <x:c r="C837" s="35" t="str">
        <x:v>QuantityProperty</x:v>
      </x:c>
      <x:c r="D837" s="35" t="str">
        <x:v>http://qudt.org/schema/qudt/QuantityValue</x:v>
      </x:c>
      <x:c r="E837" s="35" t="str"/>
      <x:c r="F837" s="35" t="str">
        <x:v>kW</x:v>
      </x:c>
      <x:c r="G837" s="38" t="str">
        <x:v>TRF-017</x:v>
      </x:c>
      <x:c r="H837" s="35" t="str">
        <x:v>Applicable TRAFICOM regulation wording plus explicit engineering node/operand role</x:v>
      </x:c>
      <x:c r="I837" s="35" t="str">
        <x:v>N4 - explicit engineering quantity in ASCII lowerCamelCase; formula symbols remain aliases only.</x:v>
      </x:c>
      <x:c r="J837" s="35" t="str">
        <x:v>ADD_DEVELOPMENT_TERM</x:v>
      </x:c>
    </x:row>
    <x:row r="838">
      <x:c r="A838" s="35" t="str">
        <x:v>retainedOnBoard</x:v>
      </x:c>
      <x:c r="B838" s="35" t="str">
        <x:v>https://w3id.org/nltl-benchmark/vocab#retainedOnBoard</x:v>
      </x:c>
      <x:c r="C838" s="35" t="str">
        <x:v>DatatypeProperty</x:v>
      </x:c>
      <x:c r="D838" s="35" t="str">
        <x:v>http://www.w3.org/2001/XMLSchema#boolean</x:v>
      </x:c>
      <x:c r="E838" s="35" t="str">
        <x:v>xsd:boolean</x:v>
      </x:c>
      <x:c r="F838" s="35" t="str"/>
      <x:c r="G838" s="38" t="str">
        <x:v>TRF-014</x:v>
      </x:c>
      <x:c r="H838" s="35" t="str">
        <x:v>Applicable TRAFICOM regulation wording plus explicit engineering node/operand role</x:v>
      </x:c>
      <x:c r="I838" s="35" t="str">
        <x:v>N4 - explicit regulatory concept in ASCII lowerCamelCase with an XSD datatype.</x:v>
      </x:c>
      <x:c r="J838" s="35" t="str">
        <x:v>ADD_DEVELOPMENT_TERM</x:v>
      </x:c>
    </x:row>
    <x:row r="839">
      <x:c r="A839" s="35" t="str">
        <x:v>rotationalRestraint</x:v>
      </x:c>
      <x:c r="B839" s="35" t="str">
        <x:v>https://w3id.org/nltl-benchmark/vocab#rotationalRestraint</x:v>
      </x:c>
      <x:c r="C839" s="35" t="str">
        <x:v>DatatypeProperty</x:v>
      </x:c>
      <x:c r="D839" s="35" t="str">
        <x:v>http://www.w3.org/2001/XMLSchema#string</x:v>
      </x:c>
      <x:c r="E839" s="35" t="str">
        <x:v>xsd:string</x:v>
      </x:c>
      <x:c r="F839" s="35" t="str"/>
      <x:c r="G839" s="38" t="str">
        <x:v>I2-026</x:v>
      </x:c>
      <x:c r="H839" s="35" t="str">
        <x:v>Benchmark-coined descriptive engineering term</x:v>
      </x:c>
      <x:c r="I839" s="35" t="str">
        <x:v>N5 - component or subject first, followed by characteristic and qualifier/state; no unsupported external mapping</x:v>
      </x:c>
      <x:c r="J839" s="35" t="str">
        <x:v>REUSE_R2_TERM</x:v>
      </x:c>
    </x:row>
    <x:row r="840">
      <x:c r="A840" s="35" t="str">
        <x:v>rotationalSpeedKnown</x:v>
      </x:c>
      <x:c r="B840" s="35" t="str">
        <x:v>https://w3id.org/nltl-benchmark/vocab#rotationalSpeedKnown</x:v>
      </x:c>
      <x:c r="C840" s="35" t="str">
        <x:v>DatatypeProperty</x:v>
      </x:c>
      <x:c r="D840" s="35" t="str">
        <x:v>http://www.w3.org/2001/XMLSchema#boolean</x:v>
      </x:c>
      <x:c r="E840" s="35" t="str">
        <x:v>xsd:boolean</x:v>
      </x:c>
      <x:c r="F840" s="35" t="str"/>
      <x:c r="G840" s="38" t="str">
        <x:v>TRF-083</x:v>
      </x:c>
      <x:c r="H840" s="35" t="str">
        <x:v>Benchmark-coined descriptive engineering term</x:v>
      </x:c>
      <x:c r="I840" s="35" t="str">
        <x:v>N5 - component or subject first, followed by characteristic and qualifier/state; no unsupported external mapping</x:v>
      </x:c>
      <x:c r="J840" s="35" t="str">
        <x:v>REUSE_R2_TERM</x:v>
      </x:c>
    </x:row>
    <x:row r="841">
      <x:c r="A841" s="35" t="str">
        <x:v>routePoint</x:v>
      </x:c>
      <x:c r="B841" s="35" t="str">
        <x:v>https://w3id.org/nltl-benchmark/vocab#routePoint</x:v>
      </x:c>
      <x:c r="C841" s="35" t="str">
        <x:v>Class</x:v>
      </x:c>
      <x:c r="D841" s="35" t="str">
        <x:v>https://w3id.org/nltl-benchmark/vocab#benchmarkEntity</x:v>
      </x:c>
      <x:c r="E841" s="35" t="str"/>
      <x:c r="F841" s="35" t="str"/>
      <x:c r="G841" s="38" t="str">
        <x:v>IMO-090</x:v>
      </x:c>
      <x:c r="H841" s="35" t="str">
        <x:v>Locked-workbook normalized regulatory term</x:v>
      </x:c>
      <x:c r="I841" s="35" t="str">
        <x:v>N4 - preserve the source concept; normalize spelling to ASCII lowerCamelCase</x:v>
      </x:c>
      <x:c r="J841" s="35" t="str">
        <x:v>REUSE_R2_TERM</x:v>
      </x:c>
    </x:row>
    <x:row r="842">
      <x:c r="A842" s="35" t="str">
        <x:v>routeRemainsWithinArctic</x:v>
      </x:c>
      <x:c r="B842" s="35" t="str">
        <x:v>https://w3id.org/nltl-benchmark/vocab#routeRemainsWithinArctic</x:v>
      </x:c>
      <x:c r="C842" s="35" t="str">
        <x:v>DatatypeProperty</x:v>
      </x:c>
      <x:c r="D842" s="35" t="str">
        <x:v>http://www.w3.org/2001/XMLSchema#boolean</x:v>
      </x:c>
      <x:c r="E842" s="35" t="str">
        <x:v>xsd:boolean</x:v>
      </x:c>
      <x:c r="F842" s="35" t="str"/>
      <x:c r="G842" s="38" t="str">
        <x:v>IMO-123</x:v>
      </x:c>
      <x:c r="H842" s="35" t="str">
        <x:v>Locked-workbook normalized regulatory term</x:v>
      </x:c>
      <x:c r="I842" s="35" t="str">
        <x:v>N4 - preserve the source concept; normalize spelling to ASCII lowerCamelCase</x:v>
      </x:c>
      <x:c r="J842" s="35" t="str">
        <x:v>REUSE_R2_TERM</x:v>
      </x:c>
    </x:row>
    <x:row r="843">
      <x:c r="A843" s="35" t="str">
        <x:v>ruleLength</x:v>
      </x:c>
      <x:c r="B843" s="35" t="str">
        <x:v>https://w3id.org/nltl-benchmark/vocab#ruleLength</x:v>
      </x:c>
      <x:c r="C843" s="35" t="str">
        <x:v>QuantityProperty</x:v>
      </x:c>
      <x:c r="D843" s="35" t="str">
        <x:v>http://qudt.org/schema/qudt/QuantityValue</x:v>
      </x:c>
      <x:c r="E843" s="35" t="str"/>
      <x:c r="F843" s="35" t="str">
        <x:v>m</x:v>
      </x:c>
      <x:c r="G843" s="38" t="str">
        <x:v>TRF-035</x:v>
      </x:c>
      <x:c r="H843" s="35" t="str">
        <x:v>Benchmark-coined descriptive engineering term</x:v>
      </x:c>
      <x:c r="I843" s="35" t="str">
        <x:v>N5 - component or subject first, followed by characteristic and qualifier/state; no unsupported external mapping</x:v>
      </x:c>
      <x:c r="J843" s="35" t="str">
        <x:v>REUSE_R2_TERM</x:v>
      </x:c>
    </x:row>
    <x:row r="844">
      <x:c r="A844" s="35" t="str">
        <x:v>safeAccessExitPresent</x:v>
      </x:c>
      <x:c r="B844" s="35" t="str">
        <x:v>https://w3id.org/nltl-benchmark/vocab#safeAccessExitPresent</x:v>
      </x:c>
      <x:c r="C844" s="35" t="str">
        <x:v>DatatypeProperty</x:v>
      </x:c>
      <x:c r="D844" s="35" t="str">
        <x:v>http://www.w3.org/2001/XMLSchema#boolean</x:v>
      </x:c>
      <x:c r="E844" s="35" t="str">
        <x:v>xsd:boolean</x:v>
      </x:c>
      <x:c r="F844" s="35" t="str"/>
      <x:c r="G844" s="38" t="str">
        <x:v>IMO-065</x:v>
      </x:c>
      <x:c r="H844" s="35" t="str">
        <x:v>Locked-workbook normalized regulatory term</x:v>
      </x:c>
      <x:c r="I844" s="35" t="str">
        <x:v>N4 - preserve the source concept; normalize spelling to ASCII lowerCamelCase</x:v>
      </x:c>
      <x:c r="J844" s="35" t="str">
        <x:v>REUSE_R2_TERM</x:v>
      </x:c>
    </x:row>
    <x:row r="845">
      <x:c r="A845" s="35" t="str">
        <x:v>safeEvacuationMeansPresent</x:v>
      </x:c>
      <x:c r="B845" s="35" t="str">
        <x:v>https://w3id.org/nltl-benchmark/vocab#safeEvacuationMeansPresent</x:v>
      </x:c>
      <x:c r="C845" s="35" t="str">
        <x:v>DatatypeProperty</x:v>
      </x:c>
      <x:c r="D845" s="35" t="str">
        <x:v>http://www.w3.org/2001/XMLSchema#boolean</x:v>
      </x:c>
      <x:c r="E845" s="35" t="str">
        <x:v>xsd:boolean</x:v>
      </x:c>
      <x:c r="F845" s="35" t="str"/>
      <x:c r="G845" s="38" t="str">
        <x:v>IMO-068</x:v>
      </x:c>
      <x:c r="H845" s="35" t="str">
        <x:v>Locked-workbook normalized regulatory term</x:v>
      </x:c>
      <x:c r="I845" s="35" t="str">
        <x:v>N4 - preserve the source concept; normalize spelling to ASCII lowerCamelCase</x:v>
      </x:c>
      <x:c r="J845" s="35" t="str">
        <x:v>REUSE_R2_TERM</x:v>
      </x:c>
    </x:row>
    <x:row r="846">
      <x:c r="A846" s="35" t="str">
        <x:v>safeStatus</x:v>
      </x:c>
      <x:c r="B846" s="35" t="str">
        <x:v>https://w3id.org/nltl-benchmark/vocab#safeStatus</x:v>
      </x:c>
      <x:c r="C846" s="35" t="str">
        <x:v>DatatypeProperty</x:v>
      </x:c>
      <x:c r="D846" s="35" t="str">
        <x:v>http://www.w3.org/2001/XMLSchema#boolean</x:v>
      </x:c>
      <x:c r="E846" s="35" t="str">
        <x:v>xsd:boolean</x:v>
      </x:c>
      <x:c r="F846" s="35" t="str"/>
      <x:c r="G846" s="38" t="str">
        <x:v>IMO-062</x:v>
      </x:c>
      <x:c r="H846" s="35" t="str">
        <x:v>Locked-workbook normalized regulatory term</x:v>
      </x:c>
      <x:c r="I846" s="35" t="str">
        <x:v>N4 - preserve the source concept; normalize spelling to ASCII lowerCamelCase</x:v>
      </x:c>
      <x:c r="J846" s="35" t="str">
        <x:v>REUSE_R2_TERM</x:v>
      </x:c>
    </x:row>
    <x:row r="847">
      <x:c r="A847" s="35" t="str">
        <x:v>safetyFactorBladeLossYield</x:v>
      </x:c>
      <x:c r="B847" s="35" t="str">
        <x:v>https://w3id.org/nltl-benchmark/vocab#safetyFactorBladeLossYield</x:v>
      </x:c>
      <x:c r="C847" s="35" t="str">
        <x:v>QuantityProperty</x:v>
      </x:c>
      <x:c r="D847" s="35" t="str">
        <x:v>http://qudt.org/schema/qudt/QuantityValue</x:v>
      </x:c>
      <x:c r="E847" s="35" t="str"/>
      <x:c r="F847" s="35" t="str">
        <x:v>1</x:v>
      </x:c>
      <x:c r="G847" s="38" t="str">
        <x:v>TRF-110</x:v>
      </x:c>
      <x:c r="H847" s="35" t="str">
        <x:v>Benchmark-coined descriptive engineering term</x:v>
      </x:c>
      <x:c r="I847" s="35" t="str">
        <x:v>N5 - component or subject first, followed by characteristic and qualifier/state; no unsupported external mapping</x:v>
      </x:c>
      <x:c r="J847" s="35" t="str">
        <x:v>REUSE_R2_TERM</x:v>
      </x:c>
    </x:row>
    <x:row r="848">
      <x:c r="A848" s="35" t="str">
        <x:v>safetyFactorFatigue</x:v>
      </x:c>
      <x:c r="B848" s="35" t="str">
        <x:v>https://w3id.org/nltl-benchmark/vocab#safetyFactorFatigue</x:v>
      </x:c>
      <x:c r="C848" s="35" t="str">
        <x:v>QuantityProperty</x:v>
      </x:c>
      <x:c r="D848" s="35" t="str">
        <x:v>http://qudt.org/schema/qudt/QuantityValue</x:v>
      </x:c>
      <x:c r="E848" s="35" t="str"/>
      <x:c r="F848" s="35" t="str">
        <x:v>1</x:v>
      </x:c>
      <x:c r="G848" s="38" t="str">
        <x:v>TRF-110</x:v>
      </x:c>
      <x:c r="H848" s="35" t="str">
        <x:v>Benchmark-coined descriptive engineering term</x:v>
      </x:c>
      <x:c r="I848" s="35" t="str">
        <x:v>N5 - component or subject first, followed by characteristic and qualifier/state; no unsupported external mapping</x:v>
      </x:c>
      <x:c r="J848" s="35" t="str">
        <x:v>REUSE_R2_TERM</x:v>
      </x:c>
    </x:row>
    <x:row r="849">
      <x:c r="A849" s="35" t="str">
        <x:v>safetyManagementSystemImplemented</x:v>
      </x:c>
      <x:c r="B849" s="35" t="str">
        <x:v>https://w3id.org/nltl-benchmark/vocab#safetyManagementSystemImplemented</x:v>
      </x:c>
      <x:c r="C849" s="35" t="str">
        <x:v>DatatypeProperty</x:v>
      </x:c>
      <x:c r="D849" s="35" t="str">
        <x:v>http://www.w3.org/2001/XMLSchema#boolean</x:v>
      </x:c>
      <x:c r="E849" s="35" t="str">
        <x:v>xsd:boolean</x:v>
      </x:c>
      <x:c r="F849" s="35" t="str"/>
      <x:c r="G849" s="38" t="str">
        <x:v>IMO26-018</x:v>
      </x:c>
      <x:c r="H849" s="35" t="str">
        <x:v>Locked-workbook normalized regulatory term</x:v>
      </x:c>
      <x:c r="I849" s="35" t="str">
        <x:v>N4 - preserve the source concept; normalize spelling to ASCII lowerCamelCase</x:v>
      </x:c>
      <x:c r="J849" s="35" t="str">
        <x:v>REUSE_R2_TERM</x:v>
      </x:c>
    </x:row>
    <x:row r="850">
      <x:c r="A850" s="35" t="str">
        <x:v>sameScantlingsAsMainFrame</x:v>
      </x:c>
      <x:c r="B850" s="35" t="str">
        <x:v>https://w3id.org/nltl-benchmark/vocab#sameScantlingsAsMainFrame</x:v>
      </x:c>
      <x:c r="C850" s="35" t="str">
        <x:v>DatatypeProperty</x:v>
      </x:c>
      <x:c r="D850" s="35" t="str">
        <x:v>http://www.w3.org/2001/XMLSchema#boolean</x:v>
      </x:c>
      <x:c r="E850" s="35" t="str">
        <x:v>xsd:boolean</x:v>
      </x:c>
      <x:c r="F850" s="35" t="str"/>
      <x:c r="G850" s="38" t="str">
        <x:v>TRF-046 | TRF-047</x:v>
      </x:c>
      <x:c r="H850" s="35" t="str">
        <x:v>Applicable TRAFICOM regulation wording plus explicit engineering node/operand role</x:v>
      </x:c>
      <x:c r="I850" s="35" t="str">
        <x:v>N4 - explicit regulatory concept in ASCII lowerCamelCase with an XSD datatype.</x:v>
      </x:c>
      <x:c r="J850" s="35" t="str">
        <x:v>ADD_DEVELOPMENT_TERM</x:v>
      </x:c>
    </x:row>
    <x:row r="851">
      <x:c r="A851" s="35" t="str">
        <x:v>scallopingPresent</x:v>
      </x:c>
      <x:c r="B851" s="35" t="str">
        <x:v>https://w3id.org/nltl-benchmark/vocab#scallopingPresent</x:v>
      </x:c>
      <x:c r="C851" s="35" t="str">
        <x:v>DatatypeProperty</x:v>
      </x:c>
      <x:c r="D851" s="35" t="str">
        <x:v>http://www.w3.org/2001/XMLSchema#boolean</x:v>
      </x:c>
      <x:c r="E851" s="35" t="str">
        <x:v>xsd:boolean</x:v>
      </x:c>
      <x:c r="F851" s="35" t="str"/>
      <x:c r="G851" s="38" t="str">
        <x:v>TRF-050</x:v>
      </x:c>
      <x:c r="H851" s="35" t="str">
        <x:v>Benchmark-coined descriptive engineering term</x:v>
      </x:c>
      <x:c r="I851" s="35" t="str">
        <x:v>N5 - component or subject first, followed by characteristic and qualifier/state; no unsupported external mapping</x:v>
      </x:c>
      <x:c r="J851" s="35" t="str">
        <x:v>REUSE_R2_TERM</x:v>
      </x:c>
    </x:row>
    <x:row r="852">
      <x:c r="A852" s="35" t="str">
        <x:v>scantlingApprovalStatus</x:v>
      </x:c>
      <x:c r="B852" s="35" t="str">
        <x:v>https://w3id.org/nltl-benchmark/vocab#scantlingApprovalStatus</x:v>
      </x:c>
      <x:c r="C852" s="35" t="str">
        <x:v>ObjectProperty</x:v>
      </x:c>
      <x:c r="D852" s="35" t="str">
        <x:v>https://w3id.org/nltl-benchmark/vocab#evidenceState</x:v>
      </x:c>
      <x:c r="E852" s="35" t="str"/>
      <x:c r="F852" s="35" t="str"/>
      <x:c r="G852" s="38" t="str">
        <x:v>IMO-032 | IMO-049</x:v>
      </x:c>
      <x:c r="H852" s="35" t="str">
        <x:v>Locked-workbook normalized regulatory term</x:v>
      </x:c>
      <x:c r="I852" s="35" t="str">
        <x:v>N4 - preserve the source concept; normalize spelling to ASCII lowerCamelCase</x:v>
      </x:c>
      <x:c r="J852" s="35" t="str">
        <x:v>REUSE_R2_TERM</x:v>
      </x:c>
    </x:row>
    <x:row r="853">
      <x:c r="A853" s="35" t="str">
        <x:v>seaChestVolume</x:v>
      </x:c>
      <x:c r="B853" s="35" t="str">
        <x:v>https://w3id.org/nltl-benchmark/vocab#seaChestVolume</x:v>
      </x:c>
      <x:c r="C853" s="35" t="str">
        <x:v>QuantityProperty</x:v>
      </x:c>
      <x:c r="D853" s="35" t="str">
        <x:v>http://qudt.org/schema/qudt/QuantityValue</x:v>
      </x:c>
      <x:c r="E853" s="35" t="str"/>
      <x:c r="F853" s="35" t="str">
        <x:v>m^3</x:v>
      </x:c>
      <x:c r="G853" s="38" t="str">
        <x:v>TRF-130</x:v>
      </x:c>
      <x:c r="H853" s="35" t="str">
        <x:v>Unit-stripped normalized regulatory variable</x:v>
      </x:c>
      <x:c r="I853" s="35" t="str">
        <x:v>N3 - remove unit from the identifier and retain it in unit/quantity metadata</x:v>
      </x:c>
      <x:c r="J853" s="35" t="str">
        <x:v>REUSE_R2_TERM</x:v>
      </x:c>
    </x:row>
    <x:row r="854">
      <x:c r="A854" s="35" t="str">
        <x:v>seaIceConcentration</x:v>
      </x:c>
      <x:c r="B854" s="35" t="str">
        <x:v>https://w3id.org/nltl-benchmark/vocab#seaIceConcentration</x:v>
      </x:c>
      <x:c r="C854" s="35" t="str">
        <x:v>QuantityProperty</x:v>
      </x:c>
      <x:c r="D854" s="35" t="str">
        <x:v>http://qudt.org/schema/qudt/QuantityValue</x:v>
      </x:c>
      <x:c r="E854" s="35" t="str"/>
      <x:c r="F854" s="35" t="str">
        <x:v>1</x:v>
      </x:c>
      <x:c r="G854" s="38" t="str">
        <x:v>IMO-007</x:v>
      </x:c>
      <x:c r="H854" s="35" t="str">
        <x:v>Unit-stripped normalized regulatory variable</x:v>
      </x:c>
      <x:c r="I854" s="35" t="str">
        <x:v>N3 - remove unit from the identifier and retain it in unit/quantity metadata</x:v>
      </x:c>
      <x:c r="J854" s="35" t="str">
        <x:v>REUSE_R2_TERM</x:v>
      </x:c>
    </x:row>
    <x:row r="855">
      <x:c r="A855" s="35" t="str">
        <x:v>seaInletLocation</x:v>
      </x:c>
      <x:c r="B855" s="35" t="str">
        <x:v>https://w3id.org/nltl-benchmark/vocab#seaInletLocation</x:v>
      </x:c>
      <x:c r="C855" s="35" t="str">
        <x:v>DatatypeProperty</x:v>
      </x:c>
      <x:c r="D855" s="35" t="str">
        <x:v>http://www.w3.org/2001/XMLSchema#string</x:v>
      </x:c>
      <x:c r="E855" s="35" t="str">
        <x:v>xsd:string</x:v>
      </x:c>
      <x:c r="F855" s="35" t="str"/>
      <x:c r="G855" s="38" t="str">
        <x:v>TRF-130</x:v>
      </x:c>
      <x:c r="H855" s="35" t="str">
        <x:v>Verified exact implementation term</x:v>
      </x:c>
      <x:c r="I855" s="35" t="str">
        <x:v>N1 - reuse only after exact URI and semantic-context verification</x:v>
      </x:c>
      <x:c r="J855" s="35" t="str">
        <x:v>REUSE_R2_TERM</x:v>
      </x:c>
    </x:row>
    <x:row r="856">
      <x:c r="A856" s="35" t="str">
        <x:v>seaSuctionIceClearingCapability</x:v>
      </x:c>
      <x:c r="B856" s="35" t="str">
        <x:v>https://w3id.org/nltl-benchmark/vocab#seaSuctionIceClearingCapability</x:v>
      </x:c>
      <x:c r="C856" s="35" t="str">
        <x:v>DatatypeProperty</x:v>
      </x:c>
      <x:c r="D856" s="35" t="str">
        <x:v>http://www.w3.org/2001/XMLSchema#boolean</x:v>
      </x:c>
      <x:c r="E856" s="35" t="str">
        <x:v>xsd:boolean</x:v>
      </x:c>
      <x:c r="F856" s="35" t="str"/>
      <x:c r="G856" s="38" t="str">
        <x:v>IMO-060</x:v>
      </x:c>
      <x:c r="H856" s="35" t="str">
        <x:v>Locked-workbook normalized regulatory term</x:v>
      </x:c>
      <x:c r="I856" s="35" t="str">
        <x:v>N4 - preserve the source concept; normalize spelling to ASCII lowerCamelCase</x:v>
      </x:c>
      <x:c r="J856" s="35" t="str">
        <x:v>REUSE_R2_TERM</x:v>
      </x:c>
    </x:row>
    <x:row r="857">
      <x:c r="A857" s="35" t="str">
        <x:v>searchAndRescueCommunicationCapability</x:v>
      </x:c>
      <x:c r="B857" s="35" t="str">
        <x:v>https://w3id.org/nltl-benchmark/vocab#searchAndRescueCommunicationCapability</x:v>
      </x:c>
      <x:c r="C857" s="35" t="str">
        <x:v>DatatypeProperty</x:v>
      </x:c>
      <x:c r="D857" s="35" t="str">
        <x:v>http://www.w3.org/2001/XMLSchema#boolean</x:v>
      </x:c>
      <x:c r="E857" s="35" t="str">
        <x:v>xsd:boolean</x:v>
      </x:c>
      <x:c r="F857" s="35" t="str"/>
      <x:c r="G857" s="38" t="str">
        <x:v>IMO-095</x:v>
      </x:c>
      <x:c r="H857" s="35" t="str">
        <x:v>Benchmark-coined descriptive engineering term</x:v>
      </x:c>
      <x:c r="I857" s="35" t="str">
        <x:v>N5 - component or subject first, followed by characteristic and qualifier/state; no unsupported external mapping</x:v>
      </x:c>
      <x:c r="J857" s="35" t="str">
        <x:v>REUSE_R2_TERM</x:v>
      </x:c>
    </x:row>
    <x:row r="858">
      <x:c r="A858" s="35" t="str">
        <x:v>searchAndRescueCoordinationCommunicationPresent</x:v>
      </x:c>
      <x:c r="B858" s="35" t="str">
        <x:v>https://w3id.org/nltl-benchmark/vocab#searchAndRescueCoordinationCommunicationPresent</x:v>
      </x:c>
      <x:c r="C858" s="35" t="str">
        <x:v>DatatypeProperty</x:v>
      </x:c>
      <x:c r="D858" s="35" t="str">
        <x:v>http://www.w3.org/2001/XMLSchema#boolean</x:v>
      </x:c>
      <x:c r="E858" s="35" t="str">
        <x:v>xsd:boolean</x:v>
      </x:c>
      <x:c r="F858" s="35" t="str"/>
      <x:c r="G858" s="38" t="str">
        <x:v>IMO-091</x:v>
      </x:c>
      <x:c r="H858" s="35" t="str">
        <x:v>Locked-workbook normalized regulatory term</x:v>
      </x:c>
      <x:c r="I858" s="35" t="str">
        <x:v>N4 - preserve the source concept; normalize spelling to ASCII lowerCamelCase</x:v>
      </x:c>
      <x:c r="J858" s="35" t="str">
        <x:v>REUSE_R2_TERM</x:v>
      </x:c>
    </x:row>
    <x:row r="859">
      <x:c r="A859" s="35" t="str">
        <x:v>searchlightCoverageArc</x:v>
      </x:c>
      <x:c r="B859" s="35" t="str">
        <x:v>https://w3id.org/nltl-benchmark/vocab#searchlightCoverageArc</x:v>
      </x:c>
      <x:c r="C859" s="35" t="str">
        <x:v>QuantityProperty</x:v>
      </x:c>
      <x:c r="D859" s="35" t="str">
        <x:v>http://qudt.org/schema/qudt/QuantityValue</x:v>
      </x:c>
      <x:c r="E859" s="35" t="str"/>
      <x:c r="F859" s="35" t="str">
        <x:v>deg</x:v>
      </x:c>
      <x:c r="G859" s="38" t="str">
        <x:v>IMO-088</x:v>
      </x:c>
      <x:c r="H859" s="35" t="str">
        <x:v>Unit-stripped normalized regulatory variable</x:v>
      </x:c>
      <x:c r="I859" s="35" t="str">
        <x:v>N3 - remove unit from the identifier and retain it in unit/quantity metadata</x:v>
      </x:c>
      <x:c r="J859" s="35" t="str">
        <x:v>REUSE_R2_TERM</x:v>
      </x:c>
    </x:row>
    <x:row r="860">
      <x:c r="A860" s="35" t="str">
        <x:v>sectionModulus</x:v>
      </x:c>
      <x:c r="B860" s="35" t="str">
        <x:v>https://w3id.org/nltl-benchmark/vocab#sectionModulus</x:v>
      </x:c>
      <x:c r="C860" s="35" t="str">
        <x:v>QuantityProperty</x:v>
      </x:c>
      <x:c r="D860" s="35" t="str">
        <x:v>http://qudt.org/schema/qudt/QuantityValue</x:v>
      </x:c>
      <x:c r="E860" s="35" t="str"/>
      <x:c r="F860" s="35" t="str">
        <x:v>cm^3</x:v>
      </x:c>
      <x:c r="G860" s="38" t="str">
        <x:v>I2-029 | I2-030 | TRF-034 | TRF-044 | TRF-048 | TRF-053 | TRF-054 | TRF-055 | TRF-059 | TRF-060</x:v>
      </x:c>
      <x:c r="H860" s="35" t="str">
        <x:v>Locked-workbook normalized regulatory term</x:v>
      </x:c>
      <x:c r="I860" s="35" t="str">
        <x:v>N4 - preserve the source concept; normalize spelling to ASCII lowerCamelCase</x:v>
      </x:c>
      <x:c r="J860" s="35" t="str">
        <x:v>REUSE_R2_TERM</x:v>
      </x:c>
    </x:row>
    <x:row r="861">
      <x:c r="A861" s="35" t="str">
        <x:v>segregatedBallast</x:v>
      </x:c>
      <x:c r="B861" s="35" t="str">
        <x:v>https://w3id.org/nltl-benchmark/vocab#segregatedBallast</x:v>
      </x:c>
      <x:c r="C861" s="35" t="str">
        <x:v>DatatypeProperty</x:v>
      </x:c>
      <x:c r="D861" s="35" t="str">
        <x:v>http://www.w3.org/2001/XMLSchema#boolean</x:v>
      </x:c>
      <x:c r="E861" s="35" t="str">
        <x:v>xsd:boolean</x:v>
      </x:c>
      <x:c r="F861" s="35" t="str"/>
      <x:c r="G861" s="38" t="str">
        <x:v>IMO-106</x:v>
      </x:c>
      <x:c r="H861" s="35" t="str">
        <x:v>Benchmark-coined descriptive engineering term</x:v>
      </x:c>
      <x:c r="I861" s="35" t="str">
        <x:v>N5 - component or subject first, followed by characteristic and qualifier/state; no unsupported external mapping</x:v>
      </x:c>
      <x:c r="J861" s="35" t="str">
        <x:v>REUSE_R2_TERM</x:v>
      </x:c>
    </x:row>
    <x:row r="862">
      <x:c r="A862" s="35" t="str">
        <x:v>selectedDesignScantling</x:v>
      </x:c>
      <x:c r="B862" s="35" t="str">
        <x:v>https://w3id.org/nltl-benchmark/vocab#selectedDesignScantling</x:v>
      </x:c>
      <x:c r="C862" s="35" t="str">
        <x:v>QuantityProperty</x:v>
      </x:c>
      <x:c r="D862" s="35" t="str">
        <x:v>http://qudt.org/schema/qudt/QuantityValue</x:v>
      </x:c>
      <x:c r="E862" s="35" t="str"/>
      <x:c r="F862" s="35" t="str"/>
      <x:c r="G862" s="38" t="str">
        <x:v>TRF-032</x:v>
      </x:c>
      <x:c r="H862" s="35" t="str">
        <x:v>Applicable TRAFICOM regulation wording plus explicit engineering node/operand role</x:v>
      </x:c>
      <x:c r="I862" s="35" t="str">
        <x:v>N4 - explicit engineering quantity in ASCII lowerCamelCase; formula symbols remain aliases only.</x:v>
      </x:c>
      <x:c r="J862" s="35" t="str">
        <x:v>ADD_DEVELOPMENT_TERM</x:v>
      </x:c>
    </x:row>
    <x:row r="863">
      <x:c r="A863" s="35" t="str">
        <x:v>sensorIceProtectionPresent</x:v>
      </x:c>
      <x:c r="B863" s="35" t="str">
        <x:v>https://w3id.org/nltl-benchmark/vocab#sensorIceProtectionPresent</x:v>
      </x:c>
      <x:c r="C863" s="35" t="str">
        <x:v>DatatypeProperty</x:v>
      </x:c>
      <x:c r="D863" s="35" t="str">
        <x:v>http://www.w3.org/2001/XMLSchema#boolean</x:v>
      </x:c>
      <x:c r="E863" s="35" t="str">
        <x:v>xsd:boolean</x:v>
      </x:c>
      <x:c r="F863" s="35" t="str"/>
      <x:c r="G863" s="38" t="str">
        <x:v>IMO-084 | IMO26-010</x:v>
      </x:c>
      <x:c r="H863" s="35" t="str">
        <x:v>Locked-workbook normalized regulatory term</x:v>
      </x:c>
      <x:c r="I863" s="35" t="str">
        <x:v>N4 - preserve the source concept; normalize spelling to ASCII lowerCamelCase</x:v>
      </x:c>
      <x:c r="J863" s="35" t="str">
        <x:v>REUSE_R2_TERM</x:v>
      </x:c>
    </x:row>
    <x:row r="864">
      <x:c r="A864" s="35" t="str">
        <x:v>servesAsIceStringer</x:v>
      </x:c>
      <x:c r="B864" s="35" t="str">
        <x:v>https://w3id.org/nltl-benchmark/vocab#servesAsIceStringer</x:v>
      </x:c>
      <x:c r="C864" s="35" t="str">
        <x:v>DatatypeProperty</x:v>
      </x:c>
      <x:c r="D864" s="35" t="str">
        <x:v>http://www.w3.org/2001/XMLSchema#boolean</x:v>
      </x:c>
      <x:c r="E864" s="35" t="str">
        <x:v>xsd:boolean</x:v>
      </x:c>
      <x:c r="F864" s="35" t="str"/>
      <x:c r="G864" s="38" t="str">
        <x:v>TRF-055</x:v>
      </x:c>
      <x:c r="H864" s="35" t="str">
        <x:v>Applicable TRAFICOM regulation wording plus explicit engineering node/operand role</x:v>
      </x:c>
      <x:c r="I864" s="35" t="str">
        <x:v>N4 - explicit regulatory concept in ASCII lowerCamelCase with an XSD datatype.</x:v>
      </x:c>
      <x:c r="J864" s="35" t="str">
        <x:v>ADD_DEVELOPMENT_TERM</x:v>
      </x:c>
    </x:row>
    <x:row r="865">
      <x:c r="A865" s="35" t="str">
        <x:v>serviceLife</x:v>
      </x:c>
      <x:c r="B865" s="35" t="str">
        <x:v>https://w3id.org/nltl-benchmark/vocab#serviceLife</x:v>
      </x:c>
      <x:c r="C865" s="35" t="str">
        <x:v>QuantityProperty</x:v>
      </x:c>
      <x:c r="D865" s="35" t="str">
        <x:v>http://qudt.org/schema/qudt/QuantityValue</x:v>
      </x:c>
      <x:c r="E865" s="35" t="str"/>
      <x:c r="F865" s="35" t="str">
        <x:v>year</x:v>
      </x:c>
      <x:c r="G865" s="38" t="str">
        <x:v>TRF-070</x:v>
      </x:c>
      <x:c r="H865" s="35" t="str">
        <x:v>Benchmark-coined descriptive engineering term</x:v>
      </x:c>
      <x:c r="I865" s="35" t="str">
        <x:v>N5 - component or subject first, followed by characteristic and qualifier/state; no unsupported external mapping</x:v>
      </x:c>
      <x:c r="J865" s="35" t="str">
        <x:v>REUSE_R2_TERM</x:v>
      </x:c>
    </x:row>
    <x:row r="866">
      <x:c r="A866" s="35" t="str">
        <x:v>serviceLifeLoadDistribution</x:v>
      </x:c>
      <x:c r="B866" s="35" t="str">
        <x:v>https://w3id.org/nltl-benchmark/vocab#serviceLifeLoadDistribution</x:v>
      </x:c>
      <x:c r="C866" s="35" t="str">
        <x:v>DatatypeProperty</x:v>
      </x:c>
      <x:c r="D866" s="35" t="str">
        <x:v>http://www.w3.org/2001/XMLSchema#string</x:v>
      </x:c>
      <x:c r="E866" s="35" t="str">
        <x:v>xsd:string</x:v>
      </x:c>
      <x:c r="F866" s="35" t="str"/>
      <x:c r="G866" s="38" t="str">
        <x:v>TRF-106</x:v>
      </x:c>
      <x:c r="H866" s="35" t="str">
        <x:v>Locked-workbook normalized regulatory term</x:v>
      </x:c>
      <x:c r="I866" s="35" t="str">
        <x:v>N4 - preserve the source concept; normalize spelling to ASCII lowerCamelCase</x:v>
      </x:c>
      <x:c r="J866" s="35" t="str">
        <x:v>REUSE_R2_TERM</x:v>
      </x:c>
    </x:row>
    <x:row r="867">
      <x:c r="A867" s="35" t="str">
        <x:v>sewageDischargeOccurs</x:v>
      </x:c>
      <x:c r="B867" s="35" t="str">
        <x:v>https://w3id.org/nltl-benchmark/vocab#sewageDischargeOccurs</x:v>
      </x:c>
      <x:c r="C867" s="35" t="str">
        <x:v>DatatypeProperty</x:v>
      </x:c>
      <x:c r="D867" s="35" t="str">
        <x:v>http://www.w3.org/2001/XMLSchema#boolean</x:v>
      </x:c>
      <x:c r="E867" s="35" t="str">
        <x:v>xsd:boolean</x:v>
      </x:c>
      <x:c r="F867" s="35" t="str"/>
      <x:c r="G867" s="38" t="str">
        <x:v>IMO-119</x:v>
      </x:c>
      <x:c r="H867" s="35" t="str">
        <x:v>Locked-workbook normalized regulatory term</x:v>
      </x:c>
      <x:c r="I867" s="35" t="str">
        <x:v>N4 - preserve the source concept; normalize spelling to ASCII lowerCamelCase</x:v>
      </x:c>
      <x:c r="J867" s="35" t="str">
        <x:v>REUSE_R2_TERM</x:v>
      </x:c>
    </x:row>
    <x:row r="868">
      <x:c r="A868" s="35" t="str">
        <x:v>sewageDischargeToSea</x:v>
      </x:c>
      <x:c r="B868" s="35" t="str">
        <x:v>https://w3id.org/nltl-benchmark/vocab#sewageDischargeToSea</x:v>
      </x:c>
      <x:c r="C868" s="35" t="str">
        <x:v>DatatypeProperty</x:v>
      </x:c>
      <x:c r="D868" s="35" t="str">
        <x:v>http://www.w3.org/2001/XMLSchema#boolean</x:v>
      </x:c>
      <x:c r="E868" s="35" t="str">
        <x:v>xsd:boolean</x:v>
      </x:c>
      <x:c r="F868" s="35" t="str"/>
      <x:c r="G868" s="38" t="str">
        <x:v>IMO-118</x:v>
      </x:c>
      <x:c r="H868" s="35" t="str">
        <x:v>Locked-workbook normalized regulatory term</x:v>
      </x:c>
      <x:c r="I868" s="35" t="str">
        <x:v>N4 - preserve the source concept; normalize spelling to ASCII lowerCamelCase</x:v>
      </x:c>
      <x:c r="J868" s="35" t="str">
        <x:v>REUSE_R2_TERM</x:v>
      </x:c>
    </x:row>
    <x:row r="869">
      <x:c r="A869" s="35" t="str">
        <x:v>sewageDischargeType</x:v>
      </x:c>
      <x:c r="B869" s="35" t="str">
        <x:v>https://w3id.org/nltl-benchmark/vocab#sewageDischargeType</x:v>
      </x:c>
      <x:c r="C869" s="35" t="str">
        <x:v>DatatypeProperty</x:v>
      </x:c>
      <x:c r="D869" s="35" t="str">
        <x:v>http://www.w3.org/2001/XMLSchema#string</x:v>
      </x:c>
      <x:c r="E869" s="35" t="str">
        <x:v>xsd:string</x:v>
      </x:c>
      <x:c r="F869" s="35" t="str"/>
      <x:c r="G869" s="38" t="str">
        <x:v>IMO-115 | IMO-116</x:v>
      </x:c>
      <x:c r="H869" s="35" t="str">
        <x:v>Locked-workbook normalized regulatory term</x:v>
      </x:c>
      <x:c r="I869" s="35" t="str">
        <x:v>N4 - preserve the source concept; normalize spelling to ASCII lowerCamelCase</x:v>
      </x:c>
      <x:c r="J869" s="35" t="str">
        <x:v>REUSE_R2_TERM</x:v>
      </x:c>
    </x:row>
    <x:row r="870">
      <x:c r="A870" s="35" t="str">
        <x:v>sewageDischargeUsesTreatmentPlant</x:v>
      </x:c>
      <x:c r="B870" s="35" t="str">
        <x:v>https://w3id.org/nltl-benchmark/vocab#sewageDischargeUsesTreatmentPlant</x:v>
      </x:c>
      <x:c r="C870" s="35" t="str">
        <x:v>DatatypeProperty</x:v>
      </x:c>
      <x:c r="D870" s="35" t="str">
        <x:v>http://www.w3.org/2001/XMLSchema#boolean</x:v>
      </x:c>
      <x:c r="E870" s="35" t="str">
        <x:v>xsd:boolean</x:v>
      </x:c>
      <x:c r="F870" s="35" t="str"/>
      <x:c r="G870" s="38" t="str">
        <x:v>IMO-117</x:v>
      </x:c>
      <x:c r="H870" s="35" t="str">
        <x:v>Locked-workbook normalized regulatory term</x:v>
      </x:c>
      <x:c r="I870" s="35" t="str">
        <x:v>N4 - preserve the source concept; normalize spelling to ASCII lowerCamelCase</x:v>
      </x:c>
      <x:c r="J870" s="35" t="str">
        <x:v>REUSE_R2_TERM</x:v>
      </x:c>
    </x:row>
    <x:row r="871">
      <x:c r="A871" s="35" t="str">
        <x:v>sewageTreatmentPlantApprovalStatus</x:v>
      </x:c>
      <x:c r="B871" s="35" t="str">
        <x:v>https://w3id.org/nltl-benchmark/vocab#sewageTreatmentPlantApprovalStatus</x:v>
      </x:c>
      <x:c r="C871" s="35" t="str">
        <x:v>ObjectProperty</x:v>
      </x:c>
      <x:c r="D871" s="35" t="str">
        <x:v>https://w3id.org/nltl-benchmark/vocab#evidenceState</x:v>
      </x:c>
      <x:c r="E871" s="35" t="str"/>
      <x:c r="F871" s="35" t="str"/>
      <x:c r="G871" s="38" t="str">
        <x:v>IMO-117</x:v>
      </x:c>
      <x:c r="H871" s="35" t="str">
        <x:v>Locked-workbook normalized regulatory term</x:v>
      </x:c>
      <x:c r="I871" s="35" t="str">
        <x:v>N4 - preserve the source concept; normalize spelling to ASCII lowerCamelCase</x:v>
      </x:c>
      <x:c r="J871" s="35" t="str">
        <x:v>REUSE_R2_TERM</x:v>
      </x:c>
    </x:row>
    <x:row r="872">
      <x:c r="A872" s="35" t="str">
        <x:v>shaftComponent</x:v>
      </x:c>
      <x:c r="B872" s="35" t="str">
        <x:v>https://w3id.org/nltl-benchmark/vocab#shaftComponent</x:v>
      </x:c>
      <x:c r="C872" s="35" t="str">
        <x:v>Class</x:v>
      </x:c>
      <x:c r="D872" s="35" t="str">
        <x:v>https://w3id.org/nltl-benchmark/vocab#machineryComponent</x:v>
      </x:c>
      <x:c r="E872" s="35" t="str"/>
      <x:c r="F872" s="35" t="str"/>
      <x:c r="G872" s="38" t="str">
        <x:v>TRF-112</x:v>
      </x:c>
      <x:c r="H872" s="35" t="str">
        <x:v>Benchmark-coined descriptive engineering term</x:v>
      </x:c>
      <x:c r="I872" s="35" t="str">
        <x:v>N5 - component or subject first, followed by characteristic and qualifier/state; no unsupported external mapping</x:v>
      </x:c>
      <x:c r="J872" s="35" t="str">
        <x:v>REUSE_R2_TERM</x:v>
      </x:c>
    </x:row>
    <x:row r="873">
      <x:c r="A873" s="35" t="str">
        <x:v>shaftComponentDesignTorque</x:v>
      </x:c>
      <x:c r="B873" s="35" t="str">
        <x:v>https://w3id.org/nltl-benchmark/vocab#shaftComponentDesignTorque</x:v>
      </x:c>
      <x:c r="C873" s="35" t="str">
        <x:v>QuantityProperty</x:v>
      </x:c>
      <x:c r="D873" s="35" t="str">
        <x:v>http://qudt.org/schema/qudt/QuantityValue</x:v>
      </x:c>
      <x:c r="E873" s="35" t="str"/>
      <x:c r="F873" s="35" t="str">
        <x:v>kN*m</x:v>
      </x:c>
      <x:c r="G873" s="38" t="str">
        <x:v>TRF-089</x:v>
      </x:c>
      <x:c r="H873" s="35" t="str">
        <x:v>Benchmark-coined descriptive engineering term</x:v>
      </x:c>
      <x:c r="I873" s="35" t="str">
        <x:v>N5 - component or subject first, followed by characteristic and qualifier/state; no unsupported external mapping</x:v>
      </x:c>
      <x:c r="J873" s="35" t="str">
        <x:v>REUSE_R2_TERM</x:v>
      </x:c>
    </x:row>
    <x:row r="874">
      <x:c r="A874" s="35" t="str">
        <x:v>shaftLineComponent</x:v>
      </x:c>
      <x:c r="B874" s="35" t="str">
        <x:v>https://w3id.org/nltl-benchmark/vocab#shaftLineComponent</x:v>
      </x:c>
      <x:c r="C874" s="35" t="str">
        <x:v>Class</x:v>
      </x:c>
      <x:c r="D874" s="35" t="str">
        <x:v>https://w3id.org/nltl-benchmark/vocab#machineryComponent</x:v>
      </x:c>
      <x:c r="E874" s="35" t="str"/>
      <x:c r="F874" s="35" t="str"/>
      <x:c r="G874" s="38" t="str">
        <x:v>TRF-092</x:v>
      </x:c>
      <x:c r="H874" s="35" t="str">
        <x:v>Benchmark-coined descriptive engineering term</x:v>
      </x:c>
      <x:c r="I874" s="35" t="str">
        <x:v>N5 - component or subject first, followed by characteristic and qualifier/state; no unsupported external mapping</x:v>
      </x:c>
      <x:c r="J874" s="35" t="str">
        <x:v>REUSE_R2_TERM</x:v>
      </x:c>
    </x:row>
    <x:row r="875">
      <x:c r="A875" s="35" t="str">
        <x:v>shaftLineComponentDamage</x:v>
      </x:c>
      <x:c r="B875" s="35" t="str">
        <x:v>https://w3id.org/nltl-benchmark/vocab#shaftLineComponentDamage</x:v>
      </x:c>
      <x:c r="C875" s="35" t="str">
        <x:v>DatatypeProperty</x:v>
      </x:c>
      <x:c r="D875" s="35" t="str">
        <x:v>http://www.w3.org/2001/XMLSchema#boolean</x:v>
      </x:c>
      <x:c r="E875" s="35" t="str">
        <x:v>xsd:boolean</x:v>
      </x:c>
      <x:c r="F875" s="35" t="str"/>
      <x:c r="G875" s="38" t="str">
        <x:v>TRF-104</x:v>
      </x:c>
      <x:c r="H875" s="35" t="str">
        <x:v>Benchmark-coined descriptive engineering term</x:v>
      </x:c>
      <x:c r="I875" s="35" t="str">
        <x:v>N5 - component or subject first, followed by characteristic and qualifier/state; no unsupported external mapping</x:v>
      </x:c>
      <x:c r="J875" s="35" t="str">
        <x:v>REUSE_R2_TERM</x:v>
      </x:c>
    </x:row>
    <x:row r="876">
      <x:c r="A876" s="35" t="str">
        <x:v>shaftSpeed</x:v>
      </x:c>
      <x:c r="B876" s="35" t="str">
        <x:v>https://w3id.org/nltl-benchmark/vocab#shaftSpeed</x:v>
      </x:c>
      <x:c r="C876" s="35" t="str">
        <x:v>QuantityProperty</x:v>
      </x:c>
      <x:c r="D876" s="35" t="str">
        <x:v>http://qudt.org/schema/qudt/QuantityValue</x:v>
      </x:c>
      <x:c r="E876" s="35" t="str"/>
      <x:c r="F876" s="35" t="str">
        <x:v>rev/min</x:v>
      </x:c>
      <x:c r="G876" s="38" t="str">
        <x:v>TRF-092</x:v>
      </x:c>
      <x:c r="H876" s="35" t="str">
        <x:v>Benchmark-coined descriptive engineering term</x:v>
      </x:c>
      <x:c r="I876" s="35" t="str">
        <x:v>N5 - component or subject first, followed by characteristic and qualifier/state; no unsupported external mapping</x:v>
      </x:c>
      <x:c r="J876" s="35" t="str">
        <x:v>REUSE_R2_TERM</x:v>
      </x:c>
    </x:row>
    <x:row r="877">
      <x:c r="A877" s="35" t="str">
        <x:v>shapeCoefficient</x:v>
      </x:c>
      <x:c r="B877" s="35" t="str">
        <x:v>https://w3id.org/nltl-benchmark/vocab#shapeCoefficient</x:v>
      </x:c>
      <x:c r="C877" s="35" t="str">
        <x:v>QuantityProperty</x:v>
      </x:c>
      <x:c r="D877" s="35" t="str">
        <x:v>http://qudt.org/schema/qudt/QuantityValue</x:v>
      </x:c>
      <x:c r="E877" s="35" t="str"/>
      <x:c r="F877" s="35" t="str">
        <x:v>1</x:v>
      </x:c>
      <x:c r="G877" s="38" t="str">
        <x:v>I2-008 | I2-011</x:v>
      </x:c>
      <x:c r="H877" s="35" t="str">
        <x:v>Benchmark-coined descriptive engineering term</x:v>
      </x:c>
      <x:c r="I877" s="35" t="str">
        <x:v>N5 - component or subject first, followed by characteristic and qualifier/state; no unsupported external mapping</x:v>
      </x:c>
      <x:c r="J877" s="35" t="str">
        <x:v>REUSE_R2_TERM</x:v>
      </x:c>
    </x:row>
    <x:row r="878">
      <x:c r="A878" s="35" t="str">
        <x:v>shearArea</x:v>
      </x:c>
      <x:c r="B878" s="35" t="str">
        <x:v>https://w3id.org/nltl-benchmark/vocab#shearArea</x:v>
      </x:c>
      <x:c r="C878" s="35" t="str">
        <x:v>QuantityProperty</x:v>
      </x:c>
      <x:c r="D878" s="35" t="str">
        <x:v>http://qudt.org/schema/qudt/QuantityValue</x:v>
      </x:c>
      <x:c r="E878" s="35" t="str"/>
      <x:c r="F878" s="35" t="str">
        <x:v>m^2</x:v>
      </x:c>
      <x:c r="G878" s="38" t="str">
        <x:v>I2-029 | I2-032 | I2-035 | TRF-034 | TRF-044 | TRF-048 | TRF-053 | TRF-054 | TRF-055 | TRF-059 | TRF-060</x:v>
      </x:c>
      <x:c r="H878" s="35" t="str">
        <x:v>Locked-workbook normalized regulatory term</x:v>
      </x:c>
      <x:c r="I878" s="35" t="str">
        <x:v>N4 - preserve the source concept; normalize spelling to ASCII lowerCamelCase</x:v>
      </x:c>
      <x:c r="J878" s="35" t="str">
        <x:v>REUSE_R2_TERM</x:v>
      </x:c>
    </x:row>
    <x:row r="879">
      <x:c r="A879" s="35" t="str">
        <x:v>shellIceStrengtheningExtent</x:v>
      </x:c>
      <x:c r="B879" s="35" t="str">
        <x:v>https://w3id.org/nltl-benchmark/vocab#shellIceStrengtheningExtent</x:v>
      </x:c>
      <x:c r="C879" s="35" t="str">
        <x:v>DatatypeProperty</x:v>
      </x:c>
      <x:c r="D879" s="35" t="str">
        <x:v>http://www.w3.org/2001/XMLSchema#string</x:v>
      </x:c>
      <x:c r="E879" s="35" t="str">
        <x:v>xsd:string</x:v>
      </x:c>
      <x:c r="F879" s="35" t="str"/>
      <x:c r="G879" s="38" t="str">
        <x:v>TRF-063</x:v>
      </x:c>
      <x:c r="H879" s="35" t="str">
        <x:v>Benchmark-coined descriptive engineering term</x:v>
      </x:c>
      <x:c r="I879" s="35" t="str">
        <x:v>N5 - component or subject first, followed by characteristic and qualifier/state; no unsupported external mapping</x:v>
      </x:c>
      <x:c r="J879" s="35" t="str">
        <x:v>REUSE_R2_TERM</x:v>
      </x:c>
    </x:row>
    <x:row r="880">
      <x:c r="A880" s="35" t="str">
        <x:v>shellInclinationAngle</x:v>
      </x:c>
      <x:c r="B880" s="35" t="str">
        <x:v>https://w3id.org/nltl-benchmark/vocab#shellInclinationAngle</x:v>
      </x:c>
      <x:c r="C880" s="35" t="str">
        <x:v>QuantityProperty</x:v>
      </x:c>
      <x:c r="D880" s="35" t="str">
        <x:v>http://qudt.org/schema/qudt/QuantityValue</x:v>
      </x:c>
      <x:c r="E880" s="35" t="str"/>
      <x:c r="F880" s="35" t="str">
        <x:v>deg</x:v>
      </x:c>
      <x:c r="G880" s="38" t="str">
        <x:v>I2-005</x:v>
      </x:c>
      <x:c r="H880" s="35" t="str">
        <x:v>Benchmark-coined descriptive engineering term</x:v>
      </x:c>
      <x:c r="I880" s="35" t="str">
        <x:v>N5 - component or subject first, followed by characteristic and qualifier/state; no unsupported external mapping</x:v>
      </x:c>
      <x:c r="J880" s="35" t="str">
        <x:v>REUSE_R2_TERM</x:v>
      </x:c>
    </x:row>
    <x:row r="881">
      <x:c r="A881" s="35" t="str">
        <x:v>shellPlateButtCrossing</x:v>
      </x:c>
      <x:c r="B881" s="35" t="str">
        <x:v>https://w3id.org/nltl-benchmark/vocab#shellPlateButtCrossing</x:v>
      </x:c>
      <x:c r="C881" s="35" t="str">
        <x:v>DatatypeProperty</x:v>
      </x:c>
      <x:c r="D881" s="35" t="str">
        <x:v>http://www.w3.org/2001/XMLSchema#boolean</x:v>
      </x:c>
      <x:c r="E881" s="35" t="str">
        <x:v>xsd:boolean</x:v>
      </x:c>
      <x:c r="F881" s="35" t="str"/>
      <x:c r="G881" s="38" t="str">
        <x:v>TRF-050</x:v>
      </x:c>
      <x:c r="H881" s="35" t="str">
        <x:v>Benchmark-coined descriptive engineering term</x:v>
      </x:c>
      <x:c r="I881" s="35" t="str">
        <x:v>N5 - component or subject first, followed by characteristic and qualifier/state; no unsupported external mapping</x:v>
      </x:c>
      <x:c r="J881" s="35" t="str">
        <x:v>REUSE_R2_TERM</x:v>
      </x:c>
    </x:row>
    <x:row r="882">
      <x:c r="A882" s="35" t="str">
        <x:v>shipAttachmentStiffness</x:v>
      </x:c>
      <x:c r="B882" s="35" t="str">
        <x:v>https://w3id.org/nltl-benchmark/vocab#shipAttachmentStiffness</x:v>
      </x:c>
      <x:c r="C882" s="35" t="str">
        <x:v>QuantityProperty</x:v>
      </x:c>
      <x:c r="D882" s="35" t="str">
        <x:v>http://qudt.org/schema/qudt/QuantityValue</x:v>
      </x:c>
      <x:c r="E882" s="35" t="str"/>
      <x:c r="F882" s="35" t="str">
        <x:v>kN/m</x:v>
      </x:c>
      <x:c r="G882" s="38" t="str">
        <x:v>TRF-120</x:v>
      </x:c>
      <x:c r="H882" s="35" t="str">
        <x:v>Benchmark-coined descriptive engineering term</x:v>
      </x:c>
      <x:c r="I882" s="35" t="str">
        <x:v>N5 - component or subject first, followed by characteristic and qualifier/state; no unsupported external mapping</x:v>
      </x:c>
      <x:c r="J882" s="35" t="str">
        <x:v>REUSE_R2_TERM</x:v>
      </x:c>
    </x:row>
    <x:row r="883">
      <x:c r="A883" s="35" t="str">
        <x:v>shipBreadth</x:v>
      </x:c>
      <x:c r="B883" s="35" t="str">
        <x:v>https://w3id.org/nltl-benchmark/vocab#shipBreadth</x:v>
      </x:c>
      <x:c r="C883" s="35" t="str">
        <x:v>QuantityProperty</x:v>
      </x:c>
      <x:c r="D883" s="35" t="str">
        <x:v>http://qudt.org/schema/qudt/QuantityValue</x:v>
      </x:c>
      <x:c r="E883" s="35" t="str"/>
      <x:c r="F883" s="35" t="str">
        <x:v>m</x:v>
      </x:c>
      <x:c r="G883" s="38" t="str">
        <x:v>TRF-027 | TRF-056</x:v>
      </x:c>
      <x:c r="H883" s="35" t="str">
        <x:v>Benchmark-coined descriptive engineering term</x:v>
      </x:c>
      <x:c r="I883" s="35" t="str">
        <x:v>N5 - component or subject first, followed by characteristic and qualifier/state; no unsupported external mapping</x:v>
      </x:c>
      <x:c r="J883" s="35" t="str">
        <x:v>REUSE_R2_TERM</x:v>
      </x:c>
    </x:row>
    <x:row r="884">
      <x:c r="A884" s="35" t="str">
        <x:v>shipCategory</x:v>
      </x:c>
      <x:c r="B884" s="35" t="str">
        <x:v>https://w3id.org/nltl-benchmark/vocab#shipCategory</x:v>
      </x:c>
      <x:c r="C884" s="35" t="str">
        <x:v>ObjectProperty</x:v>
      </x:c>
      <x:c r="D884" s="35" t="str">
        <x:v>https://w3id.org/nltl-benchmark/vocab#polarShipCategoryValue</x:v>
      </x:c>
      <x:c r="E884" s="35" t="str"/>
      <x:c r="F884" s="35" t="str"/>
      <x:c r="G884" s="38" t="str">
        <x:v>IMO-001 | IMO-002 | IMO-003 | IMO-032 | IMO-037 | IMO-049 | IMO-085 | IMO-108 | IMO-109 | IMO-110 | IMO-111 | IMO-114 | IMO-118 | IMO-119 | IMO26-011</x:v>
      </x:c>
      <x:c r="H884" s="35" t="str">
        <x:v>Locked-workbook normalized regulatory term</x:v>
      </x:c>
      <x:c r="I884" s="35" t="str">
        <x:v>N4 - preserve the source concept; normalize spelling to ASCII lowerCamelCase</x:v>
      </x:c>
      <x:c r="J884" s="35" t="str">
        <x:v>REUSE_R2_TERM</x:v>
      </x:c>
    </x:row>
    <x:row r="885">
      <x:c r="A885" s="35" t="str">
        <x:v>shipEnRoute</x:v>
      </x:c>
      <x:c r="B885" s="35" t="str">
        <x:v>https://w3id.org/nltl-benchmark/vocab#shipEnRoute</x:v>
      </x:c>
      <x:c r="C885" s="35" t="str">
        <x:v>DatatypeProperty</x:v>
      </x:c>
      <x:c r="D885" s="35" t="str">
        <x:v>http://www.w3.org/2001/XMLSchema#boolean</x:v>
      </x:c>
      <x:c r="E885" s="35" t="str">
        <x:v>xsd:boolean</x:v>
      </x:c>
      <x:c r="F885" s="35" t="str"/>
      <x:c r="G885" s="38" t="str">
        <x:v>IMO-123</x:v>
      </x:c>
      <x:c r="H885" s="35" t="str">
        <x:v>Locked-workbook normalized regulatory term</x:v>
      </x:c>
      <x:c r="I885" s="35" t="str">
        <x:v>N4 - preserve the source concept; normalize spelling to ASCII lowerCamelCase</x:v>
      </x:c>
      <x:c r="J885" s="35" t="str">
        <x:v>REUSE_R2_TERM</x:v>
      </x:c>
    </x:row>
    <x:row r="886">
      <x:c r="A886" s="35" t="str">
        <x:v>shipExposedToIceAccretion</x:v>
      </x:c>
      <x:c r="B886" s="35" t="str">
        <x:v>https://w3id.org/nltl-benchmark/vocab#shipExposedToIceAccretion</x:v>
      </x:c>
      <x:c r="C886" s="35" t="str">
        <x:v>DatatypeProperty</x:v>
      </x:c>
      <x:c r="D886" s="35" t="str">
        <x:v>http://www.w3.org/2001/XMLSchema#boolean</x:v>
      </x:c>
      <x:c r="E886" s="35" t="str">
        <x:v>xsd:boolean</x:v>
      </x:c>
      <x:c r="F886" s="35" t="str"/>
      <x:c r="G886" s="38" t="str">
        <x:v>IMO-066</x:v>
      </x:c>
      <x:c r="H886" s="35" t="str">
        <x:v>Locked-workbook normalized regulatory term</x:v>
      </x:c>
      <x:c r="I886" s="35" t="str">
        <x:v>N4 - preserve the source concept; normalize spelling to ASCII lowerCamelCase</x:v>
      </x:c>
      <x:c r="J886" s="35" t="str">
        <x:v>REUSE_R2_TERM</x:v>
      </x:c>
    </x:row>
    <x:row r="887">
      <x:c r="A887" s="35" t="str">
        <x:v>shipIceStrengthened</x:v>
      </x:c>
      <x:c r="B887" s="35" t="str">
        <x:v>https://w3id.org/nltl-benchmark/vocab#shipIceStrengthened</x:v>
      </x:c>
      <x:c r="C887" s="35" t="str">
        <x:v>DatatypeProperty</x:v>
      </x:c>
      <x:c r="D887" s="35" t="str">
        <x:v>http://www.w3.org/2001/XMLSchema#boolean</x:v>
      </x:c>
      <x:c r="E887" s="35" t="str">
        <x:v>xsd:boolean</x:v>
      </x:c>
      <x:c r="F887" s="35" t="str"/>
      <x:c r="G887" s="38" t="str">
        <x:v>IMO-028 | IMO-032 | IMO-049 | IMO-081 | IMO26-007</x:v>
      </x:c>
      <x:c r="H887" s="35" t="str">
        <x:v>Locked-workbook normalized regulatory term</x:v>
      </x:c>
      <x:c r="I887" s="35" t="str">
        <x:v>N4 - preserve the source concept; normalize spelling to ASCII lowerCamelCase</x:v>
      </x:c>
      <x:c r="J887" s="35" t="str">
        <x:v>REUSE_R2_TERM</x:v>
      </x:c>
    </x:row>
    <x:row r="888">
      <x:c r="A888" s="35" t="str">
        <x:v>shipLength</x:v>
      </x:c>
      <x:c r="B888" s="35" t="str">
        <x:v>https://w3id.org/nltl-benchmark/vocab#shipLength</x:v>
      </x:c>
      <x:c r="C888" s="35" t="str">
        <x:v>QuantityProperty</x:v>
      </x:c>
      <x:c r="D888" s="35" t="str">
        <x:v>http://qudt.org/schema/qudt/QuantityValue</x:v>
      </x:c>
      <x:c r="E888" s="35" t="str"/>
      <x:c r="F888" s="35" t="str">
        <x:v>m</x:v>
      </x:c>
      <x:c r="G888" s="38" t="str">
        <x:v>TRF-027</x:v>
      </x:c>
      <x:c r="H888" s="35" t="str">
        <x:v>Verified exact implementation term</x:v>
      </x:c>
      <x:c r="I888" s="35" t="str">
        <x:v>N1 - reuse only after exact URI and semantic-context verification</x:v>
      </x:c>
      <x:c r="J888" s="35" t="str">
        <x:v>REUSE_R2_TERM</x:v>
      </x:c>
    </x:row>
    <x:row r="889">
      <x:c r="A889" s="35" t="str">
        <x:v>shipOperatesInIceCoveredWaters</x:v>
      </x:c>
      <x:c r="B889" s="35" t="str">
        <x:v>https://w3id.org/nltl-benchmark/vocab#shipOperatesInIceCoveredWaters</x:v>
      </x:c>
      <x:c r="C889" s="35" t="str">
        <x:v>DatatypeProperty</x:v>
      </x:c>
      <x:c r="D889" s="35" t="str">
        <x:v>http://www.w3.org/2001/XMLSchema#boolean</x:v>
      </x:c>
      <x:c r="E889" s="35" t="str">
        <x:v>xsd:boolean</x:v>
      </x:c>
      <x:c r="F889" s="35" t="str"/>
      <x:c r="G889" s="38" t="str">
        <x:v>IMO-068</x:v>
      </x:c>
      <x:c r="H889" s="35" t="str">
        <x:v>Locked-workbook normalized regulatory term</x:v>
      </x:c>
      <x:c r="I889" s="35" t="str">
        <x:v>N4 - preserve the source concept; normalize spelling to ASCII lowerCamelCase</x:v>
      </x:c>
      <x:c r="J889" s="35" t="str">
        <x:v>REUSE_R2_TERM</x:v>
      </x:c>
    </x:row>
    <x:row r="890">
      <x:c r="A890" s="35" t="str">
        <x:v>shipOperatesInLowAirTemperature</x:v>
      </x:c>
      <x:c r="B890" s="35" t="str">
        <x:v>https://w3id.org/nltl-benchmark/vocab#shipOperatesInLowAirTemperature</x:v>
      </x:c>
      <x:c r="C890" s="35" t="str">
        <x:v>DatatypeProperty</x:v>
      </x:c>
      <x:c r="D890" s="35" t="str">
        <x:v>http://www.w3.org/2001/XMLSchema#boolean</x:v>
      </x:c>
      <x:c r="E890" s="35" t="str">
        <x:v>xsd:boolean</x:v>
      </x:c>
      <x:c r="F890" s="35" t="str"/>
      <x:c r="G890" s="38" t="str">
        <x:v>IMO-013 | IMO-019 | IMO-020 | IMO-046 | IMO-097 | IMO-098</x:v>
      </x:c>
      <x:c r="H890" s="35" t="str">
        <x:v>Locked-workbook normalized regulatory term</x:v>
      </x:c>
      <x:c r="I890" s="35" t="str">
        <x:v>N4 - preserve the source concept; normalize spelling to ASCII lowerCamelCase</x:v>
      </x:c>
      <x:c r="J890" s="35" t="str">
        <x:v>REUSE_R2_TERM</x:v>
      </x:c>
    </x:row>
    <x:row r="891">
      <x:c r="A891" s="35" t="str">
        <x:v>shipOperatesInPolarWaters</x:v>
      </x:c>
      <x:c r="B891" s="35" t="str">
        <x:v>https://w3id.org/nltl-benchmark/vocab#shipOperatesInPolarWaters</x:v>
      </x:c>
      <x:c r="C891" s="35" t="str">
        <x:v>DatatypeProperty</x:v>
      </x:c>
      <x:c r="D891" s="35" t="str">
        <x:v>http://www.w3.org/2001/XMLSchema#boolean</x:v>
      </x:c>
      <x:c r="E891" s="35" t="str">
        <x:v>xsd:boolean</x:v>
      </x:c>
      <x:c r="F891" s="35" t="str"/>
      <x:c r="G891" s="38" t="str">
        <x:v>IMO-107 | IMO-113 | IMO-125 | IMO26-016</x:v>
      </x:c>
      <x:c r="H891" s="35" t="str">
        <x:v>Locked-workbook normalized regulatory term</x:v>
      </x:c>
      <x:c r="I891" s="35" t="str">
        <x:v>N4 - preserve the source concept; normalize spelling to ASCII lowerCamelCase</x:v>
      </x:c>
      <x:c r="J891" s="35" t="str">
        <x:v>REUSE_R2_TERM</x:v>
      </x:c>
    </x:row>
    <x:row r="892">
      <x:c r="A892" s="35" t="str">
        <x:v>shipPerformanceExperienceEvidence</x:v>
      </x:c>
      <x:c r="B892" s="35" t="str">
        <x:v>https://w3id.org/nltl-benchmark/vocab#shipPerformanceExperienceEvidence</x:v>
      </x:c>
      <x:c r="C892" s="35" t="str">
        <x:v>Class</x:v>
      </x:c>
      <x:c r="D892" s="35" t="str">
        <x:v>https://w3id.org/nltl-benchmark/vocab#documentEvidence</x:v>
      </x:c>
      <x:c r="E892" s="35" t="str"/>
      <x:c r="F892" s="35" t="str"/>
      <x:c r="G892" s="38" t="str">
        <x:v>TRF-028</x:v>
      </x:c>
      <x:c r="H892" s="35" t="str">
        <x:v>Benchmark-coined descriptive engineering term</x:v>
      </x:c>
      <x:c r="I892" s="35" t="str">
        <x:v>N5 - component or subject first, followed by characteristic and qualifier/state; no unsupported external mapping</x:v>
      </x:c>
      <x:c r="J892" s="35" t="str">
        <x:v>REUSE_R2_TERM</x:v>
      </x:c>
    </x:row>
    <x:row r="893">
      <x:c r="A893" s="35" t="str">
        <x:v>shipProvidesIcebreakingEscort</x:v>
      </x:c>
      <x:c r="B893" s="35" t="str">
        <x:v>https://w3id.org/nltl-benchmark/vocab#shipProvidesIcebreakingEscort</x:v>
      </x:c>
      <x:c r="C893" s="35" t="str">
        <x:v>DatatypeProperty</x:v>
      </x:c>
      <x:c r="D893" s="35" t="str">
        <x:v>http://www.w3.org/2001/XMLSchema#boolean</x:v>
      </x:c>
      <x:c r="E893" s="35" t="str">
        <x:v>xsd:boolean</x:v>
      </x:c>
      <x:c r="F893" s="35" t="str"/>
      <x:c r="G893" s="38" t="str">
        <x:v>IMO-094</x:v>
      </x:c>
      <x:c r="H893" s="35" t="str">
        <x:v>Locked-workbook normalized regulatory term</x:v>
      </x:c>
      <x:c r="I893" s="35" t="str">
        <x:v>N4 - preserve the source concept; normalize spelling to ASCII lowerCamelCase</x:v>
      </x:c>
      <x:c r="J893" s="35" t="str">
        <x:v>REUSE_R2_TERM</x:v>
      </x:c>
    </x:row>
    <x:row r="894">
      <x:c r="A894" s="35" t="str">
        <x:v>shipSideDeflection</x:v>
      </x:c>
      <x:c r="B894" s="35" t="str">
        <x:v>https://w3id.org/nltl-benchmark/vocab#shipSideDeflection</x:v>
      </x:c>
      <x:c r="C894" s="35" t="str">
        <x:v>QuantityProperty</x:v>
      </x:c>
      <x:c r="D894" s="35" t="str">
        <x:v>http://qudt.org/schema/qudt/QuantityValue</x:v>
      </x:c>
      <x:c r="E894" s="35" t="str"/>
      <x:c r="F894" s="35" t="str">
        <x:v>m</x:v>
      </x:c>
      <x:c r="G894" s="38" t="str">
        <x:v>TRF-056</x:v>
      </x:c>
      <x:c r="H894" s="35" t="str">
        <x:v>Benchmark-coined descriptive engineering term</x:v>
      </x:c>
      <x:c r="I894" s="35" t="str">
        <x:v>N5 - component or subject first, followed by characteristic and qualifier/state; no unsupported external mapping</x:v>
      </x:c>
      <x:c r="J894" s="35" t="str">
        <x:v>REUSE_R2_TERM</x:v>
      </x:c>
    </x:row>
    <x:row r="895">
      <x:c r="A895" s="35" t="str">
        <x:v>shipSizeEngineOutputCoefficientA</x:v>
      </x:c>
      <x:c r="B895" s="35" t="str">
        <x:v>https://w3id.org/nltl-benchmark/vocab#shipSizeEngineOutputCoefficientA</x:v>
      </x:c>
      <x:c r="C895" s="35" t="str">
        <x:v>QuantityProperty</x:v>
      </x:c>
      <x:c r="D895" s="35" t="str">
        <x:v>http://qudt.org/schema/qudt/QuantityValue</x:v>
      </x:c>
      <x:c r="E895" s="35" t="str"/>
      <x:c r="F895" s="35" t="str">
        <x:v>1</x:v>
      </x:c>
      <x:c r="G895" s="38" t="str">
        <x:v>TRF-037</x:v>
      </x:c>
      <x:c r="H895" s="35" t="str">
        <x:v>Applicable TRAFICOM regulation wording plus explicit engineering node/operand role</x:v>
      </x:c>
      <x:c r="I895" s="35" t="str">
        <x:v>N4 - explicit engineering quantity in ASCII lowerCamelCase; formula symbols remain aliases only.</x:v>
      </x:c>
      <x:c r="J895" s="35" t="str">
        <x:v>ADD_DEVELOPMENT_TERM</x:v>
      </x:c>
    </x:row>
    <x:row r="896">
      <x:c r="A896" s="35" t="str">
        <x:v>shipSizeEngineOutputCoefficientB</x:v>
      </x:c>
      <x:c r="B896" s="35" t="str">
        <x:v>https://w3id.org/nltl-benchmark/vocab#shipSizeEngineOutputCoefficientB</x:v>
      </x:c>
      <x:c r="C896" s="35" t="str">
        <x:v>QuantityProperty</x:v>
      </x:c>
      <x:c r="D896" s="35" t="str">
        <x:v>http://qudt.org/schema/qudt/QuantityValue</x:v>
      </x:c>
      <x:c r="E896" s="35" t="str"/>
      <x:c r="F896" s="35" t="str">
        <x:v>1</x:v>
      </x:c>
      <x:c r="G896" s="38" t="str">
        <x:v>TRF-037</x:v>
      </x:c>
      <x:c r="H896" s="35" t="str">
        <x:v>Applicable TRAFICOM regulation wording plus explicit engineering node/operand role</x:v>
      </x:c>
      <x:c r="I896" s="35" t="str">
        <x:v>N4 - explicit engineering quantity in ASCII lowerCamelCase; formula symbols remain aliases only.</x:v>
      </x:c>
      <x:c r="J896" s="35" t="str">
        <x:v>ADD_DEVELOPMENT_TERM</x:v>
      </x:c>
    </x:row>
    <x:row r="897">
      <x:c r="A897" s="35" t="str">
        <x:v>shipSizeEngineOutputCoefficientK</x:v>
      </x:c>
      <x:c r="B897" s="35" t="str">
        <x:v>https://w3id.org/nltl-benchmark/vocab#shipSizeEngineOutputCoefficientK</x:v>
      </x:c>
      <x:c r="C897" s="35" t="str">
        <x:v>QuantityProperty</x:v>
      </x:c>
      <x:c r="D897" s="35" t="str">
        <x:v>http://qudt.org/schema/qudt/QuantityValue</x:v>
      </x:c>
      <x:c r="E897" s="35" t="str"/>
      <x:c r="F897" s="35" t="str">
        <x:v>1</x:v>
      </x:c>
      <x:c r="G897" s="38" t="str">
        <x:v>TRF-037</x:v>
      </x:c>
      <x:c r="H897" s="35" t="str">
        <x:v>Applicable TRAFICOM regulation wording plus explicit engineering node/operand role</x:v>
      </x:c>
      <x:c r="I897" s="35" t="str">
        <x:v>N4 - explicit engineering quantity in ASCII lowerCamelCase; formula symbols remain aliases only.</x:v>
      </x:c>
      <x:c r="J897" s="35" t="str">
        <x:v>ADD_DEVELOPMENT_TERM</x:v>
      </x:c>
    </x:row>
    <x:row r="898">
      <x:c r="A898" s="35" t="str">
        <x:v>shipSizeEngineOutputFactorCd</x:v>
      </x:c>
      <x:c r="B898" s="35" t="str">
        <x:v>https://w3id.org/nltl-benchmark/vocab#shipSizeEngineOutputFactorCd</x:v>
      </x:c>
      <x:c r="C898" s="35" t="str">
        <x:v>QuantityProperty</x:v>
      </x:c>
      <x:c r="D898" s="35" t="str">
        <x:v>http://qudt.org/schema/qudt/QuantityValue</x:v>
      </x:c>
      <x:c r="E898" s="35" t="str"/>
      <x:c r="F898" s="35" t="str">
        <x:v>1</x:v>
      </x:c>
      <x:c r="G898" s="38" t="str">
        <x:v>TRF-037</x:v>
      </x:c>
      <x:c r="H898" s="35" t="str">
        <x:v>Applicable TRAFICOM regulation wording plus explicit engineering node/operand role</x:v>
      </x:c>
      <x:c r="I898" s="35" t="str">
        <x:v>N4 - explicit engineering quantity in ASCII lowerCamelCase; formula symbols remain aliases only.</x:v>
      </x:c>
      <x:c r="J898" s="35" t="str">
        <x:v>ADD_DEVELOPMENT_TERM</x:v>
      </x:c>
    </x:row>
    <x:row r="899">
      <x:c r="A899" s="35" t="str">
        <x:v>shipToShipCommunicationAvailable</x:v>
      </x:c>
      <x:c r="B899" s="35" t="str">
        <x:v>https://w3id.org/nltl-benchmark/vocab#shipToShipCommunicationAvailable</x:v>
      </x:c>
      <x:c r="C899" s="35" t="str">
        <x:v>DatatypeProperty</x:v>
      </x:c>
      <x:c r="D899" s="35" t="str">
        <x:v>http://www.w3.org/2001/XMLSchema#boolean</x:v>
      </x:c>
      <x:c r="E899" s="35" t="str">
        <x:v>xsd:boolean</x:v>
      </x:c>
      <x:c r="F899" s="35" t="str"/>
      <x:c r="G899" s="38" t="str">
        <x:v>IMO-090</x:v>
      </x:c>
      <x:c r="H899" s="35" t="str">
        <x:v>Locked-workbook normalized regulatory term</x:v>
      </x:c>
      <x:c r="I899" s="35" t="str">
        <x:v>N4 - preserve the source concept; normalize spelling to ASCII lowerCamelCase</x:v>
      </x:c>
      <x:c r="J899" s="35" t="str">
        <x:v>REUSE_R2_TERM</x:v>
      </x:c>
    </x:row>
    <x:row r="900">
      <x:c r="A900" s="35" t="str">
        <x:v>shipToShoreCommunicationAvailable</x:v>
      </x:c>
      <x:c r="B900" s="35" t="str">
        <x:v>https://w3id.org/nltl-benchmark/vocab#shipToShoreCommunicationAvailable</x:v>
      </x:c>
      <x:c r="C900" s="35" t="str">
        <x:v>DatatypeProperty</x:v>
      </x:c>
      <x:c r="D900" s="35" t="str">
        <x:v>http://www.w3.org/2001/XMLSchema#boolean</x:v>
      </x:c>
      <x:c r="E900" s="35" t="str">
        <x:v>xsd:boolean</x:v>
      </x:c>
      <x:c r="F900" s="35" t="str"/>
      <x:c r="G900" s="38" t="str">
        <x:v>IMO-090</x:v>
      </x:c>
      <x:c r="H900" s="35" t="str">
        <x:v>Locked-workbook normalized regulatory term</x:v>
      </x:c>
      <x:c r="I900" s="35" t="str">
        <x:v>N4 - preserve the source concept; normalize spelling to ASCII lowerCamelCase</x:v>
      </x:c>
      <x:c r="J900" s="35" t="str">
        <x:v>REUSE_R2_TERM</x:v>
      </x:c>
    </x:row>
    <x:row r="901">
      <x:c r="A901" s="35" t="str">
        <x:v>shipType</x:v>
      </x:c>
      <x:c r="B901" s="35" t="str">
        <x:v>https://w3id.org/nltl-benchmark/vocab#shipType</x:v>
      </x:c>
      <x:c r="C901" s="35" t="str">
        <x:v>DatatypeProperty</x:v>
      </x:c>
      <x:c r="D901" s="35" t="str">
        <x:v>http://www.w3.org/2001/XMLSchema#string</x:v>
      </x:c>
      <x:c r="E901" s="35" t="str">
        <x:v>xsd:string</x:v>
      </x:c>
      <x:c r="F901" s="35" t="str"/>
      <x:c r="G901" s="38" t="str">
        <x:v>IMO-070 | IMO-102 | IMO-109 | IMO-110 | IMO-118 | IMO26-002 | IMO26-016</x:v>
      </x:c>
      <x:c r="H901" s="35" t="str">
        <x:v>Locked-workbook normalized regulatory term</x:v>
      </x:c>
      <x:c r="I901" s="35" t="str">
        <x:v>N4 - preserve the source concept; normalize spelling to ASCII lowerCamelCase</x:v>
      </x:c>
      <x:c r="J901" s="35" t="str">
        <x:v>REUSE_R2_TERM</x:v>
      </x:c>
    </x:row>
    <x:row r="902">
      <x:c r="A902" s="35" t="str">
        <x:v>sideIcingAllowance</x:v>
      </x:c>
      <x:c r="B902" s="35" t="str">
        <x:v>https://w3id.org/nltl-benchmark/vocab#sideIcingAllowance</x:v>
      </x:c>
      <x:c r="C902" s="35" t="str">
        <x:v>QuantityProperty</x:v>
      </x:c>
      <x:c r="D902" s="35" t="str">
        <x:v>http://qudt.org/schema/qudt/QuantityValue</x:v>
      </x:c>
      <x:c r="E902" s="35" t="str"/>
      <x:c r="F902" s="35" t="str">
        <x:v>kg/m^2</x:v>
      </x:c>
      <x:c r="G902" s="38" t="str">
        <x:v>IMO-033</x:v>
      </x:c>
      <x:c r="H902" s="35" t="str">
        <x:v>Unit-stripped normalized regulatory variable</x:v>
      </x:c>
      <x:c r="I902" s="35" t="str">
        <x:v>N3 - remove unit from the identifier and retain it in unit/quantity metadata</x:v>
      </x:c>
      <x:c r="J902" s="35" t="str">
        <x:v>REUSE_R2_TERM</x:v>
      </x:c>
    </x:row>
    <x:row r="903">
      <x:c r="A903" s="35" t="str">
        <x:v>sidePropeller</x:v>
      </x:c>
      <x:c r="B903" s="35" t="str">
        <x:v>https://w3id.org/nltl-benchmark/vocab#sidePropeller</x:v>
      </x:c>
      <x:c r="C903" s="35" t="str">
        <x:v>Class</x:v>
      </x:c>
      <x:c r="D903" s="35" t="str">
        <x:v>https://w3id.org/nltl-benchmark/vocab#machineryComponent</x:v>
      </x:c>
      <x:c r="E903" s="35" t="str"/>
      <x:c r="F903" s="35" t="str"/>
      <x:c r="G903" s="38" t="str">
        <x:v>TRF-063</x:v>
      </x:c>
      <x:c r="H903" s="35" t="str">
        <x:v>Benchmark-coined descriptive engineering term</x:v>
      </x:c>
      <x:c r="I903" s="35" t="str">
        <x:v>N5 - component or subject first, followed by characteristic and qualifier/state; no unsupported external mapping</x:v>
      </x:c>
      <x:c r="J903" s="35" t="str">
        <x:v>REUSE_R2_TERM</x:v>
      </x:c>
    </x:row>
    <x:row r="904">
      <x:c r="A904" s="35" t="str">
        <x:v>sidePropellerShafting</x:v>
      </x:c>
      <x:c r="B904" s="35" t="str">
        <x:v>https://w3id.org/nltl-benchmark/vocab#sidePropellerShafting</x:v>
      </x:c>
      <x:c r="C904" s="35" t="str">
        <x:v>DatatypeProperty</x:v>
      </x:c>
      <x:c r="D904" s="35" t="str">
        <x:v>http://www.w3.org/2001/XMLSchema#string</x:v>
      </x:c>
      <x:c r="E904" s="35" t="str">
        <x:v>xsd:string</x:v>
      </x:c>
      <x:c r="F904" s="35" t="str"/>
      <x:c r="G904" s="38" t="str">
        <x:v>TRF-064</x:v>
      </x:c>
      <x:c r="H904" s="35" t="str">
        <x:v>Benchmark-coined descriptive engineering term</x:v>
      </x:c>
      <x:c r="I904" s="35" t="str">
        <x:v>N5 - component or subject first, followed by characteristic and qualifier/state; no unsupported external mapping</x:v>
      </x:c>
      <x:c r="J904" s="35" t="str">
        <x:v>REUSE_R2_TERM</x:v>
      </x:c>
    </x:row>
    <x:row r="905">
      <x:c r="A905" s="35" t="str">
        <x:v>sidescuttleInIceBelt</x:v>
      </x:c>
      <x:c r="B905" s="35" t="str">
        <x:v>https://w3id.org/nltl-benchmark/vocab#sidescuttleInIceBelt</x:v>
      </x:c>
      <x:c r="C905" s="35" t="str">
        <x:v>DatatypeProperty</x:v>
      </x:c>
      <x:c r="D905" s="35" t="str">
        <x:v>http://www.w3.org/2001/XMLSchema#boolean</x:v>
      </x:c>
      <x:c r="E905" s="35" t="str">
        <x:v>xsd:boolean</x:v>
      </x:c>
      <x:c r="F905" s="35" t="str"/>
      <x:c r="G905" s="38" t="str">
        <x:v>TRF-040</x:v>
      </x:c>
      <x:c r="H905" s="35" t="str">
        <x:v>Benchmark-coined descriptive engineering term</x:v>
      </x:c>
      <x:c r="I905" s="35" t="str">
        <x:v>N5 - component or subject first, followed by characteristic and qualifier/state; no unsupported external mapping</x:v>
      </x:c>
      <x:c r="J905" s="35" t="str">
        <x:v>REUSE_R2_TERM</x:v>
      </x:c>
    </x:row>
    <x:row r="906">
      <x:c r="A906" s="35" t="str">
        <x:v>significantlyDifferentBoundaryConditions</x:v>
      </x:c>
      <x:c r="B906" s="35" t="str">
        <x:v>https://w3id.org/nltl-benchmark/vocab#significantlyDifferentBoundaryConditions</x:v>
      </x:c>
      <x:c r="C906" s="35" t="str">
        <x:v>DatatypeProperty</x:v>
      </x:c>
      <x:c r="D906" s="35" t="str">
        <x:v>http://www.w3.org/2001/XMLSchema#boolean</x:v>
      </x:c>
      <x:c r="E906" s="35" t="str">
        <x:v>xsd:boolean</x:v>
      </x:c>
      <x:c r="F906" s="35" t="str"/>
      <x:c r="G906" s="38" t="str">
        <x:v>TRF-048</x:v>
      </x:c>
      <x:c r="H906" s="35" t="str">
        <x:v>Applicable TRAFICOM regulation wording plus explicit engineering node/operand role</x:v>
      </x:c>
      <x:c r="I906" s="35" t="str">
        <x:v>N4 - explicit regulatory concept in ASCII lowerCamelCase with an XSD datatype.</x:v>
      </x:c>
      <x:c r="J906" s="35" t="str">
        <x:v>ADD_DEVELOPMENT_TERM</x:v>
      </x:c>
    </x:row>
    <x:row r="907">
      <x:c r="A907" s="35" t="str">
        <x:v>similarAttachmentConstructionPresent</x:v>
      </x:c>
      <x:c r="B907" s="35" t="str">
        <x:v>https://w3id.org/nltl-benchmark/vocab#similarAttachmentConstructionPresent</x:v>
      </x:c>
      <x:c r="C907" s="35" t="str">
        <x:v>DatatypeProperty</x:v>
      </x:c>
      <x:c r="D907" s="35" t="str">
        <x:v>http://www.w3.org/2001/XMLSchema#boolean</x:v>
      </x:c>
      <x:c r="E907" s="35" t="str">
        <x:v>xsd:boolean</x:v>
      </x:c>
      <x:c r="F907" s="35" t="str"/>
      <x:c r="G907" s="38" t="str">
        <x:v>TRF-049</x:v>
      </x:c>
      <x:c r="H907" s="35" t="str">
        <x:v>Applicable TRAFICOM regulation wording plus explicit engineering node/operand role</x:v>
      </x:c>
      <x:c r="I907" s="35" t="str">
        <x:v>N4 - explicit regulatory concept in ASCII lowerCamelCase with an XSD datatype.</x:v>
      </x:c>
      <x:c r="J907" s="35" t="str">
        <x:v>ADD_DEVELOPMENT_TERM</x:v>
      </x:c>
    </x:row>
    <x:row r="908">
      <x:c r="A908" s="35" t="str">
        <x:v>singleDeckTankTopToMainDeckFrameCondition</x:v>
      </x:c>
      <x:c r="B908" s="35" t="str">
        <x:v>https://w3id.org/nltl-benchmark/vocab#singleDeckTankTopToMainDeckFrameCondition</x:v>
      </x:c>
      <x:c r="C908" s="35" t="str">
        <x:v>NamedIndividual</x:v>
      </x:c>
      <x:c r="D908" s="35" t="str">
        <x:v>https://w3id.org/nltl-benchmark/vocab#frameBoundaryConditionTypeValue</x:v>
      </x:c>
      <x:c r="E908" s="35" t="str"/>
      <x:c r="F908" s="35" t="str"/>
      <x:c r="G908" s="38" t="str">
        <x:v>TRF-044</x:v>
      </x:c>
      <x:c r="H908" s="35" t="str">
        <x:v>Applicable TRAFICOM regulation wording plus explicit engineering node/operand role</x:v>
      </x:c>
      <x:c r="I908" s="35" t="str">
        <x:v>N6 - concise ASCII lowerCamelCase controlled-value name grounded in the linked regulation.</x:v>
      </x:c>
      <x:c r="J908" s="35" t="str">
        <x:v>ADD_DEVELOPMENT_TERM</x:v>
      </x:c>
    </x:row>
    <x:row r="909">
      <x:c r="A909" s="35" t="str">
        <x:v>situatedAboveLowerIceWaterline</x:v>
      </x:c>
      <x:c r="B909" s="35" t="str">
        <x:v>https://w3id.org/nltl-benchmark/vocab#situatedAboveLowerIceWaterline</x:v>
      </x:c>
      <x:c r="C909" s="35" t="str">
        <x:v>DatatypeProperty</x:v>
      </x:c>
      <x:c r="D909" s="35" t="str">
        <x:v>http://www.w3.org/2001/XMLSchema#boolean</x:v>
      </x:c>
      <x:c r="E909" s="35" t="str">
        <x:v>xsd:boolean</x:v>
      </x:c>
      <x:c r="F909" s="35" t="str"/>
      <x:c r="G909" s="38" t="str">
        <x:v>TRF-016</x:v>
      </x:c>
      <x:c r="H909" s="35" t="str">
        <x:v>Applicable TRAFICOM regulation wording plus explicit engineering node/operand role</x:v>
      </x:c>
      <x:c r="I909" s="35" t="str">
        <x:v>N4 - explicit regulatory concept in ASCII lowerCamelCase with an XSD datatype.</x:v>
      </x:c>
      <x:c r="J909" s="35" t="str">
        <x:v>ADD_DEVELOPMENT_TERM</x:v>
      </x:c>
    </x:row>
    <x:row r="910">
      <x:c r="A910" s="35" t="str">
        <x:v>sizeCompatibilityStatus</x:v>
      </x:c>
      <x:c r="B910" s="35" t="str">
        <x:v>https://w3id.org/nltl-benchmark/vocab#sizeCompatibilityStatus</x:v>
      </x:c>
      <x:c r="C910" s="35" t="str">
        <x:v>DatatypeProperty</x:v>
      </x:c>
      <x:c r="D910" s="35" t="str">
        <x:v>http://www.w3.org/2001/XMLSchema#boolean</x:v>
      </x:c>
      <x:c r="E910" s="35" t="str">
        <x:v>xsd:boolean</x:v>
      </x:c>
      <x:c r="F910" s="35" t="str"/>
      <x:c r="G910" s="38" t="str">
        <x:v>IMO-070</x:v>
      </x:c>
      <x:c r="H910" s="35" t="str">
        <x:v>Locked-workbook normalized regulatory term</x:v>
      </x:c>
      <x:c r="I910" s="35" t="str">
        <x:v>N4 - preserve the source concept; normalize spelling to ASCII lowerCamelCase</x:v>
      </x:c>
      <x:c r="J910" s="35" t="str">
        <x:v>REUSE_R2_TERM</x:v>
      </x:c>
    </x:row>
    <x:row r="911">
      <x:c r="A911" s="35" t="str">
        <x:v>solasCertificateSchedule</x:v>
      </x:c>
      <x:c r="B911" s="35" t="str">
        <x:v>https://w3id.org/nltl-benchmark/vocab#solasCertificateSchedule</x:v>
      </x:c>
      <x:c r="C911" s="35" t="str">
        <x:v>Class</x:v>
      </x:c>
      <x:c r="D911" s="35" t="str">
        <x:v>https://w3id.org/nltl-benchmark/vocab#documentEvidence</x:v>
      </x:c>
      <x:c r="E911" s="35" t="str"/>
      <x:c r="F911" s="35" t="str"/>
      <x:c r="G911" s="38" t="str">
        <x:v>IMO-017</x:v>
      </x:c>
      <x:c r="H911" s="35" t="str">
        <x:v>Locked-workbook normalized regulatory term</x:v>
      </x:c>
      <x:c r="I911" s="35" t="str">
        <x:v>N4 - preserve the source concept; normalize spelling to ASCII lowerCamelCase</x:v>
      </x:c>
      <x:c r="J911" s="35" t="str">
        <x:v>REUSE_R2_TERM</x:v>
      </x:c>
    </x:row>
    <x:row r="912">
      <x:c r="A912" s="35" t="str">
        <x:v>solasChapterICertified</x:v>
      </x:c>
      <x:c r="B912" s="35" t="str">
        <x:v>https://w3id.org/nltl-benchmark/vocab#solasChapterICertified</x:v>
      </x:c>
      <x:c r="C912" s="35" t="str">
        <x:v>DatatypeProperty</x:v>
      </x:c>
      <x:c r="D912" s="35" t="str">
        <x:v>http://www.w3.org/2001/XMLSchema#boolean</x:v>
      </x:c>
      <x:c r="E912" s="35" t="str">
        <x:v>xsd:boolean</x:v>
      </x:c>
      <x:c r="F912" s="35" t="str"/>
      <x:c r="G912" s="38" t="str">
        <x:v>IMO26-001 | IMO26-015</x:v>
      </x:c>
      <x:c r="H912" s="35" t="str">
        <x:v>Locked-workbook normalized regulatory term</x:v>
      </x:c>
      <x:c r="I912" s="35" t="str">
        <x:v>N4 - preserve the source concept; normalize spelling to ASCII lowerCamelCase</x:v>
      </x:c>
      <x:c r="J912" s="35" t="str">
        <x:v>REUSE_R2_TERM</x:v>
      </x:c>
    </x:row>
    <x:row r="913">
      <x:c r="A913" s="35" t="str">
        <x:v>solasRegulationV22Point1Point9Point4ComplianceStatus</x:v>
      </x:c>
      <x:c r="B913" s="35" t="str">
        <x:v>https://w3id.org/nltl-benchmark/vocab#solasRegulationV22Point1Point9Point4ComplianceStatus</x:v>
      </x:c>
      <x:c r="C913" s="35" t="str">
        <x:v>DatatypeProperty</x:v>
      </x:c>
      <x:c r="D913" s="35" t="str">
        <x:v>http://www.w3.org/2001/XMLSchema#boolean</x:v>
      </x:c>
      <x:c r="E913" s="35" t="str">
        <x:v>xsd:boolean</x:v>
      </x:c>
      <x:c r="F913" s="35" t="str"/>
      <x:c r="G913" s="38" t="str">
        <x:v>IMO-082 | IMO26-008</x:v>
      </x:c>
      <x:c r="H913" s="35" t="str">
        <x:v>Explicit regulation-reference transcription</x:v>
      </x:c>
      <x:c r="I913" s="35" t="str">
        <x:v>N6 - spell separators as Point or Dash and identify the governing instrument</x:v>
      </x:c>
      <x:c r="J913" s="35" t="str">
        <x:v>REUSE_R2_TERM</x:v>
      </x:c>
    </x:row>
    <x:row r="914">
      <x:c r="A914" s="35" t="str">
        <x:v>spacing</x:v>
      </x:c>
      <x:c r="B914" s="35" t="str">
        <x:v>https://w3id.org/nltl-benchmark/vocab#spacing</x:v>
      </x:c>
      <x:c r="C914" s="35" t="str">
        <x:v>QuantityProperty</x:v>
      </x:c>
      <x:c r="D914" s="35" t="str">
        <x:v>http://qudt.org/schema/qudt/QuantityValue</x:v>
      </x:c>
      <x:c r="E914" s="35" t="str"/>
      <x:c r="F914" s="35" t="str">
        <x:v>m</x:v>
      </x:c>
      <x:c r="G914" s="38" t="str">
        <x:v>TRF-030 | TRF-040 | TRF-061</x:v>
      </x:c>
      <x:c r="H914" s="35" t="str">
        <x:v>Unit-stripped normalized regulatory variable</x:v>
      </x:c>
      <x:c r="I914" s="35" t="str">
        <x:v>N3 - remove unit from the identifier and retain it in unit/quantity metadata</x:v>
      </x:c>
      <x:c r="J914" s="35" t="str">
        <x:v>REUSE_R2_TERM</x:v>
      </x:c>
    </x:row>
    <x:row r="915">
      <x:c r="A915" s="35" t="str">
        <x:v>span</x:v>
      </x:c>
      <x:c r="B915" s="35" t="str">
        <x:v>https://w3id.org/nltl-benchmark/vocab#span</x:v>
      </x:c>
      <x:c r="C915" s="35" t="str">
        <x:v>QuantityProperty</x:v>
      </x:c>
      <x:c r="D915" s="35" t="str">
        <x:v>http://qudt.org/schema/qudt/QuantityValue</x:v>
      </x:c>
      <x:c r="E915" s="35" t="str"/>
      <x:c r="F915" s="35" t="str">
        <x:v>m</x:v>
      </x:c>
      <x:c r="G915" s="38" t="str">
        <x:v>I2-032 | TRF-030 | TRF-045</x:v>
      </x:c>
      <x:c r="H915" s="35" t="str">
        <x:v>Unit-stripped normalized regulatory variable</x:v>
      </x:c>
      <x:c r="I915" s="35" t="str">
        <x:v>N3 - remove unit from the identifier and retain it in unit/quantity metadata</x:v>
      </x:c>
      <x:c r="J915" s="35" t="str">
        <x:v>REUSE_R2_TERM</x:v>
      </x:c>
    </x:row>
    <x:row r="916">
      <x:c r="A916" s="35" t="str">
        <x:v>specialSurfaceCoatingMaintained</x:v>
      </x:c>
      <x:c r="B916" s="35" t="str">
        <x:v>https://w3id.org/nltl-benchmark/vocab#specialSurfaceCoatingMaintained</x:v>
      </x:c>
      <x:c r="C916" s="35" t="str">
        <x:v>DatatypeProperty</x:v>
      </x:c>
      <x:c r="D916" s="35" t="str">
        <x:v>http://www.w3.org/2001/XMLSchema#boolean</x:v>
      </x:c>
      <x:c r="E916" s="35" t="str">
        <x:v>xsd:boolean</x:v>
      </x:c>
      <x:c r="F916" s="35" t="str"/>
      <x:c r="G916" s="38" t="str">
        <x:v>TRF-042</x:v>
      </x:c>
      <x:c r="H916" s="35" t="str">
        <x:v>Applicable TRAFICOM regulation wording plus explicit engineering node/operand role</x:v>
      </x:c>
      <x:c r="I916" s="35" t="str">
        <x:v>N4 - explicit regulatory concept in ASCII lowerCamelCase with an XSD datatype.</x:v>
      </x:c>
      <x:c r="J916" s="35" t="str">
        <x:v>ADD_DEVELOPMENT_TERM</x:v>
      </x:c>
    </x:row>
    <x:row r="917">
      <x:c r="A917" s="35" t="str">
        <x:v>specimenDiameter</x:v>
      </x:c>
      <x:c r="B917" s="35" t="str">
        <x:v>https://w3id.org/nltl-benchmark/vocab#specimenDiameter</x:v>
      </x:c>
      <x:c r="C917" s="35" t="str">
        <x:v>QuantityProperty</x:v>
      </x:c>
      <x:c r="D917" s="35" t="str">
        <x:v>http://qudt.org/schema/qudt/QuantityValue</x:v>
      </x:c>
      <x:c r="E917" s="35" t="str"/>
      <x:c r="F917" s="35" t="str">
        <x:v>m</x:v>
      </x:c>
      <x:c r="G917" s="38" t="str">
        <x:v>TRF-072</x:v>
      </x:c>
      <x:c r="H917" s="35" t="str">
        <x:v>Benchmark-coined descriptive engineering term</x:v>
      </x:c>
      <x:c r="I917" s="35" t="str">
        <x:v>N5 - component or subject first, followed by characteristic and qualifier/state; no unsupported external mapping</x:v>
      </x:c>
      <x:c r="J917" s="35" t="str">
        <x:v>REUSE_R2_TERM</x:v>
      </x:c>
    </x:row>
    <x:row r="918">
      <x:c r="A918" s="35" t="str">
        <x:v>stabilityCalculationIcingAllowanceValues</x:v>
      </x:c>
      <x:c r="B918" s="35" t="str">
        <x:v>https://w3id.org/nltl-benchmark/vocab#stabilityCalculationIcingAllowanceValues</x:v>
      </x:c>
      <x:c r="C918" s="35" t="str">
        <x:v>DatatypeProperty</x:v>
      </x:c>
      <x:c r="D918" s="35" t="str">
        <x:v>http://www.w3.org/2001/XMLSchema#string</x:v>
      </x:c>
      <x:c r="E918" s="35" t="str">
        <x:v>xsd:string</x:v>
      </x:c>
      <x:c r="F918" s="35" t="str"/>
      <x:c r="G918" s="38" t="str">
        <x:v>IMO-035</x:v>
      </x:c>
      <x:c r="H918" s="35" t="str">
        <x:v>Locked-workbook normalized regulatory term</x:v>
      </x:c>
      <x:c r="I918" s="35" t="str">
        <x:v>N4 - preserve the source concept; normalize spelling to ASCII lowerCamelCase</x:v>
      </x:c>
      <x:c r="J918" s="35" t="str">
        <x:v>REUSE_R2_TERM</x:v>
      </x:c>
    </x:row>
    <x:row r="919">
      <x:c r="A919" s="35" t="str">
        <x:v>stallingAnalysisPurpose</x:v>
      </x:c>
      <x:c r="B919" s="35" t="str">
        <x:v>https://w3id.org/nltl-benchmark/vocab#stallingAnalysisPurpose</x:v>
      </x:c>
      <x:c r="C919" s="35" t="str">
        <x:v>DatatypeProperty</x:v>
      </x:c>
      <x:c r="D919" s="35" t="str">
        <x:v>http://www.w3.org/2001/XMLSchema#string</x:v>
      </x:c>
      <x:c r="E919" s="35" t="str">
        <x:v>xsd:string</x:v>
      </x:c>
      <x:c r="F919" s="35" t="str"/>
      <x:c r="G919" s="38" t="str">
        <x:v>TRF-091</x:v>
      </x:c>
      <x:c r="H919" s="35" t="str">
        <x:v>Benchmark-coined descriptive engineering term</x:v>
      </x:c>
      <x:c r="I919" s="35" t="str">
        <x:v>N5 - component or subject first, followed by characteristic and qualifier/state; no unsupported external mapping</x:v>
      </x:c>
      <x:c r="J919" s="35" t="str">
        <x:v>REUSE_R2_TERM</x:v>
      </x:c>
    </x:row>
    <x:row r="920">
      <x:c r="A920" s="35" t="str">
        <x:v>stcwCodeSectionAIi2ComplianceStatus</x:v>
      </x:c>
      <x:c r="B920" s="35" t="str">
        <x:v>https://w3id.org/nltl-benchmark/vocab#stcwCodeSectionAIi2ComplianceStatus</x:v>
      </x:c>
      <x:c r="C920" s="35" t="str">
        <x:v>DatatypeProperty</x:v>
      </x:c>
      <x:c r="D920" s="35" t="str">
        <x:v>http://www.w3.org/2001/XMLSchema#boolean</x:v>
      </x:c>
      <x:c r="E920" s="35" t="str">
        <x:v>xsd:boolean</x:v>
      </x:c>
      <x:c r="F920" s="35" t="str"/>
      <x:c r="G920" s="38" t="str">
        <x:v>IMO-103</x:v>
      </x:c>
      <x:c r="H920" s="35" t="str">
        <x:v>Locked-workbook normalized regulatory term</x:v>
      </x:c>
      <x:c r="I920" s="35" t="str">
        <x:v>N4 - preserve the source concept; normalize spelling to ASCII lowerCamelCase</x:v>
      </x:c>
      <x:c r="J920" s="35" t="str">
        <x:v>REUSE_R2_TERM</x:v>
      </x:c>
    </x:row>
    <x:row r="921">
      <x:c r="A921" s="35" t="str">
        <x:v>stcwConventionRegulationIi2ComplianceStatus</x:v>
      </x:c>
      <x:c r="B921" s="35" t="str">
        <x:v>https://w3id.org/nltl-benchmark/vocab#stcwConventionRegulationIi2ComplianceStatus</x:v>
      </x:c>
      <x:c r="C921" s="35" t="str">
        <x:v>DatatypeProperty</x:v>
      </x:c>
      <x:c r="D921" s="35" t="str">
        <x:v>http://www.w3.org/2001/XMLSchema#boolean</x:v>
      </x:c>
      <x:c r="E921" s="35" t="str">
        <x:v>xsd:boolean</x:v>
      </x:c>
      <x:c r="F921" s="35" t="str"/>
      <x:c r="G921" s="38" t="str">
        <x:v>IMO-103</x:v>
      </x:c>
      <x:c r="H921" s="35" t="str">
        <x:v>Locked-workbook normalized regulatory term</x:v>
      </x:c>
      <x:c r="I921" s="35" t="str">
        <x:v>N4 - preserve the source concept; normalize spelling to ASCII lowerCamelCase</x:v>
      </x:c>
      <x:c r="J921" s="35" t="str">
        <x:v>REUSE_R2_TERM</x:v>
      </x:c>
    </x:row>
    <x:row r="922">
      <x:c r="A922" s="35" t="str">
        <x:v>stcwQualificationStatus</x:v>
      </x:c>
      <x:c r="B922" s="35" t="str">
        <x:v>https://w3id.org/nltl-benchmark/vocab#stcwQualificationStatus</x:v>
      </x:c>
      <x:c r="C922" s="35" t="str">
        <x:v>DatatypeProperty</x:v>
      </x:c>
      <x:c r="D922" s="35" t="str">
        <x:v>http://www.w3.org/2001/XMLSchema#boolean</x:v>
      </x:c>
      <x:c r="E922" s="35" t="str">
        <x:v>xsd:boolean</x:v>
      </x:c>
      <x:c r="F922" s="35" t="str"/>
      <x:c r="G922" s="38" t="str">
        <x:v>IMO-102</x:v>
      </x:c>
      <x:c r="H922" s="35" t="str">
        <x:v>Locked-workbook normalized regulatory term</x:v>
      </x:c>
      <x:c r="I922" s="35" t="str">
        <x:v>N4 - preserve the source concept; normalize spelling to ASCII lowerCamelCase</x:v>
      </x:c>
      <x:c r="J922" s="35" t="str">
        <x:v>REUSE_R2_TERM</x:v>
      </x:c>
    </x:row>
    <x:row r="923">
      <x:c r="A923" s="35" t="str">
        <x:v>steadyStateHarmonic</x:v>
      </x:c>
      <x:c r="B923" s="35" t="str">
        <x:v>https://w3id.org/nltl-benchmark/vocab#steadyStateHarmonic</x:v>
      </x:c>
      <x:c r="C923" s="35" t="str">
        <x:v>DatatypeProperty</x:v>
      </x:c>
      <x:c r="D923" s="35" t="str">
        <x:v>http://www.w3.org/2001/XMLSchema#string</x:v>
      </x:c>
      <x:c r="E923" s="35" t="str">
        <x:v>xsd:string</x:v>
      </x:c>
      <x:c r="F923" s="35" t="str"/>
      <x:c r="G923" s="38" t="str">
        <x:v>TRF-093</x:v>
      </x:c>
      <x:c r="H923" s="35" t="str">
        <x:v>Benchmark-coined descriptive engineering term</x:v>
      </x:c>
      <x:c r="I923" s="35" t="str">
        <x:v>N5 - component or subject first, followed by characteristic and qualifier/state; no unsupported external mapping</x:v>
      </x:c>
      <x:c r="J923" s="35" t="str">
        <x:v>REUSE_R2_TERM</x:v>
      </x:c>
    </x:row>
    <x:row r="924">
      <x:c r="A924" s="35" t="str">
        <x:v>steelGrade</x:v>
      </x:c>
      <x:c r="B924" s="35" t="str">
        <x:v>https://w3id.org/nltl-benchmark/vocab#steelGrade</x:v>
      </x:c>
      <x:c r="C924" s="35" t="str">
        <x:v>DatatypeProperty</x:v>
      </x:c>
      <x:c r="D924" s="35" t="str">
        <x:v>http://www.w3.org/2001/XMLSchema#string</x:v>
      </x:c>
      <x:c r="E924" s="35" t="str">
        <x:v>xsd:string</x:v>
      </x:c>
      <x:c r="F924" s="35" t="str"/>
      <x:c r="G924" s="38" t="str">
        <x:v>I2-048</x:v>
      </x:c>
      <x:c r="H924" s="35" t="str">
        <x:v>Benchmark-coined descriptive engineering term</x:v>
      </x:c>
      <x:c r="I924" s="35" t="str">
        <x:v>N5 - component or subject first, followed by characteristic and qualifier/state; no unsupported external mapping</x:v>
      </x:c>
      <x:c r="J924" s="35" t="str">
        <x:v>REUSE_R2_TERM</x:v>
      </x:c>
    </x:row>
    <x:row r="925">
      <x:c r="A925" s="35" t="str">
        <x:v>steelGradeValue</x:v>
      </x:c>
      <x:c r="B925" s="35" t="str">
        <x:v>https://w3id.org/nltl-benchmark/vocab#steelGradeValue</x:v>
      </x:c>
      <x:c r="C925" s="35" t="str">
        <x:v>Class</x:v>
      </x:c>
      <x:c r="D925" s="35" t="str">
        <x:v>https://w3id.org/nltl-benchmark/vocab#benchmarkEntity</x:v>
      </x:c>
      <x:c r="E925" s="35" t="str"/>
      <x:c r="F925" s="35" t="str"/>
      <x:c r="G925" s="38" t="str">
        <x:v>TRF-041 | TRF-042 | TRF-051</x:v>
      </x:c>
      <x:c r="H925" s="35" t="str">
        <x:v>Applicable TRAFICOM regulation wording plus explicit engineering node/operand role</x:v>
      </x:c>
      <x:c r="I925" s="35" t="str">
        <x:v>N4 - singular ASCII lowerCamelCase entity name derived from the linked regulatory role.</x:v>
      </x:c>
      <x:c r="J925" s="35" t="str">
        <x:v>ADD_DEVELOPMENT_TERM</x:v>
      </x:c>
    </x:row>
    <x:row r="926">
      <x:c r="A926" s="35" t="str">
        <x:v>steelRenewalRequired</x:v>
      </x:c>
      <x:c r="B926" s="35" t="str">
        <x:v>https://w3id.org/nltl-benchmark/vocab#steelRenewalRequired</x:v>
      </x:c>
      <x:c r="C926" s="35" t="str">
        <x:v>DatatypeProperty</x:v>
      </x:c>
      <x:c r="D926" s="35" t="str">
        <x:v>http://www.w3.org/2001/XMLSchema#boolean</x:v>
      </x:c>
      <x:c r="E926" s="35" t="str">
        <x:v>xsd:boolean</x:v>
      </x:c>
      <x:c r="F926" s="35" t="str"/>
      <x:c r="G926" s="38" t="str">
        <x:v>I2-047</x:v>
      </x:c>
      <x:c r="H926" s="35" t="str">
        <x:v>Benchmark-coined descriptive engineering term</x:v>
      </x:c>
      <x:c r="I926" s="35" t="str">
        <x:v>N5 - component or subject first, followed by characteristic and qualifier/state; no unsupported external mapping</x:v>
      </x:c>
      <x:c r="J926" s="35" t="str">
        <x:v>REUSE_R2_TERM</x:v>
      </x:c>
    </x:row>
    <x:row r="927">
      <x:c r="A927" s="35" t="str">
        <x:v>steeringMechanism</x:v>
      </x:c>
      <x:c r="B927" s="35" t="str">
        <x:v>https://w3id.org/nltl-benchmark/vocab#steeringMechanism</x:v>
      </x:c>
      <x:c r="C927" s="35" t="str">
        <x:v>Class</x:v>
      </x:c>
      <x:c r="D927" s="35" t="str">
        <x:v>https://w3id.org/nltl-benchmark/vocab#machineryComponent</x:v>
      </x:c>
      <x:c r="E927" s="35" t="str"/>
      <x:c r="F927" s="35" t="str"/>
      <x:c r="G927" s="38" t="str">
        <x:v>TRF-113</x:v>
      </x:c>
      <x:c r="H927" s="35" t="str">
        <x:v>Benchmark-coined descriptive engineering term</x:v>
      </x:c>
      <x:c r="I927" s="35" t="str">
        <x:v>N5 - component or subject first, followed by characteristic and qualifier/state; no unsupported external mapping</x:v>
      </x:c>
      <x:c r="J927" s="35" t="str">
        <x:v>REUSE_R2_TERM</x:v>
      </x:c>
    </x:row>
    <x:row r="928">
      <x:c r="A928" s="35" t="str">
        <x:v>stemAngle</x:v>
      </x:c>
      <x:c r="B928" s="35" t="str">
        <x:v>https://w3id.org/nltl-benchmark/vocab#stemAngle</x:v>
      </x:c>
      <x:c r="C928" s="35" t="str">
        <x:v>QuantityProperty</x:v>
      </x:c>
      <x:c r="D928" s="35" t="str">
        <x:v>http://qudt.org/schema/qudt/QuantityValue</x:v>
      </x:c>
      <x:c r="E928" s="35" t="str"/>
      <x:c r="F928" s="35" t="str">
        <x:v>deg</x:v>
      </x:c>
      <x:c r="G928" s="38" t="str">
        <x:v>I2-050 | I2-054</x:v>
      </x:c>
      <x:c r="H928" s="35" t="str">
        <x:v>Regulatory symbol expanded from a directly verified definition</x:v>
      </x:c>
      <x:c r="I928" s="35" t="str">
        <x:v>N2 - replace formula symbol with its clause-defined engineering meaning; preserve symbol as alias</x:v>
      </x:c>
      <x:c r="J928" s="35" t="str">
        <x:v>REUSE_R2_TERM</x:v>
      </x:c>
    </x:row>
    <x:row r="929">
      <x:c r="A929" s="35" t="str">
        <x:v>sternFrame</x:v>
      </x:c>
      <x:c r="B929" s="35" t="str">
        <x:v>https://w3id.org/nltl-benchmark/vocab#sternFrame</x:v>
      </x:c>
      <x:c r="C929" s="35" t="str">
        <x:v>Class</x:v>
      </x:c>
      <x:c r="D929" s="35" t="str">
        <x:v>https://w3id.org/nltl-benchmark/vocab#hullStructure</x:v>
      </x:c>
      <x:c r="E929" s="35" t="str"/>
      <x:c r="F929" s="35" t="str"/>
      <x:c r="G929" s="38" t="str">
        <x:v>TRF-062</x:v>
      </x:c>
      <x:c r="H929" s="35" t="str">
        <x:v>Benchmark-coined descriptive engineering term</x:v>
      </x:c>
      <x:c r="I929" s="35" t="str">
        <x:v>N5 - component or subject first, followed by characteristic and qualifier/state; no unsupported external mapping</x:v>
      </x:c>
      <x:c r="J929" s="35" t="str">
        <x:v>REUSE_R2_TERM</x:v>
      </x:c>
    </x:row>
    <x:row r="930">
      <x:c r="A930" s="35" t="str">
        <x:v>sternRegion</x:v>
      </x:c>
      <x:c r="B930" s="35" t="str">
        <x:v>https://w3id.org/nltl-benchmark/vocab#sternRegion</x:v>
      </x:c>
      <x:c r="C930" s="35" t="str">
        <x:v>NamedIndividual</x:v>
      </x:c>
      <x:c r="D930" s="35" t="str">
        <x:v>https://w3id.org/nltl-benchmark/vocab#hullRegionValue</x:v>
      </x:c>
      <x:c r="E930" s="35" t="str"/>
      <x:c r="F930" s="35" t="str"/>
      <x:c r="G930" s="38" t="str">
        <x:v>TRF-035 | TRF-037 | TRF-043 | TRF-052</x:v>
      </x:c>
      <x:c r="H930" s="35" t="str">
        <x:v>Applicable TRAFICOM regulation wording plus explicit engineering node/operand role</x:v>
      </x:c>
      <x:c r="I930" s="35" t="str">
        <x:v>N6 - concise ASCII lowerCamelCase controlled-value name grounded in the linked regulation.</x:v>
      </x:c>
      <x:c r="J930" s="35" t="str">
        <x:v>ADD_DEVELOPMENT_TERM</x:v>
      </x:c>
    </x:row>
    <x:row r="931">
      <x:c r="A931" s="35" t="str">
        <x:v>sternTube</x:v>
      </x:c>
      <x:c r="B931" s="35" t="str">
        <x:v>https://w3id.org/nltl-benchmark/vocab#sternTube</x:v>
      </x:c>
      <x:c r="C931" s="35" t="str">
        <x:v>Class</x:v>
      </x:c>
      <x:c r="D931" s="35" t="str">
        <x:v>https://w3id.org/nltl-benchmark/vocab#machineryComponent</x:v>
      </x:c>
      <x:c r="E931" s="35" t="str"/>
      <x:c r="F931" s="35" t="str"/>
      <x:c r="G931" s="38" t="str">
        <x:v>TRF-064</x:v>
      </x:c>
      <x:c r="H931" s="35" t="str">
        <x:v>Benchmark-coined descriptive engineering term</x:v>
      </x:c>
      <x:c r="I931" s="35" t="str">
        <x:v>N5 - component or subject first, followed by characteristic and qualifier/state; no unsupported external mapping</x:v>
      </x:c>
      <x:c r="J931" s="35" t="str">
        <x:v>REUSE_R2_TERM</x:v>
      </x:c>
    </x:row>
    <x:row r="932">
      <x:c r="A932" s="35" t="str">
        <x:v>stoppedLightPresent</x:v>
      </x:c>
      <x:c r="B932" s="35" t="str">
        <x:v>https://w3id.org/nltl-benchmark/vocab#stoppedLightPresent</x:v>
      </x:c>
      <x:c r="C932" s="35" t="str">
        <x:v>DatatypeProperty</x:v>
      </x:c>
      <x:c r="D932" s="35" t="str">
        <x:v>http://www.w3.org/2001/XMLSchema#boolean</x:v>
      </x:c>
      <x:c r="E932" s="35" t="str">
        <x:v>xsd:boolean</x:v>
      </x:c>
      <x:c r="F932" s="35" t="str"/>
      <x:c r="G932" s="38" t="str">
        <x:v>IMO-089</x:v>
      </x:c>
      <x:c r="H932" s="35" t="str">
        <x:v>Locked-workbook normalized regulatory term</x:v>
      </x:c>
      <x:c r="I932" s="35" t="str">
        <x:v>N4 - preserve the source concept; normalize spelling to ASCII lowerCamelCase</x:v>
      </x:c>
      <x:c r="J932" s="35" t="str">
        <x:v>REUSE_R2_TERM</x:v>
      </x:c>
    </x:row>
    <x:row r="933">
      <x:c r="A933" s="35" t="str">
        <x:v>storageAccessibilityStatus</x:v>
      </x:c>
      <x:c r="B933" s="35" t="str">
        <x:v>https://w3id.org/nltl-benchmark/vocab#storageAccessibilityStatus</x:v>
      </x:c>
      <x:c r="C933" s="35" t="str">
        <x:v>DatatypeProperty</x:v>
      </x:c>
      <x:c r="D933" s="35" t="str">
        <x:v>http://www.w3.org/2001/XMLSchema#boolean</x:v>
      </x:c>
      <x:c r="E933" s="35" t="str">
        <x:v>xsd:boolean</x:v>
      </x:c>
      <x:c r="F933" s="35" t="str"/>
      <x:c r="G933" s="38" t="str">
        <x:v>IMO-075</x:v>
      </x:c>
      <x:c r="H933" s="35" t="str">
        <x:v>Locked-workbook normalized regulatory term</x:v>
      </x:c>
      <x:c r="I933" s="35" t="str">
        <x:v>N4 - preserve the source concept; normalize spelling to ASCII lowerCamelCase</x:v>
      </x:c>
      <x:c r="J933" s="35" t="str">
        <x:v>REUSE_R2_TERM</x:v>
      </x:c>
    </x:row>
    <x:row r="934">
      <x:c r="A934" s="35" t="str">
        <x:v>storageDistanceToMusterOrEmbarkation</x:v>
      </x:c>
      <x:c r="B934" s="35" t="str">
        <x:v>https://w3id.org/nltl-benchmark/vocab#storageDistanceToMusterOrEmbarkation</x:v>
      </x:c>
      <x:c r="C934" s="35" t="str">
        <x:v>QuantityProperty</x:v>
      </x:c>
      <x:c r="D934" s="35" t="str">
        <x:v>http://qudt.org/schema/qudt/QuantityValue</x:v>
      </x:c>
      <x:c r="E934" s="35" t="str"/>
      <x:c r="F934" s="35" t="str">
        <x:v>m</x:v>
      </x:c>
      <x:c r="G934" s="38" t="str">
        <x:v>IMO-075</x:v>
      </x:c>
      <x:c r="H934" s="35" t="str">
        <x:v>Locked-workbook normalized regulatory term</x:v>
      </x:c>
      <x:c r="I934" s="35" t="str">
        <x:v>N4 - preserve the source concept; normalize spelling to ASCII lowerCamelCase</x:v>
      </x:c>
      <x:c r="J934" s="35" t="str">
        <x:v>REUSE_R2_TERM</x:v>
      </x:c>
    </x:row>
    <x:row r="935">
      <x:c r="A935" s="35" t="str">
        <x:v>storageLocation</x:v>
      </x:c>
      <x:c r="B935" s="35" t="str">
        <x:v>https://w3id.org/nltl-benchmark/vocab#storageLocation</x:v>
      </x:c>
      <x:c r="C935" s="35" t="str">
        <x:v>DatatypeProperty</x:v>
      </x:c>
      <x:c r="D935" s="35" t="str">
        <x:v>http://www.w3.org/2001/XMLSchema#string</x:v>
      </x:c>
      <x:c r="E935" s="35" t="str">
        <x:v>xsd:string</x:v>
      </x:c>
      <x:c r="F935" s="35" t="str"/>
      <x:c r="G935" s="38" t="str">
        <x:v>IMO-059</x:v>
      </x:c>
      <x:c r="H935" s="35" t="str">
        <x:v>Locked-workbook normalized regulatory term</x:v>
      </x:c>
      <x:c r="I935" s="35" t="str">
        <x:v>N4 - preserve the source concept; normalize spelling to ASCII lowerCamelCase</x:v>
      </x:c>
      <x:c r="J935" s="35" t="str">
        <x:v>REUSE_R2_TERM</x:v>
      </x:c>
    </x:row>
    <x:row r="936">
      <x:c r="A936" s="35" t="str">
        <x:v>storageLocationSubjectToFreezing</x:v>
      </x:c>
      <x:c r="B936" s="35" t="str">
        <x:v>https://w3id.org/nltl-benchmark/vocab#storageLocationSubjectToFreezing</x:v>
      </x:c>
      <x:c r="C936" s="35" t="str">
        <x:v>Class</x:v>
      </x:c>
      <x:c r="D936" s="35" t="str">
        <x:v>https://w3id.org/nltl-benchmark/vocab#benchmarkEntity</x:v>
      </x:c>
      <x:c r="E936" s="35" t="str"/>
      <x:c r="F936" s="35" t="str"/>
      <x:c r="G936" s="38" t="str">
        <x:v>IMO-061</x:v>
      </x:c>
      <x:c r="H936" s="35" t="str">
        <x:v>Locked-workbook normalized regulatory term</x:v>
      </x:c>
      <x:c r="I936" s="35" t="str">
        <x:v>N4 - preserve the source concept; normalize spelling to ASCII lowerCamelCase</x:v>
      </x:c>
      <x:c r="J936" s="35" t="str">
        <x:v>REUSE_R2_TERM</x:v>
      </x:c>
    </x:row>
    <x:row r="937">
      <x:c r="A937" s="35" t="str">
        <x:v>storageLocationTemperatureClass</x:v>
      </x:c>
      <x:c r="B937" s="35" t="str">
        <x:v>https://w3id.org/nltl-benchmark/vocab#storageLocationTemperatureClass</x:v>
      </x:c>
      <x:c r="C937" s="35" t="str">
        <x:v>DatatypeProperty</x:v>
      </x:c>
      <x:c r="D937" s="35" t="str">
        <x:v>http://www.w3.org/2001/XMLSchema#string</x:v>
      </x:c>
      <x:c r="E937" s="35" t="str">
        <x:v>xsd:string</x:v>
      </x:c>
      <x:c r="F937" s="35" t="str"/>
      <x:c r="G937" s="38" t="str">
        <x:v>IMO-059</x:v>
      </x:c>
      <x:c r="H937" s="35" t="str">
        <x:v>Locked-workbook normalized regulatory term</x:v>
      </x:c>
      <x:c r="I937" s="35" t="str">
        <x:v>N4 - preserve the source concept; normalize spelling to ASCII lowerCamelCase</x:v>
      </x:c>
      <x:c r="J937" s="35" t="str">
        <x:v>REUSE_R2_TERM</x:v>
      </x:c>
    </x:row>
    <x:row r="938">
      <x:c r="A938" s="35" t="str">
        <x:v>strainerOpenArea</x:v>
      </x:c>
      <x:c r="B938" s="35" t="str">
        <x:v>https://w3id.org/nltl-benchmark/vocab#strainerOpenArea</x:v>
      </x:c>
      <x:c r="C938" s="35" t="str">
        <x:v>QuantityProperty</x:v>
      </x:c>
      <x:c r="D938" s="35" t="str">
        <x:v>http://qudt.org/schema/qudt/QuantityValue</x:v>
      </x:c>
      <x:c r="E938" s="35" t="str"/>
      <x:c r="F938" s="35" t="str">
        <x:v>m^2</x:v>
      </x:c>
      <x:c r="G938" s="38" t="str">
        <x:v>TRF-130</x:v>
      </x:c>
      <x:c r="H938" s="35" t="str">
        <x:v>Unit-stripped normalized regulatory variable</x:v>
      </x:c>
      <x:c r="I938" s="35" t="str">
        <x:v>N3 - remove unit from the identifier and retain it in unit/quantity metadata</x:v>
      </x:c>
      <x:c r="J938" s="35" t="str">
        <x:v>REUSE_R2_TERM</x:v>
      </x:c>
    </x:row>
    <x:row r="939">
      <x:c r="A939" s="35" t="str">
        <x:v>strainerOpenAreaRatio</x:v>
      </x:c>
      <x:c r="B939" s="35" t="str">
        <x:v>https://w3id.org/nltl-benchmark/vocab#strainerOpenAreaRatio</x:v>
      </x:c>
      <x:c r="C939" s="35" t="str">
        <x:v>QuantityProperty</x:v>
      </x:c>
      <x:c r="D939" s="35" t="str">
        <x:v>http://qudt.org/schema/qudt/QuantityValue</x:v>
      </x:c>
      <x:c r="E939" s="35" t="str"/>
      <x:c r="F939" s="35" t="str">
        <x:v>1</x:v>
      </x:c>
      <x:c r="G939" s="38" t="str">
        <x:v>TRF-130</x:v>
      </x:c>
      <x:c r="H939" s="35" t="str">
        <x:v>Locked-workbook normalized regulatory term</x:v>
      </x:c>
      <x:c r="I939" s="35" t="str">
        <x:v>N4 - preserve the source concept; normalize spelling to ASCII lowerCamelCase</x:v>
      </x:c>
      <x:c r="J939" s="35" t="str">
        <x:v>REUSE_R2_TERM</x:v>
      </x:c>
    </x:row>
    <x:row r="940">
      <x:c r="A940" s="35" t="str">
        <x:v>strengthContinuityStatus</x:v>
      </x:c>
      <x:c r="B940" s="35" t="str">
        <x:v>https://w3id.org/nltl-benchmark/vocab#strengthContinuityStatus</x:v>
      </x:c>
      <x:c r="C940" s="35" t="str">
        <x:v>DatatypeProperty</x:v>
      </x:c>
      <x:c r="D940" s="35" t="str">
        <x:v>http://www.w3.org/2001/XMLSchema#boolean</x:v>
      </x:c>
      <x:c r="E940" s="35" t="str">
        <x:v>xsd:boolean</x:v>
      </x:c>
      <x:c r="F940" s="35" t="str"/>
      <x:c r="G940" s="38" t="str">
        <x:v>I2-067</x:v>
      </x:c>
      <x:c r="H940" s="35" t="str">
        <x:v>Benchmark-coined descriptive engineering term</x:v>
      </x:c>
      <x:c r="I940" s="35" t="str">
        <x:v>N5 - component or subject first, followed by characteristic and qualifier/state; no unsupported external mapping</x:v>
      </x:c>
      <x:c r="J940" s="35" t="str">
        <x:v>REUSE_R2_TERM</x:v>
      </x:c>
    </x:row>
    <x:row r="941">
      <x:c r="A941" s="35" t="str">
        <x:v>strengthCriterionStatus</x:v>
      </x:c>
      <x:c r="B941" s="35" t="str">
        <x:v>https://w3id.org/nltl-benchmark/vocab#strengthCriterionStatus</x:v>
      </x:c>
      <x:c r="C941" s="35" t="str">
        <x:v>DatatypeProperty</x:v>
      </x:c>
      <x:c r="D941" s="35" t="str">
        <x:v>http://www.w3.org/2001/XMLSchema#boolean</x:v>
      </x:c>
      <x:c r="E941" s="35" t="str">
        <x:v>xsd:boolean</x:v>
      </x:c>
      <x:c r="F941" s="35" t="str"/>
      <x:c r="G941" s="38" t="str">
        <x:v>I2-055</x:v>
      </x:c>
      <x:c r="H941" s="35" t="str">
        <x:v>Benchmark-coined descriptive engineering term</x:v>
      </x:c>
      <x:c r="I941" s="35" t="str">
        <x:v>N5 - component or subject first, followed by characteristic and qualifier/state; no unsupported external mapping</x:v>
      </x:c>
      <x:c r="J941" s="35" t="str">
        <x:v>REUSE_R2_TERM</x:v>
      </x:c>
    </x:row>
    <x:row r="942">
      <x:c r="A942" s="35" t="str">
        <x:v>stressLifeCurveType</x:v>
      </x:c>
      <x:c r="B942" s="35" t="str">
        <x:v>https://w3id.org/nltl-benchmark/vocab#stressLifeCurveType</x:v>
      </x:c>
      <x:c r="C942" s="35" t="str">
        <x:v>DatatypeProperty</x:v>
      </x:c>
      <x:c r="D942" s="35" t="str">
        <x:v>http://www.w3.org/2001/XMLSchema#string</x:v>
      </x:c>
      <x:c r="E942" s="35" t="str">
        <x:v>xsd:string</x:v>
      </x:c>
      <x:c r="F942" s="35" t="str"/>
      <x:c r="G942" s="38" t="str">
        <x:v>TRF-106 | TRF-108</x:v>
      </x:c>
      <x:c r="H942" s="35" t="str">
        <x:v>Locked-workbook normalized regulatory term</x:v>
      </x:c>
      <x:c r="I942" s="35" t="str">
        <x:v>N4 - preserve the source concept; normalize spelling to ASCII lowerCamelCase</x:v>
      </x:c>
      <x:c r="J942" s="35" t="str">
        <x:v>REUSE_R2_TERM</x:v>
      </x:c>
    </x:row>
    <x:row r="943">
      <x:c r="A943" s="35" t="str">
        <x:v>stressMeasure</x:v>
      </x:c>
      <x:c r="B943" s="35" t="str">
        <x:v>https://w3id.org/nltl-benchmark/vocab#stressMeasure</x:v>
      </x:c>
      <x:c r="C943" s="35" t="str">
        <x:v>DatatypeProperty</x:v>
      </x:c>
      <x:c r="D943" s="35" t="str">
        <x:v>http://www.w3.org/2001/XMLSchema#string</x:v>
      </x:c>
      <x:c r="E943" s="35" t="str">
        <x:v>xsd:string</x:v>
      </x:c>
      <x:c r="F943" s="35" t="str"/>
      <x:c r="G943" s="38" t="str">
        <x:v>TRF-106</x:v>
      </x:c>
      <x:c r="H943" s="35" t="str">
        <x:v>Locked-workbook normalized regulatory term</x:v>
      </x:c>
      <x:c r="I943" s="35" t="str">
        <x:v>N4 - preserve the source concept; normalize spelling to ASCII lowerCamelCase</x:v>
      </x:c>
      <x:c r="J943" s="35" t="str">
        <x:v>REUSE_R2_TERM</x:v>
      </x:c>
    </x:row>
    <x:row r="944">
      <x:c r="A944" s="35" t="str">
        <x:v>stringerOutsideIceBeltHeight</x:v>
      </x:c>
      <x:c r="B944" s="35" t="str">
        <x:v>https://w3id.org/nltl-benchmark/vocab#stringerOutsideIceBeltHeight</x:v>
      </x:c>
      <x:c r="C944" s="35" t="str">
        <x:v>QuantityProperty</x:v>
      </x:c>
      <x:c r="D944" s="35" t="str">
        <x:v>http://qudt.org/schema/qudt/QuantityValue</x:v>
      </x:c>
      <x:c r="E944" s="35" t="str"/>
      <x:c r="F944" s="35" t="str">
        <x:v>m</x:v>
      </x:c>
      <x:c r="G944" s="38" t="str">
        <x:v>TRF-058</x:v>
      </x:c>
      <x:c r="H944" s="35" t="str">
        <x:v>Benchmark-coined descriptive engineering term</x:v>
      </x:c>
      <x:c r="I944" s="35" t="str">
        <x:v>N5 - component or subject first, followed by characteristic and qualifier/state; no unsupported external mapping</x:v>
      </x:c>
      <x:c r="J944" s="35" t="str">
        <x:v>REUSE_R2_TERM</x:v>
      </x:c>
    </x:row>
    <x:row r="945">
      <x:c r="A945" s="35" t="str">
        <x:v>stringerSpan</x:v>
      </x:c>
      <x:c r="B945" s="35" t="str">
        <x:v>https://w3id.org/nltl-benchmark/vocab#stringerSpan</x:v>
      </x:c>
      <x:c r="C945" s="35" t="str">
        <x:v>QuantityProperty</x:v>
      </x:c>
      <x:c r="D945" s="35" t="str">
        <x:v>http://qudt.org/schema/qudt/QuantityValue</x:v>
      </x:c>
      <x:c r="E945" s="35" t="str"/>
      <x:c r="F945" s="35" t="str">
        <x:v>m</x:v>
      </x:c>
      <x:c r="G945" s="38" t="str">
        <x:v>TRF-058</x:v>
      </x:c>
      <x:c r="H945" s="35" t="str">
        <x:v>Verified exact implementation term</x:v>
      </x:c>
      <x:c r="I945" s="35" t="str">
        <x:v>N1 - reuse only after exact URI and semantic-context verification</x:v>
      </x:c>
      <x:c r="J945" s="35" t="str">
        <x:v>REUSE_R2_TERM</x:v>
      </x:c>
    </x:row>
    <x:row r="946">
      <x:c r="A946" s="35" t="str">
        <x:v>structuralArrangement</x:v>
      </x:c>
      <x:c r="B946" s="35" t="str">
        <x:v>https://w3id.org/nltl-benchmark/vocab#structuralArrangement</x:v>
      </x:c>
      <x:c r="C946" s="35" t="str">
        <x:v>DatatypeProperty</x:v>
      </x:c>
      <x:c r="D946" s="35" t="str">
        <x:v>http://www.w3.org/2001/XMLSchema#string</x:v>
      </x:c>
      <x:c r="E946" s="35" t="str">
        <x:v>xsd:string</x:v>
      </x:c>
      <x:c r="F946" s="35" t="str"/>
      <x:c r="G946" s="38" t="str">
        <x:v>TRF-029</x:v>
      </x:c>
      <x:c r="H946" s="35" t="str">
        <x:v>Benchmark-coined descriptive engineering term</x:v>
      </x:c>
      <x:c r="I946" s="35" t="str">
        <x:v>N5 - component or subject first, followed by characteristic and qualifier/state; no unsupported external mapping</x:v>
      </x:c>
      <x:c r="J946" s="35" t="str">
        <x:v>REUSE_R2_TERM</x:v>
      </x:c>
    </x:row>
    <x:row r="947">
      <x:c r="A947" s="35" t="str">
        <x:v>structuralConnection</x:v>
      </x:c>
      <x:c r="B947" s="35" t="str">
        <x:v>https://w3id.org/nltl-benchmark/vocab#structuralConnection</x:v>
      </x:c>
      <x:c r="C947" s="35" t="str">
        <x:v>ObjectProperty</x:v>
      </x:c>
      <x:c r="D947" s="35" t="str">
        <x:v>https://w3id.org/nltl-benchmark/vocab#benchmarkEntity</x:v>
      </x:c>
      <x:c r="E947" s="35" t="str"/>
      <x:c r="F947" s="35" t="str"/>
      <x:c r="G947" s="38" t="str">
        <x:v>I2-067</x:v>
      </x:c>
      <x:c r="H947" s="35" t="str">
        <x:v>Benchmark-coined descriptive engineering term</x:v>
      </x:c>
      <x:c r="I947" s="35" t="str">
        <x:v>N5 - component or subject first, followed by characteristic and qualifier/state; no unsupported external mapping</x:v>
      </x:c>
      <x:c r="J947" s="35" t="str">
        <x:v>REUSE_R2_TERM</x:v>
      </x:c>
    </x:row>
    <x:row r="948">
      <x:c r="A948" s="35" t="str">
        <x:v>structuralMember</x:v>
      </x:c>
      <x:c r="B948" s="35" t="str">
        <x:v>https://w3id.org/nltl-benchmark/vocab#structuralMember</x:v>
      </x:c>
      <x:c r="C948" s="35" t="str">
        <x:v>Class</x:v>
      </x:c>
      <x:c r="D948" s="35" t="str">
        <x:v>https://w3id.org/nltl-benchmark/vocab#hullStructure</x:v>
      </x:c>
      <x:c r="E948" s="35" t="str"/>
      <x:c r="F948" s="35" t="str"/>
      <x:c r="G948" s="38" t="str">
        <x:v>I2-019 | I2-060</x:v>
      </x:c>
      <x:c r="H948" s="35" t="str">
        <x:v>Benchmark-coined descriptive engineering term</x:v>
      </x:c>
      <x:c r="I948" s="35" t="str">
        <x:v>N5 - component or subject first, followed by characteristic and qualifier/state; no unsupported external mapping</x:v>
      </x:c>
      <x:c r="J948" s="35" t="str">
        <x:v>REUSE_R2_TERM</x:v>
      </x:c>
    </x:row>
    <x:row r="949">
      <x:c r="A949" s="35" t="str">
        <x:v>structuralStiffening</x:v>
      </x:c>
      <x:c r="B949" s="35" t="str">
        <x:v>https://w3id.org/nltl-benchmark/vocab#structuralStiffening</x:v>
      </x:c>
      <x:c r="C949" s="35" t="str">
        <x:v>DatatypeProperty</x:v>
      </x:c>
      <x:c r="D949" s="35" t="str">
        <x:v>http://www.w3.org/2001/XMLSchema#string</x:v>
      </x:c>
      <x:c r="E949" s="35" t="str">
        <x:v>xsd:string</x:v>
      </x:c>
      <x:c r="F949" s="35" t="str"/>
      <x:c r="G949" s="38" t="str">
        <x:v>I2-060</x:v>
      </x:c>
      <x:c r="H949" s="35" t="str">
        <x:v>Benchmark-coined descriptive engineering term</x:v>
      </x:c>
      <x:c r="I949" s="35" t="str">
        <x:v>N5 - component or subject first, followed by characteristic and qualifier/state; no unsupported external mapping</x:v>
      </x:c>
      <x:c r="J949" s="35" t="str">
        <x:v>REUSE_R2_TERM</x:v>
      </x:c>
    </x:row>
    <x:row r="950">
      <x:c r="A950" s="35" t="str">
        <x:v>strutDesignEvidence</x:v>
      </x:c>
      <x:c r="B950" s="35" t="str">
        <x:v>https://w3id.org/nltl-benchmark/vocab#strutDesignEvidence</x:v>
      </x:c>
      <x:c r="C950" s="35" t="str">
        <x:v>Class</x:v>
      </x:c>
      <x:c r="D950" s="35" t="str">
        <x:v>https://w3id.org/nltl-benchmark/vocab#documentEvidence</x:v>
      </x:c>
      <x:c r="E950" s="35" t="str"/>
      <x:c r="F950" s="35" t="str"/>
      <x:c r="G950" s="38" t="str">
        <x:v>TRF-064</x:v>
      </x:c>
      <x:c r="H950" s="35" t="str">
        <x:v>Benchmark-coined descriptive engineering term</x:v>
      </x:c>
      <x:c r="I950" s="35" t="str">
        <x:v>N5 - component or subject first, followed by characteristic and qualifier/state; no unsupported external mapping</x:v>
      </x:c>
      <x:c r="J950" s="35" t="str">
        <x:v>REUSE_R2_TERM</x:v>
      </x:c>
    </x:row>
    <x:row r="951">
      <x:c r="A951" s="35" t="str">
        <x:v>strutHullAttachmentEvidence</x:v>
      </x:c>
      <x:c r="B951" s="35" t="str">
        <x:v>https://w3id.org/nltl-benchmark/vocab#strutHullAttachmentEvidence</x:v>
      </x:c>
      <x:c r="C951" s="35" t="str">
        <x:v>Class</x:v>
      </x:c>
      <x:c r="D951" s="35" t="str">
        <x:v>https://w3id.org/nltl-benchmark/vocab#documentEvidence</x:v>
      </x:c>
      <x:c r="E951" s="35" t="str"/>
      <x:c r="F951" s="35" t="str"/>
      <x:c r="G951" s="38" t="str">
        <x:v>TRF-064</x:v>
      </x:c>
      <x:c r="H951" s="35" t="str">
        <x:v>Benchmark-coined descriptive engineering term</x:v>
      </x:c>
      <x:c r="I951" s="35" t="str">
        <x:v>N5 - component or subject first, followed by characteristic and qualifier/state; no unsupported external mapping</x:v>
      </x:c>
      <x:c r="J951" s="35" t="str">
        <x:v>REUSE_R2_TERM</x:v>
      </x:c>
    </x:row>
    <x:row r="952">
      <x:c r="A952" s="35" t="str">
        <x:v>strutStrengthEvidence</x:v>
      </x:c>
      <x:c r="B952" s="35" t="str">
        <x:v>https://w3id.org/nltl-benchmark/vocab#strutStrengthEvidence</x:v>
      </x:c>
      <x:c r="C952" s="35" t="str">
        <x:v>Class</x:v>
      </x:c>
      <x:c r="D952" s="35" t="str">
        <x:v>https://w3id.org/nltl-benchmark/vocab#documentEvidence</x:v>
      </x:c>
      <x:c r="E952" s="35" t="str"/>
      <x:c r="F952" s="35" t="str"/>
      <x:c r="G952" s="38" t="str">
        <x:v>TRF-064</x:v>
      </x:c>
      <x:c r="H952" s="35" t="str">
        <x:v>Benchmark-coined descriptive engineering term</x:v>
      </x:c>
      <x:c r="I952" s="35" t="str">
        <x:v>N5 - component or subject first, followed by characteristic and qualifier/state; no unsupported external mapping</x:v>
      </x:c>
      <x:c r="J952" s="35" t="str">
        <x:v>REUSE_R2_TERM</x:v>
      </x:c>
    </x:row>
    <x:row r="953">
      <x:c r="A953" s="35" t="str">
        <x:v>substituteArrangementStatus</x:v>
      </x:c>
      <x:c r="B953" s="35" t="str">
        <x:v>https://w3id.org/nltl-benchmark/vocab#substituteArrangementStatus</x:v>
      </x:c>
      <x:c r="C953" s="35" t="str">
        <x:v>DatatypeProperty</x:v>
      </x:c>
      <x:c r="D953" s="35" t="str">
        <x:v>http://www.w3.org/2001/XMLSchema#boolean</x:v>
      </x:c>
      <x:c r="E953" s="35" t="str">
        <x:v>xsd:boolean</x:v>
      </x:c>
      <x:c r="F953" s="35" t="str"/>
      <x:c r="G953" s="38" t="str">
        <x:v>TRF-131</x:v>
      </x:c>
      <x:c r="H953" s="35" t="str">
        <x:v>Benchmark-coined descriptive engineering term</x:v>
      </x:c>
      <x:c r="I953" s="35" t="str">
        <x:v>N5 - component or subject first, followed by characteristic and qualifier/state; no unsupported external mapping</x:v>
      </x:c>
      <x:c r="J953" s="35" t="str">
        <x:v>REUSE_R2_TERM</x:v>
      </x:c>
    </x:row>
    <x:row r="954">
      <x:c r="A954" s="35" t="str">
        <x:v>summerLoadLineFreshWaterDraught</x:v>
      </x:c>
      <x:c r="B954" s="35" t="str">
        <x:v>https://w3id.org/nltl-benchmark/vocab#summerLoadLineFreshWaterDraught</x:v>
      </x:c>
      <x:c r="C954" s="35" t="str">
        <x:v>QuantityProperty</x:v>
      </x:c>
      <x:c r="D954" s="35" t="str">
        <x:v>http://qudt.org/schema/qudt/QuantityValue</x:v>
      </x:c>
      <x:c r="E954" s="35" t="str"/>
      <x:c r="F954" s="35" t="str">
        <x:v>m</x:v>
      </x:c>
      <x:c r="G954" s="38" t="str">
        <x:v>TRF-014</x:v>
      </x:c>
      <x:c r="H954" s="35" t="str">
        <x:v>Applicable TRAFICOM regulation wording plus explicit engineering node/operand role</x:v>
      </x:c>
      <x:c r="I954" s="35" t="str">
        <x:v>N4 - explicit engineering quantity in ASCII lowerCamelCase; formula symbols remain aliases only.</x:v>
      </x:c>
      <x:c r="J954" s="35" t="str">
        <x:v>ADD_DEVELOPMENT_TERM</x:v>
      </x:c>
    </x:row>
    <x:row r="955">
      <x:c r="A955" s="35" t="str">
        <x:v>supportFixity</x:v>
      </x:c>
      <x:c r="B955" s="35" t="str">
        <x:v>https://w3id.org/nltl-benchmark/vocab#supportFixity</x:v>
      </x:c>
      <x:c r="C955" s="35" t="str">
        <x:v>DatatypeProperty</x:v>
      </x:c>
      <x:c r="D955" s="35" t="str">
        <x:v>http://www.w3.org/2001/XMLSchema#string</x:v>
      </x:c>
      <x:c r="E955" s="35" t="str">
        <x:v>xsd:string</x:v>
      </x:c>
      <x:c r="F955" s="35" t="str"/>
      <x:c r="G955" s="38" t="str">
        <x:v>I2-026</x:v>
      </x:c>
      <x:c r="H955" s="35" t="str">
        <x:v>Benchmark-coined descriptive engineering term</x:v>
      </x:c>
      <x:c r="I955" s="35" t="str">
        <x:v>N5 - component or subject first, followed by characteristic and qualifier/state; no unsupported external mapping</x:v>
      </x:c>
      <x:c r="J955" s="35" t="str">
        <x:v>REUSE_R2_TERM</x:v>
      </x:c>
    </x:row>
    <x:row r="956">
      <x:c r="A956" s="35" t="str">
        <x:v>supportedAircraftVoiceFrequency</x:v>
      </x:c>
      <x:c r="B956" s="35" t="str">
        <x:v>https://w3id.org/nltl-benchmark/vocab#supportedAircraftVoiceFrequency</x:v>
      </x:c>
      <x:c r="C956" s="35" t="str">
        <x:v>QuantityProperty</x:v>
      </x:c>
      <x:c r="D956" s="35" t="str">
        <x:v>http://qudt.org/schema/qudt/QuantityValue</x:v>
      </x:c>
      <x:c r="E956" s="35" t="str"/>
      <x:c r="F956" s="35" t="str">
        <x:v>MHz</x:v>
      </x:c>
      <x:c r="G956" s="38" t="str">
        <x:v>IMO-095</x:v>
      </x:c>
      <x:c r="H956" s="35" t="str">
        <x:v>Locked-workbook normalized regulatory term</x:v>
      </x:c>
      <x:c r="I956" s="35" t="str">
        <x:v>N4 - preserve the source concept; normalize spelling to ASCII lowerCamelCase</x:v>
      </x:c>
      <x:c r="J956" s="35" t="str">
        <x:v>REUSE_R2_TERM</x:v>
      </x:c>
    </x:row>
    <x:row r="957">
      <x:c r="A957" s="35" t="str">
        <x:v>supportedStringerOutsideIceBelt</x:v>
      </x:c>
      <x:c r="B957" s="35" t="str">
        <x:v>https://w3id.org/nltl-benchmark/vocab#supportedStringerOutsideIceBelt</x:v>
      </x:c>
      <x:c r="C957" s="35" t="str">
        <x:v>DatatypeProperty</x:v>
      </x:c>
      <x:c r="D957" s="35" t="str">
        <x:v>http://www.w3.org/2001/XMLSchema#boolean</x:v>
      </x:c>
      <x:c r="E957" s="35" t="str">
        <x:v>xsd:boolean</x:v>
      </x:c>
      <x:c r="F957" s="35" t="str"/>
      <x:c r="G957" s="38" t="str">
        <x:v>TRF-058</x:v>
      </x:c>
      <x:c r="H957" s="35" t="str">
        <x:v>Applicable TRAFICOM regulation wording plus explicit engineering node/operand role</x:v>
      </x:c>
      <x:c r="I957" s="35" t="str">
        <x:v>N4 - explicit regulatory concept in ASCII lowerCamelCase with an XSD datatype.</x:v>
      </x:c>
      <x:c r="J957" s="35" t="str">
        <x:v>ADD_DEVELOPMENT_TERM</x:v>
      </x:c>
    </x:row>
    <x:row r="958">
      <x:c r="A958" s="35" t="str">
        <x:v>supportingStructure</x:v>
      </x:c>
      <x:c r="B958" s="35" t="str">
        <x:v>https://w3id.org/nltl-benchmark/vocab#supportingStructure</x:v>
      </x:c>
      <x:c r="C958" s="35" t="str">
        <x:v>Class</x:v>
      </x:c>
      <x:c r="D958" s="35" t="str">
        <x:v>https://w3id.org/nltl-benchmark/vocab#hullStructure</x:v>
      </x:c>
      <x:c r="E958" s="35" t="str"/>
      <x:c r="F958" s="35" t="str"/>
      <x:c r="G958" s="38" t="str">
        <x:v>TRF-046 | TRF-047 | TRF-049</x:v>
      </x:c>
      <x:c r="H958" s="35" t="str">
        <x:v>Benchmark-coined descriptive engineering term</x:v>
      </x:c>
      <x:c r="I958" s="35" t="str">
        <x:v>N5 - component or subject first, followed by characteristic and qualifier/state; no unsupported external mapping</x:v>
      </x:c>
      <x:c r="J958" s="35" t="str">
        <x:v>REUSE_R2_TERM</x:v>
      </x:c>
    </x:row>
    <x:row r="959">
      <x:c r="A959" s="35" t="str">
        <x:v>supportingStructureAtOrAboveIceBeltUpperLimit</x:v>
      </x:c>
      <x:c r="B959" s="35" t="str">
        <x:v>https://w3id.org/nltl-benchmark/vocab#supportingStructureAtOrAboveIceBeltUpperLimit</x:v>
      </x:c>
      <x:c r="C959" s="35" t="str">
        <x:v>DatatypeProperty</x:v>
      </x:c>
      <x:c r="D959" s="35" t="str">
        <x:v>http://www.w3.org/2001/XMLSchema#boolean</x:v>
      </x:c>
      <x:c r="E959" s="35" t="str">
        <x:v>xsd:boolean</x:v>
      </x:c>
      <x:c r="F959" s="35" t="str"/>
      <x:c r="G959" s="38" t="str">
        <x:v>TRF-046</x:v>
      </x:c>
      <x:c r="H959" s="35" t="str">
        <x:v>Applicable TRAFICOM regulation wording plus explicit engineering node/operand role</x:v>
      </x:c>
      <x:c r="I959" s="35" t="str">
        <x:v>N4 - explicit regulatory concept in ASCII lowerCamelCase with an XSD datatype.</x:v>
      </x:c>
      <x:c r="J959" s="35" t="str">
        <x:v>ADD_DEVELOPMENT_TERM</x:v>
      </x:c>
    </x:row>
    <x:row r="960">
      <x:c r="A960" s="35" t="str">
        <x:v>supportingStructureAtOrBelowIceBeltLowerLimit</x:v>
      </x:c>
      <x:c r="B960" s="35" t="str">
        <x:v>https://w3id.org/nltl-benchmark/vocab#supportingStructureAtOrBelowIceBeltLowerLimit</x:v>
      </x:c>
      <x:c r="C960" s="35" t="str">
        <x:v>DatatypeProperty</x:v>
      </x:c>
      <x:c r="D960" s="35" t="str">
        <x:v>http://www.w3.org/2001/XMLSchema#boolean</x:v>
      </x:c>
      <x:c r="E960" s="35" t="str">
        <x:v>xsd:boolean</x:v>
      </x:c>
      <x:c r="F960" s="35" t="str"/>
      <x:c r="G960" s="38" t="str">
        <x:v>TRF-047</x:v>
      </x:c>
      <x:c r="H960" s="35" t="str">
        <x:v>Applicable TRAFICOM regulation wording plus explicit engineering node/operand role</x:v>
      </x:c>
      <x:c r="I960" s="35" t="str">
        <x:v>N4 - explicit regulatory concept in ASCII lowerCamelCase with an XSD datatype.</x:v>
      </x:c>
      <x:c r="J960" s="35" t="str">
        <x:v>ADD_DEVELOPMENT_TERM</x:v>
      </x:c>
    </x:row>
    <x:row r="961">
      <x:c r="A961" s="35" t="str">
        <x:v>supportsIceStrengthenedFrames</x:v>
      </x:c>
      <x:c r="B961" s="35" t="str">
        <x:v>https://w3id.org/nltl-benchmark/vocab#supportsIceStrengthenedFrames</x:v>
      </x:c>
      <x:c r="C961" s="35" t="str">
        <x:v>DatatypeProperty</x:v>
      </x:c>
      <x:c r="D961" s="35" t="str">
        <x:v>http://www.w3.org/2001/XMLSchema#boolean</x:v>
      </x:c>
      <x:c r="E961" s="35" t="str">
        <x:v>xsd:boolean</x:v>
      </x:c>
      <x:c r="F961" s="35" t="str"/>
      <x:c r="G961" s="38" t="str">
        <x:v>TRF-054</x:v>
      </x:c>
      <x:c r="H961" s="35" t="str">
        <x:v>Applicable TRAFICOM regulation wording plus explicit engineering node/operand role</x:v>
      </x:c>
      <x:c r="I961" s="35" t="str">
        <x:v>N4 - explicit regulatory concept in ASCII lowerCamelCase with an XSD datatype.</x:v>
      </x:c>
      <x:c r="J961" s="35" t="str">
        <x:v>ADD_DEVELOPMENT_TERM</x:v>
      </x:c>
    </x:row>
    <x:row r="962">
      <x:c r="A962" s="35" t="str">
        <x:v>surveyComplianceStatus</x:v>
      </x:c>
      <x:c r="B962" s="35" t="str">
        <x:v>https://w3id.org/nltl-benchmark/vocab#surveyComplianceStatus</x:v>
      </x:c>
      <x:c r="C962" s="35" t="str">
        <x:v>DatatypeProperty</x:v>
      </x:c>
      <x:c r="D962" s="35" t="str">
        <x:v>http://www.w3.org/2001/XMLSchema#boolean</x:v>
      </x:c>
      <x:c r="E962" s="35" t="str">
        <x:v>xsd:boolean</x:v>
      </x:c>
      <x:c r="F962" s="35" t="str"/>
      <x:c r="G962" s="38" t="str">
        <x:v>IMO-015</x:v>
      </x:c>
      <x:c r="H962" s="35" t="str">
        <x:v>Locked-workbook normalized regulatory term</x:v>
      </x:c>
      <x:c r="I962" s="35" t="str">
        <x:v>N4 - preserve the source concept; normalize spelling to ASCII lowerCamelCase</x:v>
      </x:c>
      <x:c r="J962" s="35" t="str">
        <x:v>REUSE_R2_TERM</x:v>
      </x:c>
    </x:row>
    <x:row r="963">
      <x:c r="A963" s="35" t="str">
        <x:v>surveyDates</x:v>
      </x:c>
      <x:c r="B963" s="35" t="str">
        <x:v>https://w3id.org/nltl-benchmark/vocab#surveyDates</x:v>
      </x:c>
      <x:c r="C963" s="35" t="str">
        <x:v>DatatypeProperty</x:v>
      </x:c>
      <x:c r="D963" s="35" t="str">
        <x:v>http://www.w3.org/2001/XMLSchema#date</x:v>
      </x:c>
      <x:c r="E963" s="35" t="str">
        <x:v>xsd:date</x:v>
      </x:c>
      <x:c r="F963" s="35" t="str"/>
      <x:c r="G963" s="38" t="str">
        <x:v>IMO-017</x:v>
      </x:c>
      <x:c r="H963" s="35" t="str">
        <x:v>Locked-workbook normalized regulatory term</x:v>
      </x:c>
      <x:c r="I963" s="35" t="str">
        <x:v>N4 - preserve the source concept; normalize spelling to ASCII lowerCamelCase</x:v>
      </x:c>
      <x:c r="J963" s="35" t="str">
        <x:v>REUSE_R2_TERM</x:v>
      </x:c>
    </x:row>
    <x:row r="964">
      <x:c r="A964" s="35" t="str">
        <x:v>survivalCraftAvailableCapacity</x:v>
      </x:c>
      <x:c r="B964" s="35" t="str">
        <x:v>https://w3id.org/nltl-benchmark/vocab#survivalCraftAvailableCapacity</x:v>
      </x:c>
      <x:c r="C964" s="35" t="str">
        <x:v>DatatypeProperty</x:v>
      </x:c>
      <x:c r="D964" s="35" t="str">
        <x:v>http://www.w3.org/2001/XMLSchema#integer</x:v>
      </x:c>
      <x:c r="E964" s="35" t="str">
        <x:v>xsd:integer</x:v>
      </x:c>
      <x:c r="F964" s="35" t="str"/>
      <x:c r="G964" s="38" t="str">
        <x:v>IMO-077</x:v>
      </x:c>
      <x:c r="H964" s="35" t="str">
        <x:v>Locked-workbook normalized regulatory term</x:v>
      </x:c>
      <x:c r="I964" s="35" t="str">
        <x:v>N4 - preserve the source concept; normalize spelling to ASCII lowerCamelCase</x:v>
      </x:c>
      <x:c r="J964" s="35" t="str">
        <x:v>REUSE_R2_TERM</x:v>
      </x:c>
    </x:row>
    <x:row r="965">
      <x:c r="A965" s="35" t="str">
        <x:v>survivalCraftCommunicationDevice</x:v>
      </x:c>
      <x:c r="B965" s="35" t="str">
        <x:v>https://w3id.org/nltl-benchmark/vocab#survivalCraftCommunicationDevice</x:v>
      </x:c>
      <x:c r="C965" s="35" t="str">
        <x:v>Class</x:v>
      </x:c>
      <x:c r="D965" s="35" t="str">
        <x:v>https://w3id.org/nltl-benchmark/vocab#benchmarkEntity</x:v>
      </x:c>
      <x:c r="E965" s="35" t="str"/>
      <x:c r="F965" s="35" t="str"/>
      <x:c r="G965" s="38" t="str">
        <x:v>IMO-093</x:v>
      </x:c>
      <x:c r="H965" s="35" t="str">
        <x:v>Locked-workbook normalized regulatory term</x:v>
      </x:c>
      <x:c r="I965" s="35" t="str">
        <x:v>N4 - preserve the source concept; normalize spelling to ASCII lowerCamelCase</x:v>
      </x:c>
      <x:c r="J965" s="35" t="str">
        <x:v>REUSE_R2_TERM</x:v>
      </x:c>
    </x:row>
    <x:row r="966">
      <x:c r="A966" s="35" t="str">
        <x:v>survivalEquipmentDeploymentApprovalStatus</x:v>
      </x:c>
      <x:c r="B966" s="35" t="str">
        <x:v>https://w3id.org/nltl-benchmark/vocab#survivalEquipmentDeploymentApprovalStatus</x:v>
      </x:c>
      <x:c r="C966" s="35" t="str">
        <x:v>ObjectProperty</x:v>
      </x:c>
      <x:c r="D966" s="35" t="str">
        <x:v>https://w3id.org/nltl-benchmark/vocab#evidenceState</x:v>
      </x:c>
      <x:c r="E966" s="35" t="str"/>
      <x:c r="F966" s="35" t="str"/>
      <x:c r="G966" s="38" t="str">
        <x:v>IMO-068</x:v>
      </x:c>
      <x:c r="H966" s="35" t="str">
        <x:v>Locked-workbook normalized regulatory term</x:v>
      </x:c>
      <x:c r="I966" s="35" t="str">
        <x:v>N4 - preserve the source concept; normalize spelling to ASCII lowerCamelCase</x:v>
      </x:c>
      <x:c r="J966" s="35" t="str">
        <x:v>REUSE_R2_TERM</x:v>
      </x:c>
    </x:row>
    <x:row r="967">
      <x:c r="A967" s="35" t="str">
        <x:v>survivalSupportDuration</x:v>
      </x:c>
      <x:c r="B967" s="35" t="str">
        <x:v>https://w3id.org/nltl-benchmark/vocab#survivalSupportDuration</x:v>
      </x:c>
      <x:c r="C967" s="35" t="str">
        <x:v>QuantityProperty</x:v>
      </x:c>
      <x:c r="D967" s="35" t="str">
        <x:v>http://qudt.org/schema/qudt/QuantityValue</x:v>
      </x:c>
      <x:c r="E967" s="35" t="str"/>
      <x:c r="F967" s="35" t="str">
        <x:v>day</x:v>
      </x:c>
      <x:c r="G967" s="38" t="str">
        <x:v>IMO-065</x:v>
      </x:c>
      <x:c r="H967" s="35" t="str">
        <x:v>Unit-stripped normalized regulatory variable</x:v>
      </x:c>
      <x:c r="I967" s="35" t="str">
        <x:v>N3 - remove unit from the identifier and retain it in unit/quantity metadata</x:v>
      </x:c>
      <x:c r="J967" s="35" t="str">
        <x:v>REUSE_R2_TERM</x:v>
      </x:c>
    </x:row>
    <x:row r="968">
      <x:c r="A968" s="35" t="str">
        <x:v>survivalSystemTestStatus</x:v>
      </x:c>
      <x:c r="B968" s="35" t="str">
        <x:v>https://w3id.org/nltl-benchmark/vocab#survivalSystemTestStatus</x:v>
      </x:c>
      <x:c r="C968" s="35" t="str">
        <x:v>DatatypeProperty</x:v>
      </x:c>
      <x:c r="D968" s="35" t="str">
        <x:v>http://www.w3.org/2001/XMLSchema#boolean</x:v>
      </x:c>
      <x:c r="E968" s="35" t="str">
        <x:v>xsd:boolean</x:v>
      </x:c>
      <x:c r="F968" s="35" t="str"/>
      <x:c r="G968" s="38" t="str">
        <x:v>IMO-020</x:v>
      </x:c>
      <x:c r="H968" s="35" t="str">
        <x:v>Locked-workbook normalized regulatory term</x:v>
      </x:c>
      <x:c r="I968" s="35" t="str">
        <x:v>N4 - preserve the source concept; normalize spelling to ASCII lowerCamelCase</x:v>
      </x:c>
      <x:c r="J968" s="35" t="str">
        <x:v>REUSE_R2_TERM</x:v>
      </x:c>
    </x:row>
    <x:row r="969">
      <x:c r="A969" s="35" t="str">
        <x:v>survivalSystemTestTemperature</x:v>
      </x:c>
      <x:c r="B969" s="35" t="str">
        <x:v>https://w3id.org/nltl-benchmark/vocab#survivalSystemTestTemperature</x:v>
      </x:c>
      <x:c r="C969" s="35" t="str">
        <x:v>QuantityProperty</x:v>
      </x:c>
      <x:c r="D969" s="35" t="str">
        <x:v>http://qudt.org/schema/qudt/QuantityValue</x:v>
      </x:c>
      <x:c r="E969" s="35" t="str"/>
      <x:c r="F969" s="35" t="str">
        <x:v>deg C</x:v>
      </x:c>
      <x:c r="G969" s="38" t="str">
        <x:v>IMO-020</x:v>
      </x:c>
      <x:c r="H969" s="35" t="str">
        <x:v>Unit-stripped normalized regulatory variable</x:v>
      </x:c>
      <x:c r="I969" s="35" t="str">
        <x:v>N3 - remove unit from the identifier and retain it in unit/quantity metadata</x:v>
      </x:c>
      <x:c r="J969" s="35" t="str">
        <x:v>REUSE_R2_TERM</x:v>
      </x:c>
    </x:row>
    <x:row r="970">
      <x:c r="A970" s="35" t="str">
        <x:v>sustenanceMeansPresent</x:v>
      </x:c>
      <x:c r="B970" s="35" t="str">
        <x:v>https://w3id.org/nltl-benchmark/vocab#sustenanceMeansPresent</x:v>
      </x:c>
      <x:c r="C970" s="35" t="str">
        <x:v>DatatypeProperty</x:v>
      </x:c>
      <x:c r="D970" s="35" t="str">
        <x:v>http://www.w3.org/2001/XMLSchema#boolean</x:v>
      </x:c>
      <x:c r="E970" s="35" t="str">
        <x:v>xsd:boolean</x:v>
      </x:c>
      <x:c r="F970" s="35" t="str"/>
      <x:c r="G970" s="38" t="str">
        <x:v>IMO-065</x:v>
      </x:c>
      <x:c r="H970" s="35" t="str">
        <x:v>Locked-workbook normalized regulatory term</x:v>
      </x:c>
      <x:c r="I970" s="35" t="str">
        <x:v>N4 - preserve the source concept; normalize spelling to ASCII lowerCamelCase</x:v>
      </x:c>
      <x:c r="J970" s="35" t="str">
        <x:v>REUSE_R2_TERM</x:v>
      </x:c>
    </x:row>
    <x:row r="971">
      <x:c r="A971" s="35" t="str">
        <x:v>tankBottom</x:v>
      </x:c>
      <x:c r="B971" s="35" t="str">
        <x:v>https://w3id.org/nltl-benchmark/vocab#tankBottom</x:v>
      </x:c>
      <x:c r="C971" s="35" t="str">
        <x:v>Class</x:v>
      </x:c>
      <x:c r="D971" s="35" t="str">
        <x:v>https://w3id.org/nltl-benchmark/vocab#tankBoundaryPlating</x:v>
      </x:c>
      <x:c r="E971" s="35" t="str"/>
      <x:c r="F971" s="35" t="str"/>
      <x:c r="G971" s="38" t="str">
        <x:v>TRF-051</x:v>
      </x:c>
      <x:c r="H971" s="35" t="str">
        <x:v>Applicable TRAFICOM regulation wording plus explicit engineering node/operand role</x:v>
      </x:c>
      <x:c r="I971" s="35" t="str">
        <x:v>N4 - singular ASCII lowerCamelCase entity name derived from the linked regulatory role.</x:v>
      </x:c>
      <x:c r="J971" s="35" t="str">
        <x:v>ADD_DEVELOPMENT_TERM</x:v>
      </x:c>
    </x:row>
    <x:row r="972">
      <x:c r="A972" s="35" t="str">
        <x:v>tankBoundaryPlating</x:v>
      </x:c>
      <x:c r="B972" s="35" t="str">
        <x:v>https://w3id.org/nltl-benchmark/vocab#tankBoundaryPlating</x:v>
      </x:c>
      <x:c r="C972" s="35" t="str">
        <x:v>Class</x:v>
      </x:c>
      <x:c r="D972" s="35" t="str">
        <x:v>https://w3id.org/nltl-benchmark/vocab#plating</x:v>
      </x:c>
      <x:c r="E972" s="35" t="str"/>
      <x:c r="F972" s="35" t="str"/>
      <x:c r="G972" s="38" t="str">
        <x:v>TRF-046 | TRF-047 | TRF-051</x:v>
      </x:c>
      <x:c r="H972" s="35" t="str">
        <x:v>Applicable TRAFICOM regulation wording plus explicit engineering node/operand role</x:v>
      </x:c>
      <x:c r="I972" s="35" t="str">
        <x:v>N4 - singular ASCII lowerCamelCase entity name derived from the linked regulatory role.</x:v>
      </x:c>
      <x:c r="J972" s="35" t="str">
        <x:v>ADD_DEVELOPMENT_TERM</x:v>
      </x:c>
    </x:row>
    <x:row r="973">
      <x:c r="A973" s="35" t="str">
        <x:v>tankOuterShellSeparation</x:v>
      </x:c>
      <x:c r="B973" s="35" t="str">
        <x:v>https://w3id.org/nltl-benchmark/vocab#tankOuterShellSeparation</x:v>
      </x:c>
      <x:c r="C973" s="35" t="str">
        <x:v>QuantityProperty</x:v>
      </x:c>
      <x:c r="D973" s="35" t="str">
        <x:v>http://qudt.org/schema/qudt/QuantityValue</x:v>
      </x:c>
      <x:c r="E973" s="35" t="str"/>
      <x:c r="F973" s="35" t="str">
        <x:v>m</x:v>
      </x:c>
      <x:c r="G973" s="38" t="str">
        <x:v>IMO-111</x:v>
      </x:c>
      <x:c r="H973" s="35" t="str">
        <x:v>Unit-stripped normalized regulatory variable</x:v>
      </x:c>
      <x:c r="I973" s="35" t="str">
        <x:v>N3 - remove unit from the identifier and retain it in unit/quantity metadata</x:v>
      </x:c>
      <x:c r="J973" s="35" t="str">
        <x:v>REUSE_R2_TERM</x:v>
      </x:c>
    </x:row>
    <x:row r="974">
      <x:c r="A974" s="35" t="str">
        <x:v>tankTop</x:v>
      </x:c>
      <x:c r="B974" s="35" t="str">
        <x:v>https://w3id.org/nltl-benchmark/vocab#tankTop</x:v>
      </x:c>
      <x:c r="C974" s="35" t="str">
        <x:v>Class</x:v>
      </x:c>
      <x:c r="D974" s="35" t="str">
        <x:v>https://w3id.org/nltl-benchmark/vocab#hullStructure</x:v>
      </x:c>
      <x:c r="E974" s="35" t="str"/>
      <x:c r="F974" s="35" t="str"/>
      <x:c r="G974" s="38" t="str">
        <x:v>TRF-063</x:v>
      </x:c>
      <x:c r="H974" s="35" t="str">
        <x:v>Benchmark-coined descriptive engineering term</x:v>
      </x:c>
      <x:c r="I974" s="35" t="str">
        <x:v>N5 - component or subject first, followed by characteristic and qualifier/state; no unsupported external mapping</x:v>
      </x:c>
      <x:c r="J974" s="35" t="str">
        <x:v>REUSE_R2_TERM</x:v>
      </x:c>
    </x:row>
    <x:row r="975">
      <x:c r="A975" s="35" t="str">
        <x:v>tankType</x:v>
      </x:c>
      <x:c r="B975" s="35" t="str">
        <x:v>https://w3id.org/nltl-benchmark/vocab#tankType</x:v>
      </x:c>
      <x:c r="C975" s="35" t="str">
        <x:v>DatatypeProperty</x:v>
      </x:c>
      <x:c r="D975" s="35" t="str">
        <x:v>http://www.w3.org/2001/XMLSchema#string</x:v>
      </x:c>
      <x:c r="E975" s="35" t="str">
        <x:v>xsd:string</x:v>
      </x:c>
      <x:c r="F975" s="35" t="str"/>
      <x:c r="G975" s="38" t="str">
        <x:v>IMO-111</x:v>
      </x:c>
      <x:c r="H975" s="35" t="str">
        <x:v>Locked-workbook normalized regulatory term</x:v>
      </x:c>
      <x:c r="I975" s="35" t="str">
        <x:v>N4 - preserve the source concept; normalize spelling to ASCII lowerCamelCase</x:v>
      </x:c>
      <x:c r="J975" s="35" t="str">
        <x:v>REUSE_R2_TERM</x:v>
      </x:c>
    </x:row>
    <x:row r="976">
      <x:c r="A976" s="35" t="str">
        <x:v>telemedicalAssistanceCommunicationEquipmentPresent</x:v>
      </x:c>
      <x:c r="B976" s="35" t="str">
        <x:v>https://w3id.org/nltl-benchmark/vocab#telemedicalAssistanceCommunicationEquipmentPresent</x:v>
      </x:c>
      <x:c r="C976" s="35" t="str">
        <x:v>DatatypeProperty</x:v>
      </x:c>
      <x:c r="D976" s="35" t="str">
        <x:v>http://www.w3.org/2001/XMLSchema#boolean</x:v>
      </x:c>
      <x:c r="E976" s="35" t="str">
        <x:v>xsd:boolean</x:v>
      </x:c>
      <x:c r="F976" s="35" t="str"/>
      <x:c r="G976" s="38" t="str">
        <x:v>IMO-092</x:v>
      </x:c>
      <x:c r="H976" s="35" t="str">
        <x:v>Locked-workbook normalized regulatory term</x:v>
      </x:c>
      <x:c r="I976" s="35" t="str">
        <x:v>N4 - preserve the source concept; normalize spelling to ASCII lowerCamelCase</x:v>
      </x:c>
      <x:c r="J976" s="35" t="str">
        <x:v>REUSE_R2_TERM</x:v>
      </x:c>
    </x:row>
    <x:row r="977">
      <x:c r="A977" s="35" t="str">
        <x:v>telemedicalAssistanceServiceTwoWayDataCapability</x:v>
      </x:c>
      <x:c r="B977" s="35" t="str">
        <x:v>https://w3id.org/nltl-benchmark/vocab#telemedicalAssistanceServiceTwoWayDataCapability</x:v>
      </x:c>
      <x:c r="C977" s="35" t="str">
        <x:v>DatatypeProperty</x:v>
      </x:c>
      <x:c r="D977" s="35" t="str">
        <x:v>http://www.w3.org/2001/XMLSchema#boolean</x:v>
      </x:c>
      <x:c r="E977" s="35" t="str">
        <x:v>xsd:boolean</x:v>
      </x:c>
      <x:c r="F977" s="35" t="str"/>
      <x:c r="G977" s="38" t="str">
        <x:v>IMO-096</x:v>
      </x:c>
      <x:c r="H977" s="35" t="str">
        <x:v>Locked-workbook normalized regulatory term</x:v>
      </x:c>
      <x:c r="I977" s="35" t="str">
        <x:v>N4 - preserve the source concept; normalize spelling to ASCII lowerCamelCase</x:v>
      </x:c>
      <x:c r="J977" s="35" t="str">
        <x:v>REUSE_R2_TERM</x:v>
      </x:c>
    </x:row>
    <x:row r="978">
      <x:c r="A978" s="35" t="str">
        <x:v>telemedicalAssistanceServiceTwoWayVoiceCapability</x:v>
      </x:c>
      <x:c r="B978" s="35" t="str">
        <x:v>https://w3id.org/nltl-benchmark/vocab#telemedicalAssistanceServiceTwoWayVoiceCapability</x:v>
      </x:c>
      <x:c r="C978" s="35" t="str">
        <x:v>DatatypeProperty</x:v>
      </x:c>
      <x:c r="D978" s="35" t="str">
        <x:v>http://www.w3.org/2001/XMLSchema#boolean</x:v>
      </x:c>
      <x:c r="E978" s="35" t="str">
        <x:v>xsd:boolean</x:v>
      </x:c>
      <x:c r="F978" s="35" t="str"/>
      <x:c r="G978" s="38" t="str">
        <x:v>IMO-096</x:v>
      </x:c>
      <x:c r="H978" s="35" t="str">
        <x:v>Locked-workbook normalized regulatory term</x:v>
      </x:c>
      <x:c r="I978" s="35" t="str">
        <x:v>N4 - preserve the source concept; normalize spelling to ASCII lowerCamelCase</x:v>
      </x:c>
      <x:c r="J978" s="35" t="str">
        <x:v>REUSE_R2_TERM</x:v>
      </x:c>
    </x:row>
    <x:row r="979">
      <x:c r="A979" s="35" t="str">
        <x:v>terminatesAtDeckOrIceStringer</x:v>
      </x:c>
      <x:c r="B979" s="35" t="str">
        <x:v>https://w3id.org/nltl-benchmark/vocab#terminatesAtDeckOrIceStringer</x:v>
      </x:c>
      <x:c r="C979" s="35" t="str">
        <x:v>DatatypeProperty</x:v>
      </x:c>
      <x:c r="D979" s="35" t="str">
        <x:v>http://www.w3.org/2001/XMLSchema#boolean</x:v>
      </x:c>
      <x:c r="E979" s="35" t="str">
        <x:v>xsd:boolean</x:v>
      </x:c>
      <x:c r="F979" s="35" t="str"/>
      <x:c r="G979" s="38" t="str">
        <x:v>TRF-049</x:v>
      </x:c>
      <x:c r="H979" s="35" t="str">
        <x:v>Applicable TRAFICOM regulation wording plus explicit engineering node/operand role</x:v>
      </x:c>
      <x:c r="I979" s="35" t="str">
        <x:v>N4 - explicit regulatory concept in ASCII lowerCamelCase with an XSD datatype.</x:v>
      </x:c>
      <x:c r="J979" s="35" t="str">
        <x:v>ADD_DEVELOPMENT_TERM</x:v>
      </x:c>
    </x:row>
    <x:row r="980">
      <x:c r="A980" s="35" t="str">
        <x:v>testSpecimenSizeReductionFactor</x:v>
      </x:c>
      <x:c r="B980" s="35" t="str">
        <x:v>https://w3id.org/nltl-benchmark/vocab#testSpecimenSizeReductionFactor</x:v>
      </x:c>
      <x:c r="C980" s="35" t="str">
        <x:v>QuantityProperty</x:v>
      </x:c>
      <x:c r="D980" s="35" t="str">
        <x:v>http://qudt.org/schema/qudt/QuantityValue</x:v>
      </x:c>
      <x:c r="E980" s="35" t="str"/>
      <x:c r="F980" s="35" t="str">
        <x:v>1</x:v>
      </x:c>
      <x:c r="G980" s="38" t="str">
        <x:v>TRF-110</x:v>
      </x:c>
      <x:c r="H980" s="35" t="str">
        <x:v>Regulatory symbol expanded from a directly verified definition</x:v>
      </x:c>
      <x:c r="I980" s="35" t="str">
        <x:v>N2 - replace formula symbol with its clause-defined engineering meaning; preserve symbol as alias</x:v>
      </x:c>
      <x:c r="J980" s="35" t="str">
        <x:v>REUSE_R2_TERM</x:v>
      </x:c>
    </x:row>
    <x:row r="981">
      <x:c r="A981" s="35" t="str">
        <x:v>testTemperature</x:v>
      </x:c>
      <x:c r="B981" s="35" t="str">
        <x:v>https://w3id.org/nltl-benchmark/vocab#testTemperature</x:v>
      </x:c>
      <x:c r="C981" s="35" t="str">
        <x:v>QuantityProperty</x:v>
      </x:c>
      <x:c r="D981" s="35" t="str">
        <x:v>http://qudt.org/schema/qudt/QuantityValue</x:v>
      </x:c>
      <x:c r="E981" s="35" t="str"/>
      <x:c r="F981" s="35" t="str">
        <x:v>deg C</x:v>
      </x:c>
      <x:c r="G981" s="38" t="str">
        <x:v>TRF-072</x:v>
      </x:c>
      <x:c r="H981" s="35" t="str">
        <x:v>Unit-stripped normalized regulatory variable</x:v>
      </x:c>
      <x:c r="I981" s="35" t="str">
        <x:v>N3 - remove unit from the identifier and retain it in unit/quantity metadata</x:v>
      </x:c>
      <x:c r="J981" s="35" t="str">
        <x:v>REUSE_R2_TERM</x:v>
      </x:c>
    </x:row>
    <x:row r="982">
      <x:c r="A982" s="35" t="str">
        <x:v>thermalProtectionApprovalStatus</x:v>
      </x:c>
      <x:c r="B982" s="35" t="str">
        <x:v>https://w3id.org/nltl-benchmark/vocab#thermalProtectionApprovalStatus</x:v>
      </x:c>
      <x:c r="C982" s="35" t="str">
        <x:v>ObjectProperty</x:v>
      </x:c>
      <x:c r="D982" s="35" t="str">
        <x:v>https://w3id.org/nltl-benchmark/vocab#evidenceState</x:v>
      </x:c>
      <x:c r="E982" s="35" t="str"/>
      <x:c r="F982" s="35" t="str"/>
      <x:c r="G982" s="38" t="str">
        <x:v>IMO-064</x:v>
      </x:c>
      <x:c r="H982" s="35" t="str">
        <x:v>Locked-workbook normalized regulatory term</x:v>
      </x:c>
      <x:c r="I982" s="35" t="str">
        <x:v>N4 - preserve the source concept; normalize spelling to ASCII lowerCamelCase</x:v>
      </x:c>
      <x:c r="J982" s="35" t="str">
        <x:v>REUSE_R2_TERM</x:v>
      </x:c>
    </x:row>
    <x:row r="983">
      <x:c r="A983" s="35" t="str">
        <x:v>thickness</x:v>
      </x:c>
      <x:c r="B983" s="35" t="str">
        <x:v>https://w3id.org/nltl-benchmark/vocab#thickness</x:v>
      </x:c>
      <x:c r="C983" s="35" t="str">
        <x:v>QuantityProperty</x:v>
      </x:c>
      <x:c r="D983" s="35" t="str">
        <x:v>http://qudt.org/schema/qudt/QuantityValue</x:v>
      </x:c>
      <x:c r="E983" s="35" t="str"/>
      <x:c r="F983" s="35" t="str">
        <x:v>m</x:v>
      </x:c>
      <x:c r="G983" s="38" t="str">
        <x:v>I2-021 | I2-029 | I2-041 | I2-042 | I2-061 | TRF-040 | TRF-041 | TRF-051 | TRF-061</x:v>
      </x:c>
      <x:c r="H983" s="35" t="str">
        <x:v>Locked-workbook normalized regulatory term</x:v>
      </x:c>
      <x:c r="I983" s="35" t="str">
        <x:v>N4 - preserve the source concept; normalize spelling to ASCII lowerCamelCase</x:v>
      </x:c>
      <x:c r="J983" s="35" t="str">
        <x:v>REUSE_R2_TERM</x:v>
      </x:c>
    </x:row>
    <x:row r="984">
      <x:c r="A984" s="35" t="str">
        <x:v>thrusterBody</x:v>
      </x:c>
      <x:c r="B984" s="35" t="str">
        <x:v>https://w3id.org/nltl-benchmark/vocab#thrusterBody</x:v>
      </x:c>
      <x:c r="C984" s="35" t="str">
        <x:v>Class</x:v>
      </x:c>
      <x:c r="D984" s="35" t="str">
        <x:v>https://w3id.org/nltl-benchmark/vocab#machineryComponent</x:v>
      </x:c>
      <x:c r="E984" s="35" t="str"/>
      <x:c r="F984" s="35" t="str"/>
      <x:c r="G984" s="38" t="str">
        <x:v>TRF-113 | TRF-114</x:v>
      </x:c>
      <x:c r="H984" s="35" t="str">
        <x:v>Benchmark-coined descriptive engineering term</x:v>
      </x:c>
      <x:c r="I984" s="35" t="str">
        <x:v>N5 - component or subject first, followed by characteristic and qualifier/state; no unsupported external mapping</x:v>
      </x:c>
      <x:c r="J984" s="35" t="str">
        <x:v>REUSE_R2_TERM</x:v>
      </x:c>
    </x:row>
    <x:row r="985">
      <x:c r="A985" s="35" t="str">
        <x:v>thrusterBodyIceInteractionLoad</x:v>
      </x:c>
      <x:c r="B985" s="35" t="str">
        <x:v>https://w3id.org/nltl-benchmark/vocab#thrusterBodyIceInteractionLoad</x:v>
      </x:c>
      <x:c r="C985" s="35" t="str">
        <x:v>QuantityProperty</x:v>
      </x:c>
      <x:c r="D985" s="35" t="str">
        <x:v>http://qudt.org/schema/qudt/QuantityValue</x:v>
      </x:c>
      <x:c r="E985" s="35" t="str"/>
      <x:c r="F985" s="35" t="str">
        <x:v>kN</x:v>
      </x:c>
      <x:c r="G985" s="38" t="str">
        <x:v>TRF-070</x:v>
      </x:c>
      <x:c r="H985" s="35" t="str">
        <x:v>Benchmark-coined descriptive engineering term</x:v>
      </x:c>
      <x:c r="I985" s="35" t="str">
        <x:v>N5 - component or subject first, followed by characteristic and qualifier/state; no unsupported external mapping</x:v>
      </x:c>
      <x:c r="J985" s="35" t="str">
        <x:v>REUSE_R2_TERM</x:v>
      </x:c>
    </x:row>
    <x:row r="986">
      <x:c r="A986" s="35" t="str">
        <x:v>thrusterBodyLocalStrength</x:v>
      </x:c>
      <x:c r="B986" s="35" t="str">
        <x:v>https://w3id.org/nltl-benchmark/vocab#thrusterBodyLocalStrength</x:v>
      </x:c>
      <x:c r="C986" s="35" t="str">
        <x:v>DatatypeProperty</x:v>
      </x:c>
      <x:c r="D986" s="35" t="str">
        <x:v>http://www.w3.org/2001/XMLSchema#boolean</x:v>
      </x:c>
      <x:c r="E986" s="35" t="str">
        <x:v>xsd:boolean</x:v>
      </x:c>
      <x:c r="F986" s="35" t="str"/>
      <x:c r="G986" s="38" t="str">
        <x:v>TRF-070</x:v>
      </x:c>
      <x:c r="H986" s="35" t="str">
        <x:v>Benchmark-coined descriptive engineering term</x:v>
      </x:c>
      <x:c r="I986" s="35" t="str">
        <x:v>N5 - component or subject first, followed by characteristic and qualifier/state; no unsupported external mapping</x:v>
      </x:c>
      <x:c r="J986" s="35" t="str">
        <x:v>REUSE_R2_TERM</x:v>
      </x:c>
    </x:row>
    <x:row r="987">
      <x:c r="A987" s="35" t="str">
        <x:v>thrusterExtremeLoad</x:v>
      </x:c>
      <x:c r="B987" s="35" t="str">
        <x:v>https://w3id.org/nltl-benchmark/vocab#thrusterExtremeLoad</x:v>
      </x:c>
      <x:c r="C987" s="35" t="str">
        <x:v>QuantityProperty</x:v>
      </x:c>
      <x:c r="D987" s="35" t="str">
        <x:v>http://qudt.org/schema/qudt/QuantityValue</x:v>
      </x:c>
      <x:c r="E987" s="35" t="str"/>
      <x:c r="F987" s="35" t="str">
        <x:v>kN</x:v>
      </x:c>
      <x:c r="G987" s="38" t="str">
        <x:v>TRF-118</x:v>
      </x:c>
      <x:c r="H987" s="35" t="str">
        <x:v>Benchmark-coined descriptive engineering term</x:v>
      </x:c>
      <x:c r="I987" s="35" t="str">
        <x:v>N5 - component or subject first, followed by characteristic and qualifier/state; no unsupported external mapping</x:v>
      </x:c>
      <x:c r="J987" s="35" t="str">
        <x:v>REUSE_R2_TERM</x:v>
      </x:c>
    </x:row>
    <x:row r="988">
      <x:c r="A988" s="35" t="str">
        <x:v>thrusterFitting</x:v>
      </x:c>
      <x:c r="B988" s="35" t="str">
        <x:v>https://w3id.org/nltl-benchmark/vocab#thrusterFitting</x:v>
      </x:c>
      <x:c r="C988" s="35" t="str">
        <x:v>Class</x:v>
      </x:c>
      <x:c r="D988" s="35" t="str">
        <x:v>https://w3id.org/nltl-benchmark/vocab#machineryComponent</x:v>
      </x:c>
      <x:c r="E988" s="35" t="str"/>
      <x:c r="F988" s="35" t="str"/>
      <x:c r="G988" s="38" t="str">
        <x:v>TRF-113</x:v>
      </x:c>
      <x:c r="H988" s="35" t="str">
        <x:v>Benchmark-coined descriptive engineering term</x:v>
      </x:c>
      <x:c r="I988" s="35" t="str">
        <x:v>N5 - component or subject first, followed by characteristic and qualifier/state; no unsupported external mapping</x:v>
      </x:c>
      <x:c r="J988" s="35" t="str">
        <x:v>REUSE_R2_TERM</x:v>
      </x:c>
    </x:row>
    <x:row r="989">
      <x:c r="A989" s="35" t="str">
        <x:v>thrusterGlobalModeFrequency</x:v>
      </x:c>
      <x:c r="B989" s="35" t="str">
        <x:v>https://w3id.org/nltl-benchmark/vocab#thrusterGlobalModeFrequency</x:v>
      </x:c>
      <x:c r="C989" s="35" t="str">
        <x:v>QuantityProperty</x:v>
      </x:c>
      <x:c r="D989" s="35" t="str">
        <x:v>http://qudt.org/schema/qudt/QuantityValue</x:v>
      </x:c>
      <x:c r="E989" s="35" t="str"/>
      <x:c r="F989" s="35" t="str">
        <x:v>Hz</x:v>
      </x:c>
      <x:c r="G989" s="38" t="str">
        <x:v>TRF-119</x:v>
      </x:c>
      <x:c r="H989" s="35" t="str">
        <x:v>Benchmark-coined descriptive engineering term</x:v>
      </x:c>
      <x:c r="I989" s="35" t="str">
        <x:v>N5 - component or subject first, followed by characteristic and qualifier/state; no unsupported external mapping</x:v>
      </x:c>
      <x:c r="J989" s="35" t="str">
        <x:v>REUSE_R2_TERM</x:v>
      </x:c>
    </x:row>
    <x:row r="990">
      <x:c r="A990" s="35" t="str">
        <x:v>thrusterNaturalFrequency</x:v>
      </x:c>
      <x:c r="B990" s="35" t="str">
        <x:v>https://w3id.org/nltl-benchmark/vocab#thrusterNaturalFrequency</x:v>
      </x:c>
      <x:c r="C990" s="35" t="str">
        <x:v>QuantityProperty</x:v>
      </x:c>
      <x:c r="D990" s="35" t="str">
        <x:v>http://qudt.org/schema/qudt/QuantityValue</x:v>
      </x:c>
      <x:c r="E990" s="35" t="str"/>
      <x:c r="F990" s="35" t="str">
        <x:v>Hz</x:v>
      </x:c>
      <x:c r="G990" s="38" t="str">
        <x:v>TRF-120</x:v>
      </x:c>
      <x:c r="H990" s="35" t="str">
        <x:v>Benchmark-coined descriptive engineering term</x:v>
      </x:c>
      <x:c r="I990" s="35" t="str">
        <x:v>N5 - component or subject first, followed by characteristic and qualifier/state; no unsupported external mapping</x:v>
      </x:c>
      <x:c r="J990" s="35" t="str">
        <x:v>REUSE_R2_TERM</x:v>
      </x:c>
    </x:row>
    <x:row r="991">
      <x:c r="A991" s="35" t="str">
        <x:v>thrusterOperability</x:v>
      </x:c>
      <x:c r="B991" s="35" t="str">
        <x:v>https://w3id.org/nltl-benchmark/vocab#thrusterOperability</x:v>
      </x:c>
      <x:c r="C991" s="35" t="str">
        <x:v>DatatypeProperty</x:v>
      </x:c>
      <x:c r="D991" s="35" t="str">
        <x:v>http://www.w3.org/2001/XMLSchema#boolean</x:v>
      </x:c>
      <x:c r="E991" s="35" t="str">
        <x:v>xsd:boolean</x:v>
      </x:c>
      <x:c r="F991" s="35" t="str"/>
      <x:c r="G991" s="38" t="str">
        <x:v>TRF-118</x:v>
      </x:c>
      <x:c r="H991" s="35" t="str">
        <x:v>Benchmark-coined descriptive engineering term</x:v>
      </x:c>
      <x:c r="I991" s="35" t="str">
        <x:v>N5 - component or subject first, followed by characteristic and qualifier/state; no unsupported external mapping</x:v>
      </x:c>
      <x:c r="J991" s="35" t="str">
        <x:v>REUSE_R2_TERM</x:v>
      </x:c>
    </x:row>
    <x:row r="992">
      <x:c r="A992" s="35" t="str">
        <x:v>thrusterType</x:v>
      </x:c>
      <x:c r="B992" s="35" t="str">
        <x:v>https://w3id.org/nltl-benchmark/vocab#thrusterType</x:v>
      </x:c>
      <x:c r="C992" s="35" t="str">
        <x:v>DatatypeProperty</x:v>
      </x:c>
      <x:c r="D992" s="35" t="str">
        <x:v>http://www.w3.org/2001/XMLSchema#string</x:v>
      </x:c>
      <x:c r="E992" s="35" t="str">
        <x:v>xsd:string</x:v>
      </x:c>
      <x:c r="F992" s="35" t="str"/>
      <x:c r="G992" s="38" t="str">
        <x:v>TRF-070</x:v>
      </x:c>
      <x:c r="H992" s="35" t="str">
        <x:v>Benchmark-coined descriptive engineering term</x:v>
      </x:c>
      <x:c r="I992" s="35" t="str">
        <x:v>N5 - component or subject first, followed by characteristic and qualifier/state; no unsupported external mapping</x:v>
      </x:c>
      <x:c r="J992" s="35" t="str">
        <x:v>REUSE_R2_TERM</x:v>
      </x:c>
    </x:row>
    <x:row r="993">
      <x:c r="A993" s="35" t="str">
        <x:v>timeDomainAnalysis</x:v>
      </x:c>
      <x:c r="B993" s="35" t="str">
        <x:v>https://w3id.org/nltl-benchmark/vocab#timeDomainAnalysis</x:v>
      </x:c>
      <x:c r="C993" s="35" t="str">
        <x:v>Class</x:v>
      </x:c>
      <x:c r="D993" s="35" t="str">
        <x:v>https://w3id.org/nltl-benchmark/vocab#engineeringAnalysis</x:v>
      </x:c>
      <x:c r="E993" s="35" t="str"/>
      <x:c r="F993" s="35" t="str"/>
      <x:c r="G993" s="38" t="str">
        <x:v>TRF-090</x:v>
      </x:c>
      <x:c r="H993" s="35" t="str">
        <x:v>Benchmark-coined descriptive engineering term</x:v>
      </x:c>
      <x:c r="I993" s="35" t="str">
        <x:v>N5 - component or subject first, followed by characteristic and qualifier/state; no unsupported external mapping</x:v>
      </x:c>
      <x:c r="J993" s="35" t="str">
        <x:v>REUSE_R2_TERM</x:v>
      </x:c>
    </x:row>
    <x:row r="994">
      <x:c r="A994" s="35" t="str">
        <x:v>timeDomainTorsionalAnalysis</x:v>
      </x:c>
      <x:c r="B994" s="35" t="str">
        <x:v>https://w3id.org/nltl-benchmark/vocab#timeDomainTorsionalAnalysis</x:v>
      </x:c>
      <x:c r="C994" s="35" t="str">
        <x:v>Class</x:v>
      </x:c>
      <x:c r="D994" s="35" t="str">
        <x:v>https://w3id.org/nltl-benchmark/vocab#engineeringAnalysis</x:v>
      </x:c>
      <x:c r="E994" s="35" t="str"/>
      <x:c r="F994" s="35" t="str"/>
      <x:c r="G994" s="38" t="str">
        <x:v>TRF-100</x:v>
      </x:c>
      <x:c r="H994" s="35" t="str">
        <x:v>Benchmark-coined descriptive engineering term</x:v>
      </x:c>
      <x:c r="I994" s="35" t="str">
        <x:v>N5 - component or subject first, followed by characteristic and qualifier/state; no unsupported external mapping</x:v>
      </x:c>
      <x:c r="J994" s="35" t="str">
        <x:v>REUSE_R2_TERM</x:v>
      </x:c>
    </x:row>
    <x:row r="995">
      <x:c r="A995" s="35" t="str">
        <x:v>torsionalVibrationAnalysis</x:v>
      </x:c>
      <x:c r="B995" s="35" t="str">
        <x:v>https://w3id.org/nltl-benchmark/vocab#torsionalVibrationAnalysis</x:v>
      </x:c>
      <x:c r="C995" s="35" t="str">
        <x:v>Class</x:v>
      </x:c>
      <x:c r="D995" s="35" t="str">
        <x:v>https://w3id.org/nltl-benchmark/vocab#engineeringAnalysis</x:v>
      </x:c>
      <x:c r="E995" s="35" t="str"/>
      <x:c r="F995" s="35" t="str"/>
      <x:c r="G995" s="38" t="str">
        <x:v>TRF-089</x:v>
      </x:c>
      <x:c r="H995" s="35" t="str">
        <x:v>Benchmark-coined descriptive engineering term</x:v>
      </x:c>
      <x:c r="I995" s="35" t="str">
        <x:v>N5 - component or subject first, followed by characteristic and qualifier/state; no unsupported external mapping</x:v>
      </x:c>
      <x:c r="J995" s="35" t="str">
        <x:v>REUSE_R2_TERM</x:v>
      </x:c>
    </x:row>
    <x:row r="996">
      <x:c r="A996" s="35" t="str">
        <x:v>totalGlancingImpactForce</x:v>
      </x:c>
      <x:c r="B996" s="35" t="str">
        <x:v>https://w3id.org/nltl-benchmark/vocab#totalGlancingImpactForce</x:v>
      </x:c>
      <x:c r="C996" s="35" t="str">
        <x:v>QuantityProperty</x:v>
      </x:c>
      <x:c r="D996" s="35" t="str">
        <x:v>http://qudt.org/schema/qudt/QuantityValue</x:v>
      </x:c>
      <x:c r="E996" s="35" t="str"/>
      <x:c r="F996" s="35" t="str">
        <x:v>kN</x:v>
      </x:c>
      <x:c r="G996" s="38" t="str">
        <x:v>I2-008</x:v>
      </x:c>
      <x:c r="H996" s="35" t="str">
        <x:v>Benchmark-coined descriptive engineering term</x:v>
      </x:c>
      <x:c r="I996" s="35" t="str">
        <x:v>N5 - component or subject first, followed by characteristic and qualifier/state; no unsupported external mapping</x:v>
      </x:c>
      <x:c r="J996" s="35" t="str">
        <x:v>REUSE_R2_TERM</x:v>
      </x:c>
    </x:row>
    <x:row r="997">
      <x:c r="A997" s="35" t="str">
        <x:v>totalIceConcentration</x:v>
      </x:c>
      <x:c r="B997" s="35" t="str">
        <x:v>https://w3id.org/nltl-benchmark/vocab#totalIceConcentration</x:v>
      </x:c>
      <x:c r="C997" s="35" t="str">
        <x:v>QuantityProperty</x:v>
      </x:c>
      <x:c r="D997" s="35" t="str">
        <x:v>http://qudt.org/schema/qudt/QuantityValue</x:v>
      </x:c>
      <x:c r="E997" s="35" t="str"/>
      <x:c r="F997" s="35" t="str">
        <x:v>1</x:v>
      </x:c>
      <x:c r="G997" s="38" t="str">
        <x:v>IMO-009</x:v>
      </x:c>
      <x:c r="H997" s="35" t="str">
        <x:v>Unit-stripped normalized regulatory variable</x:v>
      </x:c>
      <x:c r="I997" s="35" t="str">
        <x:v>N3 - remove unit from the identifier and retain it in unit/quantity metadata</x:v>
      </x:c>
      <x:c r="J997" s="35" t="str">
        <x:v>REUSE_R2_TERM</x:v>
      </x:c>
    </x:row>
    <x:row r="998">
      <x:c r="A998" s="35" t="str">
        <x:v>totalIcePresent</x:v>
      </x:c>
      <x:c r="B998" s="35" t="str">
        <x:v>https://w3id.org/nltl-benchmark/vocab#totalIcePresent</x:v>
      </x:c>
      <x:c r="C998" s="35" t="str">
        <x:v>DatatypeProperty</x:v>
      </x:c>
      <x:c r="D998" s="35" t="str">
        <x:v>http://www.w3.org/2001/XMLSchema#boolean</x:v>
      </x:c>
      <x:c r="E998" s="35" t="str">
        <x:v>xsd:boolean</x:v>
      </x:c>
      <x:c r="F998" s="35" t="str"/>
      <x:c r="G998" s="38" t="str">
        <x:v>IMO-005</x:v>
      </x:c>
      <x:c r="H998" s="35" t="str">
        <x:v>Locked-workbook normalized regulatory term</x:v>
      </x:c>
      <x:c r="I998" s="35" t="str">
        <x:v>N4 - preserve the source concept; normalize spelling to ASCII lowerCamelCase</x:v>
      </x:c>
      <x:c r="J998" s="35" t="str">
        <x:v>REUSE_R2_TERM</x:v>
      </x:c>
    </x:row>
    <x:row r="999">
      <x:c r="A999" s="35" t="str">
        <x:v>totalPropulsionPowerForScantlings</x:v>
      </x:c>
      <x:c r="B999" s="35" t="str">
        <x:v>https://w3id.org/nltl-benchmark/vocab#totalPropulsionPowerForScantlings</x:v>
      </x:c>
      <x:c r="C999" s="35" t="str">
        <x:v>QuantityProperty</x:v>
      </x:c>
      <x:c r="D999" s="35" t="str">
        <x:v>http://qudt.org/schema/qudt/QuantityValue</x:v>
      </x:c>
      <x:c r="E999" s="35" t="str"/>
      <x:c r="F999" s="35" t="str">
        <x:v>kW</x:v>
      </x:c>
      <x:c r="G999" s="38" t="str">
        <x:v>TRF-039</x:v>
      </x:c>
      <x:c r="H999" s="35" t="str">
        <x:v>Unit-stripped normalized regulatory variable</x:v>
      </x:c>
      <x:c r="I999" s="35" t="str">
        <x:v>N3 - remove unit from the identifier and retain it in unit/quantity metadata</x:v>
      </x:c>
      <x:c r="J999" s="35" t="str">
        <x:v>REUSE_R2_TERM</x:v>
      </x:c>
    </x:row>
    <x:row r="1000">
      <x:c r="A1000" s="35" t="str">
        <x:v>totalRelevantEnginePower</x:v>
      </x:c>
      <x:c r="B1000" s="35" t="str">
        <x:v>https://w3id.org/nltl-benchmark/vocab#totalRelevantEnginePower</x:v>
      </x:c>
      <x:c r="C1000" s="35" t="str">
        <x:v>QuantityProperty</x:v>
      </x:c>
      <x:c r="D1000" s="35" t="str">
        <x:v>http://qudt.org/schema/qudt/QuantityValue</x:v>
      </x:c>
      <x:c r="E1000" s="35" t="str"/>
      <x:c r="F1000" s="35" t="str">
        <x:v>kW</x:v>
      </x:c>
      <x:c r="G1000" s="38" t="str">
        <x:v>TRF-130</x:v>
      </x:c>
      <x:c r="H1000" s="35" t="str">
        <x:v>Unit-stripped normalized regulatory variable</x:v>
      </x:c>
      <x:c r="I1000" s="35" t="str">
        <x:v>N3 - remove unit from the identifier and retain it in unit/quantity metadata</x:v>
      </x:c>
      <x:c r="J1000" s="35" t="str">
        <x:v>REUSE_R2_TERM</x:v>
      </x:c>
    </x:row>
    <x:row r="1001">
      <x:c r="A1001" s="35" t="str">
        <x:v>traficom2017Section3Point2Point2Method</x:v>
      </x:c>
      <x:c r="B1001" s="35" t="str">
        <x:v>https://w3id.org/nltl-benchmark/vocab#traficom2017Section3Point2Point2Method</x:v>
      </x:c>
      <x:c r="C1001" s="35" t="str">
        <x:v>NamedIndividual</x:v>
      </x:c>
      <x:c r="D1001" s="35" t="str">
        <x:v>https://w3id.org/nltl-benchmark/vocab#engineOutputComplianceMethodValue</x:v>
      </x:c>
      <x:c r="E1001" s="35" t="str"/>
      <x:c r="F1001" s="35" t="str"/>
      <x:c r="G1001" s="38" t="str">
        <x:v>TRF-007 | TRF-009 | TRF-024</x:v>
      </x:c>
      <x:c r="H1001" s="35" t="str">
        <x:v>Applicable TRAFICOM regulation wording plus explicit engineering node/operand role</x:v>
      </x:c>
      <x:c r="I1001" s="35" t="str">
        <x:v>N6 - concise ASCII lowerCamelCase controlled-value name grounded in the linked regulation.</x:v>
      </x:c>
      <x:c r="J1001" s="35" t="str">
        <x:v>ADD_DEVELOPMENT_TERM</x:v>
      </x:c>
    </x:row>
    <x:row r="1002">
      <x:c r="A1002" s="35" t="str">
        <x:v>traficom2017Section3Point2Point4Method</x:v>
      </x:c>
      <x:c r="B1002" s="35" t="str">
        <x:v>https://w3id.org/nltl-benchmark/vocab#traficom2017Section3Point2Point4Method</x:v>
      </x:c>
      <x:c r="C1002" s="35" t="str">
        <x:v>NamedIndividual</x:v>
      </x:c>
      <x:c r="D1002" s="35" t="str">
        <x:v>https://w3id.org/nltl-benchmark/vocab#engineOutputComplianceMethodValue</x:v>
      </x:c>
      <x:c r="E1002" s="35" t="str"/>
      <x:c r="F1002" s="35" t="str"/>
      <x:c r="G1002" s="38" t="str">
        <x:v>TRF-007 | TRF-009 | TRF-024</x:v>
      </x:c>
      <x:c r="H1002" s="35" t="str">
        <x:v>Applicable TRAFICOM regulation wording plus explicit engineering node/operand role</x:v>
      </x:c>
      <x:c r="I1002" s="35" t="str">
        <x:v>N6 - concise ASCII lowerCamelCase controlled-value name grounded in the linked regulation.</x:v>
      </x:c>
      <x:c r="J1002" s="35" t="str">
        <x:v>ADD_DEVELOPMENT_TERM</x:v>
      </x:c>
    </x:row>
    <x:row r="1003">
      <x:c r="A1003" s="35" t="str">
        <x:v>transverseFrame</x:v>
      </x:c>
      <x:c r="B1003" s="35" t="str">
        <x:v>https://w3id.org/nltl-benchmark/vocab#transverseFrame</x:v>
      </x:c>
      <x:c r="C1003" s="35" t="str">
        <x:v>Class</x:v>
      </x:c>
      <x:c r="D1003" s="35" t="str">
        <x:v>https://w3id.org/nltl-benchmark/vocab#hullStructure</x:v>
      </x:c>
      <x:c r="E1003" s="35" t="str"/>
      <x:c r="F1003" s="35" t="str"/>
      <x:c r="G1003" s="38" t="str">
        <x:v>TRF-046 | TRF-047</x:v>
      </x:c>
      <x:c r="H1003" s="35" t="str">
        <x:v>Benchmark-coined descriptive engineering term</x:v>
      </x:c>
      <x:c r="I1003" s="35" t="str">
        <x:v>N5 - component or subject first, followed by characteristic and qualifier/state; no unsupported external mapping</x:v>
      </x:c>
      <x:c r="J1003" s="35" t="str">
        <x:v>REUSE_R2_TERM</x:v>
      </x:c>
    </x:row>
    <x:row r="1004">
      <x:c r="A1004" s="35" t="str">
        <x:v>transverseFramingOrientation</x:v>
      </x:c>
      <x:c r="B1004" s="35" t="str">
        <x:v>https://w3id.org/nltl-benchmark/vocab#transverseFramingOrientation</x:v>
      </x:c>
      <x:c r="C1004" s="35" t="str">
        <x:v>NamedIndividual</x:v>
      </x:c>
      <x:c r="D1004" s="35" t="str">
        <x:v>https://w3id.org/nltl-benchmark/vocab#platingFramingOrientationValue</x:v>
      </x:c>
      <x:c r="E1004" s="35" t="str"/>
      <x:c r="F1004" s="35" t="str"/>
      <x:c r="G1004" s="38" t="str">
        <x:v>TRF-041</x:v>
      </x:c>
      <x:c r="H1004" s="35" t="str">
        <x:v>Applicable TRAFICOM regulation wording plus explicit engineering node/operand role</x:v>
      </x:c>
      <x:c r="I1004" s="35" t="str">
        <x:v>N6 - concise ASCII lowerCamelCase controlled-value name grounded in the linked regulation.</x:v>
      </x:c>
      <x:c r="J1004" s="35" t="str">
        <x:v>ADD_DEVELOPMENT_TERM</x:v>
      </x:c>
    </x:row>
    <x:row r="1005">
      <x:c r="A1005" s="35" t="str">
        <x:v>transversePenetration</x:v>
      </x:c>
      <x:c r="B1005" s="35" t="str">
        <x:v>https://w3id.org/nltl-benchmark/vocab#transversePenetration</x:v>
      </x:c>
      <x:c r="C1005" s="35" t="str">
        <x:v>QuantityProperty</x:v>
      </x:c>
      <x:c r="D1005" s="35" t="str">
        <x:v>http://qudt.org/schema/qudt/QuantityValue</x:v>
      </x:c>
      <x:c r="E1005" s="35" t="str"/>
      <x:c r="F1005" s="35" t="str">
        <x:v>mm</x:v>
      </x:c>
      <x:c r="G1005" s="38" t="str">
        <x:v>IMO-038</x:v>
      </x:c>
      <x:c r="H1005" s="35" t="str">
        <x:v>Unit-stripped normalized regulatory variable</x:v>
      </x:c>
      <x:c r="I1005" s="35" t="str">
        <x:v>N3 - remove unit from the identifier and retain it in unit/quantity metadata</x:v>
      </x:c>
      <x:c r="J1005" s="35" t="str">
        <x:v>REUSE_R2_TERM</x:v>
      </x:c>
    </x:row>
    <x:row r="1006">
      <x:c r="A1006" s="35" t="str">
        <x:v>transversePlatingFactorF1</x:v>
      </x:c>
      <x:c r="B1006" s="35" t="str">
        <x:v>https://w3id.org/nltl-benchmark/vocab#transversePlatingFactorF1</x:v>
      </x:c>
      <x:c r="C1006" s="35" t="str">
        <x:v>QuantityProperty</x:v>
      </x:c>
      <x:c r="D1006" s="35" t="str">
        <x:v>http://qudt.org/schema/qudt/QuantityValue</x:v>
      </x:c>
      <x:c r="E1006" s="35" t="str"/>
      <x:c r="F1006" s="35" t="str">
        <x:v>1</x:v>
      </x:c>
      <x:c r="G1006" s="38" t="str">
        <x:v>TRF-041</x:v>
      </x:c>
      <x:c r="H1006" s="35" t="str">
        <x:v>Applicable TRAFICOM regulation wording plus explicit engineering node/operand role</x:v>
      </x:c>
      <x:c r="I1006" s="35" t="str">
        <x:v>N4 - explicit engineering quantity in ASCII lowerCamelCase; formula symbols remain aliases only.</x:v>
      </x:c>
      <x:c r="J1006" s="35" t="str">
        <x:v>ADD_DEVELOPMENT_TERM</x:v>
      </x:c>
    </x:row>
    <x:row r="1007">
      <x:c r="A1007" s="35" t="str">
        <x:v>twoDeckFrameCondition</x:v>
      </x:c>
      <x:c r="B1007" s="35" t="str">
        <x:v>https://w3id.org/nltl-benchmark/vocab#twoDeckFrameCondition</x:v>
      </x:c>
      <x:c r="C1007" s="35" t="str">
        <x:v>NamedIndividual</x:v>
      </x:c>
      <x:c r="D1007" s="35" t="str">
        <x:v>https://w3id.org/nltl-benchmark/vocab#frameBoundaryConditionTypeValue</x:v>
      </x:c>
      <x:c r="E1007" s="35" t="str"/>
      <x:c r="F1007" s="35" t="str"/>
      <x:c r="G1007" s="38" t="str">
        <x:v>TRF-044</x:v>
      </x:c>
      <x:c r="H1007" s="35" t="str">
        <x:v>Applicable TRAFICOM regulation wording plus explicit engineering node/operand role</x:v>
      </x:c>
      <x:c r="I1007" s="35" t="str">
        <x:v>N6 - concise ASCII lowerCamelCase controlled-value name grounded in the linked regulation.</x:v>
      </x:c>
      <x:c r="J1007" s="35" t="str">
        <x:v>ADD_DEVELOPMENT_TERM</x:v>
      </x:c>
    </x:row>
    <x:row r="1008">
      <x:c r="A1008" s="35" t="str">
        <x:v>twoSlopeSnCurveUsed</x:v>
      </x:c>
      <x:c r="B1008" s="35" t="str">
        <x:v>https://w3id.org/nltl-benchmark/vocab#twoSlopeSnCurveUsed</x:v>
      </x:c>
      <x:c r="C1008" s="35" t="str">
        <x:v>DatatypeProperty</x:v>
      </x:c>
      <x:c r="D1008" s="35" t="str">
        <x:v>http://www.w3.org/2001/XMLSchema#boolean</x:v>
      </x:c>
      <x:c r="E1008" s="35" t="str">
        <x:v>xsd:boolean</x:v>
      </x:c>
      <x:c r="F1008" s="35" t="str"/>
      <x:c r="G1008" s="38" t="str">
        <x:v>TRF-108</x:v>
      </x:c>
      <x:c r="H1008" s="35" t="str">
        <x:v>Benchmark-coined descriptive engineering term</x:v>
      </x:c>
      <x:c r="I1008" s="35" t="str">
        <x:v>N5 - component or subject first, followed by characteristic and qualifier/state; no unsupported external mapping</x:v>
      </x:c>
      <x:c r="J1008" s="35" t="str">
        <x:v>REUSE_R2_TERM</x:v>
      </x:c>
    </x:row>
    <x:row r="1009">
      <x:c r="A1009" s="35" t="str">
        <x:v>twoWayOnSceneCommunicationPresent</x:v>
      </x:c>
      <x:c r="B1009" s="35" t="str">
        <x:v>https://w3id.org/nltl-benchmark/vocab#twoWayOnSceneCommunicationPresent</x:v>
      </x:c>
      <x:c r="C1009" s="35" t="str">
        <x:v>DatatypeProperty</x:v>
      </x:c>
      <x:c r="D1009" s="35" t="str">
        <x:v>http://www.w3.org/2001/XMLSchema#boolean</x:v>
      </x:c>
      <x:c r="E1009" s="35" t="str">
        <x:v>xsd:boolean</x:v>
      </x:c>
      <x:c r="F1009" s="35" t="str"/>
      <x:c r="G1009" s="38" t="str">
        <x:v>IMO-091</x:v>
      </x:c>
      <x:c r="H1009" s="35" t="str">
        <x:v>Locked-workbook normalized regulatory term</x:v>
      </x:c>
      <x:c r="I1009" s="35" t="str">
        <x:v>N4 - preserve the source concept; normalize spelling to ASCII lowerCamelCase</x:v>
      </x:c>
      <x:c r="J1009" s="35" t="str">
        <x:v>REUSE_R2_TERM</x:v>
      </x:c>
    </x:row>
    <x:row r="1010">
      <x:c r="A1010" s="35" t="str">
        <x:v>ultimateTensileStrength</x:v>
      </x:c>
      <x:c r="B1010" s="35" t="str">
        <x:v>https://w3id.org/nltl-benchmark/vocab#ultimateTensileStrength</x:v>
      </x:c>
      <x:c r="C1010" s="35" t="str">
        <x:v>QuantityProperty</x:v>
      </x:c>
      <x:c r="D1010" s="35" t="str">
        <x:v>http://qudt.org/schema/qudt/QuantityValue</x:v>
      </x:c>
      <x:c r="E1010" s="35" t="str"/>
      <x:c r="F1010" s="35" t="str">
        <x:v>MPa</x:v>
      </x:c>
      <x:c r="G1010" s="38" t="str">
        <x:v>TRF-106</x:v>
      </x:c>
      <x:c r="H1010" s="35" t="str">
        <x:v>Unit-stripped normalized regulatory variable</x:v>
      </x:c>
      <x:c r="I1010" s="35" t="str">
        <x:v>N3 - remove unit from the identifier and retain it in unit/quantity metadata</x:v>
      </x:c>
      <x:c r="J1010" s="35" t="str">
        <x:v>REUSE_R2_TERM</x:v>
      </x:c>
    </x:row>
    <x:row r="1011">
      <x:c r="A1011" s="35" t="str">
        <x:v>upperBowIceBeltRequired</x:v>
      </x:c>
      <x:c r="B1011" s="35" t="str">
        <x:v>https://w3id.org/nltl-benchmark/vocab#upperBowIceBeltRequired</x:v>
      </x:c>
      <x:c r="C1011" s="35" t="str">
        <x:v>DatatypeProperty</x:v>
      </x:c>
      <x:c r="D1011" s="35" t="str">
        <x:v>http://www.w3.org/2001/XMLSchema#boolean</x:v>
      </x:c>
      <x:c r="E1011" s="35" t="str">
        <x:v>xsd:boolean</x:v>
      </x:c>
      <x:c r="F1011" s="35" t="str"/>
      <x:c r="G1011" s="38" t="str">
        <x:v>TRF-043</x:v>
      </x:c>
      <x:c r="H1011" s="35" t="str">
        <x:v>Benchmark-coined descriptive engineering term</x:v>
      </x:c>
      <x:c r="I1011" s="35" t="str">
        <x:v>N5 - component or subject first, followed by characteristic and qualifier/state; no unsupported external mapping</x:v>
      </x:c>
      <x:c r="J1011" s="35" t="str">
        <x:v>REUSE_R2_TERM</x:v>
      </x:c>
    </x:row>
    <x:row r="1012">
      <x:c r="A1012" s="35" t="str">
        <x:v>upperBowIceBeltStrengtheningStatus</x:v>
      </x:c>
      <x:c r="B1012" s="35" t="str">
        <x:v>https://w3id.org/nltl-benchmark/vocab#upperBowIceBeltStrengtheningStatus</x:v>
      </x:c>
      <x:c r="C1012" s="35" t="str">
        <x:v>DatatypeProperty</x:v>
      </x:c>
      <x:c r="D1012" s="35" t="str">
        <x:v>http://www.w3.org/2001/XMLSchema#boolean</x:v>
      </x:c>
      <x:c r="E1012" s="35" t="str">
        <x:v>xsd:boolean</x:v>
      </x:c>
      <x:c r="F1012" s="35" t="str"/>
      <x:c r="G1012" s="38" t="str">
        <x:v>TRF-040</x:v>
      </x:c>
      <x:c r="H1012" s="35" t="str">
        <x:v>Benchmark-coined descriptive engineering term</x:v>
      </x:c>
      <x:c r="I1012" s="35" t="str">
        <x:v>N5 - component or subject first, followed by characteristic and qualifier/state; no unsupported external mapping</x:v>
      </x:c>
      <x:c r="J1012" s="35" t="str">
        <x:v>REUSE_R2_TERM</x:v>
      </x:c>
    </x:row>
    <x:row r="1013">
      <x:c r="A1013" s="35" t="str">
        <x:v>upperBowIceBeltTop</x:v>
      </x:c>
      <x:c r="B1013" s="35" t="str">
        <x:v>https://w3id.org/nltl-benchmark/vocab#upperBowIceBeltTop</x:v>
      </x:c>
      <x:c r="C1013" s="35" t="str">
        <x:v>DatatypeProperty</x:v>
      </x:c>
      <x:c r="D1013" s="35" t="str">
        <x:v>http://www.w3.org/2001/XMLSchema#string</x:v>
      </x:c>
      <x:c r="E1013" s="35" t="str">
        <x:v>xsd:string</x:v>
      </x:c>
      <x:c r="F1013" s="35" t="str"/>
      <x:c r="G1013" s="38" t="str">
        <x:v>TRF-043</x:v>
      </x:c>
      <x:c r="H1013" s="35" t="str">
        <x:v>Benchmark-coined descriptive engineering term</x:v>
      </x:c>
      <x:c r="I1013" s="35" t="str">
        <x:v>N5 - component or subject first, followed by characteristic and qualifier/state; no unsupported external mapping</x:v>
      </x:c>
      <x:c r="J1013" s="35" t="str">
        <x:v>REUSE_R2_TERM</x:v>
      </x:c>
    </x:row>
    <x:row r="1014">
      <x:c r="A1014" s="35" t="str">
        <x:v>upperIceWaterline</x:v>
      </x:c>
      <x:c r="B1014" s="35" t="str">
        <x:v>https://w3id.org/nltl-benchmark/vocab#upperIceWaterline</x:v>
      </x:c>
      <x:c r="C1014" s="35" t="str">
        <x:v>DatatypeProperty</x:v>
      </x:c>
      <x:c r="D1014" s="35" t="str">
        <x:v>http://www.w3.org/2001/XMLSchema#string</x:v>
      </x:c>
      <x:c r="E1014" s="35" t="str">
        <x:v>xsd:string</x:v>
      </x:c>
      <x:c r="F1014" s="35" t="str"/>
      <x:c r="G1014" s="38" t="str">
        <x:v>I2-003 | I2-004 | TRF-011 | TRF-014 | TRF-015 | TRF-016 | TRF-020 | TRF-030 | TRF-061</x:v>
      </x:c>
      <x:c r="H1014" s="35" t="str">
        <x:v>Verified exact implementation term</x:v>
      </x:c>
      <x:c r="I1014" s="35" t="str">
        <x:v>N1 - reuse only after exact URI and semantic-context verification</x:v>
      </x:c>
      <x:c r="J1014" s="35" t="str">
        <x:v>REUSE_R2_TERM</x:v>
      </x:c>
    </x:row>
    <x:row r="1015">
      <x:c r="A1015" s="35" t="str">
        <x:v>upperIceWaterlineCenteredPosition</x:v>
      </x:c>
      <x:c r="B1015" s="35" t="str">
        <x:v>https://w3id.org/nltl-benchmark/vocab#upperIceWaterlineCenteredPosition</x:v>
      </x:c>
      <x:c r="C1015" s="35" t="str">
        <x:v>NamedIndividual</x:v>
      </x:c>
      <x:c r="D1015" s="35" t="str">
        <x:v>https://w3id.org/nltl-benchmark/vocab#loadPositionTypeValue</x:v>
      </x:c>
      <x:c r="E1015" s="35" t="str"/>
      <x:c r="F1015" s="35" t="str"/>
      <x:c r="G1015" s="38" t="str">
        <x:v>TRF-030</x:v>
      </x:c>
      <x:c r="H1015" s="35" t="str">
        <x:v>Applicable TRAFICOM regulation wording plus explicit engineering node/operand role</x:v>
      </x:c>
      <x:c r="I1015" s="35" t="str">
        <x:v>N6 - concise ASCII lowerCamelCase controlled-value name grounded in the linked regulation.</x:v>
      </x:c>
      <x:c r="J1015" s="35" t="str">
        <x:v>ADD_DEVELOPMENT_TERM</x:v>
      </x:c>
    </x:row>
    <x:row r="1016">
      <x:c r="A1016" s="35" t="str">
        <x:v>upperIceWaterlineDraught</x:v>
      </x:c>
      <x:c r="B1016" s="35" t="str">
        <x:v>https://w3id.org/nltl-benchmark/vocab#upperIceWaterlineDraught</x:v>
      </x:c>
      <x:c r="C1016" s="35" t="str">
        <x:v>QuantityProperty</x:v>
      </x:c>
      <x:c r="D1016" s="35" t="str">
        <x:v>http://qudt.org/schema/qudt/QuantityValue</x:v>
      </x:c>
      <x:c r="E1016" s="35" t="str"/>
      <x:c r="F1016" s="35" t="str">
        <x:v>m</x:v>
      </x:c>
      <x:c r="G1016" s="38" t="str">
        <x:v>IMO-038</x:v>
      </x:c>
      <x:c r="H1016" s="35" t="str">
        <x:v>Locked-workbook normalized regulatory term</x:v>
      </x:c>
      <x:c r="I1016" s="35" t="str">
        <x:v>N4 - preserve the source concept; normalize spelling to ASCII lowerCamelCase</x:v>
      </x:c>
      <x:c r="J1016" s="35" t="str">
        <x:v>REUSE_R2_TERM</x:v>
      </x:c>
    </x:row>
    <x:row r="1017">
      <x:c r="A1017" s="35" t="str">
        <x:v>upperIceWaterlineLength</x:v>
      </x:c>
      <x:c r="B1017" s="35" t="str">
        <x:v>https://w3id.org/nltl-benchmark/vocab#upperIceWaterlineLength</x:v>
      </x:c>
      <x:c r="C1017" s="35" t="str">
        <x:v>QuantityProperty</x:v>
      </x:c>
      <x:c r="D1017" s="35" t="str">
        <x:v>http://qudt.org/schema/qudt/QuantityValue</x:v>
      </x:c>
      <x:c r="E1017" s="35" t="str"/>
      <x:c r="F1017" s="35" t="str">
        <x:v>m</x:v>
      </x:c>
      <x:c r="G1017" s="38" t="str">
        <x:v>IMO-038</x:v>
      </x:c>
      <x:c r="H1017" s="35" t="str">
        <x:v>Locked-workbook normalized regulatory term</x:v>
      </x:c>
      <x:c r="I1017" s="35" t="str">
        <x:v>N4 - preserve the source concept; normalize spelling to ASCII lowerCamelCase</x:v>
      </x:c>
      <x:c r="J1017" s="35" t="str">
        <x:v>REUSE_R2_TERM</x:v>
      </x:c>
    </x:row>
    <x:row r="1018">
      <x:c r="A1018" s="35" t="str">
        <x:v>upperIceWaterlineReferencePosition</x:v>
      </x:c>
      <x:c r="B1018" s="35" t="str">
        <x:v>https://w3id.org/nltl-benchmark/vocab#upperIceWaterlineReferencePosition</x:v>
      </x:c>
      <x:c r="C1018" s="35" t="str">
        <x:v>QuantityProperty</x:v>
      </x:c>
      <x:c r="D1018" s="35" t="str">
        <x:v>http://qudt.org/schema/qudt/QuantityValue</x:v>
      </x:c>
      <x:c r="E1018" s="35" t="str"/>
      <x:c r="F1018" s="35" t="str">
        <x:v>m</x:v>
      </x:c>
      <x:c r="G1018" s="38" t="str">
        <x:v>TRF-030</x:v>
      </x:c>
      <x:c r="H1018" s="35" t="str">
        <x:v>Applicable TRAFICOM regulation wording plus explicit engineering node/operand role</x:v>
      </x:c>
      <x:c r="I1018" s="35" t="str">
        <x:v>N4 - explicit engineering quantity in ASCII lowerCamelCase; formula symbols remain aliases only.</x:v>
      </x:c>
      <x:c r="J1018" s="35" t="str">
        <x:v>ADD_DEVELOPMENT_TERM</x:v>
      </x:c>
    </x:row>
    <x:row r="1019">
      <x:c r="A1019" s="35" t="str">
        <x:v>urI1ComplianceStatus</x:v>
      </x:c>
      <x:c r="B1019" s="35" t="str">
        <x:v>https://w3id.org/nltl-benchmark/vocab#urI1ComplianceStatus</x:v>
      </x:c>
      <x:c r="C1019" s="35" t="str">
        <x:v>DatatypeProperty</x:v>
      </x:c>
      <x:c r="D1019" s="35" t="str">
        <x:v>http://www.w3.org/2001/XMLSchema#boolean</x:v>
      </x:c>
      <x:c r="E1019" s="35" t="str">
        <x:v>xsd:boolean</x:v>
      </x:c>
      <x:c r="F1019" s="35" t="str"/>
      <x:c r="G1019" s="38" t="str">
        <x:v>I2-002</x:v>
      </x:c>
      <x:c r="H1019" s="35" t="str">
        <x:v>Benchmark-coined descriptive engineering term</x:v>
      </x:c>
      <x:c r="I1019" s="35" t="str">
        <x:v>N5 - component or subject first, followed by characteristic and qualifier/state; no unsupported external mapping</x:v>
      </x:c>
      <x:c r="J1019" s="35" t="str">
        <x:v>REUSE_R2_TERM</x:v>
      </x:c>
    </x:row>
    <x:row r="1020">
      <x:c r="A1020" s="35" t="str">
        <x:v>urI2Applicability</x:v>
      </x:c>
      <x:c r="B1020" s="35" t="str">
        <x:v>https://w3id.org/nltl-benchmark/vocab#urI2Applicability</x:v>
      </x:c>
      <x:c r="C1020" s="35" t="str">
        <x:v>DatatypeProperty</x:v>
      </x:c>
      <x:c r="D1020" s="35" t="str">
        <x:v>http://www.w3.org/2001/XMLSchema#boolean</x:v>
      </x:c>
      <x:c r="E1020" s="35" t="str">
        <x:v>xsd:boolean</x:v>
      </x:c>
      <x:c r="F1020" s="35" t="str"/>
      <x:c r="G1020" s="38" t="str">
        <x:v>I2-002</x:v>
      </x:c>
      <x:c r="H1020" s="35" t="str">
        <x:v>Benchmark-coined descriptive engineering term</x:v>
      </x:c>
      <x:c r="I1020" s="35" t="str">
        <x:v>N5 - component or subject first, followed by characteristic and qualifier/state; no unsupported external mapping</x:v>
      </x:c>
      <x:c r="J1020" s="35" t="str">
        <x:v>REUSE_R2_TERM</x:v>
      </x:c>
    </x:row>
    <x:row r="1021">
      <x:c r="A1021" s="35" t="str">
        <x:v>urI2RevisionApplicability</x:v>
      </x:c>
      <x:c r="B1021" s="35" t="str">
        <x:v>https://w3id.org/nltl-benchmark/vocab#urI2RevisionApplicability</x:v>
      </x:c>
      <x:c r="C1021" s="35" t="str">
        <x:v>DatatypeProperty</x:v>
      </x:c>
      <x:c r="D1021" s="35" t="str">
        <x:v>http://www.w3.org/2001/XMLSchema#boolean</x:v>
      </x:c>
      <x:c r="E1021" s="35" t="str">
        <x:v>xsd:boolean</x:v>
      </x:c>
      <x:c r="F1021" s="35" t="str"/>
      <x:c r="G1021" s="38" t="str">
        <x:v>I2-001</x:v>
      </x:c>
      <x:c r="H1021" s="35" t="str">
        <x:v>Benchmark-coined descriptive engineering term</x:v>
      </x:c>
      <x:c r="I1021" s="35" t="str">
        <x:v>N5 - component or subject first, followed by characteristic and qualifier/state; no unsupported external mapping</x:v>
      </x:c>
      <x:c r="J1021" s="35" t="str">
        <x:v>REUSE_R2_TERM</x:v>
      </x:c>
    </x:row>
    <x:row r="1022">
      <x:c r="A1022" s="35" t="str">
        <x:v>usedToReachLowerIceWaterline</x:v>
      </x:c>
      <x:c r="B1022" s="35" t="str">
        <x:v>https://w3id.org/nltl-benchmark/vocab#usedToReachLowerIceWaterline</x:v>
      </x:c>
      <x:c r="C1022" s="35" t="str">
        <x:v>DatatypeProperty</x:v>
      </x:c>
      <x:c r="D1022" s="35" t="str">
        <x:v>http://www.w3.org/2001/XMLSchema#boolean</x:v>
      </x:c>
      <x:c r="E1022" s="35" t="str">
        <x:v>xsd:boolean</x:v>
      </x:c>
      <x:c r="F1022" s="35" t="str"/>
      <x:c r="G1022" s="38" t="str">
        <x:v>TRF-016</x:v>
      </x:c>
      <x:c r="H1022" s="35" t="str">
        <x:v>Applicable TRAFICOM regulation wording plus explicit engineering node/operand role</x:v>
      </x:c>
      <x:c r="I1022" s="35" t="str">
        <x:v>N4 - explicit regulatory concept in ASCII lowerCamelCase with an XSD datatype.</x:v>
      </x:c>
      <x:c r="J1022" s="35" t="str">
        <x:v>ADD_DEVELOPMENT_TERM</x:v>
      </x:c>
    </x:row>
    <x:row r="1023">
      <x:c r="A1023" s="35" t="str">
        <x:v>valveExposed</x:v>
      </x:c>
      <x:c r="B1023" s="35" t="str">
        <x:v>https://w3id.org/nltl-benchmark/vocab#valveExposed</x:v>
      </x:c>
      <x:c r="C1023" s="35" t="str">
        <x:v>DatatypeProperty</x:v>
      </x:c>
      <x:c r="D1023" s="35" t="str">
        <x:v>http://www.w3.org/2001/XMLSchema#boolean</x:v>
      </x:c>
      <x:c r="E1023" s="35" t="str">
        <x:v>xsd:boolean</x:v>
      </x:c>
      <x:c r="F1023" s="35" t="str"/>
      <x:c r="G1023" s="38" t="str">
        <x:v>IMO-055</x:v>
      </x:c>
      <x:c r="H1023" s="35" t="str">
        <x:v>Locked-workbook normalized regulatory term</x:v>
      </x:c>
      <x:c r="I1023" s="35" t="str">
        <x:v>N4 - preserve the source concept; normalize spelling to ASCII lowerCamelCase</x:v>
      </x:c>
      <x:c r="J1023" s="35" t="str">
        <x:v>REUSE_R2_TERM</x:v>
      </x:c>
    </x:row>
    <x:row r="1024">
      <x:c r="A1024" s="35" t="str">
        <x:v>valveType</x:v>
      </x:c>
      <x:c r="B1024" s="35" t="str">
        <x:v>https://w3id.org/nltl-benchmark/vocab#valveType</x:v>
      </x:c>
      <x:c r="C1024" s="35" t="str">
        <x:v>DatatypeProperty</x:v>
      </x:c>
      <x:c r="D1024" s="35" t="str">
        <x:v>http://www.w3.org/2001/XMLSchema#string</x:v>
      </x:c>
      <x:c r="E1024" s="35" t="str">
        <x:v>xsd:string</x:v>
      </x:c>
      <x:c r="F1024" s="35" t="str"/>
      <x:c r="G1024" s="38" t="str">
        <x:v>IMO-055</x:v>
      </x:c>
      <x:c r="H1024" s="35" t="str">
        <x:v>Locked-workbook normalized regulatory term</x:v>
      </x:c>
      <x:c r="I1024" s="35" t="str">
        <x:v>N4 - preserve the source concept; normalize spelling to ASCII lowerCamelCase</x:v>
      </x:c>
      <x:c r="J1024" s="35" t="str">
        <x:v>REUSE_R2_TERM</x:v>
      </x:c>
    </x:row>
    <x:row r="1025">
      <x:c r="A1025" s="35" t="str">
        <x:v>variableAmplitudeLoadingReductionFactor</x:v>
      </x:c>
      <x:c r="B1025" s="35" t="str">
        <x:v>https://w3id.org/nltl-benchmark/vocab#variableAmplitudeLoadingReductionFactor</x:v>
      </x:c>
      <x:c r="C1025" s="35" t="str">
        <x:v>QuantityProperty</x:v>
      </x:c>
      <x:c r="D1025" s="35" t="str">
        <x:v>http://qudt.org/schema/qudt/QuantityValue</x:v>
      </x:c>
      <x:c r="E1025" s="35" t="str"/>
      <x:c r="F1025" s="35" t="str">
        <x:v>1</x:v>
      </x:c>
      <x:c r="G1025" s="38" t="str">
        <x:v>TRF-110</x:v>
      </x:c>
      <x:c r="H1025" s="35" t="str">
        <x:v>Regulatory symbol expanded from a directly verified definition</x:v>
      </x:c>
      <x:c r="I1025" s="35" t="str">
        <x:v>N2 - replace formula symbol with its clause-defined engineering meaning; preserve symbol as alias</x:v>
      </x:c>
      <x:c r="J1025" s="35" t="str">
        <x:v>REUSE_R2_TERM</x:v>
      </x:c>
    </x:row>
    <x:row r="1026">
      <x:c r="A1026" s="35" t="str">
        <x:v>verticalCoordinate</x:v>
      </x:c>
      <x:c r="B1026" s="35" t="str">
        <x:v>https://w3id.org/nltl-benchmark/vocab#verticalCoordinate</x:v>
      </x:c>
      <x:c r="C1026" s="35" t="str">
        <x:v>QuantityProperty</x:v>
      </x:c>
      <x:c r="D1026" s="35" t="str">
        <x:v>http://qudt.org/schema/qudt/QuantityValue</x:v>
      </x:c>
      <x:c r="E1026" s="35" t="str"/>
      <x:c r="F1026" s="35" t="str">
        <x:v>m</x:v>
      </x:c>
      <x:c r="G1026" s="38" t="str">
        <x:v>TRF-011 | TRF-012</x:v>
      </x:c>
      <x:c r="H1026" s="35" t="str">
        <x:v>Applicable TRAFICOM regulation wording plus explicit engineering node/operand role</x:v>
      </x:c>
      <x:c r="I1026" s="35" t="str">
        <x:v>N4 - explicit engineering quantity in ASCII lowerCamelCase; formula symbols remain aliases only.</x:v>
      </x:c>
      <x:c r="J1026" s="35" t="str">
        <x:v>ADD_DEVELOPMENT_TERM</x:v>
      </x:c>
    </x:row>
    <x:row r="1027">
      <x:c r="A1027" s="35" t="str">
        <x:v>verticalDamageExtent</x:v>
      </x:c>
      <x:c r="B1027" s="35" t="str">
        <x:v>https://w3id.org/nltl-benchmark/vocab#verticalDamageExtent</x:v>
      </x:c>
      <x:c r="C1027" s="35" t="str">
        <x:v>QuantityProperty</x:v>
      </x:c>
      <x:c r="D1027" s="35" t="str">
        <x:v>http://qudt.org/schema/qudt/QuantityValue</x:v>
      </x:c>
      <x:c r="E1027" s="35" t="str"/>
      <x:c r="F1027" s="35" t="str">
        <x:v>m</x:v>
      </x:c>
      <x:c r="G1027" s="38" t="str">
        <x:v>IMO-038</x:v>
      </x:c>
      <x:c r="H1027" s="35" t="str">
        <x:v>Locked-workbook normalized regulatory term</x:v>
      </x:c>
      <x:c r="I1027" s="35" t="str">
        <x:v>N4 - preserve the source concept; normalize spelling to ASCII lowerCamelCase</x:v>
      </x:c>
      <x:c r="J1027" s="35" t="str">
        <x:v>REUSE_R2_TERM</x:v>
      </x:c>
    </x:row>
    <x:row r="1028">
      <x:c r="A1028" s="35" t="str">
        <x:v>verticalLoadPosition</x:v>
      </x:c>
      <x:c r="B1028" s="35" t="str">
        <x:v>https://w3id.org/nltl-benchmark/vocab#verticalLoadPosition</x:v>
      </x:c>
      <x:c r="C1028" s="35" t="str">
        <x:v>QuantityProperty</x:v>
      </x:c>
      <x:c r="D1028" s="35" t="str">
        <x:v>http://qudt.org/schema/qudt/QuantityValue</x:v>
      </x:c>
      <x:c r="E1028" s="35" t="str"/>
      <x:c r="F1028" s="35" t="str">
        <x:v>m</x:v>
      </x:c>
      <x:c r="G1028" s="38" t="str">
        <x:v>TRF-030</x:v>
      </x:c>
      <x:c r="H1028" s="35" t="str">
        <x:v>Applicable TRAFICOM regulation wording plus explicit engineering node/operand role</x:v>
      </x:c>
      <x:c r="I1028" s="35" t="str">
        <x:v>N4 - explicit engineering quantity in ASCII lowerCamelCase; formula symbols remain aliases only.</x:v>
      </x:c>
      <x:c r="J1028" s="35" t="str">
        <x:v>ADD_DEVELOPMENT_TERM</x:v>
      </x:c>
    </x:row>
    <x:row r="1029">
      <x:c r="A1029" s="35" t="str">
        <x:v>verticalLoadPositionType</x:v>
      </x:c>
      <x:c r="B1029" s="35" t="str">
        <x:v>https://w3id.org/nltl-benchmark/vocab#verticalLoadPositionType</x:v>
      </x:c>
      <x:c r="C1029" s="35" t="str">
        <x:v>ObjectProperty</x:v>
      </x:c>
      <x:c r="D1029" s="35" t="str">
        <x:v>https://w3id.org/nltl-benchmark/vocab#loadPositionTypeValue</x:v>
      </x:c>
      <x:c r="E1029" s="35" t="str"/>
      <x:c r="F1029" s="35" t="str"/>
      <x:c r="G1029" s="38" t="str">
        <x:v>TRF-030</x:v>
      </x:c>
      <x:c r="H1029" s="35" t="str">
        <x:v>Applicable TRAFICOM regulation wording plus explicit engineering node/operand role</x:v>
      </x:c>
      <x:c r="I1029" s="35" t="str">
        <x:v>N5 - ASCII lowerCamelCase relationship; use has + object role when it improves direction clarity.</x:v>
      </x:c>
      <x:c r="J1029" s="35" t="str">
        <x:v>ADD_DEVELOPMENT_TERM</x:v>
      </x:c>
    </x:row>
    <x:row r="1030">
      <x:c r="A1030" s="35" t="str">
        <x:v>veryLongHatchOpening</x:v>
      </x:c>
      <x:c r="B1030" s="35" t="str">
        <x:v>https://w3id.org/nltl-benchmark/vocab#veryLongHatchOpening</x:v>
      </x:c>
      <x:c r="C1030" s="35" t="str">
        <x:v>DatatypeProperty</x:v>
      </x:c>
      <x:c r="D1030" s="35" t="str">
        <x:v>http://www.w3.org/2001/XMLSchema#boolean</x:v>
      </x:c>
      <x:c r="E1030" s="35" t="str">
        <x:v>xsd:boolean</x:v>
      </x:c>
      <x:c r="F1030" s="35" t="str"/>
      <x:c r="G1030" s="38" t="str">
        <x:v>TRF-055</x:v>
      </x:c>
      <x:c r="H1030" s="35" t="str">
        <x:v>Applicable TRAFICOM regulation wording plus explicit engineering node/operand role</x:v>
      </x:c>
      <x:c r="I1030" s="35" t="str">
        <x:v>N4 - explicit regulatory concept in ASCII lowerCamelCase with an XSD datatype.</x:v>
      </x:c>
      <x:c r="J1030" s="35" t="str">
        <x:v>ADD_DEVELOPMENT_TERM</x:v>
      </x:c>
    </x:row>
    <x:row r="1031">
      <x:c r="A1031" s="35" t="str">
        <x:v>vibrationAnalysis</x:v>
      </x:c>
      <x:c r="B1031" s="35" t="str">
        <x:v>https://w3id.org/nltl-benchmark/vocab#vibrationAnalysis</x:v>
      </x:c>
      <x:c r="C1031" s="35" t="str">
        <x:v>Class</x:v>
      </x:c>
      <x:c r="D1031" s="35" t="str">
        <x:v>https://w3id.org/nltl-benchmark/vocab#engineeringAnalysis</x:v>
      </x:c>
      <x:c r="E1031" s="35" t="str"/>
      <x:c r="F1031" s="35" t="str"/>
      <x:c r="G1031" s="38" t="str">
        <x:v>TRF-125</x:v>
      </x:c>
      <x:c r="H1031" s="35" t="str">
        <x:v>Benchmark-coined descriptive engineering term</x:v>
      </x:c>
      <x:c r="I1031" s="35" t="str">
        <x:v>N5 - component or subject first, followed by characteristic and qualifier/state; no unsupported external mapping</x:v>
      </x:c>
      <x:c r="J1031" s="35" t="str">
        <x:v>REUSE_R2_TERM</x:v>
      </x:c>
    </x:row>
    <x:row r="1032">
      <x:c r="A1032" s="35" t="str">
        <x:v>vibratoryLoadDesignEvidence</x:v>
      </x:c>
      <x:c r="B1032" s="35" t="str">
        <x:v>https://w3id.org/nltl-benchmark/vocab#vibratoryLoadDesignEvidence</x:v>
      </x:c>
      <x:c r="C1032" s="35" t="str">
        <x:v>Class</x:v>
      </x:c>
      <x:c r="D1032" s="35" t="str">
        <x:v>https://w3id.org/nltl-benchmark/vocab#documentEvidence</x:v>
      </x:c>
      <x:c r="E1032" s="35" t="str"/>
      <x:c r="F1032" s="35" t="str"/>
      <x:c r="G1032" s="38" t="str">
        <x:v>TRF-119</x:v>
      </x:c>
      <x:c r="H1032" s="35" t="str">
        <x:v>Benchmark-coined descriptive engineering term</x:v>
      </x:c>
      <x:c r="I1032" s="35" t="str">
        <x:v>N5 - component or subject first, followed by characteristic and qualifier/state; no unsupported external mapping</x:v>
      </x:c>
      <x:c r="J1032" s="35" t="str">
        <x:v>REUSE_R2_TERM</x:v>
      </x:c>
    </x:row>
    <x:row r="1033">
      <x:c r="A1033" s="35" t="str">
        <x:v>visibilityRange</x:v>
      </x:c>
      <x:c r="B1033" s="35" t="str">
        <x:v>https://w3id.org/nltl-benchmark/vocab#visibilityRange</x:v>
      </x:c>
      <x:c r="C1033" s="35" t="str">
        <x:v>QuantityProperty</x:v>
      </x:c>
      <x:c r="D1033" s="35" t="str">
        <x:v>http://qudt.org/schema/qudt/QuantityValue</x:v>
      </x:c>
      <x:c r="E1033" s="35" t="str"/>
      <x:c r="F1033" s="35" t="str">
        <x:v>nautical mile</x:v>
      </x:c>
      <x:c r="G1033" s="38" t="str">
        <x:v>IMO-089</x:v>
      </x:c>
      <x:c r="H1033" s="35" t="str">
        <x:v>Unit-stripped normalized regulatory variable</x:v>
      </x:c>
      <x:c r="I1033" s="35" t="str">
        <x:v>N3 - remove unit from the identifier and retain it in unit/quantity metadata</x:v>
      </x:c>
      <x:c r="J1033" s="35" t="str">
        <x:v>REUSE_R2_TERM</x:v>
      </x:c>
    </x:row>
    <x:row r="1034">
      <x:c r="A1034" s="35" t="str">
        <x:v>visibleFromAstern</x:v>
      </x:c>
      <x:c r="B1034" s="35" t="str">
        <x:v>https://w3id.org/nltl-benchmark/vocab#visibleFromAstern</x:v>
      </x:c>
      <x:c r="C1034" s="35" t="str">
        <x:v>DatatypeProperty</x:v>
      </x:c>
      <x:c r="D1034" s="35" t="str">
        <x:v>http://www.w3.org/2001/XMLSchema#boolean</x:v>
      </x:c>
      <x:c r="E1034" s="35" t="str">
        <x:v>xsd:boolean</x:v>
      </x:c>
      <x:c r="F1034" s="35" t="str"/>
      <x:c r="G1034" s="38" t="str">
        <x:v>IMO-089</x:v>
      </x:c>
      <x:c r="H1034" s="35" t="str">
        <x:v>Locked-workbook normalized regulatory term</x:v>
      </x:c>
      <x:c r="I1034" s="35" t="str">
        <x:v>N4 - preserve the source concept; normalize spelling to ASCII lowerCamelCase</x:v>
      </x:c>
      <x:c r="J1034" s="35" t="str">
        <x:v>REUSE_R2_TERM</x:v>
      </x:c>
    </x:row>
    <x:row r="1035">
      <x:c r="A1035" s="35" t="str">
        <x:v>visualIceDetectionIlluminationMeansCount</x:v>
      </x:c>
      <x:c r="B1035" s="35" t="str">
        <x:v>https://w3id.org/nltl-benchmark/vocab#visualIceDetectionIlluminationMeansCount</x:v>
      </x:c>
      <x:c r="C1035" s="35" t="str">
        <x:v>DatatypeProperty</x:v>
      </x:c>
      <x:c r="D1035" s="35" t="str">
        <x:v>http://www.w3.org/2001/XMLSchema#integer</x:v>
      </x:c>
      <x:c r="E1035" s="35" t="str">
        <x:v>xsd:integer</x:v>
      </x:c>
      <x:c r="F1035" s="35" t="str"/>
      <x:c r="G1035" s="38" t="str">
        <x:v>IMO26-014</x:v>
      </x:c>
      <x:c r="H1035" s="35" t="str">
        <x:v>Locked-workbook normalized regulatory term</x:v>
      </x:c>
      <x:c r="I1035" s="35" t="str">
        <x:v>N4 - preserve the source concept; normalize spelling to ASCII lowerCamelCase</x:v>
      </x:c>
      <x:c r="J1035" s="35" t="str">
        <x:v>REUSE_R2_TERM</x:v>
      </x:c>
    </x:row>
    <x:row r="1036">
      <x:c r="A1036" s="35" t="str">
        <x:v>vonMises</x:v>
      </x:c>
      <x:c r="B1036" s="35" t="str">
        <x:v>https://w3id.org/nltl-benchmark/vocab#vonMises</x:v>
      </x:c>
      <x:c r="C1036" s="35" t="str">
        <x:v>DatatypeProperty</x:v>
      </x:c>
      <x:c r="D1036" s="35" t="str">
        <x:v>http://www.w3.org/2001/XMLSchema#string</x:v>
      </x:c>
      <x:c r="E1036" s="35" t="str">
        <x:v>xsd:string</x:v>
      </x:c>
      <x:c r="F1036" s="35" t="str"/>
      <x:c r="G1036" s="38" t="str">
        <x:v>TRF-106</x:v>
      </x:c>
      <x:c r="H1036" s="35" t="str">
        <x:v>Benchmark-coined descriptive engineering term</x:v>
      </x:c>
      <x:c r="I1036" s="35" t="str">
        <x:v>N5 - component or subject first, followed by characteristic and qualifier/state; no unsupported external mapping</x:v>
      </x:c>
      <x:c r="J1036" s="35" t="str">
        <x:v>REUSE_R2_TERM</x:v>
      </x:c>
    </x:row>
    <x:row r="1037">
      <x:c r="A1037" s="35" t="str">
        <x:v>vonMisesYieldCriterion</x:v>
      </x:c>
      <x:c r="B1037" s="35" t="str">
        <x:v>https://w3id.org/nltl-benchmark/vocab#vonMisesYieldCriterion</x:v>
      </x:c>
      <x:c r="C1037" s="35" t="str">
        <x:v>DatatypeProperty</x:v>
      </x:c>
      <x:c r="D1037" s="35" t="str">
        <x:v>http://www.w3.org/2001/XMLSchema#string</x:v>
      </x:c>
      <x:c r="E1037" s="35" t="str">
        <x:v>xsd:string</x:v>
      </x:c>
      <x:c r="F1037" s="35" t="str"/>
      <x:c r="G1037" s="38" t="str">
        <x:v>TRF-031</x:v>
      </x:c>
      <x:c r="H1037" s="35" t="str">
        <x:v>Benchmark-coined descriptive engineering term</x:v>
      </x:c>
      <x:c r="I1037" s="35" t="str">
        <x:v>N5 - component or subject first, followed by characteristic and qualifier/state; no unsupported external mapping</x:v>
      </x:c>
      <x:c r="J1037" s="35" t="str">
        <x:v>REUSE_R2_TERM</x:v>
      </x:c>
    </x:row>
    <x:row r="1038">
      <x:c r="A1038" s="35" t="str">
        <x:v>voyageLimitAvoidance</x:v>
      </x:c>
      <x:c r="B1038" s="35" t="str">
        <x:v>https://w3id.org/nltl-benchmark/vocab#voyageLimitAvoidance</x:v>
      </x:c>
      <x:c r="C1038" s="35" t="str">
        <x:v>DatatypeProperty</x:v>
      </x:c>
      <x:c r="D1038" s="35" t="str">
        <x:v>http://www.w3.org/2001/XMLSchema#string</x:v>
      </x:c>
      <x:c r="E1038" s="35" t="str">
        <x:v>xsd:string</x:v>
      </x:c>
      <x:c r="F1038" s="35" t="str"/>
      <x:c r="G1038" s="38" t="str">
        <x:v>IMO-027</x:v>
      </x:c>
      <x:c r="H1038" s="35" t="str">
        <x:v>Locked-workbook normalized regulatory term</x:v>
      </x:c>
      <x:c r="I1038" s="35" t="str">
        <x:v>N4 - preserve the source concept; normalize spelling to ASCII lowerCamelCase</x:v>
      </x:c>
      <x:c r="J1038" s="35" t="str">
        <x:v>REUSE_R2_TERM</x:v>
      </x:c>
    </x:row>
    <x:row r="1039">
      <x:c r="A1039" s="35" t="str">
        <x:v>voyagePlanCoverage</x:v>
      </x:c>
      <x:c r="B1039" s="35" t="str">
        <x:v>https://w3id.org/nltl-benchmark/vocab#voyagePlanCoverage</x:v>
      </x:c>
      <x:c r="C1039" s="35" t="str">
        <x:v>DatatypeProperty</x:v>
      </x:c>
      <x:c r="D1039" s="35" t="str">
        <x:v>http://www.w3.org/2001/XMLSchema#boolean</x:v>
      </x:c>
      <x:c r="E1039" s="35" t="str">
        <x:v>xsd:boolean</x:v>
      </x:c>
      <x:c r="F1039" s="35" t="str"/>
      <x:c r="G1039" s="38" t="str">
        <x:v>IMO26-017</x:v>
      </x:c>
      <x:c r="H1039" s="35" t="str">
        <x:v>Locked-workbook normalized regulatory term</x:v>
      </x:c>
      <x:c r="I1039" s="35" t="str">
        <x:v>N4 - preserve the source concept; normalize spelling to ASCII lowerCamelCase</x:v>
      </x:c>
      <x:c r="J1039" s="35" t="str">
        <x:v>REUSE_R2_TERM</x:v>
      </x:c>
    </x:row>
    <x:row r="1040">
      <x:c r="A1040" s="35" t="str">
        <x:v>voyagePlanHazardCoverage</x:v>
      </x:c>
      <x:c r="B1040" s="35" t="str">
        <x:v>https://w3id.org/nltl-benchmark/vocab#voyagePlanHazardCoverage</x:v>
      </x:c>
      <x:c r="C1040" s="35" t="str">
        <x:v>DatatypeProperty</x:v>
      </x:c>
      <x:c r="D1040" s="35" t="str">
        <x:v>http://www.w3.org/2001/XMLSchema#boolean</x:v>
      </x:c>
      <x:c r="E1040" s="35" t="str">
        <x:v>xsd:boolean</x:v>
      </x:c>
      <x:c r="F1040" s="35" t="str"/>
      <x:c r="G1040" s="38" t="str">
        <x:v>IMO-100</x:v>
      </x:c>
      <x:c r="H1040" s="35" t="str">
        <x:v>Locked-workbook normalized regulatory term</x:v>
      </x:c>
      <x:c r="I1040" s="35" t="str">
        <x:v>N4 - preserve the source concept; normalize spelling to ASCII lowerCamelCase</x:v>
      </x:c>
      <x:c r="J1040" s="35" t="str">
        <x:v>REUSE_R2_TERM</x:v>
      </x:c>
    </x:row>
    <x:row r="1041">
      <x:c r="A1041" s="35" t="str">
        <x:v>voyagePlanPresent</x:v>
      </x:c>
      <x:c r="B1041" s="35" t="str">
        <x:v>https://w3id.org/nltl-benchmark/vocab#voyagePlanPresent</x:v>
      </x:c>
      <x:c r="C1041" s="35" t="str">
        <x:v>DatatypeProperty</x:v>
      </x:c>
      <x:c r="D1041" s="35" t="str">
        <x:v>http://www.w3.org/2001/XMLSchema#boolean</x:v>
      </x:c>
      <x:c r="E1041" s="35" t="str">
        <x:v>xsd:boolean</x:v>
      </x:c>
      <x:c r="F1041" s="35" t="str"/>
      <x:c r="G1041" s="38" t="str">
        <x:v>IMO-100 | IMO26-017</x:v>
      </x:c>
      <x:c r="H1041" s="35" t="str">
        <x:v>Locked-workbook normalized regulatory term</x:v>
      </x:c>
      <x:c r="I1041" s="35" t="str">
        <x:v>N4 - preserve the source concept; normalize spelling to ASCII lowerCamelCase</x:v>
      </x:c>
      <x:c r="J1041" s="35" t="str">
        <x:v>REUSE_R2_TERM</x:v>
      </x:c>
    </x:row>
    <x:row r="1042">
      <x:c r="A1042" s="35" t="str">
        <x:v>voyagePlanningTopicCoverage</x:v>
      </x:c>
      <x:c r="B1042" s="35" t="str">
        <x:v>https://w3id.org/nltl-benchmark/vocab#voyagePlanningTopicCoverage</x:v>
      </x:c>
      <x:c r="C1042" s="35" t="str">
        <x:v>DatatypeProperty</x:v>
      </x:c>
      <x:c r="D1042" s="35" t="str">
        <x:v>http://www.w3.org/2001/XMLSchema#boolean</x:v>
      </x:c>
      <x:c r="E1042" s="35" t="str">
        <x:v>xsd:boolean</x:v>
      </x:c>
      <x:c r="F1042" s="35" t="str"/>
      <x:c r="G1042" s="38" t="str">
        <x:v>IMO-101 | IMO26-018</x:v>
      </x:c>
      <x:c r="H1042" s="35" t="str">
        <x:v>Locked-workbook normalized regulatory term</x:v>
      </x:c>
      <x:c r="I1042" s="35" t="str">
        <x:v>N4 - preserve the source concept; normalize spelling to ASCII lowerCamelCase</x:v>
      </x:c>
      <x:c r="J1042" s="35" t="str">
        <x:v>REUSE_R2_TERM</x:v>
      </x:c>
    </x:row>
    <x:row r="1043">
      <x:c r="A1043" s="35" t="str">
        <x:v>warningTrianglePresent</x:v>
      </x:c>
      <x:c r="B1043" s="35" t="str">
        <x:v>https://w3id.org/nltl-benchmark/vocab#warningTrianglePresent</x:v>
      </x:c>
      <x:c r="C1043" s="35" t="str">
        <x:v>DatatypeProperty</x:v>
      </x:c>
      <x:c r="D1043" s="35" t="str">
        <x:v>http://www.w3.org/2001/XMLSchema#boolean</x:v>
      </x:c>
      <x:c r="E1043" s="35" t="str">
        <x:v>xsd:boolean</x:v>
      </x:c>
      <x:c r="F1043" s="35" t="str"/>
      <x:c r="G1043" s="38" t="str">
        <x:v>TRF-014</x:v>
      </x:c>
      <x:c r="H1043" s="35" t="str">
        <x:v>Applicable TRAFICOM regulation wording plus explicit engineering node/operand role</x:v>
      </x:c>
      <x:c r="I1043" s="35" t="str">
        <x:v>N4 - explicit regulatory concept in ASCII lowerCamelCase with an XSD datatype.</x:v>
      </x:c>
      <x:c r="J1043" s="35" t="str">
        <x:v>ADD_DEVELOPMENT_TERM</x:v>
      </x:c>
    </x:row>
    <x:row r="1044">
      <x:c r="A1044" s="35" t="str">
        <x:v>watchCoverageStatus</x:v>
      </x:c>
      <x:c r="B1044" s="35" t="str">
        <x:v>https://w3id.org/nltl-benchmark/vocab#watchCoverageStatus</x:v>
      </x:c>
      <x:c r="C1044" s="35" t="str">
        <x:v>DatatypeProperty</x:v>
      </x:c>
      <x:c r="D1044" s="35" t="str">
        <x:v>http://www.w3.org/2001/XMLSchema#boolean</x:v>
      </x:c>
      <x:c r="E1044" s="35" t="str">
        <x:v>xsd:boolean</x:v>
      </x:c>
      <x:c r="F1044" s="35" t="str"/>
      <x:c r="G1044" s="38" t="str">
        <x:v>IMO-103</x:v>
      </x:c>
      <x:c r="H1044" s="35" t="str">
        <x:v>Locked-workbook normalized regulatory term</x:v>
      </x:c>
      <x:c r="I1044" s="35" t="str">
        <x:v>N4 - preserve the source concept; normalize spelling to ASCII lowerCamelCase</x:v>
      </x:c>
      <x:c r="J1044" s="35" t="str">
        <x:v>REUSE_R2_TERM</x:v>
      </x:c>
    </x:row>
    <x:row r="1045">
      <x:c r="A1045" s="35" t="str">
        <x:v>waterAddedMass</x:v>
      </x:c>
      <x:c r="B1045" s="35" t="str">
        <x:v>https://w3id.org/nltl-benchmark/vocab#waterAddedMass</x:v>
      </x:c>
      <x:c r="C1045" s="35" t="str">
        <x:v>QuantityProperty</x:v>
      </x:c>
      <x:c r="D1045" s="35" t="str">
        <x:v>http://qudt.org/schema/qudt/QuantityValue</x:v>
      </x:c>
      <x:c r="E1045" s="35" t="str"/>
      <x:c r="F1045" s="35" t="str">
        <x:v>kg</x:v>
      </x:c>
      <x:c r="G1045" s="38" t="str">
        <x:v>TRF-120</x:v>
      </x:c>
      <x:c r="H1045" s="35" t="str">
        <x:v>Benchmark-coined descriptive engineering term</x:v>
      </x:c>
      <x:c r="I1045" s="35" t="str">
        <x:v>N5 - component or subject first, followed by characteristic and qualifier/state; no unsupported external mapping</x:v>
      </x:c>
      <x:c r="J1045" s="35" t="str">
        <x:v>REUSE_R2_TERM</x:v>
      </x:c>
    </x:row>
    <x:row r="1046">
      <x:c r="A1046" s="35" t="str">
        <x:v>waterMistPump</x:v>
      </x:c>
      <x:c r="B1046" s="35" t="str">
        <x:v>https://w3id.org/nltl-benchmark/vocab#waterMistPump</x:v>
      </x:c>
      <x:c r="C1046" s="35" t="str">
        <x:v>Class</x:v>
      </x:c>
      <x:c r="D1046" s="35" t="str">
        <x:v>https://w3id.org/nltl-benchmark/vocab#firePump</x:v>
      </x:c>
      <x:c r="E1046" s="35" t="str"/>
      <x:c r="F1046" s="35" t="str"/>
      <x:c r="G1046" s="38" t="str">
        <x:v>IMO-057</x:v>
      </x:c>
      <x:c r="H1046" s="35" t="str">
        <x:v>Applicable regulation explicit wording; R2 benchmark gap repair</x:v>
      </x:c>
      <x:c r="I1046" s="35" t="str">
        <x:v>N4 - preserve explicit regulatory entity as ASCII lowerCamelCase</x:v>
      </x:c>
      <x:c r="J1046" s="35" t="str">
        <x:v>REUSE_R2_TERM</x:v>
      </x:c>
    </x:row>
    <x:row r="1047">
      <x:c r="A1047" s="35" t="str">
        <x:v>waterSprayPump</x:v>
      </x:c>
      <x:c r="B1047" s="35" t="str">
        <x:v>https://w3id.org/nltl-benchmark/vocab#waterSprayPump</x:v>
      </x:c>
      <x:c r="C1047" s="35" t="str">
        <x:v>Class</x:v>
      </x:c>
      <x:c r="D1047" s="35" t="str">
        <x:v>https://w3id.org/nltl-benchmark/vocab#firePump</x:v>
      </x:c>
      <x:c r="E1047" s="35" t="str"/>
      <x:c r="F1047" s="35" t="str"/>
      <x:c r="G1047" s="38" t="str">
        <x:v>IMO-057</x:v>
      </x:c>
      <x:c r="H1047" s="35" t="str">
        <x:v>Applicable regulation explicit wording; R2 benchmark gap repair</x:v>
      </x:c>
      <x:c r="I1047" s="35" t="str">
        <x:v>N4 - preserve explicit regulatory entity as ASCII lowerCamelCase</x:v>
      </x:c>
      <x:c r="J1047" s="35" t="str">
        <x:v>REUSE_R2_TERM</x:v>
      </x:c>
    </x:row>
    <x:row r="1048">
      <x:c r="A1048" s="35" t="str">
        <x:v>waterlineAngleAtQuarterBreadth</x:v>
      </x:c>
      <x:c r="B1048" s="35" t="str">
        <x:v>https://w3id.org/nltl-benchmark/vocab#waterlineAngleAtQuarterBreadth</x:v>
      </x:c>
      <x:c r="C1048" s="35" t="str">
        <x:v>QuantityProperty</x:v>
      </x:c>
      <x:c r="D1048" s="35" t="str">
        <x:v>http://qudt.org/schema/qudt/QuantityValue</x:v>
      </x:c>
      <x:c r="E1048" s="35" t="str"/>
      <x:c r="F1048" s="35" t="str">
        <x:v>deg</x:v>
      </x:c>
      <x:c r="G1048" s="38" t="str">
        <x:v>TRF-022</x:v>
      </x:c>
      <x:c r="H1048" s="35" t="str">
        <x:v>Applicable TRAFICOM regulation wording plus explicit engineering node/operand role</x:v>
      </x:c>
      <x:c r="I1048" s="35" t="str">
        <x:v>N4 - explicit engineering quantity in ASCII lowerCamelCase; formula symbols remain aliases only.</x:v>
      </x:c>
      <x:c r="J1048" s="35" t="str">
        <x:v>ADD_DEVELOPMENT_TERM</x:v>
      </x:c>
    </x:row>
    <x:row r="1049">
      <x:c r="A1049" s="35" t="str">
        <x:v>waterlineDisplacement</x:v>
      </x:c>
      <x:c r="B1049" s="35" t="str">
        <x:v>https://w3id.org/nltl-benchmark/vocab#waterlineDisplacement</x:v>
      </x:c>
      <x:c r="C1049" s="35" t="str">
        <x:v>QuantityProperty</x:v>
      </x:c>
      <x:c r="D1049" s="35" t="str">
        <x:v>http://qudt.org/schema/qudt/QuantityValue</x:v>
      </x:c>
      <x:c r="E1049" s="35" t="str"/>
      <x:c r="F1049" s="35" t="str">
        <x:v>t</x:v>
      </x:c>
      <x:c r="G1049" s="38" t="str">
        <x:v>TRF-016</x:v>
      </x:c>
      <x:c r="H1049" s="35" t="str">
        <x:v>Applicable TRAFICOM regulation wording plus explicit engineering node/operand role</x:v>
      </x:c>
      <x:c r="I1049" s="35" t="str">
        <x:v>N4 - explicit engineering quantity in ASCII lowerCamelCase; formula symbols remain aliases only.</x:v>
      </x:c>
      <x:c r="J1049" s="35" t="str">
        <x:v>ADD_DEVELOPMENT_TERM</x:v>
      </x:c>
    </x:row>
    <x:row r="1050">
      <x:c r="A1050" s="35" t="str">
        <x:v>waterlineProfilePoint</x:v>
      </x:c>
      <x:c r="B1050" s="35" t="str">
        <x:v>https://w3id.org/nltl-benchmark/vocab#waterlineProfilePoint</x:v>
      </x:c>
      <x:c r="C1050" s="35" t="str">
        <x:v>Class</x:v>
      </x:c>
      <x:c r="D1050" s="35" t="str">
        <x:v>https://w3id.org/nltl-benchmark/vocab#benchmarkEntity</x:v>
      </x:c>
      <x:c r="E1050" s="35" t="str"/>
      <x:c r="F1050" s="35" t="str"/>
      <x:c r="G1050" s="38" t="str">
        <x:v>TRF-011 | TRF-012</x:v>
      </x:c>
      <x:c r="H1050" s="35" t="str">
        <x:v>Applicable TRAFICOM regulation wording plus explicit engineering node/operand role</x:v>
      </x:c>
      <x:c r="I1050" s="35" t="str">
        <x:v>N4 - singular ASCII lowerCamelCase entity name derived from the linked regulatory role.</x:v>
      </x:c>
      <x:c r="J1050" s="35" t="str">
        <x:v>ADD_DEVELOPMENT_TERM</x:v>
      </x:c>
    </x:row>
    <x:row r="1051">
      <x:c r="A1051" s="35" t="str">
        <x:v>watertightOrWeathertightClosingDevice</x:v>
      </x:c>
      <x:c r="B1051" s="35" t="str">
        <x:v>https://w3id.org/nltl-benchmark/vocab#watertightOrWeathertightClosingDevice</x:v>
      </x:c>
      <x:c r="C1051" s="35" t="str">
        <x:v>Class</x:v>
      </x:c>
      <x:c r="D1051" s="35" t="str">
        <x:v>https://w3id.org/nltl-benchmark/vocab#benchmarkEntity</x:v>
      </x:c>
      <x:c r="E1051" s="35" t="str"/>
      <x:c r="F1051" s="35" t="str"/>
      <x:c r="G1051" s="38" t="str">
        <x:v>IMO-039</x:v>
      </x:c>
      <x:c r="H1051" s="35" t="str">
        <x:v>Locked-workbook normalized regulatory term</x:v>
      </x:c>
      <x:c r="I1051" s="35" t="str">
        <x:v>N4 - preserve the source concept; normalize spelling to ASCII lowerCamelCase</x:v>
      </x:c>
      <x:c r="J1051" s="35" t="str">
        <x:v>REUSE_R2_TERM</x:v>
      </x:c>
    </x:row>
    <x:row r="1052">
      <x:c r="A1052" s="35" t="str">
        <x:v>weatherDeckBelowIceBeltUpperLimit</x:v>
      </x:c>
      <x:c r="B1052" s="35" t="str">
        <x:v>https://w3id.org/nltl-benchmark/vocab#weatherDeckBelowIceBeltUpperLimit</x:v>
      </x:c>
      <x:c r="C1052" s="35" t="str">
        <x:v>DatatypeProperty</x:v>
      </x:c>
      <x:c r="D1052" s="35" t="str">
        <x:v>http://www.w3.org/2001/XMLSchema#boolean</x:v>
      </x:c>
      <x:c r="E1052" s="35" t="str">
        <x:v>xsd:boolean</x:v>
      </x:c>
      <x:c r="F1052" s="35" t="str"/>
      <x:c r="G1052" s="38" t="str">
        <x:v>TRF-040</x:v>
      </x:c>
      <x:c r="H1052" s="35" t="str">
        <x:v>Benchmark-coined descriptive engineering term</x:v>
      </x:c>
      <x:c r="I1052" s="35" t="str">
        <x:v>N5 - component or subject first, followed by characteristic and qualifier/state; no unsupported external mapping</x:v>
      </x:c>
      <x:c r="J1052" s="35" t="str">
        <x:v>REUSE_R2_TERM</x:v>
      </x:c>
    </x:row>
    <x:row r="1053">
      <x:c r="A1053" s="35" t="str">
        <x:v>weatherProtectionPresent</x:v>
      </x:c>
      <x:c r="B1053" s="35" t="str">
        <x:v>https://w3id.org/nltl-benchmark/vocab#weatherProtectionPresent</x:v>
      </x:c>
      <x:c r="C1053" s="35" t="str">
        <x:v>DatatypeProperty</x:v>
      </x:c>
      <x:c r="D1053" s="35" t="str">
        <x:v>http://www.w3.org/2001/XMLSchema#boolean</x:v>
      </x:c>
      <x:c r="E1053" s="35" t="str">
        <x:v>xsd:boolean</x:v>
      </x:c>
      <x:c r="F1053" s="35" t="str"/>
      <x:c r="G1053" s="38" t="str">
        <x:v>IMO-065</x:v>
      </x:c>
      <x:c r="H1053" s="35" t="str">
        <x:v>Locked-workbook normalized regulatory term</x:v>
      </x:c>
      <x:c r="I1053" s="35" t="str">
        <x:v>N4 - preserve the source concept; normalize spelling to ASCII lowerCamelCase</x:v>
      </x:c>
      <x:c r="J1053" s="35" t="str">
        <x:v>REUSE_R2_TERM</x:v>
      </x:c>
    </x:row>
    <x:row r="1054">
      <x:c r="A1054" s="35" t="str">
        <x:v>weatherdeckHatch</x:v>
      </x:c>
      <x:c r="B1054" s="35" t="str">
        <x:v>https://w3id.org/nltl-benchmark/vocab#weatherdeckHatch</x:v>
      </x:c>
      <x:c r="C1054" s="35" t="str">
        <x:v>Class</x:v>
      </x:c>
      <x:c r="D1054" s="35" t="str">
        <x:v>https://w3id.org/nltl-benchmark/vocab#shipComponent</x:v>
      </x:c>
      <x:c r="E1054" s="35" t="str"/>
      <x:c r="F1054" s="35" t="str"/>
      <x:c r="G1054" s="38" t="str">
        <x:v>TRF-056</x:v>
      </x:c>
      <x:c r="H1054" s="35" t="str">
        <x:v>Applicable TRAFICOM regulation wording plus explicit engineering node/operand role</x:v>
      </x:c>
      <x:c r="I1054" s="35" t="str">
        <x:v>N4 - singular ASCII lowerCamelCase entity name derived from the linked regulatory role.</x:v>
      </x:c>
      <x:c r="J1054" s="35" t="str">
        <x:v>ADD_DEVELOPMENT_TERM</x:v>
      </x:c>
    </x:row>
    <x:row r="1055">
      <x:c r="A1055" s="35" t="str">
        <x:v>webFrame</x:v>
      </x:c>
      <x:c r="B1055" s="35" t="str">
        <x:v>https://w3id.org/nltl-benchmark/vocab#webFrame</x:v>
      </x:c>
      <x:c r="C1055" s="35" t="str">
        <x:v>Class</x:v>
      </x:c>
      <x:c r="D1055" s="35" t="str">
        <x:v>https://w3id.org/nltl-benchmark/vocab#hullStructure</x:v>
      </x:c>
      <x:c r="E1055" s="35" t="str"/>
      <x:c r="F1055" s="35" t="str"/>
      <x:c r="G1055" s="38" t="str">
        <x:v>I2-037 | I2-062</x:v>
      </x:c>
      <x:c r="H1055" s="35" t="str">
        <x:v>Benchmark-coined descriptive engineering term</x:v>
      </x:c>
      <x:c r="I1055" s="35" t="str">
        <x:v>N5 - component or subject first, followed by characteristic and qualifier/state; no unsupported external mapping</x:v>
      </x:c>
      <x:c r="J1055" s="35" t="str">
        <x:v>REUSE_R2_TERM</x:v>
      </x:c>
    </x:row>
    <x:row r="1056">
      <x:c r="A1056" s="35" t="str">
        <x:v>webFrameIceLoad</x:v>
      </x:c>
      <x:c r="B1056" s="35" t="str">
        <x:v>https://w3id.org/nltl-benchmark/vocab#webFrameIceLoad</x:v>
      </x:c>
      <x:c r="C1056" s="35" t="str">
        <x:v>QuantityProperty</x:v>
      </x:c>
      <x:c r="D1056" s="35" t="str">
        <x:v>http://qudt.org/schema/qudt/QuantityValue</x:v>
      </x:c>
      <x:c r="E1056" s="35" t="str"/>
      <x:c r="F1056" s="35" t="str">
        <x:v>kN</x:v>
      </x:c>
      <x:c r="G1056" s="38" t="str">
        <x:v>TRF-057</x:v>
      </x:c>
      <x:c r="H1056" s="35" t="str">
        <x:v>Verified exact implementation term</x:v>
      </x:c>
      <x:c r="I1056" s="35" t="str">
        <x:v>N1 - reuse only after exact URI and semantic-context verification</x:v>
      </x:c>
      <x:c r="J1056" s="35" t="str">
        <x:v>REUSE_R2_TERM</x:v>
      </x:c>
    </x:row>
    <x:row r="1057">
      <x:c r="A1057" s="35" t="str">
        <x:v>webFrameSafetyFactor</x:v>
      </x:c>
      <x:c r="B1057" s="35" t="str">
        <x:v>https://w3id.org/nltl-benchmark/vocab#webFrameSafetyFactor</x:v>
      </x:c>
      <x:c r="C1057" s="35" t="str">
        <x:v>QuantityProperty</x:v>
      </x:c>
      <x:c r="D1057" s="35" t="str">
        <x:v>http://qudt.org/schema/qudt/QuantityValue</x:v>
      </x:c>
      <x:c r="E1057" s="35" t="str"/>
      <x:c r="F1057" s="35" t="str">
        <x:v>1</x:v>
      </x:c>
      <x:c r="G1057" s="38" t="str">
        <x:v>TRF-057</x:v>
      </x:c>
      <x:c r="H1057" s="35" t="str">
        <x:v>Benchmark-coined descriptive engineering term</x:v>
      </x:c>
      <x:c r="I1057" s="35" t="str">
        <x:v>N5 - component or subject first, followed by characteristic and qualifier/state; no unsupported external mapping</x:v>
      </x:c>
      <x:c r="J1057" s="35" t="str">
        <x:v>REUSE_R2_TERM</x:v>
      </x:c>
    </x:row>
    <x:row r="1058">
      <x:c r="A1058" s="35" t="str">
        <x:v>webFrameShearDistributionFactorF13</x:v>
      </x:c>
      <x:c r="B1058" s="35" t="str">
        <x:v>https://w3id.org/nltl-benchmark/vocab#webFrameShearDistributionFactorF13</x:v>
      </x:c>
      <x:c r="C1058" s="35" t="str">
        <x:v>QuantityProperty</x:v>
      </x:c>
      <x:c r="D1058" s="35" t="str">
        <x:v>http://qudt.org/schema/qudt/QuantityValue</x:v>
      </x:c>
      <x:c r="E1058" s="35" t="str"/>
      <x:c r="F1058" s="35" t="str">
        <x:v>1</x:v>
      </x:c>
      <x:c r="G1058" s="38" t="str">
        <x:v>TRF-059</x:v>
      </x:c>
      <x:c r="H1058" s="35" t="str">
        <x:v>Applicable TRAFICOM regulation wording plus explicit engineering node/operand role</x:v>
      </x:c>
      <x:c r="I1058" s="35" t="str">
        <x:v>N4 - explicit engineering quantity in ASCII lowerCamelCase; formula symbols remain aliases only.</x:v>
      </x:c>
      <x:c r="J1058" s="35" t="str">
        <x:v>ADD_DEVELOPMENT_TERM</x:v>
      </x:c>
    </x:row>
    <x:row r="1059">
      <x:c r="A1059" s="35" t="str">
        <x:v>webFrameShearFactorAlpha</x:v>
      </x:c>
      <x:c r="B1059" s="35" t="str">
        <x:v>https://w3id.org/nltl-benchmark/vocab#webFrameShearFactorAlpha</x:v>
      </x:c>
      <x:c r="C1059" s="35" t="str">
        <x:v>QuantityProperty</x:v>
      </x:c>
      <x:c r="D1059" s="35" t="str">
        <x:v>http://qudt.org/schema/qudt/QuantityValue</x:v>
      </x:c>
      <x:c r="E1059" s="35" t="str"/>
      <x:c r="F1059" s="35" t="str">
        <x:v>1</x:v>
      </x:c>
      <x:c r="G1059" s="38" t="str">
        <x:v>TRF-059</x:v>
      </x:c>
      <x:c r="H1059" s="35" t="str">
        <x:v>Applicable TRAFICOM regulation wording plus explicit engineering node/operand role</x:v>
      </x:c>
      <x:c r="I1059" s="35" t="str">
        <x:v>N4 - explicit engineering quantity in ASCII lowerCamelCase; formula symbols remain aliases only.</x:v>
      </x:c>
      <x:c r="J1059" s="35" t="str">
        <x:v>ADD_DEVELOPMENT_TERM</x:v>
      </x:c>
    </x:row>
    <x:row r="1060">
      <x:c r="A1060" s="35" t="str">
        <x:v>webFrameSpacing</x:v>
      </x:c>
      <x:c r="B1060" s="35" t="str">
        <x:v>https://w3id.org/nltl-benchmark/vocab#webFrameSpacing</x:v>
      </x:c>
      <x:c r="C1060" s="35" t="str">
        <x:v>QuantityProperty</x:v>
      </x:c>
      <x:c r="D1060" s="35" t="str">
        <x:v>http://qudt.org/schema/qudt/QuantityValue</x:v>
      </x:c>
      <x:c r="E1060" s="35" t="str"/>
      <x:c r="F1060" s="35" t="str">
        <x:v>m</x:v>
      </x:c>
      <x:c r="G1060" s="38" t="str">
        <x:v>TRF-057</x:v>
      </x:c>
      <x:c r="H1060" s="35" t="str">
        <x:v>Verified exact implementation term</x:v>
      </x:c>
      <x:c r="I1060" s="35" t="str">
        <x:v>N1 - reuse only after exact URI and semantic-context verification</x:v>
      </x:c>
      <x:c r="J1060" s="35" t="str">
        <x:v>REUSE_R2_TERM</x:v>
      </x:c>
    </x:row>
    <x:row r="1061">
      <x:c r="A1061" s="35" t="str">
        <x:v>webPlateArea</x:v>
      </x:c>
      <x:c r="B1061" s="35" t="str">
        <x:v>https://w3id.org/nltl-benchmark/vocab#webPlateArea</x:v>
      </x:c>
      <x:c r="C1061" s="35" t="str">
        <x:v>QuantityProperty</x:v>
      </x:c>
      <x:c r="D1061" s="35" t="str">
        <x:v>http://qudt.org/schema/qudt/QuantityValue</x:v>
      </x:c>
      <x:c r="E1061" s="35" t="str"/>
      <x:c r="F1061" s="35" t="str">
        <x:v>cm^2</x:v>
      </x:c>
      <x:c r="G1061" s="38" t="str">
        <x:v>TRF-059</x:v>
      </x:c>
      <x:c r="H1061" s="35" t="str">
        <x:v>Applicable TRAFICOM regulation wording plus explicit engineering node/operand role</x:v>
      </x:c>
      <x:c r="I1061" s="35" t="str">
        <x:v>N4 - explicit engineering quantity in ASCII lowerCamelCase; formula symbols remain aliases only.</x:v>
      </x:c>
      <x:c r="J1061" s="35" t="str">
        <x:v>ADD_DEVELOPMENT_TERM</x:v>
      </x:c>
    </x:row>
    <x:row r="1062">
      <x:c r="A1062" s="35" t="str">
        <x:v>webPlateConnectionSideCount</x:v>
      </x:c>
      <x:c r="B1062" s="35" t="str">
        <x:v>https://w3id.org/nltl-benchmark/vocab#webPlateConnectionSideCount</x:v>
      </x:c>
      <x:c r="C1062" s="35" t="str">
        <x:v>DatatypeProperty</x:v>
      </x:c>
      <x:c r="D1062" s="35" t="str">
        <x:v>http://www.w3.org/2001/XMLSchema#integer</x:v>
      </x:c>
      <x:c r="E1062" s="35" t="str">
        <x:v>xsd:integer</x:v>
      </x:c>
      <x:c r="F1062" s="35" t="str"/>
      <x:c r="G1062" s="38" t="str">
        <x:v>TRF-049</x:v>
      </x:c>
      <x:c r="H1062" s="35" t="str">
        <x:v>Applicable TRAFICOM regulation wording plus explicit engineering node/operand role</x:v>
      </x:c>
      <x:c r="I1062" s="35" t="str">
        <x:v>N4 - explicit regulatory concept in ASCII lowerCamelCase with an XSD datatype.</x:v>
      </x:c>
      <x:c r="J1062" s="35" t="str">
        <x:v>ADD_DEVELOPMENT_TERM</x:v>
      </x:c>
    </x:row>
    <x:row r="1063">
      <x:c r="A1063" s="35" t="str">
        <x:v>weldType</x:v>
      </x:c>
      <x:c r="B1063" s="35" t="str">
        <x:v>https://w3id.org/nltl-benchmark/vocab#weldType</x:v>
      </x:c>
      <x:c r="C1063" s="35" t="str">
        <x:v>DatatypeProperty</x:v>
      </x:c>
      <x:c r="D1063" s="35" t="str">
        <x:v>http://www.w3.org/2001/XMLSchema#string</x:v>
      </x:c>
      <x:c r="E1063" s="35" t="str">
        <x:v>xsd:string</x:v>
      </x:c>
      <x:c r="F1063" s="35" t="str"/>
      <x:c r="G1063" s="38" t="str">
        <x:v>I2-066 | TRF-050</x:v>
      </x:c>
      <x:c r="H1063" s="35" t="str">
        <x:v>Benchmark-coined descriptive engineering term</x:v>
      </x:c>
      <x:c r="I1063" s="35" t="str">
        <x:v>N5 - component or subject first, followed by characteristic and qualifier/state; no unsupported external mapping</x:v>
      </x:c>
      <x:c r="J1063" s="35" t="str">
        <x:v>REUSE_R2_TERM</x:v>
      </x:c>
    </x:row>
    <x:row r="1064">
      <x:c r="A1064" s="35" t="str">
        <x:v>weldTypeValue</x:v>
      </x:c>
      <x:c r="B1064" s="35" t="str">
        <x:v>https://w3id.org/nltl-benchmark/vocab#weldTypeValue</x:v>
      </x:c>
      <x:c r="C1064" s="35" t="str">
        <x:v>Class</x:v>
      </x:c>
      <x:c r="D1064" s="35" t="str">
        <x:v>https://w3id.org/nltl-benchmark/vocab#benchmarkEntity</x:v>
      </x:c>
      <x:c r="E1064" s="35" t="str"/>
      <x:c r="F1064" s="35" t="str"/>
      <x:c r="G1064" s="38" t="str">
        <x:v>TRF-050</x:v>
      </x:c>
      <x:c r="H1064" s="35" t="str">
        <x:v>Applicable TRAFICOM regulation wording plus explicit engineering node/operand role</x:v>
      </x:c>
      <x:c r="I1064" s="35" t="str">
        <x:v>N4 - singular ASCII lowerCamelCase entity name derived from the linked regulatory role.</x:v>
      </x:c>
      <x:c r="J1064" s="35" t="str">
        <x:v>ADD_DEVELOPMENT_TERM</x:v>
      </x:c>
    </x:row>
    <x:row r="1065">
      <x:c r="A1065" s="35" t="str">
        <x:v>wingTankProtectionStatus</x:v>
      </x:c>
      <x:c r="B1065" s="35" t="str">
        <x:v>https://w3id.org/nltl-benchmark/vocab#wingTankProtectionStatus</x:v>
      </x:c>
      <x:c r="C1065" s="35" t="str">
        <x:v>DatatypeProperty</x:v>
      </x:c>
      <x:c r="D1065" s="35" t="str">
        <x:v>http://www.w3.org/2001/XMLSchema#boolean</x:v>
      </x:c>
      <x:c r="E1065" s="35" t="str">
        <x:v>xsd:boolean</x:v>
      </x:c>
      <x:c r="F1065" s="35" t="str"/>
      <x:c r="G1065" s="38" t="str">
        <x:v>IMO-110</x:v>
      </x:c>
      <x:c r="H1065" s="35" t="str">
        <x:v>Locked-workbook normalized regulatory term</x:v>
      </x:c>
      <x:c r="I1065" s="35" t="str">
        <x:v>N4 - preserve the source concept; normalize spelling to ASCII lowerCamelCase</x:v>
      </x:c>
      <x:c r="J1065" s="35" t="str">
        <x:v>REUSE_R2_TERM</x:v>
      </x:c>
    </x:row>
    <x:row r="1066">
      <x:c r="A1066" s="35" t="str">
        <x:v>winterClothingOperabilityTestStatus</x:v>
      </x:c>
      <x:c r="B1066" s="35" t="str">
        <x:v>https://w3id.org/nltl-benchmark/vocab#winterClothingOperabilityTestStatus</x:v>
      </x:c>
      <x:c r="C1066" s="35" t="str">
        <x:v>DatatypeProperty</x:v>
      </x:c>
      <x:c r="D1066" s="35" t="str">
        <x:v>http://www.w3.org/2001/XMLSchema#boolean</x:v>
      </x:c>
      <x:c r="E1066" s="35" t="str">
        <x:v>xsd:boolean</x:v>
      </x:c>
      <x:c r="F1066" s="35" t="str"/>
      <x:c r="G1066" s="38" t="str">
        <x:v>IMO-042</x:v>
      </x:c>
      <x:c r="H1066" s="35" t="str">
        <x:v>Locked-workbook normalized regulatory term</x:v>
      </x:c>
      <x:c r="I1066" s="35" t="str">
        <x:v>N4 - preserve the source concept; normalize spelling to ASCII lowerCamelCase</x:v>
      </x:c>
      <x:c r="J1066" s="35" t="str">
        <x:v>REUSE_R2_TERM</x:v>
      </x:c>
    </x:row>
    <x:row r="1067">
      <x:c r="A1067" s="35" t="str">
        <x:v>winterGrowthCount</x:v>
      </x:c>
      <x:c r="B1067" s="35" t="str">
        <x:v>https://w3id.org/nltl-benchmark/vocab#winterGrowthCount</x:v>
      </x:c>
      <x:c r="C1067" s="35" t="str">
        <x:v>DatatypeProperty</x:v>
      </x:c>
      <x:c r="D1067" s="35" t="str">
        <x:v>http://www.w3.org/2001/XMLSchema#integer</x:v>
      </x:c>
      <x:c r="E1067" s="35" t="str">
        <x:v>xsd:integer</x:v>
      </x:c>
      <x:c r="F1067" s="35" t="str"/>
      <x:c r="G1067" s="38" t="str">
        <x:v>IMO-004</x:v>
      </x:c>
      <x:c r="H1067" s="35" t="str">
        <x:v>Locked-workbook normalized regulatory term</x:v>
      </x:c>
      <x:c r="I1067" s="35" t="str">
        <x:v>N4 - preserve the source concept; normalize spelling to ASCII lowerCamelCase</x:v>
      </x:c>
      <x:c r="J1067" s="35" t="str">
        <x:v>REUSE_R2_TERM</x:v>
      </x:c>
    </x:row>
    <x:row r="1068">
      <x:c r="A1068" s="35" t="str">
        <x:v>withinIceStrengthenedArea</x:v>
      </x:c>
      <x:c r="B1068" s="35" t="str">
        <x:v>https://w3id.org/nltl-benchmark/vocab#withinIceStrengthenedArea</x:v>
      </x:c>
      <x:c r="C1068" s="35" t="str">
        <x:v>DatatypeProperty</x:v>
      </x:c>
      <x:c r="D1068" s="35" t="str">
        <x:v>http://www.w3.org/2001/XMLSchema#boolean</x:v>
      </x:c>
      <x:c r="E1068" s="35" t="str">
        <x:v>xsd:boolean</x:v>
      </x:c>
      <x:c r="F1068" s="35" t="str"/>
      <x:c r="G1068" s="38" t="str">
        <x:v>TRF-049</x:v>
      </x:c>
      <x:c r="H1068" s="35" t="str">
        <x:v>Applicable TRAFICOM regulation wording plus explicit engineering node/operand role</x:v>
      </x:c>
      <x:c r="I1068" s="35" t="str">
        <x:v>N4 - explicit regulatory concept in ASCII lowerCamelCase with an XSD datatype.</x:v>
      </x:c>
      <x:c r="J1068" s="35" t="str">
        <x:v>ADD_DEVELOPMENT_TERM</x:v>
      </x:c>
    </x:row>
    <x:row r="1069">
      <x:c r="A1069" s="35" t="str">
        <x:v>workingLiquid</x:v>
      </x:c>
      <x:c r="B1069" s="35" t="str">
        <x:v>https://w3id.org/nltl-benchmark/vocab#workingLiquid</x:v>
      </x:c>
      <x:c r="C1069" s="35" t="str">
        <x:v>DatatypeProperty</x:v>
      </x:c>
      <x:c r="D1069" s="35" t="str">
        <x:v>http://www.w3.org/2001/XMLSchema#string</x:v>
      </x:c>
      <x:c r="E1069" s="35" t="str">
        <x:v>xsd:string</x:v>
      </x:c>
      <x:c r="F1069" s="35" t="str"/>
      <x:c r="G1069" s="38" t="str">
        <x:v>IMO-044</x:v>
      </x:c>
      <x:c r="H1069" s="35" t="str">
        <x:v>Locked-workbook normalized regulatory term</x:v>
      </x:c>
      <x:c r="I1069" s="35" t="str">
        <x:v>N4 - preserve the source concept; normalize spelling to ASCII lowerCamelCase</x:v>
      </x:c>
      <x:c r="J1069" s="35" t="str">
        <x:v>REUSE_R2_TERM</x:v>
      </x:c>
    </x:row>
    <x:row r="1070">
      <x:c r="A1070" s="35" t="str">
        <x:v>yieldPoint</x:v>
      </x:c>
      <x:c r="B1070" s="35" t="str">
        <x:v>https://w3id.org/nltl-benchmark/vocab#yieldPoint</x:v>
      </x:c>
      <x:c r="C1070" s="35" t="str">
        <x:v>QuantityProperty</x:v>
      </x:c>
      <x:c r="D1070" s="35" t="str">
        <x:v>http://qudt.org/schema/qudt/QuantityValue</x:v>
      </x:c>
      <x:c r="E1070" s="35" t="str"/>
      <x:c r="F1070" s="35" t="str">
        <x:v>MPa</x:v>
      </x:c>
      <x:c r="G1070" s="38" t="str">
        <x:v>TRF-031</x:v>
      </x:c>
      <x:c r="H1070" s="35" t="str">
        <x:v>Benchmark-coined descriptive engineering term</x:v>
      </x:c>
      <x:c r="I1070" s="35" t="str">
        <x:v>N5 - component or subject first, followed by characteristic and qualifier/state; no unsupported external mapping</x:v>
      </x:c>
      <x:c r="J1070" s="35" t="str">
        <x:v>REUSE_R2_TERM</x:v>
      </x:c>
    </x:row>
    <x:row r="1071">
      <x:c r="A1071" s="35" t="str">
        <x:v>yieldSafetyFactor</x:v>
      </x:c>
      <x:c r="B1071" s="35" t="str">
        <x:v>https://w3id.org/nltl-benchmark/vocab#yieldSafetyFactor</x:v>
      </x:c>
      <x:c r="C1071" s="35" t="str">
        <x:v>QuantityProperty</x:v>
      </x:c>
      <x:c r="D1071" s="35" t="str">
        <x:v>http://qudt.org/schema/qudt/QuantityValue</x:v>
      </x:c>
      <x:c r="E1071" s="35" t="str"/>
      <x:c r="F1071" s="35" t="str">
        <x:v>1</x:v>
      </x:c>
      <x:c r="G1071" s="38" t="str">
        <x:v>TRF-110 | TRF-112 | TRF-118</x:v>
      </x:c>
      <x:c r="H1071" s="35" t="str">
        <x:v>Benchmark-coined descriptive engineering term</x:v>
      </x:c>
      <x:c r="I1071" s="35" t="str">
        <x:v>N5 - component or subject first, followed by characteristic and qualifier/state; no unsupported external mapping</x:v>
      </x:c>
      <x:c r="J1071" s="35" t="str">
        <x:v>REUSE_R2_TERM</x:v>
      </x:c>
    </x:row>
    <x:row r="1072">
      <x:c r="A1072" s="35" t="str">
        <x:v>yieldShearStress</x:v>
      </x:c>
      <x:c r="B1072" s="35" t="str">
        <x:v>https://w3id.org/nltl-benchmark/vocab#yieldShearStress</x:v>
      </x:c>
      <x:c r="C1072" s="35" t="str">
        <x:v>QuantityProperty</x:v>
      </x:c>
      <x:c r="D1072" s="35" t="str">
        <x:v>http://qudt.org/schema/qudt/QuantityValue</x:v>
      </x:c>
      <x:c r="E1072" s="35" t="str"/>
      <x:c r="F1072" s="35" t="str">
        <x:v>MPa</x:v>
      </x:c>
      <x:c r="G1072" s="38" t="str">
        <x:v>TRF-031</x:v>
      </x:c>
      <x:c r="H1072" s="35" t="str">
        <x:v>Applicable TRAFICOM regulation wording plus explicit engineering node/operand role</x:v>
      </x:c>
      <x:c r="I1072" s="35" t="str">
        <x:v>N4 - explicit engineering quantity in ASCII lowerCamelCase; formula symbols remain aliases only.</x:v>
      </x:c>
      <x:c r="J1072" s="35" t="str">
        <x:v>ADD_DEVELOPMENT_TERM</x:v>
      </x:c>
    </x:row>
    <x:row r="1073">
      <x:c r="A1073" s="35" t="str">
        <x:v>yieldStrength</x:v>
      </x:c>
      <x:c r="B1073" s="35" t="str">
        <x:v>https://w3id.org/nltl-benchmark/vocab#yieldStrength</x:v>
      </x:c>
      <x:c r="C1073" s="35" t="str">
        <x:v>QuantityProperty</x:v>
      </x:c>
      <x:c r="D1073" s="35" t="str">
        <x:v>http://qudt.org/schema/qudt/QuantityValue</x:v>
      </x:c>
      <x:c r="E1073" s="35" t="str"/>
      <x:c r="F1073" s="35" t="str">
        <x:v>MPa</x:v>
      </x:c>
      <x:c r="G1073" s="38" t="str">
        <x:v>I2-022 | I2-023 | I2-032 | I2-035 | I2-040 | I2-041 | I2-043 | I2-064 | TRF-041 | TRF-042 | TRF-044 | TRF-048 | TRF-051 | TRF-053 | TRF-054 | TRF-059 | TRF-060 | TRF-068 | TRF-123</x:v>
      </x:c>
      <x:c r="H1073" s="35" t="str">
        <x:v>Unit-stripped normalized regulatory variable</x:v>
      </x:c>
      <x:c r="I1073" s="35" t="str">
        <x:v>N3 - remove unit from the identifier and retain it in unit/quantity metadata</x:v>
      </x:c>
      <x:c r="J1073" s="35" t="str">
        <x:v>REUSE_R2_TERM</x:v>
      </x:c>
    </x:row>
    <x:row r="1074">
      <x:c r="A1074" s="35" t="str">
        <x:v>yieldingMargin</x:v>
      </x:c>
      <x:c r="B1074" s="35" t="str">
        <x:v>https://w3id.org/nltl-benchmark/vocab#yieldingMargin</x:v>
      </x:c>
      <x:c r="C1074" s="35" t="str">
        <x:v>QuantityProperty</x:v>
      </x:c>
      <x:c r="D1074" s="35" t="str">
        <x:v>http://qudt.org/schema/qudt/QuantityValue</x:v>
      </x:c>
      <x:c r="E1074" s="35" t="str"/>
      <x:c r="F1074" s="35" t="str">
        <x:v>1</x:v>
      </x:c>
      <x:c r="G1074" s="38" t="str">
        <x:v>I2-065</x:v>
      </x:c>
      <x:c r="H1074" s="35" t="str">
        <x:v>Benchmark-coined descriptive engineering term</x:v>
      </x:c>
      <x:c r="I1074" s="35" t="str">
        <x:v>N5 - component or subject first, followed by characteristic and qualifier/state; no unsupported external mapping</x:v>
      </x:c>
      <x:c r="J1074" s="35" t="str">
        <x:v>REUSE_R2_TERM</x:v>
      </x:c>
    </x:row>
    <x:row r="1075">
      <x:c r="A1075" s="36" t="str">
        <x:v>zeroPointTwoPercentProofStrength</x:v>
      </x:c>
      <x:c r="B1075" s="36" t="str">
        <x:v>https://w3id.org/nltl-benchmark/vocab#zeroPointTwoPercentProofStrength</x:v>
      </x:c>
      <x:c r="C1075" s="36" t="str">
        <x:v>QuantityProperty</x:v>
      </x:c>
      <x:c r="D1075" s="36" t="str">
        <x:v>http://qudt.org/schema/qudt/QuantityValue</x:v>
      </x:c>
      <x:c r="E1075" s="36" t="str"/>
      <x:c r="F1075" s="36" t="str">
        <x:v>MPa</x:v>
      </x:c>
      <x:c r="G1075" s="39" t="str">
        <x:v>TRF-106</x:v>
      </x:c>
      <x:c r="H1075" s="36" t="str">
        <x:v>Unit-stripped normalized regulatory variable</x:v>
      </x:c>
      <x:c r="I1075" s="36" t="str">
        <x:v>N3 - remove unit from the identifier and retain it in unit/quantity metadata</x:v>
      </x:c>
      <x:c r="J1075" s="36" t="str">
        <x:v>REUSE_R2_TERM</x:v>
      </x:c>
    </x:row>
  </x:sheetData>
  <x:pageMargins left="0.7" right="0.7" top="0.75" bottom="0.75" header="0.3" footer="0.3"/>
  <x:tableParts count="1">
    <x:tablePart xmlns:r="http://schemas.openxmlformats.org/officeDocument/2006/relationships" r:id="R5d4e47310b0e4bfe"/>
  </x:tableParts>
</x:worksheet>
</file>

<file path=xl/worksheets/sheet7.xml><?xml version="1.0" encoding="utf-8"?>
<x:worksheet xmlns:x="http://schemas.openxmlformats.org/spreadsheetml/2006/main">
  <x:sheetViews>
    <x:sheetView showGridLines="0" workbookViewId="0"/>
  </x:sheetViews>
  <x:sheetFormatPr defaultRowHeight="15"/>
  <x:cols>
    <x:col min="1" max="1" width="48" hidden="0" customWidth="1"/>
    <x:col min="2" max="2" width="34" hidden="0" customWidth="1"/>
    <x:col min="3" max="3" width="46" hidden="0" customWidth="1"/>
    <x:col min="4" max="4" width="34" hidden="0" customWidth="1"/>
    <x:col min="5" max="5" width="90" hidden="0" customWidth="1"/>
    <x:col min="6" max="6" width="38" hidden="0" customWidth="1"/>
  </x:cols>
  <x:sheetData>
    <x:row r="1">
      <x:c r="A1" s="11" t="str">
        <x:v>NLTL Development Calibration - Batch 01</x:v>
      </x:c>
      <x:c r="B1" s="12"/>
      <x:c r="C1" s="12"/>
      <x:c r="D1" s="12"/>
      <x:c r="E1" s="12"/>
      <x:c r="F1" s="12"/>
    </x:row>
    <x:row r="2">
      <x:c r="A2" s="13" t="str">
        <x:v>OWNERSHIP | DEV-CAL-BATCH-01-FIRST-50 | vocabulary is not frozen</x:v>
      </x:c>
      <x:c r="B2" s="13"/>
      <x:c r="C2" s="13"/>
      <x:c r="D2" s="13"/>
      <x:c r="E2" s="13"/>
      <x:c r="F2" s="13"/>
    </x:row>
    <x:row r="3">
      <x:c r="A3" s="14"/>
      <x:c r="B3" s="14"/>
      <x:c r="C3" s="14"/>
      <x:c r="D3" s="14"/>
      <x:c r="E3" s="14"/>
      <x:c r="F3" s="14"/>
    </x:row>
    <x:row r="4" ht="32" customHeight="1">
      <x:c r="A4" s="32" t="str">
        <x:v>REQUIREMENT_ID</x:v>
      </x:c>
      <x:c r="B4" s="52" t="str">
        <x:v>TARGET_OWNER</x:v>
      </x:c>
      <x:c r="C4" s="52" t="str">
        <x:v>LOCAL_NAME</x:v>
      </x:c>
      <x:c r="D4" s="52" t="str">
        <x:v>REQUIRED_OWNER</x:v>
      </x:c>
      <x:c r="E4" s="52" t="str">
        <x:v>SEMANTIC_OBLIGATIONS</x:v>
      </x:c>
      <x:c r="F4" s="33" t="str">
        <x:v>STATUS</x:v>
      </x:c>
    </x:row>
    <x:row r="5">
      <x:c r="A5" s="37" t="str">
        <x:v>TRF-001</x:v>
      </x:c>
      <x:c r="B5" s="34" t="str">
        <x:v>ship</x:v>
      </x:c>
      <x:c r="C5" s="34" t="str">
        <x:v>applicableIceClassRegulationEdition</x:v>
      </x:c>
      <x:c r="D5" s="34" t="str">
        <x:v>ship</x:v>
      </x:c>
      <x:c r="E5" s="34" t="str"/>
      <x:c r="F5" s="34" t="str">
        <x:v>AUTHORITATIVE_REQUIREMENT_SCOPED</x:v>
      </x:c>
    </x:row>
    <x:row r="6">
      <x:c r="A6" s="38" t="str">
        <x:v>TRF-001</x:v>
      </x:c>
      <x:c r="B6" s="35" t="str">
        <x:v>ship</x:v>
      </x:c>
      <x:c r="C6" s="35" t="str">
        <x:v>applicableIceClassRegulatoryProvision</x:v>
      </x:c>
      <x:c r="D6" s="35" t="str">
        <x:v>ship</x:v>
      </x:c>
      <x:c r="E6" s="35" t="str"/>
      <x:c r="F6" s="35" t="str">
        <x:v>AUTHORITATIVE_REQUIREMENT_SCOPED</x:v>
      </x:c>
    </x:row>
    <x:row r="7">
      <x:c r="A7" s="38" t="str">
        <x:v>TRF-001</x:v>
      </x:c>
      <x:c r="B7" s="35" t="str">
        <x:v>ship</x:v>
      </x:c>
      <x:c r="C7" s="35" t="str">
        <x:v>constructionContractDate</x:v>
      </x:c>
      <x:c r="D7" s="35" t="str">
        <x:v>ship</x:v>
      </x:c>
      <x:c r="E7" s="35" t="str"/>
      <x:c r="F7" s="35" t="str">
        <x:v>AUTHORITATIVE_REQUIREMENT_SCOPED</x:v>
      </x:c>
    </x:row>
    <x:row r="8">
      <x:c r="A8" s="38" t="str">
        <x:v>TRF-001</x:v>
      </x:c>
      <x:c r="B8" s="35" t="str">
        <x:v>ship</x:v>
      </x:c>
      <x:c r="C8" s="35" t="str">
        <x:v>iceClass</x:v>
      </x:c>
      <x:c r="D8" s="35" t="str">
        <x:v>ship</x:v>
      </x:c>
      <x:c r="E8" s="35" t="str"/>
      <x:c r="F8" s="35" t="str">
        <x:v>AUTHORITATIVE_REQUIREMENT_SCOPED</x:v>
      </x:c>
    </x:row>
    <x:row r="9">
      <x:c r="A9" s="38" t="str">
        <x:v>TRF-001</x:v>
      </x:c>
      <x:c r="B9" s="35" t="str">
        <x:v>ship</x:v>
      </x:c>
      <x:c r="C9" s="35" t="str">
        <x:v>iceClassDraughtChapter2Provision2021</x:v>
      </x:c>
      <x:c r="D9" s="35" t="str">
        <x:v>ship</x:v>
      </x:c>
      <x:c r="E9" s="35" t="str"/>
      <x:c r="F9" s="35" t="str">
        <x:v>AUTHORITATIVE_REQUIREMENT_SCOPED</x:v>
      </x:c>
    </x:row>
    <x:row r="10">
      <x:c r="A10" s="38" t="str">
        <x:v>TRF-001</x:v>
      </x:c>
      <x:c r="B10" s="35" t="str">
        <x:v>ship</x:v>
      </x:c>
      <x:c r="C10" s="35" t="str">
        <x:v>iceClassRegulationEdition2021</x:v>
      </x:c>
      <x:c r="D10" s="35" t="str">
        <x:v>ship</x:v>
      </x:c>
      <x:c r="E10" s="35" t="str"/>
      <x:c r="F10" s="35" t="str">
        <x:v>AUTHORITATIVE_REQUIREMENT_SCOPED</x:v>
      </x:c>
    </x:row>
    <x:row r="11">
      <x:c r="A11" s="38" t="str">
        <x:v>TRF-001</x:v>
      </x:c>
      <x:c r="B11" s="35" t="str">
        <x:v>ship</x:v>
      </x:c>
      <x:c r="C11" s="35" t="str">
        <x:v>iceClassSection1Point8Provision2021</x:v>
      </x:c>
      <x:c r="D11" s="35" t="str">
        <x:v>ship</x:v>
      </x:c>
      <x:c r="E11" s="35" t="str"/>
      <x:c r="F11" s="35" t="str">
        <x:v>AUTHORITATIVE_REQUIREMENT_SCOPED</x:v>
      </x:c>
    </x:row>
    <x:row r="12">
      <x:c r="A12" s="38" t="str">
        <x:v>TRF-002</x:v>
      </x:c>
      <x:c r="B12" s="35" t="str">
        <x:v>ship</x:v>
      </x:c>
      <x:c r="C12" s="35" t="str">
        <x:v>applicableIceClassRegulationEdition</x:v>
      </x:c>
      <x:c r="D12" s="35" t="str">
        <x:v>ship</x:v>
      </x:c>
      <x:c r="E12" s="35" t="str"/>
      <x:c r="F12" s="35" t="str">
        <x:v>AUTHORITATIVE_REQUIREMENT_SCOPED</x:v>
      </x:c>
    </x:row>
    <x:row r="13">
      <x:c r="A13" s="38" t="str">
        <x:v>TRF-002</x:v>
      </x:c>
      <x:c r="B13" s="35" t="str">
        <x:v>ship</x:v>
      </x:c>
      <x:c r="C13" s="35" t="str">
        <x:v>constructionContractDate</x:v>
      </x:c>
      <x:c r="D13" s="35" t="str">
        <x:v>ship</x:v>
      </x:c>
      <x:c r="E13" s="35" t="str"/>
      <x:c r="F13" s="35" t="str">
        <x:v>AUTHORITATIVE_REQUIREMENT_SCOPED</x:v>
      </x:c>
    </x:row>
    <x:row r="14">
      <x:c r="A14" s="38" t="str">
        <x:v>TRF-002</x:v>
      </x:c>
      <x:c r="B14" s="35" t="str">
        <x:v>ship</x:v>
      </x:c>
      <x:c r="C14" s="35" t="str">
        <x:v>iceClass</x:v>
      </x:c>
      <x:c r="D14" s="35" t="str">
        <x:v>ship</x:v>
      </x:c>
      <x:c r="E14" s="35" t="str"/>
      <x:c r="F14" s="35" t="str">
        <x:v>AUTHORITATIVE_REQUIREMENT_SCOPED</x:v>
      </x:c>
    </x:row>
    <x:row r="15">
      <x:c r="A15" s="38" t="str">
        <x:v>TRF-002</x:v>
      </x:c>
      <x:c r="B15" s="35" t="str">
        <x:v>ship</x:v>
      </x:c>
      <x:c r="C15" s="35" t="str">
        <x:v>iceClassRegulationEdition2017</x:v>
      </x:c>
      <x:c r="D15" s="35" t="str">
        <x:v>ship</x:v>
      </x:c>
      <x:c r="E15" s="35" t="str"/>
      <x:c r="F15" s="35" t="str">
        <x:v>AUTHORITATIVE_REQUIREMENT_SCOPED</x:v>
      </x:c>
    </x:row>
    <x:row r="16">
      <x:c r="A16" s="38" t="str">
        <x:v>TRF-003</x:v>
      </x:c>
      <x:c r="B16" s="35" t="str">
        <x:v>ship</x:v>
      </x:c>
      <x:c r="C16" s="35" t="str">
        <x:v>applicableIceClassRegulationEdition</x:v>
      </x:c>
      <x:c r="D16" s="35" t="str">
        <x:v>ship</x:v>
      </x:c>
      <x:c r="E16" s="35" t="str"/>
      <x:c r="F16" s="35" t="str">
        <x:v>AUTHORITATIVE_REQUIREMENT_SCOPED</x:v>
      </x:c>
    </x:row>
    <x:row r="17">
      <x:c r="A17" s="38" t="str">
        <x:v>TRF-003</x:v>
      </x:c>
      <x:c r="B17" s="35" t="str">
        <x:v>ship</x:v>
      </x:c>
      <x:c r="C17" s="35" t="str">
        <x:v>constructionContractDate</x:v>
      </x:c>
      <x:c r="D17" s="35" t="str">
        <x:v>ship</x:v>
      </x:c>
      <x:c r="E17" s="35" t="str"/>
      <x:c r="F17" s="35" t="str">
        <x:v>AUTHORITATIVE_REQUIREMENT_SCOPED</x:v>
      </x:c>
    </x:row>
    <x:row r="18">
      <x:c r="A18" s="38" t="str">
        <x:v>TRF-003</x:v>
      </x:c>
      <x:c r="B18" s="35" t="str">
        <x:v>ship</x:v>
      </x:c>
      <x:c r="C18" s="35" t="str">
        <x:v>iceClass</x:v>
      </x:c>
      <x:c r="D18" s="35" t="str">
        <x:v>ship</x:v>
      </x:c>
      <x:c r="E18" s="35" t="str"/>
      <x:c r="F18" s="35" t="str">
        <x:v>AUTHORITATIVE_REQUIREMENT_SCOPED</x:v>
      </x:c>
    </x:row>
    <x:row r="19">
      <x:c r="A19" s="38" t="str">
        <x:v>TRF-003</x:v>
      </x:c>
      <x:c r="B19" s="35" t="str">
        <x:v>ship</x:v>
      </x:c>
      <x:c r="C19" s="35" t="str">
        <x:v>iceClassRegulationEdition2010</x:v>
      </x:c>
      <x:c r="D19" s="35" t="str">
        <x:v>ship</x:v>
      </x:c>
      <x:c r="E19" s="35" t="str"/>
      <x:c r="F19" s="35" t="str">
        <x:v>AUTHORITATIVE_REQUIREMENT_SCOPED</x:v>
      </x:c>
    </x:row>
    <x:row r="20">
      <x:c r="A20" s="38" t="str">
        <x:v>TRF-004</x:v>
      </x:c>
      <x:c r="B20" s="35" t="str">
        <x:v>ship</x:v>
      </x:c>
      <x:c r="C20" s="35" t="str">
        <x:v>applicableIceClassRegulationEdition</x:v>
      </x:c>
      <x:c r="D20" s="35" t="str">
        <x:v>ship</x:v>
      </x:c>
      <x:c r="E20" s="35" t="str"/>
      <x:c r="F20" s="35" t="str">
        <x:v>AUTHORITATIVE_REQUIREMENT_SCOPED</x:v>
      </x:c>
    </x:row>
    <x:row r="21">
      <x:c r="A21" s="38" t="str">
        <x:v>TRF-004</x:v>
      </x:c>
      <x:c r="B21" s="35" t="str">
        <x:v>ship</x:v>
      </x:c>
      <x:c r="C21" s="35" t="str">
        <x:v>constructionContractDate</x:v>
      </x:c>
      <x:c r="D21" s="35" t="str">
        <x:v>ship</x:v>
      </x:c>
      <x:c r="E21" s="35" t="str"/>
      <x:c r="F21" s="35" t="str">
        <x:v>AUTHORITATIVE_REQUIREMENT_SCOPED</x:v>
      </x:c>
    </x:row>
    <x:row r="22">
      <x:c r="A22" s="38" t="str">
        <x:v>TRF-004</x:v>
      </x:c>
      <x:c r="B22" s="35" t="str">
        <x:v>ship</x:v>
      </x:c>
      <x:c r="C22" s="35" t="str">
        <x:v>iceClass</x:v>
      </x:c>
      <x:c r="D22" s="35" t="str">
        <x:v>ship</x:v>
      </x:c>
      <x:c r="E22" s="35" t="str"/>
      <x:c r="F22" s="35" t="str">
        <x:v>AUTHORITATIVE_REQUIREMENT_SCOPED</x:v>
      </x:c>
    </x:row>
    <x:row r="23">
      <x:c r="A23" s="38" t="str">
        <x:v>TRF-004</x:v>
      </x:c>
      <x:c r="B23" s="35" t="str">
        <x:v>ship</x:v>
      </x:c>
      <x:c r="C23" s="35" t="str">
        <x:v>iceClassRegulationEdition2008</x:v>
      </x:c>
      <x:c r="D23" s="35" t="str">
        <x:v>ship</x:v>
      </x:c>
      <x:c r="E23" s="35" t="str"/>
      <x:c r="F23" s="35" t="str">
        <x:v>AUTHORITATIVE_REQUIREMENT_SCOPED</x:v>
      </x:c>
    </x:row>
    <x:row r="24">
      <x:c r="A24" s="38" t="str">
        <x:v>TRF-005</x:v>
      </x:c>
      <x:c r="B24" s="35" t="str">
        <x:v>ship</x:v>
      </x:c>
      <x:c r="C24" s="35" t="str">
        <x:v>applicableIceClassRegulationEdition</x:v>
      </x:c>
      <x:c r="D24" s="35" t="str">
        <x:v>ship</x:v>
      </x:c>
      <x:c r="E24" s="35" t="str"/>
      <x:c r="F24" s="35" t="str">
        <x:v>AUTHORITATIVE_REQUIREMENT_SCOPED</x:v>
      </x:c>
    </x:row>
    <x:row r="25">
      <x:c r="A25" s="38" t="str">
        <x:v>TRF-005</x:v>
      </x:c>
      <x:c r="B25" s="35" t="str">
        <x:v>ship</x:v>
      </x:c>
      <x:c r="C25" s="35" t="str">
        <x:v>constructionContractDate</x:v>
      </x:c>
      <x:c r="D25" s="35" t="str">
        <x:v>ship</x:v>
      </x:c>
      <x:c r="E25" s="35" t="str"/>
      <x:c r="F25" s="35" t="str">
        <x:v>AUTHORITATIVE_REQUIREMENT_SCOPED</x:v>
      </x:c>
    </x:row>
    <x:row r="26">
      <x:c r="A26" s="38" t="str">
        <x:v>TRF-005</x:v>
      </x:c>
      <x:c r="B26" s="35" t="str">
        <x:v>ship</x:v>
      </x:c>
      <x:c r="C26" s="35" t="str">
        <x:v>constructionStageDate</x:v>
      </x:c>
      <x:c r="D26" s="35" t="str">
        <x:v>ship</x:v>
      </x:c>
      <x:c r="E26" s="35" t="str"/>
      <x:c r="F26" s="35" t="str">
        <x:v>AUTHORITATIVE_REQUIREMENT_SCOPED</x:v>
      </x:c>
    </x:row>
    <x:row r="27">
      <x:c r="A27" s="38" t="str">
        <x:v>TRF-005</x:v>
      </x:c>
      <x:c r="B27" s="35" t="str">
        <x:v>ship</x:v>
      </x:c>
      <x:c r="C27" s="35" t="str">
        <x:v>iceClass</x:v>
      </x:c>
      <x:c r="D27" s="35" t="str">
        <x:v>ship</x:v>
      </x:c>
      <x:c r="E27" s="35" t="str"/>
      <x:c r="F27" s="35" t="str">
        <x:v>AUTHORITATIVE_REQUIREMENT_SCOPED</x:v>
      </x:c>
    </x:row>
    <x:row r="28">
      <x:c r="A28" s="38" t="str">
        <x:v>TRF-005</x:v>
      </x:c>
      <x:c r="B28" s="35" t="str">
        <x:v>ship</x:v>
      </x:c>
      <x:c r="C28" s="35" t="str">
        <x:v>iceClassRegulationEdition2002</x:v>
      </x:c>
      <x:c r="D28" s="35" t="str">
        <x:v>ship</x:v>
      </x:c>
      <x:c r="E28" s="35" t="str"/>
      <x:c r="F28" s="35" t="str">
        <x:v>AUTHORITATIVE_REQUIREMENT_SCOPED</x:v>
      </x:c>
    </x:row>
    <x:row r="29">
      <x:c r="A29" s="38" t="str">
        <x:v>TRF-006</x:v>
      </x:c>
      <x:c r="B29" s="35" t="str">
        <x:v>ship</x:v>
      </x:c>
      <x:c r="C29" s="35" t="str">
        <x:v>applicableIceClassRegulationEdition</x:v>
      </x:c>
      <x:c r="D29" s="35" t="str">
        <x:v>ship</x:v>
      </x:c>
      <x:c r="E29" s="35" t="str"/>
      <x:c r="F29" s="35" t="str">
        <x:v>AUTHORITATIVE_REQUIREMENT_SCOPED</x:v>
      </x:c>
    </x:row>
    <x:row r="30">
      <x:c r="A30" s="38" t="str">
        <x:v>TRF-006</x:v>
      </x:c>
      <x:c r="B30" s="35" t="str">
        <x:v>ship</x:v>
      </x:c>
      <x:c r="C30" s="35" t="str">
        <x:v>constructionStageDate</x:v>
      </x:c>
      <x:c r="D30" s="35" t="str">
        <x:v>ship</x:v>
      </x:c>
      <x:c r="E30" s="35" t="str"/>
      <x:c r="F30" s="35" t="str">
        <x:v>AUTHORITATIVE_REQUIREMENT_SCOPED</x:v>
      </x:c>
    </x:row>
    <x:row r="31">
      <x:c r="A31" s="38" t="str">
        <x:v>TRF-006</x:v>
      </x:c>
      <x:c r="B31" s="35" t="str">
        <x:v>ship</x:v>
      </x:c>
      <x:c r="C31" s="35" t="str">
        <x:v>engineOutputRegulationEdition</x:v>
      </x:c>
      <x:c r="D31" s="35" t="str">
        <x:v>ship</x:v>
      </x:c>
      <x:c r="E31" s="35" t="str"/>
      <x:c r="F31" s="35" t="str">
        <x:v>AUTHORITATIVE_REQUIREMENT_SCOPED</x:v>
      </x:c>
    </x:row>
    <x:row r="32">
      <x:c r="A32" s="38" t="str">
        <x:v>TRF-006</x:v>
      </x:c>
      <x:c r="B32" s="35" t="str">
        <x:v>ship</x:v>
      </x:c>
      <x:c r="C32" s="35" t="str">
        <x:v>iceClass</x:v>
      </x:c>
      <x:c r="D32" s="35" t="str">
        <x:v>ship</x:v>
      </x:c>
      <x:c r="E32" s="35" t="str"/>
      <x:c r="F32" s="35" t="str">
        <x:v>AUTHORITATIVE_REQUIREMENT_SCOPED</x:v>
      </x:c>
    </x:row>
    <x:row r="33">
      <x:c r="A33" s="38" t="str">
        <x:v>TRF-006</x:v>
      </x:c>
      <x:c r="B33" s="35" t="str">
        <x:v>ship</x:v>
      </x:c>
      <x:c r="C33" s="35" t="str">
        <x:v>iceClassRegulationEdition2008</x:v>
      </x:c>
      <x:c r="D33" s="35" t="str">
        <x:v>ship</x:v>
      </x:c>
      <x:c r="E33" s="35" t="str"/>
      <x:c r="F33" s="35" t="str">
        <x:v>AUTHORITATIVE_REQUIREMENT_SCOPED</x:v>
      </x:c>
    </x:row>
    <x:row r="34">
      <x:c r="A34" s="38" t="str">
        <x:v>TRF-006</x:v>
      </x:c>
      <x:c r="B34" s="35" t="str">
        <x:v>ship</x:v>
      </x:c>
      <x:c r="C34" s="35" t="str">
        <x:v>iceClassRuleEdition1985</x:v>
      </x:c>
      <x:c r="D34" s="35" t="str">
        <x:v>ship</x:v>
      </x:c>
      <x:c r="E34" s="35" t="str"/>
      <x:c r="F34" s="35" t="str">
        <x:v>AUTHORITATIVE_REQUIREMENT_SCOPED</x:v>
      </x:c>
    </x:row>
    <x:row r="35">
      <x:c r="A35" s="38" t="str">
        <x:v>TRF-006</x:v>
      </x:c>
      <x:c r="B35" s="35" t="str">
        <x:v>ship</x:v>
      </x:c>
      <x:c r="C35" s="35" t="str">
        <x:v>maximumContinuousRatingPower</x:v>
      </x:c>
      <x:c r="D35" s="35" t="str">
        <x:v>ship</x:v>
      </x:c>
      <x:c r="E35" s="35" t="str"/>
      <x:c r="F35" s="35" t="str">
        <x:v>AUTHORITATIVE_REQUIREMENT_SCOPED</x:v>
      </x:c>
    </x:row>
    <x:row r="36">
      <x:c r="A36" s="38" t="str">
        <x:v>TRF-007</x:v>
      </x:c>
      <x:c r="B36" s="35" t="str">
        <x:v>ship</x:v>
      </x:c>
      <x:c r="C36" s="35" t="str">
        <x:v>assessmentDate</x:v>
      </x:c>
      <x:c r="D36" s="35" t="str">
        <x:v>ship</x:v>
      </x:c>
      <x:c r="E36" s="35" t="str"/>
      <x:c r="F36" s="35" t="str">
        <x:v>AUTHORITATIVE_REQUIREMENT_SCOPED</x:v>
      </x:c>
    </x:row>
    <x:row r="37">
      <x:c r="A37" s="38" t="str">
        <x:v>TRF-007</x:v>
      </x:c>
      <x:c r="B37" s="35" t="str">
        <x:v>ship</x:v>
      </x:c>
      <x:c r="C37" s="35" t="str">
        <x:v>constructionStageDate</x:v>
      </x:c>
      <x:c r="D37" s="35" t="str">
        <x:v>ship</x:v>
      </x:c>
      <x:c r="E37" s="35" t="str"/>
      <x:c r="F37" s="35" t="str">
        <x:v>AUTHORITATIVE_REQUIREMENT_SCOPED</x:v>
      </x:c>
    </x:row>
    <x:row r="38">
      <x:c r="A38" s="38" t="str">
        <x:v>TRF-007</x:v>
      </x:c>
      <x:c r="B38" s="35" t="str">
        <x:v>ship</x:v>
      </x:c>
      <x:c r="C38" s="35" t="str">
        <x:v>deliveryDate</x:v>
      </x:c>
      <x:c r="D38" s="35" t="str">
        <x:v>ship</x:v>
      </x:c>
      <x:c r="E38" s="35" t="str"/>
      <x:c r="F38" s="35" t="str">
        <x:v>AUTHORITATIVE_REQUIREMENT_SCOPED</x:v>
      </x:c>
    </x:row>
    <x:row r="39">
      <x:c r="A39" s="38" t="str">
        <x:v>TRF-007</x:v>
      </x:c>
      <x:c r="B39" s="35" t="str">
        <x:v>ship</x:v>
      </x:c>
      <x:c r="C39" s="35" t="str">
        <x:v>engineOutputComplianceMethod</x:v>
      </x:c>
      <x:c r="D39" s="35" t="str">
        <x:v>ship</x:v>
      </x:c>
      <x:c r="E39" s="35" t="str"/>
      <x:c r="F39" s="35" t="str">
        <x:v>AUTHORITATIVE_REQUIREMENT_SCOPED</x:v>
      </x:c>
    </x:row>
    <x:row r="40">
      <x:c r="A40" s="38" t="str">
        <x:v>TRF-007</x:v>
      </x:c>
      <x:c r="B40" s="35" t="str">
        <x:v>ship</x:v>
      </x:c>
      <x:c r="C40" s="35" t="str">
        <x:v>iceClass</x:v>
      </x:c>
      <x:c r="D40" s="35" t="str">
        <x:v>ship</x:v>
      </x:c>
      <x:c r="E40" s="35" t="str"/>
      <x:c r="F40" s="35" t="str">
        <x:v>AUTHORITATIVE_REQUIREMENT_SCOPED</x:v>
      </x:c>
    </x:row>
    <x:row r="41">
      <x:c r="A41" s="38" t="str">
        <x:v>TRF-007</x:v>
      </x:c>
      <x:c r="B41" s="35" t="str">
        <x:v>ship</x:v>
      </x:c>
      <x:c r="C41" s="35" t="str">
        <x:v>traficom2017Section3Point2Point2Method</x:v>
      </x:c>
      <x:c r="D41" s="35" t="str">
        <x:v>ship</x:v>
      </x:c>
      <x:c r="E41" s="35" t="str"/>
      <x:c r="F41" s="35" t="str">
        <x:v>AUTHORITATIVE_REQUIREMENT_SCOPED</x:v>
      </x:c>
    </x:row>
    <x:row r="42">
      <x:c r="A42" s="38" t="str">
        <x:v>TRF-007</x:v>
      </x:c>
      <x:c r="B42" s="35" t="str">
        <x:v>ship</x:v>
      </x:c>
      <x:c r="C42" s="35" t="str">
        <x:v>traficom2017Section3Point2Point4Method</x:v>
      </x:c>
      <x:c r="D42" s="35" t="str">
        <x:v>ship</x:v>
      </x:c>
      <x:c r="E42" s="35" t="str"/>
      <x:c r="F42" s="35" t="str">
        <x:v>AUTHORITATIVE_REQUIREMENT_SCOPED</x:v>
      </x:c>
    </x:row>
    <x:row r="43">
      <x:c r="A43" s="38" t="str">
        <x:v>TRF-009</x:v>
      </x:c>
      <x:c r="B43" s="35" t="str">
        <x:v>ship</x:v>
      </x:c>
      <x:c r="C43" s="35" t="str">
        <x:v>assessmentDate</x:v>
      </x:c>
      <x:c r="D43" s="35" t="str">
        <x:v>ship</x:v>
      </x:c>
      <x:c r="E43" s="35" t="str"/>
      <x:c r="F43" s="35" t="str">
        <x:v>AUTHORITATIVE_REQUIREMENT_SCOPED</x:v>
      </x:c>
    </x:row>
    <x:row r="44">
      <x:c r="A44" s="38" t="str">
        <x:v>TRF-009</x:v>
      </x:c>
      <x:c r="B44" s="35" t="str">
        <x:v>ship</x:v>
      </x:c>
      <x:c r="C44" s="35" t="str">
        <x:v>constructionStageDate</x:v>
      </x:c>
      <x:c r="D44" s="35" t="str">
        <x:v>ship</x:v>
      </x:c>
      <x:c r="E44" s="35" t="str"/>
      <x:c r="F44" s="35" t="str">
        <x:v>AUTHORITATIVE_REQUIREMENT_SCOPED</x:v>
      </x:c>
    </x:row>
    <x:row r="45">
      <x:c r="A45" s="38" t="str">
        <x:v>TRF-009</x:v>
      </x:c>
      <x:c r="B45" s="35" t="str">
        <x:v>ship</x:v>
      </x:c>
      <x:c r="C45" s="35" t="str">
        <x:v>deliveryDate</x:v>
      </x:c>
      <x:c r="D45" s="35" t="str">
        <x:v>ship</x:v>
      </x:c>
      <x:c r="E45" s="35" t="str"/>
      <x:c r="F45" s="35" t="str">
        <x:v>AUTHORITATIVE_REQUIREMENT_SCOPED</x:v>
      </x:c>
    </x:row>
    <x:row r="46">
      <x:c r="A46" s="38" t="str">
        <x:v>TRF-009</x:v>
      </x:c>
      <x:c r="B46" s="35" t="str">
        <x:v>ship</x:v>
      </x:c>
      <x:c r="C46" s="35" t="str">
        <x:v>engineOutputComplianceMethod</x:v>
      </x:c>
      <x:c r="D46" s="35" t="str">
        <x:v>ship</x:v>
      </x:c>
      <x:c r="E46" s="35" t="str"/>
      <x:c r="F46" s="35" t="str">
        <x:v>AUTHORITATIVE_REQUIREMENT_SCOPED</x:v>
      </x:c>
    </x:row>
    <x:row r="47">
      <x:c r="A47" s="38" t="str">
        <x:v>TRF-009</x:v>
      </x:c>
      <x:c r="B47" s="35" t="str">
        <x:v>ship</x:v>
      </x:c>
      <x:c r="C47" s="35" t="str">
        <x:v>iceClass</x:v>
      </x:c>
      <x:c r="D47" s="35" t="str">
        <x:v>ship</x:v>
      </x:c>
      <x:c r="E47" s="35" t="str"/>
      <x:c r="F47" s="35" t="str">
        <x:v>AUTHORITATIVE_REQUIREMENT_SCOPED</x:v>
      </x:c>
    </x:row>
    <x:row r="48">
      <x:c r="A48" s="38" t="str">
        <x:v>TRF-009</x:v>
      </x:c>
      <x:c r="B48" s="35" t="str">
        <x:v>ship</x:v>
      </x:c>
      <x:c r="C48" s="35" t="str">
        <x:v>traficom2017Section3Point2Point2Method</x:v>
      </x:c>
      <x:c r="D48" s="35" t="str">
        <x:v>ship</x:v>
      </x:c>
      <x:c r="E48" s="35" t="str"/>
      <x:c r="F48" s="35" t="str">
        <x:v>AUTHORITATIVE_REQUIREMENT_SCOPED</x:v>
      </x:c>
    </x:row>
    <x:row r="49">
      <x:c r="A49" s="38" t="str">
        <x:v>TRF-009</x:v>
      </x:c>
      <x:c r="B49" s="35" t="str">
        <x:v>ship</x:v>
      </x:c>
      <x:c r="C49" s="35" t="str">
        <x:v>traficom2017Section3Point2Point4Method</x:v>
      </x:c>
      <x:c r="D49" s="35" t="str">
        <x:v>ship</x:v>
      </x:c>
      <x:c r="E49" s="35" t="str"/>
      <x:c r="F49" s="35" t="str">
        <x:v>AUTHORITATIVE_REQUIREMENT_SCOPED</x:v>
      </x:c>
    </x:row>
    <x:row r="50">
      <x:c r="A50" s="38" t="str">
        <x:v>TRF-010</x:v>
      </x:c>
      <x:c r="B50" s="35" t="str">
        <x:v>ship</x:v>
      </x:c>
      <x:c r="C50" s="35" t="str">
        <x:v>iceClass</x:v>
      </x:c>
      <x:c r="D50" s="35" t="str">
        <x:v>ship</x:v>
      </x:c>
      <x:c r="E50" s="35" t="str"/>
      <x:c r="F50" s="35" t="str">
        <x:v>AUTHORITATIVE_REQUIREMENT_SCOPED</x:v>
      </x:c>
    </x:row>
    <x:row r="51">
      <x:c r="A51" s="38" t="str">
        <x:v>TRF-011</x:v>
      </x:c>
      <x:c r="B51" s="35" t="str">
        <x:v>ship</x:v>
      </x:c>
      <x:c r="C51" s="35" t="str">
        <x:v>hasIntendedIceOperatingWaterline</x:v>
      </x:c>
      <x:c r="D51" s="35" t="str">
        <x:v>ship</x:v>
      </x:c>
      <x:c r="E51" s="35" t="str">
        <x:v>Validate that the UIWL is the pointwise upper envelope of all intended ice-operating waterlines; presence alone is insufficient.</x:v>
      </x:c>
      <x:c r="F51" s="35" t="str">
        <x:v>AUTHORITATIVE_REQUIREMENT_SCOPED</x:v>
      </x:c>
    </x:row>
    <x:row r="52">
      <x:c r="A52" s="38" t="str">
        <x:v>TRF-011</x:v>
      </x:c>
      <x:c r="B52" s="35" t="str">
        <x:v>ship</x:v>
      </x:c>
      <x:c r="C52" s="35" t="str">
        <x:v>hasUpperIceWaterline</x:v>
      </x:c>
      <x:c r="D52" s="35" t="str">
        <x:v>ship</x:v>
      </x:c>
      <x:c r="E52" s="35" t="str">
        <x:v>Validate that the UIWL is the pointwise upper envelope of all intended ice-operating waterlines; presence alone is insufficient.</x:v>
      </x:c>
      <x:c r="F52" s="35" t="str">
        <x:v>AUTHORITATIVE_REQUIREMENT_SCOPED</x:v>
      </x:c>
    </x:row>
    <x:row r="53">
      <x:c r="A53" s="38" t="str">
        <x:v>TRF-011</x:v>
      </x:c>
      <x:c r="B53" s="35" t="str">
        <x:v>ship</x:v>
      </x:c>
      <x:c r="C53" s="35" t="str">
        <x:v>hasWaterlineProfilePoint</x:v>
      </x:c>
      <x:c r="D53" s="35" t="str">
        <x:v>ship</x:v>
      </x:c>
      <x:c r="E53" s="35" t="str">
        <x:v>Validate that the UIWL is the pointwise upper envelope of all intended ice-operating waterlines; presence alone is insufficient.</x:v>
      </x:c>
      <x:c r="F53" s="35" t="str">
        <x:v>AUTHORITATIVE_REQUIREMENT_SCOPED</x:v>
      </x:c>
    </x:row>
    <x:row r="54">
      <x:c r="A54" s="38" t="str">
        <x:v>TRF-011</x:v>
      </x:c>
      <x:c r="B54" s="35" t="str">
        <x:v>ship</x:v>
      </x:c>
      <x:c r="C54" s="35" t="str">
        <x:v>iceWaterline</x:v>
      </x:c>
      <x:c r="D54" s="35" t="str">
        <x:v>ship</x:v>
      </x:c>
      <x:c r="E54" s="35" t="str">
        <x:v>Validate that the UIWL is the pointwise upper envelope of all intended ice-operating waterlines; presence alone is insufficient.</x:v>
      </x:c>
      <x:c r="F54" s="35" t="str">
        <x:v>AUTHORITATIVE_REQUIREMENT_SCOPED</x:v>
      </x:c>
    </x:row>
    <x:row r="55">
      <x:c r="A55" s="38" t="str">
        <x:v>TRF-011</x:v>
      </x:c>
      <x:c r="B55" s="35" t="str">
        <x:v>ship</x:v>
      </x:c>
      <x:c r="C55" s="35" t="str">
        <x:v>longitudinalPosition</x:v>
      </x:c>
      <x:c r="D55" s="35" t="str">
        <x:v>ship</x:v>
      </x:c>
      <x:c r="E55" s="35" t="str">
        <x:v>Validate that the UIWL is the pointwise upper envelope of all intended ice-operating waterlines; presence alone is insufficient.</x:v>
      </x:c>
      <x:c r="F55" s="35" t="str">
        <x:v>AUTHORITATIVE_REQUIREMENT_SCOPED</x:v>
      </x:c>
    </x:row>
    <x:row r="56">
      <x:c r="A56" s="38" t="str">
        <x:v>TRF-011</x:v>
      </x:c>
      <x:c r="B56" s="35" t="str">
        <x:v>ship</x:v>
      </x:c>
      <x:c r="C56" s="35" t="str">
        <x:v>verticalCoordinate</x:v>
      </x:c>
      <x:c r="D56" s="35" t="str">
        <x:v>ship</x:v>
      </x:c>
      <x:c r="E56" s="35" t="str">
        <x:v>Validate that the UIWL is the pointwise upper envelope of all intended ice-operating waterlines; presence alone is insufficient.</x:v>
      </x:c>
      <x:c r="F56" s="35" t="str">
        <x:v>AUTHORITATIVE_REQUIREMENT_SCOPED</x:v>
      </x:c>
    </x:row>
    <x:row r="57">
      <x:c r="A57" s="38" t="str">
        <x:v>TRF-011</x:v>
      </x:c>
      <x:c r="B57" s="35" t="str">
        <x:v>ship</x:v>
      </x:c>
      <x:c r="C57" s="35" t="str">
        <x:v>waterlineProfilePoint</x:v>
      </x:c>
      <x:c r="D57" s="35" t="str">
        <x:v>ship</x:v>
      </x:c>
      <x:c r="E57" s="35" t="str">
        <x:v>Validate that the UIWL is the pointwise upper envelope of all intended ice-operating waterlines; presence alone is insufficient.</x:v>
      </x:c>
      <x:c r="F57" s="35" t="str">
        <x:v>AUTHORITATIVE_REQUIREMENT_SCOPED</x:v>
      </x:c>
    </x:row>
    <x:row r="58">
      <x:c r="A58" s="38" t="str">
        <x:v>TRF-012</x:v>
      </x:c>
      <x:c r="B58" s="35" t="str">
        <x:v>ship</x:v>
      </x:c>
      <x:c r="C58" s="35" t="str">
        <x:v>hasIntendedIceOperatingWaterline</x:v>
      </x:c>
      <x:c r="D58" s="35" t="str">
        <x:v>ship</x:v>
      </x:c>
      <x:c r="E58" s="35" t="str">
        <x:v>Validate that the LIWL is the pointwise lower envelope of all intended ice-operating waterlines; presence alone is insufficient.</x:v>
      </x:c>
      <x:c r="F58" s="35" t="str">
        <x:v>AUTHORITATIVE_REQUIREMENT_SCOPED</x:v>
      </x:c>
    </x:row>
    <x:row r="59">
      <x:c r="A59" s="38" t="str">
        <x:v>TRF-012</x:v>
      </x:c>
      <x:c r="B59" s="35" t="str">
        <x:v>ship</x:v>
      </x:c>
      <x:c r="C59" s="35" t="str">
        <x:v>hasLowerIceWaterline</x:v>
      </x:c>
      <x:c r="D59" s="35" t="str">
        <x:v>ship</x:v>
      </x:c>
      <x:c r="E59" s="35" t="str">
        <x:v>Validate that the LIWL is the pointwise lower envelope of all intended ice-operating waterlines; presence alone is insufficient.</x:v>
      </x:c>
      <x:c r="F59" s="35" t="str">
        <x:v>AUTHORITATIVE_REQUIREMENT_SCOPED</x:v>
      </x:c>
    </x:row>
    <x:row r="60">
      <x:c r="A60" s="38" t="str">
        <x:v>TRF-012</x:v>
      </x:c>
      <x:c r="B60" s="35" t="str">
        <x:v>ship</x:v>
      </x:c>
      <x:c r="C60" s="35" t="str">
        <x:v>hasWaterlineProfilePoint</x:v>
      </x:c>
      <x:c r="D60" s="35" t="str">
        <x:v>ship</x:v>
      </x:c>
      <x:c r="E60" s="35" t="str">
        <x:v>Validate that the LIWL is the pointwise lower envelope of all intended ice-operating waterlines; presence alone is insufficient.</x:v>
      </x:c>
      <x:c r="F60" s="35" t="str">
        <x:v>AUTHORITATIVE_REQUIREMENT_SCOPED</x:v>
      </x:c>
    </x:row>
    <x:row r="61">
      <x:c r="A61" s="38" t="str">
        <x:v>TRF-012</x:v>
      </x:c>
      <x:c r="B61" s="35" t="str">
        <x:v>ship</x:v>
      </x:c>
      <x:c r="C61" s="35" t="str">
        <x:v>iceWaterline</x:v>
      </x:c>
      <x:c r="D61" s="35" t="str">
        <x:v>ship</x:v>
      </x:c>
      <x:c r="E61" s="35" t="str">
        <x:v>Validate that the LIWL is the pointwise lower envelope of all intended ice-operating waterlines; presence alone is insufficient.</x:v>
      </x:c>
      <x:c r="F61" s="35" t="str">
        <x:v>AUTHORITATIVE_REQUIREMENT_SCOPED</x:v>
      </x:c>
    </x:row>
    <x:row r="62">
      <x:c r="A62" s="38" t="str">
        <x:v>TRF-012</x:v>
      </x:c>
      <x:c r="B62" s="35" t="str">
        <x:v>ship</x:v>
      </x:c>
      <x:c r="C62" s="35" t="str">
        <x:v>longitudinalPosition</x:v>
      </x:c>
      <x:c r="D62" s="35" t="str">
        <x:v>ship</x:v>
      </x:c>
      <x:c r="E62" s="35" t="str">
        <x:v>Validate that the LIWL is the pointwise lower envelope of all intended ice-operating waterlines; presence alone is insufficient.</x:v>
      </x:c>
      <x:c r="F62" s="35" t="str">
        <x:v>AUTHORITATIVE_REQUIREMENT_SCOPED</x:v>
      </x:c>
    </x:row>
    <x:row r="63">
      <x:c r="A63" s="38" t="str">
        <x:v>TRF-012</x:v>
      </x:c>
      <x:c r="B63" s="35" t="str">
        <x:v>ship</x:v>
      </x:c>
      <x:c r="C63" s="35" t="str">
        <x:v>verticalCoordinate</x:v>
      </x:c>
      <x:c r="D63" s="35" t="str">
        <x:v>ship</x:v>
      </x:c>
      <x:c r="E63" s="35" t="str">
        <x:v>Validate that the LIWL is the pointwise lower envelope of all intended ice-operating waterlines; presence alone is insufficient.</x:v>
      </x:c>
      <x:c r="F63" s="35" t="str">
        <x:v>AUTHORITATIVE_REQUIREMENT_SCOPED</x:v>
      </x:c>
    </x:row>
    <x:row r="64">
      <x:c r="A64" s="38" t="str">
        <x:v>TRF-012</x:v>
      </x:c>
      <x:c r="B64" s="35" t="str">
        <x:v>ship</x:v>
      </x:c>
      <x:c r="C64" s="35" t="str">
        <x:v>waterlineProfilePoint</x:v>
      </x:c>
      <x:c r="D64" s="35" t="str">
        <x:v>ship</x:v>
      </x:c>
      <x:c r="E64" s="35" t="str">
        <x:v>Validate that the LIWL is the pointwise lower envelope of all intended ice-operating waterlines; presence alone is insufficient.</x:v>
      </x:c>
      <x:c r="F64" s="35" t="str">
        <x:v>AUTHORITATIVE_REQUIREMENT_SCOPED</x:v>
      </x:c>
    </x:row>
    <x:row r="65">
      <x:c r="A65" s="38" t="str">
        <x:v>TRF-013</x:v>
      </x:c>
      <x:c r="B65" s="35" t="str">
        <x:v>ship</x:v>
      </x:c>
      <x:c r="C65" s="35" t="str">
        <x:v>draughtAtAftPerpendicular</x:v>
      </x:c>
      <x:c r="D65" s="35" t="str">
        <x:v>ship</x:v>
      </x:c>
      <x:c r="E65" s="35" t="str"/>
      <x:c r="F65" s="35" t="str">
        <x:v>AUTHORITATIVE_REQUIREMENT_SCOPED</x:v>
      </x:c>
    </x:row>
    <x:row r="66">
      <x:c r="A66" s="38" t="str">
        <x:v>TRF-013</x:v>
      </x:c>
      <x:c r="B66" s="35" t="str">
        <x:v>ship</x:v>
      </x:c>
      <x:c r="C66" s="35" t="str">
        <x:v>draughtAtForePerpendicular</x:v>
      </x:c>
      <x:c r="D66" s="35" t="str">
        <x:v>ship</x:v>
      </x:c>
      <x:c r="E66" s="35" t="str"/>
      <x:c r="F66" s="35" t="str">
        <x:v>AUTHORITATIVE_REQUIREMENT_SCOPED</x:v>
      </x:c>
    </x:row>
    <x:row r="67">
      <x:c r="A67" s="38" t="str">
        <x:v>TRF-013</x:v>
      </x:c>
      <x:c r="B67" s="35" t="str">
        <x:v>ship</x:v>
      </x:c>
      <x:c r="C67" s="35" t="str">
        <x:v>hasLowerIceWaterline</x:v>
      </x:c>
      <x:c r="D67" s="35" t="str">
        <x:v>ship</x:v>
      </x:c>
      <x:c r="E67" s="35" t="str"/>
      <x:c r="F67" s="35" t="str">
        <x:v>AUTHORITATIVE_REQUIREMENT_SCOPED</x:v>
      </x:c>
    </x:row>
    <x:row r="68">
      <x:c r="A68" s="38" t="str">
        <x:v>TRF-013</x:v>
      </x:c>
      <x:c r="B68" s="35" t="str">
        <x:v>ship</x:v>
      </x:c>
      <x:c r="C68" s="35" t="str">
        <x:v>hasUpperIceWaterline</x:v>
      </x:c>
      <x:c r="D68" s="35" t="str">
        <x:v>ship</x:v>
      </x:c>
      <x:c r="E68" s="35" t="str"/>
      <x:c r="F68" s="35" t="str">
        <x:v>AUTHORITATIVE_REQUIREMENT_SCOPED</x:v>
      </x:c>
    </x:row>
    <x:row r="69">
      <x:c r="A69" s="38" t="str">
        <x:v>TRF-013</x:v>
      </x:c>
      <x:c r="B69" s="35" t="str">
        <x:v>ship</x:v>
      </x:c>
      <x:c r="C69" s="35" t="str">
        <x:v>iceClass</x:v>
      </x:c>
      <x:c r="D69" s="35" t="str">
        <x:v>ship</x:v>
      </x:c>
      <x:c r="E69" s="35" t="str"/>
      <x:c r="F69" s="35" t="str">
        <x:v>AUTHORITATIVE_REQUIREMENT_SCOPED</x:v>
      </x:c>
    </x:row>
    <x:row r="70">
      <x:c r="A70" s="38" t="str">
        <x:v>TRF-013</x:v>
      </x:c>
      <x:c r="B70" s="35" t="str">
        <x:v>ship</x:v>
      </x:c>
      <x:c r="C70" s="35" t="str">
        <x:v>operatingAftDraught</x:v>
      </x:c>
      <x:c r="D70" s="35" t="str">
        <x:v>ship</x:v>
      </x:c>
      <x:c r="E70" s="35" t="str"/>
      <x:c r="F70" s="35" t="str">
        <x:v>AUTHORITATIVE_REQUIREMENT_SCOPED</x:v>
      </x:c>
    </x:row>
    <x:row r="71">
      <x:c r="A71" s="38" t="str">
        <x:v>TRF-013</x:v>
      </x:c>
      <x:c r="B71" s="35" t="str">
        <x:v>ship</x:v>
      </x:c>
      <x:c r="C71" s="35" t="str">
        <x:v>operatingForeDraught</x:v>
      </x:c>
      <x:c r="D71" s="35" t="str">
        <x:v>ship</x:v>
      </x:c>
      <x:c r="E71" s="35" t="str"/>
      <x:c r="F71" s="35" t="str">
        <x:v>AUTHORITATIVE_REQUIREMENT_SCOPED</x:v>
      </x:c>
    </x:row>
    <x:row r="72">
      <x:c r="A72" s="38" t="str">
        <x:v>TRF-013</x:v>
      </x:c>
      <x:c r="B72" s="35" t="str">
        <x:v>ship</x:v>
      </x:c>
      <x:c r="C72" s="35" t="str">
        <x:v>shipIceStrengthened</x:v>
      </x:c>
      <x:c r="D72" s="35" t="str">
        <x:v>ship</x:v>
      </x:c>
      <x:c r="E72" s="35" t="str"/>
      <x:c r="F72" s="35" t="str">
        <x:v>AUTHORITATIVE_REQUIREMENT_SCOPED</x:v>
      </x:c>
    </x:row>
    <x:row r="73">
      <x:c r="A73" s="38" t="str">
        <x:v>TRF-014</x:v>
      </x:c>
      <x:c r="B73" s="35" t="str">
        <x:v>ship</x:v>
      </x:c>
      <x:c r="C73" s="35" t="str">
        <x:v>classCertificate</x:v>
      </x:c>
      <x:c r="D73" s="35" t="str">
        <x:v>ship</x:v>
      </x:c>
      <x:c r="E73" s="35" t="str">
        <x:v>Draught increases downward: a summer load line at a higher level than UIWL has a numerically smaller draught.</x:v>
      </x:c>
      <x:c r="F73" s="35" t="str">
        <x:v>AUTHORITATIVE_REQUIREMENT_SCOPED</x:v>
      </x:c>
    </x:row>
    <x:row r="74">
      <x:c r="A74" s="38" t="str">
        <x:v>TRF-014</x:v>
      </x:c>
      <x:c r="B74" s="35" t="str">
        <x:v>ship</x:v>
      </x:c>
      <x:c r="C74" s="35" t="str">
        <x:v>constructionDate</x:v>
      </x:c>
      <x:c r="D74" s="35" t="str">
        <x:v>ship</x:v>
      </x:c>
      <x:c r="E74" s="35" t="str">
        <x:v>Draught increases downward: a summer load line at a higher level than UIWL has a numerically smaller draught.</x:v>
      </x:c>
      <x:c r="F74" s="35" t="str">
        <x:v>AUTHORITATIVE_REQUIREMENT_SCOPED</x:v>
      </x:c>
    </x:row>
    <x:row r="75">
      <x:c r="A75" s="38" t="str">
        <x:v>TRF-014</x:v>
      </x:c>
      <x:c r="B75" s="35" t="str">
        <x:v>ship</x:v>
      </x:c>
      <x:c r="C75" s="35" t="str">
        <x:v>firstScheduledDryDockingDate</x:v>
      </x:c>
      <x:c r="D75" s="35" t="str">
        <x:v>ship</x:v>
      </x:c>
      <x:c r="E75" s="35" t="str">
        <x:v>Draught increases downward: a summer load line at a higher level than UIWL has a numerically smaller draught.</x:v>
      </x:c>
      <x:c r="F75" s="35" t="str">
        <x:v>AUTHORITATIVE_REQUIREMENT_SCOPED</x:v>
      </x:c>
    </x:row>
    <x:row r="76">
      <x:c r="A76" s="38" t="str">
        <x:v>TRF-014</x:v>
      </x:c>
      <x:c r="B76" s="35" t="str">
        <x:v>ship</x:v>
      </x:c>
      <x:c r="C76" s="35" t="str">
        <x:v>hasClassCertificate</x:v>
      </x:c>
      <x:c r="D76" s="35" t="str">
        <x:v>ship</x:v>
      </x:c>
      <x:c r="E76" s="35" t="str">
        <x:v>Draught increases downward: a summer load line at a higher level than UIWL has a numerically smaller draught.</x:v>
      </x:c>
      <x:c r="F76" s="35" t="str">
        <x:v>AUTHORITATIVE_REQUIREMENT_SCOPED</x:v>
      </x:c>
    </x:row>
    <x:row r="77">
      <x:c r="A77" s="38" t="str">
        <x:v>TRF-014</x:v>
      </x:c>
      <x:c r="B77" s="35" t="str">
        <x:v>ship</x:v>
      </x:c>
      <x:c r="C77" s="35" t="str">
        <x:v>hasIceDraughtRestrictionDocument</x:v>
      </x:c>
      <x:c r="D77" s="35" t="str">
        <x:v>ship</x:v>
      </x:c>
      <x:c r="E77" s="35" t="str">
        <x:v>Draught increases downward: a summer load line at a higher level than UIWL has a numerically smaller draught.</x:v>
      </x:c>
      <x:c r="F77" s="35" t="str">
        <x:v>AUTHORITATIVE_REQUIREMENT_SCOPED</x:v>
      </x:c>
    </x:row>
    <x:row r="78">
      <x:c r="A78" s="38" t="str">
        <x:v>TRF-014</x:v>
      </x:c>
      <x:c r="B78" s="35" t="str">
        <x:v>ship</x:v>
      </x:c>
      <x:c r="C78" s="35" t="str">
        <x:v>iceClass</x:v>
      </x:c>
      <x:c r="D78" s="35" t="str">
        <x:v>ship</x:v>
      </x:c>
      <x:c r="E78" s="35" t="str">
        <x:v>Draught increases downward: a summer load line at a higher level than UIWL has a numerically smaller draught.</x:v>
      </x:c>
      <x:c r="F78" s="35" t="str">
        <x:v>AUTHORITATIVE_REQUIREMENT_SCOPED</x:v>
      </x:c>
    </x:row>
    <x:row r="79">
      <x:c r="A79" s="38" t="str">
        <x:v>TRF-014</x:v>
      </x:c>
      <x:c r="B79" s="35" t="str">
        <x:v>ship</x:v>
      </x:c>
      <x:c r="C79" s="35" t="str">
        <x:v>iceClassDraughtMarkDraughtAmidships</x:v>
      </x:c>
      <x:c r="D79" s="35" t="str">
        <x:v>ship</x:v>
      </x:c>
      <x:c r="E79" s="35" t="str">
        <x:v>Draught increases downward: a summer load line at a higher level than UIWL has a numerically smaller draught.</x:v>
      </x:c>
      <x:c r="F79" s="35" t="str">
        <x:v>AUTHORITATIVE_REQUIREMENT_SCOPED</x:v>
      </x:c>
    </x:row>
    <x:row r="80">
      <x:c r="A80" s="38" t="str">
        <x:v>TRF-014</x:v>
      </x:c>
      <x:c r="B80" s="35" t="str">
        <x:v>ship</x:v>
      </x:c>
      <x:c r="C80" s="35" t="str">
        <x:v>iceClassDraughtMarkPresent</x:v>
      </x:c>
      <x:c r="D80" s="35" t="str">
        <x:v>ship</x:v>
      </x:c>
      <x:c r="E80" s="35" t="str">
        <x:v>Draught increases downward: a summer load line at a higher level than UIWL has a numerically smaller draught.</x:v>
      </x:c>
      <x:c r="F80" s="35" t="str">
        <x:v>AUTHORITATIVE_REQUIREMENT_SCOPED</x:v>
      </x:c>
    </x:row>
    <x:row r="81">
      <x:c r="A81" s="38" t="str">
        <x:v>TRF-014</x:v>
      </x:c>
      <x:c r="B81" s="35" t="str">
        <x:v>ship</x:v>
      </x:c>
      <x:c r="C81" s="35" t="str">
        <x:v>iceDraughtRestrictionDocument</x:v>
      </x:c>
      <x:c r="D81" s="35" t="str">
        <x:v>ship</x:v>
      </x:c>
      <x:c r="E81" s="35" t="str">
        <x:v>Draught increases downward: a summer load line at a higher level than UIWL has a numerically smaller draught.</x:v>
      </x:c>
      <x:c r="F81" s="35" t="str">
        <x:v>AUTHORITATIVE_REQUIREMENT_SCOPED</x:v>
      </x:c>
    </x:row>
    <x:row r="82">
      <x:c r="A82" s="38" t="str">
        <x:v>TRF-014</x:v>
      </x:c>
      <x:c r="B82" s="35" t="str">
        <x:v>ship</x:v>
      </x:c>
      <x:c r="C82" s="35" t="str">
        <x:v>maximumIceClassDraughtAft</x:v>
      </x:c>
      <x:c r="D82" s="35" t="str">
        <x:v>ship</x:v>
      </x:c>
      <x:c r="E82" s="35" t="str">
        <x:v>Draught increases downward: a summer load line at a higher level than UIWL has a numerically smaller draught.</x:v>
      </x:c>
      <x:c r="F82" s="35" t="str">
        <x:v>AUTHORITATIVE_REQUIREMENT_SCOPED</x:v>
      </x:c>
    </x:row>
    <x:row r="83">
      <x:c r="A83" s="38" t="str">
        <x:v>TRF-014</x:v>
      </x:c>
      <x:c r="B83" s="35" t="str">
        <x:v>ship</x:v>
      </x:c>
      <x:c r="C83" s="35" t="str">
        <x:v>maximumIceClassDraughtAmidships</x:v>
      </x:c>
      <x:c r="D83" s="35" t="str">
        <x:v>ship</x:v>
      </x:c>
      <x:c r="E83" s="35" t="str">
        <x:v>Draught increases downward: a summer load line at a higher level than UIWL has a numerically smaller draught.</x:v>
      </x:c>
      <x:c r="F83" s="35" t="str">
        <x:v>AUTHORITATIVE_REQUIREMENT_SCOPED</x:v>
      </x:c>
    </x:row>
    <x:row r="84">
      <x:c r="A84" s="38" t="str">
        <x:v>TRF-014</x:v>
      </x:c>
      <x:c r="B84" s="35" t="str">
        <x:v>ship</x:v>
      </x:c>
      <x:c r="C84" s="35" t="str">
        <x:v>maximumIceClassDraughtFore</x:v>
      </x:c>
      <x:c r="D84" s="35" t="str">
        <x:v>ship</x:v>
      </x:c>
      <x:c r="E84" s="35" t="str">
        <x:v>Draught increases downward: a summer load line at a higher level than UIWL has a numerically smaller draught.</x:v>
      </x:c>
      <x:c r="F84" s="35" t="str">
        <x:v>AUTHORITATIVE_REQUIREMENT_SCOPED</x:v>
      </x:c>
    </x:row>
    <x:row r="85">
      <x:c r="A85" s="38" t="str">
        <x:v>TRF-014</x:v>
      </x:c>
      <x:c r="B85" s="35" t="str">
        <x:v>ship</x:v>
      </x:c>
      <x:c r="C85" s="35" t="str">
        <x:v>minimumIceClassDraughtAft</x:v>
      </x:c>
      <x:c r="D85" s="35" t="str">
        <x:v>ship</x:v>
      </x:c>
      <x:c r="E85" s="35" t="str">
        <x:v>Draught increases downward: a summer load line at a higher level than UIWL has a numerically smaller draught.</x:v>
      </x:c>
      <x:c r="F85" s="35" t="str">
        <x:v>AUTHORITATIVE_REQUIREMENT_SCOPED</x:v>
      </x:c>
    </x:row>
    <x:row r="86">
      <x:c r="A86" s="38" t="str">
        <x:v>TRF-014</x:v>
      </x:c>
      <x:c r="B86" s="35" t="str">
        <x:v>ship</x:v>
      </x:c>
      <x:c r="C86" s="35" t="str">
        <x:v>minimumIceClassDraughtAmidships</x:v>
      </x:c>
      <x:c r="D86" s="35" t="str">
        <x:v>ship</x:v>
      </x:c>
      <x:c r="E86" s="35" t="str">
        <x:v>Draught increases downward: a summer load line at a higher level than UIWL has a numerically smaller draught.</x:v>
      </x:c>
      <x:c r="F86" s="35" t="str">
        <x:v>AUTHORITATIVE_REQUIREMENT_SCOPED</x:v>
      </x:c>
    </x:row>
    <x:row r="87">
      <x:c r="A87" s="38" t="str">
        <x:v>TRF-014</x:v>
      </x:c>
      <x:c r="B87" s="35" t="str">
        <x:v>ship</x:v>
      </x:c>
      <x:c r="C87" s="35" t="str">
        <x:v>minimumIceClassDraughtFore</x:v>
      </x:c>
      <x:c r="D87" s="35" t="str">
        <x:v>ship</x:v>
      </x:c>
      <x:c r="E87" s="35" t="str">
        <x:v>Draught increases downward: a summer load line at a higher level than UIWL has a numerically smaller draught.</x:v>
      </x:c>
      <x:c r="F87" s="35" t="str">
        <x:v>AUTHORITATIVE_REQUIREMENT_SCOPED</x:v>
      </x:c>
    </x:row>
    <x:row r="88">
      <x:c r="A88" s="38" t="str">
        <x:v>TRF-014</x:v>
      </x:c>
      <x:c r="B88" s="35" t="str">
        <x:v>ship</x:v>
      </x:c>
      <x:c r="C88" s="35" t="str">
        <x:v>readilyAvailableToMaster</x:v>
      </x:c>
      <x:c r="D88" s="35" t="str">
        <x:v>ship</x:v>
      </x:c>
      <x:c r="E88" s="35" t="str">
        <x:v>Draught increases downward: a summer load line at a higher level than UIWL has a numerically smaller draught.</x:v>
      </x:c>
      <x:c r="F88" s="35" t="str">
        <x:v>AUTHORITATIVE_REQUIREMENT_SCOPED</x:v>
      </x:c>
    </x:row>
    <x:row r="89">
      <x:c r="A89" s="38" t="str">
        <x:v>TRF-014</x:v>
      </x:c>
      <x:c r="B89" s="35" t="str">
        <x:v>ship</x:v>
      </x:c>
      <x:c r="C89" s="35" t="str">
        <x:v>retainedOnBoard</x:v>
      </x:c>
      <x:c r="D89" s="35" t="str">
        <x:v>ship</x:v>
      </x:c>
      <x:c r="E89" s="35" t="str">
        <x:v>Draught increases downward: a summer load line at a higher level than UIWL has a numerically smaller draught.</x:v>
      </x:c>
      <x:c r="F89" s="35" t="str">
        <x:v>AUTHORITATIVE_REQUIREMENT_SCOPED</x:v>
      </x:c>
    </x:row>
    <x:row r="90">
      <x:c r="A90" s="38" t="str">
        <x:v>TRF-014</x:v>
      </x:c>
      <x:c r="B90" s="35" t="str">
        <x:v>ship</x:v>
      </x:c>
      <x:c r="C90" s="35" t="str">
        <x:v>summerLoadLineFreshWaterDraught</x:v>
      </x:c>
      <x:c r="D90" s="35" t="str">
        <x:v>ship</x:v>
      </x:c>
      <x:c r="E90" s="35" t="str">
        <x:v>Draught increases downward: a summer load line at a higher level than UIWL has a numerically smaller draught.</x:v>
      </x:c>
      <x:c r="F90" s="35" t="str">
        <x:v>AUTHORITATIVE_REQUIREMENT_SCOPED</x:v>
      </x:c>
    </x:row>
    <x:row r="91">
      <x:c r="A91" s="38" t="str">
        <x:v>TRF-014</x:v>
      </x:c>
      <x:c r="B91" s="35" t="str">
        <x:v>ship</x:v>
      </x:c>
      <x:c r="C91" s="35" t="str">
        <x:v>upperIceWaterlineDraught</x:v>
      </x:c>
      <x:c r="D91" s="35" t="str">
        <x:v>ship</x:v>
      </x:c>
      <x:c r="E91" s="35" t="str">
        <x:v>Draught increases downward: a summer load line at a higher level than UIWL has a numerically smaller draught.</x:v>
      </x:c>
      <x:c r="F91" s="35" t="str">
        <x:v>AUTHORITATIVE_REQUIREMENT_SCOPED</x:v>
      </x:c>
    </x:row>
    <x:row r="92">
      <x:c r="A92" s="38" t="str">
        <x:v>TRF-014</x:v>
      </x:c>
      <x:c r="B92" s="35" t="str">
        <x:v>ship</x:v>
      </x:c>
      <x:c r="C92" s="35" t="str">
        <x:v>warningTrianglePresent</x:v>
      </x:c>
      <x:c r="D92" s="35" t="str">
        <x:v>ship</x:v>
      </x:c>
      <x:c r="E92" s="35" t="str">
        <x:v>Draught increases downward: a summer load line at a higher level than UIWL has a numerically smaller draught.</x:v>
      </x:c>
      <x:c r="F92" s="35" t="str">
        <x:v>AUTHORITATIVE_REQUIREMENT_SCOPED</x:v>
      </x:c>
    </x:row>
    <x:row r="93">
      <x:c r="A93" s="38" t="str">
        <x:v>TRF-015</x:v>
      </x:c>
      <x:c r="B93" s="35" t="str">
        <x:v>ship</x:v>
      </x:c>
      <x:c r="C93" s="35" t="str">
        <x:v>gramPerKilogramSalinityUnit</x:v>
      </x:c>
      <x:c r="D93" s="35" t="str">
        <x:v>ship</x:v>
      </x:c>
      <x:c r="E93" s="35" t="str"/>
      <x:c r="F93" s="35" t="str">
        <x:v>AUTHORITATIVE_REQUIREMENT_SCOPED</x:v>
      </x:c>
    </x:row>
    <x:row r="94">
      <x:c r="A94" s="38" t="str">
        <x:v>TRF-015</x:v>
      </x:c>
      <x:c r="B94" s="35" t="str">
        <x:v>ship</x:v>
      </x:c>
      <x:c r="C94" s="35" t="str">
        <x:v>intendedRouteSeaWaterSalinity</x:v>
      </x:c>
      <x:c r="D94" s="35" t="str">
        <x:v>ship</x:v>
      </x:c>
      <x:c r="E94" s="35" t="str"/>
      <x:c r="F94" s="35" t="str">
        <x:v>AUTHORITATIVE_REQUIREMENT_SCOPED</x:v>
      </x:c>
    </x:row>
    <x:row r="95">
      <x:c r="A95" s="38" t="str">
        <x:v>TRF-015</x:v>
      </x:c>
      <x:c r="B95" s="35" t="str">
        <x:v>ship</x:v>
      </x:c>
      <x:c r="C95" s="35" t="str">
        <x:v>loadingCalculationSeaWaterSalinity</x:v>
      </x:c>
      <x:c r="D95" s="35" t="str">
        <x:v>ship</x:v>
      </x:c>
      <x:c r="E95" s="35" t="str"/>
      <x:c r="F95" s="35" t="str">
        <x:v>AUTHORITATIVE_REQUIREMENT_SCOPED</x:v>
      </x:c>
    </x:row>
    <x:row r="96">
      <x:c r="A96" s="38" t="str">
        <x:v>TRF-015</x:v>
      </x:c>
      <x:c r="B96" s="35" t="str">
        <x:v>ship</x:v>
      </x:c>
      <x:c r="C96" s="35" t="str">
        <x:v>maximumPermittedIceTrim</x:v>
      </x:c>
      <x:c r="D96" s="35" t="str">
        <x:v>ship</x:v>
      </x:c>
      <x:c r="E96" s="35" t="str"/>
      <x:c r="F96" s="35" t="str">
        <x:v>AUTHORITATIVE_REQUIREMENT_SCOPED</x:v>
      </x:c>
    </x:row>
    <x:row r="97">
      <x:c r="A97" s="38" t="str">
        <x:v>TRF-015</x:v>
      </x:c>
      <x:c r="B97" s="35" t="str">
        <x:v>ship</x:v>
      </x:c>
      <x:c r="C97" s="35" t="str">
        <x:v>navigatingInIce</x:v>
      </x:c>
      <x:c r="D97" s="35" t="str">
        <x:v>ship</x:v>
      </x:c>
      <x:c r="E97" s="35" t="str"/>
      <x:c r="F97" s="35" t="str">
        <x:v>AUTHORITATIVE_REQUIREMENT_SCOPED</x:v>
      </x:c>
    </x:row>
    <x:row r="98">
      <x:c r="A98" s="38" t="str">
        <x:v>TRF-015</x:v>
      </x:c>
      <x:c r="B98" s="35" t="str">
        <x:v>ship</x:v>
      </x:c>
      <x:c r="C98" s="35" t="str">
        <x:v>operatingDraught</x:v>
      </x:c>
      <x:c r="D98" s="35" t="str">
        <x:v>ship</x:v>
      </x:c>
      <x:c r="E98" s="35" t="str"/>
      <x:c r="F98" s="35" t="str">
        <x:v>AUTHORITATIVE_REQUIREMENT_SCOPED</x:v>
      </x:c>
    </x:row>
    <x:row r="99">
      <x:c r="A99" s="38" t="str">
        <x:v>TRF-015</x:v>
      </x:c>
      <x:c r="B99" s="35" t="str">
        <x:v>ship</x:v>
      </x:c>
      <x:c r="C99" s="35" t="str">
        <x:v>operatingTrim</x:v>
      </x:c>
      <x:c r="D99" s="35" t="str">
        <x:v>ship</x:v>
      </x:c>
      <x:c r="E99" s="35" t="str"/>
      <x:c r="F99" s="35" t="str">
        <x:v>AUTHORITATIVE_REQUIREMENT_SCOPED</x:v>
      </x:c>
    </x:row>
    <x:row r="100">
      <x:c r="A100" s="38" t="str">
        <x:v>TRF-015</x:v>
      </x:c>
      <x:c r="B100" s="35" t="str">
        <x:v>ship</x:v>
      </x:c>
      <x:c r="C100" s="35" t="str">
        <x:v>upperIceWaterlineDraught</x:v>
      </x:c>
      <x:c r="D100" s="35" t="str">
        <x:v>ship</x:v>
      </x:c>
      <x:c r="E100" s="35" t="str"/>
      <x:c r="F100" s="35" t="str">
        <x:v>AUTHORITATIVE_REQUIREMENT_SCOPED</x:v>
      </x:c>
    </x:row>
    <x:row r="101">
      <x:c r="A101" s="38" t="str">
        <x:v>TRF-016</x:v>
      </x:c>
      <x:c r="B101" s="35" t="str">
        <x:v>ship</x:v>
      </x:c>
      <x:c r="C101" s="35" t="str">
        <x:v>ballastTank</x:v>
      </x:c>
      <x:c r="D101" s="35" t="str">
        <x:v>ship</x:v>
      </x:c>
      <x:c r="E101" s="35" t="str"/>
      <x:c r="F101" s="35" t="str">
        <x:v>AUTHORITATIVE_REQUIREMENT_SCOPED</x:v>
      </x:c>
    </x:row>
    <x:row r="102">
      <x:c r="A102" s="38" t="str">
        <x:v>TRF-016</x:v>
      </x:c>
      <x:c r="B102" s="35" t="str">
        <x:v>ship</x:v>
      </x:c>
      <x:c r="C102" s="35" t="str">
        <x:v>displacementAtUpperIceWaterline</x:v>
      </x:c>
      <x:c r="D102" s="35" t="str">
        <x:v>ship</x:v>
      </x:c>
      <x:c r="E102" s="35" t="str"/>
      <x:c r="F102" s="35" t="str">
        <x:v>AUTHORITATIVE_REQUIREMENT_SCOPED</x:v>
      </x:c>
    </x:row>
    <x:row r="103">
      <x:c r="A103" s="38" t="str">
        <x:v>TRF-016</x:v>
      </x:c>
      <x:c r="B103" s="35" t="str">
        <x:v>ship</x:v>
      </x:c>
      <x:c r="C103" s="35" t="str">
        <x:v>draughtAmidships</x:v>
      </x:c>
      <x:c r="D103" s="35" t="str">
        <x:v>ship</x:v>
      </x:c>
      <x:c r="E103" s="35" t="str"/>
      <x:c r="F103" s="35" t="str">
        <x:v>AUTHORITATIVE_REQUIREMENT_SCOPED</x:v>
      </x:c>
    </x:row>
    <x:row r="104">
      <x:c r="A104" s="38" t="str">
        <x:v>TRF-016</x:v>
      </x:c>
      <x:c r="B104" s="35" t="str">
        <x:v>ship</x:v>
      </x:c>
      <x:c r="C104" s="35" t="str">
        <x:v>forwardDraught</x:v>
      </x:c>
      <x:c r="D104" s="35" t="str">
        <x:v>ship</x:v>
      </x:c>
      <x:c r="E104" s="35" t="str"/>
      <x:c r="F104" s="35" t="str">
        <x:v>AUTHORITATIVE_REQUIREMENT_SCOPED</x:v>
      </x:c>
    </x:row>
    <x:row r="105">
      <x:c r="A105" s="38" t="str">
        <x:v>TRF-016</x:v>
      </x:c>
      <x:c r="B105" s="35" t="str">
        <x:v>ship</x:v>
      </x:c>
      <x:c r="C105" s="35" t="str">
        <x:v>freezingPreventionPresent</x:v>
      </x:c>
      <x:c r="D105" s="35" t="str">
        <x:v>ballastTank</x:v>
      </x:c>
      <x:c r="E105" s="35" t="str"/>
      <x:c r="F105" s="35" t="str">
        <x:v>AUTHORITATIVE_REQUIREMENT_SCOPED</x:v>
      </x:c>
    </x:row>
    <x:row r="106">
      <x:c r="A106" s="38" t="str">
        <x:v>TRF-016</x:v>
      </x:c>
      <x:c r="B106" s="35" t="str">
        <x:v>ship</x:v>
      </x:c>
      <x:c r="C106" s="35" t="str">
        <x:v>hasBallastTank</x:v>
      </x:c>
      <x:c r="D106" s="35" t="str">
        <x:v>ship</x:v>
      </x:c>
      <x:c r="E106" s="35" t="str"/>
      <x:c r="F106" s="35" t="str">
        <x:v>AUTHORITATIVE_REQUIREMENT_SCOPED</x:v>
      </x:c>
    </x:row>
    <x:row r="107">
      <x:c r="A107" s="38" t="str">
        <x:v>TRF-016</x:v>
      </x:c>
      <x:c r="B107" s="35" t="str">
        <x:v>ship</x:v>
      </x:c>
      <x:c r="C107" s="35" t="str">
        <x:v>hasLowerIceWaterline</x:v>
      </x:c>
      <x:c r="D107" s="35" t="str">
        <x:v>ship</x:v>
      </x:c>
      <x:c r="E107" s="35" t="str"/>
      <x:c r="F107" s="35" t="str">
        <x:v>AUTHORITATIVE_REQUIREMENT_SCOPED</x:v>
      </x:c>
    </x:row>
    <x:row r="108">
      <x:c r="A108" s="38" t="str">
        <x:v>TRF-016</x:v>
      </x:c>
      <x:c r="B108" s="35" t="str">
        <x:v>ship</x:v>
      </x:c>
      <x:c r="C108" s="35" t="str">
        <x:v>hasUpperIceWaterline</x:v>
      </x:c>
      <x:c r="D108" s="35" t="str">
        <x:v>ship</x:v>
      </x:c>
      <x:c r="E108" s="35" t="str"/>
      <x:c r="F108" s="35" t="str">
        <x:v>AUTHORITATIVE_REQUIREMENT_SCOPED</x:v>
      </x:c>
    </x:row>
    <x:row r="109">
      <x:c r="A109" s="38" t="str">
        <x:v>TRF-016</x:v>
      </x:c>
      <x:c r="B109" s="35" t="str">
        <x:v>ship</x:v>
      </x:c>
      <x:c r="C109" s="35" t="str">
        <x:v>levelIceThickness</x:v>
      </x:c>
      <x:c r="D109" s="35" t="str">
        <x:v>ship</x:v>
      </x:c>
      <x:c r="E109" s="35" t="str"/>
      <x:c r="F109" s="35" t="str">
        <x:v>AUTHORITATIVE_REQUIREMENT_SCOPED</x:v>
      </x:c>
    </x:row>
    <x:row r="110">
      <x:c r="A110" s="38" t="str">
        <x:v>TRF-016</x:v>
      </x:c>
      <x:c r="B110" s="35" t="str">
        <x:v>ship</x:v>
      </x:c>
      <x:c r="C110" s="35" t="str">
        <x:v>liwlDraughtAmidships</x:v>
      </x:c>
      <x:c r="D110" s="35" t="str">
        <x:v>ship</x:v>
      </x:c>
      <x:c r="E110" s="35" t="str"/>
      <x:c r="F110" s="35" t="str">
        <x:v>AUTHORITATIVE_REQUIREMENT_SCOPED</x:v>
      </x:c>
    </x:row>
    <x:row r="111">
      <x:c r="A111" s="38" t="str">
        <x:v>TRF-016</x:v>
      </x:c>
      <x:c r="B111" s="35" t="str">
        <x:v>ship</x:v>
      </x:c>
      <x:c r="C111" s="35" t="str">
        <x:v>navigatingInIce</x:v>
      </x:c>
      <x:c r="D111" s="35" t="str">
        <x:v>ship</x:v>
      </x:c>
      <x:c r="E111" s="35" t="str"/>
      <x:c r="F111" s="35" t="str">
        <x:v>AUTHORITATIVE_REQUIREMENT_SCOPED</x:v>
      </x:c>
    </x:row>
    <x:row r="112">
      <x:c r="A112" s="38" t="str">
        <x:v>TRF-016</x:v>
      </x:c>
      <x:c r="B112" s="35" t="str">
        <x:v>ship</x:v>
      </x:c>
      <x:c r="C112" s="35" t="str">
        <x:v>propellerHighestPointSubmerged</x:v>
      </x:c>
      <x:c r="D112" s="35" t="str">
        <x:v>ship</x:v>
      </x:c>
      <x:c r="E112" s="35" t="str"/>
      <x:c r="F112" s="35" t="str">
        <x:v>AUTHORITATIVE_REQUIREMENT_SCOPED</x:v>
      </x:c>
    </x:row>
    <x:row r="113">
      <x:c r="A113" s="38" t="str">
        <x:v>TRF-016</x:v>
      </x:c>
      <x:c r="B113" s="35" t="str">
        <x:v>ship</x:v>
      </x:c>
      <x:c r="C113" s="35" t="str">
        <x:v>situatedAboveLowerIceWaterline</x:v>
      </x:c>
      <x:c r="D113" s="35" t="str">
        <x:v>ballastTank</x:v>
      </x:c>
      <x:c r="E113" s="35" t="str"/>
      <x:c r="F113" s="35" t="str">
        <x:v>AUTHORITATIVE_REQUIREMENT_SCOPED</x:v>
      </x:c>
    </x:row>
    <x:row r="114">
      <x:c r="A114" s="38" t="str">
        <x:v>TRF-016</x:v>
      </x:c>
      <x:c r="B114" s="35" t="str">
        <x:v>ship</x:v>
      </x:c>
      <x:c r="C114" s="35" t="str">
        <x:v>usedToReachLowerIceWaterline</x:v>
      </x:c>
      <x:c r="D114" s="35" t="str">
        <x:v>ballastTank</x:v>
      </x:c>
      <x:c r="E114" s="35" t="str"/>
      <x:c r="F114" s="35" t="str">
        <x:v>AUTHORITATIVE_REQUIREMENT_SCOPED</x:v>
      </x:c>
    </x:row>
    <x:row r="115">
      <x:c r="A115" s="38" t="str">
        <x:v>TRF-016</x:v>
      </x:c>
      <x:c r="B115" s="35" t="str">
        <x:v>ship</x:v>
      </x:c>
      <x:c r="C115" s="35" t="str">
        <x:v>waterlineDisplacement</x:v>
      </x:c>
      <x:c r="D115" s="35" t="str">
        <x:v>ship</x:v>
      </x:c>
      <x:c r="E115" s="35" t="str"/>
      <x:c r="F115" s="35" t="str">
        <x:v>AUTHORITATIVE_REQUIREMENT_SCOPED</x:v>
      </x:c>
    </x:row>
    <x:row r="116">
      <x:c r="A116" s="38" t="str">
        <x:v>TRF-017</x:v>
      </x:c>
      <x:c r="B116" s="35" t="str">
        <x:v>ship</x:v>
      </x:c>
      <x:c r="C116" s="35" t="str">
        <x:v>maximumContinuousRatingPower</x:v>
      </x:c>
      <x:c r="D116" s="35" t="str">
        <x:v>ship</x:v>
      </x:c>
      <x:c r="E116" s="35" t="str"/>
      <x:c r="F116" s="35" t="str">
        <x:v>AUTHORITATIVE_REQUIREMENT_SCOPED</x:v>
      </x:c>
    </x:row>
    <x:row r="117">
      <x:c r="A117" s="38" t="str">
        <x:v>TRF-017</x:v>
      </x:c>
      <x:c r="B117" s="35" t="str">
        <x:v>ship</x:v>
      </x:c>
      <x:c r="C117" s="35" t="str">
        <x:v>propulsionMachineryContinuousOutput</x:v>
      </x:c>
      <x:c r="D117" s="35" t="str">
        <x:v>ship</x:v>
      </x:c>
      <x:c r="E117" s="35" t="str"/>
      <x:c r="F117" s="35" t="str">
        <x:v>AUTHORITATIVE_REQUIREMENT_SCOPED</x:v>
      </x:c>
    </x:row>
    <x:row r="118">
      <x:c r="A118" s="38" t="str">
        <x:v>TRF-017</x:v>
      </x:c>
      <x:c r="B118" s="35" t="str">
        <x:v>ship</x:v>
      </x:c>
      <x:c r="C118" s="35" t="str">
        <x:v>propulsionOutputRestrictionApplies</x:v>
      </x:c>
      <x:c r="D118" s="35" t="str">
        <x:v>ship</x:v>
      </x:c>
      <x:c r="E118" s="35" t="str"/>
      <x:c r="F118" s="35" t="str">
        <x:v>AUTHORITATIVE_REQUIREMENT_SCOPED</x:v>
      </x:c>
    </x:row>
    <x:row r="119">
      <x:c r="A119" s="38" t="str">
        <x:v>TRF-017</x:v>
      </x:c>
      <x:c r="B119" s="35" t="str">
        <x:v>ship</x:v>
      </x:c>
      <x:c r="C119" s="35" t="str">
        <x:v>restrictedPropulsionOutput</x:v>
      </x:c>
      <x:c r="D119" s="35" t="str">
        <x:v>ship</x:v>
      </x:c>
      <x:c r="E119" s="35" t="str"/>
      <x:c r="F119" s="35" t="str">
        <x:v>AUTHORITATIVE_REQUIREMENT_SCOPED</x:v>
      </x:c>
    </x:row>
    <x:row r="120">
      <x:c r="A120" s="38" t="str">
        <x:v>TRF-018</x:v>
      </x:c>
      <x:c r="B120" s="35" t="str">
        <x:v>ship</x:v>
      </x:c>
      <x:c r="C120" s="35" t="str">
        <x:v>calculatedRequiredPower</x:v>
      </x:c>
      <x:c r="D120" s="35" t="str">
        <x:v>ship</x:v>
      </x:c>
      <x:c r="E120" s="35" t="str"/>
      <x:c r="F120" s="35" t="str">
        <x:v>AUTHORITATIVE_REQUIREMENT_SCOPED</x:v>
      </x:c>
    </x:row>
    <x:row r="121">
      <x:c r="A121" s="38" t="str">
        <x:v>TRF-018</x:v>
      </x:c>
      <x:c r="B121" s="35" t="str">
        <x:v>ship</x:v>
      </x:c>
      <x:c r="C121" s="35" t="str">
        <x:v>iceClass</x:v>
      </x:c>
      <x:c r="D121" s="35" t="str">
        <x:v>ship</x:v>
      </x:c>
      <x:c r="E121" s="35" t="str"/>
      <x:c r="F121" s="35" t="str">
        <x:v>AUTHORITATIVE_REQUIREMENT_SCOPED</x:v>
      </x:c>
    </x:row>
    <x:row r="122">
      <x:c r="A122" s="38" t="str">
        <x:v>TRF-018</x:v>
      </x:c>
      <x:c r="B122" s="35" t="str">
        <x:v>ship</x:v>
      </x:c>
      <x:c r="C122" s="35" t="str">
        <x:v>maximumContinuousRatingPower</x:v>
      </x:c>
      <x:c r="D122" s="35" t="str">
        <x:v>ship</x:v>
      </x:c>
      <x:c r="E122" s="35" t="str"/>
      <x:c r="F122" s="35" t="str">
        <x:v>AUTHORITATIVE_REQUIREMENT_SCOPED</x:v>
      </x:c>
    </x:row>
    <x:row r="123">
      <x:c r="A123" s="38" t="str">
        <x:v>TRF-020</x:v>
      </x:c>
      <x:c r="B123" s="35" t="str">
        <x:v>ship</x:v>
      </x:c>
      <x:c r="C123" s="35" t="str">
        <x:v>brashIceChannelResistanceAtLowerIceWaterline</x:v>
      </x:c>
      <x:c r="D123" s="35" t="str">
        <x:v>ship</x:v>
      </x:c>
      <x:c r="E123" s="35" t="str"/>
      <x:c r="F123" s="35" t="str">
        <x:v>AUTHORITATIVE_REQUIREMENT_SCOPED</x:v>
      </x:c>
    </x:row>
    <x:row r="124">
      <x:c r="A124" s="38" t="str">
        <x:v>TRF-020</x:v>
      </x:c>
      <x:c r="B124" s="35" t="str">
        <x:v>ship</x:v>
      </x:c>
      <x:c r="C124" s="35" t="str">
        <x:v>brashIceChannelResistanceAtUpperIceWaterline</x:v>
      </x:c>
      <x:c r="D124" s="35" t="str">
        <x:v>ship</x:v>
      </x:c>
      <x:c r="E124" s="35" t="str"/>
      <x:c r="F124" s="35" t="str">
        <x:v>AUTHORITATIVE_REQUIREMENT_SCOPED</x:v>
      </x:c>
    </x:row>
    <x:row r="125">
      <x:c r="A125" s="38" t="str">
        <x:v>TRF-020</x:v>
      </x:c>
      <x:c r="B125" s="35" t="str">
        <x:v>ship</x:v>
      </x:c>
      <x:c r="C125" s="35" t="str">
        <x:v>brashIceChannelResistanceRch</x:v>
      </x:c>
      <x:c r="D125" s="35" t="str">
        <x:v>ship</x:v>
      </x:c>
      <x:c r="E125" s="35" t="str"/>
      <x:c r="F125" s="35" t="str">
        <x:v>AUTHORITATIVE_REQUIREMENT_SCOPED</x:v>
      </x:c>
    </x:row>
    <x:row r="126">
      <x:c r="A126" s="38" t="str">
        <x:v>TRF-020</x:v>
      </x:c>
      <x:c r="B126" s="35" t="str">
        <x:v>ship</x:v>
      </x:c>
      <x:c r="C126" s="35" t="str">
        <x:v>constructionStageDate</x:v>
      </x:c>
      <x:c r="D126" s="35" t="str">
        <x:v>ship</x:v>
      </x:c>
      <x:c r="E126" s="35" t="str"/>
      <x:c r="F126" s="35" t="str">
        <x:v>AUTHORITATIVE_REQUIREMENT_SCOPED</x:v>
      </x:c>
    </x:row>
    <x:row r="127">
      <x:c r="A127" s="38" t="str">
        <x:v>TRF-020</x:v>
      </x:c>
      <x:c r="B127" s="35" t="str">
        <x:v>ship</x:v>
      </x:c>
      <x:c r="C127" s="35" t="str">
        <x:v>controllablePitch</x:v>
      </x:c>
      <x:c r="D127" s="35" t="str">
        <x:v>ship</x:v>
      </x:c>
      <x:c r="E127" s="35" t="str"/>
      <x:c r="F127" s="35" t="str">
        <x:v>AUTHORITATIVE_REQUIREMENT_SCOPED</x:v>
      </x:c>
    </x:row>
    <x:row r="128">
      <x:c r="A128" s="38" t="str">
        <x:v>TRF-020</x:v>
      </x:c>
      <x:c r="B128" s="35" t="str">
        <x:v>ship</x:v>
      </x:c>
      <x:c r="C128" s="35" t="str">
        <x:v>conventionalPropulsionSystem</x:v>
      </x:c>
      <x:c r="D128" s="35" t="str">
        <x:v>ship</x:v>
      </x:c>
      <x:c r="E128" s="35" t="str"/>
      <x:c r="F128" s="35" t="str">
        <x:v>AUTHORITATIVE_REQUIREMENT_SCOPED</x:v>
      </x:c>
    </x:row>
    <x:row r="129">
      <x:c r="A129" s="38" t="str">
        <x:v>TRF-020</x:v>
      </x:c>
      <x:c r="B129" s="35" t="str">
        <x:v>ship</x:v>
      </x:c>
      <x:c r="C129" s="35" t="str">
        <x:v>electricPropulsionMachinery</x:v>
      </x:c>
      <x:c r="D129" s="35" t="str">
        <x:v>ship</x:v>
      </x:c>
      <x:c r="E129" s="35" t="str"/>
      <x:c r="F129" s="35" t="str">
        <x:v>AUTHORITATIVE_REQUIREMENT_SCOPED</x:v>
      </x:c>
    </x:row>
    <x:row r="130">
      <x:c r="A130" s="38" t="str">
        <x:v>TRF-020</x:v>
      </x:c>
      <x:c r="B130" s="35" t="str">
        <x:v>ship</x:v>
      </x:c>
      <x:c r="C130" s="35" t="str">
        <x:v>engineOutputCoefficientKe</x:v>
      </x:c>
      <x:c r="D130" s="35" t="str">
        <x:v>ship</x:v>
      </x:c>
      <x:c r="E130" s="35" t="str"/>
      <x:c r="F130" s="35" t="str">
        <x:v>AUTHORITATIVE_REQUIREMENT_SCOPED</x:v>
      </x:c>
    </x:row>
    <x:row r="131">
      <x:c r="A131" s="38" t="str">
        <x:v>TRF-020</x:v>
      </x:c>
      <x:c r="B131" s="35" t="str">
        <x:v>ship</x:v>
      </x:c>
      <x:c r="C131" s="35" t="str">
        <x:v>fixedPitch</x:v>
      </x:c>
      <x:c r="D131" s="35" t="str">
        <x:v>ship</x:v>
      </x:c>
      <x:c r="E131" s="35" t="str"/>
      <x:c r="F131" s="35" t="str">
        <x:v>AUTHORITATIVE_REQUIREMENT_SCOPED</x:v>
      </x:c>
    </x:row>
    <x:row r="132">
      <x:c r="A132" s="38" t="str">
        <x:v>TRF-020</x:v>
      </x:c>
      <x:c r="B132" s="35" t="str">
        <x:v>ship</x:v>
      </x:c>
      <x:c r="C132" s="35" t="str">
        <x:v>hydraulicPropulsionMachinery</x:v>
      </x:c>
      <x:c r="D132" s="35" t="str">
        <x:v>ship</x:v>
      </x:c>
      <x:c r="E132" s="35" t="str"/>
      <x:c r="F132" s="35" t="str">
        <x:v>AUTHORITATIVE_REQUIREMENT_SCOPED</x:v>
      </x:c>
    </x:row>
    <x:row r="133">
      <x:c r="A133" s="38" t="str">
        <x:v>TRF-020</x:v>
      </x:c>
      <x:c r="B133" s="35" t="str">
        <x:v>ship</x:v>
      </x:c>
      <x:c r="C133" s="35" t="str">
        <x:v>iceClass</x:v>
      </x:c>
      <x:c r="D133" s="35" t="str">
        <x:v>ship</x:v>
      </x:c>
      <x:c r="E133" s="35" t="str"/>
      <x:c r="F133" s="35" t="str">
        <x:v>AUTHORITATIVE_REQUIREMENT_SCOPED</x:v>
      </x:c>
    </x:row>
    <x:row r="134">
      <x:c r="A134" s="38" t="str">
        <x:v>TRF-020</x:v>
      </x:c>
      <x:c r="B134" s="35" t="str">
        <x:v>ship</x:v>
      </x:c>
      <x:c r="C134" s="35" t="str">
        <x:v>maximumContinuousRatingPower</x:v>
      </x:c>
      <x:c r="D134" s="35" t="str">
        <x:v>ship</x:v>
      </x:c>
      <x:c r="E134" s="35" t="str"/>
      <x:c r="F134" s="35" t="str">
        <x:v>AUTHORITATIVE_REQUIREMENT_SCOPED</x:v>
      </x:c>
    </x:row>
    <x:row r="135">
      <x:c r="A135" s="38" t="str">
        <x:v>TRF-020</x:v>
      </x:c>
      <x:c r="B135" s="35" t="str">
        <x:v>ship</x:v>
      </x:c>
      <x:c r="C135" s="35" t="str">
        <x:v>minimumRequiredPowerAtLowerIceWaterline</x:v>
      </x:c>
      <x:c r="D135" s="35" t="str">
        <x:v>ship</x:v>
      </x:c>
      <x:c r="E135" s="35" t="str"/>
      <x:c r="F135" s="35" t="str">
        <x:v>AUTHORITATIVE_REQUIREMENT_SCOPED</x:v>
      </x:c>
    </x:row>
    <x:row r="136">
      <x:c r="A136" s="38" t="str">
        <x:v>TRF-020</x:v>
      </x:c>
      <x:c r="B136" s="35" t="str">
        <x:v>ship</x:v>
      </x:c>
      <x:c r="C136" s="35" t="str">
        <x:v>minimumRequiredPowerAtUpperIceWaterline</x:v>
      </x:c>
      <x:c r="D136" s="35" t="str">
        <x:v>ship</x:v>
      </x:c>
      <x:c r="E136" s="35" t="str"/>
      <x:c r="F136" s="35" t="str">
        <x:v>AUTHORITATIVE_REQUIREMENT_SCOPED</x:v>
      </x:c>
    </x:row>
    <x:row r="137">
      <x:c r="A137" s="38" t="str">
        <x:v>TRF-020</x:v>
      </x:c>
      <x:c r="B137" s="35" t="str">
        <x:v>ship</x:v>
      </x:c>
      <x:c r="C137" s="35" t="str">
        <x:v>propellerCount</x:v>
      </x:c>
      <x:c r="D137" s="35" t="str">
        <x:v>ship</x:v>
      </x:c>
      <x:c r="E137" s="35" t="str"/>
      <x:c r="F137" s="35" t="str">
        <x:v>AUTHORITATIVE_REQUIREMENT_SCOPED</x:v>
      </x:c>
    </x:row>
    <x:row r="138">
      <x:c r="A138" s="38" t="str">
        <x:v>TRF-020</x:v>
      </x:c>
      <x:c r="B138" s="35" t="str">
        <x:v>ship</x:v>
      </x:c>
      <x:c r="C138" s="35" t="str">
        <x:v>propellerDiameter</x:v>
      </x:c>
      <x:c r="D138" s="35" t="str">
        <x:v>ship</x:v>
      </x:c>
      <x:c r="E138" s="35" t="str"/>
      <x:c r="F138" s="35" t="str">
        <x:v>AUTHORITATIVE_REQUIREMENT_SCOPED</x:v>
      </x:c>
    </x:row>
    <x:row r="139">
      <x:c r="A139" s="38" t="str">
        <x:v>TRF-020</x:v>
      </x:c>
      <x:c r="B139" s="35" t="str">
        <x:v>ship</x:v>
      </x:c>
      <x:c r="C139" s="35" t="str">
        <x:v>propellerPitchControlType</x:v>
      </x:c>
      <x:c r="D139" s="35" t="str">
        <x:v>ship</x:v>
      </x:c>
      <x:c r="E139" s="35" t="str"/>
      <x:c r="F139" s="35" t="str">
        <x:v>AUTHORITATIVE_REQUIREMENT_SCOPED</x:v>
      </x:c>
    </x:row>
    <x:row r="140">
      <x:c r="A140" s="38" t="str">
        <x:v>TRF-020</x:v>
      </x:c>
      <x:c r="B140" s="35" t="str">
        <x:v>ship</x:v>
      </x:c>
      <x:c r="C140" s="35" t="str">
        <x:v>propulsionSystemType</x:v>
      </x:c>
      <x:c r="D140" s="35" t="str">
        <x:v>ship</x:v>
      </x:c>
      <x:c r="E140" s="35" t="str"/>
      <x:c r="F140" s="35" t="str">
        <x:v>AUTHORITATIVE_REQUIREMENT_SCOPED</x:v>
      </x:c>
    </x:row>
    <x:row r="141">
      <x:c r="A141" s="38" t="str">
        <x:v>TRF-022</x:v>
      </x:c>
      <x:c r="B141" s="35" t="str">
        <x:v>ship</x:v>
      </x:c>
      <x:c r="C141" s="35" t="str">
        <x:v>bowRakeAtQuarterBreadth</x:v>
      </x:c>
      <x:c r="D141" s="35" t="str">
        <x:v>ship</x:v>
      </x:c>
      <x:c r="E141" s="35" t="str"/>
      <x:c r="F141" s="35" t="str">
        <x:v>AUTHORITATIVE_REQUIREMENT_SCOPED</x:v>
      </x:c>
    </x:row>
    <x:row r="142">
      <x:c r="A142" s="38" t="str">
        <x:v>TRF-022</x:v>
      </x:c>
      <x:c r="B142" s="35" t="str">
        <x:v>ship</x:v>
      </x:c>
      <x:c r="C142" s="35" t="str">
        <x:v>clampedHullGeometryTerm</x:v>
      </x:c>
      <x:c r="D142" s="35" t="str">
        <x:v>ship</x:v>
      </x:c>
      <x:c r="E142" s="35" t="str"/>
      <x:c r="F142" s="35" t="str">
        <x:v>AUTHORITATIVE_REQUIREMENT_SCOPED</x:v>
      </x:c>
    </x:row>
    <x:row r="143">
      <x:c r="A143" s="38" t="str">
        <x:v>TRF-022</x:v>
      </x:c>
      <x:c r="B143" s="35" t="str">
        <x:v>ship</x:v>
      </x:c>
      <x:c r="C143" s="35" t="str">
        <x:v>coefficientC3</x:v>
      </x:c>
      <x:c r="D143" s="35" t="str">
        <x:v>ship</x:v>
      </x:c>
      <x:c r="E143" s="35" t="str"/>
      <x:c r="F143" s="35" t="str">
        <x:v>AUTHORITATIVE_REQUIREMENT_SCOPED</x:v>
      </x:c>
    </x:row>
    <x:row r="144">
      <x:c r="A144" s="38" t="str">
        <x:v>TRF-022</x:v>
      </x:c>
      <x:c r="B144" s="35" t="str">
        <x:v>ship</x:v>
      </x:c>
      <x:c r="C144" s="35" t="str">
        <x:v>coefficientC4</x:v>
      </x:c>
      <x:c r="D144" s="35" t="str">
        <x:v>ship</x:v>
      </x:c>
      <x:c r="E144" s="35" t="str"/>
      <x:c r="F144" s="35" t="str">
        <x:v>AUTHORITATIVE_REQUIREMENT_SCOPED</x:v>
      </x:c>
    </x:row>
    <x:row r="145">
      <x:c r="A145" s="38" t="str">
        <x:v>TRF-022</x:v>
      </x:c>
      <x:c r="B145" s="35" t="str">
        <x:v>ship</x:v>
      </x:c>
      <x:c r="C145" s="35" t="str">
        <x:v>coefficientC5</x:v>
      </x:c>
      <x:c r="D145" s="35" t="str">
        <x:v>ship</x:v>
      </x:c>
      <x:c r="E145" s="35" t="str"/>
      <x:c r="F145" s="35" t="str">
        <x:v>AUTHORITATIVE_REQUIREMENT_SCOPED</x:v>
      </x:c>
    </x:row>
    <x:row r="146">
      <x:c r="A146" s="38" t="str">
        <x:v>TRF-022</x:v>
      </x:c>
      <x:c r="B146" s="35" t="str">
        <x:v>ship</x:v>
      </x:c>
      <x:c r="C146" s="35" t="str">
        <x:v>coefficientF1</x:v>
      </x:c>
      <x:c r="D146" s="35" t="str">
        <x:v>ship</x:v>
      </x:c>
      <x:c r="E146" s="35" t="str"/>
      <x:c r="F146" s="35" t="str">
        <x:v>AUTHORITATIVE_REQUIREMENT_SCOPED</x:v>
      </x:c>
    </x:row>
    <x:row r="147">
      <x:c r="A147" s="38" t="str">
        <x:v>TRF-022</x:v>
      </x:c>
      <x:c r="B147" s="35" t="str">
        <x:v>ship</x:v>
      </x:c>
      <x:c r="C147" s="35" t="str">
        <x:v>coefficientF2</x:v>
      </x:c>
      <x:c r="D147" s="35" t="str">
        <x:v>ship</x:v>
      </x:c>
      <x:c r="E147" s="35" t="str"/>
      <x:c r="F147" s="35" t="str">
        <x:v>AUTHORITATIVE_REQUIREMENT_SCOPED</x:v>
      </x:c>
    </x:row>
    <x:row r="148">
      <x:c r="A148" s="38" t="str">
        <x:v>TRF-022</x:v>
      </x:c>
      <x:c r="B148" s="35" t="str">
        <x:v>ship</x:v>
      </x:c>
      <x:c r="C148" s="35" t="str">
        <x:v>coefficientF3</x:v>
      </x:c>
      <x:c r="D148" s="35" t="str">
        <x:v>ship</x:v>
      </x:c>
      <x:c r="E148" s="35" t="str"/>
      <x:c r="F148" s="35" t="str">
        <x:v>AUTHORITATIVE_REQUIREMENT_SCOPED</x:v>
      </x:c>
    </x:row>
    <x:row r="149">
      <x:c r="A149" s="38" t="str">
        <x:v>TRF-022</x:v>
      </x:c>
      <x:c r="B149" s="35" t="str">
        <x:v>ship</x:v>
      </x:c>
      <x:c r="C149" s="35" t="str">
        <x:v>coefficientF4</x:v>
      </x:c>
      <x:c r="D149" s="35" t="str">
        <x:v>ship</x:v>
      </x:c>
      <x:c r="E149" s="35" t="str"/>
      <x:c r="F149" s="35" t="str">
        <x:v>AUTHORITATIVE_REQUIREMENT_SCOPED</x:v>
      </x:c>
    </x:row>
    <x:row r="150">
      <x:c r="A150" s="38" t="str">
        <x:v>TRF-022</x:v>
      </x:c>
      <x:c r="B150" s="35" t="str">
        <x:v>ship</x:v>
      </x:c>
      <x:c r="C150" s="35" t="str">
        <x:v>coefficientG1</x:v>
      </x:c>
      <x:c r="D150" s="35" t="str">
        <x:v>ship</x:v>
      </x:c>
      <x:c r="E150" s="35" t="str"/>
      <x:c r="F150" s="35" t="str">
        <x:v>AUTHORITATIVE_REQUIREMENT_SCOPED</x:v>
      </x:c>
    </x:row>
    <x:row r="151">
      <x:c r="A151" s="38" t="str">
        <x:v>TRF-022</x:v>
      </x:c>
      <x:c r="B151" s="35" t="str">
        <x:v>ship</x:v>
      </x:c>
      <x:c r="C151" s="35" t="str">
        <x:v>coefficientG2</x:v>
      </x:c>
      <x:c r="D151" s="35" t="str">
        <x:v>ship</x:v>
      </x:c>
      <x:c r="E151" s="35" t="str"/>
      <x:c r="F151" s="35" t="str">
        <x:v>AUTHORITATIVE_REQUIREMENT_SCOPED</x:v>
      </x:c>
    </x:row>
    <x:row r="152">
      <x:c r="A152" s="38" t="str">
        <x:v>TRF-022</x:v>
      </x:c>
      <x:c r="B152" s="35" t="str">
        <x:v>ship</x:v>
      </x:c>
      <x:c r="C152" s="35" t="str">
        <x:v>coefficientG3</x:v>
      </x:c>
      <x:c r="D152" s="35" t="str">
        <x:v>ship</x:v>
      </x:c>
      <x:c r="E152" s="35" t="str"/>
      <x:c r="F152" s="35" t="str">
        <x:v>AUTHORITATIVE_REQUIREMENT_SCOPED</x:v>
      </x:c>
    </x:row>
    <x:row r="153">
      <x:c r="A153" s="38" t="str">
        <x:v>TRF-022</x:v>
      </x:c>
      <x:c r="B153" s="35" t="str">
        <x:v>ship</x:v>
      </x:c>
      <x:c r="C153" s="35" t="str">
        <x:v>constructionStageDate</x:v>
      </x:c>
      <x:c r="D153" s="35" t="str">
        <x:v>ship</x:v>
      </x:c>
      <x:c r="E153" s="35" t="str"/>
      <x:c r="F153" s="35" t="str">
        <x:v>AUTHORITATIVE_REQUIREMENT_SCOPED</x:v>
      </x:c>
    </x:row>
    <x:row r="154">
      <x:c r="A154" s="38" t="str">
        <x:v>TRF-022</x:v>
      </x:c>
      <x:c r="B154" s="35" t="str">
        <x:v>ship</x:v>
      </x:c>
      <x:c r="C154" s="35" t="str">
        <x:v>flareAngle</x:v>
      </x:c>
      <x:c r="D154" s="35" t="str">
        <x:v>ship</x:v>
      </x:c>
      <x:c r="E154" s="35" t="str"/>
      <x:c r="F154" s="35" t="str">
        <x:v>AUTHORITATIVE_REQUIREMENT_SCOPED</x:v>
      </x:c>
    </x:row>
    <x:row r="155">
      <x:c r="A155" s="38" t="str">
        <x:v>TRF-022</x:v>
      </x:c>
      <x:c r="B155" s="35" t="str">
        <x:v>ship</x:v>
      </x:c>
      <x:c r="C155" s="35" t="str">
        <x:v>iceClassDraught</x:v>
      </x:c>
      <x:c r="D155" s="35" t="str">
        <x:v>ship</x:v>
      </x:c>
      <x:c r="E155" s="35" t="str"/>
      <x:c r="F155" s="35" t="str">
        <x:v>AUTHORITATIVE_REQUIREMENT_SCOPED</x:v>
      </x:c>
    </x:row>
    <x:row r="156">
      <x:c r="A156" s="38" t="str">
        <x:v>TRF-022</x:v>
      </x:c>
      <x:c r="B156" s="35" t="str">
        <x:v>ship</x:v>
      </x:c>
      <x:c r="C156" s="35" t="str">
        <x:v>kilogramPerSquareMetreSquareSecondUnit</x:v>
      </x:c>
      <x:c r="D156" s="35" t="str">
        <x:v>ship</x:v>
      </x:c>
      <x:c r="E156" s="35" t="str"/>
      <x:c r="F156" s="35" t="str">
        <x:v>AUTHORITATIVE_REQUIREMENT_SCOPED</x:v>
      </x:c>
    </x:row>
    <x:row r="157">
      <x:c r="A157" s="38" t="str">
        <x:v>TRF-022</x:v>
      </x:c>
      <x:c r="B157" s="35" t="str">
        <x:v>ship</x:v>
      </x:c>
      <x:c r="C157" s="35" t="str">
        <x:v>kilogramPerSquareSecondUnit</x:v>
      </x:c>
      <x:c r="D157" s="35" t="str">
        <x:v>ship</x:v>
      </x:c>
      <x:c r="E157" s="35" t="str"/>
      <x:c r="F157" s="35" t="str">
        <x:v>AUTHORITATIVE_REQUIREMENT_SCOPED</x:v>
      </x:c>
    </x:row>
    <x:row r="158">
      <x:c r="A158" s="38" t="str">
        <x:v>TRF-022</x:v>
      </x:c>
      <x:c r="B158" s="35" t="str">
        <x:v>ship</x:v>
      </x:c>
      <x:c r="C158" s="35" t="str">
        <x:v>newtonPerMetreToPowerOnePointFiveUnit</x:v>
      </x:c>
      <x:c r="D158" s="35" t="str">
        <x:v>ship</x:v>
      </x:c>
      <x:c r="E158" s="35" t="str"/>
      <x:c r="F158" s="35" t="str">
        <x:v>AUTHORITATIVE_REQUIREMENT_SCOPED</x:v>
      </x:c>
    </x:row>
    <x:row r="159">
      <x:c r="A159" s="38" t="str">
        <x:v>TRF-022</x:v>
      </x:c>
      <x:c r="B159" s="35" t="str">
        <x:v>ship</x:v>
      </x:c>
      <x:c r="C159" s="35" t="str">
        <x:v>shipBreadth</x:v>
      </x:c>
      <x:c r="D159" s="35" t="str">
        <x:v>ship</x:v>
      </x:c>
      <x:c r="E159" s="35" t="str"/>
      <x:c r="F159" s="35" t="str">
        <x:v>AUTHORITATIVE_REQUIREMENT_SCOPED</x:v>
      </x:c>
    </x:row>
    <x:row r="160">
      <x:c r="A160" s="38" t="str">
        <x:v>TRF-022</x:v>
      </x:c>
      <x:c r="B160" s="35" t="str">
        <x:v>ship</x:v>
      </x:c>
      <x:c r="C160" s="35" t="str">
        <x:v>shipLength</x:v>
      </x:c>
      <x:c r="D160" s="35" t="str">
        <x:v>ship</x:v>
      </x:c>
      <x:c r="E160" s="35" t="str"/>
      <x:c r="F160" s="35" t="str">
        <x:v>AUTHORITATIVE_REQUIREMENT_SCOPED</x:v>
      </x:c>
    </x:row>
    <x:row r="161">
      <x:c r="A161" s="38" t="str">
        <x:v>TRF-022</x:v>
      </x:c>
      <x:c r="B161" s="35" t="str">
        <x:v>ship</x:v>
      </x:c>
      <x:c r="C161" s="35" t="str">
        <x:v>waterlineAngleAtQuarterBreadth</x:v>
      </x:c>
      <x:c r="D161" s="35" t="str">
        <x:v>ship</x:v>
      </x:c>
      <x:c r="E161" s="35" t="str"/>
      <x:c r="F161" s="35" t="str">
        <x:v>AUTHORITATIVE_REQUIREMENT_SCOPED</x:v>
      </x:c>
    </x:row>
    <x:row r="162">
      <x:c r="A162" s="38" t="str">
        <x:v>TRF-023</x:v>
      </x:c>
      <x:c r="B162" s="35" t="str">
        <x:v>ship</x:v>
      </x:c>
      <x:c r="C162" s="35" t="str">
        <x:v>applicableIceClassRegulationEdition</x:v>
      </x:c>
      <x:c r="D162" s="35" t="str">
        <x:v>ship</x:v>
      </x:c>
      <x:c r="E162" s="35" t="str"/>
      <x:c r="F162" s="35" t="str">
        <x:v>AUTHORITATIVE_REQUIREMENT_SCOPED</x:v>
      </x:c>
    </x:row>
    <x:row r="163">
      <x:c r="A163" s="38" t="str">
        <x:v>TRF-023</x:v>
      </x:c>
      <x:c r="B163" s="35" t="str">
        <x:v>ship</x:v>
      </x:c>
      <x:c r="C163" s="35" t="str">
        <x:v>iceClass</x:v>
      </x:c>
      <x:c r="D163" s="35" t="str">
        <x:v>ship</x:v>
      </x:c>
      <x:c r="E163" s="35" t="str"/>
      <x:c r="F163" s="35" t="str">
        <x:v>AUTHORITATIVE_REQUIREMENT_SCOPED</x:v>
      </x:c>
    </x:row>
    <x:row r="164">
      <x:c r="A164" s="38" t="str">
        <x:v>TRF-023</x:v>
      </x:c>
      <x:c r="B164" s="35" t="str">
        <x:v>ship</x:v>
      </x:c>
      <x:c r="C164" s="35" t="str">
        <x:v>iceClassRuleEdition1985</x:v>
      </x:c>
      <x:c r="D164" s="35" t="str">
        <x:v>ship</x:v>
      </x:c>
      <x:c r="E164" s="35" t="str"/>
      <x:c r="F164" s="35" t="str">
        <x:v>AUTHORITATIVE_REQUIREMENT_SCOPED</x:v>
      </x:c>
    </x:row>
    <x:row r="165">
      <x:c r="A165" s="38" t="str">
        <x:v>TRF-023</x:v>
      </x:c>
      <x:c r="B165" s="35" t="str">
        <x:v>ship</x:v>
      </x:c>
      <x:c r="C165" s="35" t="str">
        <x:v>maximumContinuousRatingPower</x:v>
      </x:c>
      <x:c r="D165" s="35" t="str">
        <x:v>ship</x:v>
      </x:c>
      <x:c r="E165" s="35" t="str"/>
      <x:c r="F165" s="35" t="str">
        <x:v>AUTHORITATIVE_REQUIREMENT_SCOPED</x:v>
      </x:c>
    </x:row>
    <x:row r="166">
      <x:c r="A166" s="38" t="str">
        <x:v>TRF-023</x:v>
      </x:c>
      <x:c r="B166" s="35" t="str">
        <x:v>ship</x:v>
      </x:c>
      <x:c r="C166" s="35" t="str">
        <x:v>requiredPowerUnder1985Rules</x:v>
      </x:c>
      <x:c r="D166" s="35" t="str">
        <x:v>ship</x:v>
      </x:c>
      <x:c r="E166" s="35" t="str"/>
      <x:c r="F166" s="35" t="str">
        <x:v>AUTHORITATIVE_REQUIREMENT_SCOPED</x:v>
      </x:c>
    </x:row>
    <x:row r="167">
      <x:c r="A167" s="38" t="str">
        <x:v>TRF-024</x:v>
      </x:c>
      <x:c r="B167" s="35" t="str">
        <x:v>ship</x:v>
      </x:c>
      <x:c r="C167" s="35" t="str">
        <x:v>assessmentDate</x:v>
      </x:c>
      <x:c r="D167" s="35" t="str">
        <x:v>ship</x:v>
      </x:c>
      <x:c r="E167" s="35" t="str"/>
      <x:c r="F167" s="35" t="str">
        <x:v>AUTHORITATIVE_REQUIREMENT_SCOPED</x:v>
      </x:c>
    </x:row>
    <x:row r="168">
      <x:c r="A168" s="38" t="str">
        <x:v>TRF-024</x:v>
      </x:c>
      <x:c r="B168" s="35" t="str">
        <x:v>ship</x:v>
      </x:c>
      <x:c r="C168" s="35" t="str">
        <x:v>constructionStageDate</x:v>
      </x:c>
      <x:c r="D168" s="35" t="str">
        <x:v>ship</x:v>
      </x:c>
      <x:c r="E168" s="35" t="str"/>
      <x:c r="F168" s="35" t="str">
        <x:v>AUTHORITATIVE_REQUIREMENT_SCOPED</x:v>
      </x:c>
    </x:row>
    <x:row r="169">
      <x:c r="A169" s="38" t="str">
        <x:v>TRF-024</x:v>
      </x:c>
      <x:c r="B169" s="35" t="str">
        <x:v>ship</x:v>
      </x:c>
      <x:c r="C169" s="35" t="str">
        <x:v>deliveryDate</x:v>
      </x:c>
      <x:c r="D169" s="35" t="str">
        <x:v>ship</x:v>
      </x:c>
      <x:c r="E169" s="35" t="str"/>
      <x:c r="F169" s="35" t="str">
        <x:v>AUTHORITATIVE_REQUIREMENT_SCOPED</x:v>
      </x:c>
    </x:row>
    <x:row r="170">
      <x:c r="A170" s="38" t="str">
        <x:v>TRF-024</x:v>
      </x:c>
      <x:c r="B170" s="35" t="str">
        <x:v>ship</x:v>
      </x:c>
      <x:c r="C170" s="35" t="str">
        <x:v>engineOutputComplianceMethod</x:v>
      </x:c>
      <x:c r="D170" s="35" t="str">
        <x:v>ship</x:v>
      </x:c>
      <x:c r="E170" s="35" t="str"/>
      <x:c r="F170" s="35" t="str">
        <x:v>AUTHORITATIVE_REQUIREMENT_SCOPED</x:v>
      </x:c>
    </x:row>
    <x:row r="171">
      <x:c r="A171" s="38" t="str">
        <x:v>TRF-024</x:v>
      </x:c>
      <x:c r="B171" s="35" t="str">
        <x:v>ship</x:v>
      </x:c>
      <x:c r="C171" s="35" t="str">
        <x:v>iceClass</x:v>
      </x:c>
      <x:c r="D171" s="35" t="str">
        <x:v>ship</x:v>
      </x:c>
      <x:c r="E171" s="35" t="str"/>
      <x:c r="F171" s="35" t="str">
        <x:v>AUTHORITATIVE_REQUIREMENT_SCOPED</x:v>
      </x:c>
    </x:row>
    <x:row r="172">
      <x:c r="A172" s="38" t="str">
        <x:v>TRF-024</x:v>
      </x:c>
      <x:c r="B172" s="35" t="str">
        <x:v>ship</x:v>
      </x:c>
      <x:c r="C172" s="35" t="str">
        <x:v>traficom2017Section3Point2Point2Method</x:v>
      </x:c>
      <x:c r="D172" s="35" t="str">
        <x:v>ship</x:v>
      </x:c>
      <x:c r="E172" s="35" t="str"/>
      <x:c r="F172" s="35" t="str">
        <x:v>AUTHORITATIVE_REQUIREMENT_SCOPED</x:v>
      </x:c>
    </x:row>
    <x:row r="173">
      <x:c r="A173" s="38" t="str">
        <x:v>TRF-024</x:v>
      </x:c>
      <x:c r="B173" s="35" t="str">
        <x:v>ship</x:v>
      </x:c>
      <x:c r="C173" s="35" t="str">
        <x:v>traficom2017Section3Point2Point4Method</x:v>
      </x:c>
      <x:c r="D173" s="35" t="str">
        <x:v>ship</x:v>
      </x:c>
      <x:c r="E173" s="35" t="str"/>
      <x:c r="F173" s="35" t="str">
        <x:v>AUTHORITATIVE_REQUIREMENT_SCOPED</x:v>
      </x:c>
    </x:row>
    <x:row r="174">
      <x:c r="A174" s="38" t="str">
        <x:v>TRF-025</x:v>
      </x:c>
      <x:c r="B174" s="35" t="str">
        <x:v>ship</x:v>
      </x:c>
      <x:c r="C174" s="35" t="str">
        <x:v>brashIceResistanceCoefficientC1</x:v>
      </x:c>
      <x:c r="D174" s="35" t="str">
        <x:v>ship</x:v>
      </x:c>
      <x:c r="E174" s="35" t="str"/>
      <x:c r="F174" s="35" t="str">
        <x:v>AUTHORITATIVE_REQUIREMENT_SCOPED</x:v>
      </x:c>
    </x:row>
    <x:row r="175">
      <x:c r="A175" s="38" t="str">
        <x:v>TRF-025</x:v>
      </x:c>
      <x:c r="B175" s="35" t="str">
        <x:v>ship</x:v>
      </x:c>
      <x:c r="C175" s="35" t="str">
        <x:v>brashIceResistanceCoefficientC2</x:v>
      </x:c>
      <x:c r="D175" s="35" t="str">
        <x:v>ship</x:v>
      </x:c>
      <x:c r="E175" s="35" t="str"/>
      <x:c r="F175" s="35" t="str">
        <x:v>AUTHORITATIVE_REQUIREMENT_SCOPED</x:v>
      </x:c>
    </x:row>
    <x:row r="176">
      <x:c r="A176" s="38" t="str">
        <x:v>TRF-025</x:v>
      </x:c>
      <x:c r="B176" s="35" t="str">
        <x:v>ship</x:v>
      </x:c>
      <x:c r="C176" s="35" t="str">
        <x:v>bulbousBowPresent</x:v>
      </x:c>
      <x:c r="D176" s="35" t="str">
        <x:v>ship</x:v>
      </x:c>
      <x:c r="E176" s="35" t="str"/>
      <x:c r="F176" s="35" t="str">
        <x:v>AUTHORITATIVE_REQUIREMENT_SCOPED</x:v>
      </x:c>
    </x:row>
    <x:row r="177">
      <x:c r="A177" s="38" t="str">
        <x:v>TRF-025</x:v>
      </x:c>
      <x:c r="B177" s="35" t="str">
        <x:v>ship</x:v>
      </x:c>
      <x:c r="C177" s="35" t="str">
        <x:v>coefficientF1</x:v>
      </x:c>
      <x:c r="D177" s="35" t="str">
        <x:v>ship</x:v>
      </x:c>
      <x:c r="E177" s="35" t="str"/>
      <x:c r="F177" s="35" t="str">
        <x:v>AUTHORITATIVE_REQUIREMENT_SCOPED</x:v>
      </x:c>
    </x:row>
    <x:row r="178">
      <x:c r="A178" s="38" t="str">
        <x:v>TRF-025</x:v>
      </x:c>
      <x:c r="B178" s="35" t="str">
        <x:v>ship</x:v>
      </x:c>
      <x:c r="C178" s="35" t="str">
        <x:v>coefficientF2</x:v>
      </x:c>
      <x:c r="D178" s="35" t="str">
        <x:v>ship</x:v>
      </x:c>
      <x:c r="E178" s="35" t="str"/>
      <x:c r="F178" s="35" t="str">
        <x:v>AUTHORITATIVE_REQUIREMENT_SCOPED</x:v>
      </x:c>
    </x:row>
    <x:row r="179">
      <x:c r="A179" s="38" t="str">
        <x:v>TRF-025</x:v>
      </x:c>
      <x:c r="B179" s="35" t="str">
        <x:v>ship</x:v>
      </x:c>
      <x:c r="C179" s="35" t="str">
        <x:v>coefficientF3</x:v>
      </x:c>
      <x:c r="D179" s="35" t="str">
        <x:v>ship</x:v>
      </x:c>
      <x:c r="E179" s="35" t="str"/>
      <x:c r="F179" s="35" t="str">
        <x:v>AUTHORITATIVE_REQUIREMENT_SCOPED</x:v>
      </x:c>
    </x:row>
    <x:row r="180">
      <x:c r="A180" s="38" t="str">
        <x:v>TRF-025</x:v>
      </x:c>
      <x:c r="B180" s="35" t="str">
        <x:v>ship</x:v>
      </x:c>
      <x:c r="C180" s="35" t="str">
        <x:v>coefficientF4</x:v>
      </x:c>
      <x:c r="D180" s="35" t="str">
        <x:v>ship</x:v>
      </x:c>
      <x:c r="E180" s="35" t="str"/>
      <x:c r="F180" s="35" t="str">
        <x:v>AUTHORITATIVE_REQUIREMENT_SCOPED</x:v>
      </x:c>
    </x:row>
    <x:row r="181">
      <x:c r="A181" s="38" t="str">
        <x:v>TRF-025</x:v>
      </x:c>
      <x:c r="B181" s="35" t="str">
        <x:v>ship</x:v>
      </x:c>
      <x:c r="C181" s="35" t="str">
        <x:v>coefficientG1</x:v>
      </x:c>
      <x:c r="D181" s="35" t="str">
        <x:v>ship</x:v>
      </x:c>
      <x:c r="E181" s="35" t="str"/>
      <x:c r="F181" s="35" t="str">
        <x:v>AUTHORITATIVE_REQUIREMENT_SCOPED</x:v>
      </x:c>
    </x:row>
    <x:row r="182">
      <x:c r="A182" s="38" t="str">
        <x:v>TRF-025</x:v>
      </x:c>
      <x:c r="B182" s="35" t="str">
        <x:v>ship</x:v>
      </x:c>
      <x:c r="C182" s="35" t="str">
        <x:v>coefficientG2</x:v>
      </x:c>
      <x:c r="D182" s="35" t="str">
        <x:v>ship</x:v>
      </x:c>
      <x:c r="E182" s="35" t="str"/>
      <x:c r="F182" s="35" t="str">
        <x:v>AUTHORITATIVE_REQUIREMENT_SCOPED</x:v>
      </x:c>
    </x:row>
    <x:row r="183">
      <x:c r="A183" s="38" t="str">
        <x:v>TRF-025</x:v>
      </x:c>
      <x:c r="B183" s="35" t="str">
        <x:v>ship</x:v>
      </x:c>
      <x:c r="C183" s="35" t="str">
        <x:v>coefficientG3</x:v>
      </x:c>
      <x:c r="D183" s="35" t="str">
        <x:v>ship</x:v>
      </x:c>
      <x:c r="E183" s="35" t="str"/>
      <x:c r="F183" s="35" t="str">
        <x:v>AUTHORITATIVE_REQUIREMENT_SCOPED</x:v>
      </x:c>
    </x:row>
    <x:row r="184">
      <x:c r="A184" s="38" t="str">
        <x:v>TRF-025</x:v>
      </x:c>
      <x:c r="B184" s="35" t="str">
        <x:v>ship</x:v>
      </x:c>
      <x:c r="C184" s="35" t="str">
        <x:v>iceClass</x:v>
      </x:c>
      <x:c r="D184" s="35" t="str">
        <x:v>ship</x:v>
      </x:c>
      <x:c r="E184" s="35" t="str"/>
      <x:c r="F184" s="35" t="str">
        <x:v>AUTHORITATIVE_REQUIREMENT_SCOPED</x:v>
      </x:c>
    </x:row>
    <x:row r="185">
      <x:c r="A185" s="38" t="str">
        <x:v>TRF-025</x:v>
      </x:c>
      <x:c r="B185" s="35" t="str">
        <x:v>ship</x:v>
      </x:c>
      <x:c r="C185" s="35" t="str">
        <x:v>iceClassDraught</x:v>
      </x:c>
      <x:c r="D185" s="35" t="str">
        <x:v>ship</x:v>
      </x:c>
      <x:c r="E185" s="35" t="str"/>
      <x:c r="F185" s="35" t="str">
        <x:v>AUTHORITATIVE_REQUIREMENT_SCOPED</x:v>
      </x:c>
    </x:row>
    <x:row r="186">
      <x:c r="A186" s="38" t="str">
        <x:v>TRF-025</x:v>
      </x:c>
      <x:c r="B186" s="35" t="str">
        <x:v>ship</x:v>
      </x:c>
      <x:c r="C186" s="35" t="str">
        <x:v>shipBreadth</x:v>
      </x:c>
      <x:c r="D186" s="35" t="str">
        <x:v>ship</x:v>
      </x:c>
      <x:c r="E186" s="35" t="str"/>
      <x:c r="F186" s="35" t="str">
        <x:v>AUTHORITATIVE_REQUIREMENT_SCOPED</x:v>
      </x:c>
    </x:row>
    <x:row r="187">
      <x:c r="A187" s="38" t="str">
        <x:v>TRF-025</x:v>
      </x:c>
      <x:c r="B187" s="35" t="str">
        <x:v>ship</x:v>
      </x:c>
      <x:c r="C187" s="35" t="str">
        <x:v>shipLength</x:v>
      </x:c>
      <x:c r="D187" s="35" t="str">
        <x:v>ship</x:v>
      </x:c>
      <x:c r="E187" s="35" t="str"/>
      <x:c r="F187" s="35" t="str">
        <x:v>AUTHORITATIVE_REQUIREMENT_SCOPED</x:v>
      </x:c>
    </x:row>
    <x:row r="188">
      <x:c r="A188" s="38" t="str">
        <x:v>TRF-026</x:v>
      </x:c>
      <x:c r="B188" s="35" t="str">
        <x:v>ship</x:v>
      </x:c>
      <x:c r="C188" s="35" t="str">
        <x:v>brashIceResistanceCoefficientC1</x:v>
      </x:c>
      <x:c r="D188" s="35" t="str">
        <x:v>ship</x:v>
      </x:c>
      <x:c r="E188" s="35" t="str"/>
      <x:c r="F188" s="35" t="str">
        <x:v>AUTHORITATIVE_REQUIREMENT_SCOPED</x:v>
      </x:c>
    </x:row>
    <x:row r="189">
      <x:c r="A189" s="38" t="str">
        <x:v>TRF-026</x:v>
      </x:c>
      <x:c r="B189" s="35" t="str">
        <x:v>ship</x:v>
      </x:c>
      <x:c r="C189" s="35" t="str">
        <x:v>brashIceResistanceCoefficientC2</x:v>
      </x:c>
      <x:c r="D189" s="35" t="str">
        <x:v>ship</x:v>
      </x:c>
      <x:c r="E189" s="35" t="str"/>
      <x:c r="F189" s="35" t="str">
        <x:v>AUTHORITATIVE_REQUIREMENT_SCOPED</x:v>
      </x:c>
    </x:row>
    <x:row r="190">
      <x:c r="A190" s="38" t="str">
        <x:v>TRF-026</x:v>
      </x:c>
      <x:c r="B190" s="35" t="str">
        <x:v>ship</x:v>
      </x:c>
      <x:c r="C190" s="35" t="str">
        <x:v>bulbousBowPresent</x:v>
      </x:c>
      <x:c r="D190" s="35" t="str">
        <x:v>ship</x:v>
      </x:c>
      <x:c r="E190" s="35" t="str"/>
      <x:c r="F190" s="35" t="str">
        <x:v>AUTHORITATIVE_REQUIREMENT_SCOPED</x:v>
      </x:c>
    </x:row>
    <x:row r="191">
      <x:c r="A191" s="38" t="str">
        <x:v>TRF-026</x:v>
      </x:c>
      <x:c r="B191" s="35" t="str">
        <x:v>ship</x:v>
      </x:c>
      <x:c r="C191" s="35" t="str">
        <x:v>coefficientF1</x:v>
      </x:c>
      <x:c r="D191" s="35" t="str">
        <x:v>ship</x:v>
      </x:c>
      <x:c r="E191" s="35" t="str"/>
      <x:c r="F191" s="35" t="str">
        <x:v>AUTHORITATIVE_REQUIREMENT_SCOPED</x:v>
      </x:c>
    </x:row>
    <x:row r="192">
      <x:c r="A192" s="38" t="str">
        <x:v>TRF-026</x:v>
      </x:c>
      <x:c r="B192" s="35" t="str">
        <x:v>ship</x:v>
      </x:c>
      <x:c r="C192" s="35" t="str">
        <x:v>coefficientF2</x:v>
      </x:c>
      <x:c r="D192" s="35" t="str">
        <x:v>ship</x:v>
      </x:c>
      <x:c r="E192" s="35" t="str"/>
      <x:c r="F192" s="35" t="str">
        <x:v>AUTHORITATIVE_REQUIREMENT_SCOPED</x:v>
      </x:c>
    </x:row>
    <x:row r="193">
      <x:c r="A193" s="38" t="str">
        <x:v>TRF-026</x:v>
      </x:c>
      <x:c r="B193" s="35" t="str">
        <x:v>ship</x:v>
      </x:c>
      <x:c r="C193" s="35" t="str">
        <x:v>coefficientF3</x:v>
      </x:c>
      <x:c r="D193" s="35" t="str">
        <x:v>ship</x:v>
      </x:c>
      <x:c r="E193" s="35" t="str"/>
      <x:c r="F193" s="35" t="str">
        <x:v>AUTHORITATIVE_REQUIREMENT_SCOPED</x:v>
      </x:c>
    </x:row>
    <x:row r="194">
      <x:c r="A194" s="38" t="str">
        <x:v>TRF-026</x:v>
      </x:c>
      <x:c r="B194" s="35" t="str">
        <x:v>ship</x:v>
      </x:c>
      <x:c r="C194" s="35" t="str">
        <x:v>coefficientF4</x:v>
      </x:c>
      <x:c r="D194" s="35" t="str">
        <x:v>ship</x:v>
      </x:c>
      <x:c r="E194" s="35" t="str"/>
      <x:c r="F194" s="35" t="str">
        <x:v>AUTHORITATIVE_REQUIREMENT_SCOPED</x:v>
      </x:c>
    </x:row>
    <x:row r="195">
      <x:c r="A195" s="38" t="str">
        <x:v>TRF-026</x:v>
      </x:c>
      <x:c r="B195" s="35" t="str">
        <x:v>ship</x:v>
      </x:c>
      <x:c r="C195" s="35" t="str">
        <x:v>coefficientG1</x:v>
      </x:c>
      <x:c r="D195" s="35" t="str">
        <x:v>ship</x:v>
      </x:c>
      <x:c r="E195" s="35" t="str"/>
      <x:c r="F195" s="35" t="str">
        <x:v>AUTHORITATIVE_REQUIREMENT_SCOPED</x:v>
      </x:c>
    </x:row>
    <x:row r="196">
      <x:c r="A196" s="38" t="str">
        <x:v>TRF-026</x:v>
      </x:c>
      <x:c r="B196" s="35" t="str">
        <x:v>ship</x:v>
      </x:c>
      <x:c r="C196" s="35" t="str">
        <x:v>coefficientG2</x:v>
      </x:c>
      <x:c r="D196" s="35" t="str">
        <x:v>ship</x:v>
      </x:c>
      <x:c r="E196" s="35" t="str"/>
      <x:c r="F196" s="35" t="str">
        <x:v>AUTHORITATIVE_REQUIREMENT_SCOPED</x:v>
      </x:c>
    </x:row>
    <x:row r="197">
      <x:c r="A197" s="38" t="str">
        <x:v>TRF-026</x:v>
      </x:c>
      <x:c r="B197" s="35" t="str">
        <x:v>ship</x:v>
      </x:c>
      <x:c r="C197" s="35" t="str">
        <x:v>coefficientG3</x:v>
      </x:c>
      <x:c r="D197" s="35" t="str">
        <x:v>ship</x:v>
      </x:c>
      <x:c r="E197" s="35" t="str"/>
      <x:c r="F197" s="35" t="str">
        <x:v>AUTHORITATIVE_REQUIREMENT_SCOPED</x:v>
      </x:c>
    </x:row>
    <x:row r="198">
      <x:c r="A198" s="38" t="str">
        <x:v>TRF-026</x:v>
      </x:c>
      <x:c r="B198" s="35" t="str">
        <x:v>ship</x:v>
      </x:c>
      <x:c r="C198" s="35" t="str">
        <x:v>iceClass</x:v>
      </x:c>
      <x:c r="D198" s="35" t="str">
        <x:v>ship</x:v>
      </x:c>
      <x:c r="E198" s="35" t="str"/>
      <x:c r="F198" s="35" t="str">
        <x:v>AUTHORITATIVE_REQUIREMENT_SCOPED</x:v>
      </x:c>
    </x:row>
    <x:row r="199">
      <x:c r="A199" s="38" t="str">
        <x:v>TRF-026</x:v>
      </x:c>
      <x:c r="B199" s="35" t="str">
        <x:v>ship</x:v>
      </x:c>
      <x:c r="C199" s="35" t="str">
        <x:v>iceClassDraught</x:v>
      </x:c>
      <x:c r="D199" s="35" t="str">
        <x:v>ship</x:v>
      </x:c>
      <x:c r="E199" s="35" t="str"/>
      <x:c r="F199" s="35" t="str">
        <x:v>AUTHORITATIVE_REQUIREMENT_SCOPED</x:v>
      </x:c>
    </x:row>
    <x:row r="200">
      <x:c r="A200" s="38" t="str">
        <x:v>TRF-026</x:v>
      </x:c>
      <x:c r="B200" s="35" t="str">
        <x:v>ship</x:v>
      </x:c>
      <x:c r="C200" s="35" t="str">
        <x:v>shipBreadth</x:v>
      </x:c>
      <x:c r="D200" s="35" t="str">
        <x:v>ship</x:v>
      </x:c>
      <x:c r="E200" s="35" t="str"/>
      <x:c r="F200" s="35" t="str">
        <x:v>AUTHORITATIVE_REQUIREMENT_SCOPED</x:v>
      </x:c>
    </x:row>
    <x:row r="201">
      <x:c r="A201" s="38" t="str">
        <x:v>TRF-026</x:v>
      </x:c>
      <x:c r="B201" s="35" t="str">
        <x:v>ship</x:v>
      </x:c>
      <x:c r="C201" s="35" t="str">
        <x:v>shipLength</x:v>
      </x:c>
      <x:c r="D201" s="35" t="str">
        <x:v>ship</x:v>
      </x:c>
      <x:c r="E201" s="35" t="str"/>
      <x:c r="F201" s="35" t="str">
        <x:v>AUTHORITATIVE_REQUIREMENT_SCOPED</x:v>
      </x:c>
    </x:row>
    <x:row r="202">
      <x:c r="A202" s="38" t="str">
        <x:v>TRF-027</x:v>
      </x:c>
      <x:c r="B202" s="35" t="str">
        <x:v>ship</x:v>
      </x:c>
      <x:c r="C202" s="35" t="str">
        <x:v>clampedHullGeometryTerm</x:v>
      </x:c>
      <x:c r="D202" s="35" t="str">
        <x:v>ship</x:v>
      </x:c>
      <x:c r="E202" s="35" t="str"/>
      <x:c r="F202" s="35" t="str">
        <x:v>AUTHORITATIVE_REQUIREMENT_SCOPED</x:v>
      </x:c>
    </x:row>
    <x:row r="203">
      <x:c r="A203" s="38" t="str">
        <x:v>TRF-027</x:v>
      </x:c>
      <x:c r="B203" s="35" t="str">
        <x:v>ship</x:v>
      </x:c>
      <x:c r="C203" s="35" t="str">
        <x:v>coefficientC3</x:v>
      </x:c>
      <x:c r="D203" s="35" t="str">
        <x:v>ship</x:v>
      </x:c>
      <x:c r="E203" s="35" t="str"/>
      <x:c r="F203" s="35" t="str">
        <x:v>AUTHORITATIVE_REQUIREMENT_SCOPED</x:v>
      </x:c>
    </x:row>
    <x:row r="204">
      <x:c r="A204" s="38" t="str">
        <x:v>TRF-027</x:v>
      </x:c>
      <x:c r="B204" s="35" t="str">
        <x:v>ship</x:v>
      </x:c>
      <x:c r="C204" s="35" t="str">
        <x:v>coefficientC4</x:v>
      </x:c>
      <x:c r="D204" s="35" t="str">
        <x:v>ship</x:v>
      </x:c>
      <x:c r="E204" s="35" t="str"/>
      <x:c r="F204" s="35" t="str">
        <x:v>AUTHORITATIVE_REQUIREMENT_SCOPED</x:v>
      </x:c>
    </x:row>
    <x:row r="205">
      <x:c r="A205" s="38" t="str">
        <x:v>TRF-027</x:v>
      </x:c>
      <x:c r="B205" s="35" t="str">
        <x:v>ship</x:v>
      </x:c>
      <x:c r="C205" s="35" t="str">
        <x:v>coefficientC5</x:v>
      </x:c>
      <x:c r="D205" s="35" t="str">
        <x:v>ship</x:v>
      </x:c>
      <x:c r="E205" s="35" t="str"/>
      <x:c r="F205" s="35" t="str">
        <x:v>AUTHORITATIVE_REQUIREMENT_SCOPED</x:v>
      </x:c>
    </x:row>
    <x:row r="206">
      <x:c r="A206" s="38" t="str">
        <x:v>TRF-027</x:v>
      </x:c>
      <x:c r="B206" s="35" t="str">
        <x:v>ship</x:v>
      </x:c>
      <x:c r="C206" s="35" t="str">
        <x:v>coefficientF1</x:v>
      </x:c>
      <x:c r="D206" s="35" t="str">
        <x:v>ship</x:v>
      </x:c>
      <x:c r="E206" s="35" t="str"/>
      <x:c r="F206" s="35" t="str">
        <x:v>AUTHORITATIVE_REQUIREMENT_SCOPED</x:v>
      </x:c>
    </x:row>
    <x:row r="207">
      <x:c r="A207" s="38" t="str">
        <x:v>TRF-027</x:v>
      </x:c>
      <x:c r="B207" s="35" t="str">
        <x:v>ship</x:v>
      </x:c>
      <x:c r="C207" s="35" t="str">
        <x:v>coefficientF2</x:v>
      </x:c>
      <x:c r="D207" s="35" t="str">
        <x:v>ship</x:v>
      </x:c>
      <x:c r="E207" s="35" t="str"/>
      <x:c r="F207" s="35" t="str">
        <x:v>AUTHORITATIVE_REQUIREMENT_SCOPED</x:v>
      </x:c>
    </x:row>
    <x:row r="208">
      <x:c r="A208" s="38" t="str">
        <x:v>TRF-027</x:v>
      </x:c>
      <x:c r="B208" s="35" t="str">
        <x:v>ship</x:v>
      </x:c>
      <x:c r="C208" s="35" t="str">
        <x:v>coefficientF3</x:v>
      </x:c>
      <x:c r="D208" s="35" t="str">
        <x:v>ship</x:v>
      </x:c>
      <x:c r="E208" s="35" t="str"/>
      <x:c r="F208" s="35" t="str">
        <x:v>AUTHORITATIVE_REQUIREMENT_SCOPED</x:v>
      </x:c>
    </x:row>
    <x:row r="209">
      <x:c r="A209" s="38" t="str">
        <x:v>TRF-027</x:v>
      </x:c>
      <x:c r="B209" s="35" t="str">
        <x:v>ship</x:v>
      </x:c>
      <x:c r="C209" s="35" t="str">
        <x:v>coefficientF4</x:v>
      </x:c>
      <x:c r="D209" s="35" t="str">
        <x:v>ship</x:v>
      </x:c>
      <x:c r="E209" s="35" t="str"/>
      <x:c r="F209" s="35" t="str">
        <x:v>AUTHORITATIVE_REQUIREMENT_SCOPED</x:v>
      </x:c>
    </x:row>
    <x:row r="210">
      <x:c r="A210" s="38" t="str">
        <x:v>TRF-027</x:v>
      </x:c>
      <x:c r="B210" s="35" t="str">
        <x:v>ship</x:v>
      </x:c>
      <x:c r="C210" s="35" t="str">
        <x:v>coefficientG1</x:v>
      </x:c>
      <x:c r="D210" s="35" t="str">
        <x:v>ship</x:v>
      </x:c>
      <x:c r="E210" s="35" t="str"/>
      <x:c r="F210" s="35" t="str">
        <x:v>AUTHORITATIVE_REQUIREMENT_SCOPED</x:v>
      </x:c>
    </x:row>
    <x:row r="211">
      <x:c r="A211" s="38" t="str">
        <x:v>TRF-027</x:v>
      </x:c>
      <x:c r="B211" s="35" t="str">
        <x:v>ship</x:v>
      </x:c>
      <x:c r="C211" s="35" t="str">
        <x:v>coefficientG2</x:v>
      </x:c>
      <x:c r="D211" s="35" t="str">
        <x:v>ship</x:v>
      </x:c>
      <x:c r="E211" s="35" t="str"/>
      <x:c r="F211" s="35" t="str">
        <x:v>AUTHORITATIVE_REQUIREMENT_SCOPED</x:v>
      </x:c>
    </x:row>
    <x:row r="212">
      <x:c r="A212" s="38" t="str">
        <x:v>TRF-027</x:v>
      </x:c>
      <x:c r="B212" s="35" t="str">
        <x:v>ship</x:v>
      </x:c>
      <x:c r="C212" s="35" t="str">
        <x:v>coefficientG3</x:v>
      </x:c>
      <x:c r="D212" s="35" t="str">
        <x:v>ship</x:v>
      </x:c>
      <x:c r="E212" s="35" t="str"/>
      <x:c r="F212" s="35" t="str">
        <x:v>AUTHORITATIVE_REQUIREMENT_SCOPED</x:v>
      </x:c>
    </x:row>
    <x:row r="213">
      <x:c r="A213" s="38" t="str">
        <x:v>TRF-027</x:v>
      </x:c>
      <x:c r="B213" s="35" t="str">
        <x:v>ship</x:v>
      </x:c>
      <x:c r="C213" s="35" t="str">
        <x:v>constructionStageDate</x:v>
      </x:c>
      <x:c r="D213" s="35" t="str">
        <x:v>ship</x:v>
      </x:c>
      <x:c r="E213" s="35" t="str"/>
      <x:c r="F213" s="35" t="str">
        <x:v>AUTHORITATIVE_REQUIREMENT_SCOPED</x:v>
      </x:c>
    </x:row>
    <x:row r="214">
      <x:c r="A214" s="38" t="str">
        <x:v>TRF-027</x:v>
      </x:c>
      <x:c r="B214" s="35" t="str">
        <x:v>ship</x:v>
      </x:c>
      <x:c r="C214" s="35" t="str">
        <x:v>iceClass</x:v>
      </x:c>
      <x:c r="D214" s="35" t="str">
        <x:v>ship</x:v>
      </x:c>
      <x:c r="E214" s="35" t="str"/>
      <x:c r="F214" s="35" t="str">
        <x:v>AUTHORITATIVE_REQUIREMENT_SCOPED</x:v>
      </x:c>
    </x:row>
    <x:row r="215">
      <x:c r="A215" s="38" t="str">
        <x:v>TRF-027</x:v>
      </x:c>
      <x:c r="B215" s="35" t="str">
        <x:v>ship</x:v>
      </x:c>
      <x:c r="C215" s="35" t="str">
        <x:v>iceClassDraught</x:v>
      </x:c>
      <x:c r="D215" s="35" t="str">
        <x:v>ship</x:v>
      </x:c>
      <x:c r="E215" s="35" t="str"/>
      <x:c r="F215" s="35" t="str">
        <x:v>AUTHORITATIVE_REQUIREMENT_SCOPED</x:v>
      </x:c>
    </x:row>
    <x:row r="216">
      <x:c r="A216" s="38" t="str">
        <x:v>TRF-027</x:v>
      </x:c>
      <x:c r="B216" s="35" t="str">
        <x:v>ship</x:v>
      </x:c>
      <x:c r="C216" s="35" t="str">
        <x:v>iceClassIa</x:v>
      </x:c>
      <x:c r="D216" s="35" t="str">
        <x:v>ship</x:v>
      </x:c>
      <x:c r="E216" s="35" t="str"/>
      <x:c r="F216" s="35" t="str">
        <x:v>AUTHORITATIVE_REQUIREMENT_SCOPED</x:v>
      </x:c>
    </x:row>
    <x:row r="217">
      <x:c r="A217" s="38" t="str">
        <x:v>TRF-027</x:v>
      </x:c>
      <x:c r="B217" s="35" t="str">
        <x:v>ship</x:v>
      </x:c>
      <x:c r="C217" s="35" t="str">
        <x:v>iceClassIaSuper</x:v>
      </x:c>
      <x:c r="D217" s="35" t="str">
        <x:v>ship</x:v>
      </x:c>
      <x:c r="E217" s="35" t="str"/>
      <x:c r="F217" s="35" t="str">
        <x:v>AUTHORITATIVE_REQUIREMENT_SCOPED</x:v>
      </x:c>
    </x:row>
    <x:row r="218">
      <x:c r="A218" s="38" t="str">
        <x:v>TRF-027</x:v>
      </x:c>
      <x:c r="B218" s="35" t="str">
        <x:v>ship</x:v>
      </x:c>
      <x:c r="C218" s="35" t="str">
        <x:v>kilogramPerSquareMetreSquareSecondUnit</x:v>
      </x:c>
      <x:c r="D218" s="35" t="str">
        <x:v>ship</x:v>
      </x:c>
      <x:c r="E218" s="35" t="str"/>
      <x:c r="F218" s="35" t="str">
        <x:v>AUTHORITATIVE_REQUIREMENT_SCOPED</x:v>
      </x:c>
    </x:row>
    <x:row r="219">
      <x:c r="A219" s="38" t="str">
        <x:v>TRF-027</x:v>
      </x:c>
      <x:c r="B219" s="35" t="str">
        <x:v>ship</x:v>
      </x:c>
      <x:c r="C219" s="35" t="str">
        <x:v>kilogramPerSquareSecondUnit</x:v>
      </x:c>
      <x:c r="D219" s="35" t="str">
        <x:v>ship</x:v>
      </x:c>
      <x:c r="E219" s="35" t="str"/>
      <x:c r="F219" s="35" t="str">
        <x:v>AUTHORITATIVE_REQUIREMENT_SCOPED</x:v>
      </x:c>
    </x:row>
    <x:row r="220">
      <x:c r="A220" s="38" t="str">
        <x:v>TRF-027</x:v>
      </x:c>
      <x:c r="B220" s="35" t="str">
        <x:v>ship</x:v>
      </x:c>
      <x:c r="C220" s="35" t="str">
        <x:v>newtonPerMetreToPowerOnePointFiveUnit</x:v>
      </x:c>
      <x:c r="D220" s="35" t="str">
        <x:v>ship</x:v>
      </x:c>
      <x:c r="E220" s="35" t="str"/>
      <x:c r="F220" s="35" t="str">
        <x:v>AUTHORITATIVE_REQUIREMENT_SCOPED</x:v>
      </x:c>
    </x:row>
    <x:row r="221">
      <x:c r="A221" s="38" t="str">
        <x:v>TRF-027</x:v>
      </x:c>
      <x:c r="B221" s="35" t="str">
        <x:v>ship</x:v>
      </x:c>
      <x:c r="C221" s="35" t="str">
        <x:v>shipBreadth</x:v>
      </x:c>
      <x:c r="D221" s="35" t="str">
        <x:v>ship</x:v>
      </x:c>
      <x:c r="E221" s="35" t="str"/>
      <x:c r="F221" s="35" t="str">
        <x:v>AUTHORITATIVE_REQUIREMENT_SCOPED</x:v>
      </x:c>
    </x:row>
    <x:row r="222">
      <x:c r="A222" s="38" t="str">
        <x:v>TRF-027</x:v>
      </x:c>
      <x:c r="B222" s="35" t="str">
        <x:v>ship</x:v>
      </x:c>
      <x:c r="C222" s="35" t="str">
        <x:v>shipLength</x:v>
      </x:c>
      <x:c r="D222" s="35" t="str">
        <x:v>ship</x:v>
      </x:c>
      <x:c r="E222" s="35" t="str"/>
      <x:c r="F222" s="35" t="str">
        <x:v>AUTHORITATIVE_REQUIREMENT_SCOPED</x:v>
      </x:c>
    </x:row>
    <x:row r="223">
      <x:c r="A223" s="38" t="str">
        <x:v>TRF-028</x:v>
      </x:c>
      <x:c r="B223" s="35" t="str">
        <x:v>ship</x:v>
      </x:c>
      <x:c r="C223" s="35" t="str">
        <x:v>alternativeCalculationEvidence</x:v>
      </x:c>
      <x:c r="D223" s="35" t="str">
        <x:v>ship</x:v>
      </x:c>
      <x:c r="E223" s="35" t="str"/>
      <x:c r="F223" s="35" t="str">
        <x:v>AUTHORITATIVE_REQUIREMENT_SCOPED</x:v>
      </x:c>
    </x:row>
    <x:row r="224">
      <x:c r="A224" s="38" t="str">
        <x:v>TRF-028</x:v>
      </x:c>
      <x:c r="B224" s="35" t="str">
        <x:v>ship</x:v>
      </x:c>
      <x:c r="C224" s="35" t="str">
        <x:v>approvalRevocationStatus</x:v>
      </x:c>
      <x:c r="D224" s="35" t="str">
        <x:v>ship</x:v>
      </x:c>
      <x:c r="E224" s="35" t="str"/>
      <x:c r="F224" s="35" t="str">
        <x:v>AUTHORITATIVE_REQUIREMENT_SCOPED</x:v>
      </x:c>
    </x:row>
    <x:row r="225">
      <x:c r="A225" s="38" t="str">
        <x:v>TRF-028</x:v>
      </x:c>
      <x:c r="B225" s="35" t="str">
        <x:v>ship</x:v>
      </x:c>
      <x:c r="C225" s="35" t="str">
        <x:v>approvalStatus</x:v>
      </x:c>
      <x:c r="D225" s="35" t="str">
        <x:v>ship</x:v>
      </x:c>
      <x:c r="E225" s="35" t="str"/>
      <x:c r="F225" s="35" t="str">
        <x:v>AUTHORITATIVE_REQUIREMENT_SCOPED</x:v>
      </x:c>
    </x:row>
    <x:row r="226">
      <x:c r="A226" s="38" t="str">
        <x:v>TRF-028</x:v>
      </x:c>
      <x:c r="B226" s="35" t="str">
        <x:v>ship</x:v>
      </x:c>
      <x:c r="C226" s="35" t="str">
        <x:v>brashIceChannelResistanceRch</x:v>
      </x:c>
      <x:c r="D226" s="35" t="str">
        <x:v>ship</x:v>
      </x:c>
      <x:c r="E226" s="35" t="str"/>
      <x:c r="F226" s="35" t="str">
        <x:v>AUTHORITATIVE_REQUIREMENT_SCOPED</x:v>
      </x:c>
    </x:row>
    <x:row r="227">
      <x:c r="A227" s="38" t="str">
        <x:v>TRF-028</x:v>
      </x:c>
      <x:c r="B227" s="35" t="str">
        <x:v>ship</x:v>
      </x:c>
      <x:c r="C227" s="35" t="str">
        <x:v>engineOutputCoefficientKe</x:v>
      </x:c>
      <x:c r="D227" s="35" t="str">
        <x:v>ship</x:v>
      </x:c>
      <x:c r="E227" s="35" t="str"/>
      <x:c r="F227" s="35" t="str">
        <x:v>AUTHORITATIVE_REQUIREMENT_SCOPED</x:v>
      </x:c>
    </x:row>
    <x:row r="228">
      <x:c r="A228" s="38" t="str">
        <x:v>TRF-028</x:v>
      </x:c>
      <x:c r="B228" s="35" t="str">
        <x:v>ship</x:v>
      </x:c>
      <x:c r="C228" s="35" t="str">
        <x:v>modelTestEvidence</x:v>
      </x:c>
      <x:c r="D228" s="35" t="str">
        <x:v>ship</x:v>
      </x:c>
      <x:c r="E228" s="35" t="str"/>
      <x:c r="F228" s="35" t="str">
        <x:v>AUTHORITATIVE_REQUIREMENT_SCOPED</x:v>
      </x:c>
    </x:row>
    <x:row r="229">
      <x:c r="A229" s="38" t="str">
        <x:v>TRF-028</x:v>
      </x:c>
      <x:c r="B229" s="35" t="str">
        <x:v>ship</x:v>
      </x:c>
      <x:c r="C229" s="35" t="str">
        <x:v>shipPerformanceExperienceEvidence</x:v>
      </x:c>
      <x:c r="D229" s="35" t="str">
        <x:v>ship</x:v>
      </x:c>
      <x:c r="E229" s="35" t="str"/>
      <x:c r="F229" s="35" t="str">
        <x:v>AUTHORITATIVE_REQUIREMENT_SCOPED</x:v>
      </x:c>
    </x:row>
    <x:row r="230">
      <x:c r="A230" s="38" t="str">
        <x:v>TRF-029</x:v>
      </x:c>
      <x:c r="B230" s="35" t="str">
        <x:v>ship</x:v>
      </x:c>
      <x:c r="C230" s="35" t="str">
        <x:v>directAnalysisApprovalStatus</x:v>
      </x:c>
      <x:c r="D230" s="35" t="str">
        <x:v>ship</x:v>
      </x:c>
      <x:c r="E230" s="35" t="str"/>
      <x:c r="F230" s="35" t="str">
        <x:v>AUTHORITATIVE_REQUIREMENT_SCOPED</x:v>
      </x:c>
    </x:row>
    <x:row r="231">
      <x:c r="A231" s="38" t="str">
        <x:v>TRF-029</x:v>
      </x:c>
      <x:c r="B231" s="35" t="str">
        <x:v>ship</x:v>
      </x:c>
      <x:c r="C231" s="35" t="str">
        <x:v>directAnalysisUsed</x:v>
      </x:c>
      <x:c r="D231" s="35" t="str">
        <x:v>ship</x:v>
      </x:c>
      <x:c r="E231" s="35" t="str"/>
      <x:c r="F231" s="35" t="str">
        <x:v>AUTHORITATIVE_REQUIREMENT_SCOPED</x:v>
      </x:c>
    </x:row>
    <x:row r="232">
      <x:c r="A232" s="38" t="str">
        <x:v>TRF-029</x:v>
      </x:c>
      <x:c r="B232" s="35" t="str">
        <x:v>ship</x:v>
      </x:c>
      <x:c r="C232" s="35" t="str">
        <x:v>prescribedProcedureApplicability</x:v>
      </x:c>
      <x:c r="D232" s="35" t="str">
        <x:v>ship</x:v>
      </x:c>
      <x:c r="E232" s="35" t="str"/>
      <x:c r="F232" s="35" t="str">
        <x:v>AUTHORITATIVE_REQUIREMENT_SCOPED</x:v>
      </x:c>
    </x:row>
    <x:row r="233">
      <x:c r="A233" s="38" t="str">
        <x:v>TRF-029</x:v>
      </x:c>
      <x:c r="B233" s="35" t="str">
        <x:v>ship</x:v>
      </x:c>
      <x:c r="C233" s="35" t="str">
        <x:v>structuralArrangement</x:v>
      </x:c>
      <x:c r="D233" s="35" t="str">
        <x:v>ship</x:v>
      </x:c>
      <x:c r="E233" s="35" t="str"/>
      <x:c r="F233" s="35" t="str">
        <x:v>AUTHORITATIVE_REQUIREMENT_SCOPED</x:v>
      </x:c>
    </x:row>
    <x:row r="234">
      <x:c r="A234" s="38" t="str">
        <x:v>TRF-030</x:v>
      </x:c>
      <x:c r="B234" s="35" t="str">
        <x:v>ship</x:v>
      </x:c>
      <x:c r="C234" s="35" t="str">
        <x:v>appliedIcePressure</x:v>
      </x:c>
      <x:c r="D234" s="35" t="str">
        <x:v>ship</x:v>
      </x:c>
      <x:c r="E234" s="35" t="str">
        <x:v>Represent several vertical and horizontal direct-analysis cases and corresponding load-length/area-factor pairs.</x:v>
      </x:c>
      <x:c r="F234" s="35" t="str">
        <x:v>AUTHORITATIVE_REQUIREMENT_SCOPED</x:v>
      </x:c>
    </x:row>
    <x:row r="235">
      <x:c r="A235" s="38" t="str">
        <x:v>TRF-030</x:v>
      </x:c>
      <x:c r="B235" s="35" t="str">
        <x:v>ship</x:v>
      </x:c>
      <x:c r="C235" s="35" t="str">
        <x:v>capacityMinimizingLoadPositionConfirmed</x:v>
      </x:c>
      <x:c r="D235" s="35" t="str">
        <x:v>ship</x:v>
      </x:c>
      <x:c r="E235" s="35" t="str">
        <x:v>Represent several vertical and horizontal direct-analysis cases and corresponding load-length/area-factor pairs.</x:v>
      </x:c>
      <x:c r="F235" s="35" t="str">
        <x:v>AUTHORITATIVE_REQUIREMENT_SCOPED</x:v>
      </x:c>
    </x:row>
    <x:row r="236">
      <x:c r="A236" s="38" t="str">
        <x:v>TRF-030</x:v>
      </x:c>
      <x:c r="B236" s="35" t="str">
        <x:v>ship</x:v>
      </x:c>
      <x:c r="C236" s="35" t="str">
        <x:v>combinedBendingAndShearEvaluated</x:v>
      </x:c>
      <x:c r="D236" s="35" t="str">
        <x:v>ship</x:v>
      </x:c>
      <x:c r="E236" s="35" t="str">
        <x:v>Represent several vertical and horizontal direct-analysis cases and corresponding load-length/area-factor pairs.</x:v>
      </x:c>
      <x:c r="F236" s="35" t="str">
        <x:v>AUTHORITATIVE_REQUIREMENT_SCOPED</x:v>
      </x:c>
    </x:row>
    <x:row r="237">
      <x:c r="A237" s="38" t="str">
        <x:v>TRF-030</x:v>
      </x:c>
      <x:c r="B237" s="35" t="str">
        <x:v>ship</x:v>
      </x:c>
      <x:c r="C237" s="35" t="str">
        <x:v>directAnalysisCase</x:v>
      </x:c>
      <x:c r="D237" s="35" t="str">
        <x:v>ship</x:v>
      </x:c>
      <x:c r="E237" s="35" t="str">
        <x:v>Represent several vertical and horizontal direct-analysis cases and corresponding load-length/area-factor pairs.</x:v>
      </x:c>
      <x:c r="F237" s="35" t="str">
        <x:v>AUTHORITATIVE_REQUIREMENT_SCOPED</x:v>
      </x:c>
    </x:row>
    <x:row r="238">
      <x:c r="A238" s="38" t="str">
        <x:v>TRF-030</x:v>
      </x:c>
      <x:c r="B238" s="35" t="str">
        <x:v>ship</x:v>
      </x:c>
      <x:c r="C238" s="35" t="str">
        <x:v>halfLoadHeightBelowLowerIceWaterlinePosition</x:v>
      </x:c>
      <x:c r="D238" s="35" t="str">
        <x:v>ship</x:v>
      </x:c>
      <x:c r="E238" s="35" t="str">
        <x:v>Represent several vertical and horizontal direct-analysis cases and corresponding load-length/area-factor pairs.</x:v>
      </x:c>
      <x:c r="F238" s="35" t="str">
        <x:v>AUTHORITATIVE_REQUIREMENT_SCOPED</x:v>
      </x:c>
    </x:row>
    <x:row r="239">
      <x:c r="A239" s="38" t="str">
        <x:v>TRF-030</x:v>
      </x:c>
      <x:c r="B239" s="35" t="str">
        <x:v>ship</x:v>
      </x:c>
      <x:c r="C239" s="35" t="str">
        <x:v>hasDirectAnalysisCase</x:v>
      </x:c>
      <x:c r="D239" s="35" t="str">
        <x:v>ship</x:v>
      </x:c>
      <x:c r="E239" s="35" t="str">
        <x:v>Represent several vertical and horizontal direct-analysis cases and corresponding load-length/area-factor pairs.</x:v>
      </x:c>
      <x:c r="F239" s="35" t="str">
        <x:v>AUTHORITATIVE_REQUIREMENT_SCOPED</x:v>
      </x:c>
    </x:row>
    <x:row r="240">
      <x:c r="A240" s="38" t="str">
        <x:v>TRF-030</x:v>
      </x:c>
      <x:c r="B240" s="35" t="str">
        <x:v>ship</x:v>
      </x:c>
      <x:c r="C240" s="35" t="str">
        <x:v>horizontalLoadPosition</x:v>
      </x:c>
      <x:c r="D240" s="35" t="str">
        <x:v>ship</x:v>
      </x:c>
      <x:c r="E240" s="35" t="str">
        <x:v>Represent several vertical and horizontal direct-analysis cases and corresponding load-length/area-factor pairs.</x:v>
      </x:c>
      <x:c r="F240" s="35" t="str">
        <x:v>AUTHORITATIVE_REQUIREMENT_SCOPED</x:v>
      </x:c>
    </x:row>
    <x:row r="241">
      <x:c r="A241" s="38" t="str">
        <x:v>TRF-030</x:v>
      </x:c>
      <x:c r="B241" s="35" t="str">
        <x:v>ship</x:v>
      </x:c>
      <x:c r="C241" s="35" t="str">
        <x:v>horizontalLoadPositionType</x:v>
      </x:c>
      <x:c r="D241" s="35" t="str">
        <x:v>ship</x:v>
      </x:c>
      <x:c r="E241" s="35" t="str">
        <x:v>Represent several vertical and horizontal direct-analysis cases and corresponding load-length/area-factor pairs.</x:v>
      </x:c>
      <x:c r="F241" s="35" t="str">
        <x:v>AUTHORITATIVE_REQUIREMENT_SCOPED</x:v>
      </x:c>
    </x:row>
    <x:row r="242">
      <x:c r="A242" s="38" t="str">
        <x:v>TRF-030</x:v>
      </x:c>
      <x:c r="B242" s="35" t="str">
        <x:v>ship</x:v>
      </x:c>
      <x:c r="C242" s="35" t="str">
        <x:v>iceLoadAreaFactorCa</x:v>
      </x:c>
      <x:c r="D242" s="35" t="str">
        <x:v>ship</x:v>
      </x:c>
      <x:c r="E242" s="35" t="str">
        <x:v>Represent several vertical and horizontal direct-analysis cases and corresponding load-length/area-factor pairs.</x:v>
      </x:c>
      <x:c r="F242" s="35" t="str">
        <x:v>AUTHORITATIVE_REQUIREMENT_SCOPED</x:v>
      </x:c>
    </x:row>
    <x:row r="243">
      <x:c r="A243" s="38" t="str">
        <x:v>TRF-030</x:v>
      </x:c>
      <x:c r="B243" s="35" t="str">
        <x:v>ship</x:v>
      </x:c>
      <x:c r="C243" s="35" t="str">
        <x:v>icePressure</x:v>
      </x:c>
      <x:c r="D243" s="35" t="str">
        <x:v>ship</x:v>
      </x:c>
      <x:c r="E243" s="35" t="str">
        <x:v>Represent several vertical and horizontal direct-analysis cases and corresponding load-length/area-factor pairs.</x:v>
      </x:c>
      <x:c r="F243" s="35" t="str">
        <x:v>AUTHORITATIVE_REQUIREMENT_SCOPED</x:v>
      </x:c>
    </x:row>
    <x:row r="244">
      <x:c r="A244" s="38" t="str">
        <x:v>TRF-030</x:v>
      </x:c>
      <x:c r="B244" s="35" t="str">
        <x:v>ship</x:v>
      </x:c>
      <x:c r="C244" s="35" t="str">
        <x:v>intermediateVerticalPosition</x:v>
      </x:c>
      <x:c r="D244" s="35" t="str">
        <x:v>ship</x:v>
      </x:c>
      <x:c r="E244" s="35" t="str">
        <x:v>Represent several vertical and horizontal direct-analysis cases and corresponding load-length/area-factor pairs.</x:v>
      </x:c>
      <x:c r="F244" s="35" t="str">
        <x:v>AUTHORITATIVE_REQUIREMENT_SCOPED</x:v>
      </x:c>
    </x:row>
    <x:row r="245">
      <x:c r="A245" s="38" t="str">
        <x:v>TRF-030</x:v>
      </x:c>
      <x:c r="B245" s="35" t="str">
        <x:v>ship</x:v>
      </x:c>
      <x:c r="C245" s="35" t="str">
        <x:v>loadLengthDeterminedFromArrangement</x:v>
      </x:c>
      <x:c r="D245" s="35" t="str">
        <x:v>ship</x:v>
      </x:c>
      <x:c r="E245" s="35" t="str">
        <x:v>Represent several vertical and horizontal direct-analysis cases and corresponding load-length/area-factor pairs.</x:v>
      </x:c>
      <x:c r="F245" s="35" t="str">
        <x:v>AUTHORITATIVE_REQUIREMENT_SCOPED</x:v>
      </x:c>
    </x:row>
    <x:row r="246">
      <x:c r="A246" s="38" t="str">
        <x:v>TRF-030</x:v>
      </x:c>
      <x:c r="B246" s="35" t="str">
        <x:v>ship</x:v>
      </x:c>
      <x:c r="C246" s="35" t="str">
        <x:v>loadPatchApplicationLocation</x:v>
      </x:c>
      <x:c r="D246" s="35" t="str">
        <x:v>ship</x:v>
      </x:c>
      <x:c r="E246" s="35" t="str">
        <x:v>Represent several vertical and horizontal direct-analysis cases and corresponding load-length/area-factor pairs.</x:v>
      </x:c>
      <x:c r="F246" s="35" t="str">
        <x:v>AUTHORITATIVE_REQUIREMENT_SCOPED</x:v>
      </x:c>
    </x:row>
    <x:row r="247">
      <x:c r="A247" s="38" t="str">
        <x:v>TRF-030</x:v>
      </x:c>
      <x:c r="B247" s="35" t="str">
        <x:v>ship</x:v>
      </x:c>
      <x:c r="C247" s="35" t="str">
        <x:v>loadPatchHeight</x:v>
      </x:c>
      <x:c r="D247" s="35" t="str">
        <x:v>ship</x:v>
      </x:c>
      <x:c r="E247" s="35" t="str">
        <x:v>Represent several vertical and horizontal direct-analysis cases and corresponding load-length/area-factor pairs.</x:v>
      </x:c>
      <x:c r="F247" s="35" t="str">
        <x:v>AUTHORITATIVE_REQUIREMENT_SCOPED</x:v>
      </x:c>
    </x:row>
    <x:row r="248">
      <x:c r="A248" s="38" t="str">
        <x:v>TRF-030</x:v>
      </x:c>
      <x:c r="B248" s="35" t="str">
        <x:v>ship</x:v>
      </x:c>
      <x:c r="C248" s="35" t="str">
        <x:v>loadPatchLength</x:v>
      </x:c>
      <x:c r="D248" s="35" t="str">
        <x:v>ship</x:v>
      </x:c>
      <x:c r="E248" s="35" t="str">
        <x:v>Represent several vertical and horizontal direct-analysis cases and corresponding load-length/area-factor pairs.</x:v>
      </x:c>
      <x:c r="F248" s="35" t="str">
        <x:v>AUTHORITATIVE_REQUIREMENT_SCOPED</x:v>
      </x:c>
    </x:row>
    <x:row r="249">
      <x:c r="A249" s="38" t="str">
        <x:v>TRF-030</x:v>
      </x:c>
      <x:c r="B249" s="35" t="str">
        <x:v>ship</x:v>
      </x:c>
      <x:c r="C249" s="35" t="str">
        <x:v>lowerIceWaterlineReferencePosition</x:v>
      </x:c>
      <x:c r="D249" s="35" t="str">
        <x:v>ship</x:v>
      </x:c>
      <x:c r="E249" s="35" t="str">
        <x:v>Represent several vertical and horizontal direct-analysis cases and corresponding load-length/area-factor pairs.</x:v>
      </x:c>
      <x:c r="F249" s="35" t="str">
        <x:v>AUTHORITATIVE_REQUIREMENT_SCOPED</x:v>
      </x:c>
    </x:row>
    <x:row r="250">
      <x:c r="A250" s="38" t="str">
        <x:v>TRF-030</x:v>
      </x:c>
      <x:c r="B250" s="35" t="str">
        <x:v>ship</x:v>
      </x:c>
      <x:c r="C250" s="35" t="str">
        <x:v>midSpanOrSpacingCenteredPosition</x:v>
      </x:c>
      <x:c r="D250" s="35" t="str">
        <x:v>ship</x:v>
      </x:c>
      <x:c r="E250" s="35" t="str">
        <x:v>Represent several vertical and horizontal direct-analysis cases and corresponding load-length/area-factor pairs.</x:v>
      </x:c>
      <x:c r="F250" s="35" t="str">
        <x:v>AUTHORITATIVE_REQUIREMENT_SCOPED</x:v>
      </x:c>
    </x:row>
    <x:row r="251">
      <x:c r="A251" s="38" t="str">
        <x:v>TRF-030</x:v>
      </x:c>
      <x:c r="B251" s="35" t="str">
        <x:v>ship</x:v>
      </x:c>
      <x:c r="C251" s="35" t="str">
        <x:v>otherHorizontalPosition</x:v>
      </x:c>
      <x:c r="D251" s="35" t="str">
        <x:v>ship</x:v>
      </x:c>
      <x:c r="E251" s="35" t="str">
        <x:v>Represent several vertical and horizontal direct-analysis cases and corresponding load-length/area-factor pairs.</x:v>
      </x:c>
      <x:c r="F251" s="35" t="str">
        <x:v>AUTHORITATIVE_REQUIREMENT_SCOPED</x:v>
      </x:c>
    </x:row>
    <x:row r="252">
      <x:c r="A252" s="38" t="str">
        <x:v>TRF-030</x:v>
      </x:c>
      <x:c r="B252" s="35" t="str">
        <x:v>ship</x:v>
      </x:c>
      <x:c r="C252" s="35" t="str">
        <x:v>spacing</x:v>
      </x:c>
      <x:c r="D252" s="35" t="str">
        <x:v>ship</x:v>
      </x:c>
      <x:c r="E252" s="35" t="str">
        <x:v>Represent several vertical and horizontal direct-analysis cases and corresponding load-length/area-factor pairs.</x:v>
      </x:c>
      <x:c r="F252" s="35" t="str">
        <x:v>AUTHORITATIVE_REQUIREMENT_SCOPED</x:v>
      </x:c>
    </x:row>
    <x:row r="253">
      <x:c r="A253" s="38" t="str">
        <x:v>TRF-030</x:v>
      </x:c>
      <x:c r="B253" s="35" t="str">
        <x:v>ship</x:v>
      </x:c>
      <x:c r="C253" s="35" t="str">
        <x:v>span</x:v>
      </x:c>
      <x:c r="D253" s="35" t="str">
        <x:v>ship</x:v>
      </x:c>
      <x:c r="E253" s="35" t="str">
        <x:v>Represent several vertical and horizontal direct-analysis cases and corresponding load-length/area-factor pairs.</x:v>
      </x:c>
      <x:c r="F253" s="35" t="str">
        <x:v>AUTHORITATIVE_REQUIREMENT_SCOPED</x:v>
      </x:c>
    </x:row>
    <x:row r="254">
      <x:c r="A254" s="38" t="str">
        <x:v>TRF-030</x:v>
      </x:c>
      <x:c r="B254" s="35" t="str">
        <x:v>ship</x:v>
      </x:c>
      <x:c r="C254" s="35" t="str">
        <x:v>upperIceWaterlineCenteredPosition</x:v>
      </x:c>
      <x:c r="D254" s="35" t="str">
        <x:v>ship</x:v>
      </x:c>
      <x:c r="E254" s="35" t="str">
        <x:v>Represent several vertical and horizontal direct-analysis cases and corresponding load-length/area-factor pairs.</x:v>
      </x:c>
      <x:c r="F254" s="35" t="str">
        <x:v>AUTHORITATIVE_REQUIREMENT_SCOPED</x:v>
      </x:c>
    </x:row>
    <x:row r="255">
      <x:c r="A255" s="38" t="str">
        <x:v>TRF-030</x:v>
      </x:c>
      <x:c r="B255" s="35" t="str">
        <x:v>ship</x:v>
      </x:c>
      <x:c r="C255" s="35" t="str">
        <x:v>upperIceWaterlineReferencePosition</x:v>
      </x:c>
      <x:c r="D255" s="35" t="str">
        <x:v>ship</x:v>
      </x:c>
      <x:c r="E255" s="35" t="str">
        <x:v>Represent several vertical and horizontal direct-analysis cases and corresponding load-length/area-factor pairs.</x:v>
      </x:c>
      <x:c r="F255" s="35" t="str">
        <x:v>AUTHORITATIVE_REQUIREMENT_SCOPED</x:v>
      </x:c>
    </x:row>
    <x:row r="256">
      <x:c r="A256" s="38" t="str">
        <x:v>TRF-030</x:v>
      </x:c>
      <x:c r="B256" s="35" t="str">
        <x:v>ship</x:v>
      </x:c>
      <x:c r="C256" s="35" t="str">
        <x:v>verticalLoadPosition</x:v>
      </x:c>
      <x:c r="D256" s="35" t="str">
        <x:v>ship</x:v>
      </x:c>
      <x:c r="E256" s="35" t="str">
        <x:v>Represent several vertical and horizontal direct-analysis cases and corresponding load-length/area-factor pairs.</x:v>
      </x:c>
      <x:c r="F256" s="35" t="str">
        <x:v>AUTHORITATIVE_REQUIREMENT_SCOPED</x:v>
      </x:c>
    </x:row>
    <x:row r="257">
      <x:c r="A257" s="38" t="str">
        <x:v>TRF-030</x:v>
      </x:c>
      <x:c r="B257" s="35" t="str">
        <x:v>ship</x:v>
      </x:c>
      <x:c r="C257" s="35" t="str">
        <x:v>verticalLoadPositionType</x:v>
      </x:c>
      <x:c r="D257" s="35" t="str">
        <x:v>ship</x:v>
      </x:c>
      <x:c r="E257" s="35" t="str">
        <x:v>Represent several vertical and horizontal direct-analysis cases and corresponding load-length/area-factor pairs.</x:v>
      </x:c>
      <x:c r="F257" s="35" t="str">
        <x:v>AUTHORITATIVE_REQUIREMENT_SCOPED</x:v>
      </x:c>
    </x:row>
    <x:row r="258">
      <x:c r="A258" s="38" t="str">
        <x:v>TRF-031</x:v>
      </x:c>
      <x:c r="B258" s="35" t="str">
        <x:v>ship</x:v>
      </x:c>
      <x:c r="C258" s="35" t="str">
        <x:v>allowableShearStress</x:v>
      </x:c>
      <x:c r="D258" s="35" t="str">
        <x:v>ship</x:v>
      </x:c>
      <x:c r="E258" s="35" t="str"/>
      <x:c r="F258" s="35" t="str">
        <x:v>AUTHORITATIVE_REQUIREMENT_SCOPED</x:v>
      </x:c>
    </x:row>
    <x:row r="259">
      <x:c r="A259" s="38" t="str">
        <x:v>TRF-031</x:v>
      </x:c>
      <x:c r="B259" s="35" t="str">
        <x:v>ship</x:v>
      </x:c>
      <x:c r="C259" s="35" t="str">
        <x:v>beamTheoryUsed</x:v>
      </x:c>
      <x:c r="D259" s="35" t="str">
        <x:v>ship</x:v>
      </x:c>
      <x:c r="E259" s="35" t="str"/>
      <x:c r="F259" s="35" t="str">
        <x:v>AUTHORITATIVE_REQUIREMENT_SCOPED</x:v>
      </x:c>
    </x:row>
    <x:row r="260">
      <x:c r="A260" s="38" t="str">
        <x:v>TRF-031</x:v>
      </x:c>
      <x:c r="B260" s="35" t="str">
        <x:v>ship</x:v>
      </x:c>
      <x:c r="C260" s="35" t="str">
        <x:v>combinedBendingShearStress</x:v>
      </x:c>
      <x:c r="D260" s="35" t="str">
        <x:v>ship</x:v>
      </x:c>
      <x:c r="E260" s="35" t="str"/>
      <x:c r="F260" s="35" t="str">
        <x:v>AUTHORITATIVE_REQUIREMENT_SCOPED</x:v>
      </x:c>
    </x:row>
    <x:row r="261">
      <x:c r="A261" s="38" t="str">
        <x:v>TRF-031</x:v>
      </x:c>
      <x:c r="B261" s="35" t="str">
        <x:v>ship</x:v>
      </x:c>
      <x:c r="C261" s="35" t="str">
        <x:v>vonMisesYieldCriterion</x:v>
      </x:c>
      <x:c r="D261" s="35" t="str">
        <x:v>ship</x:v>
      </x:c>
      <x:c r="E261" s="35" t="str"/>
      <x:c r="F261" s="35" t="str">
        <x:v>AUTHORITATIVE_REQUIREMENT_SCOPED</x:v>
      </x:c>
    </x:row>
    <x:row r="262">
      <x:c r="A262" s="38" t="str">
        <x:v>TRF-031</x:v>
      </x:c>
      <x:c r="B262" s="35" t="str">
        <x:v>ship</x:v>
      </x:c>
      <x:c r="C262" s="35" t="str">
        <x:v>yieldPoint</x:v>
      </x:c>
      <x:c r="D262" s="35" t="str">
        <x:v>ship</x:v>
      </x:c>
      <x:c r="E262" s="35" t="str"/>
      <x:c r="F262" s="35" t="str">
        <x:v>AUTHORITATIVE_REQUIREMENT_SCOPED</x:v>
      </x:c>
    </x:row>
    <x:row r="263">
      <x:c r="A263" s="38" t="str">
        <x:v>TRF-031</x:v>
      </x:c>
      <x:c r="B263" s="35" t="str">
        <x:v>ship</x:v>
      </x:c>
      <x:c r="C263" s="35" t="str">
        <x:v>yieldShearStress</x:v>
      </x:c>
      <x:c r="D263" s="35" t="str">
        <x:v>ship</x:v>
      </x:c>
      <x:c r="E263" s="35" t="str"/>
      <x:c r="F263" s="35" t="str">
        <x:v>AUTHORITATIVE_REQUIREMENT_SCOPED</x:v>
      </x:c>
    </x:row>
    <x:row r="264">
      <x:c r="A264" s="38" t="str">
        <x:v>TRF-032</x:v>
      </x:c>
      <x:c r="B264" s="35" t="str">
        <x:v>ship</x:v>
      </x:c>
      <x:c r="C264" s="35" t="str">
        <x:v>classificationSocietyRequiredScantling</x:v>
      </x:c>
      <x:c r="D264" s="35" t="str">
        <x:v>ship</x:v>
      </x:c>
      <x:c r="E264" s="35" t="str"/>
      <x:c r="F264" s="35" t="str">
        <x:v>AUTHORITATIVE_REQUIREMENT_SCOPED</x:v>
      </x:c>
    </x:row>
    <x:row r="265">
      <x:c r="A265" s="38" t="str">
        <x:v>TRF-032</x:v>
      </x:c>
      <x:c r="B265" s="35" t="str">
        <x:v>ship</x:v>
      </x:c>
      <x:c r="C265" s="35" t="str">
        <x:v>iceStrengtheningStatus</x:v>
      </x:c>
      <x:c r="D265" s="35" t="str">
        <x:v>ship</x:v>
      </x:c>
      <x:c r="E265" s="35" t="str"/>
      <x:c r="F265" s="35" t="str">
        <x:v>AUTHORITATIVE_REQUIREMENT_SCOPED</x:v>
      </x:c>
    </x:row>
    <x:row r="266">
      <x:c r="A266" s="38" t="str">
        <x:v>TRF-032</x:v>
      </x:c>
      <x:c r="B266" s="35" t="str">
        <x:v>ship</x:v>
      </x:c>
      <x:c r="C266" s="35" t="str">
        <x:v>regulationRequiredScantling</x:v>
      </x:c>
      <x:c r="D266" s="35" t="str">
        <x:v>ship</x:v>
      </x:c>
      <x:c r="E266" s="35" t="str"/>
      <x:c r="F266" s="35" t="str">
        <x:v>AUTHORITATIVE_REQUIREMENT_SCOPED</x:v>
      </x:c>
    </x:row>
    <x:row r="267">
      <x:c r="A267" s="38" t="str">
        <x:v>TRF-032</x:v>
      </x:c>
      <x:c r="B267" s="35" t="str">
        <x:v>ship</x:v>
      </x:c>
      <x:c r="C267" s="35" t="str">
        <x:v>selectedDesignScantling</x:v>
      </x:c>
      <x:c r="D267" s="35" t="str">
        <x:v>ship</x:v>
      </x:c>
      <x:c r="E267" s="35" t="str"/>
      <x:c r="F267" s="35" t="str">
        <x:v>AUTHORITATIVE_REQUIREMENT_SCOPED</x:v>
      </x:c>
    </x:row>
    <x:row r="268">
      <x:c r="A268" s="38" t="str">
        <x:v>TRF-034</x:v>
      </x:c>
      <x:c r="B268" s="35" t="str">
        <x:v>effectiveMemberCrossSection</x:v>
      </x:c>
      <x:c r="C268" s="35" t="str">
        <x:v>effectiveMemberCrossSection</x:v>
      </x:c>
      <x:c r="D268" s="35" t="str">
        <x:v>effectiveMemberCrossSection</x:v>
      </x:c>
      <x:c r="E268" s="35" t="str"/>
      <x:c r="F268" s="35" t="str">
        <x:v>AUTHORITATIVE_REQUIREMENT_SCOPED</x:v>
      </x:c>
    </x:row>
    <x:row r="269">
      <x:c r="A269" s="38" t="str">
        <x:v>TRF-034</x:v>
      </x:c>
      <x:c r="B269" s="35" t="str">
        <x:v>effectiveMemberCrossSection</x:v>
      </x:c>
      <x:c r="C269" s="35" t="str">
        <x:v>hasClassificationSocietySectionPropertyCalculationEvidence</x:v>
      </x:c>
      <x:c r="D269" s="35" t="str">
        <x:v>effectiveMemberCrossSection</x:v>
      </x:c>
      <x:c r="E269" s="35" t="str"/>
      <x:c r="F269" s="35" t="str">
        <x:v>AUTHORITATIVE_REQUIREMENT_SCOPED</x:v>
      </x:c>
    </x:row>
    <x:row r="270">
      <x:c r="A270" s="38" t="str">
        <x:v>TRF-034</x:v>
      </x:c>
      <x:c r="B270" s="35" t="str">
        <x:v>effectiveMemberCrossSection</x:v>
      </x:c>
      <x:c r="C270" s="35" t="str">
        <x:v>hasEffectiveMemberCrossSection</x:v>
      </x:c>
      <x:c r="D270" s="35" t="str">
        <x:v>hullStructure</x:v>
      </x:c>
      <x:c r="E270" s="35" t="str"/>
      <x:c r="F270" s="35" t="str">
        <x:v>AUTHORITATIVE_REQUIREMENT_SCOPED</x:v>
      </x:c>
    </x:row>
    <x:row r="271">
      <x:c r="A271" s="38" t="str">
        <x:v>TRF-034</x:v>
      </x:c>
      <x:c r="B271" s="35" t="str">
        <x:v>effectiveMemberCrossSection</x:v>
      </x:c>
      <x:c r="C271" s="35" t="str">
        <x:v>iceStringer</x:v>
      </x:c>
      <x:c r="D271" s="35" t="str">
        <x:v>effectiveMemberCrossSection</x:v>
      </x:c>
      <x:c r="E271" s="35" t="str"/>
      <x:c r="F271" s="35" t="str">
        <x:v>AUTHORITATIVE_REQUIREMENT_SCOPED</x:v>
      </x:c>
    </x:row>
    <x:row r="272">
      <x:c r="A272" s="38" t="str">
        <x:v>TRF-034</x:v>
      </x:c>
      <x:c r="B272" s="35" t="str">
        <x:v>effectiveMemberCrossSection</x:v>
      </x:c>
      <x:c r="C272" s="35" t="str">
        <x:v>memberNormalToPlating</x:v>
      </x:c>
      <x:c r="D272" s="35" t="str">
        <x:v>hullStructure</x:v>
      </x:c>
      <x:c r="E272" s="35" t="str"/>
      <x:c r="F272" s="35" t="str">
        <x:v>AUTHORITATIVE_REQUIREMENT_SCOPED</x:v>
      </x:c>
    </x:row>
    <x:row r="273">
      <x:c r="A273" s="38" t="str">
        <x:v>TRF-034</x:v>
      </x:c>
      <x:c r="B273" s="35" t="str">
        <x:v>effectiveMemberCrossSection</x:v>
      </x:c>
      <x:c r="C273" s="35" t="str">
        <x:v>sectionModulus</x:v>
      </x:c>
      <x:c r="D273" s="35" t="str">
        <x:v>effectiveMemberCrossSection</x:v>
      </x:c>
      <x:c r="E273" s="35" t="str"/>
      <x:c r="F273" s="35" t="str">
        <x:v>AUTHORITATIVE_REQUIREMENT_SCOPED</x:v>
      </x:c>
    </x:row>
    <x:row r="274">
      <x:c r="A274" s="38" t="str">
        <x:v>TRF-034</x:v>
      </x:c>
      <x:c r="B274" s="35" t="str">
        <x:v>effectiveMemberCrossSection</x:v>
      </x:c>
      <x:c r="C274" s="35" t="str">
        <x:v>shearArea</x:v>
      </x:c>
      <x:c r="D274" s="35" t="str">
        <x:v>effectiveMemberCrossSection</x:v>
      </x:c>
      <x:c r="E274" s="35" t="str"/>
      <x:c r="F274" s="35" t="str">
        <x:v>AUTHORITATIVE_REQUIREMENT_SCOPED</x:v>
      </x:c>
    </x:row>
    <x:row r="275">
      <x:c r="A275" s="38" t="str">
        <x:v>TRF-035</x:v>
      </x:c>
      <x:c r="B275" s="35" t="str">
        <x:v>ship</x:v>
      </x:c>
      <x:c r="C275" s="35" t="str">
        <x:v>bowRegion</x:v>
      </x:c>
      <x:c r="D275" s="35" t="str">
        <x:v>ship</x:v>
      </x:c>
      <x:c r="E275" s="35" t="str"/>
      <x:c r="F275" s="35" t="str">
        <x:v>AUTHORITATIVE_REQUIREMENT_SCOPED</x:v>
      </x:c>
    </x:row>
    <x:row r="276">
      <x:c r="A276" s="38" t="str">
        <x:v>TRF-035</x:v>
      </x:c>
      <x:c r="B276" s="35" t="str">
        <x:v>ship</x:v>
      </x:c>
      <x:c r="C276" s="35" t="str">
        <x:v>classificationSociety</x:v>
      </x:c>
      <x:c r="D276" s="35" t="str">
        <x:v>ship</x:v>
      </x:c>
      <x:c r="E276" s="35" t="str"/>
      <x:c r="F276" s="35" t="str">
        <x:v>AUTHORITATIVE_REQUIREMENT_SCOPED</x:v>
      </x:c>
    </x:row>
    <x:row r="277">
      <x:c r="A277" s="38" t="str">
        <x:v>TRF-035</x:v>
      </x:c>
      <x:c r="B277" s="35" t="str">
        <x:v>ship</x:v>
      </x:c>
      <x:c r="C277" s="35" t="str">
        <x:v>classificationSocietyRuleLength</x:v>
      </x:c>
      <x:c r="D277" s="35" t="str">
        <x:v>ship</x:v>
      </x:c>
      <x:c r="E277" s="35" t="str"/>
      <x:c r="F277" s="35" t="str">
        <x:v>AUTHORITATIVE_REQUIREMENT_SCOPED</x:v>
      </x:c>
    </x:row>
    <x:row r="278">
      <x:c r="A278" s="38" t="str">
        <x:v>TRF-035</x:v>
      </x:c>
      <x:c r="B278" s="35" t="str">
        <x:v>ship</x:v>
      </x:c>
      <x:c r="C278" s="35" t="str">
        <x:v>hullRegion</x:v>
      </x:c>
      <x:c r="D278" s="35" t="str">
        <x:v>ship</x:v>
      </x:c>
      <x:c r="E278" s="35" t="str"/>
      <x:c r="F278" s="35" t="str">
        <x:v>AUTHORITATIVE_REQUIREMENT_SCOPED</x:v>
      </x:c>
    </x:row>
    <x:row r="279">
      <x:c r="A279" s="38" t="str">
        <x:v>TRF-035</x:v>
      </x:c>
      <x:c r="B279" s="35" t="str">
        <x:v>ship</x:v>
      </x:c>
      <x:c r="C279" s="35" t="str">
        <x:v>midbodyRegion</x:v>
      </x:c>
      <x:c r="D279" s="35" t="str">
        <x:v>ship</x:v>
      </x:c>
      <x:c r="E279" s="35" t="str"/>
      <x:c r="F279" s="35" t="str">
        <x:v>AUTHORITATIVE_REQUIREMENT_SCOPED</x:v>
      </x:c>
    </x:row>
    <x:row r="280">
      <x:c r="A280" s="38" t="str">
        <x:v>TRF-035</x:v>
      </x:c>
      <x:c r="B280" s="35" t="str">
        <x:v>ship</x:v>
      </x:c>
      <x:c r="C280" s="35" t="str">
        <x:v>ruleLength</x:v>
      </x:c>
      <x:c r="D280" s="35" t="str">
        <x:v>ship</x:v>
      </x:c>
      <x:c r="E280" s="35" t="str"/>
      <x:c r="F280" s="35" t="str">
        <x:v>AUTHORITATIVE_REQUIREMENT_SCOPED</x:v>
      </x:c>
    </x:row>
    <x:row r="281">
      <x:c r="A281" s="38" t="str">
        <x:v>TRF-035</x:v>
      </x:c>
      <x:c r="B281" s="35" t="str">
        <x:v>ship</x:v>
      </x:c>
      <x:c r="C281" s="35" t="str">
        <x:v>sternRegion</x:v>
      </x:c>
      <x:c r="D281" s="35" t="str">
        <x:v>ship</x:v>
      </x:c>
      <x:c r="E281" s="35" t="str"/>
      <x:c r="F281" s="35" t="str">
        <x:v>AUTHORITATIVE_REQUIREMENT_SCOPED</x:v>
      </x:c>
    </x:row>
    <x:row r="282">
      <x:c r="A282" s="38" t="str">
        <x:v>TRF-036</x:v>
      </x:c>
      <x:c r="B282" s="35" t="str">
        <x:v>iceClassDesignParameterSet</x:v>
      </x:c>
      <x:c r="C282" s="35" t="str">
        <x:v>designIceLoadHeight</x:v>
      </x:c>
      <x:c r="D282" s="35" t="str">
        <x:v>iceClassDesignParameterSet</x:v>
      </x:c>
      <x:c r="E282" s="35" t="str"/>
      <x:c r="F282" s="35" t="str">
        <x:v>AUTHORITATIVE_REQUIREMENT_SCOPED</x:v>
      </x:c>
    </x:row>
    <x:row r="283">
      <x:c r="A283" s="38" t="str">
        <x:v>TRF-036</x:v>
      </x:c>
      <x:c r="B283" s="35" t="str">
        <x:v>iceClassDesignParameterSet</x:v>
      </x:c>
      <x:c r="C283" s="35" t="str">
        <x:v>hasIceClassDesignParameterSet</x:v>
      </x:c>
      <x:c r="D283" s="35" t="str">
        <x:v>ship</x:v>
      </x:c>
      <x:c r="E283" s="35" t="str"/>
      <x:c r="F283" s="35" t="str">
        <x:v>AUTHORITATIVE_REQUIREMENT_SCOPED</x:v>
      </x:c>
    </x:row>
    <x:row r="284">
      <x:c r="A284" s="38" t="str">
        <x:v>TRF-036</x:v>
      </x:c>
      <x:c r="B284" s="35" t="str">
        <x:v>iceClassDesignParameterSet</x:v>
      </x:c>
      <x:c r="C284" s="35" t="str">
        <x:v>iceClass</x:v>
      </x:c>
      <x:c r="D284" s="35" t="str">
        <x:v>ship</x:v>
      </x:c>
      <x:c r="E284" s="35" t="str"/>
      <x:c r="F284" s="35" t="str">
        <x:v>AUTHORITATIVE_REQUIREMENT_SCOPED</x:v>
      </x:c>
    </x:row>
    <x:row r="285">
      <x:c r="A285" s="38" t="str">
        <x:v>TRF-036</x:v>
      </x:c>
      <x:c r="B285" s="35" t="str">
        <x:v>iceClassDesignParameterSet</x:v>
      </x:c>
      <x:c r="C285" s="35" t="str">
        <x:v>iceClassDesignParameterSet</x:v>
      </x:c>
      <x:c r="D285" s="35" t="str">
        <x:v>iceClassDesignParameterSet</x:v>
      </x:c>
      <x:c r="E285" s="35" t="str"/>
      <x:c r="F285" s="35" t="str">
        <x:v>AUTHORITATIVE_REQUIREMENT_SCOPED</x:v>
      </x:c>
    </x:row>
    <x:row r="286">
      <x:c r="A286" s="38" t="str">
        <x:v>TRF-036</x:v>
      </x:c>
      <x:c r="B286" s="35" t="str">
        <x:v>iceClassDesignParameterSet</x:v>
      </x:c>
      <x:c r="C286" s="35" t="str">
        <x:v>levelIceThickness</x:v>
      </x:c>
      <x:c r="D286" s="35" t="str">
        <x:v>iceClassDesignParameterSet</x:v>
      </x:c>
      <x:c r="E286" s="35" t="str"/>
      <x:c r="F286" s="35" t="str">
        <x:v>AUTHORITATIVE_REQUIREMENT_SCOPED</x:v>
      </x:c>
    </x:row>
    <x:row r="287">
      <x:c r="A287" s="38" t="str">
        <x:v>TRF-037</x:v>
      </x:c>
      <x:c r="B287" s="35" t="str">
        <x:v>ship</x:v>
      </x:c>
      <x:c r="C287" s="35" t="str">
        <x:v>continuousPropulsionPowerAvailableInIce</x:v>
      </x:c>
      <x:c r="D287" s="35" t="str">
        <x:v>ship</x:v>
      </x:c>
      <x:c r="E287" s="35" t="str"/>
      <x:c r="F287" s="35" t="str">
        <x:v>AUTHORITATIVE_REQUIREMENT_SCOPED</x:v>
      </x:c>
    </x:row>
    <x:row r="288">
      <x:c r="A288" s="38" t="str">
        <x:v>TRF-037</x:v>
      </x:c>
      <x:c r="B288" s="35" t="str">
        <x:v>ship</x:v>
      </x:c>
      <x:c r="C288" s="35" t="str">
        <x:v>displacementAtMaximumIceClassDraught</x:v>
      </x:c>
      <x:c r="D288" s="35" t="str">
        <x:v>ship</x:v>
      </x:c>
      <x:c r="E288" s="35" t="str"/>
      <x:c r="F288" s="35" t="str">
        <x:v>AUTHORITATIVE_REQUIREMENT_SCOPED</x:v>
      </x:c>
    </x:row>
    <x:row r="289">
      <x:c r="A289" s="38" t="str">
        <x:v>TRF-037</x:v>
      </x:c>
      <x:c r="B289" s="35" t="str">
        <x:v>ship</x:v>
      </x:c>
      <x:c r="C289" s="35" t="str">
        <x:v>hullRegion</x:v>
      </x:c>
      <x:c r="D289" s="35" t="str">
        <x:v>ship</x:v>
      </x:c>
      <x:c r="E289" s="35" t="str"/>
      <x:c r="F289" s="35" t="str">
        <x:v>AUTHORITATIVE_REQUIREMENT_SCOPED</x:v>
      </x:c>
    </x:row>
    <x:row r="290">
      <x:c r="A290" s="38" t="str">
        <x:v>TRF-037</x:v>
      </x:c>
      <x:c r="B290" s="35" t="str">
        <x:v>ship</x:v>
      </x:c>
      <x:c r="C290" s="35" t="str">
        <x:v>iceClassFactorCp</x:v>
      </x:c>
      <x:c r="D290" s="35" t="str">
        <x:v>ship</x:v>
      </x:c>
      <x:c r="E290" s="35" t="str"/>
      <x:c r="F290" s="35" t="str">
        <x:v>AUTHORITATIVE_REQUIREMENT_SCOPED</x:v>
      </x:c>
    </x:row>
    <x:row r="291">
      <x:c r="A291" s="38" t="str">
        <x:v>TRF-037</x:v>
      </x:c>
      <x:c r="B291" s="35" t="str">
        <x:v>ship</x:v>
      </x:c>
      <x:c r="C291" s="35" t="str">
        <x:v>iceLoadAreaFactorCa</x:v>
      </x:c>
      <x:c r="D291" s="35" t="str">
        <x:v>ship</x:v>
      </x:c>
      <x:c r="E291" s="35" t="str"/>
      <x:c r="F291" s="35" t="str">
        <x:v>AUTHORITATIVE_REQUIREMENT_SCOPED</x:v>
      </x:c>
    </x:row>
    <x:row r="292">
      <x:c r="A292" s="38" t="str">
        <x:v>TRF-037</x:v>
      </x:c>
      <x:c r="B292" s="35" t="str">
        <x:v>ship</x:v>
      </x:c>
      <x:c r="C292" s="35" t="str">
        <x:v>icePressure</x:v>
      </x:c>
      <x:c r="D292" s="35" t="str">
        <x:v>ship</x:v>
      </x:c>
      <x:c r="E292" s="35" t="str"/>
      <x:c r="F292" s="35" t="str">
        <x:v>AUTHORITATIVE_REQUIREMENT_SCOPED</x:v>
      </x:c>
    </x:row>
    <x:row r="293">
      <x:c r="A293" s="38" t="str">
        <x:v>TRF-037</x:v>
      </x:c>
      <x:c r="B293" s="35" t="str">
        <x:v>ship</x:v>
      </x:c>
      <x:c r="C293" s="35" t="str">
        <x:v>nominalIcePressureP0</x:v>
      </x:c>
      <x:c r="D293" s="35" t="str">
        <x:v>ship</x:v>
      </x:c>
      <x:c r="E293" s="35" t="str"/>
      <x:c r="F293" s="35" t="str">
        <x:v>AUTHORITATIVE_REQUIREMENT_SCOPED</x:v>
      </x:c>
    </x:row>
    <x:row r="294">
      <x:c r="A294" s="38" t="str">
        <x:v>TRF-037</x:v>
      </x:c>
      <x:c r="B294" s="35" t="str">
        <x:v>ship</x:v>
      </x:c>
      <x:c r="C294" s="35" t="str">
        <x:v>shipSizeEngineOutputCoefficientA</x:v>
      </x:c>
      <x:c r="D294" s="35" t="str">
        <x:v>ship</x:v>
      </x:c>
      <x:c r="E294" s="35" t="str"/>
      <x:c r="F294" s="35" t="str">
        <x:v>AUTHORITATIVE_REQUIREMENT_SCOPED</x:v>
      </x:c>
    </x:row>
    <x:row r="295">
      <x:c r="A295" s="38" t="str">
        <x:v>TRF-037</x:v>
      </x:c>
      <x:c r="B295" s="35" t="str">
        <x:v>ship</x:v>
      </x:c>
      <x:c r="C295" s="35" t="str">
        <x:v>shipSizeEngineOutputCoefficientB</x:v>
      </x:c>
      <x:c r="D295" s="35" t="str">
        <x:v>ship</x:v>
      </x:c>
      <x:c r="E295" s="35" t="str"/>
      <x:c r="F295" s="35" t="str">
        <x:v>AUTHORITATIVE_REQUIREMENT_SCOPED</x:v>
      </x:c>
    </x:row>
    <x:row r="296">
      <x:c r="A296" s="38" t="str">
        <x:v>TRF-037</x:v>
      </x:c>
      <x:c r="B296" s="35" t="str">
        <x:v>ship</x:v>
      </x:c>
      <x:c r="C296" s="35" t="str">
        <x:v>shipSizeEngineOutputCoefficientK</x:v>
      </x:c>
      <x:c r="D296" s="35" t="str">
        <x:v>ship</x:v>
      </x:c>
      <x:c r="E296" s="35" t="str"/>
      <x:c r="F296" s="35" t="str">
        <x:v>AUTHORITATIVE_REQUIREMENT_SCOPED</x:v>
      </x:c>
    </x:row>
    <x:row r="297">
      <x:c r="A297" s="38" t="str">
        <x:v>TRF-037</x:v>
      </x:c>
      <x:c r="B297" s="35" t="str">
        <x:v>ship</x:v>
      </x:c>
      <x:c r="C297" s="35" t="str">
        <x:v>shipSizeEngineOutputFactorCd</x:v>
      </x:c>
      <x:c r="D297" s="35" t="str">
        <x:v>ship</x:v>
      </x:c>
      <x:c r="E297" s="35" t="str"/>
      <x:c r="F297" s="35" t="str">
        <x:v>AUTHORITATIVE_REQUIREMENT_SCOPED</x:v>
      </x:c>
    </x:row>
    <x:row r="298">
      <x:c r="A298" s="38" t="str">
        <x:v>TRF-041</x:v>
      </x:c>
      <x:c r="B298" s="35" t="str">
        <x:v>plating</x:v>
      </x:c>
      <x:c r="C298" s="35" t="str">
        <x:v>corrosionAbrasionAddition</x:v>
      </x:c>
      <x:c r="D298" s="35" t="str">
        <x:v>plating</x:v>
      </x:c>
      <x:c r="E298" s="35" t="str">
        <x:v>Use the applicable transverse or longitudinal plating formula and reject missing operands; do not target generic benchmarkEntity.</x:v>
      </x:c>
      <x:c r="F298" s="35" t="str">
        <x:v>AUTHORITATIVE_REQUIREMENT_SCOPED</x:v>
      </x:c>
    </x:row>
    <x:row r="299">
      <x:c r="A299" s="38" t="str">
        <x:v>TRF-041</x:v>
      </x:c>
      <x:c r="B299" s="35" t="str">
        <x:v>plating</x:v>
      </x:c>
      <x:c r="C299" s="35" t="str">
        <x:v>hullStructuralSteelGrade</x:v>
      </x:c>
      <x:c r="D299" s="35" t="str">
        <x:v>plating</x:v>
      </x:c>
      <x:c r="E299" s="35" t="str">
        <x:v>Use the applicable transverse or longitudinal plating formula and reject missing operands; do not target generic benchmarkEntity.</x:v>
      </x:c>
      <x:c r="F299" s="35" t="str">
        <x:v>AUTHORITATIVE_REQUIREMENT_SCOPED</x:v>
      </x:c>
    </x:row>
    <x:row r="300">
      <x:c r="A300" s="38" t="str">
        <x:v>TRF-041</x:v>
      </x:c>
      <x:c r="B300" s="35" t="str">
        <x:v>plating</x:v>
      </x:c>
      <x:c r="C300" s="35" t="str">
        <x:v>icePressure</x:v>
      </x:c>
      <x:c r="D300" s="35" t="str">
        <x:v>plating</x:v>
      </x:c>
      <x:c r="E300" s="35" t="str">
        <x:v>Use the applicable transverse or longitudinal plating formula and reject missing operands; do not target generic benchmarkEntity.</x:v>
      </x:c>
      <x:c r="F300" s="35" t="str">
        <x:v>AUTHORITATIVE_REQUIREMENT_SCOPED</x:v>
      </x:c>
    </x:row>
    <x:row r="301">
      <x:c r="A301" s="38" t="str">
        <x:v>TRF-041</x:v>
      </x:c>
      <x:c r="B301" s="35" t="str">
        <x:v>plating</x:v>
      </x:c>
      <x:c r="C301" s="35" t="str">
        <x:v>longitudinalFramingOrientation</x:v>
      </x:c>
      <x:c r="D301" s="35" t="str">
        <x:v>plating</x:v>
      </x:c>
      <x:c r="E301" s="35" t="str">
        <x:v>Use the applicable transverse or longitudinal plating formula and reject missing operands; do not target generic benchmarkEntity.</x:v>
      </x:c>
      <x:c r="F301" s="35" t="str">
        <x:v>AUTHORITATIVE_REQUIREMENT_SCOPED</x:v>
      </x:c>
    </x:row>
    <x:row r="302">
      <x:c r="A302" s="38" t="str">
        <x:v>TRF-041</x:v>
      </x:c>
      <x:c r="B302" s="35" t="str">
        <x:v>plating</x:v>
      </x:c>
      <x:c r="C302" s="35" t="str">
        <x:v>longitudinalPlatingFactorF2</x:v>
      </x:c>
      <x:c r="D302" s="35" t="str">
        <x:v>plating</x:v>
      </x:c>
      <x:c r="E302" s="35" t="str">
        <x:v>Use the applicable transverse or longitudinal plating formula and reject missing operands; do not target generic benchmarkEntity.</x:v>
      </x:c>
      <x:c r="F302" s="35" t="str">
        <x:v>AUTHORITATIVE_REQUIREMENT_SCOPED</x:v>
      </x:c>
    </x:row>
    <x:row r="303">
      <x:c r="A303" s="38" t="str">
        <x:v>TRF-041</x:v>
      </x:c>
      <x:c r="B303" s="35" t="str">
        <x:v>plating</x:v>
      </x:c>
      <x:c r="C303" s="35" t="str">
        <x:v>platingFramingOrientation</x:v>
      </x:c>
      <x:c r="D303" s="35" t="str">
        <x:v>plating</x:v>
      </x:c>
      <x:c r="E303" s="35" t="str">
        <x:v>Use the applicable transverse or longitudinal plating formula and reject missing operands; do not target generic benchmarkEntity.</x:v>
      </x:c>
      <x:c r="F303" s="35" t="str">
        <x:v>AUTHORITATIVE_REQUIREMENT_SCOPED</x:v>
      </x:c>
    </x:row>
    <x:row r="304">
      <x:c r="A304" s="38" t="str">
        <x:v>TRF-041</x:v>
      </x:c>
      <x:c r="B304" s="35" t="str">
        <x:v>plating</x:v>
      </x:c>
      <x:c r="C304" s="35" t="str">
        <x:v>platingPressure</x:v>
      </x:c>
      <x:c r="D304" s="35" t="str">
        <x:v>plating</x:v>
      </x:c>
      <x:c r="E304" s="35" t="str">
        <x:v>Use the applicable transverse or longitudinal plating formula and reject missing operands; do not target generic benchmarkEntity.</x:v>
      </x:c>
      <x:c r="F304" s="35" t="str">
        <x:v>AUTHORITATIVE_REQUIREMENT_SCOPED</x:v>
      </x:c>
    </x:row>
    <x:row r="305">
      <x:c r="A305" s="38" t="str">
        <x:v>TRF-041</x:v>
      </x:c>
      <x:c r="B305" s="35" t="str">
        <x:v>plating</x:v>
      </x:c>
      <x:c r="C305" s="35" t="str">
        <x:v>requiredShellPlatingThickness</x:v>
      </x:c>
      <x:c r="D305" s="35" t="str">
        <x:v>plating</x:v>
      </x:c>
      <x:c r="E305" s="35" t="str">
        <x:v>Use the applicable transverse or longitudinal plating formula and reject missing operands; do not target generic benchmarkEntity.</x:v>
      </x:c>
      <x:c r="F305" s="35" t="str">
        <x:v>AUTHORITATIVE_REQUIREMENT_SCOPED</x:v>
      </x:c>
    </x:row>
    <x:row r="306">
      <x:c r="A306" s="38" t="str">
        <x:v>TRF-041</x:v>
      </x:c>
      <x:c r="B306" s="35" t="str">
        <x:v>plating</x:v>
      </x:c>
      <x:c r="C306" s="35" t="str">
        <x:v>spacing</x:v>
      </x:c>
      <x:c r="D306" s="35" t="str">
        <x:v>plating</x:v>
      </x:c>
      <x:c r="E306" s="35" t="str">
        <x:v>Use the applicable transverse or longitudinal plating formula and reject missing operands; do not target generic benchmarkEntity.</x:v>
      </x:c>
      <x:c r="F306" s="35" t="str">
        <x:v>AUTHORITATIVE_REQUIREMENT_SCOPED</x:v>
      </x:c>
    </x:row>
    <x:row r="307">
      <x:c r="A307" s="38" t="str">
        <x:v>TRF-041</x:v>
      </x:c>
      <x:c r="B307" s="35" t="str">
        <x:v>plating</x:v>
      </x:c>
      <x:c r="C307" s="35" t="str">
        <x:v>transverseFramingOrientation</x:v>
      </x:c>
      <x:c r="D307" s="35" t="str">
        <x:v>plating</x:v>
      </x:c>
      <x:c r="E307" s="35" t="str">
        <x:v>Use the applicable transverse or longitudinal plating formula and reject missing operands; do not target generic benchmarkEntity.</x:v>
      </x:c>
      <x:c r="F307" s="35" t="str">
        <x:v>AUTHORITATIVE_REQUIREMENT_SCOPED</x:v>
      </x:c>
    </x:row>
    <x:row r="308">
      <x:c r="A308" s="38" t="str">
        <x:v>TRF-041</x:v>
      </x:c>
      <x:c r="B308" s="35" t="str">
        <x:v>plating</x:v>
      </x:c>
      <x:c r="C308" s="35" t="str">
        <x:v>transversePlatingFactorF1</x:v>
      </x:c>
      <x:c r="D308" s="35" t="str">
        <x:v>plating</x:v>
      </x:c>
      <x:c r="E308" s="35" t="str">
        <x:v>Use the applicable transverse or longitudinal plating formula and reject missing operands; do not target generic benchmarkEntity.</x:v>
      </x:c>
      <x:c r="F308" s="35" t="str">
        <x:v>AUTHORITATIVE_REQUIREMENT_SCOPED</x:v>
      </x:c>
    </x:row>
    <x:row r="309">
      <x:c r="A309" s="38" t="str">
        <x:v>TRF-041</x:v>
      </x:c>
      <x:c r="B309" s="35" t="str">
        <x:v>plating</x:v>
      </x:c>
      <x:c r="C309" s="35" t="str">
        <x:v>yieldStrength</x:v>
      </x:c>
      <x:c r="D309" s="35" t="str">
        <x:v>plating</x:v>
      </x:c>
      <x:c r="E309" s="35" t="str">
        <x:v>Use the applicable transverse or longitudinal plating formula and reject missing operands; do not target generic benchmarkEntity.</x:v>
      </x:c>
      <x:c r="F309" s="35" t="str">
        <x:v>AUTHORITATIVE_REQUIREMENT_SCOPED</x:v>
      </x:c>
    </x:row>
    <x:row r="310">
      <x:c r="A310" s="38" t="str">
        <x:v>TRF-042</x:v>
      </x:c>
      <x:c r="B310" s="35" t="str">
        <x:v>plating</x:v>
      </x:c>
      <x:c r="C310" s="35" t="str">
        <x:v>corrosionAbrasionAddition</x:v>
      </x:c>
      <x:c r="D310" s="35" t="str">
        <x:v>plating</x:v>
      </x:c>
      <x:c r="E310" s="35" t="str"/>
      <x:c r="F310" s="35" t="str">
        <x:v>AUTHORITATIVE_REQUIREMENT_SCOPED</x:v>
      </x:c>
    </x:row>
    <x:row r="311">
      <x:c r="A311" s="38" t="str">
        <x:v>TRF-042</x:v>
      </x:c>
      <x:c r="B311" s="35" t="str">
        <x:v>plating</x:v>
      </x:c>
      <x:c r="C311" s="35" t="str">
        <x:v>designIceLoadHeight</x:v>
      </x:c>
      <x:c r="D311" s="35" t="str">
        <x:v>plating</x:v>
      </x:c>
      <x:c r="E311" s="35" t="str"/>
      <x:c r="F311" s="35" t="str">
        <x:v>AUTHORITATIVE_REQUIREMENT_SCOPED</x:v>
      </x:c>
    </x:row>
    <x:row r="312">
      <x:c r="A312" s="38" t="str">
        <x:v>TRF-042</x:v>
      </x:c>
      <x:c r="B312" s="35" t="str">
        <x:v>plating</x:v>
      </x:c>
      <x:c r="C312" s="35" t="str">
        <x:v>hullStructuralSteelGrade</x:v>
      </x:c>
      <x:c r="D312" s="35" t="str">
        <x:v>plating</x:v>
      </x:c>
      <x:c r="E312" s="35" t="str"/>
      <x:c r="F312" s="35" t="str">
        <x:v>AUTHORITATIVE_REQUIREMENT_SCOPED</x:v>
      </x:c>
    </x:row>
    <x:row r="313">
      <x:c r="A313" s="38" t="str">
        <x:v>TRF-042</x:v>
      </x:c>
      <x:c r="B313" s="35" t="str">
        <x:v>plating</x:v>
      </x:c>
      <x:c r="C313" s="35" t="str">
        <x:v>longitudinalPlatingFactorF2</x:v>
      </x:c>
      <x:c r="D313" s="35" t="str">
        <x:v>plating</x:v>
      </x:c>
      <x:c r="E313" s="35" t="str"/>
      <x:c r="F313" s="35" t="str">
        <x:v>AUTHORITATIVE_REQUIREMENT_SCOPED</x:v>
      </x:c>
    </x:row>
    <x:row r="314">
      <x:c r="A314" s="38" t="str">
        <x:v>TRF-042</x:v>
      </x:c>
      <x:c r="B314" s="35" t="str">
        <x:v>plating</x:v>
      </x:c>
      <x:c r="C314" s="35" t="str">
        <x:v>materialApprovalStatus</x:v>
      </x:c>
      <x:c r="D314" s="35" t="str">
        <x:v>plating</x:v>
      </x:c>
      <x:c r="E314" s="35" t="str"/>
      <x:c r="F314" s="35" t="str">
        <x:v>AUTHORITATIVE_REQUIREMENT_SCOPED</x:v>
      </x:c>
    </x:row>
    <x:row r="315">
      <x:c r="A315" s="38" t="str">
        <x:v>TRF-042</x:v>
      </x:c>
      <x:c r="B315" s="35" t="str">
        <x:v>plating</x:v>
      </x:c>
      <x:c r="C315" s="35" t="str">
        <x:v>requiredShellPlatingThickness</x:v>
      </x:c>
      <x:c r="D315" s="35" t="str">
        <x:v>plating</x:v>
      </x:c>
      <x:c r="E315" s="35" t="str"/>
      <x:c r="F315" s="35" t="str">
        <x:v>AUTHORITATIVE_REQUIREMENT_SCOPED</x:v>
      </x:c>
    </x:row>
    <x:row r="316">
      <x:c r="A316" s="38" t="str">
        <x:v>TRF-042</x:v>
      </x:c>
      <x:c r="B316" s="35" t="str">
        <x:v>plating</x:v>
      </x:c>
      <x:c r="C316" s="35" t="str">
        <x:v>spacing</x:v>
      </x:c>
      <x:c r="D316" s="35" t="str">
        <x:v>plating</x:v>
      </x:c>
      <x:c r="E316" s="35" t="str"/>
      <x:c r="F316" s="35" t="str">
        <x:v>AUTHORITATIVE_REQUIREMENT_SCOPED</x:v>
      </x:c>
    </x:row>
    <x:row r="317">
      <x:c r="A317" s="38" t="str">
        <x:v>TRF-042</x:v>
      </x:c>
      <x:c r="B317" s="35" t="str">
        <x:v>plating</x:v>
      </x:c>
      <x:c r="C317" s="35" t="str">
        <x:v>specialSurfaceCoatingMaintained</x:v>
      </x:c>
      <x:c r="D317" s="35" t="str">
        <x:v>plating</x:v>
      </x:c>
      <x:c r="E317" s="35" t="str"/>
      <x:c r="F317" s="35" t="str">
        <x:v>AUTHORITATIVE_REQUIREMENT_SCOPED</x:v>
      </x:c>
    </x:row>
    <x:row r="318">
      <x:c r="A318" s="38" t="str">
        <x:v>TRF-042</x:v>
      </x:c>
      <x:c r="B318" s="35" t="str">
        <x:v>plating</x:v>
      </x:c>
      <x:c r="C318" s="35" t="str">
        <x:v>yieldStrength</x:v>
      </x:c>
      <x:c r="D318" s="35" t="str">
        <x:v>plating</x:v>
      </x:c>
      <x:c r="E318" s="35" t="str"/>
      <x:c r="F318" s="35" t="str">
        <x:v>AUTHORITATIVE_REQUIREMENT_SCOPED</x:v>
      </x:c>
    </x:row>
    <x:row r="319">
      <x:c r="A319" s="38" t="str">
        <x:v>TRF-043</x:v>
      </x:c>
      <x:c r="B319" s="35" t="str">
        <x:v>frame</x:v>
      </x:c>
      <x:c r="C319" s="35" t="str">
        <x:v>extensionBeyondAdjacentDeckOrTankBoundary</x:v>
      </x:c>
      <x:c r="D319" s="35" t="str">
        <x:v>frame</x:v>
      </x:c>
      <x:c r="E319" s="35" t="str">
        <x:v>Apply Table 4-6 minima by default and model the &lt;=250 mm termination allowance only as an explicit exception.</x:v>
      </x:c>
      <x:c r="F319" s="35" t="str">
        <x:v>AUTHORITATIVE_REQUIREMENT_SCOPED</x:v>
      </x:c>
    </x:row>
    <x:row r="320">
      <x:c r="A320" s="38" t="str">
        <x:v>TRF-043</x:v>
      </x:c>
      <x:c r="B320" s="35" t="str">
        <x:v>frame</x:v>
      </x:c>
      <x:c r="C320" s="35" t="str">
        <x:v>frame</x:v>
      </x:c>
      <x:c r="D320" s="35" t="str">
        <x:v>frame</x:v>
      </x:c>
      <x:c r="E320" s="35" t="str">
        <x:v>Apply Table 4-6 minima by default and model the &lt;=250 mm termination allowance only as an explicit exception.</x:v>
      </x:c>
      <x:c r="F320" s="35" t="str">
        <x:v>AUTHORITATIVE_REQUIREMENT_SCOPED</x:v>
      </x:c>
    </x:row>
    <x:row r="321">
      <x:c r="A321" s="38" t="str">
        <x:v>TRF-043</x:v>
      </x:c>
      <x:c r="B321" s="35" t="str">
        <x:v>frame</x:v>
      </x:c>
      <x:c r="C321" s="35" t="str">
        <x:v>framingIceStrengtheningAboveUpperIceWaterline</x:v>
      </x:c>
      <x:c r="D321" s="35" t="str">
        <x:v>frame</x:v>
      </x:c>
      <x:c r="E321" s="35" t="str">
        <x:v>Apply Table 4-6 minima by default and model the &lt;=250 mm termination allowance only as an explicit exception.</x:v>
      </x:c>
      <x:c r="F321" s="35" t="str">
        <x:v>AUTHORITATIVE_REQUIREMENT_SCOPED</x:v>
      </x:c>
    </x:row>
    <x:row r="322">
      <x:c r="A322" s="38" t="str">
        <x:v>TRF-043</x:v>
      </x:c>
      <x:c r="B322" s="35" t="str">
        <x:v>frame</x:v>
      </x:c>
      <x:c r="C322" s="35" t="str">
        <x:v>framingIceStrengtheningBelowLowerIceWaterline</x:v>
      </x:c>
      <x:c r="D322" s="35" t="str">
        <x:v>frame</x:v>
      </x:c>
      <x:c r="E322" s="35" t="str">
        <x:v>Apply Table 4-6 minima by default and model the &lt;=250 mm termination allowance only as an explicit exception.</x:v>
      </x:c>
      <x:c r="F322" s="35" t="str">
        <x:v>AUTHORITATIVE_REQUIREMENT_SCOPED</x:v>
      </x:c>
    </x:row>
    <x:row r="323">
      <x:c r="A323" s="38" t="str">
        <x:v>TRF-043</x:v>
      </x:c>
      <x:c r="B323" s="35" t="str">
        <x:v>frame</x:v>
      </x:c>
      <x:c r="C323" s="35" t="str">
        <x:v>hullRegion</x:v>
      </x:c>
      <x:c r="D323" s="35" t="str">
        <x:v>frame</x:v>
      </x:c>
      <x:c r="E323" s="35" t="str">
        <x:v>Apply Table 4-6 minima by default and model the &lt;=250 mm termination allowance only as an explicit exception.</x:v>
      </x:c>
      <x:c r="F323" s="35" t="str">
        <x:v>AUTHORITATIVE_REQUIREMENT_SCOPED</x:v>
      </x:c>
    </x:row>
    <x:row r="324">
      <x:c r="A324" s="38" t="str">
        <x:v>TRF-043</x:v>
      </x:c>
      <x:c r="B324" s="35" t="str">
        <x:v>frame</x:v>
      </x:c>
      <x:c r="C324" s="35" t="str">
        <x:v>iceClass</x:v>
      </x:c>
      <x:c r="D324" s="35" t="str">
        <x:v>frame</x:v>
      </x:c>
      <x:c r="E324" s="35" t="str">
        <x:v>Apply Table 4-6 minima by default and model the &lt;=250 mm termination allowance only as an explicit exception.</x:v>
      </x:c>
      <x:c r="F324" s="35" t="str">
        <x:v>AUTHORITATIVE_REQUIREMENT_SCOPED</x:v>
      </x:c>
    </x:row>
    <x:row r="325">
      <x:c r="A325" s="38" t="str">
        <x:v>TRF-043</x:v>
      </x:c>
      <x:c r="B325" s="35" t="str">
        <x:v>frame</x:v>
      </x:c>
      <x:c r="C325" s="35" t="str">
        <x:v>iceStrengtheningTerminationAtAdjacentBoundaryPermitted</x:v>
      </x:c>
      <x:c r="D325" s="35" t="str">
        <x:v>frame</x:v>
      </x:c>
      <x:c r="E325" s="35" t="str">
        <x:v>Apply Table 4-6 minima by default and model the &lt;=250 mm termination allowance only as an explicit exception.</x:v>
      </x:c>
      <x:c r="F325" s="35" t="str">
        <x:v>AUTHORITATIVE_REQUIREMENT_SCOPED</x:v>
      </x:c>
    </x:row>
    <x:row r="326">
      <x:c r="A326" s="38" t="str">
        <x:v>TRF-043</x:v>
      </x:c>
      <x:c r="B326" s="35" t="str">
        <x:v>frame</x:v>
      </x:c>
      <x:c r="C326" s="35" t="str">
        <x:v>reachesTankTopOrBelowFloorTop</x:v>
      </x:c>
      <x:c r="D326" s="35" t="str">
        <x:v>frame</x:v>
      </x:c>
      <x:c r="E326" s="35" t="str">
        <x:v>Apply Table 4-6 minima by default and model the &lt;=250 mm termination allowance only as an explicit exception.</x:v>
      </x:c>
      <x:c r="F326" s="35" t="str">
        <x:v>AUTHORITATIVE_REQUIREMENT_SCOPED</x:v>
      </x:c>
    </x:row>
    <x:row r="327">
      <x:c r="A327" s="38" t="str">
        <x:v>TRF-043</x:v>
      </x:c>
      <x:c r="B327" s="35" t="str">
        <x:v>frame</x:v>
      </x:c>
      <x:c r="C327" s="35" t="str">
        <x:v>reachesUpperBowIceBeltTop</x:v>
      </x:c>
      <x:c r="D327" s="35" t="str">
        <x:v>frame</x:v>
      </x:c>
      <x:c r="E327" s="35" t="str">
        <x:v>Apply Table 4-6 minima by default and model the &lt;=250 mm termination allowance only as an explicit exception.</x:v>
      </x:c>
      <x:c r="F327" s="35" t="str">
        <x:v>AUTHORITATIVE_REQUIREMENT_SCOPED</x:v>
      </x:c>
    </x:row>
    <x:row r="328">
      <x:c r="A328" s="38" t="str">
        <x:v>TRF-043</x:v>
      </x:c>
      <x:c r="B328" s="35" t="str">
        <x:v>frame</x:v>
      </x:c>
      <x:c r="C328" s="35" t="str">
        <x:v>upperBowIceBeltRequired</x:v>
      </x:c>
      <x:c r="D328" s="35" t="str">
        <x:v>frame</x:v>
      </x:c>
      <x:c r="E328" s="35" t="str">
        <x:v>Apply Table 4-6 minima by default and model the &lt;=250 mm termination allowance only as an explicit exception.</x:v>
      </x:c>
      <x:c r="F328" s="35" t="str">
        <x:v>AUTHORITATIVE_REQUIREMENT_SCOPED</x:v>
      </x:c>
    </x:row>
    <x:row r="329">
      <x:c r="A329" s="38" t="str">
        <x:v>TRF-044</x:v>
      </x:c>
      <x:c r="B329" s="35" t="str">
        <x:v>transverseFrame</x:v>
      </x:c>
      <x:c r="C329" s="35" t="str">
        <x:v>designIceLoadHeight</x:v>
      </x:c>
      <x:c r="D329" s="35" t="str">
        <x:v>transverseFrame</x:v>
      </x:c>
      <x:c r="E329" s="35" t="str"/>
      <x:c r="F329" s="35" t="str">
        <x:v>AUTHORITATIVE_REQUIREMENT_SCOPED</x:v>
      </x:c>
    </x:row>
    <x:row r="330">
      <x:c r="A330" s="38" t="str">
        <x:v>TRF-044</x:v>
      </x:c>
      <x:c r="B330" s="35" t="str">
        <x:v>transverseFrame</x:v>
      </x:c>
      <x:c r="C330" s="35" t="str">
        <x:v>effectiveFrameSpan</x:v>
      </x:c>
      <x:c r="D330" s="35" t="str">
        <x:v>transverseFrame</x:v>
      </x:c>
      <x:c r="E330" s="35" t="str"/>
      <x:c r="F330" s="35" t="str">
        <x:v>AUTHORITATIVE_REQUIREMENT_SCOPED</x:v>
      </x:c>
    </x:row>
    <x:row r="331">
      <x:c r="A331" s="38" t="str">
        <x:v>TRF-044</x:v>
      </x:c>
      <x:c r="B331" s="35" t="str">
        <x:v>transverseFrame</x:v>
      </x:c>
      <x:c r="C331" s="35" t="str">
        <x:v>frameBoundaryConditionFactorM0</x:v>
      </x:c>
      <x:c r="D331" s="35" t="str">
        <x:v>transverseFrame</x:v>
      </x:c>
      <x:c r="E331" s="35" t="str"/>
      <x:c r="F331" s="35" t="str">
        <x:v>AUTHORITATIVE_REQUIREMENT_SCOPED</x:v>
      </x:c>
    </x:row>
    <x:row r="332">
      <x:c r="A332" s="38" t="str">
        <x:v>TRF-044</x:v>
      </x:c>
      <x:c r="B332" s="35" t="str">
        <x:v>transverseFrame</x:v>
      </x:c>
      <x:c r="C332" s="35" t="str">
        <x:v>frameBoundaryConditionType</x:v>
      </x:c>
      <x:c r="D332" s="35" t="str">
        <x:v>transverseFrame</x:v>
      </x:c>
      <x:c r="E332" s="35" t="str"/>
      <x:c r="F332" s="35" t="str">
        <x:v>AUTHORITATIVE_REQUIREMENT_SCOPED</x:v>
      </x:c>
    </x:row>
    <x:row r="333">
      <x:c r="A333" s="38" t="str">
        <x:v>TRF-044</x:v>
      </x:c>
      <x:c r="B333" s="35" t="str">
        <x:v>transverseFrame</x:v>
      </x:c>
      <x:c r="C333" s="35" t="str">
        <x:v>frameMomentFactorMt</x:v>
      </x:c>
      <x:c r="D333" s="35" t="str">
        <x:v>transverseFrame</x:v>
      </x:c>
      <x:c r="E333" s="35" t="str"/>
      <x:c r="F333" s="35" t="str">
        <x:v>AUTHORITATIVE_REQUIREMENT_SCOPED</x:v>
      </x:c>
    </x:row>
    <x:row r="334">
      <x:c r="A334" s="38" t="str">
        <x:v>TRF-044</x:v>
      </x:c>
      <x:c r="B334" s="35" t="str">
        <x:v>transverseFrame</x:v>
      </x:c>
      <x:c r="C334" s="35" t="str">
        <x:v>frameShearDistributionFactorF3</x:v>
      </x:c>
      <x:c r="D334" s="35" t="str">
        <x:v>transverseFrame</x:v>
      </x:c>
      <x:c r="E334" s="35" t="str"/>
      <x:c r="F334" s="35" t="str">
        <x:v>AUTHORITATIVE_REQUIREMENT_SCOPED</x:v>
      </x:c>
    </x:row>
    <x:row r="335">
      <x:c r="A335" s="38" t="str">
        <x:v>TRF-044</x:v>
      </x:c>
      <x:c r="B335" s="35" t="str">
        <x:v>transverseFrame</x:v>
      </x:c>
      <x:c r="C335" s="35" t="str">
        <x:v>icePressure</x:v>
      </x:c>
      <x:c r="D335" s="35" t="str">
        <x:v>transverseFrame</x:v>
      </x:c>
      <x:c r="E335" s="35" t="str"/>
      <x:c r="F335" s="35" t="str">
        <x:v>AUTHORITATIVE_REQUIREMENT_SCOPED</x:v>
      </x:c>
    </x:row>
    <x:row r="336">
      <x:c r="A336" s="38" t="str">
        <x:v>TRF-044</x:v>
      </x:c>
      <x:c r="B336" s="35" t="str">
        <x:v>transverseFrame</x:v>
      </x:c>
      <x:c r="C336" s="35" t="str">
        <x:v>intermediateTransverseFrame</x:v>
      </x:c>
      <x:c r="D336" s="35" t="str">
        <x:v>transverseFrame</x:v>
      </x:c>
      <x:c r="E336" s="35" t="str"/>
      <x:c r="F336" s="35" t="str">
        <x:v>AUTHORITATIVE_REQUIREMENT_SCOPED</x:v>
      </x:c>
    </x:row>
    <x:row r="337">
      <x:c r="A337" s="38" t="str">
        <x:v>TRF-044</x:v>
      </x:c>
      <x:c r="B337" s="35" t="str">
        <x:v>transverseFrame</x:v>
      </x:c>
      <x:c r="C337" s="35" t="str">
        <x:v>mainTransverseFrame</x:v>
      </x:c>
      <x:c r="D337" s="35" t="str">
        <x:v>transverseFrame</x:v>
      </x:c>
      <x:c r="E337" s="35" t="str"/>
      <x:c r="F337" s="35" t="str">
        <x:v>AUTHORITATIVE_REQUIREMENT_SCOPED</x:v>
      </x:c>
    </x:row>
    <x:row r="338">
      <x:c r="A338" s="38" t="str">
        <x:v>TRF-044</x:v>
      </x:c>
      <x:c r="B338" s="35" t="str">
        <x:v>transverseFrame</x:v>
      </x:c>
      <x:c r="C338" s="35" t="str">
        <x:v>requiredShearArea</x:v>
      </x:c>
      <x:c r="D338" s="35" t="str">
        <x:v>transverseFrame</x:v>
      </x:c>
      <x:c r="E338" s="35" t="str"/>
      <x:c r="F338" s="35" t="str">
        <x:v>AUTHORITATIVE_REQUIREMENT_SCOPED</x:v>
      </x:c>
    </x:row>
    <x:row r="339">
      <x:c r="A339" s="38" t="str">
        <x:v>TRF-044</x:v>
      </x:c>
      <x:c r="B339" s="35" t="str">
        <x:v>transverseFrame</x:v>
      </x:c>
      <x:c r="C339" s="35" t="str">
        <x:v>sectionModulus</x:v>
      </x:c>
      <x:c r="D339" s="35" t="str">
        <x:v>transverseFrame</x:v>
      </x:c>
      <x:c r="E339" s="35" t="str"/>
      <x:c r="F339" s="35" t="str">
        <x:v>AUTHORITATIVE_REQUIREMENT_SCOPED</x:v>
      </x:c>
    </x:row>
    <x:row r="340">
      <x:c r="A340" s="38" t="str">
        <x:v>TRF-044</x:v>
      </x:c>
      <x:c r="B340" s="35" t="str">
        <x:v>transverseFrame</x:v>
      </x:c>
      <x:c r="C340" s="35" t="str">
        <x:v>spacing</x:v>
      </x:c>
      <x:c r="D340" s="35" t="str">
        <x:v>transverseFrame</x:v>
      </x:c>
      <x:c r="E340" s="35" t="str"/>
      <x:c r="F340" s="35" t="str">
        <x:v>AUTHORITATIVE_REQUIREMENT_SCOPED</x:v>
      </x:c>
    </x:row>
    <x:row r="341">
      <x:c r="A341" s="38" t="str">
        <x:v>TRF-044</x:v>
      </x:c>
      <x:c r="B341" s="35" t="str">
        <x:v>transverseFrame</x:v>
      </x:c>
      <x:c r="C341" s="35" t="str">
        <x:v>span</x:v>
      </x:c>
      <x:c r="D341" s="35" t="str">
        <x:v>transverseFrame</x:v>
      </x:c>
      <x:c r="E341" s="35" t="str"/>
      <x:c r="F341" s="35" t="str">
        <x:v>AUTHORITATIVE_REQUIREMENT_SCOPED</x:v>
      </x:c>
    </x:row>
    <x:row r="342">
      <x:c r="A342" s="38" t="str">
        <x:v>TRF-044</x:v>
      </x:c>
      <x:c r="B342" s="35" t="str">
        <x:v>transverseFrame</x:v>
      </x:c>
      <x:c r="C342" s="35" t="str">
        <x:v>yieldStrength</x:v>
      </x:c>
      <x:c r="D342" s="35" t="str">
        <x:v>transverseFrame</x:v>
      </x:c>
      <x:c r="E342" s="35" t="str"/>
      <x:c r="F342" s="35" t="str">
        <x:v>AUTHORITATIVE_REQUIREMENT_SCOPED</x:v>
      </x:c>
    </x:row>
    <x:row r="343">
      <x:c r="A343" s="38" t="str">
        <x:v>TRF-045</x:v>
      </x:c>
      <x:c r="B343" s="35" t="str">
        <x:v>frame</x:v>
      </x:c>
      <x:c r="C343" s="35" t="str">
        <x:v>frameSpanWithinIceStrengtheningZone</x:v>
      </x:c>
      <x:c r="D343" s="35" t="str">
        <x:v>frame</x:v>
      </x:c>
      <x:c r="E343" s="35" t="str"/>
      <x:c r="F343" s="35" t="str">
        <x:v>AUTHORITATIVE_REQUIREMENT_SCOPED</x:v>
      </x:c>
    </x:row>
    <x:row r="344">
      <x:c r="A344" s="38" t="str">
        <x:v>TRF-045</x:v>
      </x:c>
      <x:c r="B344" s="35" t="str">
        <x:v>frame</x:v>
      </x:c>
      <x:c r="C344" s="35" t="str">
        <x:v>ordinaryFrameScantlingsUsed</x:v>
      </x:c>
      <x:c r="D344" s="35" t="str">
        <x:v>frame</x:v>
      </x:c>
      <x:c r="E344" s="35" t="str"/>
      <x:c r="F344" s="35" t="str">
        <x:v>AUTHORITATIVE_REQUIREMENT_SCOPED</x:v>
      </x:c>
    </x:row>
    <x:row r="345">
      <x:c r="A345" s="38" t="str">
        <x:v>TRF-045</x:v>
      </x:c>
      <x:c r="B345" s="35" t="str">
        <x:v>frame</x:v>
      </x:c>
      <x:c r="C345" s="35" t="str">
        <x:v>span</x:v>
      </x:c>
      <x:c r="D345" s="35" t="str">
        <x:v>frame</x:v>
      </x:c>
      <x:c r="E345" s="35" t="str"/>
      <x:c r="F345" s="35" t="str">
        <x:v>AUTHORITATIVE_REQUIREMENT_SCOPED</x:v>
      </x:c>
    </x:row>
    <x:row r="346">
      <x:c r="A346" s="38" t="str">
        <x:v>TRF-046</x:v>
      </x:c>
      <x:c r="B346" s="35" t="str">
        <x:v>frame</x:v>
      </x:c>
      <x:c r="C346" s="35" t="str">
        <x:v>connectsToAdjacentMainFrame</x:v>
      </x:c>
      <x:c r="D346" s="35" t="str">
        <x:v>frame</x:v>
      </x:c>
      <x:c r="E346" s="35" t="str"/>
      <x:c r="F346" s="35" t="str">
        <x:v>AUTHORITATIVE_REQUIREMENT_SCOPED</x:v>
      </x:c>
    </x:row>
    <x:row r="347">
      <x:c r="A347" s="38" t="str">
        <x:v>TRF-046</x:v>
      </x:c>
      <x:c r="B347" s="35" t="str">
        <x:v>frame</x:v>
      </x:c>
      <x:c r="C347" s="35" t="str">
        <x:v>deckStructure</x:v>
      </x:c>
      <x:c r="D347" s="35" t="str">
        <x:v>frame</x:v>
      </x:c>
      <x:c r="E347" s="35" t="str"/>
      <x:c r="F347" s="35" t="str">
        <x:v>AUTHORITATIVE_REQUIREMENT_SCOPED</x:v>
      </x:c>
    </x:row>
    <x:row r="348">
      <x:c r="A348" s="38" t="str">
        <x:v>TRF-046</x:v>
      </x:c>
      <x:c r="B348" s="35" t="str">
        <x:v>frame</x:v>
      </x:c>
      <x:c r="C348" s="35" t="str">
        <x:v>frameStrengthenedPart</x:v>
      </x:c>
      <x:c r="D348" s="35" t="str">
        <x:v>frame</x:v>
      </x:c>
      <x:c r="E348" s="35" t="str"/>
      <x:c r="F348" s="35" t="str">
        <x:v>AUTHORITATIVE_REQUIREMENT_SCOPED</x:v>
      </x:c>
    </x:row>
    <x:row r="349">
      <x:c r="A349" s="38" t="str">
        <x:v>TRF-046</x:v>
      </x:c>
      <x:c r="B349" s="35" t="str">
        <x:v>frame</x:v>
      </x:c>
      <x:c r="C349" s="35" t="str">
        <x:v>hasAttachedSupportingStructure</x:v>
      </x:c>
      <x:c r="D349" s="35" t="str">
        <x:v>frame</x:v>
      </x:c>
      <x:c r="E349" s="35" t="str"/>
      <x:c r="F349" s="35" t="str">
        <x:v>AUTHORITATIVE_REQUIREMENT_SCOPED</x:v>
      </x:c>
    </x:row>
    <x:row r="350">
      <x:c r="A350" s="38" t="str">
        <x:v>TRF-046</x:v>
      </x:c>
      <x:c r="B350" s="35" t="str">
        <x:v>frame</x:v>
      </x:c>
      <x:c r="C350" s="35" t="str">
        <x:v>hasHorizontalConnectionMember</x:v>
      </x:c>
      <x:c r="D350" s="35" t="str">
        <x:v>frameEnd</x:v>
      </x:c>
      <x:c r="E350" s="35" t="str"/>
      <x:c r="F350" s="35" t="str">
        <x:v>AUTHORITATIVE_REQUIREMENT_SCOPED</x:v>
      </x:c>
    </x:row>
    <x:row r="351">
      <x:c r="A351" s="38" t="str">
        <x:v>TRF-046</x:v>
      </x:c>
      <x:c r="B351" s="35" t="str">
        <x:v>frame</x:v>
      </x:c>
      <x:c r="C351" s="35" t="str">
        <x:v>hasTerminationAboveSupportingStructure</x:v>
      </x:c>
      <x:c r="D351" s="35" t="str">
        <x:v>frame</x:v>
      </x:c>
      <x:c r="E351" s="35" t="str"/>
      <x:c r="F351" s="35" t="str">
        <x:v>AUTHORITATIVE_REQUIREMENT_SCOPED</x:v>
      </x:c>
    </x:row>
    <x:row r="352">
      <x:c r="A352" s="38" t="str">
        <x:v>TRF-046</x:v>
      </x:c>
      <x:c r="B352" s="35" t="str">
        <x:v>frame</x:v>
      </x:c>
      <x:c r="C352" s="35" t="str">
        <x:v>hasUpperEnd</x:v>
      </x:c>
      <x:c r="D352" s="35" t="str">
        <x:v>frame</x:v>
      </x:c>
      <x:c r="E352" s="35" t="str"/>
      <x:c r="F352" s="35" t="str">
        <x:v>AUTHORITATIVE_REQUIREMENT_SCOPED</x:v>
      </x:c>
    </x:row>
    <x:row r="353">
      <x:c r="A353" s="38" t="str">
        <x:v>TRF-046</x:v>
      </x:c>
      <x:c r="B353" s="35" t="str">
        <x:v>frame</x:v>
      </x:c>
      <x:c r="C353" s="35" t="str">
        <x:v>horizontalConnectionMember</x:v>
      </x:c>
      <x:c r="D353" s="35" t="str">
        <x:v>frame</x:v>
      </x:c>
      <x:c r="E353" s="35" t="str"/>
      <x:c r="F353" s="35" t="str">
        <x:v>AUTHORITATIVE_REQUIREMENT_SCOPED</x:v>
      </x:c>
    </x:row>
    <x:row r="354">
      <x:c r="A354" s="38" t="str">
        <x:v>TRF-046</x:v>
      </x:c>
      <x:c r="B354" s="35" t="str">
        <x:v>frame</x:v>
      </x:c>
      <x:c r="C354" s="35" t="str">
        <x:v>iceStringer</x:v>
      </x:c>
      <x:c r="D354" s="35" t="str">
        <x:v>frame</x:v>
      </x:c>
      <x:c r="E354" s="35" t="str"/>
      <x:c r="F354" s="35" t="str">
        <x:v>AUTHORITATIVE_REQUIREMENT_SCOPED</x:v>
      </x:c>
    </x:row>
    <x:row r="355">
      <x:c r="A355" s="38" t="str">
        <x:v>TRF-046</x:v>
      </x:c>
      <x:c r="B355" s="35" t="str">
        <x:v>frame</x:v>
      </x:c>
      <x:c r="C355" s="35" t="str">
        <x:v>intermediateIceFrame</x:v>
      </x:c>
      <x:c r="D355" s="35" t="str">
        <x:v>frame</x:v>
      </x:c>
      <x:c r="E355" s="35" t="str"/>
      <x:c r="F355" s="35" t="str">
        <x:v>AUTHORITATIVE_REQUIREMENT_SCOPED</x:v>
      </x:c>
    </x:row>
    <x:row r="356">
      <x:c r="A356" s="38" t="str">
        <x:v>TRF-046</x:v>
      </x:c>
      <x:c r="B356" s="35" t="str">
        <x:v>frame</x:v>
      </x:c>
      <x:c r="C356" s="35" t="str">
        <x:v>mainFrame</x:v>
      </x:c>
      <x:c r="D356" s="35" t="str">
        <x:v>frame</x:v>
      </x:c>
      <x:c r="E356" s="35" t="str"/>
      <x:c r="F356" s="35" t="str">
        <x:v>AUTHORITATIVE_REQUIREMENT_SCOPED</x:v>
      </x:c>
    </x:row>
    <x:row r="357">
      <x:c r="A357" s="38" t="str">
        <x:v>TRF-046</x:v>
      </x:c>
      <x:c r="B357" s="35" t="str">
        <x:v>frame</x:v>
      </x:c>
      <x:c r="C357" s="35" t="str">
        <x:v>ordinaryFrameScantlingsUsed</x:v>
      </x:c>
      <x:c r="D357" s="35" t="str">
        <x:v>frame</x:v>
      </x:c>
      <x:c r="E357" s="35" t="str"/>
      <x:c r="F357" s="35" t="str">
        <x:v>AUTHORITATIVE_REQUIREMENT_SCOPED</x:v>
      </x:c>
    </x:row>
    <x:row r="358">
      <x:c r="A358" s="38" t="str">
        <x:v>TRF-046</x:v>
      </x:c>
      <x:c r="B358" s="35" t="str">
        <x:v>frame</x:v>
      </x:c>
      <x:c r="C358" s="35" t="str">
        <x:v>sameScantlingsAsMainFrame</x:v>
      </x:c>
      <x:c r="D358" s="35" t="str">
        <x:v>frame</x:v>
      </x:c>
      <x:c r="E358" s="35" t="str"/>
      <x:c r="F358" s="35" t="str">
        <x:v>AUTHORITATIVE_REQUIREMENT_SCOPED</x:v>
      </x:c>
    </x:row>
    <x:row r="359">
      <x:c r="A359" s="38" t="str">
        <x:v>TRF-046</x:v>
      </x:c>
      <x:c r="B359" s="35" t="str">
        <x:v>frame</x:v>
      </x:c>
      <x:c r="C359" s="35" t="str">
        <x:v>supportingStructure</x:v>
      </x:c>
      <x:c r="D359" s="35" t="str">
        <x:v>frame</x:v>
      </x:c>
      <x:c r="E359" s="35" t="str"/>
      <x:c r="F359" s="35" t="str">
        <x:v>AUTHORITATIVE_REQUIREMENT_SCOPED</x:v>
      </x:c>
    </x:row>
    <x:row r="360">
      <x:c r="A360" s="38" t="str">
        <x:v>TRF-046</x:v>
      </x:c>
      <x:c r="B360" s="35" t="str">
        <x:v>frame</x:v>
      </x:c>
      <x:c r="C360" s="35" t="str">
        <x:v>supportingStructureAtOrAboveIceBeltUpperLimit</x:v>
      </x:c>
      <x:c r="D360" s="35" t="str">
        <x:v>frame</x:v>
      </x:c>
      <x:c r="E360" s="35" t="str"/>
      <x:c r="F360" s="35" t="str">
        <x:v>AUTHORITATIVE_REQUIREMENT_SCOPED</x:v>
      </x:c>
    </x:row>
    <x:row r="361">
      <x:c r="A361" s="38" t="str">
        <x:v>TRF-046</x:v>
      </x:c>
      <x:c r="B361" s="35" t="str">
        <x:v>frame</x:v>
      </x:c>
      <x:c r="C361" s="35" t="str">
        <x:v>tankBoundaryPlating</x:v>
      </x:c>
      <x:c r="D361" s="35" t="str">
        <x:v>frame</x:v>
      </x:c>
      <x:c r="E361" s="35" t="str"/>
      <x:c r="F361" s="35" t="str">
        <x:v>AUTHORITATIVE_REQUIREMENT_SCOPED</x:v>
      </x:c>
    </x:row>
    <x:row r="362">
      <x:c r="A362" s="38" t="str">
        <x:v>TRF-046</x:v>
      </x:c>
      <x:c r="B362" s="35" t="str">
        <x:v>frame</x:v>
      </x:c>
      <x:c r="C362" s="35" t="str">
        <x:v>transverseFrame</x:v>
      </x:c>
      <x:c r="D362" s="35" t="str">
        <x:v>frame</x:v>
      </x:c>
      <x:c r="E362" s="35" t="str"/>
      <x:c r="F362" s="35" t="str">
        <x:v>AUTHORITATIVE_REQUIREMENT_SCOPED</x:v>
      </x:c>
    </x:row>
    <x:row r="363">
      <x:c r="A363" s="38" t="str">
        <x:v>TRF-047</x:v>
      </x:c>
      <x:c r="B363" s="35" t="str">
        <x:v>frame</x:v>
      </x:c>
      <x:c r="C363" s="35" t="str">
        <x:v>connectsToAdjacentMainFrame</x:v>
      </x:c>
      <x:c r="D363" s="35" t="str">
        <x:v>frame</x:v>
      </x:c>
      <x:c r="E363" s="35" t="str"/>
      <x:c r="F363" s="35" t="str">
        <x:v>AUTHORITATIVE_REQUIREMENT_SCOPED</x:v>
      </x:c>
    </x:row>
    <x:row r="364">
      <x:c r="A364" s="38" t="str">
        <x:v>TRF-047</x:v>
      </x:c>
      <x:c r="B364" s="35" t="str">
        <x:v>frame</x:v>
      </x:c>
      <x:c r="C364" s="35" t="str">
        <x:v>deckStructure</x:v>
      </x:c>
      <x:c r="D364" s="35" t="str">
        <x:v>frame</x:v>
      </x:c>
      <x:c r="E364" s="35" t="str"/>
      <x:c r="F364" s="35" t="str">
        <x:v>AUTHORITATIVE_REQUIREMENT_SCOPED</x:v>
      </x:c>
    </x:row>
    <x:row r="365">
      <x:c r="A365" s="38" t="str">
        <x:v>TRF-047</x:v>
      </x:c>
      <x:c r="B365" s="35" t="str">
        <x:v>frame</x:v>
      </x:c>
      <x:c r="C365" s="35" t="str">
        <x:v>frameStrengthenedPart</x:v>
      </x:c>
      <x:c r="D365" s="35" t="str">
        <x:v>frame</x:v>
      </x:c>
      <x:c r="E365" s="35" t="str"/>
      <x:c r="F365" s="35" t="str">
        <x:v>AUTHORITATIVE_REQUIREMENT_SCOPED</x:v>
      </x:c>
    </x:row>
    <x:row r="366">
      <x:c r="A366" s="38" t="str">
        <x:v>TRF-047</x:v>
      </x:c>
      <x:c r="B366" s="35" t="str">
        <x:v>frame</x:v>
      </x:c>
      <x:c r="C366" s="35" t="str">
        <x:v>hasAttachedSupportingStructure</x:v>
      </x:c>
      <x:c r="D366" s="35" t="str">
        <x:v>frame</x:v>
      </x:c>
      <x:c r="E366" s="35" t="str"/>
      <x:c r="F366" s="35" t="str">
        <x:v>AUTHORITATIVE_REQUIREMENT_SCOPED</x:v>
      </x:c>
    </x:row>
    <x:row r="367">
      <x:c r="A367" s="38" t="str">
        <x:v>TRF-047</x:v>
      </x:c>
      <x:c r="B367" s="35" t="str">
        <x:v>frame</x:v>
      </x:c>
      <x:c r="C367" s="35" t="str">
        <x:v>hasHorizontalConnectionMember</x:v>
      </x:c>
      <x:c r="D367" s="35" t="str">
        <x:v>frameEnd</x:v>
      </x:c>
      <x:c r="E367" s="35" t="str"/>
      <x:c r="F367" s="35" t="str">
        <x:v>AUTHORITATIVE_REQUIREMENT_SCOPED</x:v>
      </x:c>
    </x:row>
    <x:row r="368">
      <x:c r="A368" s="38" t="str">
        <x:v>TRF-047</x:v>
      </x:c>
      <x:c r="B368" s="35" t="str">
        <x:v>frame</x:v>
      </x:c>
      <x:c r="C368" s="35" t="str">
        <x:v>hasLowerEnd</x:v>
      </x:c>
      <x:c r="D368" s="35" t="str">
        <x:v>frame</x:v>
      </x:c>
      <x:c r="E368" s="35" t="str"/>
      <x:c r="F368" s="35" t="str">
        <x:v>AUTHORITATIVE_REQUIREMENT_SCOPED</x:v>
      </x:c>
    </x:row>
    <x:row r="369">
      <x:c r="A369" s="38" t="str">
        <x:v>TRF-047</x:v>
      </x:c>
      <x:c r="B369" s="35" t="str">
        <x:v>frame</x:v>
      </x:c>
      <x:c r="C369" s="35" t="str">
        <x:v>hasStrengthenedPart</x:v>
      </x:c>
      <x:c r="D369" s="35" t="str">
        <x:v>frame</x:v>
      </x:c>
      <x:c r="E369" s="35" t="str"/>
      <x:c r="F369" s="35" t="str">
        <x:v>AUTHORITATIVE_REQUIREMENT_SCOPED</x:v>
      </x:c>
    </x:row>
    <x:row r="370">
      <x:c r="A370" s="38" t="str">
        <x:v>TRF-047</x:v>
      </x:c>
      <x:c r="B370" s="35" t="str">
        <x:v>frame</x:v>
      </x:c>
      <x:c r="C370" s="35" t="str">
        <x:v>hasTerminationBelowSupportingStructure</x:v>
      </x:c>
      <x:c r="D370" s="35" t="str">
        <x:v>frame</x:v>
      </x:c>
      <x:c r="E370" s="35" t="str"/>
      <x:c r="F370" s="35" t="str">
        <x:v>AUTHORITATIVE_REQUIREMENT_SCOPED</x:v>
      </x:c>
    </x:row>
    <x:row r="371">
      <x:c r="A371" s="38" t="str">
        <x:v>TRF-047</x:v>
      </x:c>
      <x:c r="B371" s="35" t="str">
        <x:v>frame</x:v>
      </x:c>
      <x:c r="C371" s="35" t="str">
        <x:v>horizontalConnectionMember</x:v>
      </x:c>
      <x:c r="D371" s="35" t="str">
        <x:v>frame</x:v>
      </x:c>
      <x:c r="E371" s="35" t="str"/>
      <x:c r="F371" s="35" t="str">
        <x:v>AUTHORITATIVE_REQUIREMENT_SCOPED</x:v>
      </x:c>
    </x:row>
    <x:row r="372">
      <x:c r="A372" s="38" t="str">
        <x:v>TRF-047</x:v>
      </x:c>
      <x:c r="B372" s="35" t="str">
        <x:v>frame</x:v>
      </x:c>
      <x:c r="C372" s="35" t="str">
        <x:v>iceStringer</x:v>
      </x:c>
      <x:c r="D372" s="35" t="str">
        <x:v>frame</x:v>
      </x:c>
      <x:c r="E372" s="35" t="str"/>
      <x:c r="F372" s="35" t="str">
        <x:v>AUTHORITATIVE_REQUIREMENT_SCOPED</x:v>
      </x:c>
    </x:row>
    <x:row r="373">
      <x:c r="A373" s="38" t="str">
        <x:v>TRF-047</x:v>
      </x:c>
      <x:c r="B373" s="35" t="str">
        <x:v>frame</x:v>
      </x:c>
      <x:c r="C373" s="35" t="str">
        <x:v>intermediateIceFrame</x:v>
      </x:c>
      <x:c r="D373" s="35" t="str">
        <x:v>frame</x:v>
      </x:c>
      <x:c r="E373" s="35" t="str"/>
      <x:c r="F373" s="35" t="str">
        <x:v>AUTHORITATIVE_REQUIREMENT_SCOPED</x:v>
      </x:c>
    </x:row>
    <x:row r="374">
      <x:c r="A374" s="38" t="str">
        <x:v>TRF-047</x:v>
      </x:c>
      <x:c r="B374" s="35" t="str">
        <x:v>frame</x:v>
      </x:c>
      <x:c r="C374" s="35" t="str">
        <x:v>mainFrame</x:v>
      </x:c>
      <x:c r="D374" s="35" t="str">
        <x:v>frame</x:v>
      </x:c>
      <x:c r="E374" s="35" t="str"/>
      <x:c r="F374" s="35" t="str">
        <x:v>AUTHORITATIVE_REQUIREMENT_SCOPED</x:v>
      </x:c>
    </x:row>
    <x:row r="375">
      <x:c r="A375" s="38" t="str">
        <x:v>TRF-047</x:v>
      </x:c>
      <x:c r="B375" s="35" t="str">
        <x:v>frame</x:v>
      </x:c>
      <x:c r="C375" s="35" t="str">
        <x:v>mainFrameBelowIceBeltStrengthened</x:v>
      </x:c>
      <x:c r="D375" s="35" t="str">
        <x:v>frame</x:v>
      </x:c>
      <x:c r="E375" s="35" t="str"/>
      <x:c r="F375" s="35" t="str">
        <x:v>AUTHORITATIVE_REQUIREMENT_SCOPED</x:v>
      </x:c>
    </x:row>
    <x:row r="376">
      <x:c r="A376" s="38" t="str">
        <x:v>TRF-047</x:v>
      </x:c>
      <x:c r="B376" s="35" t="str">
        <x:v>frame</x:v>
      </x:c>
      <x:c r="C376" s="35" t="str">
        <x:v>ordinaryFrameScantlingsUsed</x:v>
      </x:c>
      <x:c r="D376" s="35" t="str">
        <x:v>frame</x:v>
      </x:c>
      <x:c r="E376" s="35" t="str"/>
      <x:c r="F376" s="35" t="str">
        <x:v>AUTHORITATIVE_REQUIREMENT_SCOPED</x:v>
      </x:c>
    </x:row>
    <x:row r="377">
      <x:c r="A377" s="38" t="str">
        <x:v>TRF-047</x:v>
      </x:c>
      <x:c r="B377" s="35" t="str">
        <x:v>frame</x:v>
      </x:c>
      <x:c r="C377" s="35" t="str">
        <x:v>sameScantlingsAsMainFrame</x:v>
      </x:c>
      <x:c r="D377" s="35" t="str">
        <x:v>frame</x:v>
      </x:c>
      <x:c r="E377" s="35" t="str"/>
      <x:c r="F377" s="35" t="str">
        <x:v>AUTHORITATIVE_REQUIREMENT_SCOPED</x:v>
      </x:c>
    </x:row>
    <x:row r="378">
      <x:c r="A378" s="38" t="str">
        <x:v>TRF-047</x:v>
      </x:c>
      <x:c r="B378" s="35" t="str">
        <x:v>frame</x:v>
      </x:c>
      <x:c r="C378" s="35" t="str">
        <x:v>supportingStructure</x:v>
      </x:c>
      <x:c r="D378" s="35" t="str">
        <x:v>frame</x:v>
      </x:c>
      <x:c r="E378" s="35" t="str"/>
      <x:c r="F378" s="35" t="str">
        <x:v>AUTHORITATIVE_REQUIREMENT_SCOPED</x:v>
      </x:c>
    </x:row>
    <x:row r="379">
      <x:c r="A379" s="38" t="str">
        <x:v>TRF-047</x:v>
      </x:c>
      <x:c r="B379" s="35" t="str">
        <x:v>frame</x:v>
      </x:c>
      <x:c r="C379" s="35" t="str">
        <x:v>supportingStructureAtOrBelowIceBeltLowerLimit</x:v>
      </x:c>
      <x:c r="D379" s="35" t="str">
        <x:v>frame</x:v>
      </x:c>
      <x:c r="E379" s="35" t="str"/>
      <x:c r="F379" s="35" t="str">
        <x:v>AUTHORITATIVE_REQUIREMENT_SCOPED</x:v>
      </x:c>
    </x:row>
    <x:row r="380">
      <x:c r="A380" s="38" t="str">
        <x:v>TRF-047</x:v>
      </x:c>
      <x:c r="B380" s="35" t="str">
        <x:v>frame</x:v>
      </x:c>
      <x:c r="C380" s="35" t="str">
        <x:v>tankBoundaryPlating</x:v>
      </x:c>
      <x:c r="D380" s="35" t="str">
        <x:v>frame</x:v>
      </x:c>
      <x:c r="E380" s="35" t="str"/>
      <x:c r="F380" s="35" t="str">
        <x:v>AUTHORITATIVE_REQUIREMENT_SCOPED</x:v>
      </x:c>
    </x:row>
    <x:row r="381">
      <x:c r="A381" s="38" t="str">
        <x:v>TRF-047</x:v>
      </x:c>
      <x:c r="B381" s="35" t="str">
        <x:v>frame</x:v>
      </x:c>
      <x:c r="C381" s="35" t="str">
        <x:v>tankTop</x:v>
      </x:c>
      <x:c r="D381" s="35" t="str">
        <x:v>frame</x:v>
      </x:c>
      <x:c r="E381" s="35" t="str"/>
      <x:c r="F381" s="35" t="str">
        <x:v>AUTHORITATIVE_REQUIREMENT_SCOPED</x:v>
      </x:c>
    </x:row>
    <x:row r="382">
      <x:c r="A382" s="38" t="str">
        <x:v>TRF-047</x:v>
      </x:c>
      <x:c r="B382" s="35" t="str">
        <x:v>frame</x:v>
      </x:c>
      <x:c r="C382" s="35" t="str">
        <x:v>transverseFrame</x:v>
      </x:c>
      <x:c r="D382" s="35" t="str">
        <x:v>frame</x:v>
      </x:c>
      <x:c r="E382" s="35" t="str"/>
      <x:c r="F382" s="35" t="str">
        <x:v>AUTHORITATIVE_REQUIREMENT_SCOPED</x:v>
      </x:c>
    </x:row>
    <x:row r="383">
      <x:c r="A383" s="38" t="str">
        <x:v>TRF-048</x:v>
      </x:c>
      <x:c r="B383" s="35" t="str">
        <x:v>longitudinalFrame</x:v>
      </x:c>
      <x:c r="C383" s="35" t="str">
        <x:v>actualFrameShearArea</x:v>
      </x:c>
      <x:c r="D383" s="35" t="str">
        <x:v>longitudinalFrame</x:v>
      </x:c>
      <x:c r="E383" s="35" t="str"/>
      <x:c r="F383" s="35" t="str">
        <x:v>AUTHORITATIVE_REQUIREMENT_SCOPED</x:v>
      </x:c>
    </x:row>
    <x:row r="384">
      <x:c r="A384" s="38" t="str">
        <x:v>TRF-048</x:v>
      </x:c>
      <x:c r="B384" s="35" t="str">
        <x:v>longitudinalFrame</x:v>
      </x:c>
      <x:c r="C384" s="35" t="str">
        <x:v>bracketArea</x:v>
      </x:c>
      <x:c r="D384" s="35" t="str">
        <x:v>longitudinalFrame</x:v>
      </x:c>
      <x:c r="E384" s="35" t="str"/>
      <x:c r="F384" s="35" t="str">
        <x:v>AUTHORITATIVE_REQUIREMENT_SCOPED</x:v>
      </x:c>
    </x:row>
    <x:row r="385">
      <x:c r="A385" s="38" t="str">
        <x:v>TRF-048</x:v>
      </x:c>
      <x:c r="B385" s="35" t="str">
        <x:v>longitudinalFrame</x:v>
      </x:c>
      <x:c r="C385" s="35" t="str">
        <x:v>connectionBracket</x:v>
      </x:c>
      <x:c r="D385" s="35" t="str">
        <x:v>longitudinalFrame</x:v>
      </x:c>
      <x:c r="E385" s="35" t="str"/>
      <x:c r="F385" s="35" t="str">
        <x:v>AUTHORITATIVE_REQUIREMENT_SCOPED</x:v>
      </x:c>
    </x:row>
    <x:row r="386">
      <x:c r="A386" s="38" t="str">
        <x:v>TRF-048</x:v>
      </x:c>
      <x:c r="B386" s="35" t="str">
        <x:v>longitudinalFrame</x:v>
      </x:c>
      <x:c r="C386" s="35" t="str">
        <x:v>designIceLoadHeight</x:v>
      </x:c>
      <x:c r="D386" s="35" t="str">
        <x:v>longitudinalFrame</x:v>
      </x:c>
      <x:c r="E386" s="35" t="str"/>
      <x:c r="F386" s="35" t="str">
        <x:v>AUTHORITATIVE_REQUIREMENT_SCOPED</x:v>
      </x:c>
    </x:row>
    <x:row r="387">
      <x:c r="A387" s="38" t="str">
        <x:v>TRF-048</x:v>
      </x:c>
      <x:c r="B387" s="35" t="str">
        <x:v>longitudinalFrame</x:v>
      </x:c>
      <x:c r="C387" s="35" t="str">
        <x:v>frameBoundaryConditionEvidence</x:v>
      </x:c>
      <x:c r="D387" s="35" t="str">
        <x:v>longitudinalFrame</x:v>
      </x:c>
      <x:c r="E387" s="35" t="str"/>
      <x:c r="F387" s="35" t="str">
        <x:v>AUTHORITATIVE_REQUIREMENT_SCOPED</x:v>
      </x:c>
    </x:row>
    <x:row r="388">
      <x:c r="A388" s="38" t="str">
        <x:v>TRF-048</x:v>
      </x:c>
      <x:c r="B388" s="35" t="str">
        <x:v>longitudinalFrame</x:v>
      </x:c>
      <x:c r="C388" s="35" t="str">
        <x:v>frameMomentFactorM</x:v>
      </x:c>
      <x:c r="D388" s="35" t="str">
        <x:v>longitudinalFrame</x:v>
      </x:c>
      <x:c r="E388" s="35" t="str"/>
      <x:c r="F388" s="35" t="str">
        <x:v>AUTHORITATIVE_REQUIREMENT_SCOPED</x:v>
      </x:c>
    </x:row>
    <x:row r="389">
      <x:c r="A389" s="38" t="str">
        <x:v>TRF-048</x:v>
      </x:c>
      <x:c r="B389" s="35" t="str">
        <x:v>longitudinalFrame</x:v>
      </x:c>
      <x:c r="C389" s="35" t="str">
        <x:v>grossFrameShearArea</x:v>
      </x:c>
      <x:c r="D389" s="35" t="str">
        <x:v>longitudinalFrame</x:v>
      </x:c>
      <x:c r="E389" s="35" t="str"/>
      <x:c r="F389" s="35" t="str">
        <x:v>AUTHORITATIVE_REQUIREMENT_SCOPED</x:v>
      </x:c>
    </x:row>
    <x:row r="390">
      <x:c r="A390" s="38" t="str">
        <x:v>TRF-048</x:v>
      </x:c>
      <x:c r="B390" s="35" t="str">
        <x:v>longitudinalFrame</x:v>
      </x:c>
      <x:c r="C390" s="35" t="str">
        <x:v>hasFrameBoundaryConditionEvidence</x:v>
      </x:c>
      <x:c r="D390" s="35" t="str">
        <x:v>longitudinalFrame</x:v>
      </x:c>
      <x:c r="E390" s="35" t="str"/>
      <x:c r="F390" s="35" t="str">
        <x:v>AUTHORITATIVE_REQUIREMENT_SCOPED</x:v>
      </x:c>
    </x:row>
    <x:row r="391">
      <x:c r="A391" s="38" t="str">
        <x:v>TRF-048</x:v>
      </x:c>
      <x:c r="B391" s="35" t="str">
        <x:v>longitudinalFrame</x:v>
      </x:c>
      <x:c r="C391" s="35" t="str">
        <x:v>icePressure</x:v>
      </x:c>
      <x:c r="D391" s="35" t="str">
        <x:v>longitudinalFrame</x:v>
      </x:c>
      <x:c r="E391" s="35" t="str"/>
      <x:c r="F391" s="35" t="str">
        <x:v>AUTHORITATIVE_REQUIREMENT_SCOPED</x:v>
      </x:c>
    </x:row>
    <x:row r="392">
      <x:c r="A392" s="38" t="str">
        <x:v>TRF-048</x:v>
      </x:c>
      <x:c r="B392" s="35" t="str">
        <x:v>longitudinalFrame</x:v>
      </x:c>
      <x:c r="C392" s="35" t="str">
        <x:v>longitudinalFrame</x:v>
      </x:c>
      <x:c r="D392" s="35" t="str">
        <x:v>longitudinalFrame</x:v>
      </x:c>
      <x:c r="E392" s="35" t="str"/>
      <x:c r="F392" s="35" t="str">
        <x:v>AUTHORITATIVE_REQUIREMENT_SCOPED</x:v>
      </x:c>
    </x:row>
    <x:row r="393">
      <x:c r="A393" s="38" t="str">
        <x:v>TRF-048</x:v>
      </x:c>
      <x:c r="B393" s="35" t="str">
        <x:v>longitudinalFrame</x:v>
      </x:c>
      <x:c r="C393" s="35" t="str">
        <x:v>longitudinalFrameLoadDistributionFactorF4</x:v>
      </x:c>
      <x:c r="D393" s="35" t="str">
        <x:v>longitudinalFrame</x:v>
      </x:c>
      <x:c r="E393" s="35" t="str"/>
      <x:c r="F393" s="35" t="str">
        <x:v>AUTHORITATIVE_REQUIREMENT_SCOPED</x:v>
      </x:c>
    </x:row>
    <x:row r="394">
      <x:c r="A394" s="38" t="str">
        <x:v>TRF-048</x:v>
      </x:c>
      <x:c r="B394" s="35" t="str">
        <x:v>longitudinalFrame</x:v>
      </x:c>
      <x:c r="C394" s="35" t="str">
        <x:v>longitudinalFrameShearFactorF5</x:v>
      </x:c>
      <x:c r="D394" s="35" t="str">
        <x:v>longitudinalFrame</x:v>
      </x:c>
      <x:c r="E394" s="35" t="str"/>
      <x:c r="F394" s="35" t="str">
        <x:v>AUTHORITATIVE_REQUIREMENT_SCOPED</x:v>
      </x:c>
    </x:row>
    <x:row r="395">
      <x:c r="A395" s="38" t="str">
        <x:v>TRF-048</x:v>
      </x:c>
      <x:c r="B395" s="35" t="str">
        <x:v>longitudinalFrame</x:v>
      </x:c>
      <x:c r="C395" s="35" t="str">
        <x:v>sectionModulus</x:v>
      </x:c>
      <x:c r="D395" s="35" t="str">
        <x:v>longitudinalFrame</x:v>
      </x:c>
      <x:c r="E395" s="35" t="str"/>
      <x:c r="F395" s="35" t="str">
        <x:v>AUTHORITATIVE_REQUIREMENT_SCOPED</x:v>
      </x:c>
    </x:row>
    <x:row r="396">
      <x:c r="A396" s="38" t="str">
        <x:v>TRF-048</x:v>
      </x:c>
      <x:c r="B396" s="35" t="str">
        <x:v>longitudinalFrame</x:v>
      </x:c>
      <x:c r="C396" s="35" t="str">
        <x:v>significantlyDifferentBoundaryConditions</x:v>
      </x:c>
      <x:c r="D396" s="35" t="str">
        <x:v>longitudinalFrame</x:v>
      </x:c>
      <x:c r="E396" s="35" t="str"/>
      <x:c r="F396" s="35" t="str">
        <x:v>AUTHORITATIVE_REQUIREMENT_SCOPED</x:v>
      </x:c>
    </x:row>
    <x:row r="397">
      <x:c r="A397" s="38" t="str">
        <x:v>TRF-048</x:v>
      </x:c>
      <x:c r="B397" s="35" t="str">
        <x:v>longitudinalFrame</x:v>
      </x:c>
      <x:c r="C397" s="35" t="str">
        <x:v>spacing</x:v>
      </x:c>
      <x:c r="D397" s="35" t="str">
        <x:v>longitudinalFrame</x:v>
      </x:c>
      <x:c r="E397" s="35" t="str"/>
      <x:c r="F397" s="35" t="str">
        <x:v>AUTHORITATIVE_REQUIREMENT_SCOPED</x:v>
      </x:c>
    </x:row>
    <x:row r="398">
      <x:c r="A398" s="38" t="str">
        <x:v>TRF-048</x:v>
      </x:c>
      <x:c r="B398" s="35" t="str">
        <x:v>longitudinalFrame</x:v>
      </x:c>
      <x:c r="C398" s="35" t="str">
        <x:v>span</x:v>
      </x:c>
      <x:c r="D398" s="35" t="str">
        <x:v>longitudinalFrame</x:v>
      </x:c>
      <x:c r="E398" s="35" t="str"/>
      <x:c r="F398" s="35" t="str">
        <x:v>AUTHORITATIVE_REQUIREMENT_SCOPED</x:v>
      </x:c>
    </x:row>
    <x:row r="399">
      <x:c r="A399" s="38" t="str">
        <x:v>TRF-048</x:v>
      </x:c>
      <x:c r="B399" s="35" t="str">
        <x:v>longitudinalFrame</x:v>
      </x:c>
      <x:c r="C399" s="35" t="str">
        <x:v>yieldStrength</x:v>
      </x:c>
      <x:c r="D399" s="35" t="str">
        <x:v>longitudinalFrame</x:v>
      </x:c>
      <x:c r="E399" s="35" t="str"/>
      <x:c r="F399" s="35" t="str">
        <x:v>AUTHORITATIVE_REQUIREMENT_SCOPED</x:v>
      </x:c>
    </x:row>
    <x:row r="400">
      <x:c r="A400" s="38" t="str">
        <x:v>TRF-049</x:v>
      </x:c>
      <x:c r="B400" s="35" t="str">
        <x:v>frame</x:v>
      </x:c>
      <x:c r="C400" s="35" t="str">
        <x:v>bracketEdgeStiffened</x:v>
      </x:c>
      <x:c r="D400" s="35" t="str">
        <x:v>connectionBracket</x:v>
      </x:c>
      <x:c r="E400" s="35" t="str"/>
      <x:c r="F400" s="35" t="str">
        <x:v>AUTHORITATIVE_REQUIREMENT_SCOPED</x:v>
      </x:c>
    </x:row>
    <x:row r="401">
      <x:c r="A401" s="38" t="str">
        <x:v>TRF-049</x:v>
      </x:c>
      <x:c r="B401" s="35" t="str">
        <x:v>frame</x:v>
      </x:c>
      <x:c r="C401" s="35" t="str">
        <x:v>bracketThickness</x:v>
      </x:c>
      <x:c r="D401" s="35" t="str">
        <x:v>connectionBracket</x:v>
      </x:c>
      <x:c r="E401" s="35" t="str"/>
      <x:c r="F401" s="35" t="str">
        <x:v>AUTHORITATIVE_REQUIREMENT_SCOPED</x:v>
      </x:c>
    </x:row>
    <x:row r="402">
      <x:c r="A402" s="38" t="str">
        <x:v>TRF-049</x:v>
      </x:c>
      <x:c r="B402" s="35" t="str">
        <x:v>frame</x:v>
      </x:c>
      <x:c r="C402" s="35" t="str">
        <x:v>bucklingStiffening</x:v>
      </x:c>
      <x:c r="D402" s="35" t="str">
        <x:v>connectionBracket</x:v>
      </x:c>
      <x:c r="E402" s="35" t="str"/>
      <x:c r="F402" s="35" t="str">
        <x:v>AUTHORITATIVE_REQUIREMENT_SCOPED</x:v>
      </x:c>
    </x:row>
    <x:row r="403">
      <x:c r="A403" s="38" t="str">
        <x:v>TRF-049</x:v>
      </x:c>
      <x:c r="B403" s="35" t="str">
        <x:v>frame</x:v>
      </x:c>
      <x:c r="C403" s="35" t="str">
        <x:v>connectionBracket</x:v>
      </x:c>
      <x:c r="D403" s="35" t="str">
        <x:v>frame</x:v>
      </x:c>
      <x:c r="E403" s="35" t="str"/>
      <x:c r="F403" s="35" t="str">
        <x:v>AUTHORITATIVE_REQUIREMENT_SCOPED</x:v>
      </x:c>
    </x:row>
    <x:row r="404">
      <x:c r="A404" s="38" t="str">
        <x:v>TRF-049</x:v>
      </x:c>
      <x:c r="B404" s="35" t="str">
        <x:v>frame</x:v>
      </x:c>
      <x:c r="C404" s="35" t="str">
        <x:v>effectiveAttachmentConfirmed</x:v>
      </x:c>
      <x:c r="D404" s="35" t="str">
        <x:v>frame</x:v>
      </x:c>
      <x:c r="E404" s="35" t="str"/>
      <x:c r="F404" s="35" t="str">
        <x:v>AUTHORITATIVE_REQUIREMENT_SCOPED</x:v>
      </x:c>
    </x:row>
    <x:row r="405">
      <x:c r="A405" s="38" t="str">
        <x:v>TRF-049</x:v>
      </x:c>
      <x:c r="B405" s="35" t="str">
        <x:v>frame</x:v>
      </x:c>
      <x:c r="C405" s="35" t="str">
        <x:v>frame</x:v>
      </x:c>
      <x:c r="D405" s="35" t="str">
        <x:v>frame</x:v>
      </x:c>
      <x:c r="E405" s="35" t="str"/>
      <x:c r="F405" s="35" t="str">
        <x:v>AUTHORITATIVE_REQUIREMENT_SCOPED</x:v>
      </x:c>
    </x:row>
    <x:row r="406">
      <x:c r="A406" s="38" t="str">
        <x:v>TRF-049</x:v>
      </x:c>
      <x:c r="B406" s="35" t="str">
        <x:v>frame</x:v>
      </x:c>
      <x:c r="C406" s="35" t="str">
        <x:v>frameAttachment</x:v>
      </x:c>
      <x:c r="D406" s="35" t="str">
        <x:v>frame</x:v>
      </x:c>
      <x:c r="E406" s="35" t="str"/>
      <x:c r="F406" s="35" t="str">
        <x:v>AUTHORITATIVE_REQUIREMENT_SCOPED</x:v>
      </x:c>
    </x:row>
    <x:row r="407">
      <x:c r="A407" s="38" t="str">
        <x:v>TRF-049</x:v>
      </x:c>
      <x:c r="B407" s="35" t="str">
        <x:v>frame</x:v>
      </x:c>
      <x:c r="C407" s="35" t="str">
        <x:v>frameWebThickness</x:v>
      </x:c>
      <x:c r="D407" s="35" t="str">
        <x:v>frame</x:v>
      </x:c>
      <x:c r="E407" s="35" t="str"/>
      <x:c r="F407" s="35" t="str">
        <x:v>AUTHORITATIVE_REQUIREMENT_SCOPED</x:v>
      </x:c>
    </x:row>
    <x:row r="408">
      <x:c r="A408" s="38" t="str">
        <x:v>TRF-049</x:v>
      </x:c>
      <x:c r="B408" s="35" t="str">
        <x:v>frame</x:v>
      </x:c>
      <x:c r="C408" s="35" t="str">
        <x:v>hasAttachedSupportingStructure</x:v>
      </x:c>
      <x:c r="D408" s="35" t="str">
        <x:v>frame</x:v>
      </x:c>
      <x:c r="E408" s="35" t="str"/>
      <x:c r="F408" s="35" t="str">
        <x:v>AUTHORITATIVE_REQUIREMENT_SCOPED</x:v>
      </x:c>
    </x:row>
    <x:row r="409">
      <x:c r="A409" s="38" t="str">
        <x:v>TRF-049</x:v>
      </x:c>
      <x:c r="B409" s="35" t="str">
        <x:v>frame</x:v>
      </x:c>
      <x:c r="C409" s="35" t="str">
        <x:v>hasConnectionBracket</x:v>
      </x:c>
      <x:c r="D409" s="35" t="str">
        <x:v>frameAttachment</x:v>
      </x:c>
      <x:c r="E409" s="35" t="str"/>
      <x:c r="F409" s="35" t="str">
        <x:v>AUTHORITATIVE_REQUIREMENT_SCOPED</x:v>
      </x:c>
    </x:row>
    <x:row r="410">
      <x:c r="A410" s="38" t="str">
        <x:v>TRF-049</x:v>
      </x:c>
      <x:c r="B410" s="35" t="str">
        <x:v>frame</x:v>
      </x:c>
      <x:c r="C410" s="35" t="str">
        <x:v>hasFrameAttachment</x:v>
      </x:c>
      <x:c r="D410" s="35" t="str">
        <x:v>frame</x:v>
      </x:c>
      <x:c r="E410" s="35" t="str"/>
      <x:c r="F410" s="35" t="str">
        <x:v>AUTHORITATIVE_REQUIREMENT_SCOPED</x:v>
      </x:c>
    </x:row>
    <x:row r="411">
      <x:c r="A411" s="38" t="str">
        <x:v>TRF-049</x:v>
      </x:c>
      <x:c r="B411" s="35" t="str">
        <x:v>frame</x:v>
      </x:c>
      <x:c r="C411" s="35" t="str">
        <x:v>hasSupportingBulkhead</x:v>
      </x:c>
      <x:c r="D411" s="35" t="str">
        <x:v>frame</x:v>
      </x:c>
      <x:c r="E411" s="35" t="str"/>
      <x:c r="F411" s="35" t="str">
        <x:v>AUTHORITATIVE_REQUIREMENT_SCOPED</x:v>
      </x:c>
    </x:row>
    <x:row r="412">
      <x:c r="A412" s="38" t="str">
        <x:v>TRF-049</x:v>
      </x:c>
      <x:c r="B412" s="35" t="str">
        <x:v>frame</x:v>
      </x:c>
      <x:c r="C412" s="35" t="str">
        <x:v>hasSupportingStructureAttachment</x:v>
      </x:c>
      <x:c r="D412" s="35" t="str">
        <x:v>supportingStructure</x:v>
      </x:c>
      <x:c r="E412" s="35" t="str"/>
      <x:c r="F412" s="35" t="str">
        <x:v>AUTHORITATIVE_REQUIREMENT_SCOPED</x:v>
      </x:c>
    </x:row>
    <x:row r="413">
      <x:c r="A413" s="38" t="str">
        <x:v>TRF-049</x:v>
      </x:c>
      <x:c r="B413" s="35" t="str">
        <x:v>frame</x:v>
      </x:c>
      <x:c r="C413" s="35" t="str">
        <x:v>hasSupportingWebFrame</x:v>
      </x:c>
      <x:c r="D413" s="35" t="str">
        <x:v>frame</x:v>
      </x:c>
      <x:c r="E413" s="35" t="str"/>
      <x:c r="F413" s="35" t="str">
        <x:v>AUTHORITATIVE_REQUIREMENT_SCOPED</x:v>
      </x:c>
    </x:row>
    <x:row r="414">
      <x:c r="A414" s="38" t="str">
        <x:v>TRF-049</x:v>
      </x:c>
      <x:c r="B414" s="35" t="str">
        <x:v>frame</x:v>
      </x:c>
      <x:c r="C414" s="35" t="str">
        <x:v>longitudinalFrame</x:v>
      </x:c>
      <x:c r="D414" s="35" t="str">
        <x:v>frame</x:v>
      </x:c>
      <x:c r="E414" s="35" t="str"/>
      <x:c r="F414" s="35" t="str">
        <x:v>AUTHORITATIVE_REQUIREMENT_SCOPED</x:v>
      </x:c>
    </x:row>
    <x:row r="415">
      <x:c r="A415" s="38" t="str">
        <x:v>TRF-049</x:v>
      </x:c>
      <x:c r="B415" s="35" t="str">
        <x:v>frame</x:v>
      </x:c>
      <x:c r="C415" s="35" t="str">
        <x:v>passesThroughSupportingStructure</x:v>
      </x:c>
      <x:c r="D415" s="35" t="str">
        <x:v>frame</x:v>
      </x:c>
      <x:c r="E415" s="35" t="str"/>
      <x:c r="F415" s="35" t="str">
        <x:v>AUTHORITATIVE_REQUIREMENT_SCOPED</x:v>
      </x:c>
    </x:row>
    <x:row r="416">
      <x:c r="A416" s="38" t="str">
        <x:v>TRF-049</x:v>
      </x:c>
      <x:c r="B416" s="35" t="str">
        <x:v>frame</x:v>
      </x:c>
      <x:c r="C416" s="35" t="str">
        <x:v>similarAttachmentConstructionPresent</x:v>
      </x:c>
      <x:c r="D416" s="35" t="str">
        <x:v>frame</x:v>
      </x:c>
      <x:c r="E416" s="35" t="str"/>
      <x:c r="F416" s="35" t="str">
        <x:v>AUTHORITATIVE_REQUIREMENT_SCOPED</x:v>
      </x:c>
    </x:row>
    <x:row r="417">
      <x:c r="A417" s="38" t="str">
        <x:v>TRF-049</x:v>
      </x:c>
      <x:c r="B417" s="35" t="str">
        <x:v>frame</x:v>
      </x:c>
      <x:c r="C417" s="35" t="str">
        <x:v>supportingStructure</x:v>
      </x:c>
      <x:c r="D417" s="35" t="str">
        <x:v>frame</x:v>
      </x:c>
      <x:c r="E417" s="35" t="str"/>
      <x:c r="F417" s="35" t="str">
        <x:v>AUTHORITATIVE_REQUIREMENT_SCOPED</x:v>
      </x:c>
    </x:row>
    <x:row r="418">
      <x:c r="A418" s="38" t="str">
        <x:v>TRF-049</x:v>
      </x:c>
      <x:c r="B418" s="35" t="str">
        <x:v>frame</x:v>
      </x:c>
      <x:c r="C418" s="35" t="str">
        <x:v>terminatesAtDeckOrIceStringer</x:v>
      </x:c>
      <x:c r="D418" s="35" t="str">
        <x:v>frame</x:v>
      </x:c>
      <x:c r="E418" s="35" t="str"/>
      <x:c r="F418" s="35" t="str">
        <x:v>AUTHORITATIVE_REQUIREMENT_SCOPED</x:v>
      </x:c>
    </x:row>
    <x:row r="419">
      <x:c r="A419" s="38" t="str">
        <x:v>TRF-049</x:v>
      </x:c>
      <x:c r="B419" s="35" t="str">
        <x:v>frame</x:v>
      </x:c>
      <x:c r="C419" s="35" t="str">
        <x:v>transverseFrame</x:v>
      </x:c>
      <x:c r="D419" s="35" t="str">
        <x:v>frame</x:v>
      </x:c>
      <x:c r="E419" s="35" t="str"/>
      <x:c r="F419" s="35" t="str">
        <x:v>AUTHORITATIVE_REQUIREMENT_SCOPED</x:v>
      </x:c>
    </x:row>
    <x:row r="420">
      <x:c r="A420" s="38" t="str">
        <x:v>TRF-049</x:v>
      </x:c>
      <x:c r="B420" s="35" t="str">
        <x:v>frame</x:v>
      </x:c>
      <x:c r="C420" s="35" t="str">
        <x:v>webPlateConnectionSideCount</x:v>
      </x:c>
      <x:c r="D420" s="35" t="str">
        <x:v>frame</x:v>
      </x:c>
      <x:c r="E420" s="35" t="str"/>
      <x:c r="F420" s="35" t="str">
        <x:v>AUTHORITATIVE_REQUIREMENT_SCOPED</x:v>
      </x:c>
    </x:row>
    <x:row r="421">
      <x:c r="A421" s="38" t="str">
        <x:v>TRF-049</x:v>
      </x:c>
      <x:c r="B421" s="35" t="str">
        <x:v>frame</x:v>
      </x:c>
      <x:c r="C421" s="35" t="str">
        <x:v>withinIceStrengthenedArea</x:v>
      </x:c>
      <x:c r="D421" s="35" t="str">
        <x:v>frame</x:v>
      </x:c>
      <x:c r="E421" s="35" t="str"/>
      <x:c r="F421" s="35" t="str">
        <x:v>AUTHORITATIVE_REQUIREMENT_SCOPED</x:v>
      </x:c>
    </x:row>
    <x:row r="422">
      <x:c r="A422" s="38" t="str">
        <x:v>TRF-050</x:v>
      </x:c>
      <x:c r="B422" s="35" t="str">
        <x:v>frameAttachment</x:v>
      </x:c>
      <x:c r="C422" s="35" t="str">
        <x:v>doubleContinuousWeld</x:v>
      </x:c>
      <x:c r="D422" s="35" t="str">
        <x:v>frameAttachment</x:v>
      </x:c>
      <x:c r="E422" s="35" t="str"/>
      <x:c r="F422" s="35" t="str">
        <x:v>AUTHORITATIVE_REQUIREMENT_SCOPED</x:v>
      </x:c>
    </x:row>
    <x:row r="423">
      <x:c r="A423" s="38" t="str">
        <x:v>TRF-050</x:v>
      </x:c>
      <x:c r="B423" s="35" t="str">
        <x:v>frameAttachment</x:v>
      </x:c>
      <x:c r="C423" s="35" t="str">
        <x:v>frameShellAttachment</x:v>
      </x:c>
      <x:c r="D423" s="35" t="str">
        <x:v>frameAttachment</x:v>
      </x:c>
      <x:c r="E423" s="35" t="str"/>
      <x:c r="F423" s="35" t="str">
        <x:v>AUTHORITATIVE_REQUIREMENT_SCOPED</x:v>
      </x:c>
    </x:row>
    <x:row r="424">
      <x:c r="A424" s="38" t="str">
        <x:v>TRF-050</x:v>
      </x:c>
      <x:c r="B424" s="35" t="str">
        <x:v>frameAttachment</x:v>
      </x:c>
      <x:c r="C424" s="35" t="str">
        <x:v>frameShellWeldType</x:v>
      </x:c>
      <x:c r="D424" s="35" t="str">
        <x:v>frameAttachment</x:v>
      </x:c>
      <x:c r="E424" s="35" t="str"/>
      <x:c r="F424" s="35" t="str">
        <x:v>AUTHORITATIVE_REQUIREMENT_SCOPED</x:v>
      </x:c>
    </x:row>
    <x:row r="425">
      <x:c r="A425" s="38" t="str">
        <x:v>TRF-050</x:v>
      </x:c>
      <x:c r="B425" s="35" t="str">
        <x:v>frameAttachment</x:v>
      </x:c>
      <x:c r="C425" s="35" t="str">
        <x:v>scallopingPresent</x:v>
      </x:c>
      <x:c r="D425" s="35" t="str">
        <x:v>frameAttachment</x:v>
      </x:c>
      <x:c r="E425" s="35" t="str"/>
      <x:c r="F425" s="35" t="str">
        <x:v>AUTHORITATIVE_REQUIREMENT_SCOPED</x:v>
      </x:c>
    </x:row>
    <x:row r="426">
      <x:c r="A426" s="38" t="str">
        <x:v>TRF-050</x:v>
      </x:c>
      <x:c r="B426" s="35" t="str">
        <x:v>frameAttachment</x:v>
      </x:c>
      <x:c r="C426" s="35" t="str">
        <x:v>shellPlateButtCrossing</x:v>
      </x:c>
      <x:c r="D426" s="35" t="str">
        <x:v>frameAttachment</x:v>
      </x:c>
      <x:c r="E426" s="35" t="str"/>
      <x:c r="F426" s="35" t="str">
        <x:v>AUTHORITATIVE_REQUIREMENT_SCOPED</x:v>
      </x:c>
    </x:row>
    <x:row r="427">
      <x:c r="A427" s="38" t="str">
        <x:v>TRF-051</x:v>
      </x:c>
      <x:c r="B427" s="35" t="str">
        <x:v>hullStructure</x:v>
      </x:c>
      <x:c r="C427" s="35" t="str">
        <x:v>adjacentFrameHeight</x:v>
      </x:c>
      <x:c r="D427" s="35" t="str">
        <x:v>hullStructure</x:v>
      </x:c>
      <x:c r="E427" s="35" t="str"/>
      <x:c r="F427" s="35" t="str">
        <x:v>AUTHORITATIVE_REQUIREMENT_SCOPED</x:v>
      </x:c>
    </x:row>
    <x:row r="428">
      <x:c r="A428" s="38" t="str">
        <x:v>TRF-051</x:v>
      </x:c>
      <x:c r="B428" s="35" t="str">
        <x:v>hullStructure</x:v>
      </x:c>
      <x:c r="C428" s="35" t="str">
        <x:v>bulkhead</x:v>
      </x:c>
      <x:c r="D428" s="35" t="str">
        <x:v>hullStructure</x:v>
      </x:c>
      <x:c r="E428" s="35" t="str"/>
      <x:c r="F428" s="35" t="str">
        <x:v>AUTHORITATIVE_REQUIREMENT_SCOPED</x:v>
      </x:c>
    </x:row>
    <x:row r="429">
      <x:c r="A429" s="38" t="str">
        <x:v>TRF-051</x:v>
      </x:c>
      <x:c r="B429" s="35" t="str">
        <x:v>hullStructure</x:v>
      </x:c>
      <x:c r="C429" s="35" t="str">
        <x:v>corrosionAbrasionAddition</x:v>
      </x:c>
      <x:c r="D429" s="35" t="str">
        <x:v>hullStructure</x:v>
      </x:c>
      <x:c r="E429" s="35" t="str"/>
      <x:c r="F429" s="35" t="str">
        <x:v>AUTHORITATIVE_REQUIREMENT_SCOPED</x:v>
      </x:c>
    </x:row>
    <x:row r="430">
      <x:c r="A430" s="38" t="str">
        <x:v>TRF-051</x:v>
      </x:c>
      <x:c r="B430" s="35" t="str">
        <x:v>hullStructure</x:v>
      </x:c>
      <x:c r="C430" s="35" t="str">
        <x:v>deckStructure</x:v>
      </x:c>
      <x:c r="D430" s="35" t="str">
        <x:v>hullStructure</x:v>
      </x:c>
      <x:c r="E430" s="35" t="str"/>
      <x:c r="F430" s="35" t="str">
        <x:v>AUTHORITATIVE_REQUIREMENT_SCOPED</x:v>
      </x:c>
    </x:row>
    <x:row r="431">
      <x:c r="A431" s="38" t="str">
        <x:v>TRF-051</x:v>
      </x:c>
      <x:c r="B431" s="35" t="str">
        <x:v>hullStructure</x:v>
      </x:c>
      <x:c r="C431" s="35" t="str">
        <x:v>flatBarSection</x:v>
      </x:c>
      <x:c r="D431" s="35" t="str">
        <x:v>hullStructure</x:v>
      </x:c>
      <x:c r="E431" s="35" t="str"/>
      <x:c r="F431" s="35" t="str">
        <x:v>AUTHORITATIVE_REQUIREMENT_SCOPED</x:v>
      </x:c>
    </x:row>
    <x:row r="432">
      <x:c r="A432" s="38" t="str">
        <x:v>TRF-051</x:v>
      </x:c>
      <x:c r="B432" s="35" t="str">
        <x:v>hullStructure</x:v>
      </x:c>
      <x:c r="C432" s="35" t="str">
        <x:v>frameProfileType</x:v>
      </x:c>
      <x:c r="D432" s="35" t="str">
        <x:v>hullStructure</x:v>
      </x:c>
      <x:c r="E432" s="35" t="str"/>
      <x:c r="F432" s="35" t="str">
        <x:v>AUTHORITATIVE_REQUIREMENT_SCOPED</x:v>
      </x:c>
    </x:row>
    <x:row r="433">
      <x:c r="A433" s="38" t="str">
        <x:v>TRF-051</x:v>
      </x:c>
      <x:c r="B433" s="35" t="str">
        <x:v>hullStructure</x:v>
      </x:c>
      <x:c r="C433" s="35" t="str">
        <x:v>frameWebThickness</x:v>
      </x:c>
      <x:c r="D433" s="35" t="str">
        <x:v>hullStructure</x:v>
      </x:c>
      <x:c r="E433" s="35" t="str"/>
      <x:c r="F433" s="35" t="str">
        <x:v>AUTHORITATIVE_REQUIREMENT_SCOPED</x:v>
      </x:c>
    </x:row>
    <x:row r="434">
      <x:c r="A434" s="38" t="str">
        <x:v>TRF-051</x:v>
      </x:c>
      <x:c r="B434" s="35" t="str">
        <x:v>hullStructure</x:v>
      </x:c>
      <x:c r="C434" s="35" t="str">
        <x:v>hullStructuralSteelGrade</x:v>
      </x:c>
      <x:c r="D434" s="35" t="str">
        <x:v>hullStructure</x:v>
      </x:c>
      <x:c r="E434" s="35" t="str"/>
      <x:c r="F434" s="35" t="str">
        <x:v>AUTHORITATIVE_REQUIREMENT_SCOPED</x:v>
      </x:c>
    </x:row>
    <x:row r="435">
      <x:c r="A435" s="38" t="str">
        <x:v>TRF-051</x:v>
      </x:c>
      <x:c r="B435" s="35" t="str">
        <x:v>hullStructure</x:v>
      </x:c>
      <x:c r="C435" s="35" t="str">
        <x:v>inLieuOfFrame</x:v>
      </x:c>
      <x:c r="D435" s="35" t="str">
        <x:v>hullStructure</x:v>
      </x:c>
      <x:c r="E435" s="35" t="str"/>
      <x:c r="F435" s="35" t="str">
        <x:v>AUTHORITATIVE_REQUIREMENT_SCOPED</x:v>
      </x:c>
    </x:row>
    <x:row r="436">
      <x:c r="A436" s="38" t="str">
        <x:v>TRF-051</x:v>
      </x:c>
      <x:c r="B436" s="35" t="str">
        <x:v>hullStructure</x:v>
      </x:c>
      <x:c r="C436" s="35" t="str">
        <x:v>netShellPlatingThickness</x:v>
      </x:c>
      <x:c r="D436" s="35" t="str">
        <x:v>hullStructure</x:v>
      </x:c>
      <x:c r="E436" s="35" t="str"/>
      <x:c r="F436" s="35" t="str">
        <x:v>AUTHORITATIVE_REQUIREMENT_SCOPED</x:v>
      </x:c>
    </x:row>
    <x:row r="437">
      <x:c r="A437" s="38" t="str">
        <x:v>TRF-051</x:v>
      </x:c>
      <x:c r="B437" s="35" t="str">
        <x:v>hullStructure</x:v>
      </x:c>
      <x:c r="C437" s="35" t="str">
        <x:v>profileSection</x:v>
      </x:c>
      <x:c r="D437" s="35" t="str">
        <x:v>hullStructure</x:v>
      </x:c>
      <x:c r="E437" s="35" t="str"/>
      <x:c r="F437" s="35" t="str">
        <x:v>AUTHORITATIVE_REQUIREMENT_SCOPED</x:v>
      </x:c>
    </x:row>
    <x:row r="438">
      <x:c r="A438" s="38" t="str">
        <x:v>TRF-051</x:v>
      </x:c>
      <x:c r="B438" s="35" t="str">
        <x:v>hullStructure</x:v>
      </x:c>
      <x:c r="C438" s="35" t="str">
        <x:v>tankBottom</x:v>
      </x:c>
      <x:c r="D438" s="35" t="str">
        <x:v>hullStructure</x:v>
      </x:c>
      <x:c r="E438" s="35" t="str"/>
      <x:c r="F438" s="35" t="str">
        <x:v>AUTHORITATIVE_REQUIREMENT_SCOPED</x:v>
      </x:c>
    </x:row>
    <x:row r="439">
      <x:c r="A439" s="38" t="str">
        <x:v>TRF-051</x:v>
      </x:c>
      <x:c r="B439" s="35" t="str">
        <x:v>hullStructure</x:v>
      </x:c>
      <x:c r="C439" s="35" t="str">
        <x:v>tankBoundaryPlating</x:v>
      </x:c>
      <x:c r="D439" s="35" t="str">
        <x:v>hullStructure</x:v>
      </x:c>
      <x:c r="E439" s="35" t="str"/>
      <x:c r="F439" s="35" t="str">
        <x:v>AUTHORITATIVE_REQUIREMENT_SCOPED</x:v>
      </x:c>
    </x:row>
    <x:row r="440">
      <x:c r="A440" s="38" t="str">
        <x:v>TRF-051</x:v>
      </x:c>
      <x:c r="B440" s="35" t="str">
        <x:v>hullStructure</x:v>
      </x:c>
      <x:c r="C440" s="35" t="str">
        <x:v>tankTop</x:v>
      </x:c>
      <x:c r="D440" s="35" t="str">
        <x:v>hullStructure</x:v>
      </x:c>
      <x:c r="E440" s="35" t="str"/>
      <x:c r="F440" s="35" t="str">
        <x:v>AUTHORITATIVE_REQUIREMENT_SCOPED</x:v>
      </x:c>
    </x:row>
    <x:row r="441">
      <x:c r="A441" s="38" t="str">
        <x:v>TRF-051</x:v>
      </x:c>
      <x:c r="B441" s="35" t="str">
        <x:v>hullStructure</x:v>
      </x:c>
      <x:c r="C441" s="35" t="str">
        <x:v>yieldStrength</x:v>
      </x:c>
      <x:c r="D441" s="35" t="str">
        <x:v>hullStructure</x:v>
      </x:c>
      <x:c r="E441" s="35" t="str"/>
      <x:c r="F441" s="35" t="str">
        <x:v>AUTHORITATIVE_REQUIREMENT_SCOPED</x:v>
      </x:c>
    </x:row>
    <x:row r="442">
      <x:c r="A442" s="38" t="str">
        <x:v>TRF-052</x:v>
      </x:c>
      <x:c r="B442" s="35" t="str">
        <x:v>frame</x:v>
      </x:c>
      <x:c r="C442" s="35" t="str">
        <x:v>antitrippingSupportSpacing</x:v>
      </x:c>
      <x:c r="D442" s="35" t="str">
        <x:v>frame</x:v>
      </x:c>
      <x:c r="E442" s="35" t="str"/>
      <x:c r="F442" s="35" t="str">
        <x:v>AUTHORITATIVE_REQUIREMENT_SCOPED</x:v>
      </x:c>
    </x:row>
    <x:row r="443">
      <x:c r="A443" s="38" t="str">
        <x:v>TRF-052</x:v>
      </x:c>
      <x:c r="B443" s="35" t="str">
        <x:v>frame</x:v>
      </x:c>
      <x:c r="C443" s="35" t="str">
        <x:v>bowRegion</x:v>
      </x:c>
      <x:c r="D443" s="35" t="str">
        <x:v>frame</x:v>
      </x:c>
      <x:c r="E443" s="35" t="str"/>
      <x:c r="F443" s="35" t="str">
        <x:v>AUTHORITATIVE_REQUIREMENT_SCOPED</x:v>
      </x:c>
    </x:row>
    <x:row r="444">
      <x:c r="A444" s="38" t="str">
        <x:v>TRF-052</x:v>
      </x:c>
      <x:c r="B444" s="35" t="str">
        <x:v>frame</x:v>
      </x:c>
      <x:c r="C444" s="35" t="str">
        <x:v>equivalentSupportStatusByDirectCalculation</x:v>
      </x:c>
      <x:c r="D444" s="35" t="str">
        <x:v>frame</x:v>
      </x:c>
      <x:c r="E444" s="35" t="str"/>
      <x:c r="F444" s="35" t="str">
        <x:v>AUTHORITATIVE_REQUIREMENT_SCOPED</x:v>
      </x:c>
    </x:row>
    <x:row r="445">
      <x:c r="A445" s="38" t="str">
        <x:v>TRF-052</x:v>
      </x:c>
      <x:c r="B445" s="35" t="str">
        <x:v>frame</x:v>
      </x:c>
      <x:c r="C445" s="35" t="str">
        <x:v>frameAsymmetrical</x:v>
      </x:c>
      <x:c r="D445" s="35" t="str">
        <x:v>frame</x:v>
      </x:c>
      <x:c r="E445" s="35" t="str"/>
      <x:c r="F445" s="35" t="str">
        <x:v>AUTHORITATIVE_REQUIREMENT_SCOPED</x:v>
      </x:c>
    </x:row>
    <x:row r="446">
      <x:c r="A446" s="38" t="str">
        <x:v>TRF-052</x:v>
      </x:c>
      <x:c r="B446" s="35" t="str">
        <x:v>frame</x:v>
      </x:c>
      <x:c r="C446" s="35" t="str">
        <x:v>frameSpan</x:v>
      </x:c>
      <x:c r="D446" s="35" t="str">
        <x:v>frame</x:v>
      </x:c>
      <x:c r="E446" s="35" t="str"/>
      <x:c r="F446" s="35" t="str">
        <x:v>AUTHORITATIVE_REQUIREMENT_SCOPED</x:v>
      </x:c>
    </x:row>
    <x:row r="447">
      <x:c r="A447" s="38" t="str">
        <x:v>TRF-052</x:v>
      </x:c>
      <x:c r="B447" s="35" t="str">
        <x:v>frame</x:v>
      </x:c>
      <x:c r="C447" s="35" t="str">
        <x:v>frameWebAngleToShell</x:v>
      </x:c>
      <x:c r="D447" s="35" t="str">
        <x:v>frame</x:v>
      </x:c>
      <x:c r="E447" s="35" t="str"/>
      <x:c r="F447" s="35" t="str">
        <x:v>AUTHORITATIVE_REQUIREMENT_SCOPED</x:v>
      </x:c>
    </x:row>
    <x:row r="448">
      <x:c r="A448" s="38" t="str">
        <x:v>TRF-052</x:v>
      </x:c>
      <x:c r="B448" s="35" t="str">
        <x:v>frame</x:v>
      </x:c>
      <x:c r="C448" s="35" t="str">
        <x:v>hasAntitrippingSupportRegion</x:v>
      </x:c>
      <x:c r="D448" s="35" t="str">
        <x:v>frame</x:v>
      </x:c>
      <x:c r="E448" s="35" t="str"/>
      <x:c r="F448" s="35" t="str">
        <x:v>AUTHORITATIVE_REQUIREMENT_SCOPED</x:v>
      </x:c>
    </x:row>
    <x:row r="449">
      <x:c r="A449" s="38" t="str">
        <x:v>TRF-052</x:v>
      </x:c>
      <x:c r="B449" s="35" t="str">
        <x:v>frame</x:v>
      </x:c>
      <x:c r="C449" s="35" t="str">
        <x:v>iceClass</x:v>
      </x:c>
      <x:c r="D449" s="35" t="str">
        <x:v>frame</x:v>
      </x:c>
      <x:c r="E449" s="35" t="str"/>
      <x:c r="F449" s="35" t="str">
        <x:v>AUTHORITATIVE_REQUIREMENT_SCOPED</x:v>
      </x:c>
    </x:row>
    <x:row r="450">
      <x:c r="A450" s="38" t="str">
        <x:v>TRF-052</x:v>
      </x:c>
      <x:c r="B450" s="35" t="str">
        <x:v>frame</x:v>
      </x:c>
      <x:c r="C450" s="35" t="str">
        <x:v>midbodyRegion</x:v>
      </x:c>
      <x:c r="D450" s="35" t="str">
        <x:v>frame</x:v>
      </x:c>
      <x:c r="E450" s="35" t="str"/>
      <x:c r="F450" s="35" t="str">
        <x:v>AUTHORITATIVE_REQUIREMENT_SCOPED</x:v>
      </x:c>
    </x:row>
    <x:row r="451">
      <x:c r="A451" s="38" t="str">
        <x:v>TRF-053</x:v>
      </x:c>
      <x:c r="B451" s="35" t="str">
        <x:v>iceStringer</x:v>
      </x:c>
      <x:c r="C451" s="35" t="str">
        <x:v>designIceLoadHeight</x:v>
      </x:c>
      <x:c r="D451" s="35" t="str">
        <x:v>iceStringer</x:v>
      </x:c>
      <x:c r="E451" s="35" t="str"/>
      <x:c r="F451" s="35" t="str">
        <x:v>AUTHORITATIVE_REQUIREMENT_SCOPED</x:v>
      </x:c>
    </x:row>
    <x:row r="452">
      <x:c r="A452" s="38" t="str">
        <x:v>TRF-053</x:v>
      </x:c>
      <x:c r="B452" s="35" t="str">
        <x:v>iceStringer</x:v>
      </x:c>
      <x:c r="C452" s="35" t="str">
        <x:v>designLineLoad</x:v>
      </x:c>
      <x:c r="D452" s="35" t="str">
        <x:v>iceStringer</x:v>
      </x:c>
      <x:c r="E452" s="35" t="str"/>
      <x:c r="F452" s="35" t="str">
        <x:v>AUTHORITATIVE_REQUIREMENT_SCOPED</x:v>
      </x:c>
    </x:row>
    <x:row r="453">
      <x:c r="A453" s="38" t="str">
        <x:v>TRF-053</x:v>
      </x:c>
      <x:c r="B453" s="35" t="str">
        <x:v>iceStringer</x:v>
      </x:c>
      <x:c r="C453" s="35" t="str">
        <x:v>frameMomentFactorM</x:v>
      </x:c>
      <x:c r="D453" s="35" t="str">
        <x:v>iceStringer</x:v>
      </x:c>
      <x:c r="E453" s="35" t="str"/>
      <x:c r="F453" s="35" t="str">
        <x:v>AUTHORITATIVE_REQUIREMENT_SCOPED</x:v>
      </x:c>
    </x:row>
    <x:row r="454">
      <x:c r="A454" s="38" t="str">
        <x:v>TRF-053</x:v>
      </x:c>
      <x:c r="B454" s="35" t="str">
        <x:v>iceStringer</x:v>
      </x:c>
      <x:c r="C454" s="35" t="str">
        <x:v>icePressure</x:v>
      </x:c>
      <x:c r="D454" s="35" t="str">
        <x:v>iceStringer</x:v>
      </x:c>
      <x:c r="E454" s="35" t="str"/>
      <x:c r="F454" s="35" t="str">
        <x:v>AUTHORITATIVE_REQUIREMENT_SCOPED</x:v>
      </x:c>
    </x:row>
    <x:row r="455">
      <x:c r="A455" s="38" t="str">
        <x:v>TRF-053</x:v>
      </x:c>
      <x:c r="B455" s="35" t="str">
        <x:v>iceStringer</x:v>
      </x:c>
      <x:c r="C455" s="35" t="str">
        <x:v>iceStringer</x:v>
      </x:c>
      <x:c r="D455" s="35" t="str">
        <x:v>iceStringer</x:v>
      </x:c>
      <x:c r="E455" s="35" t="str"/>
      <x:c r="F455" s="35" t="str">
        <x:v>AUTHORITATIVE_REQUIREMENT_SCOPED</x:v>
      </x:c>
    </x:row>
    <x:row r="456">
      <x:c r="A456" s="38" t="str">
        <x:v>TRF-053</x:v>
      </x:c>
      <x:c r="B456" s="35" t="str">
        <x:v>iceStringer</x:v>
      </x:c>
      <x:c r="C456" s="35" t="str">
        <x:v>iceStringerDistributionFactorF6</x:v>
      </x:c>
      <x:c r="D456" s="35" t="str">
        <x:v>iceStringer</x:v>
      </x:c>
      <x:c r="E456" s="35" t="str"/>
      <x:c r="F456" s="35" t="str">
        <x:v>AUTHORITATIVE_REQUIREMENT_SCOPED</x:v>
      </x:c>
    </x:row>
    <x:row r="457">
      <x:c r="A457" s="38" t="str">
        <x:v>TRF-053</x:v>
      </x:c>
      <x:c r="B457" s="35" t="str">
        <x:v>iceStringer</x:v>
      </x:c>
      <x:c r="C457" s="35" t="str">
        <x:v>iceStringerSafetyFactorF7</x:v>
      </x:c>
      <x:c r="D457" s="35" t="str">
        <x:v>iceStringer</x:v>
      </x:c>
      <x:c r="E457" s="35" t="str"/>
      <x:c r="F457" s="35" t="str">
        <x:v>AUTHORITATIVE_REQUIREMENT_SCOPED</x:v>
      </x:c>
    </x:row>
    <x:row r="458">
      <x:c r="A458" s="38" t="str">
        <x:v>TRF-053</x:v>
      </x:c>
      <x:c r="B458" s="35" t="str">
        <x:v>iceStringer</x:v>
      </x:c>
      <x:c r="C458" s="35" t="str">
        <x:v>iceStringerShearFactorF8</x:v>
      </x:c>
      <x:c r="D458" s="35" t="str">
        <x:v>iceStringer</x:v>
      </x:c>
      <x:c r="E458" s="35" t="str"/>
      <x:c r="F458" s="35" t="str">
        <x:v>AUTHORITATIVE_REQUIREMENT_SCOPED</x:v>
      </x:c>
    </x:row>
    <x:row r="459">
      <x:c r="A459" s="38" t="str">
        <x:v>TRF-053</x:v>
      </x:c>
      <x:c r="B459" s="35" t="str">
        <x:v>iceStringer</x:v>
      </x:c>
      <x:c r="C459" s="35" t="str">
        <x:v>locatedWithinIceBelt</x:v>
      </x:c>
      <x:c r="D459" s="35" t="str">
        <x:v>iceStringer</x:v>
      </x:c>
      <x:c r="E459" s="35" t="str"/>
      <x:c r="F459" s="35" t="str">
        <x:v>AUTHORITATIVE_REQUIREMENT_SCOPED</x:v>
      </x:c>
    </x:row>
    <x:row r="460">
      <x:c r="A460" s="38" t="str">
        <x:v>TRF-053</x:v>
      </x:c>
      <x:c r="B460" s="35" t="str">
        <x:v>iceStringer</x:v>
      </x:c>
      <x:c r="C460" s="35" t="str">
        <x:v>requiredShearArea</x:v>
      </x:c>
      <x:c r="D460" s="35" t="str">
        <x:v>iceStringer</x:v>
      </x:c>
      <x:c r="E460" s="35" t="str"/>
      <x:c r="F460" s="35" t="str">
        <x:v>AUTHORITATIVE_REQUIREMENT_SCOPED</x:v>
      </x:c>
    </x:row>
    <x:row r="461">
      <x:c r="A461" s="38" t="str">
        <x:v>TRF-053</x:v>
      </x:c>
      <x:c r="B461" s="35" t="str">
        <x:v>iceStringer</x:v>
      </x:c>
      <x:c r="C461" s="35" t="str">
        <x:v>sectionModulus</x:v>
      </x:c>
      <x:c r="D461" s="35" t="str">
        <x:v>iceStringer</x:v>
      </x:c>
      <x:c r="E461" s="35" t="str"/>
      <x:c r="F461" s="35" t="str">
        <x:v>AUTHORITATIVE_REQUIREMENT_SCOPED</x:v>
      </x:c>
    </x:row>
    <x:row r="462">
      <x:c r="A462" s="38" t="str">
        <x:v>TRF-053</x:v>
      </x:c>
      <x:c r="B462" s="35" t="str">
        <x:v>iceStringer</x:v>
      </x:c>
      <x:c r="C462" s="35" t="str">
        <x:v>span</x:v>
      </x:c>
      <x:c r="D462" s="35" t="str">
        <x:v>iceStringer</x:v>
      </x:c>
      <x:c r="E462" s="35" t="str"/>
      <x:c r="F462" s="35" t="str">
        <x:v>AUTHORITATIVE_REQUIREMENT_SCOPED</x:v>
      </x:c>
    </x:row>
    <x:row r="463">
      <x:c r="A463" s="38" t="str">
        <x:v>TRF-053</x:v>
      </x:c>
      <x:c r="B463" s="35" t="str">
        <x:v>iceStringer</x:v>
      </x:c>
      <x:c r="C463" s="35" t="str">
        <x:v>yieldStrength</x:v>
      </x:c>
      <x:c r="D463" s="35" t="str">
        <x:v>iceStringer</x:v>
      </x:c>
      <x:c r="E463" s="35" t="str"/>
      <x:c r="F463" s="35" t="str">
        <x:v>AUTHORITATIVE_REQUIREMENT_SCOPED</x:v>
      </x:c>
    </x:row>
    <x:row r="464">
      <x:c r="A464" s="38" t="str">
        <x:v>TRF-054</x:v>
      </x:c>
      <x:c r="B464" s="35" t="str">
        <x:v>iceStringer</x:v>
      </x:c>
      <x:c r="C464" s="35" t="str">
        <x:v>designIceLoadHeight</x:v>
      </x:c>
      <x:c r="D464" s="35" t="str">
        <x:v>iceStringer</x:v>
      </x:c>
      <x:c r="E464" s="35" t="str"/>
      <x:c r="F464" s="35" t="str">
        <x:v>AUTHORITATIVE_REQUIREMENT_SCOPED</x:v>
      </x:c>
    </x:row>
    <x:row r="465">
      <x:c r="A465" s="38" t="str">
        <x:v>TRF-054</x:v>
      </x:c>
      <x:c r="B465" s="35" t="str">
        <x:v>iceStringer</x:v>
      </x:c>
      <x:c r="C465" s="35" t="str">
        <x:v>designLineLoad</x:v>
      </x:c>
      <x:c r="D465" s="35" t="str">
        <x:v>iceStringer</x:v>
      </x:c>
      <x:c r="E465" s="35" t="str"/>
      <x:c r="F465" s="35" t="str">
        <x:v>AUTHORITATIVE_REQUIREMENT_SCOPED</x:v>
      </x:c>
    </x:row>
    <x:row r="466">
      <x:c r="A466" s="38" t="str">
        <x:v>TRF-054</x:v>
      </x:c>
      <x:c r="B466" s="35" t="str">
        <x:v>iceStringer</x:v>
      </x:c>
      <x:c r="C466" s="35" t="str">
        <x:v>distanceToAdjacentIceStringer</x:v>
      </x:c>
      <x:c r="D466" s="35" t="str">
        <x:v>iceStringer</x:v>
      </x:c>
      <x:c r="E466" s="35" t="str"/>
      <x:c r="F466" s="35" t="str">
        <x:v>AUTHORITATIVE_REQUIREMENT_SCOPED</x:v>
      </x:c>
    </x:row>
    <x:row r="467">
      <x:c r="A467" s="38" t="str">
        <x:v>TRF-054</x:v>
      </x:c>
      <x:c r="B467" s="35" t="str">
        <x:v>iceStringer</x:v>
      </x:c>
      <x:c r="C467" s="35" t="str">
        <x:v>distanceToIceBelt</x:v>
      </x:c>
      <x:c r="D467" s="35" t="str">
        <x:v>iceStringer</x:v>
      </x:c>
      <x:c r="E467" s="35" t="str"/>
      <x:c r="F467" s="35" t="str">
        <x:v>AUTHORITATIVE_REQUIREMENT_SCOPED</x:v>
      </x:c>
    </x:row>
    <x:row r="468">
      <x:c r="A468" s="38" t="str">
        <x:v>TRF-054</x:v>
      </x:c>
      <x:c r="B468" s="35" t="str">
        <x:v>iceStringer</x:v>
      </x:c>
      <x:c r="C468" s="35" t="str">
        <x:v>frameMomentFactorM</x:v>
      </x:c>
      <x:c r="D468" s="35" t="str">
        <x:v>iceStringer</x:v>
      </x:c>
      <x:c r="E468" s="35" t="str"/>
      <x:c r="F468" s="35" t="str">
        <x:v>AUTHORITATIVE_REQUIREMENT_SCOPED</x:v>
      </x:c>
    </x:row>
    <x:row r="469">
      <x:c r="A469" s="38" t="str">
        <x:v>TRF-054</x:v>
      </x:c>
      <x:c r="B469" s="35" t="str">
        <x:v>iceStringer</x:v>
      </x:c>
      <x:c r="C469" s="35" t="str">
        <x:v>icePressure</x:v>
      </x:c>
      <x:c r="D469" s="35" t="str">
        <x:v>iceStringer</x:v>
      </x:c>
      <x:c r="E469" s="35" t="str"/>
      <x:c r="F469" s="35" t="str">
        <x:v>AUTHORITATIVE_REQUIREMENT_SCOPED</x:v>
      </x:c>
    </x:row>
    <x:row r="470">
      <x:c r="A470" s="38" t="str">
        <x:v>TRF-054</x:v>
      </x:c>
      <x:c r="B470" s="35" t="str">
        <x:v>iceStringer</x:v>
      </x:c>
      <x:c r="C470" s="35" t="str">
        <x:v>iceStringer</x:v>
      </x:c>
      <x:c r="D470" s="35" t="str">
        <x:v>iceStringer</x:v>
      </x:c>
      <x:c r="E470" s="35" t="str"/>
      <x:c r="F470" s="35" t="str">
        <x:v>AUTHORITATIVE_REQUIREMENT_SCOPED</x:v>
      </x:c>
    </x:row>
    <x:row r="471">
      <x:c r="A471" s="38" t="str">
        <x:v>TRF-054</x:v>
      </x:c>
      <x:c r="B471" s="35" t="str">
        <x:v>iceStringer</x:v>
      </x:c>
      <x:c r="C471" s="35" t="str">
        <x:v>locatedOutsideIceBelt</x:v>
      </x:c>
      <x:c r="D471" s="35" t="str">
        <x:v>iceStringer</x:v>
      </x:c>
      <x:c r="E471" s="35" t="str"/>
      <x:c r="F471" s="35" t="str">
        <x:v>AUTHORITATIVE_REQUIREMENT_SCOPED</x:v>
      </x:c>
    </x:row>
    <x:row r="472">
      <x:c r="A472" s="38" t="str">
        <x:v>TRF-054</x:v>
      </x:c>
      <x:c r="B472" s="35" t="str">
        <x:v>iceStringer</x:v>
      </x:c>
      <x:c r="C472" s="35" t="str">
        <x:v>outsideIceBeltDistributionFactorF9</x:v>
      </x:c>
      <x:c r="D472" s="35" t="str">
        <x:v>iceStringer</x:v>
      </x:c>
      <x:c r="E472" s="35" t="str"/>
      <x:c r="F472" s="35" t="str">
        <x:v>AUTHORITATIVE_REQUIREMENT_SCOPED</x:v>
      </x:c>
    </x:row>
    <x:row r="473">
      <x:c r="A473" s="38" t="str">
        <x:v>TRF-054</x:v>
      </x:c>
      <x:c r="B473" s="35" t="str">
        <x:v>iceStringer</x:v>
      </x:c>
      <x:c r="C473" s="35" t="str">
        <x:v>outsideIceBeltFactor</x:v>
      </x:c>
      <x:c r="D473" s="35" t="str">
        <x:v>iceStringer</x:v>
      </x:c>
      <x:c r="E473" s="35" t="str"/>
      <x:c r="F473" s="35" t="str">
        <x:v>AUTHORITATIVE_REQUIREMENT_SCOPED</x:v>
      </x:c>
    </x:row>
    <x:row r="474">
      <x:c r="A474" s="38" t="str">
        <x:v>TRF-054</x:v>
      </x:c>
      <x:c r="B474" s="35" t="str">
        <x:v>iceStringer</x:v>
      </x:c>
      <x:c r="C474" s="35" t="str">
        <x:v>outsideIceBeltSafetyFactorF10</x:v>
      </x:c>
      <x:c r="D474" s="35" t="str">
        <x:v>iceStringer</x:v>
      </x:c>
      <x:c r="E474" s="35" t="str"/>
      <x:c r="F474" s="35" t="str">
        <x:v>AUTHORITATIVE_REQUIREMENT_SCOPED</x:v>
      </x:c>
    </x:row>
    <x:row r="475">
      <x:c r="A475" s="38" t="str">
        <x:v>TRF-054</x:v>
      </x:c>
      <x:c r="B475" s="35" t="str">
        <x:v>iceStringer</x:v>
      </x:c>
      <x:c r="C475" s="35" t="str">
        <x:v>outsideIceBeltShearFactorF11</x:v>
      </x:c>
      <x:c r="D475" s="35" t="str">
        <x:v>iceStringer</x:v>
      </x:c>
      <x:c r="E475" s="35" t="str"/>
      <x:c r="F475" s="35" t="str">
        <x:v>AUTHORITATIVE_REQUIREMENT_SCOPED</x:v>
      </x:c>
    </x:row>
    <x:row r="476">
      <x:c r="A476" s="38" t="str">
        <x:v>TRF-054</x:v>
      </x:c>
      <x:c r="B476" s="35" t="str">
        <x:v>iceStringer</x:v>
      </x:c>
      <x:c r="C476" s="35" t="str">
        <x:v>requiredShearArea</x:v>
      </x:c>
      <x:c r="D476" s="35" t="str">
        <x:v>iceStringer</x:v>
      </x:c>
      <x:c r="E476" s="35" t="str"/>
      <x:c r="F476" s="35" t="str">
        <x:v>AUTHORITATIVE_REQUIREMENT_SCOPED</x:v>
      </x:c>
    </x:row>
    <x:row r="477">
      <x:c r="A477" s="38" t="str">
        <x:v>TRF-054</x:v>
      </x:c>
      <x:c r="B477" s="35" t="str">
        <x:v>iceStringer</x:v>
      </x:c>
      <x:c r="C477" s="35" t="str">
        <x:v>sectionModulus</x:v>
      </x:c>
      <x:c r="D477" s="35" t="str">
        <x:v>iceStringer</x:v>
      </x:c>
      <x:c r="E477" s="35" t="str"/>
      <x:c r="F477" s="35" t="str">
        <x:v>AUTHORITATIVE_REQUIREMENT_SCOPED</x:v>
      </x:c>
    </x:row>
    <x:row r="478">
      <x:c r="A478" s="38" t="str">
        <x:v>TRF-054</x:v>
      </x:c>
      <x:c r="B478" s="35" t="str">
        <x:v>iceStringer</x:v>
      </x:c>
      <x:c r="C478" s="35" t="str">
        <x:v>span</x:v>
      </x:c>
      <x:c r="D478" s="35" t="str">
        <x:v>iceStringer</x:v>
      </x:c>
      <x:c r="E478" s="35" t="str"/>
      <x:c r="F478" s="35" t="str">
        <x:v>AUTHORITATIVE_REQUIREMENT_SCOPED</x:v>
      </x:c>
    </x:row>
    <x:row r="479">
      <x:c r="A479" s="38" t="str">
        <x:v>TRF-054</x:v>
      </x:c>
      <x:c r="B479" s="35" t="str">
        <x:v>iceStringer</x:v>
      </x:c>
      <x:c r="C479" s="35" t="str">
        <x:v>stringerSpan</x:v>
      </x:c>
      <x:c r="D479" s="35" t="str">
        <x:v>iceStringer</x:v>
      </x:c>
      <x:c r="E479" s="35" t="str"/>
      <x:c r="F479" s="35" t="str">
        <x:v>AUTHORITATIVE_REQUIREMENT_SCOPED</x:v>
      </x:c>
    </x:row>
    <x:row r="480">
      <x:c r="A480" s="38" t="str">
        <x:v>TRF-054</x:v>
      </x:c>
      <x:c r="B480" s="35" t="str">
        <x:v>iceStringer</x:v>
      </x:c>
      <x:c r="C480" s="35" t="str">
        <x:v>supportsIceStrengthenedFrames</x:v>
      </x:c>
      <x:c r="D480" s="35" t="str">
        <x:v>iceStringer</x:v>
      </x:c>
      <x:c r="E480" s="35" t="str"/>
      <x:c r="F480" s="35" t="str">
        <x:v>AUTHORITATIVE_REQUIREMENT_SCOPED</x:v>
      </x:c>
    </x:row>
    <x:row r="481">
      <x:c r="A481" s="38" t="str">
        <x:v>TRF-054</x:v>
      </x:c>
      <x:c r="B481" s="35" t="str">
        <x:v>iceStringer</x:v>
      </x:c>
      <x:c r="C481" s="35" t="str">
        <x:v>yieldStrength</x:v>
      </x:c>
      <x:c r="D481" s="35" t="str">
        <x:v>iceStringer</x:v>
      </x:c>
      <x:c r="E481" s="35" t="str"/>
      <x:c r="F481" s="35" t="str">
        <x:v>AUTHORITATIVE_REQUIREMENT_SCOPED</x:v>
      </x:c>
    </x:row>
    <x:row r="482">
      <x:c r="A482" s="38" t="str">
        <x:v>TRF-055</x:v>
      </x:c>
      <x:c r="B482" s="35" t="str">
        <x:v>narrowDeckStrip</x:v>
      </x:c>
      <x:c r="C482" s="35" t="str">
        <x:v>abreastOfHatch</x:v>
      </x:c>
      <x:c r="D482" s="35" t="str">
        <x:v>narrowDeckStrip</x:v>
      </x:c>
      <x:c r="E482" s="35" t="str"/>
      <x:c r="F482" s="35" t="str">
        <x:v>AUTHORITATIVE_REQUIREMENT_SCOPED</x:v>
      </x:c>
    </x:row>
    <x:row r="483">
      <x:c r="A483" s="38" t="str">
        <x:v>TRF-055</x:v>
      </x:c>
      <x:c r="B483" s="35" t="str">
        <x:v>narrowDeckStrip</x:v>
      </x:c>
      <x:c r="C483" s="35" t="str">
        <x:v>actualSectionModulus</x:v>
      </x:c>
      <x:c r="D483" s="35" t="str">
        <x:v>narrowDeckStrip</x:v>
      </x:c>
      <x:c r="E483" s="35" t="str"/>
      <x:c r="F483" s="35" t="str">
        <x:v>AUTHORITATIVE_REQUIREMENT_SCOPED</x:v>
      </x:c>
    </x:row>
    <x:row r="484">
      <x:c r="A484" s="38" t="str">
        <x:v>TRF-055</x:v>
      </x:c>
      <x:c r="B484" s="35" t="str">
        <x:v>narrowDeckStrip</x:v>
      </x:c>
      <x:c r="C484" s="35" t="str">
        <x:v>actualShearArea</x:v>
      </x:c>
      <x:c r="D484" s="35" t="str">
        <x:v>narrowDeckStrip</x:v>
      </x:c>
      <x:c r="E484" s="35" t="str"/>
      <x:c r="F484" s="35" t="str">
        <x:v>AUTHORITATIVE_REQUIREMENT_SCOPED</x:v>
      </x:c>
    </x:row>
    <x:row r="485">
      <x:c r="A485" s="38" t="str">
        <x:v>TRF-055</x:v>
      </x:c>
      <x:c r="B485" s="35" t="str">
        <x:v>narrowDeckStrip</x:v>
      </x:c>
      <x:c r="C485" s="35" t="str">
        <x:v>designLineLoad</x:v>
      </x:c>
      <x:c r="D485" s="35" t="str">
        <x:v>narrowDeckStrip</x:v>
      </x:c>
      <x:c r="E485" s="35" t="str"/>
      <x:c r="F485" s="35" t="str">
        <x:v>AUTHORITATIVE_REQUIREMENT_SCOPED</x:v>
      </x:c>
    </x:row>
    <x:row r="486">
      <x:c r="A486" s="38" t="str">
        <x:v>TRF-055</x:v>
      </x:c>
      <x:c r="B486" s="35" t="str">
        <x:v>narrowDeckStrip</x:v>
      </x:c>
      <x:c r="C486" s="35" t="str">
        <x:v>hatchOpeningLength</x:v>
      </x:c>
      <x:c r="D486" s="35" t="str">
        <x:v>narrowDeckStrip</x:v>
      </x:c>
      <x:c r="E486" s="35" t="str"/>
      <x:c r="F486" s="35" t="str">
        <x:v>AUTHORITATIVE_REQUIREMENT_SCOPED</x:v>
      </x:c>
    </x:row>
    <x:row r="487">
      <x:c r="A487" s="38" t="str">
        <x:v>TRF-055</x:v>
      </x:c>
      <x:c r="B487" s="35" t="str">
        <x:v>narrowDeckStrip</x:v>
      </x:c>
      <x:c r="C487" s="35" t="str">
        <x:v>narrowDeckStrip</x:v>
      </x:c>
      <x:c r="D487" s="35" t="str">
        <x:v>narrowDeckStrip</x:v>
      </x:c>
      <x:c r="E487" s="35" t="str"/>
      <x:c r="F487" s="35" t="str">
        <x:v>AUTHORITATIVE_REQUIREMENT_SCOPED</x:v>
      </x:c>
    </x:row>
    <x:row r="488">
      <x:c r="A488" s="38" t="str">
        <x:v>TRF-055</x:v>
      </x:c>
      <x:c r="B488" s="35" t="str">
        <x:v>narrowDeckStrip</x:v>
      </x:c>
      <x:c r="C488" s="35" t="str">
        <x:v>permittedReducedLineLoad</x:v>
      </x:c>
      <x:c r="D488" s="35" t="str">
        <x:v>narrowDeckStrip</x:v>
      </x:c>
      <x:c r="E488" s="35" t="str"/>
      <x:c r="F488" s="35" t="str">
        <x:v>AUTHORITATIVE_REQUIREMENT_SCOPED</x:v>
      </x:c>
    </x:row>
    <x:row r="489">
      <x:c r="A489" s="38" t="str">
        <x:v>TRF-055</x:v>
      </x:c>
      <x:c r="B489" s="35" t="str">
        <x:v>narrowDeckStrip</x:v>
      </x:c>
      <x:c r="C489" s="35" t="str">
        <x:v>reducedLineLoadApprovedByClassificationSociety</x:v>
      </x:c>
      <x:c r="D489" s="35" t="str">
        <x:v>narrowDeckStrip</x:v>
      </x:c>
      <x:c r="E489" s="35" t="str"/>
      <x:c r="F489" s="35" t="str">
        <x:v>AUTHORITATIVE_REQUIREMENT_SCOPED</x:v>
      </x:c>
    </x:row>
    <x:row r="490">
      <x:c r="A490" s="38" t="str">
        <x:v>TRF-055</x:v>
      </x:c>
      <x:c r="B490" s="35" t="str">
        <x:v>narrowDeckStrip</x:v>
      </x:c>
      <x:c r="C490" s="35" t="str">
        <x:v>requiredSectionModulus</x:v>
      </x:c>
      <x:c r="D490" s="35" t="str">
        <x:v>narrowDeckStrip</x:v>
      </x:c>
      <x:c r="E490" s="35" t="str"/>
      <x:c r="F490" s="35" t="str">
        <x:v>AUTHORITATIVE_REQUIREMENT_SCOPED</x:v>
      </x:c>
    </x:row>
    <x:row r="491">
      <x:c r="A491" s="38" t="str">
        <x:v>TRF-055</x:v>
      </x:c>
      <x:c r="B491" s="35" t="str">
        <x:v>narrowDeckStrip</x:v>
      </x:c>
      <x:c r="C491" s="35" t="str">
        <x:v>requiredShearArea</x:v>
      </x:c>
      <x:c r="D491" s="35" t="str">
        <x:v>narrowDeckStrip</x:v>
      </x:c>
      <x:c r="E491" s="35" t="str"/>
      <x:c r="F491" s="35" t="str">
        <x:v>AUTHORITATIVE_REQUIREMENT_SCOPED</x:v>
      </x:c>
    </x:row>
    <x:row r="492">
      <x:c r="A492" s="38" t="str">
        <x:v>TRF-055</x:v>
      </x:c>
      <x:c r="B492" s="35" t="str">
        <x:v>narrowDeckStrip</x:v>
      </x:c>
      <x:c r="C492" s="35" t="str">
        <x:v>scantlingApprovalStatus</x:v>
      </x:c>
      <x:c r="D492" s="35" t="str">
        <x:v>narrowDeckStrip</x:v>
      </x:c>
      <x:c r="E492" s="35" t="str"/>
      <x:c r="F492" s="35" t="str">
        <x:v>AUTHORITATIVE_REQUIREMENT_SCOPED</x:v>
      </x:c>
    </x:row>
    <x:row r="493">
      <x:c r="A493" s="38" t="str">
        <x:v>TRF-055</x:v>
      </x:c>
      <x:c r="B493" s="35" t="str">
        <x:v>narrowDeckStrip</x:v>
      </x:c>
      <x:c r="C493" s="35" t="str">
        <x:v>sectionModulus</x:v>
      </x:c>
      <x:c r="D493" s="35" t="str">
        <x:v>narrowDeckStrip</x:v>
      </x:c>
      <x:c r="E493" s="35" t="str"/>
      <x:c r="F493" s="35" t="str">
        <x:v>AUTHORITATIVE_REQUIREMENT_SCOPED</x:v>
      </x:c>
    </x:row>
    <x:row r="494">
      <x:c r="A494" s="38" t="str">
        <x:v>TRF-055</x:v>
      </x:c>
      <x:c r="B494" s="35" t="str">
        <x:v>narrowDeckStrip</x:v>
      </x:c>
      <x:c r="C494" s="35" t="str">
        <x:v>servesAsIceStringer</x:v>
      </x:c>
      <x:c r="D494" s="35" t="str">
        <x:v>narrowDeckStrip</x:v>
      </x:c>
      <x:c r="E494" s="35" t="str"/>
      <x:c r="F494" s="35" t="str">
        <x:v>AUTHORITATIVE_REQUIREMENT_SCOPED</x:v>
      </x:c>
    </x:row>
    <x:row r="495">
      <x:c r="A495" s="38" t="str">
        <x:v>TRF-055</x:v>
      </x:c>
      <x:c r="B495" s="35" t="str">
        <x:v>narrowDeckStrip</x:v>
      </x:c>
      <x:c r="C495" s="35" t="str">
        <x:v>shipBreadth</x:v>
      </x:c>
      <x:c r="D495" s="35" t="str">
        <x:v>narrowDeckStrip</x:v>
      </x:c>
      <x:c r="E495" s="35" t="str"/>
      <x:c r="F495" s="35" t="str">
        <x:v>AUTHORITATIVE_REQUIREMENT_SCOPED</x:v>
      </x:c>
    </x:row>
    <x:row r="496">
      <x:c r="A496" s="38" t="str">
        <x:v>TRF-055</x:v>
      </x:c>
      <x:c r="B496" s="35" t="str">
        <x:v>narrowDeckStrip</x:v>
      </x:c>
      <x:c r="C496" s="35" t="str">
        <x:v>veryLongHatchOpening</x:v>
      </x:c>
      <x:c r="D496" s="35" t="str">
        <x:v>narrowDeckStrip</x:v>
      </x:c>
      <x:c r="E496" s="35" t="str"/>
      <x:c r="F496" s="35" t="str">
        <x:v>AUTHORITATIVE_REQUIREMENT_SCOPED</x:v>
      </x:c>
    </x:row>
    <x:row r="497">
      <x:c r="A497" s="38" t="str">
        <x:v>TRF-056</x:v>
      </x:c>
      <x:c r="B497" s="35" t="str">
        <x:v>weatherdeckHatch</x:v>
      </x:c>
      <x:c r="C497" s="35" t="str">
        <x:v>hasHatchCoverDesignEvidence</x:v>
      </x:c>
      <x:c r="D497" s="35" t="str">
        <x:v>weatherdeckHatch</x:v>
      </x:c>
      <x:c r="E497" s="35" t="str"/>
      <x:c r="F497" s="35" t="str">
        <x:v>AUTHORITATIVE_REQUIREMENT_SCOPED</x:v>
      </x:c>
    </x:row>
    <x:row r="498">
      <x:c r="A498" s="38" t="str">
        <x:v>TRF-056</x:v>
      </x:c>
      <x:c r="B498" s="35" t="str">
        <x:v>weatherdeckHatch</x:v>
      </x:c>
      <x:c r="C498" s="35" t="str">
        <x:v>hasHatchFittingDesignEvidence</x:v>
      </x:c>
      <x:c r="D498" s="35" t="str">
        <x:v>weatherdeckHatch</x:v>
      </x:c>
      <x:c r="E498" s="35" t="str"/>
      <x:c r="F498" s="35" t="str">
        <x:v>AUTHORITATIVE_REQUIREMENT_SCOPED</x:v>
      </x:c>
    </x:row>
    <x:row r="499">
      <x:c r="A499" s="38" t="str">
        <x:v>TRF-056</x:v>
      </x:c>
      <x:c r="B499" s="35" t="str">
        <x:v>weatherdeckHatch</x:v>
      </x:c>
      <x:c r="C499" s="35" t="str">
        <x:v>hasWeatherdeckHatch</x:v>
      </x:c>
      <x:c r="D499" s="35" t="str">
        <x:v>ship</x:v>
      </x:c>
      <x:c r="E499" s="35" t="str"/>
      <x:c r="F499" s="35" t="str">
        <x:v>AUTHORITATIVE_REQUIREMENT_SCOPED</x:v>
      </x:c>
    </x:row>
    <x:row r="500">
      <x:c r="A500" s="38" t="str">
        <x:v>TRF-056</x:v>
      </x:c>
      <x:c r="B500" s="35" t="str">
        <x:v>weatherdeckHatch</x:v>
      </x:c>
      <x:c r="C500" s="35" t="str">
        <x:v>hatchCoverDesignEvidence</x:v>
      </x:c>
      <x:c r="D500" s="35" t="str">
        <x:v>weatherdeckHatch</x:v>
      </x:c>
      <x:c r="E500" s="35" t="str"/>
      <x:c r="F500" s="35" t="str">
        <x:v>AUTHORITATIVE_REQUIREMENT_SCOPED</x:v>
      </x:c>
    </x:row>
    <x:row r="501">
      <x:c r="A501" s="38" t="str">
        <x:v>TRF-056</x:v>
      </x:c>
      <x:c r="B501" s="35" t="str">
        <x:v>weatherdeckHatch</x:v>
      </x:c>
      <x:c r="C501" s="35" t="str">
        <x:v>hatchFittingDesignEvidence</x:v>
      </x:c>
      <x:c r="D501" s="35" t="str">
        <x:v>weatherdeckHatch</x:v>
      </x:c>
      <x:c r="E501" s="35" t="str"/>
      <x:c r="F501" s="35" t="str">
        <x:v>AUTHORITATIVE_REQUIREMENT_SCOPED</x:v>
      </x:c>
    </x:row>
    <x:row r="502">
      <x:c r="A502" s="38" t="str">
        <x:v>TRF-056</x:v>
      </x:c>
      <x:c r="B502" s="35" t="str">
        <x:v>weatherdeckHatch</x:v>
      </x:c>
      <x:c r="C502" s="35" t="str">
        <x:v>hatchOpeningLength</x:v>
      </x:c>
      <x:c r="D502" s="35" t="str">
        <x:v>weatherdeckHatch</x:v>
      </x:c>
      <x:c r="E502" s="35" t="str"/>
      <x:c r="F502" s="35" t="str">
        <x:v>AUTHORITATIVE_REQUIREMENT_SCOPED</x:v>
      </x:c>
    </x:row>
    <x:row r="503">
      <x:c r="A503" s="38" t="str">
        <x:v>TRF-056</x:v>
      </x:c>
      <x:c r="B503" s="35" t="str">
        <x:v>weatherdeckHatch</x:v>
      </x:c>
      <x:c r="C503" s="35" t="str">
        <x:v>shipBreadth</x:v>
      </x:c>
      <x:c r="D503" s="35" t="str">
        <x:v>weatherdeckHatch</x:v>
      </x:c>
      <x:c r="E503" s="35" t="str"/>
      <x:c r="F503" s="35" t="str">
        <x:v>AUTHORITATIVE_REQUIREMENT_SCOPED</x:v>
      </x:c>
    </x:row>
    <x:row r="504">
      <x:c r="A504" s="38" t="str">
        <x:v>TRF-056</x:v>
      </x:c>
      <x:c r="B504" s="35" t="str">
        <x:v>weatherdeckHatch</x:v>
      </x:c>
      <x:c r="C504" s="35" t="str">
        <x:v>shipSideDeflection</x:v>
      </x:c>
      <x:c r="D504" s="35" t="str">
        <x:v>weatherdeckHatch</x:v>
      </x:c>
      <x:c r="E504" s="35" t="str"/>
      <x:c r="F504" s="35" t="str">
        <x:v>AUTHORITATIVE_REQUIREMENT_SCOPED</x:v>
      </x:c>
    </x:row>
    <x:row r="505">
      <x:c r="A505" s="38" t="str">
        <x:v>TRF-056</x:v>
      </x:c>
      <x:c r="B505" s="35" t="str">
        <x:v>weatherdeckHatch</x:v>
      </x:c>
      <x:c r="C505" s="35" t="str">
        <x:v>weatherdeckHatch</x:v>
      </x:c>
      <x:c r="D505" s="35" t="str">
        <x:v>weatherdeckHatch</x:v>
      </x:c>
      <x:c r="E505" s="35" t="str"/>
      <x:c r="F505" s="35" t="str">
        <x:v>AUTHORITATIVE_REQUIREMENT_SCOPED</x:v>
      </x:c>
    </x:row>
    <x:row r="506">
      <x:c r="A506" s="38" t="str">
        <x:v>TRF-057</x:v>
      </x:c>
      <x:c r="B506" s="35" t="str">
        <x:v>webFrame</x:v>
      </x:c>
      <x:c r="C506" s="35" t="str">
        <x:v>iceLoadHeight</x:v>
      </x:c>
      <x:c r="D506" s="35" t="str">
        <x:v>webFrame</x:v>
      </x:c>
      <x:c r="E506" s="35" t="str"/>
      <x:c r="F506" s="35" t="str">
        <x:v>AUTHORITATIVE_REQUIREMENT_SCOPED</x:v>
      </x:c>
    </x:row>
    <x:row r="507">
      <x:c r="A507" s="38" t="str">
        <x:v>TRF-057</x:v>
      </x:c>
      <x:c r="B507" s="35" t="str">
        <x:v>webFrame</x:v>
      </x:c>
      <x:c r="C507" s="35" t="str">
        <x:v>iceLoadSourceType</x:v>
      </x:c>
      <x:c r="D507" s="35" t="str">
        <x:v>webFrame</x:v>
      </x:c>
      <x:c r="E507" s="35" t="str"/>
      <x:c r="F507" s="35" t="str">
        <x:v>AUTHORITATIVE_REQUIREMENT_SCOPED</x:v>
      </x:c>
    </x:row>
    <x:row r="508">
      <x:c r="A508" s="38" t="str">
        <x:v>TRF-057</x:v>
      </x:c>
      <x:c r="B508" s="35" t="str">
        <x:v>webFrame</x:v>
      </x:c>
      <x:c r="C508" s="35" t="str">
        <x:v>icePressure</x:v>
      </x:c>
      <x:c r="D508" s="35" t="str">
        <x:v>webFrame</x:v>
      </x:c>
      <x:c r="E508" s="35" t="str"/>
      <x:c r="F508" s="35" t="str">
        <x:v>AUTHORITATIVE_REQUIREMENT_SCOPED</x:v>
      </x:c>
    </x:row>
    <x:row r="509">
      <x:c r="A509" s="38" t="str">
        <x:v>TRF-057</x:v>
      </x:c>
      <x:c r="B509" s="35" t="str">
        <x:v>webFrame</x:v>
      </x:c>
      <x:c r="C509" s="35" t="str">
        <x:v>iceStringerLoadSource</x:v>
      </x:c>
      <x:c r="D509" s="35" t="str">
        <x:v>webFrame</x:v>
      </x:c>
      <x:c r="E509" s="35" t="str"/>
      <x:c r="F509" s="35" t="str">
        <x:v>AUTHORITATIVE_REQUIREMENT_SCOPED</x:v>
      </x:c>
    </x:row>
    <x:row r="510">
      <x:c r="A510" s="38" t="str">
        <x:v>TRF-057</x:v>
      </x:c>
      <x:c r="B510" s="35" t="str">
        <x:v>webFrame</x:v>
      </x:c>
      <x:c r="C510" s="35" t="str">
        <x:v>loadLengthParameter</x:v>
      </x:c>
      <x:c r="D510" s="35" t="str">
        <x:v>webFrame</x:v>
      </x:c>
      <x:c r="E510" s="35" t="str"/>
      <x:c r="F510" s="35" t="str">
        <x:v>AUTHORITATIVE_REQUIREMENT_SCOPED</x:v>
      </x:c>
    </x:row>
    <x:row r="511">
      <x:c r="A511" s="38" t="str">
        <x:v>TRF-057</x:v>
      </x:c>
      <x:c r="B511" s="35" t="str">
        <x:v>webFrame</x:v>
      </x:c>
      <x:c r="C511" s="35" t="str">
        <x:v>longitudinalFramingLoadSource</x:v>
      </x:c>
      <x:c r="D511" s="35" t="str">
        <x:v>webFrame</x:v>
      </x:c>
      <x:c r="E511" s="35" t="str"/>
      <x:c r="F511" s="35" t="str">
        <x:v>AUTHORITATIVE_REQUIREMENT_SCOPED</x:v>
      </x:c>
    </x:row>
    <x:row r="512">
      <x:c r="A512" s="38" t="str">
        <x:v>TRF-057</x:v>
      </x:c>
      <x:c r="B512" s="35" t="str">
        <x:v>webFrame</x:v>
      </x:c>
      <x:c r="C512" s="35" t="str">
        <x:v>minimumLineLoad</x:v>
      </x:c>
      <x:c r="D512" s="35" t="str">
        <x:v>webFrame</x:v>
      </x:c>
      <x:c r="E512" s="35" t="str"/>
      <x:c r="F512" s="35" t="str">
        <x:v>AUTHORITATIVE_REQUIREMENT_SCOPED</x:v>
      </x:c>
    </x:row>
    <x:row r="513">
      <x:c r="A513" s="38" t="str">
        <x:v>TRF-057</x:v>
      </x:c>
      <x:c r="B513" s="35" t="str">
        <x:v>webFrame</x:v>
      </x:c>
      <x:c r="C513" s="35" t="str">
        <x:v>webFrameIceLoad</x:v>
      </x:c>
      <x:c r="D513" s="35" t="str">
        <x:v>webFrame</x:v>
      </x:c>
      <x:c r="E513" s="35" t="str"/>
      <x:c r="F513" s="35" t="str">
        <x:v>AUTHORITATIVE_REQUIREMENT_SCOPED</x:v>
      </x:c>
    </x:row>
    <x:row r="514">
      <x:c r="A514" s="38" t="str">
        <x:v>TRF-057</x:v>
      </x:c>
      <x:c r="B514" s="35" t="str">
        <x:v>webFrame</x:v>
      </x:c>
      <x:c r="C514" s="35" t="str">
        <x:v>webFrameSafetyFactor</x:v>
      </x:c>
      <x:c r="D514" s="35" t="str">
        <x:v>webFrame</x:v>
      </x:c>
      <x:c r="E514" s="35" t="str"/>
      <x:c r="F514" s="35" t="str">
        <x:v>AUTHORITATIVE_REQUIREMENT_SCOPED</x:v>
      </x:c>
    </x:row>
    <x:row r="515">
      <x:c r="A515" s="38" t="str">
        <x:v>TRF-057</x:v>
      </x:c>
      <x:c r="B515" s="35" t="str">
        <x:v>webFrame</x:v>
      </x:c>
      <x:c r="C515" s="35" t="str">
        <x:v>webFrameSpacing</x:v>
      </x:c>
      <x:c r="D515" s="35" t="str">
        <x:v>webFrame</x:v>
      </x:c>
      <x:c r="E515" s="35" t="str"/>
      <x:c r="F515" s="35" t="str">
        <x:v>AUTHORITATIVE_REQUIREMENT_SCOPED</x:v>
      </x:c>
    </x:row>
    <x:row r="516">
      <x:c r="A516" s="38" t="str">
        <x:v>TRF-058</x:v>
      </x:c>
      <x:c r="B516" s="35" t="str">
        <x:v>webFrame</x:v>
      </x:c>
      <x:c r="C516" s="35" t="str">
        <x:v>adjustedIceLoadForce</x:v>
      </x:c>
      <x:c r="D516" s="35" t="str">
        <x:v>webFrame</x:v>
      </x:c>
      <x:c r="E516" s="35" t="str"/>
      <x:c r="F516" s="35" t="str">
        <x:v>AUTHORITATIVE_REQUIREMENT_SCOPED</x:v>
      </x:c>
    </x:row>
    <x:row r="517">
      <x:c r="A517" s="38" t="str">
        <x:v>TRF-058</x:v>
      </x:c>
      <x:c r="B517" s="35" t="str">
        <x:v>webFrame</x:v>
      </x:c>
      <x:c r="C517" s="35" t="str">
        <x:v>iceLoadForce</x:v>
      </x:c>
      <x:c r="D517" s="35" t="str">
        <x:v>webFrame</x:v>
      </x:c>
      <x:c r="E517" s="35" t="str"/>
      <x:c r="F517" s="35" t="str">
        <x:v>AUTHORITATIVE_REQUIREMENT_SCOPED</x:v>
      </x:c>
    </x:row>
    <x:row r="518">
      <x:c r="A518" s="38" t="str">
        <x:v>TRF-058</x:v>
      </x:c>
      <x:c r="B518" s="35" t="str">
        <x:v>webFrame</x:v>
      </x:c>
      <x:c r="C518" s="35" t="str">
        <x:v>stringerOutsideIceBeltHeight</x:v>
      </x:c>
      <x:c r="D518" s="35" t="str">
        <x:v>webFrame</x:v>
      </x:c>
      <x:c r="E518" s="35" t="str"/>
      <x:c r="F518" s="35" t="str">
        <x:v>AUTHORITATIVE_REQUIREMENT_SCOPED</x:v>
      </x:c>
    </x:row>
    <x:row r="519">
      <x:c r="A519" s="38" t="str">
        <x:v>TRF-058</x:v>
      </x:c>
      <x:c r="B519" s="35" t="str">
        <x:v>webFrame</x:v>
      </x:c>
      <x:c r="C519" s="35" t="str">
        <x:v>stringerSpan</x:v>
      </x:c>
      <x:c r="D519" s="35" t="str">
        <x:v>webFrame</x:v>
      </x:c>
      <x:c r="E519" s="35" t="str"/>
      <x:c r="F519" s="35" t="str">
        <x:v>AUTHORITATIVE_REQUIREMENT_SCOPED</x:v>
      </x:c>
    </x:row>
    <x:row r="520">
      <x:c r="A520" s="38" t="str">
        <x:v>TRF-058</x:v>
      </x:c>
      <x:c r="B520" s="35" t="str">
        <x:v>webFrame</x:v>
      </x:c>
      <x:c r="C520" s="35" t="str">
        <x:v>supportedStringerOutsideIceBelt</x:v>
      </x:c>
      <x:c r="D520" s="35" t="str">
        <x:v>webFrame</x:v>
      </x:c>
      <x:c r="E520" s="35" t="str"/>
      <x:c r="F520" s="35" t="str">
        <x:v>AUTHORITATIVE_REQUIREMENT_SCOPED</x:v>
      </x:c>
    </x:row>
    <x:row r="521">
      <x:c r="A521" s="38" t="str">
        <x:v>TRF-059</x:v>
      </x:c>
      <x:c r="B521" s="35" t="str">
        <x:v>webFrame</x:v>
      </x:c>
      <x:c r="C521" s="35" t="str">
        <x:v>freeFlangeArea</x:v>
      </x:c>
      <x:c r="D521" s="35" t="str">
        <x:v>webFrame</x:v>
      </x:c>
      <x:c r="E521" s="35" t="str"/>
      <x:c r="F521" s="35" t="str">
        <x:v>AUTHORITATIVE_REQUIREMENT_SCOPED</x:v>
      </x:c>
    </x:row>
    <x:row r="522">
      <x:c r="A522" s="38" t="str">
        <x:v>TRF-059</x:v>
      </x:c>
      <x:c r="B522" s="35" t="str">
        <x:v>webFrame</x:v>
      </x:c>
      <x:c r="C522" s="35" t="str">
        <x:v>freeFlangeToWebAreaRatio</x:v>
      </x:c>
      <x:c r="D522" s="35" t="str">
        <x:v>webFrame</x:v>
      </x:c>
      <x:c r="E522" s="35" t="str"/>
      <x:c r="F522" s="35" t="str">
        <x:v>AUTHORITATIVE_REQUIREMENT_SCOPED</x:v>
      </x:c>
    </x:row>
    <x:row r="523">
      <x:c r="A523" s="38" t="str">
        <x:v>TRF-059</x:v>
      </x:c>
      <x:c r="B523" s="35" t="str">
        <x:v>webFrame</x:v>
      </x:c>
      <x:c r="C523" s="35" t="str">
        <x:v>maximumCalculatedShearForce</x:v>
      </x:c>
      <x:c r="D523" s="35" t="str">
        <x:v>webFrame</x:v>
      </x:c>
      <x:c r="E523" s="35" t="str"/>
      <x:c r="F523" s="35" t="str">
        <x:v>AUTHORITATIVE_REQUIREMENT_SCOPED</x:v>
      </x:c>
    </x:row>
    <x:row r="524">
      <x:c r="A524" s="38" t="str">
        <x:v>TRF-059</x:v>
      </x:c>
      <x:c r="B524" s="35" t="str">
        <x:v>webFrame</x:v>
      </x:c>
      <x:c r="C524" s="35" t="str">
        <x:v>requiredShearArea</x:v>
      </x:c>
      <x:c r="D524" s="35" t="str">
        <x:v>webFrame</x:v>
      </x:c>
      <x:c r="E524" s="35" t="str"/>
      <x:c r="F524" s="35" t="str">
        <x:v>AUTHORITATIVE_REQUIREMENT_SCOPED</x:v>
      </x:c>
    </x:row>
    <x:row r="525">
      <x:c r="A525" s="38" t="str">
        <x:v>TRF-059</x:v>
      </x:c>
      <x:c r="B525" s="35" t="str">
        <x:v>webFrame</x:v>
      </x:c>
      <x:c r="C525" s="35" t="str">
        <x:v>sectionModulus</x:v>
      </x:c>
      <x:c r="D525" s="35" t="str">
        <x:v>webFrame</x:v>
      </x:c>
      <x:c r="E525" s="35" t="str"/>
      <x:c r="F525" s="35" t="str">
        <x:v>AUTHORITATIVE_REQUIREMENT_SCOPED</x:v>
      </x:c>
    </x:row>
    <x:row r="526">
      <x:c r="A526" s="38" t="str">
        <x:v>TRF-059</x:v>
      </x:c>
      <x:c r="B526" s="35" t="str">
        <x:v>webFrame</x:v>
      </x:c>
      <x:c r="C526" s="35" t="str">
        <x:v>webFrameShearDistributionFactorF13</x:v>
      </x:c>
      <x:c r="D526" s="35" t="str">
        <x:v>webFrame</x:v>
      </x:c>
      <x:c r="E526" s="35" t="str"/>
      <x:c r="F526" s="35" t="str">
        <x:v>AUTHORITATIVE_REQUIREMENT_SCOPED</x:v>
      </x:c>
    </x:row>
    <x:row r="527">
      <x:c r="A527" s="38" t="str">
        <x:v>TRF-059</x:v>
      </x:c>
      <x:c r="B527" s="35" t="str">
        <x:v>webFrame</x:v>
      </x:c>
      <x:c r="C527" s="35" t="str">
        <x:v>webFrameShearFactorAlpha</x:v>
      </x:c>
      <x:c r="D527" s="35" t="str">
        <x:v>webFrame</x:v>
      </x:c>
      <x:c r="E527" s="35" t="str"/>
      <x:c r="F527" s="35" t="str">
        <x:v>AUTHORITATIVE_REQUIREMENT_SCOPED</x:v>
      </x:c>
    </x:row>
    <x:row r="528">
      <x:c r="A528" s="38" t="str">
        <x:v>TRF-059</x:v>
      </x:c>
      <x:c r="B528" s="35" t="str">
        <x:v>webFrame</x:v>
      </x:c>
      <x:c r="C528" s="35" t="str">
        <x:v>webPlateArea</x:v>
      </x:c>
      <x:c r="D528" s="35" t="str">
        <x:v>webFrame</x:v>
      </x:c>
      <x:c r="E528" s="35" t="str"/>
      <x:c r="F528" s="35" t="str">
        <x:v>AUTHORITATIVE_REQUIREMENT_SCOPED</x:v>
      </x:c>
    </x:row>
    <x:row r="529">
      <x:c r="A529" s="39" t="str">
        <x:v>TRF-059</x:v>
      </x:c>
      <x:c r="B529" s="36" t="str">
        <x:v>webFrame</x:v>
      </x:c>
      <x:c r="C529" s="36" t="str">
        <x:v>yieldStrength</x:v>
      </x:c>
      <x:c r="D529" s="36" t="str">
        <x:v>webFrame</x:v>
      </x:c>
      <x:c r="E529" s="36" t="str"/>
      <x:c r="F529" s="36" t="str">
        <x:v>AUTHORITATIVE_REQUIREMENT_SCOPED</x:v>
      </x:c>
    </x:row>
  </x:sheetData>
  <x:conditionalFormatting sqref="F5:F529">
    <x:cfRule type="containsText" dxfId="20" priority="1" operator="containsText" text="READY"/>
    <x:cfRule type="containsText" dxfId="21" priority="2" operator="containsText" text="COMPLETE"/>
    <x:cfRule type="containsText" dxfId="22" priority="3" operator="containsText" text="NEW"/>
    <x:cfRule type="containsText" dxfId="23" priority="4" operator="containsText" text="REMODEL"/>
    <x:cfRule type="containsText" dxfId="24" priority="5" operator="containsText" text="UNIT"/>
  </x:conditionalFormatting>
  <x:pageMargins left="0.7" right="0.7" top="0.75" bottom="0.75" header="0.3" footer="0.3"/>
  <x:tableParts count="1">
    <x:tablePart xmlns:r="http://schemas.openxmlformats.org/officeDocument/2006/relationships" r:id="R713f2a4a082c4034"/>
  </x:tableParts>
</x:worksheet>
</file>

<file path=xl/worksheets/sheet8.xml><?xml version="1.0" encoding="utf-8"?>
<x:worksheet xmlns:x="http://schemas.openxmlformats.org/spreadsheetml/2006/main">
  <x:sheetViews>
    <x:sheetView showGridLines="0" workbookViewId="0"/>
  </x:sheetViews>
  <x:sheetFormatPr defaultRowHeight="15"/>
  <x:cols>
    <x:col min="1" max="1" width="34" hidden="0" customWidth="1"/>
    <x:col min="2" max="2" width="48" hidden="0" customWidth="1"/>
    <x:col min="3" max="3" width="18" hidden="0" customWidth="1"/>
    <x:col min="4" max="4" width="18" hidden="0" customWidth="1"/>
    <x:col min="5" max="5" width="18" hidden="0" customWidth="1"/>
    <x:col min="6" max="6" width="18" hidden="0" customWidth="1"/>
    <x:col min="7" max="7" width="68" hidden="0" customWidth="1"/>
    <x:col min="8" max="8" width="72" hidden="0" customWidth="1"/>
    <x:col min="9" max="9" width="68" hidden="0" customWidth="1"/>
    <x:col min="10" max="10" width="18" hidden="0" customWidth="1"/>
    <x:col min="11" max="11" width="38" hidden="0" customWidth="1"/>
    <x:col min="12" max="12" width="18" hidden="0" customWidth="1"/>
    <x:col min="13" max="13" width="22" hidden="0" customWidth="1"/>
  </x:cols>
  <x:sheetData>
    <x:row r="1">
      <x:c r="A1" s="11" t="str">
        <x:v>NLTL Development Calibration - Batch 01</x:v>
      </x:c>
      <x:c r="B1" s="12"/>
      <x:c r="C1" s="12"/>
      <x:c r="D1" s="12"/>
      <x:c r="E1" s="12"/>
      <x:c r="F1" s="12"/>
      <x:c r="G1" s="12"/>
      <x:c r="H1" s="12"/>
      <x:c r="I1" s="12"/>
      <x:c r="J1" s="12"/>
      <x:c r="K1" s="12"/>
      <x:c r="L1" s="12"/>
      <x:c r="M1" s="12"/>
    </x:row>
    <x:row r="2">
      <x:c r="A2" s="13" t="str">
        <x:v>RDF_CASES | DEV-CAL-BATCH-01-FIRST-50 | vocabulary is not frozen</x:v>
      </x:c>
      <x:c r="B2" s="13"/>
      <x:c r="C2" s="13"/>
      <x:c r="D2" s="13"/>
      <x:c r="E2" s="13"/>
      <x:c r="F2" s="13"/>
      <x:c r="G2" s="13"/>
      <x:c r="H2" s="13"/>
      <x:c r="I2" s="13"/>
      <x:c r="J2" s="13"/>
      <x:c r="K2" s="13"/>
      <x:c r="L2" s="13"/>
      <x:c r="M2" s="13"/>
    </x:row>
    <x:row r="3">
      <x:c r="A3" s="14"/>
      <x:c r="B3" s="14"/>
      <x:c r="C3" s="14"/>
      <x:c r="D3" s="14"/>
      <x:c r="E3" s="14"/>
      <x:c r="F3" s="14"/>
      <x:c r="G3" s="14"/>
      <x:c r="H3" s="14"/>
      <x:c r="I3" s="14"/>
      <x:c r="J3" s="14"/>
      <x:c r="K3" s="14"/>
      <x:c r="L3" s="14"/>
      <x:c r="M3" s="14"/>
    </x:row>
    <x:row r="4" ht="32" customHeight="1">
      <x:c r="A4" s="32" t="str">
        <x:v>CASE_ID</x:v>
      </x:c>
      <x:c r="B4" s="52" t="str">
        <x:v>REQUIREMENT_ID</x:v>
      </x:c>
      <x:c r="C4" s="52" t="str">
        <x:v>CASE_KIND</x:v>
      </x:c>
      <x:c r="D4" s="52" t="str">
        <x:v>EXPECTED_CONFORMS</x:v>
      </x:c>
      <x:c r="E4" s="52" t="str">
        <x:v>SOURCE_PAGE</x:v>
      </x:c>
      <x:c r="F4" s="52" t="str">
        <x:v>SOURCE_CLAUSE</x:v>
      </x:c>
      <x:c r="G4" s="52" t="str">
        <x:v>SCENARIO_BASIS</x:v>
      </x:c>
      <x:c r="H4" s="52" t="str">
        <x:v>RDF_FILE</x:v>
      </x:c>
      <x:c r="I4" s="52" t="str">
        <x:v>RDF_SHA256</x:v>
      </x:c>
      <x:c r="J4" s="52" t="str">
        <x:v>TRIPLE_COUNT</x:v>
      </x:c>
      <x:c r="K4" s="52" t="str">
        <x:v>DEVELOPMENT_VOCABULARY_ID</x:v>
      </x:c>
      <x:c r="L4" s="52" t="str">
        <x:v>CALIBRATION_ONLY</x:v>
      </x:c>
      <x:c r="M4" s="33" t="str">
        <x:v>EXECUTION_STATUS</x:v>
      </x:c>
    </x:row>
    <x:row r="5">
      <x:c r="A5" s="34" t="str">
        <x:v>B01-TRF-001-PASS</x:v>
      </x:c>
      <x:c r="B5" s="37" t="str">
        <x:v>TRF-001</x:v>
      </x:c>
      <x:c r="C5" s="34" t="str">
        <x:v>PASS</x:v>
      </x:c>
      <x:c r="D5" s="66" t="b">
        <x:v>1</x:v>
      </x:c>
      <x:c r="E5" s="53" t="n">
        <x:v>5</x:v>
      </x:c>
      <x:c r="F5" s="34" t="str">
        <x:v>1.1</x:v>
      </x:c>
      <x:c r="G5" s="34" t="str">
        <x:v>cutoff-1 day non-applicable; cutoff date pass; wrong edition fail</x:v>
      </x:c>
      <x:c r="H5" s="34" t="str">
        <x:v>INPUTS/DEVELOPMENT_CALIBRATION/BATCH_01_FIRST_50/rdf_fixtures/TRF-001/trf-001_01_pass.ttl</x:v>
      </x:c>
      <x:c r="I5" s="34" t="str">
        <x:v>4fa27906e57d9d60d22a5608ca05dd60582af45af87386cf0c71ed84f8463187</x:v>
      </x:c>
      <x:c r="J5" s="53" t="n">
        <x:v>11</x:v>
      </x:c>
      <x:c r="K5" s="34" t="str">
        <x:v>VOCAB-DEV-2026-08-13-BATCH01-R6</x:v>
      </x:c>
      <x:c r="L5" s="34" t="str">
        <x:v>YES</x:v>
      </x:c>
      <x:c r="M5" s="34" t="str">
        <x:v>NOT_RUN</x:v>
      </x:c>
    </x:row>
    <x:row r="6">
      <x:c r="A6" s="35" t="str">
        <x:v>B01-TRF-001-FAIL</x:v>
      </x:c>
      <x:c r="B6" s="38" t="str">
        <x:v>TRF-001</x:v>
      </x:c>
      <x:c r="C6" s="35" t="str">
        <x:v>FAIL</x:v>
      </x:c>
      <x:c r="D6" s="67" t="b">
        <x:v>0</x:v>
      </x:c>
      <x:c r="E6" s="55" t="n">
        <x:v>5</x:v>
      </x:c>
      <x:c r="F6" s="35" t="str">
        <x:v>1.1</x:v>
      </x:c>
      <x:c r="G6" s="35" t="str">
        <x:v>cutoff-1 day non-applicable; cutoff date pass; wrong edition fail</x:v>
      </x:c>
      <x:c r="H6" s="35" t="str">
        <x:v>INPUTS/DEVELOPMENT_CALIBRATION/BATCH_01_FIRST_50/rdf_fixtures/TRF-001/trf-001_02_fail.ttl</x:v>
      </x:c>
      <x:c r="I6" s="35" t="str">
        <x:v>04dbffd89f38c59521fa534270225ce25958a5d37fb8a5d16aad033d34cf3868</x:v>
      </x:c>
      <x:c r="J6" s="55" t="n">
        <x:v>11</x:v>
      </x:c>
      <x:c r="K6" s="35" t="str">
        <x:v>VOCAB-DEV-2026-08-13-BATCH01-R6</x:v>
      </x:c>
      <x:c r="L6" s="35" t="str">
        <x:v>YES</x:v>
      </x:c>
      <x:c r="M6" s="35" t="str">
        <x:v>NOT_RUN</x:v>
      </x:c>
    </x:row>
    <x:row r="7">
      <x:c r="A7" s="35" t="str">
        <x:v>B01-TRF-001-BOUNDARY</x:v>
      </x:c>
      <x:c r="B7" s="38" t="str">
        <x:v>TRF-001</x:v>
      </x:c>
      <x:c r="C7" s="35" t="str">
        <x:v>BOUNDARY</x:v>
      </x:c>
      <x:c r="D7" s="67" t="b">
        <x:v>1</x:v>
      </x:c>
      <x:c r="E7" s="55" t="n">
        <x:v>5</x:v>
      </x:c>
      <x:c r="F7" s="35" t="str">
        <x:v>1.1</x:v>
      </x:c>
      <x:c r="G7" s="35" t="str">
        <x:v>cutoff-1 day non-applicable; cutoff date pass; wrong edition fail</x:v>
      </x:c>
      <x:c r="H7" s="35" t="str">
        <x:v>INPUTS/DEVELOPMENT_CALIBRATION/BATCH_01_FIRST_50/rdf_fixtures/TRF-001/trf-001_03_boundary.ttl</x:v>
      </x:c>
      <x:c r="I7" s="35" t="str">
        <x:v>c3db99d5369983bb84fa86c3fbdb846154bd79a06cf61c5d07157195bc2665fd</x:v>
      </x:c>
      <x:c r="J7" s="55" t="n">
        <x:v>11</x:v>
      </x:c>
      <x:c r="K7" s="35" t="str">
        <x:v>VOCAB-DEV-2026-08-13-BATCH01-R6</x:v>
      </x:c>
      <x:c r="L7" s="35" t="str">
        <x:v>YES</x:v>
      </x:c>
      <x:c r="M7" s="35" t="str">
        <x:v>NOT_RUN</x:v>
      </x:c>
    </x:row>
    <x:row r="8">
      <x:c r="A8" s="35" t="str">
        <x:v>B01-TRF-002-PASS</x:v>
      </x:c>
      <x:c r="B8" s="38" t="str">
        <x:v>TRF-002</x:v>
      </x:c>
      <x:c r="C8" s="35" t="str">
        <x:v>PASS</x:v>
      </x:c>
      <x:c r="D8" s="67" t="b">
        <x:v>1</x:v>
      </x:c>
      <x:c r="E8" s="55" t="n">
        <x:v>5</x:v>
      </x:c>
      <x:c r="F8" s="35" t="str">
        <x:v>1.2</x:v>
      </x:c>
      <x:c r="G8" s="35" t="str">
        <x:v>lower boundary pass; upper boundary non-applicable; wrong edition fail</x:v>
      </x:c>
      <x:c r="H8" s="35" t="str">
        <x:v>INPUTS/DEVELOPMENT_CALIBRATION/BATCH_01_FIRST_50/rdf_fixtures/TRF-002/trf-002_01_pass.ttl</x:v>
      </x:c>
      <x:c r="I8" s="35" t="str">
        <x:v>4b0432057b17bcaf2b877b843bb7307c4ee4a705c1b0b796b06cbed410b0becf</x:v>
      </x:c>
      <x:c r="J8" s="55" t="n">
        <x:v>7</x:v>
      </x:c>
      <x:c r="K8" s="35" t="str">
        <x:v>VOCAB-DEV-2026-08-13-BATCH01-R6</x:v>
      </x:c>
      <x:c r="L8" s="35" t="str">
        <x:v>YES</x:v>
      </x:c>
      <x:c r="M8" s="35" t="str">
        <x:v>NOT_RUN</x:v>
      </x:c>
    </x:row>
    <x:row r="9">
      <x:c r="A9" s="35" t="str">
        <x:v>B01-TRF-002-FAIL</x:v>
      </x:c>
      <x:c r="B9" s="38" t="str">
        <x:v>TRF-002</x:v>
      </x:c>
      <x:c r="C9" s="35" t="str">
        <x:v>FAIL</x:v>
      </x:c>
      <x:c r="D9" s="67" t="b">
        <x:v>0</x:v>
      </x:c>
      <x:c r="E9" s="55" t="n">
        <x:v>5</x:v>
      </x:c>
      <x:c r="F9" s="35" t="str">
        <x:v>1.2</x:v>
      </x:c>
      <x:c r="G9" s="35" t="str">
        <x:v>lower boundary pass; upper boundary non-applicable; wrong edition fail</x:v>
      </x:c>
      <x:c r="H9" s="35" t="str">
        <x:v>INPUTS/DEVELOPMENT_CALIBRATION/BATCH_01_FIRST_50/rdf_fixtures/TRF-002/trf-002_02_fail.ttl</x:v>
      </x:c>
      <x:c r="I9" s="35" t="str">
        <x:v>df9a207d71a4d66714db8936bdb286a45ab19b186f5b04a6b853ab2fe14dc2ac</x:v>
      </x:c>
      <x:c r="J9" s="55" t="n">
        <x:v>7</x:v>
      </x:c>
      <x:c r="K9" s="35" t="str">
        <x:v>VOCAB-DEV-2026-08-13-BATCH01-R6</x:v>
      </x:c>
      <x:c r="L9" s="35" t="str">
        <x:v>YES</x:v>
      </x:c>
      <x:c r="M9" s="35" t="str">
        <x:v>NOT_RUN</x:v>
      </x:c>
    </x:row>
    <x:row r="10">
      <x:c r="A10" s="35" t="str">
        <x:v>B01-TRF-002-BOUNDARY</x:v>
      </x:c>
      <x:c r="B10" s="38" t="str">
        <x:v>TRF-002</x:v>
      </x:c>
      <x:c r="C10" s="35" t="str">
        <x:v>BOUNDARY</x:v>
      </x:c>
      <x:c r="D10" s="67" t="b">
        <x:v>1</x:v>
      </x:c>
      <x:c r="E10" s="55" t="n">
        <x:v>5</x:v>
      </x:c>
      <x:c r="F10" s="35" t="str">
        <x:v>1.2</x:v>
      </x:c>
      <x:c r="G10" s="35" t="str">
        <x:v>lower boundary pass; upper boundary non-applicable; wrong edition fail</x:v>
      </x:c>
      <x:c r="H10" s="35" t="str">
        <x:v>INPUTS/DEVELOPMENT_CALIBRATION/BATCH_01_FIRST_50/rdf_fixtures/TRF-002/trf-002_03_boundary.ttl</x:v>
      </x:c>
      <x:c r="I10" s="35" t="str">
        <x:v>a9cfb0ff3a9184bdb311fab238137024e755261109a09c64bf1a7ed20032d502</x:v>
      </x:c>
      <x:c r="J10" s="55" t="n">
        <x:v>7</x:v>
      </x:c>
      <x:c r="K10" s="35" t="str">
        <x:v>VOCAB-DEV-2026-08-13-BATCH01-R6</x:v>
      </x:c>
      <x:c r="L10" s="35" t="str">
        <x:v>YES</x:v>
      </x:c>
      <x:c r="M10" s="35" t="str">
        <x:v>NOT_RUN</x:v>
      </x:c>
    </x:row>
    <x:row r="11">
      <x:c r="A11" s="35" t="str">
        <x:v>B01-TRF-003-PASS</x:v>
      </x:c>
      <x:c r="B11" s="38" t="str">
        <x:v>TRF-003</x:v>
      </x:c>
      <x:c r="C11" s="35" t="str">
        <x:v>PASS</x:v>
      </x:c>
      <x:c r="D11" s="67" t="b">
        <x:v>1</x:v>
      </x:c>
      <x:c r="E11" s="55" t="n">
        <x:v>5</x:v>
      </x:c>
      <x:c r="F11" s="35" t="str">
        <x:v>1.3</x:v>
      </x:c>
      <x:c r="G11" s="35" t="str">
        <x:v>both date boundaries plus wrong edition</x:v>
      </x:c>
      <x:c r="H11" s="35" t="str">
        <x:v>INPUTS/DEVELOPMENT_CALIBRATION/BATCH_01_FIRST_50/rdf_fixtures/TRF-003/trf-003_01_pass.ttl</x:v>
      </x:c>
      <x:c r="I11" s="35" t="str">
        <x:v>7e3939fec633a3393362931054e38e6f6b37833133209bbf132cf2d6e6cba849</x:v>
      </x:c>
      <x:c r="J11" s="55" t="n">
        <x:v>7</x:v>
      </x:c>
      <x:c r="K11" s="35" t="str">
        <x:v>VOCAB-DEV-2026-08-13-BATCH01-R6</x:v>
      </x:c>
      <x:c r="L11" s="35" t="str">
        <x:v>YES</x:v>
      </x:c>
      <x:c r="M11" s="35" t="str">
        <x:v>NOT_RUN</x:v>
      </x:c>
    </x:row>
    <x:row r="12">
      <x:c r="A12" s="35" t="str">
        <x:v>B01-TRF-003-FAIL</x:v>
      </x:c>
      <x:c r="B12" s="38" t="str">
        <x:v>TRF-003</x:v>
      </x:c>
      <x:c r="C12" s="35" t="str">
        <x:v>FAIL</x:v>
      </x:c>
      <x:c r="D12" s="67" t="b">
        <x:v>0</x:v>
      </x:c>
      <x:c r="E12" s="55" t="n">
        <x:v>5</x:v>
      </x:c>
      <x:c r="F12" s="35" t="str">
        <x:v>1.3</x:v>
      </x:c>
      <x:c r="G12" s="35" t="str">
        <x:v>both date boundaries plus wrong edition</x:v>
      </x:c>
      <x:c r="H12" s="35" t="str">
        <x:v>INPUTS/DEVELOPMENT_CALIBRATION/BATCH_01_FIRST_50/rdf_fixtures/TRF-003/trf-003_02_fail.ttl</x:v>
      </x:c>
      <x:c r="I12" s="35" t="str">
        <x:v>8ea80dd37d802564f39b702a6ab2ad3e36c1d5fda0f6ffe58909b4d9a4efb024</x:v>
      </x:c>
      <x:c r="J12" s="55" t="n">
        <x:v>7</x:v>
      </x:c>
      <x:c r="K12" s="35" t="str">
        <x:v>VOCAB-DEV-2026-08-13-BATCH01-R6</x:v>
      </x:c>
      <x:c r="L12" s="35" t="str">
        <x:v>YES</x:v>
      </x:c>
      <x:c r="M12" s="35" t="str">
        <x:v>NOT_RUN</x:v>
      </x:c>
    </x:row>
    <x:row r="13">
      <x:c r="A13" s="35" t="str">
        <x:v>B01-TRF-003-BOUNDARY</x:v>
      </x:c>
      <x:c r="B13" s="38" t="str">
        <x:v>TRF-003</x:v>
      </x:c>
      <x:c r="C13" s="35" t="str">
        <x:v>BOUNDARY</x:v>
      </x:c>
      <x:c r="D13" s="67" t="b">
        <x:v>1</x:v>
      </x:c>
      <x:c r="E13" s="55" t="n">
        <x:v>5</x:v>
      </x:c>
      <x:c r="F13" s="35" t="str">
        <x:v>1.3</x:v>
      </x:c>
      <x:c r="G13" s="35" t="str">
        <x:v>both date boundaries plus wrong edition</x:v>
      </x:c>
      <x:c r="H13" s="35" t="str">
        <x:v>INPUTS/DEVELOPMENT_CALIBRATION/BATCH_01_FIRST_50/rdf_fixtures/TRF-003/trf-003_03_boundary.ttl</x:v>
      </x:c>
      <x:c r="I13" s="35" t="str">
        <x:v>990b2286c1d3548a023ec718ed90bf59cbf759fc57334081b13345eaf85c65e3</x:v>
      </x:c>
      <x:c r="J13" s="55" t="n">
        <x:v>7</x:v>
      </x:c>
      <x:c r="K13" s="35" t="str">
        <x:v>VOCAB-DEV-2026-08-13-BATCH01-R6</x:v>
      </x:c>
      <x:c r="L13" s="35" t="str">
        <x:v>YES</x:v>
      </x:c>
      <x:c r="M13" s="35" t="str">
        <x:v>NOT_RUN</x:v>
      </x:c>
    </x:row>
    <x:row r="14">
      <x:c r="A14" s="35" t="str">
        <x:v>B01-TRF-004-PASS</x:v>
      </x:c>
      <x:c r="B14" s="38" t="str">
        <x:v>TRF-004</x:v>
      </x:c>
      <x:c r="C14" s="35" t="str">
        <x:v>PASS</x:v>
      </x:c>
      <x:c r="D14" s="67" t="b">
        <x:v>1</x:v>
      </x:c>
      <x:c r="E14" s="55" t="n">
        <x:v>5</x:v>
      </x:c>
      <x:c r="F14" s="35" t="str">
        <x:v>1.4</x:v>
      </x:c>
      <x:c r="G14" s="35" t="str">
        <x:v>both date boundaries plus wrong edition</x:v>
      </x:c>
      <x:c r="H14" s="35" t="str">
        <x:v>INPUTS/DEVELOPMENT_CALIBRATION/BATCH_01_FIRST_50/rdf_fixtures/TRF-004/trf-004_01_pass.ttl</x:v>
      </x:c>
      <x:c r="I14" s="35" t="str">
        <x:v>f2d70121e6658b68e92fbd4a8ebe69c99d832d4e05764f42203e7fe5b39b811d</x:v>
      </x:c>
      <x:c r="J14" s="55" t="n">
        <x:v>7</x:v>
      </x:c>
      <x:c r="K14" s="35" t="str">
        <x:v>VOCAB-DEV-2026-08-13-BATCH01-R6</x:v>
      </x:c>
      <x:c r="L14" s="35" t="str">
        <x:v>YES</x:v>
      </x:c>
      <x:c r="M14" s="35" t="str">
        <x:v>NOT_RUN</x:v>
      </x:c>
    </x:row>
    <x:row r="15">
      <x:c r="A15" s="35" t="str">
        <x:v>B01-TRF-004-FAIL</x:v>
      </x:c>
      <x:c r="B15" s="38" t="str">
        <x:v>TRF-004</x:v>
      </x:c>
      <x:c r="C15" s="35" t="str">
        <x:v>FAIL</x:v>
      </x:c>
      <x:c r="D15" s="67" t="b">
        <x:v>0</x:v>
      </x:c>
      <x:c r="E15" s="55" t="n">
        <x:v>5</x:v>
      </x:c>
      <x:c r="F15" s="35" t="str">
        <x:v>1.4</x:v>
      </x:c>
      <x:c r="G15" s="35" t="str">
        <x:v>both date boundaries plus wrong edition</x:v>
      </x:c>
      <x:c r="H15" s="35" t="str">
        <x:v>INPUTS/DEVELOPMENT_CALIBRATION/BATCH_01_FIRST_50/rdf_fixtures/TRF-004/trf-004_02_fail.ttl</x:v>
      </x:c>
      <x:c r="I15" s="35" t="str">
        <x:v>948cf0217edaf5f2208bcd936000739293a815295b9ed07cf1a68847515ca742</x:v>
      </x:c>
      <x:c r="J15" s="55" t="n">
        <x:v>7</x:v>
      </x:c>
      <x:c r="K15" s="35" t="str">
        <x:v>VOCAB-DEV-2026-08-13-BATCH01-R6</x:v>
      </x:c>
      <x:c r="L15" s="35" t="str">
        <x:v>YES</x:v>
      </x:c>
      <x:c r="M15" s="35" t="str">
        <x:v>NOT_RUN</x:v>
      </x:c>
    </x:row>
    <x:row r="16">
      <x:c r="A16" s="35" t="str">
        <x:v>B01-TRF-004-BOUNDARY</x:v>
      </x:c>
      <x:c r="B16" s="38" t="str">
        <x:v>TRF-004</x:v>
      </x:c>
      <x:c r="C16" s="35" t="str">
        <x:v>BOUNDARY</x:v>
      </x:c>
      <x:c r="D16" s="67" t="b">
        <x:v>1</x:v>
      </x:c>
      <x:c r="E16" s="55" t="n">
        <x:v>5</x:v>
      </x:c>
      <x:c r="F16" s="35" t="str">
        <x:v>1.4</x:v>
      </x:c>
      <x:c r="G16" s="35" t="str">
        <x:v>both date boundaries plus wrong edition</x:v>
      </x:c>
      <x:c r="H16" s="35" t="str">
        <x:v>INPUTS/DEVELOPMENT_CALIBRATION/BATCH_01_FIRST_50/rdf_fixtures/TRF-004/trf-004_03_boundary.ttl</x:v>
      </x:c>
      <x:c r="I16" s="35" t="str">
        <x:v>5ff65786d747b406d735b7a1b05922c990ce0acbdd817a2dcb534af8bb0b893b</x:v>
      </x:c>
      <x:c r="J16" s="55" t="n">
        <x:v>7</x:v>
      </x:c>
      <x:c r="K16" s="35" t="str">
        <x:v>VOCAB-DEV-2026-08-13-BATCH01-R6</x:v>
      </x:c>
      <x:c r="L16" s="35" t="str">
        <x:v>YES</x:v>
      </x:c>
      <x:c r="M16" s="35" t="str">
        <x:v>NOT_RUN</x:v>
      </x:c>
    </x:row>
    <x:row r="17">
      <x:c r="A17" s="35" t="str">
        <x:v>B01-TRF-005-PASS</x:v>
      </x:c>
      <x:c r="B17" s="38" t="str">
        <x:v>TRF-005</x:v>
      </x:c>
      <x:c r="C17" s="35" t="str">
        <x:v>PASS</x:v>
      </x:c>
      <x:c r="D17" s="67" t="b">
        <x:v>1</x:v>
      </x:c>
      <x:c r="E17" s="55" t="n">
        <x:v>5</x:v>
      </x:c>
      <x:c r="F17" s="35" t="str">
        <x:v>1.5</x:v>
      </x:c>
      <x:c r="G17" s="35" t="str">
        <x:v>stage-date boundary, contract-date boundary, wrong edition</x:v>
      </x:c>
      <x:c r="H17" s="35" t="str">
        <x:v>INPUTS/DEVELOPMENT_CALIBRATION/BATCH_01_FIRST_50/rdf_fixtures/TRF-005/trf-005_01_pass.ttl</x:v>
      </x:c>
      <x:c r="I17" s="35" t="str">
        <x:v>2c84e70affb4c4c8397ff6ca961995160149cf3311317f8dc4e16dde4d5aace2</x:v>
      </x:c>
      <x:c r="J17" s="55" t="n">
        <x:v>8</x:v>
      </x:c>
      <x:c r="K17" s="35" t="str">
        <x:v>VOCAB-DEV-2026-08-13-BATCH01-R6</x:v>
      </x:c>
      <x:c r="L17" s="35" t="str">
        <x:v>YES</x:v>
      </x:c>
      <x:c r="M17" s="35" t="str">
        <x:v>NOT_RUN</x:v>
      </x:c>
    </x:row>
    <x:row r="18">
      <x:c r="A18" s="35" t="str">
        <x:v>B01-TRF-005-FAIL</x:v>
      </x:c>
      <x:c r="B18" s="38" t="str">
        <x:v>TRF-005</x:v>
      </x:c>
      <x:c r="C18" s="35" t="str">
        <x:v>FAIL</x:v>
      </x:c>
      <x:c r="D18" s="67" t="b">
        <x:v>0</x:v>
      </x:c>
      <x:c r="E18" s="55" t="n">
        <x:v>5</x:v>
      </x:c>
      <x:c r="F18" s="35" t="str">
        <x:v>1.5</x:v>
      </x:c>
      <x:c r="G18" s="35" t="str">
        <x:v>stage-date boundary, contract-date boundary, wrong edition</x:v>
      </x:c>
      <x:c r="H18" s="35" t="str">
        <x:v>INPUTS/DEVELOPMENT_CALIBRATION/BATCH_01_FIRST_50/rdf_fixtures/TRF-005/trf-005_02_fail.ttl</x:v>
      </x:c>
      <x:c r="I18" s="35" t="str">
        <x:v>4f726dfffd076d284a0a999172a98b9dd911be611d0d0a052ee4390256a887dd</x:v>
      </x:c>
      <x:c r="J18" s="55" t="n">
        <x:v>8</x:v>
      </x:c>
      <x:c r="K18" s="35" t="str">
        <x:v>VOCAB-DEV-2026-08-13-BATCH01-R6</x:v>
      </x:c>
      <x:c r="L18" s="35" t="str">
        <x:v>YES</x:v>
      </x:c>
      <x:c r="M18" s="35" t="str">
        <x:v>NOT_RUN</x:v>
      </x:c>
    </x:row>
    <x:row r="19">
      <x:c r="A19" s="35" t="str">
        <x:v>B01-TRF-005-BOUNDARY</x:v>
      </x:c>
      <x:c r="B19" s="38" t="str">
        <x:v>TRF-005</x:v>
      </x:c>
      <x:c r="C19" s="35" t="str">
        <x:v>BOUNDARY</x:v>
      </x:c>
      <x:c r="D19" s="67" t="b">
        <x:v>1</x:v>
      </x:c>
      <x:c r="E19" s="55" t="n">
        <x:v>5</x:v>
      </x:c>
      <x:c r="F19" s="35" t="str">
        <x:v>1.5</x:v>
      </x:c>
      <x:c r="G19" s="35" t="str">
        <x:v>stage-date boundary, contract-date boundary, wrong edition</x:v>
      </x:c>
      <x:c r="H19" s="35" t="str">
        <x:v>INPUTS/DEVELOPMENT_CALIBRATION/BATCH_01_FIRST_50/rdf_fixtures/TRF-005/trf-005_03_boundary.ttl</x:v>
      </x:c>
      <x:c r="I19" s="35" t="str">
        <x:v>3b9d60202aaf576bd71d608602f77355b4acc4e3f2ba5655daac121b7d8b336e</x:v>
      </x:c>
      <x:c r="J19" s="55" t="n">
        <x:v>8</x:v>
      </x:c>
      <x:c r="K19" s="35" t="str">
        <x:v>VOCAB-DEV-2026-08-13-BATCH01-R6</x:v>
      </x:c>
      <x:c r="L19" s="35" t="str">
        <x:v>YES</x:v>
      </x:c>
      <x:c r="M19" s="35" t="str">
        <x:v>NOT_RUN</x:v>
      </x:c>
    </x:row>
    <x:row r="20">
      <x:c r="A20" s="35" t="str">
        <x:v>B01-TRF-006-PASS</x:v>
      </x:c>
      <x:c r="B20" s="38" t="str">
        <x:v>TRF-006</x:v>
      </x:c>
      <x:c r="C20" s="35" t="str">
        <x:v>PASS</x:v>
      </x:c>
      <x:c r="D20" s="67" t="b">
        <x:v>1</x:v>
      </x:c>
      <x:c r="E20" s="55" t="n">
        <x:v>5</x:v>
      </x:c>
      <x:c r="F20" s="35" t="str">
        <x:v>1.6</x:v>
      </x:c>
      <x:c r="G20" s="35" t="str">
        <x:v>1985 applicability pass/fail and optional 2008 engine-output branch</x:v>
      </x:c>
      <x:c r="H20" s="35" t="str">
        <x:v>INPUTS/DEVELOPMENT_CALIBRATION/BATCH_01_FIRST_50/rdf_fixtures/TRF-006/trf-006_01_pass.ttl</x:v>
      </x:c>
      <x:c r="I20" s="35" t="str">
        <x:v>18c651d701e5fa8092c175aa7e90cd00508516e1ce90ff4987352833a23761da</x:v>
      </x:c>
      <x:c r="J20" s="55" t="n">
        <x:v>12</x:v>
      </x:c>
      <x:c r="K20" s="35" t="str">
        <x:v>VOCAB-DEV-2026-08-13-BATCH01-R6</x:v>
      </x:c>
      <x:c r="L20" s="35" t="str">
        <x:v>YES</x:v>
      </x:c>
      <x:c r="M20" s="35" t="str">
        <x:v>NOT_RUN</x:v>
      </x:c>
    </x:row>
    <x:row r="21">
      <x:c r="A21" s="35" t="str">
        <x:v>B01-TRF-006-FAIL</x:v>
      </x:c>
      <x:c r="B21" s="38" t="str">
        <x:v>TRF-006</x:v>
      </x:c>
      <x:c r="C21" s="35" t="str">
        <x:v>FAIL</x:v>
      </x:c>
      <x:c r="D21" s="67" t="b">
        <x:v>0</x:v>
      </x:c>
      <x:c r="E21" s="55" t="n">
        <x:v>5</x:v>
      </x:c>
      <x:c r="F21" s="35" t="str">
        <x:v>1.6</x:v>
      </x:c>
      <x:c r="G21" s="35" t="str">
        <x:v>1985 applicability pass/fail and optional 2008 engine-output branch</x:v>
      </x:c>
      <x:c r="H21" s="35" t="str">
        <x:v>INPUTS/DEVELOPMENT_CALIBRATION/BATCH_01_FIRST_50/rdf_fixtures/TRF-006/trf-006_02_fail.ttl</x:v>
      </x:c>
      <x:c r="I21" s="35" t="str">
        <x:v>ed9a006c117c04686d821e7ca24852efd1819a60c3afd03e0c4c70ee30f8b4d7</x:v>
      </x:c>
      <x:c r="J21" s="55" t="n">
        <x:v>12</x:v>
      </x:c>
      <x:c r="K21" s="35" t="str">
        <x:v>VOCAB-DEV-2026-08-13-BATCH01-R6</x:v>
      </x:c>
      <x:c r="L21" s="35" t="str">
        <x:v>YES</x:v>
      </x:c>
      <x:c r="M21" s="35" t="str">
        <x:v>NOT_RUN</x:v>
      </x:c>
    </x:row>
    <x:row r="22">
      <x:c r="A22" s="35" t="str">
        <x:v>B01-TRF-006-BOUNDARY</x:v>
      </x:c>
      <x:c r="B22" s="38" t="str">
        <x:v>TRF-006</x:v>
      </x:c>
      <x:c r="C22" s="35" t="str">
        <x:v>BOUNDARY</x:v>
      </x:c>
      <x:c r="D22" s="67" t="b">
        <x:v>1</x:v>
      </x:c>
      <x:c r="E22" s="55" t="n">
        <x:v>5</x:v>
      </x:c>
      <x:c r="F22" s="35" t="str">
        <x:v>1.6</x:v>
      </x:c>
      <x:c r="G22" s="35" t="str">
        <x:v>1985 applicability pass/fail and optional 2008 engine-output branch</x:v>
      </x:c>
      <x:c r="H22" s="35" t="str">
        <x:v>INPUTS/DEVELOPMENT_CALIBRATION/BATCH_01_FIRST_50/rdf_fixtures/TRF-006/trf-006_03_boundary.ttl</x:v>
      </x:c>
      <x:c r="I22" s="35" t="str">
        <x:v>799f886d9aa800456decc82e8254834ceb43a0390a82a2ed9f2d50057dc50e0d</x:v>
      </x:c>
      <x:c r="J22" s="55" t="n">
        <x:v>12</x:v>
      </x:c>
      <x:c r="K22" s="35" t="str">
        <x:v>VOCAB-DEV-2026-08-13-BATCH01-R6</x:v>
      </x:c>
      <x:c r="L22" s="35" t="str">
        <x:v>YES</x:v>
      </x:c>
      <x:c r="M22" s="35" t="str">
        <x:v>NOT_RUN</x:v>
      </x:c>
    </x:row>
    <x:row r="23">
      <x:c r="A23" s="35" t="str">
        <x:v>B01-TRF-007-PASS</x:v>
      </x:c>
      <x:c r="B23" s="38" t="str">
        <x:v>TRF-007</x:v>
      </x:c>
      <x:c r="C23" s="35" t="str">
        <x:v>PASS</x:v>
      </x:c>
      <x:c r="D23" s="67" t="b">
        <x:v>1</x:v>
      </x:c>
      <x:c r="E23" s="55" t="n">
        <x:v>5</x:v>
      </x:c>
      <x:c r="F23" s="35" t="str">
        <x:v>1.6</x:v>
      </x:c>
      <x:c r="G23" s="35" t="str">
        <x:v>before deadline, at deadline compliant, at deadline missing method</x:v>
      </x:c>
      <x:c r="H23" s="35" t="str">
        <x:v>INPUTS/DEVELOPMENT_CALIBRATION/BATCH_01_FIRST_50/rdf_fixtures/TRF-007/trf-007_01_pass.ttl</x:v>
      </x:c>
      <x:c r="I23" s="35" t="str">
        <x:v>1eaa142a1ed3b5f70394cad933a3a4d4f5d4f69a04ca50277dc2a39c33484189</x:v>
      </x:c>
      <x:c r="J23" s="55" t="n">
        <x:v>8</x:v>
      </x:c>
      <x:c r="K23" s="35" t="str">
        <x:v>VOCAB-DEV-2026-08-13-BATCH01-R6</x:v>
      </x:c>
      <x:c r="L23" s="35" t="str">
        <x:v>YES</x:v>
      </x:c>
      <x:c r="M23" s="35" t="str">
        <x:v>NOT_RUN</x:v>
      </x:c>
    </x:row>
    <x:row r="24">
      <x:c r="A24" s="35" t="str">
        <x:v>B01-TRF-007-FAIL</x:v>
      </x:c>
      <x:c r="B24" s="38" t="str">
        <x:v>TRF-007</x:v>
      </x:c>
      <x:c r="C24" s="35" t="str">
        <x:v>FAIL</x:v>
      </x:c>
      <x:c r="D24" s="67" t="b">
        <x:v>0</x:v>
      </x:c>
      <x:c r="E24" s="55" t="n">
        <x:v>5</x:v>
      </x:c>
      <x:c r="F24" s="35" t="str">
        <x:v>1.6</x:v>
      </x:c>
      <x:c r="G24" s="35" t="str">
        <x:v>before deadline, at deadline compliant, at deadline missing method</x:v>
      </x:c>
      <x:c r="H24" s="35" t="str">
        <x:v>INPUTS/DEVELOPMENT_CALIBRATION/BATCH_01_FIRST_50/rdf_fixtures/TRF-007/trf-007_02_fail.ttl</x:v>
      </x:c>
      <x:c r="I24" s="35" t="str">
        <x:v>8f6ddb9fc911375960c619225c4f9f039bea66e1730092f7b4589d4905231c54</x:v>
      </x:c>
      <x:c r="J24" s="55" t="n">
        <x:v>7</x:v>
      </x:c>
      <x:c r="K24" s="35" t="str">
        <x:v>VOCAB-DEV-2026-08-13-BATCH01-R6</x:v>
      </x:c>
      <x:c r="L24" s="35" t="str">
        <x:v>YES</x:v>
      </x:c>
      <x:c r="M24" s="35" t="str">
        <x:v>NOT_RUN</x:v>
      </x:c>
    </x:row>
    <x:row r="25">
      <x:c r="A25" s="35" t="str">
        <x:v>B01-TRF-007-BOUNDARY</x:v>
      </x:c>
      <x:c r="B25" s="38" t="str">
        <x:v>TRF-007</x:v>
      </x:c>
      <x:c r="C25" s="35" t="str">
        <x:v>BOUNDARY</x:v>
      </x:c>
      <x:c r="D25" s="67" t="b">
        <x:v>1</x:v>
      </x:c>
      <x:c r="E25" s="55" t="n">
        <x:v>5</x:v>
      </x:c>
      <x:c r="F25" s="35" t="str">
        <x:v>1.6</x:v>
      </x:c>
      <x:c r="G25" s="35" t="str">
        <x:v>before deadline, at deadline compliant, at deadline missing method</x:v>
      </x:c>
      <x:c r="H25" s="35" t="str">
        <x:v>INPUTS/DEVELOPMENT_CALIBRATION/BATCH_01_FIRST_50/rdf_fixtures/TRF-007/trf-007_03_boundary.ttl</x:v>
      </x:c>
      <x:c r="I25" s="35" t="str">
        <x:v>3a613fe7fef58e67f713ee8ce7e2666eb2824c32bf39f32792f9241d0c14557c</x:v>
      </x:c>
      <x:c r="J25" s="55" t="n">
        <x:v>8</x:v>
      </x:c>
      <x:c r="K25" s="35" t="str">
        <x:v>VOCAB-DEV-2026-08-13-BATCH01-R6</x:v>
      </x:c>
      <x:c r="L25" s="35" t="str">
        <x:v>YES</x:v>
      </x:c>
      <x:c r="M25" s="35" t="str">
        <x:v>NOT_RUN</x:v>
      </x:c>
    </x:row>
    <x:row r="26">
      <x:c r="A26" s="35" t="str">
        <x:v>B01-TRF-009-PASS</x:v>
      </x:c>
      <x:c r="B26" s="38" t="str">
        <x:v>TRF-009</x:v>
      </x:c>
      <x:c r="C26" s="35" t="str">
        <x:v>PASS</x:v>
      </x:c>
      <x:c r="D26" s="67" t="b">
        <x:v>1</x:v>
      </x:c>
      <x:c r="E26" s="55" t="n">
        <x:v>6</x:v>
      </x:c>
      <x:c r="F26" s="35" t="str">
        <x:v>1.7</x:v>
      </x:c>
      <x:c r="G26" s="35" t="str">
        <x:v>reuse TRF-007 fixture facts under separate requirement mapping</x:v>
      </x:c>
      <x:c r="H26" s="35" t="str">
        <x:v>INPUTS/DEVELOPMENT_CALIBRATION/BATCH_01_FIRST_50/rdf_fixtures/TRF-009/trf-009_01_pass.ttl</x:v>
      </x:c>
      <x:c r="I26" s="35" t="str">
        <x:v>30194060bca8153a105a1de8122cb8dc25dbde2d9737a5f4614b7f59ecf296d6</x:v>
      </x:c>
      <x:c r="J26" s="55" t="n">
        <x:v>8</x:v>
      </x:c>
      <x:c r="K26" s="35" t="str">
        <x:v>VOCAB-DEV-2026-08-13-BATCH01-R6</x:v>
      </x:c>
      <x:c r="L26" s="35" t="str">
        <x:v>YES</x:v>
      </x:c>
      <x:c r="M26" s="35" t="str">
        <x:v>NOT_RUN</x:v>
      </x:c>
    </x:row>
    <x:row r="27">
      <x:c r="A27" s="35" t="str">
        <x:v>B01-TRF-009-FAIL</x:v>
      </x:c>
      <x:c r="B27" s="38" t="str">
        <x:v>TRF-009</x:v>
      </x:c>
      <x:c r="C27" s="35" t="str">
        <x:v>FAIL</x:v>
      </x:c>
      <x:c r="D27" s="67" t="b">
        <x:v>0</x:v>
      </x:c>
      <x:c r="E27" s="55" t="n">
        <x:v>6</x:v>
      </x:c>
      <x:c r="F27" s="35" t="str">
        <x:v>1.7</x:v>
      </x:c>
      <x:c r="G27" s="35" t="str">
        <x:v>reuse TRF-007 fixture facts under separate requirement mapping</x:v>
      </x:c>
      <x:c r="H27" s="35" t="str">
        <x:v>INPUTS/DEVELOPMENT_CALIBRATION/BATCH_01_FIRST_50/rdf_fixtures/TRF-009/trf-009_02_fail.ttl</x:v>
      </x:c>
      <x:c r="I27" s="35" t="str">
        <x:v>bdfdf096ecca3c65685b8c636fdb382387cbeea4373a6b7eed8ea976fafeab96</x:v>
      </x:c>
      <x:c r="J27" s="55" t="n">
        <x:v>7</x:v>
      </x:c>
      <x:c r="K27" s="35" t="str">
        <x:v>VOCAB-DEV-2026-08-13-BATCH01-R6</x:v>
      </x:c>
      <x:c r="L27" s="35" t="str">
        <x:v>YES</x:v>
      </x:c>
      <x:c r="M27" s="35" t="str">
        <x:v>NOT_RUN</x:v>
      </x:c>
    </x:row>
    <x:row r="28">
      <x:c r="A28" s="35" t="str">
        <x:v>B01-TRF-009-BOUNDARY</x:v>
      </x:c>
      <x:c r="B28" s="38" t="str">
        <x:v>TRF-009</x:v>
      </x:c>
      <x:c r="C28" s="35" t="str">
        <x:v>BOUNDARY</x:v>
      </x:c>
      <x:c r="D28" s="67" t="b">
        <x:v>1</x:v>
      </x:c>
      <x:c r="E28" s="55" t="n">
        <x:v>6</x:v>
      </x:c>
      <x:c r="F28" s="35" t="str">
        <x:v>1.7</x:v>
      </x:c>
      <x:c r="G28" s="35" t="str">
        <x:v>reuse TRF-007 fixture facts under separate requirement mapping</x:v>
      </x:c>
      <x:c r="H28" s="35" t="str">
        <x:v>INPUTS/DEVELOPMENT_CALIBRATION/BATCH_01_FIRST_50/rdf_fixtures/TRF-009/trf-009_03_boundary.ttl</x:v>
      </x:c>
      <x:c r="I28" s="35" t="str">
        <x:v>fabda3d543d8a08456f6c049a806d38d0d00b20beb00c6bc0386dc81aa85443f</x:v>
      </x:c>
      <x:c r="J28" s="55" t="n">
        <x:v>8</x:v>
      </x:c>
      <x:c r="K28" s="35" t="str">
        <x:v>VOCAB-DEV-2026-08-13-BATCH01-R6</x:v>
      </x:c>
      <x:c r="L28" s="35" t="str">
        <x:v>YES</x:v>
      </x:c>
      <x:c r="M28" s="35" t="str">
        <x:v>NOT_RUN</x:v>
      </x:c>
    </x:row>
    <x:row r="29">
      <x:c r="A29" s="35" t="str">
        <x:v>B01-TRF-010-PASS</x:v>
      </x:c>
      <x:c r="B29" s="38" t="str">
        <x:v>TRF-010</x:v>
      </x:c>
      <x:c r="C29" s="35" t="str">
        <x:v>PASS</x:v>
      </x:c>
      <x:c r="D29" s="67" t="b">
        <x:v>1</x:v>
      </x:c>
      <x:c r="E29" s="55" t="n">
        <x:v>6</x:v>
      </x:c>
      <x:c r="F29" s="35" t="str">
        <x:v>1.8</x:v>
      </x:c>
      <x:c r="G29" s="35" t="str">
        <x:v>each allowed class; invalid external value; missing value</x:v>
      </x:c>
      <x:c r="H29" s="35" t="str">
        <x:v>INPUTS/DEVELOPMENT_CALIBRATION/BATCH_01_FIRST_50/rdf_fixtures/TRF-010/trf-010_01_pass.ttl</x:v>
      </x:c>
      <x:c r="I29" s="35" t="str">
        <x:v>fe2c1a2b965e861daf3da99a1a6461aeaa71bbf9e513be7146663db36f6e90b6</x:v>
      </x:c>
      <x:c r="J29" s="55" t="n">
        <x:v>4</x:v>
      </x:c>
      <x:c r="K29" s="35" t="str">
        <x:v>VOCAB-DEV-2026-08-13-BATCH01-R6</x:v>
      </x:c>
      <x:c r="L29" s="35" t="str">
        <x:v>YES</x:v>
      </x:c>
      <x:c r="M29" s="35" t="str">
        <x:v>NOT_RUN</x:v>
      </x:c>
    </x:row>
    <x:row r="30">
      <x:c r="A30" s="35" t="str">
        <x:v>B01-TRF-010-FAIL</x:v>
      </x:c>
      <x:c r="B30" s="38" t="str">
        <x:v>TRF-010</x:v>
      </x:c>
      <x:c r="C30" s="35" t="str">
        <x:v>FAIL</x:v>
      </x:c>
      <x:c r="D30" s="67" t="b">
        <x:v>0</x:v>
      </x:c>
      <x:c r="E30" s="55" t="n">
        <x:v>6</x:v>
      </x:c>
      <x:c r="F30" s="35" t="str">
        <x:v>1.8</x:v>
      </x:c>
      <x:c r="G30" s="35" t="str">
        <x:v>each allowed class; invalid external value; missing value</x:v>
      </x:c>
      <x:c r="H30" s="35" t="str">
        <x:v>INPUTS/DEVELOPMENT_CALIBRATION/BATCH_01_FIRST_50/rdf_fixtures/TRF-010/trf-010_02_fail.ttl</x:v>
      </x:c>
      <x:c r="I30" s="35" t="str">
        <x:v>1cad0518d86f6fd5e5134dac5270d65be8552ff28f1c4914da76c90ab1f9ece4</x:v>
      </x:c>
      <x:c r="J30" s="55" t="n">
        <x:v>4</x:v>
      </x:c>
      <x:c r="K30" s="35" t="str">
        <x:v>VOCAB-DEV-2026-08-13-BATCH01-R6</x:v>
      </x:c>
      <x:c r="L30" s="35" t="str">
        <x:v>YES</x:v>
      </x:c>
      <x:c r="M30" s="35" t="str">
        <x:v>NOT_RUN</x:v>
      </x:c>
    </x:row>
    <x:row r="31">
      <x:c r="A31" s="35" t="str">
        <x:v>B01-TRF-010-BOUNDARY</x:v>
      </x:c>
      <x:c r="B31" s="38" t="str">
        <x:v>TRF-010</x:v>
      </x:c>
      <x:c r="C31" s="35" t="str">
        <x:v>BOUNDARY</x:v>
      </x:c>
      <x:c r="D31" s="67" t="b">
        <x:v>1</x:v>
      </x:c>
      <x:c r="E31" s="55" t="n">
        <x:v>6</x:v>
      </x:c>
      <x:c r="F31" s="35" t="str">
        <x:v>1.8</x:v>
      </x:c>
      <x:c r="G31" s="35" t="str">
        <x:v>each allowed class; invalid external value; missing value</x:v>
      </x:c>
      <x:c r="H31" s="35" t="str">
        <x:v>INPUTS/DEVELOPMENT_CALIBRATION/BATCH_01_FIRST_50/rdf_fixtures/TRF-010/trf-010_03_boundary.ttl</x:v>
      </x:c>
      <x:c r="I31" s="35" t="str">
        <x:v>8510250faa9d40e54ea4db95f70fe8f4c39060498ae4ea08cf2e252d72972401</x:v>
      </x:c>
      <x:c r="J31" s="55" t="n">
        <x:v>4</x:v>
      </x:c>
      <x:c r="K31" s="35" t="str">
        <x:v>VOCAB-DEV-2026-08-13-BATCH01-R6</x:v>
      </x:c>
      <x:c r="L31" s="35" t="str">
        <x:v>YES</x:v>
      </x:c>
      <x:c r="M31" s="35" t="str">
        <x:v>NOT_RUN</x:v>
      </x:c>
    </x:row>
    <x:row r="32">
      <x:c r="A32" s="35" t="str">
        <x:v>B01-TRF-011-PASS</x:v>
      </x:c>
      <x:c r="B32" s="38" t="str">
        <x:v>TRF-011</x:v>
      </x:c>
      <x:c r="C32" s="35" t="str">
        <x:v>PASS</x:v>
      </x:c>
      <x:c r="D32" s="67" t="b">
        <x:v>1</x:v>
      </x:c>
      <x:c r="E32" s="55" t="n">
        <x:v>6</x:v>
      </x:c>
      <x:c r="F32" s="35" t="str">
        <x:v>2.1</x:v>
      </x:c>
      <x:c r="G32" s="35" t="str">
        <x:v>valid envelope, point below required maximum, missing profile</x:v>
      </x:c>
      <x:c r="H32" s="35" t="str">
        <x:v>INPUTS/DEVELOPMENT_CALIBRATION/BATCH_01_FIRST_50/rdf_fixtures/TRF-011/trf-011_01_pass.ttl</x:v>
      </x:c>
      <x:c r="I32" s="35" t="str">
        <x:v>7328a8db41546b26e2382d0ed866eae0565d974898bd106e2aa6ecae16d310fb</x:v>
      </x:c>
      <x:c r="J32" s="55" t="n">
        <x:v>59</x:v>
      </x:c>
      <x:c r="K32" s="35" t="str">
        <x:v>VOCAB-DEV-2026-08-13-BATCH01-R6</x:v>
      </x:c>
      <x:c r="L32" s="35" t="str">
        <x:v>YES</x:v>
      </x:c>
      <x:c r="M32" s="35" t="str">
        <x:v>NOT_RUN</x:v>
      </x:c>
    </x:row>
    <x:row r="33">
      <x:c r="A33" s="35" t="str">
        <x:v>B01-TRF-011-FAIL</x:v>
      </x:c>
      <x:c r="B33" s="38" t="str">
        <x:v>TRF-011</x:v>
      </x:c>
      <x:c r="C33" s="35" t="str">
        <x:v>FAIL</x:v>
      </x:c>
      <x:c r="D33" s="67" t="b">
        <x:v>0</x:v>
      </x:c>
      <x:c r="E33" s="55" t="n">
        <x:v>6</x:v>
      </x:c>
      <x:c r="F33" s="35" t="str">
        <x:v>2.1</x:v>
      </x:c>
      <x:c r="G33" s="35" t="str">
        <x:v>valid envelope, point below required maximum, missing profile</x:v>
      </x:c>
      <x:c r="H33" s="35" t="str">
        <x:v>INPUTS/DEVELOPMENT_CALIBRATION/BATCH_01_FIRST_50/rdf_fixtures/TRF-011/trf-011_02_fail.ttl</x:v>
      </x:c>
      <x:c r="I33" s="35" t="str">
        <x:v>77ad4ab9a348b57a32eaf3a09766c589897543eb2cf59c9ab96e49bc43c55b70</x:v>
      </x:c>
      <x:c r="J33" s="55" t="n">
        <x:v>59</x:v>
      </x:c>
      <x:c r="K33" s="35" t="str">
        <x:v>VOCAB-DEV-2026-08-13-BATCH01-R6</x:v>
      </x:c>
      <x:c r="L33" s="35" t="str">
        <x:v>YES</x:v>
      </x:c>
      <x:c r="M33" s="35" t="str">
        <x:v>NOT_RUN</x:v>
      </x:c>
    </x:row>
    <x:row r="34">
      <x:c r="A34" s="35" t="str">
        <x:v>B01-TRF-011-BOUNDARY</x:v>
      </x:c>
      <x:c r="B34" s="38" t="str">
        <x:v>TRF-011</x:v>
      </x:c>
      <x:c r="C34" s="35" t="str">
        <x:v>BOUNDARY</x:v>
      </x:c>
      <x:c r="D34" s="67" t="b">
        <x:v>1</x:v>
      </x:c>
      <x:c r="E34" s="55" t="n">
        <x:v>6</x:v>
      </x:c>
      <x:c r="F34" s="35" t="str">
        <x:v>2.1</x:v>
      </x:c>
      <x:c r="G34" s="35" t="str">
        <x:v>valid envelope, point below required maximum, missing profile</x:v>
      </x:c>
      <x:c r="H34" s="35" t="str">
        <x:v>INPUTS/DEVELOPMENT_CALIBRATION/BATCH_01_FIRST_50/rdf_fixtures/TRF-011/trf-011_03_boundary.ttl</x:v>
      </x:c>
      <x:c r="I34" s="35" t="str">
        <x:v>c2dda5caacb4b368d6a1aab1ac11c07b474e19c48d724f8066ab22acae44c1b5</x:v>
      </x:c>
      <x:c r="J34" s="55" t="n">
        <x:v>59</x:v>
      </x:c>
      <x:c r="K34" s="35" t="str">
        <x:v>VOCAB-DEV-2026-08-13-BATCH01-R6</x:v>
      </x:c>
      <x:c r="L34" s="35" t="str">
        <x:v>YES</x:v>
      </x:c>
      <x:c r="M34" s="35" t="str">
        <x:v>NOT_RUN</x:v>
      </x:c>
    </x:row>
    <x:row r="35">
      <x:c r="A35" s="35" t="str">
        <x:v>B01-TRF-012-PASS</x:v>
      </x:c>
      <x:c r="B35" s="38" t="str">
        <x:v>TRF-012</x:v>
      </x:c>
      <x:c r="C35" s="35" t="str">
        <x:v>PASS</x:v>
      </x:c>
      <x:c r="D35" s="67" t="b">
        <x:v>1</x:v>
      </x:c>
      <x:c r="E35" s="55" t="n">
        <x:v>6</x:v>
      </x:c>
      <x:c r="F35" s="35" t="str">
        <x:v>2.1</x:v>
      </x:c>
      <x:c r="G35" s="35" t="str">
        <x:v>valid envelope, point above required minimum, missing profile</x:v>
      </x:c>
      <x:c r="H35" s="35" t="str">
        <x:v>INPUTS/DEVELOPMENT_CALIBRATION/BATCH_01_FIRST_50/rdf_fixtures/TRF-012/trf-012_01_pass.ttl</x:v>
      </x:c>
      <x:c r="I35" s="35" t="str">
        <x:v>59e5f2bd2268688682ba85b0699b961c7376874f46b12724fcfd3ca6e2a0c3b4</x:v>
      </x:c>
      <x:c r="J35" s="55" t="n">
        <x:v>59</x:v>
      </x:c>
      <x:c r="K35" s="35" t="str">
        <x:v>VOCAB-DEV-2026-08-13-BATCH01-R6</x:v>
      </x:c>
      <x:c r="L35" s="35" t="str">
        <x:v>YES</x:v>
      </x:c>
      <x:c r="M35" s="35" t="str">
        <x:v>NOT_RUN</x:v>
      </x:c>
    </x:row>
    <x:row r="36">
      <x:c r="A36" s="35" t="str">
        <x:v>B01-TRF-012-FAIL</x:v>
      </x:c>
      <x:c r="B36" s="38" t="str">
        <x:v>TRF-012</x:v>
      </x:c>
      <x:c r="C36" s="35" t="str">
        <x:v>FAIL</x:v>
      </x:c>
      <x:c r="D36" s="67" t="b">
        <x:v>0</x:v>
      </x:c>
      <x:c r="E36" s="55" t="n">
        <x:v>6</x:v>
      </x:c>
      <x:c r="F36" s="35" t="str">
        <x:v>2.1</x:v>
      </x:c>
      <x:c r="G36" s="35" t="str">
        <x:v>valid envelope, point above required minimum, missing profile</x:v>
      </x:c>
      <x:c r="H36" s="35" t="str">
        <x:v>INPUTS/DEVELOPMENT_CALIBRATION/BATCH_01_FIRST_50/rdf_fixtures/TRF-012/trf-012_02_fail.ttl</x:v>
      </x:c>
      <x:c r="I36" s="35" t="str">
        <x:v>75aeaf606dfe772d873094e90ec191730a6de3c5674a5bf3394b0339f6e8c758</x:v>
      </x:c>
      <x:c r="J36" s="55" t="n">
        <x:v>59</x:v>
      </x:c>
      <x:c r="K36" s="35" t="str">
        <x:v>VOCAB-DEV-2026-08-13-BATCH01-R6</x:v>
      </x:c>
      <x:c r="L36" s="35" t="str">
        <x:v>YES</x:v>
      </x:c>
      <x:c r="M36" s="35" t="str">
        <x:v>NOT_RUN</x:v>
      </x:c>
    </x:row>
    <x:row r="37">
      <x:c r="A37" s="35" t="str">
        <x:v>B01-TRF-012-BOUNDARY</x:v>
      </x:c>
      <x:c r="B37" s="38" t="str">
        <x:v>TRF-012</x:v>
      </x:c>
      <x:c r="C37" s="35" t="str">
        <x:v>BOUNDARY</x:v>
      </x:c>
      <x:c r="D37" s="67" t="b">
        <x:v>1</x:v>
      </x:c>
      <x:c r="E37" s="55" t="n">
        <x:v>6</x:v>
      </x:c>
      <x:c r="F37" s="35" t="str">
        <x:v>2.1</x:v>
      </x:c>
      <x:c r="G37" s="35" t="str">
        <x:v>valid envelope, point above required minimum, missing profile</x:v>
      </x:c>
      <x:c r="H37" s="35" t="str">
        <x:v>INPUTS/DEVELOPMENT_CALIBRATION/BATCH_01_FIRST_50/rdf_fixtures/TRF-012/trf-012_03_boundary.ttl</x:v>
      </x:c>
      <x:c r="I37" s="35" t="str">
        <x:v>0282845d30058df89f497659cb2e24ad37a23196d60ca4c809f58afe880bd017</x:v>
      </x:c>
      <x:c r="J37" s="55" t="n">
        <x:v>59</x:v>
      </x:c>
      <x:c r="K37" s="35" t="str">
        <x:v>VOCAB-DEV-2026-08-13-BATCH01-R6</x:v>
      </x:c>
      <x:c r="L37" s="35" t="str">
        <x:v>YES</x:v>
      </x:c>
      <x:c r="M37" s="35" t="str">
        <x:v>NOT_RUN</x:v>
      </x:c>
    </x:row>
    <x:row r="38">
      <x:c r="A38" s="35" t="str">
        <x:v>B01-TRF-013-PASS</x:v>
      </x:c>
      <x:c r="B38" s="38" t="str">
        <x:v>TRF-013</x:v>
      </x:c>
      <x:c r="C38" s="35" t="str">
        <x:v>PASS</x:v>
      </x:c>
      <x:c r="D38" s="67" t="b">
        <x:v>1</x:v>
      </x:c>
      <x:c r="E38" s="55" t="n">
        <x:v>7</x:v>
      </x:c>
      <x:c r="F38" s="35" t="str">
        <x:v>2.2</x:v>
      </x:c>
      <x:c r="G38" s="35" t="str">
        <x:v>inside both bounds, below lower, above upper</x:v>
      </x:c>
      <x:c r="H38" s="35" t="str">
        <x:v>INPUTS/DEVELOPMENT_CALIBRATION/BATCH_01_FIRST_50/rdf_fixtures/TRF-013/trf-013_01_pass.ttl</x:v>
      </x:c>
      <x:c r="I38" s="35" t="str">
        <x:v>d8b1148df6f677abecb8bacac32c43b350f01730c5e385d052e0bd7b16287bc4</x:v>
      </x:c>
      <x:c r="J38" s="55" t="n">
        <x:v>83</x:v>
      </x:c>
      <x:c r="K38" s="35" t="str">
        <x:v>VOCAB-DEV-2026-08-13-BATCH01-R6</x:v>
      </x:c>
      <x:c r="L38" s="35" t="str">
        <x:v>YES</x:v>
      </x:c>
      <x:c r="M38" s="35" t="str">
        <x:v>NOT_RUN</x:v>
      </x:c>
    </x:row>
    <x:row r="39">
      <x:c r="A39" s="35" t="str">
        <x:v>B01-TRF-013-FAIL</x:v>
      </x:c>
      <x:c r="B39" s="38" t="str">
        <x:v>TRF-013</x:v>
      </x:c>
      <x:c r="C39" s="35" t="str">
        <x:v>FAIL</x:v>
      </x:c>
      <x:c r="D39" s="67" t="b">
        <x:v>0</x:v>
      </x:c>
      <x:c r="E39" s="55" t="n">
        <x:v>7</x:v>
      </x:c>
      <x:c r="F39" s="35" t="str">
        <x:v>2.2</x:v>
      </x:c>
      <x:c r="G39" s="35" t="str">
        <x:v>inside both bounds, below lower, above upper</x:v>
      </x:c>
      <x:c r="H39" s="35" t="str">
        <x:v>INPUTS/DEVELOPMENT_CALIBRATION/BATCH_01_FIRST_50/rdf_fixtures/TRF-013/trf-013_02_fail.ttl</x:v>
      </x:c>
      <x:c r="I39" s="35" t="str">
        <x:v>f07081a620730906656cc33ce1e203888238427eabba00dce67d4eaf9e0e7690</x:v>
      </x:c>
      <x:c r="J39" s="55" t="n">
        <x:v>83</x:v>
      </x:c>
      <x:c r="K39" s="35" t="str">
        <x:v>VOCAB-DEV-2026-08-13-BATCH01-R6</x:v>
      </x:c>
      <x:c r="L39" s="35" t="str">
        <x:v>YES</x:v>
      </x:c>
      <x:c r="M39" s="35" t="str">
        <x:v>NOT_RUN</x:v>
      </x:c>
    </x:row>
    <x:row r="40">
      <x:c r="A40" s="35" t="str">
        <x:v>B01-TRF-013-BOUNDARY</x:v>
      </x:c>
      <x:c r="B40" s="38" t="str">
        <x:v>TRF-013</x:v>
      </x:c>
      <x:c r="C40" s="35" t="str">
        <x:v>BOUNDARY</x:v>
      </x:c>
      <x:c r="D40" s="67" t="b">
        <x:v>1</x:v>
      </x:c>
      <x:c r="E40" s="55" t="n">
        <x:v>7</x:v>
      </x:c>
      <x:c r="F40" s="35" t="str">
        <x:v>2.2</x:v>
      </x:c>
      <x:c r="G40" s="35" t="str">
        <x:v>inside both bounds, below lower, above upper</x:v>
      </x:c>
      <x:c r="H40" s="35" t="str">
        <x:v>INPUTS/DEVELOPMENT_CALIBRATION/BATCH_01_FIRST_50/rdf_fixtures/TRF-013/trf-013_03_boundary.ttl</x:v>
      </x:c>
      <x:c r="I40" s="35" t="str">
        <x:v>19fcefb2b14f67a248b20c5c0c9c6ec7ad47fb17a566cf887f543a3a61406ac6</x:v>
      </x:c>
      <x:c r="J40" s="55" t="n">
        <x:v>83</x:v>
      </x:c>
      <x:c r="K40" s="35" t="str">
        <x:v>VOCAB-DEV-2026-08-13-BATCH01-R6</x:v>
      </x:c>
      <x:c r="L40" s="35" t="str">
        <x:v>YES</x:v>
      </x:c>
      <x:c r="M40" s="35" t="str">
        <x:v>NOT_RUN</x:v>
      </x:c>
    </x:row>
    <x:row r="41">
      <x:c r="A41" s="35" t="str">
        <x:v>B01-TRF-014-PASS</x:v>
      </x:c>
      <x:c r="B41" s="38" t="str">
        <x:v>TRF-014</x:v>
      </x:c>
      <x:c r="C41" s="35" t="str">
        <x:v>PASS</x:v>
      </x:c>
      <x:c r="D41" s="67" t="b">
        <x:v>1</x:v>
      </x:c>
      <x:c r="E41" s="55" t="n">
        <x:v>7</x:v>
      </x:c>
      <x:c r="F41" s="35" t="str">
        <x:v>2.2</x:v>
      </x:c>
      <x:c r="G41" s="35" t="str">
        <x:v>document evidence, certificate content, post-2007 marking, legacy docking deadline</x:v>
      </x:c>
      <x:c r="H41" s="35" t="str">
        <x:v>INPUTS/DEVELOPMENT_CALIBRATION/BATCH_01_FIRST_50/rdf_fixtures/TRF-014/trf-014_01_pass.ttl</x:v>
      </x:c>
      <x:c r="I41" s="35" t="str">
        <x:v>f3d2de6dc3986c026dd917686cd86715d49ab515aa22be73ba890e01eed9ba4f</x:v>
      </x:c>
      <x:c r="J41" s="55" t="n">
        <x:v>53</x:v>
      </x:c>
      <x:c r="K41" s="35" t="str">
        <x:v>VOCAB-DEV-2026-08-13-BATCH01-R6</x:v>
      </x:c>
      <x:c r="L41" s="35" t="str">
        <x:v>YES</x:v>
      </x:c>
      <x:c r="M41" s="35" t="str">
        <x:v>NOT_RUN</x:v>
      </x:c>
    </x:row>
    <x:row r="42">
      <x:c r="A42" s="35" t="str">
        <x:v>B01-TRF-014-FAIL</x:v>
      </x:c>
      <x:c r="B42" s="38" t="str">
        <x:v>TRF-014</x:v>
      </x:c>
      <x:c r="C42" s="35" t="str">
        <x:v>FAIL</x:v>
      </x:c>
      <x:c r="D42" s="67" t="b">
        <x:v>0</x:v>
      </x:c>
      <x:c r="E42" s="55" t="n">
        <x:v>7</x:v>
      </x:c>
      <x:c r="F42" s="35" t="str">
        <x:v>2.2</x:v>
      </x:c>
      <x:c r="G42" s="35" t="str">
        <x:v>document evidence, certificate content, post-2007 marking, legacy docking deadline</x:v>
      </x:c>
      <x:c r="H42" s="35" t="str">
        <x:v>INPUTS/DEVELOPMENT_CALIBRATION/BATCH_01_FIRST_50/rdf_fixtures/TRF-014/trf-014_02_fail.ttl</x:v>
      </x:c>
      <x:c r="I42" s="35" t="str">
        <x:v>591812a338511848234c15115c51cd921069418c4e8a095628edf498d96a2137</x:v>
      </x:c>
      <x:c r="J42" s="55" t="n">
        <x:v>53</x:v>
      </x:c>
      <x:c r="K42" s="35" t="str">
        <x:v>VOCAB-DEV-2026-08-13-BATCH01-R6</x:v>
      </x:c>
      <x:c r="L42" s="35" t="str">
        <x:v>YES</x:v>
      </x:c>
      <x:c r="M42" s="35" t="str">
        <x:v>NOT_RUN</x:v>
      </x:c>
    </x:row>
    <x:row r="43">
      <x:c r="A43" s="35" t="str">
        <x:v>B01-TRF-014-BOUNDARY</x:v>
      </x:c>
      <x:c r="B43" s="38" t="str">
        <x:v>TRF-014</x:v>
      </x:c>
      <x:c r="C43" s="35" t="str">
        <x:v>BOUNDARY</x:v>
      </x:c>
      <x:c r="D43" s="67" t="b">
        <x:v>1</x:v>
      </x:c>
      <x:c r="E43" s="55" t="n">
        <x:v>7</x:v>
      </x:c>
      <x:c r="F43" s="35" t="str">
        <x:v>2.2</x:v>
      </x:c>
      <x:c r="G43" s="35" t="str">
        <x:v>document evidence, certificate content, post-2007 marking, legacy docking deadline</x:v>
      </x:c>
      <x:c r="H43" s="35" t="str">
        <x:v>INPUTS/DEVELOPMENT_CALIBRATION/BATCH_01_FIRST_50/rdf_fixtures/TRF-014/trf-014_03_boundary.ttl</x:v>
      </x:c>
      <x:c r="I43" s="35" t="str">
        <x:v>fbef226fa410328c6544106829bc8351b6e082419f59c064fd455db09c80763e</x:v>
      </x:c>
      <x:c r="J43" s="55" t="n">
        <x:v>53</x:v>
      </x:c>
      <x:c r="K43" s="35" t="str">
        <x:v>VOCAB-DEV-2026-08-13-BATCH01-R6</x:v>
      </x:c>
      <x:c r="L43" s="35" t="str">
        <x:v>YES</x:v>
      </x:c>
      <x:c r="M43" s="35" t="str">
        <x:v>NOT_RUN</x:v>
      </x:c>
    </x:row>
    <x:row r="44">
      <x:c r="A44" s="35" t="str">
        <x:v>B01-TRF-015-PASS</x:v>
      </x:c>
      <x:c r="B44" s="38" t="str">
        <x:v>TRF-015</x:v>
      </x:c>
      <x:c r="C44" s="35" t="str">
        <x:v>PASS</x:v>
      </x:c>
      <x:c r="D44" s="67" t="b">
        <x:v>1</x:v>
      </x:c>
      <x:c r="E44" s="55" t="n">
        <x:v>7</x:v>
      </x:c>
      <x:c r="F44" s="35" t="str">
        <x:v>2.2</x:v>
      </x:c>
      <x:c r="G44" s="35" t="str">
        <x:v>draught/trim within limit; exceeded limit; salinity mismatch</x:v>
      </x:c>
      <x:c r="H44" s="35" t="str">
        <x:v>INPUTS/DEVELOPMENT_CALIBRATION/BATCH_01_FIRST_50/rdf_fixtures/TRF-015/trf-015_01_pass.ttl</x:v>
      </x:c>
      <x:c r="I44" s="35" t="str">
        <x:v>a9f519dbf5bf6177951bffc2759b2776ae6abdeea6b5458fc27ced40c6f0747a</x:v>
      </x:c>
      <x:c r="J44" s="55" t="n">
        <x:v>28</x:v>
      </x:c>
      <x:c r="K44" s="35" t="str">
        <x:v>VOCAB-DEV-2026-08-13-BATCH01-R6</x:v>
      </x:c>
      <x:c r="L44" s="35" t="str">
        <x:v>YES</x:v>
      </x:c>
      <x:c r="M44" s="35" t="str">
        <x:v>NOT_RUN</x:v>
      </x:c>
    </x:row>
    <x:row r="45">
      <x:c r="A45" s="35" t="str">
        <x:v>B01-TRF-015-FAIL</x:v>
      </x:c>
      <x:c r="B45" s="38" t="str">
        <x:v>TRF-015</x:v>
      </x:c>
      <x:c r="C45" s="35" t="str">
        <x:v>FAIL</x:v>
      </x:c>
      <x:c r="D45" s="67" t="b">
        <x:v>0</x:v>
      </x:c>
      <x:c r="E45" s="55" t="n">
        <x:v>7</x:v>
      </x:c>
      <x:c r="F45" s="35" t="str">
        <x:v>2.2</x:v>
      </x:c>
      <x:c r="G45" s="35" t="str">
        <x:v>draught/trim within limit; exceeded limit; salinity mismatch</x:v>
      </x:c>
      <x:c r="H45" s="35" t="str">
        <x:v>INPUTS/DEVELOPMENT_CALIBRATION/BATCH_01_FIRST_50/rdf_fixtures/TRF-015/trf-015_02_fail.ttl</x:v>
      </x:c>
      <x:c r="I45" s="35" t="str">
        <x:v>cb31de3188d73104ae103f8a3ab1c1133c9e9b48cb53a94bed0510acfc5a83b5</x:v>
      </x:c>
      <x:c r="J45" s="55" t="n">
        <x:v>28</x:v>
      </x:c>
      <x:c r="K45" s="35" t="str">
        <x:v>VOCAB-DEV-2026-08-13-BATCH01-R6</x:v>
      </x:c>
      <x:c r="L45" s="35" t="str">
        <x:v>YES</x:v>
      </x:c>
      <x:c r="M45" s="35" t="str">
        <x:v>NOT_RUN</x:v>
      </x:c>
    </x:row>
    <x:row r="46">
      <x:c r="A46" s="35" t="str">
        <x:v>B01-TRF-015-BOUNDARY</x:v>
      </x:c>
      <x:c r="B46" s="38" t="str">
        <x:v>TRF-015</x:v>
      </x:c>
      <x:c r="C46" s="35" t="str">
        <x:v>BOUNDARY</x:v>
      </x:c>
      <x:c r="D46" s="67" t="b">
        <x:v>1</x:v>
      </x:c>
      <x:c r="E46" s="55" t="n">
        <x:v>7</x:v>
      </x:c>
      <x:c r="F46" s="35" t="str">
        <x:v>2.2</x:v>
      </x:c>
      <x:c r="G46" s="35" t="str">
        <x:v>draught/trim within limit; exceeded limit; salinity mismatch</x:v>
      </x:c>
      <x:c r="H46" s="35" t="str">
        <x:v>INPUTS/DEVELOPMENT_CALIBRATION/BATCH_01_FIRST_50/rdf_fixtures/TRF-015/trf-015_03_boundary.ttl</x:v>
      </x:c>
      <x:c r="I46" s="35" t="str">
        <x:v>15643e43e237e89447f3ed73fc13f3f85f2a897c51127c866f121654d2b9e871</x:v>
      </x:c>
      <x:c r="J46" s="55" t="n">
        <x:v>28</x:v>
      </x:c>
      <x:c r="K46" s="35" t="str">
        <x:v>VOCAB-DEV-2026-08-13-BATCH01-R6</x:v>
      </x:c>
      <x:c r="L46" s="35" t="str">
        <x:v>YES</x:v>
      </x:c>
      <x:c r="M46" s="35" t="str">
        <x:v>NOT_RUN</x:v>
      </x:c>
    </x:row>
    <x:row r="47">
      <x:c r="A47" s="35" t="str">
        <x:v>B01-TRF-016-PASS</x:v>
      </x:c>
      <x:c r="B47" s="38" t="str">
        <x:v>TRF-016</x:v>
      </x:c>
      <x:c r="C47" s="35" t="str">
        <x:v>PASS</x:v>
      </x:c>
      <x:c r="D47" s="67" t="b">
        <x:v>1</x:v>
      </x:c>
      <x:c r="E47" s="55" t="n">
        <x:v>7</x:v>
      </x:c>
      <x:c r="F47" s="35" t="str">
        <x:v>2.2</x:v>
      </x:c>
      <x:c r="G47" s="35" t="str">
        <x:v>all clauses pass; exact formula boundary; low draught; missing freeze protection</x:v>
      </x:c>
      <x:c r="H47" s="35" t="str">
        <x:v>INPUTS/DEVELOPMENT_CALIBRATION/BATCH_01_FIRST_50/rdf_fixtures/TRF-016/trf-016_01_pass.ttl</x:v>
      </x:c>
      <x:c r="I47" s="35" t="str">
        <x:v>44cf5972e76145b4f6a519bce5c1f136be4888f5e59643f933f10c4dd6eaf4b6</x:v>
      </x:c>
      <x:c r="J47" s="55" t="n">
        <x:v>80</x:v>
      </x:c>
      <x:c r="K47" s="35" t="str">
        <x:v>VOCAB-DEV-2026-08-13-BATCH01-R6</x:v>
      </x:c>
      <x:c r="L47" s="35" t="str">
        <x:v>YES</x:v>
      </x:c>
      <x:c r="M47" s="35" t="str">
        <x:v>NOT_RUN</x:v>
      </x:c>
    </x:row>
    <x:row r="48">
      <x:c r="A48" s="35" t="str">
        <x:v>B01-TRF-016-FAIL</x:v>
      </x:c>
      <x:c r="B48" s="38" t="str">
        <x:v>TRF-016</x:v>
      </x:c>
      <x:c r="C48" s="35" t="str">
        <x:v>FAIL</x:v>
      </x:c>
      <x:c r="D48" s="67" t="b">
        <x:v>0</x:v>
      </x:c>
      <x:c r="E48" s="55" t="n">
        <x:v>7</x:v>
      </x:c>
      <x:c r="F48" s="35" t="str">
        <x:v>2.2</x:v>
      </x:c>
      <x:c r="G48" s="35" t="str">
        <x:v>all clauses pass; exact formula boundary; low draught; missing freeze protection</x:v>
      </x:c>
      <x:c r="H48" s="35" t="str">
        <x:v>INPUTS/DEVELOPMENT_CALIBRATION/BATCH_01_FIRST_50/rdf_fixtures/TRF-016/trf-016_02_fail.ttl</x:v>
      </x:c>
      <x:c r="I48" s="35" t="str">
        <x:v>13589fb43df2f18c880ba3990847885e01f003c131867fdf72ce8049ea7e3f17</x:v>
      </x:c>
      <x:c r="J48" s="55" t="n">
        <x:v>80</x:v>
      </x:c>
      <x:c r="K48" s="35" t="str">
        <x:v>VOCAB-DEV-2026-08-13-BATCH01-R6</x:v>
      </x:c>
      <x:c r="L48" s="35" t="str">
        <x:v>YES</x:v>
      </x:c>
      <x:c r="M48" s="35" t="str">
        <x:v>NOT_RUN</x:v>
      </x:c>
    </x:row>
    <x:row r="49">
      <x:c r="A49" s="35" t="str">
        <x:v>B01-TRF-016-BOUNDARY</x:v>
      </x:c>
      <x:c r="B49" s="38" t="str">
        <x:v>TRF-016</x:v>
      </x:c>
      <x:c r="C49" s="35" t="str">
        <x:v>BOUNDARY</x:v>
      </x:c>
      <x:c r="D49" s="67" t="b">
        <x:v>1</x:v>
      </x:c>
      <x:c r="E49" s="55" t="n">
        <x:v>7</x:v>
      </x:c>
      <x:c r="F49" s="35" t="str">
        <x:v>2.2</x:v>
      </x:c>
      <x:c r="G49" s="35" t="str">
        <x:v>all clauses pass; exact formula boundary; low draught; missing freeze protection</x:v>
      </x:c>
      <x:c r="H49" s="35" t="str">
        <x:v>INPUTS/DEVELOPMENT_CALIBRATION/BATCH_01_FIRST_50/rdf_fixtures/TRF-016/trf-016_03_boundary.ttl</x:v>
      </x:c>
      <x:c r="I49" s="35" t="str">
        <x:v>3b24b98131653cf973d9d2a2b8a8549b528d0d850719c77e9abb079eb4f385c9</x:v>
      </x:c>
      <x:c r="J49" s="55" t="n">
        <x:v>80</x:v>
      </x:c>
      <x:c r="K49" s="35" t="str">
        <x:v>VOCAB-DEV-2026-08-13-BATCH01-R6</x:v>
      </x:c>
      <x:c r="L49" s="35" t="str">
        <x:v>YES</x:v>
      </x:c>
      <x:c r="M49" s="35" t="str">
        <x:v>NOT_RUN</x:v>
      </x:c>
    </x:row>
    <x:row r="50">
      <x:c r="A50" s="35" t="str">
        <x:v>B01-TRF-017-PASS</x:v>
      </x:c>
      <x:c r="B50" s="38" t="str">
        <x:v>TRF-017</x:v>
      </x:c>
      <x:c r="C50" s="35" t="str">
        <x:v>PASS</x:v>
      </x:c>
      <x:c r="D50" s="67" t="b">
        <x:v>1</x:v>
      </x:c>
      <x:c r="E50" s="55" t="n">
        <x:v>7</x:v>
      </x:c>
      <x:c r="F50" s="35" t="str">
        <x:v>3.1</x:v>
      </x:c>
      <x:c r="G50" s="35" t="str">
        <x:v>unrestricted total; restricted output; additional source included; incorrect total</x:v>
      </x:c>
      <x:c r="H50" s="35" t="str">
        <x:v>INPUTS/DEVELOPMENT_CALIBRATION/BATCH_01_FIRST_50/rdf_fixtures/TRF-017/trf-017_01_pass.ttl</x:v>
      </x:c>
      <x:c r="I50" s="35" t="str">
        <x:v>be72ef431ec674dfc2190fdea7a75ea3366763f84ef43f84857b2de9740ac21e</x:v>
      </x:c>
      <x:c r="J50" s="55" t="n">
        <x:v>16</x:v>
      </x:c>
      <x:c r="K50" s="35" t="str">
        <x:v>VOCAB-DEV-2026-08-13-BATCH01-R6</x:v>
      </x:c>
      <x:c r="L50" s="35" t="str">
        <x:v>YES</x:v>
      </x:c>
      <x:c r="M50" s="35" t="str">
        <x:v>NOT_RUN</x:v>
      </x:c>
    </x:row>
    <x:row r="51">
      <x:c r="A51" s="35" t="str">
        <x:v>B01-TRF-017-FAIL</x:v>
      </x:c>
      <x:c r="B51" s="38" t="str">
        <x:v>TRF-017</x:v>
      </x:c>
      <x:c r="C51" s="35" t="str">
        <x:v>FAIL</x:v>
      </x:c>
      <x:c r="D51" s="67" t="b">
        <x:v>0</x:v>
      </x:c>
      <x:c r="E51" s="55" t="n">
        <x:v>7</x:v>
      </x:c>
      <x:c r="F51" s="35" t="str">
        <x:v>3.1</x:v>
      </x:c>
      <x:c r="G51" s="35" t="str">
        <x:v>unrestricted total; restricted output; additional source included; incorrect total</x:v>
      </x:c>
      <x:c r="H51" s="35" t="str">
        <x:v>INPUTS/DEVELOPMENT_CALIBRATION/BATCH_01_FIRST_50/rdf_fixtures/TRF-017/trf-017_02_fail.ttl</x:v>
      </x:c>
      <x:c r="I51" s="35" t="str">
        <x:v>a679787ac4caea55857364ed51f258593d0d293576e3fe19a4381f08c420ab18</x:v>
      </x:c>
      <x:c r="J51" s="55" t="n">
        <x:v>16</x:v>
      </x:c>
      <x:c r="K51" s="35" t="str">
        <x:v>VOCAB-DEV-2026-08-13-BATCH01-R6</x:v>
      </x:c>
      <x:c r="L51" s="35" t="str">
        <x:v>YES</x:v>
      </x:c>
      <x:c r="M51" s="35" t="str">
        <x:v>NOT_RUN</x:v>
      </x:c>
    </x:row>
    <x:row r="52">
      <x:c r="A52" s="35" t="str">
        <x:v>B01-TRF-017-BOUNDARY</x:v>
      </x:c>
      <x:c r="B52" s="38" t="str">
        <x:v>TRF-017</x:v>
      </x:c>
      <x:c r="C52" s="35" t="str">
        <x:v>BOUNDARY</x:v>
      </x:c>
      <x:c r="D52" s="67" t="b">
        <x:v>1</x:v>
      </x:c>
      <x:c r="E52" s="55" t="n">
        <x:v>7</x:v>
      </x:c>
      <x:c r="F52" s="35" t="str">
        <x:v>3.1</x:v>
      </x:c>
      <x:c r="G52" s="35" t="str">
        <x:v>unrestricted total; restricted output; additional source included; incorrect total</x:v>
      </x:c>
      <x:c r="H52" s="35" t="str">
        <x:v>INPUTS/DEVELOPMENT_CALIBRATION/BATCH_01_FIRST_50/rdf_fixtures/TRF-017/trf-017_03_boundary.ttl</x:v>
      </x:c>
      <x:c r="I52" s="35" t="str">
        <x:v>8eca6a986a96c7d36ed66ec217973c281a017f4fc360eaedad046190d5df57de</x:v>
      </x:c>
      <x:c r="J52" s="55" t="n">
        <x:v>16</x:v>
      </x:c>
      <x:c r="K52" s="35" t="str">
        <x:v>VOCAB-DEV-2026-08-13-BATCH01-R6</x:v>
      </x:c>
      <x:c r="L52" s="35" t="str">
        <x:v>YES</x:v>
      </x:c>
      <x:c r="M52" s="35" t="str">
        <x:v>NOT_RUN</x:v>
      </x:c>
    </x:row>
    <x:row r="53">
      <x:c r="A53" s="35" t="str">
        <x:v>B01-TRF-018-PASS</x:v>
      </x:c>
      <x:c r="B53" s="38" t="str">
        <x:v>TRF-018</x:v>
      </x:c>
      <x:c r="C53" s="35" t="str">
        <x:v>PASS</x:v>
      </x:c>
      <x:c r="D53" s="67" t="b">
        <x:v>1</x:v>
      </x:c>
      <x:c r="E53" s="55" t="n">
        <x:v>8</x:v>
      </x:c>
      <x:c r="F53" s="35" t="str">
        <x:v>3.2</x:v>
      </x:c>
      <x:c r="G53" s="35" t="str">
        <x:v>IA/IB/IC 1000-kW floor; IA Super 2800-kW floor; calculated requirement higher than floor</x:v>
      </x:c>
      <x:c r="H53" s="35" t="str">
        <x:v>INPUTS/DEVELOPMENT_CALIBRATION/BATCH_01_FIRST_50/rdf_fixtures/TRF-018/trf-018_01_pass.ttl</x:v>
      </x:c>
      <x:c r="I53" s="35" t="str">
        <x:v>a467266fccb1167455f8a44954660aa29a7786ac581b3384c7df061926e9fa36</x:v>
      </x:c>
      <x:c r="J53" s="55" t="n">
        <x:v>12</x:v>
      </x:c>
      <x:c r="K53" s="35" t="str">
        <x:v>VOCAB-DEV-2026-08-13-BATCH01-R6</x:v>
      </x:c>
      <x:c r="L53" s="35" t="str">
        <x:v>YES</x:v>
      </x:c>
      <x:c r="M53" s="35" t="str">
        <x:v>NOT_RUN</x:v>
      </x:c>
    </x:row>
    <x:row r="54">
      <x:c r="A54" s="35" t="str">
        <x:v>B01-TRF-018-FAIL</x:v>
      </x:c>
      <x:c r="B54" s="38" t="str">
        <x:v>TRF-018</x:v>
      </x:c>
      <x:c r="C54" s="35" t="str">
        <x:v>FAIL</x:v>
      </x:c>
      <x:c r="D54" s="67" t="b">
        <x:v>0</x:v>
      </x:c>
      <x:c r="E54" s="55" t="n">
        <x:v>8</x:v>
      </x:c>
      <x:c r="F54" s="35" t="str">
        <x:v>3.2</x:v>
      </x:c>
      <x:c r="G54" s="35" t="str">
        <x:v>IA/IB/IC 1000-kW floor; IA Super 2800-kW floor; calculated requirement higher than floor</x:v>
      </x:c>
      <x:c r="H54" s="35" t="str">
        <x:v>INPUTS/DEVELOPMENT_CALIBRATION/BATCH_01_FIRST_50/rdf_fixtures/TRF-018/trf-018_02_fail.ttl</x:v>
      </x:c>
      <x:c r="I54" s="35" t="str">
        <x:v>a4d379e0e3a45e156d083cf51baaf46972d4a3588f59a4c6f2f610b23e4cdea8</x:v>
      </x:c>
      <x:c r="J54" s="55" t="n">
        <x:v>12</x:v>
      </x:c>
      <x:c r="K54" s="35" t="str">
        <x:v>VOCAB-DEV-2026-08-13-BATCH01-R6</x:v>
      </x:c>
      <x:c r="L54" s="35" t="str">
        <x:v>YES</x:v>
      </x:c>
      <x:c r="M54" s="35" t="str">
        <x:v>NOT_RUN</x:v>
      </x:c>
    </x:row>
    <x:row r="55">
      <x:c r="A55" s="35" t="str">
        <x:v>B01-TRF-018-BOUNDARY</x:v>
      </x:c>
      <x:c r="B55" s="38" t="str">
        <x:v>TRF-018</x:v>
      </x:c>
      <x:c r="C55" s="35" t="str">
        <x:v>BOUNDARY</x:v>
      </x:c>
      <x:c r="D55" s="67" t="b">
        <x:v>1</x:v>
      </x:c>
      <x:c r="E55" s="55" t="n">
        <x:v>8</x:v>
      </x:c>
      <x:c r="F55" s="35" t="str">
        <x:v>3.2</x:v>
      </x:c>
      <x:c r="G55" s="35" t="str">
        <x:v>IA/IB/IC 1000-kW floor; IA Super 2800-kW floor; calculated requirement higher than floor</x:v>
      </x:c>
      <x:c r="H55" s="35" t="str">
        <x:v>INPUTS/DEVELOPMENT_CALIBRATION/BATCH_01_FIRST_50/rdf_fixtures/TRF-018/trf-018_03_boundary.ttl</x:v>
      </x:c>
      <x:c r="I55" s="35" t="str">
        <x:v>b40d237d4edcb9d20d3e6cd4299eec25199383eeb938f0521835f313697eb298</x:v>
      </x:c>
      <x:c r="J55" s="55" t="n">
        <x:v>12</x:v>
      </x:c>
      <x:c r="K55" s="35" t="str">
        <x:v>VOCAB-DEV-2026-08-13-BATCH01-R6</x:v>
      </x:c>
      <x:c r="L55" s="35" t="str">
        <x:v>YES</x:v>
      </x:c>
      <x:c r="M55" s="35" t="str">
        <x:v>NOT_RUN</x:v>
      </x:c>
    </x:row>
    <x:row r="56">
      <x:c r="A56" s="35" t="str">
        <x:v>B01-TRF-020-PASS</x:v>
      </x:c>
      <x:c r="B56" s="38" t="str">
        <x:v>TRF-020</x:v>
      </x:c>
      <x:c r="C56" s="35" t="str">
        <x:v>PASS</x:v>
      </x:c>
      <x:c r="D56" s="67" t="b">
        <x:v>1</x:v>
      </x:c>
      <x:c r="E56" s="55" t="str">
        <x:v>8-9</x:v>
      </x:c>
      <x:c r="F56" s="35" t="str">
        <x:v>3.2.2</x:v>
      </x:c>
      <x:c r="G56" s="35" t="str">
        <x:v>Ke table rows, UIWL/LIWL maximum, construction cutoff, power shortfall</x:v>
      </x:c>
      <x:c r="H56" s="35" t="str">
        <x:v>INPUTS/DEVELOPMENT_CALIBRATION/BATCH_01_FIRST_50/rdf_fixtures/TRF-020/trf-020_01_pass.ttl</x:v>
      </x:c>
      <x:c r="I56" s="35" t="str">
        <x:v>44019ef09d1ff83389a6c154b8d409be642e9ba4e8397601c8d816332e6a66e3</x:v>
      </x:c>
      <x:c r="J56" s="55" t="n">
        <x:v>38</x:v>
      </x:c>
      <x:c r="K56" s="35" t="str">
        <x:v>VOCAB-DEV-2026-08-13-BATCH01-R6</x:v>
      </x:c>
      <x:c r="L56" s="35" t="str">
        <x:v>YES</x:v>
      </x:c>
      <x:c r="M56" s="35" t="str">
        <x:v>NOT_RUN</x:v>
      </x:c>
    </x:row>
    <x:row r="57">
      <x:c r="A57" s="35" t="str">
        <x:v>B01-TRF-020-FAIL</x:v>
      </x:c>
      <x:c r="B57" s="38" t="str">
        <x:v>TRF-020</x:v>
      </x:c>
      <x:c r="C57" s="35" t="str">
        <x:v>FAIL</x:v>
      </x:c>
      <x:c r="D57" s="67" t="b">
        <x:v>0</x:v>
      </x:c>
      <x:c r="E57" s="55" t="str">
        <x:v>8-9</x:v>
      </x:c>
      <x:c r="F57" s="35" t="str">
        <x:v>3.2.2</x:v>
      </x:c>
      <x:c r="G57" s="35" t="str">
        <x:v>Ke table rows, UIWL/LIWL maximum, construction cutoff, power shortfall</x:v>
      </x:c>
      <x:c r="H57" s="35" t="str">
        <x:v>INPUTS/DEVELOPMENT_CALIBRATION/BATCH_01_FIRST_50/rdf_fixtures/TRF-020/trf-020_02_fail.ttl</x:v>
      </x:c>
      <x:c r="I57" s="35" t="str">
        <x:v>42c8b3ecadce573d9f778d7b91ba12b7eb8cb457e5054e5cb40597a45ac346e0</x:v>
      </x:c>
      <x:c r="J57" s="55" t="n">
        <x:v>38</x:v>
      </x:c>
      <x:c r="K57" s="35" t="str">
        <x:v>VOCAB-DEV-2026-08-13-BATCH01-R6</x:v>
      </x:c>
      <x:c r="L57" s="35" t="str">
        <x:v>YES</x:v>
      </x:c>
      <x:c r="M57" s="35" t="str">
        <x:v>NOT_RUN</x:v>
      </x:c>
    </x:row>
    <x:row r="58">
      <x:c r="A58" s="35" t="str">
        <x:v>B01-TRF-020-BOUNDARY</x:v>
      </x:c>
      <x:c r="B58" s="38" t="str">
        <x:v>TRF-020</x:v>
      </x:c>
      <x:c r="C58" s="35" t="str">
        <x:v>BOUNDARY</x:v>
      </x:c>
      <x:c r="D58" s="67" t="b">
        <x:v>1</x:v>
      </x:c>
      <x:c r="E58" s="55" t="str">
        <x:v>8-9</x:v>
      </x:c>
      <x:c r="F58" s="35" t="str">
        <x:v>3.2.2</x:v>
      </x:c>
      <x:c r="G58" s="35" t="str">
        <x:v>Ke table rows, UIWL/LIWL maximum, construction cutoff, power shortfall</x:v>
      </x:c>
      <x:c r="H58" s="35" t="str">
        <x:v>INPUTS/DEVELOPMENT_CALIBRATION/BATCH_01_FIRST_50/rdf_fixtures/TRF-020/trf-020_03_boundary.ttl</x:v>
      </x:c>
      <x:c r="I58" s="35" t="str">
        <x:v>190ae03ce35af996b948b2991608ffa781297691f0bac8bd66427b693cb5307c</x:v>
      </x:c>
      <x:c r="J58" s="55" t="n">
        <x:v>38</x:v>
      </x:c>
      <x:c r="K58" s="35" t="str">
        <x:v>VOCAB-DEV-2026-08-13-BATCH01-R6</x:v>
      </x:c>
      <x:c r="L58" s="35" t="str">
        <x:v>YES</x:v>
      </x:c>
      <x:c r="M58" s="35" t="str">
        <x:v>NOT_RUN</x:v>
      </x:c>
    </x:row>
    <x:row r="59">
      <x:c r="A59" s="35" t="str">
        <x:v>B01-TRF-022-PASS</x:v>
      </x:c>
      <x:c r="B59" s="38" t="str">
        <x:v>TRF-022</x:v>
      </x:c>
      <x:c r="C59" s="35" t="str">
        <x:v>PASS</x:v>
      </x:c>
      <x:c r="D59" s="67" t="b">
        <x:v>1</x:v>
      </x:c>
      <x:c r="E59" s="55" t="n">
        <x:v>10</x:v>
      </x:c>
      <x:c r="F59" s="35" t="str">
        <x:v>3.2.2</x:v>
      </x:c>
      <x:c r="G59" s="35" t="str">
        <x:v>angle calculation, exact clamp 5/20, below/above clamp, wrong constant</x:v>
      </x:c>
      <x:c r="H59" s="35" t="str">
        <x:v>INPUTS/DEVELOPMENT_CALIBRATION/BATCH_01_FIRST_50/rdf_fixtures/TRF-022/trf-022_01_pass.ttl</x:v>
      </x:c>
      <x:c r="I59" s="35" t="str">
        <x:v>b4e5879735ac5f219a442b0b2d054119806a3ec11842320867e811894143b430</x:v>
      </x:c>
      <x:c r="J59" s="55" t="n">
        <x:v>72</x:v>
      </x:c>
      <x:c r="K59" s="35" t="str">
        <x:v>VOCAB-DEV-2026-08-13-BATCH01-R6</x:v>
      </x:c>
      <x:c r="L59" s="35" t="str">
        <x:v>YES</x:v>
      </x:c>
      <x:c r="M59" s="35" t="str">
        <x:v>NOT_RUN</x:v>
      </x:c>
    </x:row>
    <x:row r="60">
      <x:c r="A60" s="35" t="str">
        <x:v>B01-TRF-022-FAIL</x:v>
      </x:c>
      <x:c r="B60" s="38" t="str">
        <x:v>TRF-022</x:v>
      </x:c>
      <x:c r="C60" s="35" t="str">
        <x:v>FAIL</x:v>
      </x:c>
      <x:c r="D60" s="67" t="b">
        <x:v>0</x:v>
      </x:c>
      <x:c r="E60" s="55" t="n">
        <x:v>10</x:v>
      </x:c>
      <x:c r="F60" s="35" t="str">
        <x:v>3.2.2</x:v>
      </x:c>
      <x:c r="G60" s="35" t="str">
        <x:v>angle calculation, exact clamp 5/20, below/above clamp, wrong constant</x:v>
      </x:c>
      <x:c r="H60" s="35" t="str">
        <x:v>INPUTS/DEVELOPMENT_CALIBRATION/BATCH_01_FIRST_50/rdf_fixtures/TRF-022/trf-022_02_fail.ttl</x:v>
      </x:c>
      <x:c r="I60" s="35" t="str">
        <x:v>6081bf3bbe8ba154c02edf8be0f193f7b084537c7caa9eaf6cd54765c98002e9</x:v>
      </x:c>
      <x:c r="J60" s="55" t="n">
        <x:v>72</x:v>
      </x:c>
      <x:c r="K60" s="35" t="str">
        <x:v>VOCAB-DEV-2026-08-13-BATCH01-R6</x:v>
      </x:c>
      <x:c r="L60" s="35" t="str">
        <x:v>YES</x:v>
      </x:c>
      <x:c r="M60" s="35" t="str">
        <x:v>NOT_RUN</x:v>
      </x:c>
    </x:row>
    <x:row r="61">
      <x:c r="A61" s="35" t="str">
        <x:v>B01-TRF-022-BOUNDARY</x:v>
      </x:c>
      <x:c r="B61" s="38" t="str">
        <x:v>TRF-022</x:v>
      </x:c>
      <x:c r="C61" s="35" t="str">
        <x:v>BOUNDARY</x:v>
      </x:c>
      <x:c r="D61" s="67" t="b">
        <x:v>1</x:v>
      </x:c>
      <x:c r="E61" s="55" t="n">
        <x:v>10</x:v>
      </x:c>
      <x:c r="F61" s="35" t="str">
        <x:v>3.2.2</x:v>
      </x:c>
      <x:c r="G61" s="35" t="str">
        <x:v>angle calculation, exact clamp 5/20, below/above clamp, wrong constant</x:v>
      </x:c>
      <x:c r="H61" s="35" t="str">
        <x:v>INPUTS/DEVELOPMENT_CALIBRATION/BATCH_01_FIRST_50/rdf_fixtures/TRF-022/trf-022_03_boundary.ttl</x:v>
      </x:c>
      <x:c r="I61" s="35" t="str">
        <x:v>90abbb9986c44336d0ce5a164ded5e028b8bb30b3bfd5e22df1955b1c60f144d</x:v>
      </x:c>
      <x:c r="J61" s="55" t="n">
        <x:v>72</x:v>
      </x:c>
      <x:c r="K61" s="35" t="str">
        <x:v>VOCAB-DEV-2026-08-13-BATCH01-R6</x:v>
      </x:c>
      <x:c r="L61" s="35" t="str">
        <x:v>YES</x:v>
      </x:c>
      <x:c r="M61" s="35" t="str">
        <x:v>NOT_RUN</x:v>
      </x:c>
    </x:row>
    <x:row r="62">
      <x:c r="A62" s="35" t="str">
        <x:v>B01-TRF-023-PASS</x:v>
      </x:c>
      <x:c r="B62" s="38" t="str">
        <x:v>TRF-023</x:v>
      </x:c>
      <x:c r="C62" s="35" t="str">
        <x:v>PASS</x:v>
      </x:c>
      <x:c r="D62" s="67" t="b">
        <x:v>1</x:v>
      </x:c>
      <x:c r="E62" s="55" t="n">
        <x:v>10</x:v>
      </x:c>
      <x:c r="F62" s="35" t="str">
        <x:v>3.2.3</x:v>
      </x:c>
      <x:c r="G62" s="35" t="str">
        <x:v>IB/IC legacy applicability, exact minimum, below minimum</x:v>
      </x:c>
      <x:c r="H62" s="35" t="str">
        <x:v>INPUTS/DEVELOPMENT_CALIBRATION/BATCH_01_FIRST_50/rdf_fixtures/TRF-023/trf-023_01_pass.ttl</x:v>
      </x:c>
      <x:c r="I62" s="35" t="str">
        <x:v>3d4ebbd526539b32d0c3a9879d16422131f48382163d247c8b3452d7b732b6e1</x:v>
      </x:c>
      <x:c r="J62" s="55" t="n">
        <x:v>13</x:v>
      </x:c>
      <x:c r="K62" s="35" t="str">
        <x:v>VOCAB-DEV-2026-08-13-BATCH01-R6</x:v>
      </x:c>
      <x:c r="L62" s="35" t="str">
        <x:v>YES</x:v>
      </x:c>
      <x:c r="M62" s="35" t="str">
        <x:v>NOT_RUN</x:v>
      </x:c>
    </x:row>
    <x:row r="63">
      <x:c r="A63" s="35" t="str">
        <x:v>B01-TRF-023-FAIL</x:v>
      </x:c>
      <x:c r="B63" s="38" t="str">
        <x:v>TRF-023</x:v>
      </x:c>
      <x:c r="C63" s="35" t="str">
        <x:v>FAIL</x:v>
      </x:c>
      <x:c r="D63" s="67" t="b">
        <x:v>0</x:v>
      </x:c>
      <x:c r="E63" s="55" t="n">
        <x:v>10</x:v>
      </x:c>
      <x:c r="F63" s="35" t="str">
        <x:v>3.2.3</x:v>
      </x:c>
      <x:c r="G63" s="35" t="str">
        <x:v>IB/IC legacy applicability, exact minimum, below minimum</x:v>
      </x:c>
      <x:c r="H63" s="35" t="str">
        <x:v>INPUTS/DEVELOPMENT_CALIBRATION/BATCH_01_FIRST_50/rdf_fixtures/TRF-023/trf-023_02_fail.ttl</x:v>
      </x:c>
      <x:c r="I63" s="35" t="str">
        <x:v>4c24e13857cac818afef9f05dd43bba3da74aa92b24bc51411250b4e61fcc62e</x:v>
      </x:c>
      <x:c r="J63" s="55" t="n">
        <x:v>13</x:v>
      </x:c>
      <x:c r="K63" s="35" t="str">
        <x:v>VOCAB-DEV-2026-08-13-BATCH01-R6</x:v>
      </x:c>
      <x:c r="L63" s="35" t="str">
        <x:v>YES</x:v>
      </x:c>
      <x:c r="M63" s="35" t="str">
        <x:v>NOT_RUN</x:v>
      </x:c>
    </x:row>
    <x:row r="64">
      <x:c r="A64" s="35" t="str">
        <x:v>B01-TRF-023-BOUNDARY</x:v>
      </x:c>
      <x:c r="B64" s="38" t="str">
        <x:v>TRF-023</x:v>
      </x:c>
      <x:c r="C64" s="35" t="str">
        <x:v>BOUNDARY</x:v>
      </x:c>
      <x:c r="D64" s="67" t="b">
        <x:v>1</x:v>
      </x:c>
      <x:c r="E64" s="55" t="n">
        <x:v>10</x:v>
      </x:c>
      <x:c r="F64" s="35" t="str">
        <x:v>3.2.3</x:v>
      </x:c>
      <x:c r="G64" s="35" t="str">
        <x:v>IB/IC legacy applicability, exact minimum, below minimum</x:v>
      </x:c>
      <x:c r="H64" s="35" t="str">
        <x:v>INPUTS/DEVELOPMENT_CALIBRATION/BATCH_01_FIRST_50/rdf_fixtures/TRF-023/trf-023_03_boundary.ttl</x:v>
      </x:c>
      <x:c r="I64" s="35" t="str">
        <x:v>57aa8abe9c7e0dde81a770f2a92aad4692be4bf4be66c0860263ad75d3b73206</x:v>
      </x:c>
      <x:c r="J64" s="55" t="n">
        <x:v>13</x:v>
      </x:c>
      <x:c r="K64" s="35" t="str">
        <x:v>VOCAB-DEV-2026-08-13-BATCH01-R6</x:v>
      </x:c>
      <x:c r="L64" s="35" t="str">
        <x:v>YES</x:v>
      </x:c>
      <x:c r="M64" s="35" t="str">
        <x:v>NOT_RUN</x:v>
      </x:c>
    </x:row>
    <x:row r="65">
      <x:c r="A65" s="35" t="str">
        <x:v>B01-TRF-024-PASS</x:v>
      </x:c>
      <x:c r="B65" s="38" t="str">
        <x:v>TRF-024</x:v>
      </x:c>
      <x:c r="C65" s="35" t="str">
        <x:v>PASS</x:v>
      </x:c>
      <x:c r="D65" s="67" t="b">
        <x:v>1</x:v>
      </x:c>
      <x:c r="E65" s="55" t="n">
        <x:v>10</x:v>
      </x:c>
      <x:c r="F65" s="35" t="str">
        <x:v>3.2.4</x:v>
      </x:c>
      <x:c r="G65" s="35" t="str">
        <x:v>before deadline, at deadline valid method, missing method</x:v>
      </x:c>
      <x:c r="H65" s="35" t="str">
        <x:v>INPUTS/DEVELOPMENT_CALIBRATION/BATCH_01_FIRST_50/rdf_fixtures/TRF-024/trf-024_01_pass.ttl</x:v>
      </x:c>
      <x:c r="I65" s="35" t="str">
        <x:v>d4ab9b95f6541e57ddf4505ca9d7ea421b9aa93fd0ee52212bf7b8c03b92da63</x:v>
      </x:c>
      <x:c r="J65" s="55" t="n">
        <x:v>8</x:v>
      </x:c>
      <x:c r="K65" s="35" t="str">
        <x:v>VOCAB-DEV-2026-08-13-BATCH01-R6</x:v>
      </x:c>
      <x:c r="L65" s="35" t="str">
        <x:v>YES</x:v>
      </x:c>
      <x:c r="M65" s="35" t="str">
        <x:v>NOT_RUN</x:v>
      </x:c>
    </x:row>
    <x:row r="66">
      <x:c r="A66" s="35" t="str">
        <x:v>B01-TRF-024-FAIL</x:v>
      </x:c>
      <x:c r="B66" s="38" t="str">
        <x:v>TRF-024</x:v>
      </x:c>
      <x:c r="C66" s="35" t="str">
        <x:v>FAIL</x:v>
      </x:c>
      <x:c r="D66" s="67" t="b">
        <x:v>0</x:v>
      </x:c>
      <x:c r="E66" s="55" t="n">
        <x:v>10</x:v>
      </x:c>
      <x:c r="F66" s="35" t="str">
        <x:v>3.2.4</x:v>
      </x:c>
      <x:c r="G66" s="35" t="str">
        <x:v>before deadline, at deadline valid method, missing method</x:v>
      </x:c>
      <x:c r="H66" s="35" t="str">
        <x:v>INPUTS/DEVELOPMENT_CALIBRATION/BATCH_01_FIRST_50/rdf_fixtures/TRF-024/trf-024_02_fail.ttl</x:v>
      </x:c>
      <x:c r="I66" s="35" t="str">
        <x:v>7d2fed32a5e9c75b2948882da10097edf56197036aa1b5f14d249b5766a2ab30</x:v>
      </x:c>
      <x:c r="J66" s="55" t="n">
        <x:v>7</x:v>
      </x:c>
      <x:c r="K66" s="35" t="str">
        <x:v>VOCAB-DEV-2026-08-13-BATCH01-R6</x:v>
      </x:c>
      <x:c r="L66" s="35" t="str">
        <x:v>YES</x:v>
      </x:c>
      <x:c r="M66" s="35" t="str">
        <x:v>NOT_RUN</x:v>
      </x:c>
    </x:row>
    <x:row r="67">
      <x:c r="A67" s="35" t="str">
        <x:v>B01-TRF-024-BOUNDARY</x:v>
      </x:c>
      <x:c r="B67" s="38" t="str">
        <x:v>TRF-024</x:v>
      </x:c>
      <x:c r="C67" s="35" t="str">
        <x:v>BOUNDARY</x:v>
      </x:c>
      <x:c r="D67" s="67" t="b">
        <x:v>1</x:v>
      </x:c>
      <x:c r="E67" s="55" t="n">
        <x:v>10</x:v>
      </x:c>
      <x:c r="F67" s="35" t="str">
        <x:v>3.2.4</x:v>
      </x:c>
      <x:c r="G67" s="35" t="str">
        <x:v>before deadline, at deadline valid method, missing method</x:v>
      </x:c>
      <x:c r="H67" s="35" t="str">
        <x:v>INPUTS/DEVELOPMENT_CALIBRATION/BATCH_01_FIRST_50/rdf_fixtures/TRF-024/trf-024_03_boundary.ttl</x:v>
      </x:c>
      <x:c r="I67" s="35" t="str">
        <x:v>244a6a999c3f44c03c6ea34b226ebe01e9355d2d17e0b4b563548710f56b04b6</x:v>
      </x:c>
      <x:c r="J67" s="55" t="n">
        <x:v>8</x:v>
      </x:c>
      <x:c r="K67" s="35" t="str">
        <x:v>VOCAB-DEV-2026-08-13-BATCH01-R6</x:v>
      </x:c>
      <x:c r="L67" s="35" t="str">
        <x:v>YES</x:v>
      </x:c>
      <x:c r="M67" s="35" t="str">
        <x:v>NOT_RUN</x:v>
      </x:c>
    </x:row>
    <x:row r="68">
      <x:c r="A68" s="35" t="str">
        <x:v>B01-TRF-025-PASS</x:v>
      </x:c>
      <x:c r="B68" s="38" t="str">
        <x:v>TRF-025</x:v>
      </x:c>
      <x:c r="C68" s="35" t="str">
        <x:v>PASS</x:v>
      </x:c>
      <x:c r="D68" s="67" t="b">
        <x:v>1</x:v>
      </x:c>
      <x:c r="E68" s="55" t="n">
        <x:v>10</x:v>
      </x:c>
      <x:c r="F68" s="35" t="str">
        <x:v>3.2.4</x:v>
      </x:c>
      <x:c r="G68" s="35" t="str">
        <x:v>IA Super no bulb exact formulas and perturbed C1/C2</x:v>
      </x:c>
      <x:c r="H68" s="35" t="str">
        <x:v>INPUTS/DEVELOPMENT_CALIBRATION/BATCH_01_FIRST_50/rdf_fixtures/TRF-025/trf-025_01_pass.ttl</x:v>
      </x:c>
      <x:c r="I68" s="35" t="str">
        <x:v>9a3660b799573e778a698b6c6845fb1fdbff36fe68e5ce6622eddbac6d57f527</x:v>
      </x:c>
      <x:c r="J68" s="55" t="n">
        <x:v>51</x:v>
      </x:c>
      <x:c r="K68" s="35" t="str">
        <x:v>VOCAB-DEV-2026-08-13-BATCH01-R6</x:v>
      </x:c>
      <x:c r="L68" s="35" t="str">
        <x:v>YES</x:v>
      </x:c>
      <x:c r="M68" s="35" t="str">
        <x:v>NOT_RUN</x:v>
      </x:c>
    </x:row>
    <x:row r="69">
      <x:c r="A69" s="35" t="str">
        <x:v>B01-TRF-025-FAIL</x:v>
      </x:c>
      <x:c r="B69" s="38" t="str">
        <x:v>TRF-025</x:v>
      </x:c>
      <x:c r="C69" s="35" t="str">
        <x:v>FAIL</x:v>
      </x:c>
      <x:c r="D69" s="67" t="b">
        <x:v>0</x:v>
      </x:c>
      <x:c r="E69" s="55" t="n">
        <x:v>10</x:v>
      </x:c>
      <x:c r="F69" s="35" t="str">
        <x:v>3.2.4</x:v>
      </x:c>
      <x:c r="G69" s="35" t="str">
        <x:v>IA Super no bulb exact formulas and perturbed C1/C2</x:v>
      </x:c>
      <x:c r="H69" s="35" t="str">
        <x:v>INPUTS/DEVELOPMENT_CALIBRATION/BATCH_01_FIRST_50/rdf_fixtures/TRF-025/trf-025_02_fail.ttl</x:v>
      </x:c>
      <x:c r="I69" s="35" t="str">
        <x:v>8fb23a341dede880ab84622cfde9be7c603f0dad442784ec23c85a81a979969b</x:v>
      </x:c>
      <x:c r="J69" s="55" t="n">
        <x:v>51</x:v>
      </x:c>
      <x:c r="K69" s="35" t="str">
        <x:v>VOCAB-DEV-2026-08-13-BATCH01-R6</x:v>
      </x:c>
      <x:c r="L69" s="35" t="str">
        <x:v>YES</x:v>
      </x:c>
      <x:c r="M69" s="35" t="str">
        <x:v>NOT_RUN</x:v>
      </x:c>
    </x:row>
    <x:row r="70">
      <x:c r="A70" s="35" t="str">
        <x:v>B01-TRF-025-BOUNDARY</x:v>
      </x:c>
      <x:c r="B70" s="38" t="str">
        <x:v>TRF-025</x:v>
      </x:c>
      <x:c r="C70" s="35" t="str">
        <x:v>BOUNDARY</x:v>
      </x:c>
      <x:c r="D70" s="67" t="b">
        <x:v>1</x:v>
      </x:c>
      <x:c r="E70" s="55" t="n">
        <x:v>10</x:v>
      </x:c>
      <x:c r="F70" s="35" t="str">
        <x:v>3.2.4</x:v>
      </x:c>
      <x:c r="G70" s="35" t="str">
        <x:v>IA Super no bulb exact formulas and perturbed C1/C2</x:v>
      </x:c>
      <x:c r="H70" s="35" t="str">
        <x:v>INPUTS/DEVELOPMENT_CALIBRATION/BATCH_01_FIRST_50/rdf_fixtures/TRF-025/trf-025_03_boundary.ttl</x:v>
      </x:c>
      <x:c r="I70" s="35" t="str">
        <x:v>bc7ac85048b2cd5ffa746a357da278fe0020f735be18c9552a9b771c6e324ee5</x:v>
      </x:c>
      <x:c r="J70" s="55" t="n">
        <x:v>51</x:v>
      </x:c>
      <x:c r="K70" s="35" t="str">
        <x:v>VOCAB-DEV-2026-08-13-BATCH01-R6</x:v>
      </x:c>
      <x:c r="L70" s="35" t="str">
        <x:v>YES</x:v>
      </x:c>
      <x:c r="M70" s="35" t="str">
        <x:v>NOT_RUN</x:v>
      </x:c>
    </x:row>
    <x:row r="71">
      <x:c r="A71" s="35" t="str">
        <x:v>B01-TRF-026-PASS</x:v>
      </x:c>
      <x:c r="B71" s="38" t="str">
        <x:v>TRF-026</x:v>
      </x:c>
      <x:c r="C71" s="35" t="str">
        <x:v>PASS</x:v>
      </x:c>
      <x:c r="D71" s="67" t="b">
        <x:v>1</x:v>
      </x:c>
      <x:c r="E71" s="55" t="n">
        <x:v>11</x:v>
      </x:c>
      <x:c r="F71" s="35" t="str">
        <x:v>3.2.4</x:v>
      </x:c>
      <x:c r="G71" s="35" t="str">
        <x:v>IA Super bulb exact formulas and perturbed C1/C2</x:v>
      </x:c>
      <x:c r="H71" s="35" t="str">
        <x:v>INPUTS/DEVELOPMENT_CALIBRATION/BATCH_01_FIRST_50/rdf_fixtures/TRF-026/trf-026_01_pass.ttl</x:v>
      </x:c>
      <x:c r="I71" s="35" t="str">
        <x:v>458de456baab5f69c0a56b4c75f73d18b41c38c1e1632ac816195dd9a9776f63</x:v>
      </x:c>
      <x:c r="J71" s="55" t="n">
        <x:v>51</x:v>
      </x:c>
      <x:c r="K71" s="35" t="str">
        <x:v>VOCAB-DEV-2026-08-13-BATCH01-R6</x:v>
      </x:c>
      <x:c r="L71" s="35" t="str">
        <x:v>YES</x:v>
      </x:c>
      <x:c r="M71" s="35" t="str">
        <x:v>NOT_RUN</x:v>
      </x:c>
    </x:row>
    <x:row r="72">
      <x:c r="A72" s="35" t="str">
        <x:v>B01-TRF-026-FAIL</x:v>
      </x:c>
      <x:c r="B72" s="38" t="str">
        <x:v>TRF-026</x:v>
      </x:c>
      <x:c r="C72" s="35" t="str">
        <x:v>FAIL</x:v>
      </x:c>
      <x:c r="D72" s="67" t="b">
        <x:v>0</x:v>
      </x:c>
      <x:c r="E72" s="55" t="n">
        <x:v>11</x:v>
      </x:c>
      <x:c r="F72" s="35" t="str">
        <x:v>3.2.4</x:v>
      </x:c>
      <x:c r="G72" s="35" t="str">
        <x:v>IA Super bulb exact formulas and perturbed C1/C2</x:v>
      </x:c>
      <x:c r="H72" s="35" t="str">
        <x:v>INPUTS/DEVELOPMENT_CALIBRATION/BATCH_01_FIRST_50/rdf_fixtures/TRF-026/trf-026_02_fail.ttl</x:v>
      </x:c>
      <x:c r="I72" s="35" t="str">
        <x:v>841a02bf7c613cb2994345554a660272a7c85cfdec232809015930198e2af594</x:v>
      </x:c>
      <x:c r="J72" s="55" t="n">
        <x:v>51</x:v>
      </x:c>
      <x:c r="K72" s="35" t="str">
        <x:v>VOCAB-DEV-2026-08-13-BATCH01-R6</x:v>
      </x:c>
      <x:c r="L72" s="35" t="str">
        <x:v>YES</x:v>
      </x:c>
      <x:c r="M72" s="35" t="str">
        <x:v>NOT_RUN</x:v>
      </x:c>
    </x:row>
    <x:row r="73">
      <x:c r="A73" s="35" t="str">
        <x:v>B01-TRF-026-BOUNDARY</x:v>
      </x:c>
      <x:c r="B73" s="38" t="str">
        <x:v>TRF-026</x:v>
      </x:c>
      <x:c r="C73" s="35" t="str">
        <x:v>BOUNDARY</x:v>
      </x:c>
      <x:c r="D73" s="67" t="b">
        <x:v>1</x:v>
      </x:c>
      <x:c r="E73" s="55" t="n">
        <x:v>11</x:v>
      </x:c>
      <x:c r="F73" s="35" t="str">
        <x:v>3.2.4</x:v>
      </x:c>
      <x:c r="G73" s="35" t="str">
        <x:v>IA Super bulb exact formulas and perturbed C1/C2</x:v>
      </x:c>
      <x:c r="H73" s="35" t="str">
        <x:v>INPUTS/DEVELOPMENT_CALIBRATION/BATCH_01_FIRST_50/rdf_fixtures/TRF-026/trf-026_03_boundary.ttl</x:v>
      </x:c>
      <x:c r="I73" s="35" t="str">
        <x:v>464e177b804a7bf85739ff641582b66ed11e40a30f5964080866d6648cb0b5ee</x:v>
      </x:c>
      <x:c r="J73" s="55" t="n">
        <x:v>51</x:v>
      </x:c>
      <x:c r="K73" s="35" t="str">
        <x:v>VOCAB-DEV-2026-08-13-BATCH01-R6</x:v>
      </x:c>
      <x:c r="L73" s="35" t="str">
        <x:v>YES</x:v>
      </x:c>
      <x:c r="M73" s="35" t="str">
        <x:v>NOT_RUN</x:v>
      </x:c>
    </x:row>
    <x:row r="74">
      <x:c r="A74" s="35" t="str">
        <x:v>B01-TRF-027-PASS</x:v>
      </x:c>
      <x:c r="B74" s="38" t="str">
        <x:v>TRF-027</x:v>
      </x:c>
      <x:c r="C74" s="35" t="str">
        <x:v>PASS</x:v>
      </x:c>
      <x:c r="D74" s="67" t="b">
        <x:v>1</x:v>
      </x:c>
      <x:c r="E74" s="55" t="n">
        <x:v>11</x:v>
      </x:c>
      <x:c r="F74" s="35" t="str">
        <x:v>3.2.4</x:v>
      </x:c>
      <x:c r="G74" s="35" t="str">
        <x:v>exact constants, clamp 5/20, out-of-range raw geometry</x:v>
      </x:c>
      <x:c r="H74" s="35" t="str">
        <x:v>INPUTS/DEVELOPMENT_CALIBRATION/BATCH_01_FIRST_50/rdf_fixtures/TRF-027/trf-027_01_pass.ttl</x:v>
      </x:c>
      <x:c r="I74" s="35" t="str">
        <x:v>d30e3c034527b7b717fd013cc55c0f61e56413b3b8953086648c4f2b8df404a7</x:v>
      </x:c>
      <x:c r="J74" s="55" t="n">
        <x:v>61</x:v>
      </x:c>
      <x:c r="K74" s="35" t="str">
        <x:v>VOCAB-DEV-2026-08-13-BATCH01-R6</x:v>
      </x:c>
      <x:c r="L74" s="35" t="str">
        <x:v>YES</x:v>
      </x:c>
      <x:c r="M74" s="35" t="str">
        <x:v>NOT_RUN</x:v>
      </x:c>
    </x:row>
    <x:row r="75">
      <x:c r="A75" s="35" t="str">
        <x:v>B01-TRF-027-FAIL</x:v>
      </x:c>
      <x:c r="B75" s="38" t="str">
        <x:v>TRF-027</x:v>
      </x:c>
      <x:c r="C75" s="35" t="str">
        <x:v>FAIL</x:v>
      </x:c>
      <x:c r="D75" s="67" t="b">
        <x:v>0</x:v>
      </x:c>
      <x:c r="E75" s="55" t="n">
        <x:v>11</x:v>
      </x:c>
      <x:c r="F75" s="35" t="str">
        <x:v>3.2.4</x:v>
      </x:c>
      <x:c r="G75" s="35" t="str">
        <x:v>exact constants, clamp 5/20, out-of-range raw geometry</x:v>
      </x:c>
      <x:c r="H75" s="35" t="str">
        <x:v>INPUTS/DEVELOPMENT_CALIBRATION/BATCH_01_FIRST_50/rdf_fixtures/TRF-027/trf-027_02_fail.ttl</x:v>
      </x:c>
      <x:c r="I75" s="35" t="str">
        <x:v>ccb1a1855e071946ec957d94f3f4c3906cbe196b630d16a3e45ce64c344f5ba0</x:v>
      </x:c>
      <x:c r="J75" s="55" t="n">
        <x:v>61</x:v>
      </x:c>
      <x:c r="K75" s="35" t="str">
        <x:v>VOCAB-DEV-2026-08-13-BATCH01-R6</x:v>
      </x:c>
      <x:c r="L75" s="35" t="str">
        <x:v>YES</x:v>
      </x:c>
      <x:c r="M75" s="35" t="str">
        <x:v>NOT_RUN</x:v>
      </x:c>
    </x:row>
    <x:row r="76">
      <x:c r="A76" s="35" t="str">
        <x:v>B01-TRF-027-BOUNDARY</x:v>
      </x:c>
      <x:c r="B76" s="38" t="str">
        <x:v>TRF-027</x:v>
      </x:c>
      <x:c r="C76" s="35" t="str">
        <x:v>BOUNDARY</x:v>
      </x:c>
      <x:c r="D76" s="67" t="b">
        <x:v>1</x:v>
      </x:c>
      <x:c r="E76" s="55" t="n">
        <x:v>11</x:v>
      </x:c>
      <x:c r="F76" s="35" t="str">
        <x:v>3.2.4</x:v>
      </x:c>
      <x:c r="G76" s="35" t="str">
        <x:v>exact constants, clamp 5/20, out-of-range raw geometry</x:v>
      </x:c>
      <x:c r="H76" s="35" t="str">
        <x:v>INPUTS/DEVELOPMENT_CALIBRATION/BATCH_01_FIRST_50/rdf_fixtures/TRF-027/trf-027_03_boundary.ttl</x:v>
      </x:c>
      <x:c r="I76" s="35" t="str">
        <x:v>e234bd32ac747ba4869ed716e914525ac36490ab3cdaee0d66e49b002e191f14</x:v>
      </x:c>
      <x:c r="J76" s="55" t="n">
        <x:v>61</x:v>
      </x:c>
      <x:c r="K76" s="35" t="str">
        <x:v>VOCAB-DEV-2026-08-13-BATCH01-R6</x:v>
      </x:c>
      <x:c r="L76" s="35" t="str">
        <x:v>YES</x:v>
      </x:c>
      <x:c r="M76" s="35" t="str">
        <x:v>NOT_RUN</x:v>
      </x:c>
    </x:row>
    <x:row r="77">
      <x:c r="A77" s="35" t="str">
        <x:v>B01-TRF-030-PASS</x:v>
      </x:c>
      <x:c r="B77" s="38" t="str">
        <x:v>TRF-030</x:v>
      </x:c>
      <x:c r="C77" s="35" t="str">
        <x:v>PASS</x:v>
      </x:c>
      <x:c r="D77" s="67" t="b">
        <x:v>1</x:v>
      </x:c>
      <x:c r="E77" s="55" t="n">
        <x:v>12</x:v>
      </x:c>
      <x:c r="F77" s="35" t="str">
        <x:v>4.1</x:v>
      </x:c>
      <x:c r="G77" s="35" t="str">
        <x:v>complete location set, missing UIWL case, wrong 1.8p pressure, missing la exploration</x:v>
      </x:c>
      <x:c r="H77" s="35" t="str">
        <x:v>INPUTS/DEVELOPMENT_CALIBRATION/BATCH_01_FIRST_50/rdf_fixtures/TRF-030/trf-030_01_pass.ttl</x:v>
      </x:c>
      <x:c r="I77" s="35" t="str">
        <x:v>9d6139e26d6a5a21175d83f1b65c1d7fe6951f1b0f87c4e9cc0234ac54c07a02</x:v>
      </x:c>
      <x:c r="J77" s="55" t="n">
        <x:v>164</x:v>
      </x:c>
      <x:c r="K77" s="35" t="str">
        <x:v>VOCAB-DEV-2026-08-13-BATCH01-R6</x:v>
      </x:c>
      <x:c r="L77" s="35" t="str">
        <x:v>YES</x:v>
      </x:c>
      <x:c r="M77" s="35" t="str">
        <x:v>NOT_RUN</x:v>
      </x:c>
    </x:row>
    <x:row r="78">
      <x:c r="A78" s="35" t="str">
        <x:v>B01-TRF-030-FAIL</x:v>
      </x:c>
      <x:c r="B78" s="38" t="str">
        <x:v>TRF-030</x:v>
      </x:c>
      <x:c r="C78" s="35" t="str">
        <x:v>FAIL</x:v>
      </x:c>
      <x:c r="D78" s="67" t="b">
        <x:v>0</x:v>
      </x:c>
      <x:c r="E78" s="55" t="n">
        <x:v>12</x:v>
      </x:c>
      <x:c r="F78" s="35" t="str">
        <x:v>4.1</x:v>
      </x:c>
      <x:c r="G78" s="35" t="str">
        <x:v>complete location set, missing UIWL case, wrong 1.8p pressure, missing la exploration</x:v>
      </x:c>
      <x:c r="H78" s="35" t="str">
        <x:v>INPUTS/DEVELOPMENT_CALIBRATION/BATCH_01_FIRST_50/rdf_fixtures/TRF-030/trf-030_02_fail.ttl</x:v>
      </x:c>
      <x:c r="I78" s="35" t="str">
        <x:v>3116a58063a9a28c576dc9c950c264aa11b8338075a413c11e53d84dba73ca6c</x:v>
      </x:c>
      <x:c r="J78" s="55" t="n">
        <x:v>164</x:v>
      </x:c>
      <x:c r="K78" s="35" t="str">
        <x:v>VOCAB-DEV-2026-08-13-BATCH01-R6</x:v>
      </x:c>
      <x:c r="L78" s="35" t="str">
        <x:v>YES</x:v>
      </x:c>
      <x:c r="M78" s="35" t="str">
        <x:v>NOT_RUN</x:v>
      </x:c>
    </x:row>
    <x:row r="79">
      <x:c r="A79" s="35" t="str">
        <x:v>B01-TRF-030-BOUNDARY</x:v>
      </x:c>
      <x:c r="B79" s="38" t="str">
        <x:v>TRF-030</x:v>
      </x:c>
      <x:c r="C79" s="35" t="str">
        <x:v>BOUNDARY</x:v>
      </x:c>
      <x:c r="D79" s="67" t="b">
        <x:v>1</x:v>
      </x:c>
      <x:c r="E79" s="55" t="n">
        <x:v>12</x:v>
      </x:c>
      <x:c r="F79" s="35" t="str">
        <x:v>4.1</x:v>
      </x:c>
      <x:c r="G79" s="35" t="str">
        <x:v>complete location set, missing UIWL case, wrong 1.8p pressure, missing la exploration</x:v>
      </x:c>
      <x:c r="H79" s="35" t="str">
        <x:v>INPUTS/DEVELOPMENT_CALIBRATION/BATCH_01_FIRST_50/rdf_fixtures/TRF-030/trf-030_03_boundary.ttl</x:v>
      </x:c>
      <x:c r="I79" s="35" t="str">
        <x:v>fdf571d0a3452004fa002423f95a70b7e16ae47dfdb4cdc2e48981fab7c12007</x:v>
      </x:c>
      <x:c r="J79" s="55" t="n">
        <x:v>164</x:v>
      </x:c>
      <x:c r="K79" s="35" t="str">
        <x:v>VOCAB-DEV-2026-08-13-BATCH01-R6</x:v>
      </x:c>
      <x:c r="L79" s="35" t="str">
        <x:v>YES</x:v>
      </x:c>
      <x:c r="M79" s="35" t="str">
        <x:v>NOT_RUN</x:v>
      </x:c>
    </x:row>
    <x:row r="80">
      <x:c r="A80" s="35" t="str">
        <x:v>B01-TRF-031-PASS</x:v>
      </x:c>
      <x:c r="B80" s="38" t="str">
        <x:v>TRF-031</x:v>
      </x:c>
      <x:c r="C80" s="35" t="str">
        <x:v>PASS</x:v>
      </x:c>
      <x:c r="D80" s="67" t="b">
        <x:v>1</x:v>
      </x:c>
      <x:c r="E80" s="55" t="n">
        <x:v>12</x:v>
      </x:c>
      <x:c r="F80" s="35" t="str">
        <x:v>4.1</x:v>
      </x:c>
      <x:c r="G80" s="35" t="str">
        <x:v>stress just below/at yield and shear 0.9 boundary</x:v>
      </x:c>
      <x:c r="H80" s="35" t="str">
        <x:v>INPUTS/DEVELOPMENT_CALIBRATION/BATCH_01_FIRST_50/rdf_fixtures/TRF-031/trf-031_01_pass.ttl</x:v>
      </x:c>
      <x:c r="I80" s="35" t="str">
        <x:v>468f1478248493b04250ab5fadd713c54d29442a5d5becff1319c59ab061ad71</x:v>
      </x:c>
      <x:c r="J80" s="55" t="n">
        <x:v>21</x:v>
      </x:c>
      <x:c r="K80" s="35" t="str">
        <x:v>VOCAB-DEV-2026-08-13-BATCH01-R6</x:v>
      </x:c>
      <x:c r="L80" s="35" t="str">
        <x:v>YES</x:v>
      </x:c>
      <x:c r="M80" s="35" t="str">
        <x:v>NOT_RUN</x:v>
      </x:c>
    </x:row>
    <x:row r="81">
      <x:c r="A81" s="35" t="str">
        <x:v>B01-TRF-031-FAIL</x:v>
      </x:c>
      <x:c r="B81" s="38" t="str">
        <x:v>TRF-031</x:v>
      </x:c>
      <x:c r="C81" s="35" t="str">
        <x:v>FAIL</x:v>
      </x:c>
      <x:c r="D81" s="67" t="b">
        <x:v>0</x:v>
      </x:c>
      <x:c r="E81" s="55" t="n">
        <x:v>12</x:v>
      </x:c>
      <x:c r="F81" s="35" t="str">
        <x:v>4.1</x:v>
      </x:c>
      <x:c r="G81" s="35" t="str">
        <x:v>stress just below/at yield and shear 0.9 boundary</x:v>
      </x:c>
      <x:c r="H81" s="35" t="str">
        <x:v>INPUTS/DEVELOPMENT_CALIBRATION/BATCH_01_FIRST_50/rdf_fixtures/TRF-031/trf-031_02_fail.ttl</x:v>
      </x:c>
      <x:c r="I81" s="35" t="str">
        <x:v>4c66591b8ba26a2d43bb2b9a61ba7eec9ac835fb053f3fa805fa60c9e14002c1</x:v>
      </x:c>
      <x:c r="J81" s="55" t="n">
        <x:v>21</x:v>
      </x:c>
      <x:c r="K81" s="35" t="str">
        <x:v>VOCAB-DEV-2026-08-13-BATCH01-R6</x:v>
      </x:c>
      <x:c r="L81" s="35" t="str">
        <x:v>YES</x:v>
      </x:c>
      <x:c r="M81" s="35" t="str">
        <x:v>NOT_RUN</x:v>
      </x:c>
    </x:row>
    <x:row r="82">
      <x:c r="A82" s="35" t="str">
        <x:v>B01-TRF-031-BOUNDARY</x:v>
      </x:c>
      <x:c r="B82" s="38" t="str">
        <x:v>TRF-031</x:v>
      </x:c>
      <x:c r="C82" s="35" t="str">
        <x:v>BOUNDARY</x:v>
      </x:c>
      <x:c r="D82" s="67" t="b">
        <x:v>1</x:v>
      </x:c>
      <x:c r="E82" s="55" t="n">
        <x:v>12</x:v>
      </x:c>
      <x:c r="F82" s="35" t="str">
        <x:v>4.1</x:v>
      </x:c>
      <x:c r="G82" s="35" t="str">
        <x:v>stress just below/at yield and shear 0.9 boundary</x:v>
      </x:c>
      <x:c r="H82" s="35" t="str">
        <x:v>INPUTS/DEVELOPMENT_CALIBRATION/BATCH_01_FIRST_50/rdf_fixtures/TRF-031/trf-031_03_boundary.ttl</x:v>
      </x:c>
      <x:c r="I82" s="35" t="str">
        <x:v>bfb940a4e807b0e40708874ae910f3031e4bb451af30d7b5c66e6225f434e34f</x:v>
      </x:c>
      <x:c r="J82" s="55" t="n">
        <x:v>21</x:v>
      </x:c>
      <x:c r="K82" s="35" t="str">
        <x:v>VOCAB-DEV-2026-08-13-BATCH01-R6</x:v>
      </x:c>
      <x:c r="L82" s="35" t="str">
        <x:v>YES</x:v>
      </x:c>
      <x:c r="M82" s="35" t="str">
        <x:v>NOT_RUN</x:v>
      </x:c>
    </x:row>
    <x:row r="83">
      <x:c r="A83" s="35" t="str">
        <x:v>B01-TRF-032-PASS</x:v>
      </x:c>
      <x:c r="B83" s="38" t="str">
        <x:v>TRF-032</x:v>
      </x:c>
      <x:c r="C83" s="35" t="str">
        <x:v>PASS</x:v>
      </x:c>
      <x:c r="D83" s="67" t="b">
        <x:v>1</x:v>
      </x:c>
      <x:c r="E83" s="55" t="n">
        <x:v>12</x:v>
      </x:c>
      <x:c r="F83" s="35" t="str">
        <x:v>4.1</x:v>
      </x:c>
      <x:c r="G83" s="35" t="str">
        <x:v>regulation governs; class governs; selected below maximum</x:v>
      </x:c>
      <x:c r="H83" s="35" t="str">
        <x:v>INPUTS/DEVELOPMENT_CALIBRATION/BATCH_01_FIRST_50/rdf_fixtures/TRF-032/trf-032_01_pass.ttl</x:v>
      </x:c>
      <x:c r="I83" s="35" t="str">
        <x:v>1ddd9d669c00d06d4c2d53da07719ab599524e9ced88ecf91350ab5b0e4cbd71</x:v>
      </x:c>
      <x:c r="J83" s="55" t="n">
        <x:v>16</x:v>
      </x:c>
      <x:c r="K83" s="35" t="str">
        <x:v>VOCAB-DEV-2026-08-13-BATCH01-R6</x:v>
      </x:c>
      <x:c r="L83" s="35" t="str">
        <x:v>YES</x:v>
      </x:c>
      <x:c r="M83" s="35" t="str">
        <x:v>NOT_RUN</x:v>
      </x:c>
    </x:row>
    <x:row r="84">
      <x:c r="A84" s="35" t="str">
        <x:v>B01-TRF-032-FAIL</x:v>
      </x:c>
      <x:c r="B84" s="38" t="str">
        <x:v>TRF-032</x:v>
      </x:c>
      <x:c r="C84" s="35" t="str">
        <x:v>FAIL</x:v>
      </x:c>
      <x:c r="D84" s="67" t="b">
        <x:v>0</x:v>
      </x:c>
      <x:c r="E84" s="55" t="n">
        <x:v>12</x:v>
      </x:c>
      <x:c r="F84" s="35" t="str">
        <x:v>4.1</x:v>
      </x:c>
      <x:c r="G84" s="35" t="str">
        <x:v>regulation governs; class governs; selected below maximum</x:v>
      </x:c>
      <x:c r="H84" s="35" t="str">
        <x:v>INPUTS/DEVELOPMENT_CALIBRATION/BATCH_01_FIRST_50/rdf_fixtures/TRF-032/trf-032_02_fail.ttl</x:v>
      </x:c>
      <x:c r="I84" s="35" t="str">
        <x:v>0079487ab766d4d9b3b0cdd0b6ef226c775698637daa7dde64e92d17cd05cf94</x:v>
      </x:c>
      <x:c r="J84" s="55" t="n">
        <x:v>16</x:v>
      </x:c>
      <x:c r="K84" s="35" t="str">
        <x:v>VOCAB-DEV-2026-08-13-BATCH01-R6</x:v>
      </x:c>
      <x:c r="L84" s="35" t="str">
        <x:v>YES</x:v>
      </x:c>
      <x:c r="M84" s="35" t="str">
        <x:v>NOT_RUN</x:v>
      </x:c>
    </x:row>
    <x:row r="85">
      <x:c r="A85" s="35" t="str">
        <x:v>B01-TRF-032-BOUNDARY</x:v>
      </x:c>
      <x:c r="B85" s="38" t="str">
        <x:v>TRF-032</x:v>
      </x:c>
      <x:c r="C85" s="35" t="str">
        <x:v>BOUNDARY</x:v>
      </x:c>
      <x:c r="D85" s="67" t="b">
        <x:v>1</x:v>
      </x:c>
      <x:c r="E85" s="55" t="n">
        <x:v>12</x:v>
      </x:c>
      <x:c r="F85" s="35" t="str">
        <x:v>4.1</x:v>
      </x:c>
      <x:c r="G85" s="35" t="str">
        <x:v>regulation governs; class governs; selected below maximum</x:v>
      </x:c>
      <x:c r="H85" s="35" t="str">
        <x:v>INPUTS/DEVELOPMENT_CALIBRATION/BATCH_01_FIRST_50/rdf_fixtures/TRF-032/trf-032_03_boundary.ttl</x:v>
      </x:c>
      <x:c r="I85" s="35" t="str">
        <x:v>f72525feb7da7690346b5d555273252c216852c036f9c967ff6725055760df7f</x:v>
      </x:c>
      <x:c r="J85" s="55" t="n">
        <x:v>16</x:v>
      </x:c>
      <x:c r="K85" s="35" t="str">
        <x:v>VOCAB-DEV-2026-08-13-BATCH01-R6</x:v>
      </x:c>
      <x:c r="L85" s="35" t="str">
        <x:v>YES</x:v>
      </x:c>
      <x:c r="M85" s="35" t="str">
        <x:v>NOT_RUN</x:v>
      </x:c>
    </x:row>
    <x:row r="86">
      <x:c r="A86" s="35" t="str">
        <x:v>B01-TRF-034-PASS</x:v>
      </x:c>
      <x:c r="B86" s="38" t="str">
        <x:v>TRF-034</x:v>
      </x:c>
      <x:c r="C86" s="35" t="str">
        <x:v>PASS</x:v>
      </x:c>
      <x:c r="D86" s="67" t="b">
        <x:v>1</x:v>
      </x:c>
      <x:c r="E86" s="55" t="n">
        <x:v>13</x:v>
      </x:c>
      <x:c r="F86" s="35" t="str">
        <x:v>4.1</x:v>
      </x:c>
      <x:c r="G86" s="35" t="str">
        <x:v>normal member values; non-normal with evidence; non-normal missing evidence</x:v>
      </x:c>
      <x:c r="H86" s="35" t="str">
        <x:v>INPUTS/DEVELOPMENT_CALIBRATION/BATCH_01_FIRST_50/rdf_fixtures/TRF-034/trf-034_01_pass.ttl</x:v>
      </x:c>
      <x:c r="I86" s="35" t="str">
        <x:v>906941be7c0080cb28b83456b2352be310bf9e0a8d295f91b752c30b5eb01c28</x:v>
      </x:c>
      <x:c r="J86" s="55" t="n">
        <x:v>18</x:v>
      </x:c>
      <x:c r="K86" s="35" t="str">
        <x:v>VOCAB-DEV-2026-08-13-BATCH01-R6</x:v>
      </x:c>
      <x:c r="L86" s="35" t="str">
        <x:v>YES</x:v>
      </x:c>
      <x:c r="M86" s="35" t="str">
        <x:v>NOT_RUN</x:v>
      </x:c>
    </x:row>
    <x:row r="87">
      <x:c r="A87" s="35" t="str">
        <x:v>B01-TRF-034-FAIL</x:v>
      </x:c>
      <x:c r="B87" s="38" t="str">
        <x:v>TRF-034</x:v>
      </x:c>
      <x:c r="C87" s="35" t="str">
        <x:v>FAIL</x:v>
      </x:c>
      <x:c r="D87" s="67" t="b">
        <x:v>0</x:v>
      </x:c>
      <x:c r="E87" s="55" t="n">
        <x:v>13</x:v>
      </x:c>
      <x:c r="F87" s="35" t="str">
        <x:v>4.1</x:v>
      </x:c>
      <x:c r="G87" s="35" t="str">
        <x:v>normal member values; non-normal with evidence; non-normal missing evidence</x:v>
      </x:c>
      <x:c r="H87" s="35" t="str">
        <x:v>INPUTS/DEVELOPMENT_CALIBRATION/BATCH_01_FIRST_50/rdf_fixtures/TRF-034/trf-034_02_fail.ttl</x:v>
      </x:c>
      <x:c r="I87" s="35" t="str">
        <x:v>7330f8b2753cef0f233a1c34daf73d05a694d8e7d30bdb237d6f30a8ead9dc2d</x:v>
      </x:c>
      <x:c r="J87" s="55" t="n">
        <x:v>16</x:v>
      </x:c>
      <x:c r="K87" s="35" t="str">
        <x:v>VOCAB-DEV-2026-08-13-BATCH01-R6</x:v>
      </x:c>
      <x:c r="L87" s="35" t="str">
        <x:v>YES</x:v>
      </x:c>
      <x:c r="M87" s="35" t="str">
        <x:v>NOT_RUN</x:v>
      </x:c>
    </x:row>
    <x:row r="88">
      <x:c r="A88" s="35" t="str">
        <x:v>B01-TRF-034-BOUNDARY</x:v>
      </x:c>
      <x:c r="B88" s="38" t="str">
        <x:v>TRF-034</x:v>
      </x:c>
      <x:c r="C88" s="35" t="str">
        <x:v>BOUNDARY</x:v>
      </x:c>
      <x:c r="D88" s="67" t="b">
        <x:v>1</x:v>
      </x:c>
      <x:c r="E88" s="55" t="n">
        <x:v>13</x:v>
      </x:c>
      <x:c r="F88" s="35" t="str">
        <x:v>4.1</x:v>
      </x:c>
      <x:c r="G88" s="35" t="str">
        <x:v>normal member values; non-normal with evidence; non-normal missing evidence</x:v>
      </x:c>
      <x:c r="H88" s="35" t="str">
        <x:v>INPUTS/DEVELOPMENT_CALIBRATION/BATCH_01_FIRST_50/rdf_fixtures/TRF-034/trf-034_03_boundary.ttl</x:v>
      </x:c>
      <x:c r="I88" s="35" t="str">
        <x:v>777ffd693642762004027c97e9fe41791916c74501d0e11e13454d4f3fd876bd</x:v>
      </x:c>
      <x:c r="J88" s="55" t="n">
        <x:v>18</x:v>
      </x:c>
      <x:c r="K88" s="35" t="str">
        <x:v>VOCAB-DEV-2026-08-13-BATCH01-R6</x:v>
      </x:c>
      <x:c r="L88" s="35" t="str">
        <x:v>YES</x:v>
      </x:c>
      <x:c r="M88" s="35" t="str">
        <x:v>NOT_RUN</x:v>
      </x:c>
    </x:row>
    <x:row r="89">
      <x:c r="A89" s="35" t="str">
        <x:v>B01-TRF-035-PASS</x:v>
      </x:c>
      <x:c r="B89" s="38" t="str">
        <x:v>TRF-035</x:v>
      </x:c>
      <x:c r="C89" s="35" t="str">
        <x:v>PASS</x:v>
      </x:c>
      <x:c r="D89" s="67" t="b">
        <x:v>1</x:v>
      </x:c>
      <x:c r="E89" s="55" t="n">
        <x:v>13</x:v>
      </x:c>
      <x:c r="F89" s="35" t="str">
        <x:v>4.1.1</x:v>
      </x:c>
      <x:c r="G89" s="35" t="str">
        <x:v>equal length and mismatch</x:v>
      </x:c>
      <x:c r="H89" s="35" t="str">
        <x:v>INPUTS/DEVELOPMENT_CALIBRATION/BATCH_01_FIRST_50/rdf_fixtures/TRF-035/trf-035_01_pass.ttl</x:v>
      </x:c>
      <x:c r="I89" s="35" t="str">
        <x:v>682e4406fd6736ad4ce40ceffcdca72ac0ec214806017dad8e2265b9c9f02e4e</x:v>
      </x:c>
      <x:c r="J89" s="55" t="n">
        <x:v>13</x:v>
      </x:c>
      <x:c r="K89" s="35" t="str">
        <x:v>VOCAB-DEV-2026-08-13-BATCH01-R6</x:v>
      </x:c>
      <x:c r="L89" s="35" t="str">
        <x:v>YES</x:v>
      </x:c>
      <x:c r="M89" s="35" t="str">
        <x:v>NOT_RUN</x:v>
      </x:c>
    </x:row>
    <x:row r="90">
      <x:c r="A90" s="35" t="str">
        <x:v>B01-TRF-035-FAIL</x:v>
      </x:c>
      <x:c r="B90" s="38" t="str">
        <x:v>TRF-035</x:v>
      </x:c>
      <x:c r="C90" s="35" t="str">
        <x:v>FAIL</x:v>
      </x:c>
      <x:c r="D90" s="67" t="b">
        <x:v>0</x:v>
      </x:c>
      <x:c r="E90" s="55" t="n">
        <x:v>13</x:v>
      </x:c>
      <x:c r="F90" s="35" t="str">
        <x:v>4.1.1</x:v>
      </x:c>
      <x:c r="G90" s="35" t="str">
        <x:v>equal length and mismatch</x:v>
      </x:c>
      <x:c r="H90" s="35" t="str">
        <x:v>INPUTS/DEVELOPMENT_CALIBRATION/BATCH_01_FIRST_50/rdf_fixtures/TRF-035/trf-035_02_fail.ttl</x:v>
      </x:c>
      <x:c r="I90" s="35" t="str">
        <x:v>35eaccbdfe4fae461d9ec6810ce06c77859702cf2db43ac28b7b7a31ba3777b4</x:v>
      </x:c>
      <x:c r="J90" s="55" t="n">
        <x:v>13</x:v>
      </x:c>
      <x:c r="K90" s="35" t="str">
        <x:v>VOCAB-DEV-2026-08-13-BATCH01-R6</x:v>
      </x:c>
      <x:c r="L90" s="35" t="str">
        <x:v>YES</x:v>
      </x:c>
      <x:c r="M90" s="35" t="str">
        <x:v>NOT_RUN</x:v>
      </x:c>
    </x:row>
    <x:row r="91">
      <x:c r="A91" s="35" t="str">
        <x:v>B01-TRF-035-BOUNDARY</x:v>
      </x:c>
      <x:c r="B91" s="38" t="str">
        <x:v>TRF-035</x:v>
      </x:c>
      <x:c r="C91" s="35" t="str">
        <x:v>BOUNDARY</x:v>
      </x:c>
      <x:c r="D91" s="67" t="b">
        <x:v>1</x:v>
      </x:c>
      <x:c r="E91" s="55" t="n">
        <x:v>13</x:v>
      </x:c>
      <x:c r="F91" s="35" t="str">
        <x:v>4.1.1</x:v>
      </x:c>
      <x:c r="G91" s="35" t="str">
        <x:v>equal length and mismatch</x:v>
      </x:c>
      <x:c r="H91" s="35" t="str">
        <x:v>INPUTS/DEVELOPMENT_CALIBRATION/BATCH_01_FIRST_50/rdf_fixtures/TRF-035/trf-035_03_boundary.ttl</x:v>
      </x:c>
      <x:c r="I91" s="35" t="str">
        <x:v>3901630acdec893446b2af506ba24a4f844adf16f9ad950645289945a7d91f0f</x:v>
      </x:c>
      <x:c r="J91" s="55" t="n">
        <x:v>13</x:v>
      </x:c>
      <x:c r="K91" s="35" t="str">
        <x:v>VOCAB-DEV-2026-08-13-BATCH01-R6</x:v>
      </x:c>
      <x:c r="L91" s="35" t="str">
        <x:v>YES</x:v>
      </x:c>
      <x:c r="M91" s="35" t="str">
        <x:v>NOT_RUN</x:v>
      </x:c>
    </x:row>
    <x:row r="92">
      <x:c r="A92" s="35" t="str">
        <x:v>B01-TRF-036-PASS</x:v>
      </x:c>
      <x:c r="B92" s="38" t="str">
        <x:v>TRF-036</x:v>
      </x:c>
      <x:c r="C92" s="35" t="str">
        <x:v>PASS</x:v>
      </x:c>
      <x:c r="D92" s="67" t="b">
        <x:v>1</x:v>
      </x:c>
      <x:c r="E92" s="55" t="n">
        <x:v>14</x:v>
      </x:c>
      <x:c r="F92" s="35" t="str">
        <x:v>4.2.1</x:v>
      </x:c>
      <x:c r="G92" s="35" t="str">
        <x:v>each ice-class row, wrong h, wrong hi</x:v>
      </x:c>
      <x:c r="H92" s="35" t="str">
        <x:v>INPUTS/DEVELOPMENT_CALIBRATION/BATCH_01_FIRST_50/rdf_fixtures/TRF-036/trf-036_01_pass.ttl</x:v>
      </x:c>
      <x:c r="I92" s="35" t="str">
        <x:v>9b32e0fcddcf432d7f557fa640c25c39a49f2d6bac15ba28cbbcb291f1cff5f1</x:v>
      </x:c>
      <x:c r="J92" s="55" t="n">
        <x:v>14</x:v>
      </x:c>
      <x:c r="K92" s="35" t="str">
        <x:v>VOCAB-DEV-2026-08-13-BATCH01-R6</x:v>
      </x:c>
      <x:c r="L92" s="35" t="str">
        <x:v>YES</x:v>
      </x:c>
      <x:c r="M92" s="35" t="str">
        <x:v>NOT_RUN</x:v>
      </x:c>
    </x:row>
    <x:row r="93">
      <x:c r="A93" s="35" t="str">
        <x:v>B01-TRF-036-FAIL</x:v>
      </x:c>
      <x:c r="B93" s="38" t="str">
        <x:v>TRF-036</x:v>
      </x:c>
      <x:c r="C93" s="35" t="str">
        <x:v>FAIL</x:v>
      </x:c>
      <x:c r="D93" s="67" t="b">
        <x:v>0</x:v>
      </x:c>
      <x:c r="E93" s="55" t="n">
        <x:v>14</x:v>
      </x:c>
      <x:c r="F93" s="35" t="str">
        <x:v>4.2.1</x:v>
      </x:c>
      <x:c r="G93" s="35" t="str">
        <x:v>each ice-class row, wrong h, wrong hi</x:v>
      </x:c>
      <x:c r="H93" s="35" t="str">
        <x:v>INPUTS/DEVELOPMENT_CALIBRATION/BATCH_01_FIRST_50/rdf_fixtures/TRF-036/trf-036_02_fail.ttl</x:v>
      </x:c>
      <x:c r="I93" s="35" t="str">
        <x:v>b8aeb784e6c1e010c161c5f7139a763824f6e29bfc35b941580fc7d5b33139cc</x:v>
      </x:c>
      <x:c r="J93" s="55" t="n">
        <x:v>14</x:v>
      </x:c>
      <x:c r="K93" s="35" t="str">
        <x:v>VOCAB-DEV-2026-08-13-BATCH01-R6</x:v>
      </x:c>
      <x:c r="L93" s="35" t="str">
        <x:v>YES</x:v>
      </x:c>
      <x:c r="M93" s="35" t="str">
        <x:v>NOT_RUN</x:v>
      </x:c>
    </x:row>
    <x:row r="94">
      <x:c r="A94" s="35" t="str">
        <x:v>B01-TRF-036-BOUNDARY</x:v>
      </x:c>
      <x:c r="B94" s="38" t="str">
        <x:v>TRF-036</x:v>
      </x:c>
      <x:c r="C94" s="35" t="str">
        <x:v>BOUNDARY</x:v>
      </x:c>
      <x:c r="D94" s="67" t="b">
        <x:v>1</x:v>
      </x:c>
      <x:c r="E94" s="55" t="n">
        <x:v>14</x:v>
      </x:c>
      <x:c r="F94" s="35" t="str">
        <x:v>4.2.1</x:v>
      </x:c>
      <x:c r="G94" s="35" t="str">
        <x:v>each ice-class row, wrong h, wrong hi</x:v>
      </x:c>
      <x:c r="H94" s="35" t="str">
        <x:v>INPUTS/DEVELOPMENT_CALIBRATION/BATCH_01_FIRST_50/rdf_fixtures/TRF-036/trf-036_03_boundary.ttl</x:v>
      </x:c>
      <x:c r="I94" s="35" t="str">
        <x:v>bc4bb0230101ebc4787cc1b1ef1a86888705365e7786ebda17fa29c3278b12ad</x:v>
      </x:c>
      <x:c r="J94" s="55" t="n">
        <x:v>14</x:v>
      </x:c>
      <x:c r="K94" s="35" t="str">
        <x:v>VOCAB-DEV-2026-08-13-BATCH01-R6</x:v>
      </x:c>
      <x:c r="L94" s="35" t="str">
        <x:v>YES</x:v>
      </x:c>
      <x:c r="M94" s="35" t="str">
        <x:v>NOT_RUN</x:v>
      </x:c>
    </x:row>
    <x:row r="95">
      <x:c r="A95" s="35" t="str">
        <x:v>B01-TRF-037-PASS</x:v>
      </x:c>
      <x:c r="B95" s="38" t="str">
        <x:v>TRF-037</x:v>
      </x:c>
      <x:c r="C95" s="35" t="str">
        <x:v>PASS</x:v>
      </x:c>
      <x:c r="D95" s="67" t="b">
        <x:v>1</x:v>
      </x:c>
      <x:c r="E95" s="55" t="n">
        <x:v>14</x:v>
      </x:c>
      <x:c r="F95" s="35" t="str">
        <x:v>4.2.2</x:v>
      </x:c>
      <x:c r="G95" s="35" t="str">
        <x:v>exact p, cd cap at 1, incorrect factor/product</x:v>
      </x:c>
      <x:c r="H95" s="35" t="str">
        <x:v>INPUTS/DEVELOPMENT_CALIBRATION/BATCH_01_FIRST_50/rdf_fixtures/TRF-037/trf-037_01_pass.ttl</x:v>
      </x:c>
      <x:c r="I95" s="35" t="str">
        <x:v>2885b66eb02b260ba10d7a64543be2d6b95b434b7a3a333447f3f9bc5c71d9bd</x:v>
      </x:c>
      <x:c r="J95" s="55" t="n">
        <x:v>44</x:v>
      </x:c>
      <x:c r="K95" s="35" t="str">
        <x:v>VOCAB-DEV-2026-08-13-BATCH01-R6</x:v>
      </x:c>
      <x:c r="L95" s="35" t="str">
        <x:v>YES</x:v>
      </x:c>
      <x:c r="M95" s="35" t="str">
        <x:v>NOT_RUN</x:v>
      </x:c>
    </x:row>
    <x:row r="96">
      <x:c r="A96" s="35" t="str">
        <x:v>B01-TRF-037-FAIL</x:v>
      </x:c>
      <x:c r="B96" s="38" t="str">
        <x:v>TRF-037</x:v>
      </x:c>
      <x:c r="C96" s="35" t="str">
        <x:v>FAIL</x:v>
      </x:c>
      <x:c r="D96" s="67" t="b">
        <x:v>0</x:v>
      </x:c>
      <x:c r="E96" s="55" t="n">
        <x:v>14</x:v>
      </x:c>
      <x:c r="F96" s="35" t="str">
        <x:v>4.2.2</x:v>
      </x:c>
      <x:c r="G96" s="35" t="str">
        <x:v>exact p, cd cap at 1, incorrect factor/product</x:v>
      </x:c>
      <x:c r="H96" s="35" t="str">
        <x:v>INPUTS/DEVELOPMENT_CALIBRATION/BATCH_01_FIRST_50/rdf_fixtures/TRF-037/trf-037_02_fail.ttl</x:v>
      </x:c>
      <x:c r="I96" s="35" t="str">
        <x:v>2ce56859b64d59ffb16ac2b4217924df6c798aa6a986e7da34e32301f6398e7b</x:v>
      </x:c>
      <x:c r="J96" s="55" t="n">
        <x:v>44</x:v>
      </x:c>
      <x:c r="K96" s="35" t="str">
        <x:v>VOCAB-DEV-2026-08-13-BATCH01-R6</x:v>
      </x:c>
      <x:c r="L96" s="35" t="str">
        <x:v>YES</x:v>
      </x:c>
      <x:c r="M96" s="35" t="str">
        <x:v>NOT_RUN</x:v>
      </x:c>
    </x:row>
    <x:row r="97">
      <x:c r="A97" s="35" t="str">
        <x:v>B01-TRF-037-BOUNDARY</x:v>
      </x:c>
      <x:c r="B97" s="38" t="str">
        <x:v>TRF-037</x:v>
      </x:c>
      <x:c r="C97" s="35" t="str">
        <x:v>BOUNDARY</x:v>
      </x:c>
      <x:c r="D97" s="67" t="b">
        <x:v>1</x:v>
      </x:c>
      <x:c r="E97" s="55" t="n">
        <x:v>14</x:v>
      </x:c>
      <x:c r="F97" s="35" t="str">
        <x:v>4.2.2</x:v>
      </x:c>
      <x:c r="G97" s="35" t="str">
        <x:v>exact p, cd cap at 1, incorrect factor/product</x:v>
      </x:c>
      <x:c r="H97" s="35" t="str">
        <x:v>INPUTS/DEVELOPMENT_CALIBRATION/BATCH_01_FIRST_50/rdf_fixtures/TRF-037/trf-037_03_boundary.ttl</x:v>
      </x:c>
      <x:c r="I97" s="35" t="str">
        <x:v>ce75c111ec17d41f1de1fb20b997cb6b39d4c480dc5ba34240274d230ef56a80</x:v>
      </x:c>
      <x:c r="J97" s="55" t="n">
        <x:v>44</x:v>
      </x:c>
      <x:c r="K97" s="35" t="str">
        <x:v>VOCAB-DEV-2026-08-13-BATCH01-R6</x:v>
      </x:c>
      <x:c r="L97" s="35" t="str">
        <x:v>YES</x:v>
      </x:c>
      <x:c r="M97" s="35" t="str">
        <x:v>NOT_RUN</x:v>
      </x:c>
    </x:row>
    <x:row r="98">
      <x:c r="A98" s="35" t="str">
        <x:v>B01-TRF-041-PASS</x:v>
      </x:c>
      <x:c r="B98" s="38" t="str">
        <x:v>TRF-041</x:v>
      </x:c>
      <x:c r="C98" s="35" t="str">
        <x:v>PASS</x:v>
      </x:c>
      <x:c r="D98" s="67" t="b">
        <x:v>1</x:v>
      </x:c>
      <x:c r="E98" s="55" t="n">
        <x:v>17</x:v>
      </x:c>
      <x:c r="F98" s="35" t="str">
        <x:v>4.3.2</x:v>
      </x:c>
      <x:c r="G98" s="35" t="str">
        <x:v>both framing branches, exact formula boundary, low thickness</x:v>
      </x:c>
      <x:c r="H98" s="35" t="str">
        <x:v>INPUTS/DEVELOPMENT_CALIBRATION/BATCH_01_FIRST_50/rdf_fixtures/TRF-041/trf-041_01_pass.ttl</x:v>
      </x:c>
      <x:c r="I98" s="35" t="str">
        <x:v>b403945094bf4fb14ff68d7130e0984a2a545eb8fdc60010cb590ecb6a68f818</x:v>
      </x:c>
      <x:c r="J98" s="55" t="n">
        <x:v>38</x:v>
      </x:c>
      <x:c r="K98" s="35" t="str">
        <x:v>VOCAB-DEV-2026-08-13-BATCH01-R6</x:v>
      </x:c>
      <x:c r="L98" s="35" t="str">
        <x:v>YES</x:v>
      </x:c>
      <x:c r="M98" s="35" t="str">
        <x:v>NOT_RUN</x:v>
      </x:c>
    </x:row>
    <x:row r="99">
      <x:c r="A99" s="35" t="str">
        <x:v>B01-TRF-041-FAIL</x:v>
      </x:c>
      <x:c r="B99" s="38" t="str">
        <x:v>TRF-041</x:v>
      </x:c>
      <x:c r="C99" s="35" t="str">
        <x:v>FAIL</x:v>
      </x:c>
      <x:c r="D99" s="67" t="b">
        <x:v>0</x:v>
      </x:c>
      <x:c r="E99" s="55" t="n">
        <x:v>17</x:v>
      </x:c>
      <x:c r="F99" s="35" t="str">
        <x:v>4.3.2</x:v>
      </x:c>
      <x:c r="G99" s="35" t="str">
        <x:v>both framing branches, exact formula boundary, low thickness</x:v>
      </x:c>
      <x:c r="H99" s="35" t="str">
        <x:v>INPUTS/DEVELOPMENT_CALIBRATION/BATCH_01_FIRST_50/rdf_fixtures/TRF-041/trf-041_02_fail.ttl</x:v>
      </x:c>
      <x:c r="I99" s="35" t="str">
        <x:v>ec7be9f25847feb273e8e978089371273eab7349ca17f7307024c5ff953a6bdc</x:v>
      </x:c>
      <x:c r="J99" s="55" t="n">
        <x:v>38</x:v>
      </x:c>
      <x:c r="K99" s="35" t="str">
        <x:v>VOCAB-DEV-2026-08-13-BATCH01-R6</x:v>
      </x:c>
      <x:c r="L99" s="35" t="str">
        <x:v>YES</x:v>
      </x:c>
      <x:c r="M99" s="35" t="str">
        <x:v>NOT_RUN</x:v>
      </x:c>
    </x:row>
    <x:row r="100">
      <x:c r="A100" s="35" t="str">
        <x:v>B01-TRF-041-BOUNDARY</x:v>
      </x:c>
      <x:c r="B100" s="38" t="str">
        <x:v>TRF-041</x:v>
      </x:c>
      <x:c r="C100" s="35" t="str">
        <x:v>BOUNDARY</x:v>
      </x:c>
      <x:c r="D100" s="67" t="b">
        <x:v>1</x:v>
      </x:c>
      <x:c r="E100" s="55" t="n">
        <x:v>17</x:v>
      </x:c>
      <x:c r="F100" s="35" t="str">
        <x:v>4.3.2</x:v>
      </x:c>
      <x:c r="G100" s="35" t="str">
        <x:v>both framing branches, exact formula boundary, low thickness</x:v>
      </x:c>
      <x:c r="H100" s="35" t="str">
        <x:v>INPUTS/DEVELOPMENT_CALIBRATION/BATCH_01_FIRST_50/rdf_fixtures/TRF-041/trf-041_03_boundary.ttl</x:v>
      </x:c>
      <x:c r="I100" s="35" t="str">
        <x:v>b4069b898c585378ac3fdfd6d2a8cb1ff816fcf3077bdbfb24a94a4d6f396c1e</x:v>
      </x:c>
      <x:c r="J100" s="55" t="n">
        <x:v>38</x:v>
      </x:c>
      <x:c r="K100" s="35" t="str">
        <x:v>VOCAB-DEV-2026-08-13-BATCH01-R6</x:v>
      </x:c>
      <x:c r="L100" s="35" t="str">
        <x:v>YES</x:v>
      </x:c>
      <x:c r="M100" s="35" t="str">
        <x:v>NOT_RUN</x:v>
      </x:c>
    </x:row>
    <x:row r="101">
      <x:c r="A101" s="35" t="str">
        <x:v>B01-TRF-042-PASS</x:v>
      </x:c>
      <x:c r="B101" s="38" t="str">
        <x:v>TRF-042</x:v>
      </x:c>
      <x:c r="C101" s="35" t="str">
        <x:v>PASS</x:v>
      </x:c>
      <x:c r="D101" s="67" t="b">
        <x:v>1</x:v>
      </x:c>
      <x:c r="E101" s="55" t="n">
        <x:v>17</x:v>
      </x:c>
      <x:c r="F101" s="35" t="str">
        <x:v>4.3.2</x:v>
      </x:c>
      <x:c r="G101" s="35" t="str">
        <x:v>h/s at 1 and 1.8, steel-grade values, approved/unapproved lower tc</x:v>
      </x:c>
      <x:c r="H101" s="35" t="str">
        <x:v>INPUTS/DEVELOPMENT_CALIBRATION/BATCH_01_FIRST_50/rdf_fixtures/TRF-042/trf-042_01_pass.ttl</x:v>
      </x:c>
      <x:c r="I101" s="35" t="str">
        <x:v>ec996779d78a279b2807fb5e10786567342fe7bfca47c972db7ecd70e07d8209</x:v>
      </x:c>
      <x:c r="J101" s="55" t="n">
        <x:v>31</x:v>
      </x:c>
      <x:c r="K101" s="35" t="str">
        <x:v>VOCAB-DEV-2026-08-13-BATCH01-R6</x:v>
      </x:c>
      <x:c r="L101" s="35" t="str">
        <x:v>YES</x:v>
      </x:c>
      <x:c r="M101" s="35" t="str">
        <x:v>NOT_RUN</x:v>
      </x:c>
    </x:row>
    <x:row r="102">
      <x:c r="A102" s="35" t="str">
        <x:v>B01-TRF-042-FAIL</x:v>
      </x:c>
      <x:c r="B102" s="38" t="str">
        <x:v>TRF-042</x:v>
      </x:c>
      <x:c r="C102" s="35" t="str">
        <x:v>FAIL</x:v>
      </x:c>
      <x:c r="D102" s="67" t="b">
        <x:v>0</x:v>
      </x:c>
      <x:c r="E102" s="55" t="n">
        <x:v>17</x:v>
      </x:c>
      <x:c r="F102" s="35" t="str">
        <x:v>4.3.2</x:v>
      </x:c>
      <x:c r="G102" s="35" t="str">
        <x:v>h/s at 1 and 1.8, steel-grade values, approved/unapproved lower tc</x:v>
      </x:c>
      <x:c r="H102" s="35" t="str">
        <x:v>INPUTS/DEVELOPMENT_CALIBRATION/BATCH_01_FIRST_50/rdf_fixtures/TRF-042/trf-042_02_fail.ttl</x:v>
      </x:c>
      <x:c r="I102" s="35" t="str">
        <x:v>718817de0205431efcf7ebadfc5acbb78479c3c8a96bd99d66e03f5e7d71f16a</x:v>
      </x:c>
      <x:c r="J102" s="55" t="n">
        <x:v>31</x:v>
      </x:c>
      <x:c r="K102" s="35" t="str">
        <x:v>VOCAB-DEV-2026-08-13-BATCH01-R6</x:v>
      </x:c>
      <x:c r="L102" s="35" t="str">
        <x:v>YES</x:v>
      </x:c>
      <x:c r="M102" s="35" t="str">
        <x:v>NOT_RUN</x:v>
      </x:c>
    </x:row>
    <x:row r="103">
      <x:c r="A103" s="35" t="str">
        <x:v>B01-TRF-042-BOUNDARY</x:v>
      </x:c>
      <x:c r="B103" s="38" t="str">
        <x:v>TRF-042</x:v>
      </x:c>
      <x:c r="C103" s="35" t="str">
        <x:v>BOUNDARY</x:v>
      </x:c>
      <x:c r="D103" s="67" t="b">
        <x:v>1</x:v>
      </x:c>
      <x:c r="E103" s="55" t="n">
        <x:v>17</x:v>
      </x:c>
      <x:c r="F103" s="35" t="str">
        <x:v>4.3.2</x:v>
      </x:c>
      <x:c r="G103" s="35" t="str">
        <x:v>h/s at 1 and 1.8, steel-grade values, approved/unapproved lower tc</x:v>
      </x:c>
      <x:c r="H103" s="35" t="str">
        <x:v>INPUTS/DEVELOPMENT_CALIBRATION/BATCH_01_FIRST_50/rdf_fixtures/TRF-042/trf-042_03_boundary.ttl</x:v>
      </x:c>
      <x:c r="I103" s="35" t="str">
        <x:v>6e43b1d08903a94088b685033b5411fe91531d77153c10ca553b10735c17027a</x:v>
      </x:c>
      <x:c r="J103" s="55" t="n">
        <x:v>31</x:v>
      </x:c>
      <x:c r="K103" s="35" t="str">
        <x:v>VOCAB-DEV-2026-08-13-BATCH01-R6</x:v>
      </x:c>
      <x:c r="L103" s="35" t="str">
        <x:v>YES</x:v>
      </x:c>
      <x:c r="M103" s="35" t="str">
        <x:v>NOT_RUN</x:v>
      </x:c>
    </x:row>
    <x:row r="104">
      <x:c r="A104" s="35" t="str">
        <x:v>B01-TRF-043-PASS</x:v>
      </x:c>
      <x:c r="B104" s="38" t="str">
        <x:v>TRF-043</x:v>
      </x:c>
      <x:c r="C104" s="35" t="str">
        <x:v>PASS</x:v>
      </x:c>
      <x:c r="D104" s="67" t="b">
        <x:v>1</x:v>
      </x:c>
      <x:c r="E104" s="55" t="n">
        <x:v>18</x:v>
      </x:c>
      <x:c r="F104" s="35" t="str">
        <x:v>4.4.1</x:v>
      </x:c>
      <x:c r="G104" s="35" t="str">
        <x:v>table rows, exact 250-mm boundary, 251-mm failure</x:v>
      </x:c>
      <x:c r="H104" s="35" t="str">
        <x:v>INPUTS/DEVELOPMENT_CALIBRATION/BATCH_01_FIRST_50/rdf_fixtures/TRF-043/trf-043_01_pass.ttl</x:v>
      </x:c>
      <x:c r="I104" s="35" t="str">
        <x:v>5a4df31449ecf584b2088ffe6fa94c6ebcd552d07a0a2345e4cb3dd59faabb00</x:v>
      </x:c>
      <x:c r="J104" s="55" t="n">
        <x:v>22</x:v>
      </x:c>
      <x:c r="K104" s="35" t="str">
        <x:v>VOCAB-DEV-2026-08-13-BATCH01-R6</x:v>
      </x:c>
      <x:c r="L104" s="35" t="str">
        <x:v>YES</x:v>
      </x:c>
      <x:c r="M104" s="35" t="str">
        <x:v>NOT_RUN</x:v>
      </x:c>
    </x:row>
    <x:row r="105">
      <x:c r="A105" s="35" t="str">
        <x:v>B01-TRF-043-FAIL</x:v>
      </x:c>
      <x:c r="B105" s="38" t="str">
        <x:v>TRF-043</x:v>
      </x:c>
      <x:c r="C105" s="35" t="str">
        <x:v>FAIL</x:v>
      </x:c>
      <x:c r="D105" s="67" t="b">
        <x:v>0</x:v>
      </x:c>
      <x:c r="E105" s="55" t="n">
        <x:v>18</x:v>
      </x:c>
      <x:c r="F105" s="35" t="str">
        <x:v>4.4.1</x:v>
      </x:c>
      <x:c r="G105" s="35" t="str">
        <x:v>table rows, exact 250-mm boundary, 251-mm failure</x:v>
      </x:c>
      <x:c r="H105" s="35" t="str">
        <x:v>INPUTS/DEVELOPMENT_CALIBRATION/BATCH_01_FIRST_50/rdf_fixtures/TRF-043/trf-043_02_fail.ttl</x:v>
      </x:c>
      <x:c r="I105" s="35" t="str">
        <x:v>5396dafb8874d40b66349173d3ed1296e00d4141b36a6890d6c26957f5867d30</x:v>
      </x:c>
      <x:c r="J105" s="55" t="n">
        <x:v>22</x:v>
      </x:c>
      <x:c r="K105" s="35" t="str">
        <x:v>VOCAB-DEV-2026-08-13-BATCH01-R6</x:v>
      </x:c>
      <x:c r="L105" s="35" t="str">
        <x:v>YES</x:v>
      </x:c>
      <x:c r="M105" s="35" t="str">
        <x:v>NOT_RUN</x:v>
      </x:c>
    </x:row>
    <x:row r="106">
      <x:c r="A106" s="35" t="str">
        <x:v>B01-TRF-043-BOUNDARY</x:v>
      </x:c>
      <x:c r="B106" s="38" t="str">
        <x:v>TRF-043</x:v>
      </x:c>
      <x:c r="C106" s="35" t="str">
        <x:v>BOUNDARY</x:v>
      </x:c>
      <x:c r="D106" s="67" t="b">
        <x:v>1</x:v>
      </x:c>
      <x:c r="E106" s="55" t="n">
        <x:v>18</x:v>
      </x:c>
      <x:c r="F106" s="35" t="str">
        <x:v>4.4.1</x:v>
      </x:c>
      <x:c r="G106" s="35" t="str">
        <x:v>table rows, exact 250-mm boundary, 251-mm failure</x:v>
      </x:c>
      <x:c r="H106" s="35" t="str">
        <x:v>INPUTS/DEVELOPMENT_CALIBRATION/BATCH_01_FIRST_50/rdf_fixtures/TRF-043/trf-043_03_boundary.ttl</x:v>
      </x:c>
      <x:c r="I106" s="35" t="str">
        <x:v>8d91b8c61a5bb922e8da728b2c623c0bc2abf4520ac805b40031363820e44d1d</x:v>
      </x:c>
      <x:c r="J106" s="55" t="n">
        <x:v>22</x:v>
      </x:c>
      <x:c r="K106" s="35" t="str">
        <x:v>VOCAB-DEV-2026-08-13-BATCH01-R6</x:v>
      </x:c>
      <x:c r="L106" s="35" t="str">
        <x:v>YES</x:v>
      </x:c>
      <x:c r="M106" s="35" t="str">
        <x:v>NOT_RUN</x:v>
      </x:c>
    </x:row>
    <x:row r="107">
      <x:c r="A107" s="35" t="str">
        <x:v>B01-TRF-044-PASS</x:v>
      </x:c>
      <x:c r="B107" s="38" t="str">
        <x:v>TRF-044</x:v>
      </x:c>
      <x:c r="C107" s="35" t="str">
        <x:v>PASS</x:v>
      </x:c>
      <x:c r="D107" s="67" t="b">
        <x:v>1</x:v>
      </x:c>
      <x:c r="E107" s="55" t="str">
        <x:v>18-19</x:v>
      </x:c>
      <x:c r="F107" s="35" t="str">
        <x:v>4.4.2.1</x:v>
      </x:c>
      <x:c r="G107" s="35" t="str">
        <x:v>m0 rows, h/l boundary, exact Z/A, low Z/A</x:v>
      </x:c>
      <x:c r="H107" s="35" t="str">
        <x:v>INPUTS/DEVELOPMENT_CALIBRATION/BATCH_01_FIRST_50/rdf_fixtures/TRF-044/trf-044_01_pass.ttl</x:v>
      </x:c>
      <x:c r="I107" s="35" t="str">
        <x:v>355e99c54e12b175e2f9b2f82b75c78ab0d84ce7bb0f8970e42b5f439a7c6efd</x:v>
      </x:c>
      <x:c r="J107" s="55" t="n">
        <x:v>50</x:v>
      </x:c>
      <x:c r="K107" s="35" t="str">
        <x:v>VOCAB-DEV-2026-08-13-BATCH01-R6</x:v>
      </x:c>
      <x:c r="L107" s="35" t="str">
        <x:v>YES</x:v>
      </x:c>
      <x:c r="M107" s="35" t="str">
        <x:v>NOT_RUN</x:v>
      </x:c>
    </x:row>
    <x:row r="108">
      <x:c r="A108" s="35" t="str">
        <x:v>B01-TRF-044-FAIL</x:v>
      </x:c>
      <x:c r="B108" s="38" t="str">
        <x:v>TRF-044</x:v>
      </x:c>
      <x:c r="C108" s="35" t="str">
        <x:v>FAIL</x:v>
      </x:c>
      <x:c r="D108" s="67" t="b">
        <x:v>0</x:v>
      </x:c>
      <x:c r="E108" s="55" t="str">
        <x:v>18-19</x:v>
      </x:c>
      <x:c r="F108" s="35" t="str">
        <x:v>4.4.2.1</x:v>
      </x:c>
      <x:c r="G108" s="35" t="str">
        <x:v>m0 rows, h/l boundary, exact Z/A, low Z/A</x:v>
      </x:c>
      <x:c r="H108" s="35" t="str">
        <x:v>INPUTS/DEVELOPMENT_CALIBRATION/BATCH_01_FIRST_50/rdf_fixtures/TRF-044/trf-044_02_fail.ttl</x:v>
      </x:c>
      <x:c r="I108" s="35" t="str">
        <x:v>6cbf00fbd51965b38d0a19f7c6157badc9cb4179fcceb74c1b3c0fb98e4eae71</x:v>
      </x:c>
      <x:c r="J108" s="55" t="n">
        <x:v>50</x:v>
      </x:c>
      <x:c r="K108" s="35" t="str">
        <x:v>VOCAB-DEV-2026-08-13-BATCH01-R6</x:v>
      </x:c>
      <x:c r="L108" s="35" t="str">
        <x:v>YES</x:v>
      </x:c>
      <x:c r="M108" s="35" t="str">
        <x:v>NOT_RUN</x:v>
      </x:c>
    </x:row>
    <x:row r="109">
      <x:c r="A109" s="35" t="str">
        <x:v>B01-TRF-044-BOUNDARY</x:v>
      </x:c>
      <x:c r="B109" s="38" t="str">
        <x:v>TRF-044</x:v>
      </x:c>
      <x:c r="C109" s="35" t="str">
        <x:v>BOUNDARY</x:v>
      </x:c>
      <x:c r="D109" s="67" t="b">
        <x:v>1</x:v>
      </x:c>
      <x:c r="E109" s="55" t="str">
        <x:v>18-19</x:v>
      </x:c>
      <x:c r="F109" s="35" t="str">
        <x:v>4.4.2.1</x:v>
      </x:c>
      <x:c r="G109" s="35" t="str">
        <x:v>m0 rows, h/l boundary, exact Z/A, low Z/A</x:v>
      </x:c>
      <x:c r="H109" s="35" t="str">
        <x:v>INPUTS/DEVELOPMENT_CALIBRATION/BATCH_01_FIRST_50/rdf_fixtures/TRF-044/trf-044_03_boundary.ttl</x:v>
      </x:c>
      <x:c r="I109" s="35" t="str">
        <x:v>9c8b42cf4b9f3c018740d4db81b811407d0213cf74772120366630bb0a83ffa2</x:v>
      </x:c>
      <x:c r="J109" s="55" t="n">
        <x:v>50</x:v>
      </x:c>
      <x:c r="K109" s="35" t="str">
        <x:v>VOCAB-DEV-2026-08-13-BATCH01-R6</x:v>
      </x:c>
      <x:c r="L109" s="35" t="str">
        <x:v>YES</x:v>
      </x:c>
      <x:c r="M109" s="35" t="str">
        <x:v>NOT_RUN</x:v>
      </x:c>
    </x:row>
    <x:row r="110">
      <x:c r="A110" s="35" t="str">
        <x:v>B01-TRF-045-PASS</x:v>
      </x:c>
      <x:c r="B110" s="38" t="str">
        <x:v>TRF-045</x:v>
      </x:c>
      <x:c r="C110" s="35" t="str">
        <x:v>PASS</x:v>
      </x:c>
      <x:c r="D110" s="67" t="b">
        <x:v>1</x:v>
      </x:c>
      <x:c r="E110" s="55" t="n">
        <x:v>19</x:v>
      </x:c>
      <x:c r="F110" s="35" t="str">
        <x:v>4.4.2.1</x:v>
      </x:c>
      <x:c r="G110" s="35" t="str">
        <x:v>14.9% permitted, 15% not permitted, ordinary scantling use</x:v>
      </x:c>
      <x:c r="H110" s="35" t="str">
        <x:v>INPUTS/DEVELOPMENT_CALIBRATION/BATCH_01_FIRST_50/rdf_fixtures/TRF-045/trf-045_01_pass.ttl</x:v>
      </x:c>
      <x:c r="I110" s="35" t="str">
        <x:v>fb7e6c27c6a0dc7fed068b640927f67a0c3b432116d5e80ad37ca394b9979af4</x:v>
      </x:c>
      <x:c r="J110" s="55" t="n">
        <x:v>13</x:v>
      </x:c>
      <x:c r="K110" s="35" t="str">
        <x:v>VOCAB-DEV-2026-08-13-BATCH01-R6</x:v>
      </x:c>
      <x:c r="L110" s="35" t="str">
        <x:v>YES</x:v>
      </x:c>
      <x:c r="M110" s="35" t="str">
        <x:v>NOT_RUN</x:v>
      </x:c>
    </x:row>
    <x:row r="111">
      <x:c r="A111" s="35" t="str">
        <x:v>B01-TRF-045-FAIL</x:v>
      </x:c>
      <x:c r="B111" s="38" t="str">
        <x:v>TRF-045</x:v>
      </x:c>
      <x:c r="C111" s="35" t="str">
        <x:v>FAIL</x:v>
      </x:c>
      <x:c r="D111" s="67" t="b">
        <x:v>0</x:v>
      </x:c>
      <x:c r="E111" s="55" t="n">
        <x:v>19</x:v>
      </x:c>
      <x:c r="F111" s="35" t="str">
        <x:v>4.4.2.1</x:v>
      </x:c>
      <x:c r="G111" s="35" t="str">
        <x:v>14.9% permitted, 15% not permitted, ordinary scantling use</x:v>
      </x:c>
      <x:c r="H111" s="35" t="str">
        <x:v>INPUTS/DEVELOPMENT_CALIBRATION/BATCH_01_FIRST_50/rdf_fixtures/TRF-045/trf-045_02_fail.ttl</x:v>
      </x:c>
      <x:c r="I111" s="35" t="str">
        <x:v>313d941f3ff1b987f8c3feaedd2618371865a53c628201bc4913dbff7a0bca6b</x:v>
      </x:c>
      <x:c r="J111" s="55" t="n">
        <x:v>13</x:v>
      </x:c>
      <x:c r="K111" s="35" t="str">
        <x:v>VOCAB-DEV-2026-08-13-BATCH01-R6</x:v>
      </x:c>
      <x:c r="L111" s="35" t="str">
        <x:v>YES</x:v>
      </x:c>
      <x:c r="M111" s="35" t="str">
        <x:v>NOT_RUN</x:v>
      </x:c>
    </x:row>
    <x:row r="112">
      <x:c r="A112" s="35" t="str">
        <x:v>B01-TRF-045-BOUNDARY</x:v>
      </x:c>
      <x:c r="B112" s="38" t="str">
        <x:v>TRF-045</x:v>
      </x:c>
      <x:c r="C112" s="35" t="str">
        <x:v>BOUNDARY</x:v>
      </x:c>
      <x:c r="D112" s="67" t="b">
        <x:v>1</x:v>
      </x:c>
      <x:c r="E112" s="55" t="n">
        <x:v>19</x:v>
      </x:c>
      <x:c r="F112" s="35" t="str">
        <x:v>4.4.2.1</x:v>
      </x:c>
      <x:c r="G112" s="35" t="str">
        <x:v>14.9% permitted, 15% not permitted, ordinary scantling use</x:v>
      </x:c>
      <x:c r="H112" s="35" t="str">
        <x:v>INPUTS/DEVELOPMENT_CALIBRATION/BATCH_01_FIRST_50/rdf_fixtures/TRF-045/trf-045_03_boundary.ttl</x:v>
      </x:c>
      <x:c r="I112" s="35" t="str">
        <x:v>23c6514f475b7b5f6f9bff59ba6be36400d6c2e35894713797dbb2d328adc590</x:v>
      </x:c>
      <x:c r="J112" s="55" t="n">
        <x:v>13</x:v>
      </x:c>
      <x:c r="K112" s="35" t="str">
        <x:v>VOCAB-DEV-2026-08-13-BATCH01-R6</x:v>
      </x:c>
      <x:c r="L112" s="35" t="str">
        <x:v>YES</x:v>
      </x:c>
      <x:c r="M112" s="35" t="str">
        <x:v>NOT_RUN</x:v>
      </x:c>
    </x:row>
    <x:row r="113">
      <x:c r="A113" s="35" t="str">
        <x:v>B01-TRF-046-PASS</x:v>
      </x:c>
      <x:c r="B113" s="38" t="str">
        <x:v>TRF-046</x:v>
      </x:c>
      <x:c r="C113" s="35" t="str">
        <x:v>PASS</x:v>
      </x:c>
      <x:c r="D113" s="67" t="b">
        <x:v>1</x:v>
      </x:c>
      <x:c r="E113" s="55" t="n">
        <x:v>19</x:v>
      </x:c>
      <x:c r="F113" s="35" t="str">
        <x:v>4.4.2.2</x:v>
      </x:c>
      <x:c r="G113" s="35" t="str">
        <x:v>direct attachment, permitted termination alternative, missing connection</x:v>
      </x:c>
      <x:c r="H113" s="35" t="str">
        <x:v>INPUTS/DEVELOPMENT_CALIBRATION/BATCH_01_FIRST_50/rdf_fixtures/TRF-046/trf-046_01_pass.ttl</x:v>
      </x:c>
      <x:c r="I113" s="35" t="str">
        <x:v>65bd92f2dcf7c2f0ffda29929a3589c9796528e62a0ca170f95a056ee4712cc0</x:v>
      </x:c>
      <x:c r="J113" s="55" t="n">
        <x:v>26</x:v>
      </x:c>
      <x:c r="K113" s="35" t="str">
        <x:v>VOCAB-DEV-2026-08-13-BATCH01-R6</x:v>
      </x:c>
      <x:c r="L113" s="35" t="str">
        <x:v>YES</x:v>
      </x:c>
      <x:c r="M113" s="35" t="str">
        <x:v>NOT_RUN</x:v>
      </x:c>
    </x:row>
    <x:row r="114">
      <x:c r="A114" s="35" t="str">
        <x:v>B01-TRF-046-FAIL</x:v>
      </x:c>
      <x:c r="B114" s="38" t="str">
        <x:v>TRF-046</x:v>
      </x:c>
      <x:c r="C114" s="35" t="str">
        <x:v>FAIL</x:v>
      </x:c>
      <x:c r="D114" s="67" t="b">
        <x:v>0</x:v>
      </x:c>
      <x:c r="E114" s="55" t="n">
        <x:v>19</x:v>
      </x:c>
      <x:c r="F114" s="35" t="str">
        <x:v>4.4.2.2</x:v>
      </x:c>
      <x:c r="G114" s="35" t="str">
        <x:v>direct attachment, permitted termination alternative, missing connection</x:v>
      </x:c>
      <x:c r="H114" s="35" t="str">
        <x:v>INPUTS/DEVELOPMENT_CALIBRATION/BATCH_01_FIRST_50/rdf_fixtures/TRF-046/trf-046_02_fail.ttl</x:v>
      </x:c>
      <x:c r="I114" s="35" t="str">
        <x:v>d424a064e4e67e013f2849edd670810735dffcd30977b4029e2eb88092e6b895</x:v>
      </x:c>
      <x:c r="J114" s="55" t="n">
        <x:v>24</x:v>
      </x:c>
      <x:c r="K114" s="35" t="str">
        <x:v>VOCAB-DEV-2026-08-13-BATCH01-R6</x:v>
      </x:c>
      <x:c r="L114" s="35" t="str">
        <x:v>YES</x:v>
      </x:c>
      <x:c r="M114" s="35" t="str">
        <x:v>NOT_RUN</x:v>
      </x:c>
    </x:row>
    <x:row r="115">
      <x:c r="A115" s="35" t="str">
        <x:v>B01-TRF-046-BOUNDARY</x:v>
      </x:c>
      <x:c r="B115" s="38" t="str">
        <x:v>TRF-046</x:v>
      </x:c>
      <x:c r="C115" s="35" t="str">
        <x:v>BOUNDARY</x:v>
      </x:c>
      <x:c r="D115" s="67" t="b">
        <x:v>1</x:v>
      </x:c>
      <x:c r="E115" s="55" t="n">
        <x:v>19</x:v>
      </x:c>
      <x:c r="F115" s="35" t="str">
        <x:v>4.4.2.2</x:v>
      </x:c>
      <x:c r="G115" s="35" t="str">
        <x:v>direct attachment, permitted termination alternative, missing connection</x:v>
      </x:c>
      <x:c r="H115" s="35" t="str">
        <x:v>INPUTS/DEVELOPMENT_CALIBRATION/BATCH_01_FIRST_50/rdf_fixtures/TRF-046/trf-046_03_boundary.ttl</x:v>
      </x:c>
      <x:c r="I115" s="35" t="str">
        <x:v>79b56663e502dc0f952dba009378b0ca2a4aa7cfce737eed085e3c2b33fe9d8c</x:v>
      </x:c>
      <x:c r="J115" s="55" t="n">
        <x:v>26</x:v>
      </x:c>
      <x:c r="K115" s="35" t="str">
        <x:v>VOCAB-DEV-2026-08-13-BATCH01-R6</x:v>
      </x:c>
      <x:c r="L115" s="35" t="str">
        <x:v>YES</x:v>
      </x:c>
      <x:c r="M115" s="35" t="str">
        <x:v>NOT_RUN</x:v>
      </x:c>
    </x:row>
    <x:row r="116">
      <x:c r="A116" s="35" t="str">
        <x:v>B01-TRF-047-PASS</x:v>
      </x:c>
      <x:c r="B116" s="38" t="str">
        <x:v>TRF-047</x:v>
      </x:c>
      <x:c r="C116" s="35" t="str">
        <x:v>PASS</x:v>
      </x:c>
      <x:c r="D116" s="67" t="b">
        <x:v>1</x:v>
      </x:c>
      <x:c r="E116" s="55" t="n">
        <x:v>20</x:v>
      </x:c>
      <x:c r="F116" s="35" t="str">
        <x:v>4.4.2.3</x:v>
      </x:c>
      <x:c r="G116" s="35" t="str">
        <x:v>direct attachment, permitted lower alternative, missing strengthening</x:v>
      </x:c>
      <x:c r="H116" s="35" t="str">
        <x:v>INPUTS/DEVELOPMENT_CALIBRATION/BATCH_01_FIRST_50/rdf_fixtures/TRF-047/trf-047_01_pass.ttl</x:v>
      </x:c>
      <x:c r="I116" s="35" t="str">
        <x:v>2a40d0367a8f91951cb45db479c6e7687fd51d76bde7f78982c73caeec827428</x:v>
      </x:c>
      <x:c r="J116" s="55" t="n">
        <x:v>30</x:v>
      </x:c>
      <x:c r="K116" s="35" t="str">
        <x:v>VOCAB-DEV-2026-08-13-BATCH01-R6</x:v>
      </x:c>
      <x:c r="L116" s="35" t="str">
        <x:v>YES</x:v>
      </x:c>
      <x:c r="M116" s="35" t="str">
        <x:v>NOT_RUN</x:v>
      </x:c>
    </x:row>
    <x:row r="117">
      <x:c r="A117" s="35" t="str">
        <x:v>B01-TRF-047-FAIL</x:v>
      </x:c>
      <x:c r="B117" s="38" t="str">
        <x:v>TRF-047</x:v>
      </x:c>
      <x:c r="C117" s="35" t="str">
        <x:v>FAIL</x:v>
      </x:c>
      <x:c r="D117" s="67" t="b">
        <x:v>0</x:v>
      </x:c>
      <x:c r="E117" s="55" t="n">
        <x:v>20</x:v>
      </x:c>
      <x:c r="F117" s="35" t="str">
        <x:v>4.4.2.3</x:v>
      </x:c>
      <x:c r="G117" s="35" t="str">
        <x:v>direct attachment, permitted lower alternative, missing strengthening</x:v>
      </x:c>
      <x:c r="H117" s="35" t="str">
        <x:v>INPUTS/DEVELOPMENT_CALIBRATION/BATCH_01_FIRST_50/rdf_fixtures/TRF-047/trf-047_02_fail.ttl</x:v>
      </x:c>
      <x:c r="I117" s="35" t="str">
        <x:v>ff6d523901d9d4c52afc607088f66e6d31414026aac11bf824c11e52d28b9ac3</x:v>
      </x:c>
      <x:c r="J117" s="55" t="n">
        <x:v>28</x:v>
      </x:c>
      <x:c r="K117" s="35" t="str">
        <x:v>VOCAB-DEV-2026-08-13-BATCH01-R6</x:v>
      </x:c>
      <x:c r="L117" s="35" t="str">
        <x:v>YES</x:v>
      </x:c>
      <x:c r="M117" s="35" t="str">
        <x:v>NOT_RUN</x:v>
      </x:c>
    </x:row>
    <x:row r="118">
      <x:c r="A118" s="35" t="str">
        <x:v>B01-TRF-047-BOUNDARY</x:v>
      </x:c>
      <x:c r="B118" s="38" t="str">
        <x:v>TRF-047</x:v>
      </x:c>
      <x:c r="C118" s="35" t="str">
        <x:v>BOUNDARY</x:v>
      </x:c>
      <x:c r="D118" s="67" t="b">
        <x:v>1</x:v>
      </x:c>
      <x:c r="E118" s="55" t="n">
        <x:v>20</x:v>
      </x:c>
      <x:c r="F118" s="35" t="str">
        <x:v>4.4.2.3</x:v>
      </x:c>
      <x:c r="G118" s="35" t="str">
        <x:v>direct attachment, permitted lower alternative, missing strengthening</x:v>
      </x:c>
      <x:c r="H118" s="35" t="str">
        <x:v>INPUTS/DEVELOPMENT_CALIBRATION/BATCH_01_FIRST_50/rdf_fixtures/TRF-047/trf-047_03_boundary.ttl</x:v>
      </x:c>
      <x:c r="I118" s="35" t="str">
        <x:v>4b68dfc4a09366a837f5f590cd5ab9adf26bb5f25b4d39d545f959f2f59ec356</x:v>
      </x:c>
      <x:c r="J118" s="55" t="n">
        <x:v>30</x:v>
      </x:c>
      <x:c r="K118" s="35" t="str">
        <x:v>VOCAB-DEV-2026-08-13-BATCH01-R6</x:v>
      </x:c>
      <x:c r="L118" s="35" t="str">
        <x:v>YES</x:v>
      </x:c>
      <x:c r="M118" s="35" t="str">
        <x:v>NOT_RUN</x:v>
      </x:c>
    </x:row>
    <x:row r="119">
      <x:c r="A119" s="35" t="str">
        <x:v>B01-TRF-048-PASS</x:v>
      </x:c>
      <x:c r="B119" s="38" t="str">
        <x:v>TRF-048</x:v>
      </x:c>
      <x:c r="C119" s="35" t="str">
        <x:v>PASS</x:v>
      </x:c>
      <x:c r="D119" s="67" t="b">
        <x:v>1</x:v>
      </x:c>
      <x:c r="E119" s="55" t="n">
        <x:v>20</x:v>
      </x:c>
      <x:c r="F119" s="35" t="str">
        <x:v>4.4.3</x:v>
      </x:c>
      <x:c r="G119" s="35" t="str">
        <x:v>m=13.3 default, smaller end-field m, bracket exclusion, low Z/A</x:v>
      </x:c>
      <x:c r="H119" s="35" t="str">
        <x:v>INPUTS/DEVELOPMENT_CALIBRATION/BATCH_01_FIRST_50/rdf_fixtures/TRF-048/trf-048_01_pass.ttl</x:v>
      </x:c>
      <x:c r="I119" s="35" t="str">
        <x:v>e808e0a6213f757580f465536fa33e8224aac3ff10aaeb78d2b3c921a940de2c</x:v>
      </x:c>
      <x:c r="J119" s="55" t="n">
        <x:v>57</x:v>
      </x:c>
      <x:c r="K119" s="35" t="str">
        <x:v>VOCAB-DEV-2026-08-13-BATCH01-R6</x:v>
      </x:c>
      <x:c r="L119" s="35" t="str">
        <x:v>YES</x:v>
      </x:c>
      <x:c r="M119" s="35" t="str">
        <x:v>NOT_RUN</x:v>
      </x:c>
    </x:row>
    <x:row r="120">
      <x:c r="A120" s="35" t="str">
        <x:v>B01-TRF-048-FAIL</x:v>
      </x:c>
      <x:c r="B120" s="38" t="str">
        <x:v>TRF-048</x:v>
      </x:c>
      <x:c r="C120" s="35" t="str">
        <x:v>FAIL</x:v>
      </x:c>
      <x:c r="D120" s="67" t="b">
        <x:v>0</x:v>
      </x:c>
      <x:c r="E120" s="55" t="n">
        <x:v>20</x:v>
      </x:c>
      <x:c r="F120" s="35" t="str">
        <x:v>4.4.3</x:v>
      </x:c>
      <x:c r="G120" s="35" t="str">
        <x:v>m=13.3 default, smaller end-field m, bracket exclusion, low Z/A</x:v>
      </x:c>
      <x:c r="H120" s="35" t="str">
        <x:v>INPUTS/DEVELOPMENT_CALIBRATION/BATCH_01_FIRST_50/rdf_fixtures/TRF-048/trf-048_02_fail.ttl</x:v>
      </x:c>
      <x:c r="I120" s="35" t="str">
        <x:v>174cbf85ffb1a6ec07eef83f5afbb58875a68421e06bc633bdbc14301ffd42a9</x:v>
      </x:c>
      <x:c r="J120" s="55" t="n">
        <x:v>57</x:v>
      </x:c>
      <x:c r="K120" s="35" t="str">
        <x:v>VOCAB-DEV-2026-08-13-BATCH01-R6</x:v>
      </x:c>
      <x:c r="L120" s="35" t="str">
        <x:v>YES</x:v>
      </x:c>
      <x:c r="M120" s="35" t="str">
        <x:v>NOT_RUN</x:v>
      </x:c>
    </x:row>
    <x:row r="121">
      <x:c r="A121" s="35" t="str">
        <x:v>B01-TRF-048-BOUNDARY</x:v>
      </x:c>
      <x:c r="B121" s="38" t="str">
        <x:v>TRF-048</x:v>
      </x:c>
      <x:c r="C121" s="35" t="str">
        <x:v>BOUNDARY</x:v>
      </x:c>
      <x:c r="D121" s="67" t="b">
        <x:v>1</x:v>
      </x:c>
      <x:c r="E121" s="55" t="n">
        <x:v>20</x:v>
      </x:c>
      <x:c r="F121" s="35" t="str">
        <x:v>4.4.3</x:v>
      </x:c>
      <x:c r="G121" s="35" t="str">
        <x:v>m=13.3 default, smaller end-field m, bracket exclusion, low Z/A</x:v>
      </x:c>
      <x:c r="H121" s="35" t="str">
        <x:v>INPUTS/DEVELOPMENT_CALIBRATION/BATCH_01_FIRST_50/rdf_fixtures/TRF-048/trf-048_03_boundary.ttl</x:v>
      </x:c>
      <x:c r="I121" s="35" t="str">
        <x:v>9e93e95517b2b4a6f65beba8de23532e959b3f8fba43d3102e8ce4214b8cfd2c</x:v>
      </x:c>
      <x:c r="J121" s="55" t="n">
        <x:v>57</x:v>
      </x:c>
      <x:c r="K121" s="35" t="str">
        <x:v>VOCAB-DEV-2026-08-13-BATCH01-R6</x:v>
      </x:c>
      <x:c r="L121" s="35" t="str">
        <x:v>YES</x:v>
      </x:c>
      <x:c r="M121" s="35" t="str">
        <x:v>NOT_RUN</x:v>
      </x:c>
    </x:row>
    <x:row r="122">
      <x:c r="A122" s="35" t="str">
        <x:v>B01-TRF-049-PASS</x:v>
      </x:c>
      <x:c r="B122" s="38" t="str">
        <x:v>TRF-049</x:v>
      </x:c>
      <x:c r="C122" s="35" t="str">
        <x:v>PASS</x:v>
      </x:c>
      <x:c r="D122" s="67" t="b">
        <x:v>1</x:v>
      </x:c>
      <x:c r="E122" s="55" t="n">
        <x:v>21</x:v>
      </x:c>
      <x:c r="F122" s="35" t="str">
        <x:v>4.4.4.1</x:v>
      </x:c>
      <x:c r="G122" s="35" t="str">
        <x:v>longitudinal brackets, terminating frame bracket, through-frame two-sided connection, thin bracket</x:v>
      </x:c>
      <x:c r="H122" s="35" t="str">
        <x:v>INPUTS/DEVELOPMENT_CALIBRATION/BATCH_01_FIRST_50/rdf_fixtures/TRF-049/trf-049_01_pass.ttl</x:v>
      </x:c>
      <x:c r="I122" s="35" t="str">
        <x:v>beabd57f1d15ab86a7b7cfbe689e4cfd731b952866318f138bc659e17bcd3369</x:v>
      </x:c>
      <x:c r="J122" s="55" t="n">
        <x:v>36</x:v>
      </x:c>
      <x:c r="K122" s="35" t="str">
        <x:v>VOCAB-DEV-2026-08-13-BATCH01-R6</x:v>
      </x:c>
      <x:c r="L122" s="35" t="str">
        <x:v>YES</x:v>
      </x:c>
      <x:c r="M122" s="35" t="str">
        <x:v>NOT_RUN</x:v>
      </x:c>
    </x:row>
    <x:row r="123">
      <x:c r="A123" s="35" t="str">
        <x:v>B01-TRF-049-FAIL</x:v>
      </x:c>
      <x:c r="B123" s="38" t="str">
        <x:v>TRF-049</x:v>
      </x:c>
      <x:c r="C123" s="35" t="str">
        <x:v>FAIL</x:v>
      </x:c>
      <x:c r="D123" s="67" t="b">
        <x:v>0</x:v>
      </x:c>
      <x:c r="E123" s="55" t="n">
        <x:v>21</x:v>
      </x:c>
      <x:c r="F123" s="35" t="str">
        <x:v>4.4.4.1</x:v>
      </x:c>
      <x:c r="G123" s="35" t="str">
        <x:v>longitudinal brackets, terminating frame bracket, through-frame two-sided connection, thin bracket</x:v>
      </x:c>
      <x:c r="H123" s="35" t="str">
        <x:v>INPUTS/DEVELOPMENT_CALIBRATION/BATCH_01_FIRST_50/rdf_fixtures/TRF-049/trf-049_02_fail.ttl</x:v>
      </x:c>
      <x:c r="I123" s="35" t="str">
        <x:v>7cf3cfbe720b000abf0ac5d266e0fecb68b3ae6b09d89784d7a53c84b53d16ed</x:v>
      </x:c>
      <x:c r="J123" s="55" t="n">
        <x:v>36</x:v>
      </x:c>
      <x:c r="K123" s="35" t="str">
        <x:v>VOCAB-DEV-2026-08-13-BATCH01-R6</x:v>
      </x:c>
      <x:c r="L123" s="35" t="str">
        <x:v>YES</x:v>
      </x:c>
      <x:c r="M123" s="35" t="str">
        <x:v>NOT_RUN</x:v>
      </x:c>
    </x:row>
    <x:row r="124">
      <x:c r="A124" s="35" t="str">
        <x:v>B01-TRF-049-BOUNDARY</x:v>
      </x:c>
      <x:c r="B124" s="38" t="str">
        <x:v>TRF-049</x:v>
      </x:c>
      <x:c r="C124" s="35" t="str">
        <x:v>BOUNDARY</x:v>
      </x:c>
      <x:c r="D124" s="67" t="b">
        <x:v>1</x:v>
      </x:c>
      <x:c r="E124" s="55" t="n">
        <x:v>21</x:v>
      </x:c>
      <x:c r="F124" s="35" t="str">
        <x:v>4.4.4.1</x:v>
      </x:c>
      <x:c r="G124" s="35" t="str">
        <x:v>longitudinal brackets, terminating frame bracket, through-frame two-sided connection, thin bracket</x:v>
      </x:c>
      <x:c r="H124" s="35" t="str">
        <x:v>INPUTS/DEVELOPMENT_CALIBRATION/BATCH_01_FIRST_50/rdf_fixtures/TRF-049/trf-049_03_boundary.ttl</x:v>
      </x:c>
      <x:c r="I124" s="35" t="str">
        <x:v>c16e83ac118b84e50f51caa94995f8c23453e6f1874096ed18cc50d32cf3c819</x:v>
      </x:c>
      <x:c r="J124" s="55" t="n">
        <x:v>36</x:v>
      </x:c>
      <x:c r="K124" s="35" t="str">
        <x:v>VOCAB-DEV-2026-08-13-BATCH01-R6</x:v>
      </x:c>
      <x:c r="L124" s="35" t="str">
        <x:v>YES</x:v>
      </x:c>
      <x:c r="M124" s="35" t="str">
        <x:v>NOT_RUN</x:v>
      </x:c>
    </x:row>
    <x:row r="125">
      <x:c r="A125" s="35" t="str">
        <x:v>B01-TRF-050-PASS</x:v>
      </x:c>
      <x:c r="B125" s="38" t="str">
        <x:v>TRF-050</x:v>
      </x:c>
      <x:c r="C125" s="35" t="str">
        <x:v>PASS</x:v>
      </x:c>
      <x:c r="D125" s="67" t="b">
        <x:v>1</x:v>
      </x:c>
      <x:c r="E125" s="55" t="n">
        <x:v>21</x:v>
      </x:c>
      <x:c r="F125" s="35" t="str">
        <x:v>4.4.4.2</x:v>
      </x:c>
      <x:c r="G125" s="35" t="str">
        <x:v>double continuous pass, scallop without crossing fail, crossing exception</x:v>
      </x:c>
      <x:c r="H125" s="35" t="str">
        <x:v>INPUTS/DEVELOPMENT_CALIBRATION/BATCH_01_FIRST_50/rdf_fixtures/TRF-050/trf-050_01_pass.ttl</x:v>
      </x:c>
      <x:c r="I125" s="35" t="str">
        <x:v>00ec9cd718743964e913d573e118459d0cfbd3fd3e167ef69f33d80d9618c21c</x:v>
      </x:c>
      <x:c r="J125" s="55" t="n">
        <x:v>8</x:v>
      </x:c>
      <x:c r="K125" s="35" t="str">
        <x:v>VOCAB-DEV-2026-08-13-BATCH01-R6</x:v>
      </x:c>
      <x:c r="L125" s="35" t="str">
        <x:v>YES</x:v>
      </x:c>
      <x:c r="M125" s="35" t="str">
        <x:v>NOT_RUN</x:v>
      </x:c>
    </x:row>
    <x:row r="126">
      <x:c r="A126" s="35" t="str">
        <x:v>B01-TRF-050-FAIL</x:v>
      </x:c>
      <x:c r="B126" s="38" t="str">
        <x:v>TRF-050</x:v>
      </x:c>
      <x:c r="C126" s="35" t="str">
        <x:v>FAIL</x:v>
      </x:c>
      <x:c r="D126" s="67" t="b">
        <x:v>0</x:v>
      </x:c>
      <x:c r="E126" s="55" t="n">
        <x:v>21</x:v>
      </x:c>
      <x:c r="F126" s="35" t="str">
        <x:v>4.4.4.2</x:v>
      </x:c>
      <x:c r="G126" s="35" t="str">
        <x:v>double continuous pass, scallop without crossing fail, crossing exception</x:v>
      </x:c>
      <x:c r="H126" s="35" t="str">
        <x:v>INPUTS/DEVELOPMENT_CALIBRATION/BATCH_01_FIRST_50/rdf_fixtures/TRF-050/trf-050_02_fail.ttl</x:v>
      </x:c>
      <x:c r="I126" s="35" t="str">
        <x:v>aace1520f8b87c07fdd04d126522db505aac4da0a63ef2480057f85d2e13e6b9</x:v>
      </x:c>
      <x:c r="J126" s="55" t="n">
        <x:v>8</x:v>
      </x:c>
      <x:c r="K126" s="35" t="str">
        <x:v>VOCAB-DEV-2026-08-13-BATCH01-R6</x:v>
      </x:c>
      <x:c r="L126" s="35" t="str">
        <x:v>YES</x:v>
      </x:c>
      <x:c r="M126" s="35" t="str">
        <x:v>NOT_RUN</x:v>
      </x:c>
    </x:row>
    <x:row r="127">
      <x:c r="A127" s="35" t="str">
        <x:v>B01-TRF-050-BOUNDARY</x:v>
      </x:c>
      <x:c r="B127" s="38" t="str">
        <x:v>TRF-050</x:v>
      </x:c>
      <x:c r="C127" s="35" t="str">
        <x:v>BOUNDARY</x:v>
      </x:c>
      <x:c r="D127" s="67" t="b">
        <x:v>1</x:v>
      </x:c>
      <x:c r="E127" s="55" t="n">
        <x:v>21</x:v>
      </x:c>
      <x:c r="F127" s="35" t="str">
        <x:v>4.4.4.2</x:v>
      </x:c>
      <x:c r="G127" s="35" t="str">
        <x:v>double continuous pass, scallop without crossing fail, crossing exception</x:v>
      </x:c>
      <x:c r="H127" s="35" t="str">
        <x:v>INPUTS/DEVELOPMENT_CALIBRATION/BATCH_01_FIRST_50/rdf_fixtures/TRF-050/trf-050_03_boundary.ttl</x:v>
      </x:c>
      <x:c r="I127" s="35" t="str">
        <x:v>be3220689861323d043781c5e36d736676602790beaba64d52e86489e3f024d8</x:v>
      </x:c>
      <x:c r="J127" s="55" t="n">
        <x:v>8</x:v>
      </x:c>
      <x:c r="K127" s="35" t="str">
        <x:v>VOCAB-DEV-2026-08-13-BATCH01-R6</x:v>
      </x:c>
      <x:c r="L127" s="35" t="str">
        <x:v>YES</x:v>
      </x:c>
      <x:c r="M127" s="35" t="str">
        <x:v>NOT_RUN</x:v>
      </x:c>
    </x:row>
    <x:row r="128">
      <x:c r="A128" s="35" t="str">
        <x:v>B01-TRF-051-PASS</x:v>
      </x:c>
      <x:c r="B128" s="38" t="str">
        <x:v>TRF-051</x:v>
      </x:c>
      <x:c r="C128" s="35" t="str">
        <x:v>PASS</x:v>
      </x:c>
      <x:c r="D128" s="67" t="b">
        <x:v>1</x:v>
      </x:c>
      <x:c r="E128" s="55" t="n">
        <x:v>21</x:v>
      </x:c>
      <x:c r="F128" s="35" t="str">
        <x:v>4.4.4.2</x:v>
      </x:c>
      <x:c r="G128" s="35" t="str">
        <x:v>profile/flat-bar C branches, 9-mm floor, half-net-shell floor</x:v>
      </x:c>
      <x:c r="H128" s="35" t="str">
        <x:v>INPUTS/DEVELOPMENT_CALIBRATION/BATCH_01_FIRST_50/rdf_fixtures/TRF-051/trf-051_01_pass.ttl</x:v>
      </x:c>
      <x:c r="I128" s="35" t="str">
        <x:v>10d37d18ef5c82613da2500535f32f1aef2bd231b0abcf88c2e2b7994a2a5efc</x:v>
      </x:c>
      <x:c r="J128" s="55" t="n">
        <x:v>32</x:v>
      </x:c>
      <x:c r="K128" s="35" t="str">
        <x:v>VOCAB-DEV-2026-08-13-BATCH01-R6</x:v>
      </x:c>
      <x:c r="L128" s="35" t="str">
        <x:v>YES</x:v>
      </x:c>
      <x:c r="M128" s="35" t="str">
        <x:v>NOT_RUN</x:v>
      </x:c>
    </x:row>
    <x:row r="129">
      <x:c r="A129" s="35" t="str">
        <x:v>B01-TRF-051-FAIL</x:v>
      </x:c>
      <x:c r="B129" s="38" t="str">
        <x:v>TRF-051</x:v>
      </x:c>
      <x:c r="C129" s="35" t="str">
        <x:v>FAIL</x:v>
      </x:c>
      <x:c r="D129" s="67" t="b">
        <x:v>0</x:v>
      </x:c>
      <x:c r="E129" s="55" t="n">
        <x:v>21</x:v>
      </x:c>
      <x:c r="F129" s="35" t="str">
        <x:v>4.4.4.2</x:v>
      </x:c>
      <x:c r="G129" s="35" t="str">
        <x:v>profile/flat-bar C branches, 9-mm floor, half-net-shell floor</x:v>
      </x:c>
      <x:c r="H129" s="35" t="str">
        <x:v>INPUTS/DEVELOPMENT_CALIBRATION/BATCH_01_FIRST_50/rdf_fixtures/TRF-051/trf-051_02_fail.ttl</x:v>
      </x:c>
      <x:c r="I129" s="35" t="str">
        <x:v>7b458972d9257bd8b5b706a3f93b21dd6192e4d69adc819dac97b887b4a973bb</x:v>
      </x:c>
      <x:c r="J129" s="55" t="n">
        <x:v>32</x:v>
      </x:c>
      <x:c r="K129" s="35" t="str">
        <x:v>VOCAB-DEV-2026-08-13-BATCH01-R6</x:v>
      </x:c>
      <x:c r="L129" s="35" t="str">
        <x:v>YES</x:v>
      </x:c>
      <x:c r="M129" s="35" t="str">
        <x:v>NOT_RUN</x:v>
      </x:c>
    </x:row>
    <x:row r="130">
      <x:c r="A130" s="35" t="str">
        <x:v>B01-TRF-051-BOUNDARY</x:v>
      </x:c>
      <x:c r="B130" s="38" t="str">
        <x:v>TRF-051</x:v>
      </x:c>
      <x:c r="C130" s="35" t="str">
        <x:v>BOUNDARY</x:v>
      </x:c>
      <x:c r="D130" s="67" t="b">
        <x:v>1</x:v>
      </x:c>
      <x:c r="E130" s="55" t="n">
        <x:v>21</x:v>
      </x:c>
      <x:c r="F130" s="35" t="str">
        <x:v>4.4.4.2</x:v>
      </x:c>
      <x:c r="G130" s="35" t="str">
        <x:v>profile/flat-bar C branches, 9-mm floor, half-net-shell floor</x:v>
      </x:c>
      <x:c r="H130" s="35" t="str">
        <x:v>INPUTS/DEVELOPMENT_CALIBRATION/BATCH_01_FIRST_50/rdf_fixtures/TRF-051/trf-051_03_boundary.ttl</x:v>
      </x:c>
      <x:c r="I130" s="35" t="str">
        <x:v>bbdcbb3ce1966ae11497fd5403d6feaf45f365cf5375d7adaf0492645c9d4648</x:v>
      </x:c>
      <x:c r="J130" s="55" t="n">
        <x:v>32</x:v>
      </x:c>
      <x:c r="K130" s="35" t="str">
        <x:v>VOCAB-DEV-2026-08-13-BATCH01-R6</x:v>
      </x:c>
      <x:c r="L130" s="35" t="str">
        <x:v>YES</x:v>
      </x:c>
      <x:c r="M130" s="35" t="str">
        <x:v>NOT_RUN</x:v>
      </x:c>
    </x:row>
    <x:row r="131">
      <x:c r="A131" s="35" t="str">
        <x:v>B01-TRF-052-PASS</x:v>
      </x:c>
      <x:c r="B131" s="38" t="str">
        <x:v>TRF-052</x:v>
      </x:c>
      <x:c r="C131" s="35" t="str">
        <x:v>PASS</x:v>
      </x:c>
      <x:c r="D131" s="67" t="b">
        <x:v>1</x:v>
      </x:c>
      <x:c r="E131" s="55" t="n">
        <x:v>21</x:v>
      </x:c>
      <x:c r="F131" s="35" t="str">
        <x:v>4.4.4.2</x:v>
      </x:c>
      <x:c r="G131" s="35" t="str">
        <x:v>1300-mm boundary, &gt;4-m all regions, class/region matrix, equivalent alternative</x:v>
      </x:c>
      <x:c r="H131" s="35" t="str">
        <x:v>INPUTS/DEVELOPMENT_CALIBRATION/BATCH_01_FIRST_50/rdf_fixtures/TRF-052/trf-052_01_pass.ttl</x:v>
      </x:c>
      <x:c r="I131" s="35" t="str">
        <x:v>17777dbd841f70ef00c9afc3922d84fd4a62babc9715a8500a2a5fcbd7e50a43</x:v>
      </x:c>
      <x:c r="J131" s="55" t="n">
        <x:v>22</x:v>
      </x:c>
      <x:c r="K131" s="35" t="str">
        <x:v>VOCAB-DEV-2026-08-13-BATCH01-R6</x:v>
      </x:c>
      <x:c r="L131" s="35" t="str">
        <x:v>YES</x:v>
      </x:c>
      <x:c r="M131" s="35" t="str">
        <x:v>NOT_RUN</x:v>
      </x:c>
    </x:row>
    <x:row r="132">
      <x:c r="A132" s="35" t="str">
        <x:v>B01-TRF-052-FAIL</x:v>
      </x:c>
      <x:c r="B132" s="38" t="str">
        <x:v>TRF-052</x:v>
      </x:c>
      <x:c r="C132" s="35" t="str">
        <x:v>FAIL</x:v>
      </x:c>
      <x:c r="D132" s="67" t="b">
        <x:v>0</x:v>
      </x:c>
      <x:c r="E132" s="55" t="n">
        <x:v>21</x:v>
      </x:c>
      <x:c r="F132" s="35" t="str">
        <x:v>4.4.4.2</x:v>
      </x:c>
      <x:c r="G132" s="35" t="str">
        <x:v>1300-mm boundary, &gt;4-m all regions, class/region matrix, equivalent alternative</x:v>
      </x:c>
      <x:c r="H132" s="35" t="str">
        <x:v>INPUTS/DEVELOPMENT_CALIBRATION/BATCH_01_FIRST_50/rdf_fixtures/TRF-052/trf-052_02_fail.ttl</x:v>
      </x:c>
      <x:c r="I132" s="35" t="str">
        <x:v>cf10ff84a70e937f96f65bdfb80b7177a9f8cdfb7ac48e735d35e36de645a238</x:v>
      </x:c>
      <x:c r="J132" s="55" t="n">
        <x:v>20</x:v>
      </x:c>
      <x:c r="K132" s="35" t="str">
        <x:v>VOCAB-DEV-2026-08-13-BATCH01-R6</x:v>
      </x:c>
      <x:c r="L132" s="35" t="str">
        <x:v>YES</x:v>
      </x:c>
      <x:c r="M132" s="35" t="str">
        <x:v>NOT_RUN</x:v>
      </x:c>
    </x:row>
    <x:row r="133">
      <x:c r="A133" s="35" t="str">
        <x:v>B01-TRF-052-BOUNDARY</x:v>
      </x:c>
      <x:c r="B133" s="38" t="str">
        <x:v>TRF-052</x:v>
      </x:c>
      <x:c r="C133" s="35" t="str">
        <x:v>BOUNDARY</x:v>
      </x:c>
      <x:c r="D133" s="67" t="b">
        <x:v>1</x:v>
      </x:c>
      <x:c r="E133" s="55" t="n">
        <x:v>21</x:v>
      </x:c>
      <x:c r="F133" s="35" t="str">
        <x:v>4.4.4.2</x:v>
      </x:c>
      <x:c r="G133" s="35" t="str">
        <x:v>1300-mm boundary, &gt;4-m all regions, class/region matrix, equivalent alternative</x:v>
      </x:c>
      <x:c r="H133" s="35" t="str">
        <x:v>INPUTS/DEVELOPMENT_CALIBRATION/BATCH_01_FIRST_50/rdf_fixtures/TRF-052/trf-052_03_boundary.ttl</x:v>
      </x:c>
      <x:c r="I133" s="35" t="str">
        <x:v>961c199277d620ecc6b030327f3c1d5ffde4d1a223a971476dced9804601a2c5</x:v>
      </x:c>
      <x:c r="J133" s="55" t="n">
        <x:v>22</x:v>
      </x:c>
      <x:c r="K133" s="35" t="str">
        <x:v>VOCAB-DEV-2026-08-13-BATCH01-R6</x:v>
      </x:c>
      <x:c r="L133" s="35" t="str">
        <x:v>YES</x:v>
      </x:c>
      <x:c r="M133" s="35" t="str">
        <x:v>NOT_RUN</x:v>
      </x:c>
    </x:row>
    <x:row r="134">
      <x:c r="A134" s="35" t="str">
        <x:v>B01-TRF-053-PASS</x:v>
      </x:c>
      <x:c r="B134" s="38" t="str">
        <x:v>TRF-053</x:v>
      </x:c>
      <x:c r="C134" s="35" t="str">
        <x:v>PASS</x:v>
      </x:c>
      <x:c r="D134" s="67" t="b">
        <x:v>1</x:v>
      </x:c>
      <x:c r="E134" s="55" t="str">
        <x:v>21-22</x:v>
      </x:c>
      <x:c r="F134" s="35" t="str">
        <x:v>4.5.1</x:v>
      </x:c>
      <x:c r="G134" s="35" t="str">
        <x:v>0.15-MN/m floor, exact Z/A, low Z/A</x:v>
      </x:c>
      <x:c r="H134" s="35" t="str">
        <x:v>INPUTS/DEVELOPMENT_CALIBRATION/BATCH_01_FIRST_50/rdf_fixtures/TRF-053/trf-053_01_pass.ttl</x:v>
      </x:c>
      <x:c r="I134" s="35" t="str">
        <x:v>210206cce231faa0ccf7b7d56252febe60b69388a1460a69bb152818e5324c70</x:v>
      </x:c>
      <x:c r="J134" s="55" t="n">
        <x:v>49</x:v>
      </x:c>
      <x:c r="K134" s="35" t="str">
        <x:v>VOCAB-DEV-2026-08-13-BATCH01-R6</x:v>
      </x:c>
      <x:c r="L134" s="35" t="str">
        <x:v>YES</x:v>
      </x:c>
      <x:c r="M134" s="35" t="str">
        <x:v>NOT_RUN</x:v>
      </x:c>
    </x:row>
    <x:row r="135">
      <x:c r="A135" s="35" t="str">
        <x:v>B01-TRF-053-FAIL</x:v>
      </x:c>
      <x:c r="B135" s="38" t="str">
        <x:v>TRF-053</x:v>
      </x:c>
      <x:c r="C135" s="35" t="str">
        <x:v>FAIL</x:v>
      </x:c>
      <x:c r="D135" s="67" t="b">
        <x:v>0</x:v>
      </x:c>
      <x:c r="E135" s="55" t="str">
        <x:v>21-22</x:v>
      </x:c>
      <x:c r="F135" s="35" t="str">
        <x:v>4.5.1</x:v>
      </x:c>
      <x:c r="G135" s="35" t="str">
        <x:v>0.15-MN/m floor, exact Z/A, low Z/A</x:v>
      </x:c>
      <x:c r="H135" s="35" t="str">
        <x:v>INPUTS/DEVELOPMENT_CALIBRATION/BATCH_01_FIRST_50/rdf_fixtures/TRF-053/trf-053_02_fail.ttl</x:v>
      </x:c>
      <x:c r="I135" s="35" t="str">
        <x:v>38d6ab12dbf5263bacc900d96cb4ae7c7ac98fde79dbc6960c84622a1e263f49</x:v>
      </x:c>
      <x:c r="J135" s="55" t="n">
        <x:v>49</x:v>
      </x:c>
      <x:c r="K135" s="35" t="str">
        <x:v>VOCAB-DEV-2026-08-13-BATCH01-R6</x:v>
      </x:c>
      <x:c r="L135" s="35" t="str">
        <x:v>YES</x:v>
      </x:c>
      <x:c r="M135" s="35" t="str">
        <x:v>NOT_RUN</x:v>
      </x:c>
    </x:row>
    <x:row r="136">
      <x:c r="A136" s="35" t="str">
        <x:v>B01-TRF-053-BOUNDARY</x:v>
      </x:c>
      <x:c r="B136" s="38" t="str">
        <x:v>TRF-053</x:v>
      </x:c>
      <x:c r="C136" s="35" t="str">
        <x:v>BOUNDARY</x:v>
      </x:c>
      <x:c r="D136" s="67" t="b">
        <x:v>1</x:v>
      </x:c>
      <x:c r="E136" s="55" t="str">
        <x:v>21-22</x:v>
      </x:c>
      <x:c r="F136" s="35" t="str">
        <x:v>4.5.1</x:v>
      </x:c>
      <x:c r="G136" s="35" t="str">
        <x:v>0.15-MN/m floor, exact Z/A, low Z/A</x:v>
      </x:c>
      <x:c r="H136" s="35" t="str">
        <x:v>INPUTS/DEVELOPMENT_CALIBRATION/BATCH_01_FIRST_50/rdf_fixtures/TRF-053/trf-053_03_boundary.ttl</x:v>
      </x:c>
      <x:c r="I136" s="35" t="str">
        <x:v>fba09ee86c657a0739cff85b626253d3a172e2fcfb96c50d9cf28619e59f523e</x:v>
      </x:c>
      <x:c r="J136" s="55" t="n">
        <x:v>49</x:v>
      </x:c>
      <x:c r="K136" s="35" t="str">
        <x:v>VOCAB-DEV-2026-08-13-BATCH01-R6</x:v>
      </x:c>
      <x:c r="L136" s="35" t="str">
        <x:v>YES</x:v>
      </x:c>
      <x:c r="M136" s="35" t="str">
        <x:v>NOT_RUN</x:v>
      </x:c>
    </x:row>
    <x:row r="137">
      <x:c r="A137" s="35" t="str">
        <x:v>B01-TRF-054-PASS</x:v>
      </x:c>
      <x:c r="B137" s="38" t="str">
        <x:v>TRF-054</x:v>
      </x:c>
      <x:c r="C137" s="35" t="str">
        <x:v>PASS</x:v>
      </x:c>
      <x:c r="D137" s="67" t="b">
        <x:v>1</x:v>
      </x:c>
      <x:c r="E137" s="55" t="str">
        <x:v>22-23</x:v>
      </x:c>
      <x:c r="F137" s="35" t="str">
        <x:v>4.5.2</x:v>
      </x:c>
      <x:c r="G137" s="35" t="str">
        <x:v>inside/outside factor, hs=0, near ls boundary, low Z/A</x:v>
      </x:c>
      <x:c r="H137" s="35" t="str">
        <x:v>INPUTS/DEVELOPMENT_CALIBRATION/BATCH_01_FIRST_50/rdf_fixtures/TRF-054/trf-054_01_pass.ttl</x:v>
      </x:c>
      <x:c r="I137" s="35" t="str">
        <x:v>42c8cbb41051ed0d244b55f77518326f156bf209a5a5444695a7321e1dd72f33</x:v>
      </x:c>
      <x:c r="J137" s="55" t="n">
        <x:v>66</x:v>
      </x:c>
      <x:c r="K137" s="35" t="str">
        <x:v>VOCAB-DEV-2026-08-13-BATCH01-R6</x:v>
      </x:c>
      <x:c r="L137" s="35" t="str">
        <x:v>YES</x:v>
      </x:c>
      <x:c r="M137" s="35" t="str">
        <x:v>NOT_RUN</x:v>
      </x:c>
    </x:row>
    <x:row r="138">
      <x:c r="A138" s="35" t="str">
        <x:v>B01-TRF-054-FAIL</x:v>
      </x:c>
      <x:c r="B138" s="38" t="str">
        <x:v>TRF-054</x:v>
      </x:c>
      <x:c r="C138" s="35" t="str">
        <x:v>FAIL</x:v>
      </x:c>
      <x:c r="D138" s="67" t="b">
        <x:v>0</x:v>
      </x:c>
      <x:c r="E138" s="55" t="str">
        <x:v>22-23</x:v>
      </x:c>
      <x:c r="F138" s="35" t="str">
        <x:v>4.5.2</x:v>
      </x:c>
      <x:c r="G138" s="35" t="str">
        <x:v>inside/outside factor, hs=0, near ls boundary, low Z/A</x:v>
      </x:c>
      <x:c r="H138" s="35" t="str">
        <x:v>INPUTS/DEVELOPMENT_CALIBRATION/BATCH_01_FIRST_50/rdf_fixtures/TRF-054/trf-054_02_fail.ttl</x:v>
      </x:c>
      <x:c r="I138" s="35" t="str">
        <x:v>3766648a3d7228dbff36a5f8503ea3c6e8e98fa1a69257d0373ab660adbe9adb</x:v>
      </x:c>
      <x:c r="J138" s="55" t="n">
        <x:v>66</x:v>
      </x:c>
      <x:c r="K138" s="35" t="str">
        <x:v>VOCAB-DEV-2026-08-13-BATCH01-R6</x:v>
      </x:c>
      <x:c r="L138" s="35" t="str">
        <x:v>YES</x:v>
      </x:c>
      <x:c r="M138" s="35" t="str">
        <x:v>NOT_RUN</x:v>
      </x:c>
    </x:row>
    <x:row r="139">
      <x:c r="A139" s="35" t="str">
        <x:v>B01-TRF-054-BOUNDARY</x:v>
      </x:c>
      <x:c r="B139" s="38" t="str">
        <x:v>TRF-054</x:v>
      </x:c>
      <x:c r="C139" s="35" t="str">
        <x:v>BOUNDARY</x:v>
      </x:c>
      <x:c r="D139" s="67" t="b">
        <x:v>1</x:v>
      </x:c>
      <x:c r="E139" s="55" t="str">
        <x:v>22-23</x:v>
      </x:c>
      <x:c r="F139" s="35" t="str">
        <x:v>4.5.2</x:v>
      </x:c>
      <x:c r="G139" s="35" t="str">
        <x:v>inside/outside factor, hs=0, near ls boundary, low Z/A</x:v>
      </x:c>
      <x:c r="H139" s="35" t="str">
        <x:v>INPUTS/DEVELOPMENT_CALIBRATION/BATCH_01_FIRST_50/rdf_fixtures/TRF-054/trf-054_03_boundary.ttl</x:v>
      </x:c>
      <x:c r="I139" s="35" t="str">
        <x:v>30a746a2c8e578abb497a027e21524c0a156c11eddb003dd7764db0f0ca8c4fc</x:v>
      </x:c>
      <x:c r="J139" s="55" t="n">
        <x:v>66</x:v>
      </x:c>
      <x:c r="K139" s="35" t="str">
        <x:v>VOCAB-DEV-2026-08-13-BATCH01-R6</x:v>
      </x:c>
      <x:c r="L139" s="35" t="str">
        <x:v>YES</x:v>
      </x:c>
      <x:c r="M139" s="35" t="str">
        <x:v>NOT_RUN</x:v>
      </x:c>
    </x:row>
    <x:row r="140">
      <x:c r="A140" s="35" t="str">
        <x:v>B01-TRF-055-PASS</x:v>
      </x:c>
      <x:c r="B140" s="38" t="str">
        <x:v>TRF-055</x:v>
      </x:c>
      <x:c r="C140" s="35" t="str">
        <x:v>PASS</x:v>
      </x:c>
      <x:c r="D140" s="67" t="b">
        <x:v>1</x:v>
      </x:c>
      <x:c r="E140" s="55" t="n">
        <x:v>23</x:v>
      </x:c>
      <x:c r="F140" s="35" t="str">
        <x:v>4.5.3</x:v>
      </x:c>
      <x:c r="G140" s="35" t="str">
        <x:v>normal 0.15 floor, approved 0.10, below 0.10 failure</x:v>
      </x:c>
      <x:c r="H140" s="35" t="str">
        <x:v>INPUTS/DEVELOPMENT_CALIBRATION/BATCH_01_FIRST_50/rdf_fixtures/TRF-055/trf-055_01_pass.ttl</x:v>
      </x:c>
      <x:c r="I140" s="35" t="str">
        <x:v>dbbe8a2982861c8a36016c4d62c917cf0fb66dde044cb6dd073d7ad1d2b4ba07</x:v>
      </x:c>
      <x:c r="J140" s="55" t="n">
        <x:v>45</x:v>
      </x:c>
      <x:c r="K140" s="35" t="str">
        <x:v>VOCAB-DEV-2026-08-13-BATCH01-R6</x:v>
      </x:c>
      <x:c r="L140" s="35" t="str">
        <x:v>YES</x:v>
      </x:c>
      <x:c r="M140" s="35" t="str">
        <x:v>NOT_RUN</x:v>
      </x:c>
    </x:row>
    <x:row r="141">
      <x:c r="A141" s="35" t="str">
        <x:v>B01-TRF-055-FAIL</x:v>
      </x:c>
      <x:c r="B141" s="38" t="str">
        <x:v>TRF-055</x:v>
      </x:c>
      <x:c r="C141" s="35" t="str">
        <x:v>FAIL</x:v>
      </x:c>
      <x:c r="D141" s="67" t="b">
        <x:v>0</x:v>
      </x:c>
      <x:c r="E141" s="55" t="n">
        <x:v>23</x:v>
      </x:c>
      <x:c r="F141" s="35" t="str">
        <x:v>4.5.3</x:v>
      </x:c>
      <x:c r="G141" s="35" t="str">
        <x:v>normal 0.15 floor, approved 0.10, below 0.10 failure</x:v>
      </x:c>
      <x:c r="H141" s="35" t="str">
        <x:v>INPUTS/DEVELOPMENT_CALIBRATION/BATCH_01_FIRST_50/rdf_fixtures/TRF-055/trf-055_02_fail.ttl</x:v>
      </x:c>
      <x:c r="I141" s="35" t="str">
        <x:v>2deeba7d7c0e1c0f0269b3f1037346ba019c27e69e60243e30f58199c3bca41c</x:v>
      </x:c>
      <x:c r="J141" s="55" t="n">
        <x:v>45</x:v>
      </x:c>
      <x:c r="K141" s="35" t="str">
        <x:v>VOCAB-DEV-2026-08-13-BATCH01-R6</x:v>
      </x:c>
      <x:c r="L141" s="35" t="str">
        <x:v>YES</x:v>
      </x:c>
      <x:c r="M141" s="35" t="str">
        <x:v>NOT_RUN</x:v>
      </x:c>
    </x:row>
    <x:row r="142">
      <x:c r="A142" s="35" t="str">
        <x:v>B01-TRF-055-BOUNDARY</x:v>
      </x:c>
      <x:c r="B142" s="38" t="str">
        <x:v>TRF-055</x:v>
      </x:c>
      <x:c r="C142" s="35" t="str">
        <x:v>BOUNDARY</x:v>
      </x:c>
      <x:c r="D142" s="67" t="b">
        <x:v>1</x:v>
      </x:c>
      <x:c r="E142" s="55" t="n">
        <x:v>23</x:v>
      </x:c>
      <x:c r="F142" s="35" t="str">
        <x:v>4.5.3</x:v>
      </x:c>
      <x:c r="G142" s="35" t="str">
        <x:v>normal 0.15 floor, approved 0.10, below 0.10 failure</x:v>
      </x:c>
      <x:c r="H142" s="35" t="str">
        <x:v>INPUTS/DEVELOPMENT_CALIBRATION/BATCH_01_FIRST_50/rdf_fixtures/TRF-055/trf-055_03_boundary.ttl</x:v>
      </x:c>
      <x:c r="I142" s="35" t="str">
        <x:v>4e4fe4e612edfc0587d0fcca5b94aac6f810488734d1e9c672739eacc4537f9c</x:v>
      </x:c>
      <x:c r="J142" s="55" t="n">
        <x:v>45</x:v>
      </x:c>
      <x:c r="K142" s="35" t="str">
        <x:v>VOCAB-DEV-2026-08-13-BATCH01-R6</x:v>
      </x:c>
      <x:c r="L142" s="35" t="str">
        <x:v>YES</x:v>
      </x:c>
      <x:c r="M142" s="35" t="str">
        <x:v>NOT_RUN</x:v>
      </x:c>
    </x:row>
    <x:row r="143">
      <x:c r="A143" s="35" t="str">
        <x:v>B01-TRF-056-PASS</x:v>
      </x:c>
      <x:c r="B143" s="38" t="str">
        <x:v>TRF-056</x:v>
      </x:c>
      <x:c r="C143" s="35" t="str">
        <x:v>PASS</x:v>
      </x:c>
      <x:c r="D143" s="67" t="b">
        <x:v>1</x:v>
      </x:c>
      <x:c r="E143" s="55" t="n">
        <x:v>23</x:v>
      </x:c>
      <x:c r="F143" s="35" t="str">
        <x:v>4.5.3</x:v>
      </x:c>
      <x:c r="G143" s="35" t="str">
        <x:v>hatch &lt;=B/2 non-applicable, &gt;B/2 with evidence pass, missing evidence fail</x:v>
      </x:c>
      <x:c r="H143" s="35" t="str">
        <x:v>INPUTS/DEVELOPMENT_CALIBRATION/BATCH_01_FIRST_50/rdf_fixtures/TRF-056/trf-056_01_pass.ttl</x:v>
      </x:c>
      <x:c r="I143" s="35" t="str">
        <x:v>f2db6c55ef3d021e8a551616529a7585b45f9e679c2c3b596d4a9f9076b809c9</x:v>
      </x:c>
      <x:c r="J143" s="55" t="n">
        <x:v>28</x:v>
      </x:c>
      <x:c r="K143" s="35" t="str">
        <x:v>VOCAB-DEV-2026-08-13-BATCH01-R6</x:v>
      </x:c>
      <x:c r="L143" s="35" t="str">
        <x:v>YES</x:v>
      </x:c>
      <x:c r="M143" s="35" t="str">
        <x:v>NOT_RUN</x:v>
      </x:c>
    </x:row>
    <x:row r="144">
      <x:c r="A144" s="35" t="str">
        <x:v>B01-TRF-056-FAIL</x:v>
      </x:c>
      <x:c r="B144" s="38" t="str">
        <x:v>TRF-056</x:v>
      </x:c>
      <x:c r="C144" s="35" t="str">
        <x:v>FAIL</x:v>
      </x:c>
      <x:c r="D144" s="67" t="b">
        <x:v>0</x:v>
      </x:c>
      <x:c r="E144" s="55" t="n">
        <x:v>23</x:v>
      </x:c>
      <x:c r="F144" s="35" t="str">
        <x:v>4.5.3</x:v>
      </x:c>
      <x:c r="G144" s="35" t="str">
        <x:v>hatch &lt;=B/2 non-applicable, &gt;B/2 with evidence pass, missing evidence fail</x:v>
      </x:c>
      <x:c r="H144" s="35" t="str">
        <x:v>INPUTS/DEVELOPMENT_CALIBRATION/BATCH_01_FIRST_50/rdf_fixtures/TRF-056/trf-056_02_fail.ttl</x:v>
      </x:c>
      <x:c r="I144" s="35" t="str">
        <x:v>a361871895217ba568fda304102bbdac3873e51d7bd91c7257ac963a48de24a4</x:v>
      </x:c>
      <x:c r="J144" s="55" t="n">
        <x:v>22</x:v>
      </x:c>
      <x:c r="K144" s="35" t="str">
        <x:v>VOCAB-DEV-2026-08-13-BATCH01-R6</x:v>
      </x:c>
      <x:c r="L144" s="35" t="str">
        <x:v>YES</x:v>
      </x:c>
      <x:c r="M144" s="35" t="str">
        <x:v>NOT_RUN</x:v>
      </x:c>
    </x:row>
    <x:row r="145">
      <x:c r="A145" s="35" t="str">
        <x:v>B01-TRF-056-BOUNDARY</x:v>
      </x:c>
      <x:c r="B145" s="38" t="str">
        <x:v>TRF-056</x:v>
      </x:c>
      <x:c r="C145" s="35" t="str">
        <x:v>BOUNDARY</x:v>
      </x:c>
      <x:c r="D145" s="67" t="b">
        <x:v>1</x:v>
      </x:c>
      <x:c r="E145" s="55" t="n">
        <x:v>23</x:v>
      </x:c>
      <x:c r="F145" s="35" t="str">
        <x:v>4.5.3</x:v>
      </x:c>
      <x:c r="G145" s="35" t="str">
        <x:v>hatch &lt;=B/2 non-applicable, &gt;B/2 with evidence pass, missing evidence fail</x:v>
      </x:c>
      <x:c r="H145" s="35" t="str">
        <x:v>INPUTS/DEVELOPMENT_CALIBRATION/BATCH_01_FIRST_50/rdf_fixtures/TRF-056/trf-056_03_boundary.ttl</x:v>
      </x:c>
      <x:c r="I145" s="35" t="str">
        <x:v>42bf4a5caca4f59b846412aa62ce75a8af36c206f80d4a159ff16dcb9a6a4a32</x:v>
      </x:c>
      <x:c r="J145" s="55" t="n">
        <x:v>28</x:v>
      </x:c>
      <x:c r="K145" s="35" t="str">
        <x:v>VOCAB-DEV-2026-08-13-BATCH01-R6</x:v>
      </x:c>
      <x:c r="L145" s="35" t="str">
        <x:v>YES</x:v>
      </x:c>
      <x:c r="M145" s="35" t="str">
        <x:v>NOT_RUN</x:v>
      </x:c>
    </x:row>
    <x:row r="146">
      <x:c r="A146" s="35" t="str">
        <x:v>B01-TRF-057-PASS</x:v>
      </x:c>
      <x:c r="B146" s="38" t="str">
        <x:v>TRF-057</x:v>
      </x:c>
      <x:c r="C146" s="35" t="str">
        <x:v>PASS</x:v>
      </x:c>
      <x:c r="D146" s="67" t="b">
        <x:v>1</x:v>
      </x:c>
      <x:c r="E146" s="55" t="n">
        <x:v>23</x:v>
      </x:c>
      <x:c r="F146" s="35" t="str">
        <x:v>4.6.1</x:v>
      </x:c>
      <x:c r="G146" s="35" t="str">
        <x:v>both load sources, floor active/inactive, exact F, wrong la</x:v>
      </x:c>
      <x:c r="H146" s="35" t="str">
        <x:v>INPUTS/DEVELOPMENT_CALIBRATION/BATCH_01_FIRST_50/rdf_fixtures/TRF-057/trf-057_01_pass.ttl</x:v>
      </x:c>
      <x:c r="I146" s="35" t="str">
        <x:v>d26511ea2b3a15d3b75e9aaeb7a1382bcc173c433a961bb6fc6cff5ea9382d21</x:v>
      </x:c>
      <x:c r="J146" s="55" t="n">
        <x:v>33</x:v>
      </x:c>
      <x:c r="K146" s="35" t="str">
        <x:v>VOCAB-DEV-2026-08-13-BATCH01-R6</x:v>
      </x:c>
      <x:c r="L146" s="35" t="str">
        <x:v>YES</x:v>
      </x:c>
      <x:c r="M146" s="35" t="str">
        <x:v>NOT_RUN</x:v>
      </x:c>
    </x:row>
    <x:row r="147">
      <x:c r="A147" s="35" t="str">
        <x:v>B01-TRF-057-FAIL</x:v>
      </x:c>
      <x:c r="B147" s="38" t="str">
        <x:v>TRF-057</x:v>
      </x:c>
      <x:c r="C147" s="35" t="str">
        <x:v>FAIL</x:v>
      </x:c>
      <x:c r="D147" s="67" t="b">
        <x:v>0</x:v>
      </x:c>
      <x:c r="E147" s="55" t="n">
        <x:v>23</x:v>
      </x:c>
      <x:c r="F147" s="35" t="str">
        <x:v>4.6.1</x:v>
      </x:c>
      <x:c r="G147" s="35" t="str">
        <x:v>both load sources, floor active/inactive, exact F, wrong la</x:v>
      </x:c>
      <x:c r="H147" s="35" t="str">
        <x:v>INPUTS/DEVELOPMENT_CALIBRATION/BATCH_01_FIRST_50/rdf_fixtures/TRF-057/trf-057_02_fail.ttl</x:v>
      </x:c>
      <x:c r="I147" s="35" t="str">
        <x:v>60f8d958cc3bf24f1429686725025bca411eca2e17992631b7a45392609d516d</x:v>
      </x:c>
      <x:c r="J147" s="55" t="n">
        <x:v>33</x:v>
      </x:c>
      <x:c r="K147" s="35" t="str">
        <x:v>VOCAB-DEV-2026-08-13-BATCH01-R6</x:v>
      </x:c>
      <x:c r="L147" s="35" t="str">
        <x:v>YES</x:v>
      </x:c>
      <x:c r="M147" s="35" t="str">
        <x:v>NOT_RUN</x:v>
      </x:c>
    </x:row>
    <x:row r="148">
      <x:c r="A148" s="35" t="str">
        <x:v>B01-TRF-057-BOUNDARY</x:v>
      </x:c>
      <x:c r="B148" s="38" t="str">
        <x:v>TRF-057</x:v>
      </x:c>
      <x:c r="C148" s="35" t="str">
        <x:v>BOUNDARY</x:v>
      </x:c>
      <x:c r="D148" s="67" t="b">
        <x:v>1</x:v>
      </x:c>
      <x:c r="E148" s="55" t="n">
        <x:v>23</x:v>
      </x:c>
      <x:c r="F148" s="35" t="str">
        <x:v>4.6.1</x:v>
      </x:c>
      <x:c r="G148" s="35" t="str">
        <x:v>both load sources, floor active/inactive, exact F, wrong la</x:v>
      </x:c>
      <x:c r="H148" s="35" t="str">
        <x:v>INPUTS/DEVELOPMENT_CALIBRATION/BATCH_01_FIRST_50/rdf_fixtures/TRF-057/trf-057_03_boundary.ttl</x:v>
      </x:c>
      <x:c r="I148" s="35" t="str">
        <x:v>d071624ff35adc61ab0a54664767705ffcc7cc9c1103b3be69272f0346fc2138</x:v>
      </x:c>
      <x:c r="J148" s="55" t="n">
        <x:v>33</x:v>
      </x:c>
      <x:c r="K148" s="35" t="str">
        <x:v>VOCAB-DEV-2026-08-13-BATCH01-R6</x:v>
      </x:c>
      <x:c r="L148" s="35" t="str">
        <x:v>YES</x:v>
      </x:c>
      <x:c r="M148" s="35" t="str">
        <x:v>NOT_RUN</x:v>
      </x:c>
    </x:row>
    <x:row r="149">
      <x:c r="A149" s="35" t="str">
        <x:v>B01-TRF-058-PASS</x:v>
      </x:c>
      <x:c r="B149" s="38" t="str">
        <x:v>TRF-058</x:v>
      </x:c>
      <x:c r="C149" s="35" t="str">
        <x:v>PASS</x:v>
      </x:c>
      <x:c r="D149" s="67" t="b">
        <x:v>1</x:v>
      </x:c>
      <x:c r="E149" s="55" t="n">
        <x:v>23</x:v>
      </x:c>
      <x:c r="F149" s="35" t="str">
        <x:v>4.6.1</x:v>
      </x:c>
      <x:c r="G149" s="35" t="str">
        <x:v>inside belt unchanged, outside factor, hs/ls boundary</x:v>
      </x:c>
      <x:c r="H149" s="35" t="str">
        <x:v>INPUTS/DEVELOPMENT_CALIBRATION/BATCH_01_FIRST_50/rdf_fixtures/TRF-058/trf-058_01_pass.ttl</x:v>
      </x:c>
      <x:c r="I149" s="35" t="str">
        <x:v>d6112b588daab03607069d4f8ee4344e390832122f34f641eae8044639f7106a</x:v>
      </x:c>
      <x:c r="J149" s="55" t="n">
        <x:v>21</x:v>
      </x:c>
      <x:c r="K149" s="35" t="str">
        <x:v>VOCAB-DEV-2026-08-13-BATCH01-R6</x:v>
      </x:c>
      <x:c r="L149" s="35" t="str">
        <x:v>YES</x:v>
      </x:c>
      <x:c r="M149" s="35" t="str">
        <x:v>NOT_RUN</x:v>
      </x:c>
    </x:row>
    <x:row r="150">
      <x:c r="A150" s="35" t="str">
        <x:v>B01-TRF-058-FAIL</x:v>
      </x:c>
      <x:c r="B150" s="38" t="str">
        <x:v>TRF-058</x:v>
      </x:c>
      <x:c r="C150" s="35" t="str">
        <x:v>FAIL</x:v>
      </x:c>
      <x:c r="D150" s="67" t="b">
        <x:v>0</x:v>
      </x:c>
      <x:c r="E150" s="55" t="n">
        <x:v>23</x:v>
      </x:c>
      <x:c r="F150" s="35" t="str">
        <x:v>4.6.1</x:v>
      </x:c>
      <x:c r="G150" s="35" t="str">
        <x:v>inside belt unchanged, outside factor, hs/ls boundary</x:v>
      </x:c>
      <x:c r="H150" s="35" t="str">
        <x:v>INPUTS/DEVELOPMENT_CALIBRATION/BATCH_01_FIRST_50/rdf_fixtures/TRF-058/trf-058_02_fail.ttl</x:v>
      </x:c>
      <x:c r="I150" s="35" t="str">
        <x:v>594edee7d81917553e8d0c68e3cbc5f35956122a5f426ac37737910cdd24ee3c</x:v>
      </x:c>
      <x:c r="J150" s="55" t="n">
        <x:v>21</x:v>
      </x:c>
      <x:c r="K150" s="35" t="str">
        <x:v>VOCAB-DEV-2026-08-13-BATCH01-R6</x:v>
      </x:c>
      <x:c r="L150" s="35" t="str">
        <x:v>YES</x:v>
      </x:c>
      <x:c r="M150" s="35" t="str">
        <x:v>NOT_RUN</x:v>
      </x:c>
    </x:row>
    <x:row r="151">
      <x:c r="A151" s="35" t="str">
        <x:v>B01-TRF-058-BOUNDARY</x:v>
      </x:c>
      <x:c r="B151" s="38" t="str">
        <x:v>TRF-058</x:v>
      </x:c>
      <x:c r="C151" s="35" t="str">
        <x:v>BOUNDARY</x:v>
      </x:c>
      <x:c r="D151" s="67" t="b">
        <x:v>1</x:v>
      </x:c>
      <x:c r="E151" s="55" t="n">
        <x:v>23</x:v>
      </x:c>
      <x:c r="F151" s="35" t="str">
        <x:v>4.6.1</x:v>
      </x:c>
      <x:c r="G151" s="35" t="str">
        <x:v>inside belt unchanged, outside factor, hs/ls boundary</x:v>
      </x:c>
      <x:c r="H151" s="35" t="str">
        <x:v>INPUTS/DEVELOPMENT_CALIBRATION/BATCH_01_FIRST_50/rdf_fixtures/TRF-058/trf-058_03_boundary.ttl</x:v>
      </x:c>
      <x:c r="I151" s="35" t="str">
        <x:v>551aacf87c8bdc2d7a194f7571ee99c1e9193939ae854d154e3b94fa332b356b</x:v>
      </x:c>
      <x:c r="J151" s="55" t="n">
        <x:v>21</x:v>
      </x:c>
      <x:c r="K151" s="35" t="str">
        <x:v>VOCAB-DEV-2026-08-13-BATCH01-R6</x:v>
      </x:c>
      <x:c r="L151" s="35" t="str">
        <x:v>YES</x:v>
      </x:c>
      <x:c r="M151" s="35" t="str">
        <x:v>NOT_RUN</x:v>
      </x:c>
    </x:row>
    <x:row r="152">
      <x:c r="A152" s="35" t="str">
        <x:v>B01-TRF-059-PASS</x:v>
      </x:c>
      <x:c r="B152" s="38" t="str">
        <x:v>TRF-059</x:v>
      </x:c>
      <x:c r="C152" s="35" t="str">
        <x:v>PASS</x:v>
      </x:c>
      <x:c r="D152" s="67" t="b">
        <x:v>1</x:v>
      </x:c>
      <x:c r="E152" s="55" t="n">
        <x:v>23</x:v>
      </x:c>
      <x:c r="F152" s="35" t="str">
        <x:v>4.6.2</x:v>
      </x:c>
      <x:c r="G152" s="35" t="str">
        <x:v>alpha table rows, exact A, low A</x:v>
      </x:c>
      <x:c r="H152" s="35" t="str">
        <x:v>INPUTS/DEVELOPMENT_CALIBRATION/BATCH_01_FIRST_50/rdf_fixtures/TRF-059/trf-059_01_pass.ttl</x:v>
      </x:c>
      <x:c r="I152" s="35" t="str">
        <x:v>32c0e0d4193c283db4a749d922fd7c48f7fb4ec15ed3c0db6194b6ae6eba8b18</x:v>
      </x:c>
      <x:c r="J152" s="55" t="n">
        <x:v>40</x:v>
      </x:c>
      <x:c r="K152" s="35" t="str">
        <x:v>VOCAB-DEV-2026-08-13-BATCH01-R6</x:v>
      </x:c>
      <x:c r="L152" s="35" t="str">
        <x:v>YES</x:v>
      </x:c>
      <x:c r="M152" s="35" t="str">
        <x:v>NOT_RUN</x:v>
      </x:c>
    </x:row>
    <x:row r="153">
      <x:c r="A153" s="35" t="str">
        <x:v>B01-TRF-059-FAIL</x:v>
      </x:c>
      <x:c r="B153" s="38" t="str">
        <x:v>TRF-059</x:v>
      </x:c>
      <x:c r="C153" s="35" t="str">
        <x:v>FAIL</x:v>
      </x:c>
      <x:c r="D153" s="67" t="b">
        <x:v>0</x:v>
      </x:c>
      <x:c r="E153" s="55" t="n">
        <x:v>23</x:v>
      </x:c>
      <x:c r="F153" s="35" t="str">
        <x:v>4.6.2</x:v>
      </x:c>
      <x:c r="G153" s="35" t="str">
        <x:v>alpha table rows, exact A, low A</x:v>
      </x:c>
      <x:c r="H153" s="35" t="str">
        <x:v>INPUTS/DEVELOPMENT_CALIBRATION/BATCH_01_FIRST_50/rdf_fixtures/TRF-059/trf-059_02_fail.ttl</x:v>
      </x:c>
      <x:c r="I153" s="35" t="str">
        <x:v>b9f9e1e719fe803702edf75ec2fb40862cc81c26ef62ad0b7a5917688bb3fbe2</x:v>
      </x:c>
      <x:c r="J153" s="55" t="n">
        <x:v>40</x:v>
      </x:c>
      <x:c r="K153" s="35" t="str">
        <x:v>VOCAB-DEV-2026-08-13-BATCH01-R6</x:v>
      </x:c>
      <x:c r="L153" s="35" t="str">
        <x:v>YES</x:v>
      </x:c>
      <x:c r="M153" s="35" t="str">
        <x:v>NOT_RUN</x:v>
      </x:c>
    </x:row>
    <x:row r="154">
      <x:c r="A154" s="36" t="str">
        <x:v>B01-TRF-059-BOUNDARY</x:v>
      </x:c>
      <x:c r="B154" s="39" t="str">
        <x:v>TRF-059</x:v>
      </x:c>
      <x:c r="C154" s="36" t="str">
        <x:v>BOUNDARY</x:v>
      </x:c>
      <x:c r="D154" s="68" t="b">
        <x:v>1</x:v>
      </x:c>
      <x:c r="E154" s="57" t="n">
        <x:v>23</x:v>
      </x:c>
      <x:c r="F154" s="36" t="str">
        <x:v>4.6.2</x:v>
      </x:c>
      <x:c r="G154" s="36" t="str">
        <x:v>alpha table rows, exact A, low A</x:v>
      </x:c>
      <x:c r="H154" s="36" t="str">
        <x:v>INPUTS/DEVELOPMENT_CALIBRATION/BATCH_01_FIRST_50/rdf_fixtures/TRF-059/trf-059_03_boundary.ttl</x:v>
      </x:c>
      <x:c r="I154" s="36" t="str">
        <x:v>ff1fcc6515eb5af0eae5894ddd0bcf142336919bfed0f23d195e27d2d1e163a8</x:v>
      </x:c>
      <x:c r="J154" s="57" t="n">
        <x:v>40</x:v>
      </x:c>
      <x:c r="K154" s="36" t="str">
        <x:v>VOCAB-DEV-2026-08-13-BATCH01-R6</x:v>
      </x:c>
      <x:c r="L154" s="36" t="str">
        <x:v>YES</x:v>
      </x:c>
      <x:c r="M154" s="36" t="str">
        <x:v>NOT_RUN</x:v>
      </x:c>
    </x:row>
  </x:sheetData>
  <x:conditionalFormatting sqref="M5:M154">
    <x:cfRule type="containsText" dxfId="25" priority="1" operator="containsText" text="READY"/>
    <x:cfRule type="containsText" dxfId="26" priority="2" operator="containsText" text="COMPLETE"/>
    <x:cfRule type="containsText" dxfId="27" priority="3" operator="containsText" text="NEW"/>
    <x:cfRule type="containsText" dxfId="28" priority="4" operator="containsText" text="REMODEL"/>
    <x:cfRule type="containsText" dxfId="29" priority="5" operator="containsText" text="UNIT"/>
  </x:conditionalFormatting>
  <x:pageMargins left="0.7" right="0.7" top="0.75" bottom="0.75" header="0.3" footer="0.3"/>
  <x:tableParts count="1">
    <x:tablePart xmlns:r="http://schemas.openxmlformats.org/officeDocument/2006/relationships" r:id="R75740acc74a14368"/>
  </x:tableParts>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4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34" hidden="0" customWidth="1"/>
    <x:col min="10" max="10" width="30" hidden="0" customWidth="1"/>
    <x:col min="11" max="11" width="72" hidden="0" customWidth="1"/>
    <x:col min="12" max="12" width="90" hidden="0" customWidth="1"/>
  </x:cols>
  <x:sheetData>
    <x:row r="1">
      <x:c r="A1" s="11" t="str">
        <x:v>NLTL Development Calibration - Batch 01</x:v>
      </x:c>
      <x:c r="B1" s="12"/>
      <x:c r="C1" s="12"/>
      <x:c r="D1" s="12"/>
      <x:c r="E1" s="12"/>
      <x:c r="F1" s="12"/>
      <x:c r="G1" s="12"/>
      <x:c r="H1" s="12"/>
      <x:c r="I1" s="12"/>
      <x:c r="J1" s="12"/>
      <x:c r="K1" s="12"/>
      <x:c r="L1" s="12"/>
    </x:row>
    <x:row r="2">
      <x:c r="A2" s="13" t="str">
        <x:v>CALIBRATION_ANALYSIS | DEV-CAL-BATCH-01-FIRST-50 | vocabulary is not frozen</x:v>
      </x:c>
      <x:c r="B2" s="13"/>
      <x:c r="C2" s="13"/>
      <x:c r="D2" s="13"/>
      <x:c r="E2" s="13"/>
      <x:c r="F2" s="13"/>
      <x:c r="G2" s="13"/>
      <x:c r="H2" s="13"/>
      <x:c r="I2" s="13"/>
      <x:c r="J2" s="13"/>
      <x:c r="K2" s="13"/>
      <x:c r="L2" s="13"/>
    </x:row>
    <x:row r="3">
      <x:c r="A3" s="14"/>
      <x:c r="B3" s="14"/>
      <x:c r="C3" s="14"/>
      <x:c r="D3" s="14"/>
      <x:c r="E3" s="14"/>
      <x:c r="F3" s="14"/>
      <x:c r="G3" s="14"/>
      <x:c r="H3" s="14"/>
      <x:c r="I3" s="14"/>
      <x:c r="J3" s="14"/>
      <x:c r="K3" s="14"/>
      <x:c r="L3" s="14"/>
    </x:row>
    <x:row r="4" ht="32" customHeight="1">
      <x:c r="A4" s="32" t="str">
        <x:v>REQUIREMENT_ID</x:v>
      </x:c>
      <x:c r="B4" s="52" t="str">
        <x:v>R3_RUN_ID</x:v>
      </x:c>
      <x:c r="C4" s="52" t="str">
        <x:v>R3_GENERATION_STATUS</x:v>
      </x:c>
      <x:c r="D4" s="52" t="str">
        <x:v>R3_ATTEMPTS</x:v>
      </x:c>
      <x:c r="E4" s="52" t="str">
        <x:v>R3_ACCEPTED</x:v>
      </x:c>
      <x:c r="F4" s="52" t="str">
        <x:v>R3_EVALUATED_CASES</x:v>
      </x:c>
      <x:c r="G4" s="52" t="str">
        <x:v>R3_EXECUTION_FAILURES</x:v>
      </x:c>
      <x:c r="H4" s="52" t="str">
        <x:v>R3_EXPECTATION_MISMATCHES</x:v>
      </x:c>
      <x:c r="I4" s="52" t="str">
        <x:v>CLASSIFICATION</x:v>
      </x:c>
      <x:c r="J4" s="52" t="str">
        <x:v>R4_ACTION</x:v>
      </x:c>
      <x:c r="K4" s="52" t="str">
        <x:v>RATIONALE</x:v>
      </x:c>
      <x:c r="L4" s="33" t="str">
        <x:v>FINAL_FEEDBACK</x:v>
      </x:c>
    </x:row>
    <x:row r="5">
      <x:c r="A5" s="37" t="str">
        <x:v>TRF-001</x:v>
      </x:c>
      <x:c r="B5" s="34" t="str">
        <x:v>RUN-TRF-001-20260812T125429218385Z</x:v>
      </x:c>
      <x:c r="C5" s="34" t="str">
        <x:v>GENERATION_ACCEPTED</x:v>
      </x:c>
      <x:c r="D5" s="34" t="n">
        <x:v>1</x:v>
      </x:c>
      <x:c r="E5" s="34" t="str">
        <x:v>TRUE</x:v>
      </x:c>
      <x:c r="F5" s="34" t="n">
        <x:v>3</x:v>
      </x:c>
      <x:c r="G5" s="34" t="n">
        <x:v>0</x:v>
      </x:c>
      <x:c r="H5" s="34" t="n">
        <x:v>0</x:v>
      </x:c>
      <x:c r="I5" s="34" t="str">
        <x:v>R3_CLEAN_CALIBRATION</x:v>
      </x:c>
      <x:c r="J5" s="34" t="str">
        <x:v>RETAIN_DEVELOPMENT_EVIDENCE</x:v>
      </x:c>
      <x:c r="K5" s="34" t="str">
        <x:v>Generation accepted and all three R3 fixture expectations matched; retain as development evidence.</x:v>
      </x:c>
      <x:c r="L5" s="34" t="str">
        <x:v>No repair required; the graph faithfully encodes the date-triggered 2021 edition applicability and the unconditional applicability of both specified provisions.</x:v>
      </x:c>
    </x:row>
    <x:row r="6">
      <x:c r="A6" s="38" t="str">
        <x:v>TRF-002</x:v>
      </x:c>
      <x:c r="B6" s="35" t="str">
        <x:v>RUN-TRF-002-20260812T125513415336Z</x:v>
      </x:c>
      <x:c r="C6" s="35" t="str">
        <x:v>GENERATION_ACCEPTED</x:v>
      </x:c>
      <x:c r="D6" s="35" t="n">
        <x:v>1</x:v>
      </x:c>
      <x:c r="E6" s="35" t="str">
        <x:v>TRUE</x:v>
      </x:c>
      <x:c r="F6" s="35" t="n">
        <x:v>3</x:v>
      </x:c>
      <x:c r="G6" s="35" t="n">
        <x:v>0</x:v>
      </x:c>
      <x:c r="H6" s="35" t="n">
        <x:v>0</x:v>
      </x:c>
      <x:c r="I6" s="35" t="str">
        <x:v>R3_CLEAN_CALIBRATION</x:v>
      </x:c>
      <x:c r="J6" s="35" t="str">
        <x:v>RETAIN_DEVELOPMENT_EVIDENCE</x:v>
      </x:c>
      <x:c r="K6" s="35" t="str">
        <x:v>Generation accepted and all three R3 fixture expectations matched; retain as development evidence.</x:v>
      </x:c>
      <x:c r="L6" s="35" t="str">
        <x:v>Candidate faithfully encodes the inclusive 2019-01-01 lower bound, exclusive 2021-07-05 upper bound, ship target, construction-contract-date applicability, and required 2017 regulation edition using canonical terms and valid datatypes.</x:v>
      </x:c>
    </x:row>
    <x:row r="7">
      <x:c r="A7" s="38" t="str">
        <x:v>TRF-003</x:v>
      </x:c>
      <x:c r="B7" s="35" t="str">
        <x:v>RUN-TRF-003-20260812T130023872353Z</x:v>
      </x:c>
      <x:c r="C7" s="35" t="str">
        <x:v>GENERATION_ACCEPTED</x:v>
      </x:c>
      <x:c r="D7" s="35" t="n">
        <x:v>1</x:v>
      </x:c>
      <x:c r="E7" s="35" t="str">
        <x:v>TRUE</x:v>
      </x:c>
      <x:c r="F7" s="35" t="n">
        <x:v>3</x:v>
      </x:c>
      <x:c r="G7" s="35" t="n">
        <x:v>0</x:v>
      </x:c>
      <x:c r="H7" s="35" t="n">
        <x:v>0</x:v>
      </x:c>
      <x:c r="I7" s="35" t="str">
        <x:v>R3_CLEAN_CALIBRATION</x:v>
      </x:c>
      <x:c r="J7" s="35" t="str">
        <x:v>RETAIN_DEVELOPMENT_EVIDENCE</x:v>
      </x:c>
      <x:c r="K7" s="35" t="str">
        <x:v>Generation accepted and all three R3 fixture expectations matched; retain as development evidence.</x:v>
      </x:c>
      <x:c r="L7" s="35" t="str">
        <x:v>Candidate faithfully encodes the ship target, inclusive 2012-01-01 lower boundary, exclusive 2019-01-01 upper boundary, and required 2010 regulation-edition relationship.</x:v>
      </x:c>
    </x:row>
    <x:row r="8">
      <x:c r="A8" s="38" t="str">
        <x:v>TRF-004</x:v>
      </x:c>
      <x:c r="B8" s="35" t="str">
        <x:v>RUN-TRF-004-20260812T130126870073Z</x:v>
      </x:c>
      <x:c r="C8" s="35" t="str">
        <x:v>GENERATION_ACCEPTED</x:v>
      </x:c>
      <x:c r="D8" s="35" t="n">
        <x:v>1</x:v>
      </x:c>
      <x:c r="E8" s="35" t="str">
        <x:v>TRUE</x:v>
      </x:c>
      <x:c r="F8" s="35" t="n">
        <x:v>3</x:v>
      </x:c>
      <x:c r="G8" s="35" t="n">
        <x:v>0</x:v>
      </x:c>
      <x:c r="H8" s="35" t="n">
        <x:v>0</x:v>
      </x:c>
      <x:c r="I8" s="35" t="str">
        <x:v>R3_CLEAN_CALIBRATION</x:v>
      </x:c>
      <x:c r="J8" s="35" t="str">
        <x:v>RETAIN_DEVELOPMENT_EVIDENCE</x:v>
      </x:c>
      <x:c r="K8" s="35" t="str">
        <x:v>Generation accepted and all three R3 fixture expectations matched; retain as development evidence.</x:v>
      </x:c>
      <x:c r="L8" s="35" t="str">
        <x:v>Candidate faithfully encodes the ship target, inclusive 2010-01-01 lower bound, exclusive 2012-01-01 upper bound, and required 2008 regulation edition using valid canonical terms and xsd:date literals.</x:v>
      </x:c>
    </x:row>
    <x:row r="9">
      <x:c r="A9" s="38" t="str">
        <x:v>TRF-005</x:v>
      </x:c>
      <x:c r="B9" s="35" t="str">
        <x:v>RUN-TRF-005-20260812T130201778712Z</x:v>
      </x:c>
      <x:c r="C9" s="35" t="str">
        <x:v>GENERATION_ACCEPTED</x:v>
      </x:c>
      <x:c r="D9" s="35" t="n">
        <x:v>1</x:v>
      </x:c>
      <x:c r="E9" s="35" t="str">
        <x:v>TRUE</x:v>
      </x:c>
      <x:c r="F9" s="35" t="n">
        <x:v>3</x:v>
      </x:c>
      <x:c r="G9" s="35" t="n">
        <x:v>0</x:v>
      </x:c>
      <x:c r="H9" s="35" t="n">
        <x:v>0</x:v>
      </x:c>
      <x:c r="I9" s="35" t="str">
        <x:v>R3_CLEAN_CALIBRATION</x:v>
      </x:c>
      <x:c r="J9" s="35" t="str">
        <x:v>RETAIN_DEVELOPMENT_EVIDENCE</x:v>
      </x:c>
      <x:c r="K9" s="35" t="str">
        <x:v>Generation accepted and all three R3 fixture expectations matched; retain as development evidence.</x:v>
      </x:c>
      <x:c r="L9" s="35" t="str">
        <x:v>Candidate faithfully encodes the ship applicability dates, inclusive/exclusive boundaries, and required 2002 regulation edition.</x:v>
      </x:c>
    </x:row>
    <x:row r="10">
      <x:c r="A10" s="38" t="str">
        <x:v>TRF-006</x:v>
      </x:c>
      <x:c r="B10" s="35" t="str">
        <x:v>RUN-TRF-006-20260812T130228816496Z</x:v>
      </x:c>
      <x:c r="C10" s="35" t="str">
        <x:v>GENERATION_ACCEPTED</x:v>
      </x:c>
      <x:c r="D10" s="35" t="n">
        <x:v>1</x:v>
      </x:c>
      <x:c r="E10" s="35" t="str">
        <x:v>TRUE</x:v>
      </x:c>
      <x:c r="F10" s="35" t="n">
        <x:v>3</x:v>
      </x:c>
      <x:c r="G10" s="35" t="n">
        <x:v>0</x:v>
      </x:c>
      <x:c r="H10" s="35" t="n">
        <x:v>0</x:v>
      </x:c>
      <x:c r="I10" s="35" t="str">
        <x:v>R3_CLEAN_CALIBRATION</x:v>
      </x:c>
      <x:c r="J10" s="35" t="str">
        <x:v>RETAIN_DEVELOPMENT_EVIDENCE</x:v>
      </x:c>
      <x:c r="K10" s="35" t="str">
        <x:v>Generation accepted and all three R3 fixture expectations matched; retain as development evidence.</x:v>
      </x:c>
      <x:c r="L10" s="35" t="str">
        <x:v>No repair required; the candidate correctly encodes the construction-period boundaries, mandatory 1985 general edition, and optional 2008 engine-output exception.</x:v>
      </x:c>
    </x:row>
    <x:row r="11">
      <x:c r="A11" s="38" t="str">
        <x:v>TRF-007</x:v>
      </x:c>
      <x:c r="B11" s="35" t="str">
        <x:v>RUN-TRF-007-20260812T130317257261Z</x:v>
      </x:c>
      <x:c r="C11" s="35" t="str">
        <x:v>GENERATION_ACCEPTED</x:v>
      </x:c>
      <x:c r="D11" s="35" t="n">
        <x:v>2</x:v>
      </x:c>
      <x:c r="E11" s="35" t="str">
        <x:v>TRUE</x:v>
      </x:c>
      <x:c r="F11" s="35" t="n">
        <x:v>3</x:v>
      </x:c>
      <x:c r="G11" s="35" t="n">
        <x:v>3</x:v>
      </x:c>
      <x:c r="H11" s="35" t="n">
        <x:v>3</x:v>
      </x:c>
      <x:c r="I11" s="35" t="str">
        <x:v>RUNTIME_INVALID_ACCEPTANCE</x:v>
      </x:c>
      <x:c r="J11" s="35" t="str">
        <x:v>RERUN_AFFECTED</x:v>
      </x:c>
      <x:c r="K11" s="35" t="str">
        <x:v>R3 static checks accepted SHACL-SPARQL rejected by the actual SHACL engine; R4 adds a compilation gate.</x:v>
      </x:c>
      <x:c r="L11" s="35" t="str">
        <x:v>Candidate faithfully encodes the requirement and is suitable for freezing.</x:v>
      </x:c>
    </x:row>
    <x:row r="12">
      <x:c r="A12" s="38" t="str">
        <x:v>TRF-009</x:v>
      </x:c>
      <x:c r="B12" s="35" t="str">
        <x:v>RUN-TRF-009-20260812T130846055634Z</x:v>
      </x:c>
      <x:c r="C12" s="35" t="str">
        <x:v>GENERATION_ACCEPTED</x:v>
      </x:c>
      <x:c r="D12" s="35" t="n">
        <x:v>1</x:v>
      </x:c>
      <x:c r="E12" s="35" t="str">
        <x:v>TRUE</x:v>
      </x:c>
      <x:c r="F12" s="35" t="n">
        <x:v>3</x:v>
      </x:c>
      <x:c r="G12" s="35" t="n">
        <x:v>0</x:v>
      </x:c>
      <x:c r="H12" s="35" t="n">
        <x:v>2</x:v>
      </x:c>
      <x:c r="I12" s="35" t="str">
        <x:v>RDF_EXPECTATION_MISMATCH</x:v>
      </x:c>
      <x:c r="J12" s="35" t="str">
        <x:v>RERUN_AFFECTED</x:v>
      </x:c>
      <x:c r="K12" s="35" t="str">
        <x:v>Executable shape disagreed with one or more authored pass/fail/boundary fixtures; fixture and logic were reviewed.</x:v>
      </x:c>
      <x:c r="L12" s="35" t="str">
        <x:v>No repair required; the candidate faithfully encodes the applicable ice classes, pre-1 September 2003 construction-stage cutoff, section 3.2.2/3.2.4 alternative, and delivery-year-plus-20 deadline with xsd:date evidence.</x:v>
      </x:c>
    </x:row>
    <x:row r="13">
      <x:c r="A13" s="38" t="str">
        <x:v>TRF-010</x:v>
      </x:c>
      <x:c r="B13" s="35" t="str">
        <x:v>RUN-TRF-010-20260812T131007294415Z</x:v>
      </x:c>
      <x:c r="C13" s="35" t="str">
        <x:v>GENERATION_ACCEPTED</x:v>
      </x:c>
      <x:c r="D13" s="35" t="n">
        <x:v>1</x:v>
      </x:c>
      <x:c r="E13" s="35" t="str">
        <x:v>TRUE</x:v>
      </x:c>
      <x:c r="F13" s="35" t="n">
        <x:v>3</x:v>
      </x:c>
      <x:c r="G13" s="35" t="n">
        <x:v>0</x:v>
      </x:c>
      <x:c r="H13" s="35" t="n">
        <x:v>0</x:v>
      </x:c>
      <x:c r="I13" s="35" t="str">
        <x:v>R3_CLEAN_CALIBRATION</x:v>
      </x:c>
      <x:c r="J13" s="35" t="str">
        <x:v>RETAIN_DEVELOPMENT_EVIDENCE</x:v>
      </x:c>
      <x:c r="K13" s="35" t="str">
        <x:v>Generation accepted and all three R3 fixture expectations matched; retain as development evidence.</x:v>
      </x:c>
      <x:c r="L13" s="35" t="str">
        <x:v>Candidate faithfully targets ships and requires exactly the permitted ice-class controlled values with correct presence and IRI constraints.</x:v>
      </x:c>
    </x:row>
    <x:row r="14">
      <x:c r="A14" s="38" t="str">
        <x:v>TRF-011</x:v>
      </x:c>
      <x:c r="B14" s="35" t="str">
        <x:v>RUN-TRF-011-20260812T131025791578Z</x:v>
      </x:c>
      <x:c r="C14" s="35" t="str">
        <x:v>GENERATION_ACCEPTED</x:v>
      </x:c>
      <x:c r="D14" s="35" t="n">
        <x:v>3</x:v>
      </x:c>
      <x:c r="E14" s="35" t="str">
        <x:v>TRUE</x:v>
      </x:c>
      <x:c r="F14" s="35" t="n">
        <x:v>3</x:v>
      </x:c>
      <x:c r="G14" s="35" t="n">
        <x:v>0</x:v>
      </x:c>
      <x:c r="H14" s="35" t="n">
        <x:v>2</x:v>
      </x:c>
      <x:c r="I14" s="35" t="str">
        <x:v>RDF_EXPECTATION_MISMATCH</x:v>
      </x:c>
      <x:c r="J14" s="35" t="str">
        <x:v>RERUN_AFFECTED</x:v>
      </x:c>
      <x:c r="K14" s="35" t="str">
        <x:v>Executable shape disagreed with one or more authored pass/fail/boundary fixtures; fixture and logic were reviewed.</x:v>
      </x:c>
      <x:c r="L14" s="35" t="str">
        <x:v>Candidate faithfully encodes the ship-level UIWL as the pointwise maximum vertical coordinate of intended ice-operating waterlines, with complete bidirectional envelope coverage, required evidence, canonical paths, decimal datatypes, and metre units.</x:v>
      </x:c>
    </x:row>
    <x:row r="15">
      <x:c r="A15" s="38" t="str">
        <x:v>TRF-012</x:v>
      </x:c>
      <x:c r="B15" s="35" t="str">
        <x:v>RUN-TRF-012-20260812T131330232392Z</x:v>
      </x:c>
      <x:c r="C15" s="35" t="str">
        <x:v>GENERATION_ACCEPTED</x:v>
      </x:c>
      <x:c r="D15" s="35" t="n">
        <x:v>1</x:v>
      </x:c>
      <x:c r="E15" s="35" t="str">
        <x:v>TRUE</x:v>
      </x:c>
      <x:c r="F15" s="35" t="n">
        <x:v>3</x:v>
      </x:c>
      <x:c r="G15" s="35" t="n">
        <x:v>0</x:v>
      </x:c>
      <x:c r="H15" s="35" t="n">
        <x:v>2</x:v>
      </x:c>
      <x:c r="I15" s="35" t="str">
        <x:v>RDF_EXPECTATION_MISMATCH</x:v>
      </x:c>
      <x:c r="J15" s="35" t="str">
        <x:v>RERUN_AFFECTED</x:v>
      </x:c>
      <x:c r="K15" s="35" t="str">
        <x:v>Executable shape disagreed with one or more authored pass/fail/boundary fixtures; fixture and logic were reviewed.</x:v>
      </x:c>
      <x:c r="L15" s="35" t="str">
        <x:v>No repair required; the ship-targeted constraints correctly validate the lower ice waterline as the pointwise lowest envelope of intended ice-operating waterlines using decimal metre coordinates.</x:v>
      </x:c>
    </x:row>
    <x:row r="16">
      <x:c r="A16" s="38" t="str">
        <x:v>TRF-013</x:v>
      </x:c>
      <x:c r="B16" s="35" t="str">
        <x:v>RUN-TRF-013-20260812T131434874572Z</x:v>
      </x:c>
      <x:c r="C16" s="35" t="str">
        <x:v>GENERATION_ACCEPTED</x:v>
      </x:c>
      <x:c r="D16" s="35" t="n">
        <x:v>2</x:v>
      </x:c>
      <x:c r="E16" s="35" t="str">
        <x:v>TRUE</x:v>
      </x:c>
      <x:c r="F16" s="35" t="n">
        <x:v>3</x:v>
      </x:c>
      <x:c r="G16" s="35" t="n">
        <x:v>3</x:v>
      </x:c>
      <x:c r="H16" s="35" t="n">
        <x:v>3</x:v>
      </x:c>
      <x:c r="I16" s="35" t="str">
        <x:v>RUNTIME_INVALID_ACCEPTANCE</x:v>
      </x:c>
      <x:c r="J16" s="35" t="str">
        <x:v>RERUN_AFFECTED</x:v>
      </x:c>
      <x:c r="K16" s="35" t="str">
        <x:v>R3 static checks accepted SHACL-SPARQL rejected by the actual SHACL engine; R4 adds a compilation gate.</x:v>
      </x:c>
      <x:c r="L16" s="35" t="str">
        <x:v>No repair required; the candidate faithfully encodes applicability to ice-strengthened classes, required draught evidence in metres, and inclusive fore/aft lower-to-upper bounds.</x:v>
      </x:c>
    </x:row>
    <x:row r="17">
      <x:c r="A17" s="38" t="str">
        <x:v>TRF-014</x:v>
      </x:c>
      <x:c r="B17" s="35" t="str">
        <x:v>RUN-TRF-014-20260812T131641219014Z</x:v>
      </x:c>
      <x:c r="C17" s="35" t="str">
        <x:v>MAX_ATTEMPTS_REACHED</x:v>
      </x:c>
      <x:c r="D17" s="35" t="n">
        <x:v>3</x:v>
      </x:c>
      <x:c r="E17" s="35" t="str">
        <x:v>FALSE</x:v>
      </x:c>
      <x:c r="F17" s="35" t="n">
        <x:v>0</x:v>
      </x:c>
      <x:c r="G17" s="35" t="n">
        <x:v>0</x:v>
      </x:c>
      <x:c r="H17" s="35" t="n">
        <x:v>0</x:v>
      </x:c>
      <x:c r="I17" s="35" t="str">
        <x:v>CONFIRMED_SCHEMA_GAP</x:v>
      </x:c>
      <x:c r="J17" s="35" t="str">
        <x:v>RERUN_AFFECTED</x:v>
      </x:c>
      <x:c r="K17" s="35" t="str">
        <x:v>Clause-backed missing class/property/relationship/unit or applicability operand was added to R4.</x:v>
      </x:c>
      <x:c r="L17" s="35" t="str">
        <x:v>Remove the unconditional pre-2007 dry-docking constraint: it incorrectly requires every pre-1 July 2007 ship to provide a qualifying docking date even when the draught condition is false or the required markings are already present. Encode the old-ship branch so that, only when summer fresh-water draught exceeds UIWL and either marking is absent, the ship must have a first scheduled dry-docking date after 1 July 2007 that has not yet passed; otherwise report the missing markings after the deadline. Also represent and validate that the ice-class draught mark is positioned at the maximum permissible ice-class draught amidships, rather than checking presence alone; locate the canonical property for that mark value/position via the variable matcher.</x:v>
      </x:c>
    </x:row>
    <x:row r="18">
      <x:c r="A18" s="38" t="str">
        <x:v>TRF-015</x:v>
      </x:c>
      <x:c r="B18" s="35" t="str">
        <x:v>RUN-TRF-015-20260812T132114645827Z</x:v>
      </x:c>
      <x:c r="C18" s="35" t="str">
        <x:v>VOCABULARY_GAP</x:v>
      </x:c>
      <x:c r="D18" s="35" t="n">
        <x:v>1</x:v>
      </x:c>
      <x:c r="E18" s="35" t="str">
        <x:v>FALSE</x:v>
      </x:c>
      <x:c r="F18" s="35" t="n">
        <x:v>0</x:v>
      </x:c>
      <x:c r="G18" s="35" t="n">
        <x:v>0</x:v>
      </x:c>
      <x:c r="H18" s="35" t="n">
        <x:v>0</x:v>
      </x:c>
      <x:c r="I18" s="35" t="str">
        <x:v>CONFIRMED_SCHEMA_GAP</x:v>
      </x:c>
      <x:c r="J18" s="35" t="str">
        <x:v>RERUN_AFFECTED</x:v>
      </x:c>
      <x:c r="K18" s="35" t="str">
        <x:v>Clause-backed missing class/property/relationship/unit or applicability operand was added to R4.</x:v>
      </x:c>
      <x:c r="L18" s="35" t="str">
        <x:v>No supplied candidate represents the required navigation-in-ice status/property or controlled value; the Ship class cannot encode this applicability condition.</x:v>
      </x:c>
    </x:row>
    <x:row r="19">
      <x:c r="A19" s="38" t="str">
        <x:v>TRF-016</x:v>
      </x:c>
      <x:c r="B19" s="35" t="str">
        <x:v>RUN-TRF-016-20260812T132351915814Z</x:v>
      </x:c>
      <x:c r="C19" s="35" t="str">
        <x:v>VOCABULARY_GAP</x:v>
      </x:c>
      <x:c r="D19" s="35" t="n">
        <x:v>1</x:v>
      </x:c>
      <x:c r="E19" s="35" t="str">
        <x:v>FALSE</x:v>
      </x:c>
      <x:c r="F19" s="35" t="n">
        <x:v>0</x:v>
      </x:c>
      <x:c r="G19" s="35" t="n">
        <x:v>0</x:v>
      </x:c>
      <x:c r="H19" s="35" t="n">
        <x:v>0</x:v>
      </x:c>
      <x:c r="I19" s="35" t="str">
        <x:v>CONFIRMED_SCHEMA_GAP</x:v>
      </x:c>
      <x:c r="J19" s="35" t="str">
        <x:v>RERUN_AFFECTED</x:v>
      </x:c>
      <x:c r="K19" s="35" t="str">
        <x:v>Clause-backed missing class/property/relationship/unit or applicability operand was added to R4.</x:v>
      </x:c>
      <x:c r="L19" s="35" t="str">
        <x:v>No supplied candidate represents the applicability condition 'navigating in ice'; the quantity properties and other candidates cannot semantically serve as that condition.</x:v>
      </x:c>
    </x:row>
    <x:row r="20">
      <x:c r="A20" s="38" t="str">
        <x:v>TRF-017</x:v>
      </x:c>
      <x:c r="B20" s="35" t="str">
        <x:v>RUN-TRF-017-20260812T132513309075Z</x:v>
      </x:c>
      <x:c r="C20" s="35" t="str">
        <x:v>GENERATION_ACCEPTED</x:v>
      </x:c>
      <x:c r="D20" s="35" t="n">
        <x:v>2</x:v>
      </x:c>
      <x:c r="E20" s="35" t="str">
        <x:v>TRUE</x:v>
      </x:c>
      <x:c r="F20" s="35" t="n">
        <x:v>3</x:v>
      </x:c>
      <x:c r="G20" s="35" t="n">
        <x:v>0</x:v>
      </x:c>
      <x:c r="H20" s="35" t="n">
        <x:v>2</x:v>
      </x:c>
      <x:c r="I20" s="35" t="str">
        <x:v>RDF_EXPECTATION_MISMATCH</x:v>
      </x:c>
      <x:c r="J20" s="35" t="str">
        <x:v>RERUN_AFFECTED</x:v>
      </x:c>
      <x:c r="K20" s="35" t="str">
        <x:v>Executable shape disagreed with one or more authored pass/fail/boundary fixtures; fixture and logic were reviewed.</x:v>
      </x:c>
      <x:c r="L20" s="35" t="str">
        <x:v>Candidate faithfully encodes the conditional engine-output definition, including restricted versus continuous output, summed additional propulsion power, required evidence, decimal kilowatt quantities, and ship targeting.</x:v>
      </x:c>
    </x:row>
    <x:row r="21">
      <x:c r="A21" s="38" t="str">
        <x:v>TRF-018</x:v>
      </x:c>
      <x:c r="B21" s="35" t="str">
        <x:v>RUN-TRF-018-20260812T132729084909Z</x:v>
      </x:c>
      <x:c r="C21" s="35" t="str">
        <x:v>GENERATION_ACCEPTED</x:v>
      </x:c>
      <x:c r="D21" s="35" t="n">
        <x:v>1</x:v>
      </x:c>
      <x:c r="E21" s="35" t="str">
        <x:v>TRUE</x:v>
      </x:c>
      <x:c r="F21" s="35" t="n">
        <x:v>3</x:v>
      </x:c>
      <x:c r="G21" s="35" t="n">
        <x:v>3</x:v>
      </x:c>
      <x:c r="H21" s="35" t="n">
        <x:v>3</x:v>
      </x:c>
      <x:c r="I21" s="35" t="str">
        <x:v>RUNTIME_INVALID_ACCEPTANCE</x:v>
      </x:c>
      <x:c r="J21" s="35" t="str">
        <x:v>RERUN_AFFECTED</x:v>
      </x:c>
      <x:c r="K21" s="35" t="str">
        <x:v>R3 static checks accepted SHACL-SPARQL rejected by the actual SHACL engine; R4 adds a compilation gate.</x:v>
      </x:c>
      <x:c r="L21" s="35" t="str">
        <x:v>Candidate faithfully encodes the ice-class applicability, required-power comparison direction, 1000/2800 kW thresholds, calculated-power operand, ship target, decimal datatype, and kW unit.</x:v>
      </x:c>
    </x:row>
    <x:row r="22">
      <x:c r="A22" s="38" t="str">
        <x:v>TRF-020</x:v>
      </x:c>
      <x:c r="B22" s="35" t="str">
        <x:v>RUN-TRF-020-20260812T132812492454Z</x:v>
      </x:c>
      <x:c r="C22" s="35" t="str">
        <x:v>VOCABULARY_GAP</x:v>
      </x:c>
      <x:c r="D22" s="35" t="n">
        <x:v>1</x:v>
      </x:c>
      <x:c r="E22" s="35" t="str">
        <x:v>FALSE</x:v>
      </x:c>
      <x:c r="F22" s="35" t="n">
        <x:v>0</x:v>
      </x:c>
      <x:c r="G22" s="35" t="n">
        <x:v>0</x:v>
      </x:c>
      <x:c r="H22" s="35" t="n">
        <x:v>0</x:v>
      </x:c>
      <x:c r="I22" s="35" t="str">
        <x:v>CONFIRMED_SCHEMA_GAP</x:v>
      </x:c>
      <x:c r="J22" s="35" t="str">
        <x:v>RERUN_AFFECTED</x:v>
      </x:c>
      <x:c r="K22" s="35" t="str">
        <x:v>Clause-backed missing class/property/relationship/unit or applicability operand was added to R4.</x:v>
      </x:c>
      <x:c r="L22" s="35" t="str">
        <x:v>No candidate is verified because the supplied terms represent the UIWL and LIWL waterlines as string-valued properties, not the missing draught-specific calculation operands, formula outputs, numeric datatypes, units, or Table 3-1 Ke selection paths required by the feedback.</x:v>
      </x:c>
    </x:row>
    <x:row r="23">
      <x:c r="A23" s="38" t="str">
        <x:v>TRF-022</x:v>
      </x:c>
      <x:c r="B23" s="35" t="str">
        <x:v>RUN-TRF-022-20260812T132927637692Z</x:v>
      </x:c>
      <x:c r="C23" s="35" t="str">
        <x:v>VOCABULARY_GAP</x:v>
      </x:c>
      <x:c r="D23" s="35" t="n">
        <x:v>2</x:v>
      </x:c>
      <x:c r="E23" s="35" t="str">
        <x:v>FALSE</x:v>
      </x:c>
      <x:c r="F23" s="35" t="n">
        <x:v>0</x:v>
      </x:c>
      <x:c r="G23" s="35" t="n">
        <x:v>0</x:v>
      </x:c>
      <x:c r="H23" s="35" t="n">
        <x:v>0</x:v>
      </x:c>
      <x:c r="I23" s="35" t="str">
        <x:v>PIPELINE_OR_MODEL_REPAIR</x:v>
      </x:c>
      <x:c r="J23" s="35" t="str">
        <x:v>RERUN_AFFECTED</x:v>
      </x:c>
      <x:c r="K23" s="35" t="str">
        <x:v>Required terms already existed; repair retrieval, prompt behavior, query syntax, or generated logic.</x:v>
      </x:c>
      <x:c r="L23" s="35" t="str">
        <x:v>No supplied candidate represents applicability to new ships, the required calculation variables, or the controlled units kg/(m^2*s^2) and kg/s^2.</x:v>
      </x:c>
    </x:row>
    <x:row r="24">
      <x:c r="A24" s="38" t="str">
        <x:v>TRF-023</x:v>
      </x:c>
      <x:c r="B24" s="35" t="str">
        <x:v>RUN-TRF-023-20260812T133201884449Z</x:v>
      </x:c>
      <x:c r="C24" s="35" t="str">
        <x:v>GENERATION_ACCEPTED</x:v>
      </x:c>
      <x:c r="D24" s="35" t="n">
        <x:v>1</x:v>
      </x:c>
      <x:c r="E24" s="35" t="str">
        <x:v>TRUE</x:v>
      </x:c>
      <x:c r="F24" s="35" t="n">
        <x:v>3</x:v>
      </x:c>
      <x:c r="G24" s="35" t="n">
        <x:v>0</x:v>
      </x:c>
      <x:c r="H24" s="35" t="n">
        <x:v>0</x:v>
      </x:c>
      <x:c r="I24" s="35" t="str">
        <x:v>R3_CLEAN_CALIBRATION</x:v>
      </x:c>
      <x:c r="J24" s="35" t="str">
        <x:v>RETAIN_DEVELOPMENT_EVIDENCE</x:v>
      </x:c>
      <x:c r="K24" s="35" t="str">
        <x:v>Generation accepted and all three R3 fixture expectations matched; retain as development evidence.</x:v>
      </x:c>
      <x:c r="L24" s="35" t="str">
        <x:v>No repair required; the candidate faithfully targets applicable IB/IC ships under the 1985 rules and requires decimal kW maximum continuous rating power to be at least the required 1985-rule power.</x:v>
      </x:c>
    </x:row>
    <x:row r="25">
      <x:c r="A25" s="38" t="str">
        <x:v>TRF-024</x:v>
      </x:c>
      <x:c r="B25" s="35" t="str">
        <x:v>RUN-TRF-024-20260812T133239351133Z</x:v>
      </x:c>
      <x:c r="C25" s="35" t="str">
        <x:v>GENERATION_ACCEPTED</x:v>
      </x:c>
      <x:c r="D25" s="35" t="n">
        <x:v>2</x:v>
      </x:c>
      <x:c r="E25" s="35" t="str">
        <x:v>TRUE</x:v>
      </x:c>
      <x:c r="F25" s="35" t="n">
        <x:v>3</x:v>
      </x:c>
      <x:c r="G25" s="35" t="n">
        <x:v>3</x:v>
      </x:c>
      <x:c r="H25" s="35" t="n">
        <x:v>3</x:v>
      </x:c>
      <x:c r="I25" s="35" t="str">
        <x:v>RUNTIME_INVALID_ACCEPTANCE</x:v>
      </x:c>
      <x:c r="J25" s="35" t="str">
        <x:v>RERUN_AFFECTED</x:v>
      </x:c>
      <x:c r="K25" s="35" t="str">
        <x:v>R3 static checks accepted SHACL-SPARQL rejected by the actual SHACL engine; R4 adds a compilation gate.</x:v>
      </x:c>
      <x:c r="L25" s="35" t="str">
        <x:v>No repair required; the candidate faithfully encodes the applicability, deadline calculation, assessment boundary, and section 3.2.2 compliance evidence.</x:v>
      </x:c>
    </x:row>
    <x:row r="26">
      <x:c r="A26" s="38" t="str">
        <x:v>TRF-025</x:v>
      </x:c>
      <x:c r="B26" s="35" t="str">
        <x:v>RUN-TRF-025-20260812T133403582747Z</x:v>
      </x:c>
      <x:c r="C26" s="35" t="str">
        <x:v>GENERATION_ACCEPTED</x:v>
      </x:c>
      <x:c r="D26" s="35" t="n">
        <x:v>2</x:v>
      </x:c>
      <x:c r="E26" s="35" t="str">
        <x:v>TRUE</x:v>
      </x:c>
      <x:c r="F26" s="35" t="n">
        <x:v>3</x:v>
      </x:c>
      <x:c r="G26" s="35" t="n">
        <x:v>0</x:v>
      </x:c>
      <x:c r="H26" s="35" t="n">
        <x:v>2</x:v>
      </x:c>
      <x:c r="I26" s="35" t="str">
        <x:v>RDF_EXPECTATION_MISMATCH</x:v>
      </x:c>
      <x:c r="J26" s="35" t="str">
        <x:v>RERUN_AFFECTED</x:v>
      </x:c>
      <x:c r="K26" s="35" t="str">
        <x:v>Executable shape disagreed with one or more authored pass/fail/boundary fixtures; fixture and logic were reviewed.</x:v>
      </x:c>
      <x:c r="L26" s="35" t="str">
        <x:v>No repair required; the candidate faithfully encodes IA Super applicability without a bulb, required operands and units, and both C1 and C2 formulas. Freeze for later RDF evaluation.</x:v>
      </x:c>
    </x:row>
    <x:row r="27">
      <x:c r="A27" s="38" t="str">
        <x:v>TRF-026</x:v>
      </x:c>
      <x:c r="B27" s="35" t="str">
        <x:v>RUN-TRF-026-20260812T133650528480Z</x:v>
      </x:c>
      <x:c r="C27" s="35" t="str">
        <x:v>GENERATION_ACCEPTED</x:v>
      </x:c>
      <x:c r="D27" s="35" t="n">
        <x:v>2</x:v>
      </x:c>
      <x:c r="E27" s="35" t="str">
        <x:v>TRUE</x:v>
      </x:c>
      <x:c r="F27" s="35" t="n">
        <x:v>3</x:v>
      </x:c>
      <x:c r="G27" s="35" t="n">
        <x:v>3</x:v>
      </x:c>
      <x:c r="H27" s="35" t="n">
        <x:v>3</x:v>
      </x:c>
      <x:c r="I27" s="35" t="str">
        <x:v>RUNTIME_INVALID_ACCEPTANCE</x:v>
      </x:c>
      <x:c r="J27" s="35" t="str">
        <x:v>RERUN_AFFECTED</x:v>
      </x:c>
      <x:c r="K27" s="35" t="str">
        <x:v>R3 static checks accepted SHACL-SPARQL rejected by the actual SHACL engine; R4 adds a compilation gate.</x:v>
      </x:c>
      <x:c r="L27" s="35" t="str">
        <x:v>No repair required; applicability, targets, operands, formulas, datatypes, and units faithfully encode the verified requirement.</x:v>
      </x:c>
    </x:row>
    <x:row r="28">
      <x:c r="A28" s="38" t="str">
        <x:v>TRF-027</x:v>
      </x:c>
      <x:c r="B28" s="35" t="str">
        <x:v>RUN-TRF-027-20260812T133923697652Z</x:v>
      </x:c>
      <x:c r="C28" s="35" t="str">
        <x:v>MAX_ATTEMPTS_REACHED</x:v>
      </x:c>
      <x:c r="D28" s="35" t="n">
        <x:v>3</x:v>
      </x:c>
      <x:c r="E28" s="35" t="str">
        <x:v>FALSE</x:v>
      </x:c>
      <x:c r="F28" s="35" t="n">
        <x:v>0</x:v>
      </x:c>
      <x:c r="G28" s="35" t="n">
        <x:v>0</x:v>
      </x:c>
      <x:c r="H28" s="35" t="n">
        <x:v>0</x:v>
      </x:c>
      <x:c r="I28" s="35" t="str">
        <x:v>PIPELINE_OR_MODEL_REPAIR</x:v>
      </x:c>
      <x:c r="J28" s="35" t="str">
        <x:v>RERUN_AFFECTED</x:v>
      </x:c>
      <x:c r="K28" s="35" t="str">
        <x:v>Required terms already existed; repair retrieval, prompt behavior, query syntax, or generated logic.</x:v>
      </x:c>
      <x:c r="L28" s="35" t="str">
        <x:v>Repair applicability and coverage: target only existing ships of controlled ice-class values IA Super or IA, using canonical status/class-value terms rather than matching skos:prefLabel strings; the needed controlled/applicability terms are absent from the scoped vocabulary and must be located. Also encode the stated C3=460 kg/(m^2*s^2), C4=18.7 kg/(m^2*s^2), and C5=825 kg/s^2 constraints and the verified Table 3-3 f1-f4/g1-g3 lookup logic, or explicitly limit the shape to the clamping subrequirement. Preserve the correct clamp min(max(((L*T)/B^2)^3,5),20) and do not invent table values or selector operands without verified evidence.</x:v>
      </x:c>
    </x:row>
    <x:row r="29">
      <x:c r="A29" s="38" t="str">
        <x:v>TRF-030</x:v>
      </x:c>
      <x:c r="B29" s="35" t="str">
        <x:v>RUN-TRF-030-20260812T134257484843Z</x:v>
      </x:c>
      <x:c r="C29" s="35" t="str">
        <x:v>MAX_ATTEMPTS_REACHED</x:v>
      </x:c>
      <x:c r="D29" s="35" t="n">
        <x:v>3</x:v>
      </x:c>
      <x:c r="E29" s="35" t="str">
        <x:v>FALSE</x:v>
      </x:c>
      <x:c r="F29" s="35" t="n">
        <x:v>0</x:v>
      </x:c>
      <x:c r="G29" s="35" t="n">
        <x:v>0</x:v>
      </x:c>
      <x:c r="H29" s="35" t="n">
        <x:v>0</x:v>
      </x:c>
      <x:c r="I29" s="35" t="str">
        <x:v>CONFIRMED_SCHEMA_GAP</x:v>
      </x:c>
      <x:c r="J29" s="35" t="str">
        <x:v>RERUN_AFFECTED</x:v>
      </x:c>
      <x:c r="K29" s="35" t="str">
        <x:v>Clause-backed missing class/property/relationship/unit or applicability operand was added to R4.</x:v>
      </x:c>
      <x:c r="L29" s="35" t="str">
        <x:v>Repair the omitted location and minimization semantics. Require several distinct horizontal load positions, including a case centered at half the applicable span or spacing, rather than only one midpoint case. Encode the required vertical cases: centered at UIWL, at 0.5h0 below LIWL, and at several distinct intermediate vertical locations. Also require evidence that the selected application locations minimize capacity under combined bending and shear; combinedBendingAndShearEvaluated=true alone does not establish minimization. Locate canonical terms for LIWL, h0, and any needed minimization/location evidence that are absent from the scoped vocabulary. For indeterminate load length, enforce several distinct la cases with a corresponding ca on each case; two cases are not sufficient for 'several'. Preserve appliedIcePressure = 1.8 × icePressure and ensure the base p is evidenced as determined according to section 4.2.2.</x:v>
      </x:c>
    </x:row>
    <x:row r="30">
      <x:c r="A30" s="38" t="str">
        <x:v>TRF-031</x:v>
      </x:c>
      <x:c r="B30" s="35" t="str">
        <x:v>RUN-TRF-031-20260812T134641365802Z</x:v>
      </x:c>
      <x:c r="C30" s="35" t="str">
        <x:v>GENERATION_ACCEPTED</x:v>
      </x:c>
      <x:c r="D30" s="35" t="n">
        <x:v>2</x:v>
      </x:c>
      <x:c r="E30" s="35" t="str">
        <x:v>TRUE</x:v>
      </x:c>
      <x:c r="F30" s="35" t="n">
        <x:v>3</x:v>
      </x:c>
      <x:c r="G30" s="35" t="n">
        <x:v>0</x:v>
      </x:c>
      <x:c r="H30" s="35" t="n">
        <x:v>0</x:v>
      </x:c>
      <x:c r="I30" s="35" t="str">
        <x:v>R3_CLEAN_CALIBRATION</x:v>
      </x:c>
      <x:c r="J30" s="35" t="str">
        <x:v>RETAIN_DEVELOPMENT_EVIDENCE</x:v>
      </x:c>
      <x:c r="K30" s="35" t="str">
        <x:v>Generation accepted and all three R3 fixture expectations matched; retain as development evidence.</x:v>
      </x:c>
      <x:c r="L30" s="35" t="str">
        <x:v>No repair required; the candidate faithfully encodes both conditional stress criteria with correct targets, operands, comparison directions, thresholds, datatypes, and MPa units.</x:v>
      </x:c>
    </x:row>
    <x:row r="31">
      <x:c r="A31" s="38" t="str">
        <x:v>TRF-032</x:v>
      </x:c>
      <x:c r="B31" s="35" t="str">
        <x:v>RUN-TRF-032-20260812T134908642478Z</x:v>
      </x:c>
      <x:c r="C31" s="35" t="str">
        <x:v>GENERATION_ACCEPTED</x:v>
      </x:c>
      <x:c r="D31" s="35" t="n">
        <x:v>2</x:v>
      </x:c>
      <x:c r="E31" s="35" t="str">
        <x:v>TRUE</x:v>
      </x:c>
      <x:c r="F31" s="35" t="n">
        <x:v>3</x:v>
      </x:c>
      <x:c r="G31" s="35" t="n">
        <x:v>0</x:v>
      </x:c>
      <x:c r="H31" s="35" t="n">
        <x:v>1</x:v>
      </x:c>
      <x:c r="I31" s="35" t="str">
        <x:v>RDF_EXPECTATION_MISMATCH</x:v>
      </x:c>
      <x:c r="J31" s="35" t="str">
        <x:v>RERUN_AFFECTED</x:v>
      </x:c>
      <x:c r="K31" s="35" t="str">
        <x:v>Executable shape disagreed with one or more authored pass/fail/boundary fixtures; fixture and logic were reviewed.</x:v>
      </x:c>
      <x:c r="L31" s="35" t="str">
        <x:v>Candidate faithfully encodes the conditional requirement: it targets non-ice-strengthened ships, evaluates component scantlings in a shared unit, applies the classification-society value when it exceeds the regulation value, and reports a violation when the selected design scantling is absent or below that value.</x:v>
      </x:c>
    </x:row>
    <x:row r="32">
      <x:c r="A32" s="38" t="str">
        <x:v>TRF-034</x:v>
      </x:c>
      <x:c r="B32" s="35" t="str">
        <x:v>RUN-TRF-034-20260812T135018237502Z</x:v>
      </x:c>
      <x:c r="C32" s="35" t="str">
        <x:v>VOCABULARY_GAP</x:v>
      </x:c>
      <x:c r="D32" s="35" t="n">
        <x:v>3</x:v>
      </x:c>
      <x:c r="E32" s="35" t="str">
        <x:v>FALSE</x:v>
      </x:c>
      <x:c r="F32" s="35" t="n">
        <x:v>0</x:v>
      </x:c>
      <x:c r="G32" s="35" t="n">
        <x:v>0</x:v>
      </x:c>
      <x:c r="H32" s="35" t="n">
        <x:v>0</x:v>
      </x:c>
      <x:c r="I32" s="35" t="str">
        <x:v>CONFIRMED_SCHEMA_GAP</x:v>
      </x:c>
      <x:c r="J32" s="35" t="str">
        <x:v>RERUN_AFFECTED</x:v>
      </x:c>
      <x:c r="K32" s="35" t="str">
        <x:v>Clause-backed missing class/property/relationship/unit or applicability operand was added to R4.</x:v>
      </x:c>
      <x:c r="L32" s="35" t="str">
        <x:v>No candidate is the canonical stringer class required by the feedback; the supplied candidates represent frame and web frame only.</x:v>
      </x:c>
    </x:row>
    <x:row r="33">
      <x:c r="A33" s="38" t="str">
        <x:v>TRF-035</x:v>
      </x:c>
      <x:c r="B33" s="35" t="str">
        <x:v>RUN-TRF-035-20260812T135248255977Z</x:v>
      </x:c>
      <x:c r="C33" s="35" t="str">
        <x:v>GENERATION_ACCEPTED</x:v>
      </x:c>
      <x:c r="D33" s="35" t="n">
        <x:v>2</x:v>
      </x:c>
      <x:c r="E33" s="35" t="str">
        <x:v>TRUE</x:v>
      </x:c>
      <x:c r="F33" s="35" t="n">
        <x:v>3</x:v>
      </x:c>
      <x:c r="G33" s="35" t="n">
        <x:v>0</x:v>
      </x:c>
      <x:c r="H33" s="35" t="n">
        <x:v>0</x:v>
      </x:c>
      <x:c r="I33" s="35" t="str">
        <x:v>R3_CLEAN_CALIBRATION</x:v>
      </x:c>
      <x:c r="J33" s="35" t="str">
        <x:v>RETAIN_DEVELOPMENT_EVIDENCE</x:v>
      </x:c>
      <x:c r="K33" s="35" t="str">
        <x:v>Generation accepted and all three R3 fixture expectations matched; retain as development evidence.</x:v>
      </x:c>
      <x:c r="L33" s="35" t="str">
        <x:v>Candidate faithfully targets ships, requires exactly one metre-valued decimal quantity for each rule-length property, and enforces numeric equality with the classification society rule length.</x:v>
      </x:c>
    </x:row>
    <x:row r="34">
      <x:c r="A34" s="38" t="str">
        <x:v>TRF-036</x:v>
      </x:c>
      <x:c r="B34" s="35" t="str">
        <x:v>RUN-TRF-036-20260812T135400839209Z</x:v>
      </x:c>
      <x:c r="C34" s="35" t="str">
        <x:v>GENERATION_ACCEPTED</x:v>
      </x:c>
      <x:c r="D34" s="35" t="n">
        <x:v>2</x:v>
      </x:c>
      <x:c r="E34" s="35" t="str">
        <x:v>TRUE</x:v>
      </x:c>
      <x:c r="F34" s="35" t="n">
        <x:v>3</x:v>
      </x:c>
      <x:c r="G34" s="35" t="n">
        <x:v>3</x:v>
      </x:c>
      <x:c r="H34" s="35" t="n">
        <x:v>3</x:v>
      </x:c>
      <x:c r="I34" s="35" t="str">
        <x:v>RUNTIME_INVALID_ACCEPTANCE</x:v>
      </x:c>
      <x:c r="J34" s="35" t="str">
        <x:v>RERUN_AFFECTED</x:v>
      </x:c>
      <x:c r="K34" s="35" t="str">
        <x:v>R3 static checks accepted SHACL-SPARQL rejected by the actual SHACL engine; R4 adds a compilation gate.</x:v>
      </x:c>
      <x:c r="L34" s="35" t="str">
        <x:v>No repair required; the candidate correctly applies the Table 4-1 lookup to ships with ice classes IA Super, IA, IB, or IC and requires the corresponding decimal hi and h quantities in metres on the ship's ice-class design parameter set.</x:v>
      </x:c>
    </x:row>
    <x:row r="35">
      <x:c r="A35" s="38" t="str">
        <x:v>TRF-037</x:v>
      </x:c>
      <x:c r="B35" s="35" t="str">
        <x:v>RUN-TRF-037-20260812T135506981868Z</x:v>
      </x:c>
      <x:c r="C35" s="35" t="str">
        <x:v>MAX_ATTEMPTS_REACHED</x:v>
      </x:c>
      <x:c r="D35" s="35" t="n">
        <x:v>3</x:v>
      </x:c>
      <x:c r="E35" s="35" t="str">
        <x:v>FALSE</x:v>
      </x:c>
      <x:c r="F35" s="35" t="n">
        <x:v>0</x:v>
      </x:c>
      <x:c r="G35" s="35" t="n">
        <x:v>0</x:v>
      </x:c>
      <x:c r="H35" s="35" t="n">
        <x:v>0</x:v>
      </x:c>
      <x:c r="I35" s="35" t="str">
        <x:v>PIPELINE_OR_MODEL_REPAIR</x:v>
      </x:c>
      <x:c r="J35" s="35" t="str">
        <x:v>RERUN_AFFECTED</x:v>
      </x:c>
      <x:c r="K35" s="35" t="str">
        <x:v>Required terms already existed; repair retrieval, prompt behavior, query syntax, or generated logic.</x:v>
      </x:c>
      <x:c r="L35" s="35" t="str">
        <x:v>Replace nltl:shipSizeEngineOutputCoefficientK with the supplied canonical nltl:maximumContinuousRatingPower, validate it as a qudt:QuantityValue in unit:KiloW, and use its numeric value as k in c_d=(a*k+b)/1000. The candidate currently treats k as a unitless coefficient and omits the verified required input mcrPower_kW. Add sh:maxCount 1 for each formula operand and result quantity, including their numericValue and unit properties, to prevent ambiguous multi-value Cartesian comparisons.</x:v>
      </x:c>
    </x:row>
    <x:row r="36">
      <x:c r="A36" s="38" t="str">
        <x:v>TRF-041</x:v>
      </x:c>
      <x:c r="B36" s="35" t="str">
        <x:v>RUN-TRF-041-20260812T135805726069Z</x:v>
      </x:c>
      <x:c r="C36" s="35" t="str">
        <x:v>GENERATION_ACCEPTED</x:v>
      </x:c>
      <x:c r="D36" s="35" t="n">
        <x:v>1</x:v>
      </x:c>
      <x:c r="E36" s="35" t="str">
        <x:v>TRUE</x:v>
      </x:c>
      <x:c r="F36" s="35" t="n">
        <x:v>3</x:v>
      </x:c>
      <x:c r="G36" s="35" t="n">
        <x:v>0</x:v>
      </x:c>
      <x:c r="H36" s="35" t="n">
        <x:v>2</x:v>
      </x:c>
      <x:c r="I36" s="35" t="str">
        <x:v>RDF_EXPECTATION_MISMATCH</x:v>
      </x:c>
      <x:c r="J36" s="35" t="str">
        <x:v>RERUN_AFFECTED</x:v>
      </x:c>
      <x:c r="K36" s="35" t="str">
        <x:v>Executable shape disagreed with one or more authored pass/fail/boundary fixtures; fixture and logic were reviewed.</x:v>
      </x:c>
      <x:c r="L36" s="35" t="str">
        <x:v>No repair required; the candidate faithfully encodes both framing-dependent formulas with correct operands, units, datatypes, applicability, and algebraic equivalence.</x:v>
      </x:c>
    </x:row>
    <x:row r="37">
      <x:c r="A37" s="38" t="str">
        <x:v>TRF-042</x:v>
      </x:c>
      <x:c r="B37" s="35" t="str">
        <x:v>RUN-TRF-042-20260812T135900253688Z</x:v>
      </x:c>
      <x:c r="C37" s="35" t="str">
        <x:v>GENERATION_ACCEPTED</x:v>
      </x:c>
      <x:c r="D37" s="35" t="n">
        <x:v>2</x:v>
      </x:c>
      <x:c r="E37" s="35" t="str">
        <x:v>TRUE</x:v>
      </x:c>
      <x:c r="F37" s="35" t="n">
        <x:v>3</x:v>
      </x:c>
      <x:c r="G37" s="35" t="n">
        <x:v>0</x:v>
      </x:c>
      <x:c r="H37" s="35" t="n">
        <x:v>1</x:v>
      </x:c>
      <x:c r="I37" s="35" t="str">
        <x:v>RDF_EXPECTATION_MISMATCH</x:v>
      </x:c>
      <x:c r="J37" s="35" t="str">
        <x:v>RERUN_AFFECTED</x:v>
      </x:c>
      <x:c r="K37" s="35" t="str">
        <x:v>Executable shape disagreed with one or more authored pass/fail/boundary fixtures; fixture and logic were reviewed.</x:v>
      </x:c>
      <x:c r="L37" s="35" t="str">
        <x:v>No repair required; the candidate faithfully encodes the grade-specific yield-strength values, approved alternative, decimal datatype, and MPa unit.</x:v>
      </x:c>
    </x:row>
    <x:row r="38">
      <x:c r="A38" s="38" t="str">
        <x:v>TRF-043</x:v>
      </x:c>
      <x:c r="B38" s="35" t="str">
        <x:v>RUN-TRF-043-20260812T140046683836Z</x:v>
      </x:c>
      <x:c r="C38" s="35" t="str">
        <x:v>GENERATION_ACCEPTED</x:v>
      </x:c>
      <x:c r="D38" s="35" t="n">
        <x:v>2</x:v>
      </x:c>
      <x:c r="E38" s="35" t="str">
        <x:v>TRUE</x:v>
      </x:c>
      <x:c r="F38" s="35" t="n">
        <x:v>3</x:v>
      </x:c>
      <x:c r="G38" s="35" t="n">
        <x:v>3</x:v>
      </x:c>
      <x:c r="H38" s="35" t="n">
        <x:v>3</x:v>
      </x:c>
      <x:c r="I38" s="35" t="str">
        <x:v>RUNTIME_INVALID_ACCEPTANCE</x:v>
      </x:c>
      <x:c r="J38" s="35" t="str">
        <x:v>RERUN_AFFECTED</x:v>
      </x:c>
      <x:c r="K38" s="35" t="str">
        <x:v>R3 static checks accepted SHACL-SPARQL rejected by the actual SHACL engine; R4 adds a compilation gate.</x:v>
      </x:c>
      <x:c r="L38" s="35" t="str">
        <x:v>No repair required; the candidate faithfully encodes the table thresholds, conditional upper-bow extent, and evidence-bounded 250 mm termination permission.</x:v>
      </x:c>
    </x:row>
    <x:row r="39">
      <x:c r="A39" s="38" t="str">
        <x:v>TRF-044</x:v>
      </x:c>
      <x:c r="B39" s="35" t="str">
        <x:v>RUN-TRF-044-20260812T140249648808Z</x:v>
      </x:c>
      <x:c r="C39" s="35" t="str">
        <x:v>GENERATION_ACCEPTED</x:v>
      </x:c>
      <x:c r="D39" s="35" t="n">
        <x:v>2</x:v>
      </x:c>
      <x:c r="E39" s="35" t="str">
        <x:v>TRUE</x:v>
      </x:c>
      <x:c r="F39" s="35" t="n">
        <x:v>3</x:v>
      </x:c>
      <x:c r="G39" s="35" t="n">
        <x:v>3</x:v>
      </x:c>
      <x:c r="H39" s="35" t="n">
        <x:v>3</x:v>
      </x:c>
      <x:c r="I39" s="35" t="str">
        <x:v>RUNTIME_INVALID_ACCEPTANCE</x:v>
      </x:c>
      <x:c r="J39" s="35" t="str">
        <x:v>RERUN_AFFECTED</x:v>
      </x:c>
      <x:c r="K39" s="35" t="str">
        <x:v>R3 static checks accepted SHACL-SPARQL rejected by the actual SHACL engine; R4 adds a compilation gate.</x:v>
      </x:c>
      <x:c r="L39" s="35" t="str">
        <x:v>Candidate faithfully encodes the verified table lookup, fixed f3 value, formulas, operands, units, datatypes, and applicability target; it is suitable to freeze.</x:v>
      </x:c>
    </x:row>
    <x:row r="40">
      <x:c r="A40" s="38" t="str">
        <x:v>TRF-045</x:v>
      </x:c>
      <x:c r="B40" s="35" t="str">
        <x:v>RUN-TRF-045-20260812T140529216502Z</x:v>
      </x:c>
      <x:c r="C40" s="35" t="str">
        <x:v>GENERATION_ACCEPTED</x:v>
      </x:c>
      <x:c r="D40" s="35" t="n">
        <x:v>1</x:v>
      </x:c>
      <x:c r="E40" s="35" t="str">
        <x:v>TRUE</x:v>
      </x:c>
      <x:c r="F40" s="35" t="n">
        <x:v>3</x:v>
      </x:c>
      <x:c r="G40" s="35" t="n">
        <x:v>0</x:v>
      </x:c>
      <x:c r="H40" s="35" t="n">
        <x:v>0</x:v>
      </x:c>
      <x:c r="I40" s="35" t="str">
        <x:v>R3_CLEAN_CALIBRATION</x:v>
      </x:c>
      <x:c r="J40" s="35" t="str">
        <x:v>RETAIN_DEVELOPMENT_EVIDENCE</x:v>
      </x:c>
      <x:c r="K40" s="35" t="str">
        <x:v>Generation accepted and all three R3 fixture expectations matched; retain as development evidence.</x:v>
      </x:c>
      <x:c r="L40" s="35" t="str">
        <x:v>Candidate faithfully encodes the conditional permission as a violation when ordinary frame scantlings are used and the in-zone span is greater than or equal to 15% of total span, with required decimal metre-valued operands.</x:v>
      </x:c>
    </x:row>
    <x:row r="41">
      <x:c r="A41" s="38" t="str">
        <x:v>TRF-046</x:v>
      </x:c>
      <x:c r="B41" s="35" t="str">
        <x:v>RUN-TRF-046-20260812T140608430488Z</x:v>
      </x:c>
      <x:c r="C41" s="35" t="str">
        <x:v>VOCABULARY_GAP</x:v>
      </x:c>
      <x:c r="D41" s="35" t="n">
        <x:v>1</x:v>
      </x:c>
      <x:c r="E41" s="35" t="str">
        <x:v>FALSE</x:v>
      </x:c>
      <x:c r="F41" s="35" t="n">
        <x:v>0</x:v>
      </x:c>
      <x:c r="G41" s="35" t="n">
        <x:v>0</x:v>
      </x:c>
      <x:c r="H41" s="35" t="n">
        <x:v>0</x:v>
      </x:c>
      <x:c r="I41" s="35" t="str">
        <x:v>CONFIRMED_SCHEMA_GAP</x:v>
      </x:c>
      <x:c r="J41" s="35" t="str">
        <x:v>RERUN_AFFECTED</x:v>
      </x:c>
      <x:c r="K41" s="35" t="str">
        <x:v>Clause-backed missing class/property/relationship/unit or applicability operand was added to R4.</x:v>
      </x:c>
      <x:c r="L41" s="35" t="str">
        <x:v>No supplied candidate verifies the missing specific structure types, frame subtype or ownership paths, conditional exception relationships, or evidence required by the feedback; supportingStructure and plating are too generic, frameUpperEnd has an incompatible string datatype, and tankTop does not specifically denote tank top plating.</x:v>
      </x:c>
    </x:row>
    <x:row r="42">
      <x:c r="A42" s="38" t="str">
        <x:v>TRF-047</x:v>
      </x:c>
      <x:c r="B42" s="35" t="str">
        <x:v>RUN-TRF-047-20260812T140657170578Z</x:v>
      </x:c>
      <x:c r="C42" s="35" t="str">
        <x:v>VOCABULARY_GAP</x:v>
      </x:c>
      <x:c r="D42" s="35" t="n">
        <x:v>1</x:v>
      </x:c>
      <x:c r="E42" s="35" t="str">
        <x:v>FALSE</x:v>
      </x:c>
      <x:c r="F42" s="35" t="n">
        <x:v>0</x:v>
      </x:c>
      <x:c r="G42" s="35" t="n">
        <x:v>0</x:v>
      </x:c>
      <x:c r="H42" s="35" t="n">
        <x:v>0</x:v>
      </x:c>
      <x:c r="I42" s="35" t="str">
        <x:v>CONFIRMED_SCHEMA_GAP</x:v>
      </x:c>
      <x:c r="J42" s="35" t="str">
        <x:v>RERUN_AFFECTED</x:v>
      </x:c>
      <x:c r="K42" s="35" t="str">
        <x:v>Clause-backed missing class/property/relationship/unit or applicability operand was added to R4.</x:v>
      </x:c>
      <x:c r="L42" s="35" t="str">
        <x:v>No supplied candidate represents the required intermediate frame, lower-end connection relation, horizontal-member connection to adjacent main frames, or the relevant main frames below the ice-belt lower edge; frameStrengthenedPart and frame are too generic, and hasComponent does not express the required connection.</x:v>
      </x:c>
    </x:row>
    <x:row r="43">
      <x:c r="A43" s="38" t="str">
        <x:v>TRF-048</x:v>
      </x:c>
      <x:c r="B43" s="35" t="str">
        <x:v>RUN-TRF-048-20260812T140806141500Z</x:v>
      </x:c>
      <x:c r="C43" s="35" t="str">
        <x:v>VOCABULARY_GAP</x:v>
      </x:c>
      <x:c r="D43" s="35" t="n">
        <x:v>1</x:v>
      </x:c>
      <x:c r="E43" s="35" t="str">
        <x:v>FALSE</x:v>
      </x:c>
      <x:c r="F43" s="35" t="n">
        <x:v>0</x:v>
      </x:c>
      <x:c r="G43" s="35" t="n">
        <x:v>0</x:v>
      </x:c>
      <x:c r="H43" s="35" t="n">
        <x:v>0</x:v>
      </x:c>
      <x:c r="I43" s="35" t="str">
        <x:v>CONFIRMED_SCHEMA_GAP</x:v>
      </x:c>
      <x:c r="J43" s="35" t="str">
        <x:v>RERUN_AFFECTED</x:v>
      </x:c>
      <x:c r="K43" s="35" t="str">
        <x:v>Clause-backed missing class/property/relationship/unit or applicability operand was added to R4.</x:v>
      </x:c>
      <x:c r="L43" s="35" t="str">
        <x:v>No supplied candidate canonically represents evidence of significantly different actual end or boundary conditions, nor a longitudinal-frame-specific applicability class or path.</x:v>
      </x:c>
    </x:row>
    <x:row r="44">
      <x:c r="A44" s="38" t="str">
        <x:v>TRF-049</x:v>
      </x:c>
      <x:c r="B44" s="35" t="str">
        <x:v>RUN-TRF-049-20260812T140957200099Z</x:v>
      </x:c>
      <x:c r="C44" s="35" t="str">
        <x:v>MAX_ATTEMPTS_REACHED</x:v>
      </x:c>
      <x:c r="D44" s="35" t="n">
        <x:v>3</x:v>
      </x:c>
      <x:c r="E44" s="35" t="str">
        <x:v>FALSE</x:v>
      </x:c>
      <x:c r="F44" s="35" t="n">
        <x:v>0</x:v>
      </x:c>
      <x:c r="G44" s="35" t="n">
        <x:v>0</x:v>
      </x:c>
      <x:c r="H44" s="35" t="n">
        <x:v>0</x:v>
      </x:c>
      <x:c r="I44" s="35" t="str">
        <x:v>CONFIRMED_SCHEMA_GAP</x:v>
      </x:c>
      <x:c r="J44" s="35" t="str">
        <x:v>RERUN_AFFECTED</x:v>
      </x:c>
      <x:c r="K44" s="35" t="str">
        <x:v>Clause-backed missing class/property/relationship/unit or applicability operand was added to R4.</x:v>
      </x:c>
      <x:c r="L44" s="35" t="str">
        <x:v>The graph encodes only the installed-bracket thickness/stiffening clause and applies it unconditionally to every connectionBracket. Repair it to encode applicability within the ice-strengthened area and the omitted conditional attachment obligations: effective attachment of all frames to supporting structures, longitudinal-frame brackets to every supporting web frame and bulkhead, bracket or similar construction where a transversal frame terminates at a stringer or deck, and connection of both web-plate sides where a frame passes through a supporting structure. Target the relevant frame/attachment entities and use hasFrameAttachment, hasSupportingWebFrame, hasSupportingBulkhead, and webPlateConnectionSideCount where appropriate. Preserve the installed-bracket condition for bracketThickness &gt;= frameWebThickness and bracketEdgeStiffened=true, and constrain quantity/value cardinalities to avoid ambiguous multi-value comparisons. Vocabulary matching is required for canonical applicability and condition terms not supplied in scope.</x:v>
      </x:c>
    </x:row>
    <x:row r="45">
      <x:c r="A45" s="38" t="str">
        <x:v>TRF-050</x:v>
      </x:c>
      <x:c r="B45" s="35" t="str">
        <x:v>RUN-TRF-050-20260812T141215323688Z</x:v>
      </x:c>
      <x:c r="C45" s="35" t="str">
        <x:v>GENERATION_ACCEPTED</x:v>
      </x:c>
      <x:c r="D45" s="35" t="n">
        <x:v>1</x:v>
      </x:c>
      <x:c r="E45" s="35" t="str">
        <x:v>TRUE</x:v>
      </x:c>
      <x:c r="F45" s="35" t="n">
        <x:v>3</x:v>
      </x:c>
      <x:c r="G45" s="35" t="n">
        <x:v>0</x:v>
      </x:c>
      <x:c r="H45" s="35" t="n">
        <x:v>2</x:v>
      </x:c>
      <x:c r="I45" s="35" t="str">
        <x:v>RDF_EXPECTATION_MISMATCH</x:v>
      </x:c>
      <x:c r="J45" s="35" t="str">
        <x:v>RERUN_AFFECTED</x:v>
      </x:c>
      <x:c r="K45" s="35" t="str">
        <x:v>Executable shape disagreed with one or more authored pass/fail/boundary fixtures; fixture and logic were reviewed.</x:v>
      </x:c>
      <x:c r="L45" s="35" t="str">
        <x:v>No repair required; the candidate faithfully targets frame-shell attachment entities, requires a double continuous weld, and correctly encodes the scalloping prohibition with the shell-plate-butt-crossing exception.</x:v>
      </x:c>
    </x:row>
    <x:row r="46">
      <x:c r="A46" s="38" t="str">
        <x:v>TRF-051</x:v>
      </x:c>
      <x:c r="B46" s="35" t="str">
        <x:v>RUN-TRF-051-20260812T141249469668Z</x:v>
      </x:c>
      <x:c r="C46" s="35" t="str">
        <x:v>VOCABULARY_GAP</x:v>
      </x:c>
      <x:c r="D46" s="35" t="n">
        <x:v>3</x:v>
      </x:c>
      <x:c r="E46" s="35" t="str">
        <x:v>FALSE</x:v>
      </x:c>
      <x:c r="F46" s="35" t="n">
        <x:v>0</x:v>
      </x:c>
      <x:c r="G46" s="35" t="n">
        <x:v>0</x:v>
      </x:c>
      <x:c r="H46" s="35" t="n">
        <x:v>0</x:v>
      </x:c>
      <x:c r="I46" s="35" t="str">
        <x:v>CONFIRMED_SCHEMA_GAP</x:v>
      </x:c>
      <x:c r="J46" s="35" t="str">
        <x:v>RERUN_AFFECTED</x:v>
      </x:c>
      <x:c r="K46" s="35" t="str">
        <x:v>Clause-backed missing class/property/relationship/unit or applicability operand was added to R4.</x:v>
      </x:c>
      <x:c r="L46" s="35" t="str">
        <x:v>No candidate is verified as the canonical applicability/classification term for a deck, tank top, tank bottom, or bulkhead used in lieu of a frame.</x:v>
      </x:c>
    </x:row>
    <x:row r="47">
      <x:c r="A47" s="38" t="str">
        <x:v>TRF-052</x:v>
      </x:c>
      <x:c r="B47" s="35" t="str">
        <x:v>RUN-TRF-052-20260812T141647658244Z</x:v>
      </x:c>
      <x:c r="C47" s="35" t="str">
        <x:v>GENERATION_ACCEPTED</x:v>
      </x:c>
      <x:c r="D47" s="35" t="n">
        <x:v>2</x:v>
      </x:c>
      <x:c r="E47" s="35" t="str">
        <x:v>TRUE</x:v>
      </x:c>
      <x:c r="F47" s="35" t="n">
        <x:v>3</x:v>
      </x:c>
      <x:c r="G47" s="35" t="n">
        <x:v>3</x:v>
      </x:c>
      <x:c r="H47" s="35" t="n">
        <x:v>3</x:v>
      </x:c>
      <x:c r="I47" s="35" t="str">
        <x:v>RUNTIME_INVALID_ACCEPTANCE</x:v>
      </x:c>
      <x:c r="J47" s="35" t="str">
        <x:v>RERUN_AFFECTED</x:v>
      </x:c>
      <x:c r="K47" s="35" t="str">
        <x:v>R3 static checks accepted SHACL-SPARQL rejected by the actual SHACL engine; R4 adds a compilation gate.</x:v>
      </x:c>
      <x:c r="L47" s="35" t="str">
        <x:v>Candidate faithfully encodes the applicability conditions, 1300 mm maximum spacing, span threshold, ice-class-dependent regional scope, and demonstrated direct-calculation alternative using valid canonical terms, datatypes, units, and ship-to-component paths.</x:v>
      </x:c>
    </x:row>
    <x:row r="48">
      <x:c r="A48" s="38" t="str">
        <x:v>TRF-053</x:v>
      </x:c>
      <x:c r="B48" s="35" t="str">
        <x:v>RUN-TRF-053-20260812T141928203102Z</x:v>
      </x:c>
      <x:c r="C48" s="35" t="str">
        <x:v>VOCABULARY_GAP</x:v>
      </x:c>
      <x:c r="D48" s="35" t="n">
        <x:v>1</x:v>
      </x:c>
      <x:c r="E48" s="35" t="str">
        <x:v>FALSE</x:v>
      </x:c>
      <x:c r="F48" s="35" t="n">
        <x:v>0</x:v>
      </x:c>
      <x:c r="G48" s="35" t="n">
        <x:v>0</x:v>
      </x:c>
      <x:c r="H48" s="35" t="n">
        <x:v>0</x:v>
      </x:c>
      <x:c r="I48" s="35" t="str">
        <x:v>CONFIRMED_SCHEMA_GAP</x:v>
      </x:c>
      <x:c r="J48" s="35" t="str">
        <x:v>RERUN_AFFECTED</x:v>
      </x:c>
      <x:c r="K48" s="35" t="str">
        <x:v>Clause-backed missing class/property/relationship/unit or applicability operand was added to R4.</x:v>
      </x:c>
      <x:c r="L48" s="35" t="str">
        <x:v>No supplied candidate denotes a stringer or its situation within the ice belt; the quantity properties and generic ship/component classes cannot precisely express the required applicability targeting.</x:v>
      </x:c>
    </x:row>
    <x:row r="49">
      <x:c r="A49" s="38" t="str">
        <x:v>TRF-054</x:v>
      </x:c>
      <x:c r="B49" s="35" t="str">
        <x:v>RUN-TRF-054-20260812T142053310010Z</x:v>
      </x:c>
      <x:c r="C49" s="35" t="str">
        <x:v>VOCABULARY_GAP</x:v>
      </x:c>
      <x:c r="D49" s="35" t="n">
        <x:v>2</x:v>
      </x:c>
      <x:c r="E49" s="35" t="str">
        <x:v>FALSE</x:v>
      </x:c>
      <x:c r="F49" s="35" t="n">
        <x:v>0</x:v>
      </x:c>
      <x:c r="G49" s="35" t="n">
        <x:v>0</x:v>
      </x:c>
      <x:c r="H49" s="35" t="n">
        <x:v>0</x:v>
      </x:c>
      <x:c r="I49" s="35" t="str">
        <x:v>CONFIRMED_SCHEMA_GAP</x:v>
      </x:c>
      <x:c r="J49" s="35" t="str">
        <x:v>RERUN_AFFECTED</x:v>
      </x:c>
      <x:c r="K49" s="35" t="str">
        <x:v>Clause-backed missing class/property/relationship/unit or applicability operand was added to R4.</x:v>
      </x:c>
      <x:c r="L49" s="35" t="str">
        <x:v>No candidate represents the required distance-to-ice-belt, distance-to-adjacent-ice-stringer, or applicable-stringer targeting term.</x:v>
      </x:c>
    </x:row>
    <x:row r="50">
      <x:c r="A50" s="38" t="str">
        <x:v>TRF-055</x:v>
      </x:c>
      <x:c r="B50" s="35" t="str">
        <x:v>RUN-TRF-055-20260812T142328011070Z</x:v>
      </x:c>
      <x:c r="C50" s="35" t="str">
        <x:v>MAX_ATTEMPTS_REACHED</x:v>
      </x:c>
      <x:c r="D50" s="35" t="n">
        <x:v>3</x:v>
      </x:c>
      <x:c r="E50" s="35" t="str">
        <x:v>FALSE</x:v>
      </x:c>
      <x:c r="F50" s="35" t="n">
        <x:v>0</x:v>
      </x:c>
      <x:c r="G50" s="35" t="n">
        <x:v>0</x:v>
      </x:c>
      <x:c r="H50" s="35" t="n">
        <x:v>0</x:v>
      </x:c>
      <x:c r="I50" s="35" t="str">
        <x:v>PIPELINE_OR_MODEL_REPAIR</x:v>
      </x:c>
      <x:c r="J50" s="35" t="str">
        <x:v>RERUN_AFFECTED</x:v>
      </x:c>
      <x:c r="K50" s="35" t="str">
        <x:v>Required terms already existed; repair retrieval, prompt behavior, query syntax, or generated logic.</x:v>
      </x:c>
      <x:c r="L50" s="35" t="str">
        <x:v>Replace the empty NodeShape with an explicit target for vocab:narrowDeckStrip and recognizable SHACL constraints encoding applicability to strips where vocab:servesAsIceStringer is true. Constrain the strip itself, not the ship: require and compare vocab:sectionModulus and vocab:shearArea against the respective formula-derived requirements from clauses 4.5.1 and 4.5.2, using their QUDT QuantityValue structures, canonical units (cm^3 and m^2), correct operands, and &gt;= comparison direction. Also encode the classification-society-permitted very-long-hatch alternative for p*h: it may be below 0.15 but must never be below 0.10; do not make the discretionary reduction an unconditional alternative or substitute approval/evidence status for the engineering checks. All required canonical terms are present in the supplied scoped vocabulary, so no matcher is needed.</x:v>
      </x:c>
    </x:row>
    <x:row r="51">
      <x:c r="A51" s="38" t="str">
        <x:v>TRF-056</x:v>
      </x:c>
      <x:c r="B51" s="35" t="str">
        <x:v>RUN-TRF-056-20260812T142553647889Z</x:v>
      </x:c>
      <x:c r="C51" s="35" t="str">
        <x:v>VOCABULARY_GAP</x:v>
      </x:c>
      <x:c r="D51" s="35" t="n">
        <x:v>1</x:v>
      </x:c>
      <x:c r="E51" s="35" t="str">
        <x:v>FALSE</x:v>
      </x:c>
      <x:c r="F51" s="35" t="n">
        <x:v>0</x:v>
      </x:c>
      <x:c r="G51" s="35" t="n">
        <x:v>0</x:v>
      </x:c>
      <x:c r="H51" s="35" t="n">
        <x:v>0</x:v>
      </x:c>
      <x:c r="I51" s="35" t="str">
        <x:v>CONFIRMED_SCHEMA_GAP</x:v>
      </x:c>
      <x:c r="J51" s="35" t="str">
        <x:v>RERUN_AFFECTED</x:v>
      </x:c>
      <x:c r="K51" s="35" t="str">
        <x:v>Clause-backed missing class/property/relationship/unit or applicability operand was added to R4.</x:v>
      </x:c>
      <x:c r="L51" s="35" t="str">
        <x:v>No supplied candidate represents a weatherdeck-hatch classification or relationship needed to restrict applicability and link design evidence to the same qualifying hatch/component.</x:v>
      </x:c>
    </x:row>
    <x:row r="52">
      <x:c r="A52" s="38" t="str">
        <x:v>TRF-057</x:v>
      </x:c>
      <x:c r="B52" s="35" t="str">
        <x:v>RUN-TRF-057-20260812T142653746633Z</x:v>
      </x:c>
      <x:c r="C52" s="35" t="str">
        <x:v>GENERATION_ACCEPTED</x:v>
      </x:c>
      <x:c r="D52" s="35" t="n">
        <x:v>3</x:v>
      </x:c>
      <x:c r="E52" s="35" t="str">
        <x:v>TRUE</x:v>
      </x:c>
      <x:c r="F52" s="35" t="n">
        <x:v>3</x:v>
      </x:c>
      <x:c r="G52" s="35" t="n">
        <x:v>3</x:v>
      </x:c>
      <x:c r="H52" s="35" t="n">
        <x:v>3</x:v>
      </x:c>
      <x:c r="I52" s="35" t="str">
        <x:v>RUNTIME_INVALID_ACCEPTANCE</x:v>
      </x:c>
      <x:c r="J52" s="35" t="str">
        <x:v>RERUN_AFFECTED</x:v>
      </x:c>
      <x:c r="K52" s="35" t="str">
        <x:v>R3 static checks accepted SHACL-SPARQL rejected by the actual SHACL engine; R4 adds a compilation gate.</x:v>
      </x:c>
      <x:c r="L52" s="35" t="str">
        <x:v>Candidate faithfully encodes the applicable source alternatives, required quantities and units, constants f_12 = 1.8 and 0.15 MN/m = 150 kN/m, the maximum line-load logic, the kN conversion, F = f_12*p*h*S, and the conditional represented l_a = 2*S check.</x:v>
      </x:c>
    </x:row>
    <x:row r="53">
      <x:c r="A53" s="38" t="str">
        <x:v>TRF-058</x:v>
      </x:c>
      <x:c r="B53" s="35" t="str">
        <x:v>RUN-TRF-058-20260812T143017909336Z</x:v>
      </x:c>
      <x:c r="C53" s="35" t="str">
        <x:v>GENERATION_ACCEPTED</x:v>
      </x:c>
      <x:c r="D53" s="35" t="n">
        <x:v>1</x:v>
      </x:c>
      <x:c r="E53" s="35" t="str">
        <x:v>TRUE</x:v>
      </x:c>
      <x:c r="F53" s="35" t="n">
        <x:v>3</x:v>
      </x:c>
      <x:c r="G53" s="35" t="n">
        <x:v>0</x:v>
      </x:c>
      <x:c r="H53" s="35" t="n">
        <x:v>0</x:v>
      </x:c>
      <x:c r="I53" s="35" t="str">
        <x:v>R3_CLEAN_CALIBRATION</x:v>
      </x:c>
      <x:c r="J53" s="35" t="str">
        <x:v>RETAIN_DEVELOPMENT_EVIDENCE</x:v>
      </x:c>
      <x:c r="K53" s="35" t="str">
        <x:v>Generation accepted and all three R3 fixture expectations matched; retain as development evidence.</x:v>
      </x:c>
      <x:c r="L53" s="35" t="str">
        <x:v>Candidate faithfully encodes the conditional adjusted-force formula with the correct component target path, applicability flag, operands, units, decimal datatypes, and nonzero-span readiness guard.</x:v>
      </x:c>
    </x:row>
    <x:row r="54">
      <x:c r="A54" s="39" t="str">
        <x:v>TRF-059</x:v>
      </x:c>
      <x:c r="B54" s="36" t="str">
        <x:v>RUN-TRF-059-20260812T143107205699Z</x:v>
      </x:c>
      <x:c r="C54" s="36" t="str">
        <x:v>MAX_ATTEMPTS_REACHED</x:v>
      </x:c>
      <x:c r="D54" s="36" t="n">
        <x:v>3</x:v>
      </x:c>
      <x:c r="E54" s="36" t="str">
        <x:v>FALSE</x:v>
      </x:c>
      <x:c r="F54" s="36" t="n">
        <x:v>0</x:v>
      </x:c>
      <x:c r="G54" s="36" t="n">
        <x:v>0</x:v>
      </x:c>
      <x:c r="H54" s="36" t="n">
        <x:v>0</x:v>
      </x:c>
      <x:c r="I54" s="36" t="str">
        <x:v>PIPELINE_OR_MODEL_REPAIR</x:v>
      </x:c>
      <x:c r="J54" s="36" t="str">
        <x:v>RERUN_AFFECTED</x:v>
      </x:c>
      <x:c r="K54" s="36" t="str">
        <x:v>Required terms already existed; repair retrieval, prompt behavior, query syntax, or generated logic.</x:v>
      </x:c>
      <x:c r="L54" s="36" t="str">
        <x:v>Repair the deterministic vocabulary failure by rewriting the SPARQL comparison so the query text contains no '&lt;' token misread as an external IRI; for example, replace '?ratio &lt;= "0.8"^^xsd:decimal' with '!(?ratio &gt; "0.8"^^xsd:decimal)'. Also avoid accidental pass when requiredShearArea is absent: target the applicable calculation entity via sh:targetSubjectsOf nltl:maximumCalculatedShearForce (rather than targeting only subjects already having nltl:requiredShearArea), while retaining the requiredShearArea minCount and formula constraint. Revalidate until deterministicValidation.valid is true.</x:v>
      </x:c>
    </x:row>
  </x:sheetData>
  <x:conditionalFormatting sqref="C5:C54">
    <x:cfRule type="containsText" dxfId="30" priority="1" operator="containsText" text="READY"/>
    <x:cfRule type="containsText" dxfId="31" priority="2" operator="containsText" text="COMPLETE"/>
    <x:cfRule type="containsText" dxfId="32" priority="3" operator="containsText" text="NEW"/>
    <x:cfRule type="containsText" dxfId="33" priority="4" operator="containsText" text="REMODEL"/>
    <x:cfRule type="containsText" dxfId="34" priority="5" operator="containsText" text="UNIT"/>
  </x:conditionalFormatting>
  <x:pageMargins left="0.7" right="0.7" top="0.75" bottom="0.75" header="0.3" footer="0.3"/>
  <x:tableParts count="1">
    <x:tablePart xmlns:r="http://schemas.openxmlformats.org/officeDocument/2006/relationships" r:id="R9e36ba281efa4379"/>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8" hidden="0" customWidth="1"/>
    <x:col min="2" max="2" width="82" hidden="0" customWidth="1"/>
  </x:cols>
  <x:sheetData>
    <x:row r="1">
      <x:c r="A1" s="11" t="str">
        <x:v>NLTL Development Calibration - Batch 01</x:v>
      </x:c>
      <x:c r="B1" s="12"/>
      <x:c r="C1" s="12"/>
      <x:c r="D1" s="12"/>
    </x:row>
    <x:row r="2">
      <x:c r="A2" s="13" t="str">
        <x:v>First 50 eligible requirements | engineering preflight</x:v>
      </x:c>
      <x:c r="B2" s="13"/>
      <x:c r="C2" s="13"/>
      <x:c r="D2" s="13"/>
    </x:row>
    <x:row r="3">
      <x:c r="A3" s="14"/>
      <x:c r="B3" s="14"/>
      <x:c r="C3" s="14"/>
      <x:c r="D3" s="14"/>
    </x:row>
    <x:row r="4">
      <x:c r="A4" s="15" t="str">
        <x:v>METRIC</x:v>
      </x:c>
      <x:c r="B4" s="15" t="str">
        <x:v>VALUE</x:v>
      </x:c>
      <x:c r="C4" s="14"/>
      <x:c r="D4" s="14"/>
    </x:row>
    <x:row r="5">
      <x:c r="A5" s="16" t="str">
        <x:v>Requirements</x:v>
      </x:c>
      <x:c r="B5" s="17" t="n">
        <x:f>COUNTA('REQUIREMENTS'!$B$5:$B$54)</x:f>
        <x:v>50</x:v>
      </x:c>
      <x:c r="C5" s="14"/>
      <x:c r="D5" s="14"/>
    </x:row>
    <x:row r="6">
      <x:c r="A6" s="16" t="str">
        <x:v>Static</x:v>
      </x:c>
      <x:c r="B6" s="17" t="n">
        <x:f>COUNTIF('REQUIREMENTS'!$G$5:$G$54,"Static")</x:f>
        <x:v>25</x:v>
      </x:c>
      <x:c r="C6" s="14"/>
      <x:c r="D6" s="14"/>
    </x:row>
    <x:row r="7">
      <x:c r="A7" s="16" t="str">
        <x:v>Static Calculation</x:v>
      </x:c>
      <x:c r="B7" s="17" t="n">
        <x:f>COUNTIF('REQUIREMENTS'!$G$5:$G$54,"Static Calculation")</x:f>
        <x:v>25</x:v>
      </x:c>
      <x:c r="C7" s="14"/>
      <x:c r="D7" s="14"/>
    </x:row>
    <x:row r="8">
      <x:c r="A8" s="16" t="str">
        <x:v>Planned minimum RDF variants</x:v>
      </x:c>
      <x:c r="B8" s="17" t="n">
        <x:f>SUM('REQUIREMENTS'!$L$5:$L$54)</x:f>
        <x:v>146</x:v>
      </x:c>
      <x:c r="C8" s="14"/>
      <x:c r="D8" s="14"/>
    </x:row>
    <x:row r="9">
      <x:c r="A9" s="16" t="str">
        <x:v>Unique draft terms/values</x:v>
      </x:c>
      <x:c r="B9" s="17" t="n">
        <x:f>COUNTA('DRAFT_TERMS'!$A$5:$A$250)</x:f>
        <x:v>134</x:v>
      </x:c>
      <x:c r="C9" s="14"/>
      <x:c r="D9" s="14"/>
    </x:row>
    <x:row r="10">
      <x:c r="A10" s="16" t="str">
        <x:v>Ready-after-index-check decisions</x:v>
      </x:c>
      <x:c r="B10" s="17" t="n">
        <x:f>COUNTIF('PREFLIGHT'!$E$5:$E$54,"READY_AFTER_INDEX_CHECK")</x:f>
        <x:v>4</x:v>
      </x:c>
      <x:c r="C10" s="14"/>
      <x:c r="D10" s="14"/>
    </x:row>
    <x:row r="11">
      <x:c r="A11" s="16" t="str">
        <x:v>R6 development registry terms</x:v>
      </x:c>
      <x:c r="B11" s="17" t="n">
        <x:f>COUNTA('DEVELOPMENT_TERMS'!$A$5:$A$1200)</x:f>
        <x:v>1071</x:v>
      </x:c>
      <x:c r="C11" s="14"/>
      <x:c r="D11" s="14"/>
    </x:row>
    <x:row r="12">
      <x:c r="A12" s="16" t="str">
        <x:v>R6 development additions</x:v>
      </x:c>
      <x:c r="B12" s="17" t="n">
        <x:f>COUNTIF('DEVELOPMENT_TERMS'!$J$5:$J$1200,"ADD_DEVELOPMENT_TERM")</x:f>
        <x:v>246</x:v>
      </x:c>
      <x:c r="C12" s="14"/>
      <x:c r="D12" s="14"/>
    </x:row>
    <x:row r="13">
      <x:c r="A13" s="16" t="str">
        <x:v>Authored RDF cases</x:v>
      </x:c>
      <x:c r="B13" s="17" t="n">
        <x:f>COUNTA('RDF_CASES'!$A$5:$A$204)</x:f>
        <x:v>150</x:v>
      </x:c>
      <x:c r="C13" s="14"/>
      <x:c r="D13" s="14"/>
    </x:row>
    <x:row r="14">
      <x:c r="A14" s="16" t="str">
        <x:v>RDF fixture validation</x:v>
      </x:c>
      <x:c r="B14" s="14" t="str">
        <x:f>"PASS"</x:f>
        <x:v>PASS</x:v>
      </x:c>
      <x:c r="C14" s="14"/>
      <x:c r="D14" s="14"/>
    </x:row>
    <x:row r="15">
      <x:c r="A15" s="14"/>
      <x:c r="B15" s="14"/>
      <x:c r="C15" s="14"/>
      <x:c r="D15" s="14"/>
    </x:row>
    <x:row r="16" ht="38" customHeight="1">
      <x:c r="A16" s="18" t="str">
        <x:v>PHASE</x:v>
      </x:c>
      <x:c r="B16" s="19" t="str">
        <x:v>Vocabulary development/calibration; do not report as final benchmark accuracy.</x:v>
      </x:c>
      <x:c r="C16" s="19" t="str"/>
      <x:c r="D16" s="19" t="str"/>
    </x:row>
    <x:row r="17" ht="38" customHeight="1">
      <x:c r="A17" s="18" t="str">
        <x:v>ORDER</x:v>
      </x:c>
      <x:c r="B17" s="19" t="str">
        <x:v>RDF expectations are created before fresh SHACL generation.</x:v>
      </x:c>
      <x:c r="C17" s="19" t="str"/>
      <x:c r="D17" s="19" t="str"/>
    </x:row>
    <x:row r="18" ht="38" customHeight="1">
      <x:c r="A18" s="18" t="str">
        <x:v>VOCABULARY</x:v>
      </x:c>
      <x:c r="B18" s="19" t="str">
        <x:v>R2 is the source baseline; R6 adds authoritative requirement-scoped term ownership after the R5 generation and RDF-evaluation findings.</x:v>
      </x:c>
      <x:c r="C18" s="19" t="str"/>
      <x:c r="D18" s="19" t="str"/>
    </x:row>
    <x:row r="19" ht="38" customHeight="1">
      <x:c r="A19" s="18" t="str">
        <x:v>LEAKAGE</x:v>
      </x:c>
      <x:c r="B19" s="19" t="str">
        <x:v>Development fixtures become regression tests. Official evaluation will be regenerated after the final vocabulary/pipeline freeze.</x:v>
      </x:c>
      <x:c r="C19" s="19" t="str"/>
      <x:c r="D19" s="19" t="str"/>
    </x:row>
    <x:row r="20" ht="38" customHeight="1">
      <x:c r="A20" s="18" t="str">
        <x:v>NEXT GATE</x:v>
      </x:c>
      <x:c r="B20" s="19" t="str">
        <x:v>Rerun the R6 affected queue, evaluate its hash-bound RDF fixtures, and scale only after the first-50 gate is clean.</x:v>
      </x:c>
      <x:c r="C20" s="19" t="str"/>
      <x:c r="D20" s="19" t="str"/>
    </x:row>
  </x:sheetData>
  <x:pageMargins left="0.7" right="0.7" top="0.75" bottom="0.75" header="0.3" footer="0.3"/>
</x:worksheet>
</file>