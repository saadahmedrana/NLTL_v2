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7b121dd2164beb" /></Relationships>
</file>

<file path=xl/workbook.xml><?xml version="1.0" encoding="utf-8"?>
<x:workbook xmlns:x="http://schemas.openxmlformats.org/spreadsheetml/2006/main">
  <x:sheets>
    <x:sheet xmlns:r="http://schemas.openxmlformats.org/officeDocument/2006/relationships" name="README" sheetId="1" r:id="Ra8d8d99e80d74663"/>
    <x:sheet xmlns:r="http://schemas.openxmlformats.org/officeDocument/2006/relationships" name="REQUIREMENTS" sheetId="2" r:id="R3fca6bb54de945ea"/>
    <x:sheet xmlns:r="http://schemas.openxmlformats.org/officeDocument/2006/relationships" name="PREFLIGHT" sheetId="3" r:id="Rdd62c9ecce1a4fdd"/>
    <x:sheet xmlns:r="http://schemas.openxmlformats.org/officeDocument/2006/relationships" name="DRAFT_TERMS" sheetId="4" r:id="R154de334951b43e1"/>
    <x:sheet xmlns:r="http://schemas.openxmlformats.org/officeDocument/2006/relationships" name="R2_INDEX_GAPS" sheetId="5" r:id="R3d3e9a3782f64eeb"/>
    <x:sheet xmlns:r="http://schemas.openxmlformats.org/officeDocument/2006/relationships" name="DEVELOPMENT_TERMS" sheetId="6" r:id="R32f0284688b8405f"/>
    <x:sheet xmlns:r="http://schemas.openxmlformats.org/officeDocument/2006/relationships" name="OWNERSHIP" sheetId="7" r:id="R266432a4687d4d3c"/>
    <x:sheet xmlns:r="http://schemas.openxmlformats.org/officeDocument/2006/relationships" name="STABILIZATION" sheetId="8" r:id="R83b7eda837f04527"/>
    <x:sheet xmlns:r="http://schemas.openxmlformats.org/officeDocument/2006/relationships" name="RDF_CASES" sheetId="9" r:id="R01f295e3ecbd4db7"/>
    <x:sheet xmlns:r="http://schemas.openxmlformats.org/officeDocument/2006/relationships" name="CALIBRATION_ANALYSIS" sheetId="10" r:id="R3d1b34203a864503"/>
    <x:sheet xmlns:r="http://schemas.openxmlformats.org/officeDocument/2006/relationships" name="SUMMARY" sheetId="11" r:id="R9336a636944e45e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200" fontId="0" fillId="0" borderId="0"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0" xfId="0" applyNumberFormat="1" applyFont="1" applyFill="1" applyBorder="1"/>
    <x:xf numFmtId="200" fontId="6" fillId="0" borderId="0"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3" xfId="0" applyNumberFormat="1" applyFont="1" applyFill="1" applyBorder="1" applyAlignment="1">
      <x:alignment vertical="top"/>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0" fontId="8" fillId="4" borderId="1" xfId="0" applyNumberFormat="1" applyFont="1" applyFill="1" applyBorder="1" applyAlignment="1">
      <x:alignment vertical="center" wrapText="1"/>
    </x:xf>
    <x:xf numFmtId="0" fontId="8" fillId="4" borderId="2" xfId="0" applyNumberFormat="1" applyFont="1" applyFill="1" applyBorder="1" applyAlignment="1">
      <x:alignment vertical="center" wrapText="1"/>
    </x:xf>
    <x:xf numFmtId="0" fontId="6" fillId="0" borderId="3" xfId="0" applyNumberFormat="1" applyFont="1" applyFill="1" applyBorder="1" applyAlignment="1">
      <x:alignment vertical="top"/>
    </x:xf>
    <x:xf numFmtId="0" fontId="6" fillId="0" borderId="4" xfId="0" applyNumberFormat="1" applyFont="1" applyFill="1" applyBorder="1" applyAlignment="1">
      <x:alignment vertical="top"/>
    </x:xf>
    <x:xf numFmtId="0" fontId="6" fillId="0" borderId="5" xfId="0" applyNumberFormat="1" applyFont="1" applyFill="1" applyBorder="1" applyAlignment="1">
      <x:alignment vertical="top"/>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3" fillId="4" borderId="4" xfId="0" applyNumberFormat="1" applyFont="1" applyFill="1" applyBorder="1"/>
    <x:xf numFmtId="0" fontId="3" fillId="4" borderId="4" xfId="0" applyNumberFormat="1" applyFont="1" applyFill="1" applyBorder="1" applyAlignment="1">
      <x:alignment wrapText="1"/>
    </x:xf>
    <x:xf numFmtId="0" fontId="3" fillId="4" borderId="4" xfId="0" applyNumberFormat="1" applyFont="1" applyFill="1" applyBorder="1" applyAlignment="1">
      <x:alignment vertical="center" wrapText="1"/>
    </x:xf>
    <x:xf numFmtId="200" fontId="0" fillId="0" borderId="3" xfId="0" applyNumberFormat="1" applyFont="1" applyFill="1" applyBorder="1" applyAlignment="1">
      <x:alignment vertical="top"/>
    </x:xf>
    <x:xf numFmtId="200" fontId="0" fillId="0" borderId="4" xfId="0" applyNumberFormat="1" applyFont="1" applyFill="1" applyBorder="1" applyAlignment="1">
      <x:alignment vertical="top"/>
    </x:xf>
    <x:xf numFmtId="200" fontId="0" fillId="0" borderId="5" xfId="0" applyNumberFormat="1" applyFont="1" applyFill="1" applyBorder="1" applyAlignment="1">
      <x:alignment vertical="top"/>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200" fontId="6" fillId="0" borderId="3" xfId="0" applyNumberFormat="1" applyFont="1" applyFill="1" applyBorder="1" applyAlignment="1">
      <x:alignment vertical="top"/>
    </x:xf>
    <x:xf numFmtId="200" fontId="6" fillId="0" borderId="3" xfId="0" applyNumberFormat="1" applyFont="1" applyFill="1" applyBorder="1" applyAlignment="1">
      <x:alignment vertical="top" wrapText="1"/>
    </x:xf>
    <x:xf numFmtId="200" fontId="6" fillId="0" borderId="4" xfId="0" applyNumberFormat="1" applyFont="1" applyFill="1" applyBorder="1" applyAlignment="1">
      <x:alignment vertical="top"/>
    </x:xf>
    <x:xf numFmtId="200" fontId="6" fillId="0" borderId="4" xfId="0" applyNumberFormat="1" applyFont="1" applyFill="1" applyBorder="1" applyAlignment="1">
      <x:alignment vertical="top" wrapText="1"/>
    </x:xf>
    <x:xf numFmtId="200" fontId="6" fillId="0" borderId="5" xfId="0" applyNumberFormat="1" applyFont="1" applyFill="1" applyBorder="1" applyAlignment="1">
      <x:alignment vertical="top"/>
    </x:xf>
    <x:xf numFmtId="0" fontId="6" fillId="0" borderId="5" xfId="0" applyNumberFormat="1" applyFont="1" applyFill="1" applyBorder="1" applyAlignment="1">
      <x:alignment vertical="top" wrapText="1"/>
    </x:xf>
    <x:xf numFmtId="200" fontId="6" fillId="0" borderId="5"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4" xfId="0" applyNumberFormat="1" applyFont="1" applyFill="1" applyBorder="1">
      <x:extLst>
        <x:ext uri="{C7286773-470A-42A8-94C5-96B5CB345126}">
          <xfpb:xfComplement xmlns:xfpb="http://schemas.microsoft.com/office/spreadsheetml/2022/featurepropertybag" i="0"/>
        </x:ext>
      </x:extLst>
    </x:xf>
    <x:xf numFmtId="0" fontId="0" fillId="0" borderId="5"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4"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4"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5"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dxfs count="40">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988e266456242e2" /><Relationship Type="http://schemas.openxmlformats.org/officeDocument/2006/relationships/theme" Target="/xl/theme/theme1.xml" Id="Ra2cda0a148c74e79" /><Relationship Type="http://schemas.microsoft.com/office/2022/11/relationships/FeaturePropertyBag" Target="/xl/featurePropertyBag/featurePropertyBag.xml" Id="R20b9d7fb51b447a9" /><Relationship Type="http://schemas.openxmlformats.org/officeDocument/2006/relationships/sharedStrings" Target="/xl/sharedStrings.xml" Id="Ra03f4cf8b7884706" /><Relationship Type="http://schemas.openxmlformats.org/officeDocument/2006/relationships/worksheet" Target="/xl/worksheets/sheet1.xml" Id="Ra8d8d99e80d74663" /><Relationship Type="http://schemas.openxmlformats.org/officeDocument/2006/relationships/worksheet" Target="/xl/worksheets/sheet2.xml" Id="R3fca6bb54de945ea" /><Relationship Type="http://schemas.openxmlformats.org/officeDocument/2006/relationships/worksheet" Target="/xl/worksheets/sheet3.xml" Id="Rdd62c9ecce1a4fdd" /><Relationship Type="http://schemas.openxmlformats.org/officeDocument/2006/relationships/worksheet" Target="/xl/worksheets/sheet4.xml" Id="R154de334951b43e1" /><Relationship Type="http://schemas.openxmlformats.org/officeDocument/2006/relationships/worksheet" Target="/xl/worksheets/sheet5.xml" Id="R3d3e9a3782f64eeb" /><Relationship Type="http://schemas.openxmlformats.org/officeDocument/2006/relationships/worksheet" Target="/xl/worksheets/sheet6.xml" Id="R32f0284688b8405f" /><Relationship Type="http://schemas.openxmlformats.org/officeDocument/2006/relationships/worksheet" Target="/xl/worksheets/sheet7.xml" Id="R266432a4687d4d3c" /><Relationship Type="http://schemas.openxmlformats.org/officeDocument/2006/relationships/worksheet" Target="/xl/worksheets/sheet8.xml" Id="R83b7eda837f04527" /><Relationship Type="http://schemas.openxmlformats.org/officeDocument/2006/relationships/worksheet" Target="/xl/worksheets/sheet9.xml" Id="R01f295e3ecbd4db7" /><Relationship Type="http://schemas.openxmlformats.org/officeDocument/2006/relationships/worksheet" Target="/xl/worksheets/sheet10.xml" Id="R3d1b34203a864503" /><Relationship Type="http://schemas.openxmlformats.org/officeDocument/2006/relationships/worksheet" Target="/xl/worksheets/sheet11.xml" Id="R9336a636944e45e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README" displayName="T_README" ref="A4:B15"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_REQUIREMENTS" displayName="T_REQUIREMENTS" ref="A4:O54" headerRowCount="1" totalsRowCount="0" totalsRowShown="0">
  <x:tableColumns count="15">
    <x:tableColumn id="1" name="SEQUENCE"/>
    <x:tableColumn id="2" name="REQUIREMENT_ID"/>
    <x:tableColumn id="3" name="SOURCE_SHEET"/>
    <x:tableColumn id="4" name="PAGE"/>
    <x:tableColumn id="5" name="CLAUSE"/>
    <x:tableColumn id="6" name="EDITION"/>
    <x:tableColumn id="7" name="CATEGORY"/>
    <x:tableColumn id="8" name="ENCODING_PATTERN"/>
    <x:tableColumn id="9" name="R2_INDEXED_TERM_COUNT"/>
    <x:tableColumn id="10" name="R2_INDEXED_TERMS"/>
    <x:tableColumn id="11" name="FIXTURE_PATTERN"/>
    <x:tableColumn id="12" name="MINIMUM_FIXTURE_VARIANTS"/>
    <x:tableColumn id="13" name="R8_DEV_INDEXED_TERM_COUNT"/>
    <x:tableColumn id="14" name="R8_DEV_INDEXED_TERMS"/>
    <x:tableColumn id="15" name="NORMALIZED_REQUIREMENT"/>
  </x:tableColumns>
  <x:tableStyleInfo name="TableStyleMedium2" showFirstColumn="0" showLastColumn="0" showRowStripes="1" showColumnStripes="0"/>
</x:table>
</file>

<file path=xl/tables/table3.xml><?xml version="1.0" encoding="utf-8"?>
<x:table xmlns:x="http://schemas.openxmlformats.org/spreadsheetml/2006/main" id="3" name="T_PREFLIGHT" displayName="T_PREFLIGHT" ref="A4:K54" headerRowCount="1" totalsRowCount="0" totalsRowShown="0">
  <x:tableColumns count="11">
    <x:tableColumn id="1" name="SEQUENCE"/>
    <x:tableColumn id="2" name="REQUIREMENT_ID"/>
    <x:tableColumn id="3" name="PAGE"/>
    <x:tableColumn id="4" name="CLAUSE"/>
    <x:tableColumn id="5" name="DECISION"/>
    <x:tableColumn id="6" name="EXISTING_TERMS_TO_LINK"/>
    <x:tableColumn id="7" name="DRAFT_NEW_TERMS"/>
    <x:tableColumn id="8" name="EXISTING_TERMS_NOT_CURRENTLY_INDEXED"/>
    <x:tableColumn id="9" name="ENGINEERING_ISSUE"/>
    <x:tableColumn id="10" name="PLANNED_FIXTURE_VARIANTS"/>
    <x:tableColumn id="11" name="REVIEW_STATUS"/>
  </x:tableColumns>
  <x:tableStyleInfo name="TableStyleMedium2" showFirstColumn="0" showLastColumn="0" showRowStripes="1" showColumnStripes="0"/>
</x:table>
</file>

<file path=xl/tables/table4.xml><?xml version="1.0" encoding="utf-8"?>
<x:table xmlns:x="http://schemas.openxmlformats.org/spreadsheetml/2006/main" id="4" name="T_DRAFTTERMS" displayName="T_DRAFTTERMS" ref="A4:E138" headerRowCount="1" totalsRowCount="0" totalsRowShown="0">
  <x:tableColumns count="5">
    <x:tableColumn id="1" name="DRAFT_LOCAL_NAME"/>
    <x:tableColumn id="2" name="REQUIREMENT_IDS"/>
    <x:tableColumn id="3" name="REQUIREMENT_COUNT"/>
    <x:tableColumn id="4" name="STATUS"/>
    <x:tableColumn id="5" name="NEXT_REVIEW"/>
  </x:tableColumns>
  <x:tableStyleInfo name="TableStyleMedium2" showFirstColumn="0" showLastColumn="0" showRowStripes="1" showColumnStripes="0"/>
</x:table>
</file>

<file path=xl/tables/table5.xml><?xml version="1.0" encoding="utf-8"?>
<x:table xmlns:x="http://schemas.openxmlformats.org/spreadsheetml/2006/main" id="5" name="T_R2INDEXGAPS" displayName="T_R2INDEXGAPS" ref="A4:D99" headerRowCount="1" totalsRowCount="0" totalsRowShown="0">
  <x:tableColumns count="4">
    <x:tableColumn id="1" name="REQUIREMENT_ID"/>
    <x:tableColumn id="2" name="EXISTING_TERM"/>
    <x:tableColumn id="3" name="PREFLIGHT_DECISION"/>
    <x:tableColumn id="4" name="ACTION"/>
  </x:tableColumns>
  <x:tableStyleInfo name="TableStyleMedium2" showFirstColumn="0" showLastColumn="0" showRowStripes="1" showColumnStripes="0"/>
</x:table>
</file>

<file path=xl/tables/table6.xml><?xml version="1.0" encoding="utf-8"?>
<x:table xmlns:x="http://schemas.openxmlformats.org/spreadsheetml/2006/main" id="6" name="T_DEVELOPMENTTERMS" displayName="T_DEVELOPMENTTERMS" ref="A4:J1076" headerRowCount="1" totalsRowCount="0" totalsRowShown="0">
  <x:tableColumns count="10">
    <x:tableColumn id="1" name="LOCAL_NAME"/>
    <x:tableColumn id="2" name="EXACT_IRI"/>
    <x:tableColumn id="3" name="KIND"/>
    <x:tableColumn id="4" name="RANGE_OR_PARENT"/>
    <x:tableColumn id="5" name="DATATYPE"/>
    <x:tableColumn id="6" name="UNIT"/>
    <x:tableColumn id="7" name="REQUIREMENT_IDS"/>
    <x:tableColumn id="8" name="NAMING_BASIS"/>
    <x:tableColumn id="9" name="NAMING_RULE"/>
    <x:tableColumn id="10" name="ACTION"/>
  </x:tableColumns>
  <x:tableStyleInfo name="TableStyleMedium2" showFirstColumn="0" showLastColumn="0" showRowStripes="1" showColumnStripes="0"/>
</x:table>
</file>

<file path=xl/tables/table7.xml><?xml version="1.0" encoding="utf-8"?>
<x:table xmlns:x="http://schemas.openxmlformats.org/spreadsheetml/2006/main" id="7" name="T_OWNERSHIP" displayName="T_OWNERSHIP" ref="A4:F538" headerRowCount="1" totalsRowCount="0" totalsRowShown="0">
  <x:tableColumns count="6">
    <x:tableColumn id="1" name="REQUIREMENT_ID"/>
    <x:tableColumn id="2" name="TARGET_OWNER"/>
    <x:tableColumn id="3" name="LOCAL_NAME"/>
    <x:tableColumn id="4" name="REQUIRED_OWNER"/>
    <x:tableColumn id="5" name="SEMANTIC_OBLIGATIONS"/>
    <x:tableColumn id="6" name="STATUS"/>
  </x:tableColumns>
  <x:tableStyleInfo name="TableStyleMedium2" showFirstColumn="0" showLastColumn="0" showRowStripes="1" showColumnStripes="0"/>
</x:table>
</file>

<file path=xl/tables/table8.xml><?xml version="1.0" encoding="utf-8"?>
<x:table xmlns:x="http://schemas.openxmlformats.org/spreadsheetml/2006/main" id="8" name="T_STABILIZATION" displayName="T_STABILIZATION" ref="A4:E14" headerRowCount="1" totalsRowCount="0" totalsRowShown="0">
  <x:tableColumns count="5">
    <x:tableColumn id="1" name="REQUIREMENT_ID"/>
    <x:tableColumn id="2" name="FAILURE_CLASS"/>
    <x:tableColumn id="3" name="R7_EVIDENCE"/>
    <x:tableColumn id="4" name="R8_STATUS"/>
    <x:tableColumn id="5" name="ENGINEERING_RESOLUTION"/>
  </x:tableColumns>
  <x:tableStyleInfo name="TableStyleMedium2" showFirstColumn="0" showLastColumn="0" showRowStripes="1" showColumnStripes="0"/>
</x:table>
</file>

<file path=xl/tables/table9.xml><?xml version="1.0" encoding="utf-8"?>
<x:table xmlns:x="http://schemas.openxmlformats.org/spreadsheetml/2006/main" id="9" name="T_RDFCASES" displayName="T_RDFCASES" ref="A4:M154" headerRowCount="1" totalsRowCount="0" totalsRowShown="0">
  <x:tableColumns count="13">
    <x:tableColumn id="1" name="CASE_ID"/>
    <x:tableColumn id="2" name="REQUIREMENT_ID"/>
    <x:tableColumn id="3" name="CASE_KIND"/>
    <x:tableColumn id="4" name="EXPECTED_CONFORMS"/>
    <x:tableColumn id="5" name="SOURCE_PAGE"/>
    <x:tableColumn id="6" name="SOURCE_CLAUSE"/>
    <x:tableColumn id="7" name="SCENARIO_BASIS"/>
    <x:tableColumn id="8" name="RDF_FILE"/>
    <x:tableColumn id="9" name="RDF_SHA256"/>
    <x:tableColumn id="10" name="TRIPLE_COUNT"/>
    <x:tableColumn id="11" name="DEVELOPMENT_VOCABULARY_ID"/>
    <x:tableColumn id="12" name="CALIBRATION_ONLY"/>
    <x:tableColumn id="13" name="EXECUTION_STATUS"/>
  </x:tableColumns>
  <x:tableStyleInfo name="TableStyleMedium2" showFirstColumn="0" showLastColumn="0" showRowStripes="1" showColumnStripes="0"/>
</x:table>
</file>

<file path=xl/tables/table10.xml><?xml version="1.0" encoding="utf-8"?>
<x:table xmlns:x="http://schemas.openxmlformats.org/spreadsheetml/2006/main" id="10" name="T_CALIBRATIONANALYSIS" displayName="T_CALIBRATIONANALYSIS" ref="A4:J16" headerRowCount="1" totalsRowCount="0" totalsRowShown="0">
  <x:tableColumns count="10">
    <x:tableColumn id="1" name="REQUIREMENT_ID"/>
    <x:tableColumn id="2" name="R7_RUN_ID"/>
    <x:tableColumn id="3" name="R7_GENERATION_STATUS"/>
    <x:tableColumn id="4" name="R7_SEMANTIC_ATTEMPTS"/>
    <x:tableColumn id="5" name="R7_ACCEPTED"/>
    <x:tableColumn id="6" name="R7_API_CALLS"/>
    <x:tableColumn id="7" name="R7_EVALUATED_CASES"/>
    <x:tableColumn id="8" name="R7_EXPECTED_MATCHES"/>
    <x:tableColumn id="9" name="CLASSIFICATION"/>
    <x:tableColumn id="10" name="FINAL_FEEDBAC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2ffd65ccc847c6" /></Relationships>
</file>

<file path=xl/worksheets/_rels/sheet2.xml.rels>&#65279;<?xml version="1.0" encoding="utf-8"?><Relationships xmlns="http://schemas.openxmlformats.org/package/2006/relationships"><Relationship Type="http://schemas.openxmlformats.org/officeDocument/2006/relationships/table" Target="/xl/tables/table2.xml" Id="Rf84ac9af75a44a01" /></Relationships>
</file>

<file path=xl/worksheets/_rels/sheet3.xml.rels>&#65279;<?xml version="1.0" encoding="utf-8"?><Relationships xmlns="http://schemas.openxmlformats.org/package/2006/relationships"><Relationship Type="http://schemas.openxmlformats.org/officeDocument/2006/relationships/table" Target="/xl/tables/table3.xml" Id="R574a0c90041545ef" /></Relationships>
</file>

<file path=xl/worksheets/_rels/sheet4.xml.rels>&#65279;<?xml version="1.0" encoding="utf-8"?><Relationships xmlns="http://schemas.openxmlformats.org/package/2006/relationships"><Relationship Type="http://schemas.openxmlformats.org/officeDocument/2006/relationships/table" Target="/xl/tables/table4.xml" Id="R202b7773798d408a" /></Relationships>
</file>

<file path=xl/worksheets/_rels/sheet5.xml.rels>&#65279;<?xml version="1.0" encoding="utf-8"?><Relationships xmlns="http://schemas.openxmlformats.org/package/2006/relationships"><Relationship Type="http://schemas.openxmlformats.org/officeDocument/2006/relationships/table" Target="/xl/tables/table5.xml" Id="R08df3efcb2c84d46" /></Relationships>
</file>

<file path=xl/worksheets/_rels/sheet6.xml.rels>&#65279;<?xml version="1.0" encoding="utf-8"?><Relationships xmlns="http://schemas.openxmlformats.org/package/2006/relationships"><Relationship Type="http://schemas.openxmlformats.org/officeDocument/2006/relationships/table" Target="/xl/tables/table6.xml" Id="R123dd78203b14531" /></Relationships>
</file>

<file path=xl/worksheets/_rels/sheet7.xml.rels>&#65279;<?xml version="1.0" encoding="utf-8"?><Relationships xmlns="http://schemas.openxmlformats.org/package/2006/relationships"><Relationship Type="http://schemas.openxmlformats.org/officeDocument/2006/relationships/table" Target="/xl/tables/table7.xml" Id="R11010a1a684d451a" /></Relationships>
</file>

<file path=xl/worksheets/_rels/sheet8.xml.rels>&#65279;<?xml version="1.0" encoding="utf-8"?><Relationships xmlns="http://schemas.openxmlformats.org/package/2006/relationships"><Relationship Type="http://schemas.openxmlformats.org/officeDocument/2006/relationships/table" Target="/xl/tables/table8.xml" Id="R432eb26481d9402c" /></Relationships>
</file>

<file path=xl/worksheets/_rels/sheet9.xml.rels>&#65279;<?xml version="1.0" encoding="utf-8"?><Relationships xmlns="http://schemas.openxmlformats.org/package/2006/relationships"><Relationship Type="http://schemas.openxmlformats.org/officeDocument/2006/relationships/table" Target="/xl/tables/table9.xml" Id="Re9cb5afc5b3f4c63" /></Relationships>
</file>

<file path=xl/worksheets/_rels/sheet10.xml.rels>&#65279;<?xml version="1.0" encoding="utf-8"?><Relationships xmlns="http://schemas.openxmlformats.org/package/2006/relationships"><Relationship Type="http://schemas.openxmlformats.org/officeDocument/2006/relationships/table" Target="/xl/tables/table10.xml" Id="R408c5f914f844a57"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95" hidden="0" customWidth="1"/>
  </x:cols>
  <x:sheetData>
    <x:row r="1">
      <x:c r="A1" s="11" t="str">
        <x:v>NLTL Development Calibration - Batch 01</x:v>
      </x:c>
      <x:c r="B1" s="12"/>
    </x:row>
    <x:row r="2">
      <x:c r="A2" s="13" t="str">
        <x:v>README | DEV-CAL-BATCH-01-FIRST-50 | vocabulary is not frozen</x:v>
      </x:c>
      <x:c r="B2" s="13"/>
    </x:row>
    <x:row r="3">
      <x:c r="A3" s="14"/>
      <x:c r="B3" s="14"/>
    </x:row>
    <x:row r="4" ht="32" customHeight="1">
      <x:c r="A4" s="32" t="str">
        <x:v>SECTION</x:v>
      </x:c>
      <x:c r="B4" s="33" t="str">
        <x:v>DETAIL</x:v>
      </x:c>
    </x:row>
    <x:row r="5" ht="34" customHeight="1">
      <x:c r="A5" s="34" t="str">
        <x:v>PURPOSE</x:v>
      </x:c>
      <x:c r="B5" s="37" t="str">
        <x:v>Active development tracker for the first 50 generation-eligible requirements.</x:v>
      </x:c>
    </x:row>
    <x:row r="6" ht="34" customHeight="1">
      <x:c r="A6" s="35" t="str">
        <x:v>SELECTION</x:v>
      </x:c>
      <x:c r="B6" s="38" t="str">
        <x:v>First 50 generation-eligible requirements in locked R2 evidence order</x:v>
      </x:c>
    </x:row>
    <x:row r="7" ht="34" customHeight="1">
      <x:c r="A7" s="35" t="str">
        <x:v>SOURCE LOCK</x:v>
      </x:c>
      <x:c r="B7" s="38" t="str">
        <x:v>VOCAB-LOCK-2026-08-12-R2</x:v>
      </x:c>
    </x:row>
    <x:row r="8" ht="34" customHeight="1">
      <x:c r="A8" s="35" t="str">
        <x:v>SOURCE EVIDENCE SHA256</x:v>
      </x:c>
      <x:c r="B8" s="38" t="str">
        <x:v>14258845ceb99343705eb4668fadeb17f48f563887308e934649220a71cc5ecf</x:v>
      </x:c>
    </x:row>
    <x:row r="9" ht="34" customHeight="1">
      <x:c r="A9" s="35" t="str">
        <x:v>SOURCE INDEX SHA256</x:v>
      </x:c>
      <x:c r="B9" s="38" t="str">
        <x:v>86c71746197594147dd4d783d315f32414bda31a6ee7d6a21557c82550620d30</x:v>
      </x:c>
    </x:row>
    <x:row r="10" ht="34" customHeight="1">
      <x:c r="A10" s="35" t="str">
        <x:v>BOUNDARY</x:v>
      </x:c>
      <x:c r="B10" s="38" t="str">
        <x:v>Batch membership is fixed; vocabulary terms, indexes and fixtures are still under development.</x:v>
      </x:c>
    </x:row>
    <x:row r="11" ht="34" customHeight="1">
      <x:c r="A11" s="35" t="str">
        <x:v>DEVELOPMENT BINDING</x:v>
      </x:c>
      <x:c r="B11" s="38" t="str">
        <x:v>VOCAB-DEV-2026-08-13-BATCH01-R8.1-POSTCONFIRMATION</x:v>
      </x:c>
    </x:row>
    <x:row r="12" ht="34" customHeight="1">
      <x:c r="A12" s="35" t="str">
        <x:v>DEVELOPMENT STATUS</x:v>
      </x:c>
      <x:c r="B12" s="38" t="str">
        <x:v>DEVELOPMENT_NOT_EVALUATION_LOCK</x:v>
      </x:c>
    </x:row>
    <x:row r="13" ht="34" customHeight="1">
      <x:c r="A13" s="35" t="str">
        <x:v>RDF FIXTURES</x:v>
      </x:c>
      <x:c r="B13" s="38" t="str">
        <x:v>150 cases; PASS; one pass, one fail and one boundary/non-applicability case per requirement.</x:v>
      </x:c>
    </x:row>
    <x:row r="14" ht="34" customHeight="1">
      <x:c r="A14" s="35" t="str">
        <x:v>STABILIZATION</x:v>
      </x:c>
      <x:c r="B14" s="38" t="str">
        <x:v>R8 repairs context delivery for TRF-037 and TRF-042 and adds deterministic guards for brittle numeric equality and mutually exclusive case properties.</x:v>
      </x:c>
    </x:row>
    <x:row r="15">
      <x:c r="A15" s="36" t="str">
        <x:v>NO ANSWER LOGIC</x:v>
      </x:c>
      <x:c r="B15" s="36" t="str">
        <x:v>Draft vocabulary terms must represent observations, entities, relations, quantities or evidence - never a precomputed compliance answer.</x:v>
      </x:c>
    </x:row>
  </x:sheetData>
  <x:pageMargins left="0.7" right="0.7" top="0.75" bottom="0.75" header="0.3" footer="0.3"/>
  <x:tableParts count="1">
    <x:tablePart xmlns:r="http://schemas.openxmlformats.org/officeDocument/2006/relationships" r:id="Rdd2ffd65ccc847c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 min="3" max="3" width="18" hidden="0" customWidth="1"/>
    <x:col min="4" max="4" width="18" hidden="0" customWidth="1"/>
    <x:col min="5" max="5" width="18" hidden="0" customWidth="1"/>
    <x:col min="6" max="6" width="36" hidden="0" customWidth="1"/>
    <x:col min="7" max="7" width="22" hidden="0" customWidth="1"/>
    <x:col min="8" max="8" width="30" hidden="0" customWidth="1"/>
    <x:col min="9" max="9" width="18" hidden="0" customWidth="1"/>
    <x:col min="10" max="10" width="48" hidden="0" customWidth="1"/>
    <x:col min="11" max="11" width="18" hidden="0" customWidth="1"/>
    <x:col min="12" max="12" width="48" hidden="0" customWidth="1"/>
    <x:col min="13" max="13" width="18" hidden="0" customWidth="1"/>
    <x:col min="14" max="14" width="48" hidden="0" customWidth="1"/>
    <x:col min="15" max="15" width="80" hidden="0" customWidth="1"/>
  </x:cols>
  <x:sheetData>
    <x:row r="1">
      <x:c r="A1" s="11" t="str">
        <x:v>NLTL Development Calibration - Batch 01</x:v>
      </x:c>
      <x:c r="B1" s="12"/>
      <x:c r="C1" s="12"/>
      <x:c r="D1" s="12"/>
      <x:c r="E1" s="12"/>
      <x:c r="F1" s="12"/>
      <x:c r="G1" s="12"/>
      <x:c r="H1" s="12"/>
      <x:c r="I1" s="12"/>
      <x:c r="J1" s="12"/>
      <x:c r="K1" s="12"/>
      <x:c r="L1" s="12"/>
      <x:c r="M1" s="12"/>
      <x:c r="N1" s="12"/>
      <x:c r="O1" s="12"/>
    </x:row>
    <x:row r="2">
      <x:c r="A2" s="13" t="str">
        <x:v>REQUIREMENTS | DEV-CAL-BATCH-01-FIRST-50 | vocabulary is not frozen</x:v>
      </x:c>
      <x:c r="B2" s="13"/>
      <x:c r="C2" s="13"/>
      <x:c r="D2" s="13"/>
      <x:c r="E2" s="13"/>
      <x:c r="F2" s="13"/>
      <x:c r="G2" s="13"/>
      <x:c r="H2" s="13"/>
      <x:c r="I2" s="13"/>
      <x:c r="J2" s="13"/>
      <x:c r="K2" s="13"/>
      <x:c r="L2" s="13"/>
      <x:c r="M2" s="13"/>
      <x:c r="N2" s="13"/>
      <x:c r="O2" s="13"/>
    </x:row>
    <x:row r="3">
      <x:c r="A3" s="14"/>
      <x:c r="B3" s="14"/>
      <x:c r="C3" s="14"/>
      <x:c r="D3" s="14"/>
      <x:c r="E3" s="14"/>
      <x:c r="F3" s="14"/>
      <x:c r="G3" s="14"/>
      <x:c r="H3" s="14"/>
      <x:c r="I3" s="14"/>
      <x:c r="J3" s="14"/>
      <x:c r="K3" s="14"/>
      <x:c r="L3" s="14"/>
      <x:c r="M3" s="14"/>
      <x:c r="N3" s="14"/>
      <x:c r="O3" s="14"/>
    </x:row>
    <x:row r="4" ht="32" customHeight="1">
      <x:c r="A4" s="32" t="str">
        <x:v>SEQUENCE</x:v>
      </x:c>
      <x:c r="B4" s="51" t="str">
        <x:v>REQUIREMENT_ID</x:v>
      </x:c>
      <x:c r="C4" s="51" t="str">
        <x:v>SOURCE_SHEET</x:v>
      </x:c>
      <x:c r="D4" s="51" t="str">
        <x:v>PAGE</x:v>
      </x:c>
      <x:c r="E4" s="51" t="str">
        <x:v>CLAUSE</x:v>
      </x:c>
      <x:c r="F4" s="51" t="str">
        <x:v>EDITION</x:v>
      </x:c>
      <x:c r="G4" s="51" t="str">
        <x:v>CATEGORY</x:v>
      </x:c>
      <x:c r="H4" s="51" t="str">
        <x:v>ENCODING_PATTERN</x:v>
      </x:c>
      <x:c r="I4" s="51" t="str">
        <x:v>R2_INDEXED_TERM_COUNT</x:v>
      </x:c>
      <x:c r="J4" s="51" t="str">
        <x:v>R2_INDEXED_TERMS</x:v>
      </x:c>
      <x:c r="K4" s="51" t="str">
        <x:v>FIXTURE_PATTERN</x:v>
      </x:c>
      <x:c r="L4" s="51" t="str">
        <x:v>MINIMUM_FIXTURE_VARIANTS</x:v>
      </x:c>
      <x:c r="M4" s="51" t="str">
        <x:v>R8_DEV_INDEXED_TERM_COUNT</x:v>
      </x:c>
      <x:c r="N4" s="51" t="str">
        <x:v>R8_DEV_INDEXED_TERMS</x:v>
      </x:c>
      <x:c r="O4" s="33" t="str">
        <x:v>NORMALIZED_REQUIREMENT</x:v>
      </x:c>
    </x:row>
    <x:row r="5">
      <x:c r="A5" s="52" t="n">
        <x:v>1</x:v>
      </x:c>
      <x:c r="B5" s="37" t="str">
        <x:v>TRF-001</x:v>
      </x:c>
      <x:c r="C5" s="34" t="str">
        <x:v>TRAFICOM</x:v>
      </x:c>
      <x:c r="D5" s="52" t="n">
        <x:v>5</x:v>
      </x:c>
      <x:c r="E5" s="34" t="str">
        <x:v>1.1</x:v>
      </x:c>
      <x:c r="F5" s="34" t="str">
        <x:v>TRAFICOM/68863/03.04.01.00/2021</x:v>
      </x:c>
      <x:c r="G5" s="34" t="str">
        <x:v>Static</x:v>
      </x:c>
      <x:c r="H5" s="34" t="str">
        <x:v>Conditional/applicability constraint</x:v>
      </x:c>
      <x:c r="I5" s="52" t="n">
        <x:v>1</x:v>
      </x:c>
      <x:c r="J5" s="37" t="str">
        <x:v>iceClass</x:v>
      </x:c>
      <x:c r="K5" s="34" t="str">
        <x:v>applicable, non-applicable, applicable failure</x:v>
      </x:c>
      <x:c r="L5" s="53" t="n">
        <x:v>3</x:v>
      </x:c>
      <x:c r="M5" s="52" t="n">
        <x:v>7</x:v>
      </x:c>
      <x:c r="N5" s="37" t="str">
        <x:v>applicableIceClassRegulationEdition | applicableIceClassRegulatoryProvision | constructionContractDate | iceClass | iceClassDraughtChapter2Provision2021 | iceClassRegulationEdition2021 | iceClassSection1Point8Provision2021</x:v>
      </x:c>
      <x:c r="O5" s="37" t="str">
        <x:v>The Ice Class Regulations of 2021 apply to ships contracted for construction on or after 5 July 2021. The provisions in section 1.8 (Ice classes) and chapter 2 (Ice Class Draught) in the 2021 Ice Class Regulations apply to all ships irrespective of their year of build.</x:v>
      </x:c>
    </x:row>
    <x:row r="6">
      <x:c r="A6" s="54" t="n">
        <x:v>2</x:v>
      </x:c>
      <x:c r="B6" s="38" t="str">
        <x:v>TRF-002</x:v>
      </x:c>
      <x:c r="C6" s="35" t="str">
        <x:v>TRAFICOM</x:v>
      </x:c>
      <x:c r="D6" s="54" t="n">
        <x:v>5</x:v>
      </x:c>
      <x:c r="E6" s="35" t="str">
        <x:v>1.2</x:v>
      </x:c>
      <x:c r="F6" s="35" t="str">
        <x:v>TRAFICOM/68863/03.04.01.00/2021</x:v>
      </x:c>
      <x:c r="G6" s="35" t="str">
        <x:v>Static</x:v>
      </x:c>
      <x:c r="H6" s="35" t="str">
        <x:v>Conditional/applicability constraint</x:v>
      </x:c>
      <x:c r="I6" s="54" t="n">
        <x:v>1</x:v>
      </x:c>
      <x:c r="J6" s="38" t="str">
        <x:v>iceClass</x:v>
      </x:c>
      <x:c r="K6" s="35" t="str">
        <x:v>applicable, non-applicable, applicable failure</x:v>
      </x:c>
      <x:c r="L6" s="55" t="n">
        <x:v>3</x:v>
      </x:c>
      <x:c r="M6" s="54" t="n">
        <x:v>4</x:v>
      </x:c>
      <x:c r="N6" s="38" t="str">
        <x:v>applicableIceClassRegulationEdition | constructionContractDate | iceClass | iceClassRegulationEdition2017</x:v>
      </x:c>
      <x:c r="O6" s="38" t="str">
        <x:v>The Ice Class Regulations of 2017 apply to ships contracted for construction on or after 1 January 2019 but before 5 July 2021.</x:v>
      </x:c>
    </x:row>
    <x:row r="7">
      <x:c r="A7" s="54" t="n">
        <x:v>3</x:v>
      </x:c>
      <x:c r="B7" s="38" t="str">
        <x:v>TRF-003</x:v>
      </x:c>
      <x:c r="C7" s="35" t="str">
        <x:v>TRAFICOM</x:v>
      </x:c>
      <x:c r="D7" s="54" t="n">
        <x:v>5</x:v>
      </x:c>
      <x:c r="E7" s="35" t="str">
        <x:v>1.3</x:v>
      </x:c>
      <x:c r="F7" s="35" t="str">
        <x:v>TRAFICOM/68863/03.04.01.00/2021</x:v>
      </x:c>
      <x:c r="G7" s="35" t="str">
        <x:v>Static</x:v>
      </x:c>
      <x:c r="H7" s="35" t="str">
        <x:v>Conditional/applicability constraint</x:v>
      </x:c>
      <x:c r="I7" s="54" t="n">
        <x:v>1</x:v>
      </x:c>
      <x:c r="J7" s="38" t="str">
        <x:v>iceClass</x:v>
      </x:c>
      <x:c r="K7" s="35" t="str">
        <x:v>applicable, non-applicable, applicable failure</x:v>
      </x:c>
      <x:c r="L7" s="55" t="n">
        <x:v>3</x:v>
      </x:c>
      <x:c r="M7" s="54" t="n">
        <x:v>4</x:v>
      </x:c>
      <x:c r="N7" s="38" t="str">
        <x:v>applicableIceClassRegulationEdition | constructionContractDate | iceClass | iceClassRegulationEdition2010</x:v>
      </x:c>
      <x:c r="O7" s="38" t="str">
        <x:v>The Ice Class Regulations of 2010 (TRAFI/31298/03.04.01.00/2010) apply to ships contracted for construction on or after 1 January 2012 but before 1 January 2019.</x:v>
      </x:c>
    </x:row>
    <x:row r="8">
      <x:c r="A8" s="54" t="n">
        <x:v>4</x:v>
      </x:c>
      <x:c r="B8" s="38" t="str">
        <x:v>TRF-004</x:v>
      </x:c>
      <x:c r="C8" s="35" t="str">
        <x:v>TRAFICOM</x:v>
      </x:c>
      <x:c r="D8" s="54" t="n">
        <x:v>5</x:v>
      </x:c>
      <x:c r="E8" s="35" t="str">
        <x:v>1.4</x:v>
      </x:c>
      <x:c r="F8" s="35" t="str">
        <x:v>TRAFICOM/68863/03.04.01.00/2021</x:v>
      </x:c>
      <x:c r="G8" s="35" t="str">
        <x:v>Static</x:v>
      </x:c>
      <x:c r="H8" s="35" t="str">
        <x:v>Conditional/applicability constraint</x:v>
      </x:c>
      <x:c r="I8" s="54" t="n">
        <x:v>1</x:v>
      </x:c>
      <x:c r="J8" s="38" t="str">
        <x:v>iceClass</x:v>
      </x:c>
      <x:c r="K8" s="35" t="str">
        <x:v>applicable, non-applicable, applicable failure</x:v>
      </x:c>
      <x:c r="L8" s="55" t="n">
        <x:v>3</x:v>
      </x:c>
      <x:c r="M8" s="54" t="n">
        <x:v>4</x:v>
      </x:c>
      <x:c r="N8" s="38" t="str">
        <x:v>applicableIceClassRegulationEdition | constructionContractDate | iceClass | iceClassRegulationEdition2008</x:v>
      </x:c>
      <x:c r="O8" s="38" t="str">
        <x:v>The Ice Class Regulations of 2008 (8.12.2008 No. 2530/30/2008), issued by the Finnish Maritime Administration, apply to ships contracted for construction on or after 1 January 2010 but before 1 January 2012.</x:v>
      </x:c>
    </x:row>
    <x:row r="9">
      <x:c r="A9" s="54" t="n">
        <x:v>5</x:v>
      </x:c>
      <x:c r="B9" s="38" t="str">
        <x:v>TRF-005</x:v>
      </x:c>
      <x:c r="C9" s="35" t="str">
        <x:v>TRAFICOM</x:v>
      </x:c>
      <x:c r="D9" s="54" t="n">
        <x:v>5</x:v>
      </x:c>
      <x:c r="E9" s="35" t="str">
        <x:v>1.5</x:v>
      </x:c>
      <x:c r="F9" s="35" t="str">
        <x:v>TRAFICOM/68863/03.04.01.00/2021</x:v>
      </x:c>
      <x:c r="G9" s="35" t="str">
        <x:v>Static</x:v>
      </x:c>
      <x:c r="H9" s="35" t="str">
        <x:v>Conditional/applicability constraint</x:v>
      </x:c>
      <x:c r="I9" s="54" t="n">
        <x:v>1</x:v>
      </x:c>
      <x:c r="J9" s="38" t="str">
        <x:v>iceClass</x:v>
      </x:c>
      <x:c r="K9" s="35" t="str">
        <x:v>applicable, non-applicable, applicable failure</x:v>
      </x:c>
      <x:c r="L9" s="55" t="n">
        <x:v>3</x:v>
      </x:c>
      <x:c r="M9" s="54" t="n">
        <x:v>5</x:v>
      </x:c>
      <x:c r="N9" s="38" t="str">
        <x:v>applicableIceClassRegulationEdition | constructionContractDate | constructionStageDate | iceClass | iceClassRegulationEdition2002</x:v>
      </x:c>
      <x:c r="O9" s="38"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row>
    <x:row r="10">
      <x:c r="A10" s="54" t="n">
        <x:v>6</x:v>
      </x:c>
      <x:c r="B10" s="38" t="str">
        <x:v>TRF-006</x:v>
      </x:c>
      <x:c r="C10" s="35" t="str">
        <x:v>TRAFICOM</x:v>
      </x:c>
      <x:c r="D10" s="54" t="n">
        <x:v>5</x:v>
      </x:c>
      <x:c r="E10" s="35" t="str">
        <x:v>1.6</x:v>
      </x:c>
      <x:c r="F10" s="35" t="str">
        <x:v>TRAFICOM/68863/03.04.01.00/2021</x:v>
      </x:c>
      <x:c r="G10" s="35" t="str">
        <x:v>Static</x:v>
      </x:c>
      <x:c r="H10" s="35" t="str">
        <x:v>Conditional/applicability constraint</x:v>
      </x:c>
      <x:c r="I10" s="54" t="n">
        <x:v>2</x:v>
      </x:c>
      <x:c r="J10" s="38" t="str">
        <x:v>iceClass | maximumContinuousRatingPower</x:v>
      </x:c>
      <x:c r="K10" s="35" t="str">
        <x:v>applicable, non-applicable, applicable failure</x:v>
      </x:c>
      <x:c r="L10" s="55" t="n">
        <x:v>3</x:v>
      </x:c>
      <x:c r="M10" s="54" t="n">
        <x:v>7</x:v>
      </x:c>
      <x:c r="N10" s="38" t="str">
        <x:v>applicableIceClassRegulationEdition | constructionStageDate | engineOutputRegulationEdition | iceClass | iceClassRegulationEdition2008 | iceClassRuleEdition1985 | maximumContinuousRatingPower</x:v>
      </x:c>
      <x:c r="O10" s="38"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row>
    <x:row r="11">
      <x:c r="A11" s="54" t="n">
        <x:v>7</x:v>
      </x:c>
      <x:c r="B11" s="38" t="str">
        <x:v>TRF-007</x:v>
      </x:c>
      <x:c r="C11" s="35" t="str">
        <x:v>TRAFICOM</x:v>
      </x:c>
      <x:c r="D11" s="54" t="n">
        <x:v>5</x:v>
      </x:c>
      <x:c r="E11" s="35" t="str">
        <x:v>1.6</x:v>
      </x:c>
      <x:c r="F11" s="35" t="str">
        <x:v>TRAFICOM/68863/03.04.01.00/2021</x:v>
      </x:c>
      <x:c r="G11" s="35" t="str">
        <x:v>Static</x:v>
      </x:c>
      <x:c r="H11" s="35" t="str">
        <x:v>Conditional/applicability constraint</x:v>
      </x:c>
      <x:c r="I11" s="54" t="n">
        <x:v>1</x:v>
      </x:c>
      <x:c r="J11" s="38" t="str">
        <x:v>iceClass</x:v>
      </x:c>
      <x:c r="K11" s="35" t="str">
        <x:v>applicable, non-applicable, applicable failure</x:v>
      </x:c>
      <x:c r="L11" s="55" t="n">
        <x:v>3</x:v>
      </x:c>
      <x:c r="M11" s="54" t="n">
        <x:v>7</x:v>
      </x:c>
      <x:c r="N11" s="38" t="str">
        <x:v>assessmentDate | constructionStageDate | deliveryDate | engineOutputComplianceMethod | iceClass | traficom2017Section3Point2Point2Method | traficom2017Section3Point2Point4Method</x:v>
      </x:c>
      <x:c r="O11" s="38"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2">
      <x:c r="A12" s="54" t="n">
        <x:v>8</x:v>
      </x:c>
      <x:c r="B12" s="38" t="str">
        <x:v>TRF-009</x:v>
      </x:c>
      <x:c r="C12" s="35" t="str">
        <x:v>TRAFICOM</x:v>
      </x:c>
      <x:c r="D12" s="54" t="n">
        <x:v>6</x:v>
      </x:c>
      <x:c r="E12" s="35" t="str">
        <x:v>1.7</x:v>
      </x:c>
      <x:c r="F12" s="35" t="str">
        <x:v>TRAFICOM/68863/03.04.01.00/2021</x:v>
      </x:c>
      <x:c r="G12" s="35" t="str">
        <x:v>Static</x:v>
      </x:c>
      <x:c r="H12" s="35" t="str">
        <x:v>Conditional/applicability constraint</x:v>
      </x:c>
      <x:c r="I12" s="54" t="n">
        <x:v>1</x:v>
      </x:c>
      <x:c r="J12" s="38" t="str">
        <x:v>iceClass</x:v>
      </x:c>
      <x:c r="K12" s="35" t="str">
        <x:v>applicable, non-applicable, applicable failure</x:v>
      </x:c>
      <x:c r="L12" s="55" t="n">
        <x:v>3</x:v>
      </x:c>
      <x:c r="M12" s="54" t="n">
        <x:v>7</x:v>
      </x:c>
      <x:c r="N12" s="38" t="str">
        <x:v>assessmentDate | constructionStageDate | deliveryDate | engineOutputComplianceMethod | iceClass | traficom2017Section3Point2Point2Method | traficom2017Section3Point2Point4Method</x:v>
      </x:c>
      <x:c r="O12" s="38"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3">
      <x:c r="A13" s="54" t="n">
        <x:v>9</x:v>
      </x:c>
      <x:c r="B13" s="38" t="str">
        <x:v>TRF-010</x:v>
      </x:c>
      <x:c r="C13" s="35" t="str">
        <x:v>TRAFICOM</x:v>
      </x:c>
      <x:c r="D13" s="54" t="n">
        <x:v>6</x:v>
      </x:c>
      <x:c r="E13" s="35" t="str">
        <x:v>1.8</x:v>
      </x:c>
      <x:c r="F13" s="35" t="str">
        <x:v>TRAFICOM/68863/03.04.01.00/2021</x:v>
      </x:c>
      <x:c r="G13" s="35" t="str">
        <x:v>Static</x:v>
      </x:c>
      <x:c r="H13" s="35" t="str">
        <x:v>Direct property/presence constraint</x:v>
      </x:c>
      <x:c r="I13" s="54" t="n">
        <x:v>1</x:v>
      </x:c>
      <x:c r="J13" s="38" t="str">
        <x:v>iceClass</x:v>
      </x:c>
      <x:c r="K13" s="35" t="str">
        <x:v>presence or controlled-value pair</x:v>
      </x:c>
      <x:c r="L13" s="55" t="n">
        <x:v>2</x:v>
      </x:c>
      <x:c r="M13" s="54" t="n">
        <x:v>1</x:v>
      </x:c>
      <x:c r="N13" s="38" t="str">
        <x:v>iceClass</x:v>
      </x:c>
      <x:c r="O13" s="38" t="str">
        <x:v>Under section 3 of the Act on the Ice Classes of Ships and Icebreaker Assistance (1121/2005), ships are assigned to ice classes IA Super, IA, IB, IC, II, or III.</x:v>
      </x:c>
    </x:row>
    <x:row r="14">
      <x:c r="A14" s="54" t="n">
        <x:v>10</x:v>
      </x:c>
      <x:c r="B14" s="38" t="str">
        <x:v>TRF-011</x:v>
      </x:c>
      <x:c r="C14" s="35" t="str">
        <x:v>TRAFICOM</x:v>
      </x:c>
      <x:c r="D14" s="54" t="n">
        <x:v>6</x:v>
      </x:c>
      <x:c r="E14" s="35" t="str">
        <x:v>2.1</x:v>
      </x:c>
      <x:c r="F14" s="35" t="str">
        <x:v>TRAFICOM/68863/03.04.01.00/2021</x:v>
      </x:c>
      <x:c r="G14" s="35" t="str">
        <x:v>Static</x:v>
      </x:c>
      <x:c r="H14" s="35" t="str">
        <x:v>Direct property/presence constraint</x:v>
      </x:c>
      <x:c r="I14" s="54" t="n">
        <x:v>1</x:v>
      </x:c>
      <x:c r="J14" s="38" t="str">
        <x:v>upperIceWaterline</x:v>
      </x:c>
      <x:c r="K14" s="35" t="str">
        <x:v>presence or controlled-value pair</x:v>
      </x:c>
      <x:c r="L14" s="55" t="n">
        <x:v>2</x:v>
      </x:c>
      <x:c r="M14" s="54" t="n">
        <x:v>7</x:v>
      </x:c>
      <x:c r="N14" s="38" t="str">
        <x:v>hasIntendedIceOperatingWaterline | hasUpperIceWaterline | hasWaterlineProfilePoint | iceWaterline | longitudinalPosition | verticalCoordinate | waterlineProfilePoint</x:v>
      </x:c>
      <x:c r="O14" s="38" t="str">
        <x:v>The upper ice waterline (UIWL) shall be the envelope of the highest points of the waterlines at which the ship is intended to operate in ice. The line may be a broken line.</x:v>
      </x:c>
    </x:row>
    <x:row r="15">
      <x:c r="A15" s="54" t="n">
        <x:v>11</x:v>
      </x:c>
      <x:c r="B15" s="38" t="str">
        <x:v>TRF-012</x:v>
      </x:c>
      <x:c r="C15" s="35" t="str">
        <x:v>TRAFICOM</x:v>
      </x:c>
      <x:c r="D15" s="54" t="n">
        <x:v>6</x:v>
      </x:c>
      <x:c r="E15" s="35" t="str">
        <x:v>2.1</x:v>
      </x:c>
      <x:c r="F15" s="35" t="str">
        <x:v>TRAFICOM/68863/03.04.01.00/2021</x:v>
      </x:c>
      <x:c r="G15" s="35" t="str">
        <x:v>Static</x:v>
      </x:c>
      <x:c r="H15" s="35" t="str">
        <x:v>Direct property/presence constraint</x:v>
      </x:c>
      <x:c r="I15" s="54" t="n">
        <x:v>1</x:v>
      </x:c>
      <x:c r="J15" s="38" t="str">
        <x:v>lowerIceWaterline</x:v>
      </x:c>
      <x:c r="K15" s="35" t="str">
        <x:v>presence or controlled-value pair</x:v>
      </x:c>
      <x:c r="L15" s="55" t="n">
        <x:v>2</x:v>
      </x:c>
      <x:c r="M15" s="54" t="n">
        <x:v>7</x:v>
      </x:c>
      <x:c r="N15" s="38" t="str">
        <x:v>hasIntendedIceOperatingWaterline | hasLowerIceWaterline | hasWaterlineProfilePoint | iceWaterline | longitudinalPosition | verticalCoordinate | waterlineProfilePoint</x:v>
      </x:c>
      <x:c r="O15" s="38" t="str">
        <x:v>The lower ice waterline (LIWL) shall be the envelope of the lowest points of the waterlines at which the ship is intended to operate in ice. The line may be a broken line.</x:v>
      </x:c>
    </x:row>
    <x:row r="16">
      <x:c r="A16" s="54" t="n">
        <x:v>12</x:v>
      </x:c>
      <x:c r="B16" s="38" t="str">
        <x:v>TRF-013</x:v>
      </x:c>
      <x:c r="C16" s="35" t="str">
        <x:v>TRAFICOM</x:v>
      </x:c>
      <x:c r="D16" s="54" t="n">
        <x:v>7</x:v>
      </x:c>
      <x:c r="E16" s="35" t="str">
        <x:v>2.2</x:v>
      </x:c>
      <x:c r="F16" s="35" t="str">
        <x:v>TRAFICOM/68863/03.04.01.00/2021</x:v>
      </x:c>
      <x:c r="G16" s="35" t="str">
        <x:v>Static</x:v>
      </x:c>
      <x:c r="H16" s="35" t="str">
        <x:v>Conditional/applicability constraint</x:v>
      </x:c>
      <x:c r="I16" s="54" t="n">
        <x:v>1</x:v>
      </x:c>
      <x:c r="J16" s="38" t="str">
        <x:v>iceClass</x:v>
      </x:c>
      <x:c r="K16" s="35" t="str">
        <x:v>applicable, non-applicable, applicable failure</x:v>
      </x:c>
      <x:c r="L16" s="55" t="n">
        <x:v>3</x:v>
      </x:c>
      <x:c r="M16" s="54" t="n">
        <x:v>8</x:v>
      </x:c>
      <x:c r="N16" s="38" t="str">
        <x:v>draughtAtAftPerpendicular | draughtAtForePerpendicular | hasLowerIceWaterline | hasUpperIceWaterline | iceClass | operatingAftDraught | operatingForeDraught | shipIceStrengthened</x:v>
      </x:c>
      <x:c r="O16" s="38"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row>
    <x:row r="17">
      <x:c r="A17" s="54" t="n">
        <x:v>13</x:v>
      </x:c>
      <x:c r="B17" s="38" t="str">
        <x:v>TRF-014</x:v>
      </x:c>
      <x:c r="C17" s="35" t="str">
        <x:v>TRAFICOM</x:v>
      </x:c>
      <x:c r="D17" s="54" t="n">
        <x:v>7</x:v>
      </x:c>
      <x:c r="E17" s="35" t="str">
        <x:v>2.2</x:v>
      </x:c>
      <x:c r="F17" s="35" t="str">
        <x:v>TRAFICOM/68863/03.04.01.00/2021</x:v>
      </x:c>
      <x:c r="G17" s="35" t="str">
        <x:v>Static</x:v>
      </x:c>
      <x:c r="H17" s="35" t="str">
        <x:v>Conditional/applicability constraint</x:v>
      </x:c>
      <x:c r="I17" s="54" t="n">
        <x:v>2</x:v>
      </x:c>
      <x:c r="J17" s="38" t="str">
        <x:v>iceClass | upperIceWaterline</x:v>
      </x:c>
      <x:c r="K17" s="35" t="str">
        <x:v>applicable, non-applicable, applicable failure</x:v>
      </x:c>
      <x:c r="L17" s="55" t="n">
        <x:v>3</x:v>
      </x:c>
      <x:c r="M17" s="54" t="n">
        <x:v>20</x:v>
      </x:c>
      <x:c r="N17" s="38" t="str">
        <x:v>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O17" s="38"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row>
    <x:row r="18">
      <x:c r="A18" s="54" t="n">
        <x:v>14</x:v>
      </x:c>
      <x:c r="B18" s="38" t="str">
        <x:v>TRF-015</x:v>
      </x:c>
      <x:c r="C18" s="35" t="str">
        <x:v>TRAFICOM</x:v>
      </x:c>
      <x:c r="D18" s="54" t="n">
        <x:v>7</x:v>
      </x:c>
      <x:c r="E18" s="35" t="str">
        <x:v>2.2</x:v>
      </x:c>
      <x:c r="F18" s="35" t="str">
        <x:v>TRAFICOM/68863/03.04.01.00/2021</x:v>
      </x:c>
      <x:c r="G18" s="35" t="str">
        <x:v>Static</x:v>
      </x:c>
      <x:c r="H18" s="35" t="str">
        <x:v>Conditional/applicability constraint</x:v>
      </x:c>
      <x:c r="I18" s="54" t="n">
        <x:v>1</x:v>
      </x:c>
      <x:c r="J18" s="38" t="str">
        <x:v>upperIceWaterline</x:v>
      </x:c>
      <x:c r="K18" s="35" t="str">
        <x:v>applicable, non-applicable, applicable failure</x:v>
      </x:c>
      <x:c r="L18" s="55" t="n">
        <x:v>3</x:v>
      </x:c>
      <x:c r="M18" s="54" t="n">
        <x:v>8</x:v>
      </x:c>
      <x:c r="N18" s="38" t="str">
        <x:v>gramPerKilogramSalinityUnit | intendedRouteSeaWaterSalinity | loadingCalculationSeaWaterSalinity | maximumPermittedIceTrim | navigatingInIce | operatingDraught | operatingTrim | upperIceWaterlineDraught</x:v>
      </x:c>
      <x:c r="O18" s="38" t="str">
        <x:v>The draught and trim, limited by the UIWL, must not be exceeded when the ship is navigating in ice. The salinity of the sea water along the intended route shall be taken into account when loading the ship.</x:v>
      </x:c>
    </x:row>
    <x:row r="19">
      <x:c r="A19" s="54" t="n">
        <x:v>15</x:v>
      </x:c>
      <x:c r="B19" s="38" t="str">
        <x:v>TRF-016</x:v>
      </x:c>
      <x:c r="C19" s="35" t="str">
        <x:v>TRAFICOM</x:v>
      </x:c>
      <x:c r="D19" s="54" t="n">
        <x:v>7</x:v>
      </x:c>
      <x:c r="E19" s="35" t="str">
        <x:v>2.2</x:v>
      </x:c>
      <x:c r="F19" s="35" t="str">
        <x:v>TRAFICOM/68863/03.04.01.00/2021</x:v>
      </x:c>
      <x:c r="G19" s="35" t="str">
        <x:v>Static Calculation</x:v>
      </x:c>
      <x:c r="H19" s="35" t="str">
        <x:v>Formula-derived constraint</x:v>
      </x:c>
      <x:c r="I19" s="54" t="n">
        <x:v>9</x:v>
      </x:c>
      <x:c r="J19" s="38" t="str">
        <x:v>displacementAtUpperIceWaterline | draughtAmidships | forwardDraught | freezingPreventionPresent | levelIceThickness | liwlDraughtAmidships | lowerIceWaterline | propellerHighestPointSubmerged | upperIceWaterline</x:v>
      </x:c>
      <x:c r="K19" s="35" t="str">
        <x:v>numeric/formula boundary</x:v>
      </x:c>
      <x:c r="L19" s="55" t="n">
        <x:v>3</x:v>
      </x:c>
      <x:c r="M19" s="54" t="n">
        <x:v>15</x:v>
      </x:c>
      <x:c r="N19" s="38" t="str">
        <x:v>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x:v>
      </x:c>
      <x:c r="O19" s="38"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row>
    <x:row r="20">
      <x:c r="A20" s="54" t="n">
        <x:v>16</x:v>
      </x:c>
      <x:c r="B20" s="38" t="str">
        <x:v>TRF-017</x:v>
      </x:c>
      <x:c r="C20" s="35" t="str">
        <x:v>TRAFICOM</x:v>
      </x:c>
      <x:c r="D20" s="54" t="n">
        <x:v>7</x:v>
      </x:c>
      <x:c r="E20" s="35" t="str">
        <x:v>3.1</x:v>
      </x:c>
      <x:c r="F20" s="35" t="str">
        <x:v>TRAFICOM/68863/03.04.01.00/2021</x:v>
      </x:c>
      <x:c r="G20" s="35" t="str">
        <x:v>Static</x:v>
      </x:c>
      <x:c r="H20" s="35" t="str">
        <x:v>Conditional/applicability constraint</x:v>
      </x:c>
      <x:c r="I20" s="54" t="n">
        <x:v>1</x:v>
      </x:c>
      <x:c r="J20" s="38" t="str">
        <x:v>maximumContinuousRatingPower</x:v>
      </x:c>
      <x:c r="K20" s="35" t="str">
        <x:v>applicable, non-applicable, applicable failure</x:v>
      </x:c>
      <x:c r="L20" s="55" t="n">
        <x:v>3</x:v>
      </x:c>
      <x:c r="M20" s="54" t="n">
        <x:v>4</x:v>
      </x:c>
      <x:c r="N20" s="38" t="str">
        <x:v>maximumContinuousRatingPower | propulsionMachineryContinuousOutput | propulsionOutputRestrictionApplies | restrictedPropulsionOutput</x:v>
      </x:c>
      <x:c r="O20" s="38" t="str">
        <x:v>The engine output P is the maximum output the propulsion machinery can continuously deliver to the propeller(s). If the output is restricted by technical means or regulations, P shall be taken as the restricted output.</x:v>
      </x:c>
    </x:row>
    <x:row r="21">
      <x:c r="A21" s="54" t="n">
        <x:v>17</x:v>
      </x:c>
      <x:c r="B21" s="38" t="str">
        <x:v>TRF-018</x:v>
      </x:c>
      <x:c r="C21" s="35" t="str">
        <x:v>TRAFICOM</x:v>
      </x:c>
      <x:c r="D21" s="54" t="n">
        <x:v>8</x:v>
      </x:c>
      <x:c r="E21" s="35" t="str">
        <x:v>3.2</x:v>
      </x:c>
      <x:c r="F21" s="35" t="str">
        <x:v>TRAFICOM/68863/03.04.01.00/2021</x:v>
      </x:c>
      <x:c r="G21" s="35" t="str">
        <x:v>Static Calculation</x:v>
      </x:c>
      <x:c r="H21" s="35" t="str">
        <x:v>Formula-derived constraint</x:v>
      </x:c>
      <x:c r="I21" s="54" t="n">
        <x:v>3</x:v>
      </x:c>
      <x:c r="J21" s="38" t="str">
        <x:v>calculatedRequiredPower | iceClass | maximumContinuousRatingPower</x:v>
      </x:c>
      <x:c r="K21" s="35" t="str">
        <x:v>numeric/formula boundary</x:v>
      </x:c>
      <x:c r="L21" s="55" t="n">
        <x:v>3</x:v>
      </x:c>
      <x:c r="M21" s="54" t="n">
        <x:v>3</x:v>
      </x:c>
      <x:c r="N21" s="38" t="str">
        <x:v>calculatedRequiredPower | iceClass | maximumContinuousRatingPower</x:v>
      </x:c>
      <x:c r="O21" s="38" t="str">
        <x:v>IF iceClass IN {'IA','IB','IC'}, THEN mcrPower_kW &gt;= max(calculated_required_power_kW, 1000). IF iceClass = 'IA Super', THEN mcrPower_kW &gt;= max(calculated_required_power_kW, 2800).</x:v>
      </x:c>
    </x:row>
    <x:row r="22">
      <x:c r="A22" s="54" t="n">
        <x:v>18</x:v>
      </x:c>
      <x:c r="B22" s="38" t="str">
        <x:v>TRF-020</x:v>
      </x:c>
      <x:c r="C22" s="35" t="str">
        <x:v>TRAFICOM</x:v>
      </x:c>
      <x:c r="D22" s="54" t="str">
        <x:v>8-9</x:v>
      </x:c>
      <x:c r="E22" s="35" t="str">
        <x:v>3.2.2</x:v>
      </x:c>
      <x:c r="F22" s="35" t="str">
        <x:v>TRAFICOM/68863/03.04.01.00/2021</x:v>
      </x:c>
      <x:c r="G22" s="35" t="str">
        <x:v>Static Calculation</x:v>
      </x:c>
      <x:c r="H22" s="35" t="str">
        <x:v>Table-lookup plus constraint</x:v>
      </x:c>
      <x:c r="I22" s="54" t="n">
        <x:v>10</x:v>
      </x:c>
      <x:c r="J22" s="38" t="str">
        <x:v>brashIceChannelResistanceRch | constructionStageDate | engineOutputCoefficientKe | iceClass | lowerIceWaterline | maximumContinuousRatingPower | minimumRequiredPowerAtLowerIceWaterline | minimumRequiredPowerAtUpperIceWaterline | propellerDiameter | upperIceWaterline</x:v>
      </x:c>
      <x:c r="K22" s="35" t="str">
        <x:v>table lookup plus constraint</x:v>
      </x:c>
      <x:c r="L22" s="55" t="n">
        <x:v>3</x:v>
      </x:c>
      <x:c r="M22" s="54" t="n">
        <x:v>23</x:v>
      </x:c>
      <x:c r="N22" s="38" t="str">
        <x:v>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x:v>
      </x:c>
      <x:c r="O22" s="38"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x:v>
      </x:c>
    </x:row>
    <x:row r="23">
      <x:c r="A23" s="54" t="n">
        <x:v>19</x:v>
      </x:c>
      <x:c r="B23" s="38" t="str">
        <x:v>TRF-022</x:v>
      </x:c>
      <x:c r="C23" s="35" t="str">
        <x:v>TRAFICOM</x:v>
      </x:c>
      <x:c r="D23" s="54" t="n">
        <x:v>10</x:v>
      </x:c>
      <x:c r="E23" s="35" t="str">
        <x:v>3.2.2</x:v>
      </x:c>
      <x:c r="F23" s="35" t="str">
        <x:v>TRAFICOM/68863/03.04.01.00/2021</x:v>
      </x:c>
      <x:c r="G23" s="35" t="str">
        <x:v>Static Calculation</x:v>
      </x:c>
      <x:c r="H23" s="35" t="str">
        <x:v>Table-lookup plus constraint</x:v>
      </x:c>
      <x:c r="I23" s="54" t="n">
        <x:v>2</x:v>
      </x:c>
      <x:c r="J23" s="38" t="str">
        <x:v>bowRakeAtQuarterBreadth | flareAngle</x:v>
      </x:c>
      <x:c r="K23" s="35" t="str">
        <x:v>table lookup plus constraint</x:v>
      </x:c>
      <x:c r="L23" s="55" t="n">
        <x:v>3</x:v>
      </x:c>
      <x:c r="M23" s="54" t="n">
        <x:v>20</x:v>
      </x:c>
      <x:c r="N23" s="38" t="str">
        <x:v>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x:v>
      </x:c>
      <x:c r="O23" s="38" t="str">
        <x:v>Set C_3 = 845 kg/(m^2*s^2), C_4 = 42 kg/(m^2*s^2), C_5 = 825 kg/s^2 and psi = atan(tan(phi_2)/sin(alpha)). Clamp ((L*T)/B^2)^3 to the inclusive interval [5, 20].</x:v>
      </x:c>
    </x:row>
    <x:row r="24">
      <x:c r="A24" s="54" t="n">
        <x:v>20</x:v>
      </x:c>
      <x:c r="B24" s="38" t="str">
        <x:v>TRF-023</x:v>
      </x:c>
      <x:c r="C24" s="35" t="str">
        <x:v>TRAFICOM</x:v>
      </x:c>
      <x:c r="D24" s="54" t="n">
        <x:v>10</x:v>
      </x:c>
      <x:c r="E24" s="35" t="str">
        <x:v>3.2.3</x:v>
      </x:c>
      <x:c r="F24" s="35" t="str">
        <x:v>TRAFICOM/68863/03.04.01.00/2021</x:v>
      </x:c>
      <x:c r="G24" s="35" t="str">
        <x:v>Static</x:v>
      </x:c>
      <x:c r="H24" s="35" t="str">
        <x:v>Conditional/applicability constraint</x:v>
      </x:c>
      <x:c r="I24" s="54" t="n">
        <x:v>2</x:v>
      </x:c>
      <x:c r="J24" s="38" t="str">
        <x:v>iceClass | maximumContinuousRatingPower</x:v>
      </x:c>
      <x:c r="K24" s="35" t="str">
        <x:v>applicable, non-applicable, applicable failure</x:v>
      </x:c>
      <x:c r="L24" s="55" t="n">
        <x:v>3</x:v>
      </x:c>
      <x:c r="M24" s="54" t="n">
        <x:v>5</x:v>
      </x:c>
      <x:c r="N24" s="38" t="str">
        <x:v>applicableIceClassRegulationEdition | iceClass | iceClassRuleEdition1985 | maximumContinuousRatingPower | requiredPowerUnder1985Rules</x:v>
      </x:c>
      <x:c r="O24" s="38"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row>
    <x:row r="25">
      <x:c r="A25" s="54" t="n">
        <x:v>21</x:v>
      </x:c>
      <x:c r="B25" s="38" t="str">
        <x:v>TRF-024</x:v>
      </x:c>
      <x:c r="C25" s="35" t="str">
        <x:v>TRAFICOM</x:v>
      </x:c>
      <x:c r="D25" s="54" t="n">
        <x:v>10</x:v>
      </x:c>
      <x:c r="E25" s="35" t="str">
        <x:v>3.2.4</x:v>
      </x:c>
      <x:c r="F25" s="35" t="str">
        <x:v>TRAFICOM/68863/03.04.01.00/2021</x:v>
      </x:c>
      <x:c r="G25" s="35" t="str">
        <x:v>Static</x:v>
      </x:c>
      <x:c r="H25" s="35" t="str">
        <x:v>Conditional/applicability constraint</x:v>
      </x:c>
      <x:c r="I25" s="54" t="n">
        <x:v>1</x:v>
      </x:c>
      <x:c r="J25" s="38" t="str">
        <x:v>iceClass</x:v>
      </x:c>
      <x:c r="K25" s="35" t="str">
        <x:v>applicable, non-applicable, applicable failure</x:v>
      </x:c>
      <x:c r="L25" s="55" t="n">
        <x:v>3</x:v>
      </x:c>
      <x:c r="M25" s="54" t="n">
        <x:v>7</x:v>
      </x:c>
      <x:c r="N25" s="38" t="str">
        <x:v>assessmentDate | constructionStageDate | deliveryDate | engineOutputComplianceMethod | iceClass | traficom2017Section3Point2Point2Method | traficom2017Section3Point2Point4Method</x:v>
      </x:c>
      <x:c r="O25" s="38"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row>
    <x:row r="26">
      <x:c r="A26" s="54" t="n">
        <x:v>22</x:v>
      </x:c>
      <x:c r="B26" s="38" t="str">
        <x:v>TRF-025</x:v>
      </x:c>
      <x:c r="C26" s="35" t="str">
        <x:v>TRAFICOM</x:v>
      </x:c>
      <x:c r="D26" s="54" t="n">
        <x:v>10</x:v>
      </x:c>
      <x:c r="E26" s="35" t="str">
        <x:v>3.2.4</x:v>
      </x:c>
      <x:c r="F26" s="35" t="str">
        <x:v>TRAFICOM/68863/03.04.01.00/2021</x:v>
      </x:c>
      <x:c r="G26" s="35" t="str">
        <x:v>Static Calculation</x:v>
      </x:c>
      <x:c r="H26" s="35" t="str">
        <x:v>Formula-derived constraint</x:v>
      </x:c>
      <x:c r="I26" s="54" t="n">
        <x:v>1</x:v>
      </x:c>
      <x:c r="J26" s="38" t="str">
        <x:v>iceClass</x:v>
      </x:c>
      <x:c r="K26" s="35" t="str">
        <x:v>numeric/formula boundary</x:v>
      </x:c>
      <x:c r="L26" s="55" t="n">
        <x:v>3</x:v>
      </x:c>
      <x:c r="M26" s="54" t="n">
        <x:v>15</x:v>
      </x:c>
      <x:c r="N26" s="38" t="str">
        <x:v>brashIceResistanceCoefficientC1 | brashIceResistanceCoefficientC2 | bulbousBowPresent | coefficientF1 | coefficientF2 | coefficientF3 | coefficientF4 | coefficientG1 | coefficientG2 | coefficientG3 | iceClass | iceClassDraught | newtonPerMetreToPowerOnePointFiveUnit | shipBreadth | shipLength</x:v>
      </x:c>
      <x:c r="O26" s="38" t="str">
        <x:v>For IA Super without a bulb, compute C_1=f_1*(B*L)/(2*T/B+1)+1.84*(f_2*B+f_3*L+f_4*B*L) and C_2=3.52*(g_1+g_2*B)+g_3*(1+1.2*T/B)*B^2/sqrt(L).</x:v>
      </x:c>
    </x:row>
    <x:row r="27">
      <x:c r="A27" s="54" t="n">
        <x:v>23</x:v>
      </x:c>
      <x:c r="B27" s="38" t="str">
        <x:v>TRF-026</x:v>
      </x:c>
      <x:c r="C27" s="35" t="str">
        <x:v>TRAFICOM</x:v>
      </x:c>
      <x:c r="D27" s="54" t="n">
        <x:v>11</x:v>
      </x:c>
      <x:c r="E27" s="35" t="str">
        <x:v>3.2.4</x:v>
      </x:c>
      <x:c r="F27" s="35" t="str">
        <x:v>TRAFICOM/68863/03.04.01.00/2021</x:v>
      </x:c>
      <x:c r="G27" s="35" t="str">
        <x:v>Static Calculation</x:v>
      </x:c>
      <x:c r="H27" s="35" t="str">
        <x:v>Formula-derived constraint</x:v>
      </x:c>
      <x:c r="I27" s="54" t="n">
        <x:v>1</x:v>
      </x:c>
      <x:c r="J27" s="38" t="str">
        <x:v>iceClass</x:v>
      </x:c>
      <x:c r="K27" s="35" t="str">
        <x:v>numeric/formula boundary</x:v>
      </x:c>
      <x:c r="L27" s="55" t="n">
        <x:v>3</x:v>
      </x:c>
      <x:c r="M27" s="54" t="n">
        <x:v>14</x:v>
      </x:c>
      <x:c r="N27" s="38" t="str">
        <x:v>brashIceResistanceCoefficientC1 | brashIceResistanceCoefficientC2 | bulbousBowPresent | coefficientF1 | coefficientF2 | coefficientF3 | coefficientF4 | coefficientG1 | coefficientG2 | coefficientG3 | iceClass | iceClassDraught | shipBreadth | shipLength</x:v>
      </x:c>
      <x:c r="O27" s="38" t="str">
        <x:v>For IA Super with a bulb, compute C_1=f_1*(B*L)/(2*T/B+1)+2.89*(f_2*B+f_3*L+f_4*B*L) and C_2=6.67*(g_1+g_2*B)+g_3*(1+1.2*T/B)*B^2/sqrt(L).</x:v>
      </x:c>
    </x:row>
    <x:row r="28">
      <x:c r="A28" s="54" t="n">
        <x:v>24</x:v>
      </x:c>
      <x:c r="B28" s="38" t="str">
        <x:v>TRF-027</x:v>
      </x:c>
      <x:c r="C28" s="35" t="str">
        <x:v>TRAFICOM</x:v>
      </x:c>
      <x:c r="D28" s="54" t="n">
        <x:v>11</x:v>
      </x:c>
      <x:c r="E28" s="35" t="str">
        <x:v>3.2.4</x:v>
      </x:c>
      <x:c r="F28" s="35" t="str">
        <x:v>TRAFICOM/68863/03.04.01.00/2021</x:v>
      </x:c>
      <x:c r="G28" s="35" t="str">
        <x:v>Static Calculation</x:v>
      </x:c>
      <x:c r="H28" s="35" t="str">
        <x:v>Table-lookup plus constraint</x:v>
      </x:c>
      <x:c r="I28" s="54" t="n">
        <x:v>14</x:v>
      </x:c>
      <x:c r="J28" s="38" t="str">
        <x:v>clampedHullGeometryTerm | coefficientC3 | coefficientC4 | coefficientC5 | coefficientF1 | coefficientF2 | coefficientF3 | coefficientF4 | coefficientG1 | coefficientG2 | coefficientG3 | iceClassDraught | shipBreadth | shipLength</x:v>
      </x:c>
      <x:c r="K28" s="35" t="str">
        <x:v>table lookup plus constraint</x:v>
      </x:c>
      <x:c r="L28" s="55" t="n">
        <x:v>3</x:v>
      </x:c>
      <x:c r="M28" s="54" t="n">
        <x:v>21</x:v>
      </x:c>
      <x:c r="N28" s="38" t="str">
        <x:v>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x:v>
      </x:c>
      <x:c r="O28" s="38" t="str">
        <x:v>Coefficients f_1-f_4 and g_1-g_3 are given in Table 3-3. C_3 = 460 kg/(m^2*s^2), C_4 = 18.7 kg/(m^2*s^2), C_5 = 825 kg/s^2. If the value of the term ((L*T)/B^2)^3 is less than 5, the value 5 shall be used; if the value is more than 20, the value 20 shall be used.</x:v>
      </x:c>
    </x:row>
    <x:row r="29">
      <x:c r="A29" s="54" t="n">
        <x:v>25</x:v>
      </x:c>
      <x:c r="B29" s="38" t="str">
        <x:v>TRF-030</x:v>
      </x:c>
      <x:c r="C29" s="35" t="str">
        <x:v>TRAFICOM</x:v>
      </x:c>
      <x:c r="D29" s="54" t="n">
        <x:v>12</x:v>
      </x:c>
      <x:c r="E29" s="35" t="str">
        <x:v>4.1</x:v>
      </x:c>
      <x:c r="F29" s="35" t="str">
        <x:v>TRAFICOM/68863/03.04.01.00/2021</x:v>
      </x:c>
      <x:c r="G29" s="35" t="str">
        <x:v>Static Calculation</x:v>
      </x:c>
      <x:c r="H29" s="35" t="str">
        <x:v>Formula-derived constraint</x:v>
      </x:c>
      <x:c r="I29" s="54" t="n">
        <x:v>4</x:v>
      </x:c>
      <x:c r="J29" s="38" t="str">
        <x:v>lowerIceWaterline | spacing | span | upperIceWaterline</x:v>
      </x:c>
      <x:c r="K29" s="35" t="str">
        <x:v>numeric/formula boundary</x:v>
      </x:c>
      <x:c r="L29" s="55" t="n">
        <x:v>3</x:v>
      </x:c>
      <x:c r="M29" s="54" t="n">
        <x:v>24</x:v>
      </x:c>
      <x:c r="N29" s="38" t="str">
        <x:v>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x:v>
      </x:c>
      <x:c r="O29" s="38"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row>
    <x:row r="30">
      <x:c r="A30" s="54" t="n">
        <x:v>26</x:v>
      </x:c>
      <x:c r="B30" s="38" t="str">
        <x:v>TRF-031</x:v>
      </x:c>
      <x:c r="C30" s="35" t="str">
        <x:v>TRAFICOM</x:v>
      </x:c>
      <x:c r="D30" s="54" t="n">
        <x:v>12</x:v>
      </x:c>
      <x:c r="E30" s="35" t="str">
        <x:v>4.1</x:v>
      </x:c>
      <x:c r="F30" s="35" t="str">
        <x:v>TRAFICOM/68863/03.04.01.00/2021</x:v>
      </x:c>
      <x:c r="G30" s="35" t="str">
        <x:v>Static Calculation</x:v>
      </x:c>
      <x:c r="H30" s="35" t="str">
        <x:v>Formula-derived constraint</x:v>
      </x:c>
      <x:c r="I30" s="54" t="n">
        <x:v>6</x:v>
      </x:c>
      <x:c r="J30" s="38" t="str">
        <x:v>allowableShearStress | beamTheoryUsed | combinedBendingShearStress | directCalculationMethod | vonMisesYieldCriterion | yieldPoint</x:v>
      </x:c>
      <x:c r="K30" s="35" t="str">
        <x:v>numeric/formula boundary</x:v>
      </x:c>
      <x:c r="L30" s="55" t="n">
        <x:v>3</x:v>
      </x:c>
      <x:c r="M30" s="54" t="n">
        <x:v>6</x:v>
      </x:c>
      <x:c r="N30" s="38" t="str">
        <x:v>allowableShearStress | beamTheoryUsed | combinedBendingShearStress | vonMisesYieldCriterion | yieldPoint | yieldShearStress</x:v>
      </x:c>
      <x:c r="O30" s="38"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row>
    <x:row r="31">
      <x:c r="A31" s="54" t="n">
        <x:v>27</x:v>
      </x:c>
      <x:c r="B31" s="38" t="str">
        <x:v>TRF-032</x:v>
      </x:c>
      <x:c r="C31" s="35" t="str">
        <x:v>TRAFICOM</x:v>
      </x:c>
      <x:c r="D31" s="54" t="n">
        <x:v>12</x:v>
      </x:c>
      <x:c r="E31" s="35" t="str">
        <x:v>4.1</x:v>
      </x:c>
      <x:c r="F31" s="35" t="str">
        <x:v>TRAFICOM/68863/03.04.01.00/2021</x:v>
      </x:c>
      <x:c r="G31" s="35" t="str">
        <x:v>Static</x:v>
      </x:c>
      <x:c r="H31" s="35" t="str">
        <x:v>Conditional/applicability constraint</x:v>
      </x:c>
      <x:c r="I31" s="54" t="n">
        <x:v>3</x:v>
      </x:c>
      <x:c r="J31" s="38" t="str">
        <x:v>classificationSocietyScantling | iceStrengtheningStatus | regulationDerivedScantling</x:v>
      </x:c>
      <x:c r="K31" s="35" t="str">
        <x:v>applicable, non-applicable, applicable failure</x:v>
      </x:c>
      <x:c r="L31" s="55" t="n">
        <x:v>3</x:v>
      </x:c>
      <x:c r="M31" s="54" t="n">
        <x:v>4</x:v>
      </x:c>
      <x:c r="N31" s="38" t="str">
        <x:v>classificationSocietyRequiredScantling | iceStrengtheningStatus | regulationRequiredScantling | selectedDesignScantling</x:v>
      </x:c>
      <x:c r="O31" s="38" t="str">
        <x:v>If scantlings derived from these regulations are less than those required by the classification society for a ship that has not been ice strengthened, the latter shall be used.</x:v>
      </x:c>
    </x:row>
    <x:row r="32">
      <x:c r="A32" s="54" t="n">
        <x:v>28</x:v>
      </x:c>
      <x:c r="B32" s="38" t="str">
        <x:v>TRF-034</x:v>
      </x:c>
      <x:c r="C32" s="35" t="str">
        <x:v>TRAFICOM</x:v>
      </x:c>
      <x:c r="D32" s="54" t="n">
        <x:v>13</x:v>
      </x:c>
      <x:c r="E32" s="35" t="str">
        <x:v>4.1</x:v>
      </x:c>
      <x:c r="F32" s="35" t="str">
        <x:v>TRAFICOM/68863/03.04.01.00/2021</x:v>
      </x:c>
      <x:c r="G32" s="35" t="str">
        <x:v>Static Calculation</x:v>
      </x:c>
      <x:c r="H32" s="35" t="str">
        <x:v>Formula-derived constraint</x:v>
      </x:c>
      <x:c r="I32" s="54" t="n">
        <x:v>2</x:v>
      </x:c>
      <x:c r="J32" s="38" t="str">
        <x:v>sectionModulus | shearArea</x:v>
      </x:c>
      <x:c r="K32" s="35" t="str">
        <x:v>numeric/formula boundary</x:v>
      </x:c>
      <x:c r="L32" s="55" t="n">
        <x:v>3</x:v>
      </x:c>
      <x:c r="M32" s="54" t="n">
        <x:v>7</x:v>
      </x:c>
      <x:c r="N32" s="38" t="str">
        <x:v>effectiveMemberCrossSection | hasClassificationSocietySectionPropertyCalculationEvidence | hasEffectiveMemberCrossSection | iceStringer | memberNormalToPlating | sectionModulus | shearArea</x:v>
      </x:c>
      <x:c r="O32" s="38"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row>
    <x:row r="33">
      <x:c r="A33" s="54" t="n">
        <x:v>29</x:v>
      </x:c>
      <x:c r="B33" s="38" t="str">
        <x:v>TRF-035</x:v>
      </x:c>
      <x:c r="C33" s="35" t="str">
        <x:v>TRAFICOM</x:v>
      </x:c>
      <x:c r="D33" s="54" t="n">
        <x:v>13</x:v>
      </x:c>
      <x:c r="E33" s="35" t="str">
        <x:v>4.1.1</x:v>
      </x:c>
      <x:c r="F33" s="35" t="str">
        <x:v>TRAFICOM/68863/03.04.01.00/2021</x:v>
      </x:c>
      <x:c r="G33" s="35" t="str">
        <x:v>Static</x:v>
      </x:c>
      <x:c r="H33" s="35" t="str">
        <x:v>Direct property/presence constraint</x:v>
      </x:c>
      <x:c r="I33" s="54" t="n">
        <x:v>2</x:v>
      </x:c>
      <x:c r="J33" s="38" t="str">
        <x:v>classificationSociety | ruleLength</x:v>
      </x:c>
      <x:c r="K33" s="35" t="str">
        <x:v>presence or controlled-value pair</x:v>
      </x:c>
      <x:c r="L33" s="55" t="n">
        <x:v>2</x:v>
      </x:c>
      <x:c r="M33" s="54" t="n">
        <x:v>7</x:v>
      </x:c>
      <x:c r="N33" s="38" t="str">
        <x:v>bowRegion | classificationSociety | classificationSocietyRuleLength | hullRegion | midbodyRegion | ruleLength | sternRegion</x:v>
      </x:c>
      <x:c r="O33" s="38" t="str">
        <x:v>L shall be taken as the ship's rule length used by the classification society.</x:v>
      </x:c>
    </x:row>
    <x:row r="34">
      <x:c r="A34" s="54" t="n">
        <x:v>30</x:v>
      </x:c>
      <x:c r="B34" s="38" t="str">
        <x:v>TRF-036</x:v>
      </x:c>
      <x:c r="C34" s="35" t="str">
        <x:v>TRAFICOM</x:v>
      </x:c>
      <x:c r="D34" s="54" t="n">
        <x:v>14</x:v>
      </x:c>
      <x:c r="E34" s="35" t="str">
        <x:v>4.2.1</x:v>
      </x:c>
      <x:c r="F34" s="35" t="str">
        <x:v>TRAFICOM/68863/03.04.01.00/2021</x:v>
      </x:c>
      <x:c r="G34" s="35" t="str">
        <x:v>Static Calculation</x:v>
      </x:c>
      <x:c r="H34" s="35" t="str">
        <x:v>Table-lookup plus constraint</x:v>
      </x:c>
      <x:c r="I34" s="54" t="n">
        <x:v>3</x:v>
      </x:c>
      <x:c r="J34" s="38" t="str">
        <x:v>designIceLoadHeight | iceClass | levelIceThickness</x:v>
      </x:c>
      <x:c r="K34" s="35" t="str">
        <x:v>table lookup plus constraint</x:v>
      </x:c>
      <x:c r="L34" s="55" t="n">
        <x:v>3</x:v>
      </x:c>
      <x:c r="M34" s="54" t="n">
        <x:v>5</x:v>
      </x:c>
      <x:c r="N34" s="38" t="str">
        <x:v>designIceLoadHeight | hasIceClassDesignParameterSet | iceClass | iceClassDesignParameterSet | levelIceThickness</x:v>
      </x:c>
      <x:c r="O34" s="38"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row>
    <x:row r="35">
      <x:c r="A35" s="54" t="n">
        <x:v>31</x:v>
      </x:c>
      <x:c r="B35" s="38" t="str">
        <x:v>TRF-037</x:v>
      </x:c>
      <x:c r="C35" s="35" t="str">
        <x:v>TRAFICOM</x:v>
      </x:c>
      <x:c r="D35" s="54" t="n">
        <x:v>14</x:v>
      </x:c>
      <x:c r="E35" s="35" t="str">
        <x:v>4.2.2</x:v>
      </x:c>
      <x:c r="F35" s="35" t="str">
        <x:v>TRAFICOM/68863/03.04.01.00/2021</x:v>
      </x:c>
      <x:c r="G35" s="35" t="str">
        <x:v>Static Calculation</x:v>
      </x:c>
      <x:c r="H35" s="35" t="str">
        <x:v>Formula-derived constraint</x:v>
      </x:c>
      <x:c r="I35" s="54" t="n">
        <x:v>1</x:v>
      </x:c>
      <x:c r="J35" s="38" t="str">
        <x:v>maximumContinuousRatingPower</x:v>
      </x:c>
      <x:c r="K35" s="35" t="str">
        <x:v>numeric/formula boundary</x:v>
      </x:c>
      <x:c r="L35" s="55" t="n">
        <x:v>3</x:v>
      </x:c>
      <x:c r="M35" s="54" t="n">
        <x:v>13</x:v>
      </x:c>
      <x:c r="N35" s="38" t="str">
        <x:v>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x:v>
      </x:c>
      <x:c r="O35" s="38" t="str">
        <x:v>The design ice pressure is determined by the formula p = c_d*c_p*c_a*p_0 [MPa] (4.1), where c_d is a factor which takes account of the influence of the size and engine output of the ship. The maximum value is c_d = 1. It is calculated using c_d = (a*k + b)/1000 (4.2).</x:v>
      </x:c>
    </x:row>
    <x:row r="36">
      <x:c r="A36" s="54" t="n">
        <x:v>32</x:v>
      </x:c>
      <x:c r="B36" s="38" t="str">
        <x:v>TRF-041</x:v>
      </x:c>
      <x:c r="C36" s="35" t="str">
        <x:v>TRAFICOM</x:v>
      </x:c>
      <x:c r="D36" s="54" t="n">
        <x:v>17</x:v>
      </x:c>
      <x:c r="E36" s="35" t="str">
        <x:v>4.3.2</x:v>
      </x:c>
      <x:c r="F36" s="35" t="str">
        <x:v>TRAFICOM/68863/03.04.01.00/2021</x:v>
      </x:c>
      <x:c r="G36" s="35" t="str">
        <x:v>Static Calculation</x:v>
      </x:c>
      <x:c r="H36" s="35" t="str">
        <x:v>Formula-derived constraint</x:v>
      </x:c>
      <x:c r="I36" s="54" t="n">
        <x:v>2</x:v>
      </x:c>
      <x:c r="J36" s="38" t="str">
        <x:v>thickness | yieldStrength</x:v>
      </x:c>
      <x:c r="K36" s="35" t="str">
        <x:v>numeric/formula boundary</x:v>
      </x:c>
      <x:c r="L36" s="55" t="n">
        <x:v>3</x:v>
      </x:c>
      <x:c r="M36" s="54" t="n">
        <x:v>12</x:v>
      </x:c>
      <x:c r="N36" s="38" t="str">
        <x:v>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x:v>
      </x:c>
      <x:c r="O36" s="38" t="str">
        <x:v>For transverse framing, the thickness of the shell plating shall be determined by t = 667*s*sqrt(f_1*p_pl/sigma_y) + t_c [mm] (4.5). For longitudinal framing, the thickness shall be determined by t = 667*s*sqrt(p/(f_2*sigma_y)) + t_c [mm] (4.6).</x:v>
      </x:c>
    </x:row>
    <x:row r="37">
      <x:c r="A37" s="54" t="n">
        <x:v>33</x:v>
      </x:c>
      <x:c r="B37" s="38" t="str">
        <x:v>TRF-042</x:v>
      </x:c>
      <x:c r="C37" s="35" t="str">
        <x:v>TRAFICOM</x:v>
      </x:c>
      <x:c r="D37" s="54" t="n">
        <x:v>17</x:v>
      </x:c>
      <x:c r="E37" s="35" t="str">
        <x:v>4.3.2</x:v>
      </x:c>
      <x:c r="F37" s="35" t="str">
        <x:v>TRAFICOM/68863/03.04.01.00/2021</x:v>
      </x:c>
      <x:c r="G37" s="35" t="str">
        <x:v>Static Calculation</x:v>
      </x:c>
      <x:c r="H37" s="35" t="str">
        <x:v>Formula-derived constraint</x:v>
      </x:c>
      <x:c r="I37" s="54" t="n">
        <x:v>1</x:v>
      </x:c>
      <x:c r="J37" s="38" t="str">
        <x:v>yieldStrength</x:v>
      </x:c>
      <x:c r="K37" s="35" t="str">
        <x:v>numeric/formula boundary</x:v>
      </x:c>
      <x:c r="L37" s="55" t="n">
        <x:v>3</x:v>
      </x:c>
      <x:c r="M37" s="54" t="n">
        <x:v>10</x:v>
      </x:c>
      <x:c r="N37" s="38" t="str">
        <x:v>corrosionAbrasionAddition | designIceLoadHeight | hullStructuralSteelGrade | longitudinalPlatingFactorF2 | materialApprovalStatus | plating | requiredShellPlatingThickness | spacing | specialSurfaceCoatingMaintained | yieldStrength</x:v>
      </x:c>
      <x:c r="O37" s="38"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row>
    <x:row r="38">
      <x:c r="A38" s="54" t="n">
        <x:v>34</x:v>
      </x:c>
      <x:c r="B38" s="38" t="str">
        <x:v>TRF-043</x:v>
      </x:c>
      <x:c r="C38" s="35" t="str">
        <x:v>TRAFICOM</x:v>
      </x:c>
      <x:c r="D38" s="54" t="n">
        <x:v>18</x:v>
      </x:c>
      <x:c r="E38" s="35" t="str">
        <x:v>4.4.1</x:v>
      </x:c>
      <x:c r="F38" s="35" t="str">
        <x:v>TRAFICOM/68863/03.04.01.00/2021</x:v>
      </x:c>
      <x:c r="G38" s="35" t="str">
        <x:v>Static</x:v>
      </x:c>
      <x:c r="H38" s="35" t="str">
        <x:v>Table-lookup plus constraint</x:v>
      </x:c>
      <x:c r="I38" s="54" t="n">
        <x:v>5</x:v>
      </x:c>
      <x:c r="J38" s="38" t="str">
        <x:v>extensionBeyondAdjacentDeckOrTankBoundary | framingIceStrengtheningUpperExtent | iceStrengtheningTerminationAtAdjacentBoundaryPermitted | upperBowIceBeltRequired | upperBowIceBeltTop</x:v>
      </x:c>
      <x:c r="K38" s="35" t="str">
        <x:v>table lookup plus constraint</x:v>
      </x:c>
      <x:c r="L38" s="55" t="n">
        <x:v>3</x:v>
      </x:c>
      <x:c r="M38" s="54" t="n">
        <x:v>10</x:v>
      </x:c>
      <x:c r="N38" s="38" t="str">
        <x:v>extensionBeyondAdjacentDeckOrTankBoundary | frame | framingIceStrengtheningAboveUpperIceWaterline | framingIceStrengtheningBelowLowerIceWaterline | hullRegion | iceClass | iceStrengtheningTerminationAtAdjacentBoundaryPermitted | reachesTankTopOrBelowFloorTop | reachesUpperBowIceBeltTop | upperBowIceBeltRequired</x:v>
      </x:c>
      <x:c r="O38" s="38"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x:v>
      </x:c>
    </x:row>
    <x:row r="39">
      <x:c r="A39" s="54" t="n">
        <x:v>35</x:v>
      </x:c>
      <x:c r="B39" s="38" t="str">
        <x:v>TRF-044</x:v>
      </x:c>
      <x:c r="C39" s="35" t="str">
        <x:v>TRAFICOM</x:v>
      </x:c>
      <x:c r="D39" s="54" t="str">
        <x:v>18-19</x:v>
      </x:c>
      <x:c r="E39" s="35" t="str">
        <x:v>4.4.2.1</x:v>
      </x:c>
      <x:c r="F39" s="35" t="str">
        <x:v>TRAFICOM/68863/03.04.01.00/2021</x:v>
      </x:c>
      <x:c r="G39" s="35" t="str">
        <x:v>Static Calculation</x:v>
      </x:c>
      <x:c r="H39" s="35" t="str">
        <x:v>Table-lookup plus constraint</x:v>
      </x:c>
      <x:c r="I39" s="54" t="n">
        <x:v>3</x:v>
      </x:c>
      <x:c r="J39" s="38" t="str">
        <x:v>sectionModulus | shearArea | yieldStrength</x:v>
      </x:c>
      <x:c r="K39" s="35" t="str">
        <x:v>table lookup plus constraint</x:v>
      </x:c>
      <x:c r="L39" s="55" t="n">
        <x:v>3</x:v>
      </x:c>
      <x:c r="M39" s="54" t="n">
        <x:v>14</x:v>
      </x:c>
      <x:c r="N39" s="38" t="str">
        <x:v>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x:v>
      </x:c>
      <x:c r="O39" s="38" t="str">
        <x:v>Compute m_t = 7*m_0/(7 - 5*h/l), Z_cm3 = p_MPa*s_m*h_m*l_m/(m_t*sigma_y_N_mm2)*10^6, and A_cm2 = sqrt(3)*1.2*p_MPa*h_m*s_m/(2*sigma_y_N_mm2)*10^4. Select m_0 from Table 4-7 for the frame boundary condition.</x:v>
      </x:c>
    </x:row>
    <x:row r="40">
      <x:c r="A40" s="54" t="n">
        <x:v>36</x:v>
      </x:c>
      <x:c r="B40" s="38" t="str">
        <x:v>TRF-045</x:v>
      </x:c>
      <x:c r="C40" s="35" t="str">
        <x:v>TRAFICOM</x:v>
      </x:c>
      <x:c r="D40" s="54" t="n">
        <x:v>19</x:v>
      </x:c>
      <x:c r="E40" s="35" t="str">
        <x:v>4.4.2.1</x:v>
      </x:c>
      <x:c r="F40" s="35" t="str">
        <x:v>TRAFICOM/68863/03.04.01.00/2021</x:v>
      </x:c>
      <x:c r="G40" s="35" t="str">
        <x:v>Static</x:v>
      </x:c>
      <x:c r="H40" s="35" t="str">
        <x:v>Conditional/applicability constraint</x:v>
      </x:c>
      <x:c r="I40" s="54" t="n">
        <x:v>1</x:v>
      </x:c>
      <x:c r="J40" s="38" t="str">
        <x:v>span</x:v>
      </x:c>
      <x:c r="K40" s="35" t="str">
        <x:v>applicable, non-applicable, applicable failure</x:v>
      </x:c>
      <x:c r="L40" s="55" t="n">
        <x:v>3</x:v>
      </x:c>
      <x:c r="M40" s="54" t="n">
        <x:v>3</x:v>
      </x:c>
      <x:c r="N40" s="38" t="str">
        <x:v>frameSpanWithinIceStrengtheningZone | ordinaryFrameScantlingsUsed | span</x:v>
      </x:c>
      <x:c r="O40" s="38" t="str">
        <x:v>Where less than 15% of the span, l, of the frame is situated within the ice-strengthening zone for frames as defined in 4.4.1, ordinary frame scantlings may be used.</x:v>
      </x:c>
    </x:row>
    <x:row r="41">
      <x:c r="A41" s="54" t="n">
        <x:v>37</x:v>
      </x:c>
      <x:c r="B41" s="38" t="str">
        <x:v>TRF-046</x:v>
      </x:c>
      <x:c r="C41" s="35" t="str">
        <x:v>TRAFICOM</x:v>
      </x:c>
      <x:c r="D41" s="54" t="n">
        <x:v>19</x:v>
      </x:c>
      <x:c r="E41" s="35" t="str">
        <x:v>4.4.2.2</x:v>
      </x:c>
      <x:c r="F41" s="35" t="str">
        <x:v>TRAFICOM/68863/03.04.01.00/2021</x:v>
      </x:c>
      <x:c r="G41" s="35" t="str">
        <x:v>Static</x:v>
      </x:c>
      <x:c r="H41" s="35" t="str">
        <x:v>Conditional/applicability constraint</x:v>
      </x:c>
      <x:c r="I41" s="54" t="n">
        <x:v>7</x:v>
      </x:c>
      <x:c r="J41" s="38" t="str">
        <x:v>attachmentType | connectionMemberScantling | frameStrengthenedPart | frameUpperEnd | iceBeltUpperLimit | supportingStructure | transverseFrame</x:v>
      </x:c>
      <x:c r="K41" s="35" t="str">
        <x:v>applicable, non-applicable, applicable failure</x:v>
      </x:c>
      <x:c r="L41" s="55" t="n">
        <x:v>3</x:v>
      </x:c>
      <x:c r="M41" s="54" t="n">
        <x:v>18</x:v>
      </x:c>
      <x:c r="N41" s="38" t="str">
        <x:v>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x:v>
      </x:c>
      <x:c r="O41" s="38"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row>
    <x:row r="42">
      <x:c r="A42" s="54" t="n">
        <x:v>38</x:v>
      </x:c>
      <x:c r="B42" s="38" t="str">
        <x:v>TRF-047</x:v>
      </x:c>
      <x:c r="C42" s="35" t="str">
        <x:v>TRAFICOM</x:v>
      </x:c>
      <x:c r="D42" s="54" t="n">
        <x:v>20</x:v>
      </x:c>
      <x:c r="E42" s="35" t="str">
        <x:v>4.4.2.3</x:v>
      </x:c>
      <x:c r="F42" s="35" t="str">
        <x:v>TRAFICOM/68863/03.04.01.00/2021</x:v>
      </x:c>
      <x:c r="G42" s="35" t="str">
        <x:v>Static</x:v>
      </x:c>
      <x:c r="H42" s="35" t="str">
        <x:v>Conditional/applicability constraint</x:v>
      </x:c>
      <x:c r="I42" s="54" t="n">
        <x:v>7</x:v>
      </x:c>
      <x:c r="J42" s="38" t="str">
        <x:v>attachmentType | connectionMemberScantling | frameLowerEnd | frameStrengthenedPart | iceBeltLowerLimit | supportingStructure | transverseFrame</x:v>
      </x:c>
      <x:c r="K42" s="35" t="str">
        <x:v>applicable, non-applicable, applicable failure</x:v>
      </x:c>
      <x:c r="L42" s="55" t="n">
        <x:v>3</x:v>
      </x:c>
      <x:c r="M42" s="54" t="n">
        <x:v>20</x:v>
      </x:c>
      <x:c r="N42" s="38" t="str">
        <x:v>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x:v>
      </x:c>
      <x:c r="O42" s="38"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row>
    <x:row r="43">
      <x:c r="A43" s="54" t="n">
        <x:v>39</x:v>
      </x:c>
      <x:c r="B43" s="38" t="str">
        <x:v>TRF-048</x:v>
      </x:c>
      <x:c r="C43" s="35" t="str">
        <x:v>TRAFICOM</x:v>
      </x:c>
      <x:c r="D43" s="54" t="n">
        <x:v>20</x:v>
      </x:c>
      <x:c r="E43" s="35" t="str">
        <x:v>4.4.3</x:v>
      </x:c>
      <x:c r="F43" s="35" t="str">
        <x:v>TRAFICOM/68863/03.04.01.00/2021</x:v>
      </x:c>
      <x:c r="G43" s="35" t="str">
        <x:v>Static Calculation</x:v>
      </x:c>
      <x:c r="H43" s="35" t="str">
        <x:v>Formula-derived constraint</x:v>
      </x:c>
      <x:c r="I43" s="54" t="n">
        <x:v>4</x:v>
      </x:c>
      <x:c r="J43" s="38" t="str">
        <x:v>actualFrameShearArea | sectionModulus | shearArea | yieldStrength</x:v>
      </x:c>
      <x:c r="K43" s="35" t="str">
        <x:v>numeric/formula boundary</x:v>
      </x:c>
      <x:c r="L43" s="55" t="n">
        <x:v>3</x:v>
      </x:c>
      <x:c r="M43" s="54" t="n">
        <x:v>17</x:v>
      </x:c>
      <x:c r="N43" s="38" t="str">
        <x:v>actualFrameShearArea | bracketArea | connectionBracket | designIceLoadHeight | frameBoundaryConditionEvidence | frameMomentFactorM | grossFrameShearArea | hasFrameBoundaryConditionEvidence | icePressure | longitudinalFrame | longitudinalFrameLoadDistributionFactorF4 | longitudinalFrameShearFactorF5 | sectionModulus | significantlyDifferentBoundaryConditions | spacing | span | yieldStrength</x:v>
      </x:c>
      <x:c r="O43" s="38" t="str">
        <x:v>Compute f_4 = 1 - 0.2*h/s, Z_cm3 = f_4*p_MPa*h_m*l_m^2/(4*m*sigma_y_N_mm2)*10^6, and A_cm2 = sqrt(3)*f_4*2.16*p_MPa*h_m*l_m/(2*sigma_y_N_mm2)*10^4. Use m = 13.3 for a continuous beam with brackets unless the actual end field requires a smaller factor. Exclude bracket area from actual_frame_shear_area.</x:v>
      </x:c>
    </x:row>
    <x:row r="44">
      <x:c r="A44" s="54" t="n">
        <x:v>40</x:v>
      </x:c>
      <x:c r="B44" s="38" t="str">
        <x:v>TRF-049</x:v>
      </x:c>
      <x:c r="C44" s="35" t="str">
        <x:v>TRAFICOM</x:v>
      </x:c>
      <x:c r="D44" s="54" t="n">
        <x:v>21</x:v>
      </x:c>
      <x:c r="E44" s="35" t="str">
        <x:v>4.4.4.1</x:v>
      </x:c>
      <x:c r="F44" s="35" t="str">
        <x:v>TRAFICOM/68863/03.04.01.00/2021</x:v>
      </x:c>
      <x:c r="G44" s="35" t="str">
        <x:v>Static Calculation</x:v>
      </x:c>
      <x:c r="H44" s="35" t="str">
        <x:v>Formula-derived constraint</x:v>
      </x:c>
      <x:c r="I44" s="54" t="n">
        <x:v>6</x:v>
      </x:c>
      <x:c r="J44" s="38" t="str">
        <x:v>bucklingStiffening | connectionBracket | frame | frameAttachment | frameWebPlateThickness | supportingStructure</x:v>
      </x:c>
      <x:c r="K44" s="35" t="str">
        <x:v>numeric/formula boundary</x:v>
      </x:c>
      <x:c r="L44" s="55" t="n">
        <x:v>3</x:v>
      </x:c>
      <x:c r="M44" s="54" t="n">
        <x:v>22</x:v>
      </x:c>
      <x:c r="N44" s="38"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O44" s="38"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row>
    <x:row r="45">
      <x:c r="A45" s="54" t="n">
        <x:v>41</x:v>
      </x:c>
      <x:c r="B45" s="38" t="str">
        <x:v>TRF-050</x:v>
      </x:c>
      <x:c r="C45" s="35" t="str">
        <x:v>TRAFICOM</x:v>
      </x:c>
      <x:c r="D45" s="54" t="n">
        <x:v>21</x:v>
      </x:c>
      <x:c r="E45" s="35" t="str">
        <x:v>4.4.4.2</x:v>
      </x:c>
      <x:c r="F45" s="35" t="str">
        <x:v>TRAFICOM/68863/03.04.01.00/2021</x:v>
      </x:c>
      <x:c r="G45" s="35" t="str">
        <x:v>Static</x:v>
      </x:c>
      <x:c r="H45" s="35" t="str">
        <x:v>Conditional/applicability constraint</x:v>
      </x:c>
      <x:c r="I45" s="54" t="n">
        <x:v>4</x:v>
      </x:c>
      <x:c r="J45" s="38" t="str">
        <x:v>frameShellAttachment | scallopingPresent | shellPlateButtCrossing | weldType</x:v>
      </x:c>
      <x:c r="K45" s="35" t="str">
        <x:v>applicable, non-applicable, applicable failure</x:v>
      </x:c>
      <x:c r="L45" s="55" t="n">
        <x:v>3</x:v>
      </x:c>
      <x:c r="M45" s="54" t="n">
        <x:v>5</x:v>
      </x:c>
      <x:c r="N45" s="38" t="str">
        <x:v>doubleContinuousWeld | frameShellAttachment | frameShellWeldType | scallopingPresent | shellPlateButtCrossing</x:v>
      </x:c>
      <x:c r="O45" s="38" t="str">
        <x:v>The frames shall be attached to the shell by a double continuous weld. No scalloping is allowed (except when crossing shell plate butts).</x:v>
      </x:c>
    </x:row>
    <x:row r="46">
      <x:c r="A46" s="54" t="n">
        <x:v>42</x:v>
      </x:c>
      <x:c r="B46" s="38" t="str">
        <x:v>TRF-051</x:v>
      </x:c>
      <x:c r="C46" s="35" t="str">
        <x:v>TRAFICOM</x:v>
      </x:c>
      <x:c r="D46" s="54" t="n">
        <x:v>21</x:v>
      </x:c>
      <x:c r="E46" s="35" t="str">
        <x:v>4.4.4.2</x:v>
      </x:c>
      <x:c r="F46" s="35" t="str">
        <x:v>TRAFICOM/68863/03.04.01.00/2021</x:v>
      </x:c>
      <x:c r="G46" s="35" t="str">
        <x:v>Static Calculation</x:v>
      </x:c>
      <x:c r="H46" s="35" t="str">
        <x:v>Formula-derived constraint</x:v>
      </x:c>
      <x:c r="I46" s="54" t="n">
        <x:v>2</x:v>
      </x:c>
      <x:c r="J46" s="38" t="str">
        <x:v>thickness | yieldStrength</x:v>
      </x:c>
      <x:c r="K46" s="35" t="str">
        <x:v>numeric/formula boundary</x:v>
      </x:c>
      <x:c r="L46" s="55" t="n">
        <x:v>3</x:v>
      </x:c>
      <x:c r="M46" s="54" t="n">
        <x:v>15</x:v>
      </x:c>
      <x:c r="N46" s="38" t="str">
        <x:v>adjacentFrameHeight | bulkhead | corrosionAbrasionAddition | deckStructure | flatBarSection | frameProfileType | frameWebThickness | hullStructuralSteelGrade | inLieuOfFrame | netShellPlatingThickness | profileSection | tankBottom | tankBoundaryPlating | tankTop | yieldStrength</x:v>
      </x:c>
      <x:c r="O46" s="38"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row>
    <x:row r="47">
      <x:c r="A47" s="54" t="n">
        <x:v>43</x:v>
      </x:c>
      <x:c r="B47" s="38" t="str">
        <x:v>TRF-052</x:v>
      </x:c>
      <x:c r="C47" s="35" t="str">
        <x:v>TRAFICOM</x:v>
      </x:c>
      <x:c r="D47" s="54" t="n">
        <x:v>21</x:v>
      </x:c>
      <x:c r="E47" s="35" t="str">
        <x:v>4.4.4.2</x:v>
      </x:c>
      <x:c r="F47" s="35" t="str">
        <x:v>TRAFICOM/68863/03.04.01.00/2021</x:v>
      </x:c>
      <x:c r="G47" s="35" t="str">
        <x:v>Static</x:v>
      </x:c>
      <x:c r="H47" s="35" t="str">
        <x:v>Formula-derived constraint</x:v>
      </x:c>
      <x:c r="I47" s="54" t="n">
        <x:v>7</x:v>
      </x:c>
      <x:c r="J47" s="38" t="str">
        <x:v>antitrippingSupportScope | antitrippingSupportSpacing | equivalentSupportStatusByDirectCalculation | frameAsymmetrical | frameSpan | frameWebAngleToShell | iceClass</x:v>
      </x:c>
      <x:c r="K47" s="35" t="str">
        <x:v>numeric/formula boundary</x:v>
      </x:c>
      <x:c r="L47" s="55" t="n">
        <x:v>3</x:v>
      </x:c>
      <x:c r="M47" s="54" t="n">
        <x:v>9</x:v>
      </x:c>
      <x:c r="N47" s="38" t="str">
        <x:v>antitrippingSupportSpacing | bowRegion | equivalentSupportStatusByDirectCalculation | frameAsymmetrical | frameSpan | frameWebAngleToShell | hasAntitrippingSupportRegion | iceClass | midbodyRegion</x:v>
      </x:c>
      <x:c r="O47" s="38"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row>
    <x:row r="48">
      <x:c r="A48" s="54" t="n">
        <x:v>44</x:v>
      </x:c>
      <x:c r="B48" s="38" t="str">
        <x:v>TRF-053</x:v>
      </x:c>
      <x:c r="C48" s="35" t="str">
        <x:v>TRAFICOM</x:v>
      </x:c>
      <x:c r="D48" s="54" t="str">
        <x:v>21-22</x:v>
      </x:c>
      <x:c r="E48" s="35" t="str">
        <x:v>4.5.1</x:v>
      </x:c>
      <x:c r="F48" s="35" t="str">
        <x:v>TRAFICOM/68863/03.04.01.00/2021</x:v>
      </x:c>
      <x:c r="G48" s="35" t="str">
        <x:v>Static Calculation</x:v>
      </x:c>
      <x:c r="H48" s="35" t="str">
        <x:v>Formula-derived constraint</x:v>
      </x:c>
      <x:c r="I48" s="54" t="n">
        <x:v>4</x:v>
      </x:c>
      <x:c r="J48" s="38" t="str">
        <x:v>designLineLoad | sectionModulus | shearArea | yieldStrength</x:v>
      </x:c>
      <x:c r="K48" s="35" t="str">
        <x:v>numeric/formula boundary</x:v>
      </x:c>
      <x:c r="L48" s="55" t="n">
        <x:v>3</x:v>
      </x:c>
      <x:c r="M48" s="54" t="n">
        <x:v>13</x:v>
      </x:c>
      <x:c r="N48" s="38" t="str">
        <x:v>designIceLoadHeight | designLineLoad | frameMomentFactorM | icePressure | iceStringer | iceStringerDistributionFactorF6 | iceStringerSafetyFactorF7 | iceStringerShearFactorF8 | locatedWithinIceBelt | requiredShearArea | sectionModulus | span | yieldStrength</x:v>
      </x:c>
      <x:c r="O48" s="38" t="str">
        <x:v>Set design_line_load_MN_m = max(p_MPa*h_m, 0.15). Compute Z_cm3 = 0.9*1.8*design_line_load_MN_m*l_m^2/(m*sigma_y_N_mm2)*10^6 and A_cm2 = sqrt(3)*0.9*1.8*1.2*design_line_load_MN_m*l_m/(2*sigma_y_N_mm2)*10^4, with m selected under 4.4.3.</x:v>
      </x:c>
    </x:row>
    <x:row r="49">
      <x:c r="A49" s="54" t="n">
        <x:v>45</x:v>
      </x:c>
      <x:c r="B49" s="38" t="str">
        <x:v>TRF-054</x:v>
      </x:c>
      <x:c r="C49" s="35" t="str">
        <x:v>TRAFICOM</x:v>
      </x:c>
      <x:c r="D49" s="54" t="str">
        <x:v>22-23</x:v>
      </x:c>
      <x:c r="E49" s="35" t="str">
        <x:v>4.5.2</x:v>
      </x:c>
      <x:c r="F49" s="35" t="str">
        <x:v>TRAFICOM/68863/03.04.01.00/2021</x:v>
      </x:c>
      <x:c r="G49" s="35" t="str">
        <x:v>Static Calculation</x:v>
      </x:c>
      <x:c r="H49" s="35" t="str">
        <x:v>Formula-derived constraint</x:v>
      </x:c>
      <x:c r="I49" s="54" t="n">
        <x:v>5</x:v>
      </x:c>
      <x:c r="J49" s="38" t="str">
        <x:v>designLineLoad | outsideIceBeltFactor | sectionModulus | shearArea | yieldStrength</x:v>
      </x:c>
      <x:c r="K49" s="35" t="str">
        <x:v>numeric/formula boundary</x:v>
      </x:c>
      <x:c r="L49" s="55" t="n">
        <x:v>3</x:v>
      </x:c>
      <x:c r="M49" s="54" t="n">
        <x:v>18</x:v>
      </x:c>
      <x:c r="N49" s="38" t="str">
        <x:v>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x:v>
      </x:c>
      <x:c r="O49" s="38" t="str">
        <x:v>Set design_line_load_MN_m = max(p_MPa*h_m, 0.15) and outside_ice_belt_factor = 1 - h_s_m/l_s_m. Compute Z_cm3 = 0.80*1.8*design_line_load_MN_m*l_m^2/(m*sigma_y_N_mm2)*outside_ice_belt_factor*10^6 and A_cm2 = sqrt(3)*0.80*1.8*1.2*design_line_load_MN_m*l_m/(2*sigma_y_N_mm2)*outside_ice_belt_factor*10^4.</x:v>
      </x:c>
    </x:row>
    <x:row r="50">
      <x:c r="A50" s="54" t="n">
        <x:v>46</x:v>
      </x:c>
      <x:c r="B50" s="38" t="str">
        <x:v>TRF-055</x:v>
      </x:c>
      <x:c r="C50" s="35" t="str">
        <x:v>TRAFICOM</x:v>
      </x:c>
      <x:c r="D50" s="54" t="n">
        <x:v>23</x:v>
      </x:c>
      <x:c r="E50" s="35" t="str">
        <x:v>4.5.3</x:v>
      </x:c>
      <x:c r="F50" s="35" t="str">
        <x:v>TRAFICOM/68863/03.04.01.00/2021</x:v>
      </x:c>
      <x:c r="G50" s="35" t="str">
        <x:v>Static Calculation</x:v>
      </x:c>
      <x:c r="H50" s="35" t="str">
        <x:v>Formula-derived constraint</x:v>
      </x:c>
      <x:c r="I50" s="54" t="n">
        <x:v>2</x:v>
      </x:c>
      <x:c r="J50" s="38" t="str">
        <x:v>sectionModulus | shearArea</x:v>
      </x:c>
      <x:c r="K50" s="35" t="str">
        <x:v>numeric/formula boundary</x:v>
      </x:c>
      <x:c r="L50" s="55" t="n">
        <x:v>3</x:v>
      </x:c>
      <x:c r="M50" s="54" t="n">
        <x:v>15</x:v>
      </x:c>
      <x:c r="N50" s="38"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O50" s="38"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row>
    <x:row r="51">
      <x:c r="A51" s="54" t="n">
        <x:v>47</x:v>
      </x:c>
      <x:c r="B51" s="38" t="str">
        <x:v>TRF-056</x:v>
      </x:c>
      <x:c r="C51" s="35" t="str">
        <x:v>TRAFICOM</x:v>
      </x:c>
      <x:c r="D51" s="54" t="n">
        <x:v>23</x:v>
      </x:c>
      <x:c r="E51" s="35" t="str">
        <x:v>4.5.3</x:v>
      </x:c>
      <x:c r="F51" s="35" t="str">
        <x:v>TRAFICOM/68863/03.04.01.00/2021</x:v>
      </x:c>
      <x:c r="G51" s="35" t="str">
        <x:v>Static Calculation</x:v>
      </x:c>
      <x:c r="H51" s="35" t="str">
        <x:v>Formula-derived constraint</x:v>
      </x:c>
      <x:c r="I51" s="54" t="n">
        <x:v>5</x:v>
      </x:c>
      <x:c r="J51" s="38" t="str">
        <x:v>hatchCoverDesignEvidence | hatchFittingDesignEvidence | hatchOpeningLength | shipBreadth | shipSideDeflection</x:v>
      </x:c>
      <x:c r="K51" s="35" t="str">
        <x:v>numeric/formula boundary</x:v>
      </x:c>
      <x:c r="L51" s="55" t="n">
        <x:v>3</x:v>
      </x:c>
      <x:c r="M51" s="54" t="n">
        <x:v>9</x:v>
      </x:c>
      <x:c r="N51" s="38" t="str">
        <x:v>hasHatchCoverDesignEvidence | hasHatchFittingDesignEvidence | hasWeatherdeckHatch | hatchCoverDesignEvidence | hatchFittingDesignEvidence | hatchOpeningLength | shipBreadth | shipSideDeflection | weatherdeckHatch</x:v>
      </x:c>
      <x:c r="O51" s="38" t="str">
        <x:v>Regard shall be paid to the deflection of the ship's sides due to ice pressure with respect to very long (more than B/2) hatch openings, when designing weatherdeck hatch covers and their fittings.</x:v>
      </x:c>
    </x:row>
    <x:row r="52">
      <x:c r="A52" s="54" t="n">
        <x:v>48</x:v>
      </x:c>
      <x:c r="B52" s="38" t="str">
        <x:v>TRF-057</x:v>
      </x:c>
      <x:c r="C52" s="35" t="str">
        <x:v>TRAFICOM</x:v>
      </x:c>
      <x:c r="D52" s="54" t="n">
        <x:v>23</x:v>
      </x:c>
      <x:c r="E52" s="35" t="str">
        <x:v>4.6.1</x:v>
      </x:c>
      <x:c r="F52" s="35" t="str">
        <x:v>TRAFICOM/68863/03.04.01.00/2021</x:v>
      </x:c>
      <x:c r="G52" s="35" t="str">
        <x:v>Static Calculation</x:v>
      </x:c>
      <x:c r="H52" s="35" t="str">
        <x:v>Formula-derived constraint</x:v>
      </x:c>
      <x:c r="I52" s="54" t="n">
        <x:v>7</x:v>
      </x:c>
      <x:c r="J52" s="38" t="str">
        <x:v>iceLoadHeight | icePressure | loadLengthParameter | minimumLineLoad | webFrameIceLoad | webFrameSafetyFactor | webFrameSpacing</x:v>
      </x:c>
      <x:c r="K52" s="35" t="str">
        <x:v>numeric/formula boundary</x:v>
      </x:c>
      <x:c r="L52" s="55" t="n">
        <x:v>3</x:v>
      </x:c>
      <x:c r="M52" s="54" t="n">
        <x:v>10</x:v>
      </x:c>
      <x:c r="N52" s="38" t="str">
        <x:v>iceLoadHeight | iceLoadSourceType | icePressure | iceStringerLoadSource | loadLengthParameter | longitudinalFramingLoadSource | minimumLineLoad | webFrameIceLoad | webFrameSafetyFactor | webFrameSpacing</x:v>
      </x:c>
      <x:c r="O52" s="38" t="str">
        <x:v>The ice load transferred to a web frame from an ice stringer or from longitudinal framing shall be F = f_12*p*h*S [MN] (4.15). When calculating c_a, use l_a = 2*S. If p*h is less than 0.15 MN/m, use 0.15 MN/m. Use f_12 = 1.8.</x:v>
      </x:c>
    </x:row>
    <x:row r="53">
      <x:c r="A53" s="54" t="n">
        <x:v>49</x:v>
      </x:c>
      <x:c r="B53" s="38" t="str">
        <x:v>TRF-058</x:v>
      </x:c>
      <x:c r="C53" s="35" t="str">
        <x:v>TRAFICOM</x:v>
      </x:c>
      <x:c r="D53" s="54" t="n">
        <x:v>23</x:v>
      </x:c>
      <x:c r="E53" s="35" t="str">
        <x:v>4.6.1</x:v>
      </x:c>
      <x:c r="F53" s="35" t="str">
        <x:v>TRAFICOM/68863/03.04.01.00/2021</x:v>
      </x:c>
      <x:c r="G53" s="35" t="str">
        <x:v>Static Calculation</x:v>
      </x:c>
      <x:c r="H53" s="35" t="str">
        <x:v>Formula-derived constraint</x:v>
      </x:c>
      <x:c r="I53" s="54" t="n">
        <x:v>3</x:v>
      </x:c>
      <x:c r="J53" s="38" t="str">
        <x:v>iceLoadForce | stringerOutsideIceBeltHeight | stringerSpan</x:v>
      </x:c>
      <x:c r="K53" s="35" t="str">
        <x:v>numeric/formula boundary</x:v>
      </x:c>
      <x:c r="L53" s="55" t="n">
        <x:v>3</x:v>
      </x:c>
      <x:c r="M53" s="54" t="n">
        <x:v>5</x:v>
      </x:c>
      <x:c r="N53" s="38" t="str">
        <x:v>adjustedIceLoadForce | iceLoadForce | stringerOutsideIceBeltHeight | stringerSpan | supportedStringerOutsideIceBelt</x:v>
      </x:c>
      <x:c r="O53" s="38" t="str">
        <x:v>If the supported stringer is outside the ice belt, the force F shall be multiplied by (1- hs/ls), where hs and ls shall be as defined in section 4.5.2.</x:v>
      </x:c>
    </x:row>
    <x:row r="54">
      <x:c r="A54" s="56" t="n">
        <x:v>50</x:v>
      </x:c>
      <x:c r="B54" s="57" t="str">
        <x:v>TRF-059</x:v>
      </x:c>
      <x:c r="C54" s="36" t="str">
        <x:v>TRAFICOM</x:v>
      </x:c>
      <x:c r="D54" s="56" t="n">
        <x:v>23</x:v>
      </x:c>
      <x:c r="E54" s="36" t="str">
        <x:v>4.6.2</x:v>
      </x:c>
      <x:c r="F54" s="36" t="str">
        <x:v>TRAFICOM/68863/03.04.01.00/2021</x:v>
      </x:c>
      <x:c r="G54" s="36" t="str">
        <x:v>Static Calculation</x:v>
      </x:c>
      <x:c r="H54" s="36" t="str">
        <x:v>Formula-derived constraint</x:v>
      </x:c>
      <x:c r="I54" s="56" t="n">
        <x:v>3</x:v>
      </x:c>
      <x:c r="J54" s="57" t="str">
        <x:v>sectionModulus | shearArea | yieldStrength</x:v>
      </x:c>
      <x:c r="K54" s="36" t="str">
        <x:v>numeric/formula boundary</x:v>
      </x:c>
      <x:c r="L54" s="58" t="n">
        <x:v>3</x:v>
      </x:c>
      <x:c r="M54" s="56" t="n">
        <x:v>9</x:v>
      </x:c>
      <x:c r="N54" s="57" t="str">
        <x:v>freeFlangeArea | freeFlangeToWebAreaRatio | maximumCalculatedShearForce | requiredShearArea | sectionModulus | webFrameShearDistributionFactorF13 | webFrameShearFactorAlpha | webPlateArea | yieldStrength</x:v>
      </x:c>
      <x:c r="O54" s="57" t="str">
        <x:v>Compute A_cm2 = sqrt(3)*alpha*1.1*Q_MN/sigma_y_N_mm2*10^4, where Q_MN is the maximum calculated shear force under F and alpha is selected from Table 4-8.</x:v>
      </x:c>
    </x:row>
  </x:sheetData>
  <x:pageMargins left="0.7" right="0.7" top="0.75" bottom="0.75" header="0.3" footer="0.3"/>
  <x:tableParts count="1">
    <x:tablePart xmlns:r="http://schemas.openxmlformats.org/officeDocument/2006/relationships" r:id="Rf84ac9af75a44a0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 min="3" max="3" width="18" hidden="0" customWidth="1"/>
    <x:col min="4" max="4" width="18" hidden="0" customWidth="1"/>
    <x:col min="5" max="5" width="28" hidden="0" customWidth="1"/>
    <x:col min="6" max="6" width="48" hidden="0" customWidth="1"/>
    <x:col min="7" max="7" width="48" hidden="0" customWidth="1"/>
    <x:col min="8" max="8" width="48" hidden="0" customWidth="1"/>
    <x:col min="9" max="9" width="72" hidden="0" customWidth="1"/>
    <x:col min="10" max="10" width="58" hidden="0" customWidth="1"/>
    <x:col min="11" max="11" width="32" hidden="0" customWidth="1"/>
  </x:cols>
  <x:sheetData>
    <x:row r="1">
      <x:c r="A1" s="11" t="str">
        <x:v>NLTL Development Calibration - Batch 01</x:v>
      </x:c>
      <x:c r="B1" s="12"/>
      <x:c r="C1" s="12"/>
      <x:c r="D1" s="12"/>
      <x:c r="E1" s="12"/>
      <x:c r="F1" s="12"/>
      <x:c r="G1" s="12"/>
      <x:c r="H1" s="12"/>
      <x:c r="I1" s="12"/>
      <x:c r="J1" s="12"/>
      <x:c r="K1" s="12"/>
    </x:row>
    <x:row r="2">
      <x:c r="A2" s="13" t="str">
        <x:v>PREFLIGHT | DEV-CAL-BATCH-01-FIRST-50 | vocabulary is not frozen</x:v>
      </x:c>
      <x:c r="B2" s="13"/>
      <x:c r="C2" s="13"/>
      <x:c r="D2" s="13"/>
      <x:c r="E2" s="13"/>
      <x:c r="F2" s="13"/>
      <x:c r="G2" s="13"/>
      <x:c r="H2" s="13"/>
      <x:c r="I2" s="13"/>
      <x:c r="J2" s="13"/>
      <x:c r="K2" s="13"/>
    </x:row>
    <x:row r="3">
      <x:c r="A3" s="14"/>
      <x:c r="B3" s="14"/>
      <x:c r="C3" s="14"/>
      <x:c r="D3" s="14"/>
      <x:c r="E3" s="14"/>
      <x:c r="F3" s="14"/>
      <x:c r="G3" s="14"/>
      <x:c r="H3" s="14"/>
      <x:c r="I3" s="14"/>
      <x:c r="J3" s="14"/>
      <x:c r="K3" s="14"/>
    </x:row>
    <x:row r="4" ht="32" customHeight="1">
      <x:c r="A4" s="32" t="str">
        <x:v>SEQUENCE</x:v>
      </x:c>
      <x:c r="B4" s="51" t="str">
        <x:v>REQUIREMENT_ID</x:v>
      </x:c>
      <x:c r="C4" s="51" t="str">
        <x:v>PAGE</x:v>
      </x:c>
      <x:c r="D4" s="51" t="str">
        <x:v>CLAUSE</x:v>
      </x:c>
      <x:c r="E4" s="51" t="str">
        <x:v>DECISION</x:v>
      </x:c>
      <x:c r="F4" s="51" t="str">
        <x:v>EXISTING_TERMS_TO_LINK</x:v>
      </x:c>
      <x:c r="G4" s="51" t="str">
        <x:v>DRAFT_NEW_TERMS</x:v>
      </x:c>
      <x:c r="H4" s="51" t="str">
        <x:v>EXISTING_TERMS_NOT_CURRENTLY_INDEXED</x:v>
      </x:c>
      <x:c r="I4" s="51" t="str">
        <x:v>ENGINEERING_ISSUE</x:v>
      </x:c>
      <x:c r="J4" s="51" t="str">
        <x:v>PLANNED_FIXTURE_VARIANTS</x:v>
      </x:c>
      <x:c r="K4" s="33" t="str">
        <x:v>REVIEW_STATUS</x:v>
      </x:c>
    </x:row>
    <x:row r="5">
      <x:c r="A5" s="52" t="n">
        <x:v>1</x:v>
      </x:c>
      <x:c r="B5" s="37" t="str">
        <x:v>TRF-001</x:v>
      </x:c>
      <x:c r="C5" s="52" t="n">
        <x:v>5</x:v>
      </x:c>
      <x:c r="D5" s="34" t="str">
        <x:v>1.1</x:v>
      </x:c>
      <x:c r="E5" s="34" t="str">
        <x:v>NEW_TERMS</x:v>
      </x:c>
      <x:c r="F5" s="37" t="str">
        <x:v>constructionContractDate</x:v>
      </x:c>
      <x:c r="G5" s="37" t="str">
        <x:v>applicableIceClassRegulationEdition | iceClassRegulationEdition2021</x:v>
      </x:c>
      <x:c r="H5" s="37" t="str">
        <x:v>constructionContractDate</x:v>
      </x:c>
      <x:c r="I5" s="37" t="str">
        <x:v>R2 index omits the date and has no controlled regulation-edition model.</x:v>
      </x:c>
      <x:c r="J5" s="37" t="str">
        <x:v>cutoff-1 day non-applicable; cutoff date pass; wrong edition fail</x:v>
      </x:c>
      <x:c r="K5" s="34" t="str">
        <x:v>ENGINEERING_PREFLIGHT_COMPLETE</x:v>
      </x:c>
    </x:row>
    <x:row r="6">
      <x:c r="A6" s="54" t="n">
        <x:v>2</x:v>
      </x:c>
      <x:c r="B6" s="38" t="str">
        <x:v>TRF-002</x:v>
      </x:c>
      <x:c r="C6" s="54" t="n">
        <x:v>5</x:v>
      </x:c>
      <x:c r="D6" s="35" t="str">
        <x:v>1.2</x:v>
      </x:c>
      <x:c r="E6" s="35" t="str">
        <x:v>NEW_TERMS</x:v>
      </x:c>
      <x:c r="F6" s="38" t="str">
        <x:v>constructionContractDate</x:v>
      </x:c>
      <x:c r="G6" s="38" t="str">
        <x:v>applicableIceClassRegulationEdition | iceClassRegulationEdition2017</x:v>
      </x:c>
      <x:c r="H6" s="38" t="str">
        <x:v>constructionContractDate</x:v>
      </x:c>
      <x:c r="I6" s="38" t="str">
        <x:v>Date exists but edition/value does not.</x:v>
      </x:c>
      <x:c r="J6" s="38" t="str">
        <x:v>lower boundary pass; upper boundary non-applicable; wrong edition fail</x:v>
      </x:c>
      <x:c r="K6" s="35" t="str">
        <x:v>ENGINEERING_PREFLIGHT_COMPLETE</x:v>
      </x:c>
    </x:row>
    <x:row r="7">
      <x:c r="A7" s="54" t="n">
        <x:v>3</x:v>
      </x:c>
      <x:c r="B7" s="38" t="str">
        <x:v>TRF-003</x:v>
      </x:c>
      <x:c r="C7" s="54" t="n">
        <x:v>5</x:v>
      </x:c>
      <x:c r="D7" s="35" t="str">
        <x:v>1.3</x:v>
      </x:c>
      <x:c r="E7" s="35" t="str">
        <x:v>NEW_TERMS</x:v>
      </x:c>
      <x:c r="F7" s="38" t="str">
        <x:v>constructionContractDate</x:v>
      </x:c>
      <x:c r="G7" s="38" t="str">
        <x:v>applicableIceClassRegulationEdition | iceClassRegulationEdition2010</x:v>
      </x:c>
      <x:c r="H7" s="38" t="str">
        <x:v>constructionContractDate</x:v>
      </x:c>
      <x:c r="I7" s="38" t="str">
        <x:v>Date exists but edition/value does not.</x:v>
      </x:c>
      <x:c r="J7" s="38" t="str">
        <x:v>both date boundaries plus wrong edition</x:v>
      </x:c>
      <x:c r="K7" s="35" t="str">
        <x:v>ENGINEERING_PREFLIGHT_COMPLETE</x:v>
      </x:c>
    </x:row>
    <x:row r="8">
      <x:c r="A8" s="54" t="n">
        <x:v>4</x:v>
      </x:c>
      <x:c r="B8" s="38" t="str">
        <x:v>TRF-004</x:v>
      </x:c>
      <x:c r="C8" s="54" t="n">
        <x:v>5</x:v>
      </x:c>
      <x:c r="D8" s="35" t="str">
        <x:v>1.4</x:v>
      </x:c>
      <x:c r="E8" s="35" t="str">
        <x:v>NEW_TERMS</x:v>
      </x:c>
      <x:c r="F8" s="38" t="str">
        <x:v>constructionContractDate</x:v>
      </x:c>
      <x:c r="G8" s="38" t="str">
        <x:v>applicableIceClassRegulationEdition | iceClassRegulationEdition2008</x:v>
      </x:c>
      <x:c r="H8" s="38" t="str">
        <x:v>constructionContractDate</x:v>
      </x:c>
      <x:c r="I8" s="38" t="str">
        <x:v>Date exists but edition/value does not.</x:v>
      </x:c>
      <x:c r="J8" s="38" t="str">
        <x:v>both date boundaries plus wrong edition</x:v>
      </x:c>
      <x:c r="K8" s="35" t="str">
        <x:v>ENGINEERING_PREFLIGHT_COMPLETE</x:v>
      </x:c>
    </x:row>
    <x:row r="9">
      <x:c r="A9" s="54" t="n">
        <x:v>5</x:v>
      </x:c>
      <x:c r="B9" s="38" t="str">
        <x:v>TRF-005</x:v>
      </x:c>
      <x:c r="C9" s="54" t="n">
        <x:v>5</x:v>
      </x:c>
      <x:c r="D9" s="35" t="str">
        <x:v>1.5</x:v>
      </x:c>
      <x:c r="E9" s="35" t="str">
        <x:v>NEW_TERMS</x:v>
      </x:c>
      <x:c r="F9" s="38" t="str">
        <x:v>constructionContractDate | constructionStageDate</x:v>
      </x:c>
      <x:c r="G9" s="38" t="str">
        <x:v>applicableIceClassRegulationEdition | iceClassRegulationEdition2002</x:v>
      </x:c>
      <x:c r="H9" s="38" t="str">
        <x:v>constructionContractDate | constructionStageDate</x:v>
      </x:c>
      <x:c r="I9" s="38" t="str">
        <x:v>Construction-stage date is the benchmark representation of keel laid/similar stage; edition model is absent.</x:v>
      </x:c>
      <x:c r="J9" s="38" t="str">
        <x:v>stage-date boundary, contract-date boundary, wrong edition</x:v>
      </x:c>
      <x:c r="K9" s="35" t="str">
        <x:v>ENGINEERING_PREFLIGHT_COMPLETE</x:v>
      </x:c>
    </x:row>
    <x:row r="10">
      <x:c r="A10" s="54" t="n">
        <x:v>6</x:v>
      </x:c>
      <x:c r="B10" s="38" t="str">
        <x:v>TRF-006</x:v>
      </x:c>
      <x:c r="C10" s="54" t="n">
        <x:v>5</x:v>
      </x:c>
      <x:c r="D10" s="35" t="str">
        <x:v>1.6</x:v>
      </x:c>
      <x:c r="E10" s="35" t="str">
        <x:v>NEW_TERMS</x:v>
      </x:c>
      <x:c r="F10" s="38" t="str">
        <x:v>constructionStageDate</x:v>
      </x:c>
      <x:c r="G10" s="38" t="str">
        <x:v>applicableIceClassRegulationEdition | engineOutputRegulationEdition | iceClassRuleEdition1985 | iceClassRegulationEdition2008</x:v>
      </x:c>
      <x:c r="H10" s="38" t="str">
        <x:v>constructionStageDate</x:v>
      </x:c>
      <x:c r="I10" s="38" t="str">
        <x:v>Separate whole-ship rule edition from the optional owner-selected engine-output edition.</x:v>
      </x:c>
      <x:c r="J10" s="38" t="str">
        <x:v>1985 applicability pass/fail and optional 2008 engine-output branch</x:v>
      </x:c>
      <x:c r="K10" s="35" t="str">
        <x:v>ENGINEERING_PREFLIGHT_COMPLETE</x:v>
      </x:c>
    </x:row>
    <x:row r="11">
      <x:c r="A11" s="54" t="n">
        <x:v>7</x:v>
      </x:c>
      <x:c r="B11" s="38" t="str">
        <x:v>TRF-007</x:v>
      </x:c>
      <x:c r="C11" s="54" t="n">
        <x:v>5</x:v>
      </x:c>
      <x:c r="D11" s="35" t="str">
        <x:v>1.6</x:v>
      </x:c>
      <x:c r="E11" s="35" t="str">
        <x:v>NEW_TERMS</x:v>
      </x:c>
      <x:c r="F11" s="38" t="str">
        <x:v>iceClass | constructionStageDate</x:v>
      </x:c>
      <x:c r="G11" s="38" t="str">
        <x:v>deliveryDate | assessmentDate | engineOutputComplianceMethod | traficom2017Section3Point2Point2Method | traficom2017Section3Point2Point4Method</x:v>
      </x:c>
      <x:c r="H11" s="38" t="str">
        <x:v>constructionStageDate</x:v>
      </x:c>
      <x:c r="I11" s="38" t="str">
        <x:v>Same obligation is repeated in 1.7 as TRF-009; share vocabulary and fixtures but preserve IDs.</x:v>
      </x:c>
      <x:c r="J11" s="38" t="str">
        <x:v>before deadline, at deadline compliant, at deadline missing method</x:v>
      </x:c>
      <x:c r="K11" s="35" t="str">
        <x:v>ENGINEERING_PREFLIGHT_COMPLETE</x:v>
      </x:c>
    </x:row>
    <x:row r="12">
      <x:c r="A12" s="54" t="n">
        <x:v>8</x:v>
      </x:c>
      <x:c r="B12" s="38" t="str">
        <x:v>TRF-009</x:v>
      </x:c>
      <x:c r="C12" s="54" t="n">
        <x:v>6</x:v>
      </x:c>
      <x:c r="D12" s="35" t="str">
        <x:v>1.7</x:v>
      </x:c>
      <x:c r="E12" s="35" t="str">
        <x:v>SEMANTIC_DUPLICATE</x:v>
      </x:c>
      <x:c r="F12" s="38" t="str">
        <x:v>iceClass | constructionStageDate</x:v>
      </x:c>
      <x:c r="G12" s="38" t="str">
        <x:v>deliveryDate | assessmentDate | engineOutputComplianceMethod | traficom2017Section3Point2Point2Method | traficom2017Section3Point2Point4Method</x:v>
      </x:c>
      <x:c r="H12" s="38" t="str">
        <x:v>constructionStageDate</x:v>
      </x:c>
      <x:c r="I12" s="38" t="str">
        <x:v>Exact repeated obligation from clause 1.7; do not create incompatible duplicate terms.</x:v>
      </x:c>
      <x:c r="J12" s="38" t="str">
        <x:v>reuse TRF-007 fixture facts under separate requirement mapping</x:v>
      </x:c>
      <x:c r="K12" s="35" t="str">
        <x:v>ENGINEERING_PREFLIGHT_COMPLETE</x:v>
      </x:c>
    </x:row>
    <x:row r="13">
      <x:c r="A13" s="54" t="n">
        <x:v>9</x:v>
      </x:c>
      <x:c r="B13" s="38" t="str">
        <x:v>TRF-010</x:v>
      </x:c>
      <x:c r="C13" s="54" t="n">
        <x:v>6</x:v>
      </x:c>
      <x:c r="D13" s="35" t="str">
        <x:v>1.8</x:v>
      </x:c>
      <x:c r="E13" s="35" t="str">
        <x:v>READY_AFTER_INDEX_CHECK</x:v>
      </x:c>
      <x:c r="F13" s="38" t="str">
        <x:v>iceClass</x:v>
      </x:c>
      <x:c r="G13" s="38" t="str"/>
      <x:c r="H13" s="38" t="str"/>
      <x:c r="I13" s="38" t="str">
        <x:v>Controlled ice-class individuals already exist in locked ontology infrastructure.</x:v>
      </x:c>
      <x:c r="J13" s="38" t="str">
        <x:v>each allowed class; invalid external value; missing value</x:v>
      </x:c>
      <x:c r="K13" s="35" t="str">
        <x:v>ENGINEERING_PREFLIGHT_COMPLETE</x:v>
      </x:c>
    </x:row>
    <x:row r="14">
      <x:c r="A14" s="54" t="n">
        <x:v>10</x:v>
      </x:c>
      <x:c r="B14" s="38" t="str">
        <x:v>TRF-011</x:v>
      </x:c>
      <x:c r="C14" s="54" t="n">
        <x:v>6</x:v>
      </x:c>
      <x:c r="D14" s="35" t="str">
        <x:v>2.1</x:v>
      </x:c>
      <x:c r="E14" s="35" t="str">
        <x:v>REMODEL</x:v>
      </x:c>
      <x:c r="F14" s="38" t="str"/>
      <x:c r="G14" s="38" t="str">
        <x:v>iceWaterline | waterlineProfilePoint | hasUpperIceWaterline | hasIntendedIceOperatingWaterline | hasWaterlineProfilePoint | longitudinalPosition | verticalCoordinate</x:v>
      </x:c>
      <x:c r="H14" s="38" t="str"/>
      <x:c r="I14" s="38" t="str">
        <x:v>R2 upperIceWaterline is xsd:string and cannot verify an envelope of highest operating-waterline points.</x:v>
      </x:c>
      <x:c r="J14" s="38" t="str">
        <x:v>valid envelope, point below required maximum, missing profile</x:v>
      </x:c>
      <x:c r="K14" s="35" t="str">
        <x:v>ENGINEERING_PREFLIGHT_COMPLETE</x:v>
      </x:c>
    </x:row>
    <x:row r="15">
      <x:c r="A15" s="54" t="n">
        <x:v>11</x:v>
      </x:c>
      <x:c r="B15" s="38" t="str">
        <x:v>TRF-012</x:v>
      </x:c>
      <x:c r="C15" s="54" t="n">
        <x:v>6</x:v>
      </x:c>
      <x:c r="D15" s="35" t="str">
        <x:v>2.1</x:v>
      </x:c>
      <x:c r="E15" s="35" t="str">
        <x:v>REMODEL</x:v>
      </x:c>
      <x:c r="F15" s="38" t="str"/>
      <x:c r="G15" s="38" t="str">
        <x:v>iceWaterline | waterlineProfilePoint | hasLowerIceWaterline | hasIntendedIceOperatingWaterline | hasWaterlineProfilePoint | longitudinalPosition | verticalCoordinate</x:v>
      </x:c>
      <x:c r="H15" s="38" t="str"/>
      <x:c r="I15" s="38" t="str">
        <x:v>R2 lowerIceWaterline is xsd:string and cannot verify an envelope of lowest operating-waterline points.</x:v>
      </x:c>
      <x:c r="J15" s="38" t="str">
        <x:v>valid envelope, point above required minimum, missing profile</x:v>
      </x:c>
      <x:c r="K15" s="35" t="str">
        <x:v>ENGINEERING_PREFLIGHT_COMPLETE</x:v>
      </x:c>
    </x:row>
    <x:row r="16">
      <x:c r="A16" s="54" t="n">
        <x:v>12</x:v>
      </x:c>
      <x:c r="B16" s="38" t="str">
        <x:v>TRF-013</x:v>
      </x:c>
      <x:c r="C16" s="54" t="n">
        <x:v>7</x:v>
      </x:c>
      <x:c r="D16" s="35" t="str">
        <x:v>2.2</x:v>
      </x:c>
      <x:c r="E16" s="35" t="str">
        <x:v>NEW_TERMS</x:v>
      </x:c>
      <x:c r="F16" s="38" t="str">
        <x:v>shipIceStrengthened</x:v>
      </x:c>
      <x:c r="G16" s="38" t="str">
        <x:v>hasUpperIceWaterline | hasLowerIceWaterline | draughtAtForePerpendicular | draughtAtAftPerpendicular | operatingForeDraught | operatingAftDraught</x:v>
      </x:c>
      <x:c r="H16" s="38" t="str">
        <x:v>shipIceStrengthened</x:v>
      </x:c>
      <x:c r="I16" s="38" t="str">
        <x:v>Use draught quantities on typed waterline nodes; string UIWL/LIWL is insufficient.</x:v>
      </x:c>
      <x:c r="J16" s="38" t="str">
        <x:v>inside both bounds, below lower, above upper</x:v>
      </x:c>
      <x:c r="K16" s="35" t="str">
        <x:v>ENGINEERING_PREFLIGHT_COMPLETE</x:v>
      </x:c>
    </x:row>
    <x:row r="17">
      <x:c r="A17" s="54" t="n">
        <x:v>13</x:v>
      </x:c>
      <x:c r="B17" s="38" t="str">
        <x:v>TRF-014</x:v>
      </x:c>
      <x:c r="C17" s="54" t="n">
        <x:v>7</x:v>
      </x:c>
      <x:c r="D17" s="35" t="str">
        <x:v>2.2</x:v>
      </x:c>
      <x:c r="E17" s="35" t="str">
        <x:v>NEW_TERMS</x:v>
      </x:c>
      <x:c r="F17" s="38" t="str">
        <x:v>constructionDate | upperIceWaterlineDraught</x:v>
      </x:c>
      <x:c r="G17" s="38" t="str">
        <x:v>iceDraughtRestrictionDocument | classCertificate | retainedOnBoard | readilyAvailableToMaster | maximumIceClassDraughtFore | minimumIceClassDraughtFore | maximumIceClassDraughtAmidships | minimumIceClassDraughtAmidships | maximumIceClassDraughtAft | minimumIceClassDraughtAft | summerLoadLineFreshWaterDraught | warningTrianglePresent | iceClassDraughtMarkPresent | firstScheduledDryDockingDate</x:v>
      </x:c>
      <x:c r="H17" s="38" t="str">
        <x:v>constructionDate | upperIceWaterlineDraught</x:v>
      </x:c>
      <x:c r="I17" s="38" t="str">
        <x:v>Compound document/marking requirement needs distinct evidence and draught fields; do not collapse into one compliance boolean.</x:v>
      </x:c>
      <x:c r="J17" s="38" t="str">
        <x:v>document evidence, certificate content, post-2007 marking, legacy docking deadline</x:v>
      </x:c>
      <x:c r="K17" s="35" t="str">
        <x:v>ENGINEERING_PREFLIGHT_COMPLETE</x:v>
      </x:c>
    </x:row>
    <x:row r="18">
      <x:c r="A18" s="54" t="n">
        <x:v>14</x:v>
      </x:c>
      <x:c r="B18" s="38" t="str">
        <x:v>TRF-015</x:v>
      </x:c>
      <x:c r="C18" s="54" t="n">
        <x:v>7</x:v>
      </x:c>
      <x:c r="D18" s="35" t="str">
        <x:v>2.2</x:v>
      </x:c>
      <x:c r="E18" s="35" t="str">
        <x:v>NEW_TERMS</x:v>
      </x:c>
      <x:c r="F18" s="38" t="str">
        <x:v>upperIceWaterlineDraught</x:v>
      </x:c>
      <x:c r="G18" s="38" t="str">
        <x:v>operatingDraught | operatingTrim | maximumPermittedIceTrim | intendedRouteSeaWaterSalinity | loadingCalculationSeaWaterSalinity</x:v>
      </x:c>
      <x:c r="H18" s="38" t="str">
        <x:v>upperIceWaterlineDraught</x:v>
      </x:c>
      <x:c r="I18" s="38" t="str">
        <x:v>Salinity-accounted loading is represented by comparing recorded route and calculation salinity rather than an answer-status flag.</x:v>
      </x:c>
      <x:c r="J18" s="38" t="str">
        <x:v>draught/trim within limit; exceeded limit; salinity mismatch</x:v>
      </x:c>
      <x:c r="K18" s="35" t="str">
        <x:v>ENGINEERING_PREFLIGHT_COMPLETE</x:v>
      </x:c>
    </x:row>
    <x:row r="19">
      <x:c r="A19" s="54" t="n">
        <x:v>15</x:v>
      </x:c>
      <x:c r="B19" s="38" t="str">
        <x:v>TRF-016</x:v>
      </x:c>
      <x:c r="C19" s="54" t="n">
        <x:v>7</x:v>
      </x:c>
      <x:c r="D19" s="35" t="str">
        <x:v>2.2</x:v>
      </x:c>
      <x:c r="E19" s="35" t="str">
        <x:v>REMODEL</x:v>
      </x:c>
      <x:c r="F19" s="38" t="str">
        <x:v>draughtAmidships | forwardDraught | levelIceThickness | propellerHighestPointSubmerged | freezingPreventionPresent</x:v>
      </x:c>
      <x:c r="G19" s="38" t="str">
        <x:v>ballastTank | hasBallastTank | situatedAboveLowerIceWaterline | usedToReachLowerIceWaterline | hasUpperIceWaterline | waterlineDisplacement</x:v>
      </x:c>
      <x:c r="H19" s="38" t="str"/>
      <x:c r="I19" s="38" t="str">
        <x:v>Existing single displacement property cannot select the greatest-displacement UIWL; ballast conditions need a target node.</x:v>
      </x:c>
      <x:c r="J19" s="38" t="str">
        <x:v>all clauses pass; exact formula boundary; low draught; missing freeze protection</x:v>
      </x:c>
      <x:c r="K19" s="35" t="str">
        <x:v>ENGINEERING_PREFLIGHT_COMPLETE</x:v>
      </x:c>
    </x:row>
    <x:row r="20">
      <x:c r="A20" s="54" t="n">
        <x:v>16</x:v>
      </x:c>
      <x:c r="B20" s="38" t="str">
        <x:v>TRF-017</x:v>
      </x:c>
      <x:c r="C20" s="54" t="n">
        <x:v>7</x:v>
      </x:c>
      <x:c r="D20" s="35" t="str">
        <x:v>3.1</x:v>
      </x:c>
      <x:c r="E20" s="35" t="str">
        <x:v>NEW_TERMS</x:v>
      </x:c>
      <x:c r="F20" s="38" t="str">
        <x:v>maximumContinuousRatingPower</x:v>
      </x:c>
      <x:c r="G20" s="38" t="str">
        <x:v>propulsionMachineryContinuousOutput | propulsionOutputRestrictionApplies | restrictedPropulsionOutput | additionalPropulsionPower</x:v>
      </x:c>
      <x:c r="H20" s="38" t="str"/>
      <x:c r="I20" s="38" t="str">
        <x:v>Engine output is a derived total/selected value, not merely presence of MCR.</x:v>
      </x:c>
      <x:c r="J20" s="38" t="str">
        <x:v>unrestricted total; restricted output; additional source included; incorrect total</x:v>
      </x:c>
      <x:c r="K20" s="35" t="str">
        <x:v>ENGINEERING_PREFLIGHT_COMPLETE</x:v>
      </x:c>
    </x:row>
    <x:row r="21">
      <x:c r="A21" s="54" t="n">
        <x:v>17</x:v>
      </x:c>
      <x:c r="B21" s="38" t="str">
        <x:v>TRF-018</x:v>
      </x:c>
      <x:c r="C21" s="54" t="n">
        <x:v>8</x:v>
      </x:c>
      <x:c r="D21" s="35" t="str">
        <x:v>3.2</x:v>
      </x:c>
      <x:c r="E21" s="35" t="str">
        <x:v>READY_AFTER_INDEX_CHECK</x:v>
      </x:c>
      <x:c r="F21" s="38" t="str">
        <x:v>iceClass | maximumContinuousRatingPower | calculatedRequiredPower</x:v>
      </x:c>
      <x:c r="G21" s="38" t="str"/>
      <x:c r="H21" s="38" t="str"/>
      <x:c r="I21" s="38" t="str">
        <x:v>Indexed operands and canonical kW power model are sufficient.</x:v>
      </x:c>
      <x:c r="J21" s="38" t="str">
        <x:v>IA/IB/IC 1000-kW floor; IA Super 2800-kW floor; calculated requirement higher than floor</x:v>
      </x:c>
      <x:c r="K21" s="35" t="str">
        <x:v>ENGINEERING_PREFLIGHT_COMPLETE</x:v>
      </x:c>
    </x:row>
    <x:row r="22">
      <x:c r="A22" s="54" t="n">
        <x:v>18</x:v>
      </x:c>
      <x:c r="B22" s="38" t="str">
        <x:v>TRF-020</x:v>
      </x:c>
      <x:c r="C22" s="54" t="str">
        <x:v>8-9</x:v>
      </x:c>
      <x:c r="D22" s="35" t="str">
        <x:v>3.2.2</x:v>
      </x:c>
      <x:c r="E22" s="35" t="str">
        <x:v>INDEX_AND_NEW_TERMS</x:v>
      </x:c>
      <x:c r="F22" s="38" t="str">
        <x:v>constructionStageDate | iceClass | maximumContinuousRatingPower | engineOutputCoefficientKe | brashIceChannelResistanceRch | propellerDiameter | propellerCount | propellerType | upperIceWaterline | lowerIceWaterline</x:v>
      </x:c>
      <x:c r="G22" s="38" t="str">
        <x:v>propulsionSystemType | conventionalPropulsionSystem | fixedPitchPropeller | controllablePitchPropeller</x:v>
      </x:c>
      <x:c r="H22" s="38" t="str">
        <x:v>propellerCount | propellerType</x:v>
      </x:c>
      <x:c r="I22" s="38" t="str">
        <x:v>Ke lookup needs propeller count and propulsion/propeller type; draught-dependent inputs must be attached to typed waterline calculation cases.</x:v>
      </x:c>
      <x:c r="J22" s="38" t="str">
        <x:v>Ke table rows, UIWL/LIWL maximum, construction cutoff, power shortfall</x:v>
      </x:c>
      <x:c r="K22" s="35" t="str">
        <x:v>ENGINEERING_PREFLIGHT_COMPLETE</x:v>
      </x:c>
    </x:row>
    <x:row r="23">
      <x:c r="A23" s="54" t="n">
        <x:v>19</x:v>
      </x:c>
      <x:c r="B23" s="38" t="str">
        <x:v>TRF-022</x:v>
      </x:c>
      <x:c r="C23" s="54" t="n">
        <x:v>10</x:v>
      </x:c>
      <x:c r="D23" s="35" t="str">
        <x:v>3.2.2</x:v>
      </x:c>
      <x:c r="E23" s="35" t="str">
        <x:v>INDEX_AND_NEW_TERMS</x:v>
      </x:c>
      <x:c r="F23" s="38" t="str">
        <x:v>coefficientC3 | coefficientC4 | coefficientC5 | coefficientF1 | coefficientF2 | coefficientF3 | coefficientF4 | coefficientG1 | coefficientG2 | coefficientG3 | bowRakeAtQuarterBreadth | flareAngle | clampedHullGeometryTerm | shipLength | shipBreadth | iceClassDraught</x:v>
      </x:c>
      <x:c r="G23" s="38" t="str">
        <x:v>waterlineAngleAtQuarterBreadth</x:v>
      </x:c>
      <x:c r="H23" s="38" t="str">
        <x:v>clampedHullGeometryTerm | coefficientC3 | coefficientC4 | coefficientC5 | coefficientF1 | coefficientF2 | coefficientF3 | coefficientF4 | coefficientG1 | coefficientG2 | coefficientG3 | iceClassDraught | shipBreadth | shipLength</x:v>
      </x:c>
      <x:c r="I23" s="38" t="str">
        <x:v>R2 index only carries two angles; constants, geometry and coefficient-table values already exist but are not linked.</x:v>
      </x:c>
      <x:c r="J23" s="38" t="str">
        <x:v>angle calculation, exact clamp 5/20, below/above clamp, wrong constant</x:v>
      </x:c>
      <x:c r="K23" s="35" t="str">
        <x:v>ENGINEERING_PREFLIGHT_COMPLETE</x:v>
      </x:c>
    </x:row>
    <x:row r="24">
      <x:c r="A24" s="54" t="n">
        <x:v>20</x:v>
      </x:c>
      <x:c r="B24" s="38" t="str">
        <x:v>TRF-023</x:v>
      </x:c>
      <x:c r="C24" s="54" t="n">
        <x:v>10</x:v>
      </x:c>
      <x:c r="D24" s="35" t="str">
        <x:v>3.2.3</x:v>
      </x:c>
      <x:c r="E24" s="35" t="str">
        <x:v>NEW_TERMS</x:v>
      </x:c>
      <x:c r="F24" s="38" t="str">
        <x:v>iceClass | maximumContinuousRatingPower</x:v>
      </x:c>
      <x:c r="G24" s="38" t="str">
        <x:v>applicableIceClassRegulationEdition | iceClassRuleEdition1985 | requiredPowerUnder1985Rules</x:v>
      </x:c>
      <x:c r="H24" s="38" t="str"/>
      <x:c r="I24" s="38" t="str">
        <x:v>Referenced 1985 minimum must be represented as an input/evidence value; no threshold is invented from the 2021 text.</x:v>
      </x:c>
      <x:c r="J24" s="38" t="str">
        <x:v>IB/IC legacy applicability, exact minimum, below minimum</x:v>
      </x:c>
      <x:c r="K24" s="35" t="str">
        <x:v>ENGINEERING_PREFLIGHT_COMPLETE</x:v>
      </x:c>
    </x:row>
    <x:row r="25">
      <x:c r="A25" s="54" t="n">
        <x:v>21</x:v>
      </x:c>
      <x:c r="B25" s="38" t="str">
        <x:v>TRF-024</x:v>
      </x:c>
      <x:c r="C25" s="54" t="n">
        <x:v>10</x:v>
      </x:c>
      <x:c r="D25" s="35" t="str">
        <x:v>3.2.4</x:v>
      </x:c>
      <x:c r="E25" s="35" t="str">
        <x:v>NEW_TERMS</x:v>
      </x:c>
      <x:c r="F25" s="38" t="str">
        <x:v>iceClass | constructionStageDate</x:v>
      </x:c>
      <x:c r="G25" s="38" t="str">
        <x:v>deliveryDate | assessmentDate | engineOutputComplianceMethod | traficom2017Section3Point2Point2Method | traficom2017Section3Point2Point4Method</x:v>
      </x:c>
      <x:c r="H25" s="38" t="str">
        <x:v>constructionStageDate</x:v>
      </x:c>
      <x:c r="I25" s="38" t="str">
        <x:v>Same deadline model as TRF-007/009.</x:v>
      </x:c>
      <x:c r="J25" s="38" t="str">
        <x:v>before deadline, at deadline valid method, missing method</x:v>
      </x:c>
      <x:c r="K25" s="35" t="str">
        <x:v>ENGINEERING_PREFLIGHT_COMPLETE</x:v>
      </x:c>
    </x:row>
    <x:row r="26">
      <x:c r="A26" s="54" t="n">
        <x:v>22</x:v>
      </x:c>
      <x:c r="B26" s="38" t="str">
        <x:v>TRF-025</x:v>
      </x:c>
      <x:c r="C26" s="54" t="n">
        <x:v>10</x:v>
      </x:c>
      <x:c r="D26" s="35" t="str">
        <x:v>3.2.4</x:v>
      </x:c>
      <x:c r="E26" s="35" t="str">
        <x:v>INDEX_AND_NEW_TERMS</x:v>
      </x:c>
      <x:c r="F26" s="38" t="str">
        <x:v>iceClass | shipBreadth | shipLength | iceClassDraught | coefficientF1 | coefficientF2 | coefficientF3 | coefficientF4 | coefficientG1 | coefficientG2 | coefficientG3 | bulbousBowPresent</x:v>
      </x:c>
      <x:c r="G26" s="38" t="str">
        <x:v>brashIceResistanceCoefficientC1 | brashIceResistanceCoefficientC2</x:v>
      </x:c>
      <x:c r="H26" s="38" t="str">
        <x:v>bulbousBowPresent | coefficientF1 | coefficientF2 | coefficientF3 | coefficientF4 | coefficientG1 | coefficientG2 | coefficientG3 | iceClassDraught | shipBreadth | shipLength</x:v>
      </x:c>
      <x:c r="I26" s="38" t="str">
        <x:v>Formula outputs C1/C2 are missing; all existing operands must be linked.</x:v>
      </x:c>
      <x:c r="J26" s="38" t="str">
        <x:v>IA Super no bulb exact formulas and perturbed C1/C2</x:v>
      </x:c>
      <x:c r="K26" s="35" t="str">
        <x:v>ENGINEERING_PREFLIGHT_COMPLETE</x:v>
      </x:c>
    </x:row>
    <x:row r="27">
      <x:c r="A27" s="54" t="n">
        <x:v>23</x:v>
      </x:c>
      <x:c r="B27" s="38" t="str">
        <x:v>TRF-026</x:v>
      </x:c>
      <x:c r="C27" s="54" t="n">
        <x:v>11</x:v>
      </x:c>
      <x:c r="D27" s="35" t="str">
        <x:v>3.2.4</x:v>
      </x:c>
      <x:c r="E27" s="35" t="str">
        <x:v>INDEX_AND_NEW_TERMS</x:v>
      </x:c>
      <x:c r="F27" s="38" t="str">
        <x:v>iceClass | shipBreadth | shipLength | iceClassDraught | coefficientF1 | coefficientF2 | coefficientF3 | coefficientF4 | coefficientG1 | coefficientG2 | coefficientG3 | bulbousBowPresent</x:v>
      </x:c>
      <x:c r="G27" s="38" t="str">
        <x:v>brashIceResistanceCoefficientC1 | brashIceResistanceCoefficientC2</x:v>
      </x:c>
      <x:c r="H27" s="38" t="str">
        <x:v>bulbousBowPresent | coefficientF1 | coefficientF2 | coefficientF3 | coefficientF4 | coefficientG1 | coefficientG2 | coefficientG3 | iceClassDraught | shipBreadth | shipLength</x:v>
      </x:c>
      <x:c r="I27" s="38" t="str">
        <x:v>Reuse TRF-025 outputs with bulb-specific constants; do not coin duplicate outputs.</x:v>
      </x:c>
      <x:c r="J27" s="38" t="str">
        <x:v>IA Super bulb exact formulas and perturbed C1/C2</x:v>
      </x:c>
      <x:c r="K27" s="35" t="str">
        <x:v>ENGINEERING_PREFLIGHT_COMPLETE</x:v>
      </x:c>
    </x:row>
    <x:row r="28">
      <x:c r="A28" s="54" t="n">
        <x:v>24</x:v>
      </x:c>
      <x:c r="B28" s="38" t="str">
        <x:v>TRF-027</x:v>
      </x:c>
      <x:c r="C28" s="54" t="n">
        <x:v>11</x:v>
      </x:c>
      <x:c r="D28" s="35" t="str">
        <x:v>3.2.4</x:v>
      </x:c>
      <x:c r="E28" s="35" t="str">
        <x:v>INDEX_AND_UNIT_REVIEW</x:v>
      </x:c>
      <x:c r="F28" s="38" t="str">
        <x:v>coefficientC3 | coefficientC4 | coefficientC5 | coefficientF1 | coefficientF2 | coefficientF3 | coefficientF4 | coefficientG1 | coefficientG2 | coefficientG3 | clampedHullGeometryTerm | shipLength | shipBreadth | iceClassDraught</x:v>
      </x:c>
      <x:c r="G28" s="38" t="str"/>
      <x:c r="H28" s="38" t="str"/>
      <x:c r="I28" s="38" t="str">
        <x:v>Terms exist; verify coefficient quantity dimensions and Table 3-3 lookup provenance.</x:v>
      </x:c>
      <x:c r="J28" s="38" t="str">
        <x:v>exact constants, clamp 5/20, out-of-range raw geometry</x:v>
      </x:c>
      <x:c r="K28" s="35" t="str">
        <x:v>ENGINEERING_PREFLIGHT_COMPLETE</x:v>
      </x:c>
    </x:row>
    <x:row r="29">
      <x:c r="A29" s="54" t="n">
        <x:v>25</x:v>
      </x:c>
      <x:c r="B29" s="38" t="str">
        <x:v>TRF-030</x:v>
      </x:c>
      <x:c r="C29" s="54" t="n">
        <x:v>12</x:v>
      </x:c>
      <x:c r="D29" s="35" t="str">
        <x:v>4.1</x:v>
      </x:c>
      <x:c r="E29" s="35" t="str">
        <x:v>NEW_TERMS</x:v>
      </x:c>
      <x:c r="F29" s="38" t="str">
        <x:v>upperIceWaterline | lowerIceWaterline | spacing | span | loadPatchApplicationLocation | loadPatchHeight | loadPatchLength</x:v>
      </x:c>
      <x:c r="G29" s="38" t="str">
        <x:v>directAnalysisCase | hasDirectAnalysisCase | appliedIcePressure | verticalLoadPosition | horizontalLoadPosition | combinedBendingShearCapacity | loadLengthDeterminedFromArrangement | loadLengthCoefficientCa</x:v>
      </x:c>
      <x:c r="H29" s="38" t="str">
        <x:v>loadPatchApplicationLocation | loadPatchHeight | loadPatchLength</x:v>
      </x:c>
      <x:c r="I29" s="38" t="str">
        <x:v>Need repeatable analysis-case nodes; a single string location cannot prove several required positions and load lengths.</x:v>
      </x:c>
      <x:c r="J29" s="38" t="str">
        <x:v>complete location set, missing UIWL case, wrong 1.8p pressure, missing la exploration</x:v>
      </x:c>
      <x:c r="K29" s="35" t="str">
        <x:v>ENGINEERING_PREFLIGHT_COMPLETE</x:v>
      </x:c>
    </x:row>
    <x:row r="30">
      <x:c r="A30" s="54" t="n">
        <x:v>26</x:v>
      </x:c>
      <x:c r="B30" s="38" t="str">
        <x:v>TRF-031</x:v>
      </x:c>
      <x:c r="C30" s="54" t="n">
        <x:v>12</x:v>
      </x:c>
      <x:c r="D30" s="35" t="str">
        <x:v>4.1</x:v>
      </x:c>
      <x:c r="E30" s="35" t="str">
        <x:v>READY_AFTER_INDEX_CHECK</x:v>
      </x:c>
      <x:c r="F30" s="38" t="str">
        <x:v>combinedBendingShearStress | yieldPoint | vonMisesYieldCriterion | beamTheoryUsed | allowableShearStress</x:v>
      </x:c>
      <x:c r="G30" s="38" t="str">
        <x:v>yieldShearStress</x:v>
      </x:c>
      <x:c r="H30" s="38" t="str"/>
      <x:c r="I30" s="38" t="str">
        <x:v>tau_y=sigma_y/sqrt(3) should be explicit or calculated; current terms otherwise cover the rule.</x:v>
      </x:c>
      <x:c r="J30" s="38" t="str">
        <x:v>stress just below/at yield and shear 0.9 boundary</x:v>
      </x:c>
      <x:c r="K30" s="35" t="str">
        <x:v>ENGINEERING_PREFLIGHT_COMPLETE</x:v>
      </x:c>
    </x:row>
    <x:row r="31">
      <x:c r="A31" s="54" t="n">
        <x:v>27</x:v>
      </x:c>
      <x:c r="B31" s="38" t="str">
        <x:v>TRF-032</x:v>
      </x:c>
      <x:c r="C31" s="54" t="n">
        <x:v>12</x:v>
      </x:c>
      <x:c r="D31" s="35" t="str">
        <x:v>4.1</x:v>
      </x:c>
      <x:c r="E31" s="35" t="str">
        <x:v>REMODEL_UNIT</x:v>
      </x:c>
      <x:c r="F31" s="38" t="str">
        <x:v>iceStrengtheningStatus</x:v>
      </x:c>
      <x:c r="G31" s="38" t="str">
        <x:v>classificationSocietyRequiredScantling | regulationRequiredScantling | selectedDesignScantling</x:v>
      </x:c>
      <x:c r="H31" s="38" t="str"/>
      <x:c r="I31" s="38" t="str">
        <x:v>R2 scantling properties are strings and cannot implement the required numeric maximum.</x:v>
      </x:c>
      <x:c r="J31" s="38" t="str">
        <x:v>regulation governs; class governs; selected below maximum</x:v>
      </x:c>
      <x:c r="K31" s="35" t="str">
        <x:v>ENGINEERING_PREFLIGHT_COMPLETE</x:v>
      </x:c>
    </x:row>
    <x:row r="32">
      <x:c r="A32" s="54" t="n">
        <x:v>28</x:v>
      </x:c>
      <x:c r="B32" s="38" t="str">
        <x:v>TRF-034</x:v>
      </x:c>
      <x:c r="C32" s="54" t="n">
        <x:v>13</x:v>
      </x:c>
      <x:c r="D32" s="35" t="str">
        <x:v>4.1</x:v>
      </x:c>
      <x:c r="E32" s="35" t="str">
        <x:v>EVIDENCE_MODEL</x:v>
      </x:c>
      <x:c r="F32" s="38" t="str">
        <x:v>sectionModulus | shearArea</x:v>
      </x:c>
      <x:c r="G32" s="38" t="str">
        <x:v>effectiveMemberCrossSection | memberNormalToPlating | classificationSocietySectionPropertyCalculationEvidence</x:v>
      </x:c>
      <x:c r="H32" s="38" t="str"/>
      <x:c r="I32" s="38" t="str">
        <x:v>The clause defines the basis of section properties; non-normal members require traceable classification-society calculation evidence.</x:v>
      </x:c>
      <x:c r="J32" s="38" t="str">
        <x:v>normal member values; non-normal with evidence; non-normal missing evidence</x:v>
      </x:c>
      <x:c r="K32" s="35" t="str">
        <x:v>ENGINEERING_PREFLIGHT_COMPLETE</x:v>
      </x:c>
    </x:row>
    <x:row r="33">
      <x:c r="A33" s="54" t="n">
        <x:v>29</x:v>
      </x:c>
      <x:c r="B33" s="38" t="str">
        <x:v>TRF-035</x:v>
      </x:c>
      <x:c r="C33" s="54" t="n">
        <x:v>13</x:v>
      </x:c>
      <x:c r="D33" s="35" t="str">
        <x:v>4.1.1</x:v>
      </x:c>
      <x:c r="E33" s="35" t="str">
        <x:v>NEW_TERMS</x:v>
      </x:c>
      <x:c r="F33" s="38" t="str">
        <x:v>ruleLength | classificationSociety</x:v>
      </x:c>
      <x:c r="G33" s="38" t="str">
        <x:v>classificationSocietyRuleLength</x:v>
      </x:c>
      <x:c r="H33" s="38" t="str"/>
      <x:c r="I33" s="38" t="str">
        <x:v>Compare recorded L with the classification society's rule length instead of only requiring L.</x:v>
      </x:c>
      <x:c r="J33" s="38" t="str">
        <x:v>equal length and mismatch</x:v>
      </x:c>
      <x:c r="K33" s="35" t="str">
        <x:v>ENGINEERING_PREFLIGHT_COMPLETE</x:v>
      </x:c>
    </x:row>
    <x:row r="34">
      <x:c r="A34" s="54" t="n">
        <x:v>30</x:v>
      </x:c>
      <x:c r="B34" s="38" t="str">
        <x:v>TRF-036</x:v>
      </x:c>
      <x:c r="C34" s="54" t="n">
        <x:v>14</x:v>
      </x:c>
      <x:c r="D34" s="35" t="str">
        <x:v>4.2.1</x:v>
      </x:c>
      <x:c r="E34" s="35" t="str">
        <x:v>TABLE_MODEL</x:v>
      </x:c>
      <x:c r="F34" s="38" t="str">
        <x:v>iceClass | levelIceThickness | designIceLoadHeight</x:v>
      </x:c>
      <x:c r="G34" s="38" t="str">
        <x:v>iceClassDesignParameterSet</x:v>
      </x:c>
      <x:c r="H34" s="38" t="str"/>
      <x:c r="I34" s="38" t="str">
        <x:v>Table 4-1 row provenance/controlled mapping is needed to distinguish looked-up hi and h from arbitrary values.</x:v>
      </x:c>
      <x:c r="J34" s="38" t="str">
        <x:v>each ice-class row, wrong h, wrong hi</x:v>
      </x:c>
      <x:c r="K34" s="35" t="str">
        <x:v>ENGINEERING_PREFLIGHT_COMPLETE</x:v>
      </x:c>
    </x:row>
    <x:row r="35">
      <x:c r="A35" s="54" t="n">
        <x:v>31</x:v>
      </x:c>
      <x:c r="B35" s="38" t="str">
        <x:v>TRF-037</x:v>
      </x:c>
      <x:c r="C35" s="54" t="n">
        <x:v>14</x:v>
      </x:c>
      <x:c r="D35" s="35" t="str">
        <x:v>4.2.2</x:v>
      </x:c>
      <x:c r="E35" s="35" t="str">
        <x:v>INDEX_AND_NEW_TERMS</x:v>
      </x:c>
      <x:c r="F35" s="38" t="str">
        <x:v>icePressure | nominalIcePressureP0 | maximumContinuousRatingPower | shipLength</x:v>
      </x:c>
      <x:c r="G35" s="38" t="str">
        <x:v>shipSizeEngineOutputFactorCd | iceClassFactorCp | iceLoadAreaFactorCa | coefficientA | coefficientB | coefficientK</x:v>
      </x:c>
      <x:c r="H35" s="38" t="str">
        <x:v>icePressure | nominalIcePressureP0 | shipLength</x:v>
      </x:c>
      <x:c r="I35" s="38" t="str">
        <x:v>R2 links only MCR although every factor and both equations must be available; cd has maximum 1.</x:v>
      </x:c>
      <x:c r="J35" s="38" t="str">
        <x:v>exact p, cd cap at 1, incorrect factor/product</x:v>
      </x:c>
      <x:c r="K35" s="35" t="str">
        <x:v>ENGINEERING_PREFLIGHT_COMPLETE</x:v>
      </x:c>
    </x:row>
    <x:row r="36">
      <x:c r="A36" s="54" t="n">
        <x:v>32</x:v>
      </x:c>
      <x:c r="B36" s="38" t="str">
        <x:v>TRF-041</x:v>
      </x:c>
      <x:c r="C36" s="54" t="n">
        <x:v>17</x:v>
      </x:c>
      <x:c r="D36" s="35" t="str">
        <x:v>4.3.2</x:v>
      </x:c>
      <x:c r="E36" s="35" t="str">
        <x:v>INDEX_AND_UNIT_REVIEW</x:v>
      </x:c>
      <x:c r="F36" s="38" t="str">
        <x:v>thickness | spacing | coefficientF1 | coefficientF2 | icePressure | yieldStrength | corrosionAbrasionAddition</x:v>
      </x:c>
      <x:c r="G36" s="38" t="str">
        <x:v>platingFramingOrientation | transverseFraming | longitudinalFraming | platingPressure</x:v>
      </x:c>
      <x:c r="H36" s="38" t="str">
        <x:v>coefficientF1 | coefficientF2 | corrosionAbrasionAddition | icePressure | spacing</x:v>
      </x:c>
      <x:c r="I36" s="38" t="str">
        <x:v>Generic thickness is recommended in metres while formula result is millimetres; shear/plating terms need formula-native unit alignment.</x:v>
      </x:c>
      <x:c r="J36" s="38" t="str">
        <x:v>both framing branches, exact formula boundary, low thickness</x:v>
      </x:c>
      <x:c r="K36" s="35" t="str">
        <x:v>ENGINEERING_PREFLIGHT_COMPLETE</x:v>
      </x:c>
    </x:row>
    <x:row r="37">
      <x:c r="A37" s="54" t="n">
        <x:v>33</x:v>
      </x:c>
      <x:c r="B37" s="38" t="str">
        <x:v>TRF-042</x:v>
      </x:c>
      <x:c r="C37" s="54" t="n">
        <x:v>17</x:v>
      </x:c>
      <x:c r="D37" s="35" t="str">
        <x:v>4.3.2</x:v>
      </x:c>
      <x:c r="E37" s="35" t="str">
        <x:v>INDEX_AND_UNIT_REVIEW</x:v>
      </x:c>
      <x:c r="F37" s="38" t="str">
        <x:v>coefficientF2 | designIceLoadHeight | spacing | yieldStrength | corrosionAbrasionAddition | steelGrade | materialApprovalStatus</x:v>
      </x:c>
      <x:c r="G37" s="38" t="str">
        <x:v>specialSurfaceCoatingMaintained</x:v>
      </x:c>
      <x:c r="H37" s="38" t="str">
        <x:v>coefficientF2 | corrosionAbrasionAddition | designIceLoadHeight | materialApprovalStatus | spacing | steelGrade</x:v>
      </x:c>
      <x:c r="I37" s="38" t="str">
        <x:v>Piecewise f2, grade-dependent yield strength and approved lower tc all need indexing; thickness/tc should use millimetres.</x:v>
      </x:c>
      <x:c r="J37" s="38" t="str">
        <x:v>h/s at 1 and 1.8, steel-grade values, approved/unapproved lower tc</x:v>
      </x:c>
      <x:c r="K37" s="35" t="str">
        <x:v>ENGINEERING_PREFLIGHT_COMPLETE</x:v>
      </x:c>
    </x:row>
    <x:row r="38">
      <x:c r="A38" s="54" t="n">
        <x:v>34</x:v>
      </x:c>
      <x:c r="B38" s="38" t="str">
        <x:v>TRF-043</x:v>
      </x:c>
      <x:c r="C38" s="54" t="n">
        <x:v>18</x:v>
      </x:c>
      <x:c r="D38" s="35" t="str">
        <x:v>4.4.1</x:v>
      </x:c>
      <x:c r="E38" s="35" t="str">
        <x:v>READY_AFTER_INDEX_CHECK</x:v>
      </x:c>
      <x:c r="F38" s="38" t="str">
        <x:v>iceClass | upperBowIceBeltRequired | framingIceStrengtheningUpperExtent | upperBowIceBeltTop | extensionBeyondAdjacentDeckOrTankBoundary | iceStrengtheningTerminationAtAdjacentBoundaryPermitted</x:v>
      </x:c>
      <x:c r="G38" s="38" t="str"/>
      <x:c r="H38" s="38" t="str">
        <x:v>iceClass</x:v>
      </x:c>
      <x:c r="I38" s="38" t="str">
        <x:v>Table 4-6 selection requires ice class in addition to the indexed extent terms.</x:v>
      </x:c>
      <x:c r="J38" s="38" t="str">
        <x:v>table rows, exact 250-mm boundary, 251-mm failure</x:v>
      </x:c>
      <x:c r="K38" s="35" t="str">
        <x:v>ENGINEERING_PREFLIGHT_COMPLETE</x:v>
      </x:c>
    </x:row>
    <x:row r="39">
      <x:c r="A39" s="54" t="n">
        <x:v>35</x:v>
      </x:c>
      <x:c r="B39" s="38" t="str">
        <x:v>TRF-044</x:v>
      </x:c>
      <x:c r="C39" s="54" t="str">
        <x:v>18-19</x:v>
      </x:c>
      <x:c r="D39" s="35" t="str">
        <x:v>4.4.2.1</x:v>
      </x:c>
      <x:c r="E39" s="35" t="str">
        <x:v>INDEX_AND_UNIT_REVIEW</x:v>
      </x:c>
      <x:c r="F39" s="38" t="str">
        <x:v>sectionModulus | shearArea | yieldStrength | icePressure | spacing | designIceLoadHeight | span</x:v>
      </x:c>
      <x:c r="G39" s="38" t="str">
        <x:v>frameBoundaryConditionFactorM0 | effectiveFrameSpan | frameMomentFactorMt</x:v>
      </x:c>
      <x:c r="H39" s="38" t="str">
        <x:v>designIceLoadHeight | icePressure | spacing | span</x:v>
      </x:c>
      <x:c r="I39" s="38" t="str">
        <x:v>m0 table selection and mt output are missing; shearArea must be formula-native cm2 rather than m2.</x:v>
      </x:c>
      <x:c r="J39" s="38" t="str">
        <x:v>m0 rows, h/l boundary, exact Z/A, low Z/A</x:v>
      </x:c>
      <x:c r="K39" s="35" t="str">
        <x:v>ENGINEERING_PREFLIGHT_COMPLETE</x:v>
      </x:c>
    </x:row>
    <x:row r="40">
      <x:c r="A40" s="54" t="n">
        <x:v>36</x:v>
      </x:c>
      <x:c r="B40" s="38" t="str">
        <x:v>TRF-045</x:v>
      </x:c>
      <x:c r="C40" s="54" t="n">
        <x:v>19</x:v>
      </x:c>
      <x:c r="D40" s="35" t="str">
        <x:v>4.4.2.1</x:v>
      </x:c>
      <x:c r="E40" s="35" t="str">
        <x:v>NEW_TERMS</x:v>
      </x:c>
      <x:c r="F40" s="38" t="str">
        <x:v>span</x:v>
      </x:c>
      <x:c r="G40" s="38" t="str">
        <x:v>frameSpanWithinIceStrengtheningZone | ordinaryFrameScantlingsUsed</x:v>
      </x:c>
      <x:c r="H40" s="38" t="str"/>
      <x:c r="I40" s="38" t="str">
        <x:v>Need the length within zone to calculate the &lt;15% exception; span alone is insufficient.</x:v>
      </x:c>
      <x:c r="J40" s="38" t="str">
        <x:v>14.9% permitted, 15% not permitted, ordinary scantling use</x:v>
      </x:c>
      <x:c r="K40" s="35" t="str">
        <x:v>ENGINEERING_PREFLIGHT_COMPLETE</x:v>
      </x:c>
    </x:row>
    <x:row r="41">
      <x:c r="A41" s="54" t="n">
        <x:v>37</x:v>
      </x:c>
      <x:c r="B41" s="38" t="str">
        <x:v>TRF-046</x:v>
      </x:c>
      <x:c r="C41" s="54" t="n">
        <x:v>19</x:v>
      </x:c>
      <x:c r="D41" s="35" t="str">
        <x:v>4.4.2.2</x:v>
      </x:c>
      <x:c r="E41" s="35" t="str">
        <x:v>REMODEL</x:v>
      </x:c>
      <x:c r="F41" s="38" t="str">
        <x:v>transverseFrame | frameStrengthenedPart | supportingStructure | connectionMemberScantling</x:v>
      </x:c>
      <x:c r="G41" s="38" t="str">
        <x:v>hasUpperEnd | attachedToSupportingStructure | terminatesAboveSupportingStructure | supportingStructureAtOrAboveIceBeltUpperLimit | horizontalConnectionMember | sameScantlingsAsMainFrame</x:v>
      </x:c>
      <x:c r="H41" s="38" t="str"/>
      <x:c r="I41" s="38" t="str">
        <x:v>String attachment/end properties cannot verify the cross-component alternatives.</x:v>
      </x:c>
      <x:c r="J41" s="38" t="str">
        <x:v>direct attachment, permitted termination alternative, missing connection</x:v>
      </x:c>
      <x:c r="K41" s="35" t="str">
        <x:v>ENGINEERING_PREFLIGHT_COMPLETE</x:v>
      </x:c>
    </x:row>
    <x:row r="42">
      <x:c r="A42" s="54" t="n">
        <x:v>38</x:v>
      </x:c>
      <x:c r="B42" s="38" t="str">
        <x:v>TRF-047</x:v>
      </x:c>
      <x:c r="C42" s="54" t="n">
        <x:v>20</x:v>
      </x:c>
      <x:c r="D42" s="35" t="str">
        <x:v>4.4.2.3</x:v>
      </x:c>
      <x:c r="E42" s="35" t="str">
        <x:v>REMODEL</x:v>
      </x:c>
      <x:c r="F42" s="38" t="str">
        <x:v>transverseFrame | frameStrengthenedPart | supportingStructure | connectionMemberScantling</x:v>
      </x:c>
      <x:c r="G42" s="38" t="str">
        <x:v>hasLowerEnd | attachedToSupportingStructure | terminatesBelowSupportingStructure | supportingStructureAtOrBelowIceBeltLowerLimit | horizontalConnectionMember | sameScantlingsAsMainFrame | mainFrameBelowIceBeltStrengthened</x:v>
      </x:c>
      <x:c r="H42" s="38" t="str"/>
      <x:c r="I42" s="38" t="str">
        <x:v>Mirror TRF-046 node model for lower end and retain the extra main-frame strengthening condition.</x:v>
      </x:c>
      <x:c r="J42" s="38" t="str">
        <x:v>direct attachment, permitted lower alternative, missing strengthening</x:v>
      </x:c>
      <x:c r="K42" s="35" t="str">
        <x:v>ENGINEERING_PREFLIGHT_COMPLETE</x:v>
      </x:c>
    </x:row>
    <x:row r="43">
      <x:c r="A43" s="54" t="n">
        <x:v>39</x:v>
      </x:c>
      <x:c r="B43" s="38" t="str">
        <x:v>TRF-048</x:v>
      </x:c>
      <x:c r="C43" s="54" t="n">
        <x:v>20</x:v>
      </x:c>
      <x:c r="D43" s="35" t="str">
        <x:v>4.4.3</x:v>
      </x:c>
      <x:c r="E43" s="35" t="str">
        <x:v>INDEX_AND_UNIT_REVIEW</x:v>
      </x:c>
      <x:c r="F43" s="38" t="str">
        <x:v>sectionModulus | actualFrameShearArea | yieldStrength | icePressure | spacing | designIceLoadHeight | span | connectionBracket | coefficientF4</x:v>
      </x:c>
      <x:c r="G43" s="38" t="str">
        <x:v>frameMomentFactorM | bracketArea | netActualFrameShearArea</x:v>
      </x:c>
      <x:c r="H43" s="38" t="str">
        <x:v>coefficientF4 | connectionBracket | designIceLoadHeight | icePressure | spacing | span</x:v>
      </x:c>
      <x:c r="I43" s="38" t="str">
        <x:v>Formula operands and m assumption are missing; bracket exclusion needs explicit areas; shear outputs use cm2.</x:v>
      </x:c>
      <x:c r="J43" s="38" t="str">
        <x:v>m=13.3 default, smaller end-field m, bracket exclusion, low Z/A</x:v>
      </x:c>
      <x:c r="K43" s="35" t="str">
        <x:v>ENGINEERING_PREFLIGHT_COMPLETE</x:v>
      </x:c>
    </x:row>
    <x:row r="44">
      <x:c r="A44" s="54" t="n">
        <x:v>40</x:v>
      </x:c>
      <x:c r="B44" s="38" t="str">
        <x:v>TRF-049</x:v>
      </x:c>
      <x:c r="C44" s="54" t="n">
        <x:v>21</x:v>
      </x:c>
      <x:c r="D44" s="35" t="str">
        <x:v>4.4.4.1</x:v>
      </x:c>
      <x:c r="E44" s="35" t="str">
        <x:v>REMODEL</x:v>
      </x:c>
      <x:c r="F44" s="38" t="str">
        <x:v>frame | supportingStructure | connectionBracket | frameWebPlateThickness | bucklingStiffening</x:v>
      </x:c>
      <x:c r="G44" s="38" t="str">
        <x:v>hasFrameAttachment | hasSupportingWebFrame | hasSupportingBulkhead | webPlateConnectionSideCount | bracketThickness | bracketEdgeStiffened</x:v>
      </x:c>
      <x:c r="H44" s="38" t="str"/>
      <x:c r="I44" s="38" t="str">
        <x:v>Existing generic attachment records do not express all/each supporting structures or the two-sided connection requirement.</x:v>
      </x:c>
      <x:c r="J44" s="38" t="str">
        <x:v>longitudinal brackets, terminating frame bracket, through-frame two-sided connection, thin bracket</x:v>
      </x:c>
      <x:c r="K44" s="35" t="str">
        <x:v>ENGINEERING_PREFLIGHT_COMPLETE</x:v>
      </x:c>
    </x:row>
    <x:row r="45">
      <x:c r="A45" s="54" t="n">
        <x:v>41</x:v>
      </x:c>
      <x:c r="B45" s="38" t="str">
        <x:v>TRF-050</x:v>
      </x:c>
      <x:c r="C45" s="54" t="n">
        <x:v>21</x:v>
      </x:c>
      <x:c r="D45" s="35" t="str">
        <x:v>4.4.4.2</x:v>
      </x:c>
      <x:c r="E45" s="35" t="str">
        <x:v>CONTROLLED_VALUE_REVIEW</x:v>
      </x:c>
      <x:c r="F45" s="38" t="str">
        <x:v>frameShellAttachment | scallopingPresent | shellPlateButtCrossing | weldType</x:v>
      </x:c>
      <x:c r="G45" s="38" t="str">
        <x:v>doubleContinuousWeld</x:v>
      </x:c>
      <x:c r="H45" s="38" t="str"/>
      <x:c r="I45" s="38" t="str">
        <x:v>weldType is free text; use a controlled weld individual and encode the butt-crossing exception.</x:v>
      </x:c>
      <x:c r="J45" s="38" t="str">
        <x:v>double continuous pass, scallop without crossing fail, crossing exception</x:v>
      </x:c>
      <x:c r="K45" s="35" t="str">
        <x:v>ENGINEERING_PREFLIGHT_COMPLETE</x:v>
      </x:c>
    </x:row>
    <x:row r="46">
      <x:c r="A46" s="54" t="n">
        <x:v>42</x:v>
      </x:c>
      <x:c r="B46" s="38" t="str">
        <x:v>TRF-051</x:v>
      </x:c>
      <x:c r="C46" s="54" t="n">
        <x:v>21</x:v>
      </x:c>
      <x:c r="D46" s="35" t="str">
        <x:v>4.4.4.2</x:v>
      </x:c>
      <x:c r="E46" s="35" t="str">
        <x:v>INDEX_AND_UNIT_REVIEW</x:v>
      </x:c>
      <x:c r="F46" s="38" t="str">
        <x:v>frameWebPlateThickness | yieldStrength | netThickness | corrosionAbrasionAddition</x:v>
      </x:c>
      <x:c r="G46" s="38" t="str">
        <x:v>frameProfileType | profileSection | flatBarSection | adjacentFrameHeight</x:v>
      </x:c>
      <x:c r="H46" s="38" t="str">
        <x:v>corrosionAbrasionAddition | frameWebPlateThickness | netThickness</x:v>
      </x:c>
      <x:c r="I46" s="38" t="str">
        <x:v>C selection and all three maxima need explicit operands; thickness terms should use millimetres.</x:v>
      </x:c>
      <x:c r="J46" s="38" t="str">
        <x:v>profile/flat-bar C branches, 9-mm floor, half-net-shell floor</x:v>
      </x:c>
      <x:c r="K46" s="35" t="str">
        <x:v>ENGINEERING_PREFLIGHT_COMPLETE</x:v>
      </x:c>
    </x:row>
    <x:row r="47">
      <x:c r="A47" s="54" t="n">
        <x:v>43</x:v>
      </x:c>
      <x:c r="B47" s="38" t="str">
        <x:v>TRF-052</x:v>
      </x:c>
      <x:c r="C47" s="54" t="n">
        <x:v>21</x:v>
      </x:c>
      <x:c r="D47" s="35" t="str">
        <x:v>4.4.4.2</x:v>
      </x:c>
      <x:c r="E47" s="35" t="str">
        <x:v>CONTROLLED_VALUE_REVIEW</x:v>
      </x:c>
      <x:c r="F47" s="38" t="str">
        <x:v>frameAsymmetrical | frameWebAngleToShell | antitrippingSupportSpacing | frameSpan | iceClass | equivalentSupportStatusByDirectCalculation</x:v>
      </x:c>
      <x:c r="G47" s="38" t="str">
        <x:v>antitrippingSupportRegion | allRegions | bowRegion | midbodyRegion</x:v>
      </x:c>
      <x:c r="H47" s="38" t="str"/>
      <x:c r="I47" s="38" t="str">
        <x:v>antitrippingSupportScope is free text; replace with controlled regions/set membership.</x:v>
      </x:c>
      <x:c r="J47" s="38" t="str">
        <x:v>1300-mm boundary, &gt;4-m all regions, class/region matrix, equivalent alternative</x:v>
      </x:c>
      <x:c r="K47" s="35" t="str">
        <x:v>ENGINEERING_PREFLIGHT_COMPLETE</x:v>
      </x:c>
    </x:row>
    <x:row r="48">
      <x:c r="A48" s="54" t="n">
        <x:v>44</x:v>
      </x:c>
      <x:c r="B48" s="38" t="str">
        <x:v>TRF-053</x:v>
      </x:c>
      <x:c r="C48" s="54" t="str">
        <x:v>21-22</x:v>
      </x:c>
      <x:c r="D48" s="35" t="str">
        <x:v>4.5.1</x:v>
      </x:c>
      <x:c r="E48" s="35" t="str">
        <x:v>INDEX_AND_UNIT_REVIEW</x:v>
      </x:c>
      <x:c r="F48" s="38" t="str">
        <x:v>designLineLoad | icePressure | designIceLoadHeight | span | yieldStrength | sectionModulus | shearArea</x:v>
      </x:c>
      <x:c r="G48" s="38" t="str">
        <x:v>frameMomentFactorM</x:v>
      </x:c>
      <x:c r="H48" s="38" t="str">
        <x:v>designIceLoadHeight | icePressure | span</x:v>
      </x:c>
      <x:c r="I48" s="38" t="str">
        <x:v>All operands must be indexed; design line load is currently kN/m while source formula uses MN/m, and shear area needs cm2.</x:v>
      </x:c>
      <x:c r="J48" s="38" t="str">
        <x:v>0.15-MN/m floor, exact Z/A, low Z/A</x:v>
      </x:c>
      <x:c r="K48" s="35" t="str">
        <x:v>ENGINEERING_PREFLIGHT_COMPLETE</x:v>
      </x:c>
    </x:row>
    <x:row r="49">
      <x:c r="A49" s="54" t="n">
        <x:v>45</x:v>
      </x:c>
      <x:c r="B49" s="38" t="str">
        <x:v>TRF-054</x:v>
      </x:c>
      <x:c r="C49" s="54" t="str">
        <x:v>22-23</x:v>
      </x:c>
      <x:c r="D49" s="35" t="str">
        <x:v>4.5.2</x:v>
      </x:c>
      <x:c r="E49" s="35" t="str">
        <x:v>INDEX_AND_UNIT_REVIEW</x:v>
      </x:c>
      <x:c r="F49" s="38" t="str">
        <x:v>designLineLoad | icePressure | designIceLoadHeight | span | yieldStrength | sectionModulus | shearArea | outsideIceBeltFactor | stringerOutsideIceBeltHeight | stringerSpan</x:v>
      </x:c>
      <x:c r="G49" s="38" t="str">
        <x:v>frameMomentFactorM</x:v>
      </x:c>
      <x:c r="H49" s="38" t="str">
        <x:v>designIceLoadHeight | icePressure | span | stringerOutsideIceBeltHeight | stringerSpan</x:v>
      </x:c>
      <x:c r="I49" s="38" t="str">
        <x:v>Need hs/ls operands and formula-native line-load/shear-area units.</x:v>
      </x:c>
      <x:c r="J49" s="38" t="str">
        <x:v>inside/outside factor, hs=0, near ls boundary, low Z/A</x:v>
      </x:c>
      <x:c r="K49" s="35" t="str">
        <x:v>ENGINEERING_PREFLIGHT_COMPLETE</x:v>
      </x:c>
    </x:row>
    <x:row r="50">
      <x:c r="A50" s="54" t="n">
        <x:v>46</x:v>
      </x:c>
      <x:c r="B50" s="38" t="str">
        <x:v>TRF-055</x:v>
      </x:c>
      <x:c r="C50" s="54" t="n">
        <x:v>23</x:v>
      </x:c>
      <x:c r="D50" s="35" t="str">
        <x:v>4.5.3</x:v>
      </x:c>
      <x:c r="E50" s="35" t="str">
        <x:v>NEW_TERMS</x:v>
      </x:c>
      <x:c r="F50" s="38" t="str">
        <x:v>sectionModulus | shearArea | hatchOpeningLength | shipBreadth | designLineLoad | scantlingApprovalStatus</x:v>
      </x:c>
      <x:c r="G50" s="38" t="str">
        <x:v>narrowDeckStrip | servesAsIceStringer | veryLongHatch | permittedReducedLineLoad</x:v>
      </x:c>
      <x:c r="H50" s="38" t="str">
        <x:v>designLineLoad | hatchOpeningLength | scantlingApprovalStatus | shipBreadth</x:v>
      </x:c>
      <x:c r="I50" s="38" t="str">
        <x:v>The approval exception changes p*h floor from 0.15 to not below 0.10 MN/m; distinguish approved value from generic designLineLoad.</x:v>
      </x:c>
      <x:c r="J50" s="38" t="str">
        <x:v>normal 0.15 floor, approved 0.10, below 0.10 failure</x:v>
      </x:c>
      <x:c r="K50" s="35" t="str">
        <x:v>ENGINEERING_PREFLIGHT_COMPLETE</x:v>
      </x:c>
    </x:row>
    <x:row r="51">
      <x:c r="A51" s="54" t="n">
        <x:v>47</x:v>
      </x:c>
      <x:c r="B51" s="38" t="str">
        <x:v>TRF-056</x:v>
      </x:c>
      <x:c r="C51" s="54" t="n">
        <x:v>23</x:v>
      </x:c>
      <x:c r="D51" s="35" t="str">
        <x:v>4.5.3</x:v>
      </x:c>
      <x:c r="E51" s="35" t="str">
        <x:v>EVIDENCE_MODEL</x:v>
      </x:c>
      <x:c r="F51" s="38" t="str">
        <x:v>hatchOpeningLength | shipBreadth | shipSideDeflection | hatchCoverDesignEvidence | hatchFittingDesignEvidence</x:v>
      </x:c>
      <x:c r="G51" s="38" t="str"/>
      <x:c r="H51" s="38" t="str"/>
      <x:c r="I51" s="38" t="str">
        <x:v>No numeric deflection limit is stated; verify trigger and required design evidence without inventing a threshold.</x:v>
      </x:c>
      <x:c r="J51" s="38" t="str">
        <x:v>hatch &lt;=B/2 non-applicable, &gt;B/2 with evidence pass, missing evidence fail</x:v>
      </x:c>
      <x:c r="K51" s="35" t="str">
        <x:v>ENGINEERING_PREFLIGHT_COMPLETE</x:v>
      </x:c>
    </x:row>
    <x:row r="52">
      <x:c r="A52" s="54" t="n">
        <x:v>48</x:v>
      </x:c>
      <x:c r="B52" s="38" t="str">
        <x:v>TRF-057</x:v>
      </x:c>
      <x:c r="C52" s="54" t="n">
        <x:v>23</x:v>
      </x:c>
      <x:c r="D52" s="35" t="str">
        <x:v>4.6.1</x:v>
      </x:c>
      <x:c r="E52" s="35" t="str">
        <x:v>INDEX_AND_UNIT_REVIEW</x:v>
      </x:c>
      <x:c r="F52" s="38" t="str">
        <x:v>icePressure | iceLoadHeight | webFrameSpacing | webFrameSafetyFactor | webFrameIceLoad | loadLengthParameter | minimumLineLoad</x:v>
      </x:c>
      <x:c r="G52" s="38" t="str">
        <x:v>iceLoadSourceType | iceStringerLoadSource | longitudinalFramingLoadSource</x:v>
      </x:c>
      <x:c r="H52" s="38" t="str"/>
      <x:c r="I52" s="38" t="str">
        <x:v>f12=1.8, la=2S and 0.15-MN/m floor must be explicit; line-load units need alignment.</x:v>
      </x:c>
      <x:c r="J52" s="38" t="str">
        <x:v>both load sources, floor active/inactive, exact F, wrong la</x:v>
      </x:c>
      <x:c r="K52" s="35" t="str">
        <x:v>ENGINEERING_PREFLIGHT_COMPLETE</x:v>
      </x:c>
    </x:row>
    <x:row r="53">
      <x:c r="A53" s="54" t="n">
        <x:v>49</x:v>
      </x:c>
      <x:c r="B53" s="38" t="str">
        <x:v>TRF-058</x:v>
      </x:c>
      <x:c r="C53" s="54" t="n">
        <x:v>23</x:v>
      </x:c>
      <x:c r="D53" s="35" t="str">
        <x:v>4.6.1</x:v>
      </x:c>
      <x:c r="E53" s="35" t="str">
        <x:v>INDEX_AND_NEW_TERMS</x:v>
      </x:c>
      <x:c r="F53" s="38" t="str">
        <x:v>iceLoadForce | stringerOutsideIceBeltHeight | stringerSpan</x:v>
      </x:c>
      <x:c r="G53" s="38" t="str">
        <x:v>supportedStringerOutsideIceBelt | adjustedIceLoadForce</x:v>
      </x:c>
      <x:c r="H53" s="38" t="str"/>
      <x:c r="I53" s="38" t="str">
        <x:v>Distinguish original F from the outside-belt adjusted force.</x:v>
      </x:c>
      <x:c r="J53" s="38" t="str">
        <x:v>inside belt unchanged, outside factor, hs/ls boundary</x:v>
      </x:c>
      <x:c r="K53" s="35" t="str">
        <x:v>ENGINEERING_PREFLIGHT_COMPLETE</x:v>
      </x:c>
    </x:row>
    <x:row r="54">
      <x:c r="A54" s="56" t="n">
        <x:v>50</x:v>
      </x:c>
      <x:c r="B54" s="57" t="str">
        <x:v>TRF-059</x:v>
      </x:c>
      <x:c r="C54" s="56" t="n">
        <x:v>23</x:v>
      </x:c>
      <x:c r="D54" s="36" t="str">
        <x:v>4.6.2</x:v>
      </x:c>
      <x:c r="E54" s="36" t="str">
        <x:v>INDEX_AND_UNIT_REVIEW</x:v>
      </x:c>
      <x:c r="F54" s="57" t="str">
        <x:v>shearArea | yieldStrength</x:v>
      </x:c>
      <x:c r="G54" s="57" t="str">
        <x:v>maximumCalculatedShearForce | webFrameShearFactorAlpha | webFrameCrossSectionType</x:v>
      </x:c>
      <x:c r="H54" s="57" t="str"/>
      <x:c r="I54" s="57" t="str">
        <x:v>Q and alpha Table 4-8 selection are missing; output shear area must use cm2.</x:v>
      </x:c>
      <x:c r="J54" s="57" t="str">
        <x:v>alpha table rows, exact A, low A</x:v>
      </x:c>
      <x:c r="K54" s="36" t="str">
        <x:v>ENGINEERING_PREFLIGHT_COMPLETE</x:v>
      </x:c>
    </x:row>
  </x:sheetData>
  <x:conditionalFormatting sqref="E5:E54">
    <x:cfRule type="containsText" dxfId="0" priority="1" operator="containsText" text="READY"/>
    <x:cfRule type="containsText" dxfId="1" priority="2" operator="containsText" text="COMPLETE"/>
    <x:cfRule type="containsText" dxfId="2" priority="3" operator="containsText" text="NEW"/>
    <x:cfRule type="containsText" dxfId="3" priority="4" operator="containsText" text="REMODEL"/>
    <x:cfRule type="containsText" dxfId="4" priority="5" operator="containsText" text="UNIT"/>
  </x:conditionalFormatting>
  <x:conditionalFormatting sqref="K5:K54">
    <x:cfRule type="containsText" dxfId="5" priority="6" operator="containsText" text="READY"/>
    <x:cfRule type="containsText" dxfId="6" priority="7" operator="containsText" text="COMPLETE"/>
    <x:cfRule type="containsText" dxfId="7" priority="8" operator="containsText" text="NEW"/>
    <x:cfRule type="containsText" dxfId="8" priority="9" operator="containsText" text="REMODEL"/>
    <x:cfRule type="containsText" dxfId="9" priority="10" operator="containsText" text="UNIT"/>
  </x:conditionalFormatting>
  <x:pageMargins left="0.7" right="0.7" top="0.75" bottom="0.75" header="0.3" footer="0.3"/>
  <x:tableParts count="1">
    <x:tablePart xmlns:r="http://schemas.openxmlformats.org/officeDocument/2006/relationships" r:id="R574a0c90041545e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6" hidden="0" customWidth="1"/>
    <x:col min="2" max="2" width="42" hidden="0" customWidth="1"/>
    <x:col min="3" max="3" width="48" hidden="0" customWidth="1"/>
    <x:col min="4" max="4" width="18" hidden="0" customWidth="1"/>
    <x:col min="5" max="5" width="72" hidden="0" customWidth="1"/>
  </x:cols>
  <x:sheetData>
    <x:row r="1">
      <x:c r="A1" s="11" t="str">
        <x:v>NLTL Development Calibration - Batch 01</x:v>
      </x:c>
      <x:c r="B1" s="12"/>
      <x:c r="C1" s="12"/>
      <x:c r="D1" s="12"/>
      <x:c r="E1" s="12"/>
    </x:row>
    <x:row r="2">
      <x:c r="A2" s="13" t="str">
        <x:v>DRAFT_TERMS | DEV-CAL-BATCH-01-FIRST-50 | vocabulary is not frozen</x:v>
      </x:c>
      <x:c r="B2" s="13"/>
      <x:c r="C2" s="13"/>
      <x:c r="D2" s="13"/>
      <x:c r="E2" s="13"/>
    </x:row>
    <x:row r="3">
      <x:c r="A3" s="14"/>
      <x:c r="B3" s="14"/>
      <x:c r="C3" s="14"/>
      <x:c r="D3" s="14"/>
      <x:c r="E3" s="14"/>
    </x:row>
    <x:row r="4" ht="32" customHeight="1">
      <x:c r="A4" s="32" t="str">
        <x:v>DRAFT_LOCAL_NAME</x:v>
      </x:c>
      <x:c r="B4" s="51" t="str">
        <x:v>REQUIREMENT_IDS</x:v>
      </x:c>
      <x:c r="C4" s="51" t="str">
        <x:v>REQUIREMENT_COUNT</x:v>
      </x:c>
      <x:c r="D4" s="51" t="str">
        <x:v>STATUS</x:v>
      </x:c>
      <x:c r="E4" s="33" t="str">
        <x:v>NEXT_REVIEW</x:v>
      </x:c>
    </x:row>
    <x:row r="5">
      <x:c r="A5" s="34" t="str">
        <x:v>additionalPropulsionPower</x:v>
      </x:c>
      <x:c r="B5" s="37" t="str">
        <x:v>TRF-017</x:v>
      </x:c>
      <x:c r="C5" s="53" t="n">
        <x:v>1</x:v>
      </x:c>
      <x:c r="D5" s="34" t="str">
        <x:v>PROVISIONAL</x:v>
      </x:c>
      <x:c r="E5" s="34" t="str">
        <x:v>Initial preflight term retained for comparison with the consolidated R7 registry.</x:v>
      </x:c>
    </x:row>
    <x:row r="6">
      <x:c r="A6" s="35" t="str">
        <x:v>adjacentFrameHeight</x:v>
      </x:c>
      <x:c r="B6" s="38" t="str">
        <x:v>TRF-051</x:v>
      </x:c>
      <x:c r="C6" s="55" t="n">
        <x:v>1</x:v>
      </x:c>
      <x:c r="D6" s="35" t="str">
        <x:v>PROVISIONAL</x:v>
      </x:c>
      <x:c r="E6" s="35" t="str">
        <x:v>Initial preflight term retained for comparison with the consolidated R7 registry.</x:v>
      </x:c>
    </x:row>
    <x:row r="7">
      <x:c r="A7" s="35" t="str">
        <x:v>adjustedIceLoadForce</x:v>
      </x:c>
      <x:c r="B7" s="38" t="str">
        <x:v>TRF-058</x:v>
      </x:c>
      <x:c r="C7" s="55" t="n">
        <x:v>1</x:v>
      </x:c>
      <x:c r="D7" s="35" t="str">
        <x:v>PROVISIONAL</x:v>
      </x:c>
      <x:c r="E7" s="35" t="str">
        <x:v>Initial preflight term retained for comparison with the consolidated R7 registry.</x:v>
      </x:c>
    </x:row>
    <x:row r="8">
      <x:c r="A8" s="35" t="str">
        <x:v>allRegions</x:v>
      </x:c>
      <x:c r="B8" s="38" t="str">
        <x:v>TRF-052</x:v>
      </x:c>
      <x:c r="C8" s="55" t="n">
        <x:v>1</x:v>
      </x:c>
      <x:c r="D8" s="35" t="str">
        <x:v>PROVISIONAL</x:v>
      </x:c>
      <x:c r="E8" s="35" t="str">
        <x:v>Initial preflight term retained for comparison with the consolidated R7 registry.</x:v>
      </x:c>
    </x:row>
    <x:row r="9">
      <x:c r="A9" s="35" t="str">
        <x:v>antitrippingSupportRegion</x:v>
      </x:c>
      <x:c r="B9" s="38" t="str">
        <x:v>TRF-052</x:v>
      </x:c>
      <x:c r="C9" s="55" t="n">
        <x:v>1</x:v>
      </x:c>
      <x:c r="D9" s="35" t="str">
        <x:v>PROVISIONAL</x:v>
      </x:c>
      <x:c r="E9" s="35" t="str">
        <x:v>Initial preflight term retained for comparison with the consolidated R7 registry.</x:v>
      </x:c>
    </x:row>
    <x:row r="10">
      <x:c r="A10" s="35" t="str">
        <x:v>applicableIceClassRegulationEdition</x:v>
      </x:c>
      <x:c r="B10" s="38" t="str">
        <x:v>TRF-001 | TRF-002 | TRF-003 | TRF-004 | TRF-005 | TRF-006 | TRF-023</x:v>
      </x:c>
      <x:c r="C10" s="55" t="n">
        <x:v>7</x:v>
      </x:c>
      <x:c r="D10" s="35" t="str">
        <x:v>PROVISIONAL</x:v>
      </x:c>
      <x:c r="E10" s="35" t="str">
        <x:v>Initial preflight term retained for comparison with the consolidated R7 registry.</x:v>
      </x:c>
    </x:row>
    <x:row r="11">
      <x:c r="A11" s="35" t="str">
        <x:v>appliedIcePressure</x:v>
      </x:c>
      <x:c r="B11" s="38" t="str">
        <x:v>TRF-030</x:v>
      </x:c>
      <x:c r="C11" s="55" t="n">
        <x:v>1</x:v>
      </x:c>
      <x:c r="D11" s="35" t="str">
        <x:v>PROVISIONAL</x:v>
      </x:c>
      <x:c r="E11" s="35" t="str">
        <x:v>Initial preflight term retained for comparison with the consolidated R7 registry.</x:v>
      </x:c>
    </x:row>
    <x:row r="12">
      <x:c r="A12" s="35" t="str">
        <x:v>assessmentDate</x:v>
      </x:c>
      <x:c r="B12" s="38" t="str">
        <x:v>TRF-007 | TRF-009 | TRF-024</x:v>
      </x:c>
      <x:c r="C12" s="55" t="n">
        <x:v>3</x:v>
      </x:c>
      <x:c r="D12" s="35" t="str">
        <x:v>PROVISIONAL</x:v>
      </x:c>
      <x:c r="E12" s="35" t="str">
        <x:v>Initial preflight term retained for comparison with the consolidated R7 registry.</x:v>
      </x:c>
    </x:row>
    <x:row r="13">
      <x:c r="A13" s="35" t="str">
        <x:v>attachedToSupportingStructure</x:v>
      </x:c>
      <x:c r="B13" s="38" t="str">
        <x:v>TRF-046 | TRF-047</x:v>
      </x:c>
      <x:c r="C13" s="55" t="n">
        <x:v>2</x:v>
      </x:c>
      <x:c r="D13" s="35" t="str">
        <x:v>PROVISIONAL</x:v>
      </x:c>
      <x:c r="E13" s="35" t="str">
        <x:v>Initial preflight term retained for comparison with the consolidated R7 registry.</x:v>
      </x:c>
    </x:row>
    <x:row r="14">
      <x:c r="A14" s="35" t="str">
        <x:v>ballastTank</x:v>
      </x:c>
      <x:c r="B14" s="38" t="str">
        <x:v>TRF-016</x:v>
      </x:c>
      <x:c r="C14" s="55" t="n">
        <x:v>1</x:v>
      </x:c>
      <x:c r="D14" s="35" t="str">
        <x:v>PROVISIONAL</x:v>
      </x:c>
      <x:c r="E14" s="35" t="str">
        <x:v>Initial preflight term retained for comparison with the consolidated R7 registry.</x:v>
      </x:c>
    </x:row>
    <x:row r="15">
      <x:c r="A15" s="35" t="str">
        <x:v>bowRegion</x:v>
      </x:c>
      <x:c r="B15" s="38" t="str">
        <x:v>TRF-052</x:v>
      </x:c>
      <x:c r="C15" s="55" t="n">
        <x:v>1</x:v>
      </x:c>
      <x:c r="D15" s="35" t="str">
        <x:v>PROVISIONAL</x:v>
      </x:c>
      <x:c r="E15" s="35" t="str">
        <x:v>Initial preflight term retained for comparison with the consolidated R7 registry.</x:v>
      </x:c>
    </x:row>
    <x:row r="16">
      <x:c r="A16" s="35" t="str">
        <x:v>bracketArea</x:v>
      </x:c>
      <x:c r="B16" s="38" t="str">
        <x:v>TRF-048</x:v>
      </x:c>
      <x:c r="C16" s="55" t="n">
        <x:v>1</x:v>
      </x:c>
      <x:c r="D16" s="35" t="str">
        <x:v>PROVISIONAL</x:v>
      </x:c>
      <x:c r="E16" s="35" t="str">
        <x:v>Initial preflight term retained for comparison with the consolidated R7 registry.</x:v>
      </x:c>
    </x:row>
    <x:row r="17">
      <x:c r="A17" s="35" t="str">
        <x:v>bracketEdgeStiffened</x:v>
      </x:c>
      <x:c r="B17" s="38" t="str">
        <x:v>TRF-049</x:v>
      </x:c>
      <x:c r="C17" s="55" t="n">
        <x:v>1</x:v>
      </x:c>
      <x:c r="D17" s="35" t="str">
        <x:v>PROVISIONAL</x:v>
      </x:c>
      <x:c r="E17" s="35" t="str">
        <x:v>Initial preflight term retained for comparison with the consolidated R7 registry.</x:v>
      </x:c>
    </x:row>
    <x:row r="18">
      <x:c r="A18" s="35" t="str">
        <x:v>bracketThickness</x:v>
      </x:c>
      <x:c r="B18" s="38" t="str">
        <x:v>TRF-049</x:v>
      </x:c>
      <x:c r="C18" s="55" t="n">
        <x:v>1</x:v>
      </x:c>
      <x:c r="D18" s="35" t="str">
        <x:v>PROVISIONAL</x:v>
      </x:c>
      <x:c r="E18" s="35" t="str">
        <x:v>Initial preflight term retained for comparison with the consolidated R7 registry.</x:v>
      </x:c>
    </x:row>
    <x:row r="19">
      <x:c r="A19" s="35" t="str">
        <x:v>brashIceResistanceCoefficientC1</x:v>
      </x:c>
      <x:c r="B19" s="38" t="str">
        <x:v>TRF-025 | TRF-026</x:v>
      </x:c>
      <x:c r="C19" s="55" t="n">
        <x:v>2</x:v>
      </x:c>
      <x:c r="D19" s="35" t="str">
        <x:v>PROVISIONAL</x:v>
      </x:c>
      <x:c r="E19" s="35" t="str">
        <x:v>Initial preflight term retained for comparison with the consolidated R7 registry.</x:v>
      </x:c>
    </x:row>
    <x:row r="20">
      <x:c r="A20" s="35" t="str">
        <x:v>brashIceResistanceCoefficientC2</x:v>
      </x:c>
      <x:c r="B20" s="38" t="str">
        <x:v>TRF-025 | TRF-026</x:v>
      </x:c>
      <x:c r="C20" s="55" t="n">
        <x:v>2</x:v>
      </x:c>
      <x:c r="D20" s="35" t="str">
        <x:v>PROVISIONAL</x:v>
      </x:c>
      <x:c r="E20" s="35" t="str">
        <x:v>Initial preflight term retained for comparison with the consolidated R7 registry.</x:v>
      </x:c>
    </x:row>
    <x:row r="21">
      <x:c r="A21" s="35" t="str">
        <x:v>classCertificate</x:v>
      </x:c>
      <x:c r="B21" s="38" t="str">
        <x:v>TRF-014</x:v>
      </x:c>
      <x:c r="C21" s="55" t="n">
        <x:v>1</x:v>
      </x:c>
      <x:c r="D21" s="35" t="str">
        <x:v>PROVISIONAL</x:v>
      </x:c>
      <x:c r="E21" s="35" t="str">
        <x:v>Initial preflight term retained for comparison with the consolidated R7 registry.</x:v>
      </x:c>
    </x:row>
    <x:row r="22">
      <x:c r="A22" s="35" t="str">
        <x:v>classificationSocietyRequiredScantling</x:v>
      </x:c>
      <x:c r="B22" s="38" t="str">
        <x:v>TRF-032</x:v>
      </x:c>
      <x:c r="C22" s="55" t="n">
        <x:v>1</x:v>
      </x:c>
      <x:c r="D22" s="35" t="str">
        <x:v>PROVISIONAL</x:v>
      </x:c>
      <x:c r="E22" s="35" t="str">
        <x:v>Initial preflight term retained for comparison with the consolidated R7 registry.</x:v>
      </x:c>
    </x:row>
    <x:row r="23">
      <x:c r="A23" s="35" t="str">
        <x:v>classificationSocietyRuleLength</x:v>
      </x:c>
      <x:c r="B23" s="38" t="str">
        <x:v>TRF-035</x:v>
      </x:c>
      <x:c r="C23" s="55" t="n">
        <x:v>1</x:v>
      </x:c>
      <x:c r="D23" s="35" t="str">
        <x:v>PROVISIONAL</x:v>
      </x:c>
      <x:c r="E23" s="35" t="str">
        <x:v>Initial preflight term retained for comparison with the consolidated R7 registry.</x:v>
      </x:c>
    </x:row>
    <x:row r="24">
      <x:c r="A24" s="35" t="str">
        <x:v>classificationSocietySectionPropertyCalculationEvidence</x:v>
      </x:c>
      <x:c r="B24" s="38" t="str">
        <x:v>TRF-034</x:v>
      </x:c>
      <x:c r="C24" s="55" t="n">
        <x:v>1</x:v>
      </x:c>
      <x:c r="D24" s="35" t="str">
        <x:v>PROVISIONAL</x:v>
      </x:c>
      <x:c r="E24" s="35" t="str">
        <x:v>Initial preflight term retained for comparison with the consolidated R7 registry.</x:v>
      </x:c>
    </x:row>
    <x:row r="25">
      <x:c r="A25" s="35" t="str">
        <x:v>coefficientA</x:v>
      </x:c>
      <x:c r="B25" s="38" t="str">
        <x:v>TRF-037</x:v>
      </x:c>
      <x:c r="C25" s="55" t="n">
        <x:v>1</x:v>
      </x:c>
      <x:c r="D25" s="35" t="str">
        <x:v>PROVISIONAL</x:v>
      </x:c>
      <x:c r="E25" s="35" t="str">
        <x:v>Initial preflight term retained for comparison with the consolidated R7 registry.</x:v>
      </x:c>
    </x:row>
    <x:row r="26">
      <x:c r="A26" s="35" t="str">
        <x:v>coefficientB</x:v>
      </x:c>
      <x:c r="B26" s="38" t="str">
        <x:v>TRF-037</x:v>
      </x:c>
      <x:c r="C26" s="55" t="n">
        <x:v>1</x:v>
      </x:c>
      <x:c r="D26" s="35" t="str">
        <x:v>PROVISIONAL</x:v>
      </x:c>
      <x:c r="E26" s="35" t="str">
        <x:v>Initial preflight term retained for comparison with the consolidated R7 registry.</x:v>
      </x:c>
    </x:row>
    <x:row r="27">
      <x:c r="A27" s="35" t="str">
        <x:v>coefficientK</x:v>
      </x:c>
      <x:c r="B27" s="38" t="str">
        <x:v>TRF-037</x:v>
      </x:c>
      <x:c r="C27" s="55" t="n">
        <x:v>1</x:v>
      </x:c>
      <x:c r="D27" s="35" t="str">
        <x:v>PROVISIONAL</x:v>
      </x:c>
      <x:c r="E27" s="35" t="str">
        <x:v>Initial preflight term retained for comparison with the consolidated R7 registry.</x:v>
      </x:c>
    </x:row>
    <x:row r="28">
      <x:c r="A28" s="35" t="str">
        <x:v>combinedBendingShearCapacity</x:v>
      </x:c>
      <x:c r="B28" s="38" t="str">
        <x:v>TRF-030</x:v>
      </x:c>
      <x:c r="C28" s="55" t="n">
        <x:v>1</x:v>
      </x:c>
      <x:c r="D28" s="35" t="str">
        <x:v>PROVISIONAL</x:v>
      </x:c>
      <x:c r="E28" s="35" t="str">
        <x:v>Initial preflight term retained for comparison with the consolidated R7 registry.</x:v>
      </x:c>
    </x:row>
    <x:row r="29">
      <x:c r="A29" s="35" t="str">
        <x:v>controllablePitchPropeller</x:v>
      </x:c>
      <x:c r="B29" s="38" t="str">
        <x:v>TRF-020</x:v>
      </x:c>
      <x:c r="C29" s="55" t="n">
        <x:v>1</x:v>
      </x:c>
      <x:c r="D29" s="35" t="str">
        <x:v>PROVISIONAL</x:v>
      </x:c>
      <x:c r="E29" s="35" t="str">
        <x:v>Initial preflight term retained for comparison with the consolidated R7 registry.</x:v>
      </x:c>
    </x:row>
    <x:row r="30">
      <x:c r="A30" s="35" t="str">
        <x:v>conventionalPropulsionSystem</x:v>
      </x:c>
      <x:c r="B30" s="38" t="str">
        <x:v>TRF-020</x:v>
      </x:c>
      <x:c r="C30" s="55" t="n">
        <x:v>1</x:v>
      </x:c>
      <x:c r="D30" s="35" t="str">
        <x:v>PROVISIONAL</x:v>
      </x:c>
      <x:c r="E30" s="35" t="str">
        <x:v>Initial preflight term retained for comparison with the consolidated R7 registry.</x:v>
      </x:c>
    </x:row>
    <x:row r="31">
      <x:c r="A31" s="35" t="str">
        <x:v>deliveryDate</x:v>
      </x:c>
      <x:c r="B31" s="38" t="str">
        <x:v>TRF-007 | TRF-009 | TRF-024</x:v>
      </x:c>
      <x:c r="C31" s="55" t="n">
        <x:v>3</x:v>
      </x:c>
      <x:c r="D31" s="35" t="str">
        <x:v>PROVISIONAL</x:v>
      </x:c>
      <x:c r="E31" s="35" t="str">
        <x:v>Initial preflight term retained for comparison with the consolidated R7 registry.</x:v>
      </x:c>
    </x:row>
    <x:row r="32">
      <x:c r="A32" s="35" t="str">
        <x:v>directAnalysisCase</x:v>
      </x:c>
      <x:c r="B32" s="38" t="str">
        <x:v>TRF-030</x:v>
      </x:c>
      <x:c r="C32" s="55" t="n">
        <x:v>1</x:v>
      </x:c>
      <x:c r="D32" s="35" t="str">
        <x:v>PROVISIONAL</x:v>
      </x:c>
      <x:c r="E32" s="35" t="str">
        <x:v>Initial preflight term retained for comparison with the consolidated R7 registry.</x:v>
      </x:c>
    </x:row>
    <x:row r="33">
      <x:c r="A33" s="35" t="str">
        <x:v>doubleContinuousWeld</x:v>
      </x:c>
      <x:c r="B33" s="38" t="str">
        <x:v>TRF-050</x:v>
      </x:c>
      <x:c r="C33" s="55" t="n">
        <x:v>1</x:v>
      </x:c>
      <x:c r="D33" s="35" t="str">
        <x:v>PROVISIONAL</x:v>
      </x:c>
      <x:c r="E33" s="35" t="str">
        <x:v>Initial preflight term retained for comparison with the consolidated R7 registry.</x:v>
      </x:c>
    </x:row>
    <x:row r="34">
      <x:c r="A34" s="35" t="str">
        <x:v>draughtAtAftPerpendicular</x:v>
      </x:c>
      <x:c r="B34" s="38" t="str">
        <x:v>TRF-013</x:v>
      </x:c>
      <x:c r="C34" s="55" t="n">
        <x:v>1</x:v>
      </x:c>
      <x:c r="D34" s="35" t="str">
        <x:v>PROVISIONAL</x:v>
      </x:c>
      <x:c r="E34" s="35" t="str">
        <x:v>Initial preflight term retained for comparison with the consolidated R7 registry.</x:v>
      </x:c>
    </x:row>
    <x:row r="35">
      <x:c r="A35" s="35" t="str">
        <x:v>draughtAtForePerpendicular</x:v>
      </x:c>
      <x:c r="B35" s="38" t="str">
        <x:v>TRF-013</x:v>
      </x:c>
      <x:c r="C35" s="55" t="n">
        <x:v>1</x:v>
      </x:c>
      <x:c r="D35" s="35" t="str">
        <x:v>PROVISIONAL</x:v>
      </x:c>
      <x:c r="E35" s="35" t="str">
        <x:v>Initial preflight term retained for comparison with the consolidated R7 registry.</x:v>
      </x:c>
    </x:row>
    <x:row r="36">
      <x:c r="A36" s="35" t="str">
        <x:v>effectiveFrameSpan</x:v>
      </x:c>
      <x:c r="B36" s="38" t="str">
        <x:v>TRF-044</x:v>
      </x:c>
      <x:c r="C36" s="55" t="n">
        <x:v>1</x:v>
      </x:c>
      <x:c r="D36" s="35" t="str">
        <x:v>PROVISIONAL</x:v>
      </x:c>
      <x:c r="E36" s="35" t="str">
        <x:v>Initial preflight term retained for comparison with the consolidated R7 registry.</x:v>
      </x:c>
    </x:row>
    <x:row r="37">
      <x:c r="A37" s="35" t="str">
        <x:v>effectiveMemberCrossSection</x:v>
      </x:c>
      <x:c r="B37" s="38" t="str">
        <x:v>TRF-034</x:v>
      </x:c>
      <x:c r="C37" s="55" t="n">
        <x:v>1</x:v>
      </x:c>
      <x:c r="D37" s="35" t="str">
        <x:v>PROVISIONAL</x:v>
      </x:c>
      <x:c r="E37" s="35" t="str">
        <x:v>Initial preflight term retained for comparison with the consolidated R7 registry.</x:v>
      </x:c>
    </x:row>
    <x:row r="38">
      <x:c r="A38" s="35" t="str">
        <x:v>engineOutputComplianceMethod</x:v>
      </x:c>
      <x:c r="B38" s="38" t="str">
        <x:v>TRF-007 | TRF-009 | TRF-024</x:v>
      </x:c>
      <x:c r="C38" s="55" t="n">
        <x:v>3</x:v>
      </x:c>
      <x:c r="D38" s="35" t="str">
        <x:v>PROVISIONAL</x:v>
      </x:c>
      <x:c r="E38" s="35" t="str">
        <x:v>Initial preflight term retained for comparison with the consolidated R7 registry.</x:v>
      </x:c>
    </x:row>
    <x:row r="39">
      <x:c r="A39" s="35" t="str">
        <x:v>engineOutputRegulationEdition</x:v>
      </x:c>
      <x:c r="B39" s="38" t="str">
        <x:v>TRF-006</x:v>
      </x:c>
      <x:c r="C39" s="55" t="n">
        <x:v>1</x:v>
      </x:c>
      <x:c r="D39" s="35" t="str">
        <x:v>PROVISIONAL</x:v>
      </x:c>
      <x:c r="E39" s="35" t="str">
        <x:v>Initial preflight term retained for comparison with the consolidated R7 registry.</x:v>
      </x:c>
    </x:row>
    <x:row r="40">
      <x:c r="A40" s="35" t="str">
        <x:v>firstScheduledDryDockingDate</x:v>
      </x:c>
      <x:c r="B40" s="38" t="str">
        <x:v>TRF-014</x:v>
      </x:c>
      <x:c r="C40" s="55" t="n">
        <x:v>1</x:v>
      </x:c>
      <x:c r="D40" s="35" t="str">
        <x:v>PROVISIONAL</x:v>
      </x:c>
      <x:c r="E40" s="35" t="str">
        <x:v>Initial preflight term retained for comparison with the consolidated R7 registry.</x:v>
      </x:c>
    </x:row>
    <x:row r="41">
      <x:c r="A41" s="35" t="str">
        <x:v>fixedPitchPropeller</x:v>
      </x:c>
      <x:c r="B41" s="38" t="str">
        <x:v>TRF-020</x:v>
      </x:c>
      <x:c r="C41" s="55" t="n">
        <x:v>1</x:v>
      </x:c>
      <x:c r="D41" s="35" t="str">
        <x:v>PROVISIONAL</x:v>
      </x:c>
      <x:c r="E41" s="35" t="str">
        <x:v>Initial preflight term retained for comparison with the consolidated R7 registry.</x:v>
      </x:c>
    </x:row>
    <x:row r="42">
      <x:c r="A42" s="35" t="str">
        <x:v>flatBarSection</x:v>
      </x:c>
      <x:c r="B42" s="38" t="str">
        <x:v>TRF-051</x:v>
      </x:c>
      <x:c r="C42" s="55" t="n">
        <x:v>1</x:v>
      </x:c>
      <x:c r="D42" s="35" t="str">
        <x:v>PROVISIONAL</x:v>
      </x:c>
      <x:c r="E42" s="35" t="str">
        <x:v>Initial preflight term retained for comparison with the consolidated R7 registry.</x:v>
      </x:c>
    </x:row>
    <x:row r="43">
      <x:c r="A43" s="35" t="str">
        <x:v>frameBoundaryConditionFactorM0</x:v>
      </x:c>
      <x:c r="B43" s="38" t="str">
        <x:v>TRF-044</x:v>
      </x:c>
      <x:c r="C43" s="55" t="n">
        <x:v>1</x:v>
      </x:c>
      <x:c r="D43" s="35" t="str">
        <x:v>PROVISIONAL</x:v>
      </x:c>
      <x:c r="E43" s="35" t="str">
        <x:v>Initial preflight term retained for comparison with the consolidated R7 registry.</x:v>
      </x:c>
    </x:row>
    <x:row r="44">
      <x:c r="A44" s="35" t="str">
        <x:v>frameMomentFactorM</x:v>
      </x:c>
      <x:c r="B44" s="38" t="str">
        <x:v>TRF-048 | TRF-053 | TRF-054</x:v>
      </x:c>
      <x:c r="C44" s="55" t="n">
        <x:v>3</x:v>
      </x:c>
      <x:c r="D44" s="35" t="str">
        <x:v>PROVISIONAL</x:v>
      </x:c>
      <x:c r="E44" s="35" t="str">
        <x:v>Initial preflight term retained for comparison with the consolidated R7 registry.</x:v>
      </x:c>
    </x:row>
    <x:row r="45">
      <x:c r="A45" s="35" t="str">
        <x:v>frameMomentFactorMt</x:v>
      </x:c>
      <x:c r="B45" s="38" t="str">
        <x:v>TRF-044</x:v>
      </x:c>
      <x:c r="C45" s="55" t="n">
        <x:v>1</x:v>
      </x:c>
      <x:c r="D45" s="35" t="str">
        <x:v>PROVISIONAL</x:v>
      </x:c>
      <x:c r="E45" s="35" t="str">
        <x:v>Initial preflight term retained for comparison with the consolidated R7 registry.</x:v>
      </x:c>
    </x:row>
    <x:row r="46">
      <x:c r="A46" s="35" t="str">
        <x:v>frameProfileType</x:v>
      </x:c>
      <x:c r="B46" s="38" t="str">
        <x:v>TRF-051</x:v>
      </x:c>
      <x:c r="C46" s="55" t="n">
        <x:v>1</x:v>
      </x:c>
      <x:c r="D46" s="35" t="str">
        <x:v>PROVISIONAL</x:v>
      </x:c>
      <x:c r="E46" s="35" t="str">
        <x:v>Initial preflight term retained for comparison with the consolidated R7 registry.</x:v>
      </x:c>
    </x:row>
    <x:row r="47">
      <x:c r="A47" s="35" t="str">
        <x:v>frameSpanWithinIceStrengtheningZone</x:v>
      </x:c>
      <x:c r="B47" s="38" t="str">
        <x:v>TRF-045</x:v>
      </x:c>
      <x:c r="C47" s="55" t="n">
        <x:v>1</x:v>
      </x:c>
      <x:c r="D47" s="35" t="str">
        <x:v>PROVISIONAL</x:v>
      </x:c>
      <x:c r="E47" s="35" t="str">
        <x:v>Initial preflight term retained for comparison with the consolidated R7 registry.</x:v>
      </x:c>
    </x:row>
    <x:row r="48">
      <x:c r="A48" s="35" t="str">
        <x:v>hasBallastTank</x:v>
      </x:c>
      <x:c r="B48" s="38" t="str">
        <x:v>TRF-016</x:v>
      </x:c>
      <x:c r="C48" s="55" t="n">
        <x:v>1</x:v>
      </x:c>
      <x:c r="D48" s="35" t="str">
        <x:v>PROVISIONAL</x:v>
      </x:c>
      <x:c r="E48" s="35" t="str">
        <x:v>Initial preflight term retained for comparison with the consolidated R7 registry.</x:v>
      </x:c>
    </x:row>
    <x:row r="49">
      <x:c r="A49" s="35" t="str">
        <x:v>hasDirectAnalysisCase</x:v>
      </x:c>
      <x:c r="B49" s="38" t="str">
        <x:v>TRF-030</x:v>
      </x:c>
      <x:c r="C49" s="55" t="n">
        <x:v>1</x:v>
      </x:c>
      <x:c r="D49" s="35" t="str">
        <x:v>PROVISIONAL</x:v>
      </x:c>
      <x:c r="E49" s="35" t="str">
        <x:v>Initial preflight term retained for comparison with the consolidated R7 registry.</x:v>
      </x:c>
    </x:row>
    <x:row r="50">
      <x:c r="A50" s="35" t="str">
        <x:v>hasFrameAttachment</x:v>
      </x:c>
      <x:c r="B50" s="38" t="str">
        <x:v>TRF-049</x:v>
      </x:c>
      <x:c r="C50" s="55" t="n">
        <x:v>1</x:v>
      </x:c>
      <x:c r="D50" s="35" t="str">
        <x:v>PROVISIONAL</x:v>
      </x:c>
      <x:c r="E50" s="35" t="str">
        <x:v>Initial preflight term retained for comparison with the consolidated R7 registry.</x:v>
      </x:c>
    </x:row>
    <x:row r="51">
      <x:c r="A51" s="35" t="str">
        <x:v>hasIntendedIceOperatingWaterline</x:v>
      </x:c>
      <x:c r="B51" s="38" t="str">
        <x:v>TRF-011 | TRF-012</x:v>
      </x:c>
      <x:c r="C51" s="55" t="n">
        <x:v>2</x:v>
      </x:c>
      <x:c r="D51" s="35" t="str">
        <x:v>PROVISIONAL</x:v>
      </x:c>
      <x:c r="E51" s="35" t="str">
        <x:v>Initial preflight term retained for comparison with the consolidated R7 registry.</x:v>
      </x:c>
    </x:row>
    <x:row r="52">
      <x:c r="A52" s="35" t="str">
        <x:v>hasLowerEnd</x:v>
      </x:c>
      <x:c r="B52" s="38" t="str">
        <x:v>TRF-047</x:v>
      </x:c>
      <x:c r="C52" s="55" t="n">
        <x:v>1</x:v>
      </x:c>
      <x:c r="D52" s="35" t="str">
        <x:v>PROVISIONAL</x:v>
      </x:c>
      <x:c r="E52" s="35" t="str">
        <x:v>Initial preflight term retained for comparison with the consolidated R7 registry.</x:v>
      </x:c>
    </x:row>
    <x:row r="53">
      <x:c r="A53" s="35" t="str">
        <x:v>hasLowerIceWaterline</x:v>
      </x:c>
      <x:c r="B53" s="38" t="str">
        <x:v>TRF-012 | TRF-013</x:v>
      </x:c>
      <x:c r="C53" s="55" t="n">
        <x:v>2</x:v>
      </x:c>
      <x:c r="D53" s="35" t="str">
        <x:v>PROVISIONAL</x:v>
      </x:c>
      <x:c r="E53" s="35" t="str">
        <x:v>Initial preflight term retained for comparison with the consolidated R7 registry.</x:v>
      </x:c>
    </x:row>
    <x:row r="54">
      <x:c r="A54" s="35" t="str">
        <x:v>hasSupportingBulkhead</x:v>
      </x:c>
      <x:c r="B54" s="38" t="str">
        <x:v>TRF-049</x:v>
      </x:c>
      <x:c r="C54" s="55" t="n">
        <x:v>1</x:v>
      </x:c>
      <x:c r="D54" s="35" t="str">
        <x:v>PROVISIONAL</x:v>
      </x:c>
      <x:c r="E54" s="35" t="str">
        <x:v>Initial preflight term retained for comparison with the consolidated R7 registry.</x:v>
      </x:c>
    </x:row>
    <x:row r="55">
      <x:c r="A55" s="35" t="str">
        <x:v>hasSupportingWebFrame</x:v>
      </x:c>
      <x:c r="B55" s="38" t="str">
        <x:v>TRF-049</x:v>
      </x:c>
      <x:c r="C55" s="55" t="n">
        <x:v>1</x:v>
      </x:c>
      <x:c r="D55" s="35" t="str">
        <x:v>PROVISIONAL</x:v>
      </x:c>
      <x:c r="E55" s="35" t="str">
        <x:v>Initial preflight term retained for comparison with the consolidated R7 registry.</x:v>
      </x:c>
    </x:row>
    <x:row r="56">
      <x:c r="A56" s="35" t="str">
        <x:v>hasUpperEnd</x:v>
      </x:c>
      <x:c r="B56" s="38" t="str">
        <x:v>TRF-046</x:v>
      </x:c>
      <x:c r="C56" s="55" t="n">
        <x:v>1</x:v>
      </x:c>
      <x:c r="D56" s="35" t="str">
        <x:v>PROVISIONAL</x:v>
      </x:c>
      <x:c r="E56" s="35" t="str">
        <x:v>Initial preflight term retained for comparison with the consolidated R7 registry.</x:v>
      </x:c>
    </x:row>
    <x:row r="57">
      <x:c r="A57" s="35" t="str">
        <x:v>hasUpperIceWaterline</x:v>
      </x:c>
      <x:c r="B57" s="38" t="str">
        <x:v>TRF-011 | TRF-013 | TRF-016</x:v>
      </x:c>
      <x:c r="C57" s="55" t="n">
        <x:v>3</x:v>
      </x:c>
      <x:c r="D57" s="35" t="str">
        <x:v>PROVISIONAL</x:v>
      </x:c>
      <x:c r="E57" s="35" t="str">
        <x:v>Initial preflight term retained for comparison with the consolidated R7 registry.</x:v>
      </x:c>
    </x:row>
    <x:row r="58">
      <x:c r="A58" s="35" t="str">
        <x:v>hasWaterlineProfilePoint</x:v>
      </x:c>
      <x:c r="B58" s="38" t="str">
        <x:v>TRF-011 | TRF-012</x:v>
      </x:c>
      <x:c r="C58" s="55" t="n">
        <x:v>2</x:v>
      </x:c>
      <x:c r="D58" s="35" t="str">
        <x:v>PROVISIONAL</x:v>
      </x:c>
      <x:c r="E58" s="35" t="str">
        <x:v>Initial preflight term retained for comparison with the consolidated R7 registry.</x:v>
      </x:c>
    </x:row>
    <x:row r="59">
      <x:c r="A59" s="35" t="str">
        <x:v>horizontalConnectionMember</x:v>
      </x:c>
      <x:c r="B59" s="38" t="str">
        <x:v>TRF-046 | TRF-047</x:v>
      </x:c>
      <x:c r="C59" s="55" t="n">
        <x:v>2</x:v>
      </x:c>
      <x:c r="D59" s="35" t="str">
        <x:v>PROVISIONAL</x:v>
      </x:c>
      <x:c r="E59" s="35" t="str">
        <x:v>Initial preflight term retained for comparison with the consolidated R7 registry.</x:v>
      </x:c>
    </x:row>
    <x:row r="60">
      <x:c r="A60" s="35" t="str">
        <x:v>horizontalLoadPosition</x:v>
      </x:c>
      <x:c r="B60" s="38" t="str">
        <x:v>TRF-030</x:v>
      </x:c>
      <x:c r="C60" s="55" t="n">
        <x:v>1</x:v>
      </x:c>
      <x:c r="D60" s="35" t="str">
        <x:v>PROVISIONAL</x:v>
      </x:c>
      <x:c r="E60" s="35" t="str">
        <x:v>Initial preflight term retained for comparison with the consolidated R7 registry.</x:v>
      </x:c>
    </x:row>
    <x:row r="61">
      <x:c r="A61" s="35" t="str">
        <x:v>iceClassDesignParameterSet</x:v>
      </x:c>
      <x:c r="B61" s="38" t="str">
        <x:v>TRF-036</x:v>
      </x:c>
      <x:c r="C61" s="55" t="n">
        <x:v>1</x:v>
      </x:c>
      <x:c r="D61" s="35" t="str">
        <x:v>PROVISIONAL</x:v>
      </x:c>
      <x:c r="E61" s="35" t="str">
        <x:v>Initial preflight term retained for comparison with the consolidated R7 registry.</x:v>
      </x:c>
    </x:row>
    <x:row r="62">
      <x:c r="A62" s="35" t="str">
        <x:v>iceClassDraughtMarkPresent</x:v>
      </x:c>
      <x:c r="B62" s="38" t="str">
        <x:v>TRF-014</x:v>
      </x:c>
      <x:c r="C62" s="55" t="n">
        <x:v>1</x:v>
      </x:c>
      <x:c r="D62" s="35" t="str">
        <x:v>PROVISIONAL</x:v>
      </x:c>
      <x:c r="E62" s="35" t="str">
        <x:v>Initial preflight term retained for comparison with the consolidated R7 registry.</x:v>
      </x:c>
    </x:row>
    <x:row r="63">
      <x:c r="A63" s="35" t="str">
        <x:v>iceClassFactorCp</x:v>
      </x:c>
      <x:c r="B63" s="38" t="str">
        <x:v>TRF-037</x:v>
      </x:c>
      <x:c r="C63" s="55" t="n">
        <x:v>1</x:v>
      </x:c>
      <x:c r="D63" s="35" t="str">
        <x:v>PROVISIONAL</x:v>
      </x:c>
      <x:c r="E63" s="35" t="str">
        <x:v>Initial preflight term retained for comparison with the consolidated R7 registry.</x:v>
      </x:c>
    </x:row>
    <x:row r="64">
      <x:c r="A64" s="35" t="str">
        <x:v>iceClassRegulationEdition2002</x:v>
      </x:c>
      <x:c r="B64" s="38" t="str">
        <x:v>TRF-005</x:v>
      </x:c>
      <x:c r="C64" s="55" t="n">
        <x:v>1</x:v>
      </x:c>
      <x:c r="D64" s="35" t="str">
        <x:v>PROVISIONAL</x:v>
      </x:c>
      <x:c r="E64" s="35" t="str">
        <x:v>Initial preflight term retained for comparison with the consolidated R7 registry.</x:v>
      </x:c>
    </x:row>
    <x:row r="65">
      <x:c r="A65" s="35" t="str">
        <x:v>iceClassRegulationEdition2008</x:v>
      </x:c>
      <x:c r="B65" s="38" t="str">
        <x:v>TRF-004 | TRF-006</x:v>
      </x:c>
      <x:c r="C65" s="55" t="n">
        <x:v>2</x:v>
      </x:c>
      <x:c r="D65" s="35" t="str">
        <x:v>PROVISIONAL</x:v>
      </x:c>
      <x:c r="E65" s="35" t="str">
        <x:v>Initial preflight term retained for comparison with the consolidated R7 registry.</x:v>
      </x:c>
    </x:row>
    <x:row r="66">
      <x:c r="A66" s="35" t="str">
        <x:v>iceClassRegulationEdition2010</x:v>
      </x:c>
      <x:c r="B66" s="38" t="str">
        <x:v>TRF-003</x:v>
      </x:c>
      <x:c r="C66" s="55" t="n">
        <x:v>1</x:v>
      </x:c>
      <x:c r="D66" s="35" t="str">
        <x:v>PROVISIONAL</x:v>
      </x:c>
      <x:c r="E66" s="35" t="str">
        <x:v>Initial preflight term retained for comparison with the consolidated R7 registry.</x:v>
      </x:c>
    </x:row>
    <x:row r="67">
      <x:c r="A67" s="35" t="str">
        <x:v>iceClassRegulationEdition2017</x:v>
      </x:c>
      <x:c r="B67" s="38" t="str">
        <x:v>TRF-002</x:v>
      </x:c>
      <x:c r="C67" s="55" t="n">
        <x:v>1</x:v>
      </x:c>
      <x:c r="D67" s="35" t="str">
        <x:v>PROVISIONAL</x:v>
      </x:c>
      <x:c r="E67" s="35" t="str">
        <x:v>Initial preflight term retained for comparison with the consolidated R7 registry.</x:v>
      </x:c>
    </x:row>
    <x:row r="68">
      <x:c r="A68" s="35" t="str">
        <x:v>iceClassRegulationEdition2021</x:v>
      </x:c>
      <x:c r="B68" s="38" t="str">
        <x:v>TRF-001</x:v>
      </x:c>
      <x:c r="C68" s="55" t="n">
        <x:v>1</x:v>
      </x:c>
      <x:c r="D68" s="35" t="str">
        <x:v>PROVISIONAL</x:v>
      </x:c>
      <x:c r="E68" s="35" t="str">
        <x:v>Initial preflight term retained for comparison with the consolidated R7 registry.</x:v>
      </x:c>
    </x:row>
    <x:row r="69">
      <x:c r="A69" s="35" t="str">
        <x:v>iceClassRuleEdition1985</x:v>
      </x:c>
      <x:c r="B69" s="38" t="str">
        <x:v>TRF-006 | TRF-023</x:v>
      </x:c>
      <x:c r="C69" s="55" t="n">
        <x:v>2</x:v>
      </x:c>
      <x:c r="D69" s="35" t="str">
        <x:v>PROVISIONAL</x:v>
      </x:c>
      <x:c r="E69" s="35" t="str">
        <x:v>Initial preflight term retained for comparison with the consolidated R7 registry.</x:v>
      </x:c>
    </x:row>
    <x:row r="70">
      <x:c r="A70" s="35" t="str">
        <x:v>iceDraughtRestrictionDocument</x:v>
      </x:c>
      <x:c r="B70" s="38" t="str">
        <x:v>TRF-014</x:v>
      </x:c>
      <x:c r="C70" s="55" t="n">
        <x:v>1</x:v>
      </x:c>
      <x:c r="D70" s="35" t="str">
        <x:v>PROVISIONAL</x:v>
      </x:c>
      <x:c r="E70" s="35" t="str">
        <x:v>Initial preflight term retained for comparison with the consolidated R7 registry.</x:v>
      </x:c>
    </x:row>
    <x:row r="71">
      <x:c r="A71" s="35" t="str">
        <x:v>iceLoadAreaFactorCa</x:v>
      </x:c>
      <x:c r="B71" s="38" t="str">
        <x:v>TRF-037</x:v>
      </x:c>
      <x:c r="C71" s="55" t="n">
        <x:v>1</x:v>
      </x:c>
      <x:c r="D71" s="35" t="str">
        <x:v>PROVISIONAL</x:v>
      </x:c>
      <x:c r="E71" s="35" t="str">
        <x:v>Initial preflight term retained for comparison with the consolidated R7 registry.</x:v>
      </x:c>
    </x:row>
    <x:row r="72">
      <x:c r="A72" s="35" t="str">
        <x:v>iceLoadSourceType</x:v>
      </x:c>
      <x:c r="B72" s="38" t="str">
        <x:v>TRF-057</x:v>
      </x:c>
      <x:c r="C72" s="55" t="n">
        <x:v>1</x:v>
      </x:c>
      <x:c r="D72" s="35" t="str">
        <x:v>PROVISIONAL</x:v>
      </x:c>
      <x:c r="E72" s="35" t="str">
        <x:v>Initial preflight term retained for comparison with the consolidated R7 registry.</x:v>
      </x:c>
    </x:row>
    <x:row r="73">
      <x:c r="A73" s="35" t="str">
        <x:v>iceStringerLoadSource</x:v>
      </x:c>
      <x:c r="B73" s="38" t="str">
        <x:v>TRF-057</x:v>
      </x:c>
      <x:c r="C73" s="55" t="n">
        <x:v>1</x:v>
      </x:c>
      <x:c r="D73" s="35" t="str">
        <x:v>PROVISIONAL</x:v>
      </x:c>
      <x:c r="E73" s="35" t="str">
        <x:v>Initial preflight term retained for comparison with the consolidated R7 registry.</x:v>
      </x:c>
    </x:row>
    <x:row r="74">
      <x:c r="A74" s="35" t="str">
        <x:v>iceWaterline</x:v>
      </x:c>
      <x:c r="B74" s="38" t="str">
        <x:v>TRF-011 | TRF-012</x:v>
      </x:c>
      <x:c r="C74" s="55" t="n">
        <x:v>2</x:v>
      </x:c>
      <x:c r="D74" s="35" t="str">
        <x:v>PROVISIONAL</x:v>
      </x:c>
      <x:c r="E74" s="35" t="str">
        <x:v>Initial preflight term retained for comparison with the consolidated R7 registry.</x:v>
      </x:c>
    </x:row>
    <x:row r="75">
      <x:c r="A75" s="35" t="str">
        <x:v>intendedRouteSeaWaterSalinity</x:v>
      </x:c>
      <x:c r="B75" s="38" t="str">
        <x:v>TRF-015</x:v>
      </x:c>
      <x:c r="C75" s="55" t="n">
        <x:v>1</x:v>
      </x:c>
      <x:c r="D75" s="35" t="str">
        <x:v>PROVISIONAL</x:v>
      </x:c>
      <x:c r="E75" s="35" t="str">
        <x:v>Initial preflight term retained for comparison with the consolidated R7 registry.</x:v>
      </x:c>
    </x:row>
    <x:row r="76">
      <x:c r="A76" s="35" t="str">
        <x:v>loadingCalculationSeaWaterSalinity</x:v>
      </x:c>
      <x:c r="B76" s="38" t="str">
        <x:v>TRF-015</x:v>
      </x:c>
      <x:c r="C76" s="55" t="n">
        <x:v>1</x:v>
      </x:c>
      <x:c r="D76" s="35" t="str">
        <x:v>PROVISIONAL</x:v>
      </x:c>
      <x:c r="E76" s="35" t="str">
        <x:v>Initial preflight term retained for comparison with the consolidated R7 registry.</x:v>
      </x:c>
    </x:row>
    <x:row r="77">
      <x:c r="A77" s="35" t="str">
        <x:v>loadLengthCoefficientCa</x:v>
      </x:c>
      <x:c r="B77" s="38" t="str">
        <x:v>TRF-030</x:v>
      </x:c>
      <x:c r="C77" s="55" t="n">
        <x:v>1</x:v>
      </x:c>
      <x:c r="D77" s="35" t="str">
        <x:v>PROVISIONAL</x:v>
      </x:c>
      <x:c r="E77" s="35" t="str">
        <x:v>Initial preflight term retained for comparison with the consolidated R7 registry.</x:v>
      </x:c>
    </x:row>
    <x:row r="78">
      <x:c r="A78" s="35" t="str">
        <x:v>loadLengthDeterminedFromArrangement</x:v>
      </x:c>
      <x:c r="B78" s="38" t="str">
        <x:v>TRF-030</x:v>
      </x:c>
      <x:c r="C78" s="55" t="n">
        <x:v>1</x:v>
      </x:c>
      <x:c r="D78" s="35" t="str">
        <x:v>PROVISIONAL</x:v>
      </x:c>
      <x:c r="E78" s="35" t="str">
        <x:v>Initial preflight term retained for comparison with the consolidated R7 registry.</x:v>
      </x:c>
    </x:row>
    <x:row r="79">
      <x:c r="A79" s="35" t="str">
        <x:v>longitudinalFraming</x:v>
      </x:c>
      <x:c r="B79" s="38" t="str">
        <x:v>TRF-041</x:v>
      </x:c>
      <x:c r="C79" s="55" t="n">
        <x:v>1</x:v>
      </x:c>
      <x:c r="D79" s="35" t="str">
        <x:v>PROVISIONAL</x:v>
      </x:c>
      <x:c r="E79" s="35" t="str">
        <x:v>Initial preflight term retained for comparison with the consolidated R7 registry.</x:v>
      </x:c>
    </x:row>
    <x:row r="80">
      <x:c r="A80" s="35" t="str">
        <x:v>longitudinalFramingLoadSource</x:v>
      </x:c>
      <x:c r="B80" s="38" t="str">
        <x:v>TRF-057</x:v>
      </x:c>
      <x:c r="C80" s="55" t="n">
        <x:v>1</x:v>
      </x:c>
      <x:c r="D80" s="35" t="str">
        <x:v>PROVISIONAL</x:v>
      </x:c>
      <x:c r="E80" s="35" t="str">
        <x:v>Initial preflight term retained for comparison with the consolidated R7 registry.</x:v>
      </x:c>
    </x:row>
    <x:row r="81">
      <x:c r="A81" s="35" t="str">
        <x:v>longitudinalPosition</x:v>
      </x:c>
      <x:c r="B81" s="38" t="str">
        <x:v>TRF-011 | TRF-012</x:v>
      </x:c>
      <x:c r="C81" s="55" t="n">
        <x:v>2</x:v>
      </x:c>
      <x:c r="D81" s="35" t="str">
        <x:v>PROVISIONAL</x:v>
      </x:c>
      <x:c r="E81" s="35" t="str">
        <x:v>Initial preflight term retained for comparison with the consolidated R7 registry.</x:v>
      </x:c>
    </x:row>
    <x:row r="82">
      <x:c r="A82" s="35" t="str">
        <x:v>mainFrameBelowIceBeltStrengthened</x:v>
      </x:c>
      <x:c r="B82" s="38" t="str">
        <x:v>TRF-047</x:v>
      </x:c>
      <x:c r="C82" s="55" t="n">
        <x:v>1</x:v>
      </x:c>
      <x:c r="D82" s="35" t="str">
        <x:v>PROVISIONAL</x:v>
      </x:c>
      <x:c r="E82" s="35" t="str">
        <x:v>Initial preflight term retained for comparison with the consolidated R7 registry.</x:v>
      </x:c>
    </x:row>
    <x:row r="83">
      <x:c r="A83" s="35" t="str">
        <x:v>maximumCalculatedShearForce</x:v>
      </x:c>
      <x:c r="B83" s="38" t="str">
        <x:v>TRF-059</x:v>
      </x:c>
      <x:c r="C83" s="55" t="n">
        <x:v>1</x:v>
      </x:c>
      <x:c r="D83" s="35" t="str">
        <x:v>PROVISIONAL</x:v>
      </x:c>
      <x:c r="E83" s="35" t="str">
        <x:v>Initial preflight term retained for comparison with the consolidated R7 registry.</x:v>
      </x:c>
    </x:row>
    <x:row r="84">
      <x:c r="A84" s="35" t="str">
        <x:v>maximumIceClassDraughtAft</x:v>
      </x:c>
      <x:c r="B84" s="38" t="str">
        <x:v>TRF-014</x:v>
      </x:c>
      <x:c r="C84" s="55" t="n">
        <x:v>1</x:v>
      </x:c>
      <x:c r="D84" s="35" t="str">
        <x:v>PROVISIONAL</x:v>
      </x:c>
      <x:c r="E84" s="35" t="str">
        <x:v>Initial preflight term retained for comparison with the consolidated R7 registry.</x:v>
      </x:c>
    </x:row>
    <x:row r="85">
      <x:c r="A85" s="35" t="str">
        <x:v>maximumIceClassDraughtAmidships</x:v>
      </x:c>
      <x:c r="B85" s="38" t="str">
        <x:v>TRF-014</x:v>
      </x:c>
      <x:c r="C85" s="55" t="n">
        <x:v>1</x:v>
      </x:c>
      <x:c r="D85" s="35" t="str">
        <x:v>PROVISIONAL</x:v>
      </x:c>
      <x:c r="E85" s="35" t="str">
        <x:v>Initial preflight term retained for comparison with the consolidated R7 registry.</x:v>
      </x:c>
    </x:row>
    <x:row r="86">
      <x:c r="A86" s="35" t="str">
        <x:v>maximumIceClassDraughtFore</x:v>
      </x:c>
      <x:c r="B86" s="38" t="str">
        <x:v>TRF-014</x:v>
      </x:c>
      <x:c r="C86" s="55" t="n">
        <x:v>1</x:v>
      </x:c>
      <x:c r="D86" s="35" t="str">
        <x:v>PROVISIONAL</x:v>
      </x:c>
      <x:c r="E86" s="35" t="str">
        <x:v>Initial preflight term retained for comparison with the consolidated R7 registry.</x:v>
      </x:c>
    </x:row>
    <x:row r="87">
      <x:c r="A87" s="35" t="str">
        <x:v>maximumPermittedIceTrim</x:v>
      </x:c>
      <x:c r="B87" s="38" t="str">
        <x:v>TRF-015</x:v>
      </x:c>
      <x:c r="C87" s="55" t="n">
        <x:v>1</x:v>
      </x:c>
      <x:c r="D87" s="35" t="str">
        <x:v>PROVISIONAL</x:v>
      </x:c>
      <x:c r="E87" s="35" t="str">
        <x:v>Initial preflight term retained for comparison with the consolidated R7 registry.</x:v>
      </x:c>
    </x:row>
    <x:row r="88">
      <x:c r="A88" s="35" t="str">
        <x:v>memberNormalToPlating</x:v>
      </x:c>
      <x:c r="B88" s="38" t="str">
        <x:v>TRF-034</x:v>
      </x:c>
      <x:c r="C88" s="55" t="n">
        <x:v>1</x:v>
      </x:c>
      <x:c r="D88" s="35" t="str">
        <x:v>PROVISIONAL</x:v>
      </x:c>
      <x:c r="E88" s="35" t="str">
        <x:v>Initial preflight term retained for comparison with the consolidated R7 registry.</x:v>
      </x:c>
    </x:row>
    <x:row r="89">
      <x:c r="A89" s="35" t="str">
        <x:v>midbodyRegion</x:v>
      </x:c>
      <x:c r="B89" s="38" t="str">
        <x:v>TRF-052</x:v>
      </x:c>
      <x:c r="C89" s="55" t="n">
        <x:v>1</x:v>
      </x:c>
      <x:c r="D89" s="35" t="str">
        <x:v>PROVISIONAL</x:v>
      </x:c>
      <x:c r="E89" s="35" t="str">
        <x:v>Initial preflight term retained for comparison with the consolidated R7 registry.</x:v>
      </x:c>
    </x:row>
    <x:row r="90">
      <x:c r="A90" s="35" t="str">
        <x:v>minimumIceClassDraughtAft</x:v>
      </x:c>
      <x:c r="B90" s="38" t="str">
        <x:v>TRF-014</x:v>
      </x:c>
      <x:c r="C90" s="55" t="n">
        <x:v>1</x:v>
      </x:c>
      <x:c r="D90" s="35" t="str">
        <x:v>PROVISIONAL</x:v>
      </x:c>
      <x:c r="E90" s="35" t="str">
        <x:v>Initial preflight term retained for comparison with the consolidated R7 registry.</x:v>
      </x:c>
    </x:row>
    <x:row r="91">
      <x:c r="A91" s="35" t="str">
        <x:v>minimumIceClassDraughtAmidships</x:v>
      </x:c>
      <x:c r="B91" s="38" t="str">
        <x:v>TRF-014</x:v>
      </x:c>
      <x:c r="C91" s="55" t="n">
        <x:v>1</x:v>
      </x:c>
      <x:c r="D91" s="35" t="str">
        <x:v>PROVISIONAL</x:v>
      </x:c>
      <x:c r="E91" s="35" t="str">
        <x:v>Initial preflight term retained for comparison with the consolidated R7 registry.</x:v>
      </x:c>
    </x:row>
    <x:row r="92">
      <x:c r="A92" s="35" t="str">
        <x:v>minimumIceClassDraughtFore</x:v>
      </x:c>
      <x:c r="B92" s="38" t="str">
        <x:v>TRF-014</x:v>
      </x:c>
      <x:c r="C92" s="55" t="n">
        <x:v>1</x:v>
      </x:c>
      <x:c r="D92" s="35" t="str">
        <x:v>PROVISIONAL</x:v>
      </x:c>
      <x:c r="E92" s="35" t="str">
        <x:v>Initial preflight term retained for comparison with the consolidated R7 registry.</x:v>
      </x:c>
    </x:row>
    <x:row r="93">
      <x:c r="A93" s="35" t="str">
        <x:v>narrowDeckStrip</x:v>
      </x:c>
      <x:c r="B93" s="38" t="str">
        <x:v>TRF-055</x:v>
      </x:c>
      <x:c r="C93" s="55" t="n">
        <x:v>1</x:v>
      </x:c>
      <x:c r="D93" s="35" t="str">
        <x:v>PROVISIONAL</x:v>
      </x:c>
      <x:c r="E93" s="35" t="str">
        <x:v>Initial preflight term retained for comparison with the consolidated R7 registry.</x:v>
      </x:c>
    </x:row>
    <x:row r="94">
      <x:c r="A94" s="35" t="str">
        <x:v>netActualFrameShearArea</x:v>
      </x:c>
      <x:c r="B94" s="38" t="str">
        <x:v>TRF-048</x:v>
      </x:c>
      <x:c r="C94" s="55" t="n">
        <x:v>1</x:v>
      </x:c>
      <x:c r="D94" s="35" t="str">
        <x:v>PROVISIONAL</x:v>
      </x:c>
      <x:c r="E94" s="35" t="str">
        <x:v>Initial preflight term retained for comparison with the consolidated R7 registry.</x:v>
      </x:c>
    </x:row>
    <x:row r="95">
      <x:c r="A95" s="35" t="str">
        <x:v>operatingAftDraught</x:v>
      </x:c>
      <x:c r="B95" s="38" t="str">
        <x:v>TRF-013</x:v>
      </x:c>
      <x:c r="C95" s="55" t="n">
        <x:v>1</x:v>
      </x:c>
      <x:c r="D95" s="35" t="str">
        <x:v>PROVISIONAL</x:v>
      </x:c>
      <x:c r="E95" s="35" t="str">
        <x:v>Initial preflight term retained for comparison with the consolidated R7 registry.</x:v>
      </x:c>
    </x:row>
    <x:row r="96">
      <x:c r="A96" s="35" t="str">
        <x:v>operatingDraught</x:v>
      </x:c>
      <x:c r="B96" s="38" t="str">
        <x:v>TRF-015</x:v>
      </x:c>
      <x:c r="C96" s="55" t="n">
        <x:v>1</x:v>
      </x:c>
      <x:c r="D96" s="35" t="str">
        <x:v>PROVISIONAL</x:v>
      </x:c>
      <x:c r="E96" s="35" t="str">
        <x:v>Initial preflight term retained for comparison with the consolidated R7 registry.</x:v>
      </x:c>
    </x:row>
    <x:row r="97">
      <x:c r="A97" s="35" t="str">
        <x:v>operatingForeDraught</x:v>
      </x:c>
      <x:c r="B97" s="38" t="str">
        <x:v>TRF-013</x:v>
      </x:c>
      <x:c r="C97" s="55" t="n">
        <x:v>1</x:v>
      </x:c>
      <x:c r="D97" s="35" t="str">
        <x:v>PROVISIONAL</x:v>
      </x:c>
      <x:c r="E97" s="35" t="str">
        <x:v>Initial preflight term retained for comparison with the consolidated R7 registry.</x:v>
      </x:c>
    </x:row>
    <x:row r="98">
      <x:c r="A98" s="35" t="str">
        <x:v>operatingTrim</x:v>
      </x:c>
      <x:c r="B98" s="38" t="str">
        <x:v>TRF-015</x:v>
      </x:c>
      <x:c r="C98" s="55" t="n">
        <x:v>1</x:v>
      </x:c>
      <x:c r="D98" s="35" t="str">
        <x:v>PROVISIONAL</x:v>
      </x:c>
      <x:c r="E98" s="35" t="str">
        <x:v>Initial preflight term retained for comparison with the consolidated R7 registry.</x:v>
      </x:c>
    </x:row>
    <x:row r="99">
      <x:c r="A99" s="35" t="str">
        <x:v>ordinaryFrameScantlingsUsed</x:v>
      </x:c>
      <x:c r="B99" s="38" t="str">
        <x:v>TRF-045</x:v>
      </x:c>
      <x:c r="C99" s="55" t="n">
        <x:v>1</x:v>
      </x:c>
      <x:c r="D99" s="35" t="str">
        <x:v>PROVISIONAL</x:v>
      </x:c>
      <x:c r="E99" s="35" t="str">
        <x:v>Initial preflight term retained for comparison with the consolidated R7 registry.</x:v>
      </x:c>
    </x:row>
    <x:row r="100">
      <x:c r="A100" s="35" t="str">
        <x:v>permittedReducedLineLoad</x:v>
      </x:c>
      <x:c r="B100" s="38" t="str">
        <x:v>TRF-055</x:v>
      </x:c>
      <x:c r="C100" s="55" t="n">
        <x:v>1</x:v>
      </x:c>
      <x:c r="D100" s="35" t="str">
        <x:v>PROVISIONAL</x:v>
      </x:c>
      <x:c r="E100" s="35" t="str">
        <x:v>Initial preflight term retained for comparison with the consolidated R7 registry.</x:v>
      </x:c>
    </x:row>
    <x:row r="101">
      <x:c r="A101" s="35" t="str">
        <x:v>platingFramingOrientation</x:v>
      </x:c>
      <x:c r="B101" s="38" t="str">
        <x:v>TRF-041</x:v>
      </x:c>
      <x:c r="C101" s="55" t="n">
        <x:v>1</x:v>
      </x:c>
      <x:c r="D101" s="35" t="str">
        <x:v>PROVISIONAL</x:v>
      </x:c>
      <x:c r="E101" s="35" t="str">
        <x:v>Initial preflight term retained for comparison with the consolidated R7 registry.</x:v>
      </x:c>
    </x:row>
    <x:row r="102">
      <x:c r="A102" s="35" t="str">
        <x:v>platingPressure</x:v>
      </x:c>
      <x:c r="B102" s="38" t="str">
        <x:v>TRF-041</x:v>
      </x:c>
      <x:c r="C102" s="55" t="n">
        <x:v>1</x:v>
      </x:c>
      <x:c r="D102" s="35" t="str">
        <x:v>PROVISIONAL</x:v>
      </x:c>
      <x:c r="E102" s="35" t="str">
        <x:v>Initial preflight term retained for comparison with the consolidated R7 registry.</x:v>
      </x:c>
    </x:row>
    <x:row r="103">
      <x:c r="A103" s="35" t="str">
        <x:v>profileSection</x:v>
      </x:c>
      <x:c r="B103" s="38" t="str">
        <x:v>TRF-051</x:v>
      </x:c>
      <x:c r="C103" s="55" t="n">
        <x:v>1</x:v>
      </x:c>
      <x:c r="D103" s="35" t="str">
        <x:v>PROVISIONAL</x:v>
      </x:c>
      <x:c r="E103" s="35" t="str">
        <x:v>Initial preflight term retained for comparison with the consolidated R7 registry.</x:v>
      </x:c>
    </x:row>
    <x:row r="104">
      <x:c r="A104" s="35" t="str">
        <x:v>propulsionMachineryContinuousOutput</x:v>
      </x:c>
      <x:c r="B104" s="38" t="str">
        <x:v>TRF-017</x:v>
      </x:c>
      <x:c r="C104" s="55" t="n">
        <x:v>1</x:v>
      </x:c>
      <x:c r="D104" s="35" t="str">
        <x:v>PROVISIONAL</x:v>
      </x:c>
      <x:c r="E104" s="35" t="str">
        <x:v>Initial preflight term retained for comparison with the consolidated R7 registry.</x:v>
      </x:c>
    </x:row>
    <x:row r="105">
      <x:c r="A105" s="35" t="str">
        <x:v>propulsionOutputRestrictionApplies</x:v>
      </x:c>
      <x:c r="B105" s="38" t="str">
        <x:v>TRF-017</x:v>
      </x:c>
      <x:c r="C105" s="55" t="n">
        <x:v>1</x:v>
      </x:c>
      <x:c r="D105" s="35" t="str">
        <x:v>PROVISIONAL</x:v>
      </x:c>
      <x:c r="E105" s="35" t="str">
        <x:v>Initial preflight term retained for comparison with the consolidated R7 registry.</x:v>
      </x:c>
    </x:row>
    <x:row r="106">
      <x:c r="A106" s="35" t="str">
        <x:v>propulsionSystemType</x:v>
      </x:c>
      <x:c r="B106" s="38" t="str">
        <x:v>TRF-020</x:v>
      </x:c>
      <x:c r="C106" s="55" t="n">
        <x:v>1</x:v>
      </x:c>
      <x:c r="D106" s="35" t="str">
        <x:v>PROVISIONAL</x:v>
      </x:c>
      <x:c r="E106" s="35" t="str">
        <x:v>Initial preflight term retained for comparison with the consolidated R7 registry.</x:v>
      </x:c>
    </x:row>
    <x:row r="107">
      <x:c r="A107" s="35" t="str">
        <x:v>readilyAvailableToMaster</x:v>
      </x:c>
      <x:c r="B107" s="38" t="str">
        <x:v>TRF-014</x:v>
      </x:c>
      <x:c r="C107" s="55" t="n">
        <x:v>1</x:v>
      </x:c>
      <x:c r="D107" s="35" t="str">
        <x:v>PROVISIONAL</x:v>
      </x:c>
      <x:c r="E107" s="35" t="str">
        <x:v>Initial preflight term retained for comparison with the consolidated R7 registry.</x:v>
      </x:c>
    </x:row>
    <x:row r="108">
      <x:c r="A108" s="35" t="str">
        <x:v>regulationRequiredScantling</x:v>
      </x:c>
      <x:c r="B108" s="38" t="str">
        <x:v>TRF-032</x:v>
      </x:c>
      <x:c r="C108" s="55" t="n">
        <x:v>1</x:v>
      </x:c>
      <x:c r="D108" s="35" t="str">
        <x:v>PROVISIONAL</x:v>
      </x:c>
      <x:c r="E108" s="35" t="str">
        <x:v>Initial preflight term retained for comparison with the consolidated R7 registry.</x:v>
      </x:c>
    </x:row>
    <x:row r="109">
      <x:c r="A109" s="35" t="str">
        <x:v>requiredPowerUnder1985Rules</x:v>
      </x:c>
      <x:c r="B109" s="38" t="str">
        <x:v>TRF-023</x:v>
      </x:c>
      <x:c r="C109" s="55" t="n">
        <x:v>1</x:v>
      </x:c>
      <x:c r="D109" s="35" t="str">
        <x:v>PROVISIONAL</x:v>
      </x:c>
      <x:c r="E109" s="35" t="str">
        <x:v>Initial preflight term retained for comparison with the consolidated R7 registry.</x:v>
      </x:c>
    </x:row>
    <x:row r="110">
      <x:c r="A110" s="35" t="str">
        <x:v>restrictedPropulsionOutput</x:v>
      </x:c>
      <x:c r="B110" s="38" t="str">
        <x:v>TRF-017</x:v>
      </x:c>
      <x:c r="C110" s="55" t="n">
        <x:v>1</x:v>
      </x:c>
      <x:c r="D110" s="35" t="str">
        <x:v>PROVISIONAL</x:v>
      </x:c>
      <x:c r="E110" s="35" t="str">
        <x:v>Initial preflight term retained for comparison with the consolidated R7 registry.</x:v>
      </x:c>
    </x:row>
    <x:row r="111">
      <x:c r="A111" s="35" t="str">
        <x:v>retainedOnBoard</x:v>
      </x:c>
      <x:c r="B111" s="38" t="str">
        <x:v>TRF-014</x:v>
      </x:c>
      <x:c r="C111" s="55" t="n">
        <x:v>1</x:v>
      </x:c>
      <x:c r="D111" s="35" t="str">
        <x:v>PROVISIONAL</x:v>
      </x:c>
      <x:c r="E111" s="35" t="str">
        <x:v>Initial preflight term retained for comparison with the consolidated R7 registry.</x:v>
      </x:c>
    </x:row>
    <x:row r="112">
      <x:c r="A112" s="35" t="str">
        <x:v>sameScantlingsAsMainFrame</x:v>
      </x:c>
      <x:c r="B112" s="38" t="str">
        <x:v>TRF-046 | TRF-047</x:v>
      </x:c>
      <x:c r="C112" s="55" t="n">
        <x:v>2</x:v>
      </x:c>
      <x:c r="D112" s="35" t="str">
        <x:v>PROVISIONAL</x:v>
      </x:c>
      <x:c r="E112" s="35" t="str">
        <x:v>Initial preflight term retained for comparison with the consolidated R7 registry.</x:v>
      </x:c>
    </x:row>
    <x:row r="113">
      <x:c r="A113" s="35" t="str">
        <x:v>selectedDesignScantling</x:v>
      </x:c>
      <x:c r="B113" s="38" t="str">
        <x:v>TRF-032</x:v>
      </x:c>
      <x:c r="C113" s="55" t="n">
        <x:v>1</x:v>
      </x:c>
      <x:c r="D113" s="35" t="str">
        <x:v>PROVISIONAL</x:v>
      </x:c>
      <x:c r="E113" s="35" t="str">
        <x:v>Initial preflight term retained for comparison with the consolidated R7 registry.</x:v>
      </x:c>
    </x:row>
    <x:row r="114">
      <x:c r="A114" s="35" t="str">
        <x:v>servesAsIceStringer</x:v>
      </x:c>
      <x:c r="B114" s="38" t="str">
        <x:v>TRF-055</x:v>
      </x:c>
      <x:c r="C114" s="55" t="n">
        <x:v>1</x:v>
      </x:c>
      <x:c r="D114" s="35" t="str">
        <x:v>PROVISIONAL</x:v>
      </x:c>
      <x:c r="E114" s="35" t="str">
        <x:v>Initial preflight term retained for comparison with the consolidated R7 registry.</x:v>
      </x:c>
    </x:row>
    <x:row r="115">
      <x:c r="A115" s="35" t="str">
        <x:v>shipSizeEngineOutputFactorCd</x:v>
      </x:c>
      <x:c r="B115" s="38" t="str">
        <x:v>TRF-037</x:v>
      </x:c>
      <x:c r="C115" s="55" t="n">
        <x:v>1</x:v>
      </x:c>
      <x:c r="D115" s="35" t="str">
        <x:v>PROVISIONAL</x:v>
      </x:c>
      <x:c r="E115" s="35" t="str">
        <x:v>Initial preflight term retained for comparison with the consolidated R7 registry.</x:v>
      </x:c>
    </x:row>
    <x:row r="116">
      <x:c r="A116" s="35" t="str">
        <x:v>situatedAboveLowerIceWaterline</x:v>
      </x:c>
      <x:c r="B116" s="38" t="str">
        <x:v>TRF-016</x:v>
      </x:c>
      <x:c r="C116" s="55" t="n">
        <x:v>1</x:v>
      </x:c>
      <x:c r="D116" s="35" t="str">
        <x:v>PROVISIONAL</x:v>
      </x:c>
      <x:c r="E116" s="35" t="str">
        <x:v>Initial preflight term retained for comparison with the consolidated R7 registry.</x:v>
      </x:c>
    </x:row>
    <x:row r="117">
      <x:c r="A117" s="35" t="str">
        <x:v>specialSurfaceCoatingMaintained</x:v>
      </x:c>
      <x:c r="B117" s="38" t="str">
        <x:v>TRF-042</x:v>
      </x:c>
      <x:c r="C117" s="55" t="n">
        <x:v>1</x:v>
      </x:c>
      <x:c r="D117" s="35" t="str">
        <x:v>PROVISIONAL</x:v>
      </x:c>
      <x:c r="E117" s="35" t="str">
        <x:v>Initial preflight term retained for comparison with the consolidated R7 registry.</x:v>
      </x:c>
    </x:row>
    <x:row r="118">
      <x:c r="A118" s="35" t="str">
        <x:v>summerLoadLineFreshWaterDraught</x:v>
      </x:c>
      <x:c r="B118" s="38" t="str">
        <x:v>TRF-014</x:v>
      </x:c>
      <x:c r="C118" s="55" t="n">
        <x:v>1</x:v>
      </x:c>
      <x:c r="D118" s="35" t="str">
        <x:v>PROVISIONAL</x:v>
      </x:c>
      <x:c r="E118" s="35" t="str">
        <x:v>Initial preflight term retained for comparison with the consolidated R7 registry.</x:v>
      </x:c>
    </x:row>
    <x:row r="119">
      <x:c r="A119" s="35" t="str">
        <x:v>supportedStringerOutsideIceBelt</x:v>
      </x:c>
      <x:c r="B119" s="38" t="str">
        <x:v>TRF-058</x:v>
      </x:c>
      <x:c r="C119" s="55" t="n">
        <x:v>1</x:v>
      </x:c>
      <x:c r="D119" s="35" t="str">
        <x:v>PROVISIONAL</x:v>
      </x:c>
      <x:c r="E119" s="35" t="str">
        <x:v>Initial preflight term retained for comparison with the consolidated R7 registry.</x:v>
      </x:c>
    </x:row>
    <x:row r="120">
      <x:c r="A120" s="35" t="str">
        <x:v>supportingStructureAtOrAboveIceBeltUpperLimit</x:v>
      </x:c>
      <x:c r="B120" s="38" t="str">
        <x:v>TRF-046</x:v>
      </x:c>
      <x:c r="C120" s="55" t="n">
        <x:v>1</x:v>
      </x:c>
      <x:c r="D120" s="35" t="str">
        <x:v>PROVISIONAL</x:v>
      </x:c>
      <x:c r="E120" s="35" t="str">
        <x:v>Initial preflight term retained for comparison with the consolidated R7 registry.</x:v>
      </x:c>
    </x:row>
    <x:row r="121">
      <x:c r="A121" s="35" t="str">
        <x:v>supportingStructureAtOrBelowIceBeltLowerLimit</x:v>
      </x:c>
      <x:c r="B121" s="38" t="str">
        <x:v>TRF-047</x:v>
      </x:c>
      <x:c r="C121" s="55" t="n">
        <x:v>1</x:v>
      </x:c>
      <x:c r="D121" s="35" t="str">
        <x:v>PROVISIONAL</x:v>
      </x:c>
      <x:c r="E121" s="35" t="str">
        <x:v>Initial preflight term retained for comparison with the consolidated R7 registry.</x:v>
      </x:c>
    </x:row>
    <x:row r="122">
      <x:c r="A122" s="35" t="str">
        <x:v>terminatesAboveSupportingStructure</x:v>
      </x:c>
      <x:c r="B122" s="38" t="str">
        <x:v>TRF-046</x:v>
      </x:c>
      <x:c r="C122" s="55" t="n">
        <x:v>1</x:v>
      </x:c>
      <x:c r="D122" s="35" t="str">
        <x:v>PROVISIONAL</x:v>
      </x:c>
      <x:c r="E122" s="35" t="str">
        <x:v>Initial preflight term retained for comparison with the consolidated R7 registry.</x:v>
      </x:c>
    </x:row>
    <x:row r="123">
      <x:c r="A123" s="35" t="str">
        <x:v>terminatesBelowSupportingStructure</x:v>
      </x:c>
      <x:c r="B123" s="38" t="str">
        <x:v>TRF-047</x:v>
      </x:c>
      <x:c r="C123" s="55" t="n">
        <x:v>1</x:v>
      </x:c>
      <x:c r="D123" s="35" t="str">
        <x:v>PROVISIONAL</x:v>
      </x:c>
      <x:c r="E123" s="35" t="str">
        <x:v>Initial preflight term retained for comparison with the consolidated R7 registry.</x:v>
      </x:c>
    </x:row>
    <x:row r="124">
      <x:c r="A124" s="35" t="str">
        <x:v>traficom2017Section3Point2Point2Method</x:v>
      </x:c>
      <x:c r="B124" s="38" t="str">
        <x:v>TRF-007 | TRF-009 | TRF-024</x:v>
      </x:c>
      <x:c r="C124" s="55" t="n">
        <x:v>3</x:v>
      </x:c>
      <x:c r="D124" s="35" t="str">
        <x:v>PROVISIONAL</x:v>
      </x:c>
      <x:c r="E124" s="35" t="str">
        <x:v>Initial preflight term retained for comparison with the consolidated R7 registry.</x:v>
      </x:c>
    </x:row>
    <x:row r="125">
      <x:c r="A125" s="35" t="str">
        <x:v>traficom2017Section3Point2Point4Method</x:v>
      </x:c>
      <x:c r="B125" s="38" t="str">
        <x:v>TRF-007 | TRF-009 | TRF-024</x:v>
      </x:c>
      <x:c r="C125" s="55" t="n">
        <x:v>3</x:v>
      </x:c>
      <x:c r="D125" s="35" t="str">
        <x:v>PROVISIONAL</x:v>
      </x:c>
      <x:c r="E125" s="35" t="str">
        <x:v>Initial preflight term retained for comparison with the consolidated R7 registry.</x:v>
      </x:c>
    </x:row>
    <x:row r="126">
      <x:c r="A126" s="35" t="str">
        <x:v>transverseFraming</x:v>
      </x:c>
      <x:c r="B126" s="38" t="str">
        <x:v>TRF-041</x:v>
      </x:c>
      <x:c r="C126" s="55" t="n">
        <x:v>1</x:v>
      </x:c>
      <x:c r="D126" s="35" t="str">
        <x:v>PROVISIONAL</x:v>
      </x:c>
      <x:c r="E126" s="35" t="str">
        <x:v>Initial preflight term retained for comparison with the consolidated R7 registry.</x:v>
      </x:c>
    </x:row>
    <x:row r="127">
      <x:c r="A127" s="35" t="str">
        <x:v>usedToReachLowerIceWaterline</x:v>
      </x:c>
      <x:c r="B127" s="38" t="str">
        <x:v>TRF-016</x:v>
      </x:c>
      <x:c r="C127" s="55" t="n">
        <x:v>1</x:v>
      </x:c>
      <x:c r="D127" s="35" t="str">
        <x:v>PROVISIONAL</x:v>
      </x:c>
      <x:c r="E127" s="35" t="str">
        <x:v>Initial preflight term retained for comparison with the consolidated R7 registry.</x:v>
      </x:c>
    </x:row>
    <x:row r="128">
      <x:c r="A128" s="35" t="str">
        <x:v>verticalCoordinate</x:v>
      </x:c>
      <x:c r="B128" s="38" t="str">
        <x:v>TRF-011 | TRF-012</x:v>
      </x:c>
      <x:c r="C128" s="55" t="n">
        <x:v>2</x:v>
      </x:c>
      <x:c r="D128" s="35" t="str">
        <x:v>PROVISIONAL</x:v>
      </x:c>
      <x:c r="E128" s="35" t="str">
        <x:v>Initial preflight term retained for comparison with the consolidated R7 registry.</x:v>
      </x:c>
    </x:row>
    <x:row r="129">
      <x:c r="A129" s="35" t="str">
        <x:v>verticalLoadPosition</x:v>
      </x:c>
      <x:c r="B129" s="38" t="str">
        <x:v>TRF-030</x:v>
      </x:c>
      <x:c r="C129" s="55" t="n">
        <x:v>1</x:v>
      </x:c>
      <x:c r="D129" s="35" t="str">
        <x:v>PROVISIONAL</x:v>
      </x:c>
      <x:c r="E129" s="35" t="str">
        <x:v>Initial preflight term retained for comparison with the consolidated R7 registry.</x:v>
      </x:c>
    </x:row>
    <x:row r="130">
      <x:c r="A130" s="35" t="str">
        <x:v>veryLongHatch</x:v>
      </x:c>
      <x:c r="B130" s="38" t="str">
        <x:v>TRF-055</x:v>
      </x:c>
      <x:c r="C130" s="55" t="n">
        <x:v>1</x:v>
      </x:c>
      <x:c r="D130" s="35" t="str">
        <x:v>PROVISIONAL</x:v>
      </x:c>
      <x:c r="E130" s="35" t="str">
        <x:v>Initial preflight term retained for comparison with the consolidated R7 registry.</x:v>
      </x:c>
    </x:row>
    <x:row r="131">
      <x:c r="A131" s="35" t="str">
        <x:v>warningTrianglePresent</x:v>
      </x:c>
      <x:c r="B131" s="38" t="str">
        <x:v>TRF-014</x:v>
      </x:c>
      <x:c r="C131" s="55" t="n">
        <x:v>1</x:v>
      </x:c>
      <x:c r="D131" s="35" t="str">
        <x:v>PROVISIONAL</x:v>
      </x:c>
      <x:c r="E131" s="35" t="str">
        <x:v>Initial preflight term retained for comparison with the consolidated R7 registry.</x:v>
      </x:c>
    </x:row>
    <x:row r="132">
      <x:c r="A132" s="35" t="str">
        <x:v>waterlineAngleAtQuarterBreadth</x:v>
      </x:c>
      <x:c r="B132" s="38" t="str">
        <x:v>TRF-022</x:v>
      </x:c>
      <x:c r="C132" s="55" t="n">
        <x:v>1</x:v>
      </x:c>
      <x:c r="D132" s="35" t="str">
        <x:v>PROVISIONAL</x:v>
      </x:c>
      <x:c r="E132" s="35" t="str">
        <x:v>Initial preflight term retained for comparison with the consolidated R7 registry.</x:v>
      </x:c>
    </x:row>
    <x:row r="133">
      <x:c r="A133" s="35" t="str">
        <x:v>waterlineDisplacement</x:v>
      </x:c>
      <x:c r="B133" s="38" t="str">
        <x:v>TRF-016</x:v>
      </x:c>
      <x:c r="C133" s="55" t="n">
        <x:v>1</x:v>
      </x:c>
      <x:c r="D133" s="35" t="str">
        <x:v>PROVISIONAL</x:v>
      </x:c>
      <x:c r="E133" s="35" t="str">
        <x:v>Initial preflight term retained for comparison with the consolidated R7 registry.</x:v>
      </x:c>
    </x:row>
    <x:row r="134">
      <x:c r="A134" s="35" t="str">
        <x:v>waterlineProfilePoint</x:v>
      </x:c>
      <x:c r="B134" s="38" t="str">
        <x:v>TRF-011 | TRF-012</x:v>
      </x:c>
      <x:c r="C134" s="55" t="n">
        <x:v>2</x:v>
      </x:c>
      <x:c r="D134" s="35" t="str">
        <x:v>PROVISIONAL</x:v>
      </x:c>
      <x:c r="E134" s="35" t="str">
        <x:v>Initial preflight term retained for comparison with the consolidated R7 registry.</x:v>
      </x:c>
    </x:row>
    <x:row r="135">
      <x:c r="A135" s="35" t="str">
        <x:v>webFrameCrossSectionType</x:v>
      </x:c>
      <x:c r="B135" s="38" t="str">
        <x:v>TRF-059</x:v>
      </x:c>
      <x:c r="C135" s="55" t="n">
        <x:v>1</x:v>
      </x:c>
      <x:c r="D135" s="35" t="str">
        <x:v>PROVISIONAL</x:v>
      </x:c>
      <x:c r="E135" s="35" t="str">
        <x:v>Initial preflight term retained for comparison with the consolidated R7 registry.</x:v>
      </x:c>
    </x:row>
    <x:row r="136">
      <x:c r="A136" s="35" t="str">
        <x:v>webFrameShearFactorAlpha</x:v>
      </x:c>
      <x:c r="B136" s="38" t="str">
        <x:v>TRF-059</x:v>
      </x:c>
      <x:c r="C136" s="55" t="n">
        <x:v>1</x:v>
      </x:c>
      <x:c r="D136" s="35" t="str">
        <x:v>PROVISIONAL</x:v>
      </x:c>
      <x:c r="E136" s="35" t="str">
        <x:v>Initial preflight term retained for comparison with the consolidated R7 registry.</x:v>
      </x:c>
    </x:row>
    <x:row r="137">
      <x:c r="A137" s="35" t="str">
        <x:v>webPlateConnectionSideCount</x:v>
      </x:c>
      <x:c r="B137" s="38" t="str">
        <x:v>TRF-049</x:v>
      </x:c>
      <x:c r="C137" s="55" t="n">
        <x:v>1</x:v>
      </x:c>
      <x:c r="D137" s="35" t="str">
        <x:v>PROVISIONAL</x:v>
      </x:c>
      <x:c r="E137" s="35" t="str">
        <x:v>Initial preflight term retained for comparison with the consolidated R7 registry.</x:v>
      </x:c>
    </x:row>
    <x:row r="138">
      <x:c r="A138" s="36" t="str">
        <x:v>yieldShearStress</x:v>
      </x:c>
      <x:c r="B138" s="57" t="str">
        <x:v>TRF-031</x:v>
      </x:c>
      <x:c r="C138" s="58" t="n">
        <x:v>1</x:v>
      </x:c>
      <x:c r="D138" s="36" t="str">
        <x:v>PROVISIONAL</x:v>
      </x:c>
      <x:c r="E138" s="36" t="str">
        <x:v>Initial preflight term retained for comparison with the consolidated R7 registry.</x:v>
      </x:c>
    </x:row>
  </x:sheetData>
  <x:conditionalFormatting sqref="D5:D138">
    <x:cfRule type="containsText" dxfId="10" priority="1" operator="containsText" text="READY"/>
    <x:cfRule type="containsText" dxfId="11" priority="2" operator="containsText" text="COMPLETE"/>
    <x:cfRule type="containsText" dxfId="12" priority="3" operator="containsText" text="NEW"/>
    <x:cfRule type="containsText" dxfId="13" priority="4" operator="containsText" text="REMODEL"/>
    <x:cfRule type="containsText" dxfId="14" priority="5" operator="containsText" text="UNIT"/>
  </x:conditionalFormatting>
  <x:pageMargins left="0.7" right="0.7" top="0.75" bottom="0.75" header="0.3" footer="0.3"/>
  <x:tableParts count="1">
    <x:tablePart xmlns:r="http://schemas.openxmlformats.org/officeDocument/2006/relationships" r:id="R202b7773798d408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8" hidden="0" customWidth="1"/>
    <x:col min="2" max="2" width="44" hidden="0" customWidth="1"/>
    <x:col min="3" max="3" width="28" hidden="0" customWidth="1"/>
    <x:col min="4" max="4" width="52" hidden="0" customWidth="1"/>
  </x:cols>
  <x:sheetData>
    <x:row r="1">
      <x:c r="A1" s="11" t="str">
        <x:v>NLTL Development Calibration - Batch 01</x:v>
      </x:c>
      <x:c r="B1" s="12"/>
      <x:c r="C1" s="12"/>
      <x:c r="D1" s="12"/>
    </x:row>
    <x:row r="2">
      <x:c r="A2" s="13" t="str">
        <x:v>R2_INDEX_GAPS | DEV-CAL-BATCH-01-FIRST-50 | vocabulary is not frozen</x:v>
      </x:c>
      <x:c r="B2" s="13"/>
      <x:c r="C2" s="13"/>
      <x:c r="D2" s="13"/>
    </x:row>
    <x:row r="3">
      <x:c r="A3" s="14"/>
      <x:c r="B3" s="14"/>
      <x:c r="C3" s="14"/>
      <x:c r="D3" s="14"/>
    </x:row>
    <x:row r="4" ht="32" customHeight="1">
      <x:c r="A4" s="32" t="str">
        <x:v>REQUIREMENT_ID</x:v>
      </x:c>
      <x:c r="B4" s="51" t="str">
        <x:v>EXISTING_TERM</x:v>
      </x:c>
      <x:c r="C4" s="51" t="str">
        <x:v>PREFLIGHT_DECISION</x:v>
      </x:c>
      <x:c r="D4" s="33" t="str">
        <x:v>ACTION</x:v>
      </x:c>
    </x:row>
    <x:row r="5">
      <x:c r="A5" s="37" t="str">
        <x:v>TRF-001</x:v>
      </x:c>
      <x:c r="B5" s="34" t="str">
        <x:v>constructionContractDate</x:v>
      </x:c>
      <x:c r="C5" s="34" t="str">
        <x:v>NEW_TERMS</x:v>
      </x:c>
      <x:c r="D5" s="34" t="str">
        <x:v>ADD_TO_DEVELOPMENT_INDEX_AFTER_SEMANTIC_CONFIRMATION</x:v>
      </x:c>
    </x:row>
    <x:row r="6">
      <x:c r="A6" s="38" t="str">
        <x:v>TRF-002</x:v>
      </x:c>
      <x:c r="B6" s="35" t="str">
        <x:v>constructionContractDate</x:v>
      </x:c>
      <x:c r="C6" s="35" t="str">
        <x:v>NEW_TERMS</x:v>
      </x:c>
      <x:c r="D6" s="35" t="str">
        <x:v>ADD_TO_DEVELOPMENT_INDEX_AFTER_SEMANTIC_CONFIRMATION</x:v>
      </x:c>
    </x:row>
    <x:row r="7">
      <x:c r="A7" s="38" t="str">
        <x:v>TRF-003</x:v>
      </x:c>
      <x:c r="B7" s="35" t="str">
        <x:v>constructionContractDate</x:v>
      </x:c>
      <x:c r="C7" s="35" t="str">
        <x:v>NEW_TERMS</x:v>
      </x:c>
      <x:c r="D7" s="35" t="str">
        <x:v>ADD_TO_DEVELOPMENT_INDEX_AFTER_SEMANTIC_CONFIRMATION</x:v>
      </x:c>
    </x:row>
    <x:row r="8">
      <x:c r="A8" s="38" t="str">
        <x:v>TRF-004</x:v>
      </x:c>
      <x:c r="B8" s="35" t="str">
        <x:v>constructionContractDate</x:v>
      </x:c>
      <x:c r="C8" s="35" t="str">
        <x:v>NEW_TERMS</x:v>
      </x:c>
      <x:c r="D8" s="35" t="str">
        <x:v>ADD_TO_DEVELOPMENT_INDEX_AFTER_SEMANTIC_CONFIRMATION</x:v>
      </x:c>
    </x:row>
    <x:row r="9">
      <x:c r="A9" s="38" t="str">
        <x:v>TRF-005</x:v>
      </x:c>
      <x:c r="B9" s="35" t="str">
        <x:v>constructionContractDate</x:v>
      </x:c>
      <x:c r="C9" s="35" t="str">
        <x:v>NEW_TERMS</x:v>
      </x:c>
      <x:c r="D9" s="35" t="str">
        <x:v>ADD_TO_DEVELOPMENT_INDEX_AFTER_SEMANTIC_CONFIRMATION</x:v>
      </x:c>
    </x:row>
    <x:row r="10">
      <x:c r="A10" s="38" t="str">
        <x:v>TRF-005</x:v>
      </x:c>
      <x:c r="B10" s="35" t="str">
        <x:v>constructionStageDate</x:v>
      </x:c>
      <x:c r="C10" s="35" t="str">
        <x:v>NEW_TERMS</x:v>
      </x:c>
      <x:c r="D10" s="35" t="str">
        <x:v>ADD_TO_DEVELOPMENT_INDEX_AFTER_SEMANTIC_CONFIRMATION</x:v>
      </x:c>
    </x:row>
    <x:row r="11">
      <x:c r="A11" s="38" t="str">
        <x:v>TRF-006</x:v>
      </x:c>
      <x:c r="B11" s="35" t="str">
        <x:v>constructionStageDate</x:v>
      </x:c>
      <x:c r="C11" s="35" t="str">
        <x:v>NEW_TERMS</x:v>
      </x:c>
      <x:c r="D11" s="35" t="str">
        <x:v>ADD_TO_DEVELOPMENT_INDEX_AFTER_SEMANTIC_CONFIRMATION</x:v>
      </x:c>
    </x:row>
    <x:row r="12">
      <x:c r="A12" s="38" t="str">
        <x:v>TRF-007</x:v>
      </x:c>
      <x:c r="B12" s="35" t="str">
        <x:v>constructionStageDate</x:v>
      </x:c>
      <x:c r="C12" s="35" t="str">
        <x:v>NEW_TERMS</x:v>
      </x:c>
      <x:c r="D12" s="35" t="str">
        <x:v>ADD_TO_DEVELOPMENT_INDEX_AFTER_SEMANTIC_CONFIRMATION</x:v>
      </x:c>
    </x:row>
    <x:row r="13">
      <x:c r="A13" s="38" t="str">
        <x:v>TRF-009</x:v>
      </x:c>
      <x:c r="B13" s="35" t="str">
        <x:v>constructionStageDate</x:v>
      </x:c>
      <x:c r="C13" s="35" t="str">
        <x:v>SEMANTIC_DUPLICATE</x:v>
      </x:c>
      <x:c r="D13" s="35" t="str">
        <x:v>ADD_TO_DEVELOPMENT_INDEX_AFTER_SEMANTIC_CONFIRMATION</x:v>
      </x:c>
    </x:row>
    <x:row r="14">
      <x:c r="A14" s="38" t="str">
        <x:v>TRF-013</x:v>
      </x:c>
      <x:c r="B14" s="35" t="str">
        <x:v>shipIceStrengthened</x:v>
      </x:c>
      <x:c r="C14" s="35" t="str">
        <x:v>NEW_TERMS</x:v>
      </x:c>
      <x:c r="D14" s="35" t="str">
        <x:v>ADD_TO_DEVELOPMENT_INDEX_AFTER_SEMANTIC_CONFIRMATION</x:v>
      </x:c>
    </x:row>
    <x:row r="15">
      <x:c r="A15" s="38" t="str">
        <x:v>TRF-014</x:v>
      </x:c>
      <x:c r="B15" s="35" t="str">
        <x:v>constructionDate</x:v>
      </x:c>
      <x:c r="C15" s="35" t="str">
        <x:v>NEW_TERMS</x:v>
      </x:c>
      <x:c r="D15" s="35" t="str">
        <x:v>ADD_TO_DEVELOPMENT_INDEX_AFTER_SEMANTIC_CONFIRMATION</x:v>
      </x:c>
    </x:row>
    <x:row r="16">
      <x:c r="A16" s="38" t="str">
        <x:v>TRF-014</x:v>
      </x:c>
      <x:c r="B16" s="35" t="str">
        <x:v>upperIceWaterlineDraught</x:v>
      </x:c>
      <x:c r="C16" s="35" t="str">
        <x:v>NEW_TERMS</x:v>
      </x:c>
      <x:c r="D16" s="35" t="str">
        <x:v>ADD_TO_DEVELOPMENT_INDEX_AFTER_SEMANTIC_CONFIRMATION</x:v>
      </x:c>
    </x:row>
    <x:row r="17">
      <x:c r="A17" s="38" t="str">
        <x:v>TRF-015</x:v>
      </x:c>
      <x:c r="B17" s="35" t="str">
        <x:v>upperIceWaterlineDraught</x:v>
      </x:c>
      <x:c r="C17" s="35" t="str">
        <x:v>NEW_TERMS</x:v>
      </x:c>
      <x:c r="D17" s="35" t="str">
        <x:v>ADD_TO_DEVELOPMENT_INDEX_AFTER_SEMANTIC_CONFIRMATION</x:v>
      </x:c>
    </x:row>
    <x:row r="18">
      <x:c r="A18" s="38" t="str">
        <x:v>TRF-020</x:v>
      </x:c>
      <x:c r="B18" s="35" t="str">
        <x:v>propellerCount</x:v>
      </x:c>
      <x:c r="C18" s="35" t="str">
        <x:v>INDEX_AND_NEW_TERMS</x:v>
      </x:c>
      <x:c r="D18" s="35" t="str">
        <x:v>ADD_TO_DEVELOPMENT_INDEX_AFTER_SEMANTIC_CONFIRMATION</x:v>
      </x:c>
    </x:row>
    <x:row r="19">
      <x:c r="A19" s="38" t="str">
        <x:v>TRF-020</x:v>
      </x:c>
      <x:c r="B19" s="35" t="str">
        <x:v>propellerType</x:v>
      </x:c>
      <x:c r="C19" s="35" t="str">
        <x:v>INDEX_AND_NEW_TERMS</x:v>
      </x:c>
      <x:c r="D19" s="35" t="str">
        <x:v>ADD_TO_DEVELOPMENT_INDEX_AFTER_SEMANTIC_CONFIRMATION</x:v>
      </x:c>
    </x:row>
    <x:row r="20">
      <x:c r="A20" s="38" t="str">
        <x:v>TRF-022</x:v>
      </x:c>
      <x:c r="B20" s="35" t="str">
        <x:v>clampedHullGeometryTerm</x:v>
      </x:c>
      <x:c r="C20" s="35" t="str">
        <x:v>INDEX_AND_NEW_TERMS</x:v>
      </x:c>
      <x:c r="D20" s="35" t="str">
        <x:v>ADD_TO_DEVELOPMENT_INDEX_AFTER_SEMANTIC_CONFIRMATION</x:v>
      </x:c>
    </x:row>
    <x:row r="21">
      <x:c r="A21" s="38" t="str">
        <x:v>TRF-022</x:v>
      </x:c>
      <x:c r="B21" s="35" t="str">
        <x:v>coefficientC3</x:v>
      </x:c>
      <x:c r="C21" s="35" t="str">
        <x:v>INDEX_AND_NEW_TERMS</x:v>
      </x:c>
      <x:c r="D21" s="35" t="str">
        <x:v>ADD_TO_DEVELOPMENT_INDEX_AFTER_SEMANTIC_CONFIRMATION</x:v>
      </x:c>
    </x:row>
    <x:row r="22">
      <x:c r="A22" s="38" t="str">
        <x:v>TRF-022</x:v>
      </x:c>
      <x:c r="B22" s="35" t="str">
        <x:v>coefficientC4</x:v>
      </x:c>
      <x:c r="C22" s="35" t="str">
        <x:v>INDEX_AND_NEW_TERMS</x:v>
      </x:c>
      <x:c r="D22" s="35" t="str">
        <x:v>ADD_TO_DEVELOPMENT_INDEX_AFTER_SEMANTIC_CONFIRMATION</x:v>
      </x:c>
    </x:row>
    <x:row r="23">
      <x:c r="A23" s="38" t="str">
        <x:v>TRF-022</x:v>
      </x:c>
      <x:c r="B23" s="35" t="str">
        <x:v>coefficientC5</x:v>
      </x:c>
      <x:c r="C23" s="35" t="str">
        <x:v>INDEX_AND_NEW_TERMS</x:v>
      </x:c>
      <x:c r="D23" s="35" t="str">
        <x:v>ADD_TO_DEVELOPMENT_INDEX_AFTER_SEMANTIC_CONFIRMATION</x:v>
      </x:c>
    </x:row>
    <x:row r="24">
      <x:c r="A24" s="38" t="str">
        <x:v>TRF-022</x:v>
      </x:c>
      <x:c r="B24" s="35" t="str">
        <x:v>coefficientF1</x:v>
      </x:c>
      <x:c r="C24" s="35" t="str">
        <x:v>INDEX_AND_NEW_TERMS</x:v>
      </x:c>
      <x:c r="D24" s="35" t="str">
        <x:v>ADD_TO_DEVELOPMENT_INDEX_AFTER_SEMANTIC_CONFIRMATION</x:v>
      </x:c>
    </x:row>
    <x:row r="25">
      <x:c r="A25" s="38" t="str">
        <x:v>TRF-022</x:v>
      </x:c>
      <x:c r="B25" s="35" t="str">
        <x:v>coefficientF2</x:v>
      </x:c>
      <x:c r="C25" s="35" t="str">
        <x:v>INDEX_AND_NEW_TERMS</x:v>
      </x:c>
      <x:c r="D25" s="35" t="str">
        <x:v>ADD_TO_DEVELOPMENT_INDEX_AFTER_SEMANTIC_CONFIRMATION</x:v>
      </x:c>
    </x:row>
    <x:row r="26">
      <x:c r="A26" s="38" t="str">
        <x:v>TRF-022</x:v>
      </x:c>
      <x:c r="B26" s="35" t="str">
        <x:v>coefficientF3</x:v>
      </x:c>
      <x:c r="C26" s="35" t="str">
        <x:v>INDEX_AND_NEW_TERMS</x:v>
      </x:c>
      <x:c r="D26" s="35" t="str">
        <x:v>ADD_TO_DEVELOPMENT_INDEX_AFTER_SEMANTIC_CONFIRMATION</x:v>
      </x:c>
    </x:row>
    <x:row r="27">
      <x:c r="A27" s="38" t="str">
        <x:v>TRF-022</x:v>
      </x:c>
      <x:c r="B27" s="35" t="str">
        <x:v>coefficientF4</x:v>
      </x:c>
      <x:c r="C27" s="35" t="str">
        <x:v>INDEX_AND_NEW_TERMS</x:v>
      </x:c>
      <x:c r="D27" s="35" t="str">
        <x:v>ADD_TO_DEVELOPMENT_INDEX_AFTER_SEMANTIC_CONFIRMATION</x:v>
      </x:c>
    </x:row>
    <x:row r="28">
      <x:c r="A28" s="38" t="str">
        <x:v>TRF-022</x:v>
      </x:c>
      <x:c r="B28" s="35" t="str">
        <x:v>coefficientG1</x:v>
      </x:c>
      <x:c r="C28" s="35" t="str">
        <x:v>INDEX_AND_NEW_TERMS</x:v>
      </x:c>
      <x:c r="D28" s="35" t="str">
        <x:v>ADD_TO_DEVELOPMENT_INDEX_AFTER_SEMANTIC_CONFIRMATION</x:v>
      </x:c>
    </x:row>
    <x:row r="29">
      <x:c r="A29" s="38" t="str">
        <x:v>TRF-022</x:v>
      </x:c>
      <x:c r="B29" s="35" t="str">
        <x:v>coefficientG2</x:v>
      </x:c>
      <x:c r="C29" s="35" t="str">
        <x:v>INDEX_AND_NEW_TERMS</x:v>
      </x:c>
      <x:c r="D29" s="35" t="str">
        <x:v>ADD_TO_DEVELOPMENT_INDEX_AFTER_SEMANTIC_CONFIRMATION</x:v>
      </x:c>
    </x:row>
    <x:row r="30">
      <x:c r="A30" s="38" t="str">
        <x:v>TRF-022</x:v>
      </x:c>
      <x:c r="B30" s="35" t="str">
        <x:v>coefficientG3</x:v>
      </x:c>
      <x:c r="C30" s="35" t="str">
        <x:v>INDEX_AND_NEW_TERMS</x:v>
      </x:c>
      <x:c r="D30" s="35" t="str">
        <x:v>ADD_TO_DEVELOPMENT_INDEX_AFTER_SEMANTIC_CONFIRMATION</x:v>
      </x:c>
    </x:row>
    <x:row r="31">
      <x:c r="A31" s="38" t="str">
        <x:v>TRF-022</x:v>
      </x:c>
      <x:c r="B31" s="35" t="str">
        <x:v>iceClassDraught</x:v>
      </x:c>
      <x:c r="C31" s="35" t="str">
        <x:v>INDEX_AND_NEW_TERMS</x:v>
      </x:c>
      <x:c r="D31" s="35" t="str">
        <x:v>ADD_TO_DEVELOPMENT_INDEX_AFTER_SEMANTIC_CONFIRMATION</x:v>
      </x:c>
    </x:row>
    <x:row r="32">
      <x:c r="A32" s="38" t="str">
        <x:v>TRF-022</x:v>
      </x:c>
      <x:c r="B32" s="35" t="str">
        <x:v>shipBreadth</x:v>
      </x:c>
      <x:c r="C32" s="35" t="str">
        <x:v>INDEX_AND_NEW_TERMS</x:v>
      </x:c>
      <x:c r="D32" s="35" t="str">
        <x:v>ADD_TO_DEVELOPMENT_INDEX_AFTER_SEMANTIC_CONFIRMATION</x:v>
      </x:c>
    </x:row>
    <x:row r="33">
      <x:c r="A33" s="38" t="str">
        <x:v>TRF-022</x:v>
      </x:c>
      <x:c r="B33" s="35" t="str">
        <x:v>shipLength</x:v>
      </x:c>
      <x:c r="C33" s="35" t="str">
        <x:v>INDEX_AND_NEW_TERMS</x:v>
      </x:c>
      <x:c r="D33" s="35" t="str">
        <x:v>ADD_TO_DEVELOPMENT_INDEX_AFTER_SEMANTIC_CONFIRMATION</x:v>
      </x:c>
    </x:row>
    <x:row r="34">
      <x:c r="A34" s="38" t="str">
        <x:v>TRF-024</x:v>
      </x:c>
      <x:c r="B34" s="35" t="str">
        <x:v>constructionStageDate</x:v>
      </x:c>
      <x:c r="C34" s="35" t="str">
        <x:v>NEW_TERMS</x:v>
      </x:c>
      <x:c r="D34" s="35" t="str">
        <x:v>ADD_TO_DEVELOPMENT_INDEX_AFTER_SEMANTIC_CONFIRMATION</x:v>
      </x:c>
    </x:row>
    <x:row r="35">
      <x:c r="A35" s="38" t="str">
        <x:v>TRF-025</x:v>
      </x:c>
      <x:c r="B35" s="35" t="str">
        <x:v>bulbousBowPresent</x:v>
      </x:c>
      <x:c r="C35" s="35" t="str">
        <x:v>INDEX_AND_NEW_TERMS</x:v>
      </x:c>
      <x:c r="D35" s="35" t="str">
        <x:v>ADD_TO_DEVELOPMENT_INDEX_AFTER_SEMANTIC_CONFIRMATION</x:v>
      </x:c>
    </x:row>
    <x:row r="36">
      <x:c r="A36" s="38" t="str">
        <x:v>TRF-025</x:v>
      </x:c>
      <x:c r="B36" s="35" t="str">
        <x:v>coefficientF1</x:v>
      </x:c>
      <x:c r="C36" s="35" t="str">
        <x:v>INDEX_AND_NEW_TERMS</x:v>
      </x:c>
      <x:c r="D36" s="35" t="str">
        <x:v>ADD_TO_DEVELOPMENT_INDEX_AFTER_SEMANTIC_CONFIRMATION</x:v>
      </x:c>
    </x:row>
    <x:row r="37">
      <x:c r="A37" s="38" t="str">
        <x:v>TRF-025</x:v>
      </x:c>
      <x:c r="B37" s="35" t="str">
        <x:v>coefficientF2</x:v>
      </x:c>
      <x:c r="C37" s="35" t="str">
        <x:v>INDEX_AND_NEW_TERMS</x:v>
      </x:c>
      <x:c r="D37" s="35" t="str">
        <x:v>ADD_TO_DEVELOPMENT_INDEX_AFTER_SEMANTIC_CONFIRMATION</x:v>
      </x:c>
    </x:row>
    <x:row r="38">
      <x:c r="A38" s="38" t="str">
        <x:v>TRF-025</x:v>
      </x:c>
      <x:c r="B38" s="35" t="str">
        <x:v>coefficientF3</x:v>
      </x:c>
      <x:c r="C38" s="35" t="str">
        <x:v>INDEX_AND_NEW_TERMS</x:v>
      </x:c>
      <x:c r="D38" s="35" t="str">
        <x:v>ADD_TO_DEVELOPMENT_INDEX_AFTER_SEMANTIC_CONFIRMATION</x:v>
      </x:c>
    </x:row>
    <x:row r="39">
      <x:c r="A39" s="38" t="str">
        <x:v>TRF-025</x:v>
      </x:c>
      <x:c r="B39" s="35" t="str">
        <x:v>coefficientF4</x:v>
      </x:c>
      <x:c r="C39" s="35" t="str">
        <x:v>INDEX_AND_NEW_TERMS</x:v>
      </x:c>
      <x:c r="D39" s="35" t="str">
        <x:v>ADD_TO_DEVELOPMENT_INDEX_AFTER_SEMANTIC_CONFIRMATION</x:v>
      </x:c>
    </x:row>
    <x:row r="40">
      <x:c r="A40" s="38" t="str">
        <x:v>TRF-025</x:v>
      </x:c>
      <x:c r="B40" s="35" t="str">
        <x:v>coefficientG1</x:v>
      </x:c>
      <x:c r="C40" s="35" t="str">
        <x:v>INDEX_AND_NEW_TERMS</x:v>
      </x:c>
      <x:c r="D40" s="35" t="str">
        <x:v>ADD_TO_DEVELOPMENT_INDEX_AFTER_SEMANTIC_CONFIRMATION</x:v>
      </x:c>
    </x:row>
    <x:row r="41">
      <x:c r="A41" s="38" t="str">
        <x:v>TRF-025</x:v>
      </x:c>
      <x:c r="B41" s="35" t="str">
        <x:v>coefficientG2</x:v>
      </x:c>
      <x:c r="C41" s="35" t="str">
        <x:v>INDEX_AND_NEW_TERMS</x:v>
      </x:c>
      <x:c r="D41" s="35" t="str">
        <x:v>ADD_TO_DEVELOPMENT_INDEX_AFTER_SEMANTIC_CONFIRMATION</x:v>
      </x:c>
    </x:row>
    <x:row r="42">
      <x:c r="A42" s="38" t="str">
        <x:v>TRF-025</x:v>
      </x:c>
      <x:c r="B42" s="35" t="str">
        <x:v>coefficientG3</x:v>
      </x:c>
      <x:c r="C42" s="35" t="str">
        <x:v>INDEX_AND_NEW_TERMS</x:v>
      </x:c>
      <x:c r="D42" s="35" t="str">
        <x:v>ADD_TO_DEVELOPMENT_INDEX_AFTER_SEMANTIC_CONFIRMATION</x:v>
      </x:c>
    </x:row>
    <x:row r="43">
      <x:c r="A43" s="38" t="str">
        <x:v>TRF-025</x:v>
      </x:c>
      <x:c r="B43" s="35" t="str">
        <x:v>iceClassDraught</x:v>
      </x:c>
      <x:c r="C43" s="35" t="str">
        <x:v>INDEX_AND_NEW_TERMS</x:v>
      </x:c>
      <x:c r="D43" s="35" t="str">
        <x:v>ADD_TO_DEVELOPMENT_INDEX_AFTER_SEMANTIC_CONFIRMATION</x:v>
      </x:c>
    </x:row>
    <x:row r="44">
      <x:c r="A44" s="38" t="str">
        <x:v>TRF-025</x:v>
      </x:c>
      <x:c r="B44" s="35" t="str">
        <x:v>shipBreadth</x:v>
      </x:c>
      <x:c r="C44" s="35" t="str">
        <x:v>INDEX_AND_NEW_TERMS</x:v>
      </x:c>
      <x:c r="D44" s="35" t="str">
        <x:v>ADD_TO_DEVELOPMENT_INDEX_AFTER_SEMANTIC_CONFIRMATION</x:v>
      </x:c>
    </x:row>
    <x:row r="45">
      <x:c r="A45" s="38" t="str">
        <x:v>TRF-025</x:v>
      </x:c>
      <x:c r="B45" s="35" t="str">
        <x:v>shipLength</x:v>
      </x:c>
      <x:c r="C45" s="35" t="str">
        <x:v>INDEX_AND_NEW_TERMS</x:v>
      </x:c>
      <x:c r="D45" s="35" t="str">
        <x:v>ADD_TO_DEVELOPMENT_INDEX_AFTER_SEMANTIC_CONFIRMATION</x:v>
      </x:c>
    </x:row>
    <x:row r="46">
      <x:c r="A46" s="38" t="str">
        <x:v>TRF-026</x:v>
      </x:c>
      <x:c r="B46" s="35" t="str">
        <x:v>bulbousBowPresent</x:v>
      </x:c>
      <x:c r="C46" s="35" t="str">
        <x:v>INDEX_AND_NEW_TERMS</x:v>
      </x:c>
      <x:c r="D46" s="35" t="str">
        <x:v>ADD_TO_DEVELOPMENT_INDEX_AFTER_SEMANTIC_CONFIRMATION</x:v>
      </x:c>
    </x:row>
    <x:row r="47">
      <x:c r="A47" s="38" t="str">
        <x:v>TRF-026</x:v>
      </x:c>
      <x:c r="B47" s="35" t="str">
        <x:v>coefficientF1</x:v>
      </x:c>
      <x:c r="C47" s="35" t="str">
        <x:v>INDEX_AND_NEW_TERMS</x:v>
      </x:c>
      <x:c r="D47" s="35" t="str">
        <x:v>ADD_TO_DEVELOPMENT_INDEX_AFTER_SEMANTIC_CONFIRMATION</x:v>
      </x:c>
    </x:row>
    <x:row r="48">
      <x:c r="A48" s="38" t="str">
        <x:v>TRF-026</x:v>
      </x:c>
      <x:c r="B48" s="35" t="str">
        <x:v>coefficientF2</x:v>
      </x:c>
      <x:c r="C48" s="35" t="str">
        <x:v>INDEX_AND_NEW_TERMS</x:v>
      </x:c>
      <x:c r="D48" s="35" t="str">
        <x:v>ADD_TO_DEVELOPMENT_INDEX_AFTER_SEMANTIC_CONFIRMATION</x:v>
      </x:c>
    </x:row>
    <x:row r="49">
      <x:c r="A49" s="38" t="str">
        <x:v>TRF-026</x:v>
      </x:c>
      <x:c r="B49" s="35" t="str">
        <x:v>coefficientF3</x:v>
      </x:c>
      <x:c r="C49" s="35" t="str">
        <x:v>INDEX_AND_NEW_TERMS</x:v>
      </x:c>
      <x:c r="D49" s="35" t="str">
        <x:v>ADD_TO_DEVELOPMENT_INDEX_AFTER_SEMANTIC_CONFIRMATION</x:v>
      </x:c>
    </x:row>
    <x:row r="50">
      <x:c r="A50" s="38" t="str">
        <x:v>TRF-026</x:v>
      </x:c>
      <x:c r="B50" s="35" t="str">
        <x:v>coefficientF4</x:v>
      </x:c>
      <x:c r="C50" s="35" t="str">
        <x:v>INDEX_AND_NEW_TERMS</x:v>
      </x:c>
      <x:c r="D50" s="35" t="str">
        <x:v>ADD_TO_DEVELOPMENT_INDEX_AFTER_SEMANTIC_CONFIRMATION</x:v>
      </x:c>
    </x:row>
    <x:row r="51">
      <x:c r="A51" s="38" t="str">
        <x:v>TRF-026</x:v>
      </x:c>
      <x:c r="B51" s="35" t="str">
        <x:v>coefficientG1</x:v>
      </x:c>
      <x:c r="C51" s="35" t="str">
        <x:v>INDEX_AND_NEW_TERMS</x:v>
      </x:c>
      <x:c r="D51" s="35" t="str">
        <x:v>ADD_TO_DEVELOPMENT_INDEX_AFTER_SEMANTIC_CONFIRMATION</x:v>
      </x:c>
    </x:row>
    <x:row r="52">
      <x:c r="A52" s="38" t="str">
        <x:v>TRF-026</x:v>
      </x:c>
      <x:c r="B52" s="35" t="str">
        <x:v>coefficientG2</x:v>
      </x:c>
      <x:c r="C52" s="35" t="str">
        <x:v>INDEX_AND_NEW_TERMS</x:v>
      </x:c>
      <x:c r="D52" s="35" t="str">
        <x:v>ADD_TO_DEVELOPMENT_INDEX_AFTER_SEMANTIC_CONFIRMATION</x:v>
      </x:c>
    </x:row>
    <x:row r="53">
      <x:c r="A53" s="38" t="str">
        <x:v>TRF-026</x:v>
      </x:c>
      <x:c r="B53" s="35" t="str">
        <x:v>coefficientG3</x:v>
      </x:c>
      <x:c r="C53" s="35" t="str">
        <x:v>INDEX_AND_NEW_TERMS</x:v>
      </x:c>
      <x:c r="D53" s="35" t="str">
        <x:v>ADD_TO_DEVELOPMENT_INDEX_AFTER_SEMANTIC_CONFIRMATION</x:v>
      </x:c>
    </x:row>
    <x:row r="54">
      <x:c r="A54" s="38" t="str">
        <x:v>TRF-026</x:v>
      </x:c>
      <x:c r="B54" s="35" t="str">
        <x:v>iceClassDraught</x:v>
      </x:c>
      <x:c r="C54" s="35" t="str">
        <x:v>INDEX_AND_NEW_TERMS</x:v>
      </x:c>
      <x:c r="D54" s="35" t="str">
        <x:v>ADD_TO_DEVELOPMENT_INDEX_AFTER_SEMANTIC_CONFIRMATION</x:v>
      </x:c>
    </x:row>
    <x:row r="55">
      <x:c r="A55" s="38" t="str">
        <x:v>TRF-026</x:v>
      </x:c>
      <x:c r="B55" s="35" t="str">
        <x:v>shipBreadth</x:v>
      </x:c>
      <x:c r="C55" s="35" t="str">
        <x:v>INDEX_AND_NEW_TERMS</x:v>
      </x:c>
      <x:c r="D55" s="35" t="str">
        <x:v>ADD_TO_DEVELOPMENT_INDEX_AFTER_SEMANTIC_CONFIRMATION</x:v>
      </x:c>
    </x:row>
    <x:row r="56">
      <x:c r="A56" s="38" t="str">
        <x:v>TRF-026</x:v>
      </x:c>
      <x:c r="B56" s="35" t="str">
        <x:v>shipLength</x:v>
      </x:c>
      <x:c r="C56" s="35" t="str">
        <x:v>INDEX_AND_NEW_TERMS</x:v>
      </x:c>
      <x:c r="D56" s="35" t="str">
        <x:v>ADD_TO_DEVELOPMENT_INDEX_AFTER_SEMANTIC_CONFIRMATION</x:v>
      </x:c>
    </x:row>
    <x:row r="57">
      <x:c r="A57" s="38" t="str">
        <x:v>TRF-030</x:v>
      </x:c>
      <x:c r="B57" s="35" t="str">
        <x:v>loadPatchApplicationLocation</x:v>
      </x:c>
      <x:c r="C57" s="35" t="str">
        <x:v>NEW_TERMS</x:v>
      </x:c>
      <x:c r="D57" s="35" t="str">
        <x:v>ADD_TO_DEVELOPMENT_INDEX_AFTER_SEMANTIC_CONFIRMATION</x:v>
      </x:c>
    </x:row>
    <x:row r="58">
      <x:c r="A58" s="38" t="str">
        <x:v>TRF-030</x:v>
      </x:c>
      <x:c r="B58" s="35" t="str">
        <x:v>loadPatchHeight</x:v>
      </x:c>
      <x:c r="C58" s="35" t="str">
        <x:v>NEW_TERMS</x:v>
      </x:c>
      <x:c r="D58" s="35" t="str">
        <x:v>ADD_TO_DEVELOPMENT_INDEX_AFTER_SEMANTIC_CONFIRMATION</x:v>
      </x:c>
    </x:row>
    <x:row r="59">
      <x:c r="A59" s="38" t="str">
        <x:v>TRF-030</x:v>
      </x:c>
      <x:c r="B59" s="35" t="str">
        <x:v>loadPatchLength</x:v>
      </x:c>
      <x:c r="C59" s="35" t="str">
        <x:v>NEW_TERMS</x:v>
      </x:c>
      <x:c r="D59" s="35" t="str">
        <x:v>ADD_TO_DEVELOPMENT_INDEX_AFTER_SEMANTIC_CONFIRMATION</x:v>
      </x:c>
    </x:row>
    <x:row r="60">
      <x:c r="A60" s="38" t="str">
        <x:v>TRF-037</x:v>
      </x:c>
      <x:c r="B60" s="35" t="str">
        <x:v>icePressure</x:v>
      </x:c>
      <x:c r="C60" s="35" t="str">
        <x:v>INDEX_AND_NEW_TERMS</x:v>
      </x:c>
      <x:c r="D60" s="35" t="str">
        <x:v>ADD_TO_DEVELOPMENT_INDEX_AFTER_SEMANTIC_CONFIRMATION</x:v>
      </x:c>
    </x:row>
    <x:row r="61">
      <x:c r="A61" s="38" t="str">
        <x:v>TRF-037</x:v>
      </x:c>
      <x:c r="B61" s="35" t="str">
        <x:v>nominalIcePressureP0</x:v>
      </x:c>
      <x:c r="C61" s="35" t="str">
        <x:v>INDEX_AND_NEW_TERMS</x:v>
      </x:c>
      <x:c r="D61" s="35" t="str">
        <x:v>ADD_TO_DEVELOPMENT_INDEX_AFTER_SEMANTIC_CONFIRMATION</x:v>
      </x:c>
    </x:row>
    <x:row r="62">
      <x:c r="A62" s="38" t="str">
        <x:v>TRF-037</x:v>
      </x:c>
      <x:c r="B62" s="35" t="str">
        <x:v>shipLength</x:v>
      </x:c>
      <x:c r="C62" s="35" t="str">
        <x:v>INDEX_AND_NEW_TERMS</x:v>
      </x:c>
      <x:c r="D62" s="35" t="str">
        <x:v>ADD_TO_DEVELOPMENT_INDEX_AFTER_SEMANTIC_CONFIRMATION</x:v>
      </x:c>
    </x:row>
    <x:row r="63">
      <x:c r="A63" s="38" t="str">
        <x:v>TRF-041</x:v>
      </x:c>
      <x:c r="B63" s="35" t="str">
        <x:v>coefficientF1</x:v>
      </x:c>
      <x:c r="C63" s="35" t="str">
        <x:v>INDEX_AND_UNIT_REVIEW</x:v>
      </x:c>
      <x:c r="D63" s="35" t="str">
        <x:v>ADD_TO_DEVELOPMENT_INDEX_AFTER_SEMANTIC_CONFIRMATION</x:v>
      </x:c>
    </x:row>
    <x:row r="64">
      <x:c r="A64" s="38" t="str">
        <x:v>TRF-041</x:v>
      </x:c>
      <x:c r="B64" s="35" t="str">
        <x:v>coefficientF2</x:v>
      </x:c>
      <x:c r="C64" s="35" t="str">
        <x:v>INDEX_AND_UNIT_REVIEW</x:v>
      </x:c>
      <x:c r="D64" s="35" t="str">
        <x:v>ADD_TO_DEVELOPMENT_INDEX_AFTER_SEMANTIC_CONFIRMATION</x:v>
      </x:c>
    </x:row>
    <x:row r="65">
      <x:c r="A65" s="38" t="str">
        <x:v>TRF-041</x:v>
      </x:c>
      <x:c r="B65" s="35" t="str">
        <x:v>corrosionAbrasionAddition</x:v>
      </x:c>
      <x:c r="C65" s="35" t="str">
        <x:v>INDEX_AND_UNIT_REVIEW</x:v>
      </x:c>
      <x:c r="D65" s="35" t="str">
        <x:v>ADD_TO_DEVELOPMENT_INDEX_AFTER_SEMANTIC_CONFIRMATION</x:v>
      </x:c>
    </x:row>
    <x:row r="66">
      <x:c r="A66" s="38" t="str">
        <x:v>TRF-041</x:v>
      </x:c>
      <x:c r="B66" s="35" t="str">
        <x:v>icePressure</x:v>
      </x:c>
      <x:c r="C66" s="35" t="str">
        <x:v>INDEX_AND_UNIT_REVIEW</x:v>
      </x:c>
      <x:c r="D66" s="35" t="str">
        <x:v>ADD_TO_DEVELOPMENT_INDEX_AFTER_SEMANTIC_CONFIRMATION</x:v>
      </x:c>
    </x:row>
    <x:row r="67">
      <x:c r="A67" s="38" t="str">
        <x:v>TRF-041</x:v>
      </x:c>
      <x:c r="B67" s="35" t="str">
        <x:v>spacing</x:v>
      </x:c>
      <x:c r="C67" s="35" t="str">
        <x:v>INDEX_AND_UNIT_REVIEW</x:v>
      </x:c>
      <x:c r="D67" s="35" t="str">
        <x:v>ADD_TO_DEVELOPMENT_INDEX_AFTER_SEMANTIC_CONFIRMATION</x:v>
      </x:c>
    </x:row>
    <x:row r="68">
      <x:c r="A68" s="38" t="str">
        <x:v>TRF-042</x:v>
      </x:c>
      <x:c r="B68" s="35" t="str">
        <x:v>coefficientF2</x:v>
      </x:c>
      <x:c r="C68" s="35" t="str">
        <x:v>INDEX_AND_UNIT_REVIEW</x:v>
      </x:c>
      <x:c r="D68" s="35" t="str">
        <x:v>ADD_TO_DEVELOPMENT_INDEX_AFTER_SEMANTIC_CONFIRMATION</x:v>
      </x:c>
    </x:row>
    <x:row r="69">
      <x:c r="A69" s="38" t="str">
        <x:v>TRF-042</x:v>
      </x:c>
      <x:c r="B69" s="35" t="str">
        <x:v>corrosionAbrasionAddition</x:v>
      </x:c>
      <x:c r="C69" s="35" t="str">
        <x:v>INDEX_AND_UNIT_REVIEW</x:v>
      </x:c>
      <x:c r="D69" s="35" t="str">
        <x:v>ADD_TO_DEVELOPMENT_INDEX_AFTER_SEMANTIC_CONFIRMATION</x:v>
      </x:c>
    </x:row>
    <x:row r="70">
      <x:c r="A70" s="38" t="str">
        <x:v>TRF-042</x:v>
      </x:c>
      <x:c r="B70" s="35" t="str">
        <x:v>designIceLoadHeight</x:v>
      </x:c>
      <x:c r="C70" s="35" t="str">
        <x:v>INDEX_AND_UNIT_REVIEW</x:v>
      </x:c>
      <x:c r="D70" s="35" t="str">
        <x:v>ADD_TO_DEVELOPMENT_INDEX_AFTER_SEMANTIC_CONFIRMATION</x:v>
      </x:c>
    </x:row>
    <x:row r="71">
      <x:c r="A71" s="38" t="str">
        <x:v>TRF-042</x:v>
      </x:c>
      <x:c r="B71" s="35" t="str">
        <x:v>materialApprovalStatus</x:v>
      </x:c>
      <x:c r="C71" s="35" t="str">
        <x:v>INDEX_AND_UNIT_REVIEW</x:v>
      </x:c>
      <x:c r="D71" s="35" t="str">
        <x:v>ADD_TO_DEVELOPMENT_INDEX_AFTER_SEMANTIC_CONFIRMATION</x:v>
      </x:c>
    </x:row>
    <x:row r="72">
      <x:c r="A72" s="38" t="str">
        <x:v>TRF-042</x:v>
      </x:c>
      <x:c r="B72" s="35" t="str">
        <x:v>spacing</x:v>
      </x:c>
      <x:c r="C72" s="35" t="str">
        <x:v>INDEX_AND_UNIT_REVIEW</x:v>
      </x:c>
      <x:c r="D72" s="35" t="str">
        <x:v>ADD_TO_DEVELOPMENT_INDEX_AFTER_SEMANTIC_CONFIRMATION</x:v>
      </x:c>
    </x:row>
    <x:row r="73">
      <x:c r="A73" s="38" t="str">
        <x:v>TRF-042</x:v>
      </x:c>
      <x:c r="B73" s="35" t="str">
        <x:v>steelGrade</x:v>
      </x:c>
      <x:c r="C73" s="35" t="str">
        <x:v>INDEX_AND_UNIT_REVIEW</x:v>
      </x:c>
      <x:c r="D73" s="35" t="str">
        <x:v>ADD_TO_DEVELOPMENT_INDEX_AFTER_SEMANTIC_CONFIRMATION</x:v>
      </x:c>
    </x:row>
    <x:row r="74">
      <x:c r="A74" s="38" t="str">
        <x:v>TRF-043</x:v>
      </x:c>
      <x:c r="B74" s="35" t="str">
        <x:v>iceClass</x:v>
      </x:c>
      <x:c r="C74" s="35" t="str">
        <x:v>READY_AFTER_INDEX_CHECK</x:v>
      </x:c>
      <x:c r="D74" s="35" t="str">
        <x:v>ADD_TO_DEVELOPMENT_INDEX_AFTER_SEMANTIC_CONFIRMATION</x:v>
      </x:c>
    </x:row>
    <x:row r="75">
      <x:c r="A75" s="38" t="str">
        <x:v>TRF-044</x:v>
      </x:c>
      <x:c r="B75" s="35" t="str">
        <x:v>designIceLoadHeight</x:v>
      </x:c>
      <x:c r="C75" s="35" t="str">
        <x:v>INDEX_AND_UNIT_REVIEW</x:v>
      </x:c>
      <x:c r="D75" s="35" t="str">
        <x:v>ADD_TO_DEVELOPMENT_INDEX_AFTER_SEMANTIC_CONFIRMATION</x:v>
      </x:c>
    </x:row>
    <x:row r="76">
      <x:c r="A76" s="38" t="str">
        <x:v>TRF-044</x:v>
      </x:c>
      <x:c r="B76" s="35" t="str">
        <x:v>icePressure</x:v>
      </x:c>
      <x:c r="C76" s="35" t="str">
        <x:v>INDEX_AND_UNIT_REVIEW</x:v>
      </x:c>
      <x:c r="D76" s="35" t="str">
        <x:v>ADD_TO_DEVELOPMENT_INDEX_AFTER_SEMANTIC_CONFIRMATION</x:v>
      </x:c>
    </x:row>
    <x:row r="77">
      <x:c r="A77" s="38" t="str">
        <x:v>TRF-044</x:v>
      </x:c>
      <x:c r="B77" s="35" t="str">
        <x:v>spacing</x:v>
      </x:c>
      <x:c r="C77" s="35" t="str">
        <x:v>INDEX_AND_UNIT_REVIEW</x:v>
      </x:c>
      <x:c r="D77" s="35" t="str">
        <x:v>ADD_TO_DEVELOPMENT_INDEX_AFTER_SEMANTIC_CONFIRMATION</x:v>
      </x:c>
    </x:row>
    <x:row r="78">
      <x:c r="A78" s="38" t="str">
        <x:v>TRF-044</x:v>
      </x:c>
      <x:c r="B78" s="35" t="str">
        <x:v>span</x:v>
      </x:c>
      <x:c r="C78" s="35" t="str">
        <x:v>INDEX_AND_UNIT_REVIEW</x:v>
      </x:c>
      <x:c r="D78" s="35" t="str">
        <x:v>ADD_TO_DEVELOPMENT_INDEX_AFTER_SEMANTIC_CONFIRMATION</x:v>
      </x:c>
    </x:row>
    <x:row r="79">
      <x:c r="A79" s="38" t="str">
        <x:v>TRF-048</x:v>
      </x:c>
      <x:c r="B79" s="35" t="str">
        <x:v>coefficientF4</x:v>
      </x:c>
      <x:c r="C79" s="35" t="str">
        <x:v>INDEX_AND_UNIT_REVIEW</x:v>
      </x:c>
      <x:c r="D79" s="35" t="str">
        <x:v>ADD_TO_DEVELOPMENT_INDEX_AFTER_SEMANTIC_CONFIRMATION</x:v>
      </x:c>
    </x:row>
    <x:row r="80">
      <x:c r="A80" s="38" t="str">
        <x:v>TRF-048</x:v>
      </x:c>
      <x:c r="B80" s="35" t="str">
        <x:v>connectionBracket</x:v>
      </x:c>
      <x:c r="C80" s="35" t="str">
        <x:v>INDEX_AND_UNIT_REVIEW</x:v>
      </x:c>
      <x:c r="D80" s="35" t="str">
        <x:v>ADD_TO_DEVELOPMENT_INDEX_AFTER_SEMANTIC_CONFIRMATION</x:v>
      </x:c>
    </x:row>
    <x:row r="81">
      <x:c r="A81" s="38" t="str">
        <x:v>TRF-048</x:v>
      </x:c>
      <x:c r="B81" s="35" t="str">
        <x:v>designIceLoadHeight</x:v>
      </x:c>
      <x:c r="C81" s="35" t="str">
        <x:v>INDEX_AND_UNIT_REVIEW</x:v>
      </x:c>
      <x:c r="D81" s="35" t="str">
        <x:v>ADD_TO_DEVELOPMENT_INDEX_AFTER_SEMANTIC_CONFIRMATION</x:v>
      </x:c>
    </x:row>
    <x:row r="82">
      <x:c r="A82" s="38" t="str">
        <x:v>TRF-048</x:v>
      </x:c>
      <x:c r="B82" s="35" t="str">
        <x:v>icePressure</x:v>
      </x:c>
      <x:c r="C82" s="35" t="str">
        <x:v>INDEX_AND_UNIT_REVIEW</x:v>
      </x:c>
      <x:c r="D82" s="35" t="str">
        <x:v>ADD_TO_DEVELOPMENT_INDEX_AFTER_SEMANTIC_CONFIRMATION</x:v>
      </x:c>
    </x:row>
    <x:row r="83">
      <x:c r="A83" s="38" t="str">
        <x:v>TRF-048</x:v>
      </x:c>
      <x:c r="B83" s="35" t="str">
        <x:v>spacing</x:v>
      </x:c>
      <x:c r="C83" s="35" t="str">
        <x:v>INDEX_AND_UNIT_REVIEW</x:v>
      </x:c>
      <x:c r="D83" s="35" t="str">
        <x:v>ADD_TO_DEVELOPMENT_INDEX_AFTER_SEMANTIC_CONFIRMATION</x:v>
      </x:c>
    </x:row>
    <x:row r="84">
      <x:c r="A84" s="38" t="str">
        <x:v>TRF-048</x:v>
      </x:c>
      <x:c r="B84" s="35" t="str">
        <x:v>span</x:v>
      </x:c>
      <x:c r="C84" s="35" t="str">
        <x:v>INDEX_AND_UNIT_REVIEW</x:v>
      </x:c>
      <x:c r="D84" s="35" t="str">
        <x:v>ADD_TO_DEVELOPMENT_INDEX_AFTER_SEMANTIC_CONFIRMATION</x:v>
      </x:c>
    </x:row>
    <x:row r="85">
      <x:c r="A85" s="38" t="str">
        <x:v>TRF-051</x:v>
      </x:c>
      <x:c r="B85" s="35" t="str">
        <x:v>corrosionAbrasionAddition</x:v>
      </x:c>
      <x:c r="C85" s="35" t="str">
        <x:v>INDEX_AND_UNIT_REVIEW</x:v>
      </x:c>
      <x:c r="D85" s="35" t="str">
        <x:v>ADD_TO_DEVELOPMENT_INDEX_AFTER_SEMANTIC_CONFIRMATION</x:v>
      </x:c>
    </x:row>
    <x:row r="86">
      <x:c r="A86" s="38" t="str">
        <x:v>TRF-051</x:v>
      </x:c>
      <x:c r="B86" s="35" t="str">
        <x:v>frameWebPlateThickness</x:v>
      </x:c>
      <x:c r="C86" s="35" t="str">
        <x:v>INDEX_AND_UNIT_REVIEW</x:v>
      </x:c>
      <x:c r="D86" s="35" t="str">
        <x:v>ADD_TO_DEVELOPMENT_INDEX_AFTER_SEMANTIC_CONFIRMATION</x:v>
      </x:c>
    </x:row>
    <x:row r="87">
      <x:c r="A87" s="38" t="str">
        <x:v>TRF-051</x:v>
      </x:c>
      <x:c r="B87" s="35" t="str">
        <x:v>netThickness</x:v>
      </x:c>
      <x:c r="C87" s="35" t="str">
        <x:v>INDEX_AND_UNIT_REVIEW</x:v>
      </x:c>
      <x:c r="D87" s="35" t="str">
        <x:v>ADD_TO_DEVELOPMENT_INDEX_AFTER_SEMANTIC_CONFIRMATION</x:v>
      </x:c>
    </x:row>
    <x:row r="88">
      <x:c r="A88" s="38" t="str">
        <x:v>TRF-053</x:v>
      </x:c>
      <x:c r="B88" s="35" t="str">
        <x:v>designIceLoadHeight</x:v>
      </x:c>
      <x:c r="C88" s="35" t="str">
        <x:v>INDEX_AND_UNIT_REVIEW</x:v>
      </x:c>
      <x:c r="D88" s="35" t="str">
        <x:v>ADD_TO_DEVELOPMENT_INDEX_AFTER_SEMANTIC_CONFIRMATION</x:v>
      </x:c>
    </x:row>
    <x:row r="89">
      <x:c r="A89" s="38" t="str">
        <x:v>TRF-053</x:v>
      </x:c>
      <x:c r="B89" s="35" t="str">
        <x:v>icePressure</x:v>
      </x:c>
      <x:c r="C89" s="35" t="str">
        <x:v>INDEX_AND_UNIT_REVIEW</x:v>
      </x:c>
      <x:c r="D89" s="35" t="str">
        <x:v>ADD_TO_DEVELOPMENT_INDEX_AFTER_SEMANTIC_CONFIRMATION</x:v>
      </x:c>
    </x:row>
    <x:row r="90">
      <x:c r="A90" s="38" t="str">
        <x:v>TRF-053</x:v>
      </x:c>
      <x:c r="B90" s="35" t="str">
        <x:v>span</x:v>
      </x:c>
      <x:c r="C90" s="35" t="str">
        <x:v>INDEX_AND_UNIT_REVIEW</x:v>
      </x:c>
      <x:c r="D90" s="35" t="str">
        <x:v>ADD_TO_DEVELOPMENT_INDEX_AFTER_SEMANTIC_CONFIRMATION</x:v>
      </x:c>
    </x:row>
    <x:row r="91">
      <x:c r="A91" s="38" t="str">
        <x:v>TRF-054</x:v>
      </x:c>
      <x:c r="B91" s="35" t="str">
        <x:v>designIceLoadHeight</x:v>
      </x:c>
      <x:c r="C91" s="35" t="str">
        <x:v>INDEX_AND_UNIT_REVIEW</x:v>
      </x:c>
      <x:c r="D91" s="35" t="str">
        <x:v>ADD_TO_DEVELOPMENT_INDEX_AFTER_SEMANTIC_CONFIRMATION</x:v>
      </x:c>
    </x:row>
    <x:row r="92">
      <x:c r="A92" s="38" t="str">
        <x:v>TRF-054</x:v>
      </x:c>
      <x:c r="B92" s="35" t="str">
        <x:v>icePressure</x:v>
      </x:c>
      <x:c r="C92" s="35" t="str">
        <x:v>INDEX_AND_UNIT_REVIEW</x:v>
      </x:c>
      <x:c r="D92" s="35" t="str">
        <x:v>ADD_TO_DEVELOPMENT_INDEX_AFTER_SEMANTIC_CONFIRMATION</x:v>
      </x:c>
    </x:row>
    <x:row r="93">
      <x:c r="A93" s="38" t="str">
        <x:v>TRF-054</x:v>
      </x:c>
      <x:c r="B93" s="35" t="str">
        <x:v>span</x:v>
      </x:c>
      <x:c r="C93" s="35" t="str">
        <x:v>INDEX_AND_UNIT_REVIEW</x:v>
      </x:c>
      <x:c r="D93" s="35" t="str">
        <x:v>ADD_TO_DEVELOPMENT_INDEX_AFTER_SEMANTIC_CONFIRMATION</x:v>
      </x:c>
    </x:row>
    <x:row r="94">
      <x:c r="A94" s="38" t="str">
        <x:v>TRF-054</x:v>
      </x:c>
      <x:c r="B94" s="35" t="str">
        <x:v>stringerOutsideIceBeltHeight</x:v>
      </x:c>
      <x:c r="C94" s="35" t="str">
        <x:v>INDEX_AND_UNIT_REVIEW</x:v>
      </x:c>
      <x:c r="D94" s="35" t="str">
        <x:v>ADD_TO_DEVELOPMENT_INDEX_AFTER_SEMANTIC_CONFIRMATION</x:v>
      </x:c>
    </x:row>
    <x:row r="95">
      <x:c r="A95" s="38" t="str">
        <x:v>TRF-054</x:v>
      </x:c>
      <x:c r="B95" s="35" t="str">
        <x:v>stringerSpan</x:v>
      </x:c>
      <x:c r="C95" s="35" t="str">
        <x:v>INDEX_AND_UNIT_REVIEW</x:v>
      </x:c>
      <x:c r="D95" s="35" t="str">
        <x:v>ADD_TO_DEVELOPMENT_INDEX_AFTER_SEMANTIC_CONFIRMATION</x:v>
      </x:c>
    </x:row>
    <x:row r="96">
      <x:c r="A96" s="38" t="str">
        <x:v>TRF-055</x:v>
      </x:c>
      <x:c r="B96" s="35" t="str">
        <x:v>designLineLoad</x:v>
      </x:c>
      <x:c r="C96" s="35" t="str">
        <x:v>NEW_TERMS</x:v>
      </x:c>
      <x:c r="D96" s="35" t="str">
        <x:v>ADD_TO_DEVELOPMENT_INDEX_AFTER_SEMANTIC_CONFIRMATION</x:v>
      </x:c>
    </x:row>
    <x:row r="97">
      <x:c r="A97" s="38" t="str">
        <x:v>TRF-055</x:v>
      </x:c>
      <x:c r="B97" s="35" t="str">
        <x:v>hatchOpeningLength</x:v>
      </x:c>
      <x:c r="C97" s="35" t="str">
        <x:v>NEW_TERMS</x:v>
      </x:c>
      <x:c r="D97" s="35" t="str">
        <x:v>ADD_TO_DEVELOPMENT_INDEX_AFTER_SEMANTIC_CONFIRMATION</x:v>
      </x:c>
    </x:row>
    <x:row r="98">
      <x:c r="A98" s="38" t="str">
        <x:v>TRF-055</x:v>
      </x:c>
      <x:c r="B98" s="35" t="str">
        <x:v>scantlingApprovalStatus</x:v>
      </x:c>
      <x:c r="C98" s="35" t="str">
        <x:v>NEW_TERMS</x:v>
      </x:c>
      <x:c r="D98" s="35" t="str">
        <x:v>ADD_TO_DEVELOPMENT_INDEX_AFTER_SEMANTIC_CONFIRMATION</x:v>
      </x:c>
    </x:row>
    <x:row r="99">
      <x:c r="A99" s="57" t="str">
        <x:v>TRF-055</x:v>
      </x:c>
      <x:c r="B99" s="36" t="str">
        <x:v>shipBreadth</x:v>
      </x:c>
      <x:c r="C99" s="36" t="str">
        <x:v>NEW_TERMS</x:v>
      </x:c>
      <x:c r="D99" s="36" t="str">
        <x:v>ADD_TO_DEVELOPMENT_INDEX_AFTER_SEMANTIC_CONFIRMATION</x:v>
      </x:c>
    </x:row>
  </x:sheetData>
  <x:conditionalFormatting sqref="C5:C99">
    <x:cfRule type="containsText" dxfId="15" priority="1" operator="containsText" text="READY"/>
    <x:cfRule type="containsText" dxfId="16" priority="2" operator="containsText" text="COMPLETE"/>
    <x:cfRule type="containsText" dxfId="17" priority="3" operator="containsText" text="NEW"/>
    <x:cfRule type="containsText" dxfId="18" priority="4" operator="containsText" text="REMODEL"/>
    <x:cfRule type="containsText" dxfId="19" priority="5" operator="containsText" text="UNIT"/>
  </x:conditionalFormatting>
  <x:pageMargins left="0.7" right="0.7" top="0.75" bottom="0.75" header="0.3" footer="0.3"/>
  <x:tableParts count="1">
    <x:tablePart xmlns:r="http://schemas.openxmlformats.org/officeDocument/2006/relationships" r:id="R08df3efcb2c84d4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46" hidden="0" customWidth="1"/>
    <x:col min="2" max="2" width="62" hidden="0" customWidth="1"/>
    <x:col min="3" max="3" width="24" hidden="0" customWidth="1"/>
    <x:col min="4" max="4" width="58" hidden="0" customWidth="1"/>
    <x:col min="5" max="5" width="18" hidden="0" customWidth="1"/>
    <x:col min="6" max="6" width="18" hidden="0" customWidth="1"/>
    <x:col min="7" max="7" width="44" hidden="0" customWidth="1"/>
    <x:col min="8" max="8" width="72" hidden="0" customWidth="1"/>
    <x:col min="9" max="9" width="72" hidden="0" customWidth="1"/>
    <x:col min="10" max="10" width="28" hidden="0" customWidth="1"/>
  </x:cols>
  <x:sheetData>
    <x:row r="1">
      <x:c r="A1" s="11" t="str">
        <x:v>NLTL Development Calibration - Batch 01</x:v>
      </x:c>
      <x:c r="B1" s="12"/>
      <x:c r="C1" s="12"/>
      <x:c r="D1" s="12"/>
      <x:c r="E1" s="12"/>
      <x:c r="F1" s="12"/>
      <x:c r="G1" s="12"/>
      <x:c r="H1" s="12"/>
      <x:c r="I1" s="12"/>
      <x:c r="J1" s="12"/>
    </x:row>
    <x:row r="2">
      <x:c r="A2" s="13" t="str">
        <x:v>DEVELOPMENT_TERMS | DEV-CAL-BATCH-01-FIRST-50 | vocabulary is not frozen</x:v>
      </x:c>
      <x:c r="B2" s="13"/>
      <x:c r="C2" s="13"/>
      <x:c r="D2" s="13"/>
      <x:c r="E2" s="13"/>
      <x:c r="F2" s="13"/>
      <x:c r="G2" s="13"/>
      <x:c r="H2" s="13"/>
      <x:c r="I2" s="13"/>
      <x:c r="J2" s="13"/>
    </x:row>
    <x:row r="3">
      <x:c r="A3" s="14"/>
      <x:c r="B3" s="14"/>
      <x:c r="C3" s="14"/>
      <x:c r="D3" s="14"/>
      <x:c r="E3" s="14"/>
      <x:c r="F3" s="14"/>
      <x:c r="G3" s="14"/>
      <x:c r="H3" s="14"/>
      <x:c r="I3" s="14"/>
      <x:c r="J3" s="14"/>
    </x:row>
    <x:row r="4" ht="32" customHeight="1">
      <x:c r="A4" s="32" t="str">
        <x:v>LOCAL_NAME</x:v>
      </x:c>
      <x:c r="B4" s="51" t="str">
        <x:v>EXACT_IRI</x:v>
      </x:c>
      <x:c r="C4" s="51" t="str">
        <x:v>KIND</x:v>
      </x:c>
      <x:c r="D4" s="51" t="str">
        <x:v>RANGE_OR_PARENT</x:v>
      </x:c>
      <x:c r="E4" s="51" t="str">
        <x:v>DATATYPE</x:v>
      </x:c>
      <x:c r="F4" s="51" t="str">
        <x:v>UNIT</x:v>
      </x:c>
      <x:c r="G4" s="51" t="str">
        <x:v>REQUIREMENT_IDS</x:v>
      </x:c>
      <x:c r="H4" s="51" t="str">
        <x:v>NAMING_BASIS</x:v>
      </x:c>
      <x:c r="I4" s="51" t="str">
        <x:v>NAMING_RULE</x:v>
      </x:c>
      <x:c r="J4" s="33" t="str">
        <x:v>ACTION</x:v>
      </x:c>
    </x:row>
    <x:row r="5">
      <x:c r="A5" s="34" t="str">
        <x:v>abandonmentEnvironment</x:v>
      </x:c>
      <x:c r="B5" s="34" t="str">
        <x:v>https://w3id.org/nltl-benchmark/vocab#abandonmentEnvironment</x:v>
      </x:c>
      <x:c r="C5" s="34" t="str">
        <x:v>DatatypeProperty</x:v>
      </x:c>
      <x:c r="D5" s="34" t="str">
        <x:v>http://www.w3.org/2001/XMLSchema#string</x:v>
      </x:c>
      <x:c r="E5" s="34" t="str">
        <x:v>xsd:string</x:v>
      </x:c>
      <x:c r="F5" s="34" t="str"/>
      <x:c r="G5" s="37" t="str">
        <x:v>IMO-065</x:v>
      </x:c>
      <x:c r="H5" s="34" t="str">
        <x:v>Locked-workbook normalized regulatory term</x:v>
      </x:c>
      <x:c r="I5" s="34" t="str">
        <x:v>N4 - preserve the source concept; normalize spelling to ASCII lowerCamelCase</x:v>
      </x:c>
      <x:c r="J5" s="34" t="str">
        <x:v>REUSE_R2_TERM</x:v>
      </x:c>
    </x:row>
    <x:row r="6">
      <x:c r="A6" s="35" t="str">
        <x:v>abandonmentOntoIceOrLandPotential</x:v>
      </x:c>
      <x:c r="B6" s="35" t="str">
        <x:v>https://w3id.org/nltl-benchmark/vocab#abandonmentOntoIceOrLandPotential</x:v>
      </x:c>
      <x:c r="C6" s="35" t="str">
        <x:v>DatatypeProperty</x:v>
      </x:c>
      <x:c r="D6" s="35" t="str">
        <x:v>http://www.w3.org/2001/XMLSchema#boolean</x:v>
      </x:c>
      <x:c r="E6" s="35" t="str">
        <x:v>xsd:boolean</x:v>
      </x:c>
      <x:c r="F6" s="35" t="str"/>
      <x:c r="G6" s="38" t="str">
        <x:v>IMO-074</x:v>
      </x:c>
      <x:c r="H6" s="35" t="str">
        <x:v>Locked-workbook normalized regulatory term</x:v>
      </x:c>
      <x:c r="I6" s="35" t="str">
        <x:v>N4 - preserve the source concept; normalize spelling to ASCII lowerCamelCase</x:v>
      </x:c>
      <x:c r="J6" s="35" t="str">
        <x:v>REUSE_R2_TERM</x:v>
      </x:c>
    </x:row>
    <x:row r="7">
      <x:c r="A7" s="35" t="str">
        <x:v>abreastOfHatch</x:v>
      </x:c>
      <x:c r="B7" s="35" t="str">
        <x:v>https://w3id.org/nltl-benchmark/vocab#abreastOfHatch</x:v>
      </x:c>
      <x:c r="C7" s="35" t="str">
        <x:v>DatatypeProperty</x:v>
      </x:c>
      <x:c r="D7" s="35" t="str">
        <x:v>http://www.w3.org/2001/XMLSchema#boolean</x:v>
      </x:c>
      <x:c r="E7" s="35" t="str">
        <x:v>xsd:boolean</x:v>
      </x:c>
      <x:c r="F7" s="35" t="str"/>
      <x:c r="G7" s="38" t="str">
        <x:v>TRF-055</x:v>
      </x:c>
      <x:c r="H7" s="35" t="str">
        <x:v>Applicable TRAFICOM regulation wording plus explicit engineering node/operand role</x:v>
      </x:c>
      <x:c r="I7" s="35" t="str">
        <x:v>N4 - explicit regulatory concept in ASCII lowerCamelCase with an XSD datatype.</x:v>
      </x:c>
      <x:c r="J7" s="35" t="str">
        <x:v>ADD_DEVELOPMENT_TERM</x:v>
      </x:c>
    </x:row>
    <x:row r="8">
      <x:c r="A8" s="35" t="str">
        <x:v>accessRequiredAtSea</x:v>
      </x:c>
      <x:c r="B8" s="35" t="str">
        <x:v>https://w3id.org/nltl-benchmark/vocab#accessRequiredAtSea</x:v>
      </x:c>
      <x:c r="C8" s="35" t="str">
        <x:v>DatatypeProperty</x:v>
      </x:c>
      <x:c r="D8" s="35" t="str">
        <x:v>http://www.w3.org/2001/XMLSchema#boolean</x:v>
      </x:c>
      <x:c r="E8" s="35" t="str">
        <x:v>xsd:boolean</x:v>
      </x:c>
      <x:c r="F8" s="35" t="str"/>
      <x:c r="G8" s="38" t="str">
        <x:v>IMO-042</x:v>
      </x:c>
      <x:c r="H8" s="35" t="str">
        <x:v>Locked-workbook normalized regulatory term</x:v>
      </x:c>
      <x:c r="I8" s="35" t="str">
        <x:v>N4 - preserve the source concept; normalize spelling to ASCII lowerCamelCase</x:v>
      </x:c>
      <x:c r="J8" s="35" t="str">
        <x:v>REUSE_R2_TERM</x:v>
      </x:c>
    </x:row>
    <x:row r="9">
      <x:c r="A9" s="35" t="str">
        <x:v>accessibleStatus</x:v>
      </x:c>
      <x:c r="B9" s="35" t="str">
        <x:v>https://w3id.org/nltl-benchmark/vocab#accessibleStatus</x:v>
      </x:c>
      <x:c r="C9" s="35" t="str">
        <x:v>DatatypeProperty</x:v>
      </x:c>
      <x:c r="D9" s="35" t="str">
        <x:v>http://www.w3.org/2001/XMLSchema#boolean</x:v>
      </x:c>
      <x:c r="E9" s="35" t="str">
        <x:v>xsd:boolean</x:v>
      </x:c>
      <x:c r="F9" s="35" t="str"/>
      <x:c r="G9" s="38" t="str">
        <x:v>IMO-062</x:v>
      </x:c>
      <x:c r="H9" s="35" t="str">
        <x:v>Locked-workbook normalized regulatory term</x:v>
      </x:c>
      <x:c r="I9" s="35" t="str">
        <x:v>N4 - preserve the source concept; normalize spelling to ASCII lowerCamelCase</x:v>
      </x:c>
      <x:c r="J9" s="35" t="str">
        <x:v>REUSE_R2_TERM</x:v>
      </x:c>
    </x:row>
    <x:row r="10">
      <x:c r="A10" s="35" t="str">
        <x:v>accommodationSpacePresent</x:v>
      </x:c>
      <x:c r="B10" s="35" t="str">
        <x:v>https://w3id.org/nltl-benchmark/vocab#accommodationSpacePresent</x:v>
      </x:c>
      <x:c r="C10" s="35" t="str">
        <x:v>DatatypeProperty</x:v>
      </x:c>
      <x:c r="D10" s="35" t="str">
        <x:v>http://www.w3.org/2001/XMLSchema#boolean</x:v>
      </x:c>
      <x:c r="E10" s="35" t="str">
        <x:v>xsd:boolean</x:v>
      </x:c>
      <x:c r="F10" s="35" t="str"/>
      <x:c r="G10" s="38" t="str">
        <x:v>IMO-065</x:v>
      </x:c>
      <x:c r="H10" s="35" t="str">
        <x:v>Locked-workbook normalized regulatory term</x:v>
      </x:c>
      <x:c r="I10" s="35" t="str">
        <x:v>N4 - preserve the source concept; normalize spelling to ASCII lowerCamelCase</x:v>
      </x:c>
      <x:c r="J10" s="35" t="str">
        <x:v>REUSE_R2_TERM</x:v>
      </x:c>
    </x:row>
    <x:row r="11">
      <x:c r="A11" s="35" t="str">
        <x:v>actualFrameShearArea</x:v>
      </x:c>
      <x:c r="B11" s="35" t="str">
        <x:v>https://w3id.org/nltl-benchmark/vocab#actualFrameShearArea</x:v>
      </x:c>
      <x:c r="C11" s="35" t="str">
        <x:v>QuantityProperty</x:v>
      </x:c>
      <x:c r="D11" s="35" t="str">
        <x:v>http://qudt.org/schema/qudt/QuantityValue</x:v>
      </x:c>
      <x:c r="E11" s="35" t="str"/>
      <x:c r="F11" s="35" t="str">
        <x:v>cm^2</x:v>
      </x:c>
      <x:c r="G11" s="38" t="str">
        <x:v>TRF-048</x:v>
      </x:c>
      <x:c r="H11" s="35" t="str">
        <x:v>Benchmark-coined descriptive engineering term</x:v>
      </x:c>
      <x:c r="I11" s="35" t="str">
        <x:v>N5 - component or subject first, followed by characteristic and qualifier/state; no unsupported external mapping</x:v>
      </x:c>
      <x:c r="J11" s="35" t="str">
        <x:v>REUSE_R2_TERM</x:v>
      </x:c>
    </x:row>
    <x:row r="12">
      <x:c r="A12" s="35" t="str">
        <x:v>actualSectionModulus</x:v>
      </x:c>
      <x:c r="B12" s="35" t="str">
        <x:v>https://w3id.org/nltl-benchmark/vocab#actualSectionModulus</x:v>
      </x:c>
      <x:c r="C12" s="35" t="str">
        <x:v>QuantityProperty</x:v>
      </x:c>
      <x:c r="D12" s="35" t="str">
        <x:v>http://qudt.org/schema/qudt/QuantityValue</x:v>
      </x:c>
      <x:c r="E12" s="35" t="str"/>
      <x:c r="F12" s="35" t="str">
        <x:v>cm^3</x:v>
      </x:c>
      <x:c r="G12" s="38" t="str">
        <x:v>TRF-055</x:v>
      </x:c>
      <x:c r="H12" s="35" t="str">
        <x:v>Applicable TRAFICOM regulation wording plus explicit engineering node/operand role</x:v>
      </x:c>
      <x:c r="I12" s="35" t="str">
        <x:v>N4 - explicit engineering quantity in ASCII lowerCamelCase; formula symbols remain aliases only.</x:v>
      </x:c>
      <x:c r="J12" s="35" t="str">
        <x:v>ADD_DEVELOPMENT_TERM</x:v>
      </x:c>
    </x:row>
    <x:row r="13">
      <x:c r="A13" s="35" t="str">
        <x:v>actualShearArea</x:v>
      </x:c>
      <x:c r="B13" s="35" t="str">
        <x:v>https://w3id.org/nltl-benchmark/vocab#actualShearArea</x:v>
      </x:c>
      <x:c r="C13" s="35" t="str">
        <x:v>QuantityProperty</x:v>
      </x:c>
      <x:c r="D13" s="35" t="str">
        <x:v>http://qudt.org/schema/qudt/QuantityValue</x:v>
      </x:c>
      <x:c r="E13" s="35" t="str"/>
      <x:c r="F13" s="35" t="str">
        <x:v>cm^2</x:v>
      </x:c>
      <x:c r="G13" s="38" t="str">
        <x:v>TRF-055</x:v>
      </x:c>
      <x:c r="H13" s="35" t="str">
        <x:v>Applicable TRAFICOM regulation wording plus explicit engineering node/operand role</x:v>
      </x:c>
      <x:c r="I13" s="35" t="str">
        <x:v>N4 - explicit engineering quantity in ASCII lowerCamelCase; formula symbols remain aliases only.</x:v>
      </x:c>
      <x:c r="J13" s="35" t="str">
        <x:v>ADD_DEVELOPMENT_TERM</x:v>
      </x:c>
    </x:row>
    <x:row r="14">
      <x:c r="A14" s="35" t="str">
        <x:v>actualWebFrameCrossSectionalArea</x:v>
      </x:c>
      <x:c r="B14" s="35" t="str">
        <x:v>https://w3id.org/nltl-benchmark/vocab#actualWebFrameCrossSectionalArea</x:v>
      </x:c>
      <x:c r="C14" s="35" t="str">
        <x:v>QuantityProperty</x:v>
      </x:c>
      <x:c r="D14" s="35" t="str">
        <x:v>http://qudt.org/schema/qudt/QuantityValue</x:v>
      </x:c>
      <x:c r="E14" s="35" t="str"/>
      <x:c r="F14" s="35" t="str">
        <x:v>cm^2</x:v>
      </x:c>
      <x:c r="G14" s="38" t="str">
        <x:v>TRF-060</x:v>
      </x:c>
      <x:c r="H14" s="35" t="str">
        <x:v>Benchmark-coined descriptive engineering term</x:v>
      </x:c>
      <x:c r="I14" s="35" t="str">
        <x:v>N5 - component or subject first, followed by characteristic and qualifier/state; no unsupported external mapping</x:v>
      </x:c>
      <x:c r="J14" s="35" t="str">
        <x:v>REUSE_R2_TERM</x:v>
      </x:c>
    </x:row>
    <x:row r="15">
      <x:c r="A15" s="35" t="str">
        <x:v>addedLifeSavingDeviceRequiresPower</x:v>
      </x:c>
      <x:c r="B15" s="35" t="str">
        <x:v>https://w3id.org/nltl-benchmark/vocab#addedLifeSavingDeviceRequiresPower</x:v>
      </x:c>
      <x:c r="C15" s="35" t="str">
        <x:v>DatatypeProperty</x:v>
      </x:c>
      <x:c r="D15" s="35" t="str">
        <x:v>http://www.w3.org/2001/XMLSchema#boolean</x:v>
      </x:c>
      <x:c r="E15" s="35" t="str">
        <x:v>xsd:boolean</x:v>
      </x:c>
      <x:c r="F15" s="35" t="str"/>
      <x:c r="G15" s="38" t="str">
        <x:v>IMO-069</x:v>
      </x:c>
      <x:c r="H15" s="35" t="str">
        <x:v>Locked-workbook normalized regulatory term</x:v>
      </x:c>
      <x:c r="I15" s="35" t="str">
        <x:v>N4 - preserve the source concept; normalize spelling to ASCII lowerCamelCase</x:v>
      </x:c>
      <x:c r="J15" s="35" t="str">
        <x:v>REUSE_R2_TERM</x:v>
      </x:c>
    </x:row>
    <x:row r="16">
      <x:c r="A16" s="35" t="str">
        <x:v>additionalEquipmentCapacityRequirement</x:v>
      </x:c>
      <x:c r="B16" s="35" t="str">
        <x:v>https://w3id.org/nltl-benchmark/vocab#additionalEquipmentCapacityRequirement</x:v>
      </x:c>
      <x:c r="C16" s="35" t="str">
        <x:v>DatatypeProperty</x:v>
      </x:c>
      <x:c r="D16" s="35" t="str">
        <x:v>http://www.w3.org/2001/XMLSchema#integer</x:v>
      </x:c>
      <x:c r="E16" s="35" t="str">
        <x:v>xsd:integer</x:v>
      </x:c>
      <x:c r="F16" s="35" t="str"/>
      <x:c r="G16" s="38" t="str">
        <x:v>IMO-077</x:v>
      </x:c>
      <x:c r="H16" s="35" t="str">
        <x:v>Locked-workbook normalized regulatory term</x:v>
      </x:c>
      <x:c r="I16" s="35" t="str">
        <x:v>N4 - preserve the source concept; normalize spelling to ASCII lowerCamelCase</x:v>
      </x:c>
      <x:c r="J16" s="35" t="str">
        <x:v>REUSE_R2_TERM</x:v>
      </x:c>
    </x:row>
    <x:row r="17">
      <x:c r="A17" s="35" t="str">
        <x:v>additionalEquipmentCarriedInSurvivalCraft</x:v>
      </x:c>
      <x:c r="B17" s="35" t="str">
        <x:v>https://w3id.org/nltl-benchmark/vocab#additionalEquipmentCarriedInSurvivalCraft</x:v>
      </x:c>
      <x:c r="C17" s="35" t="str">
        <x:v>DatatypeProperty</x:v>
      </x:c>
      <x:c r="D17" s="35" t="str">
        <x:v>http://www.w3.org/2001/XMLSchema#boolean</x:v>
      </x:c>
      <x:c r="E17" s="35" t="str">
        <x:v>xsd:boolean</x:v>
      </x:c>
      <x:c r="F17" s="35" t="str"/>
      <x:c r="G17" s="38" t="str">
        <x:v>IMO-077</x:v>
      </x:c>
      <x:c r="H17" s="35" t="str">
        <x:v>Locked-workbook normalized regulatory term</x:v>
      </x:c>
      <x:c r="I17" s="35" t="str">
        <x:v>N4 - preserve the source concept; normalize spelling to ASCII lowerCamelCase</x:v>
      </x:c>
      <x:c r="J17" s="35" t="str">
        <x:v>REUSE_R2_TERM</x:v>
      </x:c>
    </x:row>
    <x:row r="18">
      <x:c r="A18" s="35" t="str">
        <x:v>additionalPropulsionPower</x:v>
      </x:c>
      <x:c r="B18" s="35" t="str">
        <x:v>https://w3id.org/nltl-benchmark/vocab#additionalPropulsionPower</x:v>
      </x:c>
      <x:c r="C18" s="35" t="str">
        <x:v>QuantityProperty</x:v>
      </x:c>
      <x:c r="D18" s="35" t="str">
        <x:v>http://qudt.org/schema/qudt/QuantityValue</x:v>
      </x:c>
      <x:c r="E18" s="35" t="str"/>
      <x:c r="F18" s="35" t="str">
        <x:v>kW</x:v>
      </x:c>
      <x:c r="G18" s="38" t="str">
        <x:v>TRF-017</x:v>
      </x:c>
      <x:c r="H18" s="35" t="str">
        <x:v>Applicable TRAFICOM regulation wording plus explicit engineering node/operand role</x:v>
      </x:c>
      <x:c r="I18" s="35" t="str">
        <x:v>N4 - explicit engineering quantity in ASCII lowerCamelCase; formula symbols remain aliases only.</x:v>
      </x:c>
      <x:c r="J18" s="35" t="str">
        <x:v>ADD_DEVELOPMENT_TERM</x:v>
      </x:c>
    </x:row>
    <x:row r="19">
      <x:c r="A19" s="35" t="str">
        <x:v>adequateReceptionFacilitiesAvailable</x:v>
      </x:c>
      <x:c r="B19" s="35" t="str">
        <x:v>https://w3id.org/nltl-benchmark/vocab#adequateReceptionFacilitiesAvailable</x:v>
      </x:c>
      <x:c r="C19" s="35" t="str">
        <x:v>DatatypeProperty</x:v>
      </x:c>
      <x:c r="D19" s="35" t="str">
        <x:v>http://www.w3.org/2001/XMLSchema#boolean</x:v>
      </x:c>
      <x:c r="E19" s="35" t="str">
        <x:v>xsd:boolean</x:v>
      </x:c>
      <x:c r="F19" s="35" t="str"/>
      <x:c r="G19" s="38" t="str">
        <x:v>IMO-123</x:v>
      </x:c>
      <x:c r="H19" s="35" t="str">
        <x:v>Locked-workbook normalized regulatory term</x:v>
      </x:c>
      <x:c r="I19" s="35" t="str">
        <x:v>N4 - preserve the source concept; normalize spelling to ASCII lowerCamelCase</x:v>
      </x:c>
      <x:c r="J19" s="35" t="str">
        <x:v>REUSE_R2_TERM</x:v>
      </x:c>
    </x:row>
    <x:row r="20">
      <x:c r="A20" s="35" t="str">
        <x:v>adjacentFrameHeight</x:v>
      </x:c>
      <x:c r="B20" s="35" t="str">
        <x:v>https://w3id.org/nltl-benchmark/vocab#adjacentFrameHeight</x:v>
      </x:c>
      <x:c r="C20" s="35" t="str">
        <x:v>QuantityProperty</x:v>
      </x:c>
      <x:c r="D20" s="35" t="str">
        <x:v>http://qudt.org/schema/qudt/QuantityValue</x:v>
      </x:c>
      <x:c r="E20" s="35" t="str"/>
      <x:c r="F20" s="35" t="str">
        <x:v>mm</x:v>
      </x:c>
      <x:c r="G20" s="38" t="str">
        <x:v>TRF-051</x:v>
      </x:c>
      <x:c r="H20" s="35" t="str">
        <x:v>Applicable TRAFICOM regulation wording plus explicit engineering node/operand role</x:v>
      </x:c>
      <x:c r="I20" s="35" t="str">
        <x:v>N4 - explicit engineering quantity in ASCII lowerCamelCase; formula symbols remain aliases only.</x:v>
      </x:c>
      <x:c r="J20" s="35" t="str">
        <x:v>ADD_DEVELOPMENT_TERM</x:v>
      </x:c>
    </x:row>
    <x:row r="21">
      <x:c r="A21" s="35" t="str">
        <x:v>adjustedIceLoadForce</x:v>
      </x:c>
      <x:c r="B21" s="35" t="str">
        <x:v>https://w3id.org/nltl-benchmark/vocab#adjustedIceLoadForce</x:v>
      </x:c>
      <x:c r="C21" s="35" t="str">
        <x:v>QuantityProperty</x:v>
      </x:c>
      <x:c r="D21" s="35" t="str">
        <x:v>http://qudt.org/schema/qudt/QuantityValue</x:v>
      </x:c>
      <x:c r="E21" s="35" t="str"/>
      <x:c r="F21" s="35" t="str">
        <x:v>kN</x:v>
      </x:c>
      <x:c r="G21" s="38" t="str">
        <x:v>TRF-058</x:v>
      </x:c>
      <x:c r="H21" s="35" t="str">
        <x:v>Applicable TRAFICOM regulation wording plus explicit engineering node/operand role</x:v>
      </x:c>
      <x:c r="I21" s="35" t="str">
        <x:v>N4 - explicit engineering quantity in ASCII lowerCamelCase; formula symbols remain aliases only.</x:v>
      </x:c>
      <x:c r="J21" s="35" t="str">
        <x:v>ADD_DEVELOPMENT_TERM</x:v>
      </x:c>
    </x:row>
    <x:row r="22">
      <x:c r="A22" s="35" t="str">
        <x:v>administrationAcceptanceStatus</x:v>
      </x:c>
      <x:c r="B22" s="35" t="str">
        <x:v>https://w3id.org/nltl-benchmark/vocab#administrationAcceptanceStatus</x:v>
      </x:c>
      <x:c r="C22" s="35" t="str">
        <x:v>DatatypeProperty</x:v>
      </x:c>
      <x:c r="D22" s="35" t="str">
        <x:v>http://www.w3.org/2001/XMLSchema#boolean</x:v>
      </x:c>
      <x:c r="E22" s="35" t="str">
        <x:v>xsd:boolean</x:v>
      </x:c>
      <x:c r="F22" s="35" t="str"/>
      <x:c r="G22" s="38" t="str">
        <x:v>IMO-018</x:v>
      </x:c>
      <x:c r="H22" s="35" t="str">
        <x:v>Locked-workbook normalized regulatory term</x:v>
      </x:c>
      <x:c r="I22" s="35" t="str">
        <x:v>N4 - preserve the source concept; normalize spelling to ASCII lowerCamelCase</x:v>
      </x:c>
      <x:c r="J22" s="35" t="str">
        <x:v>REUSE_R2_TERM</x:v>
      </x:c>
    </x:row>
    <x:row r="23">
      <x:c r="A23" s="35" t="str">
        <x:v>administrationApprovedEquivalentBridgeWingProtectionPresent</x:v>
      </x:c>
      <x:c r="B23" s="35" t="str">
        <x:v>https://w3id.org/nltl-benchmark/vocab#administrationApprovedEquivalentBridgeWingProtectionPresent</x:v>
      </x:c>
      <x:c r="C23" s="35" t="str">
        <x:v>DatatypeProperty</x:v>
      </x:c>
      <x:c r="D23" s="35" t="str">
        <x:v>http://www.w3.org/2001/XMLSchema#boolean</x:v>
      </x:c>
      <x:c r="E23" s="35" t="str">
        <x:v>xsd:boolean</x:v>
      </x:c>
      <x:c r="F23" s="35" t="str"/>
      <x:c r="G23" s="38" t="str">
        <x:v>IMO26-011</x:v>
      </x:c>
      <x:c r="H23" s="35" t="str">
        <x:v>Locked-workbook normalized regulatory term</x:v>
      </x:c>
      <x:c r="I23" s="35" t="str">
        <x:v>N4 - preserve the source concept; normalize spelling to ASCII lowerCamelCase</x:v>
      </x:c>
      <x:c r="J23" s="35" t="str">
        <x:v>REUSE_R2_TERM</x:v>
      </x:c>
    </x:row>
    <x:row r="24">
      <x:c r="A24" s="35" t="str">
        <x:v>administrationApprovedEquivalentDepthSoundingDevicePresent</x:v>
      </x:c>
      <x:c r="B24" s="35" t="str">
        <x:v>https://w3id.org/nltl-benchmark/vocab#administrationApprovedEquivalentDepthSoundingDevicePresent</x:v>
      </x:c>
      <x:c r="C24" s="35" t="str">
        <x:v>DatatypeProperty</x:v>
      </x:c>
      <x:c r="D24" s="35" t="str">
        <x:v>http://www.w3.org/2001/XMLSchema#boolean</x:v>
      </x:c>
      <x:c r="E24" s="35" t="str">
        <x:v>xsd:boolean</x:v>
      </x:c>
      <x:c r="F24" s="35" t="str"/>
      <x:c r="G24" s="38" t="str">
        <x:v>IMO26-007</x:v>
      </x:c>
      <x:c r="H24" s="35" t="str">
        <x:v>Locked-workbook normalized regulatory term</x:v>
      </x:c>
      <x:c r="I24" s="35" t="str">
        <x:v>N4 - preserve the source concept; normalize spelling to ASCII lowerCamelCase</x:v>
      </x:c>
      <x:c r="J24" s="35" t="str">
        <x:v>REUSE_R2_TERM</x:v>
      </x:c>
    </x:row>
    <x:row r="25">
      <x:c r="A25" s="35" t="str">
        <x:v>administrationApprovedEquivalentVisibilityArrangementPresent</x:v>
      </x:c>
      <x:c r="B25" s="35" t="str">
        <x:v>https://w3id.org/nltl-benchmark/vocab#administrationApprovedEquivalentVisibilityArrangementPresent</x:v>
      </x:c>
      <x:c r="C25" s="35" t="str">
        <x:v>DatatypeProperty</x:v>
      </x:c>
      <x:c r="D25" s="35" t="str">
        <x:v>http://www.w3.org/2001/XMLSchema#boolean</x:v>
      </x:c>
      <x:c r="E25" s="35" t="str">
        <x:v>xsd:boolean</x:v>
      </x:c>
      <x:c r="F25" s="35" t="str"/>
      <x:c r="G25" s="38" t="str">
        <x:v>IMO26-008</x:v>
      </x:c>
      <x:c r="H25" s="35" t="str">
        <x:v>Locked-workbook normalized regulatory term</x:v>
      </x:c>
      <x:c r="I25" s="35" t="str">
        <x:v>N4 - preserve the source concept; normalize spelling to ASCII lowerCamelCase</x:v>
      </x:c>
      <x:c r="J25" s="35" t="str">
        <x:v>REUSE_R2_TERM</x:v>
      </x:c>
    </x:row>
    <x:row r="26">
      <x:c r="A26" s="35" t="str">
        <x:v>administrationCarriageApprovalStatus</x:v>
      </x:c>
      <x:c r="B26" s="35" t="str">
        <x:v>https://w3id.org/nltl-benchmark/vocab#administrationCarriageApprovalStatus</x:v>
      </x:c>
      <x:c r="C26" s="35" t="str">
        <x:v>ObjectProperty</x:v>
      </x:c>
      <x:c r="D26" s="35" t="str">
        <x:v>https://w3id.org/nltl-benchmark/vocab#evidenceState</x:v>
      </x:c>
      <x:c r="E26" s="35" t="str"/>
      <x:c r="F26" s="35" t="str"/>
      <x:c r="G26" s="38" t="str">
        <x:v>IMO-114</x:v>
      </x:c>
      <x:c r="H26" s="35" t="str">
        <x:v>Locked-workbook normalized regulatory term</x:v>
      </x:c>
      <x:c r="I26" s="35" t="str">
        <x:v>N4 - preserve the source concept; normalize spelling to ASCII lowerCamelCase</x:v>
      </x:c>
      <x:c r="J26" s="35" t="str">
        <x:v>REUSE_R2_TERM</x:v>
      </x:c>
    </x:row>
    <x:row r="27">
      <x:c r="A27" s="35" t="str">
        <x:v>administrationDatasetApprovalStatus</x:v>
      </x:c>
      <x:c r="B27" s="35" t="str">
        <x:v>https://w3id.org/nltl-benchmark/vocab#administrationDatasetApprovalStatus</x:v>
      </x:c>
      <x:c r="C27" s="35" t="str">
        <x:v>ObjectProperty</x:v>
      </x:c>
      <x:c r="D27" s="35" t="str">
        <x:v>https://w3id.org/nltl-benchmark/vocab#evidenceState</x:v>
      </x:c>
      <x:c r="E27" s="35" t="str"/>
      <x:c r="F27" s="35" t="str"/>
      <x:c r="G27" s="38" t="str">
        <x:v>IMO-011</x:v>
      </x:c>
      <x:c r="H27" s="35" t="str">
        <x:v>Locked-workbook normalized regulatory term</x:v>
      </x:c>
      <x:c r="I27" s="35" t="str">
        <x:v>N4 - preserve the source concept; normalize spelling to ASCII lowerCamelCase</x:v>
      </x:c>
      <x:c r="J27" s="35" t="str">
        <x:v>REUSE_R2_TERM</x:v>
      </x:c>
    </x:row>
    <x:row r="28">
      <x:c r="A28" s="35" t="str">
        <x:v>administrationDischargeApprovalStatus</x:v>
      </x:c>
      <x:c r="B28" s="35" t="str">
        <x:v>https://w3id.org/nltl-benchmark/vocab#administrationDischargeApprovalStatus</x:v>
      </x:c>
      <x:c r="C28" s="35" t="str">
        <x:v>ObjectProperty</x:v>
      </x:c>
      <x:c r="D28" s="35" t="str">
        <x:v>https://w3id.org/nltl-benchmark/vocab#evidenceState</x:v>
      </x:c>
      <x:c r="E28" s="35" t="str"/>
      <x:c r="F28" s="35" t="str"/>
      <x:c r="G28" s="38" t="str">
        <x:v>IMO-119</x:v>
      </x:c>
      <x:c r="H28" s="35" t="str">
        <x:v>Locked-workbook normalized regulatory term</x:v>
      </x:c>
      <x:c r="I28" s="35" t="str">
        <x:v>N4 - preserve the source concept; normalize spelling to ASCII lowerCamelCase</x:v>
      </x:c>
      <x:c r="J28" s="35" t="str">
        <x:v>REUSE_R2_TERM</x:v>
      </x:c>
    </x:row>
    <x:row r="29">
      <x:c r="A29" s="35" t="str">
        <x:v>administrationPermissionStatus</x:v>
      </x:c>
      <x:c r="B29" s="35" t="str">
        <x:v>https://w3id.org/nltl-benchmark/vocab#administrationPermissionStatus</x:v>
      </x:c>
      <x:c r="C29" s="35" t="str">
        <x:v>DatatypeProperty</x:v>
      </x:c>
      <x:c r="D29" s="35" t="str">
        <x:v>http://www.w3.org/2001/XMLSchema#boolean</x:v>
      </x:c>
      <x:c r="E29" s="35" t="str">
        <x:v>xsd:boolean</x:v>
      </x:c>
      <x:c r="F29" s="35" t="str"/>
      <x:c r="G29" s="38" t="str">
        <x:v>IMO-103</x:v>
      </x:c>
      <x:c r="H29" s="35" t="str">
        <x:v>Locked-workbook normalized regulatory term</x:v>
      </x:c>
      <x:c r="I29" s="35" t="str">
        <x:v>N4 - preserve the source concept; normalize spelling to ASCII lowerCamelCase</x:v>
      </x:c>
      <x:c r="J29" s="35" t="str">
        <x:v>REUSE_R2_TERM</x:v>
      </x:c>
    </x:row>
    <x:row r="30">
      <x:c r="A30" s="35" t="str">
        <x:v>administrationRequiredIceRemovalMeans</x:v>
      </x:c>
      <x:c r="B30" s="35" t="str">
        <x:v>https://w3id.org/nltl-benchmark/vocab#administrationRequiredIceRemovalMeans</x:v>
      </x:c>
      <x:c r="C30" s="35" t="str">
        <x:v>DatatypeProperty</x:v>
      </x:c>
      <x:c r="D30" s="35" t="str">
        <x:v>http://www.w3.org/2001/XMLSchema#string</x:v>
      </x:c>
      <x:c r="E30" s="35" t="str">
        <x:v>xsd:string</x:v>
      </x:c>
      <x:c r="F30" s="35" t="str"/>
      <x:c r="G30" s="38" t="str">
        <x:v>IMO-034</x:v>
      </x:c>
      <x:c r="H30" s="35" t="str">
        <x:v>Locked-workbook normalized regulatory term</x:v>
      </x:c>
      <x:c r="I30" s="35" t="str">
        <x:v>N4 - preserve the source concept; normalize spelling to ASCII lowerCamelCase</x:v>
      </x:c>
      <x:c r="J30" s="35" t="str">
        <x:v>REUSE_R2_TERM</x:v>
      </x:c>
    </x:row>
    <x:row r="31">
      <x:c r="A31" s="35" t="str">
        <x:v>advancedPolarTrainingStatus</x:v>
      </x:c>
      <x:c r="B31" s="35" t="str">
        <x:v>https://w3id.org/nltl-benchmark/vocab#advancedPolarTrainingStatus</x:v>
      </x:c>
      <x:c r="C31" s="35" t="str">
        <x:v>DatatypeProperty</x:v>
      </x:c>
      <x:c r="D31" s="35" t="str">
        <x:v>http://www.w3.org/2001/XMLSchema#boolean</x:v>
      </x:c>
      <x:c r="E31" s="35" t="str">
        <x:v>xsd:boolean</x:v>
      </x:c>
      <x:c r="F31" s="35" t="str"/>
      <x:c r="G31" s="38" t="str">
        <x:v>IMO-103</x:v>
      </x:c>
      <x:c r="H31" s="35" t="str">
        <x:v>Locked-workbook normalized regulatory term</x:v>
      </x:c>
      <x:c r="I31" s="35" t="str">
        <x:v>N4 - preserve the source concept; normalize spelling to ASCII lowerCamelCase</x:v>
      </x:c>
      <x:c r="J31" s="35" t="str">
        <x:v>REUSE_R2_TERM</x:v>
      </x:c>
    </x:row>
    <x:row r="32">
      <x:c r="A32" s="35" t="str">
        <x:v>adverseEnvironmentalCondition</x:v>
      </x:c>
      <x:c r="B32" s="35" t="str">
        <x:v>https://w3id.org/nltl-benchmark/vocab#adverseEnvironmentalCondition</x:v>
      </x:c>
      <x:c r="C32" s="35" t="str">
        <x:v>DatatypeProperty</x:v>
      </x:c>
      <x:c r="D32" s="35" t="str">
        <x:v>http://www.w3.org/2001/XMLSchema#string</x:v>
      </x:c>
      <x:c r="E32" s="35" t="str">
        <x:v>xsd:string</x:v>
      </x:c>
      <x:c r="F32" s="35" t="str"/>
      <x:c r="G32" s="38" t="str">
        <x:v>IMO-063</x:v>
      </x:c>
      <x:c r="H32" s="35" t="str">
        <x:v>Locked-workbook normalized regulatory term</x:v>
      </x:c>
      <x:c r="I32" s="35" t="str">
        <x:v>N4 - preserve the source concept; normalize spelling to ASCII lowerCamelCase</x:v>
      </x:c>
      <x:c r="J32" s="35" t="str">
        <x:v>REUSE_R2_TERM</x:v>
      </x:c>
    </x:row>
    <x:row r="33">
      <x:c r="A33" s="35" t="str">
        <x:v>aeronauticalFrequencyCapabilityPresent</x:v>
      </x:c>
      <x:c r="B33" s="35" t="str">
        <x:v>https://w3id.org/nltl-benchmark/vocab#aeronauticalFrequencyCapabilityPresent</x:v>
      </x:c>
      <x:c r="C33" s="35" t="str">
        <x:v>DatatypeProperty</x:v>
      </x:c>
      <x:c r="D33" s="35" t="str">
        <x:v>http://www.w3.org/2001/XMLSchema#boolean</x:v>
      </x:c>
      <x:c r="E33" s="35" t="str">
        <x:v>xsd:boolean</x:v>
      </x:c>
      <x:c r="F33" s="35" t="str"/>
      <x:c r="G33" s="38" t="str">
        <x:v>IMO-091</x:v>
      </x:c>
      <x:c r="H33" s="35" t="str">
        <x:v>Locked-workbook normalized regulatory term</x:v>
      </x:c>
      <x:c r="I33" s="35" t="str">
        <x:v>N4 - preserve the source concept; normalize spelling to ASCII lowerCamelCase</x:v>
      </x:c>
      <x:c r="J33" s="35" t="str">
        <x:v>REUSE_R2_TERM</x:v>
      </x:c>
    </x:row>
    <x:row r="34">
      <x:c r="A34" s="35" t="str">
        <x:v>aftSectionDesignBasis</x:v>
      </x:c>
      <x:c r="B34" s="35" t="str">
        <x:v>https://w3id.org/nltl-benchmark/vocab#aftSectionDesignBasis</x:v>
      </x:c>
      <x:c r="C34" s="35" t="str">
        <x:v>DatatypeProperty</x:v>
      </x:c>
      <x:c r="D34" s="35" t="str">
        <x:v>http://www.w3.org/2001/XMLSchema#string</x:v>
      </x:c>
      <x:c r="E34" s="35" t="str">
        <x:v>xsd:string</x:v>
      </x:c>
      <x:c r="F34" s="35" t="str"/>
      <x:c r="G34" s="38" t="str">
        <x:v>I2-006</x:v>
      </x:c>
      <x:c r="H34" s="35" t="str">
        <x:v>Benchmark-coined descriptive engineering term</x:v>
      </x:c>
      <x:c r="I34" s="35" t="str">
        <x:v>N5 - component or subject first, followed by characteristic and qualifier/state; no unsupported external mapping</x:v>
      </x:c>
      <x:c r="J34" s="35" t="str">
        <x:v>REUSE_R2_TERM</x:v>
      </x:c>
    </x:row>
    <x:row r="35">
      <x:c r="A35" s="35" t="str">
        <x:v>aggregateOilFuelCapacity</x:v>
      </x:c>
      <x:c r="B35" s="35" t="str">
        <x:v>https://w3id.org/nltl-benchmark/vocab#aggregateOilFuelCapacity</x:v>
      </x:c>
      <x:c r="C35" s="35" t="str">
        <x:v>QuantityProperty</x:v>
      </x:c>
      <x:c r="D35" s="35" t="str">
        <x:v>http://qudt.org/schema/qudt/QuantityValue</x:v>
      </x:c>
      <x:c r="E35" s="35" t="str"/>
      <x:c r="F35" s="35" t="str">
        <x:v>m^3</x:v>
      </x:c>
      <x:c r="G35" s="38" t="str">
        <x:v>IMO-108</x:v>
      </x:c>
      <x:c r="H35" s="35" t="str">
        <x:v>Unit-stripped normalized regulatory variable</x:v>
      </x:c>
      <x:c r="I35" s="35" t="str">
        <x:v>N3 - remove unit from the identifier and retain it in unit/quantity metadata</x:v>
      </x:c>
      <x:c r="J35" s="35" t="str">
        <x:v>REUSE_R2_TERM</x:v>
      </x:c>
    </x:row>
    <x:row r="36">
      <x:c r="A36" s="35" t="str">
        <x:v>airReceiverCapacity</x:v>
      </x:c>
      <x:c r="B36" s="35" t="str">
        <x:v>https://w3id.org/nltl-benchmark/vocab#airReceiverCapacity</x:v>
      </x:c>
      <x:c r="C36" s="35" t="str">
        <x:v>QuantityProperty</x:v>
      </x:c>
      <x:c r="D36" s="35" t="str">
        <x:v>http://qudt.org/schema/qudt/QuantityValue</x:v>
      </x:c>
      <x:c r="E36" s="35" t="str"/>
      <x:c r="F36" s="35" t="str">
        <x:v>m^3</x:v>
      </x:c>
      <x:c r="G36" s="38" t="str">
        <x:v>TRF-126 | TRF-127 | TRF-128</x:v>
      </x:c>
      <x:c r="H36" s="35" t="str">
        <x:v>Verified exact implementation term</x:v>
      </x:c>
      <x:c r="I36" s="35" t="str">
        <x:v>N1 - reuse only after exact URI and semantic-context verification</x:v>
      </x:c>
      <x:c r="J36" s="35" t="str">
        <x:v>REUSE_R2_TERM</x:v>
      </x:c>
    </x:row>
    <x:row r="37">
      <x:c r="A37" s="35" t="str">
        <x:v>airReceiverConsecutiveStartCapacity</x:v>
      </x:c>
      <x:c r="B37" s="35" t="str">
        <x:v>https://w3id.org/nltl-benchmark/vocab#airReceiverConsecutiveStartCapacity</x:v>
      </x:c>
      <x:c r="C37" s="35" t="str">
        <x:v>DatatypeProperty</x:v>
      </x:c>
      <x:c r="D37" s="35" t="str">
        <x:v>http://www.w3.org/2001/XMLSchema#integer</x:v>
      </x:c>
      <x:c r="E37" s="35" t="str">
        <x:v>xsd:integer</x:v>
      </x:c>
      <x:c r="F37" s="35" t="str"/>
      <x:c r="G37" s="38" t="str">
        <x:v>TRF-126</x:v>
      </x:c>
      <x:c r="H37" s="35" t="str">
        <x:v>Benchmark-coined descriptive engineering term</x:v>
      </x:c>
      <x:c r="I37" s="35" t="str">
        <x:v>N5 - component or subject first, followed by characteristic and qualifier/state; no unsupported external mapping</x:v>
      </x:c>
      <x:c r="J37" s="35" t="str">
        <x:v>REUSE_R2_TERM</x:v>
      </x:c>
    </x:row>
    <x:row r="38">
      <x:c r="A38" s="35" t="str">
        <x:v>allowableShearStress</x:v>
      </x:c>
      <x:c r="B38" s="35" t="str">
        <x:v>https://w3id.org/nltl-benchmark/vocab#allowableShearStress</x:v>
      </x:c>
      <x:c r="C38" s="35" t="str">
        <x:v>QuantityProperty</x:v>
      </x:c>
      <x:c r="D38" s="35" t="str">
        <x:v>http://qudt.org/schema/qudt/QuantityValue</x:v>
      </x:c>
      <x:c r="E38" s="35" t="str"/>
      <x:c r="F38" s="35" t="str">
        <x:v>MPa</x:v>
      </x:c>
      <x:c r="G38" s="38" t="str">
        <x:v>TRF-031</x:v>
      </x:c>
      <x:c r="H38" s="35" t="str">
        <x:v>Benchmark-coined descriptive engineering term</x:v>
      </x:c>
      <x:c r="I38" s="35" t="str">
        <x:v>N5 - component or subject first, followed by characteristic and qualifier/state; no unsupported external mapping</x:v>
      </x:c>
      <x:c r="J38" s="35" t="str">
        <x:v>REUSE_R2_TERM</x:v>
      </x:c>
    </x:row>
    <x:row r="39">
      <x:c r="A39" s="35" t="str">
        <x:v>allowedVerticalPosition</x:v>
      </x:c>
      <x:c r="B39" s="35" t="str">
        <x:v>https://w3id.org/nltl-benchmark/vocab#allowedVerticalPosition</x:v>
      </x:c>
      <x:c r="C39" s="35" t="str">
        <x:v>DatatypeProperty</x:v>
      </x:c>
      <x:c r="D39" s="35" t="str">
        <x:v>http://www.w3.org/2001/XMLSchema#string</x:v>
      </x:c>
      <x:c r="E39" s="35" t="str">
        <x:v>xsd:string</x:v>
      </x:c>
      <x:c r="F39" s="35" t="str"/>
      <x:c r="G39" s="38" t="str">
        <x:v>IMO-038</x:v>
      </x:c>
      <x:c r="H39" s="35" t="str">
        <x:v>Locked-workbook normalized regulatory term</x:v>
      </x:c>
      <x:c r="I39" s="35" t="str">
        <x:v>N4 - preserve the source concept; normalize spelling to ASCII lowerCamelCase</x:v>
      </x:c>
      <x:c r="J39" s="35" t="str">
        <x:v>REUSE_R2_TERM</x:v>
      </x:c>
    </x:row>
    <x:row r="40">
      <x:c r="A40" s="35" t="str">
        <x:v>alternateFunctionalityArrangementApprovalStatus</x:v>
      </x:c>
      <x:c r="B40" s="35" t="str">
        <x:v>https://w3id.org/nltl-benchmark/vocab#alternateFunctionalityArrangementApprovalStatus</x:v>
      </x:c>
      <x:c r="C40" s="35" t="str">
        <x:v>ObjectProperty</x:v>
      </x:c>
      <x:c r="D40" s="35" t="str">
        <x:v>https://w3id.org/nltl-benchmark/vocab#evidenceState</x:v>
      </x:c>
      <x:c r="E40" s="35" t="str"/>
      <x:c r="F40" s="35" t="str"/>
      <x:c r="G40" s="38" t="str">
        <x:v>IMO-045</x:v>
      </x:c>
      <x:c r="H40" s="35" t="str">
        <x:v>Locked-workbook normalized regulatory term</x:v>
      </x:c>
      <x:c r="I40" s="35" t="str">
        <x:v>N4 - preserve the source concept; normalize spelling to ASCII lowerCamelCase</x:v>
      </x:c>
      <x:c r="J40" s="35" t="str">
        <x:v>REUSE_R2_TERM</x:v>
      </x:c>
    </x:row>
    <x:row r="41">
      <x:c r="A41" s="35" t="str">
        <x:v>alternateQualifiedPersonUsed</x:v>
      </x:c>
      <x:c r="B41" s="35" t="str">
        <x:v>https://w3id.org/nltl-benchmark/vocab#alternateQualifiedPersonUsed</x:v>
      </x:c>
      <x:c r="C41" s="35" t="str">
        <x:v>DatatypeProperty</x:v>
      </x:c>
      <x:c r="D41" s="35" t="str">
        <x:v>http://www.w3.org/2001/XMLSchema#boolean</x:v>
      </x:c>
      <x:c r="E41" s="35" t="str">
        <x:v>xsd:boolean</x:v>
      </x:c>
      <x:c r="F41" s="35" t="str"/>
      <x:c r="G41" s="38" t="str">
        <x:v>IMO-103</x:v>
      </x:c>
      <x:c r="H41" s="35" t="str">
        <x:v>Locked-workbook normalized regulatory term</x:v>
      </x:c>
      <x:c r="I41" s="35" t="str">
        <x:v>N4 - preserve the source concept; normalize spelling to ASCII lowerCamelCase</x:v>
      </x:c>
      <x:c r="J41" s="35" t="str">
        <x:v>REUSE_R2_TERM</x:v>
      </x:c>
    </x:row>
    <x:row r="42">
      <x:c r="A42" s="35" t="str">
        <x:v>alternateVisualIceDetectionMeansApprovalStatus</x:v>
      </x:c>
      <x:c r="B42" s="35" t="str">
        <x:v>https://w3id.org/nltl-benchmark/vocab#alternateVisualIceDetectionMeansApprovalStatus</x:v>
      </x:c>
      <x:c r="C42" s="35" t="str">
        <x:v>ObjectProperty</x:v>
      </x:c>
      <x:c r="D42" s="35" t="str">
        <x:v>https://w3id.org/nltl-benchmark/vocab#evidenceState</x:v>
      </x:c>
      <x:c r="E42" s="35" t="str"/>
      <x:c r="F42" s="35" t="str"/>
      <x:c r="G42" s="38" t="str">
        <x:v>IMO-088</x:v>
      </x:c>
      <x:c r="H42" s="35" t="str">
        <x:v>Locked-workbook normalized regulatory term</x:v>
      </x:c>
      <x:c r="I42" s="35" t="str">
        <x:v>N4 - preserve the source concept; normalize spelling to ASCII lowerCamelCase</x:v>
      </x:c>
      <x:c r="J42" s="35" t="str">
        <x:v>REUSE_R2_TERM</x:v>
      </x:c>
    </x:row>
    <x:row r="43">
      <x:c r="A43" s="35" t="str">
        <x:v>alternativeCalculationEvidence</x:v>
      </x:c>
      <x:c r="B43" s="35" t="str">
        <x:v>https://w3id.org/nltl-benchmark/vocab#alternativeCalculationEvidence</x:v>
      </x:c>
      <x:c r="C43" s="35" t="str">
        <x:v>Class</x:v>
      </x:c>
      <x:c r="D43" s="35" t="str">
        <x:v>https://w3id.org/nltl-benchmark/vocab#documentEvidence</x:v>
      </x:c>
      <x:c r="E43" s="35" t="str"/>
      <x:c r="F43" s="35" t="str"/>
      <x:c r="G43" s="38" t="str">
        <x:v>TRF-028</x:v>
      </x:c>
      <x:c r="H43" s="35" t="str">
        <x:v>Benchmark-coined descriptive engineering term</x:v>
      </x:c>
      <x:c r="I43" s="35" t="str">
        <x:v>N5 - component or subject first, followed by characteristic and qualifier/state; no unsupported external mapping</x:v>
      </x:c>
      <x:c r="J43" s="35" t="str">
        <x:v>REUSE_R2_TERM</x:v>
      </x:c>
    </x:row>
    <x:row r="44">
      <x:c r="A44" s="35" t="str">
        <x:v>alternativeInstrumentApplicable</x:v>
      </x:c>
      <x:c r="B44" s="35" t="str">
        <x:v>https://w3id.org/nltl-benchmark/vocab#alternativeInstrumentApplicable</x:v>
      </x:c>
      <x:c r="C44" s="35" t="str">
        <x:v>DatatypeProperty</x:v>
      </x:c>
      <x:c r="D44" s="35" t="str">
        <x:v>http://www.w3.org/2001/XMLSchema#boolean</x:v>
      </x:c>
      <x:c r="E44" s="35" t="str">
        <x:v>xsd:boolean</x:v>
      </x:c>
      <x:c r="F44" s="35" t="str"/>
      <x:c r="G44" s="38" t="str">
        <x:v>IMO-037</x:v>
      </x:c>
      <x:c r="H44" s="35" t="str">
        <x:v>Locked-workbook normalized regulatory term</x:v>
      </x:c>
      <x:c r="I44" s="35" t="str">
        <x:v>N4 - preserve the source concept; normalize spelling to ASCII lowerCamelCase</x:v>
      </x:c>
      <x:c r="J44" s="35" t="str">
        <x:v>REUSE_R2_TERM</x:v>
      </x:c>
    </x:row>
    <x:row r="45">
      <x:c r="A45" s="35" t="str">
        <x:v>alternativeInstrumentResidualStabilityStatus</x:v>
      </x:c>
      <x:c r="B45" s="35" t="str">
        <x:v>https://w3id.org/nltl-benchmark/vocab#alternativeInstrumentResidualStabilityStatus</x:v>
      </x:c>
      <x:c r="C45" s="35" t="str">
        <x:v>DatatypeProperty</x:v>
      </x:c>
      <x:c r="D45" s="35" t="str">
        <x:v>http://www.w3.org/2001/XMLSchema#boolean</x:v>
      </x:c>
      <x:c r="E45" s="35" t="str">
        <x:v>xsd:boolean</x:v>
      </x:c>
      <x:c r="F45" s="35" t="str"/>
      <x:c r="G45" s="38" t="str">
        <x:v>IMO-037</x:v>
      </x:c>
      <x:c r="H45" s="35" t="str">
        <x:v>Locked-workbook normalized regulatory term</x:v>
      </x:c>
      <x:c r="I45" s="35" t="str">
        <x:v>N4 - preserve the source concept; normalize spelling to ASCII lowerCamelCase</x:v>
      </x:c>
      <x:c r="J45" s="35" t="str">
        <x:v>REUSE_R2_TERM</x:v>
      </x:c>
    </x:row>
    <x:row r="46">
      <x:c r="A46" s="35" t="str">
        <x:v>analysisMaximumSpeed</x:v>
      </x:c>
      <x:c r="B46" s="35" t="str">
        <x:v>https://w3id.org/nltl-benchmark/vocab#analysisMaximumSpeed</x:v>
      </x:c>
      <x:c r="C46" s="35" t="str">
        <x:v>QuantityProperty</x:v>
      </x:c>
      <x:c r="D46" s="35" t="str">
        <x:v>http://qudt.org/schema/qudt/QuantityValue</x:v>
      </x:c>
      <x:c r="E46" s="35" t="str"/>
      <x:c r="F46" s="35" t="str">
        <x:v>kn</x:v>
      </x:c>
      <x:c r="G46" s="38" t="str">
        <x:v>TRF-094</x:v>
      </x:c>
      <x:c r="H46" s="35" t="str">
        <x:v>Benchmark-coined descriptive engineering term</x:v>
      </x:c>
      <x:c r="I46" s="35" t="str">
        <x:v>N5 - component or subject first, followed by characteristic and qualifier/state; no unsupported external mapping</x:v>
      </x:c>
      <x:c r="J46" s="35" t="str">
        <x:v>REUSE_R2_TERM</x:v>
      </x:c>
    </x:row>
    <x:row r="47">
      <x:c r="A47" s="35" t="str">
        <x:v>animalCarcassDischarge</x:v>
      </x:c>
      <x:c r="B47" s="35" t="str">
        <x:v>https://w3id.org/nltl-benchmark/vocab#animalCarcassDischarge</x:v>
      </x:c>
      <x:c r="C47" s="35" t="str">
        <x:v>DatatypeProperty</x:v>
      </x:c>
      <x:c r="D47" s="35" t="str">
        <x:v>http://www.w3.org/2001/XMLSchema#boolean</x:v>
      </x:c>
      <x:c r="E47" s="35" t="str">
        <x:v>xsd:boolean</x:v>
      </x:c>
      <x:c r="F47" s="35" t="str"/>
      <x:c r="G47" s="38" t="str">
        <x:v>IMO-122</x:v>
      </x:c>
      <x:c r="H47" s="35" t="str">
        <x:v>Locked-workbook normalized regulatory term</x:v>
      </x:c>
      <x:c r="I47" s="35" t="str">
        <x:v>N4 - preserve the source concept; normalize spelling to ASCII lowerCamelCase</x:v>
      </x:c>
      <x:c r="J47" s="35" t="str">
        <x:v>REUSE_R2_TERM</x:v>
      </x:c>
    </x:row>
    <x:row r="48">
      <x:c r="A48" s="35" t="str">
        <x:v>antarcticArea</x:v>
      </x:c>
      <x:c r="B48" s="35" t="str">
        <x:v>https://w3id.org/nltl-benchmark/vocab#antarcticArea</x:v>
      </x:c>
      <x:c r="C48" s="35" t="str">
        <x:v>DatatypeProperty</x:v>
      </x:c>
      <x:c r="D48" s="35" t="str">
        <x:v>http://www.w3.org/2001/XMLSchema#string</x:v>
      </x:c>
      <x:c r="E48" s="35" t="str">
        <x:v>xsd:string</x:v>
      </x:c>
      <x:c r="F48" s="35" t="str"/>
      <x:c r="G48" s="38" t="str">
        <x:v>IMO-124</x:v>
      </x:c>
      <x:c r="H48" s="35" t="str">
        <x:v>Benchmark-coined descriptive engineering term</x:v>
      </x:c>
      <x:c r="I48" s="35" t="str">
        <x:v>N5 - component or subject first, followed by characteristic and qualifier/state; no unsupported external mapping</x:v>
      </x:c>
      <x:c r="J48" s="35" t="str">
        <x:v>REUSE_R2_TERM</x:v>
      </x:c>
    </x:row>
    <x:row r="49">
      <x:c r="A49" s="35" t="str">
        <x:v>anticipatedCold</x:v>
      </x:c>
      <x:c r="B49" s="35" t="str">
        <x:v>https://w3id.org/nltl-benchmark/vocab#anticipatedCold</x:v>
      </x:c>
      <x:c r="C49" s="35" t="str">
        <x:v>DatatypeProperty</x:v>
      </x:c>
      <x:c r="D49" s="35" t="str">
        <x:v>http://www.w3.org/2001/XMLSchema#string</x:v>
      </x:c>
      <x:c r="E49" s="35" t="str">
        <x:v>xsd:string</x:v>
      </x:c>
      <x:c r="F49" s="35" t="str"/>
      <x:c r="G49" s="38" t="str">
        <x:v>IMO-064</x:v>
      </x:c>
      <x:c r="H49" s="35" t="str">
        <x:v>Locked-workbook normalized regulatory term</x:v>
      </x:c>
      <x:c r="I49" s="35" t="str">
        <x:v>N4 - preserve the source concept; normalize spelling to ASCII lowerCamelCase</x:v>
      </x:c>
      <x:c r="J49" s="35" t="str">
        <x:v>REUSE_R2_TERM</x:v>
      </x:c>
    </x:row>
    <x:row r="50">
      <x:c r="A50" s="35" t="str">
        <x:v>anticipatedWind</x:v>
      </x:c>
      <x:c r="B50" s="35" t="str">
        <x:v>https://w3id.org/nltl-benchmark/vocab#anticipatedWind</x:v>
      </x:c>
      <x:c r="C50" s="35" t="str">
        <x:v>DatatypeProperty</x:v>
      </x:c>
      <x:c r="D50" s="35" t="str">
        <x:v>http://www.w3.org/2001/XMLSchema#string</x:v>
      </x:c>
      <x:c r="E50" s="35" t="str">
        <x:v>xsd:string</x:v>
      </x:c>
      <x:c r="F50" s="35" t="str"/>
      <x:c r="G50" s="38" t="str">
        <x:v>IMO-064</x:v>
      </x:c>
      <x:c r="H50" s="35" t="str">
        <x:v>Locked-workbook normalized regulatory term</x:v>
      </x:c>
      <x:c r="I50" s="35" t="str">
        <x:v>N4 - preserve the source concept; normalize spelling to ASCII lowerCamelCase</x:v>
      </x:c>
      <x:c r="J50" s="35" t="str">
        <x:v>REUSE_R2_TERM</x:v>
      </x:c>
    </x:row>
    <x:row r="51">
      <x:c r="A51" s="35" t="str">
        <x:v>antitrippingSupportScope</x:v>
      </x:c>
      <x:c r="B51" s="35" t="str">
        <x:v>https://w3id.org/nltl-benchmark/vocab#antitrippingSupportScope</x:v>
      </x:c>
      <x:c r="C51" s="35" t="str">
        <x:v>DatatypeProperty</x:v>
      </x:c>
      <x:c r="D51" s="35" t="str">
        <x:v>http://www.w3.org/2001/XMLSchema#string</x:v>
      </x:c>
      <x:c r="E51" s="35" t="str">
        <x:v>xsd:string</x:v>
      </x:c>
      <x:c r="F51" s="35" t="str"/>
      <x:c r="G51" s="38" t="str">
        <x:v>TRF-052</x:v>
      </x:c>
      <x:c r="H51" s="35" t="str">
        <x:v>Benchmark-coined descriptive engineering term</x:v>
      </x:c>
      <x:c r="I51" s="35" t="str">
        <x:v>N5 - component or subject first, followed by characteristic and qualifier/state; no unsupported external mapping</x:v>
      </x:c>
      <x:c r="J51" s="35" t="str">
        <x:v>REUSE_R2_TERM</x:v>
      </x:c>
    </x:row>
    <x:row r="52">
      <x:c r="A52" s="35" t="str">
        <x:v>antitrippingSupportSpacing</x:v>
      </x:c>
      <x:c r="B52" s="35" t="str">
        <x:v>https://w3id.org/nltl-benchmark/vocab#antitrippingSupportSpacing</x:v>
      </x:c>
      <x:c r="C52" s="35" t="str">
        <x:v>QuantityProperty</x:v>
      </x:c>
      <x:c r="D52" s="35" t="str">
        <x:v>http://qudt.org/schema/qudt/QuantityValue</x:v>
      </x:c>
      <x:c r="E52" s="35" t="str"/>
      <x:c r="F52" s="35" t="str">
        <x:v>mm</x:v>
      </x:c>
      <x:c r="G52" s="38" t="str">
        <x:v>TRF-052</x:v>
      </x:c>
      <x:c r="H52" s="35" t="str">
        <x:v>Unit-stripped normalized regulatory variable</x:v>
      </x:c>
      <x:c r="I52" s="35" t="str">
        <x:v>N3 - remove unit from the identifier and retain it in unit/quantity metadata</x:v>
      </x:c>
      <x:c r="J52" s="35" t="str">
        <x:v>REUSE_R2_TERM</x:v>
      </x:c>
    </x:row>
    <x:row r="53">
      <x:c r="A53" s="35" t="str">
        <x:v>applicableCertificatePolarOperationEntryPresent</x:v>
      </x:c>
      <x:c r="B53" s="35" t="str">
        <x:v>https://w3id.org/nltl-benchmark/vocab#applicableCertificatePolarOperationEntryPresent</x:v>
      </x:c>
      <x:c r="C53" s="35" t="str">
        <x:v>DatatypeProperty</x:v>
      </x:c>
      <x:c r="D53" s="35" t="str">
        <x:v>http://www.w3.org/2001/XMLSchema#boolean</x:v>
      </x:c>
      <x:c r="E53" s="35" t="str">
        <x:v>xsd:boolean</x:v>
      </x:c>
      <x:c r="F53" s="35" t="str"/>
      <x:c r="G53" s="38" t="str">
        <x:v>IMO-114</x:v>
      </x:c>
      <x:c r="H53" s="35" t="str">
        <x:v>Locked-workbook normalized regulatory term</x:v>
      </x:c>
      <x:c r="I53" s="35" t="str">
        <x:v>N4 - preserve the source concept; normalize spelling to ASCII lowerCamelCase</x:v>
      </x:c>
      <x:c r="J53" s="35" t="str">
        <x:v>REUSE_R2_TERM</x:v>
      </x:c>
    </x:row>
    <x:row r="54">
      <x:c r="A54" s="35" t="str">
        <x:v>applicableIceClassRegulationEdition</x:v>
      </x:c>
      <x:c r="B54" s="35" t="str">
        <x:v>https://w3id.org/nltl-benchmark/vocab#applicableIceClassRegulationEdition</x:v>
      </x:c>
      <x:c r="C54" s="35" t="str">
        <x:v>ObjectProperty</x:v>
      </x:c>
      <x:c r="D54" s="35" t="str">
        <x:v>https://w3id.org/nltl-benchmark/vocab#iceClassRegulationEditionValue</x:v>
      </x:c>
      <x:c r="E54" s="35" t="str"/>
      <x:c r="F54" s="35" t="str"/>
      <x:c r="G54" s="38" t="str">
        <x:v>TRF-001 | TRF-002 | TRF-003 | TRF-004 | TRF-005 | TRF-006 | TRF-023</x:v>
      </x:c>
      <x:c r="H54" s="35" t="str">
        <x:v>Applicable TRAFICOM regulation wording plus explicit engineering node/operand role</x:v>
      </x:c>
      <x:c r="I54" s="35" t="str">
        <x:v>N5 - ASCII lowerCamelCase relationship; use has + object role when it improves direction clarity.</x:v>
      </x:c>
      <x:c r="J54" s="35" t="str">
        <x:v>ADD_DEVELOPMENT_TERM</x:v>
      </x:c>
    </x:row>
    <x:row r="55">
      <x:c r="A55" s="35" t="str">
        <x:v>applicableIceClassRegulatoryProvision</x:v>
      </x:c>
      <x:c r="B55" s="35" t="str">
        <x:v>https://w3id.org/nltl-benchmark/vocab#applicableIceClassRegulatoryProvision</x:v>
      </x:c>
      <x:c r="C55" s="35" t="str">
        <x:v>ObjectProperty</x:v>
      </x:c>
      <x:c r="D55" s="35" t="str">
        <x:v>https://w3id.org/nltl-benchmark/vocab#iceClassRegulatoryProvisionValue</x:v>
      </x:c>
      <x:c r="E55" s="35" t="str"/>
      <x:c r="F55" s="35" t="str"/>
      <x:c r="G55" s="38" t="str">
        <x:v>TRF-001</x:v>
      </x:c>
      <x:c r="H55" s="35" t="str">
        <x:v>Applicable TRAFICOM regulation wording plus explicit engineering node/operand role</x:v>
      </x:c>
      <x:c r="I55" s="35" t="str">
        <x:v>N5 - ASCII lowerCamelCase relationship; use has + object role when it improves direction clarity.</x:v>
      </x:c>
      <x:c r="J55" s="35" t="str">
        <x:v>ADD_DEVELOPMENT_TERM</x:v>
      </x:c>
    </x:row>
    <x:row r="56">
      <x:c r="A56" s="35" t="str">
        <x:v>appliedIcePressure</x:v>
      </x:c>
      <x:c r="B56" s="35" t="str">
        <x:v>https://w3id.org/nltl-benchmark/vocab#appliedIcePressure</x:v>
      </x:c>
      <x:c r="C56" s="35" t="str">
        <x:v>QuantityProperty</x:v>
      </x:c>
      <x:c r="D56" s="35" t="str">
        <x:v>http://qudt.org/schema/qudt/QuantityValue</x:v>
      </x:c>
      <x:c r="E56" s="35" t="str"/>
      <x:c r="F56" s="35" t="str">
        <x:v>MPa</x:v>
      </x:c>
      <x:c r="G56" s="38" t="str">
        <x:v>TRF-030</x:v>
      </x:c>
      <x:c r="H56" s="35" t="str">
        <x:v>Applicable TRAFICOM regulation wording plus explicit engineering node/operand role</x:v>
      </x:c>
      <x:c r="I56" s="35" t="str">
        <x:v>N4 - explicit engineering quantity in ASCII lowerCamelCase; formula symbols remain aliases only.</x:v>
      </x:c>
      <x:c r="J56" s="35" t="str">
        <x:v>ADD_DEVELOPMENT_TERM</x:v>
      </x:c>
    </x:row>
    <x:row r="57">
      <x:c r="A57" s="35" t="str">
        <x:v>appliedVerticalShearStress</x:v>
      </x:c>
      <x:c r="B57" s="35" t="str">
        <x:v>https://w3id.org/nltl-benchmark/vocab#appliedVerticalShearStress</x:v>
      </x:c>
      <x:c r="C57" s="35" t="str">
        <x:v>QuantityProperty</x:v>
      </x:c>
      <x:c r="D57" s="35" t="str">
        <x:v>http://qudt.org/schema/qudt/QuantityValue</x:v>
      </x:c>
      <x:c r="E57" s="35" t="str"/>
      <x:c r="F57" s="35" t="str">
        <x:v>MPa</x:v>
      </x:c>
      <x:c r="G57" s="38" t="str">
        <x:v>I2-053</x:v>
      </x:c>
      <x:c r="H57" s="35" t="str">
        <x:v>Benchmark-coined descriptive engineering term</x:v>
      </x:c>
      <x:c r="I57" s="35" t="str">
        <x:v>N5 - component or subject first, followed by characteristic and qualifier/state; no unsupported external mapping</x:v>
      </x:c>
      <x:c r="J57" s="35" t="str">
        <x:v>REUSE_R2_TERM</x:v>
      </x:c>
    </x:row>
    <x:row r="58">
      <x:c r="A58" s="35" t="str">
        <x:v>approvalRevocationStatus</x:v>
      </x:c>
      <x:c r="B58" s="35" t="str">
        <x:v>https://w3id.org/nltl-benchmark/vocab#approvalRevocationStatus</x:v>
      </x:c>
      <x:c r="C58" s="35" t="str">
        <x:v>ObjectProperty</x:v>
      </x:c>
      <x:c r="D58" s="35" t="str">
        <x:v>https://w3id.org/nltl-benchmark/vocab#evidenceState</x:v>
      </x:c>
      <x:c r="E58" s="35" t="str"/>
      <x:c r="F58" s="35" t="str"/>
      <x:c r="G58" s="38" t="str">
        <x:v>TRF-028</x:v>
      </x:c>
      <x:c r="H58" s="35" t="str">
        <x:v>Benchmark-coined descriptive engineering term</x:v>
      </x:c>
      <x:c r="I58" s="35" t="str">
        <x:v>N5 - component or subject first, followed by characteristic and qualifier/state; no unsupported external mapping</x:v>
      </x:c>
      <x:c r="J58" s="35" t="str">
        <x:v>REUSE_R2_TERM</x:v>
      </x:c>
    </x:row>
    <x:row r="59">
      <x:c r="A59" s="35" t="str">
        <x:v>approvalStandard</x:v>
      </x:c>
      <x:c r="B59" s="35" t="str">
        <x:v>https://w3id.org/nltl-benchmark/vocab#approvalStandard</x:v>
      </x:c>
      <x:c r="C59" s="35" t="str">
        <x:v>DatatypeProperty</x:v>
      </x:c>
      <x:c r="D59" s="35" t="str">
        <x:v>http://www.w3.org/2001/XMLSchema#string</x:v>
      </x:c>
      <x:c r="E59" s="35" t="str">
        <x:v>xsd:string</x:v>
      </x:c>
      <x:c r="F59" s="35" t="str"/>
      <x:c r="G59" s="38" t="str">
        <x:v>IMO-031 | IMO-032 | IMO-048 | IMO-049</x:v>
      </x:c>
      <x:c r="H59" s="35" t="str">
        <x:v>Locked-workbook normalized regulatory term</x:v>
      </x:c>
      <x:c r="I59" s="35" t="str">
        <x:v>N4 - preserve the source concept; normalize spelling to ASCII lowerCamelCase</x:v>
      </x:c>
      <x:c r="J59" s="35" t="str">
        <x:v>REUSE_R2_TERM</x:v>
      </x:c>
    </x:row>
    <x:row r="60">
      <x:c r="A60" s="35" t="str">
        <x:v>approvalStatus</x:v>
      </x:c>
      <x:c r="B60" s="35" t="str">
        <x:v>https://w3id.org/nltl-benchmark/vocab#approvalStatus</x:v>
      </x:c>
      <x:c r="C60" s="35" t="str">
        <x:v>DatatypeProperty</x:v>
      </x:c>
      <x:c r="D60" s="35" t="str">
        <x:v>http://www.w3.org/2001/XMLSchema#boolean</x:v>
      </x:c>
      <x:c r="E60" s="35" t="str">
        <x:v>xsd:boolean</x:v>
      </x:c>
      <x:c r="F60" s="35" t="str"/>
      <x:c r="G60" s="38" t="str">
        <x:v>TRF-028</x:v>
      </x:c>
      <x:c r="H60" s="35" t="str">
        <x:v>Benchmark-coined descriptive engineering term</x:v>
      </x:c>
      <x:c r="I60" s="35" t="str">
        <x:v>N5 - component or subject first, followed by characteristic and qualifier/state; no unsupported external mapping</x:v>
      </x:c>
      <x:c r="J60" s="35" t="str">
        <x:v>REUSE_R2_TERM</x:v>
      </x:c>
    </x:row>
    <x:row r="61">
      <x:c r="A61" s="35" t="str">
        <x:v>approvedSewageTreatmentPlantUsed</x:v>
      </x:c>
      <x:c r="B61" s="35" t="str">
        <x:v>https://w3id.org/nltl-benchmark/vocab#approvedSewageTreatmentPlantUsed</x:v>
      </x:c>
      <x:c r="C61" s="35" t="str">
        <x:v>DatatypeProperty</x:v>
      </x:c>
      <x:c r="D61" s="35" t="str">
        <x:v>http://www.w3.org/2001/XMLSchema#boolean</x:v>
      </x:c>
      <x:c r="E61" s="35" t="str">
        <x:v>xsd:boolean</x:v>
      </x:c>
      <x:c r="F61" s="35" t="str"/>
      <x:c r="G61" s="38" t="str">
        <x:v>IMO-119</x:v>
      </x:c>
      <x:c r="H61" s="35" t="str">
        <x:v>Locked-workbook normalized regulatory term</x:v>
      </x:c>
      <x:c r="I61" s="35" t="str">
        <x:v>N4 - preserve the source concept; normalize spelling to ASCII lowerCamelCase</x:v>
      </x:c>
      <x:c r="J61" s="35" t="str">
        <x:v>REUSE_R2_TERM</x:v>
      </x:c>
    </x:row>
    <x:row r="62">
      <x:c r="A62" s="35" t="str">
        <x:v>approvedTranslationPresent</x:v>
      </x:c>
      <x:c r="B62" s="35" t="str">
        <x:v>https://w3id.org/nltl-benchmark/vocab#approvedTranslationPresent</x:v>
      </x:c>
      <x:c r="C62" s="35" t="str">
        <x:v>DatatypeProperty</x:v>
      </x:c>
      <x:c r="D62" s="35" t="str">
        <x:v>http://www.w3.org/2001/XMLSchema#boolean</x:v>
      </x:c>
      <x:c r="E62" s="35" t="str">
        <x:v>xsd:boolean</x:v>
      </x:c>
      <x:c r="F62" s="35" t="str"/>
      <x:c r="G62" s="38" t="str">
        <x:v>IMO-016</x:v>
      </x:c>
      <x:c r="H62" s="35" t="str">
        <x:v>Locked-workbook normalized regulatory term</x:v>
      </x:c>
      <x:c r="I62" s="35" t="str">
        <x:v>N4 - preserve the source concept; normalize spelling to ASCII lowerCamelCase</x:v>
      </x:c>
      <x:c r="J62" s="35" t="str">
        <x:v>REUSE_R2_TERM</x:v>
      </x:c>
    </x:row>
    <x:row r="63">
      <x:c r="A63" s="35" t="str">
        <x:v>approvingAuthority</x:v>
      </x:c>
      <x:c r="B63" s="35" t="str">
        <x:v>https://w3id.org/nltl-benchmark/vocab#approvingAuthority</x:v>
      </x:c>
      <x:c r="C63" s="35" t="str">
        <x:v>DatatypeProperty</x:v>
      </x:c>
      <x:c r="D63" s="35" t="str">
        <x:v>http://www.w3.org/2001/XMLSchema#string</x:v>
      </x:c>
      <x:c r="E63" s="35" t="str">
        <x:v>xsd:string</x:v>
      </x:c>
      <x:c r="F63" s="35" t="str"/>
      <x:c r="G63" s="38" t="str">
        <x:v>IMO-031 | IMO-032 | IMO-048 | IMO-049</x:v>
      </x:c>
      <x:c r="H63" s="35" t="str">
        <x:v>Locked-workbook normalized regulatory term</x:v>
      </x:c>
      <x:c r="I63" s="35" t="str">
        <x:v>N4 - preserve the source concept; normalize spelling to ASCII lowerCamelCase</x:v>
      </x:c>
      <x:c r="J63" s="35" t="str">
        <x:v>REUSE_R2_TERM</x:v>
      </x:c>
    </x:row>
    <x:row r="64">
      <x:c r="A64" s="35" t="str">
        <x:v>arcticWaters</x:v>
      </x:c>
      <x:c r="B64" s="35" t="str">
        <x:v>https://w3id.org/nltl-benchmark/vocab#arcticWaters</x:v>
      </x:c>
      <x:c r="C64" s="35" t="str">
        <x:v>DatatypeProperty</x:v>
      </x:c>
      <x:c r="D64" s="35" t="str">
        <x:v>http://www.w3.org/2001/XMLSchema#string</x:v>
      </x:c>
      <x:c r="E64" s="35" t="str">
        <x:v>xsd:string</x:v>
      </x:c>
      <x:c r="F64" s="35" t="str"/>
      <x:c r="G64" s="38" t="str">
        <x:v>IMO-105 | IMO-112 | IMO-120</x:v>
      </x:c>
      <x:c r="H64" s="35" t="str">
        <x:v>Benchmark-coined descriptive engineering term</x:v>
      </x:c>
      <x:c r="I64" s="35" t="str">
        <x:v>N5 - component or subject first, followed by characteristic and qualifier/state; no unsupported external mapping</x:v>
      </x:c>
      <x:c r="J64" s="35" t="str">
        <x:v>REUSE_R2_TERM</x:v>
      </x:c>
    </x:row>
    <x:row r="65">
      <x:c r="A65" s="35" t="str">
        <x:v>asBuiltThickness</x:v>
      </x:c>
      <x:c r="B65" s="35" t="str">
        <x:v>https://w3id.org/nltl-benchmark/vocab#asBuiltThickness</x:v>
      </x:c>
      <x:c r="C65" s="35" t="str">
        <x:v>QuantityProperty</x:v>
      </x:c>
      <x:c r="D65" s="35" t="str">
        <x:v>http://qudt.org/schema/qudt/QuantityValue</x:v>
      </x:c>
      <x:c r="E65" s="35" t="str"/>
      <x:c r="F65" s="35" t="str">
        <x:v>m</x:v>
      </x:c>
      <x:c r="G65" s="38" t="str">
        <x:v>I2-046 | I2-048</x:v>
      </x:c>
      <x:c r="H65" s="35" t="str">
        <x:v>Benchmark-coined descriptive engineering term</x:v>
      </x:c>
      <x:c r="I65" s="35" t="str">
        <x:v>N5 - component or subject first, followed by characteristic and qualifier/state; no unsupported external mapping</x:v>
      </x:c>
      <x:c r="J65" s="35" t="str">
        <x:v>REUSE_R2_TERM</x:v>
      </x:c>
    </x:row>
    <x:row r="66">
      <x:c r="A66" s="35" t="str">
        <x:v>assessedAbandonment</x:v>
      </x:c>
      <x:c r="B66" s="35" t="str">
        <x:v>https://w3id.org/nltl-benchmark/vocab#assessedAbandonment</x:v>
      </x:c>
      <x:c r="C66" s="35" t="str">
        <x:v>DatatypeProperty</x:v>
      </x:c>
      <x:c r="D66" s="35" t="str">
        <x:v>http://www.w3.org/2001/XMLSchema#boolean</x:v>
      </x:c>
      <x:c r="E66" s="35" t="str">
        <x:v>xsd:boolean</x:v>
      </x:c>
      <x:c r="F66" s="35" t="str"/>
      <x:c r="G66" s="38" t="str">
        <x:v>IMO-021</x:v>
      </x:c>
      <x:c r="H66" s="35" t="str">
        <x:v>Locked-workbook normalized regulatory term</x:v>
      </x:c>
      <x:c r="I66" s="35" t="str">
        <x:v>N4 - preserve the source concept; normalize spelling to ASCII lowerCamelCase</x:v>
      </x:c>
      <x:c r="J66" s="35" t="str">
        <x:v>REUSE_R2_TERM</x:v>
      </x:c>
    </x:row>
    <x:row r="67">
      <x:c r="A67" s="35" t="str">
        <x:v>assessedAdditionalHazards</x:v>
      </x:c>
      <x:c r="B67" s="35" t="str">
        <x:v>https://w3id.org/nltl-benchmark/vocab#assessedAdditionalHazards</x:v>
      </x:c>
      <x:c r="C67" s="35" t="str">
        <x:v>DatatypeProperty</x:v>
      </x:c>
      <x:c r="D67" s="35" t="str">
        <x:v>http://www.w3.org/2001/XMLSchema#boolean</x:v>
      </x:c>
      <x:c r="E67" s="35" t="str">
        <x:v>xsd:boolean</x:v>
      </x:c>
      <x:c r="F67" s="35" t="str"/>
      <x:c r="G67" s="38" t="str">
        <x:v>IMO-021</x:v>
      </x:c>
      <x:c r="H67" s="35" t="str">
        <x:v>Locked-workbook normalized regulatory term</x:v>
      </x:c>
      <x:c r="I67" s="35" t="str">
        <x:v>N4 - preserve the source concept; normalize spelling to ASCII lowerCamelCase</x:v>
      </x:c>
      <x:c r="J67" s="35" t="str">
        <x:v>REUSE_R2_TERM</x:v>
      </x:c>
    </x:row>
    <x:row r="68">
      <x:c r="A68" s="35" t="str">
        <x:v>assessedCodeHazards</x:v>
      </x:c>
      <x:c r="B68" s="35" t="str">
        <x:v>https://w3id.org/nltl-benchmark/vocab#assessedCodeHazards</x:v>
      </x:c>
      <x:c r="C68" s="35" t="str">
        <x:v>DatatypeProperty</x:v>
      </x:c>
      <x:c r="D68" s="35" t="str">
        <x:v>http://www.w3.org/2001/XMLSchema#boolean</x:v>
      </x:c>
      <x:c r="E68" s="35" t="str">
        <x:v>xsd:boolean</x:v>
      </x:c>
      <x:c r="F68" s="35" t="str"/>
      <x:c r="G68" s="38" t="str">
        <x:v>IMO-021</x:v>
      </x:c>
      <x:c r="H68" s="35" t="str">
        <x:v>Locked-workbook normalized regulatory term</x:v>
      </x:c>
      <x:c r="I68" s="35" t="str">
        <x:v>N4 - preserve the source concept; normalize spelling to ASCII lowerCamelCase</x:v>
      </x:c>
      <x:c r="J68" s="35" t="str">
        <x:v>REUSE_R2_TERM</x:v>
      </x:c>
    </x:row>
    <x:row r="69">
      <x:c r="A69" s="35" t="str">
        <x:v>assessedHighLatitude</x:v>
      </x:c>
      <x:c r="B69" s="35" t="str">
        <x:v>https://w3id.org/nltl-benchmark/vocab#assessedHighLatitude</x:v>
      </x:c>
      <x:c r="C69" s="35" t="str">
        <x:v>DatatypeProperty</x:v>
      </x:c>
      <x:c r="D69" s="35" t="str">
        <x:v>http://www.w3.org/2001/XMLSchema#boolean</x:v>
      </x:c>
      <x:c r="E69" s="35" t="str">
        <x:v>xsd:boolean</x:v>
      </x:c>
      <x:c r="F69" s="35" t="str"/>
      <x:c r="G69" s="38" t="str">
        <x:v>IMO-021</x:v>
      </x:c>
      <x:c r="H69" s="35" t="str">
        <x:v>Locked-workbook normalized regulatory term</x:v>
      </x:c>
      <x:c r="I69" s="35" t="str">
        <x:v>N4 - preserve the source concept; normalize spelling to ASCII lowerCamelCase</x:v>
      </x:c>
      <x:c r="J69" s="35" t="str">
        <x:v>REUSE_R2_TERM</x:v>
      </x:c>
    </x:row>
    <x:row r="70">
      <x:c r="A70" s="35" t="str">
        <x:v>assessedIceOperation</x:v>
      </x:c>
      <x:c r="B70" s="35" t="str">
        <x:v>https://w3id.org/nltl-benchmark/vocab#assessedIceOperation</x:v>
      </x:c>
      <x:c r="C70" s="35" t="str">
        <x:v>DatatypeProperty</x:v>
      </x:c>
      <x:c r="D70" s="35" t="str">
        <x:v>http://www.w3.org/2001/XMLSchema#boolean</x:v>
      </x:c>
      <x:c r="E70" s="35" t="str">
        <x:v>xsd:boolean</x:v>
      </x:c>
      <x:c r="F70" s="35" t="str"/>
      <x:c r="G70" s="38" t="str">
        <x:v>IMO-021</x:v>
      </x:c>
      <x:c r="H70" s="35" t="str">
        <x:v>Locked-workbook normalized regulatory term</x:v>
      </x:c>
      <x:c r="I70" s="35" t="str">
        <x:v>N4 - preserve the source concept; normalize spelling to ASCII lowerCamelCase</x:v>
      </x:c>
      <x:c r="J70" s="35" t="str">
        <x:v>REUSE_R2_TERM</x:v>
      </x:c>
    </x:row>
    <x:row r="71">
      <x:c r="A71" s="35" t="str">
        <x:v>assessedLowAirTemperature</x:v>
      </x:c>
      <x:c r="B71" s="35" t="str">
        <x:v>https://w3id.org/nltl-benchmark/vocab#assessedLowAirTemperature</x:v>
      </x:c>
      <x:c r="C71" s="35" t="str">
        <x:v>QuantityProperty</x:v>
      </x:c>
      <x:c r="D71" s="35" t="str">
        <x:v>http://qudt.org/schema/qudt/QuantityValue</x:v>
      </x:c>
      <x:c r="E71" s="35" t="str"/>
      <x:c r="F71" s="35" t="str">
        <x:v>deg C</x:v>
      </x:c>
      <x:c r="G71" s="38" t="str">
        <x:v>IMO-021</x:v>
      </x:c>
      <x:c r="H71" s="35" t="str">
        <x:v>Locked-workbook normalized regulatory term</x:v>
      </x:c>
      <x:c r="I71" s="35" t="str">
        <x:v>N4 - preserve the source concept; normalize spelling to ASCII lowerCamelCase</x:v>
      </x:c>
      <x:c r="J71" s="35" t="str">
        <x:v>REUSE_R2_TERM</x:v>
      </x:c>
    </x:row>
    <x:row r="72">
      <x:c r="A72" s="35" t="str">
        <x:v>assessmentDate</x:v>
      </x:c>
      <x:c r="B72" s="35" t="str">
        <x:v>https://w3id.org/nltl-benchmark/vocab#assessmentDate</x:v>
      </x:c>
      <x:c r="C72" s="35" t="str">
        <x:v>DatatypeProperty</x:v>
      </x:c>
      <x:c r="D72" s="35" t="str">
        <x:v>http://www.w3.org/2001/XMLSchema#date</x:v>
      </x:c>
      <x:c r="E72" s="35" t="str">
        <x:v>xsd:date</x:v>
      </x:c>
      <x:c r="F72" s="35" t="str"/>
      <x:c r="G72" s="38" t="str">
        <x:v>TRF-007 | TRF-009 | TRF-024</x:v>
      </x:c>
      <x:c r="H72" s="35" t="str">
        <x:v>Applicable TRAFICOM regulation wording plus explicit engineering node/operand role</x:v>
      </x:c>
      <x:c r="I72" s="35" t="str">
        <x:v>N4 - explicit regulatory concept in ASCII lowerCamelCase with an XSD datatype.</x:v>
      </x:c>
      <x:c r="J72" s="35" t="str">
        <x:v>ADD_DEVELOPMENT_TERM</x:v>
      </x:c>
    </x:row>
    <x:row r="73">
      <x:c r="A73" s="35" t="str">
        <x:v>assignedDuties</x:v>
      </x:c>
      <x:c r="B73" s="35" t="str">
        <x:v>https://w3id.org/nltl-benchmark/vocab#assignedDuties</x:v>
      </x:c>
      <x:c r="C73" s="35" t="str">
        <x:v>DatatypeProperty</x:v>
      </x:c>
      <x:c r="D73" s="35" t="str">
        <x:v>http://www.w3.org/2001/XMLSchema#string</x:v>
      </x:c>
      <x:c r="E73" s="35" t="str">
        <x:v>xsd:string</x:v>
      </x:c>
      <x:c r="F73" s="35" t="str"/>
      <x:c r="G73" s="38" t="str">
        <x:v>IMO-104</x:v>
      </x:c>
      <x:c r="H73" s="35" t="str">
        <x:v>Locked-workbook normalized regulatory term</x:v>
      </x:c>
      <x:c r="I73" s="35" t="str">
        <x:v>N4 - preserve the source concept; normalize spelling to ASCII lowerCamelCase</x:v>
      </x:c>
      <x:c r="J73" s="35" t="str">
        <x:v>REUSE_R2_TERM</x:v>
      </x:c>
    </x:row>
    <x:row r="74">
      <x:c r="A74" s="35" t="str">
        <x:v>assignedImmersionSuit</x:v>
      </x:c>
      <x:c r="B74" s="35" t="str">
        <x:v>https://w3id.org/nltl-benchmark/vocab#assignedImmersionSuit</x:v>
      </x:c>
      <x:c r="C74" s="35" t="str">
        <x:v>DatatypeProperty</x:v>
      </x:c>
      <x:c r="D74" s="35" t="str">
        <x:v>http://www.w3.org/2001/XMLSchema#string</x:v>
      </x:c>
      <x:c r="E74" s="35" t="str">
        <x:v>xsd:string</x:v>
      </x:c>
      <x:c r="F74" s="35" t="str"/>
      <x:c r="G74" s="38" t="str">
        <x:v>IMO-070</x:v>
      </x:c>
      <x:c r="H74" s="35" t="str">
        <x:v>Locked-workbook normalized regulatory term</x:v>
      </x:c>
      <x:c r="I74" s="35" t="str">
        <x:v>N4 - preserve the source concept; normalize spelling to ASCII lowerCamelCase</x:v>
      </x:c>
      <x:c r="J74" s="35" t="str">
        <x:v>REUSE_R2_TERM</x:v>
      </x:c>
    </x:row>
    <x:row r="75">
      <x:c r="A75" s="35" t="str">
        <x:v>assignedSearchlight</x:v>
      </x:c>
      <x:c r="B75" s="35" t="str">
        <x:v>https://w3id.org/nltl-benchmark/vocab#assignedSearchlight</x:v>
      </x:c>
      <x:c r="C75" s="35" t="str">
        <x:v>DatatypeProperty</x:v>
      </x:c>
      <x:c r="D75" s="35" t="str">
        <x:v>http://www.w3.org/2001/XMLSchema#string</x:v>
      </x:c>
      <x:c r="E75" s="35" t="str">
        <x:v>xsd:string</x:v>
      </x:c>
      <x:c r="F75" s="35" t="str"/>
      <x:c r="G75" s="38" t="str">
        <x:v>IMO-072</x:v>
      </x:c>
      <x:c r="H75" s="35" t="str">
        <x:v>Locked-workbook normalized regulatory term</x:v>
      </x:c>
      <x:c r="I75" s="35" t="str">
        <x:v>N4 - preserve the source concept; normalize spelling to ASCII lowerCamelCase</x:v>
      </x:c>
      <x:c r="J75" s="35" t="str">
        <x:v>REUSE_R2_TERM</x:v>
      </x:c>
    </x:row>
    <x:row r="76">
      <x:c r="A76" s="35" t="str">
        <x:v>assignedThermalProtection</x:v>
      </x:c>
      <x:c r="B76" s="35" t="str">
        <x:v>https://w3id.org/nltl-benchmark/vocab#assignedThermalProtection</x:v>
      </x:c>
      <x:c r="C76" s="35" t="str">
        <x:v>DatatypeProperty</x:v>
      </x:c>
      <x:c r="D76" s="35" t="str">
        <x:v>http://www.w3.org/2001/XMLSchema#boolean</x:v>
      </x:c>
      <x:c r="E76" s="35" t="str">
        <x:v>xsd:boolean</x:v>
      </x:c>
      <x:c r="F76" s="35" t="str"/>
      <x:c r="G76" s="38" t="str">
        <x:v>IMO-064</x:v>
      </x:c>
      <x:c r="H76" s="35" t="str">
        <x:v>Locked-workbook normalized regulatory term</x:v>
      </x:c>
      <x:c r="I76" s="35" t="str">
        <x:v>N4 - preserve the source concept; normalize spelling to ASCII lowerCamelCase</x:v>
      </x:c>
      <x:c r="J76" s="35" t="str">
        <x:v>REUSE_R2_TERM</x:v>
      </x:c>
    </x:row>
    <x:row r="77">
      <x:c r="A77" s="35" t="str">
        <x:v>assignedThermalProtectiveAid</x:v>
      </x:c>
      <x:c r="B77" s="35" t="str">
        <x:v>https://w3id.org/nltl-benchmark/vocab#assignedThermalProtectiveAid</x:v>
      </x:c>
      <x:c r="C77" s="35" t="str">
        <x:v>DatatypeProperty</x:v>
      </x:c>
      <x:c r="D77" s="35" t="str">
        <x:v>http://www.w3.org/2001/XMLSchema#string</x:v>
      </x:c>
      <x:c r="E77" s="35" t="str">
        <x:v>xsd:string</x:v>
      </x:c>
      <x:c r="F77" s="35" t="str"/>
      <x:c r="G77" s="38" t="str">
        <x:v>IMO-070</x:v>
      </x:c>
      <x:c r="H77" s="35" t="str">
        <x:v>Locked-workbook normalized regulatory term</x:v>
      </x:c>
      <x:c r="I77" s="35" t="str">
        <x:v>N4 - preserve the source concept; normalize spelling to ASCII lowerCamelCase</x:v>
      </x:c>
      <x:c r="J77" s="35" t="str">
        <x:v>REUSE_R2_TERM</x:v>
      </x:c>
    </x:row>
    <x:row r="78">
      <x:c r="A78" s="35" t="str">
        <x:v>asternFacingSoundSignalingSystemPresent</x:v>
      </x:c>
      <x:c r="B78" s="35" t="str">
        <x:v>https://w3id.org/nltl-benchmark/vocab#asternFacingSoundSignalingSystemPresent</x:v>
      </x:c>
      <x:c r="C78" s="35" t="str">
        <x:v>DatatypeProperty</x:v>
      </x:c>
      <x:c r="D78" s="35" t="str">
        <x:v>http://www.w3.org/2001/XMLSchema#boolean</x:v>
      </x:c>
      <x:c r="E78" s="35" t="str">
        <x:v>xsd:boolean</x:v>
      </x:c>
      <x:c r="F78" s="35" t="str"/>
      <x:c r="G78" s="38" t="str">
        <x:v>IMO-094</x:v>
      </x:c>
      <x:c r="H78" s="35" t="str">
        <x:v>Locked-workbook normalized regulatory term</x:v>
      </x:c>
      <x:c r="I78" s="35" t="str">
        <x:v>N4 - preserve the source concept; normalize spelling to ASCII lowerCamelCase</x:v>
      </x:c>
      <x:c r="J78" s="35" t="str">
        <x:v>REUSE_R2_TERM</x:v>
      </x:c>
    </x:row>
    <x:row r="79">
      <x:c r="A79" s="35" t="str">
        <x:v>asternIceOperationIntent</x:v>
      </x:c>
      <x:c r="B79" s="35" t="str">
        <x:v>https://w3id.org/nltl-benchmark/vocab#asternIceOperationIntent</x:v>
      </x:c>
      <x:c r="C79" s="35" t="str">
        <x:v>DatatypeProperty</x:v>
      </x:c>
      <x:c r="D79" s="35" t="str">
        <x:v>http://www.w3.org/2001/XMLSchema#boolean</x:v>
      </x:c>
      <x:c r="E79" s="35" t="str">
        <x:v>xsd:boolean</x:v>
      </x:c>
      <x:c r="F79" s="35" t="str"/>
      <x:c r="G79" s="38" t="str">
        <x:v>I2-006</x:v>
      </x:c>
      <x:c r="H79" s="35" t="str">
        <x:v>Benchmark-coined descriptive engineering term</x:v>
      </x:c>
      <x:c r="I79" s="35" t="str">
        <x:v>N5 - component or subject first, followed by characteristic and qualifier/state; no unsupported external mapping</x:v>
      </x:c>
      <x:c r="J79" s="35" t="str">
        <x:v>REUSE_R2_TERM</x:v>
      </x:c>
    </x:row>
    <x:row r="80">
      <x:c r="A80" s="35" t="str">
        <x:v>attachmentType</x:v>
      </x:c>
      <x:c r="B80" s="35" t="str">
        <x:v>https://w3id.org/nltl-benchmark/vocab#attachmentType</x:v>
      </x:c>
      <x:c r="C80" s="35" t="str">
        <x:v>DatatypeProperty</x:v>
      </x:c>
      <x:c r="D80" s="35" t="str">
        <x:v>http://www.w3.org/2001/XMLSchema#string</x:v>
      </x:c>
      <x:c r="E80" s="35" t="str">
        <x:v>xsd:string</x:v>
      </x:c>
      <x:c r="F80" s="35" t="str"/>
      <x:c r="G80" s="38" t="str">
        <x:v>TRF-046 | TRF-047</x:v>
      </x:c>
      <x:c r="H80" s="35" t="str">
        <x:v>Benchmark-coined descriptive engineering term</x:v>
      </x:c>
      <x:c r="I80" s="35" t="str">
        <x:v>N5 - component or subject first, followed by characteristic and qualifier/state; no unsupported external mapping</x:v>
      </x:c>
      <x:c r="J80" s="35" t="str">
        <x:v>REUSE_R2_TERM</x:v>
      </x:c>
    </x:row>
    <x:row r="81">
      <x:c r="A81" s="35" t="str">
        <x:v>availableEmergencyRationPerson</x:v>
      </x:c>
      <x:c r="B81" s="35" t="str">
        <x:v>https://w3id.org/nltl-benchmark/vocab#availableEmergencyRationPerson</x:v>
      </x:c>
      <x:c r="C81" s="35" t="str">
        <x:v>QuantityProperty</x:v>
      </x:c>
      <x:c r="D81" s="35" t="str">
        <x:v>http://qudt.org/schema/qudt/QuantityValue</x:v>
      </x:c>
      <x:c r="E81" s="35" t="str"/>
      <x:c r="F81" s="35" t="str">
        <x:v>day</x:v>
      </x:c>
      <x:c r="G81" s="38" t="str">
        <x:v>IMO-079</x:v>
      </x:c>
      <x:c r="H81" s="35" t="str">
        <x:v>Unit-stripped normalized regulatory variable</x:v>
      </x:c>
      <x:c r="I81" s="35" t="str">
        <x:v>N3 - remove unit from the identifier and retain it in unit/quantity metadata</x:v>
      </x:c>
      <x:c r="J81" s="35" t="str">
        <x:v>REUSE_R2_TERM</x:v>
      </x:c>
    </x:row>
    <x:row r="82">
      <x:c r="A82" s="35" t="str">
        <x:v>availableSurvivalEquipmentCapacity</x:v>
      </x:c>
      <x:c r="B82" s="35" t="str">
        <x:v>https://w3id.org/nltl-benchmark/vocab#availableSurvivalEquipmentCapacity</x:v>
      </x:c>
      <x:c r="C82" s="35" t="str">
        <x:v>DatatypeProperty</x:v>
      </x:c>
      <x:c r="D82" s="35" t="str">
        <x:v>http://www.w3.org/2001/XMLSchema#integer</x:v>
      </x:c>
      <x:c r="E82" s="35" t="str">
        <x:v>xsd:integer</x:v>
      </x:c>
      <x:c r="F82" s="35" t="str"/>
      <x:c r="G82" s="38" t="str">
        <x:v>IMO-075</x:v>
      </x:c>
      <x:c r="H82" s="35" t="str">
        <x:v>Locked-workbook normalized regulatory term</x:v>
      </x:c>
      <x:c r="I82" s="35" t="str">
        <x:v>N4 - preserve the source concept; normalize spelling to ASCII lowerCamelCase</x:v>
      </x:c>
      <x:c r="J82" s="35" t="str">
        <x:v>REUSE_R2_TERM</x:v>
      </x:c>
    </x:row>
    <x:row r="83">
      <x:c r="A83" s="35" t="str">
        <x:v>averageIcePressure</x:v>
      </x:c>
      <x:c r="B83" s="35" t="str">
        <x:v>https://w3id.org/nltl-benchmark/vocab#averageIcePressure</x:v>
      </x:c>
      <x:c r="C83" s="35" t="str">
        <x:v>QuantityProperty</x:v>
      </x:c>
      <x:c r="D83" s="35" t="str">
        <x:v>http://qudt.org/schema/qudt/QuantityValue</x:v>
      </x:c>
      <x:c r="E83" s="35" t="str"/>
      <x:c r="F83" s="35" t="str">
        <x:v>MPa</x:v>
      </x:c>
      <x:c r="G83" s="38" t="str">
        <x:v>I2-008 | I2-009 | I2-017 | I2-018 | I2-022 | I2-023 | I2-032 | I2-035</x:v>
      </x:c>
      <x:c r="H83" s="35" t="str">
        <x:v>Benchmark-coined descriptive engineering term</x:v>
      </x:c>
      <x:c r="I83" s="35" t="str">
        <x:v>N5 - component or subject first, followed by characteristic and qualifier/state; no unsupported external mapping</x:v>
      </x:c>
      <x:c r="J83" s="35" t="str">
        <x:v>REUSE_R2_TERM</x:v>
      </x:c>
    </x:row>
    <x:row r="84">
      <x:c r="A84" s="35" t="str">
        <x:v>averageImpactEnergy</x:v>
      </x:c>
      <x:c r="B84" s="35" t="str">
        <x:v>https://w3id.org/nltl-benchmark/vocab#averageImpactEnergy</x:v>
      </x:c>
      <x:c r="C84" s="35" t="str">
        <x:v>QuantityProperty</x:v>
      </x:c>
      <x:c r="D84" s="35" t="str">
        <x:v>http://qudt.org/schema/qudt/QuantityValue</x:v>
      </x:c>
      <x:c r="E84" s="35" t="str"/>
      <x:c r="F84" s="35" t="str">
        <x:v>J</x:v>
      </x:c>
      <x:c r="G84" s="38" t="str">
        <x:v>TRF-072 | TRF-073</x:v>
      </x:c>
      <x:c r="H84" s="35" t="str">
        <x:v>Benchmark-coined descriptive engineering term</x:v>
      </x:c>
      <x:c r="I84" s="35" t="str">
        <x:v>N5 - component or subject first, followed by characteristic and qualifier/state; no unsupported external mapping</x:v>
      </x:c>
      <x:c r="J84" s="35" t="str">
        <x:v>REUSE_R2_TERM</x:v>
      </x:c>
    </x:row>
    <x:row r="85">
      <x:c r="A85" s="35" t="str">
        <x:v>backwardBladeForce</x:v>
      </x:c>
      <x:c r="B85" s="35" t="str">
        <x:v>https://w3id.org/nltl-benchmark/vocab#backwardBladeForce</x:v>
      </x:c>
      <x:c r="C85" s="35" t="str">
        <x:v>QuantityProperty</x:v>
      </x:c>
      <x:c r="D85" s="35" t="str">
        <x:v>http://qudt.org/schema/qudt/QuantityValue</x:v>
      </x:c>
      <x:c r="E85" s="35" t="str"/>
      <x:c r="F85" s="35" t="str">
        <x:v>kN</x:v>
      </x:c>
      <x:c r="G85" s="38" t="str">
        <x:v>TRF-075 | TRF-081</x:v>
      </x:c>
      <x:c r="H85" s="35" t="str">
        <x:v>Unit-stripped normalized regulatory variable</x:v>
      </x:c>
      <x:c r="I85" s="35" t="str">
        <x:v>N3 - remove unit from the identifier and retain it in unit/quantity metadata</x:v>
      </x:c>
      <x:c r="J85" s="35" t="str">
        <x:v>REUSE_R2_TERM</x:v>
      </x:c>
    </x:row>
    <x:row r="86">
      <x:c r="A86" s="35" t="str">
        <x:v>backwardIceThrust</x:v>
      </x:c>
      <x:c r="B86" s="35" t="str">
        <x:v>https://w3id.org/nltl-benchmark/vocab#backwardIceThrust</x:v>
      </x:c>
      <x:c r="C86" s="35" t="str">
        <x:v>QuantityProperty</x:v>
      </x:c>
      <x:c r="D86" s="35" t="str">
        <x:v>http://qudt.org/schema/qudt/QuantityValue</x:v>
      </x:c>
      <x:c r="E86" s="35" t="str"/>
      <x:c r="F86" s="35" t="str">
        <x:v>kN</x:v>
      </x:c>
      <x:c r="G86" s="38" t="str">
        <x:v>TRF-081</x:v>
      </x:c>
      <x:c r="H86" s="35" t="str">
        <x:v>Verified exact implementation term</x:v>
      </x:c>
      <x:c r="I86" s="35" t="str">
        <x:v>N1 - reuse only after exact URI and semantic-context verification</x:v>
      </x:c>
      <x:c r="J86" s="35" t="str">
        <x:v>REUSE_R2_TERM</x:v>
      </x:c>
    </x:row>
    <x:row r="87">
      <x:c r="A87" s="35" t="str">
        <x:v>backwardPropellerShaftDesignThrust</x:v>
      </x:c>
      <x:c r="B87" s="35" t="str">
        <x:v>https://w3id.org/nltl-benchmark/vocab#backwardPropellerShaftDesignThrust</x:v>
      </x:c>
      <x:c r="C87" s="35" t="str">
        <x:v>QuantityProperty</x:v>
      </x:c>
      <x:c r="D87" s="35" t="str">
        <x:v>http://qudt.org/schema/qudt/QuantityValue</x:v>
      </x:c>
      <x:c r="E87" s="35" t="str"/>
      <x:c r="F87" s="35" t="str">
        <x:v>kN</x:v>
      </x:c>
      <x:c r="G87" s="38" t="str">
        <x:v>TRF-081</x:v>
      </x:c>
      <x:c r="H87" s="35" t="str">
        <x:v>Unit-stripped normalized regulatory variable</x:v>
      </x:c>
      <x:c r="I87" s="35" t="str">
        <x:v>N3 - remove unit from the identifier and retain it in unit/quantity metadata</x:v>
      </x:c>
      <x:c r="J87" s="35" t="str">
        <x:v>REUSE_R2_TERM</x:v>
      </x:c>
    </x:row>
    <x:row r="88">
      <x:c r="A88" s="35" t="str">
        <x:v>ballastTank</x:v>
      </x:c>
      <x:c r="B88" s="35" t="str">
        <x:v>https://w3id.org/nltl-benchmark/vocab#ballastTank</x:v>
      </x:c>
      <x:c r="C88" s="35" t="str">
        <x:v>Class</x:v>
      </x:c>
      <x:c r="D88" s="35" t="str">
        <x:v>https://w3id.org/nltl-benchmark/vocab#shipComponent</x:v>
      </x:c>
      <x:c r="E88" s="35" t="str"/>
      <x:c r="F88" s="35" t="str"/>
      <x:c r="G88" s="38" t="str">
        <x:v>TRF-016</x:v>
      </x:c>
      <x:c r="H88" s="35" t="str">
        <x:v>Applicable TRAFICOM regulation wording plus explicit engineering node/operand role</x:v>
      </x:c>
      <x:c r="I88" s="35" t="str">
        <x:v>N4 - singular ASCII lowerCamelCase entity name derived from the linked regulatory role.</x:v>
      </x:c>
      <x:c r="J88" s="35" t="str">
        <x:v>ADD_DEVELOPMENT_TERM</x:v>
      </x:c>
    </x:row>
    <x:row r="89">
      <x:c r="A89" s="35" t="str">
        <x:v>ballastWaterCoolingArrangement</x:v>
      </x:c>
      <x:c r="B89" s="35" t="str">
        <x:v>https://w3id.org/nltl-benchmark/vocab#ballastWaterCoolingArrangement</x:v>
      </x:c>
      <x:c r="C89" s="35" t="str">
        <x:v>DatatypeProperty</x:v>
      </x:c>
      <x:c r="D89" s="35" t="str">
        <x:v>http://www.w3.org/2001/XMLSchema#string</x:v>
      </x:c>
      <x:c r="E89" s="35" t="str">
        <x:v>xsd:string</x:v>
      </x:c>
      <x:c r="F89" s="35" t="str"/>
      <x:c r="G89" s="38" t="str">
        <x:v>TRF-131</x:v>
      </x:c>
      <x:c r="H89" s="35" t="str">
        <x:v>Benchmark-coined descriptive engineering term</x:v>
      </x:c>
      <x:c r="I89" s="35" t="str">
        <x:v>N5 - component or subject first, followed by characteristic and qualifier/state; no unsupported external mapping</x:v>
      </x:c>
      <x:c r="J89" s="35" t="str">
        <x:v>REUSE_R2_TERM</x:v>
      </x:c>
    </x:row>
    <x:row r="90">
      <x:c r="A90" s="35" t="str">
        <x:v>batteryLifeManagementProcedurePresent</x:v>
      </x:c>
      <x:c r="B90" s="35" t="str">
        <x:v>https://w3id.org/nltl-benchmark/vocab#batteryLifeManagementProcedurePresent</x:v>
      </x:c>
      <x:c r="C90" s="35" t="str">
        <x:v>DatatypeProperty</x:v>
      </x:c>
      <x:c r="D90" s="35" t="str">
        <x:v>http://www.w3.org/2001/XMLSchema#boolean</x:v>
      </x:c>
      <x:c r="E90" s="35" t="str">
        <x:v>xsd:boolean</x:v>
      </x:c>
      <x:c r="F90" s="35" t="str"/>
      <x:c r="G90" s="38" t="str">
        <x:v>IMO-099</x:v>
      </x:c>
      <x:c r="H90" s="35" t="str">
        <x:v>Locked-workbook normalized regulatory term</x:v>
      </x:c>
      <x:c r="I90" s="35" t="str">
        <x:v>N4 - preserve the source concept; normalize spelling to ASCII lowerCamelCase</x:v>
      </x:c>
      <x:c r="J90" s="35" t="str">
        <x:v>REUSE_R2_TERM</x:v>
      </x:c>
    </x:row>
    <x:row r="91">
      <x:c r="A91" s="35" t="str">
        <x:v>beamTheoryUsed</x:v>
      </x:c>
      <x:c r="B91" s="35" t="str">
        <x:v>https://w3id.org/nltl-benchmark/vocab#beamTheoryUsed</x:v>
      </x:c>
      <x:c r="C91" s="35" t="str">
        <x:v>DatatypeProperty</x:v>
      </x:c>
      <x:c r="D91" s="35" t="str">
        <x:v>http://www.w3.org/2001/XMLSchema#boolean</x:v>
      </x:c>
      <x:c r="E91" s="35" t="str">
        <x:v>xsd:boolean</x:v>
      </x:c>
      <x:c r="F91" s="35" t="str"/>
      <x:c r="G91" s="38" t="str">
        <x:v>TRF-031</x:v>
      </x:c>
      <x:c r="H91" s="35" t="str">
        <x:v>Benchmark-coined descriptive engineering term</x:v>
      </x:c>
      <x:c r="I91" s="35" t="str">
        <x:v>N5 - component or subject first, followed by characteristic and qualifier/state; no unsupported external mapping</x:v>
      </x:c>
      <x:c r="J91" s="35" t="str">
        <x:v>REUSE_R2_TERM</x:v>
      </x:c>
    </x:row>
    <x:row r="92">
      <x:c r="A92" s="35" t="str">
        <x:v>betaIPrime</x:v>
      </x:c>
      <x:c r="B92" s="35" t="str">
        <x:v>https://w3id.org/nltl-benchmark/vocab#betaIPrime</x:v>
      </x:c>
      <x:c r="C92" s="35" t="str">
        <x:v>QuantityProperty</x:v>
      </x:c>
      <x:c r="D92" s="35" t="str">
        <x:v>http://qudt.org/schema/qudt/QuantityValue</x:v>
      </x:c>
      <x:c r="E92" s="35" t="str"/>
      <x:c r="F92" s="35" t="str">
        <x:v>1</x:v>
      </x:c>
      <x:c r="G92" s="38" t="str">
        <x:v>I2-015</x:v>
      </x:c>
      <x:c r="H92" s="35" t="str">
        <x:v>Benchmark-coined descriptive engineering term</x:v>
      </x:c>
      <x:c r="I92" s="35" t="str">
        <x:v>N5 - component or subject first, followed by characteristic and qualifier/state; no unsupported external mapping</x:v>
      </x:c>
      <x:c r="J92" s="35" t="str">
        <x:v>REUSE_R2_TERM</x:v>
      </x:c>
    </x:row>
    <x:row r="93">
      <x:c r="A93" s="35" t="str">
        <x:v>bladeBendingMoment</x:v>
      </x:c>
      <x:c r="B93" s="35" t="str">
        <x:v>https://w3id.org/nltl-benchmark/vocab#bladeBendingMoment</x:v>
      </x:c>
      <x:c r="C93" s="35" t="str">
        <x:v>QuantityProperty</x:v>
      </x:c>
      <x:c r="D93" s="35" t="str">
        <x:v>http://qudt.org/schema/qudt/QuantityValue</x:v>
      </x:c>
      <x:c r="E93" s="35" t="str"/>
      <x:c r="F93" s="35" t="str">
        <x:v>kN*m</x:v>
      </x:c>
      <x:c r="G93" s="38" t="str">
        <x:v>TRF-105</x:v>
      </x:c>
      <x:c r="H93" s="35" t="str">
        <x:v>Benchmark-coined descriptive engineering term</x:v>
      </x:c>
      <x:c r="I93" s="35" t="str">
        <x:v>N5 - component or subject first, followed by characteristic and qualifier/state; no unsupported external mapping</x:v>
      </x:c>
      <x:c r="J93" s="35" t="str">
        <x:v>REUSE_R2_TERM</x:v>
      </x:c>
    </x:row>
    <x:row r="94">
      <x:c r="A94" s="35" t="str">
        <x:v>bladeExcitationOrder</x:v>
      </x:c>
      <x:c r="B94" s="35" t="str">
        <x:v>https://w3id.org/nltl-benchmark/vocab#bladeExcitationOrder</x:v>
      </x:c>
      <x:c r="C94" s="35" t="str">
        <x:v>DatatypeProperty</x:v>
      </x:c>
      <x:c r="D94" s="35" t="str">
        <x:v>http://www.w3.org/2001/XMLSchema#string</x:v>
      </x:c>
      <x:c r="E94" s="35" t="str">
        <x:v>xsd:string</x:v>
      </x:c>
      <x:c r="F94" s="35" t="str"/>
      <x:c r="G94" s="38" t="str">
        <x:v>TRF-100</x:v>
      </x:c>
      <x:c r="H94" s="35" t="str">
        <x:v>Benchmark-coined descriptive engineering term</x:v>
      </x:c>
      <x:c r="I94" s="35" t="str">
        <x:v>N5 - component or subject first, followed by characteristic and qualifier/state; no unsupported external mapping</x:v>
      </x:c>
      <x:c r="J94" s="35" t="str">
        <x:v>REUSE_R2_TERM</x:v>
      </x:c>
    </x:row>
    <x:row r="95">
      <x:c r="A95" s="35" t="str">
        <x:v>bladeFailureSpindleTorque</x:v>
      </x:c>
      <x:c r="B95" s="35" t="str">
        <x:v>https://w3id.org/nltl-benchmark/vocab#bladeFailureSpindleTorque</x:v>
      </x:c>
      <x:c r="C95" s="35" t="str">
        <x:v>QuantityProperty</x:v>
      </x:c>
      <x:c r="D95" s="35" t="str">
        <x:v>http://qudt.org/schema/qudt/QuantityValue</x:v>
      </x:c>
      <x:c r="E95" s="35" t="str"/>
      <x:c r="F95" s="35" t="str">
        <x:v>kN*m</x:v>
      </x:c>
      <x:c r="G95" s="38" t="str">
        <x:v>TRF-102</x:v>
      </x:c>
      <x:c r="H95" s="35" t="str">
        <x:v>Verified exact implementation term</x:v>
      </x:c>
      <x:c r="I95" s="35" t="str">
        <x:v>N1 - reuse only after exact URI and semantic-context verification</x:v>
      </x:c>
      <x:c r="J95" s="35" t="str">
        <x:v>REUSE_R2_TERM</x:v>
      </x:c>
    </x:row>
    <x:row r="96">
      <x:c r="A96" s="35" t="str">
        <x:v>bladeFailureStatus</x:v>
      </x:c>
      <x:c r="B96" s="35" t="str">
        <x:v>https://w3id.org/nltl-benchmark/vocab#bladeFailureStatus</x:v>
      </x:c>
      <x:c r="C96" s="35" t="str">
        <x:v>DatatypeProperty</x:v>
      </x:c>
      <x:c r="D96" s="35" t="str">
        <x:v>http://www.w3.org/2001/XMLSchema#boolean</x:v>
      </x:c>
      <x:c r="E96" s="35" t="str">
        <x:v>xsd:boolean</x:v>
      </x:c>
      <x:c r="F96" s="35" t="str"/>
      <x:c r="G96" s="38" t="str">
        <x:v>TRF-101</x:v>
      </x:c>
      <x:c r="H96" s="35" t="str">
        <x:v>Benchmark-coined descriptive engineering term</x:v>
      </x:c>
      <x:c r="I96" s="35" t="str">
        <x:v>N5 - component or subject first, followed by characteristic and qualifier/state; no unsupported external mapping</x:v>
      </x:c>
      <x:c r="J96" s="35" t="str">
        <x:v>REUSE_R2_TERM</x:v>
      </x:c>
    </x:row>
    <x:row r="97">
      <x:c r="A97" s="35" t="str">
        <x:v>bladeFailureUltimateLoad</x:v>
      </x:c>
      <x:c r="B97" s="35" t="str">
        <x:v>https://w3id.org/nltl-benchmark/vocab#bladeFailureUltimateLoad</x:v>
      </x:c>
      <x:c r="C97" s="35" t="str">
        <x:v>QuantityProperty</x:v>
      </x:c>
      <x:c r="D97" s="35" t="str">
        <x:v>http://qudt.org/schema/qudt/QuantityValue</x:v>
      </x:c>
      <x:c r="E97" s="35" t="str"/>
      <x:c r="F97" s="35" t="str">
        <x:v>kN</x:v>
      </x:c>
      <x:c r="G97" s="38" t="str">
        <x:v>TRF-101 | TRF-112</x:v>
      </x:c>
      <x:c r="H97" s="35" t="str">
        <x:v>Unit-stripped normalized regulatory variable</x:v>
      </x:c>
      <x:c r="I97" s="35" t="str">
        <x:v>N3 - remove unit from the identifier and retain it in unit/quantity metadata</x:v>
      </x:c>
      <x:c r="J97" s="35" t="str">
        <x:v>REUSE_R2_TERM</x:v>
      </x:c>
    </x:row>
    <x:row r="98">
      <x:c r="A98" s="35" t="str">
        <x:v>bladeIceLoad</x:v>
      </x:c>
      <x:c r="B98" s="35" t="str">
        <x:v>https://w3id.org/nltl-benchmark/vocab#bladeIceLoad</x:v>
      </x:c>
      <x:c r="C98" s="35" t="str">
        <x:v>QuantityProperty</x:v>
      </x:c>
      <x:c r="D98" s="35" t="str">
        <x:v>http://qudt.org/schema/qudt/QuantityValue</x:v>
      </x:c>
      <x:c r="E98" s="35" t="str"/>
      <x:c r="F98" s="35" t="str">
        <x:v>kN</x:v>
      </x:c>
      <x:c r="G98" s="38" t="str">
        <x:v>TRF-077</x:v>
      </x:c>
      <x:c r="H98" s="35" t="str">
        <x:v>Benchmark-coined descriptive engineering term</x:v>
      </x:c>
      <x:c r="I98" s="35" t="str">
        <x:v>N5 - component or subject first, followed by characteristic and qualifier/state; no unsupported external mapping</x:v>
      </x:c>
      <x:c r="J98" s="35" t="str">
        <x:v>REUSE_R2_TERM</x:v>
      </x:c>
    </x:row>
    <x:row r="99">
      <x:c r="A99" s="35" t="str">
        <x:v>bladeLoadCaseCoverage</x:v>
      </x:c>
      <x:c r="B99" s="35" t="str">
        <x:v>https://w3id.org/nltl-benchmark/vocab#bladeLoadCaseCoverage</x:v>
      </x:c>
      <x:c r="C99" s="35" t="str">
        <x:v>DatatypeProperty</x:v>
      </x:c>
      <x:c r="D99" s="35" t="str">
        <x:v>http://www.w3.org/2001/XMLSchema#boolean</x:v>
      </x:c>
      <x:c r="E99" s="35" t="str">
        <x:v>xsd:boolean</x:v>
      </x:c>
      <x:c r="F99" s="35" t="str"/>
      <x:c r="G99" s="38" t="str">
        <x:v>TRF-076</x:v>
      </x:c>
      <x:c r="H99" s="35" t="str">
        <x:v>Benchmark-coined descriptive engineering term</x:v>
      </x:c>
      <x:c r="I99" s="35" t="str">
        <x:v>N5 - component or subject first, followed by characteristic and qualifier/state; no unsupported external mapping</x:v>
      </x:c>
      <x:c r="J99" s="35" t="str">
        <x:v>REUSE_R2_TERM</x:v>
      </x:c>
    </x:row>
    <x:row r="100">
      <x:c r="A100" s="35" t="str">
        <x:v>bladeLossLoad</x:v>
      </x:c>
      <x:c r="B100" s="35" t="str">
        <x:v>https://w3id.org/nltl-benchmark/vocab#bladeLossLoad</x:v>
      </x:c>
      <x:c r="C100" s="35" t="str">
        <x:v>QuantityProperty</x:v>
      </x:c>
      <x:c r="D100" s="35" t="str">
        <x:v>http://qudt.org/schema/qudt/QuantityValue</x:v>
      </x:c>
      <x:c r="E100" s="35" t="str"/>
      <x:c r="F100" s="35" t="str">
        <x:v>kN</x:v>
      </x:c>
      <x:c r="G100" s="38" t="str">
        <x:v>TRF-113</x:v>
      </x:c>
      <x:c r="H100" s="35" t="str">
        <x:v>Benchmark-coined descriptive engineering term</x:v>
      </x:c>
      <x:c r="I100" s="35" t="str">
        <x:v>N5 - component or subject first, followed by characteristic and qualifier/state; no unsupported external mapping</x:v>
      </x:c>
      <x:c r="J100" s="35" t="str">
        <x:v>REUSE_R2_TERM</x:v>
      </x:c>
    </x:row>
    <x:row r="101">
      <x:c r="A101" s="35" t="str">
        <x:v>bladeOrderExcitationFrequency</x:v>
      </x:c>
      <x:c r="B101" s="35" t="str">
        <x:v>https://w3id.org/nltl-benchmark/vocab#bladeOrderExcitationFrequency</x:v>
      </x:c>
      <x:c r="C101" s="35" t="str">
        <x:v>QuantityProperty</x:v>
      </x:c>
      <x:c r="D101" s="35" t="str">
        <x:v>http://qudt.org/schema/qudt/QuantityValue</x:v>
      </x:c>
      <x:c r="E101" s="35" t="str"/>
      <x:c r="F101" s="35" t="str">
        <x:v>Hz</x:v>
      </x:c>
      <x:c r="G101" s="38" t="str">
        <x:v>TRF-119</x:v>
      </x:c>
      <x:c r="H101" s="35" t="str">
        <x:v>Benchmark-coined descriptive engineering term</x:v>
      </x:c>
      <x:c r="I101" s="35" t="str">
        <x:v>N5 - component or subject first, followed by characteristic and qualifier/state; no unsupported external mapping</x:v>
      </x:c>
      <x:c r="J101" s="35" t="str">
        <x:v>REUSE_R2_TERM</x:v>
      </x:c>
    </x:row>
    <x:row r="102">
      <x:c r="A102" s="35" t="str">
        <x:v>bladeOrderResonance</x:v>
      </x:c>
      <x:c r="B102" s="35" t="str">
        <x:v>https://w3id.org/nltl-benchmark/vocab#bladeOrderResonance</x:v>
      </x:c>
      <x:c r="C102" s="35" t="str">
        <x:v>DatatypeProperty</x:v>
      </x:c>
      <x:c r="D102" s="35" t="str">
        <x:v>http://www.w3.org/2001/XMLSchema#boolean</x:v>
      </x:c>
      <x:c r="E102" s="35" t="str">
        <x:v>xsd:boolean</x:v>
      </x:c>
      <x:c r="F102" s="35" t="str"/>
      <x:c r="G102" s="38" t="str">
        <x:v>TRF-094</x:v>
      </x:c>
      <x:c r="H102" s="35" t="str">
        <x:v>Benchmark-coined descriptive engineering term</x:v>
      </x:c>
      <x:c r="I102" s="35" t="str">
        <x:v>N5 - component or subject first, followed by characteristic and qualifier/state; no unsupported external mapping</x:v>
      </x:c>
      <x:c r="J102" s="35" t="str">
        <x:v>REUSE_R2_TERM</x:v>
      </x:c>
    </x:row>
    <x:row r="103">
      <x:c r="A103" s="35" t="str">
        <x:v>bladeOrderResonantSpeed</x:v>
      </x:c>
      <x:c r="B103" s="35" t="str">
        <x:v>https://w3id.org/nltl-benchmark/vocab#bladeOrderResonantSpeed</x:v>
      </x:c>
      <x:c r="C103" s="35" t="str">
        <x:v>QuantityProperty</x:v>
      </x:c>
      <x:c r="D103" s="35" t="str">
        <x:v>http://qudt.org/schema/qudt/QuantityValue</x:v>
      </x:c>
      <x:c r="E103" s="35" t="str"/>
      <x:c r="F103" s="35" t="str">
        <x:v>rev/min</x:v>
      </x:c>
      <x:c r="G103" s="38" t="str">
        <x:v>TRF-090</x:v>
      </x:c>
      <x:c r="H103" s="35" t="str">
        <x:v>Benchmark-coined descriptive engineering term</x:v>
      </x:c>
      <x:c r="I103" s="35" t="str">
        <x:v>N5 - component or subject first, followed by characteristic and qualifier/state; no unsupported external mapping</x:v>
      </x:c>
      <x:c r="J103" s="35" t="str">
        <x:v>REUSE_R2_TERM</x:v>
      </x:c>
    </x:row>
    <x:row r="104">
      <x:c r="A104" s="35" t="str">
        <x:v>bladeOrderTorsionalResonance</x:v>
      </x:c>
      <x:c r="B104" s="35" t="str">
        <x:v>https://w3id.org/nltl-benchmark/vocab#bladeOrderTorsionalResonance</x:v>
      </x:c>
      <x:c r="C104" s="35" t="str">
        <x:v>DatatypeProperty</x:v>
      </x:c>
      <x:c r="D104" s="35" t="str">
        <x:v>http://www.w3.org/2001/XMLSchema#boolean</x:v>
      </x:c>
      <x:c r="E104" s="35" t="str">
        <x:v>xsd:boolean</x:v>
      </x:c>
      <x:c r="F104" s="35" t="str"/>
      <x:c r="G104" s="38" t="str">
        <x:v>TRF-089</x:v>
      </x:c>
      <x:c r="H104" s="35" t="str">
        <x:v>Benchmark-coined descriptive engineering term</x:v>
      </x:c>
      <x:c r="I104" s="35" t="str">
        <x:v>N5 - component or subject first, followed by characteristic and qualifier/state; no unsupported external mapping</x:v>
      </x:c>
      <x:c r="J104" s="35" t="str">
        <x:v>REUSE_R2_TERM</x:v>
      </x:c>
    </x:row>
    <x:row r="105">
      <x:c r="A105" s="35" t="str">
        <x:v>bladePlasticBending</x:v>
      </x:c>
      <x:c r="B105" s="35" t="str">
        <x:v>https://w3id.org/nltl-benchmark/vocab#bladePlasticBending</x:v>
      </x:c>
      <x:c r="C105" s="35" t="str">
        <x:v>DatatypeProperty</x:v>
      </x:c>
      <x:c r="D105" s="35" t="str">
        <x:v>http://www.w3.org/2001/XMLSchema#string</x:v>
      </x:c>
      <x:c r="E105" s="35" t="str">
        <x:v>xsd:string</x:v>
      </x:c>
      <x:c r="F105" s="35" t="str"/>
      <x:c r="G105" s="38" t="str">
        <x:v>TRF-113</x:v>
      </x:c>
      <x:c r="H105" s="35" t="str">
        <x:v>Benchmark-coined descriptive engineering term</x:v>
      </x:c>
      <x:c r="I105" s="35" t="str">
        <x:v>N5 - component or subject first, followed by characteristic and qualifier/state; no unsupported external mapping</x:v>
      </x:c>
      <x:c r="J105" s="35" t="str">
        <x:v>REUSE_R2_TERM</x:v>
      </x:c>
    </x:row>
    <x:row r="106">
      <x:c r="A106" s="35" t="str">
        <x:v>bladeReferenceStrength1</x:v>
      </x:c>
      <x:c r="B106" s="35" t="str">
        <x:v>https://w3id.org/nltl-benchmark/vocab#bladeReferenceStrength1</x:v>
      </x:c>
      <x:c r="C106" s="35" t="str">
        <x:v>QuantityProperty</x:v>
      </x:c>
      <x:c r="D106" s="35" t="str">
        <x:v>http://qudt.org/schema/qudt/QuantityValue</x:v>
      </x:c>
      <x:c r="E106" s="35" t="str"/>
      <x:c r="F106" s="35" t="str">
        <x:v>MPa</x:v>
      </x:c>
      <x:c r="G106" s="38" t="str">
        <x:v>TRF-101</x:v>
      </x:c>
      <x:c r="H106" s="35" t="str">
        <x:v>Benchmark-coined descriptive engineering term</x:v>
      </x:c>
      <x:c r="I106" s="35" t="str">
        <x:v>N5 - component or subject first, followed by characteristic and qualifier/state; no unsupported external mapping</x:v>
      </x:c>
      <x:c r="J106" s="35" t="str">
        <x:v>REUSE_R2_TERM</x:v>
      </x:c>
    </x:row>
    <x:row r="107">
      <x:c r="A107" s="35" t="str">
        <x:v>bladeReferenceStrength2</x:v>
      </x:c>
      <x:c r="B107" s="35" t="str">
        <x:v>https://w3id.org/nltl-benchmark/vocab#bladeReferenceStrength2</x:v>
      </x:c>
      <x:c r="C107" s="35" t="str">
        <x:v>QuantityProperty</x:v>
      </x:c>
      <x:c r="D107" s="35" t="str">
        <x:v>http://qudt.org/schema/qudt/QuantityValue</x:v>
      </x:c>
      <x:c r="E107" s="35" t="str"/>
      <x:c r="F107" s="35" t="str">
        <x:v>MPa</x:v>
      </x:c>
      <x:c r="G107" s="38" t="str">
        <x:v>TRF-106</x:v>
      </x:c>
      <x:c r="H107" s="35" t="str">
        <x:v>Unit-stripped normalized regulatory variable</x:v>
      </x:c>
      <x:c r="I107" s="35" t="str">
        <x:v>N3 - remove unit from the identifier and retain it in unit/quantity metadata</x:v>
      </x:c>
      <x:c r="J107" s="35" t="str">
        <x:v>REUSE_R2_TERM</x:v>
      </x:c>
    </x:row>
    <x:row r="108">
      <x:c r="A108" s="35" t="str">
        <x:v>bladeTipOffset</x:v>
      </x:c>
      <x:c r="B108" s="35" t="str">
        <x:v>https://w3id.org/nltl-benchmark/vocab#bladeTipOffset</x:v>
      </x:c>
      <x:c r="C108" s="35" t="str">
        <x:v>QuantityProperty</x:v>
      </x:c>
      <x:c r="D108" s="35" t="str">
        <x:v>http://qudt.org/schema/qudt/QuantityValue</x:v>
      </x:c>
      <x:c r="E108" s="35" t="str"/>
      <x:c r="F108" s="35" t="str">
        <x:v>m</x:v>
      </x:c>
      <x:c r="G108" s="38" t="str">
        <x:v>TRF-101</x:v>
      </x:c>
      <x:c r="H108" s="35" t="str">
        <x:v>Unit-stripped normalized regulatory variable</x:v>
      </x:c>
      <x:c r="I108" s="35" t="str">
        <x:v>N3 - remove unit from the identifier and retain it in unit/quantity metadata</x:v>
      </x:c>
      <x:c r="J108" s="35" t="str">
        <x:v>REUSE_R2_TERM</x:v>
      </x:c>
    </x:row>
    <x:row r="109">
      <x:c r="A109" s="35" t="str">
        <x:v>bollardThrustKnown</x:v>
      </x:c>
      <x:c r="B109" s="35" t="str">
        <x:v>https://w3id.org/nltl-benchmark/vocab#bollardThrustKnown</x:v>
      </x:c>
      <x:c r="C109" s="35" t="str">
        <x:v>DatatypeProperty</x:v>
      </x:c>
      <x:c r="D109" s="35" t="str">
        <x:v>http://www.w3.org/2001/XMLSchema#boolean</x:v>
      </x:c>
      <x:c r="E109" s="35" t="str">
        <x:v>xsd:boolean</x:v>
      </x:c>
      <x:c r="F109" s="35" t="str"/>
      <x:c r="G109" s="38" t="str">
        <x:v>TRF-082</x:v>
      </x:c>
      <x:c r="H109" s="35" t="str">
        <x:v>Benchmark-coined descriptive engineering term</x:v>
      </x:c>
      <x:c r="I109" s="35" t="str">
        <x:v>N5 - component or subject first, followed by characteristic and qualifier/state; no unsupported external mapping</x:v>
      </x:c>
      <x:c r="J109" s="35" t="str">
        <x:v>REUSE_R2_TERM</x:v>
      </x:c>
    </x:row>
    <x:row r="110">
      <x:c r="A110" s="35" t="str">
        <x:v>bottomRegionLowerRegionBoundary</x:v>
      </x:c>
      <x:c r="B110" s="35" t="str">
        <x:v>https://w3id.org/nltl-benchmark/vocab#bottomRegionLowerRegionBoundary</x:v>
      </x:c>
      <x:c r="C110" s="35" t="str">
        <x:v>DatatypeProperty</x:v>
      </x:c>
      <x:c r="D110" s="35" t="str">
        <x:v>http://www.w3.org/2001/XMLSchema#string</x:v>
      </x:c>
      <x:c r="E110" s="35" t="str">
        <x:v>xsd:string</x:v>
      </x:c>
      <x:c r="F110" s="35" t="str"/>
      <x:c r="G110" s="38" t="str">
        <x:v>I2-005</x:v>
      </x:c>
      <x:c r="H110" s="35" t="str">
        <x:v>Benchmark-coined descriptive engineering term</x:v>
      </x:c>
      <x:c r="I110" s="35" t="str">
        <x:v>N5 - component or subject first, followed by characteristic and qualifier/state; no unsupported external mapping</x:v>
      </x:c>
      <x:c r="J110" s="35" t="str">
        <x:v>REUSE_R2_TERM</x:v>
      </x:c>
    </x:row>
    <x:row r="111">
      <x:c r="A111" s="35" t="str">
        <x:v>bowDesignForce</x:v>
      </x:c>
      <x:c r="B111" s="35" t="str">
        <x:v>https://w3id.org/nltl-benchmark/vocab#bowDesignForce</x:v>
      </x:c>
      <x:c r="C111" s="35" t="str">
        <x:v>QuantityProperty</x:v>
      </x:c>
      <x:c r="D111" s="35" t="str">
        <x:v>http://qudt.org/schema/qudt/QuantityValue</x:v>
      </x:c>
      <x:c r="E111" s="35" t="str"/>
      <x:c r="F111" s="35" t="str">
        <x:v>kN</x:v>
      </x:c>
      <x:c r="G111" s="38" t="str">
        <x:v>I2-011</x:v>
      </x:c>
      <x:c r="H111" s="35" t="str">
        <x:v>Benchmark-coined descriptive engineering term</x:v>
      </x:c>
      <x:c r="I111" s="35" t="str">
        <x:v>N5 - component or subject first, followed by characteristic and qualifier/state; no unsupported external mapping</x:v>
      </x:c>
      <x:c r="J111" s="35" t="str">
        <x:v>REUSE_R2_TERM</x:v>
      </x:c>
    </x:row>
    <x:row r="112">
      <x:c r="A112" s="35" t="str">
        <x:v>bowDesignForceMethod</x:v>
      </x:c>
      <x:c r="B112" s="35" t="str">
        <x:v>https://w3id.org/nltl-benchmark/vocab#bowDesignForceMethod</x:v>
      </x:c>
      <x:c r="C112" s="35" t="str">
        <x:v>DatatypeProperty</x:v>
      </x:c>
      <x:c r="D112" s="35" t="str">
        <x:v>http://www.w3.org/2001/XMLSchema#string</x:v>
      </x:c>
      <x:c r="E112" s="35" t="str">
        <x:v>xsd:string</x:v>
      </x:c>
      <x:c r="F112" s="35" t="str"/>
      <x:c r="G112" s="38" t="str">
        <x:v>I2-010</x:v>
      </x:c>
      <x:c r="H112" s="35" t="str">
        <x:v>Benchmark-coined descriptive engineering term</x:v>
      </x:c>
      <x:c r="I112" s="35" t="str">
        <x:v>N5 - component or subject first, followed by characteristic and qualifier/state; no unsupported external mapping</x:v>
      </x:c>
      <x:c r="J112" s="35" t="str">
        <x:v>REUSE_R2_TERM</x:v>
      </x:c>
    </x:row>
    <x:row r="113">
      <x:c r="A113" s="35" t="str">
        <x:v>bowFormApplicability</x:v>
      </x:c>
      <x:c r="B113" s="35" t="str">
        <x:v>https://w3id.org/nltl-benchmark/vocab#bowFormApplicability</x:v>
      </x:c>
      <x:c r="C113" s="35" t="str">
        <x:v>DatatypeProperty</x:v>
      </x:c>
      <x:c r="D113" s="35" t="str">
        <x:v>http://www.w3.org/2001/XMLSchema#boolean</x:v>
      </x:c>
      <x:c r="E113" s="35" t="str">
        <x:v>xsd:boolean</x:v>
      </x:c>
      <x:c r="F113" s="35" t="str"/>
      <x:c r="G113" s="38" t="str">
        <x:v>I2-009</x:v>
      </x:c>
      <x:c r="H113" s="35" t="str">
        <x:v>Benchmark-coined descriptive engineering term</x:v>
      </x:c>
      <x:c r="I113" s="35" t="str">
        <x:v>N5 - component or subject first, followed by characteristic and qualifier/state; no unsupported external mapping</x:v>
      </x:c>
      <x:c r="J113" s="35" t="str">
        <x:v>REUSE_R2_TERM</x:v>
      </x:c>
    </x:row>
    <x:row r="114">
      <x:c r="A114" s="35" t="str">
        <x:v>bowLength</x:v>
      </x:c>
      <x:c r="B114" s="35" t="str">
        <x:v>https://w3id.org/nltl-benchmark/vocab#bowLength</x:v>
      </x:c>
      <x:c r="C114" s="35" t="str">
        <x:v>QuantityProperty</x:v>
      </x:c>
      <x:c r="D114" s="35" t="str">
        <x:v>http://qudt.org/schema/qudt/QuantityValue</x:v>
      </x:c>
      <x:c r="E114" s="35" t="str"/>
      <x:c r="F114" s="35" t="str">
        <x:v>m</x:v>
      </x:c>
      <x:c r="G114" s="38" t="str">
        <x:v>I2-014</x:v>
      </x:c>
      <x:c r="H114" s="35" t="str">
        <x:v>Verified exact implementation term</x:v>
      </x:c>
      <x:c r="I114" s="35" t="str">
        <x:v>N1 - reuse only after exact URI and semantic-context verification</x:v>
      </x:c>
      <x:c r="J114" s="35" t="str">
        <x:v>REUSE_R2_TERM</x:v>
      </x:c>
    </x:row>
    <x:row r="115">
      <x:c r="A115" s="35" t="str">
        <x:v>bowRakeAtQuarterBreadth</x:v>
      </x:c>
      <x:c r="B115" s="35" t="str">
        <x:v>https://w3id.org/nltl-benchmark/vocab#bowRakeAtQuarterBreadth</x:v>
      </x:c>
      <x:c r="C115" s="35" t="str">
        <x:v>QuantityProperty</x:v>
      </x:c>
      <x:c r="D115" s="35" t="str">
        <x:v>http://qudt.org/schema/qudt/QuantityValue</x:v>
      </x:c>
      <x:c r="E115" s="35" t="str"/>
      <x:c r="F115" s="35" t="str">
        <x:v>deg</x:v>
      </x:c>
      <x:c r="G115" s="38" t="str">
        <x:v>TRF-022</x:v>
      </x:c>
      <x:c r="H115" s="35" t="str">
        <x:v>Locked-workbook normalized regulatory term</x:v>
      </x:c>
      <x:c r="I115" s="35" t="str">
        <x:v>N4 - preserve the source concept; normalize spelling to ASCII lowerCamelCase</x:v>
      </x:c>
      <x:c r="J115" s="35" t="str">
        <x:v>REUSE_R2_TERM</x:v>
      </x:c>
    </x:row>
    <x:row r="116">
      <x:c r="A116" s="35" t="str">
        <x:v>bowRegion</x:v>
      </x:c>
      <x:c r="B116" s="35" t="str">
        <x:v>https://w3id.org/nltl-benchmark/vocab#bowRegion</x:v>
      </x:c>
      <x:c r="C116" s="35" t="str">
        <x:v>NamedIndividual</x:v>
      </x:c>
      <x:c r="D116" s="35" t="str">
        <x:v>https://w3id.org/nltl-benchmark/vocab#hullRegionValue</x:v>
      </x:c>
      <x:c r="E116" s="35" t="str"/>
      <x:c r="F116" s="35" t="str"/>
      <x:c r="G116" s="38" t="str">
        <x:v>TRF-035 | TRF-037 | TRF-043 | TRF-052</x:v>
      </x:c>
      <x:c r="H116" s="35" t="str">
        <x:v>Applicable TRAFICOM regulation wording plus explicit engineering node/operand role</x:v>
      </x:c>
      <x:c r="I116" s="35" t="str">
        <x:v>N6 - concise ASCII lowerCamelCase controlled-value name grounded in the linked regulation.</x:v>
      </x:c>
      <x:c r="J116" s="35" t="str">
        <x:v>ADD_DEVELOPMENT_TERM</x:v>
      </x:c>
    </x:row>
    <x:row r="117">
      <x:c r="A117" s="35" t="str">
        <x:v>bowRegionEquivalent</x:v>
      </x:c>
      <x:c r="B117" s="35" t="str">
        <x:v>https://w3id.org/nltl-benchmark/vocab#bowRegionEquivalent</x:v>
      </x:c>
      <x:c r="C117" s="35" t="str">
        <x:v>DatatypeProperty</x:v>
      </x:c>
      <x:c r="D117" s="35" t="str">
        <x:v>http://www.w3.org/2001/XMLSchema#boolean</x:v>
      </x:c>
      <x:c r="E117" s="35" t="str">
        <x:v>xsd:boolean</x:v>
      </x:c>
      <x:c r="F117" s="35" t="str"/>
      <x:c r="G117" s="38" t="str">
        <x:v>TRF-040</x:v>
      </x:c>
      <x:c r="H117" s="35" t="str">
        <x:v>Benchmark-coined descriptive engineering term</x:v>
      </x:c>
      <x:c r="I117" s="35" t="str">
        <x:v>N5 - component or subject first, followed by characteristic and qualifier/state; no unsupported external mapping</x:v>
      </x:c>
      <x:c r="J117" s="35" t="str">
        <x:v>REUSE_R2_TERM</x:v>
      </x:c>
    </x:row>
    <x:row r="118">
      <x:c r="A118" s="35" t="str">
        <x:v>bowShape</x:v>
      </x:c>
      <x:c r="B118" s="35" t="str">
        <x:v>https://w3id.org/nltl-benchmark/vocab#bowShape</x:v>
      </x:c>
      <x:c r="C118" s="35" t="str">
        <x:v>DatatypeProperty</x:v>
      </x:c>
      <x:c r="D118" s="35" t="str">
        <x:v>http://www.w3.org/2001/XMLSchema#string</x:v>
      </x:c>
      <x:c r="E118" s="35" t="str">
        <x:v>xsd:string</x:v>
      </x:c>
      <x:c r="F118" s="35" t="str"/>
      <x:c r="G118" s="38" t="str">
        <x:v>I2-008</x:v>
      </x:c>
      <x:c r="H118" s="35" t="str">
        <x:v>Benchmark-coined descriptive engineering term</x:v>
      </x:c>
      <x:c r="I118" s="35" t="str">
        <x:v>N5 - component or subject first, followed by characteristic and qualifier/state; no unsupported external mapping</x:v>
      </x:c>
      <x:c r="J118" s="35" t="str">
        <x:v>REUSE_R2_TERM</x:v>
      </x:c>
    </x:row>
    <x:row r="119">
      <x:c r="A119" s="35" t="str">
        <x:v>bowVerticalSideStatus</x:v>
      </x:c>
      <x:c r="B119" s="35" t="str">
        <x:v>https://w3id.org/nltl-benchmark/vocab#bowVerticalSideStatus</x:v>
      </x:c>
      <x:c r="C119" s="35" t="str">
        <x:v>DatatypeProperty</x:v>
      </x:c>
      <x:c r="D119" s="35" t="str">
        <x:v>http://www.w3.org/2001/XMLSchema#boolean</x:v>
      </x:c>
      <x:c r="E119" s="35" t="str">
        <x:v>xsd:boolean</x:v>
      </x:c>
      <x:c r="F119" s="35" t="str"/>
      <x:c r="G119" s="38" t="str">
        <x:v>I2-010</x:v>
      </x:c>
      <x:c r="H119" s="35" t="str">
        <x:v>Benchmark-coined descriptive engineering term</x:v>
      </x:c>
      <x:c r="I119" s="35" t="str">
        <x:v>N5 - component or subject first, followed by characteristic and qualifier/state; no unsupported external mapping</x:v>
      </x:c>
      <x:c r="J119" s="35" t="str">
        <x:v>REUSE_R2_TERM</x:v>
      </x:c>
    </x:row>
    <x:row r="120">
      <x:c r="A120" s="35" t="str">
        <x:v>bracketArea</x:v>
      </x:c>
      <x:c r="B120" s="35" t="str">
        <x:v>https://w3id.org/nltl-benchmark/vocab#bracketArea</x:v>
      </x:c>
      <x:c r="C120" s="35" t="str">
        <x:v>QuantityProperty</x:v>
      </x:c>
      <x:c r="D120" s="35" t="str">
        <x:v>http://qudt.org/schema/qudt/QuantityValue</x:v>
      </x:c>
      <x:c r="E120" s="35" t="str"/>
      <x:c r="F120" s="35" t="str">
        <x:v>cm^2</x:v>
      </x:c>
      <x:c r="G120" s="38" t="str">
        <x:v>TRF-048</x:v>
      </x:c>
      <x:c r="H120" s="35" t="str">
        <x:v>Applicable TRAFICOM regulation wording plus explicit engineering node/operand role</x:v>
      </x:c>
      <x:c r="I120" s="35" t="str">
        <x:v>N4 - explicit engineering quantity in ASCII lowerCamelCase; formula symbols remain aliases only.</x:v>
      </x:c>
      <x:c r="J120" s="35" t="str">
        <x:v>ADD_DEVELOPMENT_TERM</x:v>
      </x:c>
    </x:row>
    <x:row r="121">
      <x:c r="A121" s="35" t="str">
        <x:v>bracketEdgeStiffened</x:v>
      </x:c>
      <x:c r="B121" s="35" t="str">
        <x:v>https://w3id.org/nltl-benchmark/vocab#bracketEdgeStiffened</x:v>
      </x:c>
      <x:c r="C121" s="35" t="str">
        <x:v>DatatypeProperty</x:v>
      </x:c>
      <x:c r="D121" s="35" t="str">
        <x:v>http://www.w3.org/2001/XMLSchema#boolean</x:v>
      </x:c>
      <x:c r="E121" s="35" t="str">
        <x:v>xsd:boolean</x:v>
      </x:c>
      <x:c r="F121" s="35" t="str"/>
      <x:c r="G121" s="38" t="str">
        <x:v>TRF-049</x:v>
      </x:c>
      <x:c r="H121" s="35" t="str">
        <x:v>Applicable TRAFICOM regulation wording plus explicit engineering node/operand role</x:v>
      </x:c>
      <x:c r="I121" s="35" t="str">
        <x:v>N4 - explicit regulatory concept in ASCII lowerCamelCase with an XSD datatype.</x:v>
      </x:c>
      <x:c r="J121" s="35" t="str">
        <x:v>ADD_DEVELOPMENT_TERM</x:v>
      </x:c>
    </x:row>
    <x:row r="122">
      <x:c r="A122" s="35" t="str">
        <x:v>bracketThickness</x:v>
      </x:c>
      <x:c r="B122" s="35" t="str">
        <x:v>https://w3id.org/nltl-benchmark/vocab#bracketThickness</x:v>
      </x:c>
      <x:c r="C122" s="35" t="str">
        <x:v>QuantityProperty</x:v>
      </x:c>
      <x:c r="D122" s="35" t="str">
        <x:v>http://qudt.org/schema/qudt/QuantityValue</x:v>
      </x:c>
      <x:c r="E122" s="35" t="str"/>
      <x:c r="F122" s="35" t="str">
        <x:v>mm</x:v>
      </x:c>
      <x:c r="G122" s="38" t="str">
        <x:v>TRF-049</x:v>
      </x:c>
      <x:c r="H122" s="35" t="str">
        <x:v>Applicable TRAFICOM regulation wording plus explicit engineering node/operand role</x:v>
      </x:c>
      <x:c r="I122" s="35" t="str">
        <x:v>N4 - explicit engineering quantity in ASCII lowerCamelCase; formula symbols remain aliases only.</x:v>
      </x:c>
      <x:c r="J122" s="35" t="str">
        <x:v>ADD_DEVELOPMENT_TERM</x:v>
      </x:c>
    </x:row>
    <x:row r="123">
      <x:c r="A123" s="35" t="str">
        <x:v>brashIceChannelResistanceAtLowerIceWaterline</x:v>
      </x:c>
      <x:c r="B123" s="35" t="str">
        <x:v>https://w3id.org/nltl-benchmark/vocab#brashIceChannelResistanceAtLowerIceWaterline</x:v>
      </x:c>
      <x:c r="C123" s="35" t="str">
        <x:v>QuantityProperty</x:v>
      </x:c>
      <x:c r="D123" s="35" t="str">
        <x:v>http://qudt.org/schema/qudt/QuantityValue</x:v>
      </x:c>
      <x:c r="E123" s="35" t="str"/>
      <x:c r="F123" s="35" t="str"/>
      <x:c r="G123" s="38" t="str">
        <x:v>TRF-020</x:v>
      </x:c>
      <x:c r="H123" s="35" t="str">
        <x:v>Applicable TRAFICOM regulation wording plus explicit engineering node/operand role</x:v>
      </x:c>
      <x:c r="I123" s="35" t="str">
        <x:v>N4 - explicit engineering quantity in ASCII lowerCamelCase; formula symbols remain aliases only.</x:v>
      </x:c>
      <x:c r="J123" s="35" t="str">
        <x:v>ADD_DEVELOPMENT_TERM</x:v>
      </x:c>
    </x:row>
    <x:row r="124">
      <x:c r="A124" s="35" t="str">
        <x:v>brashIceChannelResistanceAtUpperIceWaterline</x:v>
      </x:c>
      <x:c r="B124" s="35" t="str">
        <x:v>https://w3id.org/nltl-benchmark/vocab#brashIceChannelResistanceAtUpperIceWaterline</x:v>
      </x:c>
      <x:c r="C124" s="35" t="str">
        <x:v>QuantityProperty</x:v>
      </x:c>
      <x:c r="D124" s="35" t="str">
        <x:v>http://qudt.org/schema/qudt/QuantityValue</x:v>
      </x:c>
      <x:c r="E124" s="35" t="str"/>
      <x:c r="F124" s="35" t="str"/>
      <x:c r="G124" s="38" t="str">
        <x:v>TRF-020</x:v>
      </x:c>
      <x:c r="H124" s="35" t="str">
        <x:v>Applicable TRAFICOM regulation wording plus explicit engineering node/operand role</x:v>
      </x:c>
      <x:c r="I124" s="35" t="str">
        <x:v>N4 - explicit engineering quantity in ASCII lowerCamelCase; formula symbols remain aliases only.</x:v>
      </x:c>
      <x:c r="J124" s="35" t="str">
        <x:v>ADD_DEVELOPMENT_TERM</x:v>
      </x:c>
    </x:row>
    <x:row r="125">
      <x:c r="A125" s="35" t="str">
        <x:v>brashIceChannelResistanceRch</x:v>
      </x:c>
      <x:c r="B125" s="35" t="str">
        <x:v>https://w3id.org/nltl-benchmark/vocab#brashIceChannelResistanceRch</x:v>
      </x:c>
      <x:c r="C125" s="35" t="str">
        <x:v>QuantityProperty</x:v>
      </x:c>
      <x:c r="D125" s="35" t="str">
        <x:v>http://qudt.org/schema/qudt/QuantityValue</x:v>
      </x:c>
      <x:c r="E125" s="35" t="str"/>
      <x:c r="F125" s="35" t="str">
        <x:v>N</x:v>
      </x:c>
      <x:c r="G125" s="38" t="str">
        <x:v>TRF-020 | TRF-028</x:v>
      </x:c>
      <x:c r="H125" s="35" t="str">
        <x:v>Regulatory symbol expanded from a directly verified definition</x:v>
      </x:c>
      <x:c r="I125" s="35" t="str">
        <x:v>N2 - replace formula symbol with its clause-defined engineering meaning; preserve symbol as alias</x:v>
      </x:c>
      <x:c r="J125" s="35" t="str">
        <x:v>REUSE_R2_TERM</x:v>
      </x:c>
    </x:row>
    <x:row r="126">
      <x:c r="A126" s="35" t="str">
        <x:v>brashIceResistanceCoefficientC1</x:v>
      </x:c>
      <x:c r="B126" s="35" t="str">
        <x:v>https://w3id.org/nltl-benchmark/vocab#brashIceResistanceCoefficientC1</x:v>
      </x:c>
      <x:c r="C126" s="35" t="str">
        <x:v>QuantityProperty</x:v>
      </x:c>
      <x:c r="D126" s="35" t="str">
        <x:v>http://qudt.org/schema/qudt/QuantityValue</x:v>
      </x:c>
      <x:c r="E126" s="35" t="str"/>
      <x:c r="F126" s="35" t="str">
        <x:v>N</x:v>
      </x:c>
      <x:c r="G126" s="38" t="str">
        <x:v>TRF-025 | TRF-026</x:v>
      </x:c>
      <x:c r="H126" s="35" t="str">
        <x:v>Applicable TRAFICOM regulation wording plus explicit engineering node/operand role</x:v>
      </x:c>
      <x:c r="I126" s="35" t="str">
        <x:v>N4 - explicit engineering quantity in ASCII lowerCamelCase; formula symbols remain aliases only.</x:v>
      </x:c>
      <x:c r="J126" s="35" t="str">
        <x:v>ADD_DEVELOPMENT_TERM</x:v>
      </x:c>
    </x:row>
    <x:row r="127">
      <x:c r="A127" s="35" t="str">
        <x:v>brashIceResistanceCoefficientC2</x:v>
      </x:c>
      <x:c r="B127" s="35" t="str">
        <x:v>https://w3id.org/nltl-benchmark/vocab#brashIceResistanceCoefficientC2</x:v>
      </x:c>
      <x:c r="C127" s="35" t="str">
        <x:v>QuantityProperty</x:v>
      </x:c>
      <x:c r="D127" s="35" t="str">
        <x:v>http://qudt.org/schema/qudt/QuantityValue</x:v>
      </x:c>
      <x:c r="E127" s="35" t="str"/>
      <x:c r="F127" s="35" t="str">
        <x:v>N</x:v>
      </x:c>
      <x:c r="G127" s="38" t="str">
        <x:v>TRF-025 | TRF-026</x:v>
      </x:c>
      <x:c r="H127" s="35" t="str">
        <x:v>Applicable TRAFICOM regulation wording plus explicit engineering node/operand role</x:v>
      </x:c>
      <x:c r="I127" s="35" t="str">
        <x:v>N4 - explicit engineering quantity in ASCII lowerCamelCase; formula symbols remain aliases only.</x:v>
      </x:c>
      <x:c r="J127" s="35" t="str">
        <x:v>ADD_DEVELOPMENT_TERM</x:v>
      </x:c>
    </x:row>
    <x:row r="128">
      <x:c r="A128" s="35" t="str">
        <x:v>bridgeConfiguration</x:v>
      </x:c>
      <x:c r="B128" s="35" t="str">
        <x:v>https://w3id.org/nltl-benchmark/vocab#bridgeConfiguration</x:v>
      </x:c>
      <x:c r="C128" s="35" t="str">
        <x:v>DatatypeProperty</x:v>
      </x:c>
      <x:c r="D128" s="35" t="str">
        <x:v>http://www.w3.org/2001/XMLSchema#string</x:v>
      </x:c>
      <x:c r="E128" s="35" t="str">
        <x:v>xsd:string</x:v>
      </x:c>
      <x:c r="F128" s="35" t="str"/>
      <x:c r="G128" s="38" t="str">
        <x:v>IMO-082</x:v>
      </x:c>
      <x:c r="H128" s="35" t="str">
        <x:v>Locked-workbook normalized regulatory term</x:v>
      </x:c>
      <x:c r="I128" s="35" t="str">
        <x:v>N4 - preserve the source concept; normalize spelling to ASCII lowerCamelCase</x:v>
      </x:c>
      <x:c r="J128" s="35" t="str">
        <x:v>REUSE_R2_TERM</x:v>
      </x:c>
    </x:row>
    <x:row r="129">
      <x:c r="A129" s="35" t="str">
        <x:v>bridgeControlledRotatableNarrowBeamSearchlightCount</x:v>
      </x:c>
      <x:c r="B129" s="35" t="str">
        <x:v>https://w3id.org/nltl-benchmark/vocab#bridgeControlledRotatableNarrowBeamSearchlightCount</x:v>
      </x:c>
      <x:c r="C129" s="35" t="str">
        <x:v>DatatypeProperty</x:v>
      </x:c>
      <x:c r="D129" s="35" t="str">
        <x:v>http://www.w3.org/2001/XMLSchema#integer</x:v>
      </x:c>
      <x:c r="E129" s="35" t="str">
        <x:v>xsd:integer</x:v>
      </x:c>
      <x:c r="F129" s="35" t="str"/>
      <x:c r="G129" s="38" t="str">
        <x:v>IMO-088</x:v>
      </x:c>
      <x:c r="H129" s="35" t="str">
        <x:v>Locked-workbook normalized regulatory term</x:v>
      </x:c>
      <x:c r="I129" s="35" t="str">
        <x:v>N4 - preserve the source concept; normalize spelling to ASCII lowerCamelCase</x:v>
      </x:c>
      <x:c r="J129" s="35" t="str">
        <x:v>REUSE_R2_TERM</x:v>
      </x:c>
    </x:row>
    <x:row r="130">
      <x:c r="A130" s="35" t="str">
        <x:v>bridgeWingProtectionDesignStatus</x:v>
      </x:c>
      <x:c r="B130" s="35" t="str">
        <x:v>https://w3id.org/nltl-benchmark/vocab#bridgeWingProtectionDesignStatus</x:v>
      </x:c>
      <x:c r="C130" s="35" t="str">
        <x:v>DatatypeProperty</x:v>
      </x:c>
      <x:c r="D130" s="35" t="str">
        <x:v>http://www.w3.org/2001/XMLSchema#boolean</x:v>
      </x:c>
      <x:c r="E130" s="35" t="str">
        <x:v>xsd:boolean</x:v>
      </x:c>
      <x:c r="F130" s="35" t="str"/>
      <x:c r="G130" s="38" t="str">
        <x:v>IMO-085 | IMO26-011</x:v>
      </x:c>
      <x:c r="H130" s="35" t="str">
        <x:v>Locked-workbook normalized regulatory term</x:v>
      </x:c>
      <x:c r="I130" s="35" t="str">
        <x:v>N4 - preserve the source concept; normalize spelling to ASCII lowerCamelCase</x:v>
      </x:c>
      <x:c r="J130" s="35" t="str">
        <x:v>REUSE_R2_TERM</x:v>
      </x:c>
    </x:row>
    <x:row r="131">
      <x:c r="A131" s="35" t="str">
        <x:v>bridgeWingsEnclosed</x:v>
      </x:c>
      <x:c r="B131" s="35" t="str">
        <x:v>https://w3id.org/nltl-benchmark/vocab#bridgeWingsEnclosed</x:v>
      </x:c>
      <x:c r="C131" s="35" t="str">
        <x:v>DatatypeProperty</x:v>
      </x:c>
      <x:c r="D131" s="35" t="str">
        <x:v>http://www.w3.org/2001/XMLSchema#boolean</x:v>
      </x:c>
      <x:c r="E131" s="35" t="str">
        <x:v>xsd:boolean</x:v>
      </x:c>
      <x:c r="F131" s="35" t="str"/>
      <x:c r="G131" s="38" t="str">
        <x:v>IMO-085 | IMO26-011</x:v>
      </x:c>
      <x:c r="H131" s="35" t="str">
        <x:v>Locked-workbook normalized regulatory term</x:v>
      </x:c>
      <x:c r="I131" s="35" t="str">
        <x:v>N4 - preserve the source concept; normalize spelling to ASCII lowerCamelCase</x:v>
      </x:c>
      <x:c r="J131" s="35" t="str">
        <x:v>REUSE_R2_TERM</x:v>
      </x:c>
    </x:row>
    <x:row r="132">
      <x:c r="A132" s="35" t="str">
        <x:v>bucklingResponse</x:v>
      </x:c>
      <x:c r="B132" s="35" t="str">
        <x:v>https://w3id.org/nltl-benchmark/vocab#bucklingResponse</x:v>
      </x:c>
      <x:c r="C132" s="35" t="str">
        <x:v>DatatypeProperty</x:v>
      </x:c>
      <x:c r="D132" s="35" t="str">
        <x:v>http://www.w3.org/2001/XMLSchema#string</x:v>
      </x:c>
      <x:c r="E132" s="35" t="str">
        <x:v>xsd:string</x:v>
      </x:c>
      <x:c r="F132" s="35" t="str"/>
      <x:c r="G132" s="38" t="str">
        <x:v>I2-065</x:v>
      </x:c>
      <x:c r="H132" s="35" t="str">
        <x:v>Benchmark-coined descriptive engineering term</x:v>
      </x:c>
      <x:c r="I132" s="35" t="str">
        <x:v>N5 - component or subject first, followed by characteristic and qualifier/state; no unsupported external mapping</x:v>
      </x:c>
      <x:c r="J132" s="35" t="str">
        <x:v>REUSE_R2_TERM</x:v>
      </x:c>
    </x:row>
    <x:row r="133">
      <x:c r="A133" s="35" t="str">
        <x:v>bucklingStiffening</x:v>
      </x:c>
      <x:c r="B133" s="35" t="str">
        <x:v>https://w3id.org/nltl-benchmark/vocab#bucklingStiffening</x:v>
      </x:c>
      <x:c r="C133" s="35" t="str">
        <x:v>DatatypeProperty</x:v>
      </x:c>
      <x:c r="D133" s="35" t="str">
        <x:v>http://www.w3.org/2001/XMLSchema#boolean</x:v>
      </x:c>
      <x:c r="E133" s="35" t="str">
        <x:v>xsd:boolean</x:v>
      </x:c>
      <x:c r="F133" s="35" t="str"/>
      <x:c r="G133" s="38" t="str">
        <x:v>TRF-049</x:v>
      </x:c>
      <x:c r="H133" s="35" t="str">
        <x:v>Benchmark-coined descriptive engineering term</x:v>
      </x:c>
      <x:c r="I133" s="35" t="str">
        <x:v>N5 - component or subject first, followed by characteristic and qualifier/state; no unsupported external mapping</x:v>
      </x:c>
      <x:c r="J133" s="35" t="str">
        <x:v>REUSE_R2_TERM</x:v>
      </x:c>
    </x:row>
    <x:row r="134">
      <x:c r="A134" s="35" t="str">
        <x:v>bulbousBowPresent</x:v>
      </x:c>
      <x:c r="B134" s="35" t="str">
        <x:v>https://w3id.org/nltl-benchmark/vocab#bulbousBowPresent</x:v>
      </x:c>
      <x:c r="C134" s="35" t="str">
        <x:v>DatatypeProperty</x:v>
      </x:c>
      <x:c r="D134" s="35" t="str">
        <x:v>http://www.w3.org/2001/XMLSchema#boolean</x:v>
      </x:c>
      <x:c r="E134" s="35" t="str">
        <x:v>xsd:boolean</x:v>
      </x:c>
      <x:c r="F134" s="35" t="str"/>
      <x:c r="G134" s="38" t="str">
        <x:v>I2-011</x:v>
      </x:c>
      <x:c r="H134" s="35" t="str">
        <x:v>Benchmark-coined descriptive engineering term</x:v>
      </x:c>
      <x:c r="I134" s="35" t="str">
        <x:v>N5 - component or subject first, followed by characteristic and qualifier/state; no unsupported external mapping</x:v>
      </x:c>
      <x:c r="J134" s="35" t="str">
        <x:v>REUSE_R2_TERM</x:v>
      </x:c>
    </x:row>
    <x:row r="135">
      <x:c r="A135" s="35" t="str">
        <x:v>bulkCarrierTopWingTankFrameCondition</x:v>
      </x:c>
      <x:c r="B135" s="35" t="str">
        <x:v>https://w3id.org/nltl-benchmark/vocab#bulkCarrierTopWingTankFrameCondition</x:v>
      </x:c>
      <x:c r="C135" s="35" t="str">
        <x:v>NamedIndividual</x:v>
      </x:c>
      <x:c r="D135" s="35" t="str">
        <x:v>https://w3id.org/nltl-benchmark/vocab#frameBoundaryConditionTypeValue</x:v>
      </x:c>
      <x:c r="E135" s="35" t="str"/>
      <x:c r="F135" s="35" t="str"/>
      <x:c r="G135" s="38" t="str">
        <x:v>TRF-044</x:v>
      </x:c>
      <x:c r="H135" s="35" t="str">
        <x:v>Applicable TRAFICOM regulation wording plus explicit engineering node/operand role</x:v>
      </x:c>
      <x:c r="I135" s="35" t="str">
        <x:v>N6 - concise ASCII lowerCamelCase controlled-value name grounded in the linked regulation.</x:v>
      </x:c>
      <x:c r="J135" s="35" t="str">
        <x:v>ADD_DEVELOPMENT_TERM</x:v>
      </x:c>
    </x:row>
    <x:row r="136">
      <x:c r="A136" s="35" t="str">
        <x:v>bulkhead</x:v>
      </x:c>
      <x:c r="B136" s="35" t="str">
        <x:v>https://w3id.org/nltl-benchmark/vocab#bulkhead</x:v>
      </x:c>
      <x:c r="C136" s="35" t="str">
        <x:v>Class</x:v>
      </x:c>
      <x:c r="D136" s="35" t="str">
        <x:v>https://w3id.org/nltl-benchmark/vocab#hullStructure</x:v>
      </x:c>
      <x:c r="E136" s="35" t="str"/>
      <x:c r="F136" s="35" t="str"/>
      <x:c r="G136" s="38" t="str">
        <x:v>TRF-051</x:v>
      </x:c>
      <x:c r="H136" s="35" t="str">
        <x:v>Applicable TRAFICOM regulation wording plus explicit engineering node/operand role</x:v>
      </x:c>
      <x:c r="I136" s="35" t="str">
        <x:v>N4 - singular ASCII lowerCamelCase entity name derived from the linked regulatory role.</x:v>
      </x:c>
      <x:c r="J136" s="35" t="str">
        <x:v>ADD_DEVELOPMENT_TERM</x:v>
      </x:c>
    </x:row>
    <x:row r="137">
      <x:c r="A137" s="35" t="str">
        <x:v>bulwarkStrengthStatus</x:v>
      </x:c>
      <x:c r="B137" s="35" t="str">
        <x:v>https://w3id.org/nltl-benchmark/vocab#bulwarkStrengthStatus</x:v>
      </x:c>
      <x:c r="C137" s="35" t="str">
        <x:v>DatatypeProperty</x:v>
      </x:c>
      <x:c r="D137" s="35" t="str">
        <x:v>http://www.w3.org/2001/XMLSchema#boolean</x:v>
      </x:c>
      <x:c r="E137" s="35" t="str">
        <x:v>xsd:boolean</x:v>
      </x:c>
      <x:c r="F137" s="35" t="str"/>
      <x:c r="G137" s="38" t="str">
        <x:v>TRF-040</x:v>
      </x:c>
      <x:c r="H137" s="35" t="str">
        <x:v>Benchmark-coined descriptive engineering term</x:v>
      </x:c>
      <x:c r="I137" s="35" t="str">
        <x:v>N5 - component or subject first, followed by characteristic and qualifier/state; no unsupported external mapping</x:v>
      </x:c>
      <x:c r="J137" s="35" t="str">
        <x:v>REUSE_R2_TERM</x:v>
      </x:c>
    </x:row>
    <x:row r="138">
      <x:c r="A138" s="35" t="str">
        <x:v>buttockAngle</x:v>
      </x:c>
      <x:c r="B138" s="35" t="str">
        <x:v>https://w3id.org/nltl-benchmark/vocab#buttockAngle</x:v>
      </x:c>
      <x:c r="C138" s="35" t="str">
        <x:v>QuantityProperty</x:v>
      </x:c>
      <x:c r="D138" s="35" t="str">
        <x:v>http://qudt.org/schema/qudt/QuantityValue</x:v>
      </x:c>
      <x:c r="E138" s="35" t="str"/>
      <x:c r="F138" s="35" t="str">
        <x:v>deg</x:v>
      </x:c>
      <x:c r="G138" s="38" t="str">
        <x:v>I2-009</x:v>
      </x:c>
      <x:c r="H138" s="35" t="str">
        <x:v>Benchmark-coined descriptive engineering term</x:v>
      </x:c>
      <x:c r="I138" s="35" t="str">
        <x:v>N5 - component or subject first, followed by characteristic and qualifier/state; no unsupported external mapping</x:v>
      </x:c>
      <x:c r="J138" s="35" t="str">
        <x:v>REUSE_R2_TERM</x:v>
      </x:c>
    </x:row>
    <x:row r="139">
      <x:c r="A139" s="35" t="str">
        <x:v>calculatedBladeStress</x:v>
      </x:c>
      <x:c r="B139" s="35" t="str">
        <x:v>https://w3id.org/nltl-benchmark/vocab#calculatedBladeStress</x:v>
      </x:c>
      <x:c r="C139" s="35" t="str">
        <x:v>QuantityProperty</x:v>
      </x:c>
      <x:c r="D139" s="35" t="str">
        <x:v>http://qudt.org/schema/qudt/QuantityValue</x:v>
      </x:c>
      <x:c r="E139" s="35" t="str"/>
      <x:c r="F139" s="35" t="str">
        <x:v>MPa</x:v>
      </x:c>
      <x:c r="G139" s="38" t="str">
        <x:v>TRF-105 | TRF-106</x:v>
      </x:c>
      <x:c r="H139" s="35" t="str">
        <x:v>Unit-stripped normalized regulatory variable</x:v>
      </x:c>
      <x:c r="I139" s="35" t="str">
        <x:v>N3 - remove unit from the identifier and retain it in unit/quantity metadata</x:v>
      </x:c>
      <x:c r="J139" s="35" t="str">
        <x:v>REUSE_R2_TERM</x:v>
      </x:c>
    </x:row>
    <x:row r="140">
      <x:c r="A140" s="35" t="str">
        <x:v>calculatedRequiredPower</x:v>
      </x:c>
      <x:c r="B140" s="35" t="str">
        <x:v>https://w3id.org/nltl-benchmark/vocab#calculatedRequiredPower</x:v>
      </x:c>
      <x:c r="C140" s="35" t="str">
        <x:v>QuantityProperty</x:v>
      </x:c>
      <x:c r="D140" s="35" t="str">
        <x:v>http://qudt.org/schema/qudt/QuantityValue</x:v>
      </x:c>
      <x:c r="E140" s="35" t="str"/>
      <x:c r="F140" s="35" t="str">
        <x:v>kW</x:v>
      </x:c>
      <x:c r="G140" s="38" t="str">
        <x:v>TRF-018</x:v>
      </x:c>
      <x:c r="H140" s="35" t="str">
        <x:v>Unit-stripped normalized regulatory variable</x:v>
      </x:c>
      <x:c r="I140" s="35" t="str">
        <x:v>N3 - remove unit from the identifier and retain it in unit/quantity metadata</x:v>
      </x:c>
      <x:c r="J140" s="35" t="str">
        <x:v>REUSE_R2_TERM</x:v>
      </x:c>
    </x:row>
    <x:row r="141">
      <x:c r="A141" s="35" t="str">
        <x:v>capabilitiesSectionPresent</x:v>
      </x:c>
      <x:c r="B141" s="35" t="str">
        <x:v>https://w3id.org/nltl-benchmark/vocab#capabilitiesSectionPresent</x:v>
      </x:c>
      <x:c r="C141" s="35" t="str">
        <x:v>DatatypeProperty</x:v>
      </x:c>
      <x:c r="D141" s="35" t="str">
        <x:v>http://www.w3.org/2001/XMLSchema#boolean</x:v>
      </x:c>
      <x:c r="E141" s="35" t="str">
        <x:v>xsd:boolean</x:v>
      </x:c>
      <x:c r="F141" s="35" t="str"/>
      <x:c r="G141" s="38" t="str">
        <x:v>IMO-022</x:v>
      </x:c>
      <x:c r="H141" s="35" t="str">
        <x:v>Locked-workbook normalized regulatory term</x:v>
      </x:c>
      <x:c r="I141" s="35" t="str">
        <x:v>N4 - preserve the source concept; normalize spelling to ASCII lowerCamelCase</x:v>
      </x:c>
      <x:c r="J141" s="35" t="str">
        <x:v>REUSE_R2_TERM</x:v>
      </x:c>
    </x:row>
    <x:row r="142">
      <x:c r="A142" s="35" t="str">
        <x:v>capabilityExceedanceAvoidanceProcedurePresent</x:v>
      </x:c>
      <x:c r="B142" s="35" t="str">
        <x:v>https://w3id.org/nltl-benchmark/vocab#capabilityExceedanceAvoidanceProcedurePresent</x:v>
      </x:c>
      <x:c r="C142" s="35" t="str">
        <x:v>DatatypeProperty</x:v>
      </x:c>
      <x:c r="D142" s="35" t="str">
        <x:v>http://www.w3.org/2001/XMLSchema#boolean</x:v>
      </x:c>
      <x:c r="E142" s="35" t="str">
        <x:v>xsd:boolean</x:v>
      </x:c>
      <x:c r="F142" s="35" t="str"/>
      <x:c r="G142" s="38" t="str">
        <x:v>IMO-023</x:v>
      </x:c>
      <x:c r="H142" s="35" t="str">
        <x:v>Locked-workbook normalized regulatory term</x:v>
      </x:c>
      <x:c r="I142" s="35" t="str">
        <x:v>N4 - preserve the source concept; normalize spelling to ASCII lowerCamelCase</x:v>
      </x:c>
      <x:c r="J142" s="35" t="str">
        <x:v>REUSE_R2_TERM</x:v>
      </x:c>
    </x:row>
    <x:row r="143">
      <x:c r="A143" s="35" t="str">
        <x:v>capacityMinimizingLoadPositionConfirmed</x:v>
      </x:c>
      <x:c r="B143" s="35" t="str">
        <x:v>https://w3id.org/nltl-benchmark/vocab#capacityMinimizingLoadPositionConfirmed</x:v>
      </x:c>
      <x:c r="C143" s="35" t="str">
        <x:v>DatatypeProperty</x:v>
      </x:c>
      <x:c r="D143" s="35" t="str">
        <x:v>http://www.w3.org/2001/XMLSchema#boolean</x:v>
      </x:c>
      <x:c r="E143" s="35" t="str">
        <x:v>xsd:boolean</x:v>
      </x:c>
      <x:c r="F143" s="35" t="str"/>
      <x:c r="G143" s="38" t="str">
        <x:v>TRF-030</x:v>
      </x:c>
      <x:c r="H143" s="35" t="str">
        <x:v>Applicable TRAFICOM regulation wording plus explicit engineering node/operand role</x:v>
      </x:c>
      <x:c r="I143" s="35" t="str">
        <x:v>N4 - explicit regulatory concept in ASCII lowerCamelCase with an XSD datatype.</x:v>
      </x:c>
      <x:c r="J143" s="35" t="str">
        <x:v>ADD_DEVELOPMENT_TERM</x:v>
      </x:c>
    </x:row>
    <x:row r="144">
      <x:c r="A144" s="35" t="str">
        <x:v>cargoRecordBookPolarCoverage</x:v>
      </x:c>
      <x:c r="B144" s="35" t="str">
        <x:v>https://w3id.org/nltl-benchmark/vocab#cargoRecordBookPolarCoverage</x:v>
      </x:c>
      <x:c r="C144" s="35" t="str">
        <x:v>DatatypeProperty</x:v>
      </x:c>
      <x:c r="D144" s="35" t="str">
        <x:v>http://www.w3.org/2001/XMLSchema#boolean</x:v>
      </x:c>
      <x:c r="E144" s="35" t="str">
        <x:v>xsd:boolean</x:v>
      </x:c>
      <x:c r="F144" s="35" t="str"/>
      <x:c r="G144" s="38" t="str">
        <x:v>IMO-113</x:v>
      </x:c>
      <x:c r="H144" s="35" t="str">
        <x:v>Locked-workbook normalized regulatory term</x:v>
      </x:c>
      <x:c r="I144" s="35" t="str">
        <x:v>N4 - preserve the source concept; normalize spelling to ASCII lowerCamelCase</x:v>
      </x:c>
      <x:c r="J144" s="35" t="str">
        <x:v>REUSE_R2_TERM</x:v>
      </x:c>
    </x:row>
    <x:row r="145">
      <x:c r="A145" s="35" t="str">
        <x:v>cargoShip</x:v>
      </x:c>
      <x:c r="B145" s="35" t="str">
        <x:v>https://w3id.org/nltl-benchmark/vocab#cargoShip</x:v>
      </x:c>
      <x:c r="C145" s="35" t="str">
        <x:v>Class</x:v>
      </x:c>
      <x:c r="D145" s="35" t="str">
        <x:v>https://w3id.org/nltl-benchmark/vocab#ship</x:v>
      </x:c>
      <x:c r="E145" s="35" t="str"/>
      <x:c r="F145" s="35" t="str"/>
      <x:c r="G145" s="38" t="str">
        <x:v>IMO26-002 | IMO26-016</x:v>
      </x:c>
      <x:c r="H145" s="35" t="str">
        <x:v>Benchmark-coined descriptive engineering term</x:v>
      </x:c>
      <x:c r="I145" s="35" t="str">
        <x:v>N5 - component or subject first, followed by characteristic and qualifier/state; no unsupported external mapping</x:v>
      </x:c>
      <x:c r="J145" s="35" t="str">
        <x:v>REUSE_R2_TERM</x:v>
      </x:c>
    </x:row>
    <x:row r="146">
      <x:c r="A146" s="35" t="str">
        <x:v>cargoTankCarriesOil</x:v>
      </x:c>
      <x:c r="B146" s="35" t="str">
        <x:v>https://w3id.org/nltl-benchmark/vocab#cargoTankCarriesOil</x:v>
      </x:c>
      <x:c r="C146" s="35" t="str">
        <x:v>DatatypeProperty</x:v>
      </x:c>
      <x:c r="D146" s="35" t="str">
        <x:v>http://www.w3.org/2001/XMLSchema#boolean</x:v>
      </x:c>
      <x:c r="E146" s="35" t="str">
        <x:v>xsd:boolean</x:v>
      </x:c>
      <x:c r="F146" s="35" t="str"/>
      <x:c r="G146" s="38" t="str">
        <x:v>IMO-109</x:v>
      </x:c>
      <x:c r="H146" s="35" t="str">
        <x:v>Locked-workbook normalized regulatory term</x:v>
      </x:c>
      <x:c r="I146" s="35" t="str">
        <x:v>N4 - preserve the source concept; normalize spelling to ASCII lowerCamelCase</x:v>
      </x:c>
      <x:c r="J146" s="35" t="str">
        <x:v>REUSE_R2_TERM</x:v>
      </x:c>
    </x:row>
    <x:row r="147">
      <x:c r="A147" s="35" t="str">
        <x:v>cargoTankOuterShellSeparation</x:v>
      </x:c>
      <x:c r="B147" s="35" t="str">
        <x:v>https://w3id.org/nltl-benchmark/vocab#cargoTankOuterShellSeparation</x:v>
      </x:c>
      <x:c r="C147" s="35" t="str">
        <x:v>QuantityProperty</x:v>
      </x:c>
      <x:c r="D147" s="35" t="str">
        <x:v>http://qudt.org/schema/qudt/QuantityValue</x:v>
      </x:c>
      <x:c r="E147" s="35" t="str"/>
      <x:c r="F147" s="35" t="str">
        <x:v>m</x:v>
      </x:c>
      <x:c r="G147" s="38" t="str">
        <x:v>IMO-109</x:v>
      </x:c>
      <x:c r="H147" s="35" t="str">
        <x:v>Unit-stripped normalized regulatory variable</x:v>
      </x:c>
      <x:c r="I147" s="35" t="str">
        <x:v>N3 - remove unit from the identifier and retain it in unit/quantity metadata</x:v>
      </x:c>
      <x:c r="J147" s="35" t="str">
        <x:v>REUSE_R2_TERM</x:v>
      </x:c>
    </x:row>
    <x:row r="148">
      <x:c r="A148" s="35" t="str">
        <x:v>cargoTankType</x:v>
      </x:c>
      <x:c r="B148" s="35" t="str">
        <x:v>https://w3id.org/nltl-benchmark/vocab#cargoTankType</x:v>
      </x:c>
      <x:c r="C148" s="35" t="str">
        <x:v>DatatypeProperty</x:v>
      </x:c>
      <x:c r="D148" s="35" t="str">
        <x:v>http://www.w3.org/2001/XMLSchema#string</x:v>
      </x:c>
      <x:c r="E148" s="35" t="str">
        <x:v>xsd:string</x:v>
      </x:c>
      <x:c r="F148" s="35" t="str"/>
      <x:c r="G148" s="38" t="str">
        <x:v>IMO-114</x:v>
      </x:c>
      <x:c r="H148" s="35" t="str">
        <x:v>Locked-workbook normalized regulatory term</x:v>
      </x:c>
      <x:c r="I148" s="35" t="str">
        <x:v>N4 - preserve the source concept; normalize spelling to ASCII lowerCamelCase</x:v>
      </x:c>
      <x:c r="J148" s="35" t="str">
        <x:v>REUSE_R2_TERM</x:v>
      </x:c>
    </x:row>
    <x:row r="149">
      <x:c r="A149" s="35" t="str">
        <x:v>carriedNoxiousLiquidSubstanceRequiresType3Tank</x:v>
      </x:c>
      <x:c r="B149" s="35" t="str">
        <x:v>https://w3id.org/nltl-benchmark/vocab#carriedNoxiousLiquidSubstanceRequiresType3Tank</x:v>
      </x:c>
      <x:c r="C149" s="35" t="str">
        <x:v>DatatypeProperty</x:v>
      </x:c>
      <x:c r="D149" s="35" t="str">
        <x:v>http://www.w3.org/2001/XMLSchema#boolean</x:v>
      </x:c>
      <x:c r="E149" s="35" t="str">
        <x:v>xsd:boolean</x:v>
      </x:c>
      <x:c r="F149" s="35" t="str"/>
      <x:c r="G149" s="38" t="str">
        <x:v>IMO-114</x:v>
      </x:c>
      <x:c r="H149" s="35" t="str">
        <x:v>Locked-workbook normalized regulatory term</x:v>
      </x:c>
      <x:c r="I149" s="35" t="str">
        <x:v>N4 - preserve the source concept; normalize spelling to ASCII lowerCamelCase</x:v>
      </x:c>
      <x:c r="J149" s="35" t="str">
        <x:v>REUSE_R2_TERM</x:v>
      </x:c>
    </x:row>
    <x:row r="150">
      <x:c r="A150" s="35" t="str">
        <x:v>certificateIssued</x:v>
      </x:c>
      <x:c r="B150" s="35" t="str">
        <x:v>https://w3id.org/nltl-benchmark/vocab#certificateIssued</x:v>
      </x:c>
      <x:c r="C150" s="35" t="str">
        <x:v>DatatypeProperty</x:v>
      </x:c>
      <x:c r="D150" s="35" t="str">
        <x:v>http://www.w3.org/2001/XMLSchema#boolean</x:v>
      </x:c>
      <x:c r="E150" s="35" t="str">
        <x:v>xsd:boolean</x:v>
      </x:c>
      <x:c r="F150" s="35" t="str"/>
      <x:c r="G150" s="38" t="str">
        <x:v>IMO-015</x:v>
      </x:c>
      <x:c r="H150" s="35" t="str">
        <x:v>Locked-workbook normalized regulatory term</x:v>
      </x:c>
      <x:c r="I150" s="35" t="str">
        <x:v>N4 - preserve the source concept; normalize spelling to ASCII lowerCamelCase</x:v>
      </x:c>
      <x:c r="J150" s="35" t="str">
        <x:v>REUSE_R2_TERM</x:v>
      </x:c>
    </x:row>
    <x:row r="151">
      <x:c r="A151" s="35" t="str">
        <x:v>certificateLanguage</x:v>
      </x:c>
      <x:c r="B151" s="35" t="str">
        <x:v>https://w3id.org/nltl-benchmark/vocab#certificateLanguage</x:v>
      </x:c>
      <x:c r="C151" s="35" t="str">
        <x:v>DatatypeProperty</x:v>
      </x:c>
      <x:c r="D151" s="35" t="str">
        <x:v>http://www.w3.org/2001/XMLSchema#string</x:v>
      </x:c>
      <x:c r="E151" s="35" t="str">
        <x:v>xsd:string</x:v>
      </x:c>
      <x:c r="F151" s="35" t="str"/>
      <x:c r="G151" s="38" t="str">
        <x:v>IMO-016</x:v>
      </x:c>
      <x:c r="H151" s="35" t="str">
        <x:v>Locked-workbook normalized regulatory term</x:v>
      </x:c>
      <x:c r="I151" s="35" t="str">
        <x:v>N4 - preserve the source concept; normalize spelling to ASCII lowerCamelCase</x:v>
      </x:c>
      <x:c r="J151" s="35" t="str">
        <x:v>REUSE_R2_TERM</x:v>
      </x:c>
    </x:row>
    <x:row r="152">
      <x:c r="A152" s="35" t="str">
        <x:v>certificateMethodologyReferencePresent</x:v>
      </x:c>
      <x:c r="B152" s="35" t="str">
        <x:v>https://w3id.org/nltl-benchmark/vocab#certificateMethodologyReferencePresent</x:v>
      </x:c>
      <x:c r="C152" s="35" t="str">
        <x:v>DatatypeProperty</x:v>
      </x:c>
      <x:c r="D152" s="35" t="str">
        <x:v>http://www.w3.org/2001/XMLSchema#boolean</x:v>
      </x:c>
      <x:c r="E152" s="35" t="str">
        <x:v>xsd:boolean</x:v>
      </x:c>
      <x:c r="F152" s="35" t="str"/>
      <x:c r="G152" s="38" t="str">
        <x:v>IMO-018</x:v>
      </x:c>
      <x:c r="H152" s="35" t="str">
        <x:v>Locked-workbook normalized regulatory term</x:v>
      </x:c>
      <x:c r="I152" s="35" t="str">
        <x:v>N4 - preserve the source concept; normalize spelling to ASCII lowerCamelCase</x:v>
      </x:c>
      <x:c r="J152" s="35" t="str">
        <x:v>REUSE_R2_TERM</x:v>
      </x:c>
    </x:row>
    <x:row r="153">
      <x:c r="A153" s="35" t="str">
        <x:v>charpyVTestCount</x:v>
      </x:c>
      <x:c r="B153" s="35" t="str">
        <x:v>https://w3id.org/nltl-benchmark/vocab#charpyVTestCount</x:v>
      </x:c>
      <x:c r="C153" s="35" t="str">
        <x:v>DatatypeProperty</x:v>
      </x:c>
      <x:c r="D153" s="35" t="str">
        <x:v>http://www.w3.org/2001/XMLSchema#integer</x:v>
      </x:c>
      <x:c r="E153" s="35" t="str">
        <x:v>xsd:integer</x:v>
      </x:c>
      <x:c r="F153" s="35" t="str"/>
      <x:c r="G153" s="38" t="str">
        <x:v>TRF-072 | TRF-073</x:v>
      </x:c>
      <x:c r="H153" s="35" t="str">
        <x:v>Benchmark-coined descriptive engineering term</x:v>
      </x:c>
      <x:c r="I153" s="35" t="str">
        <x:v>N5 - component or subject first, followed by characteristic and qualifier/state; no unsupported external mapping</x:v>
      </x:c>
      <x:c r="J153" s="35" t="str">
        <x:v>REUSE_R2_TERM</x:v>
      </x:c>
    </x:row>
    <x:row r="154">
      <x:c r="A154" s="35" t="str">
        <x:v>clampedHullGeometryTerm</x:v>
      </x:c>
      <x:c r="B154" s="35" t="str">
        <x:v>https://w3id.org/nltl-benchmark/vocab#clampedHullGeometryTerm</x:v>
      </x:c>
      <x:c r="C154" s="35" t="str">
        <x:v>QuantityProperty</x:v>
      </x:c>
      <x:c r="D154" s="35" t="str">
        <x:v>http://qudt.org/schema/qudt/QuantityValue</x:v>
      </x:c>
      <x:c r="E154" s="35" t="str"/>
      <x:c r="F154" s="35" t="str">
        <x:v>1</x:v>
      </x:c>
      <x:c r="G154" s="38" t="str">
        <x:v>TRF-027</x:v>
      </x:c>
      <x:c r="H154" s="35" t="str">
        <x:v>Benchmark-coined descriptive engineering term</x:v>
      </x:c>
      <x:c r="I154" s="35" t="str">
        <x:v>N5 - component or subject first, followed by characteristic and qualifier/state; no unsupported external mapping</x:v>
      </x:c>
      <x:c r="J154" s="35" t="str">
        <x:v>REUSE_R2_TERM</x:v>
      </x:c>
    </x:row>
    <x:row r="155">
      <x:c r="A155" s="35" t="str">
        <x:v>classCertificate</x:v>
      </x:c>
      <x:c r="B155" s="35" t="str">
        <x:v>https://w3id.org/nltl-benchmark/vocab#classCertificate</x:v>
      </x:c>
      <x:c r="C155" s="35" t="str">
        <x:v>Class</x:v>
      </x:c>
      <x:c r="D155" s="35" t="str">
        <x:v>https://w3id.org/nltl-benchmark/vocab#documentArtifact</x:v>
      </x:c>
      <x:c r="E155" s="35" t="str"/>
      <x:c r="F155" s="35" t="str"/>
      <x:c r="G155" s="38" t="str">
        <x:v>TRF-014</x:v>
      </x:c>
      <x:c r="H155" s="35" t="str">
        <x:v>Applicable TRAFICOM regulation wording plus explicit engineering node/operand role</x:v>
      </x:c>
      <x:c r="I155" s="35" t="str">
        <x:v>N4 - singular ASCII lowerCamelCase entity name derived from the linked regulatory role.</x:v>
      </x:c>
      <x:c r="J155" s="35" t="str">
        <x:v>ADD_DEVELOPMENT_TERM</x:v>
      </x:c>
    </x:row>
    <x:row r="156">
      <x:c r="A156" s="35" t="str">
        <x:v>classLoadCycleCount</x:v>
      </x:c>
      <x:c r="B156" s="35" t="str">
        <x:v>https://w3id.org/nltl-benchmark/vocab#classLoadCycleCount</x:v>
      </x:c>
      <x:c r="C156" s="35" t="str">
        <x:v>DatatypeProperty</x:v>
      </x:c>
      <x:c r="D156" s="35" t="str">
        <x:v>http://www.w3.org/2001/XMLSchema#integer</x:v>
      </x:c>
      <x:c r="E156" s="35" t="str">
        <x:v>xsd:integer</x:v>
      </x:c>
      <x:c r="F156" s="35" t="str"/>
      <x:c r="G156" s="38" t="str">
        <x:v>TRF-078</x:v>
      </x:c>
      <x:c r="H156" s="35" t="str">
        <x:v>Locked-workbook normalized regulatory term</x:v>
      </x:c>
      <x:c r="I156" s="35" t="str">
        <x:v>N4 - preserve the source concept; normalize spelling to ASCII lowerCamelCase</x:v>
      </x:c>
      <x:c r="J156" s="35" t="str">
        <x:v>REUSE_R2_TERM</x:v>
      </x:c>
    </x:row>
    <x:row r="157">
      <x:c r="A157" s="35" t="str">
        <x:v>classificationSociety</x:v>
      </x:c>
      <x:c r="B157" s="35" t="str">
        <x:v>https://w3id.org/nltl-benchmark/vocab#classificationSociety</x:v>
      </x:c>
      <x:c r="C157" s="35" t="str">
        <x:v>DatatypeProperty</x:v>
      </x:c>
      <x:c r="D157" s="35" t="str">
        <x:v>http://www.w3.org/2001/XMLSchema#string</x:v>
      </x:c>
      <x:c r="E157" s="35" t="str">
        <x:v>xsd:string</x:v>
      </x:c>
      <x:c r="F157" s="35" t="str"/>
      <x:c r="G157" s="38" t="str">
        <x:v>TRF-035</x:v>
      </x:c>
      <x:c r="H157" s="35" t="str">
        <x:v>Benchmark-coined descriptive engineering term</x:v>
      </x:c>
      <x:c r="I157" s="35" t="str">
        <x:v>N5 - component or subject first, followed by characteristic and qualifier/state; no unsupported external mapping</x:v>
      </x:c>
      <x:c r="J157" s="35" t="str">
        <x:v>REUSE_R2_TERM</x:v>
      </x:c>
    </x:row>
    <x:row r="158">
      <x:c r="A158" s="35" t="str">
        <x:v>classificationSocietyRequiredScantling</x:v>
      </x:c>
      <x:c r="B158" s="35" t="str">
        <x:v>https://w3id.org/nltl-benchmark/vocab#classificationSocietyRequiredScantling</x:v>
      </x:c>
      <x:c r="C158" s="35" t="str">
        <x:v>QuantityProperty</x:v>
      </x:c>
      <x:c r="D158" s="35" t="str">
        <x:v>http://qudt.org/schema/qudt/QuantityValue</x:v>
      </x:c>
      <x:c r="E158" s="35" t="str"/>
      <x:c r="F158" s="35" t="str"/>
      <x:c r="G158" s="38" t="str">
        <x:v>TRF-032</x:v>
      </x:c>
      <x:c r="H158" s="35" t="str">
        <x:v>Applicable TRAFICOM regulation wording plus explicit engineering node/operand role</x:v>
      </x:c>
      <x:c r="I158" s="35" t="str">
        <x:v>N4 - explicit engineering quantity in ASCII lowerCamelCase; formula symbols remain aliases only.</x:v>
      </x:c>
      <x:c r="J158" s="35" t="str">
        <x:v>ADD_DEVELOPMENT_TERM</x:v>
      </x:c>
    </x:row>
    <x:row r="159">
      <x:c r="A159" s="35" t="str">
        <x:v>classificationSocietyRuleLength</x:v>
      </x:c>
      <x:c r="B159" s="35" t="str">
        <x:v>https://w3id.org/nltl-benchmark/vocab#classificationSocietyRuleLength</x:v>
      </x:c>
      <x:c r="C159" s="35" t="str">
        <x:v>QuantityProperty</x:v>
      </x:c>
      <x:c r="D159" s="35" t="str">
        <x:v>http://qudt.org/schema/qudt/QuantityValue</x:v>
      </x:c>
      <x:c r="E159" s="35" t="str"/>
      <x:c r="F159" s="35" t="str">
        <x:v>m</x:v>
      </x:c>
      <x:c r="G159" s="38" t="str">
        <x:v>TRF-035</x:v>
      </x:c>
      <x:c r="H159" s="35" t="str">
        <x:v>Applicable TRAFICOM regulation wording plus explicit engineering node/operand role</x:v>
      </x:c>
      <x:c r="I159" s="35" t="str">
        <x:v>N4 - explicit engineering quantity in ASCII lowerCamelCase; formula symbols remain aliases only.</x:v>
      </x:c>
      <x:c r="J159" s="35" t="str">
        <x:v>ADD_DEVELOPMENT_TERM</x:v>
      </x:c>
    </x:row>
    <x:row r="160">
      <x:c r="A160" s="35" t="str">
        <x:v>classificationSocietyScantling</x:v>
      </x:c>
      <x:c r="B160" s="35" t="str">
        <x:v>https://w3id.org/nltl-benchmark/vocab#classificationSocietyScantling</x:v>
      </x:c>
      <x:c r="C160" s="35" t="str">
        <x:v>DatatypeProperty</x:v>
      </x:c>
      <x:c r="D160" s="35" t="str">
        <x:v>http://www.w3.org/2001/XMLSchema#string</x:v>
      </x:c>
      <x:c r="E160" s="35" t="str">
        <x:v>xsd:string</x:v>
      </x:c>
      <x:c r="F160" s="35" t="str"/>
      <x:c r="G160" s="38" t="str">
        <x:v>TRF-032</x:v>
      </x:c>
      <x:c r="H160" s="35" t="str">
        <x:v>Benchmark-coined descriptive engineering term</x:v>
      </x:c>
      <x:c r="I160" s="35" t="str">
        <x:v>N5 - component or subject first, followed by characteristic and qualifier/state; no unsupported external mapping</x:v>
      </x:c>
      <x:c r="J160" s="35" t="str">
        <x:v>REUSE_R2_TERM</x:v>
      </x:c>
    </x:row>
    <x:row r="161">
      <x:c r="A161" s="35" t="str">
        <x:v>cleanBallast</x:v>
      </x:c>
      <x:c r="B161" s="35" t="str">
        <x:v>https://w3id.org/nltl-benchmark/vocab#cleanBallast</x:v>
      </x:c>
      <x:c r="C161" s="35" t="str">
        <x:v>DatatypeProperty</x:v>
      </x:c>
      <x:c r="D161" s="35" t="str">
        <x:v>http://www.w3.org/2001/XMLSchema#boolean</x:v>
      </x:c>
      <x:c r="E161" s="35" t="str">
        <x:v>xsd:boolean</x:v>
      </x:c>
      <x:c r="F161" s="35" t="str"/>
      <x:c r="G161" s="38" t="str">
        <x:v>IMO-106</x:v>
      </x:c>
      <x:c r="H161" s="35" t="str">
        <x:v>Benchmark-coined descriptive engineering term</x:v>
      </x:c>
      <x:c r="I161" s="35" t="str">
        <x:v>N5 - component or subject first, followed by characteristic and qualifier/state; no unsupported external mapping</x:v>
      </x:c>
      <x:c r="J161" s="35" t="str">
        <x:v>REUSE_R2_TERM</x:v>
      </x:c>
    </x:row>
    <x:row r="162">
      <x:c r="A162" s="35" t="str">
        <x:v>clearViewAsternStatus</x:v>
      </x:c>
      <x:c r="B162" s="35" t="str">
        <x:v>https://w3id.org/nltl-benchmark/vocab#clearViewAsternStatus</x:v>
      </x:c>
      <x:c r="C162" s="35" t="str">
        <x:v>DatatypeProperty</x:v>
      </x:c>
      <x:c r="D162" s="35" t="str">
        <x:v>http://www.w3.org/2001/XMLSchema#boolean</x:v>
      </x:c>
      <x:c r="E162" s="35" t="str">
        <x:v>xsd:boolean</x:v>
      </x:c>
      <x:c r="F162" s="35" t="str"/>
      <x:c r="G162" s="38" t="str">
        <x:v>IMO-082 | IMO26-008</x:v>
      </x:c>
      <x:c r="H162" s="35" t="str">
        <x:v>Locked-workbook normalized regulatory term</x:v>
      </x:c>
      <x:c r="I162" s="35" t="str">
        <x:v>N4 - preserve the source concept; normalize spelling to ASCII lowerCamelCase</x:v>
      </x:c>
      <x:c r="J162" s="35" t="str">
        <x:v>REUSE_R2_TERM</x:v>
      </x:c>
    </x:row>
    <x:row r="163">
      <x:c r="A163" s="35" t="str">
        <x:v>closingDeviceOutsideHabitableEnvironment</x:v>
      </x:c>
      <x:c r="B163" s="35" t="str">
        <x:v>https://w3id.org/nltl-benchmark/vocab#closingDeviceOutsideHabitableEnvironment</x:v>
      </x:c>
      <x:c r="C163" s="35" t="str">
        <x:v>DatatypeProperty</x:v>
      </x:c>
      <x:c r="D163" s="35" t="str">
        <x:v>http://www.w3.org/2001/XMLSchema#boolean</x:v>
      </x:c>
      <x:c r="E163" s="35" t="str">
        <x:v>xsd:boolean</x:v>
      </x:c>
      <x:c r="F163" s="35" t="str"/>
      <x:c r="G163" s="38" t="str">
        <x:v>IMO-042</x:v>
      </x:c>
      <x:c r="H163" s="35" t="str">
        <x:v>Locked-workbook normalized regulatory term</x:v>
      </x:c>
      <x:c r="I163" s="35" t="str">
        <x:v>N4 - preserve the source concept; normalize spelling to ASCII lowerCamelCase</x:v>
      </x:c>
      <x:c r="J163" s="35" t="str">
        <x:v>REUSE_R2_TERM</x:v>
      </x:c>
    </x:row>
    <x:row r="164">
      <x:c r="A164" s="35" t="str">
        <x:v>coefficientC3</x:v>
      </x:c>
      <x:c r="B164" s="35" t="str">
        <x:v>https://w3id.org/nltl-benchmark/vocab#coefficientC3</x:v>
      </x:c>
      <x:c r="C164" s="35" t="str">
        <x:v>QuantityProperty</x:v>
      </x:c>
      <x:c r="D164" s="35" t="str">
        <x:v>http://qudt.org/schema/qudt/QuantityValue</x:v>
      </x:c>
      <x:c r="E164" s="35" t="str"/>
      <x:c r="F164" s="35" t="str">
        <x:v>kg/(m^2*s^2)</x:v>
      </x:c>
      <x:c r="G164" s="38" t="str">
        <x:v>TRF-027</x:v>
      </x:c>
      <x:c r="H164" s="35" t="str">
        <x:v>Benchmark-coined descriptive engineering term</x:v>
      </x:c>
      <x:c r="I164" s="35" t="str">
        <x:v>N5 - component or subject first, followed by characteristic and qualifier/state; no unsupported external mapping</x:v>
      </x:c>
      <x:c r="J164" s="35" t="str">
        <x:v>REUSE_R2_TERM</x:v>
      </x:c>
    </x:row>
    <x:row r="165">
      <x:c r="A165" s="35" t="str">
        <x:v>coefficientC4</x:v>
      </x:c>
      <x:c r="B165" s="35" t="str">
        <x:v>https://w3id.org/nltl-benchmark/vocab#coefficientC4</x:v>
      </x:c>
      <x:c r="C165" s="35" t="str">
        <x:v>QuantityProperty</x:v>
      </x:c>
      <x:c r="D165" s="35" t="str">
        <x:v>http://qudt.org/schema/qudt/QuantityValue</x:v>
      </x:c>
      <x:c r="E165" s="35" t="str"/>
      <x:c r="F165" s="35" t="str">
        <x:v>kg/(m^2*s^2)</x:v>
      </x:c>
      <x:c r="G165" s="38" t="str">
        <x:v>TRF-027</x:v>
      </x:c>
      <x:c r="H165" s="35" t="str">
        <x:v>Benchmark-coined descriptive engineering term</x:v>
      </x:c>
      <x:c r="I165" s="35" t="str">
        <x:v>N5 - component or subject first, followed by characteristic and qualifier/state; no unsupported external mapping</x:v>
      </x:c>
      <x:c r="J165" s="35" t="str">
        <x:v>REUSE_R2_TERM</x:v>
      </x:c>
    </x:row>
    <x:row r="166">
      <x:c r="A166" s="35" t="str">
        <x:v>coefficientC5</x:v>
      </x:c>
      <x:c r="B166" s="35" t="str">
        <x:v>https://w3id.org/nltl-benchmark/vocab#coefficientC5</x:v>
      </x:c>
      <x:c r="C166" s="35" t="str">
        <x:v>QuantityProperty</x:v>
      </x:c>
      <x:c r="D166" s="35" t="str">
        <x:v>http://qudt.org/schema/qudt/QuantityValue</x:v>
      </x:c>
      <x:c r="E166" s="35" t="str"/>
      <x:c r="F166" s="35" t="str">
        <x:v>kg/s^2</x:v>
      </x:c>
      <x:c r="G166" s="38" t="str">
        <x:v>TRF-027</x:v>
      </x:c>
      <x:c r="H166" s="35" t="str">
        <x:v>Benchmark-coined descriptive engineering term</x:v>
      </x:c>
      <x:c r="I166" s="35" t="str">
        <x:v>N5 - component or subject first, followed by characteristic and qualifier/state; no unsupported external mapping</x:v>
      </x:c>
      <x:c r="J166" s="35" t="str">
        <x:v>REUSE_R2_TERM</x:v>
      </x:c>
    </x:row>
    <x:row r="167">
      <x:c r="A167" s="35" t="str">
        <x:v>coefficientF1</x:v>
      </x:c>
      <x:c r="B167" s="35" t="str">
        <x:v>https://w3id.org/nltl-benchmark/vocab#coefficientF1</x:v>
      </x:c>
      <x:c r="C167" s="35" t="str">
        <x:v>QuantityProperty</x:v>
      </x:c>
      <x:c r="D167" s="35" t="str">
        <x:v>http://qudt.org/schema/qudt/QuantityValue</x:v>
      </x:c>
      <x:c r="E167" s="35" t="str"/>
      <x:c r="F167" s="35" t="str">
        <x:v>N/m^2</x:v>
      </x:c>
      <x:c r="G167" s="38" t="str">
        <x:v>TRF-027</x:v>
      </x:c>
      <x:c r="H167" s="35" t="str">
        <x:v>Benchmark-coined descriptive engineering term</x:v>
      </x:c>
      <x:c r="I167" s="35" t="str">
        <x:v>N5 - component or subject first, followed by characteristic and qualifier/state; no unsupported external mapping</x:v>
      </x:c>
      <x:c r="J167" s="35" t="str">
        <x:v>REUSE_R2_TERM</x:v>
      </x:c>
    </x:row>
    <x:row r="168">
      <x:c r="A168" s="35" t="str">
        <x:v>coefficientF2</x:v>
      </x:c>
      <x:c r="B168" s="35" t="str">
        <x:v>https://w3id.org/nltl-benchmark/vocab#coefficientF2</x:v>
      </x:c>
      <x:c r="C168" s="35" t="str">
        <x:v>QuantityProperty</x:v>
      </x:c>
      <x:c r="D168" s="35" t="str">
        <x:v>http://qudt.org/schema/qudt/QuantityValue</x:v>
      </x:c>
      <x:c r="E168" s="35" t="str"/>
      <x:c r="F168" s="35" t="str">
        <x:v>N/m</x:v>
      </x:c>
      <x:c r="G168" s="38" t="str">
        <x:v>TRF-027</x:v>
      </x:c>
      <x:c r="H168" s="35" t="str">
        <x:v>Benchmark-coined descriptive engineering term</x:v>
      </x:c>
      <x:c r="I168" s="35" t="str">
        <x:v>N5 - component or subject first, followed by characteristic and qualifier/state; no unsupported external mapping</x:v>
      </x:c>
      <x:c r="J168" s="35" t="str">
        <x:v>REUSE_R2_TERM</x:v>
      </x:c>
    </x:row>
    <x:row r="169">
      <x:c r="A169" s="35" t="str">
        <x:v>coefficientF3</x:v>
      </x:c>
      <x:c r="B169" s="35" t="str">
        <x:v>https://w3id.org/nltl-benchmark/vocab#coefficientF3</x:v>
      </x:c>
      <x:c r="C169" s="35" t="str">
        <x:v>QuantityProperty</x:v>
      </x:c>
      <x:c r="D169" s="35" t="str">
        <x:v>http://qudt.org/schema/qudt/QuantityValue</x:v>
      </x:c>
      <x:c r="E169" s="35" t="str"/>
      <x:c r="F169" s="35" t="str">
        <x:v>N/m</x:v>
      </x:c>
      <x:c r="G169" s="38" t="str">
        <x:v>TRF-027</x:v>
      </x:c>
      <x:c r="H169" s="35" t="str">
        <x:v>Benchmark-coined descriptive engineering term</x:v>
      </x:c>
      <x:c r="I169" s="35" t="str">
        <x:v>N5 - component or subject first, followed by characteristic and qualifier/state; no unsupported external mapping</x:v>
      </x:c>
      <x:c r="J169" s="35" t="str">
        <x:v>REUSE_R2_TERM</x:v>
      </x:c>
    </x:row>
    <x:row r="170">
      <x:c r="A170" s="35" t="str">
        <x:v>coefficientF4</x:v>
      </x:c>
      <x:c r="B170" s="35" t="str">
        <x:v>https://w3id.org/nltl-benchmark/vocab#coefficientF4</x:v>
      </x:c>
      <x:c r="C170" s="35" t="str">
        <x:v>QuantityProperty</x:v>
      </x:c>
      <x:c r="D170" s="35" t="str">
        <x:v>http://qudt.org/schema/qudt/QuantityValue</x:v>
      </x:c>
      <x:c r="E170" s="35" t="str"/>
      <x:c r="F170" s="35" t="str">
        <x:v>N/m^2</x:v>
      </x:c>
      <x:c r="G170" s="38" t="str">
        <x:v>TRF-027</x:v>
      </x:c>
      <x:c r="H170" s="35" t="str">
        <x:v>Benchmark-coined descriptive engineering term</x:v>
      </x:c>
      <x:c r="I170" s="35" t="str">
        <x:v>N5 - component or subject first, followed by characteristic and qualifier/state; no unsupported external mapping</x:v>
      </x:c>
      <x:c r="J170" s="35" t="str">
        <x:v>REUSE_R2_TERM</x:v>
      </x:c>
    </x:row>
    <x:row r="171">
      <x:c r="A171" s="35" t="str">
        <x:v>coefficientG1</x:v>
      </x:c>
      <x:c r="B171" s="35" t="str">
        <x:v>https://w3id.org/nltl-benchmark/vocab#coefficientG1</x:v>
      </x:c>
      <x:c r="C171" s="35" t="str">
        <x:v>QuantityProperty</x:v>
      </x:c>
      <x:c r="D171" s="35" t="str">
        <x:v>http://qudt.org/schema/qudt/QuantityValue</x:v>
      </x:c>
      <x:c r="E171" s="35" t="str"/>
      <x:c r="F171" s="35" t="str">
        <x:v>N</x:v>
      </x:c>
      <x:c r="G171" s="38" t="str">
        <x:v>TRF-027</x:v>
      </x:c>
      <x:c r="H171" s="35" t="str">
        <x:v>Benchmark-coined descriptive engineering term</x:v>
      </x:c>
      <x:c r="I171" s="35" t="str">
        <x:v>N5 - component or subject first, followed by characteristic and qualifier/state; no unsupported external mapping</x:v>
      </x:c>
      <x:c r="J171" s="35" t="str">
        <x:v>REUSE_R2_TERM</x:v>
      </x:c>
    </x:row>
    <x:row r="172">
      <x:c r="A172" s="35" t="str">
        <x:v>coefficientG2</x:v>
      </x:c>
      <x:c r="B172" s="35" t="str">
        <x:v>https://w3id.org/nltl-benchmark/vocab#coefficientG2</x:v>
      </x:c>
      <x:c r="C172" s="35" t="str">
        <x:v>QuantityProperty</x:v>
      </x:c>
      <x:c r="D172" s="35" t="str">
        <x:v>http://qudt.org/schema/qudt/QuantityValue</x:v>
      </x:c>
      <x:c r="E172" s="35" t="str"/>
      <x:c r="F172" s="35" t="str">
        <x:v>N/m</x:v>
      </x:c>
      <x:c r="G172" s="38" t="str">
        <x:v>TRF-027</x:v>
      </x:c>
      <x:c r="H172" s="35" t="str">
        <x:v>Benchmark-coined descriptive engineering term</x:v>
      </x:c>
      <x:c r="I172" s="35" t="str">
        <x:v>N5 - component or subject first, followed by characteristic and qualifier/state; no unsupported external mapping</x:v>
      </x:c>
      <x:c r="J172" s="35" t="str">
        <x:v>REUSE_R2_TERM</x:v>
      </x:c>
    </x:row>
    <x:row r="173">
      <x:c r="A173" s="35" t="str">
        <x:v>coefficientG3</x:v>
      </x:c>
      <x:c r="B173" s="35" t="str">
        <x:v>https://w3id.org/nltl-benchmark/vocab#coefficientG3</x:v>
      </x:c>
      <x:c r="C173" s="35" t="str">
        <x:v>QuantityProperty</x:v>
      </x:c>
      <x:c r="D173" s="35" t="str">
        <x:v>http://qudt.org/schema/qudt/QuantityValue</x:v>
      </x:c>
      <x:c r="E173" s="35" t="str"/>
      <x:c r="F173" s="35" t="str">
        <x:v>N/m^1.5</x:v>
      </x:c>
      <x:c r="G173" s="38" t="str">
        <x:v>TRF-027</x:v>
      </x:c>
      <x:c r="H173" s="35" t="str">
        <x:v>Benchmark-coined descriptive engineering term</x:v>
      </x:c>
      <x:c r="I173" s="35" t="str">
        <x:v>N5 - component or subject first, followed by characteristic and qualifier/state; no unsupported external mapping</x:v>
      </x:c>
      <x:c r="J173" s="35" t="str">
        <x:v>REUSE_R2_TERM</x:v>
      </x:c>
    </x:row>
    <x:row r="174">
      <x:c r="A174" s="35" t="str">
        <x:v>colregSternLightArcComplianceStatus</x:v>
      </x:c>
      <x:c r="B174" s="35" t="str">
        <x:v>https://w3id.org/nltl-benchmark/vocab#colregSternLightArcComplianceStatus</x:v>
      </x:c>
      <x:c r="C174" s="35" t="str">
        <x:v>DatatypeProperty</x:v>
      </x:c>
      <x:c r="D174" s="35" t="str">
        <x:v>http://www.w3.org/2001/XMLSchema#boolean</x:v>
      </x:c>
      <x:c r="E174" s="35" t="str">
        <x:v>xsd:boolean</x:v>
      </x:c>
      <x:c r="F174" s="35" t="str"/>
      <x:c r="G174" s="38" t="str">
        <x:v>IMO-089</x:v>
      </x:c>
      <x:c r="H174" s="35" t="str">
        <x:v>Locked-workbook normalized regulatory term</x:v>
      </x:c>
      <x:c r="I174" s="35" t="str">
        <x:v>N4 - preserve the source concept; normalize spelling to ASCII lowerCamelCase</x:v>
      </x:c>
      <x:c r="J174" s="35" t="str">
        <x:v>REUSE_R2_TERM</x:v>
      </x:c>
    </x:row>
    <x:row r="175">
      <x:c r="A175" s="35" t="str">
        <x:v>combinedAxialBendingTorsionLoad</x:v>
      </x:c>
      <x:c r="B175" s="35" t="str">
        <x:v>https://w3id.org/nltl-benchmark/vocab#combinedAxialBendingTorsionLoad</x:v>
      </x:c>
      <x:c r="C175" s="35" t="str">
        <x:v>QuantityProperty</x:v>
      </x:c>
      <x:c r="D175" s="35" t="str">
        <x:v>http://qudt.org/schema/qudt/QuantityValue</x:v>
      </x:c>
      <x:c r="E175" s="35" t="str"/>
      <x:c r="F175" s="35" t="str">
        <x:v>kN</x:v>
      </x:c>
      <x:c r="G175" s="38" t="str">
        <x:v>TRF-112</x:v>
      </x:c>
      <x:c r="H175" s="35" t="str">
        <x:v>Benchmark-coined descriptive engineering term</x:v>
      </x:c>
      <x:c r="I175" s="35" t="str">
        <x:v>N5 - component or subject first, followed by characteristic and qualifier/state; no unsupported external mapping</x:v>
      </x:c>
      <x:c r="J175" s="35" t="str">
        <x:v>REUSE_R2_TERM</x:v>
      </x:c>
    </x:row>
    <x:row r="176">
      <x:c r="A176" s="35" t="str">
        <x:v>combinedBendingAndShearEvaluated</x:v>
      </x:c>
      <x:c r="B176" s="35" t="str">
        <x:v>https://w3id.org/nltl-benchmark/vocab#combinedBendingAndShearEvaluated</x:v>
      </x:c>
      <x:c r="C176" s="35" t="str">
        <x:v>DatatypeProperty</x:v>
      </x:c>
      <x:c r="D176" s="35" t="str">
        <x:v>http://www.w3.org/2001/XMLSchema#boolean</x:v>
      </x:c>
      <x:c r="E176" s="35" t="str">
        <x:v>xsd:boolean</x:v>
      </x:c>
      <x:c r="F176" s="35" t="str"/>
      <x:c r="G176" s="38" t="str">
        <x:v>TRF-030</x:v>
      </x:c>
      <x:c r="H176" s="35" t="str">
        <x:v>Applicable TRAFICOM regulation wording plus explicit engineering node/operand role</x:v>
      </x:c>
      <x:c r="I176" s="35" t="str">
        <x:v>N4 - explicit regulatory concept in ASCII lowerCamelCase with an XSD datatype.</x:v>
      </x:c>
      <x:c r="J176" s="35" t="str">
        <x:v>ADD_DEVELOPMENT_TERM</x:v>
      </x:c>
    </x:row>
    <x:row r="177">
      <x:c r="A177" s="35" t="str">
        <x:v>combinedBendingShearStress</x:v>
      </x:c>
      <x:c r="B177" s="35" t="str">
        <x:v>https://w3id.org/nltl-benchmark/vocab#combinedBendingShearStress</x:v>
      </x:c>
      <x:c r="C177" s="35" t="str">
        <x:v>QuantityProperty</x:v>
      </x:c>
      <x:c r="D177" s="35" t="str">
        <x:v>http://qudt.org/schema/qudt/QuantityValue</x:v>
      </x:c>
      <x:c r="E177" s="35" t="str"/>
      <x:c r="F177" s="35" t="str">
        <x:v>MPa</x:v>
      </x:c>
      <x:c r="G177" s="38" t="str">
        <x:v>TRF-031</x:v>
      </x:c>
      <x:c r="H177" s="35" t="str">
        <x:v>Benchmark-coined descriptive engineering term</x:v>
      </x:c>
      <x:c r="I177" s="35" t="str">
        <x:v>N5 - component or subject first, followed by characteristic and qualifier/state; no unsupported external mapping</x:v>
      </x:c>
      <x:c r="J177" s="35" t="str">
        <x:v>REUSE_R2_TERM</x:v>
      </x:c>
    </x:row>
    <x:row r="178">
      <x:c r="A178" s="35" t="str">
        <x:v>combinedShearBendingEffect</x:v>
      </x:c>
      <x:c r="B178" s="35" t="str">
        <x:v>https://w3id.org/nltl-benchmark/vocab#combinedShearBendingEffect</x:v>
      </x:c>
      <x:c r="C178" s="35" t="str">
        <x:v>DatatypeProperty</x:v>
      </x:c>
      <x:c r="D178" s="35" t="str">
        <x:v>http://www.w3.org/2001/XMLSchema#string</x:v>
      </x:c>
      <x:c r="E178" s="35" t="str">
        <x:v>xsd:string</x:v>
      </x:c>
      <x:c r="F178" s="35" t="str"/>
      <x:c r="G178" s="38" t="str">
        <x:v>I2-031 | I2-034 | I2-037</x:v>
      </x:c>
      <x:c r="H178" s="35" t="str">
        <x:v>Benchmark-coined descriptive engineering term</x:v>
      </x:c>
      <x:c r="I178" s="35" t="str">
        <x:v>N5 - component or subject first, followed by characteristic and qualifier/state; no unsupported external mapping</x:v>
      </x:c>
      <x:c r="J178" s="35" t="str">
        <x:v>REUSE_R2_TERM</x:v>
      </x:c>
    </x:row>
    <x:row r="179">
      <x:c r="A179" s="35" t="str">
        <x:v>combustionAirTemperature</x:v>
      </x:c>
      <x:c r="B179" s="35" t="str">
        <x:v>https://w3id.org/nltl-benchmark/vocab#combustionAirTemperature</x:v>
      </x:c>
      <x:c r="C179" s="35" t="str">
        <x:v>QuantityProperty</x:v>
      </x:c>
      <x:c r="D179" s="35" t="str">
        <x:v>http://qudt.org/schema/qudt/QuantityValue</x:v>
      </x:c>
      <x:c r="E179" s="35" t="str"/>
      <x:c r="F179" s="35" t="str">
        <x:v>deg C</x:v>
      </x:c>
      <x:c r="G179" s="38" t="str">
        <x:v>IMO-047</x:v>
      </x:c>
      <x:c r="H179" s="35" t="str">
        <x:v>Unit-stripped normalized regulatory variable</x:v>
      </x:c>
      <x:c r="I179" s="35" t="str">
        <x:v>N3 - remove unit from the identifier and retain it in unit/quantity metadata</x:v>
      </x:c>
      <x:c r="J179" s="35" t="str">
        <x:v>REUSE_R2_TERM</x:v>
      </x:c>
    </x:row>
    <x:row r="180">
      <x:c r="A180" s="35" t="str">
        <x:v>combustionAirTemperatureControlPresent</x:v>
      </x:c>
      <x:c r="B180" s="35" t="str">
        <x:v>https://w3id.org/nltl-benchmark/vocab#combustionAirTemperatureControlPresent</x:v>
      </x:c>
      <x:c r="C180" s="35" t="str">
        <x:v>DatatypeProperty</x:v>
      </x:c>
      <x:c r="D180" s="35" t="str">
        <x:v>http://www.w3.org/2001/XMLSchema#boolean</x:v>
      </x:c>
      <x:c r="E180" s="35" t="str">
        <x:v>xsd:boolean</x:v>
      </x:c>
      <x:c r="F180" s="35" t="str"/>
      <x:c r="G180" s="38" t="str">
        <x:v>IMO-047</x:v>
      </x:c>
      <x:c r="H180" s="35" t="str">
        <x:v>Locked-workbook normalized regulatory term</x:v>
      </x:c>
      <x:c r="I180" s="35" t="str">
        <x:v>N4 - preserve the source concept; normalize spelling to ASCII lowerCamelCase</x:v>
      </x:c>
      <x:c r="J180" s="35" t="str">
        <x:v>REUSE_R2_TERM</x:v>
      </x:c>
    </x:row>
    <x:row r="181">
      <x:c r="A181" s="35" t="str">
        <x:v>comminutedAndDisinfected</x:v>
      </x:c>
      <x:c r="B181" s="35" t="str">
        <x:v>https://w3id.org/nltl-benchmark/vocab#comminutedAndDisinfected</x:v>
      </x:c>
      <x:c r="C181" s="35" t="str">
        <x:v>DatatypeProperty</x:v>
      </x:c>
      <x:c r="D181" s="35" t="str">
        <x:v>http://www.w3.org/2001/XMLSchema#boolean</x:v>
      </x:c>
      <x:c r="E181" s="35" t="str">
        <x:v>xsd:boolean</x:v>
      </x:c>
      <x:c r="F181" s="35" t="str"/>
      <x:c r="G181" s="38" t="str">
        <x:v>IMO-115</x:v>
      </x:c>
      <x:c r="H181" s="35" t="str">
        <x:v>Benchmark-coined descriptive engineering term</x:v>
      </x:c>
      <x:c r="I181" s="35" t="str">
        <x:v>N5 - component or subject first, followed by characteristic and qualifier/state; no unsupported external mapping</x:v>
      </x:c>
      <x:c r="J181" s="35" t="str">
        <x:v>REUSE_R2_TERM</x:v>
      </x:c>
    </x:row>
    <x:row r="182">
      <x:c r="A182" s="35" t="str">
        <x:v>communicationDeviceAvailability</x:v>
      </x:c>
      <x:c r="B182" s="35" t="str">
        <x:v>https://w3id.org/nltl-benchmark/vocab#communicationDeviceAvailability</x:v>
      </x:c>
      <x:c r="C182" s="35" t="str">
        <x:v>QuantityProperty</x:v>
      </x:c>
      <x:c r="D182" s="35" t="str">
        <x:v>http://qudt.org/schema/qudt/QuantityValue</x:v>
      </x:c>
      <x:c r="E182" s="35" t="str"/>
      <x:c r="F182" s="35" t="str">
        <x:v>day</x:v>
      </x:c>
      <x:c r="G182" s="38" t="str">
        <x:v>IMO-099</x:v>
      </x:c>
      <x:c r="H182" s="35" t="str">
        <x:v>Unit-stripped normalized regulatory variable</x:v>
      </x:c>
      <x:c r="I182" s="35" t="str">
        <x:v>N3 - remove unit from the identifier and retain it in unit/quantity metadata</x:v>
      </x:c>
      <x:c r="J182" s="35" t="str">
        <x:v>REUSE_R2_TERM</x:v>
      </x:c>
    </x:row>
    <x:row r="183">
      <x:c r="A183" s="35" t="str">
        <x:v>communicationMode</x:v>
      </x:c>
      <x:c r="B183" s="35" t="str">
        <x:v>https://w3id.org/nltl-benchmark/vocab#communicationMode</x:v>
      </x:c>
      <x:c r="C183" s="35" t="str">
        <x:v>DatatypeProperty</x:v>
      </x:c>
      <x:c r="D183" s="35" t="str">
        <x:v>http://www.w3.org/2001/XMLSchema#string</x:v>
      </x:c>
      <x:c r="E183" s="35" t="str">
        <x:v>xsd:string</x:v>
      </x:c>
      <x:c r="F183" s="35" t="str"/>
      <x:c r="G183" s="38" t="str">
        <x:v>IMO-090</x:v>
      </x:c>
      <x:c r="H183" s="35" t="str">
        <x:v>Locked-workbook normalized regulatory term</x:v>
      </x:c>
      <x:c r="I183" s="35" t="str">
        <x:v>N4 - preserve the source concept; normalize spelling to ASCII lowerCamelCase</x:v>
      </x:c>
      <x:c r="J183" s="35" t="str">
        <x:v>REUSE_R2_TERM</x:v>
      </x:c>
    </x:row>
    <x:row r="184">
      <x:c r="A184" s="35" t="str">
        <x:v>compartment</x:v>
      </x:c>
      <x:c r="B184" s="35" t="str">
        <x:v>https://w3id.org/nltl-benchmark/vocab#compartment</x:v>
      </x:c>
      <x:c r="C184" s="35" t="str">
        <x:v>Class</x:v>
      </x:c>
      <x:c r="D184" s="35" t="str">
        <x:v>https://w3id.org/nltl-benchmark/vocab#shipComponent</x:v>
      </x:c>
      <x:c r="E184" s="35" t="str"/>
      <x:c r="F184" s="35" t="str"/>
      <x:c r="G184" s="38" t="str">
        <x:v>IMO-057</x:v>
      </x:c>
      <x:c r="H184" s="35" t="str">
        <x:v>Applicable regulation explicit wording; R2 benchmark gap repair</x:v>
      </x:c>
      <x:c r="I184" s="35" t="str">
        <x:v>N4 - preserve explicit regulatory entity as ASCII lowerCamelCase</x:v>
      </x:c>
      <x:c r="J184" s="35" t="str">
        <x:v>REUSE_R2_TERM</x:v>
      </x:c>
    </x:row>
    <x:row r="185">
      <x:c r="A185" s="35" t="str">
        <x:v>compressorChargeTime</x:v>
      </x:c>
      <x:c r="B185" s="35" t="str">
        <x:v>https://w3id.org/nltl-benchmark/vocab#compressorChargeTime</x:v>
      </x:c>
      <x:c r="C185" s="35" t="str">
        <x:v>QuantityProperty</x:v>
      </x:c>
      <x:c r="D185" s="35" t="str">
        <x:v>http://qudt.org/schema/qudt/QuantityValue</x:v>
      </x:c>
      <x:c r="E185" s="35" t="str"/>
      <x:c r="F185" s="35" t="str">
        <x:v>h</x:v>
      </x:c>
      <x:c r="G185" s="38" t="str">
        <x:v>TRF-128</x:v>
      </x:c>
      <x:c r="H185" s="35" t="str">
        <x:v>Unit-stripped normalized regulatory variable</x:v>
      </x:c>
      <x:c r="I185" s="35" t="str">
        <x:v>N3 - remove unit from the identifier and retain it in unit/quantity metadata</x:v>
      </x:c>
      <x:c r="J185" s="35" t="str">
        <x:v>REUSE_R2_TERM</x:v>
      </x:c>
    </x:row>
    <x:row r="186">
      <x:c r="A186" s="35" t="str">
        <x:v>connectedToEmergencyPower</x:v>
      </x:c>
      <x:c r="B186" s="35" t="str">
        <x:v>https://w3id.org/nltl-benchmark/vocab#connectedToEmergencyPower</x:v>
      </x:c>
      <x:c r="C186" s="35" t="str">
        <x:v>ObjectProperty</x:v>
      </x:c>
      <x:c r="D186" s="35" t="str">
        <x:v>https://w3id.org/nltl-benchmark/vocab#benchmarkEntity</x:v>
      </x:c>
      <x:c r="E186" s="35" t="str"/>
      <x:c r="F186" s="35" t="str"/>
      <x:c r="G186" s="38" t="str">
        <x:v>IMO-086 | IMO-087 | IMO26-012 | IMO26-013</x:v>
      </x:c>
      <x:c r="H186" s="35" t="str">
        <x:v>Locked-workbook normalized regulatory term</x:v>
      </x:c>
      <x:c r="I186" s="35" t="str">
        <x:v>N4 - preserve the source concept; normalize spelling to ASCII lowerCamelCase</x:v>
      </x:c>
      <x:c r="J186" s="35" t="str">
        <x:v>REUSE_R2_TERM</x:v>
      </x:c>
    </x:row>
    <x:row r="187">
      <x:c r="A187" s="35" t="str">
        <x:v>connectedToMainPower</x:v>
      </x:c>
      <x:c r="B187" s="35" t="str">
        <x:v>https://w3id.org/nltl-benchmark/vocab#connectedToMainPower</x:v>
      </x:c>
      <x:c r="C187" s="35" t="str">
        <x:v>ObjectProperty</x:v>
      </x:c>
      <x:c r="D187" s="35" t="str">
        <x:v>https://w3id.org/nltl-benchmark/vocab#benchmarkEntity</x:v>
      </x:c>
      <x:c r="E187" s="35" t="str"/>
      <x:c r="F187" s="35" t="str"/>
      <x:c r="G187" s="38" t="str">
        <x:v>IMO-086 | IMO-087 | IMO26-012 | IMO26-013</x:v>
      </x:c>
      <x:c r="H187" s="35" t="str">
        <x:v>Locked-workbook normalized regulatory term</x:v>
      </x:c>
      <x:c r="I187" s="35" t="str">
        <x:v>N4 - preserve the source concept; normalize spelling to ASCII lowerCamelCase</x:v>
      </x:c>
      <x:c r="J187" s="35" t="str">
        <x:v>REUSE_R2_TERM</x:v>
      </x:c>
    </x:row>
    <x:row r="188">
      <x:c r="A188" s="35" t="str">
        <x:v>connectionBracket</x:v>
      </x:c>
      <x:c r="B188" s="35" t="str">
        <x:v>https://w3id.org/nltl-benchmark/vocab#connectionBracket</x:v>
      </x:c>
      <x:c r="C188" s="35" t="str">
        <x:v>Class</x:v>
      </x:c>
      <x:c r="D188" s="35" t="str">
        <x:v>https://w3id.org/nltl-benchmark/vocab#hullStructure</x:v>
      </x:c>
      <x:c r="E188" s="35" t="str"/>
      <x:c r="F188" s="35" t="str"/>
      <x:c r="G188" s="38" t="str">
        <x:v>I2-026 | TRF-049</x:v>
      </x:c>
      <x:c r="H188" s="35" t="str">
        <x:v>Benchmark-coined descriptive engineering term</x:v>
      </x:c>
      <x:c r="I188" s="35" t="str">
        <x:v>N5 - component or subject first, followed by characteristic and qualifier/state; no unsupported external mapping</x:v>
      </x:c>
      <x:c r="J188" s="35" t="str">
        <x:v>REUSE_R2_TERM</x:v>
      </x:c>
    </x:row>
    <x:row r="189">
      <x:c r="A189" s="35" t="str">
        <x:v>connectionMemberScantling</x:v>
      </x:c>
      <x:c r="B189" s="35" t="str">
        <x:v>https://w3id.org/nltl-benchmark/vocab#connectionMemberScantling</x:v>
      </x:c>
      <x:c r="C189" s="35" t="str">
        <x:v>DatatypeProperty</x:v>
      </x:c>
      <x:c r="D189" s="35" t="str">
        <x:v>http://www.w3.org/2001/XMLSchema#string</x:v>
      </x:c>
      <x:c r="E189" s="35" t="str">
        <x:v>xsd:string</x:v>
      </x:c>
      <x:c r="F189" s="35" t="str"/>
      <x:c r="G189" s="38" t="str">
        <x:v>TRF-046 | TRF-047</x:v>
      </x:c>
      <x:c r="H189" s="35" t="str">
        <x:v>Benchmark-coined descriptive engineering term</x:v>
      </x:c>
      <x:c r="I189" s="35" t="str">
        <x:v>N5 - component or subject first, followed by characteristic and qualifier/state; no unsupported external mapping</x:v>
      </x:c>
      <x:c r="J189" s="35" t="str">
        <x:v>REUSE_R2_TERM</x:v>
      </x:c>
    </x:row>
    <x:row r="190">
      <x:c r="A190" s="35" t="str">
        <x:v>connectsToAdjacentMainFrame</x:v>
      </x:c>
      <x:c r="B190" s="35" t="str">
        <x:v>https://w3id.org/nltl-benchmark/vocab#connectsToAdjacentMainFrame</x:v>
      </x:c>
      <x:c r="C190" s="35" t="str">
        <x:v>ObjectProperty</x:v>
      </x:c>
      <x:c r="D190" s="35" t="str">
        <x:v>https://w3id.org/nltl-benchmark/vocab#mainFrame</x:v>
      </x:c>
      <x:c r="E190" s="35" t="str"/>
      <x:c r="F190" s="35" t="str"/>
      <x:c r="G190" s="38" t="str">
        <x:v>TRF-046 | TRF-047</x:v>
      </x:c>
      <x:c r="H190" s="35" t="str">
        <x:v>Applicable TRAFICOM regulation wording plus explicit engineering node/operand role</x:v>
      </x:c>
      <x:c r="I190" s="35" t="str">
        <x:v>N5 - ASCII lowerCamelCase relationship; use has + object role when it improves direction clarity.</x:v>
      </x:c>
      <x:c r="J190" s="35" t="str">
        <x:v>ADD_DEVELOPMENT_TERM</x:v>
      </x:c>
    </x:row>
    <x:row r="191">
      <x:c r="A191" s="35" t="str">
        <x:v>constructionContractDate</x:v>
      </x:c>
      <x:c r="B191" s="35" t="str">
        <x:v>https://w3id.org/nltl-benchmark/vocab#constructionContractDate</x:v>
      </x:c>
      <x:c r="C191" s="35" t="str">
        <x:v>DatatypeProperty</x:v>
      </x:c>
      <x:c r="D191" s="35" t="str">
        <x:v>http://www.w3.org/2001/XMLSchema#date</x:v>
      </x:c>
      <x:c r="E191" s="35" t="str">
        <x:v>xsd:date</x:v>
      </x:c>
      <x:c r="F191" s="35" t="str"/>
      <x:c r="G191" s="38" t="str">
        <x:v>I2-001</x:v>
      </x:c>
      <x:c r="H191" s="35" t="str">
        <x:v>Benchmark-coined descriptive engineering term</x:v>
      </x:c>
      <x:c r="I191" s="35" t="str">
        <x:v>N5 - component or subject first, followed by characteristic and qualifier/state; no unsupported external mapping</x:v>
      </x:c>
      <x:c r="J191" s="35" t="str">
        <x:v>REUSE_R2_TERM</x:v>
      </x:c>
    </x:row>
    <x:row r="192">
      <x:c r="A192" s="35" t="str">
        <x:v>constructionDate</x:v>
      </x:c>
      <x:c r="B192" s="35" t="str">
        <x:v>https://w3id.org/nltl-benchmark/vocab#constructionDate</x:v>
      </x:c>
      <x:c r="C192" s="35" t="str">
        <x:v>DatatypeProperty</x:v>
      </x:c>
      <x:c r="D192" s="35" t="str">
        <x:v>http://www.w3.org/2001/XMLSchema#date</x:v>
      </x:c>
      <x:c r="E192" s="35" t="str">
        <x:v>xsd:date</x:v>
      </x:c>
      <x:c r="F192" s="35" t="str"/>
      <x:c r="G192" s="38" t="str">
        <x:v>IMO-037 | IMO-067 | IMO-081 | IMO-085 | IMO-108 | IMO-109 | IMO-110 | IMO-111 | IMO-114 | IMO-118 | IMO26-007 | IMO26-011</x:v>
      </x:c>
      <x:c r="H192" s="35" t="str">
        <x:v>Locked-workbook normalized regulatory term</x:v>
      </x:c>
      <x:c r="I192" s="35" t="str">
        <x:v>N4 - preserve the source concept; normalize spelling to ASCII lowerCamelCase</x:v>
      </x:c>
      <x:c r="J192" s="35" t="str">
        <x:v>REUSE_R2_TERM</x:v>
      </x:c>
    </x:row>
    <x:row r="193">
      <x:c r="A193" s="35" t="str">
        <x:v>constructionStageDate</x:v>
      </x:c>
      <x:c r="B193" s="35" t="str">
        <x:v>https://w3id.org/nltl-benchmark/vocab#constructionStageDate</x:v>
      </x:c>
      <x:c r="C193" s="35" t="str">
        <x:v>DatatypeProperty</x:v>
      </x:c>
      <x:c r="D193" s="35" t="str">
        <x:v>http://www.w3.org/2001/XMLSchema#date</x:v>
      </x:c>
      <x:c r="E193" s="35" t="str">
        <x:v>xsd:date</x:v>
      </x:c>
      <x:c r="F193" s="35" t="str"/>
      <x:c r="G193" s="38" t="str">
        <x:v>TRF-020</x:v>
      </x:c>
      <x:c r="H193" s="35" t="str">
        <x:v>Benchmark-coined descriptive engineering term</x:v>
      </x:c>
      <x:c r="I193" s="35" t="str">
        <x:v>N5 - component or subject first, followed by characteristic and qualifier/state; no unsupported external mapping</x:v>
      </x:c>
      <x:c r="J193" s="35" t="str">
        <x:v>REUSE_R2_TERM</x:v>
      </x:c>
    </x:row>
    <x:row r="194">
      <x:c r="A194" s="35" t="str">
        <x:v>contactGeometry</x:v>
      </x:c>
      <x:c r="B194" s="35" t="str">
        <x:v>https://w3id.org/nltl-benchmark/vocab#contactGeometry</x:v>
      </x:c>
      <x:c r="C194" s="35" t="str">
        <x:v>DatatypeProperty</x:v>
      </x:c>
      <x:c r="D194" s="35" t="str">
        <x:v>http://www.w3.org/2001/XMLSchema#string</x:v>
      </x:c>
      <x:c r="E194" s="35" t="str">
        <x:v>xsd:string</x:v>
      </x:c>
      <x:c r="F194" s="35" t="str"/>
      <x:c r="G194" s="38" t="str">
        <x:v>TRF-114</x:v>
      </x:c>
      <x:c r="H194" s="35" t="str">
        <x:v>Benchmark-coined descriptive engineering term</x:v>
      </x:c>
      <x:c r="I194" s="35" t="str">
        <x:v>N5 - component or subject first, followed by characteristic and qualifier/state; no unsupported external mapping</x:v>
      </x:c>
      <x:c r="J194" s="35" t="str">
        <x:v>REUSE_R2_TERM</x:v>
      </x:c>
    </x:row>
    <x:row r="195">
      <x:c r="A195" s="35" t="str">
        <x:v>contaminatedByOtherGarbage</x:v>
      </x:c>
      <x:c r="B195" s="35" t="str">
        <x:v>https://w3id.org/nltl-benchmark/vocab#contaminatedByOtherGarbage</x:v>
      </x:c>
      <x:c r="C195" s="35" t="str">
        <x:v>DatatypeProperty</x:v>
      </x:c>
      <x:c r="D195" s="35" t="str">
        <x:v>http://www.w3.org/2001/XMLSchema#boolean</x:v>
      </x:c>
      <x:c r="E195" s="35" t="str">
        <x:v>xsd:boolean</x:v>
      </x:c>
      <x:c r="F195" s="35" t="str"/>
      <x:c r="G195" s="38" t="str">
        <x:v>IMO-121</x:v>
      </x:c>
      <x:c r="H195" s="35" t="str">
        <x:v>Locked-workbook normalized regulatory term</x:v>
      </x:c>
      <x:c r="I195" s="35" t="str">
        <x:v>N4 - preserve the source concept; normalize spelling to ASCII lowerCamelCase</x:v>
      </x:c>
      <x:c r="J195" s="35" t="str">
        <x:v>REUSE_R2_TERM</x:v>
      </x:c>
    </x:row>
    <x:row r="196">
      <x:c r="A196" s="35" t="str">
        <x:v>continuousPropulsionPowerAvailableInIce</x:v>
      </x:c>
      <x:c r="B196" s="35" t="str">
        <x:v>https://w3id.org/nltl-benchmark/vocab#continuousPropulsionPowerAvailableInIce</x:v>
      </x:c>
      <x:c r="C196" s="35" t="str">
        <x:v>QuantityProperty</x:v>
      </x:c>
      <x:c r="D196" s="35" t="str">
        <x:v>http://qudt.org/schema/qudt/QuantityValue</x:v>
      </x:c>
      <x:c r="E196" s="35" t="str"/>
      <x:c r="F196" s="35" t="str">
        <x:v>kW</x:v>
      </x:c>
      <x:c r="G196" s="38" t="str">
        <x:v>TRF-037</x:v>
      </x:c>
      <x:c r="H196" s="35" t="str">
        <x:v>Applicable TRAFICOM regulation wording plus explicit engineering node/operand role</x:v>
      </x:c>
      <x:c r="I196" s="35" t="str">
        <x:v>N4 - explicit engineering quantity in ASCII lowerCamelCase; formula symbols remain aliases only.</x:v>
      </x:c>
      <x:c r="J196" s="35" t="str">
        <x:v>ADD_DEVELOPMENT_TERM</x:v>
      </x:c>
    </x:row>
    <x:row r="197">
      <x:c r="A197" s="35" t="str">
        <x:v>continuousSurfaceProjectedArea</x:v>
      </x:c>
      <x:c r="B197" s="35" t="str">
        <x:v>https://w3id.org/nltl-benchmark/vocab#continuousSurfaceProjectedArea</x:v>
      </x:c>
      <x:c r="C197" s="35" t="str">
        <x:v>QuantityProperty</x:v>
      </x:c>
      <x:c r="D197" s="35" t="str">
        <x:v>http://qudt.org/schema/qudt/QuantityValue</x:v>
      </x:c>
      <x:c r="E197" s="35" t="str"/>
      <x:c r="F197" s="35" t="str">
        <x:v>m^2</x:v>
      </x:c>
      <x:c r="G197" s="38" t="str">
        <x:v>IMO-033</x:v>
      </x:c>
      <x:c r="H197" s="35" t="str">
        <x:v>Locked-workbook normalized regulatory term</x:v>
      </x:c>
      <x:c r="I197" s="35" t="str">
        <x:v>N4 - preserve the source concept; normalize spelling to ASCII lowerCamelCase</x:v>
      </x:c>
      <x:c r="J197" s="35" t="str">
        <x:v>REUSE_R2_TERM</x:v>
      </x:c>
    </x:row>
    <x:row r="198">
      <x:c r="A198" s="35" t="str">
        <x:v>continuousSurfaceStaticMoment</x:v>
      </x:c>
      <x:c r="B198" s="35" t="str">
        <x:v>https://w3id.org/nltl-benchmark/vocab#continuousSurfaceStaticMoment</x:v>
      </x:c>
      <x:c r="C198" s="35" t="str">
        <x:v>QuantityProperty</x:v>
      </x:c>
      <x:c r="D198" s="35" t="str">
        <x:v>http://qudt.org/schema/qudt/QuantityValue</x:v>
      </x:c>
      <x:c r="E198" s="35" t="str"/>
      <x:c r="F198" s="35" t="str">
        <x:v>kN*m</x:v>
      </x:c>
      <x:c r="G198" s="38" t="str">
        <x:v>IMO-033</x:v>
      </x:c>
      <x:c r="H198" s="35" t="str">
        <x:v>Locked-workbook normalized regulatory term</x:v>
      </x:c>
      <x:c r="I198" s="35" t="str">
        <x:v>N4 - preserve the source concept; normalize spelling to ASCII lowerCamelCase</x:v>
      </x:c>
      <x:c r="J198" s="35" t="str">
        <x:v>REUSE_R2_TERM</x:v>
      </x:c>
    </x:row>
    <x:row r="199">
      <x:c r="A199" s="35" t="str">
        <x:v>continuousUseSuitabilityStatus</x:v>
      </x:c>
      <x:c r="B199" s="35" t="str">
        <x:v>https://w3id.org/nltl-benchmark/vocab#continuousUseSuitabilityStatus</x:v>
      </x:c>
      <x:c r="C199" s="35" t="str">
        <x:v>DatatypeProperty</x:v>
      </x:c>
      <x:c r="D199" s="35" t="str">
        <x:v>http://www.w3.org/2001/XMLSchema#boolean</x:v>
      </x:c>
      <x:c r="E199" s="35" t="str">
        <x:v>xsd:boolean</x:v>
      </x:c>
      <x:c r="F199" s="35" t="str"/>
      <x:c r="G199" s="38" t="str">
        <x:v>IMO-072</x:v>
      </x:c>
      <x:c r="H199" s="35" t="str">
        <x:v>Locked-workbook normalized regulatory term</x:v>
      </x:c>
      <x:c r="I199" s="35" t="str">
        <x:v>N4 - preserve the source concept; normalize spelling to ASCII lowerCamelCase</x:v>
      </x:c>
      <x:c r="J199" s="35" t="str">
        <x:v>REUSE_R2_TERM</x:v>
      </x:c>
    </x:row>
    <x:row r="200">
      <x:c r="A200" s="35" t="str">
        <x:v>continuouslyAccessible</x:v>
      </x:c>
      <x:c r="B200" s="35" t="str">
        <x:v>https://w3id.org/nltl-benchmark/vocab#continuouslyAccessible</x:v>
      </x:c>
      <x:c r="C200" s="35" t="str">
        <x:v>DatatypeProperty</x:v>
      </x:c>
      <x:c r="D200" s="35" t="str">
        <x:v>http://www.w3.org/2001/XMLSchema#boolean</x:v>
      </x:c>
      <x:c r="E200" s="35" t="str">
        <x:v>xsd:boolean</x:v>
      </x:c>
      <x:c r="F200" s="35" t="str"/>
      <x:c r="G200" s="38" t="str">
        <x:v>IMO-051 | IMO-055</x:v>
      </x:c>
      <x:c r="H200" s="35" t="str">
        <x:v>Locked-workbook normalized regulatory term</x:v>
      </x:c>
      <x:c r="I200" s="35" t="str">
        <x:v>N4 - preserve the source concept; normalize spelling to ASCII lowerCamelCase</x:v>
      </x:c>
      <x:c r="J200" s="35" t="str">
        <x:v>REUSE_R2_TERM</x:v>
      </x:c>
    </x:row>
    <x:row r="201">
      <x:c r="A201" s="35" t="str">
        <x:v>controllablePitch</x:v>
      </x:c>
      <x:c r="B201" s="35" t="str">
        <x:v>https://w3id.org/nltl-benchmark/vocab#controllablePitch</x:v>
      </x:c>
      <x:c r="C201" s="35" t="str">
        <x:v>NamedIndividual</x:v>
      </x:c>
      <x:c r="D201" s="35" t="str">
        <x:v>https://w3id.org/nltl-benchmark/vocab#propellerPitchControlTypeValue</x:v>
      </x:c>
      <x:c r="E201" s="35" t="str"/>
      <x:c r="F201" s="35" t="str"/>
      <x:c r="G201" s="38" t="str">
        <x:v>TRF-020</x:v>
      </x:c>
      <x:c r="H201" s="35" t="str">
        <x:v>Applicable TRAFICOM regulation wording plus explicit engineering node/operand role</x:v>
      </x:c>
      <x:c r="I201" s="35" t="str">
        <x:v>N6 - concise ASCII lowerCamelCase controlled-value name grounded in the linked regulation.</x:v>
      </x:c>
      <x:c r="J201" s="35" t="str">
        <x:v>ADD_DEVELOPMENT_TERM</x:v>
      </x:c>
    </x:row>
    <x:row r="202">
      <x:c r="A202" s="35" t="str">
        <x:v>conventionalPropulsionSystem</x:v>
      </x:c>
      <x:c r="B202" s="35" t="str">
        <x:v>https://w3id.org/nltl-benchmark/vocab#conventionalPropulsionSystem</x:v>
      </x:c>
      <x:c r="C202" s="35" t="str">
        <x:v>NamedIndividual</x:v>
      </x:c>
      <x:c r="D202" s="35" t="str">
        <x:v>https://w3id.org/nltl-benchmark/vocab#propulsionSystemTypeValue</x:v>
      </x:c>
      <x:c r="E202" s="35" t="str"/>
      <x:c r="F202" s="35" t="str"/>
      <x:c r="G202" s="38" t="str">
        <x:v>TRF-020</x:v>
      </x:c>
      <x:c r="H202" s="35" t="str">
        <x:v>Applicable TRAFICOM regulation wording plus explicit engineering node/operand role</x:v>
      </x:c>
      <x:c r="I202" s="35" t="str">
        <x:v>N6 - concise ASCII lowerCamelCase controlled-value name grounded in the linked regulation.</x:v>
      </x:c>
      <x:c r="J202" s="35" t="str">
        <x:v>ADD_DEVELOPMENT_TERM</x:v>
      </x:c>
    </x:row>
    <x:row r="203">
      <x:c r="A203" s="35" t="str">
        <x:v>coolingWaterSupplySecured</x:v>
      </x:c>
      <x:c r="B203" s="35" t="str">
        <x:v>https://w3id.org/nltl-benchmark/vocab#coolingWaterSupplySecured</x:v>
      </x:c>
      <x:c r="C203" s="35" t="str">
        <x:v>DatatypeProperty</x:v>
      </x:c>
      <x:c r="D203" s="35" t="str">
        <x:v>http://www.w3.org/2001/XMLSchema#boolean</x:v>
      </x:c>
      <x:c r="E203" s="35" t="str">
        <x:v>xsd:boolean</x:v>
      </x:c>
      <x:c r="F203" s="35" t="str"/>
      <x:c r="G203" s="38" t="str">
        <x:v>TRF-129</x:v>
      </x:c>
      <x:c r="H203" s="35" t="str">
        <x:v>Benchmark-coined descriptive engineering term</x:v>
      </x:c>
      <x:c r="I203" s="35" t="str">
        <x:v>N5 - component or subject first, followed by characteristic and qualifier/state; no unsupported external mapping</x:v>
      </x:c>
      <x:c r="J203" s="35" t="str">
        <x:v>REUSE_R2_TERM</x:v>
      </x:c>
    </x:row>
    <x:row r="204">
      <x:c r="A204" s="35" t="str">
        <x:v>coolingWaterSystem</x:v>
      </x:c>
      <x:c r="B204" s="35" t="str">
        <x:v>https://w3id.org/nltl-benchmark/vocab#coolingWaterSystem</x:v>
      </x:c>
      <x:c r="C204" s="35" t="str">
        <x:v>Class</x:v>
      </x:c>
      <x:c r="D204" s="35" t="str">
        <x:v>https://w3id.org/nltl-benchmark/vocab#machineryComponent</x:v>
      </x:c>
      <x:c r="E204" s="35" t="str"/>
      <x:c r="F204" s="35" t="str"/>
      <x:c r="G204" s="38" t="str">
        <x:v>TRF-129</x:v>
      </x:c>
      <x:c r="H204" s="35" t="str">
        <x:v>Benchmark-coined descriptive engineering term</x:v>
      </x:c>
      <x:c r="I204" s="35" t="str">
        <x:v>N5 - component or subject first, followed by characteristic and qualifier/state; no unsupported external mapping</x:v>
      </x:c>
      <x:c r="J204" s="35" t="str">
        <x:v>REUSE_R2_TERM</x:v>
      </x:c>
    </x:row>
    <x:row r="205">
      <x:c r="A205" s="35" t="str">
        <x:v>correctiveActionStatus</x:v>
      </x:c>
      <x:c r="B205" s="35" t="str">
        <x:v>https://w3id.org/nltl-benchmark/vocab#correctiveActionStatus</x:v>
      </x:c>
      <x:c r="C205" s="35" t="str">
        <x:v>DatatypeProperty</x:v>
      </x:c>
      <x:c r="D205" s="35" t="str">
        <x:v>http://www.w3.org/2001/XMLSchema#boolean</x:v>
      </x:c>
      <x:c r="E205" s="35" t="str">
        <x:v>xsd:boolean</x:v>
      </x:c>
      <x:c r="F205" s="35" t="str"/>
      <x:c r="G205" s="38" t="str">
        <x:v>IMO-036</x:v>
      </x:c>
      <x:c r="H205" s="35" t="str">
        <x:v>Locked-workbook normalized regulatory term</x:v>
      </x:c>
      <x:c r="I205" s="35" t="str">
        <x:v>N4 - preserve the source concept; normalize spelling to ASCII lowerCamelCase</x:v>
      </x:c>
      <x:c r="J205" s="35" t="str">
        <x:v>REUSE_R2_TERM</x:v>
      </x:c>
    </x:row>
    <x:row r="206">
      <x:c r="A206" s="35" t="str">
        <x:v>corrosionAbrasionAddition</x:v>
      </x:c>
      <x:c r="B206" s="35" t="str">
        <x:v>https://w3id.org/nltl-benchmark/vocab#corrosionAbrasionAddition</x:v>
      </x:c>
      <x:c r="C206" s="35" t="str">
        <x:v>QuantityProperty</x:v>
      </x:c>
      <x:c r="D206" s="35" t="str">
        <x:v>http://qudt.org/schema/qudt/QuantityValue</x:v>
      </x:c>
      <x:c r="E206" s="35" t="str"/>
      <x:c r="F206" s="35" t="str">
        <x:v>mm</x:v>
      </x:c>
      <x:c r="G206" s="38" t="str">
        <x:v>I2-046</x:v>
      </x:c>
      <x:c r="H206" s="35" t="str">
        <x:v>Benchmark-coined descriptive engineering term</x:v>
      </x:c>
      <x:c r="I206" s="35" t="str">
        <x:v>N5 - component or subject first, followed by characteristic and qualifier/state; no unsupported external mapping</x:v>
      </x:c>
      <x:c r="J206" s="35" t="str">
        <x:v>REUSE_R2_TERM</x:v>
      </x:c>
    </x:row>
    <x:row r="207">
      <x:c r="A207" s="35" t="str">
        <x:v>crewMember</x:v>
      </x:c>
      <x:c r="B207" s="35" t="str">
        <x:v>https://w3id.org/nltl-benchmark/vocab#crewMember</x:v>
      </x:c>
      <x:c r="C207" s="35" t="str">
        <x:v>Class</x:v>
      </x:c>
      <x:c r="D207" s="35" t="str">
        <x:v>https://w3id.org/nltl-benchmark/vocab#person</x:v>
      </x:c>
      <x:c r="E207" s="35" t="str"/>
      <x:c r="F207" s="35" t="str"/>
      <x:c r="G207" s="38" t="str">
        <x:v>IMO-078 | IMO-104</x:v>
      </x:c>
      <x:c r="H207" s="35" t="str">
        <x:v>Locked-workbook normalized regulatory term</x:v>
      </x:c>
      <x:c r="I207" s="35" t="str">
        <x:v>N4 - preserve the source concept; normalize spelling to ASCII lowerCamelCase</x:v>
      </x:c>
      <x:c r="J207" s="35" t="str">
        <x:v>REUSE_R2_TERM</x:v>
      </x:c>
    </x:row>
    <x:row r="208">
      <x:c r="A208" s="35" t="str">
        <x:v>crewRole</x:v>
      </x:c>
      <x:c r="B208" s="35" t="str">
        <x:v>https://w3id.org/nltl-benchmark/vocab#crewRole</x:v>
      </x:c>
      <x:c r="C208" s="35" t="str">
        <x:v>DatatypeProperty</x:v>
      </x:c>
      <x:c r="D208" s="35" t="str">
        <x:v>http://www.w3.org/2001/XMLSchema#string</x:v>
      </x:c>
      <x:c r="E208" s="35" t="str">
        <x:v>xsd:string</x:v>
      </x:c>
      <x:c r="F208" s="35" t="str"/>
      <x:c r="G208" s="38" t="str">
        <x:v>IMO-102</x:v>
      </x:c>
      <x:c r="H208" s="35" t="str">
        <x:v>Locked-workbook normalized regulatory term</x:v>
      </x:c>
      <x:c r="I208" s="35" t="str">
        <x:v>N4 - preserve the source concept; normalize spelling to ASCII lowerCamelCase</x:v>
      </x:c>
      <x:c r="J208" s="35" t="str">
        <x:v>REUSE_R2_TERM</x:v>
      </x:c>
    </x:row>
    <x:row r="209">
      <x:c r="A209" s="35" t="str">
        <x:v>crewSurvivalEquipmentTrainingStatus</x:v>
      </x:c>
      <x:c r="B209" s="35" t="str">
        <x:v>https://w3id.org/nltl-benchmark/vocab#crewSurvivalEquipmentTrainingStatus</x:v>
      </x:c>
      <x:c r="C209" s="35" t="str">
        <x:v>DatatypeProperty</x:v>
      </x:c>
      <x:c r="D209" s="35" t="str">
        <x:v>http://www.w3.org/2001/XMLSchema#boolean</x:v>
      </x:c>
      <x:c r="E209" s="35" t="str">
        <x:v>xsd:boolean</x:v>
      </x:c>
      <x:c r="F209" s="35" t="str"/>
      <x:c r="G209" s="38" t="str">
        <x:v>IMO-078</x:v>
      </x:c>
      <x:c r="H209" s="35" t="str">
        <x:v>Locked-workbook normalized regulatory term</x:v>
      </x:c>
      <x:c r="I209" s="35" t="str">
        <x:v>N4 - preserve the source concept; normalize spelling to ASCII lowerCamelCase</x:v>
      </x:c>
      <x:c r="J209" s="35" t="str">
        <x:v>REUSE_R2_TERM</x:v>
      </x:c>
    </x:row>
    <x:row r="210">
      <x:c r="A210" s="35" t="str">
        <x:v>currentIceInformationReceivingCapability</x:v>
      </x:c>
      <x:c r="B210" s="35" t="str">
        <x:v>https://w3id.org/nltl-benchmark/vocab#currentIceInformationReceivingCapability</x:v>
      </x:c>
      <x:c r="C210" s="35" t="str">
        <x:v>DatatypeProperty</x:v>
      </x:c>
      <x:c r="D210" s="35" t="str">
        <x:v>http://www.w3.org/2001/XMLSchema#boolean</x:v>
      </x:c>
      <x:c r="E210" s="35" t="str">
        <x:v>xsd:boolean</x:v>
      </x:c>
      <x:c r="F210" s="35" t="str"/>
      <x:c r="G210" s="38" t="str">
        <x:v>IMO26-003</x:v>
      </x:c>
      <x:c r="H210" s="35" t="str">
        <x:v>Locked-workbook normalized regulatory term</x:v>
      </x:c>
      <x:c r="I210" s="35" t="str">
        <x:v>N4 - preserve the source concept; normalize spelling to ASCII lowerCamelCase</x:v>
      </x:c>
      <x:c r="J210" s="35" t="str">
        <x:v>REUSE_R2_TERM</x:v>
      </x:c>
    </x:row>
    <x:row r="211">
      <x:c r="A211" s="35" t="str">
        <x:v>currentNavigationInformationReceivingCapability</x:v>
      </x:c>
      <x:c r="B211" s="35" t="str">
        <x:v>https://w3id.org/nltl-benchmark/vocab#currentNavigationInformationReceivingCapability</x:v>
      </x:c>
      <x:c r="C211" s="35" t="str">
        <x:v>DatatypeProperty</x:v>
      </x:c>
      <x:c r="D211" s="35" t="str">
        <x:v>http://www.w3.org/2001/XMLSchema#boolean</x:v>
      </x:c>
      <x:c r="E211" s="35" t="str">
        <x:v>xsd:boolean</x:v>
      </x:c>
      <x:c r="F211" s="35" t="str"/>
      <x:c r="G211" s="38" t="str">
        <x:v>IMO26-003</x:v>
      </x:c>
      <x:c r="H211" s="35" t="str">
        <x:v>Locked-workbook normalized regulatory term</x:v>
      </x:c>
      <x:c r="I211" s="35" t="str">
        <x:v>N4 - preserve the source concept; normalize spelling to ASCII lowerCamelCase</x:v>
      </x:c>
      <x:c r="J211" s="35" t="str">
        <x:v>REUSE_R2_TERM</x:v>
      </x:c>
    </x:row>
    <x:row r="212">
      <x:c r="A212" s="35" t="str">
        <x:v>cutout</x:v>
      </x:c>
      <x:c r="B212" s="35" t="str">
        <x:v>https://w3id.org/nltl-benchmark/vocab#cutout</x:v>
      </x:c>
      <x:c r="C212" s="35" t="str">
        <x:v>Class</x:v>
      </x:c>
      <x:c r="D212" s="35" t="str">
        <x:v>https://w3id.org/nltl-benchmark/vocab#hullStructure</x:v>
      </x:c>
      <x:c r="E212" s="35" t="str"/>
      <x:c r="F212" s="35" t="str"/>
      <x:c r="G212" s="38" t="str">
        <x:v>I2-060</x:v>
      </x:c>
      <x:c r="H212" s="35" t="str">
        <x:v>Benchmark-coined descriptive engineering term</x:v>
      </x:c>
      <x:c r="I212" s="35" t="str">
        <x:v>N5 - component or subject first, followed by characteristic and qualifier/state; no unsupported external mapping</x:v>
      </x:c>
      <x:c r="J212" s="35" t="str">
        <x:v>REUSE_R2_TERM</x:v>
      </x:c>
    </x:row>
    <x:row r="213">
      <x:c r="A213" s="35" t="str">
        <x:v>dailyLowTemperature</x:v>
      </x:c>
      <x:c r="B213" s="35" t="str">
        <x:v>https://w3id.org/nltl-benchmark/vocab#dailyLowTemperature</x:v>
      </x:c>
      <x:c r="C213" s="35" t="str">
        <x:v>QuantityProperty</x:v>
      </x:c>
      <x:c r="D213" s="35" t="str">
        <x:v>http://qudt.org/schema/qudt/QuantityValue</x:v>
      </x:c>
      <x:c r="E213" s="35" t="str"/>
      <x:c r="F213" s="35" t="str">
        <x:v>deg C</x:v>
      </x:c>
      <x:c r="G213" s="38" t="str">
        <x:v>IMO-011</x:v>
      </x:c>
      <x:c r="H213" s="35" t="str">
        <x:v>Unit-stripped normalized regulatory variable</x:v>
      </x:c>
      <x:c r="I213" s="35" t="str">
        <x:v>N3 - remove unit from the identifier and retain it in unit/quantity metadata</x:v>
      </x:c>
      <x:c r="J213" s="35" t="str">
        <x:v>REUSE_R2_TERM</x:v>
      </x:c>
    </x:row>
    <x:row r="214">
      <x:c r="A214" s="35" t="str">
        <x:v>damageCenterForwardOfMaxBreadth</x:v>
      </x:c>
      <x:c r="B214" s="35" t="str">
        <x:v>https://w3id.org/nltl-benchmark/vocab#damageCenterForwardOfMaxBreadth</x:v>
      </x:c>
      <x:c r="C214" s="35" t="str">
        <x:v>DatatypeProperty</x:v>
      </x:c>
      <x:c r="D214" s="35" t="str">
        <x:v>http://www.w3.org/2001/XMLSchema#boolean</x:v>
      </x:c>
      <x:c r="E214" s="35" t="str">
        <x:v>xsd:boolean</x:v>
      </x:c>
      <x:c r="F214" s="35" t="str"/>
      <x:c r="G214" s="38" t="str">
        <x:v>IMO-038</x:v>
      </x:c>
      <x:c r="H214" s="35" t="str">
        <x:v>Locked-workbook normalized regulatory term</x:v>
      </x:c>
      <x:c r="I214" s="35" t="str">
        <x:v>N4 - preserve the source concept; normalize spelling to ASCII lowerCamelCase</x:v>
      </x:c>
      <x:c r="J214" s="35" t="str">
        <x:v>REUSE_R2_TERM</x:v>
      </x:c>
    </x:row>
    <x:row r="215">
      <x:c r="A215" s="35" t="str">
        <x:v>damping</x:v>
      </x:c>
      <x:c r="B215" s="35" t="str">
        <x:v>https://w3id.org/nltl-benchmark/vocab#damping</x:v>
      </x:c>
      <x:c r="C215" s="35" t="str">
        <x:v>DatatypeProperty</x:v>
      </x:c>
      <x:c r="D215" s="35" t="str">
        <x:v>http://www.w3.org/2001/XMLSchema#string</x:v>
      </x:c>
      <x:c r="E215" s="35" t="str">
        <x:v>xsd:string</x:v>
      </x:c>
      <x:c r="F215" s="35" t="str"/>
      <x:c r="G215" s="38" t="str">
        <x:v>TRF-100 | TRF-120</x:v>
      </x:c>
      <x:c r="H215" s="35" t="str">
        <x:v>Benchmark-coined descriptive engineering term</x:v>
      </x:c>
      <x:c r="I215" s="35" t="str">
        <x:v>N5 - component or subject first, followed by characteristic and qualifier/state; no unsupported external mapping</x:v>
      </x:c>
      <x:c r="J215" s="35" t="str">
        <x:v>REUSE_R2_TERM</x:v>
      </x:c>
    </x:row>
    <x:row r="216">
      <x:c r="A216" s="35" t="str">
        <x:v>dataPeriod</x:v>
      </x:c>
      <x:c r="B216" s="35" t="str">
        <x:v>https://w3id.org/nltl-benchmark/vocab#dataPeriod</x:v>
      </x:c>
      <x:c r="C216" s="35" t="str">
        <x:v>QuantityProperty</x:v>
      </x:c>
      <x:c r="D216" s="35" t="str">
        <x:v>http://qudt.org/schema/qudt/QuantityValue</x:v>
      </x:c>
      <x:c r="E216" s="35" t="str"/>
      <x:c r="F216" s="35" t="str">
        <x:v>year</x:v>
      </x:c>
      <x:c r="G216" s="38" t="str">
        <x:v>IMO-011</x:v>
      </x:c>
      <x:c r="H216" s="35" t="str">
        <x:v>Unit-stripped normalized regulatory variable</x:v>
      </x:c>
      <x:c r="I216" s="35" t="str">
        <x:v>N3 - remove unit from the identifier and retain it in unit/quantity metadata</x:v>
      </x:c>
      <x:c r="J216" s="35" t="str">
        <x:v>REUSE_R2_TERM</x:v>
      </x:c>
    </x:row>
    <x:row r="217">
      <x:c r="A217" s="35" t="str">
        <x:v>deadweight</x:v>
      </x:c>
      <x:c r="B217" s="35" t="str">
        <x:v>https://w3id.org/nltl-benchmark/vocab#deadweight</x:v>
      </x:c>
      <x:c r="C217" s="35" t="str">
        <x:v>QuantityProperty</x:v>
      </x:c>
      <x:c r="D217" s="35" t="str">
        <x:v>http://qudt.org/schema/qudt/QuantityValue</x:v>
      </x:c>
      <x:c r="E217" s="35" t="str"/>
      <x:c r="F217" s="35" t="str">
        <x:v>t</x:v>
      </x:c>
      <x:c r="G217" s="38" t="str">
        <x:v>IMO-110</x:v>
      </x:c>
      <x:c r="H217" s="35" t="str">
        <x:v>Locked-workbook normalized regulatory term</x:v>
      </x:c>
      <x:c r="I217" s="35" t="str">
        <x:v>N4 - preserve the source concept; normalize spelling to ASCII lowerCamelCase</x:v>
      </x:c>
      <x:c r="J217" s="35" t="str">
        <x:v>REUSE_R2_TERM</x:v>
      </x:c>
    </x:row>
    <x:row r="218">
      <x:c r="A218" s="35" t="str">
        <x:v>deckIcingAllowance</x:v>
      </x:c>
      <x:c r="B218" s="35" t="str">
        <x:v>https://w3id.org/nltl-benchmark/vocab#deckIcingAllowance</x:v>
      </x:c>
      <x:c r="C218" s="35" t="str">
        <x:v>QuantityProperty</x:v>
      </x:c>
      <x:c r="D218" s="35" t="str">
        <x:v>http://qudt.org/schema/qudt/QuantityValue</x:v>
      </x:c>
      <x:c r="E218" s="35" t="str"/>
      <x:c r="F218" s="35" t="str">
        <x:v>kg/m^2</x:v>
      </x:c>
      <x:c r="G218" s="38" t="str">
        <x:v>IMO-033</x:v>
      </x:c>
      <x:c r="H218" s="35" t="str">
        <x:v>Unit-stripped normalized regulatory variable</x:v>
      </x:c>
      <x:c r="I218" s="35" t="str">
        <x:v>N3 - remove unit from the identifier and retain it in unit/quantity metadata</x:v>
      </x:c>
      <x:c r="J218" s="35" t="str">
        <x:v>REUSE_R2_TERM</x:v>
      </x:c>
    </x:row>
    <x:row r="219">
      <x:c r="A219" s="35" t="str">
        <x:v>deckStructure</x:v>
      </x:c>
      <x:c r="B219" s="35" t="str">
        <x:v>https://w3id.org/nltl-benchmark/vocab#deckStructure</x:v>
      </x:c>
      <x:c r="C219" s="35" t="str">
        <x:v>Class</x:v>
      </x:c>
      <x:c r="D219" s="35" t="str">
        <x:v>https://w3id.org/nltl-benchmark/vocab#hullStructure</x:v>
      </x:c>
      <x:c r="E219" s="35" t="str"/>
      <x:c r="F219" s="35" t="str"/>
      <x:c r="G219" s="38" t="str">
        <x:v>TRF-046 | TRF-047 | TRF-051</x:v>
      </x:c>
      <x:c r="H219" s="35" t="str">
        <x:v>Applicable TRAFICOM regulation wording plus explicit engineering node/operand role</x:v>
      </x:c>
      <x:c r="I219" s="35" t="str">
        <x:v>N4 - singular ASCII lowerCamelCase entity name derived from the linked regulatory role.</x:v>
      </x:c>
      <x:c r="J219" s="35" t="str">
        <x:v>ADD_DEVELOPMENT_TERM</x:v>
      </x:c>
    </x:row>
    <x:row r="220">
      <x:c r="A220" s="35" t="str">
        <x:v>deliveryDate</x:v>
      </x:c>
      <x:c r="B220" s="35" t="str">
        <x:v>https://w3id.org/nltl-benchmark/vocab#deliveryDate</x:v>
      </x:c>
      <x:c r="C220" s="35" t="str">
        <x:v>DatatypeProperty</x:v>
      </x:c>
      <x:c r="D220" s="35" t="str">
        <x:v>http://www.w3.org/2001/XMLSchema#date</x:v>
      </x:c>
      <x:c r="E220" s="35" t="str">
        <x:v>xsd:date</x:v>
      </x:c>
      <x:c r="F220" s="35" t="str"/>
      <x:c r="G220" s="38" t="str">
        <x:v>TRF-007 | TRF-009 | TRF-024</x:v>
      </x:c>
      <x:c r="H220" s="35" t="str">
        <x:v>Applicable TRAFICOM regulation wording plus explicit engineering node/operand role</x:v>
      </x:c>
      <x:c r="I220" s="35" t="str">
        <x:v>N4 - explicit regulatory concept in ASCII lowerCamelCase with an XSD datatype.</x:v>
      </x:c>
      <x:c r="J220" s="35" t="str">
        <x:v>ADD_DEVELOPMENT_TERM</x:v>
      </x:c>
    </x:row>
    <x:row r="221">
      <x:c r="A221" s="35" t="str">
        <x:v>demonstratedDuration</x:v>
      </x:c>
      <x:c r="B221" s="35" t="str">
        <x:v>https://w3id.org/nltl-benchmark/vocab#demonstratedDuration</x:v>
      </x:c>
      <x:c r="C221" s="35" t="str">
        <x:v>QuantityProperty</x:v>
      </x:c>
      <x:c r="D221" s="35" t="str">
        <x:v>http://qudt.org/schema/qudt/QuantityValue</x:v>
      </x:c>
      <x:c r="E221" s="35" t="str"/>
      <x:c r="F221" s="35" t="str">
        <x:v>day</x:v>
      </x:c>
      <x:c r="G221" s="38" t="str">
        <x:v>IMO-063</x:v>
      </x:c>
      <x:c r="H221" s="35" t="str">
        <x:v>Unit-stripped normalized regulatory variable</x:v>
      </x:c>
      <x:c r="I221" s="35" t="str">
        <x:v>N3 - remove unit from the identifier and retain it in unit/quantity metadata</x:v>
      </x:c>
      <x:c r="J221" s="35" t="str">
        <x:v>REUSE_R2_TERM</x:v>
      </x:c>
    </x:row>
    <x:row r="222">
      <x:c r="A222" s="35" t="str">
        <x:v>demonstratedOperatingDuration</x:v>
      </x:c>
      <x:c r="B222" s="35" t="str">
        <x:v>https://w3id.org/nltl-benchmark/vocab#demonstratedOperatingDuration</x:v>
      </x:c>
      <x:c r="C222" s="35" t="str">
        <x:v>QuantityProperty</x:v>
      </x:c>
      <x:c r="D222" s="35" t="str">
        <x:v>http://qudt.org/schema/qudt/QuantityValue</x:v>
      </x:c>
      <x:c r="E222" s="35" t="str"/>
      <x:c r="F222" s="35" t="str">
        <x:v>day</x:v>
      </x:c>
      <x:c r="G222" s="38" t="str">
        <x:v>IMO-020 | IMO-093</x:v>
      </x:c>
      <x:c r="H222" s="35" t="str">
        <x:v>Unit-stripped normalized regulatory variable</x:v>
      </x:c>
      <x:c r="I222" s="35" t="str">
        <x:v>N3 - remove unit from the identifier and retain it in unit/quantity metadata</x:v>
      </x:c>
      <x:c r="J222" s="35" t="str">
        <x:v>REUSE_R2_TERM</x:v>
      </x:c>
    </x:row>
    <x:row r="223">
      <x:c r="A223" s="35" t="str">
        <x:v>departureAndDestinationWithinArctic</x:v>
      </x:c>
      <x:c r="B223" s="35" t="str">
        <x:v>https://w3id.org/nltl-benchmark/vocab#departureAndDestinationWithinArctic</x:v>
      </x:c>
      <x:c r="C223" s="35" t="str">
        <x:v>DatatypeProperty</x:v>
      </x:c>
      <x:c r="D223" s="35" t="str">
        <x:v>http://www.w3.org/2001/XMLSchema#boolean</x:v>
      </x:c>
      <x:c r="E223" s="35" t="str">
        <x:v>xsd:boolean</x:v>
      </x:c>
      <x:c r="F223" s="35" t="str"/>
      <x:c r="G223" s="38" t="str">
        <x:v>IMO-123</x:v>
      </x:c>
      <x:c r="H223" s="35" t="str">
        <x:v>Locked-workbook normalized regulatory term</x:v>
      </x:c>
      <x:c r="I223" s="35" t="str">
        <x:v>N4 - preserve the source concept; normalize spelling to ASCII lowerCamelCase</x:v>
      </x:c>
      <x:c r="J223" s="35" t="str">
        <x:v>REUSE_R2_TERM</x:v>
      </x:c>
    </x:row>
    <x:row r="224">
      <x:c r="A224" s="35" t="str">
        <x:v>designIceBlock</x:v>
      </x:c>
      <x:c r="B224" s="35" t="str">
        <x:v>https://w3id.org/nltl-benchmark/vocab#designIceBlock</x:v>
      </x:c>
      <x:c r="C224" s="35" t="str">
        <x:v>DatatypeProperty</x:v>
      </x:c>
      <x:c r="D224" s="35" t="str">
        <x:v>http://www.w3.org/2001/XMLSchema#string</x:v>
      </x:c>
      <x:c r="E224" s="35" t="str">
        <x:v>xsd:string</x:v>
      </x:c>
      <x:c r="F224" s="35" t="str"/>
      <x:c r="G224" s="38" t="str">
        <x:v>TRF-114</x:v>
      </x:c>
      <x:c r="H224" s="35" t="str">
        <x:v>Benchmark-coined descriptive engineering term</x:v>
      </x:c>
      <x:c r="I224" s="35" t="str">
        <x:v>N5 - component or subject first, followed by characteristic and qualifier/state; no unsupported external mapping</x:v>
      </x:c>
      <x:c r="J224" s="35" t="str">
        <x:v>REUSE_R2_TERM</x:v>
      </x:c>
    </x:row>
    <x:row r="225">
      <x:c r="A225" s="35" t="str">
        <x:v>designIceCondition</x:v>
      </x:c>
      <x:c r="B225" s="35" t="str">
        <x:v>https://w3id.org/nltl-benchmark/vocab#designIceCondition</x:v>
      </x:c>
      <x:c r="C225" s="35" t="str">
        <x:v>DatatypeProperty</x:v>
      </x:c>
      <x:c r="D225" s="35" t="str">
        <x:v>http://www.w3.org/2001/XMLSchema#string</x:v>
      </x:c>
      <x:c r="E225" s="35" t="str">
        <x:v>xsd:string</x:v>
      </x:c>
      <x:c r="F225" s="35" t="str"/>
      <x:c r="G225" s="38" t="str">
        <x:v>IMO-001 | IMO-002 | IMO-003</x:v>
      </x:c>
      <x:c r="H225" s="35" t="str">
        <x:v>Locked-workbook normalized regulatory term</x:v>
      </x:c>
      <x:c r="I225" s="35" t="str">
        <x:v>N4 - preserve the source concept; normalize spelling to ASCII lowerCamelCase</x:v>
      </x:c>
      <x:c r="J225" s="35" t="str">
        <x:v>REUSE_R2_TERM</x:v>
      </x:c>
    </x:row>
    <x:row r="226">
      <x:c r="A226" s="35" t="str">
        <x:v>designIceLoadHeight</x:v>
      </x:c>
      <x:c r="B226" s="35" t="str">
        <x:v>https://w3id.org/nltl-benchmark/vocab#designIceLoadHeight</x:v>
      </x:c>
      <x:c r="C226" s="35" t="str">
        <x:v>QuantityProperty</x:v>
      </x:c>
      <x:c r="D226" s="35" t="str">
        <x:v>http://qudt.org/schema/qudt/QuantityValue</x:v>
      </x:c>
      <x:c r="E226" s="35" t="str"/>
      <x:c r="F226" s="35" t="str">
        <x:v>m</x:v>
      </x:c>
      <x:c r="G226" s="38" t="str">
        <x:v>TRF-036</x:v>
      </x:c>
      <x:c r="H226" s="35" t="str">
        <x:v>Benchmark-coined descriptive engineering term</x:v>
      </x:c>
      <x:c r="I226" s="35" t="str">
        <x:v>N5 - component or subject first, followed by characteristic and qualifier/state; no unsupported external mapping</x:v>
      </x:c>
      <x:c r="J226" s="35" t="str">
        <x:v>REUSE_R2_TERM</x:v>
      </x:c>
    </x:row>
    <x:row r="227">
      <x:c r="A227" s="35" t="str">
        <x:v>designLineLoad</x:v>
      </x:c>
      <x:c r="B227" s="35" t="str">
        <x:v>https://w3id.org/nltl-benchmark/vocab#designLineLoad</x:v>
      </x:c>
      <x:c r="C227" s="35" t="str">
        <x:v>QuantityProperty</x:v>
      </x:c>
      <x:c r="D227" s="35" t="str">
        <x:v>http://qudt.org/schema/qudt/QuantityValue</x:v>
      </x:c>
      <x:c r="E227" s="35" t="str"/>
      <x:c r="F227" s="35" t="str">
        <x:v>kN/m</x:v>
      </x:c>
      <x:c r="G227" s="38" t="str">
        <x:v>TRF-053 | TRF-054</x:v>
      </x:c>
      <x:c r="H227" s="35" t="str">
        <x:v>Unit-stripped normalized regulatory variable</x:v>
      </x:c>
      <x:c r="I227" s="35" t="str">
        <x:v>N3 - remove unit from the identifier and retain it in unit/quantity metadata</x:v>
      </x:c>
      <x:c r="J227" s="35" t="str">
        <x:v>REUSE_R2_TERM</x:v>
      </x:c>
    </x:row>
    <x:row r="228">
      <x:c r="A228" s="35" t="str">
        <x:v>designOperationSpeedInIce</x:v>
      </x:c>
      <x:c r="B228" s="35" t="str">
        <x:v>https://w3id.org/nltl-benchmark/vocab#designOperationSpeedInIce</x:v>
      </x:c>
      <x:c r="C228" s="35" t="str">
        <x:v>QuantityProperty</x:v>
      </x:c>
      <x:c r="D228" s="35" t="str">
        <x:v>http://qudt.org/schema/qudt/QuantityValue</x:v>
      </x:c>
      <x:c r="E228" s="35" t="str"/>
      <x:c r="F228" s="35" t="str">
        <x:v>kn</x:v>
      </x:c>
      <x:c r="G228" s="38" t="str">
        <x:v>TRF-040 | TRF-065</x:v>
      </x:c>
      <x:c r="H228" s="35" t="str">
        <x:v>Unit-stripped normalized regulatory variable</x:v>
      </x:c>
      <x:c r="I228" s="35" t="str">
        <x:v>N3 - remove unit from the identifier and retain it in unit/quantity metadata</x:v>
      </x:c>
      <x:c r="J228" s="35" t="str">
        <x:v>REUSE_R2_TERM</x:v>
      </x:c>
    </x:row>
    <x:row r="229">
      <x:c r="A229" s="35" t="str">
        <x:v>designStress</x:v>
      </x:c>
      <x:c r="B229" s="35" t="str">
        <x:v>https://w3id.org/nltl-benchmark/vocab#designStress</x:v>
      </x:c>
      <x:c r="C229" s="35" t="str">
        <x:v>QuantityProperty</x:v>
      </x:c>
      <x:c r="D229" s="35" t="str">
        <x:v>http://qudt.org/schema/qudt/QuantityValue</x:v>
      </x:c>
      <x:c r="E229" s="35" t="str"/>
      <x:c r="F229" s="35" t="str">
        <x:v>MPa</x:v>
      </x:c>
      <x:c r="G229" s="38" t="str">
        <x:v>I2-055</x:v>
      </x:c>
      <x:c r="H229" s="35" t="str">
        <x:v>Benchmark-coined descriptive engineering term</x:v>
      </x:c>
      <x:c r="I229" s="35" t="str">
        <x:v>N5 - component or subject first, followed by characteristic and qualifier/state; no unsupported external mapping</x:v>
      </x:c>
      <x:c r="J229" s="35" t="str">
        <x:v>REUSE_R2_TERM</x:v>
      </x:c>
    </x:row>
    <x:row r="230">
      <x:c r="A230" s="35" t="str">
        <x:v>designVerticalIceShearForce</x:v>
      </x:c>
      <x:c r="B230" s="35" t="str">
        <x:v>https://w3id.org/nltl-benchmark/vocab#designVerticalIceShearForce</x:v>
      </x:c>
      <x:c r="C230" s="35" t="str">
        <x:v>QuantityProperty</x:v>
      </x:c>
      <x:c r="D230" s="35" t="str">
        <x:v>http://qudt.org/schema/qudt/QuantityValue</x:v>
      </x:c>
      <x:c r="E230" s="35" t="str"/>
      <x:c r="F230" s="35" t="str">
        <x:v>kN</x:v>
      </x:c>
      <x:c r="G230" s="38" t="str">
        <x:v>I2-051 | I2-053</x:v>
      </x:c>
      <x:c r="H230" s="35" t="str">
        <x:v>Benchmark-coined descriptive engineering term</x:v>
      </x:c>
      <x:c r="I230" s="35" t="str">
        <x:v>N5 - component or subject first, followed by characteristic and qualifier/state; no unsupported external mapping</x:v>
      </x:c>
      <x:c r="J230" s="35" t="str">
        <x:v>REUSE_R2_TERM</x:v>
      </x:c>
    </x:row>
    <x:row r="231">
      <x:c r="A231" s="35" t="str">
        <x:v>designVerticalWaveShearForce</x:v>
      </x:c>
      <x:c r="B231" s="35" t="str">
        <x:v>https://w3id.org/nltl-benchmark/vocab#designVerticalWaveShearForce</x:v>
      </x:c>
      <x:c r="C231" s="35" t="str">
        <x:v>QuantityProperty</x:v>
      </x:c>
      <x:c r="D231" s="35" t="str">
        <x:v>http://qudt.org/schema/qudt/QuantityValue</x:v>
      </x:c>
      <x:c r="E231" s="35" t="str"/>
      <x:c r="F231" s="35" t="str">
        <x:v>kN</x:v>
      </x:c>
      <x:c r="G231" s="38" t="str">
        <x:v>I2-053</x:v>
      </x:c>
      <x:c r="H231" s="35" t="str">
        <x:v>Benchmark-coined descriptive engineering term</x:v>
      </x:c>
      <x:c r="I231" s="35" t="str">
        <x:v>N5 - component or subject first, followed by characteristic and qualifier/state; no unsupported external mapping</x:v>
      </x:c>
      <x:c r="J231" s="35" t="str">
        <x:v>REUSE_R2_TERM</x:v>
      </x:c>
    </x:row>
    <x:row r="232">
      <x:c r="A232" s="35" t="str">
        <x:v>designatedOfficerBasicTrainingStatus</x:v>
      </x:c>
      <x:c r="B232" s="35" t="str">
        <x:v>https://w3id.org/nltl-benchmark/vocab#designatedOfficerBasicTrainingStatus</x:v>
      </x:c>
      <x:c r="C232" s="35" t="str">
        <x:v>DatatypeProperty</x:v>
      </x:c>
      <x:c r="D232" s="35" t="str">
        <x:v>http://www.w3.org/2001/XMLSchema#boolean</x:v>
      </x:c>
      <x:c r="E232" s="35" t="str">
        <x:v>xsd:boolean</x:v>
      </x:c>
      <x:c r="F232" s="35" t="str"/>
      <x:c r="G232" s="38" t="str">
        <x:v>IMO-103</x:v>
      </x:c>
      <x:c r="H232" s="35" t="str">
        <x:v>Locked-workbook normalized regulatory term</x:v>
      </x:c>
      <x:c r="I232" s="35" t="str">
        <x:v>N4 - preserve the source concept; normalize spelling to ASCII lowerCamelCase</x:v>
      </x:c>
      <x:c r="J232" s="35" t="str">
        <x:v>REUSE_R2_TERM</x:v>
      </x:c>
    </x:row>
    <x:row r="233">
      <x:c r="A233" s="35" t="str">
        <x:v>detachedStrut</x:v>
      </x:c>
      <x:c r="B233" s="35" t="str">
        <x:v>https://w3id.org/nltl-benchmark/vocab#detachedStrut</x:v>
      </x:c>
      <x:c r="C233" s="35" t="str">
        <x:v>DatatypeProperty</x:v>
      </x:c>
      <x:c r="D233" s="35" t="str">
        <x:v>http://www.w3.org/2001/XMLSchema#boolean</x:v>
      </x:c>
      <x:c r="E233" s="35" t="str">
        <x:v>xsd:boolean</x:v>
      </x:c>
      <x:c r="F233" s="35" t="str"/>
      <x:c r="G233" s="38" t="str">
        <x:v>TRF-064</x:v>
      </x:c>
      <x:c r="H233" s="35" t="str">
        <x:v>Benchmark-coined descriptive engineering term</x:v>
      </x:c>
      <x:c r="I233" s="35" t="str">
        <x:v>N5 - component or subject first, followed by characteristic and qualifier/state; no unsupported external mapping</x:v>
      </x:c>
      <x:c r="J233" s="35" t="str">
        <x:v>REUSE_R2_TERM</x:v>
      </x:c>
    </x:row>
    <x:row r="234">
      <x:c r="A234" s="35" t="str">
        <x:v>devicePowerSourceIndependentOfMainPower</x:v>
      </x:c>
      <x:c r="B234" s="35" t="str">
        <x:v>https://w3id.org/nltl-benchmark/vocab#devicePowerSourceIndependentOfMainPower</x:v>
      </x:c>
      <x:c r="C234" s="35" t="str">
        <x:v>DatatypeProperty</x:v>
      </x:c>
      <x:c r="D234" s="35" t="str">
        <x:v>http://www.w3.org/2001/XMLSchema#boolean</x:v>
      </x:c>
      <x:c r="E234" s="35" t="str">
        <x:v>xsd:boolean</x:v>
      </x:c>
      <x:c r="F234" s="35" t="str"/>
      <x:c r="G234" s="38" t="str">
        <x:v>IMO-069</x:v>
      </x:c>
      <x:c r="H234" s="35" t="str">
        <x:v>Locked-workbook normalized regulatory term</x:v>
      </x:c>
      <x:c r="I234" s="35" t="str">
        <x:v>N4 - preserve the source concept; normalize spelling to ASCII lowerCamelCase</x:v>
      </x:c>
      <x:c r="J234" s="35" t="str">
        <x:v>REUSE_R2_TERM</x:v>
      </x:c>
    </x:row>
    <x:row r="235">
      <x:c r="A235" s="35" t="str">
        <x:v>dieselEnginePlant</x:v>
      </x:c>
      <x:c r="B235" s="35" t="str">
        <x:v>https://w3id.org/nltl-benchmark/vocab#dieselEnginePlant</x:v>
      </x:c>
      <x:c r="C235" s="35" t="str">
        <x:v>Class</x:v>
      </x:c>
      <x:c r="D235" s="35" t="str">
        <x:v>https://w3id.org/nltl-benchmark/vocab#machineryComponent</x:v>
      </x:c>
      <x:c r="E235" s="35" t="str"/>
      <x:c r="F235" s="35" t="str"/>
      <x:c r="G235" s="38" t="str">
        <x:v>TRF-093</x:v>
      </x:c>
      <x:c r="H235" s="35" t="str">
        <x:v>Benchmark-coined descriptive engineering term</x:v>
      </x:c>
      <x:c r="I235" s="35" t="str">
        <x:v>N5 - component or subject first, followed by characteristic and qualifier/state; no unsupported external mapping</x:v>
      </x:c>
      <x:c r="J235" s="35" t="str">
        <x:v>REUSE_R2_TERM</x:v>
      </x:c>
    </x:row>
    <x:row r="236">
      <x:c r="A236" s="35" t="str">
        <x:v>dimensioningAnalysisStatus</x:v>
      </x:c>
      <x:c r="B236" s="35" t="str">
        <x:v>https://w3id.org/nltl-benchmark/vocab#dimensioningAnalysisStatus</x:v>
      </x:c>
      <x:c r="C236" s="35" t="str">
        <x:v>DatatypeProperty</x:v>
      </x:c>
      <x:c r="D236" s="35" t="str">
        <x:v>http://www.w3.org/2001/XMLSchema#boolean</x:v>
      </x:c>
      <x:c r="E236" s="35" t="str">
        <x:v>xsd:boolean</x:v>
      </x:c>
      <x:c r="F236" s="35" t="str"/>
      <x:c r="G236" s="38" t="str">
        <x:v>TRF-068</x:v>
      </x:c>
      <x:c r="H236" s="35" t="str">
        <x:v>Benchmark-coined descriptive engineering term</x:v>
      </x:c>
      <x:c r="I236" s="35" t="str">
        <x:v>N5 - component or subject first, followed by characteristic and qualifier/state; no unsupported external mapping</x:v>
      </x:c>
      <x:c r="J236" s="35" t="str">
        <x:v>REUSE_R2_TERM</x:v>
      </x:c>
    </x:row>
    <x:row r="237">
      <x:c r="A237" s="35" t="str">
        <x:v>directAnalysisApprovalStatus</x:v>
      </x:c>
      <x:c r="B237" s="35" t="str">
        <x:v>https://w3id.org/nltl-benchmark/vocab#directAnalysisApprovalStatus</x:v>
      </x:c>
      <x:c r="C237" s="35" t="str">
        <x:v>ObjectProperty</x:v>
      </x:c>
      <x:c r="D237" s="35" t="str">
        <x:v>https://w3id.org/nltl-benchmark/vocab#evidenceState</x:v>
      </x:c>
      <x:c r="E237" s="35" t="str"/>
      <x:c r="F237" s="35" t="str"/>
      <x:c r="G237" s="38" t="str">
        <x:v>TRF-029</x:v>
      </x:c>
      <x:c r="H237" s="35" t="str">
        <x:v>Benchmark-coined descriptive engineering term</x:v>
      </x:c>
      <x:c r="I237" s="35" t="str">
        <x:v>N5 - component or subject first, followed by characteristic and qualifier/state; no unsupported external mapping</x:v>
      </x:c>
      <x:c r="J237" s="35" t="str">
        <x:v>REUSE_R2_TERM</x:v>
      </x:c>
    </x:row>
    <x:row r="238">
      <x:c r="A238" s="35" t="str">
        <x:v>directAnalysisCase</x:v>
      </x:c>
      <x:c r="B238" s="35" t="str">
        <x:v>https://w3id.org/nltl-benchmark/vocab#directAnalysisCase</x:v>
      </x:c>
      <x:c r="C238" s="35" t="str">
        <x:v>Class</x:v>
      </x:c>
      <x:c r="D238" s="35" t="str">
        <x:v>https://w3id.org/nltl-benchmark/vocab#benchmarkEntity</x:v>
      </x:c>
      <x:c r="E238" s="35" t="str"/>
      <x:c r="F238" s="35" t="str"/>
      <x:c r="G238" s="38" t="str">
        <x:v>TRF-030 | TRF-037</x:v>
      </x:c>
      <x:c r="H238" s="35" t="str">
        <x:v>Applicable TRAFICOM regulation wording plus explicit engineering node/operand role</x:v>
      </x:c>
      <x:c r="I238" s="35" t="str">
        <x:v>N4 - singular ASCII lowerCamelCase entity name derived from the linked regulatory role.</x:v>
      </x:c>
      <x:c r="J238" s="35" t="str">
        <x:v>ADD_DEVELOPMENT_TERM</x:v>
      </x:c>
    </x:row>
    <x:row r="239">
      <x:c r="A239" s="35" t="str">
        <x:v>directAnalysisUsed</x:v>
      </x:c>
      <x:c r="B239" s="35" t="str">
        <x:v>https://w3id.org/nltl-benchmark/vocab#directAnalysisUsed</x:v>
      </x:c>
      <x:c r="C239" s="35" t="str">
        <x:v>DatatypeProperty</x:v>
      </x:c>
      <x:c r="D239" s="35" t="str">
        <x:v>http://www.w3.org/2001/XMLSchema#boolean</x:v>
      </x:c>
      <x:c r="E239" s="35" t="str">
        <x:v>xsd:boolean</x:v>
      </x:c>
      <x:c r="F239" s="35" t="str"/>
      <x:c r="G239" s="38" t="str">
        <x:v>TRF-029</x:v>
      </x:c>
      <x:c r="H239" s="35" t="str">
        <x:v>Benchmark-coined descriptive engineering term</x:v>
      </x:c>
      <x:c r="I239" s="35" t="str">
        <x:v>N5 - component or subject first, followed by characteristic and qualifier/state; no unsupported external mapping</x:v>
      </x:c>
      <x:c r="J239" s="35" t="str">
        <x:v>REUSE_R2_TERM</x:v>
      </x:c>
    </x:row>
    <x:row r="240">
      <x:c r="A240" s="35" t="str">
        <x:v>directCalculationMethod</x:v>
      </x:c>
      <x:c r="B240" s="35" t="str">
        <x:v>https://w3id.org/nltl-benchmark/vocab#directCalculationMethod</x:v>
      </x:c>
      <x:c r="C240" s="35" t="str">
        <x:v>DatatypeProperty</x:v>
      </x:c>
      <x:c r="D240" s="35" t="str">
        <x:v>http://www.w3.org/2001/XMLSchema#string</x:v>
      </x:c>
      <x:c r="E240" s="35" t="str">
        <x:v>xsd:string</x:v>
      </x:c>
      <x:c r="F240" s="35" t="str"/>
      <x:c r="G240" s="38" t="str">
        <x:v>TRF-031</x:v>
      </x:c>
      <x:c r="H240" s="35" t="str">
        <x:v>Benchmark-coined descriptive engineering term</x:v>
      </x:c>
      <x:c r="I240" s="35" t="str">
        <x:v>N5 - component or subject first, followed by characteristic and qualifier/state; no unsupported external mapping</x:v>
      </x:c>
      <x:c r="J240" s="35" t="str">
        <x:v>REUSE_R2_TERM</x:v>
      </x:c>
    </x:row>
    <x:row r="241">
      <x:c r="A241" s="35" t="str">
        <x:v>directCalculationUsed</x:v>
      </x:c>
      <x:c r="B241" s="35" t="str">
        <x:v>https://w3id.org/nltl-benchmark/vocab#directCalculationUsed</x:v>
      </x:c>
      <x:c r="C241" s="35" t="str">
        <x:v>DatatypeProperty</x:v>
      </x:c>
      <x:c r="D241" s="35" t="str">
        <x:v>http://www.w3.org/2001/XMLSchema#boolean</x:v>
      </x:c>
      <x:c r="E241" s="35" t="str">
        <x:v>xsd:boolean</x:v>
      </x:c>
      <x:c r="F241" s="35" t="str"/>
      <x:c r="G241" s="38" t="str">
        <x:v>I2-062</x:v>
      </x:c>
      <x:c r="H241" s="35" t="str">
        <x:v>Benchmark-coined descriptive engineering term</x:v>
      </x:c>
      <x:c r="I241" s="35" t="str">
        <x:v>N5 - component or subject first, followed by characteristic and qualifier/state; no unsupported external mapping</x:v>
      </x:c>
      <x:c r="J241" s="35" t="str">
        <x:v>REUSE_R2_TERM</x:v>
      </x:c>
    </x:row>
    <x:row r="242">
      <x:c r="A242" s="35" t="str">
        <x:v>directEvacuationOntoIceApplicable</x:v>
      </x:c>
      <x:c r="B242" s="35" t="str">
        <x:v>https://w3id.org/nltl-benchmark/vocab#directEvacuationOntoIceApplicable</x:v>
      </x:c>
      <x:c r="C242" s="35" t="str">
        <x:v>DatatypeProperty</x:v>
      </x:c>
      <x:c r="D242" s="35" t="str">
        <x:v>http://www.w3.org/2001/XMLSchema#boolean</x:v>
      </x:c>
      <x:c r="E242" s="35" t="str">
        <x:v>xsd:boolean</x:v>
      </x:c>
      <x:c r="F242" s="35" t="str"/>
      <x:c r="G242" s="38" t="str">
        <x:v>IMO-068</x:v>
      </x:c>
      <x:c r="H242" s="35" t="str">
        <x:v>Locked-workbook normalized regulatory term</x:v>
      </x:c>
      <x:c r="I242" s="35" t="str">
        <x:v>N4 - preserve the source concept; normalize spelling to ASCII lowerCamelCase</x:v>
      </x:c>
      <x:c r="J242" s="35" t="str">
        <x:v>REUSE_R2_TERM</x:v>
      </x:c>
    </x:row>
    <x:row r="243">
      <x:c r="A243" s="35" t="str">
        <x:v>dischargeDistanceRecords</x:v>
      </x:c>
      <x:c r="B243" s="35" t="str">
        <x:v>https://w3id.org/nltl-benchmark/vocab#dischargeDistanceRecords</x:v>
      </x:c>
      <x:c r="C243" s="35" t="str">
        <x:v>Class</x:v>
      </x:c>
      <x:c r="D243" s="35" t="str">
        <x:v>https://w3id.org/nltl-benchmark/vocab#documentEvidence</x:v>
      </x:c>
      <x:c r="E243" s="35" t="str"/>
      <x:c r="F243" s="35" t="str"/>
      <x:c r="G243" s="38" t="str">
        <x:v>IMO-117</x:v>
      </x:c>
      <x:c r="H243" s="35" t="str">
        <x:v>Locked-workbook normalized regulatory term</x:v>
      </x:c>
      <x:c r="I243" s="35" t="str">
        <x:v>N4 - preserve the source concept; normalize spelling to ASCII lowerCamelCase</x:v>
      </x:c>
      <x:c r="J243" s="35" t="str">
        <x:v>REUSE_R2_TERM</x:v>
      </x:c>
    </x:row>
    <x:row r="244">
      <x:c r="A244" s="35" t="str">
        <x:v>dischargedMaterialType</x:v>
      </x:c>
      <x:c r="B244" s="35" t="str">
        <x:v>https://w3id.org/nltl-benchmark/vocab#dischargedMaterialType</x:v>
      </x:c>
      <x:c r="C244" s="35" t="str">
        <x:v>DatatypeProperty</x:v>
      </x:c>
      <x:c r="D244" s="35" t="str">
        <x:v>http://www.w3.org/2001/XMLSchema#string</x:v>
      </x:c>
      <x:c r="E244" s="35" t="str">
        <x:v>xsd:string</x:v>
      </x:c>
      <x:c r="F244" s="35" t="str"/>
      <x:c r="G244" s="38" t="str">
        <x:v>IMO-106</x:v>
      </x:c>
      <x:c r="H244" s="35" t="str">
        <x:v>Locked-workbook normalized regulatory term</x:v>
      </x:c>
      <x:c r="I244" s="35" t="str">
        <x:v>N4 - preserve the source concept; normalize spelling to ASCII lowerCamelCase</x:v>
      </x:c>
      <x:c r="J244" s="35" t="str">
        <x:v>REUSE_R2_TERM</x:v>
      </x:c>
    </x:row>
    <x:row r="245">
      <x:c r="A245" s="35" t="str">
        <x:v>discontinuousSurfaceProjectedArea</x:v>
      </x:c>
      <x:c r="B245" s="35" t="str">
        <x:v>https://w3id.org/nltl-benchmark/vocab#discontinuousSurfaceProjectedArea</x:v>
      </x:c>
      <x:c r="C245" s="35" t="str">
        <x:v>QuantityProperty</x:v>
      </x:c>
      <x:c r="D245" s="35" t="str">
        <x:v>http://qudt.org/schema/qudt/QuantityValue</x:v>
      </x:c>
      <x:c r="E245" s="35" t="str"/>
      <x:c r="F245" s="35" t="str">
        <x:v>m^2</x:v>
      </x:c>
      <x:c r="G245" s="38" t="str">
        <x:v>IMO-033</x:v>
      </x:c>
      <x:c r="H245" s="35" t="str">
        <x:v>Locked-workbook normalized regulatory term</x:v>
      </x:c>
      <x:c r="I245" s="35" t="str">
        <x:v>N4 - preserve the source concept; normalize spelling to ASCII lowerCamelCase</x:v>
      </x:c>
      <x:c r="J245" s="35" t="str">
        <x:v>REUSE_R2_TERM</x:v>
      </x:c>
    </x:row>
    <x:row r="246">
      <x:c r="A246" s="35" t="str">
        <x:v>discontinuousSurfaceStaticMoment</x:v>
      </x:c>
      <x:c r="B246" s="35" t="str">
        <x:v>https://w3id.org/nltl-benchmark/vocab#discontinuousSurfaceStaticMoment</x:v>
      </x:c>
      <x:c r="C246" s="35" t="str">
        <x:v>QuantityProperty</x:v>
      </x:c>
      <x:c r="D246" s="35" t="str">
        <x:v>http://qudt.org/schema/qudt/QuantityValue</x:v>
      </x:c>
      <x:c r="E246" s="35" t="str"/>
      <x:c r="F246" s="35" t="str">
        <x:v>kN*m</x:v>
      </x:c>
      <x:c r="G246" s="38" t="str">
        <x:v>IMO-033</x:v>
      </x:c>
      <x:c r="H246" s="35" t="str">
        <x:v>Locked-workbook normalized regulatory term</x:v>
      </x:c>
      <x:c r="I246" s="35" t="str">
        <x:v>N4 - preserve the source concept; normalize spelling to ASCII lowerCamelCase</x:v>
      </x:c>
      <x:c r="J246" s="35" t="str">
        <x:v>REUSE_R2_TERM</x:v>
      </x:c>
    </x:row>
    <x:row r="247">
      <x:c r="A247" s="35" t="str">
        <x:v>displacementAtMaximumIceClassDraught</x:v>
      </x:c>
      <x:c r="B247" s="35" t="str">
        <x:v>https://w3id.org/nltl-benchmark/vocab#displacementAtMaximumIceClassDraught</x:v>
      </x:c>
      <x:c r="C247" s="35" t="str">
        <x:v>QuantityProperty</x:v>
      </x:c>
      <x:c r="D247" s="35" t="str">
        <x:v>http://qudt.org/schema/qudt/QuantityValue</x:v>
      </x:c>
      <x:c r="E247" s="35" t="str"/>
      <x:c r="F247" s="35" t="str">
        <x:v>t</x:v>
      </x:c>
      <x:c r="G247" s="38" t="str">
        <x:v>TRF-039</x:v>
      </x:c>
      <x:c r="H247" s="35" t="str">
        <x:v>Benchmark-coined descriptive engineering term</x:v>
      </x:c>
      <x:c r="I247" s="35" t="str">
        <x:v>N5 - component or subject first, followed by characteristic and qualifier/state; no unsupported external mapping</x:v>
      </x:c>
      <x:c r="J247" s="35" t="str">
        <x:v>REUSE_R2_TERM</x:v>
      </x:c>
    </x:row>
    <x:row r="248">
      <x:c r="A248" s="35" t="str">
        <x:v>displacementAtUpperIceWaterline</x:v>
      </x:c>
      <x:c r="B248" s="35" t="str">
        <x:v>https://w3id.org/nltl-benchmark/vocab#displacementAtUpperIceWaterline</x:v>
      </x:c>
      <x:c r="C248" s="35" t="str">
        <x:v>QuantityProperty</x:v>
      </x:c>
      <x:c r="D248" s="35" t="str">
        <x:v>http://qudt.org/schema/qudt/QuantityValue</x:v>
      </x:c>
      <x:c r="E248" s="35" t="str"/>
      <x:c r="F248" s="35" t="str">
        <x:v>t</x:v>
      </x:c>
      <x:c r="G248" s="38" t="str">
        <x:v>TRF-016</x:v>
      </x:c>
      <x:c r="H248" s="35" t="str">
        <x:v>Benchmark-coined descriptive engineering term</x:v>
      </x:c>
      <x:c r="I248" s="35" t="str">
        <x:v>N5 - component or subject first, followed by characteristic and qualifier/state; no unsupported external mapping</x:v>
      </x:c>
      <x:c r="J248" s="35" t="str">
        <x:v>REUSE_R2_TERM</x:v>
      </x:c>
    </x:row>
    <x:row r="249">
      <x:c r="A249" s="35" t="str">
        <x:v>displayedIceInformationStatus</x:v>
      </x:c>
      <x:c r="B249" s="35" t="str">
        <x:v>https://w3id.org/nltl-benchmark/vocab#displayedIceInformationStatus</x:v>
      </x:c>
      <x:c r="C249" s="35" t="str">
        <x:v>DatatypeProperty</x:v>
      </x:c>
      <x:c r="D249" s="35" t="str">
        <x:v>http://www.w3.org/2001/XMLSchema#boolean</x:v>
      </x:c>
      <x:c r="E249" s="35" t="str">
        <x:v>xsd:boolean</x:v>
      </x:c>
      <x:c r="F249" s="35" t="str"/>
      <x:c r="G249" s="38" t="str">
        <x:v>IMO-080 | IMO26-006</x:v>
      </x:c>
      <x:c r="H249" s="35" t="str">
        <x:v>Locked-workbook normalized regulatory term</x:v>
      </x:c>
      <x:c r="I249" s="35" t="str">
        <x:v>N4 - preserve the source concept; normalize spelling to ASCII lowerCamelCase</x:v>
      </x:c>
      <x:c r="J249" s="35" t="str">
        <x:v>REUSE_R2_TERM</x:v>
      </x:c>
    </x:row>
    <x:row r="250">
      <x:c r="A250" s="35" t="str">
        <x:v>distanceToAdjacentIceStringer</x:v>
      </x:c>
      <x:c r="B250" s="35" t="str">
        <x:v>https://w3id.org/nltl-benchmark/vocab#distanceToAdjacentIceStringer</x:v>
      </x:c>
      <x:c r="C250" s="35" t="str">
        <x:v>QuantityProperty</x:v>
      </x:c>
      <x:c r="D250" s="35" t="str">
        <x:v>http://qudt.org/schema/qudt/QuantityValue</x:v>
      </x:c>
      <x:c r="E250" s="35" t="str"/>
      <x:c r="F250" s="35" t="str">
        <x:v>m</x:v>
      </x:c>
      <x:c r="G250" s="38" t="str">
        <x:v>TRF-054</x:v>
      </x:c>
      <x:c r="H250" s="35" t="str">
        <x:v>Applicable TRAFICOM regulation wording plus explicit engineering node/operand role</x:v>
      </x:c>
      <x:c r="I250" s="35" t="str">
        <x:v>N4 - explicit engineering quantity in ASCII lowerCamelCase; formula symbols remain aliases only.</x:v>
      </x:c>
      <x:c r="J250" s="35" t="str">
        <x:v>ADD_DEVELOPMENT_TERM</x:v>
      </x:c>
    </x:row>
    <x:row r="251">
      <x:c r="A251" s="35" t="str">
        <x:v>distanceToIceBelt</x:v>
      </x:c>
      <x:c r="B251" s="35" t="str">
        <x:v>https://w3id.org/nltl-benchmark/vocab#distanceToIceBelt</x:v>
      </x:c>
      <x:c r="C251" s="35" t="str">
        <x:v>QuantityProperty</x:v>
      </x:c>
      <x:c r="D251" s="35" t="str">
        <x:v>http://qudt.org/schema/qudt/QuantityValue</x:v>
      </x:c>
      <x:c r="E251" s="35" t="str"/>
      <x:c r="F251" s="35" t="str">
        <x:v>m</x:v>
      </x:c>
      <x:c r="G251" s="38" t="str">
        <x:v>TRF-054</x:v>
      </x:c>
      <x:c r="H251" s="35" t="str">
        <x:v>Applicable TRAFICOM regulation wording plus explicit engineering node/operand role</x:v>
      </x:c>
      <x:c r="I251" s="35" t="str">
        <x:v>N4 - explicit engineering quantity in ASCII lowerCamelCase; formula symbols remain aliases only.</x:v>
      </x:c>
      <x:c r="J251" s="35" t="str">
        <x:v>ADD_DEVELOPMENT_TERM</x:v>
      </x:c>
    </x:row>
    <x:row r="252">
      <x:c r="A252" s="35" t="str">
        <x:v>distanceToNearestFastIce</x:v>
      </x:c>
      <x:c r="B252" s="35" t="str">
        <x:v>https://w3id.org/nltl-benchmark/vocab#distanceToNearestFastIce</x:v>
      </x:c>
      <x:c r="C252" s="35" t="str">
        <x:v>QuantityProperty</x:v>
      </x:c>
      <x:c r="D252" s="35" t="str">
        <x:v>http://qudt.org/schema/qudt/QuantityValue</x:v>
      </x:c>
      <x:c r="E252" s="35" t="str"/>
      <x:c r="F252" s="35" t="str">
        <x:v>nautical mile</x:v>
      </x:c>
      <x:c r="G252" s="38" t="str">
        <x:v>IMO-124</x:v>
      </x:c>
      <x:c r="H252" s="35" t="str">
        <x:v>Unit-stripped normalized regulatory variable</x:v>
      </x:c>
      <x:c r="I252" s="35" t="str">
        <x:v>N3 - remove unit from the identifier and retain it in unit/quantity metadata</x:v>
      </x:c>
      <x:c r="J252" s="35" t="str">
        <x:v>REUSE_R2_TERM</x:v>
      </x:c>
    </x:row>
    <x:row r="253">
      <x:c r="A253" s="35" t="str">
        <x:v>distanceToNearestIceShelfOrFastIce</x:v>
      </x:c>
      <x:c r="B253" s="35" t="str">
        <x:v>https://w3id.org/nltl-benchmark/vocab#distanceToNearestIceShelfOrFastIce</x:v>
      </x:c>
      <x:c r="C253" s="35" t="str">
        <x:v>QuantityProperty</x:v>
      </x:c>
      <x:c r="D253" s="35" t="str">
        <x:v>http://qudt.org/schema/qudt/QuantityValue</x:v>
      </x:c>
      <x:c r="E253" s="35" t="str"/>
      <x:c r="F253" s="35" t="str">
        <x:v>nautical mile</x:v>
      </x:c>
      <x:c r="G253" s="38" t="str">
        <x:v>IMO-115 | IMO-116</x:v>
      </x:c>
      <x:c r="H253" s="35" t="str">
        <x:v>Unit-stripped normalized regulatory variable</x:v>
      </x:c>
      <x:c r="I253" s="35" t="str">
        <x:v>N3 - remove unit from the identifier and retain it in unit/quantity metadata</x:v>
      </x:c>
      <x:c r="J253" s="35" t="str">
        <x:v>REUSE_R2_TERM</x:v>
      </x:c>
    </x:row>
    <x:row r="254">
      <x:c r="A254" s="35" t="str">
        <x:v>distanceToNearestLandIceShelfOrFastIce</x:v>
      </x:c>
      <x:c r="B254" s="35" t="str">
        <x:v>https://w3id.org/nltl-benchmark/vocab#distanceToNearestLandIceShelfOrFastIce</x:v>
      </x:c>
      <x:c r="C254" s="35" t="str">
        <x:v>QuantityProperty</x:v>
      </x:c>
      <x:c r="D254" s="35" t="str">
        <x:v>http://qudt.org/schema/qudt/QuantityValue</x:v>
      </x:c>
      <x:c r="E254" s="35" t="str"/>
      <x:c r="F254" s="35" t="str">
        <x:v>nautical mile</x:v>
      </x:c>
      <x:c r="G254" s="38" t="str">
        <x:v>IMO-120 | IMO-123</x:v>
      </x:c>
      <x:c r="H254" s="35" t="str">
        <x:v>Unit-stripped normalized regulatory variable</x:v>
      </x:c>
      <x:c r="I254" s="35" t="str">
        <x:v>N3 - remove unit from the identifier and retain it in unit/quantity metadata</x:v>
      </x:c>
      <x:c r="J254" s="35" t="str">
        <x:v>REUSE_R2_TERM</x:v>
      </x:c>
    </x:row>
    <x:row r="255">
      <x:c r="A255" s="35" t="str">
        <x:v>distressAlertDeviceCount</x:v>
      </x:c>
      <x:c r="B255" s="35" t="str">
        <x:v>https://w3id.org/nltl-benchmark/vocab#distressAlertDeviceCount</x:v>
      </x:c>
      <x:c r="C255" s="35" t="str">
        <x:v>DatatypeProperty</x:v>
      </x:c>
      <x:c r="D255" s="35" t="str">
        <x:v>http://www.w3.org/2001/XMLSchema#integer</x:v>
      </x:c>
      <x:c r="E255" s="35" t="str">
        <x:v>xsd:integer</x:v>
      </x:c>
      <x:c r="F255" s="35" t="str"/>
      <x:c r="G255" s="38" t="str">
        <x:v>IMO-097</x:v>
      </x:c>
      <x:c r="H255" s="35" t="str">
        <x:v>Locked-workbook normalized regulatory term</x:v>
      </x:c>
      <x:c r="I255" s="35" t="str">
        <x:v>N4 - preserve the source concept; normalize spelling to ASCII lowerCamelCase</x:v>
      </x:c>
      <x:c r="J255" s="35" t="str">
        <x:v>REUSE_R2_TERM</x:v>
      </x:c>
    </x:row>
    <x:row r="256">
      <x:c r="A256" s="35" t="str">
        <x:v>documentArtifact</x:v>
      </x:c>
      <x:c r="B256" s="35" t="str">
        <x:v>https://w3id.org/nltl-benchmark/vocab#documentArtifact</x:v>
      </x:c>
      <x:c r="C256" s="35" t="str">
        <x:v>Class</x:v>
      </x:c>
      <x:c r="D256" s="35" t="str">
        <x:v>https://w3id.org/nltl-benchmark/vocab#evidenceArtifact</x:v>
      </x:c>
      <x:c r="E256" s="35" t="str"/>
      <x:c r="F256" s="35" t="str"/>
      <x:c r="G256" s="38" t="str">
        <x:v>TRF-014 | TRF-034</x:v>
      </x:c>
      <x:c r="H256" s="35" t="str">
        <x:v>Applicable TRAFICOM regulation wording plus explicit engineering node/operand role</x:v>
      </x:c>
      <x:c r="I256" s="35" t="str">
        <x:v>N4 - singular ASCII lowerCamelCase entity name derived from the linked regulatory role.</x:v>
      </x:c>
      <x:c r="J256" s="35" t="str">
        <x:v>ADD_DEVELOPMENT_TERM</x:v>
      </x:c>
    </x:row>
    <x:row r="257">
      <x:c r="A257" s="35" t="str">
        <x:v>documentedPolarOperationProcedurePresent</x:v>
      </x:c>
      <x:c r="B257" s="35" t="str">
        <x:v>https://w3id.org/nltl-benchmark/vocab#documentedPolarOperationProcedurePresent</x:v>
      </x:c>
      <x:c r="C257" s="35" t="str">
        <x:v>DatatypeProperty</x:v>
      </x:c>
      <x:c r="D257" s="35" t="str">
        <x:v>http://www.w3.org/2001/XMLSchema#boolean</x:v>
      </x:c>
      <x:c r="E257" s="35" t="str">
        <x:v>xsd:boolean</x:v>
      </x:c>
      <x:c r="F257" s="35" t="str"/>
      <x:c r="G257" s="38" t="str">
        <x:v>IMO26-018</x:v>
      </x:c>
      <x:c r="H257" s="35" t="str">
        <x:v>Locked-workbook normalized regulatory term</x:v>
      </x:c>
      <x:c r="I257" s="35" t="str">
        <x:v>N4 - preserve the source concept; normalize spelling to ASCII lowerCamelCase</x:v>
      </x:c>
      <x:c r="J257" s="35" t="str">
        <x:v>REUSE_R2_TERM</x:v>
      </x:c>
    </x:row>
    <x:row r="258">
      <x:c r="A258" s="35" t="str">
        <x:v>doubleContinuousWeld</x:v>
      </x:c>
      <x:c r="B258" s="35" t="str">
        <x:v>https://w3id.org/nltl-benchmark/vocab#doubleContinuousWeld</x:v>
      </x:c>
      <x:c r="C258" s="35" t="str">
        <x:v>NamedIndividual</x:v>
      </x:c>
      <x:c r="D258" s="35" t="str">
        <x:v>https://w3id.org/nltl-benchmark/vocab#weldTypeValue</x:v>
      </x:c>
      <x:c r="E258" s="35" t="str"/>
      <x:c r="F258" s="35" t="str"/>
      <x:c r="G258" s="38" t="str">
        <x:v>TRF-050</x:v>
      </x:c>
      <x:c r="H258" s="35" t="str">
        <x:v>Applicable TRAFICOM regulation wording plus explicit engineering node/operand role</x:v>
      </x:c>
      <x:c r="I258" s="35" t="str">
        <x:v>N6 - concise ASCII lowerCamelCase controlled-value name grounded in the linked regulation.</x:v>
      </x:c>
      <x:c r="J258" s="35" t="str">
        <x:v>ADD_DEVELOPMENT_TERM</x:v>
      </x:c>
    </x:row>
    <x:row r="259">
      <x:c r="A259" s="35" t="str">
        <x:v>drainageMeansPresent</x:v>
      </x:c>
      <x:c r="B259" s="35" t="str">
        <x:v>https://w3id.org/nltl-benchmark/vocab#drainageMeansPresent</x:v>
      </x:c>
      <x:c r="C259" s="35" t="str">
        <x:v>DatatypeProperty</x:v>
      </x:c>
      <x:c r="D259" s="35" t="str">
        <x:v>http://www.w3.org/2001/XMLSchema#boolean</x:v>
      </x:c>
      <x:c r="E259" s="35" t="str">
        <x:v>xsd:boolean</x:v>
      </x:c>
      <x:c r="F259" s="35" t="str"/>
      <x:c r="G259" s="38" t="str">
        <x:v>IMO-058</x:v>
      </x:c>
      <x:c r="H259" s="35" t="str">
        <x:v>Locked-workbook normalized regulatory term</x:v>
      </x:c>
      <x:c r="I259" s="35" t="str">
        <x:v>N4 - preserve the source concept; normalize spelling to ASCII lowerCamelCase</x:v>
      </x:c>
      <x:c r="J259" s="35" t="str">
        <x:v>REUSE_R2_TERM</x:v>
      </x:c>
    </x:row>
    <x:row r="260">
      <x:c r="A260" s="35" t="str">
        <x:v>draughtAmidships</x:v>
      </x:c>
      <x:c r="B260" s="35" t="str">
        <x:v>https://w3id.org/nltl-benchmark/vocab#draughtAmidships</x:v>
      </x:c>
      <x:c r="C260" s="35" t="str">
        <x:v>QuantityProperty</x:v>
      </x:c>
      <x:c r="D260" s="35" t="str">
        <x:v>http://qudt.org/schema/qudt/QuantityValue</x:v>
      </x:c>
      <x:c r="E260" s="35" t="str"/>
      <x:c r="F260" s="35" t="str">
        <x:v>m</x:v>
      </x:c>
      <x:c r="G260" s="38" t="str">
        <x:v>TRF-016</x:v>
      </x:c>
      <x:c r="H260" s="35" t="str">
        <x:v>Unit-stripped normalized regulatory variable</x:v>
      </x:c>
      <x:c r="I260" s="35" t="str">
        <x:v>N3 - remove unit from the identifier and retain it in unit/quantity metadata</x:v>
      </x:c>
      <x:c r="J260" s="35" t="str">
        <x:v>REUSE_R2_TERM</x:v>
      </x:c>
    </x:row>
    <x:row r="261">
      <x:c r="A261" s="35" t="str">
        <x:v>draughtAtAftPerpendicular</x:v>
      </x:c>
      <x:c r="B261" s="35" t="str">
        <x:v>https://w3id.org/nltl-benchmark/vocab#draughtAtAftPerpendicular</x:v>
      </x:c>
      <x:c r="C261" s="35" t="str">
        <x:v>QuantityProperty</x:v>
      </x:c>
      <x:c r="D261" s="35" t="str">
        <x:v>http://qudt.org/schema/qudt/QuantityValue</x:v>
      </x:c>
      <x:c r="E261" s="35" t="str"/>
      <x:c r="F261" s="35" t="str">
        <x:v>m</x:v>
      </x:c>
      <x:c r="G261" s="38" t="str">
        <x:v>TRF-013</x:v>
      </x:c>
      <x:c r="H261" s="35" t="str">
        <x:v>Applicable TRAFICOM regulation wording plus explicit engineering node/operand role</x:v>
      </x:c>
      <x:c r="I261" s="35" t="str">
        <x:v>N4 - explicit engineering quantity in ASCII lowerCamelCase; formula symbols remain aliases only.</x:v>
      </x:c>
      <x:c r="J261" s="35" t="str">
        <x:v>ADD_DEVELOPMENT_TERM</x:v>
      </x:c>
    </x:row>
    <x:row r="262">
      <x:c r="A262" s="35" t="str">
        <x:v>draughtAtForePerpendicular</x:v>
      </x:c>
      <x:c r="B262" s="35" t="str">
        <x:v>https://w3id.org/nltl-benchmark/vocab#draughtAtForePerpendicular</x:v>
      </x:c>
      <x:c r="C262" s="35" t="str">
        <x:v>QuantityProperty</x:v>
      </x:c>
      <x:c r="D262" s="35" t="str">
        <x:v>http://qudt.org/schema/qudt/QuantityValue</x:v>
      </x:c>
      <x:c r="E262" s="35" t="str"/>
      <x:c r="F262" s="35" t="str">
        <x:v>m</x:v>
      </x:c>
      <x:c r="G262" s="38" t="str">
        <x:v>TRF-013</x:v>
      </x:c>
      <x:c r="H262" s="35" t="str">
        <x:v>Applicable TRAFICOM regulation wording plus explicit engineering node/operand role</x:v>
      </x:c>
      <x:c r="I262" s="35" t="str">
        <x:v>N4 - explicit engineering quantity in ASCII lowerCamelCase; formula symbols remain aliases only.</x:v>
      </x:c>
      <x:c r="J262" s="35" t="str">
        <x:v>ADD_DEVELOPMENT_TERM</x:v>
      </x:c>
    </x:row>
    <x:row r="263">
      <x:c r="A263" s="35" t="str">
        <x:v>durationTestStatus</x:v>
      </x:c>
      <x:c r="B263" s="35" t="str">
        <x:v>https://w3id.org/nltl-benchmark/vocab#durationTestStatus</x:v>
      </x:c>
      <x:c r="C263" s="35" t="str">
        <x:v>DatatypeProperty</x:v>
      </x:c>
      <x:c r="D263" s="35" t="str">
        <x:v>http://www.w3.org/2001/XMLSchema#boolean</x:v>
      </x:c>
      <x:c r="E263" s="35" t="str">
        <x:v>xsd:boolean</x:v>
      </x:c>
      <x:c r="F263" s="35" t="str"/>
      <x:c r="G263" s="38" t="str">
        <x:v>IMO-093</x:v>
      </x:c>
      <x:c r="H263" s="35" t="str">
        <x:v>Locked-workbook normalized regulatory term</x:v>
      </x:c>
      <x:c r="I263" s="35" t="str">
        <x:v>N4 - preserve the source concept; normalize spelling to ASCII lowerCamelCase</x:v>
      </x:c>
      <x:c r="J263" s="35" t="str">
        <x:v>REUSE_R2_TERM</x:v>
      </x:c>
    </x:row>
    <x:row r="264">
      <x:c r="A264" s="35" t="str">
        <x:v>echoSoundingDeviceCount</x:v>
      </x:c>
      <x:c r="B264" s="35" t="str">
        <x:v>https://w3id.org/nltl-benchmark/vocab#echoSoundingDeviceCount</x:v>
      </x:c>
      <x:c r="C264" s="35" t="str">
        <x:v>DatatypeProperty</x:v>
      </x:c>
      <x:c r="D264" s="35" t="str">
        <x:v>http://www.w3.org/2001/XMLSchema#integer</x:v>
      </x:c>
      <x:c r="E264" s="35" t="str">
        <x:v>xsd:integer</x:v>
      </x:c>
      <x:c r="F264" s="35" t="str"/>
      <x:c r="G264" s="38" t="str">
        <x:v>IMO-081 | IMO26-007</x:v>
      </x:c>
      <x:c r="H264" s="35" t="str">
        <x:v>Locked-workbook normalized regulatory term</x:v>
      </x:c>
      <x:c r="I264" s="35" t="str">
        <x:v>N4 - preserve the source concept; normalize spelling to ASCII lowerCamelCase</x:v>
      </x:c>
      <x:c r="J264" s="35" t="str">
        <x:v>REUSE_R2_TERM</x:v>
      </x:c>
    </x:row>
    <x:row r="265">
      <x:c r="A265" s="35" t="str">
        <x:v>effectiveAttachmentConfirmed</x:v>
      </x:c>
      <x:c r="B265" s="35" t="str">
        <x:v>https://w3id.org/nltl-benchmark/vocab#effectiveAttachmentConfirmed</x:v>
      </x:c>
      <x:c r="C265" s="35" t="str">
        <x:v>DatatypeProperty</x:v>
      </x:c>
      <x:c r="D265" s="35" t="str">
        <x:v>http://www.w3.org/2001/XMLSchema#boolean</x:v>
      </x:c>
      <x:c r="E265" s="35" t="str">
        <x:v>xsd:boolean</x:v>
      </x:c>
      <x:c r="F265" s="35" t="str"/>
      <x:c r="G265" s="38" t="str">
        <x:v>TRF-049</x:v>
      </x:c>
      <x:c r="H265" s="35" t="str">
        <x:v>Applicable TRAFICOM regulation wording plus explicit engineering node/operand role</x:v>
      </x:c>
      <x:c r="I265" s="35" t="str">
        <x:v>N4 - explicit regulatory concept in ASCII lowerCamelCase with an XSD datatype.</x:v>
      </x:c>
      <x:c r="J265" s="35" t="str">
        <x:v>ADD_DEVELOPMENT_TERM</x:v>
      </x:c>
    </x:row>
    <x:row r="266">
      <x:c r="A266" s="35" t="str">
        <x:v>effectiveFrameSpan</x:v>
      </x:c>
      <x:c r="B266" s="35" t="str">
        <x:v>https://w3id.org/nltl-benchmark/vocab#effectiveFrameSpan</x:v>
      </x:c>
      <x:c r="C266" s="35" t="str">
        <x:v>QuantityProperty</x:v>
      </x:c>
      <x:c r="D266" s="35" t="str">
        <x:v>http://qudt.org/schema/qudt/QuantityValue</x:v>
      </x:c>
      <x:c r="E266" s="35" t="str"/>
      <x:c r="F266" s="35" t="str">
        <x:v>m</x:v>
      </x:c>
      <x:c r="G266" s="38" t="str">
        <x:v>TRF-044</x:v>
      </x:c>
      <x:c r="H266" s="35" t="str">
        <x:v>Applicable TRAFICOM regulation wording plus explicit engineering node/operand role</x:v>
      </x:c>
      <x:c r="I266" s="35" t="str">
        <x:v>N4 - explicit engineering quantity in ASCII lowerCamelCase; formula symbols remain aliases only.</x:v>
      </x:c>
      <x:c r="J266" s="35" t="str">
        <x:v>ADD_DEVELOPMENT_TERM</x:v>
      </x:c>
    </x:row>
    <x:row r="267">
      <x:c r="A267" s="35" t="str">
        <x:v>effectiveMemberCrossSection</x:v>
      </x:c>
      <x:c r="B267" s="35" t="str">
        <x:v>https://w3id.org/nltl-benchmark/vocab#effectiveMemberCrossSection</x:v>
      </x:c>
      <x:c r="C267" s="35" t="str">
        <x:v>Class</x:v>
      </x:c>
      <x:c r="D267" s="35" t="str">
        <x:v>https://w3id.org/nltl-benchmark/vocab#benchmarkEntity</x:v>
      </x:c>
      <x:c r="E267" s="35" t="str"/>
      <x:c r="F267" s="35" t="str"/>
      <x:c r="G267" s="38" t="str">
        <x:v>TRF-034</x:v>
      </x:c>
      <x:c r="H267" s="35" t="str">
        <x:v>Applicable TRAFICOM regulation wording plus explicit engineering node/operand role</x:v>
      </x:c>
      <x:c r="I267" s="35" t="str">
        <x:v>N4 - singular ASCII lowerCamelCase entity name derived from the linked regulatory role.</x:v>
      </x:c>
      <x:c r="J267" s="35" t="str">
        <x:v>ADD_DEVELOPMENT_TERM</x:v>
      </x:c>
    </x:row>
    <x:row r="268">
      <x:c r="A268" s="35" t="str">
        <x:v>elasticCouplingPresent</x:v>
      </x:c>
      <x:c r="B268" s="35" t="str">
        <x:v>https://w3id.org/nltl-benchmark/vocab#elasticCouplingPresent</x:v>
      </x:c>
      <x:c r="C268" s="35" t="str">
        <x:v>DatatypeProperty</x:v>
      </x:c>
      <x:c r="D268" s="35" t="str">
        <x:v>http://www.w3.org/2001/XMLSchema#boolean</x:v>
      </x:c>
      <x:c r="E268" s="35" t="str">
        <x:v>xsd:boolean</x:v>
      </x:c>
      <x:c r="F268" s="35" t="str"/>
      <x:c r="G268" s="38" t="str">
        <x:v>TRF-093</x:v>
      </x:c>
      <x:c r="H268" s="35" t="str">
        <x:v>Benchmark-coined descriptive engineering term</x:v>
      </x:c>
      <x:c r="I268" s="35" t="str">
        <x:v>N5 - component or subject first, followed by characteristic and qualifier/state; no unsupported external mapping</x:v>
      </x:c>
      <x:c r="J268" s="35" t="str">
        <x:v>REUSE_R2_TERM</x:v>
      </x:c>
    </x:row>
    <x:row r="269">
      <x:c r="A269" s="35" t="str">
        <x:v>electricPropulsionMachinery</x:v>
      </x:c>
      <x:c r="B269" s="35" t="str">
        <x:v>https://w3id.org/nltl-benchmark/vocab#electricPropulsionMachinery</x:v>
      </x:c>
      <x:c r="C269" s="35" t="str">
        <x:v>NamedIndividual</x:v>
      </x:c>
      <x:c r="D269" s="35" t="str">
        <x:v>https://w3id.org/nltl-benchmark/vocab#propulsionSystemTypeValue</x:v>
      </x:c>
      <x:c r="E269" s="35" t="str"/>
      <x:c r="F269" s="35" t="str"/>
      <x:c r="G269" s="38" t="str">
        <x:v>TRF-020</x:v>
      </x:c>
      <x:c r="H269" s="35" t="str">
        <x:v>Applicable TRAFICOM regulation wording plus explicit engineering node/operand role</x:v>
      </x:c>
      <x:c r="I269" s="35" t="str">
        <x:v>N6 - concise ASCII lowerCamelCase controlled-value name grounded in the linked regulation.</x:v>
      </x:c>
      <x:c r="J269" s="35" t="str">
        <x:v>ADD_DEVELOPMENT_TERM</x:v>
      </x:c>
    </x:row>
    <x:row r="270">
      <x:c r="A270" s="35" t="str">
        <x:v>elongationAtTest</x:v>
      </x:c>
      <x:c r="B270" s="35" t="str">
        <x:v>https://w3id.org/nltl-benchmark/vocab#elongationAtTest</x:v>
      </x:c>
      <x:c r="C270" s="35" t="str">
        <x:v>QuantityProperty</x:v>
      </x:c>
      <x:c r="D270" s="35" t="str">
        <x:v>http://qudt.org/schema/qudt/QuantityValue</x:v>
      </x:c>
      <x:c r="E270" s="35" t="str"/>
      <x:c r="F270" s="35" t="str">
        <x:v>%</x:v>
      </x:c>
      <x:c r="G270" s="38" t="str">
        <x:v>TRF-072</x:v>
      </x:c>
      <x:c r="H270" s="35" t="str">
        <x:v>Benchmark-coined descriptive engineering term</x:v>
      </x:c>
      <x:c r="I270" s="35" t="str">
        <x:v>N5 - component or subject first, followed by characteristic and qualifier/state; no unsupported external mapping</x:v>
      </x:c>
      <x:c r="J270" s="35" t="str">
        <x:v>REUSE_R2_TERM</x:v>
      </x:c>
    </x:row>
    <x:row r="271">
      <x:c r="A271" s="35" t="str">
        <x:v>emergencyFirePump</x:v>
      </x:c>
      <x:c r="B271" s="35" t="str">
        <x:v>https://w3id.org/nltl-benchmark/vocab#emergencyFirePump</x:v>
      </x:c>
      <x:c r="C271" s="35" t="str">
        <x:v>Class</x:v>
      </x:c>
      <x:c r="D271" s="35" t="str">
        <x:v>https://w3id.org/nltl-benchmark/vocab#firePump</x:v>
      </x:c>
      <x:c r="E271" s="35" t="str"/>
      <x:c r="F271" s="35" t="str"/>
      <x:c r="G271" s="38" t="str">
        <x:v>IMO-057</x:v>
      </x:c>
      <x:c r="H271" s="35" t="str">
        <x:v>Applicable regulation explicit wording; R2 benchmark gap repair</x:v>
      </x:c>
      <x:c r="I271" s="35" t="str">
        <x:v>N4 - preserve explicit regulatory entity as ASCII lowerCamelCase</x:v>
      </x:c>
      <x:c r="J271" s="35" t="str">
        <x:v>REUSE_R2_TERM</x:v>
      </x:c>
    </x:row>
    <x:row r="272">
      <x:c r="A272" s="35" t="str">
        <x:v>emergencyPower</x:v>
      </x:c>
      <x:c r="B272" s="35" t="str">
        <x:v>https://w3id.org/nltl-benchmark/vocab#emergencyPower</x:v>
      </x:c>
      <x:c r="C272" s="35" t="str">
        <x:v>QuantityProperty</x:v>
      </x:c>
      <x:c r="D272" s="35" t="str">
        <x:v>http://qudt.org/schema/qudt/QuantityValue</x:v>
      </x:c>
      <x:c r="E272" s="35" t="str"/>
      <x:c r="F272" s="35" t="str">
        <x:v>kW</x:v>
      </x:c>
      <x:c r="G272" s="38" t="str">
        <x:v>IMO-086 | IMO26-012</x:v>
      </x:c>
      <x:c r="H272" s="35" t="str">
        <x:v>Benchmark-coined descriptive engineering term</x:v>
      </x:c>
      <x:c r="I272" s="35" t="str">
        <x:v>N5 - component or subject first, followed by characteristic and qualifier/state; no unsupported external mapping</x:v>
      </x:c>
      <x:c r="J272" s="35" t="str">
        <x:v>REUSE_R2_TERM</x:v>
      </x:c>
    </x:row>
    <x:row r="273">
      <x:c r="A273" s="35" t="str">
        <x:v>emergencyProviderContactProcedurePresent</x:v>
      </x:c>
      <x:c r="B273" s="35" t="str">
        <x:v>https://w3id.org/nltl-benchmark/vocab#emergencyProviderContactProcedurePresent</x:v>
      </x:c>
      <x:c r="C273" s="35" t="str">
        <x:v>DatatypeProperty</x:v>
      </x:c>
      <x:c r="D273" s="35" t="str">
        <x:v>http://www.w3.org/2001/XMLSchema#boolean</x:v>
      </x:c>
      <x:c r="E273" s="35" t="str">
        <x:v>xsd:boolean</x:v>
      </x:c>
      <x:c r="F273" s="35" t="str"/>
      <x:c r="G273" s="38" t="str">
        <x:v>IMO-028</x:v>
      </x:c>
      <x:c r="H273" s="35" t="str">
        <x:v>Locked-workbook normalized regulatory term</x:v>
      </x:c>
      <x:c r="I273" s="35" t="str">
        <x:v>N4 - preserve the source concept; normalize spelling to ASCII lowerCamelCase</x:v>
      </x:c>
      <x:c r="J273" s="35" t="str">
        <x:v>REUSE_R2_TERM</x:v>
      </x:c>
    </x:row>
    <x:row r="274">
      <x:c r="A274" s="35" t="str">
        <x:v>endorsementDates</x:v>
      </x:c>
      <x:c r="B274" s="35" t="str">
        <x:v>https://w3id.org/nltl-benchmark/vocab#endorsementDates</x:v>
      </x:c>
      <x:c r="C274" s="35" t="str">
        <x:v>DatatypeProperty</x:v>
      </x:c>
      <x:c r="D274" s="35" t="str">
        <x:v>http://www.w3.org/2001/XMLSchema#date</x:v>
      </x:c>
      <x:c r="E274" s="35" t="str">
        <x:v>xsd:date</x:v>
      </x:c>
      <x:c r="F274" s="35" t="str"/>
      <x:c r="G274" s="38" t="str">
        <x:v>IMO-017</x:v>
      </x:c>
      <x:c r="H274" s="35" t="str">
        <x:v>Locked-workbook normalized regulatory term</x:v>
      </x:c>
      <x:c r="I274" s="35" t="str">
        <x:v>N4 - preserve the source concept; normalize spelling to ASCII lowerCamelCase</x:v>
      </x:c>
      <x:c r="J274" s="35" t="str">
        <x:v>REUSE_R2_TERM</x:v>
      </x:c>
    </x:row>
    <x:row r="275">
      <x:c r="A275" s="35" t="str">
        <x:v>engagedInTrade</x:v>
      </x:c>
      <x:c r="B275" s="35" t="str">
        <x:v>https://w3id.org/nltl-benchmark/vocab#engagedInTrade</x:v>
      </x:c>
      <x:c r="C275" s="35" t="str">
        <x:v>DatatypeProperty</x:v>
      </x:c>
      <x:c r="D275" s="35" t="str">
        <x:v>http://www.w3.org/2001/XMLSchema#boolean</x:v>
      </x:c>
      <x:c r="E275" s="35" t="str">
        <x:v>xsd:boolean</x:v>
      </x:c>
      <x:c r="F275" s="35" t="str"/>
      <x:c r="G275" s="38" t="str">
        <x:v>IMO26-002 | IMO26-016</x:v>
      </x:c>
      <x:c r="H275" s="35" t="str">
        <x:v>Locked-workbook normalized regulatory term</x:v>
      </x:c>
      <x:c r="I275" s="35" t="str">
        <x:v>N4 - preserve the source concept; normalize spelling to ASCII lowerCamelCase</x:v>
      </x:c>
      <x:c r="J275" s="35" t="str">
        <x:v>REUSE_R2_TERM</x:v>
      </x:c>
    </x:row>
    <x:row r="276">
      <x:c r="A276" s="35" t="str">
        <x:v>engineFiringPulse</x:v>
      </x:c>
      <x:c r="B276" s="35" t="str">
        <x:v>https://w3id.org/nltl-benchmark/vocab#engineFiringPulse</x:v>
      </x:c>
      <x:c r="C276" s="35" t="str">
        <x:v>DatatypeProperty</x:v>
      </x:c>
      <x:c r="D276" s="35" t="str">
        <x:v>http://www.w3.org/2001/XMLSchema#string</x:v>
      </x:c>
      <x:c r="E276" s="35" t="str">
        <x:v>xsd:string</x:v>
      </x:c>
      <x:c r="F276" s="35" t="str"/>
      <x:c r="G276" s="38" t="str">
        <x:v>TRF-093</x:v>
      </x:c>
      <x:c r="H276" s="35" t="str">
        <x:v>Benchmark-coined descriptive engineering term</x:v>
      </x:c>
      <x:c r="I276" s="35" t="str">
        <x:v>N5 - component or subject first, followed by characteristic and qualifier/state; no unsupported external mapping</x:v>
      </x:c>
      <x:c r="J276" s="35" t="str">
        <x:v>REUSE_R2_TERM</x:v>
      </x:c>
    </x:row>
    <x:row r="277">
      <x:c r="A277" s="35" t="str">
        <x:v>engineOutputCoefficientKe</x:v>
      </x:c>
      <x:c r="B277" s="35" t="str">
        <x:v>https://w3id.org/nltl-benchmark/vocab#engineOutputCoefficientKe</x:v>
      </x:c>
      <x:c r="C277" s="35" t="str">
        <x:v>QuantityProperty</x:v>
      </x:c>
      <x:c r="D277" s="35" t="str">
        <x:v>http://qudt.org/schema/qudt/QuantityValue</x:v>
      </x:c>
      <x:c r="E277" s="35" t="str"/>
      <x:c r="F277" s="35" t="str">
        <x:v>1</x:v>
      </x:c>
      <x:c r="G277" s="38" t="str">
        <x:v>TRF-020 | TRF-028</x:v>
      </x:c>
      <x:c r="H277" s="35" t="str">
        <x:v>Verified exact implementation term</x:v>
      </x:c>
      <x:c r="I277" s="35" t="str">
        <x:v>N1 - reuse only after exact URI and semantic-context verification</x:v>
      </x:c>
      <x:c r="J277" s="35" t="str">
        <x:v>REUSE_R2_TERM</x:v>
      </x:c>
    </x:row>
    <x:row r="278">
      <x:c r="A278" s="35" t="str">
        <x:v>engineOutputComplianceMethod</x:v>
      </x:c>
      <x:c r="B278" s="35" t="str">
        <x:v>https://w3id.org/nltl-benchmark/vocab#engineOutputComplianceMethod</x:v>
      </x:c>
      <x:c r="C278" s="35" t="str">
        <x:v>ObjectProperty</x:v>
      </x:c>
      <x:c r="D278" s="35" t="str">
        <x:v>https://w3id.org/nltl-benchmark/vocab#engineOutputComplianceMethodValue</x:v>
      </x:c>
      <x:c r="E278" s="35" t="str"/>
      <x:c r="F278" s="35" t="str"/>
      <x:c r="G278" s="38" t="str">
        <x:v>TRF-007 | TRF-009 | TRF-024</x:v>
      </x:c>
      <x:c r="H278" s="35" t="str">
        <x:v>Applicable TRAFICOM regulation wording plus explicit engineering node/operand role</x:v>
      </x:c>
      <x:c r="I278" s="35" t="str">
        <x:v>N5 - ASCII lowerCamelCase relationship; use has + object role when it improves direction clarity.</x:v>
      </x:c>
      <x:c r="J278" s="35" t="str">
        <x:v>ADD_DEVELOPMENT_TERM</x:v>
      </x:c>
    </x:row>
    <x:row r="279">
      <x:c r="A279" s="35" t="str">
        <x:v>engineOutputComplianceMethodValue</x:v>
      </x:c>
      <x:c r="B279" s="35" t="str">
        <x:v>https://w3id.org/nltl-benchmark/vocab#engineOutputComplianceMethodValue</x:v>
      </x:c>
      <x:c r="C279" s="35" t="str">
        <x:v>Class</x:v>
      </x:c>
      <x:c r="D279" s="35" t="str">
        <x:v>https://w3id.org/nltl-benchmark/vocab#benchmarkEntity</x:v>
      </x:c>
      <x:c r="E279" s="35" t="str"/>
      <x:c r="F279" s="35" t="str"/>
      <x:c r="G279" s="38" t="str">
        <x:v>TRF-007 | TRF-009 | TRF-024</x:v>
      </x:c>
      <x:c r="H279" s="35" t="str">
        <x:v>Applicable TRAFICOM regulation wording plus explicit engineering node/operand role</x:v>
      </x:c>
      <x:c r="I279" s="35" t="str">
        <x:v>N4 - singular ASCII lowerCamelCase entity name derived from the linked regulatory role.</x:v>
      </x:c>
      <x:c r="J279" s="35" t="str">
        <x:v>ADD_DEVELOPMENT_TERM</x:v>
      </x:c>
    </x:row>
    <x:row r="280">
      <x:c r="A280" s="35" t="str">
        <x:v>engineOutputRegulationEdition</x:v>
      </x:c>
      <x:c r="B280" s="35" t="str">
        <x:v>https://w3id.org/nltl-benchmark/vocab#engineOutputRegulationEdition</x:v>
      </x:c>
      <x:c r="C280" s="35" t="str">
        <x:v>ObjectProperty</x:v>
      </x:c>
      <x:c r="D280" s="35" t="str">
        <x:v>https://w3id.org/nltl-benchmark/vocab#iceClassRegulationEditionValue</x:v>
      </x:c>
      <x:c r="E280" s="35" t="str"/>
      <x:c r="F280" s="35" t="str"/>
      <x:c r="G280" s="38" t="str">
        <x:v>TRF-006</x:v>
      </x:c>
      <x:c r="H280" s="35" t="str">
        <x:v>Applicable TRAFICOM regulation wording plus explicit engineering node/operand role</x:v>
      </x:c>
      <x:c r="I280" s="35" t="str">
        <x:v>N5 - ASCII lowerCamelCase relationship; use has + object role when it improves direction clarity.</x:v>
      </x:c>
      <x:c r="J280" s="35" t="str">
        <x:v>ADD_DEVELOPMENT_TERM</x:v>
      </x:c>
    </x:row>
    <x:row r="281">
      <x:c r="A281" s="35" t="str">
        <x:v>engineSpeedDrop</x:v>
      </x:c>
      <x:c r="B281" s="35" t="str">
        <x:v>https://w3id.org/nltl-benchmark/vocab#engineSpeedDrop</x:v>
      </x:c>
      <x:c r="C281" s="35" t="str">
        <x:v>QuantityProperty</x:v>
      </x:c>
      <x:c r="D281" s="35" t="str">
        <x:v>http://qudt.org/schema/qudt/QuantityValue</x:v>
      </x:c>
      <x:c r="E281" s="35" t="str"/>
      <x:c r="F281" s="35" t="str">
        <x:v>rev/min</x:v>
      </x:c>
      <x:c r="G281" s="38" t="str">
        <x:v>TRF-096</x:v>
      </x:c>
      <x:c r="H281" s="35" t="str">
        <x:v>Benchmark-coined descriptive engineering term</x:v>
      </x:c>
      <x:c r="I281" s="35" t="str">
        <x:v>N5 - component or subject first, followed by characteristic and qualifier/state; no unsupported external mapping</x:v>
      </x:c>
      <x:c r="J281" s="35" t="str">
        <x:v>REUSE_R2_TERM</x:v>
      </x:c>
    </x:row>
    <x:row r="282">
      <x:c r="A282" s="35" t="str">
        <x:v>engineStandstillReached</x:v>
      </x:c>
      <x:c r="B282" s="35" t="str">
        <x:v>https://w3id.org/nltl-benchmark/vocab#engineStandstillReached</x:v>
      </x:c>
      <x:c r="C282" s="35" t="str">
        <x:v>DatatypeProperty</x:v>
      </x:c>
      <x:c r="D282" s="35" t="str">
        <x:v>http://www.w3.org/2001/XMLSchema#boolean</x:v>
      </x:c>
      <x:c r="E282" s="35" t="str">
        <x:v>xsd:boolean</x:v>
      </x:c>
      <x:c r="F282" s="35" t="str"/>
      <x:c r="G282" s="38" t="str">
        <x:v>TRF-096</x:v>
      </x:c>
      <x:c r="H282" s="35" t="str">
        <x:v>Benchmark-coined descriptive engineering term</x:v>
      </x:c>
      <x:c r="I282" s="35" t="str">
        <x:v>N5 - component or subject first, followed by characteristic and qualifier/state; no unsupported external mapping</x:v>
      </x:c>
      <x:c r="J282" s="35" t="str">
        <x:v>REUSE_R2_TERM</x:v>
      </x:c>
    </x:row>
    <x:row r="283">
      <x:c r="A283" s="35" t="str">
        <x:v>entireCargoTankLengthDoubleBottomProtectionStatus</x:v>
      </x:c>
      <x:c r="B283" s="35" t="str">
        <x:v>https://w3id.org/nltl-benchmark/vocab#entireCargoTankLengthDoubleBottomProtectionStatus</x:v>
      </x:c>
      <x:c r="C283" s="35" t="str">
        <x:v>DatatypeProperty</x:v>
      </x:c>
      <x:c r="D283" s="35" t="str">
        <x:v>http://www.w3.org/2001/XMLSchema#boolean</x:v>
      </x:c>
      <x:c r="E283" s="35" t="str">
        <x:v>xsd:boolean</x:v>
      </x:c>
      <x:c r="F283" s="35" t="str"/>
      <x:c r="G283" s="38" t="str">
        <x:v>IMO-110</x:v>
      </x:c>
      <x:c r="H283" s="35" t="str">
        <x:v>Locked-workbook normalized regulatory term</x:v>
      </x:c>
      <x:c r="I283" s="35" t="str">
        <x:v>N4 - preserve the source concept; normalize spelling to ASCII lowerCamelCase</x:v>
      </x:c>
      <x:c r="J283" s="35" t="str">
        <x:v>REUSE_R2_TERM</x:v>
      </x:c>
    </x:row>
    <x:row r="284">
      <x:c r="A284" s="35" t="str">
        <x:v>environmentalForecastArrangements</x:v>
      </x:c>
      <x:c r="B284" s="35" t="str">
        <x:v>https://w3id.org/nltl-benchmark/vocab#environmentalForecastArrangements</x:v>
      </x:c>
      <x:c r="C284" s="35" t="str">
        <x:v>DatatypeProperty</x:v>
      </x:c>
      <x:c r="D284" s="35" t="str">
        <x:v>http://www.w3.org/2001/XMLSchema#string</x:v>
      </x:c>
      <x:c r="E284" s="35" t="str">
        <x:v>xsd:string</x:v>
      </x:c>
      <x:c r="F284" s="35" t="str"/>
      <x:c r="G284" s="38" t="str">
        <x:v>IMO-027</x:v>
      </x:c>
      <x:c r="H284" s="35" t="str">
        <x:v>Locked-workbook normalized regulatory term</x:v>
      </x:c>
      <x:c r="I284" s="35" t="str">
        <x:v>N4 - preserve the source concept; normalize spelling to ASCII lowerCamelCase</x:v>
      </x:c>
      <x:c r="J284" s="35" t="str">
        <x:v>REUSE_R2_TERM</x:v>
      </x:c>
    </x:row>
    <x:row r="285">
      <x:c r="A285" s="35" t="str">
        <x:v>environmentalFunctionalityMeasures</x:v>
      </x:c>
      <x:c r="B285" s="35" t="str">
        <x:v>https://w3id.org/nltl-benchmark/vocab#environmentalFunctionalityMeasures</x:v>
      </x:c>
      <x:c r="C285" s="35" t="str">
        <x:v>DatatypeProperty</x:v>
      </x:c>
      <x:c r="D285" s="35" t="str">
        <x:v>http://www.w3.org/2001/XMLSchema#boolean</x:v>
      </x:c>
      <x:c r="E285" s="35" t="str">
        <x:v>xsd:boolean</x:v>
      </x:c>
      <x:c r="F285" s="35" t="str"/>
      <x:c r="G285" s="38" t="str">
        <x:v>IMO-027</x:v>
      </x:c>
      <x:c r="H285" s="35" t="str">
        <x:v>Locked-workbook normalized regulatory term</x:v>
      </x:c>
      <x:c r="I285" s="35" t="str">
        <x:v>N4 - preserve the source concept; normalize spelling to ASCII lowerCamelCase</x:v>
      </x:c>
      <x:c r="J285" s="35" t="str">
        <x:v>REUSE_R2_TERM</x:v>
      </x:c>
    </x:row>
    <x:row r="286">
      <x:c r="A286" s="35" t="str">
        <x:v>environmentalFunctionalityTestStatus</x:v>
      </x:c>
      <x:c r="B286" s="35" t="str">
        <x:v>https://w3id.org/nltl-benchmark/vocab#environmentalFunctionalityTestStatus</x:v>
      </x:c>
      <x:c r="C286" s="35" t="str">
        <x:v>DatatypeProperty</x:v>
      </x:c>
      <x:c r="D286" s="35" t="str">
        <x:v>http://www.w3.org/2001/XMLSchema#boolean</x:v>
      </x:c>
      <x:c r="E286" s="35" t="str">
        <x:v>xsd:boolean</x:v>
      </x:c>
      <x:c r="F286" s="35" t="str"/>
      <x:c r="G286" s="38" t="str">
        <x:v>IMO26-004</x:v>
      </x:c>
      <x:c r="H286" s="35" t="str">
        <x:v>Locked-workbook normalized regulatory term</x:v>
      </x:c>
      <x:c r="I286" s="35" t="str">
        <x:v>N4 - preserve the source concept; normalize spelling to ASCII lowerCamelCase</x:v>
      </x:c>
      <x:c r="J286" s="35" t="str">
        <x:v>REUSE_R2_TERM</x:v>
      </x:c>
    </x:row>
    <x:row r="287">
      <x:c r="A287" s="35" t="str">
        <x:v>equivalentBladeFatigueStress</x:v>
      </x:c>
      <x:c r="B287" s="35" t="str">
        <x:v>https://w3id.org/nltl-benchmark/vocab#equivalentBladeFatigueStress</x:v>
      </x:c>
      <x:c r="C287" s="35" t="str">
        <x:v>QuantityProperty</x:v>
      </x:c>
      <x:c r="D287" s="35" t="str">
        <x:v>http://qudt.org/schema/qudt/QuantityValue</x:v>
      </x:c>
      <x:c r="E287" s="35" t="str"/>
      <x:c r="F287" s="35" t="str">
        <x:v>MPa</x:v>
      </x:c>
      <x:c r="G287" s="38" t="str">
        <x:v>TRF-110</x:v>
      </x:c>
      <x:c r="H287" s="35" t="str">
        <x:v>Regulatory symbol expanded from a directly verified definition</x:v>
      </x:c>
      <x:c r="I287" s="35" t="str">
        <x:v>N2 - replace formula symbol with its clause-defined engineering meaning; preserve symbol as alias</x:v>
      </x:c>
      <x:c r="J287" s="35" t="str">
        <x:v>REUSE_R2_TERM</x:v>
      </x:c>
    </x:row>
    <x:row r="288">
      <x:c r="A288" s="35" t="str">
        <x:v>equivalentImpactSphereRadius</x:v>
      </x:c>
      <x:c r="B288" s="35" t="str">
        <x:v>https://w3id.org/nltl-benchmark/vocab#equivalentImpactSphereRadius</x:v>
      </x:c>
      <x:c r="C288" s="35" t="str">
        <x:v>QuantityProperty</x:v>
      </x:c>
      <x:c r="D288" s="35" t="str">
        <x:v>http://qudt.org/schema/qudt/QuantityValue</x:v>
      </x:c>
      <x:c r="E288" s="35" t="str"/>
      <x:c r="F288" s="35" t="str">
        <x:v>m</x:v>
      </x:c>
      <x:c r="G288" s="38" t="str">
        <x:v>TRF-114 | TRF-116</x:v>
      </x:c>
      <x:c r="H288" s="35" t="str">
        <x:v>Benchmark-coined descriptive engineering term</x:v>
      </x:c>
      <x:c r="I288" s="35" t="str">
        <x:v>N5 - component or subject first, followed by characteristic and qualifier/state; no unsupported external mapping</x:v>
      </x:c>
      <x:c r="J288" s="35" t="str">
        <x:v>REUSE_R2_TERM</x:v>
      </x:c>
    </x:row>
    <x:row r="289">
      <x:c r="A289" s="35" t="str">
        <x:v>equivalentStressCycles</x:v>
      </x:c>
      <x:c r="B289" s="35" t="str">
        <x:v>https://w3id.org/nltl-benchmark/vocab#equivalentStressCycles</x:v>
      </x:c>
      <x:c r="C289" s="35" t="str">
        <x:v>DatatypeProperty</x:v>
      </x:c>
      <x:c r="D289" s="35" t="str">
        <x:v>http://www.w3.org/2001/XMLSchema#integer</x:v>
      </x:c>
      <x:c r="E289" s="35" t="str">
        <x:v>xsd:integer</x:v>
      </x:c>
      <x:c r="F289" s="35" t="str"/>
      <x:c r="G289" s="38" t="str">
        <x:v>TRF-106</x:v>
      </x:c>
      <x:c r="H289" s="35" t="str">
        <x:v>Locked-workbook normalized regulatory term</x:v>
      </x:c>
      <x:c r="I289" s="35" t="str">
        <x:v>N4 - preserve the source concept; normalize spelling to ASCII lowerCamelCase</x:v>
      </x:c>
      <x:c r="J289" s="35" t="str">
        <x:v>REUSE_R2_TERM</x:v>
      </x:c>
    </x:row>
    <x:row r="290">
      <x:c r="A290" s="35" t="str">
        <x:v>equivalentSupportStatusByDirectCalculation</x:v>
      </x:c>
      <x:c r="B290" s="35" t="str">
        <x:v>https://w3id.org/nltl-benchmark/vocab#equivalentSupportStatusByDirectCalculation</x:v>
      </x:c>
      <x:c r="C290" s="35" t="str">
        <x:v>DatatypeProperty</x:v>
      </x:c>
      <x:c r="D290" s="35" t="str">
        <x:v>http://www.w3.org/2001/XMLSchema#boolean</x:v>
      </x:c>
      <x:c r="E290" s="35" t="str">
        <x:v>xsd:boolean</x:v>
      </x:c>
      <x:c r="F290" s="35" t="str"/>
      <x:c r="G290" s="38" t="str">
        <x:v>TRF-052</x:v>
      </x:c>
      <x:c r="H290" s="35" t="str">
        <x:v>Benchmark-coined descriptive engineering term</x:v>
      </x:c>
      <x:c r="I290" s="35" t="str">
        <x:v>N5 - component or subject first, followed by characteristic and qualifier/state; no unsupported external mapping</x:v>
      </x:c>
      <x:c r="J290" s="35" t="str">
        <x:v>REUSE_R2_TERM</x:v>
      </x:c>
    </x:row>
    <x:row r="291">
      <x:c r="A291" s="35" t="str">
        <x:v>escortRequirementsPresent</x:v>
      </x:c>
      <x:c r="B291" s="35" t="str">
        <x:v>https://w3id.org/nltl-benchmark/vocab#escortRequirementsPresent</x:v>
      </x:c>
      <x:c r="C291" s="35" t="str">
        <x:v>DatatypeProperty</x:v>
      </x:c>
      <x:c r="D291" s="35" t="str">
        <x:v>http://www.w3.org/2001/XMLSchema#boolean</x:v>
      </x:c>
      <x:c r="E291" s="35" t="str">
        <x:v>xsd:boolean</x:v>
      </x:c>
      <x:c r="F291" s="35" t="str"/>
      <x:c r="G291" s="38" t="str">
        <x:v>IMO-030</x:v>
      </x:c>
      <x:c r="H291" s="35" t="str">
        <x:v>Locked-workbook normalized regulatory term</x:v>
      </x:c>
      <x:c r="I291" s="35" t="str">
        <x:v>N4 - preserve the source concept; normalize spelling to ASCII lowerCamelCase</x:v>
      </x:c>
      <x:c r="J291" s="35" t="str">
        <x:v>REUSE_R2_TERM</x:v>
      </x:c>
    </x:row>
    <x:row r="292">
      <x:c r="A292" s="35" t="str">
        <x:v>escortedOperationLimits</x:v>
      </x:c>
      <x:c r="B292" s="35" t="str">
        <x:v>https://w3id.org/nltl-benchmark/vocab#escortedOperationLimits</x:v>
      </x:c>
      <x:c r="C292" s="35" t="str">
        <x:v>DatatypeProperty</x:v>
      </x:c>
      <x:c r="D292" s="35" t="str">
        <x:v>http://www.w3.org/2001/XMLSchema#string</x:v>
      </x:c>
      <x:c r="E292" s="35" t="str">
        <x:v>xsd:string</x:v>
      </x:c>
      <x:c r="F292" s="35" t="str"/>
      <x:c r="G292" s="38" t="str">
        <x:v>IMO-030</x:v>
      </x:c>
      <x:c r="H292" s="35" t="str">
        <x:v>Locked-workbook normalized regulatory term</x:v>
      </x:c>
      <x:c r="I292" s="35" t="str">
        <x:v>N4 - preserve the source concept; normalize spelling to ASCII lowerCamelCase</x:v>
      </x:c>
      <x:c r="J292" s="35" t="str">
        <x:v>REUSE_R2_TERM</x:v>
      </x:c>
    </x:row>
    <x:row r="293">
      <x:c r="A293" s="35" t="str">
        <x:v>essentialEngine</x:v>
      </x:c>
      <x:c r="B293" s="35" t="str">
        <x:v>https://w3id.org/nltl-benchmark/vocab#essentialEngine</x:v>
      </x:c>
      <x:c r="C293" s="35" t="str">
        <x:v>Class</x:v>
      </x:c>
      <x:c r="D293" s="35" t="str">
        <x:v>https://w3id.org/nltl-benchmark/vocab#machineryComponent</x:v>
      </x:c>
      <x:c r="E293" s="35" t="str"/>
      <x:c r="F293" s="35" t="str"/>
      <x:c r="G293" s="38" t="str">
        <x:v>IMO-047</x:v>
      </x:c>
      <x:c r="H293" s="35" t="str">
        <x:v>Locked-workbook normalized regulatory term</x:v>
      </x:c>
      <x:c r="I293" s="35" t="str">
        <x:v>N4 - preserve the source concept; normalize spelling to ASCII lowerCamelCase</x:v>
      </x:c>
      <x:c r="J293" s="35" t="str">
        <x:v>REUSE_R2_TERM</x:v>
      </x:c>
    </x:row>
    <x:row r="294">
      <x:c r="A294" s="35" t="str">
        <x:v>evacuationTestStatus</x:v>
      </x:c>
      <x:c r="B294" s="35" t="str">
        <x:v>https://w3id.org/nltl-benchmark/vocab#evacuationTestStatus</x:v>
      </x:c>
      <x:c r="C294" s="35" t="str">
        <x:v>DatatypeProperty</x:v>
      </x:c>
      <x:c r="D294" s="35" t="str">
        <x:v>http://www.w3.org/2001/XMLSchema#boolean</x:v>
      </x:c>
      <x:c r="E294" s="35" t="str">
        <x:v>xsd:boolean</x:v>
      </x:c>
      <x:c r="F294" s="35" t="str"/>
      <x:c r="G294" s="38" t="str">
        <x:v>IMO-063</x:v>
      </x:c>
      <x:c r="H294" s="35" t="str">
        <x:v>Locked-workbook normalized regulatory term</x:v>
      </x:c>
      <x:c r="I294" s="35" t="str">
        <x:v>N4 - preserve the source concept; normalize spelling to ASCII lowerCamelCase</x:v>
      </x:c>
      <x:c r="J294" s="35" t="str">
        <x:v>REUSE_R2_TERM</x:v>
      </x:c>
    </x:row>
    <x:row r="295">
      <x:c r="A295" s="35" t="str">
        <x:v>exceedanceResponseProcedurePresent</x:v>
      </x:c>
      <x:c r="B295" s="35" t="str">
        <x:v>https://w3id.org/nltl-benchmark/vocab#exceedanceResponseProcedurePresent</x:v>
      </x:c>
      <x:c r="C295" s="35" t="str">
        <x:v>DatatypeProperty</x:v>
      </x:c>
      <x:c r="D295" s="35" t="str">
        <x:v>http://www.w3.org/2001/XMLSchema#boolean</x:v>
      </x:c>
      <x:c r="E295" s="35" t="str">
        <x:v>xsd:boolean</x:v>
      </x:c>
      <x:c r="F295" s="35" t="str"/>
      <x:c r="G295" s="38" t="str">
        <x:v>IMO-029</x:v>
      </x:c>
      <x:c r="H295" s="35" t="str">
        <x:v>Locked-workbook normalized regulatory term</x:v>
      </x:c>
      <x:c r="I295" s="35" t="str">
        <x:v>N4 - preserve the source concept; normalize spelling to ASCII lowerCamelCase</x:v>
      </x:c>
      <x:c r="J295" s="35" t="str">
        <x:v>REUSE_R2_TERM</x:v>
      </x:c>
    </x:row>
    <x:row r="296">
      <x:c r="A296" s="35" t="str">
        <x:v>excitationPhaseVariation</x:v>
      </x:c>
      <x:c r="B296" s="35" t="str">
        <x:v>https://w3id.org/nltl-benchmark/vocab#excitationPhaseVariation</x:v>
      </x:c>
      <x:c r="C296" s="35" t="str">
        <x:v>DatatypeProperty</x:v>
      </x:c>
      <x:c r="D296" s="35" t="str">
        <x:v>http://www.w3.org/2001/XMLSchema#string</x:v>
      </x:c>
      <x:c r="E296" s="35" t="str">
        <x:v>xsd:string</x:v>
      </x:c>
      <x:c r="F296" s="35" t="str"/>
      <x:c r="G296" s="38" t="str">
        <x:v>TRF-100</x:v>
      </x:c>
      <x:c r="H296" s="35" t="str">
        <x:v>Benchmark-coined descriptive engineering term</x:v>
      </x:c>
      <x:c r="I296" s="35" t="str">
        <x:v>N5 - component or subject first, followed by characteristic and qualifier/state; no unsupported external mapping</x:v>
      </x:c>
      <x:c r="J296" s="35" t="str">
        <x:v>REUSE_R2_TERM</x:v>
      </x:c>
    </x:row>
    <x:row r="297">
      <x:c r="A297" s="35" t="str">
        <x:v>expectedEnvironmentalCondition</x:v>
      </x:c>
      <x:c r="B297" s="35" t="str">
        <x:v>https://w3id.org/nltl-benchmark/vocab#expectedEnvironmentalCondition</x:v>
      </x:c>
      <x:c r="C297" s="35" t="str">
        <x:v>DatatypeProperty</x:v>
      </x:c>
      <x:c r="D297" s="35" t="str">
        <x:v>http://www.w3.org/2001/XMLSchema#string</x:v>
      </x:c>
      <x:c r="E297" s="35" t="str">
        <x:v>xsd:string</x:v>
      </x:c>
      <x:c r="F297" s="35" t="str"/>
      <x:c r="G297" s="38" t="str">
        <x:v>IMO26-004</x:v>
      </x:c>
      <x:c r="H297" s="35" t="str">
        <x:v>Locked-workbook normalized regulatory term</x:v>
      </x:c>
      <x:c r="I297" s="35" t="str">
        <x:v>N4 - preserve the source concept; normalize spelling to ASCII lowerCamelCase</x:v>
      </x:c>
      <x:c r="J297" s="35" t="str">
        <x:v>REUSE_R2_TERM</x:v>
      </x:c>
    </x:row>
    <x:row r="298">
      <x:c r="A298" s="35" t="str">
        <x:v>exposedEquipment</x:v>
      </x:c>
      <x:c r="B298" s="35" t="str">
        <x:v>https://w3id.org/nltl-benchmark/vocab#exposedEquipment</x:v>
      </x:c>
      <x:c r="C298" s="35" t="str">
        <x:v>Class</x:v>
      </x:c>
      <x:c r="D298" s="35" t="str">
        <x:v>https://w3id.org/nltl-benchmark/vocab#benchmarkEntity</x:v>
      </x:c>
      <x:c r="E298" s="35" t="str"/>
      <x:c r="F298" s="35" t="str"/>
      <x:c r="G298" s="38" t="str">
        <x:v>IMO-046</x:v>
      </x:c>
      <x:c r="H298" s="35" t="str">
        <x:v>Locked-workbook normalized regulatory term</x:v>
      </x:c>
      <x:c r="I298" s="35" t="str">
        <x:v>N4 - preserve the source concept; normalize spelling to ASCII lowerCamelCase</x:v>
      </x:c>
      <x:c r="J298" s="35" t="str">
        <x:v>REUSE_R2_TERM</x:v>
      </x:c>
    </x:row>
    <x:row r="299">
      <x:c r="A299" s="35" t="str">
        <x:v>exposedEscapeRoute</x:v>
      </x:c>
      <x:c r="B299" s="35" t="str">
        <x:v>https://w3id.org/nltl-benchmark/vocab#exposedEscapeRoute</x:v>
      </x:c>
      <x:c r="C299" s="35" t="str">
        <x:v>Class</x:v>
      </x:c>
      <x:c r="D299" s="35" t="str">
        <x:v>https://w3id.org/nltl-benchmark/vocab#benchmarkEntity</x:v>
      </x:c>
      <x:c r="E299" s="35" t="str"/>
      <x:c r="F299" s="35" t="str"/>
      <x:c r="G299" s="38" t="str">
        <x:v>IMO-062 | IMO-067</x:v>
      </x:c>
      <x:c r="H299" s="35" t="str">
        <x:v>Locked-workbook normalized regulatory term</x:v>
      </x:c>
      <x:c r="I299" s="35" t="str">
        <x:v>N4 - preserve the source concept; normalize spelling to ASCII lowerCamelCase</x:v>
      </x:c>
      <x:c r="J299" s="35" t="str">
        <x:v>REUSE_R2_TERM</x:v>
      </x:c>
    </x:row>
    <x:row r="300">
      <x:c r="A300" s="35" t="str">
        <x:v>exposedFireMainSection</x:v>
      </x:c>
      <x:c r="B300" s="35" t="str">
        <x:v>https://w3id.org/nltl-benchmark/vocab#exposedFireMainSection</x:v>
      </x:c>
      <x:c r="C300" s="35" t="str">
        <x:v>DatatypeProperty</x:v>
      </x:c>
      <x:c r="D300" s="35" t="str">
        <x:v>http://www.w3.org/2001/XMLSchema#string</x:v>
      </x:c>
      <x:c r="E300" s="35" t="str">
        <x:v>xsd:string</x:v>
      </x:c>
      <x:c r="F300" s="35" t="str"/>
      <x:c r="G300" s="38" t="str">
        <x:v>IMO-058</x:v>
      </x:c>
      <x:c r="H300" s="35" t="str">
        <x:v>Locked-workbook normalized regulatory term</x:v>
      </x:c>
      <x:c r="I300" s="35" t="str">
        <x:v>N4 - preserve the source concept; normalize spelling to ASCII lowerCamelCase</x:v>
      </x:c>
      <x:c r="J300" s="35" t="str">
        <x:v>REUSE_R2_TERM</x:v>
      </x:c>
    </x:row>
    <x:row r="301">
      <x:c r="A301" s="35" t="str">
        <x:v>exposedMachineryOrFoundationMaterial</x:v>
      </x:c>
      <x:c r="B301" s="35" t="str">
        <x:v>https://w3id.org/nltl-benchmark/vocab#exposedMachineryOrFoundationMaterial</x:v>
      </x:c>
      <x:c r="C301" s="35" t="str">
        <x:v>DatatypeProperty</x:v>
      </x:c>
      <x:c r="D301" s="35" t="str">
        <x:v>http://www.w3.org/2001/XMLSchema#string</x:v>
      </x:c>
      <x:c r="E301" s="35" t="str">
        <x:v>xsd:string</x:v>
      </x:c>
      <x:c r="F301" s="35" t="str"/>
      <x:c r="G301" s="38" t="str">
        <x:v>IMO-048</x:v>
      </x:c>
      <x:c r="H301" s="35" t="str">
        <x:v>Locked-workbook normalized regulatory term</x:v>
      </x:c>
      <x:c r="I301" s="35" t="str">
        <x:v>N4 - preserve the source concept; normalize spelling to ASCII lowerCamelCase</x:v>
      </x:c>
      <x:c r="J301" s="35" t="str">
        <x:v>REUSE_R2_TERM</x:v>
      </x:c>
    </x:row>
    <x:row r="302">
      <x:c r="A302" s="35" t="str">
        <x:v>exposedStructureMaterial</x:v>
      </x:c>
      <x:c r="B302" s="35" t="str">
        <x:v>https://w3id.org/nltl-benchmark/vocab#exposedStructureMaterial</x:v>
      </x:c>
      <x:c r="C302" s="35" t="str">
        <x:v>DatatypeProperty</x:v>
      </x:c>
      <x:c r="D302" s="35" t="str">
        <x:v>http://www.w3.org/2001/XMLSchema#string</x:v>
      </x:c>
      <x:c r="E302" s="35" t="str">
        <x:v>xsd:string</x:v>
      </x:c>
      <x:c r="F302" s="35" t="str"/>
      <x:c r="G302" s="38" t="str">
        <x:v>IMO-031</x:v>
      </x:c>
      <x:c r="H302" s="35" t="str">
        <x:v>Locked-workbook normalized regulatory term</x:v>
      </x:c>
      <x:c r="I302" s="35" t="str">
        <x:v>N4 - preserve the source concept; normalize spelling to ASCII lowerCamelCase</x:v>
      </x:c>
      <x:c r="J302" s="35" t="str">
        <x:v>REUSE_R2_TERM</x:v>
      </x:c>
    </x:row>
    <x:row r="303">
      <x:c r="A303" s="35" t="str">
        <x:v>extendedDarknessOperation</x:v>
      </x:c>
      <x:c r="B303" s="35" t="str">
        <x:v>https://w3id.org/nltl-benchmark/vocab#extendedDarknessOperation</x:v>
      </x:c>
      <x:c r="C303" s="35" t="str">
        <x:v>DatatypeProperty</x:v>
      </x:c>
      <x:c r="D303" s="35" t="str">
        <x:v>http://www.w3.org/2001/XMLSchema#boolean</x:v>
      </x:c>
      <x:c r="E303" s="35" t="str">
        <x:v>xsd:boolean</x:v>
      </x:c>
      <x:c r="F303" s="35" t="str"/>
      <x:c r="G303" s="38" t="str">
        <x:v>IMO-072</x:v>
      </x:c>
      <x:c r="H303" s="35" t="str">
        <x:v>Locked-workbook normalized regulatory term</x:v>
      </x:c>
      <x:c r="I303" s="35" t="str">
        <x:v>N4 - preserve the source concept; normalize spelling to ASCII lowerCamelCase</x:v>
      </x:c>
      <x:c r="J303" s="35" t="str">
        <x:v>REUSE_R2_TERM</x:v>
      </x:c>
    </x:row>
    <x:row r="304">
      <x:c r="A304" s="35" t="str">
        <x:v>extendedPeriodOperation</x:v>
      </x:c>
      <x:c r="B304" s="35" t="str">
        <x:v>https://w3id.org/nltl-benchmark/vocab#extendedPeriodOperation</x:v>
      </x:c>
      <x:c r="C304" s="35" t="str">
        <x:v>DatatypeProperty</x:v>
      </x:c>
      <x:c r="D304" s="35" t="str">
        <x:v>http://www.w3.org/2001/XMLSchema#boolean</x:v>
      </x:c>
      <x:c r="E304" s="35" t="str">
        <x:v>xsd:boolean</x:v>
      </x:c>
      <x:c r="F304" s="35" t="str"/>
      <x:c r="G304" s="38" t="str">
        <x:v>IMO-119</x:v>
      </x:c>
      <x:c r="H304" s="35" t="str">
        <x:v>Locked-workbook normalized regulatory term</x:v>
      </x:c>
      <x:c r="I304" s="35" t="str">
        <x:v>N4 - preserve the source concept; normalize spelling to ASCII lowerCamelCase</x:v>
      </x:c>
      <x:c r="J304" s="35" t="str">
        <x:v>REUSE_R2_TERM</x:v>
      </x:c>
    </x:row>
    <x:row r="305">
      <x:c r="A305" s="35" t="str">
        <x:v>extensionBeyondAdjacentDeckOrTankBoundary</x:v>
      </x:c>
      <x:c r="B305" s="35" t="str">
        <x:v>https://w3id.org/nltl-benchmark/vocab#extensionBeyondAdjacentDeckOrTankBoundary</x:v>
      </x:c>
      <x:c r="C305" s="35" t="str">
        <x:v>QuantityProperty</x:v>
      </x:c>
      <x:c r="D305" s="35" t="str">
        <x:v>http://qudt.org/schema/qudt/QuantityValue</x:v>
      </x:c>
      <x:c r="E305" s="35" t="str"/>
      <x:c r="F305" s="35" t="str">
        <x:v>mm</x:v>
      </x:c>
      <x:c r="G305" s="38" t="str">
        <x:v>TRF-043</x:v>
      </x:c>
      <x:c r="H305" s="35" t="str">
        <x:v>Unit-stripped normalized regulatory variable</x:v>
      </x:c>
      <x:c r="I305" s="35" t="str">
        <x:v>N3 - remove unit from the identifier and retain it in unit/quantity metadata</x:v>
      </x:c>
      <x:c r="J305" s="35" t="str">
        <x:v>REUSE_R2_TERM</x:v>
      </x:c>
    </x:row>
    <x:row r="306">
      <x:c r="A306" s="35" t="str">
        <x:v>extinguisher</x:v>
      </x:c>
      <x:c r="B306" s="35" t="str">
        <x:v>https://w3id.org/nltl-benchmark/vocab#extinguisher</x:v>
      </x:c>
      <x:c r="C306" s="35" t="str">
        <x:v>Class</x:v>
      </x:c>
      <x:c r="D306" s="35" t="str">
        <x:v>https://w3id.org/nltl-benchmark/vocab#benchmarkEntity</x:v>
      </x:c>
      <x:c r="E306" s="35" t="str"/>
      <x:c r="F306" s="35" t="str"/>
      <x:c r="G306" s="38" t="str">
        <x:v>IMO-061</x:v>
      </x:c>
      <x:c r="H306" s="35" t="str">
        <x:v>Locked-workbook normalized regulatory term</x:v>
      </x:c>
      <x:c r="I306" s="35" t="str">
        <x:v>N4 - preserve the source concept; normalize spelling to ASCII lowerCamelCase</x:v>
      </x:c>
      <x:c r="J306" s="35" t="str">
        <x:v>REUSE_R2_TERM</x:v>
      </x:c>
    </x:row>
    <x:row r="307">
      <x:c r="A307" s="35" t="str">
        <x:v>extinguisherOperatingTestTemperature</x:v>
      </x:c>
      <x:c r="B307" s="35" t="str">
        <x:v>https://w3id.org/nltl-benchmark/vocab#extinguisherOperatingTestTemperature</x:v>
      </x:c>
      <x:c r="C307" s="35" t="str">
        <x:v>QuantityProperty</x:v>
      </x:c>
      <x:c r="D307" s="35" t="str">
        <x:v>http://qudt.org/schema/qudt/QuantityValue</x:v>
      </x:c>
      <x:c r="E307" s="35" t="str"/>
      <x:c r="F307" s="35" t="str">
        <x:v>deg C</x:v>
      </x:c>
      <x:c r="G307" s="38" t="str">
        <x:v>IMO-061</x:v>
      </x:c>
      <x:c r="H307" s="35" t="str">
        <x:v>Unit-stripped normalized regulatory variable</x:v>
      </x:c>
      <x:c r="I307" s="35" t="str">
        <x:v>N3 - remove unit from the identifier and retain it in unit/quantity metadata</x:v>
      </x:c>
      <x:c r="J307" s="35" t="str">
        <x:v>REUSE_R2_TERM</x:v>
      </x:c>
    </x:row>
    <x:row r="308">
      <x:c r="A308" s="35" t="str">
        <x:v>extinguishingMedium</x:v>
      </x:c>
      <x:c r="B308" s="35" t="str">
        <x:v>https://w3id.org/nltl-benchmark/vocab#extinguishingMedium</x:v>
      </x:c>
      <x:c r="C308" s="35" t="str">
        <x:v>DatatypeProperty</x:v>
      </x:c>
      <x:c r="D308" s="35" t="str">
        <x:v>http://www.w3.org/2001/XMLSchema#string</x:v>
      </x:c>
      <x:c r="E308" s="35" t="str">
        <x:v>xsd:string</x:v>
      </x:c>
      <x:c r="F308" s="35" t="str"/>
      <x:c r="G308" s="38" t="str">
        <x:v>IMO-053</x:v>
      </x:c>
      <x:c r="H308" s="35" t="str">
        <x:v>Locked-workbook normalized regulatory term</x:v>
      </x:c>
      <x:c r="I308" s="35" t="str">
        <x:v>N4 - preserve the source concept; normalize spelling to ASCII lowerCamelCase</x:v>
      </x:c>
      <x:c r="J308" s="35" t="str">
        <x:v>REUSE_R2_TERM</x:v>
      </x:c>
    </x:row>
    <x:row r="309">
      <x:c r="A309" s="35" t="str">
        <x:v>extremeIceForce</x:v>
      </x:c>
      <x:c r="B309" s="35" t="str">
        <x:v>https://w3id.org/nltl-benchmark/vocab#extremeIceForce</x:v>
      </x:c>
      <x:c r="C309" s="35" t="str">
        <x:v>QuantityProperty</x:v>
      </x:c>
      <x:c r="D309" s="35" t="str">
        <x:v>http://qudt.org/schema/qudt/QuantityValue</x:v>
      </x:c>
      <x:c r="E309" s="35" t="str"/>
      <x:c r="F309" s="35" t="str">
        <x:v>kN</x:v>
      </x:c>
      <x:c r="G309" s="38" t="str">
        <x:v>TRF-102 | TRF-111</x:v>
      </x:c>
      <x:c r="H309" s="35" t="str">
        <x:v>Unit-stripped normalized regulatory variable</x:v>
      </x:c>
      <x:c r="I309" s="35" t="str">
        <x:v>N3 - remove unit from the identifier and retain it in unit/quantity metadata</x:v>
      </x:c>
      <x:c r="J309" s="35" t="str">
        <x:v>REUSE_R2_TERM</x:v>
      </x:c>
    </x:row>
    <x:row r="310">
      <x:c r="A310" s="35" t="str">
        <x:v>extremeLoad</x:v>
      </x:c>
      <x:c r="B310" s="35" t="str">
        <x:v>https://w3id.org/nltl-benchmark/vocab#extremeLoad</x:v>
      </x:c>
      <x:c r="C310" s="35" t="str">
        <x:v>QuantityProperty</x:v>
      </x:c>
      <x:c r="D310" s="35" t="str">
        <x:v>http://qudt.org/schema/qudt/QuantityValue</x:v>
      </x:c>
      <x:c r="E310" s="35" t="str"/>
      <x:c r="F310" s="35" t="str">
        <x:v>kN</x:v>
      </x:c>
      <x:c r="G310" s="38" t="str">
        <x:v>TRF-070</x:v>
      </x:c>
      <x:c r="H310" s="35" t="str">
        <x:v>Benchmark-coined descriptive engineering term</x:v>
      </x:c>
      <x:c r="I310" s="35" t="str">
        <x:v>N5 - component or subject first, followed by characteristic and qualifier/state; no unsupported external mapping</x:v>
      </x:c>
      <x:c r="J310" s="35" t="str">
        <x:v>REUSE_R2_TERM</x:v>
      </x:c>
    </x:row>
    <x:row r="311">
      <x:c r="A311" s="35" t="str">
        <x:v>fatigueCoefficient</x:v>
      </x:c>
      <x:c r="B311" s="35" t="str">
        <x:v>https://w3id.org/nltl-benchmark/vocab#fatigueCoefficient</x:v>
      </x:c>
      <x:c r="C311" s="35" t="str">
        <x:v>QuantityProperty</x:v>
      </x:c>
      <x:c r="D311" s="35" t="str">
        <x:v>http://qudt.org/schema/qudt/QuantityValue</x:v>
      </x:c>
      <x:c r="E311" s="35" t="str"/>
      <x:c r="F311" s="35" t="str">
        <x:v>1</x:v>
      </x:c>
      <x:c r="G311" s="38" t="str">
        <x:v>TRF-109</x:v>
      </x:c>
      <x:c r="H311" s="35" t="str">
        <x:v>Benchmark-coined descriptive engineering term</x:v>
      </x:c>
      <x:c r="I311" s="35" t="str">
        <x:v>N5 - component or subject first, followed by characteristic and qualifier/state; no unsupported external mapping</x:v>
      </x:c>
      <x:c r="J311" s="35" t="str">
        <x:v>REUSE_R2_TERM</x:v>
      </x:c>
    </x:row>
    <x:row r="312">
      <x:c r="A312" s="35" t="str">
        <x:v>fatigueFactorRho</x:v>
      </x:c>
      <x:c r="B312" s="35" t="str">
        <x:v>https://w3id.org/nltl-benchmark/vocab#fatigueFactorRho</x:v>
      </x:c>
      <x:c r="C312" s="35" t="str">
        <x:v>QuantityProperty</x:v>
      </x:c>
      <x:c r="D312" s="35" t="str">
        <x:v>http://qudt.org/schema/qudt/QuantityValue</x:v>
      </x:c>
      <x:c r="E312" s="35" t="str"/>
      <x:c r="F312" s="35" t="str">
        <x:v>1</x:v>
      </x:c>
      <x:c r="G312" s="38" t="str">
        <x:v>TRF-109</x:v>
      </x:c>
      <x:c r="H312" s="35" t="str">
        <x:v>Benchmark-coined descriptive engineering term</x:v>
      </x:c>
      <x:c r="I312" s="35" t="str">
        <x:v>N5 - component or subject first, followed by characteristic and qualifier/state; no unsupported external mapping</x:v>
      </x:c>
      <x:c r="J312" s="35" t="str">
        <x:v>REUSE_R2_TERM</x:v>
      </x:c>
    </x:row>
    <x:row r="313">
      <x:c r="A313" s="35" t="str">
        <x:v>fatigueScatterReductionFactor</x:v>
      </x:c>
      <x:c r="B313" s="35" t="str">
        <x:v>https://w3id.org/nltl-benchmark/vocab#fatigueScatterReductionFactor</x:v>
      </x:c>
      <x:c r="C313" s="35" t="str">
        <x:v>QuantityProperty</x:v>
      </x:c>
      <x:c r="D313" s="35" t="str">
        <x:v>http://qudt.org/schema/qudt/QuantityValue</x:v>
      </x:c>
      <x:c r="E313" s="35" t="str"/>
      <x:c r="F313" s="35" t="str">
        <x:v>1</x:v>
      </x:c>
      <x:c r="G313" s="38" t="str">
        <x:v>TRF-110</x:v>
      </x:c>
      <x:c r="H313" s="35" t="str">
        <x:v>Regulatory symbol expanded from a directly verified definition</x:v>
      </x:c>
      <x:c r="I313" s="35" t="str">
        <x:v>N2 - replace formula symbol with its clause-defined engineering meaning; preserve symbol as alias</x:v>
      </x:c>
      <x:c r="J313" s="35" t="str">
        <x:v>REUSE_R2_TERM</x:v>
      </x:c>
    </x:row>
    <x:row r="314">
      <x:c r="A314" s="35" t="str">
        <x:v>finiteElementAnalysisUsed</x:v>
      </x:c>
      <x:c r="B314" s="35" t="str">
        <x:v>https://w3id.org/nltl-benchmark/vocab#finiteElementAnalysisUsed</x:v>
      </x:c>
      <x:c r="C314" s="35" t="str">
        <x:v>DatatypeProperty</x:v>
      </x:c>
      <x:c r="D314" s="35" t="str">
        <x:v>http://www.w3.org/2001/XMLSchema#boolean</x:v>
      </x:c>
      <x:c r="E314" s="35" t="str">
        <x:v>xsd:boolean</x:v>
      </x:c>
      <x:c r="F314" s="35" t="str"/>
      <x:c r="G314" s="38" t="str">
        <x:v>TRF-106</x:v>
      </x:c>
      <x:c r="H314" s="35" t="str">
        <x:v>Locked-workbook normalized regulatory term</x:v>
      </x:c>
      <x:c r="I314" s="35" t="str">
        <x:v>N4 - preserve the source concept; normalize spelling to ASCII lowerCamelCase</x:v>
      </x:c>
      <x:c r="J314" s="35" t="str">
        <x:v>REUSE_R2_TERM</x:v>
      </x:c>
    </x:row>
    <x:row r="315">
      <x:c r="A315" s="35" t="str">
        <x:v>firePump</x:v>
      </x:c>
      <x:c r="B315" s="35" t="str">
        <x:v>https://w3id.org/nltl-benchmark/vocab#firePump</x:v>
      </x:c>
      <x:c r="C315" s="35" t="str">
        <x:v>Class</x:v>
      </x:c>
      <x:c r="D315" s="35" t="str">
        <x:v>https://w3id.org/nltl-benchmark/vocab#machineryComponent</x:v>
      </x:c>
      <x:c r="E315" s="35" t="str"/>
      <x:c r="F315" s="35" t="str"/>
      <x:c r="G315" s="38" t="str">
        <x:v>IMO-057</x:v>
      </x:c>
      <x:c r="H315" s="35" t="str">
        <x:v>Locked-workbook normalized regulatory term</x:v>
      </x:c>
      <x:c r="I315" s="35" t="str">
        <x:v>N4 - preserve the source concept; normalize spelling to ASCII lowerCamelCase</x:v>
      </x:c>
      <x:c r="J315" s="35" t="str">
        <x:v>REUSE_R2_TERM</x:v>
      </x:c>
    </x:row>
    <x:row r="316">
      <x:c r="A316" s="35" t="str">
        <x:v>fireSafetyComponent</x:v>
      </x:c>
      <x:c r="B316" s="35" t="str">
        <x:v>https://w3id.org/nltl-benchmark/vocab#fireSafetyComponent</x:v>
      </x:c>
      <x:c r="C316" s="35" t="str">
        <x:v>Class</x:v>
      </x:c>
      <x:c r="D316" s="35" t="str">
        <x:v>https://w3id.org/nltl-benchmark/vocab#machineryComponent</x:v>
      </x:c>
      <x:c r="E316" s="35" t="str"/>
      <x:c r="F316" s="35" t="str"/>
      <x:c r="G316" s="38" t="str">
        <x:v>IMO-050 | IMO-054</x:v>
      </x:c>
      <x:c r="H316" s="35" t="str">
        <x:v>Locked-workbook normalized regulatory term</x:v>
      </x:c>
      <x:c r="I316" s="35" t="str">
        <x:v>N4 - preserve the source concept; normalize spelling to ASCII lowerCamelCase</x:v>
      </x:c>
      <x:c r="J316" s="35" t="str">
        <x:v>REUSE_R2_TERM</x:v>
      </x:c>
    </x:row>
    <x:row r="317">
      <x:c r="A317" s="35" t="str">
        <x:v>fireSafetyComponentExposed</x:v>
      </x:c>
      <x:c r="B317" s="35" t="str">
        <x:v>https://w3id.org/nltl-benchmark/vocab#fireSafetyComponentExposed</x:v>
      </x:c>
      <x:c r="C317" s="35" t="str">
        <x:v>DatatypeProperty</x:v>
      </x:c>
      <x:c r="D317" s="35" t="str">
        <x:v>http://www.w3.org/2001/XMLSchema#boolean</x:v>
      </x:c>
      <x:c r="E317" s="35" t="str">
        <x:v>xsd:boolean</x:v>
      </x:c>
      <x:c r="F317" s="35" t="str"/>
      <x:c r="G317" s="38" t="str">
        <x:v>IMO-050</x:v>
      </x:c>
      <x:c r="H317" s="35" t="str">
        <x:v>Locked-workbook normalized regulatory term</x:v>
      </x:c>
      <x:c r="I317" s="35" t="str">
        <x:v>N4 - preserve the source concept; normalize spelling to ASCII lowerCamelCase</x:v>
      </x:c>
      <x:c r="J317" s="35" t="str">
        <x:v>REUSE_R2_TERM</x:v>
      </x:c>
    </x:row>
    <x:row r="318">
      <x:c r="A318" s="35" t="str">
        <x:v>firefighterOutfit</x:v>
      </x:c>
      <x:c r="B318" s="35" t="str">
        <x:v>https://w3id.org/nltl-benchmark/vocab#firefighterOutfit</x:v>
      </x:c>
      <x:c r="C318" s="35" t="str">
        <x:v>DatatypeProperty</x:v>
      </x:c>
      <x:c r="D318" s="35" t="str">
        <x:v>http://www.w3.org/2001/XMLSchema#string</x:v>
      </x:c>
      <x:c r="E318" s="35" t="str">
        <x:v>xsd:string</x:v>
      </x:c>
      <x:c r="F318" s="35" t="str"/>
      <x:c r="G318" s="38" t="str">
        <x:v>IMO-059</x:v>
      </x:c>
      <x:c r="H318" s="35" t="str">
        <x:v>Locked-workbook normalized regulatory term</x:v>
      </x:c>
      <x:c r="I318" s="35" t="str">
        <x:v>N4 - preserve the source concept; normalize spelling to ASCII lowerCamelCase</x:v>
      </x:c>
      <x:c r="J318" s="35" t="str">
        <x:v>REUSE_R2_TERM</x:v>
      </x:c>
    </x:row>
    <x:row r="319">
      <x:c r="A319" s="35" t="str">
        <x:v>firstScheduledDryDockingDate</x:v>
      </x:c>
      <x:c r="B319" s="35" t="str">
        <x:v>https://w3id.org/nltl-benchmark/vocab#firstScheduledDryDockingDate</x:v>
      </x:c>
      <x:c r="C319" s="35" t="str">
        <x:v>DatatypeProperty</x:v>
      </x:c>
      <x:c r="D319" s="35" t="str">
        <x:v>http://www.w3.org/2001/XMLSchema#date</x:v>
      </x:c>
      <x:c r="E319" s="35" t="str">
        <x:v>xsd:date</x:v>
      </x:c>
      <x:c r="F319" s="35" t="str"/>
      <x:c r="G319" s="38" t="str">
        <x:v>TRF-014</x:v>
      </x:c>
      <x:c r="H319" s="35" t="str">
        <x:v>Applicable TRAFICOM regulation wording plus explicit engineering node/operand role</x:v>
      </x:c>
      <x:c r="I319" s="35" t="str">
        <x:v>N4 - explicit regulatory concept in ASCII lowerCamelCase with an XSD datatype.</x:v>
      </x:c>
      <x:c r="J319" s="35" t="str">
        <x:v>ADD_DEVELOPMENT_TERM</x:v>
      </x:c>
    </x:row>
    <x:row r="320">
      <x:c r="A320" s="35" t="str">
        <x:v>fishingVessel</x:v>
      </x:c>
      <x:c r="B320" s="35" t="str">
        <x:v>https://w3id.org/nltl-benchmark/vocab#fishingVessel</x:v>
      </x:c>
      <x:c r="C320" s="35" t="str">
        <x:v>Class</x:v>
      </x:c>
      <x:c r="D320" s="35" t="str">
        <x:v>https://w3id.org/nltl-benchmark/vocab#ship</x:v>
      </x:c>
      <x:c r="E320" s="35" t="str"/>
      <x:c r="F320" s="35" t="str"/>
      <x:c r="G320" s="38" t="str">
        <x:v>IMO26-002 | IMO26-016</x:v>
      </x:c>
      <x:c r="H320" s="35" t="str">
        <x:v>Benchmark-coined descriptive engineering term</x:v>
      </x:c>
      <x:c r="I320" s="35" t="str">
        <x:v>N5 - component or subject first, followed by characteristic and qualifier/state; no unsupported external mapping</x:v>
      </x:c>
      <x:c r="J320" s="35" t="str">
        <x:v>REUSE_R2_TERM</x:v>
      </x:c>
    </x:row>
    <x:row r="321">
      <x:c r="A321" s="35" t="str">
        <x:v>fixedPitch</x:v>
      </x:c>
      <x:c r="B321" s="35" t="str">
        <x:v>https://w3id.org/nltl-benchmark/vocab#fixedPitch</x:v>
      </x:c>
      <x:c r="C321" s="35" t="str">
        <x:v>NamedIndividual</x:v>
      </x:c>
      <x:c r="D321" s="35" t="str">
        <x:v>https://w3id.org/nltl-benchmark/vocab#propellerPitchControlTypeValue</x:v>
      </x:c>
      <x:c r="E321" s="35" t="str"/>
      <x:c r="F321" s="35" t="str"/>
      <x:c r="G321" s="38" t="str">
        <x:v>TRF-020</x:v>
      </x:c>
      <x:c r="H321" s="35" t="str">
        <x:v>Applicable TRAFICOM regulation wording plus explicit engineering node/operand role</x:v>
      </x:c>
      <x:c r="I321" s="35" t="str">
        <x:v>N6 - concise ASCII lowerCamelCase controlled-value name grounded in the linked regulation.</x:v>
      </x:c>
      <x:c r="J321" s="35" t="str">
        <x:v>ADD_DEVELOPMENT_TERM</x:v>
      </x:c>
    </x:row>
    <x:row r="322">
      <x:c r="A322" s="35" t="str">
        <x:v>fixedWaterSystemSeparateFromMainFirePumps</x:v>
      </x:c>
      <x:c r="B322" s="35" t="str">
        <x:v>https://w3id.org/nltl-benchmark/vocab#fixedWaterSystemSeparateFromMainFirePumps</x:v>
      </x:c>
      <x:c r="C322" s="35" t="str">
        <x:v>DatatypeProperty</x:v>
      </x:c>
      <x:c r="D322" s="35" t="str">
        <x:v>http://www.w3.org/2001/XMLSchema#boolean</x:v>
      </x:c>
      <x:c r="E322" s="35" t="str">
        <x:v>xsd:boolean</x:v>
      </x:c>
      <x:c r="F322" s="35" t="str"/>
      <x:c r="G322" s="38" t="str">
        <x:v>IMO-060</x:v>
      </x:c>
      <x:c r="H322" s="35" t="str">
        <x:v>Locked-workbook normalized regulatory term</x:v>
      </x:c>
      <x:c r="I322" s="35" t="str">
        <x:v>N4 - preserve the source concept; normalize spelling to ASCII lowerCamelCase</x:v>
      </x:c>
      <x:c r="J322" s="35" t="str">
        <x:v>REUSE_R2_TERM</x:v>
      </x:c>
    </x:row>
    <x:row r="323">
      <x:c r="A323" s="35" t="str">
        <x:v>flareAngle</x:v>
      </x:c>
      <x:c r="B323" s="35" t="str">
        <x:v>https://w3id.org/nltl-benchmark/vocab#flareAngle</x:v>
      </x:c>
      <x:c r="C323" s="35" t="str">
        <x:v>QuantityProperty</x:v>
      </x:c>
      <x:c r="D323" s="35" t="str">
        <x:v>http://qudt.org/schema/qudt/QuantityValue</x:v>
      </x:c>
      <x:c r="E323" s="35" t="str"/>
      <x:c r="F323" s="35" t="str">
        <x:v>deg</x:v>
      </x:c>
      <x:c r="G323" s="38" t="str">
        <x:v>TRF-022 | TRF-061</x:v>
      </x:c>
      <x:c r="H323" s="35" t="str">
        <x:v>Verified exact implementation term</x:v>
      </x:c>
      <x:c r="I323" s="35" t="str">
        <x:v>N1 - reuse only after exact URI and semantic-context verification</x:v>
      </x:c>
      <x:c r="J323" s="35" t="str">
        <x:v>REUSE_R2_TERM</x:v>
      </x:c>
    </x:row>
    <x:row r="324">
      <x:c r="A324" s="35" t="str">
        <x:v>flashingRed</x:v>
      </x:c>
      <x:c r="B324" s="35" t="str">
        <x:v>https://w3id.org/nltl-benchmark/vocab#flashingRed</x:v>
      </x:c>
      <x:c r="C324" s="35" t="str">
        <x:v>DatatypeProperty</x:v>
      </x:c>
      <x:c r="D324" s="35" t="str">
        <x:v>http://www.w3.org/2001/XMLSchema#boolean</x:v>
      </x:c>
      <x:c r="E324" s="35" t="str">
        <x:v>xsd:boolean</x:v>
      </x:c>
      <x:c r="F324" s="35" t="str"/>
      <x:c r="G324" s="38" t="str">
        <x:v>IMO-089</x:v>
      </x:c>
      <x:c r="H324" s="35" t="str">
        <x:v>Locked-workbook normalized regulatory term</x:v>
      </x:c>
      <x:c r="I324" s="35" t="str">
        <x:v>N4 - preserve the source concept; normalize spelling to ASCII lowerCamelCase</x:v>
      </x:c>
      <x:c r="J324" s="35" t="str">
        <x:v>REUSE_R2_TERM</x:v>
      </x:c>
    </x:row>
    <x:row r="325">
      <x:c r="A325" s="35" t="str">
        <x:v>flatBarSection</x:v>
      </x:c>
      <x:c r="B325" s="35" t="str">
        <x:v>https://w3id.org/nltl-benchmark/vocab#flatBarSection</x:v>
      </x:c>
      <x:c r="C325" s="35" t="str">
        <x:v>NamedIndividual</x:v>
      </x:c>
      <x:c r="D325" s="35" t="str">
        <x:v>https://w3id.org/nltl-benchmark/vocab#frameProfileTypeValue</x:v>
      </x:c>
      <x:c r="E325" s="35" t="str"/>
      <x:c r="F325" s="35" t="str"/>
      <x:c r="G325" s="38" t="str">
        <x:v>TRF-051</x:v>
      </x:c>
      <x:c r="H325" s="35" t="str">
        <x:v>Applicable TRAFICOM regulation wording plus explicit engineering node/operand role</x:v>
      </x:c>
      <x:c r="I325" s="35" t="str">
        <x:v>N6 - concise ASCII lowerCamelCase controlled-value name grounded in the linked regulation.</x:v>
      </x:c>
      <x:c r="J325" s="35" t="str">
        <x:v>ADD_DEVELOPMENT_TERM</x:v>
      </x:c>
    </x:row>
    <x:row r="326">
      <x:c r="A326" s="35" t="str">
        <x:v>flotationTestStatus</x:v>
      </x:c>
      <x:c r="B326" s="35" t="str">
        <x:v>https://w3id.org/nltl-benchmark/vocab#flotationTestStatus</x:v>
      </x:c>
      <x:c r="C326" s="35" t="str">
        <x:v>DatatypeProperty</x:v>
      </x:c>
      <x:c r="D326" s="35" t="str">
        <x:v>http://www.w3.org/2001/XMLSchema#boolean</x:v>
      </x:c>
      <x:c r="E326" s="35" t="str">
        <x:v>xsd:boolean</x:v>
      </x:c>
      <x:c r="F326" s="35" t="str"/>
      <x:c r="G326" s="38" t="str">
        <x:v>IMO-076</x:v>
      </x:c>
      <x:c r="H326" s="35" t="str">
        <x:v>Locked-workbook normalized regulatory term</x:v>
      </x:c>
      <x:c r="I326" s="35" t="str">
        <x:v>N4 - preserve the source concept; normalize spelling to ASCII lowerCamelCase</x:v>
      </x:c>
      <x:c r="J326" s="35" t="str">
        <x:v>REUSE_R2_TERM</x:v>
      </x:c>
    </x:row>
    <x:row r="327">
      <x:c r="A327" s="35" t="str">
        <x:v>foodWasteComminutedOrGround</x:v>
      </x:c>
      <x:c r="B327" s="35" t="str">
        <x:v>https://w3id.org/nltl-benchmark/vocab#foodWasteComminutedOrGround</x:v>
      </x:c>
      <x:c r="C327" s="35" t="str">
        <x:v>DatatypeProperty</x:v>
      </x:c>
      <x:c r="D327" s="35" t="str">
        <x:v>http://www.w3.org/2001/XMLSchema#boolean</x:v>
      </x:c>
      <x:c r="E327" s="35" t="str">
        <x:v>xsd:boolean</x:v>
      </x:c>
      <x:c r="F327" s="35" t="str"/>
      <x:c r="G327" s="38" t="str">
        <x:v>IMO-121</x:v>
      </x:c>
      <x:c r="H327" s="35" t="str">
        <x:v>Locked-workbook normalized regulatory term</x:v>
      </x:c>
      <x:c r="I327" s="35" t="str">
        <x:v>N4 - preserve the source concept; normalize spelling to ASCII lowerCamelCase</x:v>
      </x:c>
      <x:c r="J327" s="35" t="str">
        <x:v>REUSE_R2_TERM</x:v>
      </x:c>
    </x:row>
    <x:row r="328">
      <x:c r="A328" s="35" t="str">
        <x:v>foodWasteDischargeOntoIce</x:v>
      </x:c>
      <x:c r="B328" s="35" t="str">
        <x:v>https://w3id.org/nltl-benchmark/vocab#foodWasteDischargeOntoIce</x:v>
      </x:c>
      <x:c r="C328" s="35" t="str">
        <x:v>DatatypeProperty</x:v>
      </x:c>
      <x:c r="D328" s="35" t="str">
        <x:v>http://www.w3.org/2001/XMLSchema#boolean</x:v>
      </x:c>
      <x:c r="E328" s="35" t="str">
        <x:v>xsd:boolean</x:v>
      </x:c>
      <x:c r="F328" s="35" t="str"/>
      <x:c r="G328" s="38" t="str">
        <x:v>IMO-122 | IMO-124</x:v>
      </x:c>
      <x:c r="H328" s="35" t="str">
        <x:v>Locked-workbook normalized regulatory term</x:v>
      </x:c>
      <x:c r="I328" s="35" t="str">
        <x:v>N4 - preserve the source concept; normalize spelling to ASCII lowerCamelCase</x:v>
      </x:c>
      <x:c r="J328" s="35" t="str">
        <x:v>REUSE_R2_TERM</x:v>
      </x:c>
    </x:row>
    <x:row r="329">
      <x:c r="A329" s="35" t="str">
        <x:v>foodWasteDischargeToSea</x:v>
      </x:c>
      <x:c r="B329" s="35" t="str">
        <x:v>https://w3id.org/nltl-benchmark/vocab#foodWasteDischargeToSea</x:v>
      </x:c>
      <x:c r="C329" s="35" t="str">
        <x:v>DatatypeProperty</x:v>
      </x:c>
      <x:c r="D329" s="35" t="str">
        <x:v>http://www.w3.org/2001/XMLSchema#boolean</x:v>
      </x:c>
      <x:c r="E329" s="35" t="str">
        <x:v>xsd:boolean</x:v>
      </x:c>
      <x:c r="F329" s="35" t="str"/>
      <x:c r="G329" s="38" t="str">
        <x:v>IMO-120 | IMO-121</x:v>
      </x:c>
      <x:c r="H329" s="35" t="str">
        <x:v>Locked-workbook normalized regulatory term</x:v>
      </x:c>
      <x:c r="I329" s="35" t="str">
        <x:v>N4 - preserve the source concept; normalize spelling to ASCII lowerCamelCase</x:v>
      </x:c>
      <x:c r="J329" s="35" t="str">
        <x:v>REUSE_R2_TERM</x:v>
      </x:c>
    </x:row>
    <x:row r="330">
      <x:c r="A330" s="35" t="str">
        <x:v>forceLoadCase</x:v>
      </x:c>
      <x:c r="B330" s="35" t="str">
        <x:v>https://w3id.org/nltl-benchmark/vocab#forceLoadCase</x:v>
      </x:c>
      <x:c r="C330" s="35" t="str">
        <x:v>DatatypeProperty</x:v>
      </x:c>
      <x:c r="D330" s="35" t="str">
        <x:v>http://www.w3.org/2001/XMLSchema#string</x:v>
      </x:c>
      <x:c r="E330" s="35" t="str">
        <x:v>xsd:string</x:v>
      </x:c>
      <x:c r="F330" s="35" t="str"/>
      <x:c r="G330" s="38" t="str">
        <x:v>TRF-075</x:v>
      </x:c>
      <x:c r="H330" s="35" t="str">
        <x:v>Benchmark-coined descriptive engineering term</x:v>
      </x:c>
      <x:c r="I330" s="35" t="str">
        <x:v>N5 - component or subject first, followed by characteristic and qualifier/state; no unsupported external mapping</x:v>
      </x:c>
      <x:c r="J330" s="35" t="str">
        <x:v>REUSE_R2_TERM</x:v>
      </x:c>
    </x:row>
    <x:row r="331">
      <x:c r="A331" s="35" t="str">
        <x:v>forefootShellStrengtheningStatus</x:v>
      </x:c>
      <x:c r="B331" s="35" t="str">
        <x:v>https://w3id.org/nltl-benchmark/vocab#forefootShellStrengtheningStatus</x:v>
      </x:c>
      <x:c r="C331" s="35" t="str">
        <x:v>DatatypeProperty</x:v>
      </x:c>
      <x:c r="D331" s="35" t="str">
        <x:v>http://www.w3.org/2001/XMLSchema#boolean</x:v>
      </x:c>
      <x:c r="E331" s="35" t="str">
        <x:v>xsd:boolean</x:v>
      </x:c>
      <x:c r="F331" s="35" t="str"/>
      <x:c r="G331" s="38" t="str">
        <x:v>TRF-040</x:v>
      </x:c>
      <x:c r="H331" s="35" t="str">
        <x:v>Benchmark-coined descriptive engineering term</x:v>
      </x:c>
      <x:c r="I331" s="35" t="str">
        <x:v>N5 - component or subject first, followed by characteristic and qualifier/state; no unsupported external mapping</x:v>
      </x:c>
      <x:c r="J331" s="35" t="str">
        <x:v>REUSE_R2_TERM</x:v>
      </x:c>
    </x:row>
    <x:row r="332">
      <x:c r="A332" s="35" t="str">
        <x:v>forwardBladeForce</x:v>
      </x:c>
      <x:c r="B332" s="35" t="str">
        <x:v>https://w3id.org/nltl-benchmark/vocab#forwardBladeForce</x:v>
      </x:c>
      <x:c r="C332" s="35" t="str">
        <x:v>QuantityProperty</x:v>
      </x:c>
      <x:c r="D332" s="35" t="str">
        <x:v>http://qudt.org/schema/qudt/QuantityValue</x:v>
      </x:c>
      <x:c r="E332" s="35" t="str"/>
      <x:c r="F332" s="35" t="str">
        <x:v>kN</x:v>
      </x:c>
      <x:c r="G332" s="38" t="str">
        <x:v>TRF-075 | TRF-081</x:v>
      </x:c>
      <x:c r="H332" s="35" t="str">
        <x:v>Unit-stripped normalized regulatory variable</x:v>
      </x:c>
      <x:c r="I332" s="35" t="str">
        <x:v>N3 - remove unit from the identifier and retain it in unit/quantity metadata</x:v>
      </x:c>
      <x:c r="J332" s="35" t="str">
        <x:v>REUSE_R2_TERM</x:v>
      </x:c>
    </x:row>
    <x:row r="333">
      <x:c r="A333" s="35" t="str">
        <x:v>forwardDraught</x:v>
      </x:c>
      <x:c r="B333" s="35" t="str">
        <x:v>https://w3id.org/nltl-benchmark/vocab#forwardDraught</x:v>
      </x:c>
      <x:c r="C333" s="35" t="str">
        <x:v>QuantityProperty</x:v>
      </x:c>
      <x:c r="D333" s="35" t="str">
        <x:v>http://qudt.org/schema/qudt/QuantityValue</x:v>
      </x:c>
      <x:c r="E333" s="35" t="str"/>
      <x:c r="F333" s="35" t="str">
        <x:v>m</x:v>
      </x:c>
      <x:c r="G333" s="38" t="str">
        <x:v>TRF-016</x:v>
      </x:c>
      <x:c r="H333" s="35" t="str">
        <x:v>Verified exact implementation term</x:v>
      </x:c>
      <x:c r="I333" s="35" t="str">
        <x:v>N1 - reuse only after exact URI and semantic-context verification</x:v>
      </x:c>
      <x:c r="J333" s="35" t="str">
        <x:v>REUSE_R2_TERM</x:v>
      </x:c>
    </x:row>
    <x:row r="334">
      <x:c r="A334" s="35" t="str">
        <x:v>forwardIceThrust</x:v>
      </x:c>
      <x:c r="B334" s="35" t="str">
        <x:v>https://w3id.org/nltl-benchmark/vocab#forwardIceThrust</x:v>
      </x:c>
      <x:c r="C334" s="35" t="str">
        <x:v>QuantityProperty</x:v>
      </x:c>
      <x:c r="D334" s="35" t="str">
        <x:v>http://qudt.org/schema/qudt/QuantityValue</x:v>
      </x:c>
      <x:c r="E334" s="35" t="str"/>
      <x:c r="F334" s="35" t="str">
        <x:v>kN</x:v>
      </x:c>
      <x:c r="G334" s="38" t="str">
        <x:v>TRF-081</x:v>
      </x:c>
      <x:c r="H334" s="35" t="str">
        <x:v>Verified exact implementation term</x:v>
      </x:c>
      <x:c r="I334" s="35" t="str">
        <x:v>N1 - reuse only after exact URI and semantic-context verification</x:v>
      </x:c>
      <x:c r="J334" s="35" t="str">
        <x:v>REUSE_R2_TERM</x:v>
      </x:c>
    </x:row>
    <x:row r="335">
      <x:c r="A335" s="35" t="str">
        <x:v>forwardPropellerShaftDesignThrust</x:v>
      </x:c>
      <x:c r="B335" s="35" t="str">
        <x:v>https://w3id.org/nltl-benchmark/vocab#forwardPropellerShaftDesignThrust</x:v>
      </x:c>
      <x:c r="C335" s="35" t="str">
        <x:v>QuantityProperty</x:v>
      </x:c>
      <x:c r="D335" s="35" t="str">
        <x:v>http://qudt.org/schema/qudt/QuantityValue</x:v>
      </x:c>
      <x:c r="E335" s="35" t="str"/>
      <x:c r="F335" s="35" t="str">
        <x:v>kN</x:v>
      </x:c>
      <x:c r="G335" s="38" t="str">
        <x:v>TRF-081</x:v>
      </x:c>
      <x:c r="H335" s="35" t="str">
        <x:v>Unit-stripped normalized regulatory variable</x:v>
      </x:c>
      <x:c r="I335" s="35" t="str">
        <x:v>N3 - remove unit from the identifier and retain it in unit/quantity metadata</x:v>
      </x:c>
      <x:c r="J335" s="35" t="str">
        <x:v>REUSE_R2_TERM</x:v>
      </x:c>
    </x:row>
    <x:row r="336">
      <x:c r="A336" s="35" t="str">
        <x:v>fractureMargin</x:v>
      </x:c>
      <x:c r="B336" s="35" t="str">
        <x:v>https://w3id.org/nltl-benchmark/vocab#fractureMargin</x:v>
      </x:c>
      <x:c r="C336" s="35" t="str">
        <x:v>QuantityProperty</x:v>
      </x:c>
      <x:c r="D336" s="35" t="str">
        <x:v>http://qudt.org/schema/qudt/QuantityValue</x:v>
      </x:c>
      <x:c r="E336" s="35" t="str"/>
      <x:c r="F336" s="35" t="str">
        <x:v>1</x:v>
      </x:c>
      <x:c r="G336" s="38" t="str">
        <x:v>I2-065</x:v>
      </x:c>
      <x:c r="H336" s="35" t="str">
        <x:v>Benchmark-coined descriptive engineering term</x:v>
      </x:c>
      <x:c r="I336" s="35" t="str">
        <x:v>N5 - component or subject first, followed by characteristic and qualifier/state; no unsupported external mapping</x:v>
      </x:c>
      <x:c r="J336" s="35" t="str">
        <x:v>REUSE_R2_TERM</x:v>
      </x:c>
    </x:row>
    <x:row r="337">
      <x:c r="A337" s="35" t="str">
        <x:v>frame</x:v>
      </x:c>
      <x:c r="B337" s="35" t="str">
        <x:v>https://w3id.org/nltl-benchmark/vocab#frame</x:v>
      </x:c>
      <x:c r="C337" s="35" t="str">
        <x:v>Class</x:v>
      </x:c>
      <x:c r="D337" s="35" t="str">
        <x:v>https://w3id.org/nltl-benchmark/vocab#hullStructure</x:v>
      </x:c>
      <x:c r="E337" s="35" t="str"/>
      <x:c r="F337" s="35" t="str"/>
      <x:c r="G337" s="38" t="str">
        <x:v>TRF-049</x:v>
      </x:c>
      <x:c r="H337" s="35" t="str">
        <x:v>Benchmark-coined descriptive engineering term</x:v>
      </x:c>
      <x:c r="I337" s="35" t="str">
        <x:v>N5 - component or subject first, followed by characteristic and qualifier/state; no unsupported external mapping</x:v>
      </x:c>
      <x:c r="J337" s="35" t="str">
        <x:v>REUSE_R2_TERM</x:v>
      </x:c>
    </x:row>
    <x:row r="338">
      <x:c r="A338" s="35" t="str">
        <x:v>frameAsymmetrical</x:v>
      </x:c>
      <x:c r="B338" s="35" t="str">
        <x:v>https://w3id.org/nltl-benchmark/vocab#frameAsymmetrical</x:v>
      </x:c>
      <x:c r="C338" s="35" t="str">
        <x:v>DatatypeProperty</x:v>
      </x:c>
      <x:c r="D338" s="35" t="str">
        <x:v>http://www.w3.org/2001/XMLSchema#boolean</x:v>
      </x:c>
      <x:c r="E338" s="35" t="str">
        <x:v>xsd:boolean</x:v>
      </x:c>
      <x:c r="F338" s="35" t="str"/>
      <x:c r="G338" s="38" t="str">
        <x:v>TRF-052</x:v>
      </x:c>
      <x:c r="H338" s="35" t="str">
        <x:v>Benchmark-coined descriptive engineering term</x:v>
      </x:c>
      <x:c r="I338" s="35" t="str">
        <x:v>N5 - component or subject first, followed by characteristic and qualifier/state; no unsupported external mapping</x:v>
      </x:c>
      <x:c r="J338" s="35" t="str">
        <x:v>REUSE_R2_TERM</x:v>
      </x:c>
    </x:row>
    <x:row r="339">
      <x:c r="A339" s="35" t="str">
        <x:v>frameAttachment</x:v>
      </x:c>
      <x:c r="B339" s="35" t="str">
        <x:v>https://w3id.org/nltl-benchmark/vocab#frameAttachment</x:v>
      </x:c>
      <x:c r="C339" s="35" t="str">
        <x:v>ObjectProperty</x:v>
      </x:c>
      <x:c r="D339" s="35" t="str">
        <x:v>https://w3id.org/nltl-benchmark/vocab#benchmarkEntity</x:v>
      </x:c>
      <x:c r="E339" s="35" t="str"/>
      <x:c r="F339" s="35" t="str"/>
      <x:c r="G339" s="38" t="str">
        <x:v>TRF-049</x:v>
      </x:c>
      <x:c r="H339" s="35" t="str">
        <x:v>Benchmark-coined descriptive engineering term</x:v>
      </x:c>
      <x:c r="I339" s="35" t="str">
        <x:v>N5 - component or subject first, followed by characteristic and qualifier/state; no unsupported external mapping</x:v>
      </x:c>
      <x:c r="J339" s="35" t="str">
        <x:v>REUSE_R2_TERM</x:v>
      </x:c>
    </x:row>
    <x:row r="340">
      <x:c r="A340" s="35" t="str">
        <x:v>frameBoundaryConditionEvidence</x:v>
      </x:c>
      <x:c r="B340" s="35" t="str">
        <x:v>https://w3id.org/nltl-benchmark/vocab#frameBoundaryConditionEvidence</x:v>
      </x:c>
      <x:c r="C340" s="35" t="str">
        <x:v>Class</x:v>
      </x:c>
      <x:c r="D340" s="35" t="str">
        <x:v>https://w3id.org/nltl-benchmark/vocab#evidenceArtifact</x:v>
      </x:c>
      <x:c r="E340" s="35" t="str"/>
      <x:c r="F340" s="35" t="str"/>
      <x:c r="G340" s="38" t="str">
        <x:v>TRF-048</x:v>
      </x:c>
      <x:c r="H340" s="35" t="str">
        <x:v>Applicable TRAFICOM regulation wording plus explicit engineering node/operand role</x:v>
      </x:c>
      <x:c r="I340" s="35" t="str">
        <x:v>N4 - singular ASCII lowerCamelCase entity name derived from the linked regulatory role.</x:v>
      </x:c>
      <x:c r="J340" s="35" t="str">
        <x:v>ADD_DEVELOPMENT_TERM</x:v>
      </x:c>
    </x:row>
    <x:row r="341">
      <x:c r="A341" s="35" t="str">
        <x:v>frameBoundaryConditionFactorM0</x:v>
      </x:c>
      <x:c r="B341" s="35" t="str">
        <x:v>https://w3id.org/nltl-benchmark/vocab#frameBoundaryConditionFactorM0</x:v>
      </x:c>
      <x:c r="C341" s="35" t="str">
        <x:v>QuantityProperty</x:v>
      </x:c>
      <x:c r="D341" s="35" t="str">
        <x:v>http://qudt.org/schema/qudt/QuantityValue</x:v>
      </x:c>
      <x:c r="E341" s="35" t="str"/>
      <x:c r="F341" s="35" t="str">
        <x:v>1</x:v>
      </x:c>
      <x:c r="G341" s="38" t="str">
        <x:v>TRF-044</x:v>
      </x:c>
      <x:c r="H341" s="35" t="str">
        <x:v>Applicable TRAFICOM regulation wording plus explicit engineering node/operand role</x:v>
      </x:c>
      <x:c r="I341" s="35" t="str">
        <x:v>N4 - explicit engineering quantity in ASCII lowerCamelCase; formula symbols remain aliases only.</x:v>
      </x:c>
      <x:c r="J341" s="35" t="str">
        <x:v>ADD_DEVELOPMENT_TERM</x:v>
      </x:c>
    </x:row>
    <x:row r="342">
      <x:c r="A342" s="35" t="str">
        <x:v>frameBoundaryConditionType</x:v>
      </x:c>
      <x:c r="B342" s="35" t="str">
        <x:v>https://w3id.org/nltl-benchmark/vocab#frameBoundaryConditionType</x:v>
      </x:c>
      <x:c r="C342" s="35" t="str">
        <x:v>ObjectProperty</x:v>
      </x:c>
      <x:c r="D342" s="35" t="str">
        <x:v>https://w3id.org/nltl-benchmark/vocab#frameBoundaryConditionTypeValue</x:v>
      </x:c>
      <x:c r="E342" s="35" t="str"/>
      <x:c r="F342" s="35" t="str"/>
      <x:c r="G342" s="38" t="str">
        <x:v>TRF-044</x:v>
      </x:c>
      <x:c r="H342" s="35" t="str">
        <x:v>Applicable TRAFICOM regulation wording plus explicit engineering node/operand role</x:v>
      </x:c>
      <x:c r="I342" s="35" t="str">
        <x:v>N5 - ASCII lowerCamelCase relationship; use has + object role when it improves direction clarity.</x:v>
      </x:c>
      <x:c r="J342" s="35" t="str">
        <x:v>ADD_DEVELOPMENT_TERM</x:v>
      </x:c>
    </x:row>
    <x:row r="343">
      <x:c r="A343" s="35" t="str">
        <x:v>frameBoundaryConditionTypeValue</x:v>
      </x:c>
      <x:c r="B343" s="35" t="str">
        <x:v>https://w3id.org/nltl-benchmark/vocab#frameBoundaryConditionTypeValue</x:v>
      </x:c>
      <x:c r="C343" s="35" t="str">
        <x:v>Class</x:v>
      </x:c>
      <x:c r="D343" s="35" t="str">
        <x:v>https://w3id.org/nltl-benchmark/vocab#benchmarkEntity</x:v>
      </x:c>
      <x:c r="E343" s="35" t="str"/>
      <x:c r="F343" s="35" t="str"/>
      <x:c r="G343" s="38" t="str">
        <x:v>TRF-044</x:v>
      </x:c>
      <x:c r="H343" s="35" t="str">
        <x:v>Applicable TRAFICOM regulation wording plus explicit engineering node/operand role</x:v>
      </x:c>
      <x:c r="I343" s="35" t="str">
        <x:v>N4 - singular ASCII lowerCamelCase entity name derived from the linked regulatory role.</x:v>
      </x:c>
      <x:c r="J343" s="35" t="str">
        <x:v>ADD_DEVELOPMENT_TERM</x:v>
      </x:c>
    </x:row>
    <x:row r="344">
      <x:c r="A344" s="35" t="str">
        <x:v>frameEnd</x:v>
      </x:c>
      <x:c r="B344" s="35" t="str">
        <x:v>https://w3id.org/nltl-benchmark/vocab#frameEnd</x:v>
      </x:c>
      <x:c r="C344" s="35" t="str">
        <x:v>Class</x:v>
      </x:c>
      <x:c r="D344" s="35" t="str">
        <x:v>https://w3id.org/nltl-benchmark/vocab#hullStructure</x:v>
      </x:c>
      <x:c r="E344" s="35" t="str"/>
      <x:c r="F344" s="35" t="str"/>
      <x:c r="G344" s="38" t="str">
        <x:v>TRF-046 | TRF-047</x:v>
      </x:c>
      <x:c r="H344" s="35" t="str">
        <x:v>Applicable TRAFICOM regulation wording plus explicit engineering node/operand role</x:v>
      </x:c>
      <x:c r="I344" s="35" t="str">
        <x:v>N4 - singular ASCII lowerCamelCase entity name derived from the linked regulatory role.</x:v>
      </x:c>
      <x:c r="J344" s="35" t="str">
        <x:v>ADD_DEVELOPMENT_TERM</x:v>
      </x:c>
    </x:row>
    <x:row r="345">
      <x:c r="A345" s="35" t="str">
        <x:v>frameLowerEnd</x:v>
      </x:c>
      <x:c r="B345" s="35" t="str">
        <x:v>https://w3id.org/nltl-benchmark/vocab#frameLowerEnd</x:v>
      </x:c>
      <x:c r="C345" s="35" t="str">
        <x:v>DatatypeProperty</x:v>
      </x:c>
      <x:c r="D345" s="35" t="str">
        <x:v>http://www.w3.org/2001/XMLSchema#string</x:v>
      </x:c>
      <x:c r="E345" s="35" t="str">
        <x:v>xsd:string</x:v>
      </x:c>
      <x:c r="F345" s="35" t="str"/>
      <x:c r="G345" s="38" t="str">
        <x:v>TRF-047</x:v>
      </x:c>
      <x:c r="H345" s="35" t="str">
        <x:v>Benchmark-coined descriptive engineering term</x:v>
      </x:c>
      <x:c r="I345" s="35" t="str">
        <x:v>N5 - component or subject first, followed by characteristic and qualifier/state; no unsupported external mapping</x:v>
      </x:c>
      <x:c r="J345" s="35" t="str">
        <x:v>REUSE_R2_TERM</x:v>
      </x:c>
    </x:row>
    <x:row r="346">
      <x:c r="A346" s="35" t="str">
        <x:v>frameMomentFactorM</x:v>
      </x:c>
      <x:c r="B346" s="35" t="str">
        <x:v>https://w3id.org/nltl-benchmark/vocab#frameMomentFactorM</x:v>
      </x:c>
      <x:c r="C346" s="35" t="str">
        <x:v>QuantityProperty</x:v>
      </x:c>
      <x:c r="D346" s="35" t="str">
        <x:v>http://qudt.org/schema/qudt/QuantityValue</x:v>
      </x:c>
      <x:c r="E346" s="35" t="str"/>
      <x:c r="F346" s="35" t="str">
        <x:v>1</x:v>
      </x:c>
      <x:c r="G346" s="38" t="str">
        <x:v>TRF-048 | TRF-053 | TRF-054</x:v>
      </x:c>
      <x:c r="H346" s="35" t="str">
        <x:v>Applicable TRAFICOM regulation wording plus explicit engineering node/operand role</x:v>
      </x:c>
      <x:c r="I346" s="35" t="str">
        <x:v>N4 - explicit engineering quantity in ASCII lowerCamelCase; formula symbols remain aliases only.</x:v>
      </x:c>
      <x:c r="J346" s="35" t="str">
        <x:v>ADD_DEVELOPMENT_TERM</x:v>
      </x:c>
    </x:row>
    <x:row r="347">
      <x:c r="A347" s="35" t="str">
        <x:v>frameMomentFactorMt</x:v>
      </x:c>
      <x:c r="B347" s="35" t="str">
        <x:v>https://w3id.org/nltl-benchmark/vocab#frameMomentFactorMt</x:v>
      </x:c>
      <x:c r="C347" s="35" t="str">
        <x:v>QuantityProperty</x:v>
      </x:c>
      <x:c r="D347" s="35" t="str">
        <x:v>http://qudt.org/schema/qudt/QuantityValue</x:v>
      </x:c>
      <x:c r="E347" s="35" t="str"/>
      <x:c r="F347" s="35" t="str">
        <x:v>1</x:v>
      </x:c>
      <x:c r="G347" s="38" t="str">
        <x:v>TRF-044</x:v>
      </x:c>
      <x:c r="H347" s="35" t="str">
        <x:v>Applicable TRAFICOM regulation wording plus explicit engineering node/operand role</x:v>
      </x:c>
      <x:c r="I347" s="35" t="str">
        <x:v>N4 - explicit engineering quantity in ASCII lowerCamelCase; formula symbols remain aliases only.</x:v>
      </x:c>
      <x:c r="J347" s="35" t="str">
        <x:v>ADD_DEVELOPMENT_TERM</x:v>
      </x:c>
    </x:row>
    <x:row r="348">
      <x:c r="A348" s="35" t="str">
        <x:v>frameProfileType</x:v>
      </x:c>
      <x:c r="B348" s="35" t="str">
        <x:v>https://w3id.org/nltl-benchmark/vocab#frameProfileType</x:v>
      </x:c>
      <x:c r="C348" s="35" t="str">
        <x:v>ObjectProperty</x:v>
      </x:c>
      <x:c r="D348" s="35" t="str">
        <x:v>https://w3id.org/nltl-benchmark/vocab#frameProfileTypeValue</x:v>
      </x:c>
      <x:c r="E348" s="35" t="str"/>
      <x:c r="F348" s="35" t="str"/>
      <x:c r="G348" s="38" t="str">
        <x:v>TRF-051</x:v>
      </x:c>
      <x:c r="H348" s="35" t="str">
        <x:v>Applicable TRAFICOM regulation wording plus explicit engineering node/operand role</x:v>
      </x:c>
      <x:c r="I348" s="35" t="str">
        <x:v>N5 - ASCII lowerCamelCase relationship; use has + object role when it improves direction clarity.</x:v>
      </x:c>
      <x:c r="J348" s="35" t="str">
        <x:v>ADD_DEVELOPMENT_TERM</x:v>
      </x:c>
    </x:row>
    <x:row r="349">
      <x:c r="A349" s="35" t="str">
        <x:v>frameProfileTypeValue</x:v>
      </x:c>
      <x:c r="B349" s="35" t="str">
        <x:v>https://w3id.org/nltl-benchmark/vocab#frameProfileTypeValue</x:v>
      </x:c>
      <x:c r="C349" s="35" t="str">
        <x:v>Class</x:v>
      </x:c>
      <x:c r="D349" s="35" t="str">
        <x:v>https://w3id.org/nltl-benchmark/vocab#benchmarkEntity</x:v>
      </x:c>
      <x:c r="E349" s="35" t="str"/>
      <x:c r="F349" s="35" t="str"/>
      <x:c r="G349" s="38" t="str">
        <x:v>TRF-051</x:v>
      </x:c>
      <x:c r="H349" s="35" t="str">
        <x:v>Applicable TRAFICOM regulation wording plus explicit engineering node/operand role</x:v>
      </x:c>
      <x:c r="I349" s="35" t="str">
        <x:v>N4 - singular ASCII lowerCamelCase entity name derived from the linked regulatory role.</x:v>
      </x:c>
      <x:c r="J349" s="35" t="str">
        <x:v>ADD_DEVELOPMENT_TERM</x:v>
      </x:c>
    </x:row>
    <x:row r="350">
      <x:c r="A350" s="35" t="str">
        <x:v>frameShearDistributionFactorF3</x:v>
      </x:c>
      <x:c r="B350" s="35" t="str">
        <x:v>https://w3id.org/nltl-benchmark/vocab#frameShearDistributionFactorF3</x:v>
      </x:c>
      <x:c r="C350" s="35" t="str">
        <x:v>QuantityProperty</x:v>
      </x:c>
      <x:c r="D350" s="35" t="str">
        <x:v>http://qudt.org/schema/qudt/QuantityValue</x:v>
      </x:c>
      <x:c r="E350" s="35" t="str"/>
      <x:c r="F350" s="35" t="str">
        <x:v>1</x:v>
      </x:c>
      <x:c r="G350" s="38" t="str">
        <x:v>TRF-044</x:v>
      </x:c>
      <x:c r="H350" s="35" t="str">
        <x:v>Applicable TRAFICOM regulation wording plus explicit engineering node/operand role</x:v>
      </x:c>
      <x:c r="I350" s="35" t="str">
        <x:v>N4 - explicit engineering quantity in ASCII lowerCamelCase; formula symbols remain aliases only.</x:v>
      </x:c>
      <x:c r="J350" s="35" t="str">
        <x:v>ADD_DEVELOPMENT_TERM</x:v>
      </x:c>
    </x:row>
    <x:row r="351">
      <x:c r="A351" s="35" t="str">
        <x:v>frameShellAttachment</x:v>
      </x:c>
      <x:c r="B351" s="35" t="str">
        <x:v>https://w3id.org/nltl-benchmark/vocab#frameShellAttachment</x:v>
      </x:c>
      <x:c r="C351" s="35" t="str">
        <x:v>ObjectProperty</x:v>
      </x:c>
      <x:c r="D351" s="35" t="str">
        <x:v>https://w3id.org/nltl-benchmark/vocab#benchmarkEntity</x:v>
      </x:c>
      <x:c r="E351" s="35" t="str"/>
      <x:c r="F351" s="35" t="str"/>
      <x:c r="G351" s="38" t="str">
        <x:v>TRF-050</x:v>
      </x:c>
      <x:c r="H351" s="35" t="str">
        <x:v>Benchmark-coined descriptive engineering term</x:v>
      </x:c>
      <x:c r="I351" s="35" t="str">
        <x:v>N5 - component or subject first, followed by characteristic and qualifier/state; no unsupported external mapping</x:v>
      </x:c>
      <x:c r="J351" s="35" t="str">
        <x:v>REUSE_R2_TERM</x:v>
      </x:c>
    </x:row>
    <x:row r="352">
      <x:c r="A352" s="35" t="str">
        <x:v>frameShellWeldType</x:v>
      </x:c>
      <x:c r="B352" s="35" t="str">
        <x:v>https://w3id.org/nltl-benchmark/vocab#frameShellWeldType</x:v>
      </x:c>
      <x:c r="C352" s="35" t="str">
        <x:v>ObjectProperty</x:v>
      </x:c>
      <x:c r="D352" s="35" t="str">
        <x:v>https://w3id.org/nltl-benchmark/vocab#weldTypeValue</x:v>
      </x:c>
      <x:c r="E352" s="35" t="str"/>
      <x:c r="F352" s="35" t="str"/>
      <x:c r="G352" s="38" t="str">
        <x:v>TRF-050</x:v>
      </x:c>
      <x:c r="H352" s="35" t="str">
        <x:v>Applicable TRAFICOM regulation wording plus explicit engineering node/operand role</x:v>
      </x:c>
      <x:c r="I352" s="35" t="str">
        <x:v>N5 - ASCII lowerCamelCase relationship; use has + object role when it improves direction clarity.</x:v>
      </x:c>
      <x:c r="J352" s="35" t="str">
        <x:v>ADD_DEVELOPMENT_TERM</x:v>
      </x:c>
    </x:row>
    <x:row r="353">
      <x:c r="A353" s="35" t="str">
        <x:v>frameSpan</x:v>
      </x:c>
      <x:c r="B353" s="35" t="str">
        <x:v>https://w3id.org/nltl-benchmark/vocab#frameSpan</x:v>
      </x:c>
      <x:c r="C353" s="35" t="str">
        <x:v>QuantityProperty</x:v>
      </x:c>
      <x:c r="D353" s="35" t="str">
        <x:v>http://qudt.org/schema/qudt/QuantityValue</x:v>
      </x:c>
      <x:c r="E353" s="35" t="str"/>
      <x:c r="F353" s="35" t="str">
        <x:v>m</x:v>
      </x:c>
      <x:c r="G353" s="38" t="str">
        <x:v>TRF-052</x:v>
      </x:c>
      <x:c r="H353" s="35" t="str">
        <x:v>Verified exact implementation term</x:v>
      </x:c>
      <x:c r="I353" s="35" t="str">
        <x:v>N1 - reuse only after exact URI and semantic-context verification</x:v>
      </x:c>
      <x:c r="J353" s="35" t="str">
        <x:v>REUSE_R2_TERM</x:v>
      </x:c>
    </x:row>
    <x:row r="354">
      <x:c r="A354" s="35" t="str">
        <x:v>frameSpanWithinIceStrengtheningZone</x:v>
      </x:c>
      <x:c r="B354" s="35" t="str">
        <x:v>https://w3id.org/nltl-benchmark/vocab#frameSpanWithinIceStrengtheningZone</x:v>
      </x:c>
      <x:c r="C354" s="35" t="str">
        <x:v>QuantityProperty</x:v>
      </x:c>
      <x:c r="D354" s="35" t="str">
        <x:v>http://qudt.org/schema/qudt/QuantityValue</x:v>
      </x:c>
      <x:c r="E354" s="35" t="str"/>
      <x:c r="F354" s="35" t="str">
        <x:v>m</x:v>
      </x:c>
      <x:c r="G354" s="38" t="str">
        <x:v>TRF-045</x:v>
      </x:c>
      <x:c r="H354" s="35" t="str">
        <x:v>Applicable TRAFICOM regulation wording plus explicit engineering node/operand role</x:v>
      </x:c>
      <x:c r="I354" s="35" t="str">
        <x:v>N4 - explicit engineering quantity in ASCII lowerCamelCase; formula symbols remain aliases only.</x:v>
      </x:c>
      <x:c r="J354" s="35" t="str">
        <x:v>ADD_DEVELOPMENT_TERM</x:v>
      </x:c>
    </x:row>
    <x:row r="355">
      <x:c r="A355" s="35" t="str">
        <x:v>frameStrengthenedPart</x:v>
      </x:c>
      <x:c r="B355" s="35" t="str">
        <x:v>https://w3id.org/nltl-benchmark/vocab#frameStrengthenedPart</x:v>
      </x:c>
      <x:c r="C355" s="35" t="str">
        <x:v>Class</x:v>
      </x:c>
      <x:c r="D355" s="35" t="str">
        <x:v>https://w3id.org/nltl-benchmark/vocab#benchmarkEntity</x:v>
      </x:c>
      <x:c r="E355" s="35" t="str"/>
      <x:c r="F355" s="35" t="str"/>
      <x:c r="G355" s="38" t="str">
        <x:v>TRF-046 | TRF-047</x:v>
      </x:c>
      <x:c r="H355" s="35" t="str">
        <x:v>Benchmark-coined descriptive engineering term</x:v>
      </x:c>
      <x:c r="I355" s="35" t="str">
        <x:v>N5 - component or subject first, followed by characteristic and qualifier/state; no unsupported external mapping</x:v>
      </x:c>
      <x:c r="J355" s="35" t="str">
        <x:v>REUSE_R2_TERM</x:v>
      </x:c>
    </x:row>
    <x:row r="356">
      <x:c r="A356" s="35" t="str">
        <x:v>frameUpperEnd</x:v>
      </x:c>
      <x:c r="B356" s="35" t="str">
        <x:v>https://w3id.org/nltl-benchmark/vocab#frameUpperEnd</x:v>
      </x:c>
      <x:c r="C356" s="35" t="str">
        <x:v>DatatypeProperty</x:v>
      </x:c>
      <x:c r="D356" s="35" t="str">
        <x:v>http://www.w3.org/2001/XMLSchema#string</x:v>
      </x:c>
      <x:c r="E356" s="35" t="str">
        <x:v>xsd:string</x:v>
      </x:c>
      <x:c r="F356" s="35" t="str"/>
      <x:c r="G356" s="38" t="str">
        <x:v>TRF-046</x:v>
      </x:c>
      <x:c r="H356" s="35" t="str">
        <x:v>Benchmark-coined descriptive engineering term</x:v>
      </x:c>
      <x:c r="I356" s="35" t="str">
        <x:v>N5 - component or subject first, followed by characteristic and qualifier/state; no unsupported external mapping</x:v>
      </x:c>
      <x:c r="J356" s="35" t="str">
        <x:v>REUSE_R2_TERM</x:v>
      </x:c>
    </x:row>
    <x:row r="357">
      <x:c r="A357" s="35" t="str">
        <x:v>frameWebAngleToShell</x:v>
      </x:c>
      <x:c r="B357" s="35" t="str">
        <x:v>https://w3id.org/nltl-benchmark/vocab#frameWebAngleToShell</x:v>
      </x:c>
      <x:c r="C357" s="35" t="str">
        <x:v>QuantityProperty</x:v>
      </x:c>
      <x:c r="D357" s="35" t="str">
        <x:v>http://qudt.org/schema/qudt/QuantityValue</x:v>
      </x:c>
      <x:c r="E357" s="35" t="str"/>
      <x:c r="F357" s="35" t="str">
        <x:v>deg</x:v>
      </x:c>
      <x:c r="G357" s="38" t="str">
        <x:v>TRF-052</x:v>
      </x:c>
      <x:c r="H357" s="35" t="str">
        <x:v>Unit-stripped normalized regulatory variable</x:v>
      </x:c>
      <x:c r="I357" s="35" t="str">
        <x:v>N3 - remove unit from the identifier and retain it in unit/quantity metadata</x:v>
      </x:c>
      <x:c r="J357" s="35" t="str">
        <x:v>REUSE_R2_TERM</x:v>
      </x:c>
    </x:row>
    <x:row r="358">
      <x:c r="A358" s="35" t="str">
        <x:v>frameWebPlateThickness</x:v>
      </x:c>
      <x:c r="B358" s="35" t="str">
        <x:v>https://w3id.org/nltl-benchmark/vocab#frameWebPlateThickness</x:v>
      </x:c>
      <x:c r="C358" s="35" t="str">
        <x:v>QuantityProperty</x:v>
      </x:c>
      <x:c r="D358" s="35" t="str">
        <x:v>http://qudt.org/schema/qudt/QuantityValue</x:v>
      </x:c>
      <x:c r="E358" s="35" t="str"/>
      <x:c r="F358" s="35" t="str">
        <x:v>m</x:v>
      </x:c>
      <x:c r="G358" s="38" t="str">
        <x:v>TRF-049</x:v>
      </x:c>
      <x:c r="H358" s="35" t="str">
        <x:v>Benchmark-coined descriptive engineering term</x:v>
      </x:c>
      <x:c r="I358" s="35" t="str">
        <x:v>N5 - component or subject first, followed by characteristic and qualifier/state; no unsupported external mapping</x:v>
      </x:c>
      <x:c r="J358" s="35" t="str">
        <x:v>REUSE_R2_TERM</x:v>
      </x:c>
    </x:row>
    <x:row r="359">
      <x:c r="A359" s="35" t="str">
        <x:v>frameWebThickness</x:v>
      </x:c>
      <x:c r="B359" s="35" t="str">
        <x:v>https://w3id.org/nltl-benchmark/vocab#frameWebThickness</x:v>
      </x:c>
      <x:c r="C359" s="35" t="str">
        <x:v>QuantityProperty</x:v>
      </x:c>
      <x:c r="D359" s="35" t="str">
        <x:v>http://qudt.org/schema/qudt/QuantityValue</x:v>
      </x:c>
      <x:c r="E359" s="35" t="str"/>
      <x:c r="F359" s="35" t="str">
        <x:v>mm</x:v>
      </x:c>
      <x:c r="G359" s="38" t="str">
        <x:v>TRF-049 | TRF-051</x:v>
      </x:c>
      <x:c r="H359" s="35" t="str">
        <x:v>Applicable TRAFICOM regulation wording plus explicit engineering node/operand role</x:v>
      </x:c>
      <x:c r="I359" s="35" t="str">
        <x:v>N4 - explicit engineering quantity in ASCII lowerCamelCase; formula symbols remain aliases only.</x:v>
      </x:c>
      <x:c r="J359" s="35" t="str">
        <x:v>ADD_DEVELOPMENT_TERM</x:v>
      </x:c>
    </x:row>
    <x:row r="360">
      <x:c r="A360" s="35" t="str">
        <x:v>framingAngle</x:v>
      </x:c>
      <x:c r="B360" s="35" t="str">
        <x:v>https://w3id.org/nltl-benchmark/vocab#framingAngle</x:v>
      </x:c>
      <x:c r="C360" s="35" t="str">
        <x:v>QuantityProperty</x:v>
      </x:c>
      <x:c r="D360" s="35" t="str">
        <x:v>http://qudt.org/schema/qudt/QuantityValue</x:v>
      </x:c>
      <x:c r="E360" s="35" t="str"/>
      <x:c r="F360" s="35" t="str">
        <x:v>deg</x:v>
      </x:c>
      <x:c r="G360" s="38" t="str">
        <x:v>I2-024</x:v>
      </x:c>
      <x:c r="H360" s="35" t="str">
        <x:v>Benchmark-coined descriptive engineering term</x:v>
      </x:c>
      <x:c r="I360" s="35" t="str">
        <x:v>N5 - component or subject first, followed by characteristic and qualifier/state; no unsupported external mapping</x:v>
      </x:c>
      <x:c r="J360" s="35" t="str">
        <x:v>REUSE_R2_TERM</x:v>
      </x:c>
    </x:row>
    <x:row r="361">
      <x:c r="A361" s="35" t="str">
        <x:v>framingIceStrengtheningAboveUpperIceWaterline</x:v>
      </x:c>
      <x:c r="B361" s="35" t="str">
        <x:v>https://w3id.org/nltl-benchmark/vocab#framingIceStrengtheningAboveUpperIceWaterline</x:v>
      </x:c>
      <x:c r="C361" s="35" t="str">
        <x:v>QuantityProperty</x:v>
      </x:c>
      <x:c r="D361" s="35" t="str">
        <x:v>http://qudt.org/schema/qudt/QuantityValue</x:v>
      </x:c>
      <x:c r="E361" s="35" t="str"/>
      <x:c r="F361" s="35" t="str">
        <x:v>m</x:v>
      </x:c>
      <x:c r="G361" s="38" t="str">
        <x:v>TRF-043</x:v>
      </x:c>
      <x:c r="H361" s="35" t="str">
        <x:v>Applicable TRAFICOM regulation wording plus explicit engineering node/operand role</x:v>
      </x:c>
      <x:c r="I361" s="35" t="str">
        <x:v>N4 - explicit engineering quantity in ASCII lowerCamelCase; formula symbols remain aliases only.</x:v>
      </x:c>
      <x:c r="J361" s="35" t="str">
        <x:v>ADD_DEVELOPMENT_TERM</x:v>
      </x:c>
    </x:row>
    <x:row r="362">
      <x:c r="A362" s="35" t="str">
        <x:v>framingIceStrengtheningBelowLowerIceWaterline</x:v>
      </x:c>
      <x:c r="B362" s="35" t="str">
        <x:v>https://w3id.org/nltl-benchmark/vocab#framingIceStrengtheningBelowLowerIceWaterline</x:v>
      </x:c>
      <x:c r="C362" s="35" t="str">
        <x:v>QuantityProperty</x:v>
      </x:c>
      <x:c r="D362" s="35" t="str">
        <x:v>http://qudt.org/schema/qudt/QuantityValue</x:v>
      </x:c>
      <x:c r="E362" s="35" t="str"/>
      <x:c r="F362" s="35" t="str">
        <x:v>m</x:v>
      </x:c>
      <x:c r="G362" s="38" t="str">
        <x:v>TRF-043</x:v>
      </x:c>
      <x:c r="H362" s="35" t="str">
        <x:v>Applicable TRAFICOM regulation wording plus explicit engineering node/operand role</x:v>
      </x:c>
      <x:c r="I362" s="35" t="str">
        <x:v>N4 - explicit engineering quantity in ASCII lowerCamelCase; formula symbols remain aliases only.</x:v>
      </x:c>
      <x:c r="J362" s="35" t="str">
        <x:v>ADD_DEVELOPMENT_TERM</x:v>
      </x:c>
    </x:row>
    <x:row r="363">
      <x:c r="A363" s="35" t="str">
        <x:v>framingIceStrengtheningExtent</x:v>
      </x:c>
      <x:c r="B363" s="35" t="str">
        <x:v>https://w3id.org/nltl-benchmark/vocab#framingIceStrengtheningExtent</x:v>
      </x:c>
      <x:c r="C363" s="35" t="str">
        <x:v>DatatypeProperty</x:v>
      </x:c>
      <x:c r="D363" s="35" t="str">
        <x:v>http://www.w3.org/2001/XMLSchema#string</x:v>
      </x:c>
      <x:c r="E363" s="35" t="str">
        <x:v>xsd:string</x:v>
      </x:c>
      <x:c r="F363" s="35" t="str"/>
      <x:c r="G363" s="38" t="str">
        <x:v>TRF-063</x:v>
      </x:c>
      <x:c r="H363" s="35" t="str">
        <x:v>Benchmark-coined descriptive engineering term</x:v>
      </x:c>
      <x:c r="I363" s="35" t="str">
        <x:v>N5 - component or subject first, followed by characteristic and qualifier/state; no unsupported external mapping</x:v>
      </x:c>
      <x:c r="J363" s="35" t="str">
        <x:v>REUSE_R2_TERM</x:v>
      </x:c>
    </x:row>
    <x:row r="364">
      <x:c r="A364" s="35" t="str">
        <x:v>framingIceStrengtheningUpperExtent</x:v>
      </x:c>
      <x:c r="B364" s="35" t="str">
        <x:v>https://w3id.org/nltl-benchmark/vocab#framingIceStrengtheningUpperExtent</x:v>
      </x:c>
      <x:c r="C364" s="35" t="str">
        <x:v>DatatypeProperty</x:v>
      </x:c>
      <x:c r="D364" s="35" t="str">
        <x:v>http://www.w3.org/2001/XMLSchema#string</x:v>
      </x:c>
      <x:c r="E364" s="35" t="str">
        <x:v>xsd:string</x:v>
      </x:c>
      <x:c r="F364" s="35" t="str"/>
      <x:c r="G364" s="38" t="str">
        <x:v>TRF-043</x:v>
      </x:c>
      <x:c r="H364" s="35" t="str">
        <x:v>Benchmark-coined descriptive engineering term</x:v>
      </x:c>
      <x:c r="I364" s="35" t="str">
        <x:v>N5 - component or subject first, followed by characteristic and qualifier/state; no unsupported external mapping</x:v>
      </x:c>
      <x:c r="J364" s="35" t="str">
        <x:v>REUSE_R2_TERM</x:v>
      </x:c>
    </x:row>
    <x:row r="365">
      <x:c r="A365" s="35" t="str">
        <x:v>framingMember</x:v>
      </x:c>
      <x:c r="B365" s="35" t="str">
        <x:v>https://w3id.org/nltl-benchmark/vocab#framingMember</x:v>
      </x:c>
      <x:c r="C365" s="35" t="str">
        <x:v>Class</x:v>
      </x:c>
      <x:c r="D365" s="35" t="str">
        <x:v>https://w3id.org/nltl-benchmark/vocab#hullStructure</x:v>
      </x:c>
      <x:c r="E365" s="35" t="str"/>
      <x:c r="F365" s="35" t="str"/>
      <x:c r="G365" s="38" t="str">
        <x:v>I2-026</x:v>
      </x:c>
      <x:c r="H365" s="35" t="str">
        <x:v>Benchmark-coined descriptive engineering term</x:v>
      </x:c>
      <x:c r="I365" s="35" t="str">
        <x:v>N5 - component or subject first, followed by characteristic and qualifier/state; no unsupported external mapping</x:v>
      </x:c>
      <x:c r="J365" s="35" t="str">
        <x:v>REUSE_R2_TERM</x:v>
      </x:c>
    </x:row>
    <x:row r="366">
      <x:c r="A366" s="35" t="str">
        <x:v>freeFlangeArea</x:v>
      </x:c>
      <x:c r="B366" s="35" t="str">
        <x:v>https://w3id.org/nltl-benchmark/vocab#freeFlangeArea</x:v>
      </x:c>
      <x:c r="C366" s="35" t="str">
        <x:v>QuantityProperty</x:v>
      </x:c>
      <x:c r="D366" s="35" t="str">
        <x:v>http://qudt.org/schema/qudt/QuantityValue</x:v>
      </x:c>
      <x:c r="E366" s="35" t="str"/>
      <x:c r="F366" s="35" t="str">
        <x:v>cm^2</x:v>
      </x:c>
      <x:c r="G366" s="38" t="str">
        <x:v>TRF-059</x:v>
      </x:c>
      <x:c r="H366" s="35" t="str">
        <x:v>Applicable TRAFICOM regulation wording plus explicit engineering node/operand role</x:v>
      </x:c>
      <x:c r="I366" s="35" t="str">
        <x:v>N4 - explicit engineering quantity in ASCII lowerCamelCase; formula symbols remain aliases only.</x:v>
      </x:c>
      <x:c r="J366" s="35" t="str">
        <x:v>ADD_DEVELOPMENT_TERM</x:v>
      </x:c>
    </x:row>
    <x:row r="367">
      <x:c r="A367" s="35" t="str">
        <x:v>freeFlangeToWebAreaRatio</x:v>
      </x:c>
      <x:c r="B367" s="35" t="str">
        <x:v>https://w3id.org/nltl-benchmark/vocab#freeFlangeToWebAreaRatio</x:v>
      </x:c>
      <x:c r="C367" s="35" t="str">
        <x:v>QuantityProperty</x:v>
      </x:c>
      <x:c r="D367" s="35" t="str">
        <x:v>http://qudt.org/schema/qudt/QuantityValue</x:v>
      </x:c>
      <x:c r="E367" s="35" t="str"/>
      <x:c r="F367" s="35" t="str">
        <x:v>1</x:v>
      </x:c>
      <x:c r="G367" s="38" t="str">
        <x:v>TRF-059</x:v>
      </x:c>
      <x:c r="H367" s="35" t="str">
        <x:v>Applicable TRAFICOM regulation wording plus explicit engineering node/operand role</x:v>
      </x:c>
      <x:c r="I367" s="35" t="str">
        <x:v>N4 - explicit engineering quantity in ASCII lowerCamelCase; formula symbols remain aliases only.</x:v>
      </x:c>
      <x:c r="J367" s="35" t="str">
        <x:v>ADD_DEVELOPMENT_TERM</x:v>
      </x:c>
    </x:row>
    <x:row r="368">
      <x:c r="A368" s="35" t="str">
        <x:v>freeingPortStrengthStatus</x:v>
      </x:c>
      <x:c r="B368" s="35" t="str">
        <x:v>https://w3id.org/nltl-benchmark/vocab#freeingPortStrengthStatus</x:v>
      </x:c>
      <x:c r="C368" s="35" t="str">
        <x:v>DatatypeProperty</x:v>
      </x:c>
      <x:c r="D368" s="35" t="str">
        <x:v>http://www.w3.org/2001/XMLSchema#boolean</x:v>
      </x:c>
      <x:c r="E368" s="35" t="str">
        <x:v>xsd:boolean</x:v>
      </x:c>
      <x:c r="F368" s="35" t="str"/>
      <x:c r="G368" s="38" t="str">
        <x:v>TRF-040</x:v>
      </x:c>
      <x:c r="H368" s="35" t="str">
        <x:v>Benchmark-coined descriptive engineering term</x:v>
      </x:c>
      <x:c r="I368" s="35" t="str">
        <x:v>N5 - component or subject first, followed by characteristic and qualifier/state; no unsupported external mapping</x:v>
      </x:c>
      <x:c r="J368" s="35" t="str">
        <x:v>REUSE_R2_TERM</x:v>
      </x:c>
    </x:row>
    <x:row r="369">
      <x:c r="A369" s="35" t="str">
        <x:v>freezingPreventionPresent</x:v>
      </x:c>
      <x:c r="B369" s="35" t="str">
        <x:v>https://w3id.org/nltl-benchmark/vocab#freezingPreventionPresent</x:v>
      </x:c>
      <x:c r="C369" s="35" t="str">
        <x:v>DatatypeProperty</x:v>
      </x:c>
      <x:c r="D369" s="35" t="str">
        <x:v>http://www.w3.org/2001/XMLSchema#boolean</x:v>
      </x:c>
      <x:c r="E369" s="35" t="str">
        <x:v>xsd:boolean</x:v>
      </x:c>
      <x:c r="F369" s="35" t="str"/>
      <x:c r="G369" s="38" t="str">
        <x:v>TRF-016</x:v>
      </x:c>
      <x:c r="H369" s="35" t="str">
        <x:v>Benchmark-coined descriptive engineering term</x:v>
      </x:c>
      <x:c r="I369" s="35" t="str">
        <x:v>N5 - component or subject first, followed by characteristic and qualifier/state; no unsupported external mapping</x:v>
      </x:c>
      <x:c r="J369" s="35" t="str">
        <x:v>REUSE_R2_TERM</x:v>
      </x:c>
    </x:row>
    <x:row r="370">
      <x:c r="A370" s="35" t="str">
        <x:v>freezingProtectionPresent</x:v>
      </x:c>
      <x:c r="B370" s="35" t="str">
        <x:v>https://w3id.org/nltl-benchmark/vocab#freezingProtectionPresent</x:v>
      </x:c>
      <x:c r="C370" s="35" t="str">
        <x:v>DatatypeProperty</x:v>
      </x:c>
      <x:c r="D370" s="35" t="str">
        <x:v>http://www.w3.org/2001/XMLSchema#boolean</x:v>
      </x:c>
      <x:c r="E370" s="35" t="str">
        <x:v>xsd:boolean</x:v>
      </x:c>
      <x:c r="F370" s="35" t="str"/>
      <x:c r="G370" s="38" t="str">
        <x:v>IMO-061</x:v>
      </x:c>
      <x:c r="H370" s="35" t="str">
        <x:v>Locked-workbook normalized regulatory term</x:v>
      </x:c>
      <x:c r="I370" s="35" t="str">
        <x:v>N4 - preserve the source concept; normalize spelling to ASCII lowerCamelCase</x:v>
      </x:c>
      <x:c r="J370" s="35" t="str">
        <x:v>REUSE_R2_TERM</x:v>
      </x:c>
    </x:row>
    <x:row r="371">
      <x:c r="A371" s="35" t="str">
        <x:v>freezingSnowIceProtectionPresent</x:v>
      </x:c>
      <x:c r="B371" s="35" t="str">
        <x:v>https://w3id.org/nltl-benchmark/vocab#freezingSnowIceProtectionPresent</x:v>
      </x:c>
      <x:c r="C371" s="35" t="str">
        <x:v>DatatypeProperty</x:v>
      </x:c>
      <x:c r="D371" s="35" t="str">
        <x:v>http://www.w3.org/2001/XMLSchema#boolean</x:v>
      </x:c>
      <x:c r="E371" s="35" t="str">
        <x:v>xsd:boolean</x:v>
      </x:c>
      <x:c r="F371" s="35" t="str"/>
      <x:c r="G371" s="38" t="str">
        <x:v>IMO-051</x:v>
      </x:c>
      <x:c r="H371" s="35" t="str">
        <x:v>Locked-workbook normalized regulatory term</x:v>
      </x:c>
      <x:c r="I371" s="35" t="str">
        <x:v>N4 - preserve the source concept; normalize spelling to ASCII lowerCamelCase</x:v>
      </x:c>
      <x:c r="J371" s="35" t="str">
        <x:v>REUSE_R2_TERM</x:v>
      </x:c>
    </x:row>
    <x:row r="372">
      <x:c r="A372" s="35" t="str">
        <x:v>frequencyDomainAnalysis</x:v>
      </x:c>
      <x:c r="B372" s="35" t="str">
        <x:v>https://w3id.org/nltl-benchmark/vocab#frequencyDomainAnalysis</x:v>
      </x:c>
      <x:c r="C372" s="35" t="str">
        <x:v>Class</x:v>
      </x:c>
      <x:c r="D372" s="35" t="str">
        <x:v>https://w3id.org/nltl-benchmark/vocab#engineeringAnalysis</x:v>
      </x:c>
      <x:c r="E372" s="35" t="str"/>
      <x:c r="F372" s="35" t="str"/>
      <x:c r="G372" s="38" t="str">
        <x:v>TRF-100</x:v>
      </x:c>
      <x:c r="H372" s="35" t="str">
        <x:v>Benchmark-coined descriptive engineering term</x:v>
      </x:c>
      <x:c r="I372" s="35" t="str">
        <x:v>N5 - component or subject first, followed by characteristic and qualifier/state; no unsupported external mapping</x:v>
      </x:c>
      <x:c r="J372" s="35" t="str">
        <x:v>REUSE_R2_TERM</x:v>
      </x:c>
    </x:row>
    <x:row r="373">
      <x:c r="A373" s="35" t="str">
        <x:v>frequencyDomainMethod</x:v>
      </x:c>
      <x:c r="B373" s="35" t="str">
        <x:v>https://w3id.org/nltl-benchmark/vocab#frequencyDomainMethod</x:v>
      </x:c>
      <x:c r="C373" s="35" t="str">
        <x:v>DatatypeProperty</x:v>
      </x:c>
      <x:c r="D373" s="35" t="str">
        <x:v>http://www.w3.org/2001/XMLSchema#string</x:v>
      </x:c>
      <x:c r="E373" s="35" t="str">
        <x:v>xsd:string</x:v>
      </x:c>
      <x:c r="F373" s="35" t="str"/>
      <x:c r="G373" s="38" t="str">
        <x:v>TRF-089</x:v>
      </x:c>
      <x:c r="H373" s="35" t="str">
        <x:v>Benchmark-coined descriptive engineering term</x:v>
      </x:c>
      <x:c r="I373" s="35" t="str">
        <x:v>N5 - component or subject first, followed by characteristic and qualifier/state; no unsupported external mapping</x:v>
      </x:c>
      <x:c r="J373" s="35" t="str">
        <x:v>REUSE_R2_TERM</x:v>
      </x:c>
    </x:row>
    <x:row r="374">
      <x:c r="A374" s="35" t="str">
        <x:v>fullCapacityDischargePipeConnected</x:v>
      </x:c>
      <x:c r="B374" s="35" t="str">
        <x:v>https://w3id.org/nltl-benchmark/vocab#fullCapacityDischargePipeConnected</x:v>
      </x:c>
      <x:c r="C374" s="35" t="str">
        <x:v>DatatypeProperty</x:v>
      </x:c>
      <x:c r="D374" s="35" t="str">
        <x:v>http://www.w3.org/2001/XMLSchema#boolean</x:v>
      </x:c>
      <x:c r="E374" s="35" t="str">
        <x:v>xsd:boolean</x:v>
      </x:c>
      <x:c r="F374" s="35" t="str"/>
      <x:c r="G374" s="38" t="str">
        <x:v>TRF-130</x:v>
      </x:c>
      <x:c r="H374" s="35" t="str">
        <x:v>Benchmark-coined descriptive engineering term</x:v>
      </x:c>
      <x:c r="I374" s="35" t="str">
        <x:v>N5 - component or subject first, followed by characteristic and qualifier/state; no unsupported external mapping</x:v>
      </x:c>
      <x:c r="J374" s="35" t="str">
        <x:v>REUSE_R2_TERM</x:v>
      </x:c>
    </x:row>
    <x:row r="375">
      <x:c r="A375" s="35" t="str">
        <x:v>functionalTestStatus</x:v>
      </x:c>
      <x:c r="B375" s="35" t="str">
        <x:v>https://w3id.org/nltl-benchmark/vocab#functionalTestStatus</x:v>
      </x:c>
      <x:c r="C375" s="35" t="str">
        <x:v>DatatypeProperty</x:v>
      </x:c>
      <x:c r="D375" s="35" t="str">
        <x:v>http://www.w3.org/2001/XMLSchema#boolean</x:v>
      </x:c>
      <x:c r="E375" s="35" t="str">
        <x:v>xsd:boolean</x:v>
      </x:c>
      <x:c r="F375" s="35" t="str"/>
      <x:c r="G375" s="38" t="str">
        <x:v>IMO-046</x:v>
      </x:c>
      <x:c r="H375" s="35" t="str">
        <x:v>Locked-workbook normalized regulatory term</x:v>
      </x:c>
      <x:c r="I375" s="35" t="str">
        <x:v>N4 - preserve the source concept; normalize spelling to ASCII lowerCamelCase</x:v>
      </x:c>
      <x:c r="J375" s="35" t="str">
        <x:v>REUSE_R2_TERM</x:v>
      </x:c>
    </x:row>
    <x:row r="376">
      <x:c r="A376" s="35" t="str">
        <x:v>functionalTestTemperature</x:v>
      </x:c>
      <x:c r="B376" s="35" t="str">
        <x:v>https://w3id.org/nltl-benchmark/vocab#functionalTestTemperature</x:v>
      </x:c>
      <x:c r="C376" s="35" t="str">
        <x:v>QuantityProperty</x:v>
      </x:c>
      <x:c r="D376" s="35" t="str">
        <x:v>http://qudt.org/schema/qudt/QuantityValue</x:v>
      </x:c>
      <x:c r="E376" s="35" t="str"/>
      <x:c r="F376" s="35" t="str">
        <x:v>deg C</x:v>
      </x:c>
      <x:c r="G376" s="38" t="str">
        <x:v>IMO-046</x:v>
      </x:c>
      <x:c r="H376" s="35" t="str">
        <x:v>Unit-stripped normalized regulatory variable</x:v>
      </x:c>
      <x:c r="I376" s="35" t="str">
        <x:v>N3 - remove unit from the identifier and retain it in unit/quantity metadata</x:v>
      </x:c>
      <x:c r="J376" s="35" t="str">
        <x:v>REUSE_R2_TERM</x:v>
      </x:c>
    </x:row>
    <x:row r="377">
      <x:c r="A377" s="35" t="str">
        <x:v>garbageManagementPlanPolarCoverage</x:v>
      </x:c>
      <x:c r="B377" s="35" t="str">
        <x:v>https://w3id.org/nltl-benchmark/vocab#garbageManagementPlanPolarCoverage</x:v>
      </x:c>
      <x:c r="C377" s="35" t="str">
        <x:v>DatatypeProperty</x:v>
      </x:c>
      <x:c r="D377" s="35" t="str">
        <x:v>http://www.w3.org/2001/XMLSchema#boolean</x:v>
      </x:c>
      <x:c r="E377" s="35" t="str">
        <x:v>xsd:boolean</x:v>
      </x:c>
      <x:c r="F377" s="35" t="str"/>
      <x:c r="G377" s="38" t="str">
        <x:v>IMO-125</x:v>
      </x:c>
      <x:c r="H377" s="35" t="str">
        <x:v>Locked-workbook normalized regulatory term</x:v>
      </x:c>
      <x:c r="I377" s="35" t="str">
        <x:v>N4 - preserve the source concept; normalize spelling to ASCII lowerCamelCase</x:v>
      </x:c>
      <x:c r="J377" s="35" t="str">
        <x:v>REUSE_R2_TERM</x:v>
      </x:c>
    </x:row>
    <x:row r="378">
      <x:c r="A378" s="35" t="str">
        <x:v>garbagePlacardPolarCoverage</x:v>
      </x:c>
      <x:c r="B378" s="35" t="str">
        <x:v>https://w3id.org/nltl-benchmark/vocab#garbagePlacardPolarCoverage</x:v>
      </x:c>
      <x:c r="C378" s="35" t="str">
        <x:v>DatatypeProperty</x:v>
      </x:c>
      <x:c r="D378" s="35" t="str">
        <x:v>http://www.w3.org/2001/XMLSchema#boolean</x:v>
      </x:c>
      <x:c r="E378" s="35" t="str">
        <x:v>xsd:boolean</x:v>
      </x:c>
      <x:c r="F378" s="35" t="str"/>
      <x:c r="G378" s="38" t="str">
        <x:v>IMO-125</x:v>
      </x:c>
      <x:c r="H378" s="35" t="str">
        <x:v>Locked-workbook normalized regulatory term</x:v>
      </x:c>
      <x:c r="I378" s="35" t="str">
        <x:v>N4 - preserve the source concept; normalize spelling to ASCII lowerCamelCase</x:v>
      </x:c>
      <x:c r="J378" s="35" t="str">
        <x:v>REUSE_R2_TERM</x:v>
      </x:c>
    </x:row>
    <x:row r="379">
      <x:c r="A379" s="35" t="str">
        <x:v>garbageRecordBookPolarCoverage</x:v>
      </x:c>
      <x:c r="B379" s="35" t="str">
        <x:v>https://w3id.org/nltl-benchmark/vocab#garbageRecordBookPolarCoverage</x:v>
      </x:c>
      <x:c r="C379" s="35" t="str">
        <x:v>DatatypeProperty</x:v>
      </x:c>
      <x:c r="D379" s="35" t="str">
        <x:v>http://www.w3.org/2001/XMLSchema#boolean</x:v>
      </x:c>
      <x:c r="E379" s="35" t="str">
        <x:v>xsd:boolean</x:v>
      </x:c>
      <x:c r="F379" s="35" t="str"/>
      <x:c r="G379" s="38" t="str">
        <x:v>IMO-125</x:v>
      </x:c>
      <x:c r="H379" s="35" t="str">
        <x:v>Locked-workbook normalized regulatory term</x:v>
      </x:c>
      <x:c r="I379" s="35" t="str">
        <x:v>N4 - preserve the source concept; normalize spelling to ASCII lowerCamelCase</x:v>
      </x:c>
      <x:c r="J379" s="35" t="str">
        <x:v>REUSE_R2_TERM</x:v>
      </x:c>
    </x:row>
    <x:row r="380">
      <x:c r="A380" s="35" t="str">
        <x:v>gaugeLength</x:v>
      </x:c>
      <x:c r="B380" s="35" t="str">
        <x:v>https://w3id.org/nltl-benchmark/vocab#gaugeLength</x:v>
      </x:c>
      <x:c r="C380" s="35" t="str">
        <x:v>QuantityProperty</x:v>
      </x:c>
      <x:c r="D380" s="35" t="str">
        <x:v>http://qudt.org/schema/qudt/QuantityValue</x:v>
      </x:c>
      <x:c r="E380" s="35" t="str"/>
      <x:c r="F380" s="35" t="str">
        <x:v>m</x:v>
      </x:c>
      <x:c r="G380" s="38" t="str">
        <x:v>TRF-072</x:v>
      </x:c>
      <x:c r="H380" s="35" t="str">
        <x:v>Benchmark-coined descriptive engineering term</x:v>
      </x:c>
      <x:c r="I380" s="35" t="str">
        <x:v>N5 - component or subject first, followed by characteristic and qualifier/state; no unsupported external mapping</x:v>
      </x:c>
      <x:c r="J380" s="35" t="str">
        <x:v>REUSE_R2_TERM</x:v>
      </x:c>
    </x:row>
    <x:row r="381">
      <x:c r="A381" s="35" t="str">
        <x:v>gaugedThickness</x:v>
      </x:c>
      <x:c r="B381" s="35" t="str">
        <x:v>https://w3id.org/nltl-benchmark/vocab#gaugedThickness</x:v>
      </x:c>
      <x:c r="C381" s="35" t="str">
        <x:v>QuantityProperty</x:v>
      </x:c>
      <x:c r="D381" s="35" t="str">
        <x:v>http://qudt.org/schema/qudt/QuantityValue</x:v>
      </x:c>
      <x:c r="E381" s="35" t="str"/>
      <x:c r="F381" s="35" t="str">
        <x:v>m</x:v>
      </x:c>
      <x:c r="G381" s="38" t="str">
        <x:v>I2-047</x:v>
      </x:c>
      <x:c r="H381" s="35" t="str">
        <x:v>Benchmark-coined descriptive engineering term</x:v>
      </x:c>
      <x:c r="I381" s="35" t="str">
        <x:v>N5 - component or subject first, followed by characteristic and qualifier/state; no unsupported external mapping</x:v>
      </x:c>
      <x:c r="J381" s="35" t="str">
        <x:v>REUSE_R2_TERM</x:v>
      </x:c>
    </x:row>
    <x:row r="382">
      <x:c r="A382" s="35" t="str">
        <x:v>globalBladeOrderResonance</x:v>
      </x:c>
      <x:c r="B382" s="35" t="str">
        <x:v>https://w3id.org/nltl-benchmark/vocab#globalBladeOrderResonance</x:v>
      </x:c>
      <x:c r="C382" s="35" t="str">
        <x:v>DatatypeProperty</x:v>
      </x:c>
      <x:c r="D382" s="35" t="str">
        <x:v>http://www.w3.org/2001/XMLSchema#boolean</x:v>
      </x:c>
      <x:c r="E382" s="35" t="str">
        <x:v>xsd:boolean</x:v>
      </x:c>
      <x:c r="F382" s="35" t="str"/>
      <x:c r="G382" s="38" t="str">
        <x:v>TRF-119</x:v>
      </x:c>
      <x:c r="H382" s="35" t="str">
        <x:v>Benchmark-coined descriptive engineering term</x:v>
      </x:c>
      <x:c r="I382" s="35" t="str">
        <x:v>N5 - component or subject first, followed by characteristic and qualifier/state; no unsupported external mapping</x:v>
      </x:c>
      <x:c r="J382" s="35" t="str">
        <x:v>REUSE_R2_TERM</x:v>
      </x:c>
    </x:row>
    <x:row r="383">
      <x:c r="A383" s="35" t="str">
        <x:v>gnssCompassOrEquivalentCount</x:v>
      </x:c>
      <x:c r="B383" s="35" t="str">
        <x:v>https://w3id.org/nltl-benchmark/vocab#gnssCompassOrEquivalentCount</x:v>
      </x:c>
      <x:c r="C383" s="35" t="str">
        <x:v>DatatypeProperty</x:v>
      </x:c>
      <x:c r="D383" s="35" t="str">
        <x:v>http://www.w3.org/2001/XMLSchema#integer</x:v>
      </x:c>
      <x:c r="E383" s="35" t="str">
        <x:v>xsd:integer</x:v>
      </x:c>
      <x:c r="F383" s="35" t="str"/>
      <x:c r="G383" s="38" t="str">
        <x:v>IMO-087 | IMO26-013</x:v>
      </x:c>
      <x:c r="H383" s="35" t="str">
        <x:v>Locked-workbook normalized regulatory term</x:v>
      </x:c>
      <x:c r="I383" s="35" t="str">
        <x:v>N4 - preserve the source concept; normalize spelling to ASCII lowerCamelCase</x:v>
      </x:c>
      <x:c r="J383" s="35" t="str">
        <x:v>REUSE_R2_TERM</x:v>
      </x:c>
    </x:row>
    <x:row r="384">
      <x:c r="A384" s="35" t="str">
        <x:v>gramPerKilogramSalinityUnit</x:v>
      </x:c>
      <x:c r="B384" s="35" t="str">
        <x:v>https://w3id.org/nltl-benchmark/vocab#gramPerKilogramSalinityUnit</x:v>
      </x:c>
      <x:c r="C384" s="35" t="str">
        <x:v>NamedIndividual</x:v>
      </x:c>
      <x:c r="D384" s="35" t="str">
        <x:v>http://qudt.org/schema/qudt/Unit</x:v>
      </x:c>
      <x:c r="E384" s="35" t="str"/>
      <x:c r="F384" s="35" t="str"/>
      <x:c r="G384" s="38" t="str">
        <x:v>TRF-015</x:v>
      </x:c>
      <x:c r="H384" s="35" t="str">
        <x:v>Applicable TRAFICOM regulation wording plus explicit engineering node/operand role</x:v>
      </x:c>
      <x:c r="I384" s="35" t="str">
        <x:v>N6 - concise ASCII lowerCamelCase controlled-value name grounded in the linked regulation.</x:v>
      </x:c>
      <x:c r="J384" s="35" t="str">
        <x:v>ADD_DEVELOPMENT_TERM</x:v>
      </x:c>
    </x:row>
    <x:row r="385">
      <x:c r="A385" s="35" t="str">
        <x:v>grillageSystem</x:v>
      </x:c>
      <x:c r="B385" s="35" t="str">
        <x:v>https://w3id.org/nltl-benchmark/vocab#grillageSystem</x:v>
      </x:c>
      <x:c r="C385" s="35" t="str">
        <x:v>Class</x:v>
      </x:c>
      <x:c r="D385" s="35" t="str">
        <x:v>https://w3id.org/nltl-benchmark/vocab#hullStructure</x:v>
      </x:c>
      <x:c r="E385" s="35" t="str"/>
      <x:c r="F385" s="35" t="str"/>
      <x:c r="G385" s="38" t="str">
        <x:v>I2-062</x:v>
      </x:c>
      <x:c r="H385" s="35" t="str">
        <x:v>Benchmark-coined descriptive engineering term</x:v>
      </x:c>
      <x:c r="I385" s="35" t="str">
        <x:v>N5 - component or subject first, followed by characteristic and qualifier/state; no unsupported external mapping</x:v>
      </x:c>
      <x:c r="J385" s="35" t="str">
        <x:v>REUSE_R2_TERM</x:v>
      </x:c>
    </x:row>
    <x:row r="386">
      <x:c r="A386" s="35" t="str">
        <x:v>grossFrameShearArea</x:v>
      </x:c>
      <x:c r="B386" s="35" t="str">
        <x:v>https://w3id.org/nltl-benchmark/vocab#grossFrameShearArea</x:v>
      </x:c>
      <x:c r="C386" s="35" t="str">
        <x:v>QuantityProperty</x:v>
      </x:c>
      <x:c r="D386" s="35" t="str">
        <x:v>http://qudt.org/schema/qudt/QuantityValue</x:v>
      </x:c>
      <x:c r="E386" s="35" t="str"/>
      <x:c r="F386" s="35" t="str">
        <x:v>cm^2</x:v>
      </x:c>
      <x:c r="G386" s="38" t="str">
        <x:v>TRF-048</x:v>
      </x:c>
      <x:c r="H386" s="35" t="str">
        <x:v>Applicable TRAFICOM regulation wording plus explicit engineering node/operand role</x:v>
      </x:c>
      <x:c r="I386" s="35" t="str">
        <x:v>N4 - explicit engineering quantity in ASCII lowerCamelCase; formula symbols remain aliases only.</x:v>
      </x:c>
      <x:c r="J386" s="35" t="str">
        <x:v>ADD_DEVELOPMENT_TERM</x:v>
      </x:c>
    </x:row>
    <x:row r="387">
      <x:c r="A387" s="35" t="str">
        <x:v>grossTonnage</x:v>
      </x:c>
      <x:c r="B387" s="35" t="str">
        <x:v>https://w3id.org/nltl-benchmark/vocab#grossTonnage</x:v>
      </x:c>
      <x:c r="C387" s="35" t="str">
        <x:v>QuantityProperty</x:v>
      </x:c>
      <x:c r="D387" s="35" t="str">
        <x:v>http://qudt.org/schema/qudt/QuantityValue</x:v>
      </x:c>
      <x:c r="E387" s="35" t="str"/>
      <x:c r="F387" s="35" t="str">
        <x:v>1</x:v>
      </x:c>
      <x:c r="G387" s="38" t="str">
        <x:v>IMO26-002 | IMO26-012 | IMO26-016</x:v>
      </x:c>
      <x:c r="H387" s="35" t="str">
        <x:v>Locked-workbook normalized regulatory term</x:v>
      </x:c>
      <x:c r="I387" s="35" t="str">
        <x:v>N4 - preserve the source concept; normalize spelling to ASCII lowerCamelCase</x:v>
      </x:c>
      <x:c r="J387" s="35" t="str">
        <x:v>REUSE_R2_TERM</x:v>
      </x:c>
    </x:row>
    <x:row r="388">
      <x:c r="A388" s="35" t="str">
        <x:v>groupSurvivalEquipmentCarried</x:v>
      </x:c>
      <x:c r="B388" s="35" t="str">
        <x:v>https://w3id.org/nltl-benchmark/vocab#groupSurvivalEquipmentCarried</x:v>
      </x:c>
      <x:c r="C388" s="35" t="str">
        <x:v>DatatypeProperty</x:v>
      </x:c>
      <x:c r="D388" s="35" t="str">
        <x:v>http://www.w3.org/2001/XMLSchema#boolean</x:v>
      </x:c>
      <x:c r="E388" s="35" t="str">
        <x:v>xsd:boolean</x:v>
      </x:c>
      <x:c r="F388" s="35" t="str"/>
      <x:c r="G388" s="38" t="str">
        <x:v>IMO-074</x:v>
      </x:c>
      <x:c r="H388" s="35" t="str">
        <x:v>Locked-workbook normalized regulatory term</x:v>
      </x:c>
      <x:c r="I388" s="35" t="str">
        <x:v>N4 - preserve the source concept; normalize spelling to ASCII lowerCamelCase</x:v>
      </x:c>
      <x:c r="J388" s="35" t="str">
        <x:v>REUSE_R2_TERM</x:v>
      </x:c>
    </x:row>
    <x:row r="389">
      <x:c r="A389" s="35" t="str">
        <x:v>groupSurvivalEquipmentContainer</x:v>
      </x:c>
      <x:c r="B389" s="35" t="str">
        <x:v>https://w3id.org/nltl-benchmark/vocab#groupSurvivalEquipmentContainer</x:v>
      </x:c>
      <x:c r="C389" s="35" t="str">
        <x:v>Class</x:v>
      </x:c>
      <x:c r="D389" s="35" t="str">
        <x:v>https://w3id.org/nltl-benchmark/vocab#benchmarkEntity</x:v>
      </x:c>
      <x:c r="E389" s="35" t="str"/>
      <x:c r="F389" s="35" t="str"/>
      <x:c r="G389" s="38" t="str">
        <x:v>IMO-076</x:v>
      </x:c>
      <x:c r="H389" s="35" t="str">
        <x:v>Locked-workbook normalized regulatory term</x:v>
      </x:c>
      <x:c r="I389" s="35" t="str">
        <x:v>N4 - preserve the source concept; normalize spelling to ASCII lowerCamelCase</x:v>
      </x:c>
      <x:c r="J389" s="35" t="str">
        <x:v>REUSE_R2_TERM</x:v>
      </x:c>
    </x:row>
    <x:row r="390">
      <x:c r="A390" s="35" t="str">
        <x:v>habitableEnvironmentPresent</x:v>
      </x:c>
      <x:c r="B390" s="35" t="str">
        <x:v>https://w3id.org/nltl-benchmark/vocab#habitableEnvironmentPresent</x:v>
      </x:c>
      <x:c r="C390" s="35" t="str">
        <x:v>DatatypeProperty</x:v>
      </x:c>
      <x:c r="D390" s="35" t="str">
        <x:v>http://www.w3.org/2001/XMLSchema#boolean</x:v>
      </x:c>
      <x:c r="E390" s="35" t="str">
        <x:v>xsd:boolean</x:v>
      </x:c>
      <x:c r="F390" s="35" t="str"/>
      <x:c r="G390" s="38" t="str">
        <x:v>IMO-065</x:v>
      </x:c>
      <x:c r="H390" s="35" t="str">
        <x:v>Locked-workbook normalized regulatory term</x:v>
      </x:c>
      <x:c r="I390" s="35" t="str">
        <x:v>N4 - preserve the source concept; normalize spelling to ASCII lowerCamelCase</x:v>
      </x:c>
      <x:c r="J390" s="35" t="str">
        <x:v>REUSE_R2_TERM</x:v>
      </x:c>
    </x:row>
    <x:row r="391">
      <x:c r="A391" s="35" t="str">
        <x:v>halfLoadHeightBelowLowerIceWaterlinePosition</x:v>
      </x:c>
      <x:c r="B391" s="35" t="str">
        <x:v>https://w3id.org/nltl-benchmark/vocab#halfLoadHeightBelowLowerIceWaterlinePosition</x:v>
      </x:c>
      <x:c r="C391" s="35" t="str">
        <x:v>NamedIndividual</x:v>
      </x:c>
      <x:c r="D391" s="35" t="str">
        <x:v>https://w3id.org/nltl-benchmark/vocab#loadPositionTypeValue</x:v>
      </x:c>
      <x:c r="E391" s="35" t="str"/>
      <x:c r="F391" s="35" t="str"/>
      <x:c r="G391" s="38" t="str">
        <x:v>TRF-030</x:v>
      </x:c>
      <x:c r="H391" s="35" t="str">
        <x:v>Applicable TRAFICOM regulation wording plus explicit engineering node/operand role</x:v>
      </x:c>
      <x:c r="I391" s="35" t="str">
        <x:v>N6 - concise ASCII lowerCamelCase controlled-value name grounded in the linked regulation.</x:v>
      </x:c>
      <x:c r="J391" s="35" t="str">
        <x:v>ADD_DEVELOPMENT_TERM</x:v>
      </x:c>
    </x:row>
    <x:row r="392">
      <x:c r="A392" s="35" t="str">
        <x:v>harmfulSubstancePresent</x:v>
      </x:c>
      <x:c r="B392" s="35" t="str">
        <x:v>https://w3id.org/nltl-benchmark/vocab#harmfulSubstancePresent</x:v>
      </x:c>
      <x:c r="C392" s="35" t="str">
        <x:v>DatatypeProperty</x:v>
      </x:c>
      <x:c r="D392" s="35" t="str">
        <x:v>http://www.w3.org/2001/XMLSchema#boolean</x:v>
      </x:c>
      <x:c r="E392" s="35" t="str">
        <x:v>xsd:boolean</x:v>
      </x:c>
      <x:c r="F392" s="35" t="str"/>
      <x:c r="G392" s="38" t="str">
        <x:v>IMO-123</x:v>
      </x:c>
      <x:c r="H392" s="35" t="str">
        <x:v>Locked-workbook normalized regulatory term</x:v>
      </x:c>
      <x:c r="I392" s="35" t="str">
        <x:v>N4 - preserve the source concept; normalize spelling to ASCII lowerCamelCase</x:v>
      </x:c>
      <x:c r="J392" s="35" t="str">
        <x:v>REUSE_R2_TERM</x:v>
      </x:c>
    </x:row>
    <x:row r="393">
      <x:c r="A393" s="35" t="str">
        <x:v>harmfulTorsionalResonance</x:v>
      </x:c>
      <x:c r="B393" s="35" t="str">
        <x:v>https://w3id.org/nltl-benchmark/vocab#harmfulTorsionalResonance</x:v>
      </x:c>
      <x:c r="C393" s="35" t="str">
        <x:v>DatatypeProperty</x:v>
      </x:c>
      <x:c r="D393" s="35" t="str">
        <x:v>http://www.w3.org/2001/XMLSchema#boolean</x:v>
      </x:c>
      <x:c r="E393" s="35" t="str">
        <x:v>xsd:boolean</x:v>
      </x:c>
      <x:c r="F393" s="35" t="str"/>
      <x:c r="G393" s="38" t="str">
        <x:v>TRF-125</x:v>
      </x:c>
      <x:c r="H393" s="35" t="str">
        <x:v>Benchmark-coined descriptive engineering term</x:v>
      </x:c>
      <x:c r="I393" s="35" t="str">
        <x:v>N5 - component or subject first, followed by characteristic and qualifier/state; no unsupported external mapping</x:v>
      </x:c>
      <x:c r="J393" s="35" t="str">
        <x:v>REUSE_R2_TERM</x:v>
      </x:c>
    </x:row>
    <x:row r="394">
      <x:c r="A394" s="35" t="str">
        <x:v>hasAntitrippingSupportRegion</x:v>
      </x:c>
      <x:c r="B394" s="35" t="str">
        <x:v>https://w3id.org/nltl-benchmark/vocab#hasAntitrippingSupportRegion</x:v>
      </x:c>
      <x:c r="C394" s="35" t="str">
        <x:v>ObjectProperty</x:v>
      </x:c>
      <x:c r="D394" s="35" t="str">
        <x:v>https://w3id.org/nltl-benchmark/vocab#hullRegionValue</x:v>
      </x:c>
      <x:c r="E394" s="35" t="str"/>
      <x:c r="F394" s="35" t="str"/>
      <x:c r="G394" s="38" t="str">
        <x:v>TRF-052</x:v>
      </x:c>
      <x:c r="H394" s="35" t="str">
        <x:v>Applicable TRAFICOM regulation wording plus explicit engineering node/operand role</x:v>
      </x:c>
      <x:c r="I394" s="35" t="str">
        <x:v>N5 - ASCII lowerCamelCase relationship; use has + object role when it improves direction clarity.</x:v>
      </x:c>
      <x:c r="J394" s="35" t="str">
        <x:v>ADD_DEVELOPMENT_TERM</x:v>
      </x:c>
    </x:row>
    <x:row r="395">
      <x:c r="A395" s="35" t="str">
        <x:v>hasAttachedSupportingStructure</x:v>
      </x:c>
      <x:c r="B395" s="35" t="str">
        <x:v>https://w3id.org/nltl-benchmark/vocab#hasAttachedSupportingStructure</x:v>
      </x:c>
      <x:c r="C395" s="35" t="str">
        <x:v>ObjectProperty</x:v>
      </x:c>
      <x:c r="D395" s="35" t="str">
        <x:v>https://w3id.org/nltl-benchmark/vocab#supportingStructure</x:v>
      </x:c>
      <x:c r="E395" s="35" t="str"/>
      <x:c r="F395" s="35" t="str"/>
      <x:c r="G395" s="38" t="str">
        <x:v>TRF-046 | TRF-047</x:v>
      </x:c>
      <x:c r="H395" s="35" t="str">
        <x:v>Applicable TRAFICOM regulation wording plus explicit engineering node/operand role</x:v>
      </x:c>
      <x:c r="I395" s="35" t="str">
        <x:v>N5 - ASCII lowerCamelCase relationship; use has + object role when it improves direction clarity.</x:v>
      </x:c>
      <x:c r="J395" s="35" t="str">
        <x:v>ADD_DEVELOPMENT_TERM</x:v>
      </x:c>
    </x:row>
    <x:row r="396">
      <x:c r="A396" s="35" t="str">
        <x:v>hasBallastTank</x:v>
      </x:c>
      <x:c r="B396" s="35" t="str">
        <x:v>https://w3id.org/nltl-benchmark/vocab#hasBallastTank</x:v>
      </x:c>
      <x:c r="C396" s="35" t="str">
        <x:v>ObjectProperty</x:v>
      </x:c>
      <x:c r="D396" s="35" t="str">
        <x:v>https://w3id.org/nltl-benchmark/vocab#ballastTank</x:v>
      </x:c>
      <x:c r="E396" s="35" t="str"/>
      <x:c r="F396" s="35" t="str"/>
      <x:c r="G396" s="38" t="str">
        <x:v>TRF-016</x:v>
      </x:c>
      <x:c r="H396" s="35" t="str">
        <x:v>Applicable TRAFICOM regulation wording plus explicit engineering node/operand role</x:v>
      </x:c>
      <x:c r="I396" s="35" t="str">
        <x:v>N5 - ASCII lowerCamelCase relationship; use has + object role when it improves direction clarity.</x:v>
      </x:c>
      <x:c r="J396" s="35" t="str">
        <x:v>ADD_DEVELOPMENT_TERM</x:v>
      </x:c>
    </x:row>
    <x:row r="397">
      <x:c r="A397" s="35" t="str">
        <x:v>hasClassCertificate</x:v>
      </x:c>
      <x:c r="B397" s="35" t="str">
        <x:v>https://w3id.org/nltl-benchmark/vocab#hasClassCertificate</x:v>
      </x:c>
      <x:c r="C397" s="35" t="str">
        <x:v>ObjectProperty</x:v>
      </x:c>
      <x:c r="D397" s="35" t="str">
        <x:v>https://w3id.org/nltl-benchmark/vocab#classCertificate</x:v>
      </x:c>
      <x:c r="E397" s="35" t="str"/>
      <x:c r="F397" s="35" t="str"/>
      <x:c r="G397" s="38" t="str">
        <x:v>TRF-014</x:v>
      </x:c>
      <x:c r="H397" s="35" t="str">
        <x:v>Applicable TRAFICOM regulation wording plus explicit engineering node/operand role</x:v>
      </x:c>
      <x:c r="I397" s="35" t="str">
        <x:v>N5 - ASCII lowerCamelCase relationship; use has + object role when it improves direction clarity.</x:v>
      </x:c>
      <x:c r="J397" s="35" t="str">
        <x:v>ADD_DEVELOPMENT_TERM</x:v>
      </x:c>
    </x:row>
    <x:row r="398">
      <x:c r="A398" s="35" t="str">
        <x:v>hasClassificationSocietySectionPropertyCalculationEvidence</x:v>
      </x:c>
      <x:c r="B398" s="35" t="str">
        <x:v>https://w3id.org/nltl-benchmark/vocab#hasClassificationSocietySectionPropertyCalculationEvidence</x:v>
      </x:c>
      <x:c r="C398" s="35" t="str">
        <x:v>ObjectProperty</x:v>
      </x:c>
      <x:c r="D398" s="35" t="str">
        <x:v>https://w3id.org/nltl-benchmark/vocab#evidenceArtifact</x:v>
      </x:c>
      <x:c r="E398" s="35" t="str"/>
      <x:c r="F398" s="35" t="str"/>
      <x:c r="G398" s="38" t="str">
        <x:v>TRF-034</x:v>
      </x:c>
      <x:c r="H398" s="35" t="str">
        <x:v>Applicable TRAFICOM regulation wording plus explicit engineering node/operand role</x:v>
      </x:c>
      <x:c r="I398" s="35" t="str">
        <x:v>N5 - ASCII lowerCamelCase relationship; use has + object role when it improves direction clarity.</x:v>
      </x:c>
      <x:c r="J398" s="35" t="str">
        <x:v>ADD_DEVELOPMENT_TERM</x:v>
      </x:c>
    </x:row>
    <x:row r="399">
      <x:c r="A399" s="35" t="str">
        <x:v>hasConnectionBracket</x:v>
      </x:c>
      <x:c r="B399" s="35" t="str">
        <x:v>https://w3id.org/nltl-benchmark/vocab#hasConnectionBracket</x:v>
      </x:c>
      <x:c r="C399" s="35" t="str">
        <x:v>ObjectProperty</x:v>
      </x:c>
      <x:c r="D399" s="35" t="str">
        <x:v>https://w3id.org/nltl-benchmark/vocab#connectionBracket</x:v>
      </x:c>
      <x:c r="E399" s="35" t="str"/>
      <x:c r="F399" s="35" t="str"/>
      <x:c r="G399" s="38" t="str">
        <x:v>TRF-049</x:v>
      </x:c>
      <x:c r="H399" s="35" t="str">
        <x:v>Applicable TRAFICOM regulation wording plus explicit engineering node/operand role</x:v>
      </x:c>
      <x:c r="I399" s="35" t="str">
        <x:v>N5 - ASCII lowerCamelCase relationship; use has + object role when it improves direction clarity.</x:v>
      </x:c>
      <x:c r="J399" s="35" t="str">
        <x:v>ADD_DEVELOPMENT_TERM</x:v>
      </x:c>
    </x:row>
    <x:row r="400">
      <x:c r="A400" s="35" t="str">
        <x:v>hasContainingCompartment</x:v>
      </x:c>
      <x:c r="B400" s="35" t="str">
        <x:v>https://w3id.org/nltl-benchmark/vocab#hasContainingCompartment</x:v>
      </x:c>
      <x:c r="C400" s="35" t="str">
        <x:v>ObjectProperty</x:v>
      </x:c>
      <x:c r="D400" s="35" t="str">
        <x:v>https://w3id.org/nltl-benchmark/vocab#compartment</x:v>
      </x:c>
      <x:c r="E400" s="35" t="str"/>
      <x:c r="F400" s="35" t="str"/>
      <x:c r="G400" s="38" t="str">
        <x:v>IMO-057</x:v>
      </x:c>
      <x:c r="H400" s="35" t="str">
        <x:v>Applicable regulation explicit wording; R2 benchmark gap repair</x:v>
      </x:c>
      <x:c r="I400" s="35" t="str">
        <x:v>N5 - subject-to-object relationship named has + object role in ASCII lowerCamelCase</x:v>
      </x:c>
      <x:c r="J400" s="35" t="str">
        <x:v>REUSE_R2_TERM</x:v>
      </x:c>
    </x:row>
    <x:row r="401">
      <x:c r="A401" s="35" t="str">
        <x:v>hasDirectAnalysisCase</x:v>
      </x:c>
      <x:c r="B401" s="35" t="str">
        <x:v>https://w3id.org/nltl-benchmark/vocab#hasDirectAnalysisCase</x:v>
      </x:c>
      <x:c r="C401" s="35" t="str">
        <x:v>ObjectProperty</x:v>
      </x:c>
      <x:c r="D401" s="35" t="str">
        <x:v>https://w3id.org/nltl-benchmark/vocab#directAnalysisCase</x:v>
      </x:c>
      <x:c r="E401" s="35" t="str"/>
      <x:c r="F401" s="35" t="str"/>
      <x:c r="G401" s="38" t="str">
        <x:v>TRF-030 | TRF-037</x:v>
      </x:c>
      <x:c r="H401" s="35" t="str">
        <x:v>Applicable TRAFICOM regulation wording plus explicit engineering node/operand role</x:v>
      </x:c>
      <x:c r="I401" s="35" t="str">
        <x:v>N5 - ASCII lowerCamelCase relationship; use has + object role when it improves direction clarity.</x:v>
      </x:c>
      <x:c r="J401" s="35" t="str">
        <x:v>ADD_DEVELOPMENT_TERM</x:v>
      </x:c>
    </x:row>
    <x:row r="402">
      <x:c r="A402" s="35" t="str">
        <x:v>hasEffectiveMemberCrossSection</x:v>
      </x:c>
      <x:c r="B402" s="35" t="str">
        <x:v>https://w3id.org/nltl-benchmark/vocab#hasEffectiveMemberCrossSection</x:v>
      </x:c>
      <x:c r="C402" s="35" t="str">
        <x:v>ObjectProperty</x:v>
      </x:c>
      <x:c r="D402" s="35" t="str">
        <x:v>https://w3id.org/nltl-benchmark/vocab#effectiveMemberCrossSection</x:v>
      </x:c>
      <x:c r="E402" s="35" t="str"/>
      <x:c r="F402" s="35" t="str"/>
      <x:c r="G402" s="38" t="str">
        <x:v>TRF-034</x:v>
      </x:c>
      <x:c r="H402" s="35" t="str">
        <x:v>Applicable TRAFICOM regulation wording plus explicit engineering node/operand role</x:v>
      </x:c>
      <x:c r="I402" s="35" t="str">
        <x:v>N5 - ASCII lowerCamelCase relationship; use has + object role when it improves direction clarity.</x:v>
      </x:c>
      <x:c r="J402" s="35" t="str">
        <x:v>ADD_DEVELOPMENT_TERM</x:v>
      </x:c>
    </x:row>
    <x:row r="403">
      <x:c r="A403" s="35" t="str">
        <x:v>hasFrameAttachment</x:v>
      </x:c>
      <x:c r="B403" s="35" t="str">
        <x:v>https://w3id.org/nltl-benchmark/vocab#hasFrameAttachment</x:v>
      </x:c>
      <x:c r="C403" s="35" t="str">
        <x:v>ObjectProperty</x:v>
      </x:c>
      <x:c r="D403" s="35" t="str">
        <x:v>https://w3id.org/nltl-benchmark/vocab#frameAttachment</x:v>
      </x:c>
      <x:c r="E403" s="35" t="str"/>
      <x:c r="F403" s="35" t="str"/>
      <x:c r="G403" s="38" t="str">
        <x:v>TRF-049</x:v>
      </x:c>
      <x:c r="H403" s="35" t="str">
        <x:v>Applicable TRAFICOM regulation wording plus explicit engineering node/operand role</x:v>
      </x:c>
      <x:c r="I403" s="35" t="str">
        <x:v>N5 - ASCII lowerCamelCase relationship; use has + object role when it improves direction clarity.</x:v>
      </x:c>
      <x:c r="J403" s="35" t="str">
        <x:v>ADD_DEVELOPMENT_TERM</x:v>
      </x:c>
    </x:row>
    <x:row r="404">
      <x:c r="A404" s="35" t="str">
        <x:v>hasFrameBoundaryConditionEvidence</x:v>
      </x:c>
      <x:c r="B404" s="35" t="str">
        <x:v>https://w3id.org/nltl-benchmark/vocab#hasFrameBoundaryConditionEvidence</x:v>
      </x:c>
      <x:c r="C404" s="35" t="str">
        <x:v>ObjectProperty</x:v>
      </x:c>
      <x:c r="D404" s="35" t="str">
        <x:v>https://w3id.org/nltl-benchmark/vocab#frameBoundaryConditionEvidence</x:v>
      </x:c>
      <x:c r="E404" s="35" t="str"/>
      <x:c r="F404" s="35" t="str"/>
      <x:c r="G404" s="38" t="str">
        <x:v>TRF-048</x:v>
      </x:c>
      <x:c r="H404" s="35" t="str">
        <x:v>Applicable TRAFICOM regulation wording plus explicit engineering node/operand role</x:v>
      </x:c>
      <x:c r="I404" s="35" t="str">
        <x:v>N5 - ASCII lowerCamelCase relationship; use has + object role when it improves direction clarity.</x:v>
      </x:c>
      <x:c r="J404" s="35" t="str">
        <x:v>ADD_DEVELOPMENT_TERM</x:v>
      </x:c>
    </x:row>
    <x:row r="405">
      <x:c r="A405" s="35" t="str">
        <x:v>hasHatchCoverDesignEvidence</x:v>
      </x:c>
      <x:c r="B405" s="35" t="str">
        <x:v>https://w3id.org/nltl-benchmark/vocab#hasHatchCoverDesignEvidence</x:v>
      </x:c>
      <x:c r="C405" s="35" t="str">
        <x:v>ObjectProperty</x:v>
      </x:c>
      <x:c r="D405" s="35" t="str">
        <x:v>https://w3id.org/nltl-benchmark/vocab#hatchCoverDesignEvidence</x:v>
      </x:c>
      <x:c r="E405" s="35" t="str"/>
      <x:c r="F405" s="35" t="str"/>
      <x:c r="G405" s="38" t="str">
        <x:v>TRF-056</x:v>
      </x:c>
      <x:c r="H405" s="35" t="str">
        <x:v>Applicable TRAFICOM regulation wording plus explicit engineering node/operand role</x:v>
      </x:c>
      <x:c r="I405" s="35" t="str">
        <x:v>N5 - ASCII lowerCamelCase relationship; use has + object role when it improves direction clarity.</x:v>
      </x:c>
      <x:c r="J405" s="35" t="str">
        <x:v>ADD_DEVELOPMENT_TERM</x:v>
      </x:c>
    </x:row>
    <x:row r="406">
      <x:c r="A406" s="35" t="str">
        <x:v>hasHatchFittingDesignEvidence</x:v>
      </x:c>
      <x:c r="B406" s="35" t="str">
        <x:v>https://w3id.org/nltl-benchmark/vocab#hasHatchFittingDesignEvidence</x:v>
      </x:c>
      <x:c r="C406" s="35" t="str">
        <x:v>ObjectProperty</x:v>
      </x:c>
      <x:c r="D406" s="35" t="str">
        <x:v>https://w3id.org/nltl-benchmark/vocab#hatchFittingDesignEvidence</x:v>
      </x:c>
      <x:c r="E406" s="35" t="str"/>
      <x:c r="F406" s="35" t="str"/>
      <x:c r="G406" s="38" t="str">
        <x:v>TRF-056</x:v>
      </x:c>
      <x:c r="H406" s="35" t="str">
        <x:v>Applicable TRAFICOM regulation wording plus explicit engineering node/operand role</x:v>
      </x:c>
      <x:c r="I406" s="35" t="str">
        <x:v>N5 - ASCII lowerCamelCase relationship; use has + object role when it improves direction clarity.</x:v>
      </x:c>
      <x:c r="J406" s="35" t="str">
        <x:v>ADD_DEVELOPMENT_TERM</x:v>
      </x:c>
    </x:row>
    <x:row r="407">
      <x:c r="A407" s="35" t="str">
        <x:v>hasHorizontalConnectionMember</x:v>
      </x:c>
      <x:c r="B407" s="35" t="str">
        <x:v>https://w3id.org/nltl-benchmark/vocab#hasHorizontalConnectionMember</x:v>
      </x:c>
      <x:c r="C407" s="35" t="str">
        <x:v>ObjectProperty</x:v>
      </x:c>
      <x:c r="D407" s="35" t="str">
        <x:v>https://w3id.org/nltl-benchmark/vocab#horizontalConnectionMember</x:v>
      </x:c>
      <x:c r="E407" s="35" t="str"/>
      <x:c r="F407" s="35" t="str"/>
      <x:c r="G407" s="38" t="str">
        <x:v>TRF-046 | TRF-047</x:v>
      </x:c>
      <x:c r="H407" s="35" t="str">
        <x:v>Applicable TRAFICOM regulation wording plus explicit engineering node/operand role</x:v>
      </x:c>
      <x:c r="I407" s="35" t="str">
        <x:v>N5 - ASCII lowerCamelCase relationship; use has + object role when it improves direction clarity.</x:v>
      </x:c>
      <x:c r="J407" s="35" t="str">
        <x:v>ADD_DEVELOPMENT_TERM</x:v>
      </x:c>
    </x:row>
    <x:row r="408">
      <x:c r="A408" s="35" t="str">
        <x:v>hasIceClassDesignParameterSet</x:v>
      </x:c>
      <x:c r="B408" s="35" t="str">
        <x:v>https://w3id.org/nltl-benchmark/vocab#hasIceClassDesignParameterSet</x:v>
      </x:c>
      <x:c r="C408" s="35" t="str">
        <x:v>ObjectProperty</x:v>
      </x:c>
      <x:c r="D408" s="35" t="str">
        <x:v>https://w3id.org/nltl-benchmark/vocab#iceClassDesignParameterSet</x:v>
      </x:c>
      <x:c r="E408" s="35" t="str"/>
      <x:c r="F408" s="35" t="str"/>
      <x:c r="G408" s="38" t="str">
        <x:v>TRF-036</x:v>
      </x:c>
      <x:c r="H408" s="35" t="str">
        <x:v>Applicable TRAFICOM regulation wording plus explicit engineering node/operand role</x:v>
      </x:c>
      <x:c r="I408" s="35" t="str">
        <x:v>N5 - ASCII lowerCamelCase relationship; use has + object role when it improves direction clarity.</x:v>
      </x:c>
      <x:c r="J408" s="35" t="str">
        <x:v>ADD_DEVELOPMENT_TERM</x:v>
      </x:c>
    </x:row>
    <x:row r="409">
      <x:c r="A409" s="35" t="str">
        <x:v>hasIceDraughtRestrictionDocument</x:v>
      </x:c>
      <x:c r="B409" s="35" t="str">
        <x:v>https://w3id.org/nltl-benchmark/vocab#hasIceDraughtRestrictionDocument</x:v>
      </x:c>
      <x:c r="C409" s="35" t="str">
        <x:v>ObjectProperty</x:v>
      </x:c>
      <x:c r="D409" s="35" t="str">
        <x:v>https://w3id.org/nltl-benchmark/vocab#iceDraughtRestrictionDocument</x:v>
      </x:c>
      <x:c r="E409" s="35" t="str"/>
      <x:c r="F409" s="35" t="str"/>
      <x:c r="G409" s="38" t="str">
        <x:v>TRF-014</x:v>
      </x:c>
      <x:c r="H409" s="35" t="str">
        <x:v>Applicable TRAFICOM regulation wording plus explicit engineering node/operand role</x:v>
      </x:c>
      <x:c r="I409" s="35" t="str">
        <x:v>N5 - ASCII lowerCamelCase relationship; use has + object role when it improves direction clarity.</x:v>
      </x:c>
      <x:c r="J409" s="35" t="str">
        <x:v>ADD_DEVELOPMENT_TERM</x:v>
      </x:c>
    </x:row>
    <x:row r="410">
      <x:c r="A410" s="35" t="str">
        <x:v>hasIntendedIceOperatingWaterline</x:v>
      </x:c>
      <x:c r="B410" s="35" t="str">
        <x:v>https://w3id.org/nltl-benchmark/vocab#hasIntendedIceOperatingWaterline</x:v>
      </x:c>
      <x:c r="C410" s="35" t="str">
        <x:v>ObjectProperty</x:v>
      </x:c>
      <x:c r="D410" s="35" t="str">
        <x:v>https://w3id.org/nltl-benchmark/vocab#iceWaterline</x:v>
      </x:c>
      <x:c r="E410" s="35" t="str"/>
      <x:c r="F410" s="35" t="str"/>
      <x:c r="G410" s="38" t="str">
        <x:v>TRF-011 | TRF-012</x:v>
      </x:c>
      <x:c r="H410" s="35" t="str">
        <x:v>Applicable TRAFICOM regulation wording plus explicit engineering node/operand role</x:v>
      </x:c>
      <x:c r="I410" s="35" t="str">
        <x:v>N5 - ASCII lowerCamelCase relationship; use has + object role when it improves direction clarity.</x:v>
      </x:c>
      <x:c r="J410" s="35" t="str">
        <x:v>ADD_DEVELOPMENT_TERM</x:v>
      </x:c>
    </x:row>
    <x:row r="411">
      <x:c r="A411" s="35" t="str">
        <x:v>hasLowerEnd</x:v>
      </x:c>
      <x:c r="B411" s="35" t="str">
        <x:v>https://w3id.org/nltl-benchmark/vocab#hasLowerEnd</x:v>
      </x:c>
      <x:c r="C411" s="35" t="str">
        <x:v>ObjectProperty</x:v>
      </x:c>
      <x:c r="D411" s="35" t="str">
        <x:v>https://w3id.org/nltl-benchmark/vocab#frameEnd</x:v>
      </x:c>
      <x:c r="E411" s="35" t="str"/>
      <x:c r="F411" s="35" t="str"/>
      <x:c r="G411" s="38" t="str">
        <x:v>TRF-047</x:v>
      </x:c>
      <x:c r="H411" s="35" t="str">
        <x:v>Applicable TRAFICOM regulation wording plus explicit engineering node/operand role</x:v>
      </x:c>
      <x:c r="I411" s="35" t="str">
        <x:v>N5 - ASCII lowerCamelCase relationship; use has + object role when it improves direction clarity.</x:v>
      </x:c>
      <x:c r="J411" s="35" t="str">
        <x:v>ADD_DEVELOPMENT_TERM</x:v>
      </x:c>
    </x:row>
    <x:row r="412">
      <x:c r="A412" s="35" t="str">
        <x:v>hasLowerIceWaterline</x:v>
      </x:c>
      <x:c r="B412" s="35" t="str">
        <x:v>https://w3id.org/nltl-benchmark/vocab#hasLowerIceWaterline</x:v>
      </x:c>
      <x:c r="C412" s="35" t="str">
        <x:v>ObjectProperty</x:v>
      </x:c>
      <x:c r="D412" s="35" t="str">
        <x:v>https://w3id.org/nltl-benchmark/vocab#iceWaterline</x:v>
      </x:c>
      <x:c r="E412" s="35" t="str"/>
      <x:c r="F412" s="35" t="str"/>
      <x:c r="G412" s="38" t="str">
        <x:v>TRF-012 | TRF-013 | TRF-020</x:v>
      </x:c>
      <x:c r="H412" s="35" t="str">
        <x:v>Applicable TRAFICOM regulation wording plus explicit engineering node/operand role</x:v>
      </x:c>
      <x:c r="I412" s="35" t="str">
        <x:v>N5 - ASCII lowerCamelCase relationship; use has + object role when it improves direction clarity.</x:v>
      </x:c>
      <x:c r="J412" s="35" t="str">
        <x:v>ADD_DEVELOPMENT_TERM</x:v>
      </x:c>
    </x:row>
    <x:row r="413">
      <x:c r="A413" s="35" t="str">
        <x:v>hasStrengthenedPart</x:v>
      </x:c>
      <x:c r="B413" s="35" t="str">
        <x:v>https://w3id.org/nltl-benchmark/vocab#hasStrengthenedPart</x:v>
      </x:c>
      <x:c r="C413" s="35" t="str">
        <x:v>ObjectProperty</x:v>
      </x:c>
      <x:c r="D413" s="35" t="str">
        <x:v>https://w3id.org/nltl-benchmark/vocab#frameStrengthenedPart</x:v>
      </x:c>
      <x:c r="E413" s="35" t="str"/>
      <x:c r="F413" s="35" t="str"/>
      <x:c r="G413" s="38" t="str">
        <x:v>TRF-046 | TRF-047</x:v>
      </x:c>
      <x:c r="H413" s="35" t="str">
        <x:v>Applicable TRAFICOM regulation wording plus explicit engineering node/operand role</x:v>
      </x:c>
      <x:c r="I413" s="35" t="str">
        <x:v>N5 - ASCII lowerCamelCase relationship; use has + object role when it improves direction clarity.</x:v>
      </x:c>
      <x:c r="J413" s="35" t="str">
        <x:v>ADD_DEVELOPMENT_TERM</x:v>
      </x:c>
    </x:row>
    <x:row r="414">
      <x:c r="A414" s="35" t="str">
        <x:v>hasSupportingBulkhead</x:v>
      </x:c>
      <x:c r="B414" s="35" t="str">
        <x:v>https://w3id.org/nltl-benchmark/vocab#hasSupportingBulkhead</x:v>
      </x:c>
      <x:c r="C414" s="35" t="str">
        <x:v>ObjectProperty</x:v>
      </x:c>
      <x:c r="D414" s="35" t="str">
        <x:v>https://w3id.org/nltl-benchmark/vocab#supportingStructure</x:v>
      </x:c>
      <x:c r="E414" s="35" t="str"/>
      <x:c r="F414" s="35" t="str"/>
      <x:c r="G414" s="38" t="str">
        <x:v>TRF-049</x:v>
      </x:c>
      <x:c r="H414" s="35" t="str">
        <x:v>Applicable TRAFICOM regulation wording plus explicit engineering node/operand role</x:v>
      </x:c>
      <x:c r="I414" s="35" t="str">
        <x:v>N5 - ASCII lowerCamelCase relationship; use has + object role when it improves direction clarity.</x:v>
      </x:c>
      <x:c r="J414" s="35" t="str">
        <x:v>ADD_DEVELOPMENT_TERM</x:v>
      </x:c>
    </x:row>
    <x:row r="415">
      <x:c r="A415" s="35" t="str">
        <x:v>hasSupportingStructureAttachment</x:v>
      </x:c>
      <x:c r="B415" s="35" t="str">
        <x:v>https://w3id.org/nltl-benchmark/vocab#hasSupportingStructureAttachment</x:v>
      </x:c>
      <x:c r="C415" s="35" t="str">
        <x:v>ObjectProperty</x:v>
      </x:c>
      <x:c r="D415" s="35" t="str">
        <x:v>https://w3id.org/nltl-benchmark/vocab#frameAttachment</x:v>
      </x:c>
      <x:c r="E415" s="35" t="str"/>
      <x:c r="F415" s="35" t="str"/>
      <x:c r="G415" s="38" t="str">
        <x:v>TRF-049</x:v>
      </x:c>
      <x:c r="H415" s="35" t="str">
        <x:v>Applicable TRAFICOM regulation wording plus explicit engineering node/operand role</x:v>
      </x:c>
      <x:c r="I415" s="35" t="str">
        <x:v>N5 - ASCII lowerCamelCase relationship; use has + object role when it improves direction clarity.</x:v>
      </x:c>
      <x:c r="J415" s="35" t="str">
        <x:v>ADD_DEVELOPMENT_TERM</x:v>
      </x:c>
    </x:row>
    <x:row r="416">
      <x:c r="A416" s="35" t="str">
        <x:v>hasSupportingWebFrame</x:v>
      </x:c>
      <x:c r="B416" s="35" t="str">
        <x:v>https://w3id.org/nltl-benchmark/vocab#hasSupportingWebFrame</x:v>
      </x:c>
      <x:c r="C416" s="35" t="str">
        <x:v>ObjectProperty</x:v>
      </x:c>
      <x:c r="D416" s="35" t="str">
        <x:v>https://w3id.org/nltl-benchmark/vocab#supportingStructure</x:v>
      </x:c>
      <x:c r="E416" s="35" t="str"/>
      <x:c r="F416" s="35" t="str"/>
      <x:c r="G416" s="38" t="str">
        <x:v>TRF-049</x:v>
      </x:c>
      <x:c r="H416" s="35" t="str">
        <x:v>Applicable TRAFICOM regulation wording plus explicit engineering node/operand role</x:v>
      </x:c>
      <x:c r="I416" s="35" t="str">
        <x:v>N5 - ASCII lowerCamelCase relationship; use has + object role when it improves direction clarity.</x:v>
      </x:c>
      <x:c r="J416" s="35" t="str">
        <x:v>ADD_DEVELOPMENT_TERM</x:v>
      </x:c>
    </x:row>
    <x:row r="417">
      <x:c r="A417" s="35" t="str">
        <x:v>hasTerminationAboveSupportingStructure</x:v>
      </x:c>
      <x:c r="B417" s="35" t="str">
        <x:v>https://w3id.org/nltl-benchmark/vocab#hasTerminationAboveSupportingStructure</x:v>
      </x:c>
      <x:c r="C417" s="35" t="str">
        <x:v>ObjectProperty</x:v>
      </x:c>
      <x:c r="D417" s="35" t="str">
        <x:v>https://w3id.org/nltl-benchmark/vocab#supportingStructure</x:v>
      </x:c>
      <x:c r="E417" s="35" t="str"/>
      <x:c r="F417" s="35" t="str"/>
      <x:c r="G417" s="38" t="str">
        <x:v>TRF-046</x:v>
      </x:c>
      <x:c r="H417" s="35" t="str">
        <x:v>Applicable TRAFICOM regulation wording plus explicit engineering node/operand role</x:v>
      </x:c>
      <x:c r="I417" s="35" t="str">
        <x:v>N5 - ASCII lowerCamelCase relationship; use has + object role when it improves direction clarity.</x:v>
      </x:c>
      <x:c r="J417" s="35" t="str">
        <x:v>ADD_DEVELOPMENT_TERM</x:v>
      </x:c>
    </x:row>
    <x:row r="418">
      <x:c r="A418" s="35" t="str">
        <x:v>hasTerminationBelowSupportingStructure</x:v>
      </x:c>
      <x:c r="B418" s="35" t="str">
        <x:v>https://w3id.org/nltl-benchmark/vocab#hasTerminationBelowSupportingStructure</x:v>
      </x:c>
      <x:c r="C418" s="35" t="str">
        <x:v>ObjectProperty</x:v>
      </x:c>
      <x:c r="D418" s="35" t="str">
        <x:v>https://w3id.org/nltl-benchmark/vocab#supportingStructure</x:v>
      </x:c>
      <x:c r="E418" s="35" t="str"/>
      <x:c r="F418" s="35" t="str"/>
      <x:c r="G418" s="38" t="str">
        <x:v>TRF-047</x:v>
      </x:c>
      <x:c r="H418" s="35" t="str">
        <x:v>Applicable TRAFICOM regulation wording plus explicit engineering node/operand role</x:v>
      </x:c>
      <x:c r="I418" s="35" t="str">
        <x:v>N5 - ASCII lowerCamelCase relationship; use has + object role when it improves direction clarity.</x:v>
      </x:c>
      <x:c r="J418" s="35" t="str">
        <x:v>ADD_DEVELOPMENT_TERM</x:v>
      </x:c>
    </x:row>
    <x:row r="419">
      <x:c r="A419" s="35" t="str">
        <x:v>hasUpperEnd</x:v>
      </x:c>
      <x:c r="B419" s="35" t="str">
        <x:v>https://w3id.org/nltl-benchmark/vocab#hasUpperEnd</x:v>
      </x:c>
      <x:c r="C419" s="35" t="str">
        <x:v>ObjectProperty</x:v>
      </x:c>
      <x:c r="D419" s="35" t="str">
        <x:v>https://w3id.org/nltl-benchmark/vocab#frameEnd</x:v>
      </x:c>
      <x:c r="E419" s="35" t="str"/>
      <x:c r="F419" s="35" t="str"/>
      <x:c r="G419" s="38" t="str">
        <x:v>TRF-046</x:v>
      </x:c>
      <x:c r="H419" s="35" t="str">
        <x:v>Applicable TRAFICOM regulation wording plus explicit engineering node/operand role</x:v>
      </x:c>
      <x:c r="I419" s="35" t="str">
        <x:v>N5 - ASCII lowerCamelCase relationship; use has + object role when it improves direction clarity.</x:v>
      </x:c>
      <x:c r="J419" s="35" t="str">
        <x:v>ADD_DEVELOPMENT_TERM</x:v>
      </x:c>
    </x:row>
    <x:row r="420">
      <x:c r="A420" s="35" t="str">
        <x:v>hasUpperIceWaterline</x:v>
      </x:c>
      <x:c r="B420" s="35" t="str">
        <x:v>https://w3id.org/nltl-benchmark/vocab#hasUpperIceWaterline</x:v>
      </x:c>
      <x:c r="C420" s="35" t="str">
        <x:v>ObjectProperty</x:v>
      </x:c>
      <x:c r="D420" s="35" t="str">
        <x:v>https://w3id.org/nltl-benchmark/vocab#iceWaterline</x:v>
      </x:c>
      <x:c r="E420" s="35" t="str"/>
      <x:c r="F420" s="35" t="str"/>
      <x:c r="G420" s="38" t="str">
        <x:v>TRF-011 | TRF-013 | TRF-016 | TRF-020</x:v>
      </x:c>
      <x:c r="H420" s="35" t="str">
        <x:v>Applicable TRAFICOM regulation wording plus explicit engineering node/operand role</x:v>
      </x:c>
      <x:c r="I420" s="35" t="str">
        <x:v>N5 - ASCII lowerCamelCase relationship; use has + object role when it improves direction clarity.</x:v>
      </x:c>
      <x:c r="J420" s="35" t="str">
        <x:v>ADD_DEVELOPMENT_TERM</x:v>
      </x:c>
    </x:row>
    <x:row r="421">
      <x:c r="A421" s="35" t="str">
        <x:v>hasWaterlineProfilePoint</x:v>
      </x:c>
      <x:c r="B421" s="35" t="str">
        <x:v>https://w3id.org/nltl-benchmark/vocab#hasWaterlineProfilePoint</x:v>
      </x:c>
      <x:c r="C421" s="35" t="str">
        <x:v>ObjectProperty</x:v>
      </x:c>
      <x:c r="D421" s="35" t="str">
        <x:v>https://w3id.org/nltl-benchmark/vocab#waterlineProfilePoint</x:v>
      </x:c>
      <x:c r="E421" s="35" t="str"/>
      <x:c r="F421" s="35" t="str"/>
      <x:c r="G421" s="38" t="str">
        <x:v>TRF-011 | TRF-012</x:v>
      </x:c>
      <x:c r="H421" s="35" t="str">
        <x:v>Applicable TRAFICOM regulation wording plus explicit engineering node/operand role</x:v>
      </x:c>
      <x:c r="I421" s="35" t="str">
        <x:v>N5 - ASCII lowerCamelCase relationship; use has + object role when it improves direction clarity.</x:v>
      </x:c>
      <x:c r="J421" s="35" t="str">
        <x:v>ADD_DEVELOPMENT_TERM</x:v>
      </x:c>
    </x:row>
    <x:row r="422">
      <x:c r="A422" s="35" t="str">
        <x:v>hasWeatherdeckHatch</x:v>
      </x:c>
      <x:c r="B422" s="35" t="str">
        <x:v>https://w3id.org/nltl-benchmark/vocab#hasWeatherdeckHatch</x:v>
      </x:c>
      <x:c r="C422" s="35" t="str">
        <x:v>ObjectProperty</x:v>
      </x:c>
      <x:c r="D422" s="35" t="str">
        <x:v>https://w3id.org/nltl-benchmark/vocab#weatherdeckHatch</x:v>
      </x:c>
      <x:c r="E422" s="35" t="str"/>
      <x:c r="F422" s="35" t="str"/>
      <x:c r="G422" s="38" t="str">
        <x:v>TRF-056</x:v>
      </x:c>
      <x:c r="H422" s="35" t="str">
        <x:v>Applicable TRAFICOM regulation wording plus explicit engineering node/operand role</x:v>
      </x:c>
      <x:c r="I422" s="35" t="str">
        <x:v>N5 - ASCII lowerCamelCase relationship; use has + object role when it improves direction clarity.</x:v>
      </x:c>
      <x:c r="J422" s="35" t="str">
        <x:v>ADD_DEVELOPMENT_TERM</x:v>
      </x:c>
    </x:row>
    <x:row r="423">
      <x:c r="A423" s="35" t="str">
        <x:v>hatchCoverDesignEvidence</x:v>
      </x:c>
      <x:c r="B423" s="35" t="str">
        <x:v>https://w3id.org/nltl-benchmark/vocab#hatchCoverDesignEvidence</x:v>
      </x:c>
      <x:c r="C423" s="35" t="str">
        <x:v>Class</x:v>
      </x:c>
      <x:c r="D423" s="35" t="str">
        <x:v>https://w3id.org/nltl-benchmark/vocab#documentEvidence</x:v>
      </x:c>
      <x:c r="E423" s="35" t="str"/>
      <x:c r="F423" s="35" t="str"/>
      <x:c r="G423" s="38" t="str">
        <x:v>TRF-056</x:v>
      </x:c>
      <x:c r="H423" s="35" t="str">
        <x:v>Benchmark-coined descriptive engineering term</x:v>
      </x:c>
      <x:c r="I423" s="35" t="str">
        <x:v>N5 - component or subject first, followed by characteristic and qualifier/state; no unsupported external mapping</x:v>
      </x:c>
      <x:c r="J423" s="35" t="str">
        <x:v>REUSE_R2_TERM</x:v>
      </x:c>
    </x:row>
    <x:row r="424">
      <x:c r="A424" s="35" t="str">
        <x:v>hatchFittingDesignEvidence</x:v>
      </x:c>
      <x:c r="B424" s="35" t="str">
        <x:v>https://w3id.org/nltl-benchmark/vocab#hatchFittingDesignEvidence</x:v>
      </x:c>
      <x:c r="C424" s="35" t="str">
        <x:v>Class</x:v>
      </x:c>
      <x:c r="D424" s="35" t="str">
        <x:v>https://w3id.org/nltl-benchmark/vocab#documentEvidence</x:v>
      </x:c>
      <x:c r="E424" s="35" t="str"/>
      <x:c r="F424" s="35" t="str"/>
      <x:c r="G424" s="38" t="str">
        <x:v>TRF-056</x:v>
      </x:c>
      <x:c r="H424" s="35" t="str">
        <x:v>Benchmark-coined descriptive engineering term</x:v>
      </x:c>
      <x:c r="I424" s="35" t="str">
        <x:v>N5 - component or subject first, followed by characteristic and qualifier/state; no unsupported external mapping</x:v>
      </x:c>
      <x:c r="J424" s="35" t="str">
        <x:v>REUSE_R2_TERM</x:v>
      </x:c>
    </x:row>
    <x:row r="425">
      <x:c r="A425" s="35" t="str">
        <x:v>hatchOpeningLength</x:v>
      </x:c>
      <x:c r="B425" s="35" t="str">
        <x:v>https://w3id.org/nltl-benchmark/vocab#hatchOpeningLength</x:v>
      </x:c>
      <x:c r="C425" s="35" t="str">
        <x:v>QuantityProperty</x:v>
      </x:c>
      <x:c r="D425" s="35" t="str">
        <x:v>http://qudt.org/schema/qudt/QuantityValue</x:v>
      </x:c>
      <x:c r="E425" s="35" t="str"/>
      <x:c r="F425" s="35" t="str">
        <x:v>m</x:v>
      </x:c>
      <x:c r="G425" s="38" t="str">
        <x:v>TRF-056</x:v>
      </x:c>
      <x:c r="H425" s="35" t="str">
        <x:v>Benchmark-coined descriptive engineering term</x:v>
      </x:c>
      <x:c r="I425" s="35" t="str">
        <x:v>N5 - component or subject first, followed by characteristic and qualifier/state; no unsupported external mapping</x:v>
      </x:c>
      <x:c r="J425" s="35" t="str">
        <x:v>REUSE_R2_TERM</x:v>
      </x:c>
    </x:row>
    <x:row r="426">
      <x:c r="A426" s="35" t="str">
        <x:v>hazardProtectionCoverage</x:v>
      </x:c>
      <x:c r="B426" s="35" t="str">
        <x:v>https://w3id.org/nltl-benchmark/vocab#hazardProtectionCoverage</x:v>
      </x:c>
      <x:c r="C426" s="35" t="str">
        <x:v>DatatypeProperty</x:v>
      </x:c>
      <x:c r="D426" s="35" t="str">
        <x:v>http://www.w3.org/2001/XMLSchema#boolean</x:v>
      </x:c>
      <x:c r="E426" s="35" t="str">
        <x:v>xsd:boolean</x:v>
      </x:c>
      <x:c r="F426" s="35" t="str"/>
      <x:c r="G426" s="38" t="str">
        <x:v>IMO-043</x:v>
      </x:c>
      <x:c r="H426" s="35" t="str">
        <x:v>Locked-workbook normalized regulatory term</x:v>
      </x:c>
      <x:c r="I426" s="35" t="str">
        <x:v>N4 - preserve the source concept; normalize spelling to ASCII lowerCamelCase</x:v>
      </x:c>
      <x:c r="J426" s="35" t="str">
        <x:v>REUSE_R2_TERM</x:v>
      </x:c>
    </x:row>
    <x:row r="427">
      <x:c r="A427" s="35" t="str">
        <x:v>headingMeansIndependent</x:v>
      </x:c>
      <x:c r="B427" s="35" t="str">
        <x:v>https://w3id.org/nltl-benchmark/vocab#headingMeansIndependent</x:v>
      </x:c>
      <x:c r="C427" s="35" t="str">
        <x:v>DatatypeProperty</x:v>
      </x:c>
      <x:c r="D427" s="35" t="str">
        <x:v>http://www.w3.org/2001/XMLSchema#boolean</x:v>
      </x:c>
      <x:c r="E427" s="35" t="str">
        <x:v>xsd:boolean</x:v>
      </x:c>
      <x:c r="F427" s="35" t="str"/>
      <x:c r="G427" s="38" t="str">
        <x:v>IMO-086 | IMO26-012</x:v>
      </x:c>
      <x:c r="H427" s="35" t="str">
        <x:v>Locked-workbook normalized regulatory term</x:v>
      </x:c>
      <x:c r="I427" s="35" t="str">
        <x:v>N4 - preserve the source concept; normalize spelling to ASCII lowerCamelCase</x:v>
      </x:c>
      <x:c r="J427" s="35" t="str">
        <x:v>REUSE_R2_TERM</x:v>
      </x:c>
    </x:row>
    <x:row r="428">
      <x:c r="A428" s="35" t="str">
        <x:v>headingOrPositionSystem</x:v>
      </x:c>
      <x:c r="B428" s="35" t="str">
        <x:v>https://w3id.org/nltl-benchmark/vocab#headingOrPositionSystem</x:v>
      </x:c>
      <x:c r="C428" s="35" t="str">
        <x:v>DatatypeProperty</x:v>
      </x:c>
      <x:c r="D428" s="35" t="str">
        <x:v>http://www.w3.org/2001/XMLSchema#string</x:v>
      </x:c>
      <x:c r="E428" s="35" t="str">
        <x:v>xsd:string</x:v>
      </x:c>
      <x:c r="F428" s="35" t="str"/>
      <x:c r="G428" s="38" t="str">
        <x:v>IMO26-005</x:v>
      </x:c>
      <x:c r="H428" s="35" t="str">
        <x:v>Locked-workbook normalized regulatory term</x:v>
      </x:c>
      <x:c r="I428" s="35" t="str">
        <x:v>N4 - preserve the source concept; normalize spelling to ASCII lowerCamelCase</x:v>
      </x:c>
      <x:c r="J428" s="35" t="str">
        <x:v>REUSE_R2_TERM</x:v>
      </x:c>
    </x:row>
    <x:row r="429">
      <x:c r="A429" s="35" t="str">
        <x:v>highStrengthHullStructuralSteel</x:v>
      </x:c>
      <x:c r="B429" s="35" t="str">
        <x:v>https://w3id.org/nltl-benchmark/vocab#highStrengthHullStructuralSteel</x:v>
      </x:c>
      <x:c r="C429" s="35" t="str">
        <x:v>NamedIndividual</x:v>
      </x:c>
      <x:c r="D429" s="35" t="str">
        <x:v>https://w3id.org/nltl-benchmark/vocab#steelGradeValue</x:v>
      </x:c>
      <x:c r="E429" s="35" t="str"/>
      <x:c r="F429" s="35" t="str"/>
      <x:c r="G429" s="38" t="str">
        <x:v>TRF-041 | TRF-042 | TRF-051</x:v>
      </x:c>
      <x:c r="H429" s="35" t="str">
        <x:v>Applicable TRAFICOM regulation wording plus explicit engineering node/operand role</x:v>
      </x:c>
      <x:c r="I429" s="35" t="str">
        <x:v>N6 - concise ASCII lowerCamelCase controlled-value name grounded in the linked regulation.</x:v>
      </x:c>
      <x:c r="J429" s="35" t="str">
        <x:v>ADD_DEVELOPMENT_TERM</x:v>
      </x:c>
    </x:row>
    <x:row r="430">
      <x:c r="A430" s="35" t="str">
        <x:v>horizontalConnectionMember</x:v>
      </x:c>
      <x:c r="B430" s="35" t="str">
        <x:v>https://w3id.org/nltl-benchmark/vocab#horizontalConnectionMember</x:v>
      </x:c>
      <x:c r="C430" s="35" t="str">
        <x:v>Class</x:v>
      </x:c>
      <x:c r="D430" s="35" t="str">
        <x:v>https://w3id.org/nltl-benchmark/vocab#hullStructure</x:v>
      </x:c>
      <x:c r="E430" s="35" t="str"/>
      <x:c r="F430" s="35" t="str"/>
      <x:c r="G430" s="38" t="str">
        <x:v>TRF-046 | TRF-047</x:v>
      </x:c>
      <x:c r="H430" s="35" t="str">
        <x:v>Applicable TRAFICOM regulation wording plus explicit engineering node/operand role</x:v>
      </x:c>
      <x:c r="I430" s="35" t="str">
        <x:v>N4 - singular ASCII lowerCamelCase entity name derived from the linked regulatory role.</x:v>
      </x:c>
      <x:c r="J430" s="35" t="str">
        <x:v>ADD_DEVELOPMENT_TERM</x:v>
      </x:c>
    </x:row>
    <x:row r="431">
      <x:c r="A431" s="35" t="str">
        <x:v>horizontalLoadPosition</x:v>
      </x:c>
      <x:c r="B431" s="35" t="str">
        <x:v>https://w3id.org/nltl-benchmark/vocab#horizontalLoadPosition</x:v>
      </x:c>
      <x:c r="C431" s="35" t="str">
        <x:v>QuantityProperty</x:v>
      </x:c>
      <x:c r="D431" s="35" t="str">
        <x:v>http://qudt.org/schema/qudt/QuantityValue</x:v>
      </x:c>
      <x:c r="E431" s="35" t="str"/>
      <x:c r="F431" s="35" t="str">
        <x:v>m</x:v>
      </x:c>
      <x:c r="G431" s="38" t="str">
        <x:v>TRF-030</x:v>
      </x:c>
      <x:c r="H431" s="35" t="str">
        <x:v>Applicable TRAFICOM regulation wording plus explicit engineering node/operand role</x:v>
      </x:c>
      <x:c r="I431" s="35" t="str">
        <x:v>N4 - explicit engineering quantity in ASCII lowerCamelCase; formula symbols remain aliases only.</x:v>
      </x:c>
      <x:c r="J431" s="35" t="str">
        <x:v>ADD_DEVELOPMENT_TERM</x:v>
      </x:c>
    </x:row>
    <x:row r="432">
      <x:c r="A432" s="35" t="str">
        <x:v>horizontalLoadPositionType</x:v>
      </x:c>
      <x:c r="B432" s="35" t="str">
        <x:v>https://w3id.org/nltl-benchmark/vocab#horizontalLoadPositionType</x:v>
      </x:c>
      <x:c r="C432" s="35" t="str">
        <x:v>ObjectProperty</x:v>
      </x:c>
      <x:c r="D432" s="35" t="str">
        <x:v>https://w3id.org/nltl-benchmark/vocab#loadPositionTypeValue</x:v>
      </x:c>
      <x:c r="E432" s="35" t="str"/>
      <x:c r="F432" s="35" t="str"/>
      <x:c r="G432" s="38" t="str">
        <x:v>TRF-030</x:v>
      </x:c>
      <x:c r="H432" s="35" t="str">
        <x:v>Applicable TRAFICOM regulation wording plus explicit engineering node/operand role</x:v>
      </x:c>
      <x:c r="I432" s="35" t="str">
        <x:v>N5 - ASCII lowerCamelCase relationship; use has + object role when it improves direction clarity.</x:v>
      </x:c>
      <x:c r="J432" s="35" t="str">
        <x:v>ADD_DEVELOPMENT_TERM</x:v>
      </x:c>
    </x:row>
    <x:row r="433">
      <x:c r="A433" s="35" t="str">
        <x:v>hullArea</x:v>
      </x:c>
      <x:c r="B433" s="35" t="str">
        <x:v>https://w3id.org/nltl-benchmark/vocab#hullArea</x:v>
      </x:c>
      <x:c r="C433" s="35" t="str">
        <x:v>DatatypeProperty</x:v>
      </x:c>
      <x:c r="D433" s="35" t="str">
        <x:v>http://www.w3.org/2001/XMLSchema#string</x:v>
      </x:c>
      <x:c r="E433" s="35" t="str">
        <x:v>xsd:string</x:v>
      </x:c>
      <x:c r="F433" s="35" t="str"/>
      <x:c r="G433" s="38" t="str">
        <x:v>I2-008 | I2-009</x:v>
      </x:c>
      <x:c r="H433" s="35" t="str">
        <x:v>Benchmark-coined descriptive engineering term</x:v>
      </x:c>
      <x:c r="I433" s="35" t="str">
        <x:v>N5 - component or subject first, followed by characteristic and qualifier/state; no unsupported external mapping</x:v>
      </x:c>
      <x:c r="J433" s="35" t="str">
        <x:v>REUSE_R2_TERM</x:v>
      </x:c>
    </x:row>
    <x:row r="434">
      <x:c r="A434" s="35" t="str">
        <x:v>hullAreaBoundary</x:v>
      </x:c>
      <x:c r="B434" s="35" t="str">
        <x:v>https://w3id.org/nltl-benchmark/vocab#hullAreaBoundary</x:v>
      </x:c>
      <x:c r="C434" s="35" t="str">
        <x:v>DatatypeProperty</x:v>
      </x:c>
      <x:c r="D434" s="35" t="str">
        <x:v>http://www.w3.org/2001/XMLSchema#string</x:v>
      </x:c>
      <x:c r="E434" s="35" t="str">
        <x:v>xsd:string</x:v>
      </x:c>
      <x:c r="F434" s="35" t="str"/>
      <x:c r="G434" s="38" t="str">
        <x:v>I2-019</x:v>
      </x:c>
      <x:c r="H434" s="35" t="str">
        <x:v>Benchmark-coined descriptive engineering term</x:v>
      </x:c>
      <x:c r="I434" s="35" t="str">
        <x:v>N5 - component or subject first, followed by characteristic and qualifier/state; no unsupported external mapping</x:v>
      </x:c>
      <x:c r="J434" s="35" t="str">
        <x:v>REUSE_R2_TERM</x:v>
      </x:c>
    </x:row>
    <x:row r="435">
      <x:c r="A435" s="35" t="str">
        <x:v>hullAreaFactor</x:v>
      </x:c>
      <x:c r="B435" s="35" t="str">
        <x:v>https://w3id.org/nltl-benchmark/vocab#hullAreaFactor</x:v>
      </x:c>
      <x:c r="C435" s="35" t="str">
        <x:v>QuantityProperty</x:v>
      </x:c>
      <x:c r="D435" s="35" t="str">
        <x:v>http://qudt.org/schema/qudt/QuantityValue</x:v>
      </x:c>
      <x:c r="E435" s="35" t="str"/>
      <x:c r="F435" s="35" t="str">
        <x:v>1</x:v>
      </x:c>
      <x:c r="G435" s="38" t="str">
        <x:v>I2-019</x:v>
      </x:c>
      <x:c r="H435" s="35" t="str">
        <x:v>Benchmark-coined descriptive engineering term</x:v>
      </x:c>
      <x:c r="I435" s="35" t="str">
        <x:v>N5 - component or subject first, followed by characteristic and qualifier/state; no unsupported external mapping</x:v>
      </x:c>
      <x:c r="J435" s="35" t="str">
        <x:v>REUSE_R2_TERM</x:v>
      </x:c>
    </x:row>
    <x:row r="436">
      <x:c r="A436" s="35" t="str">
        <x:v>hullAreaRequirementSet</x:v>
      </x:c>
      <x:c r="B436" s="35" t="str">
        <x:v>https://w3id.org/nltl-benchmark/vocab#hullAreaRequirementSet</x:v>
      </x:c>
      <x:c r="C436" s="35" t="str">
        <x:v>DatatypeProperty</x:v>
      </x:c>
      <x:c r="D436" s="35" t="str">
        <x:v>http://www.w3.org/2001/XMLSchema#string</x:v>
      </x:c>
      <x:c r="E436" s="35" t="str">
        <x:v>xsd:string</x:v>
      </x:c>
      <x:c r="F436" s="35" t="str"/>
      <x:c r="G436" s="38" t="str">
        <x:v>I2-006</x:v>
      </x:c>
      <x:c r="H436" s="35" t="str">
        <x:v>Benchmark-coined descriptive engineering term</x:v>
      </x:c>
      <x:c r="I436" s="35" t="str">
        <x:v>N5 - component or subject first, followed by characteristic and qualifier/state; no unsupported external mapping</x:v>
      </x:c>
      <x:c r="J436" s="35" t="str">
        <x:v>REUSE_R2_TERM</x:v>
      </x:c>
    </x:row>
    <x:row r="437">
      <x:c r="A437" s="35" t="str">
        <x:v>hullGirder</x:v>
      </x:c>
      <x:c r="B437" s="35" t="str">
        <x:v>https://w3id.org/nltl-benchmark/vocab#hullGirder</x:v>
      </x:c>
      <x:c r="C437" s="35" t="str">
        <x:v>Class</x:v>
      </x:c>
      <x:c r="D437" s="35" t="str">
        <x:v>https://w3id.org/nltl-benchmark/vocab#hullStructure</x:v>
      </x:c>
      <x:c r="E437" s="35" t="str"/>
      <x:c r="F437" s="35" t="str"/>
      <x:c r="G437" s="38" t="str">
        <x:v>I2-053</x:v>
      </x:c>
      <x:c r="H437" s="35" t="str">
        <x:v>Benchmark-coined descriptive engineering term</x:v>
      </x:c>
      <x:c r="I437" s="35" t="str">
        <x:v>N5 - component or subject first, followed by characteristic and qualifier/state; no unsupported external mapping</x:v>
      </x:c>
      <x:c r="J437" s="35" t="str">
        <x:v>REUSE_R2_TERM</x:v>
      </x:c>
    </x:row>
    <x:row r="438">
      <x:c r="A438" s="35" t="str">
        <x:v>hullGirderPosition</x:v>
      </x:c>
      <x:c r="B438" s="35" t="str">
        <x:v>https://w3id.org/nltl-benchmark/vocab#hullGirderPosition</x:v>
      </x:c>
      <x:c r="C438" s="35" t="str">
        <x:v>DatatypeProperty</x:v>
      </x:c>
      <x:c r="D438" s="35" t="str">
        <x:v>http://www.w3.org/2001/XMLSchema#string</x:v>
      </x:c>
      <x:c r="E438" s="35" t="str">
        <x:v>xsd:string</x:v>
      </x:c>
      <x:c r="F438" s="35" t="str"/>
      <x:c r="G438" s="38" t="str">
        <x:v>I2-051</x:v>
      </x:c>
      <x:c r="H438" s="35" t="str">
        <x:v>Benchmark-coined descriptive engineering term</x:v>
      </x:c>
      <x:c r="I438" s="35" t="str">
        <x:v>N5 - component or subject first, followed by characteristic and qualifier/state; no unsupported external mapping</x:v>
      </x:c>
      <x:c r="J438" s="35" t="str">
        <x:v>REUSE_R2_TERM</x:v>
      </x:c>
    </x:row>
    <x:row r="439">
      <x:c r="A439" s="35" t="str">
        <x:v>hullRegion</x:v>
      </x:c>
      <x:c r="B439" s="35" t="str">
        <x:v>https://w3id.org/nltl-benchmark/vocab#hullRegion</x:v>
      </x:c>
      <x:c r="C439" s="35" t="str">
        <x:v>ObjectProperty</x:v>
      </x:c>
      <x:c r="D439" s="35" t="str">
        <x:v>https://w3id.org/nltl-benchmark/vocab#hullRegionValue</x:v>
      </x:c>
      <x:c r="E439" s="35" t="str"/>
      <x:c r="F439" s="35" t="str"/>
      <x:c r="G439" s="38" t="str">
        <x:v>TRF-035 | TRF-037 | TRF-043 | TRF-052</x:v>
      </x:c>
      <x:c r="H439" s="35" t="str">
        <x:v>Applicable TRAFICOM regulation wording plus explicit engineering node/operand role</x:v>
      </x:c>
      <x:c r="I439" s="35" t="str">
        <x:v>N5 - ASCII lowerCamelCase relationship; use has + object role when it improves direction clarity.</x:v>
      </x:c>
      <x:c r="J439" s="35" t="str">
        <x:v>ADD_DEVELOPMENT_TERM</x:v>
      </x:c>
    </x:row>
    <x:row r="440">
      <x:c r="A440" s="35" t="str">
        <x:v>hullRegionValue</x:v>
      </x:c>
      <x:c r="B440" s="35" t="str">
        <x:v>https://w3id.org/nltl-benchmark/vocab#hullRegionValue</x:v>
      </x:c>
      <x:c r="C440" s="35" t="str">
        <x:v>Class</x:v>
      </x:c>
      <x:c r="D440" s="35" t="str">
        <x:v>https://w3id.org/nltl-benchmark/vocab#benchmarkEntity</x:v>
      </x:c>
      <x:c r="E440" s="35" t="str"/>
      <x:c r="F440" s="35" t="str"/>
      <x:c r="G440" s="38" t="str">
        <x:v>TRF-035 | TRF-037 | TRF-043 | TRF-052</x:v>
      </x:c>
      <x:c r="H440" s="35" t="str">
        <x:v>Applicable TRAFICOM regulation wording plus explicit engineering node/operand role</x:v>
      </x:c>
      <x:c r="I440" s="35" t="str">
        <x:v>N4 - singular ASCII lowerCamelCase entity name derived from the linked regulatory role.</x:v>
      </x:c>
      <x:c r="J440" s="35" t="str">
        <x:v>ADD_DEVELOPMENT_TERM</x:v>
      </x:c>
    </x:row>
    <x:row r="441">
      <x:c r="A441" s="35" t="str">
        <x:v>hullStructuralSteelGrade</x:v>
      </x:c>
      <x:c r="B441" s="35" t="str">
        <x:v>https://w3id.org/nltl-benchmark/vocab#hullStructuralSteelGrade</x:v>
      </x:c>
      <x:c r="C441" s="35" t="str">
        <x:v>ObjectProperty</x:v>
      </x:c>
      <x:c r="D441" s="35" t="str">
        <x:v>https://w3id.org/nltl-benchmark/vocab#steelGradeValue</x:v>
      </x:c>
      <x:c r="E441" s="35" t="str"/>
      <x:c r="F441" s="35" t="str"/>
      <x:c r="G441" s="38" t="str">
        <x:v>TRF-041 | TRF-042 | TRF-051</x:v>
      </x:c>
      <x:c r="H441" s="35" t="str">
        <x:v>Applicable TRAFICOM regulation wording plus explicit engineering node/operand role</x:v>
      </x:c>
      <x:c r="I441" s="35" t="str">
        <x:v>N5 - ASCII lowerCamelCase relationship; use has + object role when it improves direction clarity.</x:v>
      </x:c>
      <x:c r="J441" s="35" t="str">
        <x:v>ADD_DEVELOPMENT_TERM</x:v>
      </x:c>
    </x:row>
    <x:row r="442">
      <x:c r="A442" s="35" t="str">
        <x:v>hydraulicFluidFreezingOrViscosityControlPresent</x:v>
      </x:c>
      <x:c r="B442" s="35" t="str">
        <x:v>https://w3id.org/nltl-benchmark/vocab#hydraulicFluidFreezingOrViscosityControlPresent</x:v>
      </x:c>
      <x:c r="C442" s="35" t="str">
        <x:v>DatatypeProperty</x:v>
      </x:c>
      <x:c r="D442" s="35" t="str">
        <x:v>http://www.w3.org/2001/XMLSchema#boolean</x:v>
      </x:c>
      <x:c r="E442" s="35" t="str">
        <x:v>xsd:boolean</x:v>
      </x:c>
      <x:c r="F442" s="35" t="str"/>
      <x:c r="G442" s="38" t="str">
        <x:v>IMO-041</x:v>
      </x:c>
      <x:c r="H442" s="35" t="str">
        <x:v>Locked-workbook normalized regulatory term</x:v>
      </x:c>
      <x:c r="I442" s="35" t="str">
        <x:v>N4 - preserve the source concept; normalize spelling to ASCII lowerCamelCase</x:v>
      </x:c>
      <x:c r="J442" s="35" t="str">
        <x:v>REUSE_R2_TERM</x:v>
      </x:c>
    </x:row>
    <x:row r="443">
      <x:c r="A443" s="35" t="str">
        <x:v>hydraulicPropulsionMachinery</x:v>
      </x:c>
      <x:c r="B443" s="35" t="str">
        <x:v>https://w3id.org/nltl-benchmark/vocab#hydraulicPropulsionMachinery</x:v>
      </x:c>
      <x:c r="C443" s="35" t="str">
        <x:v>NamedIndividual</x:v>
      </x:c>
      <x:c r="D443" s="35" t="str">
        <x:v>https://w3id.org/nltl-benchmark/vocab#propulsionSystemTypeValue</x:v>
      </x:c>
      <x:c r="E443" s="35" t="str"/>
      <x:c r="F443" s="35" t="str"/>
      <x:c r="G443" s="38" t="str">
        <x:v>TRF-020</x:v>
      </x:c>
      <x:c r="H443" s="35" t="str">
        <x:v>Applicable TRAFICOM regulation wording plus explicit engineering node/operand role</x:v>
      </x:c>
      <x:c r="I443" s="35" t="str">
        <x:v>N6 - concise ASCII lowerCamelCase controlled-value name grounded in the linked regulation.</x:v>
      </x:c>
      <x:c r="J443" s="35" t="str">
        <x:v>ADD_DEVELOPMENT_TERM</x:v>
      </x:c>
    </x:row>
    <x:row r="444">
      <x:c r="A444" s="35" t="str">
        <x:v>hydraulicRudderReliefValvePresent</x:v>
      </x:c>
      <x:c r="B444" s="35" t="str">
        <x:v>https://w3id.org/nltl-benchmark/vocab#hydraulicRudderReliefValvePresent</x:v>
      </x:c>
      <x:c r="C444" s="35" t="str">
        <x:v>DatatypeProperty</x:v>
      </x:c>
      <x:c r="D444" s="35" t="str">
        <x:v>http://www.w3.org/2001/XMLSchema#boolean</x:v>
      </x:c>
      <x:c r="E444" s="35" t="str">
        <x:v>xsd:boolean</x:v>
      </x:c>
      <x:c r="F444" s="35" t="str"/>
      <x:c r="G444" s="38" t="str">
        <x:v>TRF-068</x:v>
      </x:c>
      <x:c r="H444" s="35" t="str">
        <x:v>Benchmark-coined descriptive engineering term</x:v>
      </x:c>
      <x:c r="I444" s="35" t="str">
        <x:v>N5 - component or subject first, followed by characteristic and qualifier/state; no unsupported external mapping</x:v>
      </x:c>
      <x:c r="J444" s="35" t="str">
        <x:v>REUSE_R2_TERM</x:v>
      </x:c>
    </x:row>
    <x:row r="445">
      <x:c r="A445" s="35" t="str">
        <x:v>hydrodynamicBollardThrust</x:v>
      </x:c>
      <x:c r="B445" s="35" t="str">
        <x:v>https://w3id.org/nltl-benchmark/vocab#hydrodynamicBollardThrust</x:v>
      </x:c>
      <x:c r="C445" s="35" t="str">
        <x:v>QuantityProperty</x:v>
      </x:c>
      <x:c r="D445" s="35" t="str">
        <x:v>http://qudt.org/schema/qudt/QuantityValue</x:v>
      </x:c>
      <x:c r="E445" s="35" t="str"/>
      <x:c r="F445" s="35" t="str">
        <x:v>kN</x:v>
      </x:c>
      <x:c r="G445" s="38" t="str">
        <x:v>TRF-081 | TRF-082</x:v>
      </x:c>
      <x:c r="H445" s="35" t="str">
        <x:v>Verified exact implementation term</x:v>
      </x:c>
      <x:c r="I445" s="35" t="str">
        <x:v>N1 - reuse only after exact URI and semantic-context verification</x:v>
      </x:c>
      <x:c r="J445" s="35" t="str">
        <x:v>REUSE_R2_TERM</x:v>
      </x:c>
    </x:row>
    <x:row r="446">
      <x:c r="A446" s="35" t="str">
        <x:v>hydrodynamicPropellerMeanTorque</x:v>
      </x:c>
      <x:c r="B446" s="35" t="str">
        <x:v>https://w3id.org/nltl-benchmark/vocab#hydrodynamicPropellerMeanTorque</x:v>
      </x:c>
      <x:c r="C446" s="35" t="str">
        <x:v>QuantityProperty</x:v>
      </x:c>
      <x:c r="D446" s="35" t="str">
        <x:v>http://qudt.org/schema/qudt/QuantityValue</x:v>
      </x:c>
      <x:c r="E446" s="35" t="str"/>
      <x:c r="F446" s="35" t="str">
        <x:v>kN*m</x:v>
      </x:c>
      <x:c r="G446" s="38" t="str">
        <x:v>TRF-100</x:v>
      </x:c>
      <x:c r="H446" s="35" t="str">
        <x:v>Benchmark-coined descriptive engineering term</x:v>
      </x:c>
      <x:c r="I446" s="35" t="str">
        <x:v>N5 - component or subject first, followed by characteristic and qualifier/state; no unsupported external mapping</x:v>
      </x:c>
      <x:c r="J446" s="35" t="str">
        <x:v>REUSE_R2_TERM</x:v>
      </x:c>
    </x:row>
    <x:row r="447">
      <x:c r="A447" s="35" t="str">
        <x:v>iceAccretionLikely</x:v>
      </x:c>
      <x:c r="B447" s="35" t="str">
        <x:v>https://w3id.org/nltl-benchmark/vocab#iceAccretionLikely</x:v>
      </x:c>
      <x:c r="C447" s="35" t="str">
        <x:v>DatatypeProperty</x:v>
      </x:c>
      <x:c r="D447" s="35" t="str">
        <x:v>http://www.w3.org/2001/XMLSchema#boolean</x:v>
      </x:c>
      <x:c r="E447" s="35" t="str">
        <x:v>xsd:boolean</x:v>
      </x:c>
      <x:c r="F447" s="35" t="str"/>
      <x:c r="G447" s="38" t="str">
        <x:v>IMO-033 | IMO-034 | IMO-040 | IMO-083 | IMO26-009</x:v>
      </x:c>
      <x:c r="H447" s="35" t="str">
        <x:v>Locked-workbook normalized regulatory term</x:v>
      </x:c>
      <x:c r="I447" s="35" t="str">
        <x:v>N4 - preserve the source concept; normalize spelling to ASCII lowerCamelCase</x:v>
      </x:c>
      <x:c r="J447" s="35" t="str">
        <x:v>REUSE_R2_TERM</x:v>
      </x:c>
    </x:row>
    <x:row r="448">
      <x:c r="A448" s="35" t="str">
        <x:v>iceAccretionMinimizationDesignPresent</x:v>
      </x:c>
      <x:c r="B448" s="35" t="str">
        <x:v>https://w3id.org/nltl-benchmark/vocab#iceAccretionMinimizationDesignPresent</x:v>
      </x:c>
      <x:c r="C448" s="35" t="str">
        <x:v>DatatypeProperty</x:v>
      </x:c>
      <x:c r="D448" s="35" t="str">
        <x:v>http://www.w3.org/2001/XMLSchema#boolean</x:v>
      </x:c>
      <x:c r="E448" s="35" t="str">
        <x:v>xsd:boolean</x:v>
      </x:c>
      <x:c r="F448" s="35" t="str"/>
      <x:c r="G448" s="38" t="str">
        <x:v>IMO-034</x:v>
      </x:c>
      <x:c r="H448" s="35" t="str">
        <x:v>Locked-workbook normalized regulatory term</x:v>
      </x:c>
      <x:c r="I448" s="35" t="str">
        <x:v>N4 - preserve the source concept; normalize spelling to ASCII lowerCamelCase</x:v>
      </x:c>
      <x:c r="J448" s="35" t="str">
        <x:v>REUSE_R2_TERM</x:v>
      </x:c>
    </x:row>
    <x:row r="449">
      <x:c r="A449" s="35" t="str">
        <x:v>iceAccretionMonitoringActive</x:v>
      </x:c>
      <x:c r="B449" s="35" t="str">
        <x:v>https://w3id.org/nltl-benchmark/vocab#iceAccretionMonitoringActive</x:v>
      </x:c>
      <x:c r="C449" s="35" t="str">
        <x:v>DatatypeProperty</x:v>
      </x:c>
      <x:c r="D449" s="35" t="str">
        <x:v>http://www.w3.org/2001/XMLSchema#boolean</x:v>
      </x:c>
      <x:c r="E449" s="35" t="str">
        <x:v>xsd:boolean</x:v>
      </x:c>
      <x:c r="F449" s="35" t="str"/>
      <x:c r="G449" s="38" t="str">
        <x:v>IMO-036</x:v>
      </x:c>
      <x:c r="H449" s="35" t="str">
        <x:v>Locked-workbook normalized regulatory term</x:v>
      </x:c>
      <x:c r="I449" s="35" t="str">
        <x:v>N4 - preserve the source concept; normalize spelling to ASCII lowerCamelCase</x:v>
      </x:c>
      <x:c r="J449" s="35" t="str">
        <x:v>REUSE_R2_TERM</x:v>
      </x:c>
    </x:row>
    <x:row r="450">
      <x:c r="A450" s="35" t="str">
        <x:v>iceAccretionProtectionPresent</x:v>
      </x:c>
      <x:c r="B450" s="35" t="str">
        <x:v>https://w3id.org/nltl-benchmark/vocab#iceAccretionProtectionPresent</x:v>
      </x:c>
      <x:c r="C450" s="35" t="str">
        <x:v>DatatypeProperty</x:v>
      </x:c>
      <x:c r="D450" s="35" t="str">
        <x:v>http://www.w3.org/2001/XMLSchema#boolean</x:v>
      </x:c>
      <x:c r="E450" s="35" t="str">
        <x:v>xsd:boolean</x:v>
      </x:c>
      <x:c r="F450" s="35" t="str"/>
      <x:c r="G450" s="38" t="str">
        <x:v>IMO-055</x:v>
      </x:c>
      <x:c r="H450" s="35" t="str">
        <x:v>Locked-workbook normalized regulatory term</x:v>
      </x:c>
      <x:c r="I450" s="35" t="str">
        <x:v>N4 - preserve the source concept; normalize spelling to ASCII lowerCamelCase</x:v>
      </x:c>
      <x:c r="J450" s="35" t="str">
        <x:v>REUSE_R2_TERM</x:v>
      </x:c>
    </x:row>
    <x:row r="451">
      <x:c r="A451" s="35" t="str">
        <x:v>iceAccumulationPreventionMeansPresent</x:v>
      </x:c>
      <x:c r="B451" s="35" t="str">
        <x:v>https://w3id.org/nltl-benchmark/vocab#iceAccumulationPreventionMeansPresent</x:v>
      </x:c>
      <x:c r="C451" s="35" t="str">
        <x:v>DatatypeProperty</x:v>
      </x:c>
      <x:c r="D451" s="35" t="str">
        <x:v>http://www.w3.org/2001/XMLSchema#boolean</x:v>
      </x:c>
      <x:c r="E451" s="35" t="str">
        <x:v>xsd:boolean</x:v>
      </x:c>
      <x:c r="F451" s="35" t="str"/>
      <x:c r="G451" s="38" t="str">
        <x:v>IMO-083 | IMO26-009</x:v>
      </x:c>
      <x:c r="H451" s="35" t="str">
        <x:v>Locked-workbook normalized regulatory term</x:v>
      </x:c>
      <x:c r="I451" s="35" t="str">
        <x:v>N4 - preserve the source concept; normalize spelling to ASCII lowerCamelCase</x:v>
      </x:c>
      <x:c r="J451" s="35" t="str">
        <x:v>REUSE_R2_TERM</x:v>
      </x:c>
    </x:row>
    <x:row r="452">
      <x:c r="A452" s="35" t="str">
        <x:v>iceAccumulationSpaceAboveInlet</x:v>
      </x:c>
      <x:c r="B452" s="35" t="str">
        <x:v>https://w3id.org/nltl-benchmark/vocab#iceAccumulationSpaceAboveInlet</x:v>
      </x:c>
      <x:c r="C452" s="35" t="str">
        <x:v>DatatypeProperty</x:v>
      </x:c>
      <x:c r="D452" s="35" t="str">
        <x:v>http://www.w3.org/2001/XMLSchema#boolean</x:v>
      </x:c>
      <x:c r="E452" s="35" t="str">
        <x:v>xsd:boolean</x:v>
      </x:c>
      <x:c r="F452" s="35" t="str"/>
      <x:c r="G452" s="38" t="str">
        <x:v>TRF-130</x:v>
      </x:c>
      <x:c r="H452" s="35" t="str">
        <x:v>Benchmark-coined descriptive engineering term</x:v>
      </x:c>
      <x:c r="I452" s="35" t="str">
        <x:v>N5 - component or subject first, followed by characteristic and qualifier/state; no unsupported external mapping</x:v>
      </x:c>
      <x:c r="J452" s="35" t="str">
        <x:v>REUSE_R2_TERM</x:v>
      </x:c>
    </x:row>
    <x:row r="453">
      <x:c r="A453" s="35" t="str">
        <x:v>iceAndSnowProtectionPresent</x:v>
      </x:c>
      <x:c r="B453" s="35" t="str">
        <x:v>https://w3id.org/nltl-benchmark/vocab#iceAndSnowProtectionPresent</x:v>
      </x:c>
      <x:c r="C453" s="35" t="str">
        <x:v>DatatypeProperty</x:v>
      </x:c>
      <x:c r="D453" s="35" t="str">
        <x:v>http://www.w3.org/2001/XMLSchema#boolean</x:v>
      </x:c>
      <x:c r="E453" s="35" t="str">
        <x:v>xsd:boolean</x:v>
      </x:c>
      <x:c r="F453" s="35" t="str"/>
      <x:c r="G453" s="38" t="str">
        <x:v>IMO-050</x:v>
      </x:c>
      <x:c r="H453" s="35" t="str">
        <x:v>Locked-workbook normalized regulatory term</x:v>
      </x:c>
      <x:c r="I453" s="35" t="str">
        <x:v>N4 - preserve the source concept; normalize spelling to ASCII lowerCamelCase</x:v>
      </x:c>
      <x:c r="J453" s="35" t="str">
        <x:v>REUSE_R2_TERM</x:v>
      </x:c>
    </x:row>
    <x:row r="454">
      <x:c r="A454" s="35" t="str">
        <x:v>iceBeltLowerLimit</x:v>
      </x:c>
      <x:c r="B454" s="35" t="str">
        <x:v>https://w3id.org/nltl-benchmark/vocab#iceBeltLowerLimit</x:v>
      </x:c>
      <x:c r="C454" s="35" t="str">
        <x:v>DatatypeProperty</x:v>
      </x:c>
      <x:c r="D454" s="35" t="str">
        <x:v>http://www.w3.org/2001/XMLSchema#string</x:v>
      </x:c>
      <x:c r="E454" s="35" t="str">
        <x:v>xsd:string</x:v>
      </x:c>
      <x:c r="F454" s="35" t="str"/>
      <x:c r="G454" s="38" t="str">
        <x:v>TRF-047</x:v>
      </x:c>
      <x:c r="H454" s="35" t="str">
        <x:v>Benchmark-coined descriptive engineering term</x:v>
      </x:c>
      <x:c r="I454" s="35" t="str">
        <x:v>N5 - component or subject first, followed by characteristic and qualifier/state; no unsupported external mapping</x:v>
      </x:c>
      <x:c r="J454" s="35" t="str">
        <x:v>REUSE_R2_TERM</x:v>
      </x:c>
    </x:row>
    <x:row r="455">
      <x:c r="A455" s="35" t="str">
        <x:v>iceBeltUpperLimit</x:v>
      </x:c>
      <x:c r="B455" s="35" t="str">
        <x:v>https://w3id.org/nltl-benchmark/vocab#iceBeltUpperLimit</x:v>
      </x:c>
      <x:c r="C455" s="35" t="str">
        <x:v>DatatypeProperty</x:v>
      </x:c>
      <x:c r="D455" s="35" t="str">
        <x:v>http://www.w3.org/2001/XMLSchema#string</x:v>
      </x:c>
      <x:c r="E455" s="35" t="str">
        <x:v>xsd:string</x:v>
      </x:c>
      <x:c r="F455" s="35" t="str"/>
      <x:c r="G455" s="38" t="str">
        <x:v>TRF-046</x:v>
      </x:c>
      <x:c r="H455" s="35" t="str">
        <x:v>Benchmark-coined descriptive engineering term</x:v>
      </x:c>
      <x:c r="I455" s="35" t="str">
        <x:v>N5 - component or subject first, followed by characteristic and qualifier/state; no unsupported external mapping</x:v>
      </x:c>
      <x:c r="J455" s="35" t="str">
        <x:v>REUSE_R2_TERM</x:v>
      </x:c>
    </x:row>
    <x:row r="456">
      <x:c r="A456" s="35" t="str">
        <x:v>iceBlock</x:v>
      </x:c>
      <x:c r="B456" s="35" t="str">
        <x:v>https://w3id.org/nltl-benchmark/vocab#iceBlock</x:v>
      </x:c>
      <x:c r="C456" s="35" t="str">
        <x:v>Class</x:v>
      </x:c>
      <x:c r="D456" s="35" t="str">
        <x:v>https://w3id.org/nltl-benchmark/vocab#benchmarkEntity</x:v>
      </x:c>
      <x:c r="E456" s="35" t="str"/>
      <x:c r="F456" s="35" t="str"/>
      <x:c r="G456" s="38" t="str">
        <x:v>TRF-075</x:v>
      </x:c>
      <x:c r="H456" s="35" t="str">
        <x:v>Benchmark-coined descriptive engineering term</x:v>
      </x:c>
      <x:c r="I456" s="35" t="str">
        <x:v>N5 - component or subject first, followed by characteristic and qualifier/state; no unsupported external mapping</x:v>
      </x:c>
      <x:c r="J456" s="35" t="str">
        <x:v>REUSE_R2_TERM</x:v>
      </x:c>
    </x:row>
    <x:row r="457">
      <x:c r="A457" s="35" t="str">
        <x:v>iceCapabilityMethodologyApplicable</x:v>
      </x:c>
      <x:c r="B457" s="35" t="str">
        <x:v>https://w3id.org/nltl-benchmark/vocab#iceCapabilityMethodologyApplicable</x:v>
      </x:c>
      <x:c r="C457" s="35" t="str">
        <x:v>DatatypeProperty</x:v>
      </x:c>
      <x:c r="D457" s="35" t="str">
        <x:v>http://www.w3.org/2001/XMLSchema#boolean</x:v>
      </x:c>
      <x:c r="E457" s="35" t="str">
        <x:v>xsd:boolean</x:v>
      </x:c>
      <x:c r="F457" s="35" t="str"/>
      <x:c r="G457" s="38" t="str">
        <x:v>IMO-018 | IMO-026</x:v>
      </x:c>
      <x:c r="H457" s="35" t="str">
        <x:v>Locked-workbook normalized regulatory term</x:v>
      </x:c>
      <x:c r="I457" s="35" t="str">
        <x:v>N4 - preserve the source concept; normalize spelling to ASCII lowerCamelCase</x:v>
      </x:c>
      <x:c r="J457" s="35" t="str">
        <x:v>REUSE_R2_TERM</x:v>
      </x:c>
    </x:row>
    <x:row r="458">
      <x:c r="A458" s="35" t="str">
        <x:v>iceClass</x:v>
      </x:c>
      <x:c r="B458" s="35" t="str">
        <x:v>https://w3id.org/nltl-benchmark/vocab#iceClass</x:v>
      </x:c>
      <x:c r="C458" s="35" t="str">
        <x:v>ObjectProperty</x:v>
      </x:c>
      <x:c r="D458" s="35" t="str">
        <x:v>https://w3id.org/nltl-benchmark/vocab#iceClassValue</x:v>
      </x:c>
      <x:c r="E458" s="35" t="str"/>
      <x:c r="F458" s="35" t="str"/>
      <x:c r="G458" s="38" t="str">
        <x:v>TRF-001 | TRF-002 | TRF-003 | TRF-004 | TRF-005 | TRF-006 | TRF-007 | TRF-009 | TRF-010 | TRF-013 | TRF-014 | TRF-018 | TRF-020 | TRF-023 | TRF-024 | TRF-025 | TRF-026 | TRF-036 | TRF-039 | TRF-040 | TRF-052 | TRF-066 | TRF-067 | TRF-069 | TRF-074 | TRF-121 | TRF-128 | TRF-132 | TRF-133</x:v>
      </x:c>
      <x:c r="H458" s="35" t="str">
        <x:v>Verified exact implementation term</x:v>
      </x:c>
      <x:c r="I458" s="35" t="str">
        <x:v>N1 - reuse only after exact URI and semantic-context verification</x:v>
      </x:c>
      <x:c r="J458" s="35" t="str">
        <x:v>REUSE_R2_TERM</x:v>
      </x:c>
    </x:row>
    <x:row r="459">
      <x:c r="A459" s="35" t="str">
        <x:v>iceClassDesignParameterSet</x:v>
      </x:c>
      <x:c r="B459" s="35" t="str">
        <x:v>https://w3id.org/nltl-benchmark/vocab#iceClassDesignParameterSet</x:v>
      </x:c>
      <x:c r="C459" s="35" t="str">
        <x:v>Class</x:v>
      </x:c>
      <x:c r="D459" s="35" t="str">
        <x:v>https://w3id.org/nltl-benchmark/vocab#benchmarkEntity</x:v>
      </x:c>
      <x:c r="E459" s="35" t="str"/>
      <x:c r="F459" s="35" t="str"/>
      <x:c r="G459" s="38" t="str">
        <x:v>TRF-036</x:v>
      </x:c>
      <x:c r="H459" s="35" t="str">
        <x:v>Applicable TRAFICOM regulation wording plus explicit engineering node/operand role</x:v>
      </x:c>
      <x:c r="I459" s="35" t="str">
        <x:v>N4 - singular ASCII lowerCamelCase entity name derived from the linked regulatory role.</x:v>
      </x:c>
      <x:c r="J459" s="35" t="str">
        <x:v>ADD_DEVELOPMENT_TERM</x:v>
      </x:c>
    </x:row>
    <x:row r="460">
      <x:c r="A460" s="35" t="str">
        <x:v>iceClassDraught</x:v>
      </x:c>
      <x:c r="B460" s="35" t="str">
        <x:v>https://w3id.org/nltl-benchmark/vocab#iceClassDraught</x:v>
      </x:c>
      <x:c r="C460" s="35" t="str">
        <x:v>QuantityProperty</x:v>
      </x:c>
      <x:c r="D460" s="35" t="str">
        <x:v>http://qudt.org/schema/qudt/QuantityValue</x:v>
      </x:c>
      <x:c r="E460" s="35" t="str"/>
      <x:c r="F460" s="35" t="str">
        <x:v>m</x:v>
      </x:c>
      <x:c r="G460" s="38" t="str">
        <x:v>TRF-027</x:v>
      </x:c>
      <x:c r="H460" s="35" t="str">
        <x:v>Benchmark-coined descriptive engineering term</x:v>
      </x:c>
      <x:c r="I460" s="35" t="str">
        <x:v>N5 - component or subject first, followed by characteristic and qualifier/state; no unsupported external mapping</x:v>
      </x:c>
      <x:c r="J460" s="35" t="str">
        <x:v>REUSE_R2_TERM</x:v>
      </x:c>
    </x:row>
    <x:row r="461">
      <x:c r="A461" s="35" t="str">
        <x:v>iceClassDraughtChapter2Provision2021</x:v>
      </x:c>
      <x:c r="B461" s="35" t="str">
        <x:v>https://w3id.org/nltl-benchmark/vocab#iceClassDraughtChapter2Provision2021</x:v>
      </x:c>
      <x:c r="C461" s="35" t="str">
        <x:v>NamedIndividual</x:v>
      </x:c>
      <x:c r="D461" s="35" t="str">
        <x:v>https://w3id.org/nltl-benchmark/vocab#iceClassRegulatoryProvisionValue</x:v>
      </x:c>
      <x:c r="E461" s="35" t="str"/>
      <x:c r="F461" s="35" t="str"/>
      <x:c r="G461" s="38" t="str">
        <x:v>TRF-001</x:v>
      </x:c>
      <x:c r="H461" s="35" t="str">
        <x:v>Applicable TRAFICOM regulation wording plus explicit engineering node/operand role</x:v>
      </x:c>
      <x:c r="I461" s="35" t="str">
        <x:v>N6 - concise ASCII lowerCamelCase controlled-value name grounded in the linked regulation.</x:v>
      </x:c>
      <x:c r="J461" s="35" t="str">
        <x:v>ADD_DEVELOPMENT_TERM</x:v>
      </x:c>
    </x:row>
    <x:row r="462">
      <x:c r="A462" s="35" t="str">
        <x:v>iceClassDraughtMarkDraughtAmidships</x:v>
      </x:c>
      <x:c r="B462" s="35" t="str">
        <x:v>https://w3id.org/nltl-benchmark/vocab#iceClassDraughtMarkDraughtAmidships</x:v>
      </x:c>
      <x:c r="C462" s="35" t="str">
        <x:v>QuantityProperty</x:v>
      </x:c>
      <x:c r="D462" s="35" t="str">
        <x:v>http://qudt.org/schema/qudt/QuantityValue</x:v>
      </x:c>
      <x:c r="E462" s="35" t="str"/>
      <x:c r="F462" s="35" t="str">
        <x:v>m</x:v>
      </x:c>
      <x:c r="G462" s="38" t="str">
        <x:v>TRF-014</x:v>
      </x:c>
      <x:c r="H462" s="35" t="str">
        <x:v>Applicable TRAFICOM regulation wording plus explicit engineering node/operand role</x:v>
      </x:c>
      <x:c r="I462" s="35" t="str">
        <x:v>N4 - explicit engineering quantity in ASCII lowerCamelCase; formula symbols remain aliases only.</x:v>
      </x:c>
      <x:c r="J462" s="35" t="str">
        <x:v>ADD_DEVELOPMENT_TERM</x:v>
      </x:c>
    </x:row>
    <x:row r="463">
      <x:c r="A463" s="35" t="str">
        <x:v>iceClassDraughtMarkPresent</x:v>
      </x:c>
      <x:c r="B463" s="35" t="str">
        <x:v>https://w3id.org/nltl-benchmark/vocab#iceClassDraughtMarkPresent</x:v>
      </x:c>
      <x:c r="C463" s="35" t="str">
        <x:v>DatatypeProperty</x:v>
      </x:c>
      <x:c r="D463" s="35" t="str">
        <x:v>http://www.w3.org/2001/XMLSchema#boolean</x:v>
      </x:c>
      <x:c r="E463" s="35" t="str">
        <x:v>xsd:boolean</x:v>
      </x:c>
      <x:c r="F463" s="35" t="str"/>
      <x:c r="G463" s="38" t="str">
        <x:v>TRF-014</x:v>
      </x:c>
      <x:c r="H463" s="35" t="str">
        <x:v>Applicable TRAFICOM regulation wording plus explicit engineering node/operand role</x:v>
      </x:c>
      <x:c r="I463" s="35" t="str">
        <x:v>N4 - explicit regulatory concept in ASCII lowerCamelCase with an XSD datatype.</x:v>
      </x:c>
      <x:c r="J463" s="35" t="str">
        <x:v>ADD_DEVELOPMENT_TERM</x:v>
      </x:c>
    </x:row>
    <x:row r="464">
      <x:c r="A464" s="35" t="str">
        <x:v>iceClassFactorCp</x:v>
      </x:c>
      <x:c r="B464" s="35" t="str">
        <x:v>https://w3id.org/nltl-benchmark/vocab#iceClassFactorCp</x:v>
      </x:c>
      <x:c r="C464" s="35" t="str">
        <x:v>QuantityProperty</x:v>
      </x:c>
      <x:c r="D464" s="35" t="str">
        <x:v>http://qudt.org/schema/qudt/QuantityValue</x:v>
      </x:c>
      <x:c r="E464" s="35" t="str"/>
      <x:c r="F464" s="35" t="str">
        <x:v>1</x:v>
      </x:c>
      <x:c r="G464" s="38" t="str">
        <x:v>TRF-037</x:v>
      </x:c>
      <x:c r="H464" s="35" t="str">
        <x:v>Applicable TRAFICOM regulation wording plus explicit engineering node/operand role</x:v>
      </x:c>
      <x:c r="I464" s="35" t="str">
        <x:v>N4 - explicit engineering quantity in ASCII lowerCamelCase; formula symbols remain aliases only.</x:v>
      </x:c>
      <x:c r="J464" s="35" t="str">
        <x:v>ADD_DEVELOPMENT_TERM</x:v>
      </x:c>
    </x:row>
    <x:row r="465">
      <x:c r="A465" s="35" t="str">
        <x:v>iceClassRegulationEdition2002</x:v>
      </x:c>
      <x:c r="B465" s="35" t="str">
        <x:v>https://w3id.org/nltl-benchmark/vocab#iceClassRegulationEdition2002</x:v>
      </x:c>
      <x:c r="C465" s="35" t="str">
        <x:v>NamedIndividual</x:v>
      </x:c>
      <x:c r="D465" s="35" t="str">
        <x:v>https://w3id.org/nltl-benchmark/vocab#iceClassRegulationEditionValue</x:v>
      </x:c>
      <x:c r="E465" s="35" t="str"/>
      <x:c r="F465" s="35" t="str"/>
      <x:c r="G465" s="38" t="str">
        <x:v>TRF-005</x:v>
      </x:c>
      <x:c r="H465" s="35" t="str">
        <x:v>Applicable TRAFICOM regulation wording plus explicit engineering node/operand role</x:v>
      </x:c>
      <x:c r="I465" s="35" t="str">
        <x:v>N6 - concise ASCII lowerCamelCase controlled-value name grounded in the linked regulation.</x:v>
      </x:c>
      <x:c r="J465" s="35" t="str">
        <x:v>ADD_DEVELOPMENT_TERM</x:v>
      </x:c>
    </x:row>
    <x:row r="466">
      <x:c r="A466" s="35" t="str">
        <x:v>iceClassRegulationEdition2008</x:v>
      </x:c>
      <x:c r="B466" s="35" t="str">
        <x:v>https://w3id.org/nltl-benchmark/vocab#iceClassRegulationEdition2008</x:v>
      </x:c>
      <x:c r="C466" s="35" t="str">
        <x:v>NamedIndividual</x:v>
      </x:c>
      <x:c r="D466" s="35" t="str">
        <x:v>https://w3id.org/nltl-benchmark/vocab#iceClassRegulationEditionValue</x:v>
      </x:c>
      <x:c r="E466" s="35" t="str"/>
      <x:c r="F466" s="35" t="str"/>
      <x:c r="G466" s="38" t="str">
        <x:v>TRF-004 | TRF-006</x:v>
      </x:c>
      <x:c r="H466" s="35" t="str">
        <x:v>Applicable TRAFICOM regulation wording plus explicit engineering node/operand role</x:v>
      </x:c>
      <x:c r="I466" s="35" t="str">
        <x:v>N6 - concise ASCII lowerCamelCase controlled-value name grounded in the linked regulation.</x:v>
      </x:c>
      <x:c r="J466" s="35" t="str">
        <x:v>ADD_DEVELOPMENT_TERM</x:v>
      </x:c>
    </x:row>
    <x:row r="467">
      <x:c r="A467" s="35" t="str">
        <x:v>iceClassRegulationEdition2010</x:v>
      </x:c>
      <x:c r="B467" s="35" t="str">
        <x:v>https://w3id.org/nltl-benchmark/vocab#iceClassRegulationEdition2010</x:v>
      </x:c>
      <x:c r="C467" s="35" t="str">
        <x:v>NamedIndividual</x:v>
      </x:c>
      <x:c r="D467" s="35" t="str">
        <x:v>https://w3id.org/nltl-benchmark/vocab#iceClassRegulationEditionValue</x:v>
      </x:c>
      <x:c r="E467" s="35" t="str"/>
      <x:c r="F467" s="35" t="str"/>
      <x:c r="G467" s="38" t="str">
        <x:v>TRF-003</x:v>
      </x:c>
      <x:c r="H467" s="35" t="str">
        <x:v>Applicable TRAFICOM regulation wording plus explicit engineering node/operand role</x:v>
      </x:c>
      <x:c r="I467" s="35" t="str">
        <x:v>N6 - concise ASCII lowerCamelCase controlled-value name grounded in the linked regulation.</x:v>
      </x:c>
      <x:c r="J467" s="35" t="str">
        <x:v>ADD_DEVELOPMENT_TERM</x:v>
      </x:c>
    </x:row>
    <x:row r="468">
      <x:c r="A468" s="35" t="str">
        <x:v>iceClassRegulationEdition2017</x:v>
      </x:c>
      <x:c r="B468" s="35" t="str">
        <x:v>https://w3id.org/nltl-benchmark/vocab#iceClassRegulationEdition2017</x:v>
      </x:c>
      <x:c r="C468" s="35" t="str">
        <x:v>NamedIndividual</x:v>
      </x:c>
      <x:c r="D468" s="35" t="str">
        <x:v>https://w3id.org/nltl-benchmark/vocab#iceClassRegulationEditionValue</x:v>
      </x:c>
      <x:c r="E468" s="35" t="str"/>
      <x:c r="F468" s="35" t="str"/>
      <x:c r="G468" s="38" t="str">
        <x:v>TRF-002</x:v>
      </x:c>
      <x:c r="H468" s="35" t="str">
        <x:v>Applicable TRAFICOM regulation wording plus explicit engineering node/operand role</x:v>
      </x:c>
      <x:c r="I468" s="35" t="str">
        <x:v>N6 - concise ASCII lowerCamelCase controlled-value name grounded in the linked regulation.</x:v>
      </x:c>
      <x:c r="J468" s="35" t="str">
        <x:v>ADD_DEVELOPMENT_TERM</x:v>
      </x:c>
    </x:row>
    <x:row r="469">
      <x:c r="A469" s="35" t="str">
        <x:v>iceClassRegulationEdition2021</x:v>
      </x:c>
      <x:c r="B469" s="35" t="str">
        <x:v>https://w3id.org/nltl-benchmark/vocab#iceClassRegulationEdition2021</x:v>
      </x:c>
      <x:c r="C469" s="35" t="str">
        <x:v>NamedIndividual</x:v>
      </x:c>
      <x:c r="D469" s="35" t="str">
        <x:v>https://w3id.org/nltl-benchmark/vocab#iceClassRegulationEditionValue</x:v>
      </x:c>
      <x:c r="E469" s="35" t="str"/>
      <x:c r="F469" s="35" t="str"/>
      <x:c r="G469" s="38" t="str">
        <x:v>TRF-001</x:v>
      </x:c>
      <x:c r="H469" s="35" t="str">
        <x:v>Applicable TRAFICOM regulation wording plus explicit engineering node/operand role</x:v>
      </x:c>
      <x:c r="I469" s="35" t="str">
        <x:v>N6 - concise ASCII lowerCamelCase controlled-value name grounded in the linked regulation.</x:v>
      </x:c>
      <x:c r="J469" s="35" t="str">
        <x:v>ADD_DEVELOPMENT_TERM</x:v>
      </x:c>
    </x:row>
    <x:row r="470">
      <x:c r="A470" s="35" t="str">
        <x:v>iceClassRegulationEditionValue</x:v>
      </x:c>
      <x:c r="B470" s="35" t="str">
        <x:v>https://w3id.org/nltl-benchmark/vocab#iceClassRegulationEditionValue</x:v>
      </x:c>
      <x:c r="C470" s="35" t="str">
        <x:v>Class</x:v>
      </x:c>
      <x:c r="D470" s="35" t="str">
        <x:v>https://w3id.org/nltl-benchmark/vocab#benchmarkEntity</x:v>
      </x:c>
      <x:c r="E470" s="35" t="str"/>
      <x:c r="F470" s="35" t="str"/>
      <x:c r="G470" s="38" t="str">
        <x:v>TRF-001 | TRF-002 | TRF-003 | TRF-004 | TRF-005 | TRF-006 | TRF-023</x:v>
      </x:c>
      <x:c r="H470" s="35" t="str">
        <x:v>Applicable TRAFICOM regulation wording plus explicit engineering node/operand role</x:v>
      </x:c>
      <x:c r="I470" s="35" t="str">
        <x:v>N4 - singular ASCII lowerCamelCase entity name derived from the linked regulatory role.</x:v>
      </x:c>
      <x:c r="J470" s="35" t="str">
        <x:v>ADD_DEVELOPMENT_TERM</x:v>
      </x:c>
    </x:row>
    <x:row r="471">
      <x:c r="A471" s="35" t="str">
        <x:v>iceClassRegulatoryProvisionValue</x:v>
      </x:c>
      <x:c r="B471" s="35" t="str">
        <x:v>https://w3id.org/nltl-benchmark/vocab#iceClassRegulatoryProvisionValue</x:v>
      </x:c>
      <x:c r="C471" s="35" t="str">
        <x:v>Class</x:v>
      </x:c>
      <x:c r="D471" s="35" t="str">
        <x:v>https://w3id.org/nltl-benchmark/vocab#benchmarkEntity</x:v>
      </x:c>
      <x:c r="E471" s="35" t="str"/>
      <x:c r="F471" s="35" t="str"/>
      <x:c r="G471" s="38" t="str">
        <x:v>TRF-001</x:v>
      </x:c>
      <x:c r="H471" s="35" t="str">
        <x:v>Applicable TRAFICOM regulation wording plus explicit engineering node/operand role</x:v>
      </x:c>
      <x:c r="I471" s="35" t="str">
        <x:v>N4 - singular ASCII lowerCamelCase entity name derived from the linked regulatory role.</x:v>
      </x:c>
      <x:c r="J471" s="35" t="str">
        <x:v>ADD_DEVELOPMENT_TERM</x:v>
      </x:c>
    </x:row>
    <x:row r="472">
      <x:c r="A472" s="35" t="str">
        <x:v>iceClassRuleEdition1985</x:v>
      </x:c>
      <x:c r="B472" s="35" t="str">
        <x:v>https://w3id.org/nltl-benchmark/vocab#iceClassRuleEdition1985</x:v>
      </x:c>
      <x:c r="C472" s="35" t="str">
        <x:v>NamedIndividual</x:v>
      </x:c>
      <x:c r="D472" s="35" t="str">
        <x:v>https://w3id.org/nltl-benchmark/vocab#iceClassRegulationEditionValue</x:v>
      </x:c>
      <x:c r="E472" s="35" t="str"/>
      <x:c r="F472" s="35" t="str"/>
      <x:c r="G472" s="38" t="str">
        <x:v>TRF-006 | TRF-023</x:v>
      </x:c>
      <x:c r="H472" s="35" t="str">
        <x:v>Applicable TRAFICOM regulation wording plus explicit engineering node/operand role</x:v>
      </x:c>
      <x:c r="I472" s="35" t="str">
        <x:v>N6 - concise ASCII lowerCamelCase controlled-value name grounded in the linked regulation.</x:v>
      </x:c>
      <x:c r="J472" s="35" t="str">
        <x:v>ADD_DEVELOPMENT_TERM</x:v>
      </x:c>
    </x:row>
    <x:row r="473">
      <x:c r="A473" s="35" t="str">
        <x:v>iceClassSection1Point8Provision2021</x:v>
      </x:c>
      <x:c r="B473" s="35" t="str">
        <x:v>https://w3id.org/nltl-benchmark/vocab#iceClassSection1Point8Provision2021</x:v>
      </x:c>
      <x:c r="C473" s="35" t="str">
        <x:v>NamedIndividual</x:v>
      </x:c>
      <x:c r="D473" s="35" t="str">
        <x:v>https://w3id.org/nltl-benchmark/vocab#iceClassRegulatoryProvisionValue</x:v>
      </x:c>
      <x:c r="E473" s="35" t="str"/>
      <x:c r="F473" s="35" t="str"/>
      <x:c r="G473" s="38" t="str">
        <x:v>TRF-001</x:v>
      </x:c>
      <x:c r="H473" s="35" t="str">
        <x:v>Applicable TRAFICOM regulation wording plus explicit engineering node/operand role</x:v>
      </x:c>
      <x:c r="I473" s="35" t="str">
        <x:v>N6 - concise ASCII lowerCamelCase controlled-value name grounded in the linked regulation.</x:v>
      </x:c>
      <x:c r="J473" s="35" t="str">
        <x:v>ADD_DEVELOPMENT_TERM</x:v>
      </x:c>
    </x:row>
    <x:row r="474">
      <x:c r="A474" s="35" t="str">
        <x:v>iceConcentration</x:v>
      </x:c>
      <x:c r="B474" s="35" t="str">
        <x:v>https://w3id.org/nltl-benchmark/vocab#iceConcentration</x:v>
      </x:c>
      <x:c r="C474" s="35" t="str">
        <x:v>QuantityProperty</x:v>
      </x:c>
      <x:c r="D474" s="35" t="str">
        <x:v>http://qudt.org/schema/qudt/QuantityValue</x:v>
      </x:c>
      <x:c r="E474" s="35" t="str"/>
      <x:c r="F474" s="35" t="str">
        <x:v>1</x:v>
      </x:c>
      <x:c r="G474" s="38" t="str">
        <x:v>IMO-103 | IMO-115 | IMO-116 | IMO-119 | IMO-120 | IMO-124</x:v>
      </x:c>
      <x:c r="H474" s="35" t="str">
        <x:v>Unit-stripped normalized regulatory variable</x:v>
      </x:c>
      <x:c r="I474" s="35" t="str">
        <x:v>N3 - remove unit from the identifier and retain it in unit/quantity metadata</x:v>
      </x:c>
      <x:c r="J474" s="35" t="str">
        <x:v>REUSE_R2_TERM</x:v>
      </x:c>
    </x:row>
    <x:row r="475">
      <x:c r="A475" s="35" t="str">
        <x:v>iceCondition</x:v>
      </x:c>
      <x:c r="B475" s="35" t="str">
        <x:v>https://w3id.org/nltl-benchmark/vocab#iceCondition</x:v>
      </x:c>
      <x:c r="C475" s="35" t="str">
        <x:v>DatatypeProperty</x:v>
      </x:c>
      <x:c r="D475" s="35" t="str">
        <x:v>http://www.w3.org/2001/XMLSchema#string</x:v>
      </x:c>
      <x:c r="E475" s="35" t="str">
        <x:v>xsd:string</x:v>
      </x:c>
      <x:c r="F475" s="35" t="str"/>
      <x:c r="G475" s="38" t="str">
        <x:v>IMO-005 | IMO-007 | IMO-009 | IMO-102 | IMO-103</x:v>
      </x:c>
      <x:c r="H475" s="35" t="str">
        <x:v>Locked-workbook normalized regulatory term</x:v>
      </x:c>
      <x:c r="I475" s="35" t="str">
        <x:v>N4 - preserve the source concept; normalize spelling to ASCII lowerCamelCase</x:v>
      </x:c>
      <x:c r="J475" s="35" t="str">
        <x:v>REUSE_R2_TERM</x:v>
      </x:c>
    </x:row>
    <x:row r="476">
      <x:c r="A476" s="35" t="str">
        <x:v>iceDraughtRestrictionDocument</x:v>
      </x:c>
      <x:c r="B476" s="35" t="str">
        <x:v>https://w3id.org/nltl-benchmark/vocab#iceDraughtRestrictionDocument</x:v>
      </x:c>
      <x:c r="C476" s="35" t="str">
        <x:v>Class</x:v>
      </x:c>
      <x:c r="D476" s="35" t="str">
        <x:v>https://w3id.org/nltl-benchmark/vocab#documentArtifact</x:v>
      </x:c>
      <x:c r="E476" s="35" t="str"/>
      <x:c r="F476" s="35" t="str"/>
      <x:c r="G476" s="38" t="str">
        <x:v>TRF-014</x:v>
      </x:c>
      <x:c r="H476" s="35" t="str">
        <x:v>Applicable TRAFICOM regulation wording plus explicit engineering node/operand role</x:v>
      </x:c>
      <x:c r="I476" s="35" t="str">
        <x:v>N4 - singular ASCII lowerCamelCase entity name derived from the linked regulatory role.</x:v>
      </x:c>
      <x:c r="J476" s="35" t="str">
        <x:v>ADD_DEVELOPMENT_TERM</x:v>
      </x:c>
    </x:row>
    <x:row r="477">
      <x:c r="A477" s="35" t="str">
        <x:v>iceEngineExcitationPhaseAngle</x:v>
      </x:c>
      <x:c r="B477" s="35" t="str">
        <x:v>https://w3id.org/nltl-benchmark/vocab#iceEngineExcitationPhaseAngle</x:v>
      </x:c>
      <x:c r="C477" s="35" t="str">
        <x:v>QuantityProperty</x:v>
      </x:c>
      <x:c r="D477" s="35" t="str">
        <x:v>http://qudt.org/schema/qudt/QuantityValue</x:v>
      </x:c>
      <x:c r="E477" s="35" t="str"/>
      <x:c r="F477" s="35" t="str">
        <x:v>deg</x:v>
      </x:c>
      <x:c r="G477" s="38" t="str">
        <x:v>TRF-093</x:v>
      </x:c>
      <x:c r="H477" s="35" t="str">
        <x:v>Benchmark-coined descriptive engineering term</x:v>
      </x:c>
      <x:c r="I477" s="35" t="str">
        <x:v>N5 - component or subject first, followed by characteristic and qualifier/state; no unsupported external mapping</x:v>
      </x:c>
      <x:c r="J477" s="35" t="str">
        <x:v>REUSE_R2_TERM</x:v>
      </x:c>
    </x:row>
    <x:row r="478">
      <x:c r="A478" s="35" t="str">
        <x:v>iceForce</x:v>
      </x:c>
      <x:c r="B478" s="35" t="str">
        <x:v>https://w3id.org/nltl-benchmark/vocab#iceForce</x:v>
      </x:c>
      <x:c r="C478" s="35" t="str">
        <x:v>QuantityProperty</x:v>
      </x:c>
      <x:c r="D478" s="35" t="str">
        <x:v>http://qudt.org/schema/qudt/QuantityValue</x:v>
      </x:c>
      <x:c r="E478" s="35" t="str"/>
      <x:c r="F478" s="35" t="str">
        <x:v>kN</x:v>
      </x:c>
      <x:c r="G478" s="38" t="str">
        <x:v>I2-018</x:v>
      </x:c>
      <x:c r="H478" s="35" t="str">
        <x:v>Benchmark-coined descriptive engineering term</x:v>
      </x:c>
      <x:c r="I478" s="35" t="str">
        <x:v>N5 - component or subject first, followed by characteristic and qualifier/state; no unsupported external mapping</x:v>
      </x:c>
      <x:c r="J478" s="35" t="str">
        <x:v>REUSE_R2_TERM</x:v>
      </x:c>
    </x:row>
    <x:row r="479">
      <x:c r="A479" s="35" t="str">
        <x:v>iceInformationDisplayPresent</x:v>
      </x:c>
      <x:c r="B479" s="35" t="str">
        <x:v>https://w3id.org/nltl-benchmark/vocab#iceInformationDisplayPresent</x:v>
      </x:c>
      <x:c r="C479" s="35" t="str">
        <x:v>DatatypeProperty</x:v>
      </x:c>
      <x:c r="D479" s="35" t="str">
        <x:v>http://www.w3.org/2001/XMLSchema#boolean</x:v>
      </x:c>
      <x:c r="E479" s="35" t="str">
        <x:v>xsd:boolean</x:v>
      </x:c>
      <x:c r="F479" s="35" t="str"/>
      <x:c r="G479" s="38" t="str">
        <x:v>IMO-080 | IMO26-006</x:v>
      </x:c>
      <x:c r="H479" s="35" t="str">
        <x:v>Locked-workbook normalized regulatory term</x:v>
      </x:c>
      <x:c r="I479" s="35" t="str">
        <x:v>N4 - preserve the source concept; normalize spelling to ASCII lowerCamelCase</x:v>
      </x:c>
      <x:c r="J479" s="35" t="str">
        <x:v>REUSE_R2_TERM</x:v>
      </x:c>
    </x:row>
    <x:row r="480">
      <x:c r="A480" s="35" t="str">
        <x:v>iceInformationReceiverPresent</x:v>
      </x:c>
      <x:c r="B480" s="35" t="str">
        <x:v>https://w3id.org/nltl-benchmark/vocab#iceInformationReceiverPresent</x:v>
      </x:c>
      <x:c r="C480" s="35" t="str">
        <x:v>DatatypeProperty</x:v>
      </x:c>
      <x:c r="D480" s="35" t="str">
        <x:v>http://www.w3.org/2001/XMLSchema#boolean</x:v>
      </x:c>
      <x:c r="E480" s="35" t="str">
        <x:v>xsd:boolean</x:v>
      </x:c>
      <x:c r="F480" s="35" t="str"/>
      <x:c r="G480" s="38" t="str">
        <x:v>IMO-080 | IMO26-006</x:v>
      </x:c>
      <x:c r="H480" s="35" t="str">
        <x:v>Locked-workbook normalized regulatory term</x:v>
      </x:c>
      <x:c r="I480" s="35" t="str">
        <x:v>N4 - preserve the source concept; normalize spelling to ASCII lowerCamelCase</x:v>
      </x:c>
      <x:c r="J480" s="35" t="str">
        <x:v>REUSE_R2_TERM</x:v>
      </x:c>
    </x:row>
    <x:row r="481">
      <x:c r="A481" s="35" t="str">
        <x:v>iceIngestionPreventionPresent</x:v>
      </x:c>
      <x:c r="B481" s="35" t="str">
        <x:v>https://w3id.org/nltl-benchmark/vocab#iceIngestionPreventionPresent</x:v>
      </x:c>
      <x:c r="C481" s="35" t="str">
        <x:v>DatatypeProperty</x:v>
      </x:c>
      <x:c r="D481" s="35" t="str">
        <x:v>http://www.w3.org/2001/XMLSchema#boolean</x:v>
      </x:c>
      <x:c r="E481" s="35" t="str">
        <x:v>xsd:boolean</x:v>
      </x:c>
      <x:c r="F481" s="35" t="str"/>
      <x:c r="G481" s="38" t="str">
        <x:v>IMO-045</x:v>
      </x:c>
      <x:c r="H481" s="35" t="str">
        <x:v>Locked-workbook normalized regulatory term</x:v>
      </x:c>
      <x:c r="I481" s="35" t="str">
        <x:v>N4 - preserve the source concept; normalize spelling to ASCII lowerCamelCase</x:v>
      </x:c>
      <x:c r="J481" s="35" t="str">
        <x:v>REUSE_R2_TERM</x:v>
      </x:c>
    </x:row>
    <x:row r="482">
      <x:c r="A482" s="35" t="str">
        <x:v>iceLoadAreaFactorCa</x:v>
      </x:c>
      <x:c r="B482" s="35" t="str">
        <x:v>https://w3id.org/nltl-benchmark/vocab#iceLoadAreaFactorCa</x:v>
      </x:c>
      <x:c r="C482" s="35" t="str">
        <x:v>QuantityProperty</x:v>
      </x:c>
      <x:c r="D482" s="35" t="str">
        <x:v>http://qudt.org/schema/qudt/QuantityValue</x:v>
      </x:c>
      <x:c r="E482" s="35" t="str"/>
      <x:c r="F482" s="35" t="str">
        <x:v>1</x:v>
      </x:c>
      <x:c r="G482" s="38" t="str">
        <x:v>TRF-030 | TRF-037</x:v>
      </x:c>
      <x:c r="H482" s="35" t="str">
        <x:v>Applicable TRAFICOM regulation wording plus explicit engineering node/operand role</x:v>
      </x:c>
      <x:c r="I482" s="35" t="str">
        <x:v>N4 - explicit engineering quantity in ASCII lowerCamelCase; formula symbols remain aliases only.</x:v>
      </x:c>
      <x:c r="J482" s="35" t="str">
        <x:v>ADD_DEVELOPMENT_TERM</x:v>
      </x:c>
    </x:row>
    <x:row r="483">
      <x:c r="A483" s="35" t="str">
        <x:v>iceLoadCycleCoefficientK1</x:v>
      </x:c>
      <x:c r="B483" s="35" t="str">
        <x:v>https://w3id.org/nltl-benchmark/vocab#iceLoadCycleCoefficientK1</x:v>
      </x:c>
      <x:c r="C483" s="35" t="str">
        <x:v>QuantityProperty</x:v>
      </x:c>
      <x:c r="D483" s="35" t="str">
        <x:v>http://qudt.org/schema/qudt/QuantityValue</x:v>
      </x:c>
      <x:c r="E483" s="35" t="str"/>
      <x:c r="F483" s="35" t="str">
        <x:v>1</x:v>
      </x:c>
      <x:c r="G483" s="38" t="str">
        <x:v>TRF-078</x:v>
      </x:c>
      <x:c r="H483" s="35" t="str">
        <x:v>Locked-workbook normalized regulatory term</x:v>
      </x:c>
      <x:c r="I483" s="35" t="str">
        <x:v>N4 - preserve the source concept; normalize spelling to ASCII lowerCamelCase</x:v>
      </x:c>
      <x:c r="J483" s="35" t="str">
        <x:v>REUSE_R2_TERM</x:v>
      </x:c>
    </x:row>
    <x:row r="484">
      <x:c r="A484" s="35" t="str">
        <x:v>iceLoadCycleCoefficientK2</x:v>
      </x:c>
      <x:c r="B484" s="35" t="str">
        <x:v>https://w3id.org/nltl-benchmark/vocab#iceLoadCycleCoefficientK2</x:v>
      </x:c>
      <x:c r="C484" s="35" t="str">
        <x:v>QuantityProperty</x:v>
      </x:c>
      <x:c r="D484" s="35" t="str">
        <x:v>http://qudt.org/schema/qudt/QuantityValue</x:v>
      </x:c>
      <x:c r="E484" s="35" t="str"/>
      <x:c r="F484" s="35" t="str">
        <x:v>1</x:v>
      </x:c>
      <x:c r="G484" s="38" t="str">
        <x:v>TRF-078 | TRF-079</x:v>
      </x:c>
      <x:c r="H484" s="35" t="str">
        <x:v>Locked-workbook normalized regulatory term</x:v>
      </x:c>
      <x:c r="I484" s="35" t="str">
        <x:v>N4 - preserve the source concept; normalize spelling to ASCII lowerCamelCase</x:v>
      </x:c>
      <x:c r="J484" s="35" t="str">
        <x:v>REUSE_R2_TERM</x:v>
      </x:c>
    </x:row>
    <x:row r="485">
      <x:c r="A485" s="35" t="str">
        <x:v>iceLoadCycleCoefficientK3</x:v>
      </x:c>
      <x:c r="B485" s="35" t="str">
        <x:v>https://w3id.org/nltl-benchmark/vocab#iceLoadCycleCoefficientK3</x:v>
      </x:c>
      <x:c r="C485" s="35" t="str">
        <x:v>QuantityProperty</x:v>
      </x:c>
      <x:c r="D485" s="35" t="str">
        <x:v>http://qudt.org/schema/qudt/QuantityValue</x:v>
      </x:c>
      <x:c r="E485" s="35" t="str"/>
      <x:c r="F485" s="35" t="str">
        <x:v>1</x:v>
      </x:c>
      <x:c r="G485" s="38" t="str">
        <x:v>TRF-078</x:v>
      </x:c>
      <x:c r="H485" s="35" t="str">
        <x:v>Locked-workbook normalized regulatory term</x:v>
      </x:c>
      <x:c r="I485" s="35" t="str">
        <x:v>N4 - preserve the source concept; normalize spelling to ASCII lowerCamelCase</x:v>
      </x:c>
      <x:c r="J485" s="35" t="str">
        <x:v>REUSE_R2_TERM</x:v>
      </x:c>
    </x:row>
    <x:row r="486">
      <x:c r="A486" s="35" t="str">
        <x:v>iceLoadCycleCount</x:v>
      </x:c>
      <x:c r="B486" s="35" t="str">
        <x:v>https://w3id.org/nltl-benchmark/vocab#iceLoadCycleCount</x:v>
      </x:c>
      <x:c r="C486" s="35" t="str">
        <x:v>DatatypeProperty</x:v>
      </x:c>
      <x:c r="D486" s="35" t="str">
        <x:v>http://www.w3.org/2001/XMLSchema#integer</x:v>
      </x:c>
      <x:c r="E486" s="35" t="str">
        <x:v>xsd:integer</x:v>
      </x:c>
      <x:c r="F486" s="35" t="str"/>
      <x:c r="G486" s="38" t="str">
        <x:v>TRF-077 | TRF-078 | TRF-080 | TRF-109</x:v>
      </x:c>
      <x:c r="H486" s="35" t="str">
        <x:v>Locked-workbook normalized regulatory term</x:v>
      </x:c>
      <x:c r="I486" s="35" t="str">
        <x:v>N4 - preserve the source concept; normalize spelling to ASCII lowerCamelCase</x:v>
      </x:c>
      <x:c r="J486" s="35" t="str">
        <x:v>REUSE_R2_TERM</x:v>
      </x:c>
    </x:row>
    <x:row r="487">
      <x:c r="A487" s="35" t="str">
        <x:v>iceLoadForce</x:v>
      </x:c>
      <x:c r="B487" s="35" t="str">
        <x:v>https://w3id.org/nltl-benchmark/vocab#iceLoadForce</x:v>
      </x:c>
      <x:c r="C487" s="35" t="str">
        <x:v>QuantityProperty</x:v>
      </x:c>
      <x:c r="D487" s="35" t="str">
        <x:v>http://qudt.org/schema/qudt/QuantityValue</x:v>
      </x:c>
      <x:c r="E487" s="35" t="str"/>
      <x:c r="F487" s="35" t="str">
        <x:v>kN</x:v>
      </x:c>
      <x:c r="G487" s="38" t="str">
        <x:v>TRF-058</x:v>
      </x:c>
      <x:c r="H487" s="35" t="str">
        <x:v>Benchmark-coined descriptive engineering term</x:v>
      </x:c>
      <x:c r="I487" s="35" t="str">
        <x:v>N5 - component or subject first, followed by characteristic and qualifier/state; no unsupported external mapping</x:v>
      </x:c>
      <x:c r="J487" s="35" t="str">
        <x:v>REUSE_R2_TERM</x:v>
      </x:c>
    </x:row>
    <x:row r="488">
      <x:c r="A488" s="35" t="str">
        <x:v>iceLoadHeight</x:v>
      </x:c>
      <x:c r="B488" s="35" t="str">
        <x:v>https://w3id.org/nltl-benchmark/vocab#iceLoadHeight</x:v>
      </x:c>
      <x:c r="C488" s="35" t="str">
        <x:v>QuantityProperty</x:v>
      </x:c>
      <x:c r="D488" s="35" t="str">
        <x:v>http://qudt.org/schema/qudt/QuantityValue</x:v>
      </x:c>
      <x:c r="E488" s="35" t="str"/>
      <x:c r="F488" s="35" t="str">
        <x:v>m</x:v>
      </x:c>
      <x:c r="G488" s="38" t="str">
        <x:v>TRF-057</x:v>
      </x:c>
      <x:c r="H488" s="35" t="str">
        <x:v>Benchmark-coined descriptive engineering term</x:v>
      </x:c>
      <x:c r="I488" s="35" t="str">
        <x:v>N5 - component or subject first, followed by characteristic and qualifier/state; no unsupported external mapping</x:v>
      </x:c>
      <x:c r="J488" s="35" t="str">
        <x:v>REUSE_R2_TERM</x:v>
      </x:c>
    </x:row>
    <x:row r="489">
      <x:c r="A489" s="35" t="str">
        <x:v>iceLoadPatch</x:v>
      </x:c>
      <x:c r="B489" s="35" t="str">
        <x:v>https://w3id.org/nltl-benchmark/vocab#iceLoadPatch</x:v>
      </x:c>
      <x:c r="C489" s="35" t="str">
        <x:v>Class</x:v>
      </x:c>
      <x:c r="D489" s="35" t="str">
        <x:v>https://w3id.org/nltl-benchmark/vocab#hullStructure</x:v>
      </x:c>
      <x:c r="E489" s="35" t="str"/>
      <x:c r="F489" s="35" t="str"/>
      <x:c r="G489" s="38" t="str">
        <x:v>I2-037</x:v>
      </x:c>
      <x:c r="H489" s="35" t="str">
        <x:v>Benchmark-coined descriptive engineering term</x:v>
      </x:c>
      <x:c r="I489" s="35" t="str">
        <x:v>N5 - component or subject first, followed by characteristic and qualifier/state; no unsupported external mapping</x:v>
      </x:c>
      <x:c r="J489" s="35" t="str">
        <x:v>REUSE_R2_TERM</x:v>
      </x:c>
    </x:row>
    <x:row r="490">
      <x:c r="A490" s="35" t="str">
        <x:v>iceLoadSourceType</x:v>
      </x:c>
      <x:c r="B490" s="35" t="str">
        <x:v>https://w3id.org/nltl-benchmark/vocab#iceLoadSourceType</x:v>
      </x:c>
      <x:c r="C490" s="35" t="str">
        <x:v>ObjectProperty</x:v>
      </x:c>
      <x:c r="D490" s="35" t="str">
        <x:v>https://w3id.org/nltl-benchmark/vocab#iceLoadSourceTypeValue</x:v>
      </x:c>
      <x:c r="E490" s="35" t="str"/>
      <x:c r="F490" s="35" t="str"/>
      <x:c r="G490" s="38" t="str">
        <x:v>TRF-057</x:v>
      </x:c>
      <x:c r="H490" s="35" t="str">
        <x:v>Applicable TRAFICOM regulation wording plus explicit engineering node/operand role</x:v>
      </x:c>
      <x:c r="I490" s="35" t="str">
        <x:v>N5 - ASCII lowerCamelCase relationship; use has + object role when it improves direction clarity.</x:v>
      </x:c>
      <x:c r="J490" s="35" t="str">
        <x:v>ADD_DEVELOPMENT_TERM</x:v>
      </x:c>
    </x:row>
    <x:row r="491">
      <x:c r="A491" s="35" t="str">
        <x:v>iceLoadSourceTypeValue</x:v>
      </x:c>
      <x:c r="B491" s="35" t="str">
        <x:v>https://w3id.org/nltl-benchmark/vocab#iceLoadSourceTypeValue</x:v>
      </x:c>
      <x:c r="C491" s="35" t="str">
        <x:v>Class</x:v>
      </x:c>
      <x:c r="D491" s="35" t="str">
        <x:v>https://w3id.org/nltl-benchmark/vocab#benchmarkEntity</x:v>
      </x:c>
      <x:c r="E491" s="35" t="str"/>
      <x:c r="F491" s="35" t="str"/>
      <x:c r="G491" s="38" t="str">
        <x:v>TRF-057</x:v>
      </x:c>
      <x:c r="H491" s="35" t="str">
        <x:v>Applicable TRAFICOM regulation wording plus explicit engineering node/operand role</x:v>
      </x:c>
      <x:c r="I491" s="35" t="str">
        <x:v>N4 - singular ASCII lowerCamelCase entity name derived from the linked regulatory role.</x:v>
      </x:c>
      <x:c r="J491" s="35" t="str">
        <x:v>ADD_DEVELOPMENT_TERM</x:v>
      </x:c>
    </x:row>
    <x:row r="492">
      <x:c r="A492" s="35" t="str">
        <x:v>iceMobilityTestStatus</x:v>
      </x:c>
      <x:c r="B492" s="35" t="str">
        <x:v>https://w3id.org/nltl-benchmark/vocab#iceMobilityTestStatus</x:v>
      </x:c>
      <x:c r="C492" s="35" t="str">
        <x:v>DatatypeProperty</x:v>
      </x:c>
      <x:c r="D492" s="35" t="str">
        <x:v>http://www.w3.org/2001/XMLSchema#boolean</x:v>
      </x:c>
      <x:c r="E492" s="35" t="str">
        <x:v>xsd:boolean</x:v>
      </x:c>
      <x:c r="F492" s="35" t="str"/>
      <x:c r="G492" s="38" t="str">
        <x:v>IMO-076</x:v>
      </x:c>
      <x:c r="H492" s="35" t="str">
        <x:v>Locked-workbook normalized regulatory term</x:v>
      </x:c>
      <x:c r="I492" s="35" t="str">
        <x:v>N4 - preserve the source concept; normalize spelling to ASCII lowerCamelCase</x:v>
      </x:c>
      <x:c r="J492" s="35" t="str">
        <x:v>REUSE_R2_TERM</x:v>
      </x:c>
    </x:row>
    <x:row r="493">
      <x:c r="A493" s="35" t="str">
        <x:v>iceNavigationCondition</x:v>
      </x:c>
      <x:c r="B493" s="35" t="str">
        <x:v>https://w3id.org/nltl-benchmark/vocab#iceNavigationCondition</x:v>
      </x:c>
      <x:c r="C493" s="35" t="str">
        <x:v>DatatypeProperty</x:v>
      </x:c>
      <x:c r="D493" s="35" t="str">
        <x:v>http://www.w3.org/2001/XMLSchema#string</x:v>
      </x:c>
      <x:c r="E493" s="35" t="str">
        <x:v>xsd:string</x:v>
      </x:c>
      <x:c r="F493" s="35" t="str"/>
      <x:c r="G493" s="38" t="str">
        <x:v>TRF-129</x:v>
      </x:c>
      <x:c r="H493" s="35" t="str">
        <x:v>Benchmark-coined descriptive engineering term</x:v>
      </x:c>
      <x:c r="I493" s="35" t="str">
        <x:v>N5 - component or subject first, followed by characteristic and qualifier/state; no unsupported external mapping</x:v>
      </x:c>
      <x:c r="J493" s="35" t="str">
        <x:v>REUSE_R2_TERM</x:v>
      </x:c>
    </x:row>
    <x:row r="494">
      <x:c r="A494" s="35" t="str">
        <x:v>iceOfLandOriginPresent</x:v>
      </x:c>
      <x:c r="B494" s="35" t="str">
        <x:v>https://w3id.org/nltl-benchmark/vocab#iceOfLandOriginPresent</x:v>
      </x:c>
      <x:c r="C494" s="35" t="str">
        <x:v>DatatypeProperty</x:v>
      </x:c>
      <x:c r="D494" s="35" t="str">
        <x:v>http://www.w3.org/2001/XMLSchema#boolean</x:v>
      </x:c>
      <x:c r="E494" s="35" t="str">
        <x:v>xsd:boolean</x:v>
      </x:c>
      <x:c r="F494" s="35" t="str"/>
      <x:c r="G494" s="38" t="str">
        <x:v>IMO-007</x:v>
      </x:c>
      <x:c r="H494" s="35" t="str">
        <x:v>Locked-workbook normalized regulatory term</x:v>
      </x:c>
      <x:c r="I494" s="35" t="str">
        <x:v>N4 - preserve the source concept; normalize spelling to ASCII lowerCamelCase</x:v>
      </x:c>
      <x:c r="J494" s="35" t="str">
        <x:v>REUSE_R2_TERM</x:v>
      </x:c>
    </x:row>
    <x:row r="495">
      <x:c r="A495" s="35" t="str">
        <x:v>iceOperatingSpeed</x:v>
      </x:c>
      <x:c r="B495" s="35" t="str">
        <x:v>https://w3id.org/nltl-benchmark/vocab#iceOperatingSpeed</x:v>
      </x:c>
      <x:c r="C495" s="35" t="str">
        <x:v>QuantityProperty</x:v>
      </x:c>
      <x:c r="D495" s="35" t="str">
        <x:v>http://qudt.org/schema/qudt/QuantityValue</x:v>
      </x:c>
      <x:c r="E495" s="35" t="str"/>
      <x:c r="F495" s="35" t="str">
        <x:v>kn</x:v>
      </x:c>
      <x:c r="G495" s="38" t="str">
        <x:v>TRF-114</x:v>
      </x:c>
      <x:c r="H495" s="35" t="str">
        <x:v>Benchmark-coined descriptive engineering term</x:v>
      </x:c>
      <x:c r="I495" s="35" t="str">
        <x:v>N5 - component or subject first, followed by characteristic and qualifier/state; no unsupported external mapping</x:v>
      </x:c>
      <x:c r="J495" s="35" t="str">
        <x:v>REUSE_R2_TERM</x:v>
      </x:c>
    </x:row>
    <x:row r="496">
      <x:c r="A496" s="35" t="str">
        <x:v>iceOperationApplicable</x:v>
      </x:c>
      <x:c r="B496" s="35" t="str">
        <x:v>https://w3id.org/nltl-benchmark/vocab#iceOperationApplicable</x:v>
      </x:c>
      <x:c r="C496" s="35" t="str">
        <x:v>DatatypeProperty</x:v>
      </x:c>
      <x:c r="D496" s="35" t="str">
        <x:v>http://www.w3.org/2001/XMLSchema#boolean</x:v>
      </x:c>
      <x:c r="E496" s="35" t="str">
        <x:v>xsd:boolean</x:v>
      </x:c>
      <x:c r="F496" s="35" t="str"/>
      <x:c r="G496" s="38" t="str">
        <x:v>IMO-030</x:v>
      </x:c>
      <x:c r="H496" s="35" t="str">
        <x:v>Locked-workbook normalized regulatory term</x:v>
      </x:c>
      <x:c r="I496" s="35" t="str">
        <x:v>N4 - preserve the source concept; normalize spelling to ASCII lowerCamelCase</x:v>
      </x:c>
      <x:c r="J496" s="35" t="str">
        <x:v>REUSE_R2_TERM</x:v>
      </x:c>
    </x:row>
    <x:row r="497">
      <x:c r="A497" s="35" t="str">
        <x:v>iceOrSnowRemovalOrPreventionMeans</x:v>
      </x:c>
      <x:c r="B497" s="35" t="str">
        <x:v>https://w3id.org/nltl-benchmark/vocab#iceOrSnowRemovalOrPreventionMeans</x:v>
      </x:c>
      <x:c r="C497" s="35" t="str">
        <x:v>DatatypeProperty</x:v>
      </x:c>
      <x:c r="D497" s="35" t="str">
        <x:v>http://www.w3.org/2001/XMLSchema#string</x:v>
      </x:c>
      <x:c r="E497" s="35" t="str">
        <x:v>xsd:string</x:v>
      </x:c>
      <x:c r="F497" s="35" t="str"/>
      <x:c r="G497" s="38" t="str">
        <x:v>IMO-040 | IMO-052 | IMO-066</x:v>
      </x:c>
      <x:c r="H497" s="35" t="str">
        <x:v>Locked-workbook normalized regulatory term</x:v>
      </x:c>
      <x:c r="I497" s="35" t="str">
        <x:v>N4 - preserve the source concept; normalize spelling to ASCII lowerCamelCase</x:v>
      </x:c>
      <x:c r="J497" s="35" t="str">
        <x:v>REUSE_R2_TERM</x:v>
      </x:c>
    </x:row>
    <x:row r="498">
      <x:c r="A498" s="35" t="str">
        <x:v>iceOrigin</x:v>
      </x:c>
      <x:c r="B498" s="35" t="str">
        <x:v>https://w3id.org/nltl-benchmark/vocab#iceOrigin</x:v>
      </x:c>
      <x:c r="C498" s="35" t="str">
        <x:v>DatatypeProperty</x:v>
      </x:c>
      <x:c r="D498" s="35" t="str">
        <x:v>http://www.w3.org/2001/XMLSchema#string</x:v>
      </x:c>
      <x:c r="E498" s="35" t="str">
        <x:v>xsd:string</x:v>
      </x:c>
      <x:c r="F498" s="35" t="str"/>
      <x:c r="G498" s="38" t="str">
        <x:v>IMO-004</x:v>
      </x:c>
      <x:c r="H498" s="35" t="str">
        <x:v>Locked-workbook normalized regulatory term</x:v>
      </x:c>
      <x:c r="I498" s="35" t="str">
        <x:v>N4 - preserve the source concept; normalize spelling to ASCII lowerCamelCase</x:v>
      </x:c>
      <x:c r="J498" s="35" t="str">
        <x:v>REUSE_R2_TERM</x:v>
      </x:c>
    </x:row>
    <x:row r="499">
      <x:c r="A499" s="35" t="str">
        <x:v>icePressure</x:v>
      </x:c>
      <x:c r="B499" s="35" t="str">
        <x:v>https://w3id.org/nltl-benchmark/vocab#icePressure</x:v>
      </x:c>
      <x:c r="C499" s="35" t="str">
        <x:v>QuantityProperty</x:v>
      </x:c>
      <x:c r="D499" s="35" t="str">
        <x:v>http://qudt.org/schema/qudt/QuantityValue</x:v>
      </x:c>
      <x:c r="E499" s="35" t="str"/>
      <x:c r="F499" s="35" t="str">
        <x:v>MPa</x:v>
      </x:c>
      <x:c r="G499" s="38" t="str">
        <x:v>TRF-057</x:v>
      </x:c>
      <x:c r="H499" s="35" t="str">
        <x:v>Verified exact implementation term</x:v>
      </x:c>
      <x:c r="I499" s="35" t="str">
        <x:v>N1 - reuse only after exact URI and semantic-context verification</x:v>
      </x:c>
      <x:c r="J499" s="35" t="str">
        <x:v>REUSE_R2_TERM</x:v>
      </x:c>
    </x:row>
    <x:row r="500">
      <x:c r="A500" s="35" t="str">
        <x:v>iceSafetyMonitoringProcedurePresent</x:v>
      </x:c>
      <x:c r="B500" s="35" t="str">
        <x:v>https://w3id.org/nltl-benchmark/vocab#iceSafetyMonitoringProcedurePresent</x:v>
      </x:c>
      <x:c r="C500" s="35" t="str">
        <x:v>DatatypeProperty</x:v>
      </x:c>
      <x:c r="D500" s="35" t="str">
        <x:v>http://www.w3.org/2001/XMLSchema#boolean</x:v>
      </x:c>
      <x:c r="E500" s="35" t="str">
        <x:v>xsd:boolean</x:v>
      </x:c>
      <x:c r="F500" s="35" t="str"/>
      <x:c r="G500" s="38" t="str">
        <x:v>IMO-030</x:v>
      </x:c>
      <x:c r="H500" s="35" t="str">
        <x:v>Locked-workbook normalized regulatory term</x:v>
      </x:c>
      <x:c r="I500" s="35" t="str">
        <x:v>N4 - preserve the source concept; normalize spelling to ASCII lowerCamelCase</x:v>
      </x:c>
      <x:c r="J500" s="35" t="str">
        <x:v>REUSE_R2_TERM</x:v>
      </x:c>
    </x:row>
    <x:row r="501">
      <x:c r="A501" s="35" t="str">
        <x:v>iceSnowMitigationCoverage</x:v>
      </x:c>
      <x:c r="B501" s="35" t="str">
        <x:v>https://w3id.org/nltl-benchmark/vocab#iceSnowMitigationCoverage</x:v>
      </x:c>
      <x:c r="C501" s="35" t="str">
        <x:v>DatatypeProperty</x:v>
      </x:c>
      <x:c r="D501" s="35" t="str">
        <x:v>http://www.w3.org/2001/XMLSchema#boolean</x:v>
      </x:c>
      <x:c r="E501" s="35" t="str">
        <x:v>xsd:boolean</x:v>
      </x:c>
      <x:c r="F501" s="35" t="str"/>
      <x:c r="G501" s="38" t="str">
        <x:v>IMO-062</x:v>
      </x:c>
      <x:c r="H501" s="35" t="str">
        <x:v>Locked-workbook normalized regulatory term</x:v>
      </x:c>
      <x:c r="I501" s="35" t="str">
        <x:v>N4 - preserve the source concept; normalize spelling to ASCII lowerCamelCase</x:v>
      </x:c>
      <x:c r="J501" s="35" t="str">
        <x:v>REUSE_R2_TERM</x:v>
      </x:c>
    </x:row>
    <x:row r="502">
      <x:c r="A502" s="35" t="str">
        <x:v>iceStrengthenedArea</x:v>
      </x:c>
      <x:c r="B502" s="35" t="str">
        <x:v>https://w3id.org/nltl-benchmark/vocab#iceStrengthenedArea</x:v>
      </x:c>
      <x:c r="C502" s="35" t="str">
        <x:v>DatatypeProperty</x:v>
      </x:c>
      <x:c r="D502" s="35" t="str">
        <x:v>http://www.w3.org/2001/XMLSchema#string</x:v>
      </x:c>
      <x:c r="E502" s="35" t="str">
        <x:v>xsd:string</x:v>
      </x:c>
      <x:c r="F502" s="35" t="str"/>
      <x:c r="G502" s="38" t="str">
        <x:v>I2-026 | I2-066</x:v>
      </x:c>
      <x:c r="H502" s="35" t="str">
        <x:v>Benchmark-coined descriptive engineering term</x:v>
      </x:c>
      <x:c r="I502" s="35" t="str">
        <x:v>N5 - component or subject first, followed by characteristic and qualifier/state; no unsupported external mapping</x:v>
      </x:c>
      <x:c r="J502" s="35" t="str">
        <x:v>REUSE_R2_TERM</x:v>
      </x:c>
    </x:row>
    <x:row r="503">
      <x:c r="A503" s="35" t="str">
        <x:v>iceStrengthenedHullArea</x:v>
      </x:c>
      <x:c r="B503" s="35" t="str">
        <x:v>https://w3id.org/nltl-benchmark/vocab#iceStrengthenedHullArea</x:v>
      </x:c>
      <x:c r="C503" s="35" t="str">
        <x:v>DatatypeProperty</x:v>
      </x:c>
      <x:c r="D503" s="35" t="str">
        <x:v>http://www.w3.org/2001/XMLSchema#string</x:v>
      </x:c>
      <x:c r="E503" s="35" t="str">
        <x:v>xsd:string</x:v>
      </x:c>
      <x:c r="F503" s="35" t="str"/>
      <x:c r="G503" s="38" t="str">
        <x:v>I2-046</x:v>
      </x:c>
      <x:c r="H503" s="35" t="str">
        <x:v>Benchmark-coined descriptive engineering term</x:v>
      </x:c>
      <x:c r="I503" s="35" t="str">
        <x:v>N5 - component or subject first, followed by characteristic and qualifier/state; no unsupported external mapping</x:v>
      </x:c>
      <x:c r="J503" s="35" t="str">
        <x:v>REUSE_R2_TERM</x:v>
      </x:c>
    </x:row>
    <x:row r="504">
      <x:c r="A504" s="35" t="str">
        <x:v>iceStrengtheningStatus</x:v>
      </x:c>
      <x:c r="B504" s="35" t="str">
        <x:v>https://w3id.org/nltl-benchmark/vocab#iceStrengtheningStatus</x:v>
      </x:c>
      <x:c r="C504" s="35" t="str">
        <x:v>DatatypeProperty</x:v>
      </x:c>
      <x:c r="D504" s="35" t="str">
        <x:v>http://www.w3.org/2001/XMLSchema#boolean</x:v>
      </x:c>
      <x:c r="E504" s="35" t="str">
        <x:v>xsd:boolean</x:v>
      </x:c>
      <x:c r="F504" s="35" t="str"/>
      <x:c r="G504" s="38" t="str">
        <x:v>TRF-032</x:v>
      </x:c>
      <x:c r="H504" s="35" t="str">
        <x:v>Benchmark-coined descriptive engineering term</x:v>
      </x:c>
      <x:c r="I504" s="35" t="str">
        <x:v>N5 - component or subject first, followed by characteristic and qualifier/state; no unsupported external mapping</x:v>
      </x:c>
      <x:c r="J504" s="35" t="str">
        <x:v>REUSE_R2_TERM</x:v>
      </x:c>
    </x:row>
    <x:row r="505">
      <x:c r="A505" s="35" t="str">
        <x:v>iceStrengtheningTerminationAtAdjacentBoundaryPermitted</x:v>
      </x:c>
      <x:c r="B505" s="35" t="str">
        <x:v>https://w3id.org/nltl-benchmark/vocab#iceStrengtheningTerminationAtAdjacentBoundaryPermitted</x:v>
      </x:c>
      <x:c r="C505" s="35" t="str">
        <x:v>DatatypeProperty</x:v>
      </x:c>
      <x:c r="D505" s="35" t="str">
        <x:v>http://www.w3.org/2001/XMLSchema#boolean</x:v>
      </x:c>
      <x:c r="E505" s="35" t="str">
        <x:v>xsd:boolean</x:v>
      </x:c>
      <x:c r="F505" s="35" t="str"/>
      <x:c r="G505" s="38" t="str">
        <x:v>TRF-043</x:v>
      </x:c>
      <x:c r="H505" s="35" t="str">
        <x:v>Benchmark-coined descriptive engineering term</x:v>
      </x:c>
      <x:c r="I505" s="35" t="str">
        <x:v>N5 - component or subject first, followed by characteristic and qualifier/state; no unsupported external mapping</x:v>
      </x:c>
      <x:c r="J505" s="35" t="str">
        <x:v>REUSE_R2_TERM</x:v>
      </x:c>
    </x:row>
    <x:row r="506">
      <x:c r="A506" s="35" t="str">
        <x:v>iceStringer</x:v>
      </x:c>
      <x:c r="B506" s="35" t="str">
        <x:v>https://w3id.org/nltl-benchmark/vocab#iceStringer</x:v>
      </x:c>
      <x:c r="C506" s="35" t="str">
        <x:v>Class</x:v>
      </x:c>
      <x:c r="D506" s="35" t="str">
        <x:v>https://w3id.org/nltl-benchmark/vocab#hullStructure</x:v>
      </x:c>
      <x:c r="E506" s="35" t="str"/>
      <x:c r="F506" s="35" t="str"/>
      <x:c r="G506" s="38" t="str">
        <x:v>TRF-034 | TRF-046 | TRF-047 | TRF-053 | TRF-054</x:v>
      </x:c>
      <x:c r="H506" s="35" t="str">
        <x:v>Applicable TRAFICOM regulation wording plus explicit engineering node/operand role</x:v>
      </x:c>
      <x:c r="I506" s="35" t="str">
        <x:v>N4 - singular ASCII lowerCamelCase entity name derived from the linked regulatory role.</x:v>
      </x:c>
      <x:c r="J506" s="35" t="str">
        <x:v>ADD_DEVELOPMENT_TERM</x:v>
      </x:c>
    </x:row>
    <x:row r="507">
      <x:c r="A507" s="35" t="str">
        <x:v>iceStringerDistributionFactorF6</x:v>
      </x:c>
      <x:c r="B507" s="35" t="str">
        <x:v>https://w3id.org/nltl-benchmark/vocab#iceStringerDistributionFactorF6</x:v>
      </x:c>
      <x:c r="C507" s="35" t="str">
        <x:v>QuantityProperty</x:v>
      </x:c>
      <x:c r="D507" s="35" t="str">
        <x:v>http://qudt.org/schema/qudt/QuantityValue</x:v>
      </x:c>
      <x:c r="E507" s="35" t="str"/>
      <x:c r="F507" s="35" t="str">
        <x:v>1</x:v>
      </x:c>
      <x:c r="G507" s="38" t="str">
        <x:v>TRF-053</x:v>
      </x:c>
      <x:c r="H507" s="35" t="str">
        <x:v>Applicable TRAFICOM regulation wording plus explicit engineering node/operand role</x:v>
      </x:c>
      <x:c r="I507" s="35" t="str">
        <x:v>N4 - explicit engineering quantity in ASCII lowerCamelCase; formula symbols remain aliases only.</x:v>
      </x:c>
      <x:c r="J507" s="35" t="str">
        <x:v>ADD_DEVELOPMENT_TERM</x:v>
      </x:c>
    </x:row>
    <x:row r="508">
      <x:c r="A508" s="35" t="str">
        <x:v>iceStringerLoadSource</x:v>
      </x:c>
      <x:c r="B508" s="35" t="str">
        <x:v>https://w3id.org/nltl-benchmark/vocab#iceStringerLoadSource</x:v>
      </x:c>
      <x:c r="C508" s="35" t="str">
        <x:v>NamedIndividual</x:v>
      </x:c>
      <x:c r="D508" s="35" t="str">
        <x:v>https://w3id.org/nltl-benchmark/vocab#iceLoadSourceTypeValue</x:v>
      </x:c>
      <x:c r="E508" s="35" t="str"/>
      <x:c r="F508" s="35" t="str"/>
      <x:c r="G508" s="38" t="str">
        <x:v>TRF-057</x:v>
      </x:c>
      <x:c r="H508" s="35" t="str">
        <x:v>Applicable TRAFICOM regulation wording plus explicit engineering node/operand role</x:v>
      </x:c>
      <x:c r="I508" s="35" t="str">
        <x:v>N6 - concise ASCII lowerCamelCase controlled-value name grounded in the linked regulation.</x:v>
      </x:c>
      <x:c r="J508" s="35" t="str">
        <x:v>ADD_DEVELOPMENT_TERM</x:v>
      </x:c>
    </x:row>
    <x:row r="509">
      <x:c r="A509" s="35" t="str">
        <x:v>iceStringerSafetyFactorF7</x:v>
      </x:c>
      <x:c r="B509" s="35" t="str">
        <x:v>https://w3id.org/nltl-benchmark/vocab#iceStringerSafetyFactorF7</x:v>
      </x:c>
      <x:c r="C509" s="35" t="str">
        <x:v>QuantityProperty</x:v>
      </x:c>
      <x:c r="D509" s="35" t="str">
        <x:v>http://qudt.org/schema/qudt/QuantityValue</x:v>
      </x:c>
      <x:c r="E509" s="35" t="str"/>
      <x:c r="F509" s="35" t="str">
        <x:v>1</x:v>
      </x:c>
      <x:c r="G509" s="38" t="str">
        <x:v>TRF-053</x:v>
      </x:c>
      <x:c r="H509" s="35" t="str">
        <x:v>Applicable TRAFICOM regulation wording plus explicit engineering node/operand role</x:v>
      </x:c>
      <x:c r="I509" s="35" t="str">
        <x:v>N4 - explicit engineering quantity in ASCII lowerCamelCase; formula symbols remain aliases only.</x:v>
      </x:c>
      <x:c r="J509" s="35" t="str">
        <x:v>ADD_DEVELOPMENT_TERM</x:v>
      </x:c>
    </x:row>
    <x:row r="510">
      <x:c r="A510" s="35" t="str">
        <x:v>iceStringerShearFactorF8</x:v>
      </x:c>
      <x:c r="B510" s="35" t="str">
        <x:v>https://w3id.org/nltl-benchmark/vocab#iceStringerShearFactorF8</x:v>
      </x:c>
      <x:c r="C510" s="35" t="str">
        <x:v>QuantityProperty</x:v>
      </x:c>
      <x:c r="D510" s="35" t="str">
        <x:v>http://qudt.org/schema/qudt/QuantityValue</x:v>
      </x:c>
      <x:c r="E510" s="35" t="str"/>
      <x:c r="F510" s="35" t="str">
        <x:v>1</x:v>
      </x:c>
      <x:c r="G510" s="38" t="str">
        <x:v>TRF-053</x:v>
      </x:c>
      <x:c r="H510" s="35" t="str">
        <x:v>Applicable TRAFICOM regulation wording plus explicit engineering node/operand role</x:v>
      </x:c>
      <x:c r="I510" s="35" t="str">
        <x:v>N4 - explicit engineering quantity in ASCII lowerCamelCase; formula symbols remain aliases only.</x:v>
      </x:c>
      <x:c r="J510" s="35" t="str">
        <x:v>ADD_DEVELOPMENT_TERM</x:v>
      </x:c>
    </x:row>
    <x:row r="511">
      <x:c r="A511" s="35" t="str">
        <x:v>iceThickness</x:v>
      </x:c>
      <x:c r="B511" s="35" t="str">
        <x:v>https://w3id.org/nltl-benchmark/vocab#iceThickness</x:v>
      </x:c>
      <x:c r="C511" s="35" t="str">
        <x:v>QuantityProperty</x:v>
      </x:c>
      <x:c r="D511" s="35" t="str">
        <x:v>http://qudt.org/schema/qudt/QuantityValue</x:v>
      </x:c>
      <x:c r="E511" s="35" t="str"/>
      <x:c r="F511" s="35" t="str">
        <x:v>m</x:v>
      </x:c>
      <x:c r="G511" s="38" t="str">
        <x:v>IMO-004 | IMO-006 | IMO-008</x:v>
      </x:c>
      <x:c r="H511" s="35" t="str">
        <x:v>Unit-stripped normalized regulatory variable</x:v>
      </x:c>
      <x:c r="I511" s="35" t="str">
        <x:v>N3 - remove unit from the identifier and retain it in unit/quantity metadata</x:v>
      </x:c>
      <x:c r="J511" s="35" t="str">
        <x:v>REUSE_R2_TERM</x:v>
      </x:c>
    </x:row>
    <x:row r="512">
      <x:c r="A512" s="35" t="str">
        <x:v>iceType</x:v>
      </x:c>
      <x:c r="B512" s="35" t="str">
        <x:v>https://w3id.org/nltl-benchmark/vocab#iceType</x:v>
      </x:c>
      <x:c r="C512" s="35" t="str">
        <x:v>DatatypeProperty</x:v>
      </x:c>
      <x:c r="D512" s="35" t="str">
        <x:v>http://www.w3.org/2001/XMLSchema#string</x:v>
      </x:c>
      <x:c r="E512" s="35" t="str">
        <x:v>xsd:string</x:v>
      </x:c>
      <x:c r="F512" s="35" t="str"/>
      <x:c r="G512" s="38" t="str">
        <x:v>IMO-004 | IMO-006 | IMO-008</x:v>
      </x:c>
      <x:c r="H512" s="35" t="str">
        <x:v>Locked-workbook normalized regulatory term</x:v>
      </x:c>
      <x:c r="I512" s="35" t="str">
        <x:v>N4 - preserve the source concept; normalize spelling to ASCII lowerCamelCase</x:v>
      </x:c>
      <x:c r="J512" s="35" t="str">
        <x:v>REUSE_R2_TERM</x:v>
      </x:c>
    </x:row>
    <x:row r="513">
      <x:c r="A513" s="35" t="str">
        <x:v>iceWaterline</x:v>
      </x:c>
      <x:c r="B513" s="35" t="str">
        <x:v>https://w3id.org/nltl-benchmark/vocab#iceWaterline</x:v>
      </x:c>
      <x:c r="C513" s="35" t="str">
        <x:v>Class</x:v>
      </x:c>
      <x:c r="D513" s="35" t="str">
        <x:v>https://w3id.org/nltl-benchmark/vocab#benchmarkEntity</x:v>
      </x:c>
      <x:c r="E513" s="35" t="str"/>
      <x:c r="F513" s="35" t="str"/>
      <x:c r="G513" s="38" t="str">
        <x:v>TRF-011 | TRF-012 | TRF-020</x:v>
      </x:c>
      <x:c r="H513" s="35" t="str">
        <x:v>Applicable TRAFICOM regulation wording plus explicit engineering node/operand role</x:v>
      </x:c>
      <x:c r="I513" s="35" t="str">
        <x:v>N4 - singular ASCII lowerCamelCase entity name derived from the linked regulatory role.</x:v>
      </x:c>
      <x:c r="J513" s="35" t="str">
        <x:v>ADD_DEVELOPMENT_TERM</x:v>
      </x:c>
    </x:row>
    <x:row r="514">
      <x:c r="A514" s="35" t="str">
        <x:v>icebreakerEscortOperation</x:v>
      </x:c>
      <x:c r="B514" s="35" t="str">
        <x:v>https://w3id.org/nltl-benchmark/vocab#icebreakerEscortOperation</x:v>
      </x:c>
      <x:c r="C514" s="35" t="str">
        <x:v>DatatypeProperty</x:v>
      </x:c>
      <x:c r="D514" s="35" t="str">
        <x:v>http://www.w3.org/2001/XMLSchema#boolean</x:v>
      </x:c>
      <x:c r="E514" s="35" t="str">
        <x:v>xsd:boolean</x:v>
      </x:c>
      <x:c r="F514" s="35" t="str"/>
      <x:c r="G514" s="38" t="str">
        <x:v>IMO-089</x:v>
      </x:c>
      <x:c r="H514" s="35" t="str">
        <x:v>Locked-workbook normalized regulatory term</x:v>
      </x:c>
      <x:c r="I514" s="35" t="str">
        <x:v>N4 - preserve the source concept; normalize spelling to ASCII lowerCamelCase</x:v>
      </x:c>
      <x:c r="J514" s="35" t="str">
        <x:v>REUSE_R2_TERM</x:v>
      </x:c>
    </x:row>
    <x:row r="515">
      <x:c r="A515" s="35" t="str">
        <x:v>identifiedIntendedVoyageHazard</x:v>
      </x:c>
      <x:c r="B515" s="35" t="str">
        <x:v>https://w3id.org/nltl-benchmark/vocab#identifiedIntendedVoyageHazard</x:v>
      </x:c>
      <x:c r="C515" s="35" t="str">
        <x:v>DatatypeProperty</x:v>
      </x:c>
      <x:c r="D515" s="35" t="str">
        <x:v>http://www.w3.org/2001/XMLSchema#string</x:v>
      </x:c>
      <x:c r="E515" s="35" t="str">
        <x:v>xsd:string</x:v>
      </x:c>
      <x:c r="F515" s="35" t="str"/>
      <x:c r="G515" s="38" t="str">
        <x:v>IMO-100</x:v>
      </x:c>
      <x:c r="H515" s="35" t="str">
        <x:v>Locked-workbook normalized regulatory term</x:v>
      </x:c>
      <x:c r="I515" s="35" t="str">
        <x:v>N4 - preserve the source concept; normalize spelling to ASCII lowerCamelCase</x:v>
      </x:c>
      <x:c r="J515" s="35" t="str">
        <x:v>REUSE_R2_TERM</x:v>
      </x:c>
    </x:row>
    <x:row r="516">
      <x:c r="A516" s="35" t="str">
        <x:v>immersionPotential</x:v>
      </x:c>
      <x:c r="B516" s="35" t="str">
        <x:v>https://w3id.org/nltl-benchmark/vocab#immersionPotential</x:v>
      </x:c>
      <x:c r="C516" s="35" t="str">
        <x:v>DatatypeProperty</x:v>
      </x:c>
      <x:c r="D516" s="35" t="str">
        <x:v>http://www.w3.org/2001/XMLSchema#boolean</x:v>
      </x:c>
      <x:c r="E516" s="35" t="str">
        <x:v>xsd:boolean</x:v>
      </x:c>
      <x:c r="F516" s="35" t="str"/>
      <x:c r="G516" s="38" t="str">
        <x:v>IMO-064</x:v>
      </x:c>
      <x:c r="H516" s="35" t="str">
        <x:v>Locked-workbook normalized regulatory term</x:v>
      </x:c>
      <x:c r="I516" s="35" t="str">
        <x:v>N4 - preserve the source concept; normalize spelling to ASCII lowerCamelCase</x:v>
      </x:c>
      <x:c r="J516" s="35" t="str">
        <x:v>REUSE_R2_TERM</x:v>
      </x:c>
    </x:row>
    <x:row r="517">
      <x:c r="A517" s="35" t="str">
        <x:v>immersionSuitRequired</x:v>
      </x:c>
      <x:c r="B517" s="35" t="str">
        <x:v>https://w3id.org/nltl-benchmark/vocab#immersionSuitRequired</x:v>
      </x:c>
      <x:c r="C517" s="35" t="str">
        <x:v>DatatypeProperty</x:v>
      </x:c>
      <x:c r="D517" s="35" t="str">
        <x:v>http://www.w3.org/2001/XMLSchema#boolean</x:v>
      </x:c>
      <x:c r="E517" s="35" t="str">
        <x:v>xsd:boolean</x:v>
      </x:c>
      <x:c r="F517" s="35" t="str"/>
      <x:c r="G517" s="38" t="str">
        <x:v>IMO-071</x:v>
      </x:c>
      <x:c r="H517" s="35" t="str">
        <x:v>Locked-workbook normalized regulatory term</x:v>
      </x:c>
      <x:c r="I517" s="35" t="str">
        <x:v>N4 - preserve the source concept; normalize spelling to ASCII lowerCamelCase</x:v>
      </x:c>
      <x:c r="J517" s="35" t="str">
        <x:v>REUSE_R2_TERM</x:v>
      </x:c>
    </x:row>
    <x:row r="518">
      <x:c r="A518" s="35" t="str">
        <x:v>immersionSuitType</x:v>
      </x:c>
      <x:c r="B518" s="35" t="str">
        <x:v>https://w3id.org/nltl-benchmark/vocab#immersionSuitType</x:v>
      </x:c>
      <x:c r="C518" s="35" t="str">
        <x:v>DatatypeProperty</x:v>
      </x:c>
      <x:c r="D518" s="35" t="str">
        <x:v>http://www.w3.org/2001/XMLSchema#string</x:v>
      </x:c>
      <x:c r="E518" s="35" t="str">
        <x:v>xsd:string</x:v>
      </x:c>
      <x:c r="F518" s="35" t="str"/>
      <x:c r="G518" s="38" t="str">
        <x:v>IMO-071</x:v>
      </x:c>
      <x:c r="H518" s="35" t="str">
        <x:v>Locked-workbook normalized regulatory term</x:v>
      </x:c>
      <x:c r="I518" s="35" t="str">
        <x:v>N4 - preserve the source concept; normalize spelling to ASCII lowerCamelCase</x:v>
      </x:c>
      <x:c r="J518" s="35" t="str">
        <x:v>REUSE_R2_TERM</x:v>
      </x:c>
    </x:row>
    <x:row r="519">
      <x:c r="A519" s="35" t="str">
        <x:v>impactLoadCase</x:v>
      </x:c>
      <x:c r="B519" s="35" t="str">
        <x:v>https://w3id.org/nltl-benchmark/vocab#impactLoadCase</x:v>
      </x:c>
      <x:c r="C519" s="35" t="str">
        <x:v>DatatypeProperty</x:v>
      </x:c>
      <x:c r="D519" s="35" t="str">
        <x:v>http://www.w3.org/2001/XMLSchema#string</x:v>
      </x:c>
      <x:c r="E519" s="35" t="str">
        <x:v>xsd:string</x:v>
      </x:c>
      <x:c r="F519" s="35" t="str"/>
      <x:c r="G519" s="38" t="str">
        <x:v>TRF-114</x:v>
      </x:c>
      <x:c r="H519" s="35" t="str">
        <x:v>Benchmark-coined descriptive engineering term</x:v>
      </x:c>
      <x:c r="I519" s="35" t="str">
        <x:v>N5 - component or subject first, followed by characteristic and qualifier/state; no unsupported external mapping</x:v>
      </x:c>
      <x:c r="J519" s="35" t="str">
        <x:v>REUSE_R2_TERM</x:v>
      </x:c>
    </x:row>
    <x:row r="520">
      <x:c r="A520" s="35" t="str">
        <x:v>inLieuOfFrame</x:v>
      </x:c>
      <x:c r="B520" s="35" t="str">
        <x:v>https://w3id.org/nltl-benchmark/vocab#inLieuOfFrame</x:v>
      </x:c>
      <x:c r="C520" s="35" t="str">
        <x:v>DatatypeProperty</x:v>
      </x:c>
      <x:c r="D520" s="35" t="str">
        <x:v>http://www.w3.org/2001/XMLSchema#boolean</x:v>
      </x:c>
      <x:c r="E520" s="35" t="str">
        <x:v>xsd:boolean</x:v>
      </x:c>
      <x:c r="F520" s="35" t="str"/>
      <x:c r="G520" s="38" t="str">
        <x:v>TRF-051</x:v>
      </x:c>
      <x:c r="H520" s="35" t="str">
        <x:v>Applicable TRAFICOM regulation wording plus explicit engineering node/operand role</x:v>
      </x:c>
      <x:c r="I520" s="35" t="str">
        <x:v>N4 - explicit regulatory concept in ASCII lowerCamelCase with an XSD datatype.</x:v>
      </x:c>
      <x:c r="J520" s="35" t="str">
        <x:v>ADD_DEVELOPMENT_TERM</x:v>
      </x:c>
    </x:row>
    <x:row r="521">
      <x:c r="A521" s="35" t="str">
        <x:v>independentEchoSoundingDeviceCount</x:v>
      </x:c>
      <x:c r="B521" s="35" t="str">
        <x:v>https://w3id.org/nltl-benchmark/vocab#independentEchoSoundingDeviceCount</x:v>
      </x:c>
      <x:c r="C521" s="35" t="str">
        <x:v>DatatypeProperty</x:v>
      </x:c>
      <x:c r="D521" s="35" t="str">
        <x:v>http://www.w3.org/2001/XMLSchema#integer</x:v>
      </x:c>
      <x:c r="E521" s="35" t="str">
        <x:v>xsd:integer</x:v>
      </x:c>
      <x:c r="F521" s="35" t="str"/>
      <x:c r="G521" s="38" t="str">
        <x:v>IMO-081 | IMO26-007</x:v>
      </x:c>
      <x:c r="H521" s="35" t="str">
        <x:v>Locked-workbook normalized regulatory term</x:v>
      </x:c>
      <x:c r="I521" s="35" t="str">
        <x:v>N4 - preserve the source concept; normalize spelling to ASCII lowerCamelCase</x:v>
      </x:c>
      <x:c r="J521" s="35" t="str">
        <x:v>REUSE_R2_TERM</x:v>
      </x:c>
    </x:row>
    <x:row r="522">
      <x:c r="A522" s="35" t="str">
        <x:v>independentOperationLimits</x:v>
      </x:c>
      <x:c r="B522" s="35" t="str">
        <x:v>https://w3id.org/nltl-benchmark/vocab#independentOperationLimits</x:v>
      </x:c>
      <x:c r="C522" s="35" t="str">
        <x:v>DatatypeProperty</x:v>
      </x:c>
      <x:c r="D522" s="35" t="str">
        <x:v>http://www.w3.org/2001/XMLSchema#string</x:v>
      </x:c>
      <x:c r="E522" s="35" t="str">
        <x:v>xsd:string</x:v>
      </x:c>
      <x:c r="F522" s="35" t="str"/>
      <x:c r="G522" s="38" t="str">
        <x:v>IMO-030</x:v>
      </x:c>
      <x:c r="H522" s="35" t="str">
        <x:v>Locked-workbook normalized regulatory term</x:v>
      </x:c>
      <x:c r="I522" s="35" t="str">
        <x:v>N4 - preserve the source concept; normalize spelling to ASCII lowerCamelCase</x:v>
      </x:c>
      <x:c r="J522" s="35" t="str">
        <x:v>REUSE_R2_TERM</x:v>
      </x:c>
    </x:row>
    <x:row r="523">
      <x:c r="A523" s="35" t="str">
        <x:v>independentSeaSuctionUsed</x:v>
      </x:c>
      <x:c r="B523" s="35" t="str">
        <x:v>https://w3id.org/nltl-benchmark/vocab#independentSeaSuctionUsed</x:v>
      </x:c>
      <x:c r="C523" s="35" t="str">
        <x:v>DatatypeProperty</x:v>
      </x:c>
      <x:c r="D523" s="35" t="str">
        <x:v>http://www.w3.org/2001/XMLSchema#boolean</x:v>
      </x:c>
      <x:c r="E523" s="35" t="str">
        <x:v>xsd:boolean</x:v>
      </x:c>
      <x:c r="F523" s="35" t="str"/>
      <x:c r="G523" s="38" t="str">
        <x:v>IMO-060</x:v>
      </x:c>
      <x:c r="H523" s="35" t="str">
        <x:v>Locked-workbook normalized regulatory term</x:v>
      </x:c>
      <x:c r="I523" s="35" t="str">
        <x:v>N4 - preserve the source concept; normalize spelling to ASCII lowerCamelCase</x:v>
      </x:c>
      <x:c r="J523" s="35" t="str">
        <x:v>REUSE_R2_TERM</x:v>
      </x:c>
    </x:row>
    <x:row r="524">
      <x:c r="A524" s="35" t="str">
        <x:v>independentTransducerCount</x:v>
      </x:c>
      <x:c r="B524" s="35" t="str">
        <x:v>https://w3id.org/nltl-benchmark/vocab#independentTransducerCount</x:v>
      </x:c>
      <x:c r="C524" s="35" t="str">
        <x:v>DatatypeProperty</x:v>
      </x:c>
      <x:c r="D524" s="35" t="str">
        <x:v>http://www.w3.org/2001/XMLSchema#integer</x:v>
      </x:c>
      <x:c r="E524" s="35" t="str">
        <x:v>xsd:integer</x:v>
      </x:c>
      <x:c r="F524" s="35" t="str"/>
      <x:c r="G524" s="38" t="str">
        <x:v>IMO-081 | IMO26-007</x:v>
      </x:c>
      <x:c r="H524" s="35" t="str">
        <x:v>Locked-workbook normalized regulatory term</x:v>
      </x:c>
      <x:c r="I524" s="35" t="str">
        <x:v>N4 - preserve the source concept; normalize spelling to ASCII lowerCamelCase</x:v>
      </x:c>
      <x:c r="J524" s="35" t="str">
        <x:v>REUSE_R2_TERM</x:v>
      </x:c>
    </x:row>
    <x:row r="525">
      <x:c r="A525" s="35" t="str">
        <x:v>individualOilFuelTankCapacity</x:v>
      </x:c>
      <x:c r="B525" s="35" t="str">
        <x:v>https://w3id.org/nltl-benchmark/vocab#individualOilFuelTankCapacity</x:v>
      </x:c>
      <x:c r="C525" s="35" t="str">
        <x:v>QuantityProperty</x:v>
      </x:c>
      <x:c r="D525" s="35" t="str">
        <x:v>http://qudt.org/schema/qudt/QuantityValue</x:v>
      </x:c>
      <x:c r="E525" s="35" t="str"/>
      <x:c r="F525" s="35" t="str">
        <x:v>m^3</x:v>
      </x:c>
      <x:c r="G525" s="38" t="str">
        <x:v>IMO-108</x:v>
      </x:c>
      <x:c r="H525" s="35" t="str">
        <x:v>Unit-stripped normalized regulatory variable</x:v>
      </x:c>
      <x:c r="I525" s="35" t="str">
        <x:v>N3 - remove unit from the identifier and retain it in unit/quantity metadata</x:v>
      </x:c>
      <x:c r="J525" s="35" t="str">
        <x:v>REUSE_R2_TERM</x:v>
      </x:c>
    </x:row>
    <x:row r="526">
      <x:c r="A526" s="35" t="str">
        <x:v>individualTankCapacity</x:v>
      </x:c>
      <x:c r="B526" s="35" t="str">
        <x:v>https://w3id.org/nltl-benchmark/vocab#individualTankCapacity</x:v>
      </x:c>
      <x:c r="C526" s="35" t="str">
        <x:v>QuantityProperty</x:v>
      </x:c>
      <x:c r="D526" s="35" t="str">
        <x:v>http://qudt.org/schema/qudt/QuantityValue</x:v>
      </x:c>
      <x:c r="E526" s="35" t="str"/>
      <x:c r="F526" s="35" t="str">
        <x:v>m^3</x:v>
      </x:c>
      <x:c r="G526" s="38" t="str">
        <x:v>IMO-111</x:v>
      </x:c>
      <x:c r="H526" s="35" t="str">
        <x:v>Unit-stripped normalized regulatory variable</x:v>
      </x:c>
      <x:c r="I526" s="35" t="str">
        <x:v>N3 - remove unit from the identifier and retain it in unit/quantity metadata</x:v>
      </x:c>
      <x:c r="J526" s="35" t="str">
        <x:v>REUSE_R2_TERM</x:v>
      </x:c>
    </x:row>
    <x:row r="527">
      <x:c r="A527" s="35" t="str">
        <x:v>inertiaRatioIeIt</x:v>
      </x:c>
      <x:c r="B527" s="35" t="str">
        <x:v>https://w3id.org/nltl-benchmark/vocab#inertiaRatioIeIt</x:v>
      </x:c>
      <x:c r="C527" s="35" t="str">
        <x:v>QuantityProperty</x:v>
      </x:c>
      <x:c r="D527" s="35" t="str">
        <x:v>http://qudt.org/schema/qudt/QuantityValue</x:v>
      </x:c>
      <x:c r="E527" s="35" t="str"/>
      <x:c r="F527" s="35" t="str">
        <x:v>1</x:v>
      </x:c>
      <x:c r="G527" s="38" t="str">
        <x:v>I2-013 | TRF-087 | TRF-099</x:v>
      </x:c>
      <x:c r="H527" s="35" t="str">
        <x:v>Locked-workbook normalized regulatory term</x:v>
      </x:c>
      <x:c r="I527" s="35" t="str">
        <x:v>N4 - preserve the source concept; normalize spelling to ASCII lowerCamelCase</x:v>
      </x:c>
      <x:c r="J527" s="35" t="str">
        <x:v>REUSE_R2_TERM</x:v>
      </x:c>
    </x:row>
    <x:row r="528">
      <x:c r="A528" s="35" t="str">
        <x:v>informationLimitationMeasures</x:v>
      </x:c>
      <x:c r="B528" s="35" t="str">
        <x:v>https://w3id.org/nltl-benchmark/vocab#informationLimitationMeasures</x:v>
      </x:c>
      <x:c r="C528" s="35" t="str">
        <x:v>DatatypeProperty</x:v>
      </x:c>
      <x:c r="D528" s="35" t="str">
        <x:v>http://www.w3.org/2001/XMLSchema#string</x:v>
      </x:c>
      <x:c r="E528" s="35" t="str">
        <x:v>xsd:string</x:v>
      </x:c>
      <x:c r="F528" s="35" t="str"/>
      <x:c r="G528" s="38" t="str">
        <x:v>IMO-027</x:v>
      </x:c>
      <x:c r="H528" s="35" t="str">
        <x:v>Locked-workbook normalized regulatory term</x:v>
      </x:c>
      <x:c r="I528" s="35" t="str">
        <x:v>N4 - preserve the source concept; normalize spelling to ASCII lowerCamelCase</x:v>
      </x:c>
      <x:c r="J528" s="35" t="str">
        <x:v>REUSE_R2_TERM</x:v>
      </x:c>
    </x:row>
    <x:row r="529">
      <x:c r="A529" s="35" t="str">
        <x:v>inletChest</x:v>
      </x:c>
      <x:c r="B529" s="35" t="str">
        <x:v>https://w3id.org/nltl-benchmark/vocab#inletChest</x:v>
      </x:c>
      <x:c r="C529" s="35" t="str">
        <x:v>Class</x:v>
      </x:c>
      <x:c r="D529" s="35" t="str">
        <x:v>https://w3id.org/nltl-benchmark/vocab#machineryComponent</x:v>
      </x:c>
      <x:c r="E529" s="35" t="str"/>
      <x:c r="F529" s="35" t="str"/>
      <x:c r="G529" s="38" t="str">
        <x:v>TRF-131</x:v>
      </x:c>
      <x:c r="H529" s="35" t="str">
        <x:v>Benchmark-coined descriptive engineering term</x:v>
      </x:c>
      <x:c r="I529" s="35" t="str">
        <x:v>N5 - component or subject first, followed by characteristic and qualifier/state; no unsupported external mapping</x:v>
      </x:c>
      <x:c r="J529" s="35" t="str">
        <x:v>REUSE_R2_TERM</x:v>
      </x:c>
    </x:row>
    <x:row r="530">
      <x:c r="A530" s="35" t="str">
        <x:v>inletPipeArea</x:v>
      </x:c>
      <x:c r="B530" s="35" t="str">
        <x:v>https://w3id.org/nltl-benchmark/vocab#inletPipeArea</x:v>
      </x:c>
      <x:c r="C530" s="35" t="str">
        <x:v>QuantityProperty</x:v>
      </x:c>
      <x:c r="D530" s="35" t="str">
        <x:v>http://qudt.org/schema/qudt/QuantityValue</x:v>
      </x:c>
      <x:c r="E530" s="35" t="str"/>
      <x:c r="F530" s="35" t="str">
        <x:v>m^2</x:v>
      </x:c>
      <x:c r="G530" s="38" t="str">
        <x:v>TRF-130</x:v>
      </x:c>
      <x:c r="H530" s="35" t="str">
        <x:v>Unit-stripped normalized regulatory variable</x:v>
      </x:c>
      <x:c r="I530" s="35" t="str">
        <x:v>N3 - remove unit from the identifier and retain it in unit/quantity metadata</x:v>
      </x:c>
      <x:c r="J530" s="35" t="str">
        <x:v>REUSE_R2_TERM</x:v>
      </x:c>
    </x:row>
    <x:row r="531">
      <x:c r="A531" s="35" t="str">
        <x:v>instructionStatus</x:v>
      </x:c>
      <x:c r="B531" s="35" t="str">
        <x:v>https://w3id.org/nltl-benchmark/vocab#instructionStatus</x:v>
      </x:c>
      <x:c r="C531" s="35" t="str">
        <x:v>DatatypeProperty</x:v>
      </x:c>
      <x:c r="D531" s="35" t="str">
        <x:v>http://www.w3.org/2001/XMLSchema#boolean</x:v>
      </x:c>
      <x:c r="E531" s="35" t="str">
        <x:v>xsd:boolean</x:v>
      </x:c>
      <x:c r="F531" s="35" t="str"/>
      <x:c r="G531" s="38" t="str">
        <x:v>IMO-078</x:v>
      </x:c>
      <x:c r="H531" s="35" t="str">
        <x:v>Benchmark-coined descriptive engineering term</x:v>
      </x:c>
      <x:c r="I531" s="35" t="str">
        <x:v>N5 - component or subject first, followed by characteristic and qualifier/state; no unsupported external mapping</x:v>
      </x:c>
      <x:c r="J531" s="35" t="str">
        <x:v>REUSE_R2_TERM</x:v>
      </x:c>
    </x:row>
    <x:row r="532">
      <x:c r="A532" s="35" t="str">
        <x:v>intendedArea</x:v>
      </x:c>
      <x:c r="B532" s="35" t="str">
        <x:v>https://w3id.org/nltl-benchmark/vocab#intendedArea</x:v>
      </x:c>
      <x:c r="C532" s="35" t="str">
        <x:v>DatatypeProperty</x:v>
      </x:c>
      <x:c r="D532" s="35" t="str">
        <x:v>http://www.w3.org/2001/XMLSchema#string</x:v>
      </x:c>
      <x:c r="E532" s="35" t="str">
        <x:v>xsd:string</x:v>
      </x:c>
      <x:c r="F532" s="35" t="str"/>
      <x:c r="G532" s="38" t="str">
        <x:v>IMO26-005</x:v>
      </x:c>
      <x:c r="H532" s="35" t="str">
        <x:v>Locked-workbook normalized regulatory term</x:v>
      </x:c>
      <x:c r="I532" s="35" t="str">
        <x:v>N4 - preserve the source concept; normalize spelling to ASCII lowerCamelCase</x:v>
      </x:c>
      <x:c r="J532" s="35" t="str">
        <x:v>REUSE_R2_TERM</x:v>
      </x:c>
    </x:row>
    <x:row r="533">
      <x:c r="A533" s="35" t="str">
        <x:v>intendedAreaSuitabilityApprovalStatus</x:v>
      </x:c>
      <x:c r="B533" s="35" t="str">
        <x:v>https://w3id.org/nltl-benchmark/vocab#intendedAreaSuitabilityApprovalStatus</x:v>
      </x:c>
      <x:c r="C533" s="35" t="str">
        <x:v>ObjectProperty</x:v>
      </x:c>
      <x:c r="D533" s="35" t="str">
        <x:v>https://w3id.org/nltl-benchmark/vocab#evidenceState</x:v>
      </x:c>
      <x:c r="E533" s="35" t="str"/>
      <x:c r="F533" s="35" t="str"/>
      <x:c r="G533" s="38" t="str">
        <x:v>IMO26-005</x:v>
      </x:c>
      <x:c r="H533" s="35" t="str">
        <x:v>Locked-workbook normalized regulatory term</x:v>
      </x:c>
      <x:c r="I533" s="35" t="str">
        <x:v>N4 - preserve the source concept; normalize spelling to ASCII lowerCamelCase</x:v>
      </x:c>
      <x:c r="J533" s="35" t="str">
        <x:v>REUSE_R2_TERM</x:v>
      </x:c>
    </x:row>
    <x:row r="534">
      <x:c r="A534" s="35" t="str">
        <x:v>intendedOperationCompatibilityStatus</x:v>
      </x:c>
      <x:c r="B534" s="35" t="str">
        <x:v>https://w3id.org/nltl-benchmark/vocab#intendedOperationCompatibilityStatus</x:v>
      </x:c>
      <x:c r="C534" s="35" t="str">
        <x:v>DatatypeProperty</x:v>
      </x:c>
      <x:c r="D534" s="35" t="str">
        <x:v>http://www.w3.org/2001/XMLSchema#boolean</x:v>
      </x:c>
      <x:c r="E534" s="35" t="str">
        <x:v>xsd:boolean</x:v>
      </x:c>
      <x:c r="F534" s="35" t="str"/>
      <x:c r="G534" s="38" t="str">
        <x:v>IMO-053</x:v>
      </x:c>
      <x:c r="H534" s="35" t="str">
        <x:v>Locked-workbook normalized regulatory term</x:v>
      </x:c>
      <x:c r="I534" s="35" t="str">
        <x:v>N4 - preserve the source concept; normalize spelling to ASCII lowerCamelCase</x:v>
      </x:c>
      <x:c r="J534" s="35" t="str">
        <x:v>REUSE_R2_TERM</x:v>
      </x:c>
    </x:row>
    <x:row r="535">
      <x:c r="A535" s="35" t="str">
        <x:v>intendedRouteSeaWaterSalinity</x:v>
      </x:c>
      <x:c r="B535" s="35" t="str">
        <x:v>https://w3id.org/nltl-benchmark/vocab#intendedRouteSeaWaterSalinity</x:v>
      </x:c>
      <x:c r="C535" s="35" t="str">
        <x:v>QuantityProperty</x:v>
      </x:c>
      <x:c r="D535" s="35" t="str">
        <x:v>http://qudt.org/schema/qudt/QuantityValue</x:v>
      </x:c>
      <x:c r="E535" s="35" t="str"/>
      <x:c r="F535" s="35" t="str">
        <x:v>g/kg</x:v>
      </x:c>
      <x:c r="G535" s="38" t="str">
        <x:v>TRF-015</x:v>
      </x:c>
      <x:c r="H535" s="35" t="str">
        <x:v>Applicable TRAFICOM regulation wording plus explicit engineering node/operand role</x:v>
      </x:c>
      <x:c r="I535" s="35" t="str">
        <x:v>N4 - explicit engineering quantity in ASCII lowerCamelCase; formula symbols remain aliases only.</x:v>
      </x:c>
      <x:c r="J535" s="35" t="str">
        <x:v>ADD_DEVELOPMENT_TERM</x:v>
      </x:c>
    </x:row>
    <x:row r="536">
      <x:c r="A536" s="35" t="str">
        <x:v>intendedServicePowerAdequacy</x:v>
      </x:c>
      <x:c r="B536" s="35" t="str">
        <x:v>https://w3id.org/nltl-benchmark/vocab#intendedServicePowerAdequacy</x:v>
      </x:c>
      <x:c r="C536" s="35" t="str">
        <x:v>DatatypeProperty</x:v>
      </x:c>
      <x:c r="D536" s="35" t="str">
        <x:v>http://www.w3.org/2001/XMLSchema#boolean</x:v>
      </x:c>
      <x:c r="E536" s="35" t="str">
        <x:v>xsd:boolean</x:v>
      </x:c>
      <x:c r="F536" s="35" t="str"/>
      <x:c r="G536" s="38" t="str">
        <x:v>TRF-096</x:v>
      </x:c>
      <x:c r="H536" s="35" t="str">
        <x:v>Benchmark-coined descriptive engineering term</x:v>
      </x:c>
      <x:c r="I536" s="35" t="str">
        <x:v>N5 - component or subject first, followed by characteristic and qualifier/state; no unsupported external mapping</x:v>
      </x:c>
      <x:c r="J536" s="35" t="str">
        <x:v>REUSE_R2_TERM</x:v>
      </x:c>
    </x:row>
    <x:row r="537">
      <x:c r="A537" s="35" t="str">
        <x:v>intendedVoyage</x:v>
      </x:c>
      <x:c r="B537" s="35" t="str">
        <x:v>https://w3id.org/nltl-benchmark/vocab#intendedVoyage</x:v>
      </x:c>
      <x:c r="C537" s="35" t="str">
        <x:v>DatatypeProperty</x:v>
      </x:c>
      <x:c r="D537" s="35" t="str">
        <x:v>http://www.w3.org/2001/XMLSchema#string</x:v>
      </x:c>
      <x:c r="E537" s="35" t="str">
        <x:v>xsd:string</x:v>
      </x:c>
      <x:c r="F537" s="35" t="str"/>
      <x:c r="G537" s="38" t="str">
        <x:v>IMO-064</x:v>
      </x:c>
      <x:c r="H537" s="35" t="str">
        <x:v>Locked-workbook normalized regulatory term</x:v>
      </x:c>
      <x:c r="I537" s="35" t="str">
        <x:v>N4 - preserve the source concept; normalize spelling to ASCII lowerCamelCase</x:v>
      </x:c>
      <x:c r="J537" s="35" t="str">
        <x:v>REUSE_R2_TERM</x:v>
      </x:c>
    </x:row>
    <x:row r="538">
      <x:c r="A538" s="35" t="str">
        <x:v>intendedVoyageHazard</x:v>
      </x:c>
      <x:c r="B538" s="35" t="str">
        <x:v>https://w3id.org/nltl-benchmark/vocab#intendedVoyageHazard</x:v>
      </x:c>
      <x:c r="C538" s="35" t="str">
        <x:v>DatatypeProperty</x:v>
      </x:c>
      <x:c r="D538" s="35" t="str">
        <x:v>http://www.w3.org/2001/XMLSchema#string</x:v>
      </x:c>
      <x:c r="E538" s="35" t="str">
        <x:v>xsd:string</x:v>
      </x:c>
      <x:c r="F538" s="35" t="str"/>
      <x:c r="G538" s="38" t="str">
        <x:v>IMO26-017</x:v>
      </x:c>
      <x:c r="H538" s="35" t="str">
        <x:v>Locked-workbook normalized regulatory term</x:v>
      </x:c>
      <x:c r="I538" s="35" t="str">
        <x:v>N4 - preserve the source concept; normalize spelling to ASCII lowerCamelCase</x:v>
      </x:c>
      <x:c r="J538" s="35" t="str">
        <x:v>REUSE_R2_TERM</x:v>
      </x:c>
    </x:row>
    <x:row r="539">
      <x:c r="A539" s="35" t="str">
        <x:v>intermediateIceFrame</x:v>
      </x:c>
      <x:c r="B539" s="35" t="str">
        <x:v>https://w3id.org/nltl-benchmark/vocab#intermediateIceFrame</x:v>
      </x:c>
      <x:c r="C539" s="35" t="str">
        <x:v>Class</x:v>
      </x:c>
      <x:c r="D539" s="35" t="str">
        <x:v>https://w3id.org/nltl-benchmark/vocab#frame</x:v>
      </x:c>
      <x:c r="E539" s="35" t="str"/>
      <x:c r="F539" s="35" t="str"/>
      <x:c r="G539" s="38" t="str">
        <x:v>TRF-046 | TRF-047</x:v>
      </x:c>
      <x:c r="H539" s="35" t="str">
        <x:v>Applicable TRAFICOM regulation wording plus explicit engineering node/operand role</x:v>
      </x:c>
      <x:c r="I539" s="35" t="str">
        <x:v>N4 - singular ASCII lowerCamelCase entity name derived from the linked regulatory role.</x:v>
      </x:c>
      <x:c r="J539" s="35" t="str">
        <x:v>ADD_DEVELOPMENT_TERM</x:v>
      </x:c>
    </x:row>
    <x:row r="540">
      <x:c r="A540" s="35" t="str">
        <x:v>intermediateTransverseFrame</x:v>
      </x:c>
      <x:c r="B540" s="35" t="str">
        <x:v>https://w3id.org/nltl-benchmark/vocab#intermediateTransverseFrame</x:v>
      </x:c>
      <x:c r="C540" s="35" t="str">
        <x:v>Class</x:v>
      </x:c>
      <x:c r="D540" s="35" t="str">
        <x:v>https://w3id.org/nltl-benchmark/vocab#transverseFrame</x:v>
      </x:c>
      <x:c r="E540" s="35" t="str"/>
      <x:c r="F540" s="35" t="str"/>
      <x:c r="G540" s="38" t="str">
        <x:v>TRF-044</x:v>
      </x:c>
      <x:c r="H540" s="35" t="str">
        <x:v>Applicable TRAFICOM regulation wording plus explicit engineering node/operand role</x:v>
      </x:c>
      <x:c r="I540" s="35" t="str">
        <x:v>N4 - singular ASCII lowerCamelCase entity name derived from the linked regulatory role.</x:v>
      </x:c>
      <x:c r="J540" s="35" t="str">
        <x:v>ADD_DEVELOPMENT_TERM</x:v>
      </x:c>
    </x:row>
    <x:row r="541">
      <x:c r="A541" s="35" t="str">
        <x:v>intermediateVerticalPosition</x:v>
      </x:c>
      <x:c r="B541" s="35" t="str">
        <x:v>https://w3id.org/nltl-benchmark/vocab#intermediateVerticalPosition</x:v>
      </x:c>
      <x:c r="C541" s="35" t="str">
        <x:v>NamedIndividual</x:v>
      </x:c>
      <x:c r="D541" s="35" t="str">
        <x:v>https://w3id.org/nltl-benchmark/vocab#loadPositionTypeValue</x:v>
      </x:c>
      <x:c r="E541" s="35" t="str"/>
      <x:c r="F541" s="35" t="str"/>
      <x:c r="G541" s="38" t="str">
        <x:v>TRF-030</x:v>
      </x:c>
      <x:c r="H541" s="35" t="str">
        <x:v>Applicable TRAFICOM regulation wording plus explicit engineering node/operand role</x:v>
      </x:c>
      <x:c r="I541" s="35" t="str">
        <x:v>N6 - concise ASCII lowerCamelCase controlled-value name grounded in the linked regulation.</x:v>
      </x:c>
      <x:c r="J541" s="35" t="str">
        <x:v>ADD_DEVELOPMENT_TERM</x:v>
      </x:c>
    </x:row>
    <x:row r="542">
      <x:c r="A542" s="35" t="str">
        <x:v>internalStructure</x:v>
      </x:c>
      <x:c r="B542" s="35" t="str">
        <x:v>https://w3id.org/nltl-benchmark/vocab#internalStructure</x:v>
      </x:c>
      <x:c r="C542" s="35" t="str">
        <x:v>Class</x:v>
      </x:c>
      <x:c r="D542" s="35" t="str">
        <x:v>https://w3id.org/nltl-benchmark/vocab#hullStructure</x:v>
      </x:c>
      <x:c r="E542" s="35" t="str"/>
      <x:c r="F542" s="35" t="str"/>
      <x:c r="G542" s="38" t="str">
        <x:v>I2-046</x:v>
      </x:c>
      <x:c r="H542" s="35" t="str">
        <x:v>Benchmark-coined descriptive engineering term</x:v>
      </x:c>
      <x:c r="I542" s="35" t="str">
        <x:v>N5 - component or subject first, followed by characteristic and qualifier/state; no unsupported external mapping</x:v>
      </x:c>
      <x:c r="J542" s="35" t="str">
        <x:v>REUSE_R2_TERM</x:v>
      </x:c>
    </x:row>
    <x:row r="543">
      <x:c r="A543" s="35" t="str">
        <x:v>internationalCodeOfSignalsComplianceStatus</x:v>
      </x:c>
      <x:c r="B543" s="35" t="str">
        <x:v>https://w3id.org/nltl-benchmark/vocab#internationalCodeOfSignalsComplianceStatus</x:v>
      </x:c>
      <x:c r="C543" s="35" t="str">
        <x:v>DatatypeProperty</x:v>
      </x:c>
      <x:c r="D543" s="35" t="str">
        <x:v>http://www.w3.org/2001/XMLSchema#boolean</x:v>
      </x:c>
      <x:c r="E543" s="35" t="str">
        <x:v>xsd:boolean</x:v>
      </x:c>
      <x:c r="F543" s="35" t="str"/>
      <x:c r="G543" s="38" t="str">
        <x:v>IMO-094</x:v>
      </x:c>
      <x:c r="H543" s="35" t="str">
        <x:v>Locked-workbook normalized regulatory term</x:v>
      </x:c>
      <x:c r="I543" s="35" t="str">
        <x:v>N4 - preserve the source concept; normalize spelling to ASCII lowerCamelCase</x:v>
      </x:c>
      <x:c r="J543" s="35" t="str">
        <x:v>REUSE_R2_TERM</x:v>
      </x:c>
    </x:row>
    <x:row r="544">
      <x:c r="A544" s="35" t="str">
        <x:v>interpolatedShellPlateRequirement</x:v>
      </x:c>
      <x:c r="B544" s="35" t="str">
        <x:v>https://w3id.org/nltl-benchmark/vocab#interpolatedShellPlateRequirement</x:v>
      </x:c>
      <x:c r="C544" s="35" t="str">
        <x:v>DatatypeProperty</x:v>
      </x:c>
      <x:c r="D544" s="35" t="str">
        <x:v>http://www.w3.org/2001/XMLSchema#boolean</x:v>
      </x:c>
      <x:c r="E544" s="35" t="str">
        <x:v>xsd:boolean</x:v>
      </x:c>
      <x:c r="F544" s="35" t="str"/>
      <x:c r="G544" s="38" t="str">
        <x:v>I2-024</x:v>
      </x:c>
      <x:c r="H544" s="35" t="str">
        <x:v>Benchmark-coined descriptive engineering term</x:v>
      </x:c>
      <x:c r="I544" s="35" t="str">
        <x:v>N5 - component or subject first, followed by characteristic and qualifier/state; no unsupported external mapping</x:v>
      </x:c>
      <x:c r="J544" s="35" t="str">
        <x:v>REUSE_R2_TERM</x:v>
      </x:c>
    </x:row>
    <x:row r="545">
      <x:c r="A545" s="35" t="str">
        <x:v>interpolatedValue</x:v>
      </x:c>
      <x:c r="B545" s="35" t="str">
        <x:v>https://w3id.org/nltl-benchmark/vocab#interpolatedValue</x:v>
      </x:c>
      <x:c r="C545" s="35" t="str">
        <x:v>DatatypeProperty</x:v>
      </x:c>
      <x:c r="D545" s="35" t="str">
        <x:v>http://www.w3.org/2001/XMLSchema#string</x:v>
      </x:c>
      <x:c r="E545" s="35" t="str">
        <x:v>xsd:string</x:v>
      </x:c>
      <x:c r="F545" s="35" t="str"/>
      <x:c r="G545" s="38" t="str">
        <x:v>I2-052</x:v>
      </x:c>
      <x:c r="H545" s="35" t="str">
        <x:v>Benchmark-coined descriptive engineering term</x:v>
      </x:c>
      <x:c r="I545" s="35" t="str">
        <x:v>N5 - component or subject first, followed by characteristic and qualifier/state; no unsupported external mapping</x:v>
      </x:c>
      <x:c r="J545" s="35" t="str">
        <x:v>REUSE_R2_TERM</x:v>
      </x:c>
    </x:row>
    <x:row r="546">
      <x:c r="A546" s="35" t="str">
        <x:v>interpolationInput</x:v>
      </x:c>
      <x:c r="B546" s="35" t="str">
        <x:v>https://w3id.org/nltl-benchmark/vocab#interpolationInput</x:v>
      </x:c>
      <x:c r="C546" s="35" t="str">
        <x:v>DatatypeProperty</x:v>
      </x:c>
      <x:c r="D546" s="35" t="str">
        <x:v>http://www.w3.org/2001/XMLSchema#string</x:v>
      </x:c>
      <x:c r="E546" s="35" t="str">
        <x:v>xsd:string</x:v>
      </x:c>
      <x:c r="F546" s="35" t="str"/>
      <x:c r="G546" s="38" t="str">
        <x:v>I2-052</x:v>
      </x:c>
      <x:c r="H546" s="35" t="str">
        <x:v>Benchmark-coined descriptive engineering term</x:v>
      </x:c>
      <x:c r="I546" s="35" t="str">
        <x:v>N5 - component or subject first, followed by characteristic and qualifier/state; no unsupported external mapping</x:v>
      </x:c>
      <x:c r="J546" s="35" t="str">
        <x:v>REUSE_R2_TERM</x:v>
      </x:c>
    </x:row>
    <x:row r="547">
      <x:c r="A547" s="35" t="str">
        <x:v>isolationCapability</x:v>
      </x:c>
      <x:c r="B547" s="35" t="str">
        <x:v>https://w3id.org/nltl-benchmark/vocab#isolationCapability</x:v>
      </x:c>
      <x:c r="C547" s="35" t="str">
        <x:v>DatatypeProperty</x:v>
      </x:c>
      <x:c r="D547" s="35" t="str">
        <x:v>http://www.w3.org/2001/XMLSchema#boolean</x:v>
      </x:c>
      <x:c r="E547" s="35" t="str">
        <x:v>xsd:boolean</x:v>
      </x:c>
      <x:c r="F547" s="35" t="str"/>
      <x:c r="G547" s="38" t="str">
        <x:v>IMO-058</x:v>
      </x:c>
      <x:c r="H547" s="35" t="str">
        <x:v>Locked-workbook normalized regulatory term</x:v>
      </x:c>
      <x:c r="I547" s="35" t="str">
        <x:v>N4 - preserve the source concept; normalize spelling to ASCII lowerCamelCase</x:v>
      </x:c>
      <x:c r="J547" s="35" t="str">
        <x:v>REUSE_R2_TERM</x:v>
      </x:c>
    </x:row>
    <x:row r="548">
      <x:c r="A548" s="35" t="str">
        <x:v>kilogramPerSquareMetreSquareSecondUnit</x:v>
      </x:c>
      <x:c r="B548" s="35" t="str">
        <x:v>https://w3id.org/nltl-benchmark/vocab#kilogramPerSquareMetreSquareSecondUnit</x:v>
      </x:c>
      <x:c r="C548" s="35" t="str">
        <x:v>NamedIndividual</x:v>
      </x:c>
      <x:c r="D548" s="35" t="str">
        <x:v>http://qudt.org/schema/qudt/Unit</x:v>
      </x:c>
      <x:c r="E548" s="35" t="str"/>
      <x:c r="F548" s="35" t="str"/>
      <x:c r="G548" s="38" t="str">
        <x:v>TRF-022 | TRF-027</x:v>
      </x:c>
      <x:c r="H548" s="35" t="str">
        <x:v>Applicable TRAFICOM regulation wording plus explicit engineering node/operand role</x:v>
      </x:c>
      <x:c r="I548" s="35" t="str">
        <x:v>N6 - concise ASCII lowerCamelCase controlled-value name grounded in the linked regulation.</x:v>
      </x:c>
      <x:c r="J548" s="35" t="str">
        <x:v>ADD_DEVELOPMENT_TERM</x:v>
      </x:c>
    </x:row>
    <x:row r="549">
      <x:c r="A549" s="35" t="str">
        <x:v>kilogramPerSquareSecondUnit</x:v>
      </x:c>
      <x:c r="B549" s="35" t="str">
        <x:v>https://w3id.org/nltl-benchmark/vocab#kilogramPerSquareSecondUnit</x:v>
      </x:c>
      <x:c r="C549" s="35" t="str">
        <x:v>NamedIndividual</x:v>
      </x:c>
      <x:c r="D549" s="35" t="str">
        <x:v>http://qudt.org/schema/qudt/Unit</x:v>
      </x:c>
      <x:c r="E549" s="35" t="str"/>
      <x:c r="F549" s="35" t="str"/>
      <x:c r="G549" s="38" t="str">
        <x:v>TRF-022 | TRF-027</x:v>
      </x:c>
      <x:c r="H549" s="35" t="str">
        <x:v>Applicable TRAFICOM regulation wording plus explicit engineering node/operand role</x:v>
      </x:c>
      <x:c r="I549" s="35" t="str">
        <x:v>N6 - concise ASCII lowerCamelCase controlled-value name grounded in the linked regulation.</x:v>
      </x:c>
      <x:c r="J549" s="35" t="str">
        <x:v>ADD_DEVELOPMENT_TERM</x:v>
      </x:c>
    </x:row>
    <x:row r="550">
      <x:c r="A550" s="35" t="str">
        <x:v>landOriginIceConcentration</x:v>
      </x:c>
      <x:c r="B550" s="35" t="str">
        <x:v>https://w3id.org/nltl-benchmark/vocab#landOriginIceConcentration</x:v>
      </x:c>
      <x:c r="C550" s="35" t="str">
        <x:v>QuantityProperty</x:v>
      </x:c>
      <x:c r="D550" s="35" t="str">
        <x:v>http://qudt.org/schema/qudt/QuantityValue</x:v>
      </x:c>
      <x:c r="E550" s="35" t="str"/>
      <x:c r="F550" s="35" t="str">
        <x:v>1</x:v>
      </x:c>
      <x:c r="G550" s="38" t="str">
        <x:v>IMO-009</x:v>
      </x:c>
      <x:c r="H550" s="35" t="str">
        <x:v>Unit-stripped normalized regulatory variable</x:v>
      </x:c>
      <x:c r="I550" s="35" t="str">
        <x:v>N3 - remove unit from the identifier and retain it in unit/quantity metadata</x:v>
      </x:c>
      <x:c r="J550" s="35" t="str">
        <x:v>REUSE_R2_TERM</x:v>
      </x:c>
    </x:row>
    <x:row r="551">
      <x:c r="A551" s="35" t="str">
        <x:v>launchingApplianceCapacity</x:v>
      </x:c>
      <x:c r="B551" s="35" t="str">
        <x:v>https://w3id.org/nltl-benchmark/vocab#launchingApplianceCapacity</x:v>
      </x:c>
      <x:c r="C551" s="35" t="str">
        <x:v>QuantityProperty</x:v>
      </x:c>
      <x:c r="D551" s="35" t="str">
        <x:v>http://qudt.org/schema/qudt/QuantityValue</x:v>
      </x:c>
      <x:c r="E551" s="35" t="str"/>
      <x:c r="F551" s="35" t="str">
        <x:v>kg</x:v>
      </x:c>
      <x:c r="G551" s="38" t="str">
        <x:v>IMO-077</x:v>
      </x:c>
      <x:c r="H551" s="35" t="str">
        <x:v>Locked-workbook normalized regulatory term</x:v>
      </x:c>
      <x:c r="I551" s="35" t="str">
        <x:v>N4 - preserve the source concept; normalize spelling to ASCII lowerCamelCase</x:v>
      </x:c>
      <x:c r="J551" s="35" t="str">
        <x:v>REUSE_R2_TERM</x:v>
      </x:c>
    </x:row>
    <x:row r="552">
      <x:c r="A552" s="35" t="str">
        <x:v>lengthOverall</x:v>
      </x:c>
      <x:c r="B552" s="35" t="str">
        <x:v>https://w3id.org/nltl-benchmark/vocab#lengthOverall</x:v>
      </x:c>
      <x:c r="C552" s="35" t="str">
        <x:v>QuantityProperty</x:v>
      </x:c>
      <x:c r="D552" s="35" t="str">
        <x:v>http://qudt.org/schema/qudt/QuantityValue</x:v>
      </x:c>
      <x:c r="E552" s="35" t="str"/>
      <x:c r="F552" s="35" t="str">
        <x:v>m</x:v>
      </x:c>
      <x:c r="G552" s="38" t="str">
        <x:v>IMO26-002 | IMO26-016</x:v>
      </x:c>
      <x:c r="H552" s="35" t="str">
        <x:v>Unit-stripped normalized regulatory variable</x:v>
      </x:c>
      <x:c r="I552" s="35" t="str">
        <x:v>N3 - remove unit from the identifier and retain it in unit/quantity metadata</x:v>
      </x:c>
      <x:c r="J552" s="35" t="str">
        <x:v>REUSE_R2_TERM</x:v>
      </x:c>
    </x:row>
    <x:row r="553">
      <x:c r="A553" s="35" t="str">
        <x:v>levelIceThickness</x:v>
      </x:c>
      <x:c r="B553" s="35" t="str">
        <x:v>https://w3id.org/nltl-benchmark/vocab#levelIceThickness</x:v>
      </x:c>
      <x:c r="C553" s="35" t="str">
        <x:v>QuantityProperty</x:v>
      </x:c>
      <x:c r="D553" s="35" t="str">
        <x:v>http://qudt.org/schema/qudt/QuantityValue</x:v>
      </x:c>
      <x:c r="E553" s="35" t="str"/>
      <x:c r="F553" s="35" t="str">
        <x:v>m</x:v>
      </x:c>
      <x:c r="G553" s="38" t="str">
        <x:v>TRF-016 | TRF-036</x:v>
      </x:c>
      <x:c r="H553" s="35" t="str">
        <x:v>Verified exact implementation term</x:v>
      </x:c>
      <x:c r="I553" s="35" t="str">
        <x:v>N1 - reuse only after exact URI and semantic-context verification</x:v>
      </x:c>
      <x:c r="J553" s="35" t="str">
        <x:v>REUSE_R2_TERM</x:v>
      </x:c>
    </x:row>
    <x:row r="554">
      <x:c r="A554" s="35" t="str">
        <x:v>lifeSavingAppliance</x:v>
      </x:c>
      <x:c r="B554" s="35" t="str">
        <x:v>https://w3id.org/nltl-benchmark/vocab#lifeSavingAppliance</x:v>
      </x:c>
      <x:c r="C554" s="35" t="str">
        <x:v>Class</x:v>
      </x:c>
      <x:c r="D554" s="35" t="str">
        <x:v>https://w3id.org/nltl-benchmark/vocab#benchmarkEntity</x:v>
      </x:c>
      <x:c r="E554" s="35" t="str"/>
      <x:c r="F554" s="35" t="str"/>
      <x:c r="G554" s="38" t="str">
        <x:v>IMO-063</x:v>
      </x:c>
      <x:c r="H554" s="35" t="str">
        <x:v>Locked-workbook normalized regulatory term</x:v>
      </x:c>
      <x:c r="I554" s="35" t="str">
        <x:v>N4 - preserve the source concept; normalize spelling to ASCII lowerCamelCase</x:v>
      </x:c>
      <x:c r="J554" s="35" t="str">
        <x:v>REUSE_R2_TERM</x:v>
      </x:c>
    </x:row>
    <x:row r="555">
      <x:c r="A555" s="35" t="str">
        <x:v>lifeboat</x:v>
      </x:c>
      <x:c r="B555" s="35" t="str">
        <x:v>https://w3id.org/nltl-benchmark/vocab#lifeboat</x:v>
      </x:c>
      <x:c r="C555" s="35" t="str">
        <x:v>Class</x:v>
      </x:c>
      <x:c r="D555" s="35" t="str">
        <x:v>https://w3id.org/nltl-benchmark/vocab#benchmarkEntity</x:v>
      </x:c>
      <x:c r="E555" s="35" t="str"/>
      <x:c r="F555" s="35" t="str"/>
      <x:c r="G555" s="38" t="str">
        <x:v>IMO-072 | IMO-073</x:v>
      </x:c>
      <x:c r="H555" s="35" t="str">
        <x:v>Locked-workbook normalized regulatory term</x:v>
      </x:c>
      <x:c r="I555" s="35" t="str">
        <x:v>N4 - preserve the source concept; normalize spelling to ASCII lowerCamelCase</x:v>
      </x:c>
      <x:c r="J555" s="35" t="str">
        <x:v>REUSE_R2_TERM</x:v>
      </x:c>
    </x:row>
    <x:row r="556">
      <x:c r="A556" s="35" t="str">
        <x:v>lifeboatType</x:v>
      </x:c>
      <x:c r="B556" s="35" t="str">
        <x:v>https://w3id.org/nltl-benchmark/vocab#lifeboatType</x:v>
      </x:c>
      <x:c r="C556" s="35" t="str">
        <x:v>DatatypeProperty</x:v>
      </x:c>
      <x:c r="D556" s="35" t="str">
        <x:v>http://www.w3.org/2001/XMLSchema#string</x:v>
      </x:c>
      <x:c r="E556" s="35" t="str">
        <x:v>xsd:string</x:v>
      </x:c>
      <x:c r="F556" s="35" t="str"/>
      <x:c r="G556" s="38" t="str">
        <x:v>IMO-073</x:v>
      </x:c>
      <x:c r="H556" s="35" t="str">
        <x:v>Locked-workbook normalized regulatory term</x:v>
      </x:c>
      <x:c r="I556" s="35" t="str">
        <x:v>N4 - preserve the source concept; normalize spelling to ASCII lowerCamelCase</x:v>
      </x:c>
      <x:c r="J556" s="35" t="str">
        <x:v>REUSE_R2_TERM</x:v>
      </x:c>
    </x:row>
    <x:row r="557">
      <x:c r="A557" s="35" t="str">
        <x:v>lightVisibleFromAstern</x:v>
      </x:c>
      <x:c r="B557" s="35" t="str">
        <x:v>https://w3id.org/nltl-benchmark/vocab#lightVisibleFromAstern</x:v>
      </x:c>
      <x:c r="C557" s="35" t="str">
        <x:v>DatatypeProperty</x:v>
      </x:c>
      <x:c r="D557" s="35" t="str">
        <x:v>http://www.w3.org/2001/XMLSchema#boolean</x:v>
      </x:c>
      <x:c r="E557" s="35" t="str">
        <x:v>xsd:boolean</x:v>
      </x:c>
      <x:c r="F557" s="35" t="str"/>
      <x:c r="G557" s="38" t="str">
        <x:v>IMO-089</x:v>
      </x:c>
      <x:c r="H557" s="35" t="str">
        <x:v>Benchmark-coined descriptive engineering term</x:v>
      </x:c>
      <x:c r="I557" s="35" t="str">
        <x:v>N5 - component or subject first, followed by characteristic and qualifier/state; no unsupported external mapping</x:v>
      </x:c>
      <x:c r="J557" s="35" t="str">
        <x:v>REUSE_R2_TERM</x:v>
      </x:c>
    </x:row>
    <x:row r="558">
      <x:c r="A558" s="35" t="str">
        <x:v>limitationsSectionPresent</x:v>
      </x:c>
      <x:c r="B558" s="35" t="str">
        <x:v>https://w3id.org/nltl-benchmark/vocab#limitationsSectionPresent</x:v>
      </x:c>
      <x:c r="C558" s="35" t="str">
        <x:v>DatatypeProperty</x:v>
      </x:c>
      <x:c r="D558" s="35" t="str">
        <x:v>http://www.w3.org/2001/XMLSchema#boolean</x:v>
      </x:c>
      <x:c r="E558" s="35" t="str">
        <x:v>xsd:boolean</x:v>
      </x:c>
      <x:c r="F558" s="35" t="str"/>
      <x:c r="G558" s="38" t="str">
        <x:v>IMO-022</x:v>
      </x:c>
      <x:c r="H558" s="35" t="str">
        <x:v>Locked-workbook normalized regulatory term</x:v>
      </x:c>
      <x:c r="I558" s="35" t="str">
        <x:v>N4 - preserve the source concept; normalize spelling to ASCII lowerCamelCase</x:v>
      </x:c>
      <x:c r="J558" s="35" t="str">
        <x:v>REUSE_R2_TERM</x:v>
      </x:c>
    </x:row>
    <x:row r="559">
      <x:c r="A559" s="35" t="str">
        <x:v>lineLoad</x:v>
      </x:c>
      <x:c r="B559" s="35" t="str">
        <x:v>https://w3id.org/nltl-benchmark/vocab#lineLoad</x:v>
      </x:c>
      <x:c r="C559" s="35" t="str">
        <x:v>QuantityProperty</x:v>
      </x:c>
      <x:c r="D559" s="35" t="str">
        <x:v>http://qudt.org/schema/qudt/QuantityValue</x:v>
      </x:c>
      <x:c r="E559" s="35" t="str"/>
      <x:c r="F559" s="35" t="str">
        <x:v>kN/m</x:v>
      </x:c>
      <x:c r="G559" s="38" t="str">
        <x:v>I2-008</x:v>
      </x:c>
      <x:c r="H559" s="35" t="str">
        <x:v>Benchmark-coined descriptive engineering term</x:v>
      </x:c>
      <x:c r="I559" s="35" t="str">
        <x:v>N5 - component or subject first, followed by characteristic and qualifier/state; no unsupported external mapping</x:v>
      </x:c>
      <x:c r="J559" s="35" t="str">
        <x:v>REUSE_R2_TERM</x:v>
      </x:c>
    </x:row>
    <x:row r="560">
      <x:c r="A560" s="35" t="str">
        <x:v>liwlDraughtAmidships</x:v>
      </x:c>
      <x:c r="B560" s="35" t="str">
        <x:v>https://w3id.org/nltl-benchmark/vocab#liwlDraughtAmidships</x:v>
      </x:c>
      <x:c r="C560" s="35" t="str">
        <x:v>QuantityProperty</x:v>
      </x:c>
      <x:c r="D560" s="35" t="str">
        <x:v>http://qudt.org/schema/qudt/QuantityValue</x:v>
      </x:c>
      <x:c r="E560" s="35" t="str"/>
      <x:c r="F560" s="35" t="str">
        <x:v>m</x:v>
      </x:c>
      <x:c r="G560" s="38" t="str">
        <x:v>TRF-016</x:v>
      </x:c>
      <x:c r="H560" s="35" t="str">
        <x:v>Unit-stripped normalized regulatory variable</x:v>
      </x:c>
      <x:c r="I560" s="35" t="str">
        <x:v>N3 - remove unit from the identifier and retain it in unit/quantity metadata</x:v>
      </x:c>
      <x:c r="J560" s="35" t="str">
        <x:v>REUSE_R2_TERM</x:v>
      </x:c>
    </x:row>
    <x:row r="561">
      <x:c r="A561" s="35" t="str">
        <x:v>loadCarryingStringer</x:v>
      </x:c>
      <x:c r="B561" s="35" t="str">
        <x:v>https://w3id.org/nltl-benchmark/vocab#loadCarryingStringer</x:v>
      </x:c>
      <x:c r="C561" s="35" t="str">
        <x:v>Class</x:v>
      </x:c>
      <x:c r="D561" s="35" t="str">
        <x:v>https://w3id.org/nltl-benchmark/vocab#hullStructure</x:v>
      </x:c>
      <x:c r="E561" s="35" t="str"/>
      <x:c r="F561" s="35" t="str"/>
      <x:c r="G561" s="38" t="str">
        <x:v>I2-037 | I2-062</x:v>
      </x:c>
      <x:c r="H561" s="35" t="str">
        <x:v>Benchmark-coined descriptive engineering term</x:v>
      </x:c>
      <x:c r="I561" s="35" t="str">
        <x:v>N5 - component or subject first, followed by characteristic and qualifier/state; no unsupported external mapping</x:v>
      </x:c>
      <x:c r="J561" s="35" t="str">
        <x:v>REUSE_R2_TERM</x:v>
      </x:c>
    </x:row>
    <x:row r="562">
      <x:c r="A562" s="35" t="str">
        <x:v>loadLengthDeterminedFromArrangement</x:v>
      </x:c>
      <x:c r="B562" s="35" t="str">
        <x:v>https://w3id.org/nltl-benchmark/vocab#loadLengthDeterminedFromArrangement</x:v>
      </x:c>
      <x:c r="C562" s="35" t="str">
        <x:v>DatatypeProperty</x:v>
      </x:c>
      <x:c r="D562" s="35" t="str">
        <x:v>http://www.w3.org/2001/XMLSchema#boolean</x:v>
      </x:c>
      <x:c r="E562" s="35" t="str">
        <x:v>xsd:boolean</x:v>
      </x:c>
      <x:c r="F562" s="35" t="str"/>
      <x:c r="G562" s="38" t="str">
        <x:v>TRF-030</x:v>
      </x:c>
      <x:c r="H562" s="35" t="str">
        <x:v>Applicable TRAFICOM regulation wording plus explicit engineering node/operand role</x:v>
      </x:c>
      <x:c r="I562" s="35" t="str">
        <x:v>N4 - explicit regulatory concept in ASCII lowerCamelCase with an XSD datatype.</x:v>
      </x:c>
      <x:c r="J562" s="35" t="str">
        <x:v>ADD_DEVELOPMENT_TERM</x:v>
      </x:c>
    </x:row>
    <x:row r="563">
      <x:c r="A563" s="35" t="str">
        <x:v>loadLengthParameter</x:v>
      </x:c>
      <x:c r="B563" s="35" t="str">
        <x:v>https://w3id.org/nltl-benchmark/vocab#loadLengthParameter</x:v>
      </x:c>
      <x:c r="C563" s="35" t="str">
        <x:v>QuantityProperty</x:v>
      </x:c>
      <x:c r="D563" s="35" t="str">
        <x:v>http://qudt.org/schema/qudt/QuantityValue</x:v>
      </x:c>
      <x:c r="E563" s="35" t="str"/>
      <x:c r="F563" s="35" t="str">
        <x:v>m</x:v>
      </x:c>
      <x:c r="G563" s="38" t="str">
        <x:v>TRF-057</x:v>
      </x:c>
      <x:c r="H563" s="35" t="str">
        <x:v>Benchmark-coined descriptive engineering term</x:v>
      </x:c>
      <x:c r="I563" s="35" t="str">
        <x:v>N5 - component or subject first, followed by characteristic and qualifier/state; no unsupported external mapping</x:v>
      </x:c>
      <x:c r="J563" s="35" t="str">
        <x:v>REUSE_R2_TERM</x:v>
      </x:c>
    </x:row>
    <x:row r="564">
      <x:c r="A564" s="35" t="str">
        <x:v>loadPatchApplicationLocation</x:v>
      </x:c>
      <x:c r="B564" s="35" t="str">
        <x:v>https://w3id.org/nltl-benchmark/vocab#loadPatchApplicationLocation</x:v>
      </x:c>
      <x:c r="C564" s="35" t="str">
        <x:v>DatatypeProperty</x:v>
      </x:c>
      <x:c r="D564" s="35" t="str">
        <x:v>http://www.w3.org/2001/XMLSchema#string</x:v>
      </x:c>
      <x:c r="E564" s="35" t="str">
        <x:v>xsd:string</x:v>
      </x:c>
      <x:c r="F564" s="35" t="str"/>
      <x:c r="G564" s="38" t="str">
        <x:v>I2-037</x:v>
      </x:c>
      <x:c r="H564" s="35" t="str">
        <x:v>Benchmark-coined descriptive engineering term</x:v>
      </x:c>
      <x:c r="I564" s="35" t="str">
        <x:v>N5 - component or subject first, followed by characteristic and qualifier/state; no unsupported external mapping</x:v>
      </x:c>
      <x:c r="J564" s="35" t="str">
        <x:v>REUSE_R2_TERM</x:v>
      </x:c>
    </x:row>
    <x:row r="565">
      <x:c r="A565" s="35" t="str">
        <x:v>loadPatchAspectRatio</x:v>
      </x:c>
      <x:c r="B565" s="35" t="str">
        <x:v>https://w3id.org/nltl-benchmark/vocab#loadPatchAspectRatio</x:v>
      </x:c>
      <x:c r="C565" s="35" t="str">
        <x:v>QuantityProperty</x:v>
      </x:c>
      <x:c r="D565" s="35" t="str">
        <x:v>http://qudt.org/schema/qudt/QuantityValue</x:v>
      </x:c>
      <x:c r="E565" s="35" t="str"/>
      <x:c r="F565" s="35" t="str">
        <x:v>1</x:v>
      </x:c>
      <x:c r="G565" s="38" t="str">
        <x:v>I2-009 | I2-011</x:v>
      </x:c>
      <x:c r="H565" s="35" t="str">
        <x:v>Benchmark-coined descriptive engineering term</x:v>
      </x:c>
      <x:c r="I565" s="35" t="str">
        <x:v>N5 - component or subject first, followed by characteristic and qualifier/state; no unsupported external mapping</x:v>
      </x:c>
      <x:c r="J565" s="35" t="str">
        <x:v>REUSE_R2_TERM</x:v>
      </x:c>
    </x:row>
    <x:row r="566">
      <x:c r="A566" s="35" t="str">
        <x:v>loadPatchHeight</x:v>
      </x:c>
      <x:c r="B566" s="35" t="str">
        <x:v>https://w3id.org/nltl-benchmark/vocab#loadPatchHeight</x:v>
      </x:c>
      <x:c r="C566" s="35" t="str">
        <x:v>QuantityProperty</x:v>
      </x:c>
      <x:c r="D566" s="35" t="str">
        <x:v>http://qudt.org/schema/qudt/QuantityValue</x:v>
      </x:c>
      <x:c r="E566" s="35" t="str"/>
      <x:c r="F566" s="35" t="str">
        <x:v>m</x:v>
      </x:c>
      <x:c r="G566" s="38" t="str">
        <x:v>I2-008 | I2-018</x:v>
      </x:c>
      <x:c r="H566" s="35" t="str">
        <x:v>Benchmark-coined descriptive engineering term</x:v>
      </x:c>
      <x:c r="I566" s="35" t="str">
        <x:v>N5 - component or subject first, followed by characteristic and qualifier/state; no unsupported external mapping</x:v>
      </x:c>
      <x:c r="J566" s="35" t="str">
        <x:v>REUSE_R2_TERM</x:v>
      </x:c>
    </x:row>
    <x:row r="567">
      <x:c r="A567" s="35" t="str">
        <x:v>loadPatchLength</x:v>
      </x:c>
      <x:c r="B567" s="35" t="str">
        <x:v>https://w3id.org/nltl-benchmark/vocab#loadPatchLength</x:v>
      </x:c>
      <x:c r="C567" s="35" t="str">
        <x:v>QuantityProperty</x:v>
      </x:c>
      <x:c r="D567" s="35" t="str">
        <x:v>http://qudt.org/schema/qudt/QuantityValue</x:v>
      </x:c>
      <x:c r="E567" s="35" t="str"/>
      <x:c r="F567" s="35" t="str">
        <x:v>m</x:v>
      </x:c>
      <x:c r="G567" s="38" t="str">
        <x:v>I2-008 | I2-018</x:v>
      </x:c>
      <x:c r="H567" s="35" t="str">
        <x:v>Benchmark-coined descriptive engineering term</x:v>
      </x:c>
      <x:c r="I567" s="35" t="str">
        <x:v>N5 - component or subject first, followed by characteristic and qualifier/state; no unsupported external mapping</x:v>
      </x:c>
      <x:c r="J567" s="35" t="str">
        <x:v>REUSE_R2_TERM</x:v>
      </x:c>
    </x:row>
    <x:row r="568">
      <x:c r="A568" s="35" t="str">
        <x:v>loadPositionTypeValue</x:v>
      </x:c>
      <x:c r="B568" s="35" t="str">
        <x:v>https://w3id.org/nltl-benchmark/vocab#loadPositionTypeValue</x:v>
      </x:c>
      <x:c r="C568" s="35" t="str">
        <x:v>Class</x:v>
      </x:c>
      <x:c r="D568" s="35" t="str">
        <x:v>https://w3id.org/nltl-benchmark/vocab#benchmarkEntity</x:v>
      </x:c>
      <x:c r="E568" s="35" t="str"/>
      <x:c r="F568" s="35" t="str"/>
      <x:c r="G568" s="38" t="str">
        <x:v>TRF-030</x:v>
      </x:c>
      <x:c r="H568" s="35" t="str">
        <x:v>Applicable TRAFICOM regulation wording plus explicit engineering node/operand role</x:v>
      </x:c>
      <x:c r="I568" s="35" t="str">
        <x:v>N4 - singular ASCII lowerCamelCase entity name derived from the linked regulatory role.</x:v>
      </x:c>
      <x:c r="J568" s="35" t="str">
        <x:v>ADD_DEVELOPMENT_TERM</x:v>
      </x:c>
    </x:row>
    <x:row r="569">
      <x:c r="A569" s="35" t="str">
        <x:v>loadSpectrumShapeParameter</x:v>
      </x:c>
      <x:c r="B569" s="35" t="str">
        <x:v>https://w3id.org/nltl-benchmark/vocab#loadSpectrumShapeParameter</x:v>
      </x:c>
      <x:c r="C569" s="35" t="str">
        <x:v>QuantityProperty</x:v>
      </x:c>
      <x:c r="D569" s="35" t="str">
        <x:v>http://qudt.org/schema/qudt/QuantityValue</x:v>
      </x:c>
      <x:c r="E569" s="35" t="str"/>
      <x:c r="F569" s="35" t="str">
        <x:v>1</x:v>
      </x:c>
      <x:c r="G569" s="38" t="str">
        <x:v>TRF-077</x:v>
      </x:c>
      <x:c r="H569" s="35" t="str">
        <x:v>Benchmark-coined descriptive engineering term</x:v>
      </x:c>
      <x:c r="I569" s="35" t="str">
        <x:v>N5 - component or subject first, followed by characteristic and qualifier/state; no unsupported external mapping</x:v>
      </x:c>
      <x:c r="J569" s="35" t="str">
        <x:v>REUSE_R2_TERM</x:v>
      </x:c>
    </x:row>
    <x:row r="570">
      <x:c r="A570" s="35" t="str">
        <x:v>loadedSurvivalCraftRequirement</x:v>
      </x:c>
      <x:c r="B570" s="35" t="str">
        <x:v>https://w3id.org/nltl-benchmark/vocab#loadedSurvivalCraftRequirement</x:v>
      </x:c>
      <x:c r="C570" s="35" t="str">
        <x:v>QuantityProperty</x:v>
      </x:c>
      <x:c r="D570" s="35" t="str">
        <x:v>http://qudt.org/schema/qudt/QuantityValue</x:v>
      </x:c>
      <x:c r="E570" s="35" t="str"/>
      <x:c r="F570" s="35" t="str">
        <x:v>kg</x:v>
      </x:c>
      <x:c r="G570" s="38" t="str">
        <x:v>IMO-077</x:v>
      </x:c>
      <x:c r="H570" s="35" t="str">
        <x:v>Locked-workbook normalized regulatory term</x:v>
      </x:c>
      <x:c r="I570" s="35" t="str">
        <x:v>N4 - preserve the source concept; normalize spelling to ASCII lowerCamelCase</x:v>
      </x:c>
      <x:c r="J570" s="35" t="str">
        <x:v>REUSE_R2_TERM</x:v>
      </x:c>
    </x:row>
    <x:row r="571">
      <x:c r="A571" s="35" t="str">
        <x:v>loadingCalculationSeaWaterSalinity</x:v>
      </x:c>
      <x:c r="B571" s="35" t="str">
        <x:v>https://w3id.org/nltl-benchmark/vocab#loadingCalculationSeaWaterSalinity</x:v>
      </x:c>
      <x:c r="C571" s="35" t="str">
        <x:v>QuantityProperty</x:v>
      </x:c>
      <x:c r="D571" s="35" t="str">
        <x:v>http://qudt.org/schema/qudt/QuantityValue</x:v>
      </x:c>
      <x:c r="E571" s="35" t="str"/>
      <x:c r="F571" s="35" t="str">
        <x:v>g/kg</x:v>
      </x:c>
      <x:c r="G571" s="38" t="str">
        <x:v>TRF-015</x:v>
      </x:c>
      <x:c r="H571" s="35" t="str">
        <x:v>Applicable TRAFICOM regulation wording plus explicit engineering node/operand role</x:v>
      </x:c>
      <x:c r="I571" s="35" t="str">
        <x:v>N4 - explicit engineering quantity in ASCII lowerCamelCase; formula symbols remain aliases only.</x:v>
      </x:c>
      <x:c r="J571" s="35" t="str">
        <x:v>ADD_DEVELOPMENT_TERM</x:v>
      </x:c>
    </x:row>
    <x:row r="572">
      <x:c r="A572" s="35" t="str">
        <x:v>loadingCondition</x:v>
      </x:c>
      <x:c r="B572" s="35" t="str">
        <x:v>https://w3id.org/nltl-benchmark/vocab#loadingCondition</x:v>
      </x:c>
      <x:c r="C572" s="35" t="str">
        <x:v>DatatypeProperty</x:v>
      </x:c>
      <x:c r="D572" s="35" t="str">
        <x:v>http://www.w3.org/2001/XMLSchema#string</x:v>
      </x:c>
      <x:c r="E572" s="35" t="str">
        <x:v>xsd:string</x:v>
      </x:c>
      <x:c r="F572" s="35" t="str"/>
      <x:c r="G572" s="38" t="str">
        <x:v>IMO-037</x:v>
      </x:c>
      <x:c r="H572" s="35" t="str">
        <x:v>Locked-workbook normalized regulatory term</x:v>
      </x:c>
      <x:c r="I572" s="35" t="str">
        <x:v>N4 - preserve the source concept; normalize spelling to ASCII lowerCamelCase</x:v>
      </x:c>
      <x:c r="J572" s="35" t="str">
        <x:v>REUSE_R2_TERM</x:v>
      </x:c>
    </x:row>
    <x:row r="573">
      <x:c r="A573" s="35" t="str">
        <x:v>localControl</x:v>
      </x:c>
      <x:c r="B573" s="35" t="str">
        <x:v>https://w3id.org/nltl-benchmark/vocab#localControl</x:v>
      </x:c>
      <x:c r="C573" s="35" t="str">
        <x:v>DatatypeProperty</x:v>
      </x:c>
      <x:c r="D573" s="35" t="str">
        <x:v>http://www.w3.org/2001/XMLSchema#boolean</x:v>
      </x:c>
      <x:c r="E573" s="35" t="str">
        <x:v>xsd:boolean</x:v>
      </x:c>
      <x:c r="F573" s="35" t="str"/>
      <x:c r="G573" s="38" t="str">
        <x:v>IMO-051</x:v>
      </x:c>
      <x:c r="H573" s="35" t="str">
        <x:v>Locked-workbook normalized regulatory term</x:v>
      </x:c>
      <x:c r="I573" s="35" t="str">
        <x:v>N4 - preserve the source concept; normalize spelling to ASCII lowerCamelCase</x:v>
      </x:c>
      <x:c r="J573" s="35" t="str">
        <x:v>REUSE_R2_TERM</x:v>
      </x:c>
    </x:row>
    <x:row r="574">
      <x:c r="A574" s="35" t="str">
        <x:v>localFrame</x:v>
      </x:c>
      <x:c r="B574" s="35" t="str">
        <x:v>https://w3id.org/nltl-benchmark/vocab#localFrame</x:v>
      </x:c>
      <x:c r="C574" s="35" t="str">
        <x:v>Class</x:v>
      </x:c>
      <x:c r="D574" s="35" t="str">
        <x:v>https://w3id.org/nltl-benchmark/vocab#hullStructure</x:v>
      </x:c>
      <x:c r="E574" s="35" t="str"/>
      <x:c r="F574" s="35" t="str"/>
      <x:c r="G574" s="38" t="str">
        <x:v>I2-031</x:v>
      </x:c>
      <x:c r="H574" s="35" t="str">
        <x:v>Benchmark-coined descriptive engineering term</x:v>
      </x:c>
      <x:c r="I574" s="35" t="str">
        <x:v>N5 - component or subject first, followed by characteristic and qualifier/state; no unsupported external mapping</x:v>
      </x:c>
      <x:c r="J574" s="35" t="str">
        <x:v>REUSE_R2_TERM</x:v>
      </x:c>
    </x:row>
    <x:row r="575">
      <x:c r="A575" s="35" t="str">
        <x:v>localIcePressure</x:v>
      </x:c>
      <x:c r="B575" s="35" t="str">
        <x:v>https://w3id.org/nltl-benchmark/vocab#localIcePressure</x:v>
      </x:c>
      <x:c r="C575" s="35" t="str">
        <x:v>QuantityProperty</x:v>
      </x:c>
      <x:c r="D575" s="35" t="str">
        <x:v>http://qudt.org/schema/qudt/QuantityValue</x:v>
      </x:c>
      <x:c r="E575" s="35" t="str"/>
      <x:c r="F575" s="35" t="str">
        <x:v>MPa</x:v>
      </x:c>
      <x:c r="G575" s="38" t="str">
        <x:v>I2-008 | TRF-070</x:v>
      </x:c>
      <x:c r="H575" s="35" t="str">
        <x:v>Benchmark-coined descriptive engineering term</x:v>
      </x:c>
      <x:c r="I575" s="35" t="str">
        <x:v>N5 - component or subject first, followed by characteristic and qualifier/state; no unsupported external mapping</x:v>
      </x:c>
      <x:c r="J575" s="35" t="str">
        <x:v>REUSE_R2_TERM</x:v>
      </x:c>
    </x:row>
    <x:row r="576">
      <x:c r="A576" s="35" t="str">
        <x:v>localStressConcentration</x:v>
      </x:c>
      <x:c r="B576" s="35" t="str">
        <x:v>https://w3id.org/nltl-benchmark/vocab#localStressConcentration</x:v>
      </x:c>
      <x:c r="C576" s="35" t="str">
        <x:v>QuantityProperty</x:v>
      </x:c>
      <x:c r="D576" s="35" t="str">
        <x:v>http://qudt.org/schema/qudt/QuantityValue</x:v>
      </x:c>
      <x:c r="E576" s="35" t="str"/>
      <x:c r="F576" s="35" t="str">
        <x:v>1</x:v>
      </x:c>
      <x:c r="G576" s="38" t="str">
        <x:v>TRF-118</x:v>
      </x:c>
      <x:c r="H576" s="35" t="str">
        <x:v>Benchmark-coined descriptive engineering term</x:v>
      </x:c>
      <x:c r="I576" s="35" t="str">
        <x:v>N5 - component or subject first, followed by characteristic and qualifier/state; no unsupported external mapping</x:v>
      </x:c>
      <x:c r="J576" s="35" t="str">
        <x:v>REUSE_R2_TERM</x:v>
      </x:c>
    </x:row>
    <x:row r="577">
      <x:c r="A577" s="35" t="str">
        <x:v>locatedOutsideIceBelt</x:v>
      </x:c>
      <x:c r="B577" s="35" t="str">
        <x:v>https://w3id.org/nltl-benchmark/vocab#locatedOutsideIceBelt</x:v>
      </x:c>
      <x:c r="C577" s="35" t="str">
        <x:v>DatatypeProperty</x:v>
      </x:c>
      <x:c r="D577" s="35" t="str">
        <x:v>http://www.w3.org/2001/XMLSchema#boolean</x:v>
      </x:c>
      <x:c r="E577" s="35" t="str">
        <x:v>xsd:boolean</x:v>
      </x:c>
      <x:c r="F577" s="35" t="str"/>
      <x:c r="G577" s="38" t="str">
        <x:v>TRF-054</x:v>
      </x:c>
      <x:c r="H577" s="35" t="str">
        <x:v>Applicable TRAFICOM regulation wording plus explicit engineering node/operand role</x:v>
      </x:c>
      <x:c r="I577" s="35" t="str">
        <x:v>N4 - explicit regulatory concept in ASCII lowerCamelCase with an XSD datatype.</x:v>
      </x:c>
      <x:c r="J577" s="35" t="str">
        <x:v>ADD_DEVELOPMENT_TERM</x:v>
      </x:c>
    </x:row>
    <x:row r="578">
      <x:c r="A578" s="35" t="str">
        <x:v>locatedWithinIceBelt</x:v>
      </x:c>
      <x:c r="B578" s="35" t="str">
        <x:v>https://w3id.org/nltl-benchmark/vocab#locatedWithinIceBelt</x:v>
      </x:c>
      <x:c r="C578" s="35" t="str">
        <x:v>DatatypeProperty</x:v>
      </x:c>
      <x:c r="D578" s="35" t="str">
        <x:v>http://www.w3.org/2001/XMLSchema#boolean</x:v>
      </x:c>
      <x:c r="E578" s="35" t="str">
        <x:v>xsd:boolean</x:v>
      </x:c>
      <x:c r="F578" s="35" t="str"/>
      <x:c r="G578" s="38" t="str">
        <x:v>TRF-053</x:v>
      </x:c>
      <x:c r="H578" s="35" t="str">
        <x:v>Applicable TRAFICOM regulation wording plus explicit engineering node/operand role</x:v>
      </x:c>
      <x:c r="I578" s="35" t="str">
        <x:v>N4 - explicit regulatory concept in ASCII lowerCamelCase with an XSD datatype.</x:v>
      </x:c>
      <x:c r="J578" s="35" t="str">
        <x:v>ADD_DEVELOPMENT_TERM</x:v>
      </x:c>
    </x:row>
    <x:row r="579">
      <x:c r="A579" s="35" t="str">
        <x:v>locationSignalDeviceCount</x:v>
      </x:c>
      <x:c r="B579" s="35" t="str">
        <x:v>https://w3id.org/nltl-benchmark/vocab#locationSignalDeviceCount</x:v>
      </x:c>
      <x:c r="C579" s="35" t="str">
        <x:v>DatatypeProperty</x:v>
      </x:c>
      <x:c r="D579" s="35" t="str">
        <x:v>http://www.w3.org/2001/XMLSchema#integer</x:v>
      </x:c>
      <x:c r="E579" s="35" t="str">
        <x:v>xsd:integer</x:v>
      </x:c>
      <x:c r="F579" s="35" t="str"/>
      <x:c r="G579" s="38" t="str">
        <x:v>IMO-097 | IMO-098</x:v>
      </x:c>
      <x:c r="H579" s="35" t="str">
        <x:v>Locked-workbook normalized regulatory term</x:v>
      </x:c>
      <x:c r="I579" s="35" t="str">
        <x:v>N4 - preserve the source concept; normalize spelling to ASCII lowerCamelCase</x:v>
      </x:c>
      <x:c r="J579" s="35" t="str">
        <x:v>REUSE_R2_TERM</x:v>
      </x:c>
    </x:row>
    <x:row r="580">
      <x:c r="A580" s="35" t="str">
        <x:v>longitudinalDamageExtent</x:v>
      </x:c>
      <x:c r="B580" s="35" t="str">
        <x:v>https://w3id.org/nltl-benchmark/vocab#longitudinalDamageExtent</x:v>
      </x:c>
      <x:c r="C580" s="35" t="str">
        <x:v>QuantityProperty</x:v>
      </x:c>
      <x:c r="D580" s="35" t="str">
        <x:v>http://qudt.org/schema/qudt/QuantityValue</x:v>
      </x:c>
      <x:c r="E580" s="35" t="str"/>
      <x:c r="F580" s="35" t="str">
        <x:v>m</x:v>
      </x:c>
      <x:c r="G580" s="38" t="str">
        <x:v>IMO-038</x:v>
      </x:c>
      <x:c r="H580" s="35" t="str">
        <x:v>Locked-workbook normalized regulatory term</x:v>
      </x:c>
      <x:c r="I580" s="35" t="str">
        <x:v>N4 - preserve the source concept; normalize spelling to ASCII lowerCamelCase</x:v>
      </x:c>
      <x:c r="J580" s="35" t="str">
        <x:v>REUSE_R2_TERM</x:v>
      </x:c>
    </x:row>
    <x:row r="581">
      <x:c r="A581" s="35" t="str">
        <x:v>longitudinalDistributionFactor</x:v>
      </x:c>
      <x:c r="B581" s="35" t="str">
        <x:v>https://w3id.org/nltl-benchmark/vocab#longitudinalDistributionFactor</x:v>
      </x:c>
      <x:c r="C581" s="35" t="str">
        <x:v>QuantityProperty</x:v>
      </x:c>
      <x:c r="D581" s="35" t="str">
        <x:v>http://qudt.org/schema/qudt/QuantityValue</x:v>
      </x:c>
      <x:c r="E581" s="35" t="str"/>
      <x:c r="F581" s="35" t="str">
        <x:v>1</x:v>
      </x:c>
      <x:c r="G581" s="38" t="str">
        <x:v>I2-051</x:v>
      </x:c>
      <x:c r="H581" s="35" t="str">
        <x:v>Benchmark-coined descriptive engineering term</x:v>
      </x:c>
      <x:c r="I581" s="35" t="str">
        <x:v>N5 - component or subject first, followed by characteristic and qualifier/state; no unsupported external mapping</x:v>
      </x:c>
      <x:c r="J581" s="35" t="str">
        <x:v>REUSE_R2_TERM</x:v>
      </x:c>
    </x:row>
    <x:row r="582">
      <x:c r="A582" s="35" t="str">
        <x:v>longitudinalFrame</x:v>
      </x:c>
      <x:c r="B582" s="35" t="str">
        <x:v>https://w3id.org/nltl-benchmark/vocab#longitudinalFrame</x:v>
      </x:c>
      <x:c r="C582" s="35" t="str">
        <x:v>Class</x:v>
      </x:c>
      <x:c r="D582" s="35" t="str">
        <x:v>https://w3id.org/nltl-benchmark/vocab#frame</x:v>
      </x:c>
      <x:c r="E582" s="35" t="str"/>
      <x:c r="F582" s="35" t="str"/>
      <x:c r="G582" s="38" t="str">
        <x:v>TRF-048 | TRF-049</x:v>
      </x:c>
      <x:c r="H582" s="35" t="str">
        <x:v>Applicable TRAFICOM regulation wording plus explicit engineering node/operand role</x:v>
      </x:c>
      <x:c r="I582" s="35" t="str">
        <x:v>N4 - singular ASCII lowerCamelCase entity name derived from the linked regulatory role.</x:v>
      </x:c>
      <x:c r="J582" s="35" t="str">
        <x:v>ADD_DEVELOPMENT_TERM</x:v>
      </x:c>
    </x:row>
    <x:row r="583">
      <x:c r="A583" s="35" t="str">
        <x:v>longitudinalFrameLoadDistributionFactorF4</x:v>
      </x:c>
      <x:c r="B583" s="35" t="str">
        <x:v>https://w3id.org/nltl-benchmark/vocab#longitudinalFrameLoadDistributionFactorF4</x:v>
      </x:c>
      <x:c r="C583" s="35" t="str">
        <x:v>QuantityProperty</x:v>
      </x:c>
      <x:c r="D583" s="35" t="str">
        <x:v>http://qudt.org/schema/qudt/QuantityValue</x:v>
      </x:c>
      <x:c r="E583" s="35" t="str"/>
      <x:c r="F583" s="35" t="str">
        <x:v>1</x:v>
      </x:c>
      <x:c r="G583" s="38" t="str">
        <x:v>TRF-048</x:v>
      </x:c>
      <x:c r="H583" s="35" t="str">
        <x:v>Applicable TRAFICOM regulation wording plus explicit engineering node/operand role</x:v>
      </x:c>
      <x:c r="I583" s="35" t="str">
        <x:v>N4 - explicit engineering quantity in ASCII lowerCamelCase; formula symbols remain aliases only.</x:v>
      </x:c>
      <x:c r="J583" s="35" t="str">
        <x:v>ADD_DEVELOPMENT_TERM</x:v>
      </x:c>
    </x:row>
    <x:row r="584">
      <x:c r="A584" s="35" t="str">
        <x:v>longitudinalFrameShearFactorF5</x:v>
      </x:c>
      <x:c r="B584" s="35" t="str">
        <x:v>https://w3id.org/nltl-benchmark/vocab#longitudinalFrameShearFactorF5</x:v>
      </x:c>
      <x:c r="C584" s="35" t="str">
        <x:v>QuantityProperty</x:v>
      </x:c>
      <x:c r="D584" s="35" t="str">
        <x:v>http://qudt.org/schema/qudt/QuantityValue</x:v>
      </x:c>
      <x:c r="E584" s="35" t="str"/>
      <x:c r="F584" s="35" t="str">
        <x:v>1</x:v>
      </x:c>
      <x:c r="G584" s="38" t="str">
        <x:v>TRF-048</x:v>
      </x:c>
      <x:c r="H584" s="35" t="str">
        <x:v>Applicable TRAFICOM regulation wording plus explicit engineering node/operand role</x:v>
      </x:c>
      <x:c r="I584" s="35" t="str">
        <x:v>N4 - explicit engineering quantity in ASCII lowerCamelCase; formula symbols remain aliases only.</x:v>
      </x:c>
      <x:c r="J584" s="35" t="str">
        <x:v>ADD_DEVELOPMENT_TERM</x:v>
      </x:c>
    </x:row>
    <x:row r="585">
      <x:c r="A585" s="35" t="str">
        <x:v>longitudinalFramingLoadSource</x:v>
      </x:c>
      <x:c r="B585" s="35" t="str">
        <x:v>https://w3id.org/nltl-benchmark/vocab#longitudinalFramingLoadSource</x:v>
      </x:c>
      <x:c r="C585" s="35" t="str">
        <x:v>NamedIndividual</x:v>
      </x:c>
      <x:c r="D585" s="35" t="str">
        <x:v>https://w3id.org/nltl-benchmark/vocab#iceLoadSourceTypeValue</x:v>
      </x:c>
      <x:c r="E585" s="35" t="str"/>
      <x:c r="F585" s="35" t="str"/>
      <x:c r="G585" s="38" t="str">
        <x:v>TRF-057</x:v>
      </x:c>
      <x:c r="H585" s="35" t="str">
        <x:v>Applicable TRAFICOM regulation wording plus explicit engineering node/operand role</x:v>
      </x:c>
      <x:c r="I585" s="35" t="str">
        <x:v>N6 - concise ASCII lowerCamelCase controlled-value name grounded in the linked regulation.</x:v>
      </x:c>
      <x:c r="J585" s="35" t="str">
        <x:v>ADD_DEVELOPMENT_TERM</x:v>
      </x:c>
    </x:row>
    <x:row r="586">
      <x:c r="A586" s="35" t="str">
        <x:v>longitudinalFramingOrientation</x:v>
      </x:c>
      <x:c r="B586" s="35" t="str">
        <x:v>https://w3id.org/nltl-benchmark/vocab#longitudinalFramingOrientation</x:v>
      </x:c>
      <x:c r="C586" s="35" t="str">
        <x:v>NamedIndividual</x:v>
      </x:c>
      <x:c r="D586" s="35" t="str">
        <x:v>https://w3id.org/nltl-benchmark/vocab#platingFramingOrientationValue</x:v>
      </x:c>
      <x:c r="E586" s="35" t="str"/>
      <x:c r="F586" s="35" t="str"/>
      <x:c r="G586" s="38" t="str">
        <x:v>TRF-041</x:v>
      </x:c>
      <x:c r="H586" s="35" t="str">
        <x:v>Applicable TRAFICOM regulation wording plus explicit engineering node/operand role</x:v>
      </x:c>
      <x:c r="I586" s="35" t="str">
        <x:v>N6 - concise ASCII lowerCamelCase controlled-value name grounded in the linked regulation.</x:v>
      </x:c>
      <x:c r="J586" s="35" t="str">
        <x:v>ADD_DEVELOPMENT_TERM</x:v>
      </x:c>
    </x:row>
    <x:row r="587">
      <x:c r="A587" s="35" t="str">
        <x:v>longitudinalLocalFrame</x:v>
      </x:c>
      <x:c r="B587" s="35" t="str">
        <x:v>https://w3id.org/nltl-benchmark/vocab#longitudinalLocalFrame</x:v>
      </x:c>
      <x:c r="C587" s="35" t="str">
        <x:v>Class</x:v>
      </x:c>
      <x:c r="D587" s="35" t="str">
        <x:v>https://w3id.org/nltl-benchmark/vocab#hullStructure</x:v>
      </x:c>
      <x:c r="E587" s="35" t="str"/>
      <x:c r="F587" s="35" t="str"/>
      <x:c r="G587" s="38" t="str">
        <x:v>I2-034</x:v>
      </x:c>
      <x:c r="H587" s="35" t="str">
        <x:v>Benchmark-coined descriptive engineering term</x:v>
      </x:c>
      <x:c r="I587" s="35" t="str">
        <x:v>N5 - component or subject first, followed by characteristic and qualifier/state; no unsupported external mapping</x:v>
      </x:c>
      <x:c r="J587" s="35" t="str">
        <x:v>REUSE_R2_TERM</x:v>
      </x:c>
    </x:row>
    <x:row r="588">
      <x:c r="A588" s="35" t="str">
        <x:v>longitudinalPlatingFactorF2</x:v>
      </x:c>
      <x:c r="B588" s="35" t="str">
        <x:v>https://w3id.org/nltl-benchmark/vocab#longitudinalPlatingFactorF2</x:v>
      </x:c>
      <x:c r="C588" s="35" t="str">
        <x:v>QuantityProperty</x:v>
      </x:c>
      <x:c r="D588" s="35" t="str">
        <x:v>http://qudt.org/schema/qudt/QuantityValue</x:v>
      </x:c>
      <x:c r="E588" s="35" t="str"/>
      <x:c r="F588" s="35" t="str">
        <x:v>1</x:v>
      </x:c>
      <x:c r="G588" s="38" t="str">
        <x:v>TRF-041 | TRF-042</x:v>
      </x:c>
      <x:c r="H588" s="35" t="str">
        <x:v>Applicable TRAFICOM regulation wording plus explicit engineering node/operand role</x:v>
      </x:c>
      <x:c r="I588" s="35" t="str">
        <x:v>N4 - explicit engineering quantity in ASCII lowerCamelCase; formula symbols remain aliases only.</x:v>
      </x:c>
      <x:c r="J588" s="35" t="str">
        <x:v>ADD_DEVELOPMENT_TERM</x:v>
      </x:c>
    </x:row>
    <x:row r="589">
      <x:c r="A589" s="35" t="str">
        <x:v>longitudinalPosition</x:v>
      </x:c>
      <x:c r="B589" s="35" t="str">
        <x:v>https://w3id.org/nltl-benchmark/vocab#longitudinalPosition</x:v>
      </x:c>
      <x:c r="C589" s="35" t="str">
        <x:v>QuantityProperty</x:v>
      </x:c>
      <x:c r="D589" s="35" t="str">
        <x:v>http://qudt.org/schema/qudt/QuantityValue</x:v>
      </x:c>
      <x:c r="E589" s="35" t="str"/>
      <x:c r="F589" s="35" t="str">
        <x:v>m</x:v>
      </x:c>
      <x:c r="G589" s="38" t="str">
        <x:v>TRF-011 | TRF-012</x:v>
      </x:c>
      <x:c r="H589" s="35" t="str">
        <x:v>Applicable TRAFICOM regulation wording plus explicit engineering node/operand role</x:v>
      </x:c>
      <x:c r="I589" s="35" t="str">
        <x:v>N4 - explicit engineering quantity in ASCII lowerCamelCase; formula symbols remain aliases only.</x:v>
      </x:c>
      <x:c r="J589" s="35" t="str">
        <x:v>ADD_DEVELOPMENT_TERM</x:v>
      </x:c>
    </x:row>
    <x:row r="590">
      <x:c r="A590" s="35" t="str">
        <x:v>lowerIceWaterline</x:v>
      </x:c>
      <x:c r="B590" s="35" t="str">
        <x:v>https://w3id.org/nltl-benchmark/vocab#lowerIceWaterline</x:v>
      </x:c>
      <x:c r="C590" s="35" t="str">
        <x:v>DatatypeProperty</x:v>
      </x:c>
      <x:c r="D590" s="35" t="str">
        <x:v>http://www.w3.org/2001/XMLSchema#string</x:v>
      </x:c>
      <x:c r="E590" s="35" t="str">
        <x:v>xsd:string</x:v>
      </x:c>
      <x:c r="F590" s="35" t="str"/>
      <x:c r="G590" s="38" t="str">
        <x:v>TRF-012 | TRF-016 | TRF-020 | TRF-030 | TRF-066</x:v>
      </x:c>
      <x:c r="H590" s="35" t="str">
        <x:v>Verified exact implementation term</x:v>
      </x:c>
      <x:c r="I590" s="35" t="str">
        <x:v>N1 - reuse only after exact URI and semantic-context verification</x:v>
      </x:c>
      <x:c r="J590" s="35" t="str">
        <x:v>REUSE_R2_TERM</x:v>
      </x:c>
    </x:row>
    <x:row r="591">
      <x:c r="A591" s="35" t="str">
        <x:v>lowerIceWaterlineReferencePosition</x:v>
      </x:c>
      <x:c r="B591" s="35" t="str">
        <x:v>https://w3id.org/nltl-benchmark/vocab#lowerIceWaterlineReferencePosition</x:v>
      </x:c>
      <x:c r="C591" s="35" t="str">
        <x:v>QuantityProperty</x:v>
      </x:c>
      <x:c r="D591" s="35" t="str">
        <x:v>http://qudt.org/schema/qudt/QuantityValue</x:v>
      </x:c>
      <x:c r="E591" s="35" t="str"/>
      <x:c r="F591" s="35" t="str">
        <x:v>m</x:v>
      </x:c>
      <x:c r="G591" s="38" t="str">
        <x:v>TRF-030</x:v>
      </x:c>
      <x:c r="H591" s="35" t="str">
        <x:v>Applicable TRAFICOM regulation wording plus explicit engineering node/operand role</x:v>
      </x:c>
      <x:c r="I591" s="35" t="str">
        <x:v>N4 - explicit engineering quantity in ASCII lowerCamelCase; formula symbols remain aliases only.</x:v>
      </x:c>
      <x:c r="J591" s="35" t="str">
        <x:v>ADD_DEVELOPMENT_TERM</x:v>
      </x:c>
    </x:row>
    <x:row r="592">
      <x:c r="A592" s="35" t="str">
        <x:v>lowestMdlt</x:v>
      </x:c>
      <x:c r="B592" s="35" t="str">
        <x:v>https://w3id.org/nltl-benchmark/vocab#lowestMdlt</x:v>
      </x:c>
      <x:c r="C592" s="35" t="str">
        <x:v>QuantityProperty</x:v>
      </x:c>
      <x:c r="D592" s="35" t="str">
        <x:v>http://qudt.org/schema/qudt/QuantityValue</x:v>
      </x:c>
      <x:c r="E592" s="35" t="str"/>
      <x:c r="F592" s="35" t="str">
        <x:v>deg C</x:v>
      </x:c>
      <x:c r="G592" s="38" t="str">
        <x:v>IMO-012 | IMO-013 | IMO-019</x:v>
      </x:c>
      <x:c r="H592" s="35" t="str">
        <x:v>Unit-stripped normalized regulatory variable</x:v>
      </x:c>
      <x:c r="I592" s="35" t="str">
        <x:v>N3 - remove unit from the identifier and retain it in unit/quantity metadata</x:v>
      </x:c>
      <x:c r="J592" s="35" t="str">
        <x:v>REUSE_R2_TERM</x:v>
      </x:c>
    </x:row>
    <x:row r="593">
      <x:c r="A593" s="35" t="str">
        <x:v>machineryComponentType</x:v>
      </x:c>
      <x:c r="B593" s="35" t="str">
        <x:v>https://w3id.org/nltl-benchmark/vocab#machineryComponentType</x:v>
      </x:c>
      <x:c r="C593" s="35" t="str">
        <x:v>DatatypeProperty</x:v>
      </x:c>
      <x:c r="D593" s="35" t="str">
        <x:v>http://www.w3.org/2001/XMLSchema#string</x:v>
      </x:c>
      <x:c r="E593" s="35" t="str">
        <x:v>xsd:string</x:v>
      </x:c>
      <x:c r="F593" s="35" t="str"/>
      <x:c r="G593" s="38" t="str">
        <x:v>IMO-049</x:v>
      </x:c>
      <x:c r="H593" s="35" t="str">
        <x:v>Locked-workbook normalized regulatory term</x:v>
      </x:c>
      <x:c r="I593" s="35" t="str">
        <x:v>N4 - preserve the source concept; normalize spelling to ASCII lowerCamelCase</x:v>
      </x:c>
      <x:c r="J593" s="35" t="str">
        <x:v>REUSE_R2_TERM</x:v>
      </x:c>
    </x:row>
    <x:row r="594">
      <x:c r="A594" s="35" t="str">
        <x:v>machineryInstallation</x:v>
      </x:c>
      <x:c r="B594" s="35" t="str">
        <x:v>https://w3id.org/nltl-benchmark/vocab#machineryInstallation</x:v>
      </x:c>
      <x:c r="C594" s="35" t="str">
        <x:v>DatatypeProperty</x:v>
      </x:c>
      <x:c r="D594" s="35" t="str">
        <x:v>http://www.w3.org/2001/XMLSchema#string</x:v>
      </x:c>
      <x:c r="E594" s="35" t="str">
        <x:v>xsd:string</x:v>
      </x:c>
      <x:c r="F594" s="35" t="str"/>
      <x:c r="G594" s="38" t="str">
        <x:v>IMO-043</x:v>
      </x:c>
      <x:c r="H594" s="35" t="str">
        <x:v>Locked-workbook normalized regulatory term</x:v>
      </x:c>
      <x:c r="I594" s="35" t="str">
        <x:v>N4 - preserve the source concept; normalize spelling to ASCII lowerCamelCase</x:v>
      </x:c>
      <x:c r="J594" s="35" t="str">
        <x:v>REUSE_R2_TERM</x:v>
      </x:c>
    </x:row>
    <x:row r="595">
      <x:c r="A595" s="35" t="str">
        <x:v>machinerySeawaterSupply</x:v>
      </x:c>
      <x:c r="B595" s="35" t="str">
        <x:v>https://w3id.org/nltl-benchmark/vocab#machinerySeawaterSupply</x:v>
      </x:c>
      <x:c r="C595" s="35" t="str">
        <x:v>DatatypeProperty</x:v>
      </x:c>
      <x:c r="D595" s="35" t="str">
        <x:v>http://www.w3.org/2001/XMLSchema#boolean</x:v>
      </x:c>
      <x:c r="E595" s="35" t="str">
        <x:v>xsd:boolean</x:v>
      </x:c>
      <x:c r="F595" s="35" t="str"/>
      <x:c r="G595" s="38" t="str">
        <x:v>IMO-045</x:v>
      </x:c>
      <x:c r="H595" s="35" t="str">
        <x:v>Locked-workbook normalized regulatory term</x:v>
      </x:c>
      <x:c r="I595" s="35" t="str">
        <x:v>N4 - preserve the source concept; normalize spelling to ASCII lowerCamelCase</x:v>
      </x:c>
      <x:c r="J595" s="35" t="str">
        <x:v>REUSE_R2_TERM</x:v>
      </x:c>
    </x:row>
    <x:row r="596">
      <x:c r="A596" s="35" t="str">
        <x:v>mainFrame</x:v>
      </x:c>
      <x:c r="B596" s="35" t="str">
        <x:v>https://w3id.org/nltl-benchmark/vocab#mainFrame</x:v>
      </x:c>
      <x:c r="C596" s="35" t="str">
        <x:v>Class</x:v>
      </x:c>
      <x:c r="D596" s="35" t="str">
        <x:v>https://w3id.org/nltl-benchmark/vocab#frame</x:v>
      </x:c>
      <x:c r="E596" s="35" t="str"/>
      <x:c r="F596" s="35" t="str"/>
      <x:c r="G596" s="38" t="str">
        <x:v>TRF-046 | TRF-047</x:v>
      </x:c>
      <x:c r="H596" s="35" t="str">
        <x:v>Applicable TRAFICOM regulation wording plus explicit engineering node/operand role</x:v>
      </x:c>
      <x:c r="I596" s="35" t="str">
        <x:v>N4 - singular ASCII lowerCamelCase entity name derived from the linked regulatory role.</x:v>
      </x:c>
      <x:c r="J596" s="35" t="str">
        <x:v>ADD_DEVELOPMENT_TERM</x:v>
      </x:c>
    </x:row>
    <x:row r="597">
      <x:c r="A597" s="35" t="str">
        <x:v>mainFrameBelowIceBeltStrengthened</x:v>
      </x:c>
      <x:c r="B597" s="35" t="str">
        <x:v>https://w3id.org/nltl-benchmark/vocab#mainFrameBelowIceBeltStrengthened</x:v>
      </x:c>
      <x:c r="C597" s="35" t="str">
        <x:v>DatatypeProperty</x:v>
      </x:c>
      <x:c r="D597" s="35" t="str">
        <x:v>http://www.w3.org/2001/XMLSchema#boolean</x:v>
      </x:c>
      <x:c r="E597" s="35" t="str">
        <x:v>xsd:boolean</x:v>
      </x:c>
      <x:c r="F597" s="35" t="str"/>
      <x:c r="G597" s="38" t="str">
        <x:v>TRF-047</x:v>
      </x:c>
      <x:c r="H597" s="35" t="str">
        <x:v>Applicable TRAFICOM regulation wording plus explicit engineering node/operand role</x:v>
      </x:c>
      <x:c r="I597" s="35" t="str">
        <x:v>N4 - explicit regulatory concept in ASCII lowerCamelCase with an XSD datatype.</x:v>
      </x:c>
      <x:c r="J597" s="35" t="str">
        <x:v>ADD_DEVELOPMENT_TERM</x:v>
      </x:c>
    </x:row>
    <x:row r="598">
      <x:c r="A598" s="35" t="str">
        <x:v>mainPower</x:v>
      </x:c>
      <x:c r="B598" s="35" t="str">
        <x:v>https://w3id.org/nltl-benchmark/vocab#mainPower</x:v>
      </x:c>
      <x:c r="C598" s="35" t="str">
        <x:v>QuantityProperty</x:v>
      </x:c>
      <x:c r="D598" s="35" t="str">
        <x:v>http://qudt.org/schema/qudt/QuantityValue</x:v>
      </x:c>
      <x:c r="E598" s="35" t="str"/>
      <x:c r="F598" s="35" t="str">
        <x:v>kW</x:v>
      </x:c>
      <x:c r="G598" s="38" t="str">
        <x:v>IMO-086 | IMO26-012</x:v>
      </x:c>
      <x:c r="H598" s="35" t="str">
        <x:v>Benchmark-coined descriptive engineering term</x:v>
      </x:c>
      <x:c r="I598" s="35" t="str">
        <x:v>N5 - component or subject first, followed by characteristic and qualifier/state; no unsupported external mapping</x:v>
      </x:c>
      <x:c r="J598" s="35" t="str">
        <x:v>REUSE_R2_TERM</x:v>
      </x:c>
    </x:row>
    <x:row r="599">
      <x:c r="A599" s="35" t="str">
        <x:v>mainTransverseFrame</x:v>
      </x:c>
      <x:c r="B599" s="35" t="str">
        <x:v>https://w3id.org/nltl-benchmark/vocab#mainTransverseFrame</x:v>
      </x:c>
      <x:c r="C599" s="35" t="str">
        <x:v>Class</x:v>
      </x:c>
      <x:c r="D599" s="35" t="str">
        <x:v>https://w3id.org/nltl-benchmark/vocab#transverseFrame</x:v>
      </x:c>
      <x:c r="E599" s="35" t="str"/>
      <x:c r="F599" s="35" t="str"/>
      <x:c r="G599" s="38" t="str">
        <x:v>TRF-044</x:v>
      </x:c>
      <x:c r="H599" s="35" t="str">
        <x:v>Applicable TRAFICOM regulation wording plus explicit engineering node/operand role</x:v>
      </x:c>
      <x:c r="I599" s="35" t="str">
        <x:v>N4 - singular ASCII lowerCamelCase entity name derived from the linked regulatory role.</x:v>
      </x:c>
      <x:c r="J599" s="35" t="str">
        <x:v>ADD_DEVELOPMENT_TERM</x:v>
      </x:c>
    </x:row>
    <x:row r="600">
      <x:c r="A600" s="35" t="str">
        <x:v>maintainedTemperature</x:v>
      </x:c>
      <x:c r="B600" s="35" t="str">
        <x:v>https://w3id.org/nltl-benchmark/vocab#maintainedTemperature</x:v>
      </x:c>
      <x:c r="C600" s="35" t="str">
        <x:v>QuantityProperty</x:v>
      </x:c>
      <x:c r="D600" s="35" t="str">
        <x:v>http://qudt.org/schema/qudt/QuantityValue</x:v>
      </x:c>
      <x:c r="E600" s="35" t="str"/>
      <x:c r="F600" s="35" t="str">
        <x:v>deg C</x:v>
      </x:c>
      <x:c r="G600" s="38" t="str">
        <x:v>IMO-057</x:v>
      </x:c>
      <x:c r="H600" s="35" t="str">
        <x:v>Unit-stripped normalized regulatory variable</x:v>
      </x:c>
      <x:c r="I600" s="35" t="str">
        <x:v>N3 - remove unit from the identifier and retain it in unit/quantity metadata</x:v>
      </x:c>
      <x:c r="J600" s="35" t="str">
        <x:v>REUSE_R2_TERM</x:v>
      </x:c>
    </x:row>
    <x:row r="601">
      <x:c r="A601" s="35" t="str">
        <x:v>majorBucklingMargin</x:v>
      </x:c>
      <x:c r="B601" s="35" t="str">
        <x:v>https://w3id.org/nltl-benchmark/vocab#majorBucklingMargin</x:v>
      </x:c>
      <x:c r="C601" s="35" t="str">
        <x:v>QuantityProperty</x:v>
      </x:c>
      <x:c r="D601" s="35" t="str">
        <x:v>http://qudt.org/schema/qudt/QuantityValue</x:v>
      </x:c>
      <x:c r="E601" s="35" t="str"/>
      <x:c r="F601" s="35" t="str">
        <x:v>1</x:v>
      </x:c>
      <x:c r="G601" s="38" t="str">
        <x:v>I2-065</x:v>
      </x:c>
      <x:c r="H601" s="35" t="str">
        <x:v>Benchmark-coined descriptive engineering term</x:v>
      </x:c>
      <x:c r="I601" s="35" t="str">
        <x:v>N5 - component or subject first, followed by characteristic and qualifier/state; no unsupported external mapping</x:v>
      </x:c>
      <x:c r="J601" s="35" t="str">
        <x:v>REUSE_R2_TERM</x:v>
      </x:c>
    </x:row>
    <x:row r="602">
      <x:c r="A602" s="35" t="str">
        <x:v>manualInitiation</x:v>
      </x:c>
      <x:c r="B602" s="35" t="str">
        <x:v>https://w3id.org/nltl-benchmark/vocab#manualInitiation</x:v>
      </x:c>
      <x:c r="C602" s="35" t="str">
        <x:v>DatatypeProperty</x:v>
      </x:c>
      <x:c r="D602" s="35" t="str">
        <x:v>http://www.w3.org/2001/XMLSchema#boolean</x:v>
      </x:c>
      <x:c r="E602" s="35" t="str">
        <x:v>xsd:boolean</x:v>
      </x:c>
      <x:c r="F602" s="35" t="str"/>
      <x:c r="G602" s="38" t="str">
        <x:v>IMO-089</x:v>
      </x:c>
      <x:c r="H602" s="35" t="str">
        <x:v>Locked-workbook normalized regulatory term</x:v>
      </x:c>
      <x:c r="I602" s="35" t="str">
        <x:v>N4 - preserve the source concept; normalize spelling to ASCII lowerCamelCase</x:v>
      </x:c>
      <x:c r="J602" s="35" t="str">
        <x:v>REUSE_R2_TERM</x:v>
      </x:c>
    </x:row>
    <x:row r="603">
      <x:c r="A603" s="35" t="str">
        <x:v>manualPolarCoverage</x:v>
      </x:c>
      <x:c r="B603" s="35" t="str">
        <x:v>https://w3id.org/nltl-benchmark/vocab#manualPolarCoverage</x:v>
      </x:c>
      <x:c r="C603" s="35" t="str">
        <x:v>DatatypeProperty</x:v>
      </x:c>
      <x:c r="D603" s="35" t="str">
        <x:v>http://www.w3.org/2001/XMLSchema#boolean</x:v>
      </x:c>
      <x:c r="E603" s="35" t="str">
        <x:v>xsd:boolean</x:v>
      </x:c>
      <x:c r="F603" s="35" t="str"/>
      <x:c r="G603" s="38" t="str">
        <x:v>IMO-107 | IMO-113</x:v>
      </x:c>
      <x:c r="H603" s="35" t="str">
        <x:v>Locked-workbook normalized regulatory term</x:v>
      </x:c>
      <x:c r="I603" s="35" t="str">
        <x:v>N4 - preserve the source concept; normalize spelling to ASCII lowerCamelCase</x:v>
      </x:c>
      <x:c r="J603" s="35" t="str">
        <x:v>REUSE_R2_TERM</x:v>
      </x:c>
    </x:row>
    <x:row r="604">
      <x:c r="A604" s="35" t="str">
        <x:v>manuallyInitiatedFlashingRedStoppedLightPresent</x:v>
      </x:c>
      <x:c r="B604" s="35" t="str">
        <x:v>https://w3id.org/nltl-benchmark/vocab#manuallyInitiatedFlashingRedStoppedLightPresent</x:v>
      </x:c>
      <x:c r="C604" s="35" t="str">
        <x:v>DatatypeProperty</x:v>
      </x:c>
      <x:c r="D604" s="35" t="str">
        <x:v>http://www.w3.org/2001/XMLSchema#boolean</x:v>
      </x:c>
      <x:c r="E604" s="35" t="str">
        <x:v>xsd:boolean</x:v>
      </x:c>
      <x:c r="F604" s="35" t="str"/>
      <x:c r="G604" s="38" t="str">
        <x:v>IMO-089</x:v>
      </x:c>
      <x:c r="H604" s="35" t="str">
        <x:v>Benchmark-coined descriptive engineering term</x:v>
      </x:c>
      <x:c r="I604" s="35" t="str">
        <x:v>N5 - component or subject first, followed by characteristic and qualifier/state; no unsupported external mapping</x:v>
      </x:c>
      <x:c r="J604" s="35" t="str">
        <x:v>REUSE_R2_TERM</x:v>
      </x:c>
    </x:row>
    <x:row r="605">
      <x:c r="A605" s="35" t="str">
        <x:v>manufacturerMaxAirTemperature</x:v>
      </x:c>
      <x:c r="B605" s="35" t="str">
        <x:v>https://w3id.org/nltl-benchmark/vocab#manufacturerMaxAirTemperature</x:v>
      </x:c>
      <x:c r="C605" s="35" t="str">
        <x:v>QuantityProperty</x:v>
      </x:c>
      <x:c r="D605" s="35" t="str">
        <x:v>http://qudt.org/schema/qudt/QuantityValue</x:v>
      </x:c>
      <x:c r="E605" s="35" t="str"/>
      <x:c r="F605" s="35" t="str">
        <x:v>deg C</x:v>
      </x:c>
      <x:c r="G605" s="38" t="str">
        <x:v>IMO-047</x:v>
      </x:c>
      <x:c r="H605" s="35" t="str">
        <x:v>Unit-stripped normalized regulatory variable</x:v>
      </x:c>
      <x:c r="I605" s="35" t="str">
        <x:v>N3 - remove unit from the identifier and retain it in unit/quantity metadata</x:v>
      </x:c>
      <x:c r="J605" s="35" t="str">
        <x:v>REUSE_R2_TERM</x:v>
      </x:c>
    </x:row>
    <x:row r="606">
      <x:c r="A606" s="35" t="str">
        <x:v>manufacturerMaxViscosity</x:v>
      </x:c>
      <x:c r="B606" s="35" t="str">
        <x:v>https://w3id.org/nltl-benchmark/vocab#manufacturerMaxViscosity</x:v>
      </x:c>
      <x:c r="C606" s="35" t="str">
        <x:v>QuantityProperty</x:v>
      </x:c>
      <x:c r="D606" s="35" t="str">
        <x:v>http://qudt.org/schema/qudt/QuantityValue</x:v>
      </x:c>
      <x:c r="E606" s="35" t="str"/>
      <x:c r="F606" s="35" t="str"/>
      <x:c r="G606" s="38" t="str">
        <x:v>IMO-044</x:v>
      </x:c>
      <x:c r="H606" s="35" t="str">
        <x:v>Locked-workbook normalized regulatory term</x:v>
      </x:c>
      <x:c r="I606" s="35" t="str">
        <x:v>N4 - preserve the source concept; normalize spelling to ASCII lowerCamelCase</x:v>
      </x:c>
      <x:c r="J606" s="35" t="str">
        <x:v>REUSE_R2_TERM</x:v>
      </x:c>
    </x:row>
    <x:row r="607">
      <x:c r="A607" s="35" t="str">
        <x:v>manufacturerMinAirTemperature</x:v>
      </x:c>
      <x:c r="B607" s="35" t="str">
        <x:v>https://w3id.org/nltl-benchmark/vocab#manufacturerMinAirTemperature</x:v>
      </x:c>
      <x:c r="C607" s="35" t="str">
        <x:v>QuantityProperty</x:v>
      </x:c>
      <x:c r="D607" s="35" t="str">
        <x:v>http://qudt.org/schema/qudt/QuantityValue</x:v>
      </x:c>
      <x:c r="E607" s="35" t="str"/>
      <x:c r="F607" s="35" t="str">
        <x:v>deg C</x:v>
      </x:c>
      <x:c r="G607" s="38" t="str">
        <x:v>IMO-047</x:v>
      </x:c>
      <x:c r="H607" s="35" t="str">
        <x:v>Unit-stripped normalized regulatory variable</x:v>
      </x:c>
      <x:c r="I607" s="35" t="str">
        <x:v>N3 - remove unit from the identifier and retain it in unit/quantity metadata</x:v>
      </x:c>
      <x:c r="J607" s="35" t="str">
        <x:v>REUSE_R2_TERM</x:v>
      </x:c>
    </x:row>
    <x:row r="608">
      <x:c r="A608" s="35" t="str">
        <x:v>manufacturerMinViscosity</x:v>
      </x:c>
      <x:c r="B608" s="35" t="str">
        <x:v>https://w3id.org/nltl-benchmark/vocab#manufacturerMinViscosity</x:v>
      </x:c>
      <x:c r="C608" s="35" t="str">
        <x:v>QuantityProperty</x:v>
      </x:c>
      <x:c r="D608" s="35" t="str">
        <x:v>http://qudt.org/schema/qudt/QuantityValue</x:v>
      </x:c>
      <x:c r="E608" s="35" t="str"/>
      <x:c r="F608" s="35" t="str"/>
      <x:c r="G608" s="38" t="str">
        <x:v>IMO-044</x:v>
      </x:c>
      <x:c r="H608" s="35" t="str">
        <x:v>Locked-workbook normalized regulatory term</x:v>
      </x:c>
      <x:c r="I608" s="35" t="str">
        <x:v>N4 - preserve the source concept; normalize spelling to ASCII lowerCamelCase</x:v>
      </x:c>
      <x:c r="J608" s="35" t="str">
        <x:v>REUSE_R2_TERM</x:v>
      </x:c>
    </x:row>
    <x:row r="609">
      <x:c r="A609" s="35" t="str">
        <x:v>marpolAnnexIvRegulation11Point1Point1ComplianceStatus</x:v>
      </x:c>
      <x:c r="B609" s="35" t="str">
        <x:v>https://w3id.org/nltl-benchmark/vocab#marpolAnnexIvRegulation11Point1Point1ComplianceStatus</x:v>
      </x:c>
      <x:c r="C609" s="35" t="str">
        <x:v>DatatypeProperty</x:v>
      </x:c>
      <x:c r="D609" s="35" t="str">
        <x:v>http://www.w3.org/2001/XMLSchema#boolean</x:v>
      </x:c>
      <x:c r="E609" s="35" t="str">
        <x:v>xsd:boolean</x:v>
      </x:c>
      <x:c r="F609" s="35" t="str"/>
      <x:c r="G609" s="38" t="str">
        <x:v>IMO-115 | IMO-116</x:v>
      </x:c>
      <x:c r="H609" s="35" t="str">
        <x:v>Explicit regulation-reference transcription</x:v>
      </x:c>
      <x:c r="I609" s="35" t="str">
        <x:v>N6 - spell separators as Point or Dash and identify the governing instrument</x:v>
      </x:c>
      <x:c r="J609" s="35" t="str">
        <x:v>REUSE_R2_TERM</x:v>
      </x:c>
    </x:row>
    <x:row r="610">
      <x:c r="A610" s="35" t="str">
        <x:v>marpolAnnexIvRegulation11Point1Point2DischargeComplianceStatus</x:v>
      </x:c>
      <x:c r="B610" s="35" t="str">
        <x:v>https://w3id.org/nltl-benchmark/vocab#marpolAnnexIvRegulation11Point1Point2DischargeComplianceStatus</x:v>
      </x:c>
      <x:c r="C610" s="35" t="str">
        <x:v>DatatypeProperty</x:v>
      </x:c>
      <x:c r="D610" s="35" t="str">
        <x:v>http://www.w3.org/2001/XMLSchema#boolean</x:v>
      </x:c>
      <x:c r="E610" s="35" t="str">
        <x:v>xsd:boolean</x:v>
      </x:c>
      <x:c r="F610" s="35" t="str"/>
      <x:c r="G610" s="38" t="str">
        <x:v>IMO-117</x:v>
      </x:c>
      <x:c r="H610" s="35" t="str">
        <x:v>Explicit regulation-reference transcription</x:v>
      </x:c>
      <x:c r="I610" s="35" t="str">
        <x:v>N6 - spell separators as Point or Dash and identify the governing instrument</x:v>
      </x:c>
      <x:c r="J610" s="35" t="str">
        <x:v>REUSE_R2_TERM</x:v>
      </x:c>
    </x:row>
    <x:row r="611">
      <x:c r="A611" s="35" t="str">
        <x:v>marpolAnnexIvRegulation9Point1Point1Or9Point2Point1CertificationStatus</x:v>
      </x:c>
      <x:c r="B611" s="35" t="str">
        <x:v>https://w3id.org/nltl-benchmark/vocab#marpolAnnexIvRegulation9Point1Point1Or9Point2Point1CertificationStatus</x:v>
      </x:c>
      <x:c r="C611" s="35" t="str">
        <x:v>ObjectProperty</x:v>
      </x:c>
      <x:c r="D611" s="35" t="str">
        <x:v>https://w3id.org/nltl-benchmark/vocab#evidenceState</x:v>
      </x:c>
      <x:c r="E611" s="35" t="str"/>
      <x:c r="F611" s="35" t="str"/>
      <x:c r="G611" s="38" t="str">
        <x:v>IMO-117 | IMO-119</x:v>
      </x:c>
      <x:c r="H611" s="35" t="str">
        <x:v>Explicit regulation-reference transcription</x:v>
      </x:c>
      <x:c r="I611" s="35" t="str">
        <x:v>N6 - spell separators as Point or Dash and identify the governing instrument</x:v>
      </x:c>
      <x:c r="J611" s="35" t="str">
        <x:v>REUSE_R2_TERM</x:v>
      </x:c>
    </x:row>
    <x:row r="612">
      <x:c r="A612" s="35" t="str">
        <x:v>marpolAnnexVRegulation6Point1DischargeOccurs</x:v>
      </x:c>
      <x:c r="B612" s="35" t="str">
        <x:v>https://w3id.org/nltl-benchmark/vocab#marpolAnnexVRegulation6Point1DischargeOccurs</x:v>
      </x:c>
      <x:c r="C612" s="35" t="str">
        <x:v>DatatypeProperty</x:v>
      </x:c>
      <x:c r="D612" s="35" t="str">
        <x:v>http://www.w3.org/2001/XMLSchema#boolean</x:v>
      </x:c>
      <x:c r="E612" s="35" t="str">
        <x:v>xsd:boolean</x:v>
      </x:c>
      <x:c r="F612" s="35" t="str"/>
      <x:c r="G612" s="38" t="str">
        <x:v>IMO-124</x:v>
      </x:c>
      <x:c r="H612" s="35" t="str">
        <x:v>Explicit regulation-reference transcription</x:v>
      </x:c>
      <x:c r="I612" s="35" t="str">
        <x:v>N6 - spell separators as Point or Dash and identify the governing instrument</x:v>
      </x:c>
      <x:c r="J612" s="35" t="str">
        <x:v>REUSE_R2_TERM</x:v>
      </x:c>
    </x:row>
    <x:row r="613">
      <x:c r="A613" s="35" t="str">
        <x:v>marpolCertificationStatus</x:v>
      </x:c>
      <x:c r="B613" s="35" t="str">
        <x:v>https://w3id.org/nltl-benchmark/vocab#marpolCertificationStatus</x:v>
      </x:c>
      <x:c r="C613" s="35" t="str">
        <x:v>ObjectProperty</x:v>
      </x:c>
      <x:c r="D613" s="35" t="str">
        <x:v>https://w3id.org/nltl-benchmark/vocab#evidenceState</x:v>
      </x:c>
      <x:c r="E613" s="35" t="str"/>
      <x:c r="F613" s="35" t="str"/>
      <x:c r="G613" s="38" t="str">
        <x:v>IMO-117 | IMO-119</x:v>
      </x:c>
      <x:c r="H613" s="35" t="str">
        <x:v>Locked-workbook normalized regulatory term</x:v>
      </x:c>
      <x:c r="I613" s="35" t="str">
        <x:v>N4 - preserve the source concept; normalize spelling to ASCII lowerCamelCase</x:v>
      </x:c>
      <x:c r="J613" s="35" t="str">
        <x:v>REUSE_R2_TERM</x:v>
      </x:c>
    </x:row>
    <x:row r="614">
      <x:c r="A614" s="35" t="str">
        <x:v>marpolDischargeStatus</x:v>
      </x:c>
      <x:c r="B614" s="35" t="str">
        <x:v>https://w3id.org/nltl-benchmark/vocab#marpolDischargeStatus</x:v>
      </x:c>
      <x:c r="C614" s="35" t="str">
        <x:v>DatatypeProperty</x:v>
      </x:c>
      <x:c r="D614" s="35" t="str">
        <x:v>http://www.w3.org/2001/XMLSchema#boolean</x:v>
      </x:c>
      <x:c r="E614" s="35" t="str">
        <x:v>xsd:boolean</x:v>
      </x:c>
      <x:c r="F614" s="35" t="str"/>
      <x:c r="G614" s="38" t="str">
        <x:v>IMO-117</x:v>
      </x:c>
      <x:c r="H614" s="35" t="str">
        <x:v>Locked-workbook normalized regulatory term</x:v>
      </x:c>
      <x:c r="I614" s="35" t="str">
        <x:v>N4 - preserve the source concept; normalize spelling to ASCII lowerCamelCase</x:v>
      </x:c>
      <x:c r="J614" s="35" t="str">
        <x:v>REUSE_R2_TERM</x:v>
      </x:c>
    </x:row>
    <x:row r="615">
      <x:c r="A615" s="35" t="str">
        <x:v>materialApprovalStatus</x:v>
      </x:c>
      <x:c r="B615" s="35" t="str">
        <x:v>https://w3id.org/nltl-benchmark/vocab#materialApprovalStatus</x:v>
      </x:c>
      <x:c r="C615" s="35" t="str">
        <x:v>ObjectProperty</x:v>
      </x:c>
      <x:c r="D615" s="35" t="str">
        <x:v>https://w3id.org/nltl-benchmark/vocab#evidenceState</x:v>
      </x:c>
      <x:c r="E615" s="35" t="str"/>
      <x:c r="F615" s="35" t="str"/>
      <x:c r="G615" s="38" t="str">
        <x:v>IMO-031 | IMO-048</x:v>
      </x:c>
      <x:c r="H615" s="35" t="str">
        <x:v>Locked-workbook normalized regulatory term</x:v>
      </x:c>
      <x:c r="I615" s="35" t="str">
        <x:v>N4 - preserve the source concept; normalize spelling to ASCII lowerCamelCase</x:v>
      </x:c>
      <x:c r="J615" s="35" t="str">
        <x:v>REUSE_R2_TERM</x:v>
      </x:c>
    </x:row>
    <x:row r="616">
      <x:c r="A616" s="35" t="str">
        <x:v>materialClass</x:v>
      </x:c>
      <x:c r="B616" s="35" t="str">
        <x:v>https://w3id.org/nltl-benchmark/vocab#materialClass</x:v>
      </x:c>
      <x:c r="C616" s="35" t="str">
        <x:v>DatatypeProperty</x:v>
      </x:c>
      <x:c r="D616" s="35" t="str">
        <x:v>http://www.w3.org/2001/XMLSchema#string</x:v>
      </x:c>
      <x:c r="E616" s="35" t="str">
        <x:v>xsd:string</x:v>
      </x:c>
      <x:c r="F616" s="35" t="str"/>
      <x:c r="G616" s="38" t="str">
        <x:v>I2-048</x:v>
      </x:c>
      <x:c r="H616" s="35" t="str">
        <x:v>Benchmark-coined descriptive engineering term</x:v>
      </x:c>
      <x:c r="I616" s="35" t="str">
        <x:v>N5 - component or subject first, followed by characteristic and qualifier/state; no unsupported external mapping</x:v>
      </x:c>
      <x:c r="J616" s="35" t="str">
        <x:v>REUSE_R2_TERM</x:v>
      </x:c>
    </x:row>
    <x:row r="617">
      <x:c r="A617" s="35" t="str">
        <x:v>materialType</x:v>
      </x:c>
      <x:c r="B617" s="35" t="str">
        <x:v>https://w3id.org/nltl-benchmark/vocab#materialType</x:v>
      </x:c>
      <x:c r="C617" s="35" t="str">
        <x:v>DatatypeProperty</x:v>
      </x:c>
      <x:c r="D617" s="35" t="str">
        <x:v>http://www.w3.org/2001/XMLSchema#string</x:v>
      </x:c>
      <x:c r="E617" s="35" t="str">
        <x:v>xsd:string</x:v>
      </x:c>
      <x:c r="F617" s="35" t="str"/>
      <x:c r="G617" s="38" t="str">
        <x:v>TRF-072</x:v>
      </x:c>
      <x:c r="H617" s="35" t="str">
        <x:v>Benchmark-coined descriptive engineering term</x:v>
      </x:c>
      <x:c r="I617" s="35" t="str">
        <x:v>N5 - component or subject first, followed by characteristic and qualifier/state; no unsupported external mapping</x:v>
      </x:c>
      <x:c r="J617" s="35" t="str">
        <x:v>REUSE_R2_TERM</x:v>
      </x:c>
    </x:row>
    <x:row r="618">
      <x:c r="A618" s="35" t="str">
        <x:v>maximumCalculatedShearForce</x:v>
      </x:c>
      <x:c r="B618" s="35" t="str">
        <x:v>https://w3id.org/nltl-benchmark/vocab#maximumCalculatedShearForce</x:v>
      </x:c>
      <x:c r="C618" s="35" t="str">
        <x:v>QuantityProperty</x:v>
      </x:c>
      <x:c r="D618" s="35" t="str">
        <x:v>http://qudt.org/schema/qudt/QuantityValue</x:v>
      </x:c>
      <x:c r="E618" s="35" t="str"/>
      <x:c r="F618" s="35" t="str">
        <x:v>kN</x:v>
      </x:c>
      <x:c r="G618" s="38" t="str">
        <x:v>TRF-059</x:v>
      </x:c>
      <x:c r="H618" s="35" t="str">
        <x:v>Applicable TRAFICOM regulation wording plus explicit engineering node/operand role</x:v>
      </x:c>
      <x:c r="I618" s="35" t="str">
        <x:v>N4 - explicit engineering quantity in ASCII lowerCamelCase; formula symbols remain aliases only.</x:v>
      </x:c>
      <x:c r="J618" s="35" t="str">
        <x:v>ADD_DEVELOPMENT_TERM</x:v>
      </x:c>
    </x:row>
    <x:row r="619">
      <x:c r="A619" s="35" t="str">
        <x:v>maximumContinuousRatingPower</x:v>
      </x:c>
      <x:c r="B619" s="35" t="str">
        <x:v>https://w3id.org/nltl-benchmark/vocab#maximumContinuousRatingPower</x:v>
      </x:c>
      <x:c r="C619" s="35" t="str">
        <x:v>QuantityProperty</x:v>
      </x:c>
      <x:c r="D619" s="35" t="str">
        <x:v>http://qudt.org/schema/qudt/QuantityValue</x:v>
      </x:c>
      <x:c r="E619" s="35" t="str"/>
      <x:c r="F619" s="35" t="str">
        <x:v>kW</x:v>
      </x:c>
      <x:c r="G619" s="38" t="str">
        <x:v>TRF-006 | TRF-017 | TRF-018 | TRF-020 | TRF-023 | TRF-037 | TRF-039 | TRF-130 | TRF-132</x:v>
      </x:c>
      <x:c r="H619" s="35" t="str">
        <x:v>Unit-stripped normalized regulatory variable</x:v>
      </x:c>
      <x:c r="I619" s="35" t="str">
        <x:v>N3 - remove unit from the identifier and retain it in unit/quantity metadata</x:v>
      </x:c>
      <x:c r="J619" s="35" t="str">
        <x:v>REUSE_R2_TERM</x:v>
      </x:c>
    </x:row>
    <x:row r="620">
      <x:c r="A620" s="35" t="str">
        <x:v>maximumEngineTorque</x:v>
      </x:c>
      <x:c r="B620" s="35" t="str">
        <x:v>https://w3id.org/nltl-benchmark/vocab#maximumEngineTorque</x:v>
      </x:c>
      <x:c r="C620" s="35" t="str">
        <x:v>QuantityProperty</x:v>
      </x:c>
      <x:c r="D620" s="35" t="str">
        <x:v>http://qudt.org/schema/qudt/QuantityValue</x:v>
      </x:c>
      <x:c r="E620" s="35" t="str"/>
      <x:c r="F620" s="35" t="str">
        <x:v>kN*m</x:v>
      </x:c>
      <x:c r="G620" s="38" t="str">
        <x:v>TRF-088</x:v>
      </x:c>
      <x:c r="H620" s="35" t="str">
        <x:v>Benchmark-coined descriptive engineering term</x:v>
      </x:c>
      <x:c r="I620" s="35" t="str">
        <x:v>N5 - component or subject first, followed by characteristic and qualifier/state; no unsupported external mapping</x:v>
      </x:c>
      <x:c r="J620" s="35" t="str">
        <x:v>REUSE_R2_TERM</x:v>
      </x:c>
    </x:row>
    <x:row r="621">
      <x:c r="A621" s="35" t="str">
        <x:v>maximumEngineTorqueKnown</x:v>
      </x:c>
      <x:c r="B621" s="35" t="str">
        <x:v>https://w3id.org/nltl-benchmark/vocab#maximumEngineTorqueKnown</x:v>
      </x:c>
      <x:c r="C621" s="35" t="str">
        <x:v>DatatypeProperty</x:v>
      </x:c>
      <x:c r="D621" s="35" t="str">
        <x:v>http://www.w3.org/2001/XMLSchema#boolean</x:v>
      </x:c>
      <x:c r="E621" s="35" t="str">
        <x:v>xsd:boolean</x:v>
      </x:c>
      <x:c r="F621" s="35" t="str"/>
      <x:c r="G621" s="38" t="str">
        <x:v>TRF-088</x:v>
      </x:c>
      <x:c r="H621" s="35" t="str">
        <x:v>Benchmark-coined descriptive engineering term</x:v>
      </x:c>
      <x:c r="I621" s="35" t="str">
        <x:v>N5 - component or subject first, followed by characteristic and qualifier/state; no unsupported external mapping</x:v>
      </x:c>
      <x:c r="J621" s="35" t="str">
        <x:v>REUSE_R2_TERM</x:v>
      </x:c>
    </x:row>
    <x:row r="622">
      <x:c r="A622" s="35" t="str">
        <x:v>maximumExpectedRescueTime</x:v>
      </x:c>
      <x:c r="B622" s="35" t="str">
        <x:v>https://w3id.org/nltl-benchmark/vocab#maximumExpectedRescueTime</x:v>
      </x:c>
      <x:c r="C622" s="35" t="str">
        <x:v>QuantityProperty</x:v>
      </x:c>
      <x:c r="D622" s="35" t="str">
        <x:v>http://qudt.org/schema/qudt/QuantityValue</x:v>
      </x:c>
      <x:c r="E622" s="35" t="str"/>
      <x:c r="F622" s="35" t="str">
        <x:v>day</x:v>
      </x:c>
      <x:c r="G622" s="38" t="str">
        <x:v>IMO-010 | IMO-020 | IMO-063 | IMO-065 | IMO-079 | IMO-093 | IMO-099</x:v>
      </x:c>
      <x:c r="H622" s="35" t="str">
        <x:v>Unit-stripped normalized regulatory variable</x:v>
      </x:c>
      <x:c r="I622" s="35" t="str">
        <x:v>N3 - remove unit from the identifier and retain it in unit/quantity metadata</x:v>
      </x:c>
      <x:c r="J622" s="35" t="str">
        <x:v>REUSE_R2_TERM</x:v>
      </x:c>
    </x:row>
    <x:row r="623">
      <x:c r="A623" s="35" t="str">
        <x:v>maximumIceClassDraughtAft</x:v>
      </x:c>
      <x:c r="B623" s="35" t="str">
        <x:v>https://w3id.org/nltl-benchmark/vocab#maximumIceClassDraughtAft</x:v>
      </x:c>
      <x:c r="C623" s="35" t="str">
        <x:v>QuantityProperty</x:v>
      </x:c>
      <x:c r="D623" s="35" t="str">
        <x:v>http://qudt.org/schema/qudt/QuantityValue</x:v>
      </x:c>
      <x:c r="E623" s="35" t="str"/>
      <x:c r="F623" s="35" t="str">
        <x:v>m</x:v>
      </x:c>
      <x:c r="G623" s="38" t="str">
        <x:v>TRF-014</x:v>
      </x:c>
      <x:c r="H623" s="35" t="str">
        <x:v>Applicable TRAFICOM regulation wording plus explicit engineering node/operand role</x:v>
      </x:c>
      <x:c r="I623" s="35" t="str">
        <x:v>N4 - explicit engineering quantity in ASCII lowerCamelCase; formula symbols remain aliases only.</x:v>
      </x:c>
      <x:c r="J623" s="35" t="str">
        <x:v>ADD_DEVELOPMENT_TERM</x:v>
      </x:c>
    </x:row>
    <x:row r="624">
      <x:c r="A624" s="35" t="str">
        <x:v>maximumIceClassDraughtAmidships</x:v>
      </x:c>
      <x:c r="B624" s="35" t="str">
        <x:v>https://w3id.org/nltl-benchmark/vocab#maximumIceClassDraughtAmidships</x:v>
      </x:c>
      <x:c r="C624" s="35" t="str">
        <x:v>QuantityProperty</x:v>
      </x:c>
      <x:c r="D624" s="35" t="str">
        <x:v>http://qudt.org/schema/qudt/QuantityValue</x:v>
      </x:c>
      <x:c r="E624" s="35" t="str"/>
      <x:c r="F624" s="35" t="str">
        <x:v>m</x:v>
      </x:c>
      <x:c r="G624" s="38" t="str">
        <x:v>TRF-014</x:v>
      </x:c>
      <x:c r="H624" s="35" t="str">
        <x:v>Applicable TRAFICOM regulation wording plus explicit engineering node/operand role</x:v>
      </x:c>
      <x:c r="I624" s="35" t="str">
        <x:v>N4 - explicit engineering quantity in ASCII lowerCamelCase; formula symbols remain aliases only.</x:v>
      </x:c>
      <x:c r="J624" s="35" t="str">
        <x:v>ADD_DEVELOPMENT_TERM</x:v>
      </x:c>
    </x:row>
    <x:row r="625">
      <x:c r="A625" s="35" t="str">
        <x:v>maximumIceClassDraughtFore</x:v>
      </x:c>
      <x:c r="B625" s="35" t="str">
        <x:v>https://w3id.org/nltl-benchmark/vocab#maximumIceClassDraughtFore</x:v>
      </x:c>
      <x:c r="C625" s="35" t="str">
        <x:v>QuantityProperty</x:v>
      </x:c>
      <x:c r="D625" s="35" t="str">
        <x:v>http://qudt.org/schema/qudt/QuantityValue</x:v>
      </x:c>
      <x:c r="E625" s="35" t="str"/>
      <x:c r="F625" s="35" t="str">
        <x:v>m</x:v>
      </x:c>
      <x:c r="G625" s="38" t="str">
        <x:v>TRF-014</x:v>
      </x:c>
      <x:c r="H625" s="35" t="str">
        <x:v>Applicable TRAFICOM regulation wording plus explicit engineering node/operand role</x:v>
      </x:c>
      <x:c r="I625" s="35" t="str">
        <x:v>N4 - explicit engineering quantity in ASCII lowerCamelCase; formula symbols remain aliases only.</x:v>
      </x:c>
      <x:c r="J625" s="35" t="str">
        <x:v>ADD_DEVELOPMENT_TERM</x:v>
      </x:c>
    </x:row>
    <x:row r="626">
      <x:c r="A626" s="35" t="str">
        <x:v>maximumIceTorque</x:v>
      </x:c>
      <x:c r="B626" s="35" t="str">
        <x:v>https://w3id.org/nltl-benchmark/vocab#maximumIceTorque</x:v>
      </x:c>
      <x:c r="C626" s="35" t="str">
        <x:v>QuantityProperty</x:v>
      </x:c>
      <x:c r="D626" s="35" t="str">
        <x:v>http://qudt.org/schema/qudt/QuantityValue</x:v>
      </x:c>
      <x:c r="E626" s="35" t="str"/>
      <x:c r="F626" s="35" t="str">
        <x:v>kN*m</x:v>
      </x:c>
      <x:c r="G626" s="38" t="str">
        <x:v>TRF-069 | TRF-092 | TRF-095 | TRF-098</x:v>
      </x:c>
      <x:c r="H626" s="35" t="str">
        <x:v>Unit-stripped normalized regulatory variable</x:v>
      </x:c>
      <x:c r="I626" s="35" t="str">
        <x:v>N3 - remove unit from the identifier and retain it in unit/quantity metadata</x:v>
      </x:c>
      <x:c r="J626" s="35" t="str">
        <x:v>REUSE_R2_TERM</x:v>
      </x:c>
    </x:row>
    <x:row r="627">
      <x:c r="A627" s="35" t="str">
        <x:v>maximumOperatingSpeed</x:v>
      </x:c>
      <x:c r="B627" s="35" t="str">
        <x:v>https://w3id.org/nltl-benchmark/vocab#maximumOperatingSpeed</x:v>
      </x:c>
      <x:c r="C627" s="35" t="str">
        <x:v>QuantityProperty</x:v>
      </x:c>
      <x:c r="D627" s="35" t="str">
        <x:v>http://qudt.org/schema/qudt/QuantityValue</x:v>
      </x:c>
      <x:c r="E627" s="35" t="str"/>
      <x:c r="F627" s="35" t="str">
        <x:v>kn</x:v>
      </x:c>
      <x:c r="G627" s="38" t="str">
        <x:v>TRF-089</x:v>
      </x:c>
      <x:c r="H627" s="35" t="str">
        <x:v>Benchmark-coined descriptive engineering term</x:v>
      </x:c>
      <x:c r="I627" s="35" t="str">
        <x:v>N5 - component or subject first, followed by characteristic and qualifier/state; no unsupported external mapping</x:v>
      </x:c>
      <x:c r="J627" s="35" t="str">
        <x:v>REUSE_R2_TERM</x:v>
      </x:c>
    </x:row>
    <x:row r="628">
      <x:c r="A628" s="35" t="str">
        <x:v>maximumPermittedIceTrim</x:v>
      </x:c>
      <x:c r="B628" s="35" t="str">
        <x:v>https://w3id.org/nltl-benchmark/vocab#maximumPermittedIceTrim</x:v>
      </x:c>
      <x:c r="C628" s="35" t="str">
        <x:v>QuantityProperty</x:v>
      </x:c>
      <x:c r="D628" s="35" t="str">
        <x:v>http://qudt.org/schema/qudt/QuantityValue</x:v>
      </x:c>
      <x:c r="E628" s="35" t="str"/>
      <x:c r="F628" s="35" t="str">
        <x:v>m</x:v>
      </x:c>
      <x:c r="G628" s="38" t="str">
        <x:v>TRF-015</x:v>
      </x:c>
      <x:c r="H628" s="35" t="str">
        <x:v>Applicable TRAFICOM regulation wording plus explicit engineering node/operand role</x:v>
      </x:c>
      <x:c r="I628" s="35" t="str">
        <x:v>N4 - explicit engineering quantity in ASCII lowerCamelCase; formula symbols remain aliases only.</x:v>
      </x:c>
      <x:c r="J628" s="35" t="str">
        <x:v>ADD_DEVELOPMENT_TERM</x:v>
      </x:c>
    </x:row>
    <x:row r="629">
      <x:c r="A629" s="35" t="str">
        <x:v>maximumSpindleTorque</x:v>
      </x:c>
      <x:c r="B629" s="35" t="str">
        <x:v>https://w3id.org/nltl-benchmark/vocab#maximumSpindleTorque</x:v>
      </x:c>
      <x:c r="C629" s="35" t="str">
        <x:v>QuantityProperty</x:v>
      </x:c>
      <x:c r="D629" s="35" t="str">
        <x:v>http://qudt.org/schema/qudt/QuantityValue</x:v>
      </x:c>
      <x:c r="E629" s="35" t="str"/>
      <x:c r="F629" s="35" t="str">
        <x:v>kN*m</x:v>
      </x:c>
      <x:c r="G629" s="38" t="str">
        <x:v>TRF-102 | TRF-103</x:v>
      </x:c>
      <x:c r="H629" s="35" t="str">
        <x:v>Unit-stripped normalized regulatory variable</x:v>
      </x:c>
      <x:c r="I629" s="35" t="str">
        <x:v>N3 - remove unit from the identifier and retain it in unit/quantity metadata</x:v>
      </x:c>
      <x:c r="J629" s="35" t="str">
        <x:v>REUSE_R2_TERM</x:v>
      </x:c>
    </x:row>
    <x:row r="630">
      <x:c r="A630" s="35" t="str">
        <x:v>maximumTorqueDuringSpeedDrop</x:v>
      </x:c>
      <x:c r="B630" s="35" t="str">
        <x:v>https://w3id.org/nltl-benchmark/vocab#maximumTorqueDuringSpeedDrop</x:v>
      </x:c>
      <x:c r="C630" s="35" t="str">
        <x:v>QuantityProperty</x:v>
      </x:c>
      <x:c r="D630" s="35" t="str">
        <x:v>http://qudt.org/schema/qudt/QuantityValue</x:v>
      </x:c>
      <x:c r="E630" s="35" t="str"/>
      <x:c r="F630" s="35" t="str">
        <x:v>kn</x:v>
      </x:c>
      <x:c r="G630" s="38" t="str">
        <x:v>TRF-096</x:v>
      </x:c>
      <x:c r="H630" s="35" t="str">
        <x:v>Benchmark-coined descriptive engineering term</x:v>
      </x:c>
      <x:c r="I630" s="35" t="str">
        <x:v>N5 - component or subject first, followed by characteristic and qualifier/state; no unsupported external mapping</x:v>
      </x:c>
      <x:c r="J630" s="35" t="str">
        <x:v>REUSE_R2_TERM</x:v>
      </x:c>
    </x:row>
    <x:row r="631">
      <x:c r="A631" s="35" t="str">
        <x:v>mcrBollardCondition</x:v>
      </x:c>
      <x:c r="B631" s="35" t="str">
        <x:v>https://w3id.org/nltl-benchmark/vocab#mcrBollardCondition</x:v>
      </x:c>
      <x:c r="C631" s="35" t="str">
        <x:v>DatatypeProperty</x:v>
      </x:c>
      <x:c r="D631" s="35" t="str">
        <x:v>http://www.w3.org/2001/XMLSchema#string</x:v>
      </x:c>
      <x:c r="E631" s="35" t="str">
        <x:v>xsd:string</x:v>
      </x:c>
      <x:c r="F631" s="35" t="str"/>
      <x:c r="G631" s="38" t="str">
        <x:v>TRF-090</x:v>
      </x:c>
      <x:c r="H631" s="35" t="str">
        <x:v>Benchmark-coined descriptive engineering term</x:v>
      </x:c>
      <x:c r="I631" s="35" t="str">
        <x:v>N5 - component or subject first, followed by characteristic and qualifier/state; no unsupported external mapping</x:v>
      </x:c>
      <x:c r="J631" s="35" t="str">
        <x:v>REUSE_R2_TERM</x:v>
      </x:c>
    </x:row>
    <x:row r="632">
      <x:c r="A632" s="35" t="str">
        <x:v>mcrCondition</x:v>
      </x:c>
      <x:c r="B632" s="35" t="str">
        <x:v>https://w3id.org/nltl-benchmark/vocab#mcrCondition</x:v>
      </x:c>
      <x:c r="C632" s="35" t="str">
        <x:v>DatatypeProperty</x:v>
      </x:c>
      <x:c r="D632" s="35" t="str">
        <x:v>http://www.w3.org/2001/XMLSchema#string</x:v>
      </x:c>
      <x:c r="E632" s="35" t="str">
        <x:v>xsd:string</x:v>
      </x:c>
      <x:c r="F632" s="35" t="str"/>
      <x:c r="G632" s="38" t="str">
        <x:v>TRF-090</x:v>
      </x:c>
      <x:c r="H632" s="35" t="str">
        <x:v>Benchmark-coined descriptive engineering term</x:v>
      </x:c>
      <x:c r="I632" s="35" t="str">
        <x:v>N5 - component or subject first, followed by characteristic and qualifier/state; no unsupported external mapping</x:v>
      </x:c>
      <x:c r="J632" s="35" t="str">
        <x:v>REUSE_R2_TERM</x:v>
      </x:c>
    </x:row>
    <x:row r="633">
      <x:c r="A633" s="35" t="str">
        <x:v>mcrSpeed</x:v>
      </x:c>
      <x:c r="B633" s="35" t="str">
        <x:v>https://w3id.org/nltl-benchmark/vocab#mcrSpeed</x:v>
      </x:c>
      <x:c r="C633" s="35" t="str">
        <x:v>QuantityProperty</x:v>
      </x:c>
      <x:c r="D633" s="35" t="str">
        <x:v>http://qudt.org/schema/qudt/QuantityValue</x:v>
      </x:c>
      <x:c r="E633" s="35" t="str"/>
      <x:c r="F633" s="35" t="str">
        <x:v>rev/min</x:v>
      </x:c>
      <x:c r="G633" s="38" t="str">
        <x:v>TRF-094</x:v>
      </x:c>
      <x:c r="H633" s="35" t="str">
        <x:v>Benchmark-coined descriptive engineering term</x:v>
      </x:c>
      <x:c r="I633" s="35" t="str">
        <x:v>N5 - component or subject first, followed by characteristic and qualifier/state; no unsupported external mapping</x:v>
      </x:c>
      <x:c r="J633" s="35" t="str">
        <x:v>REUSE_R2_TERM</x:v>
      </x:c>
    </x:row>
    <x:row r="634">
      <x:c r="A634" s="35" t="str">
        <x:v>meanBladeMaterialFatigueStrengthInSeawater</x:v>
      </x:c>
      <x:c r="B634" s="35" t="str">
        <x:v>https://w3id.org/nltl-benchmark/vocab#meanBladeMaterialFatigueStrengthInSeawater</x:v>
      </x:c>
      <x:c r="C634" s="35" t="str">
        <x:v>QuantityProperty</x:v>
      </x:c>
      <x:c r="D634" s="35" t="str">
        <x:v>http://qudt.org/schema/qudt/QuantityValue</x:v>
      </x:c>
      <x:c r="E634" s="35" t="str"/>
      <x:c r="F634" s="35" t="str">
        <x:v>MPa</x:v>
      </x:c>
      <x:c r="G634" s="38" t="str">
        <x:v>TRF-110</x:v>
      </x:c>
      <x:c r="H634" s="35" t="str">
        <x:v>Regulatory symbol expanded from a directly verified definition</x:v>
      </x:c>
      <x:c r="I634" s="35" t="str">
        <x:v>N2 - replace formula symbol with its clause-defined engineering meaning; preserve symbol as alias</x:v>
      </x:c>
      <x:c r="J634" s="35" t="str">
        <x:v>REUSE_R2_TERM</x:v>
      </x:c>
    </x:row>
    <x:row r="635">
      <x:c r="A635" s="35" t="str">
        <x:v>meanDailyLowTemperature</x:v>
      </x:c>
      <x:c r="B635" s="35" t="str">
        <x:v>https://w3id.org/nltl-benchmark/vocab#meanDailyLowTemperature</x:v>
      </x:c>
      <x:c r="C635" s="35" t="str">
        <x:v>QuantityProperty</x:v>
      </x:c>
      <x:c r="D635" s="35" t="str">
        <x:v>http://qudt.org/schema/qudt/QuantityValue</x:v>
      </x:c>
      <x:c r="E635" s="35" t="str"/>
      <x:c r="F635" s="35" t="str">
        <x:v>deg C</x:v>
      </x:c>
      <x:c r="G635" s="38" t="str">
        <x:v>IMO-011</x:v>
      </x:c>
      <x:c r="H635" s="35" t="str">
        <x:v>Unit-stripped normalized regulatory variable</x:v>
      </x:c>
      <x:c r="I635" s="35" t="str">
        <x:v>N3 - remove unit from the identifier and retain it in unit/quantity metadata</x:v>
      </x:c>
      <x:c r="J635" s="35" t="str">
        <x:v>REUSE_R2_TERM</x:v>
      </x:c>
    </x:row>
    <x:row r="636">
      <x:c r="A636" s="35" t="str">
        <x:v>meanStressReductionFactor</x:v>
      </x:c>
      <x:c r="B636" s="35" t="str">
        <x:v>https://w3id.org/nltl-benchmark/vocab#meanStressReductionFactor</x:v>
      </x:c>
      <x:c r="C636" s="35" t="str">
        <x:v>QuantityProperty</x:v>
      </x:c>
      <x:c r="D636" s="35" t="str">
        <x:v>http://qudt.org/schema/qudt/QuantityValue</x:v>
      </x:c>
      <x:c r="E636" s="35" t="str"/>
      <x:c r="F636" s="35" t="str">
        <x:v>1</x:v>
      </x:c>
      <x:c r="G636" s="38" t="str">
        <x:v>TRF-110</x:v>
      </x:c>
      <x:c r="H636" s="35" t="str">
        <x:v>Regulatory symbol expanded from a directly verified definition</x:v>
      </x:c>
      <x:c r="I636" s="35" t="str">
        <x:v>N2 - replace formula symbol with its clause-defined engineering meaning; preserve symbol as alias</x:v>
      </x:c>
      <x:c r="J636" s="35" t="str">
        <x:v>REUSE_R2_TERM</x:v>
      </x:c>
    </x:row>
    <x:row r="637">
      <x:c r="A637" s="35" t="str">
        <x:v>memberCapacity</x:v>
      </x:c>
      <x:c r="B637" s="35" t="str">
        <x:v>https://w3id.org/nltl-benchmark/vocab#memberCapacity</x:v>
      </x:c>
      <x:c r="C637" s="35" t="str">
        <x:v>QuantityProperty</x:v>
      </x:c>
      <x:c r="D637" s="35" t="str">
        <x:v>http://qudt.org/schema/qudt/QuantityValue</x:v>
      </x:c>
      <x:c r="E637" s="35" t="str"/>
      <x:c r="F637" s="35" t="str">
        <x:v>kN</x:v>
      </x:c>
      <x:c r="G637" s="38" t="str">
        <x:v>I2-037</x:v>
      </x:c>
      <x:c r="H637" s="35" t="str">
        <x:v>Benchmark-coined descriptive engineering term</x:v>
      </x:c>
      <x:c r="I637" s="35" t="str">
        <x:v>N5 - component or subject first, followed by characteristic and qualifier/state; no unsupported external mapping</x:v>
      </x:c>
      <x:c r="J637" s="35" t="str">
        <x:v>REUSE_R2_TERM</x:v>
      </x:c>
    </x:row>
    <x:row r="638">
      <x:c r="A638" s="35" t="str">
        <x:v>memberInstability</x:v>
      </x:c>
      <x:c r="B638" s="35" t="str">
        <x:v>https://w3id.org/nltl-benchmark/vocab#memberInstability</x:v>
      </x:c>
      <x:c r="C638" s="35" t="str">
        <x:v>DatatypeProperty</x:v>
      </x:c>
      <x:c r="D638" s="35" t="str">
        <x:v>http://www.w3.org/2001/XMLSchema#boolean</x:v>
      </x:c>
      <x:c r="E638" s="35" t="str">
        <x:v>xsd:boolean</x:v>
      </x:c>
      <x:c r="F638" s="35" t="str"/>
      <x:c r="G638" s="38" t="str">
        <x:v>I2-060</x:v>
      </x:c>
      <x:c r="H638" s="35" t="str">
        <x:v>Benchmark-coined descriptive engineering term</x:v>
      </x:c>
      <x:c r="I638" s="35" t="str">
        <x:v>N5 - component or subject first, followed by characteristic and qualifier/state; no unsupported external mapping</x:v>
      </x:c>
      <x:c r="J638" s="35" t="str">
        <x:v>REUSE_R2_TERM</x:v>
      </x:c>
    </x:row>
    <x:row r="639">
      <x:c r="A639" s="35" t="str">
        <x:v>memberNormalToPlating</x:v>
      </x:c>
      <x:c r="B639" s="35" t="str">
        <x:v>https://w3id.org/nltl-benchmark/vocab#memberNormalToPlating</x:v>
      </x:c>
      <x:c r="C639" s="35" t="str">
        <x:v>DatatypeProperty</x:v>
      </x:c>
      <x:c r="D639" s="35" t="str">
        <x:v>http://www.w3.org/2001/XMLSchema#boolean</x:v>
      </x:c>
      <x:c r="E639" s="35" t="str">
        <x:v>xsd:boolean</x:v>
      </x:c>
      <x:c r="F639" s="35" t="str"/>
      <x:c r="G639" s="38" t="str">
        <x:v>TRF-034</x:v>
      </x:c>
      <x:c r="H639" s="35" t="str">
        <x:v>Applicable TRAFICOM regulation wording plus explicit engineering node/operand role</x:v>
      </x:c>
      <x:c r="I639" s="35" t="str">
        <x:v>N4 - explicit regulatory concept in ASCII lowerCamelCase with an XSD datatype.</x:v>
      </x:c>
      <x:c r="J639" s="35" t="str">
        <x:v>ADD_DEVELOPMENT_TERM</x:v>
      </x:c>
    </x:row>
    <x:row r="640">
      <x:c r="A640" s="35" t="str">
        <x:v>midSpanOrSpacingCenteredPosition</x:v>
      </x:c>
      <x:c r="B640" s="35" t="str">
        <x:v>https://w3id.org/nltl-benchmark/vocab#midSpanOrSpacingCenteredPosition</x:v>
      </x:c>
      <x:c r="C640" s="35" t="str">
        <x:v>NamedIndividual</x:v>
      </x:c>
      <x:c r="D640" s="35" t="str">
        <x:v>https://w3id.org/nltl-benchmark/vocab#loadPositionTypeValue</x:v>
      </x:c>
      <x:c r="E640" s="35" t="str"/>
      <x:c r="F640" s="35" t="str"/>
      <x:c r="G640" s="38" t="str">
        <x:v>TRF-030</x:v>
      </x:c>
      <x:c r="H640" s="35" t="str">
        <x:v>Applicable TRAFICOM regulation wording plus explicit engineering node/operand role</x:v>
      </x:c>
      <x:c r="I640" s="35" t="str">
        <x:v>N6 - concise ASCII lowerCamelCase controlled-value name grounded in the linked regulation.</x:v>
      </x:c>
      <x:c r="J640" s="35" t="str">
        <x:v>ADD_DEVELOPMENT_TERM</x:v>
      </x:c>
    </x:row>
    <x:row r="641">
      <x:c r="A641" s="35" t="str">
        <x:v>midbodyEquivalent</x:v>
      </x:c>
      <x:c r="B641" s="35" t="str">
        <x:v>https://w3id.org/nltl-benchmark/vocab#midbodyEquivalent</x:v>
      </x:c>
      <x:c r="C641" s="35" t="str">
        <x:v>DatatypeProperty</x:v>
      </x:c>
      <x:c r="D641" s="35" t="str">
        <x:v>http://www.w3.org/2001/XMLSchema#boolean</x:v>
      </x:c>
      <x:c r="E641" s="35" t="str">
        <x:v>xsd:boolean</x:v>
      </x:c>
      <x:c r="F641" s="35" t="str"/>
      <x:c r="G641" s="38" t="str">
        <x:v>TRF-040</x:v>
      </x:c>
      <x:c r="H641" s="35" t="str">
        <x:v>Benchmark-coined descriptive engineering term</x:v>
      </x:c>
      <x:c r="I641" s="35" t="str">
        <x:v>N5 - component or subject first, followed by characteristic and qualifier/state; no unsupported external mapping</x:v>
      </x:c>
      <x:c r="J641" s="35" t="str">
        <x:v>REUSE_R2_TERM</x:v>
      </x:c>
    </x:row>
    <x:row r="642">
      <x:c r="A642" s="35" t="str">
        <x:v>midbodyRegion</x:v>
      </x:c>
      <x:c r="B642" s="35" t="str">
        <x:v>https://w3id.org/nltl-benchmark/vocab#midbodyRegion</x:v>
      </x:c>
      <x:c r="C642" s="35" t="str">
        <x:v>NamedIndividual</x:v>
      </x:c>
      <x:c r="D642" s="35" t="str">
        <x:v>https://w3id.org/nltl-benchmark/vocab#hullRegionValue</x:v>
      </x:c>
      <x:c r="E642" s="35" t="str"/>
      <x:c r="F642" s="35" t="str"/>
      <x:c r="G642" s="38" t="str">
        <x:v>TRF-035 | TRF-037 | TRF-043 | TRF-052</x:v>
      </x:c>
      <x:c r="H642" s="35" t="str">
        <x:v>Applicable TRAFICOM regulation wording plus explicit engineering node/operand role</x:v>
      </x:c>
      <x:c r="I642" s="35" t="str">
        <x:v>N6 - concise ASCII lowerCamelCase controlled-value name grounded in the linked regulation.</x:v>
      </x:c>
      <x:c r="J642" s="35" t="str">
        <x:v>ADD_DEVELOPMENT_TERM</x:v>
      </x:c>
    </x:row>
    <x:row r="643">
      <x:c r="A643" s="35" t="str">
        <x:v>minimumClearance</x:v>
      </x:c>
      <x:c r="B643" s="35" t="str">
        <x:v>https://w3id.org/nltl-benchmark/vocab#minimumClearance</x:v>
      </x:c>
      <x:c r="C643" s="35" t="str">
        <x:v>QuantityProperty</x:v>
      </x:c>
      <x:c r="D643" s="35" t="str">
        <x:v>http://qudt.org/schema/qudt/QuantityValue</x:v>
      </x:c>
      <x:c r="E643" s="35" t="str"/>
      <x:c r="F643" s="35" t="str">
        <x:v>m</x:v>
      </x:c>
      <x:c r="G643" s="38" t="str">
        <x:v>TRF-062</x:v>
      </x:c>
      <x:c r="H643" s="35" t="str">
        <x:v>Benchmark-coined descriptive engineering term</x:v>
      </x:c>
      <x:c r="I643" s="35" t="str">
        <x:v>N5 - component or subject first, followed by characteristic and qualifier/state; no unsupported external mapping</x:v>
      </x:c>
      <x:c r="J643" s="35" t="str">
        <x:v>REUSE_R2_TERM</x:v>
      </x:c>
    </x:row>
    <x:row r="644">
      <x:c r="A644" s="35" t="str">
        <x:v>minimumIceClassDraughtAft</x:v>
      </x:c>
      <x:c r="B644" s="35" t="str">
        <x:v>https://w3id.org/nltl-benchmark/vocab#minimumIceClassDraughtAft</x:v>
      </x:c>
      <x:c r="C644" s="35" t="str">
        <x:v>QuantityProperty</x:v>
      </x:c>
      <x:c r="D644" s="35" t="str">
        <x:v>http://qudt.org/schema/qudt/QuantityValue</x:v>
      </x:c>
      <x:c r="E644" s="35" t="str"/>
      <x:c r="F644" s="35" t="str">
        <x:v>m</x:v>
      </x:c>
      <x:c r="G644" s="38" t="str">
        <x:v>TRF-014</x:v>
      </x:c>
      <x:c r="H644" s="35" t="str">
        <x:v>Applicable TRAFICOM regulation wording plus explicit engineering node/operand role</x:v>
      </x:c>
      <x:c r="I644" s="35" t="str">
        <x:v>N4 - explicit engineering quantity in ASCII lowerCamelCase; formula symbols remain aliases only.</x:v>
      </x:c>
      <x:c r="J644" s="35" t="str">
        <x:v>ADD_DEVELOPMENT_TERM</x:v>
      </x:c>
    </x:row>
    <x:row r="645">
      <x:c r="A645" s="35" t="str">
        <x:v>minimumIceClassDraughtAmidships</x:v>
      </x:c>
      <x:c r="B645" s="35" t="str">
        <x:v>https://w3id.org/nltl-benchmark/vocab#minimumIceClassDraughtAmidships</x:v>
      </x:c>
      <x:c r="C645" s="35" t="str">
        <x:v>QuantityProperty</x:v>
      </x:c>
      <x:c r="D645" s="35" t="str">
        <x:v>http://qudt.org/schema/qudt/QuantityValue</x:v>
      </x:c>
      <x:c r="E645" s="35" t="str"/>
      <x:c r="F645" s="35" t="str">
        <x:v>m</x:v>
      </x:c>
      <x:c r="G645" s="38" t="str">
        <x:v>TRF-014</x:v>
      </x:c>
      <x:c r="H645" s="35" t="str">
        <x:v>Applicable TRAFICOM regulation wording plus explicit engineering node/operand role</x:v>
      </x:c>
      <x:c r="I645" s="35" t="str">
        <x:v>N4 - explicit engineering quantity in ASCII lowerCamelCase; formula symbols remain aliases only.</x:v>
      </x:c>
      <x:c r="J645" s="35" t="str">
        <x:v>ADD_DEVELOPMENT_TERM</x:v>
      </x:c>
    </x:row>
    <x:row r="646">
      <x:c r="A646" s="35" t="str">
        <x:v>minimumIceClassDraughtFore</x:v>
      </x:c>
      <x:c r="B646" s="35" t="str">
        <x:v>https://w3id.org/nltl-benchmark/vocab#minimumIceClassDraughtFore</x:v>
      </x:c>
      <x:c r="C646" s="35" t="str">
        <x:v>QuantityProperty</x:v>
      </x:c>
      <x:c r="D646" s="35" t="str">
        <x:v>http://qudt.org/schema/qudt/QuantityValue</x:v>
      </x:c>
      <x:c r="E646" s="35" t="str"/>
      <x:c r="F646" s="35" t="str">
        <x:v>m</x:v>
      </x:c>
      <x:c r="G646" s="38" t="str">
        <x:v>TRF-014</x:v>
      </x:c>
      <x:c r="H646" s="35" t="str">
        <x:v>Applicable TRAFICOM regulation wording plus explicit engineering node/operand role</x:v>
      </x:c>
      <x:c r="I646" s="35" t="str">
        <x:v>N4 - explicit engineering quantity in ASCII lowerCamelCase; formula symbols remain aliases only.</x:v>
      </x:c>
      <x:c r="J646" s="35" t="str">
        <x:v>ADD_DEVELOPMENT_TERM</x:v>
      </x:c>
    </x:row>
    <x:row r="647">
      <x:c r="A647" s="35" t="str">
        <x:v>minimumLineLoad</x:v>
      </x:c>
      <x:c r="B647" s="35" t="str">
        <x:v>https://w3id.org/nltl-benchmark/vocab#minimumLineLoad</x:v>
      </x:c>
      <x:c r="C647" s="35" t="str">
        <x:v>QuantityProperty</x:v>
      </x:c>
      <x:c r="D647" s="35" t="str">
        <x:v>http://qudt.org/schema/qudt/QuantityValue</x:v>
      </x:c>
      <x:c r="E647" s="35" t="str"/>
      <x:c r="F647" s="35" t="str">
        <x:v>kN/m</x:v>
      </x:c>
      <x:c r="G647" s="38" t="str">
        <x:v>TRF-057</x:v>
      </x:c>
      <x:c r="H647" s="35" t="str">
        <x:v>Benchmark-coined descriptive engineering term</x:v>
      </x:c>
      <x:c r="I647" s="35" t="str">
        <x:v>N5 - component or subject first, followed by characteristic and qualifier/state; no unsupported external mapping</x:v>
      </x:c>
      <x:c r="J647" s="35" t="str">
        <x:v>REUSE_R2_TERM</x:v>
      </x:c>
    </x:row>
    <x:row r="648">
      <x:c r="A648" s="35" t="str">
        <x:v>minimumRequiredPowerAtLowerIceWaterline</x:v>
      </x:c>
      <x:c r="B648" s="35" t="str">
        <x:v>https://w3id.org/nltl-benchmark/vocab#minimumRequiredPowerAtLowerIceWaterline</x:v>
      </x:c>
      <x:c r="C648" s="35" t="str">
        <x:v>QuantityProperty</x:v>
      </x:c>
      <x:c r="D648" s="35" t="str">
        <x:v>http://qudt.org/schema/qudt/QuantityValue</x:v>
      </x:c>
      <x:c r="E648" s="35" t="str"/>
      <x:c r="F648" s="35" t="str">
        <x:v>kW</x:v>
      </x:c>
      <x:c r="G648" s="38" t="str">
        <x:v>TRF-020</x:v>
      </x:c>
      <x:c r="H648" s="35" t="str">
        <x:v>Unit-stripped normalized regulatory variable</x:v>
      </x:c>
      <x:c r="I648" s="35" t="str">
        <x:v>N3 - remove unit from the identifier and retain it in unit/quantity metadata</x:v>
      </x:c>
      <x:c r="J648" s="35" t="str">
        <x:v>REUSE_R2_TERM</x:v>
      </x:c>
    </x:row>
    <x:row r="649">
      <x:c r="A649" s="35" t="str">
        <x:v>minimumRequiredPowerAtUpperIceWaterline</x:v>
      </x:c>
      <x:c r="B649" s="35" t="str">
        <x:v>https://w3id.org/nltl-benchmark/vocab#minimumRequiredPowerAtUpperIceWaterline</x:v>
      </x:c>
      <x:c r="C649" s="35" t="str">
        <x:v>QuantityProperty</x:v>
      </x:c>
      <x:c r="D649" s="35" t="str">
        <x:v>http://qudt.org/schema/qudt/QuantityValue</x:v>
      </x:c>
      <x:c r="E649" s="35" t="str"/>
      <x:c r="F649" s="35" t="str">
        <x:v>kW</x:v>
      </x:c>
      <x:c r="G649" s="38" t="str">
        <x:v>TRF-020</x:v>
      </x:c>
      <x:c r="H649" s="35" t="str">
        <x:v>Unit-stripped normalized regulatory variable</x:v>
      </x:c>
      <x:c r="I649" s="35" t="str">
        <x:v>N3 - remove unit from the identifier and retain it in unit/quantity metadata</x:v>
      </x:c>
      <x:c r="J649" s="35" t="str">
        <x:v>REUSE_R2_TERM</x:v>
      </x:c>
    </x:row>
    <x:row r="650">
      <x:c r="A650" s="35" t="str">
        <x:v>modelTestEvidence</x:v>
      </x:c>
      <x:c r="B650" s="35" t="str">
        <x:v>https://w3id.org/nltl-benchmark/vocab#modelTestEvidence</x:v>
      </x:c>
      <x:c r="C650" s="35" t="str">
        <x:v>Class</x:v>
      </x:c>
      <x:c r="D650" s="35" t="str">
        <x:v>https://w3id.org/nltl-benchmark/vocab#physicalTestEvidence</x:v>
      </x:c>
      <x:c r="E650" s="35" t="str"/>
      <x:c r="F650" s="35" t="str"/>
      <x:c r="G650" s="38" t="str">
        <x:v>TRF-028</x:v>
      </x:c>
      <x:c r="H650" s="35" t="str">
        <x:v>Benchmark-coined descriptive engineering term</x:v>
      </x:c>
      <x:c r="I650" s="35" t="str">
        <x:v>N5 - component or subject first, followed by characteristic and qualifier/state; no unsupported external mapping</x:v>
      </x:c>
      <x:c r="J650" s="35" t="str">
        <x:v>REUSE_R2_TERM</x:v>
      </x:c>
    </x:row>
    <x:row r="651">
      <x:c r="A651" s="35" t="str">
        <x:v>multiDeckOrStringerContinuousFrameCondition</x:v>
      </x:c>
      <x:c r="B651" s="35" t="str">
        <x:v>https://w3id.org/nltl-benchmark/vocab#multiDeckOrStringerContinuousFrameCondition</x:v>
      </x:c>
      <x:c r="C651" s="35" t="str">
        <x:v>NamedIndividual</x:v>
      </x:c>
      <x:c r="D651" s="35" t="str">
        <x:v>https://w3id.org/nltl-benchmark/vocab#frameBoundaryConditionTypeValue</x:v>
      </x:c>
      <x:c r="E651" s="35" t="str"/>
      <x:c r="F651" s="35" t="str"/>
      <x:c r="G651" s="38" t="str">
        <x:v>TRF-044</x:v>
      </x:c>
      <x:c r="H651" s="35" t="str">
        <x:v>Applicable TRAFICOM regulation wording plus explicit engineering node/operand role</x:v>
      </x:c>
      <x:c r="I651" s="35" t="str">
        <x:v>N6 - concise ASCII lowerCamelCase controlled-value name grounded in the linked regulation.</x:v>
      </x:c>
      <x:c r="J651" s="35" t="str">
        <x:v>ADD_DEVELOPMENT_TERM</x:v>
      </x:c>
    </x:row>
    <x:row r="652">
      <x:c r="A652" s="35" t="str">
        <x:v>narrowDeckStrip</x:v>
      </x:c>
      <x:c r="B652" s="35" t="str">
        <x:v>https://w3id.org/nltl-benchmark/vocab#narrowDeckStrip</x:v>
      </x:c>
      <x:c r="C652" s="35" t="str">
        <x:v>Class</x:v>
      </x:c>
      <x:c r="D652" s="35" t="str">
        <x:v>https://w3id.org/nltl-benchmark/vocab#hullStructure</x:v>
      </x:c>
      <x:c r="E652" s="35" t="str"/>
      <x:c r="F652" s="35" t="str"/>
      <x:c r="G652" s="38" t="str">
        <x:v>TRF-055</x:v>
      </x:c>
      <x:c r="H652" s="35" t="str">
        <x:v>Applicable TRAFICOM regulation wording plus explicit engineering node/operand role</x:v>
      </x:c>
      <x:c r="I652" s="35" t="str">
        <x:v>N4 - singular ASCII lowerCamelCase entity name derived from the linked regulatory role.</x:v>
      </x:c>
      <x:c r="J652" s="35" t="str">
        <x:v>ADD_DEVELOPMENT_TERM</x:v>
      </x:c>
    </x:row>
    <x:row r="653">
      <x:c r="A653" s="35" t="str">
        <x:v>navigatingInIce</x:v>
      </x:c>
      <x:c r="B653" s="35" t="str">
        <x:v>https://w3id.org/nltl-benchmark/vocab#navigatingInIce</x:v>
      </x:c>
      <x:c r="C653" s="35" t="str">
        <x:v>DatatypeProperty</x:v>
      </x:c>
      <x:c r="D653" s="35" t="str">
        <x:v>http://www.w3.org/2001/XMLSchema#boolean</x:v>
      </x:c>
      <x:c r="E653" s="35" t="str">
        <x:v>xsd:boolean</x:v>
      </x:c>
      <x:c r="F653" s="35" t="str"/>
      <x:c r="G653" s="38" t="str">
        <x:v>TRF-015 | TRF-016</x:v>
      </x:c>
      <x:c r="H653" s="35" t="str">
        <x:v>Applicable TRAFICOM regulation wording plus explicit engineering node/operand role</x:v>
      </x:c>
      <x:c r="I653" s="35" t="str">
        <x:v>N4 - explicit regulatory concept in ASCII lowerCamelCase with an XSD datatype.</x:v>
      </x:c>
      <x:c r="J653" s="35" t="str">
        <x:v>ADD_DEVELOPMENT_TERM</x:v>
      </x:c>
    </x:row>
    <x:row r="654">
      <x:c r="A654" s="35" t="str">
        <x:v>navigationEquipmentItem</x:v>
      </x:c>
      <x:c r="B654" s="35" t="str">
        <x:v>https://w3id.org/nltl-benchmark/vocab#navigationEquipmentItem</x:v>
      </x:c>
      <x:c r="C654" s="35" t="str">
        <x:v>Class</x:v>
      </x:c>
      <x:c r="D654" s="35" t="str">
        <x:v>https://w3id.org/nltl-benchmark/vocab#benchmarkEntity</x:v>
      </x:c>
      <x:c r="E654" s="35" t="str"/>
      <x:c r="F654" s="35" t="str"/>
      <x:c r="G654" s="38" t="str">
        <x:v>IMO26-004</x:v>
      </x:c>
      <x:c r="H654" s="35" t="str">
        <x:v>Locked-workbook normalized regulatory term</x:v>
      </x:c>
      <x:c r="I654" s="35" t="str">
        <x:v>N4 - preserve the source concept; normalize spelling to ASCII lowerCamelCase</x:v>
      </x:c>
      <x:c r="J654" s="35" t="str">
        <x:v>REUSE_R2_TERM</x:v>
      </x:c>
    </x:row>
    <x:row r="655">
      <x:c r="A655" s="35" t="str">
        <x:v>nearCentrelineAndWellAftIfPossible</x:v>
      </x:c>
      <x:c r="B655" s="35" t="str">
        <x:v>https://w3id.org/nltl-benchmark/vocab#nearCentrelineAndWellAftIfPossible</x:v>
      </x:c>
      <x:c r="C655" s="35" t="str">
        <x:v>DatatypeProperty</x:v>
      </x:c>
      <x:c r="D655" s="35" t="str">
        <x:v>http://www.w3.org/2001/XMLSchema#boolean</x:v>
      </x:c>
      <x:c r="E655" s="35" t="str">
        <x:v>xsd:boolean</x:v>
      </x:c>
      <x:c r="F655" s="35" t="str"/>
      <x:c r="G655" s="38" t="str">
        <x:v>TRF-130</x:v>
      </x:c>
      <x:c r="H655" s="35" t="str">
        <x:v>Benchmark-coined descriptive engineering term</x:v>
      </x:c>
      <x:c r="I655" s="35" t="str">
        <x:v>N5 - component or subject first, followed by characteristic and qualifier/state; no unsupported external mapping</x:v>
      </x:c>
      <x:c r="J655" s="35" t="str">
        <x:v>REUSE_R2_TERM</x:v>
      </x:c>
    </x:row>
    <x:row r="656">
      <x:c r="A656" s="35" t="str">
        <x:v>nearbyIceConcentration</x:v>
      </x:c>
      <x:c r="B656" s="35" t="str">
        <x:v>https://w3id.org/nltl-benchmark/vocab#nearbyIceConcentration</x:v>
      </x:c>
      <x:c r="C656" s="35" t="str">
        <x:v>QuantityProperty</x:v>
      </x:c>
      <x:c r="D656" s="35" t="str">
        <x:v>http://qudt.org/schema/qudt/QuantityValue</x:v>
      </x:c>
      <x:c r="E656" s="35" t="str"/>
      <x:c r="F656" s="35" t="str">
        <x:v>1</x:v>
      </x:c>
      <x:c r="G656" s="38" t="str">
        <x:v>IMO-115 | IMO-116 | IMO-120 | IMO-123 | IMO-124</x:v>
      </x:c>
      <x:c r="H656" s="35" t="str">
        <x:v>Unit-stripped normalized regulatory variable</x:v>
      </x:c>
      <x:c r="I656" s="35" t="str">
        <x:v>N3 - remove unit from the identifier and retain it in unit/quantity metadata</x:v>
      </x:c>
      <x:c r="J656" s="35" t="str">
        <x:v>REUSE_R2_TERM</x:v>
      </x:c>
    </x:row>
    <x:row r="657">
      <x:c r="A657" s="35" t="str">
        <x:v>netShellPlatingThickness</x:v>
      </x:c>
      <x:c r="B657" s="35" t="str">
        <x:v>https://w3id.org/nltl-benchmark/vocab#netShellPlatingThickness</x:v>
      </x:c>
      <x:c r="C657" s="35" t="str">
        <x:v>QuantityProperty</x:v>
      </x:c>
      <x:c r="D657" s="35" t="str">
        <x:v>http://qudt.org/schema/qudt/QuantityValue</x:v>
      </x:c>
      <x:c r="E657" s="35" t="str"/>
      <x:c r="F657" s="35" t="str">
        <x:v>mm</x:v>
      </x:c>
      <x:c r="G657" s="38" t="str">
        <x:v>TRF-051</x:v>
      </x:c>
      <x:c r="H657" s="35" t="str">
        <x:v>Applicable TRAFICOM regulation wording plus explicit engineering node/operand role</x:v>
      </x:c>
      <x:c r="I657" s="35" t="str">
        <x:v>N4 - explicit engineering quantity in ASCII lowerCamelCase; formula symbols remain aliases only.</x:v>
      </x:c>
      <x:c r="J657" s="35" t="str">
        <x:v>ADD_DEVELOPMENT_TERM</x:v>
      </x:c>
    </x:row>
    <x:row r="658">
      <x:c r="A658" s="35" t="str">
        <x:v>netThickness</x:v>
      </x:c>
      <x:c r="B658" s="35" t="str">
        <x:v>https://w3id.org/nltl-benchmark/vocab#netThickness</x:v>
      </x:c>
      <x:c r="C658" s="35" t="str">
        <x:v>QuantityProperty</x:v>
      </x:c>
      <x:c r="D658" s="35" t="str">
        <x:v>http://qudt.org/schema/qudt/QuantityValue</x:v>
      </x:c>
      <x:c r="E658" s="35" t="str"/>
      <x:c r="F658" s="35" t="str">
        <x:v>m</x:v>
      </x:c>
      <x:c r="G658" s="38" t="str">
        <x:v>I2-047</x:v>
      </x:c>
      <x:c r="H658" s="35" t="str">
        <x:v>Benchmark-coined descriptive engineering term</x:v>
      </x:c>
      <x:c r="I658" s="35" t="str">
        <x:v>N5 - component or subject first, followed by characteristic and qualifier/state; no unsupported external mapping</x:v>
      </x:c>
      <x:c r="J658" s="35" t="str">
        <x:v>REUSE_R2_TERM</x:v>
      </x:c>
    </x:row>
    <x:row r="659">
      <x:c r="A659" s="35" t="str">
        <x:v>newtonPerMetreToPowerOnePointFiveUnit</x:v>
      </x:c>
      <x:c r="B659" s="35" t="str">
        <x:v>https://w3id.org/nltl-benchmark/vocab#newtonPerMetreToPowerOnePointFiveUnit</x:v>
      </x:c>
      <x:c r="C659" s="35" t="str">
        <x:v>NamedIndividual</x:v>
      </x:c>
      <x:c r="D659" s="35" t="str">
        <x:v>http://qudt.org/schema/qudt/Unit</x:v>
      </x:c>
      <x:c r="E659" s="35" t="str"/>
      <x:c r="F659" s="35" t="str"/>
      <x:c r="G659" s="38" t="str">
        <x:v>TRF-022 | TRF-025 | TRF-027</x:v>
      </x:c>
      <x:c r="H659" s="35" t="str">
        <x:v>Applicable TRAFICOM regulation wording plus explicit engineering node/operand role</x:v>
      </x:c>
      <x:c r="I659" s="35" t="str">
        <x:v>N6 - concise ASCII lowerCamelCase controlled-value name grounded in the linked regulation.</x:v>
      </x:c>
      <x:c r="J659" s="35" t="str">
        <x:v>ADD_DEVELOPMENT_TERM</x:v>
      </x:c>
    </x:row>
    <x:row r="660">
      <x:c r="A660" s="35" t="str">
        <x:v>nominalIcePressureP0</x:v>
      </x:c>
      <x:c r="B660" s="35" t="str">
        <x:v>https://w3id.org/nltl-benchmark/vocab#nominalIcePressureP0</x:v>
      </x:c>
      <x:c r="C660" s="35" t="str">
        <x:v>QuantityProperty</x:v>
      </x:c>
      <x:c r="D660" s="35" t="str">
        <x:v>http://qudt.org/schema/qudt/QuantityValue</x:v>
      </x:c>
      <x:c r="E660" s="35" t="str"/>
      <x:c r="F660" s="35" t="str">
        <x:v>MPa</x:v>
      </x:c>
      <x:c r="G660" s="38" t="str">
        <x:v>TRF-039</x:v>
      </x:c>
      <x:c r="H660" s="35" t="str">
        <x:v>Unit-stripped normalized regulatory variable</x:v>
      </x:c>
      <x:c r="I660" s="35" t="str">
        <x:v>N3 - remove unit from the identifier and retain it in unit/quantity metadata</x:v>
      </x:c>
      <x:c r="J660" s="35" t="str">
        <x:v>REUSE_R2_TERM</x:v>
      </x:c>
    </x:row>
    <x:row r="661">
      <x:c r="A661" s="35" t="str">
        <x:v>nominalVonMisesStress</x:v>
      </x:c>
      <x:c r="B661" s="35" t="str">
        <x:v>https://w3id.org/nltl-benchmark/vocab#nominalVonMisesStress</x:v>
      </x:c>
      <x:c r="C661" s="35" t="str">
        <x:v>QuantityProperty</x:v>
      </x:c>
      <x:c r="D661" s="35" t="str">
        <x:v>http://qudt.org/schema/qudt/QuantityValue</x:v>
      </x:c>
      <x:c r="E661" s="35" t="str"/>
      <x:c r="F661" s="35" t="str">
        <x:v>MPa</x:v>
      </x:c>
      <x:c r="G661" s="38" t="str">
        <x:v>TRF-118</x:v>
      </x:c>
      <x:c r="H661" s="35" t="str">
        <x:v>Benchmark-coined descriptive engineering term</x:v>
      </x:c>
      <x:c r="I661" s="35" t="str">
        <x:v>N5 - component or subject first, followed by characteristic and qualifier/state; no unsupported external mapping</x:v>
      </x:c>
      <x:c r="J661" s="35" t="str">
        <x:v>REUSE_R2_TERM</x:v>
      </x:c>
    </x:row>
    <x:row r="662">
      <x:c r="A662" s="35" t="str">
        <x:v>nonBowIceForce</x:v>
      </x:c>
      <x:c r="B662" s="35" t="str">
        <x:v>https://w3id.org/nltl-benchmark/vocab#nonBowIceForce</x:v>
      </x:c>
      <x:c r="C662" s="35" t="str">
        <x:v>QuantityProperty</x:v>
      </x:c>
      <x:c r="D662" s="35" t="str">
        <x:v>http://qudt.org/schema/qudt/QuantityValue</x:v>
      </x:c>
      <x:c r="E662" s="35" t="str"/>
      <x:c r="F662" s="35" t="str">
        <x:v>kN</x:v>
      </x:c>
      <x:c r="G662" s="38" t="str">
        <x:v>I2-017</x:v>
      </x:c>
      <x:c r="H662" s="35" t="str">
        <x:v>Benchmark-coined descriptive engineering term</x:v>
      </x:c>
      <x:c r="I662" s="35" t="str">
        <x:v>N5 - component or subject first, followed by characteristic and qualifier/state; no unsupported external mapping</x:v>
      </x:c>
      <x:c r="J662" s="35" t="str">
        <x:v>REUSE_R2_TERM</x:v>
      </x:c>
    </x:row>
    <x:row r="663">
      <x:c r="A663" s="35" t="str">
        <x:v>nonBowLineLoad</x:v>
      </x:c>
      <x:c r="B663" s="35" t="str">
        <x:v>https://w3id.org/nltl-benchmark/vocab#nonBowLineLoad</x:v>
      </x:c>
      <x:c r="C663" s="35" t="str">
        <x:v>QuantityProperty</x:v>
      </x:c>
      <x:c r="D663" s="35" t="str">
        <x:v>http://qudt.org/schema/qudt/QuantityValue</x:v>
      </x:c>
      <x:c r="E663" s="35" t="str"/>
      <x:c r="F663" s="35" t="str">
        <x:v>kN/m</x:v>
      </x:c>
      <x:c r="G663" s="38" t="str">
        <x:v>I2-017</x:v>
      </x:c>
      <x:c r="H663" s="35" t="str">
        <x:v>Benchmark-coined descriptive engineering term</x:v>
      </x:c>
      <x:c r="I663" s="35" t="str">
        <x:v>N5 - component or subject first, followed by characteristic and qualifier/state; no unsupported external mapping</x:v>
      </x:c>
      <x:c r="J663" s="35" t="str">
        <x:v>REUSE_R2_TERM</x:v>
      </x:c>
    </x:row>
    <x:row r="664">
      <x:c r="A664" s="35" t="str">
        <x:v>nonBowLoadPatchHeight</x:v>
      </x:c>
      <x:c r="B664" s="35" t="str">
        <x:v>https://w3id.org/nltl-benchmark/vocab#nonBowLoadPatchHeight</x:v>
      </x:c>
      <x:c r="C664" s="35" t="str">
        <x:v>QuantityProperty</x:v>
      </x:c>
      <x:c r="D664" s="35" t="str">
        <x:v>http://qudt.org/schema/qudt/QuantityValue</x:v>
      </x:c>
      <x:c r="E664" s="35" t="str"/>
      <x:c r="F664" s="35" t="str">
        <x:v>m</x:v>
      </x:c>
      <x:c r="G664" s="38" t="str">
        <x:v>I2-009 | I2-017</x:v>
      </x:c>
      <x:c r="H664" s="35" t="str">
        <x:v>Benchmark-coined descriptive engineering term</x:v>
      </x:c>
      <x:c r="I664" s="35" t="str">
        <x:v>N5 - component or subject first, followed by characteristic and qualifier/state; no unsupported external mapping</x:v>
      </x:c>
      <x:c r="J664" s="35" t="str">
        <x:v>REUSE_R2_TERM</x:v>
      </x:c>
    </x:row>
    <x:row r="665">
      <x:c r="A665" s="35" t="str">
        <x:v>nonBowLoadPatchLength</x:v>
      </x:c>
      <x:c r="B665" s="35" t="str">
        <x:v>https://w3id.org/nltl-benchmark/vocab#nonBowLoadPatchLength</x:v>
      </x:c>
      <x:c r="C665" s="35" t="str">
        <x:v>QuantityProperty</x:v>
      </x:c>
      <x:c r="D665" s="35" t="str">
        <x:v>http://qudt.org/schema/qudt/QuantityValue</x:v>
      </x:c>
      <x:c r="E665" s="35" t="str"/>
      <x:c r="F665" s="35" t="str">
        <x:v>m</x:v>
      </x:c>
      <x:c r="G665" s="38" t="str">
        <x:v>I2-009 | I2-017</x:v>
      </x:c>
      <x:c r="H665" s="35" t="str">
        <x:v>Benchmark-coined descriptive engineering term</x:v>
      </x:c>
      <x:c r="I665" s="35" t="str">
        <x:v>N5 - component or subject first, followed by characteristic and qualifier/state; no unsupported external mapping</x:v>
      </x:c>
      <x:c r="J665" s="35" t="str">
        <x:v>REUSE_R2_TERM</x:v>
      </x:c>
    </x:row>
    <x:row r="666">
      <x:c r="A666" s="35" t="str">
        <x:v>nonHemisphericalImpactArea</x:v>
      </x:c>
      <x:c r="B666" s="35" t="str">
        <x:v>https://w3id.org/nltl-benchmark/vocab#nonHemisphericalImpactArea</x:v>
      </x:c>
      <x:c r="C666" s="35" t="str">
        <x:v>DatatypeProperty</x:v>
      </x:c>
      <x:c r="D666" s="35" t="str">
        <x:v>http://www.w3.org/2001/XMLSchema#string</x:v>
      </x:c>
      <x:c r="E666" s="35" t="str">
        <x:v>xsd:string</x:v>
      </x:c>
      <x:c r="F666" s="35" t="str"/>
      <x:c r="G666" s="38" t="str">
        <x:v>TRF-116</x:v>
      </x:c>
      <x:c r="H666" s="35" t="str">
        <x:v>Benchmark-coined descriptive engineering term</x:v>
      </x:c>
      <x:c r="I666" s="35" t="str">
        <x:v>N5 - component or subject first, followed by characteristic and qualifier/state; no unsupported external mapping</x:v>
      </x:c>
      <x:c r="J666" s="35" t="str">
        <x:v>REUSE_R2_TERM</x:v>
      </x:c>
    </x:row>
    <x:row r="667">
      <x:c r="A667" s="35" t="str">
        <x:v>nonMagneticHeadingMeansCount</x:v>
      </x:c>
      <x:c r="B667" s="35" t="str">
        <x:v>https://w3id.org/nltl-benchmark/vocab#nonMagneticHeadingMeansCount</x:v>
      </x:c>
      <x:c r="C667" s="35" t="str">
        <x:v>DatatypeProperty</x:v>
      </x:c>
      <x:c r="D667" s="35" t="str">
        <x:v>http://www.w3.org/2001/XMLSchema#integer</x:v>
      </x:c>
      <x:c r="E667" s="35" t="str">
        <x:v>xsd:integer</x:v>
      </x:c>
      <x:c r="F667" s="35" t="str"/>
      <x:c r="G667" s="38" t="str">
        <x:v>IMO-086 | IMO26-012</x:v>
      </x:c>
      <x:c r="H667" s="35" t="str">
        <x:v>Locked-workbook normalized regulatory term</x:v>
      </x:c>
      <x:c r="I667" s="35" t="str">
        <x:v>N4 - preserve the source concept; normalize spelling to ASCII lowerCamelCase</x:v>
      </x:c>
      <x:c r="J667" s="35" t="str">
        <x:v>REUSE_R2_TERM</x:v>
      </x:c>
    </x:row>
    <x:row r="668">
      <x:c r="A668" s="35" t="str">
        <x:v>nonlinearCalculationMethod</x:v>
      </x:c>
      <x:c r="B668" s="35" t="str">
        <x:v>https://w3id.org/nltl-benchmark/vocab#nonlinearCalculationMethod</x:v>
      </x:c>
      <x:c r="C668" s="35" t="str">
        <x:v>DatatypeProperty</x:v>
      </x:c>
      <x:c r="D668" s="35" t="str">
        <x:v>http://www.w3.org/2001/XMLSchema#string</x:v>
      </x:c>
      <x:c r="E668" s="35" t="str">
        <x:v>xsd:string</x:v>
      </x:c>
      <x:c r="F668" s="35" t="str"/>
      <x:c r="G668" s="38" t="str">
        <x:v>I2-065</x:v>
      </x:c>
      <x:c r="H668" s="35" t="str">
        <x:v>Benchmark-coined descriptive engineering term</x:v>
      </x:c>
      <x:c r="I668" s="35" t="str">
        <x:v>N5 - component or subject first, followed by characteristic and qualifier/state; no unsupported external mapping</x:v>
      </x:c>
      <x:c r="J668" s="35" t="str">
        <x:v>REUSE_R2_TERM</x:v>
      </x:c>
    </x:row>
    <x:row r="669">
      <x:c r="A669" s="35" t="str">
        <x:v>normalFrameAngle</x:v>
      </x:c>
      <x:c r="B669" s="35" t="str">
        <x:v>https://w3id.org/nltl-benchmark/vocab#normalFrameAngle</x:v>
      </x:c>
      <x:c r="C669" s="35" t="str">
        <x:v>QuantityProperty</x:v>
      </x:c>
      <x:c r="D669" s="35" t="str">
        <x:v>http://qudt.org/schema/qudt/QuantityValue</x:v>
      </x:c>
      <x:c r="E669" s="35" t="str"/>
      <x:c r="F669" s="35" t="str">
        <x:v>deg</x:v>
      </x:c>
      <x:c r="G669" s="38" t="str">
        <x:v>I2-009 | I2-010</x:v>
      </x:c>
      <x:c r="H669" s="35" t="str">
        <x:v>Benchmark-coined descriptive engineering term</x:v>
      </x:c>
      <x:c r="I669" s="35" t="str">
        <x:v>N5 - component or subject first, followed by characteristic and qualifier/state; no unsupported external mapping</x:v>
      </x:c>
      <x:c r="J669" s="35" t="str">
        <x:v>REUSE_R2_TERM</x:v>
      </x:c>
    </x:row>
    <x:row r="670">
      <x:c r="A670" s="35" t="str">
        <x:v>normalLifeSavingEquivalentFunctionalityApprovalStatus</x:v>
      </x:c>
      <x:c r="B670" s="35" t="str">
        <x:v>https://w3id.org/nltl-benchmark/vocab#normalLifeSavingEquivalentFunctionalityApprovalStatus</x:v>
      </x:c>
      <x:c r="C670" s="35" t="str">
        <x:v>ObjectProperty</x:v>
      </x:c>
      <x:c r="D670" s="35" t="str">
        <x:v>https://w3id.org/nltl-benchmark/vocab#evidenceState</x:v>
      </x:c>
      <x:c r="E670" s="35" t="str"/>
      <x:c r="F670" s="35" t="str"/>
      <x:c r="G670" s="38" t="str">
        <x:v>IMO-074</x:v>
      </x:c>
      <x:c r="H670" s="35" t="str">
        <x:v>Locked-workbook normalized regulatory term</x:v>
      </x:c>
      <x:c r="I670" s="35" t="str">
        <x:v>N4 - preserve the source concept; normalize spelling to ASCII lowerCamelCase</x:v>
      </x:c>
      <x:c r="J670" s="35" t="str">
        <x:v>REUSE_R2_TERM</x:v>
      </x:c>
    </x:row>
    <x:row r="671">
      <x:c r="A671" s="35" t="str">
        <x:v>normalOperationProcedurePresent</x:v>
      </x:c>
      <x:c r="B671" s="35" t="str">
        <x:v>https://w3id.org/nltl-benchmark/vocab#normalOperationProcedurePresent</x:v>
      </x:c>
      <x:c r="C671" s="35" t="str">
        <x:v>DatatypeProperty</x:v>
      </x:c>
      <x:c r="D671" s="35" t="str">
        <x:v>http://www.w3.org/2001/XMLSchema#boolean</x:v>
      </x:c>
      <x:c r="E671" s="35" t="str">
        <x:v>xsd:boolean</x:v>
      </x:c>
      <x:c r="F671" s="35" t="str"/>
      <x:c r="G671" s="38" t="str">
        <x:v>IMO-023</x:v>
      </x:c>
      <x:c r="H671" s="35" t="str">
        <x:v>Locked-workbook normalized regulatory term</x:v>
      </x:c>
      <x:c r="I671" s="35" t="str">
        <x:v>N4 - preserve the source concept; normalize spelling to ASCII lowerCamelCase</x:v>
      </x:c>
      <x:c r="J671" s="35" t="str">
        <x:v>REUSE_R2_TERM</x:v>
      </x:c>
    </x:row>
    <x:row r="672">
      <x:c r="A672" s="35" t="str">
        <x:v>normalStrengthHullStructuralSteel</x:v>
      </x:c>
      <x:c r="B672" s="35" t="str">
        <x:v>https://w3id.org/nltl-benchmark/vocab#normalStrengthHullStructuralSteel</x:v>
      </x:c>
      <x:c r="C672" s="35" t="str">
        <x:v>NamedIndividual</x:v>
      </x:c>
      <x:c r="D672" s="35" t="str">
        <x:v>https://w3id.org/nltl-benchmark/vocab#steelGradeValue</x:v>
      </x:c>
      <x:c r="E672" s="35" t="str"/>
      <x:c r="F672" s="35" t="str"/>
      <x:c r="G672" s="38" t="str">
        <x:v>TRF-041 | TRF-042 | TRF-051</x:v>
      </x:c>
      <x:c r="H672" s="35" t="str">
        <x:v>Applicable TRAFICOM regulation wording plus explicit engineering node/operand role</x:v>
      </x:c>
      <x:c r="I672" s="35" t="str">
        <x:v>N6 - concise ASCII lowerCamelCase controlled-value name grounded in the linked regulation.</x:v>
      </x:c>
      <x:c r="J672" s="35" t="str">
        <x:v>ADD_DEVELOPMENT_TERM</x:v>
      </x:c>
    </x:row>
    <x:row r="673">
      <x:c r="A673" s="35" t="str">
        <x:v>notComminutedOrDisinfected</x:v>
      </x:c>
      <x:c r="B673" s="35" t="str">
        <x:v>https://w3id.org/nltl-benchmark/vocab#notComminutedOrDisinfected</x:v>
      </x:c>
      <x:c r="C673" s="35" t="str">
        <x:v>DatatypeProperty</x:v>
      </x:c>
      <x:c r="D673" s="35" t="str">
        <x:v>http://www.w3.org/2001/XMLSchema#boolean</x:v>
      </x:c>
      <x:c r="E673" s="35" t="str">
        <x:v>xsd:boolean</x:v>
      </x:c>
      <x:c r="F673" s="35" t="str"/>
      <x:c r="G673" s="38" t="str">
        <x:v>IMO-116</x:v>
      </x:c>
      <x:c r="H673" s="35" t="str">
        <x:v>Benchmark-coined descriptive engineering term</x:v>
      </x:c>
      <x:c r="I673" s="35" t="str">
        <x:v>N5 - component or subject first, followed by characteristic and qualifier/state; no unsupported external mapping</x:v>
      </x:c>
      <x:c r="J673" s="35" t="str">
        <x:v>REUSE_R2_TERM</x:v>
      </x:c>
    </x:row>
    <x:row r="674">
      <x:c r="A674" s="35" t="str">
        <x:v>noxiousLiquidSubstanceEmergencyPlanPolarCoverage</x:v>
      </x:c>
      <x:c r="B674" s="35" t="str">
        <x:v>https://w3id.org/nltl-benchmark/vocab#noxiousLiquidSubstanceEmergencyPlanPolarCoverage</x:v>
      </x:c>
      <x:c r="C674" s="35" t="str">
        <x:v>DatatypeProperty</x:v>
      </x:c>
      <x:c r="D674" s="35" t="str">
        <x:v>http://www.w3.org/2001/XMLSchema#boolean</x:v>
      </x:c>
      <x:c r="E674" s="35" t="str">
        <x:v>xsd:boolean</x:v>
      </x:c>
      <x:c r="F674" s="35" t="str"/>
      <x:c r="G674" s="38" t="str">
        <x:v>IMO-113</x:v>
      </x:c>
      <x:c r="H674" s="35" t="str">
        <x:v>Locked-workbook normalized regulatory term</x:v>
      </x:c>
      <x:c r="I674" s="35" t="str">
        <x:v>N4 - preserve the source concept; normalize spelling to ASCII lowerCamelCase</x:v>
      </x:c>
      <x:c r="J674" s="35" t="str">
        <x:v>REUSE_R2_TERM</x:v>
      </x:c>
    </x:row>
    <x:row r="675">
      <x:c r="A675" s="35" t="str">
        <x:v>noxiousLiquidSubstanceOrNoxiousLiquidSubstanceMixtureDischargeToSea</x:v>
      </x:c>
      <x:c r="B675" s="35" t="str">
        <x:v>https://w3id.org/nltl-benchmark/vocab#noxiousLiquidSubstanceOrNoxiousLiquidSubstanceMixtureDischargeToSea</x:v>
      </x:c>
      <x:c r="C675" s="35" t="str">
        <x:v>DatatypeProperty</x:v>
      </x:c>
      <x:c r="D675" s="35" t="str">
        <x:v>http://www.w3.org/2001/XMLSchema#boolean</x:v>
      </x:c>
      <x:c r="E675" s="35" t="str">
        <x:v>xsd:boolean</x:v>
      </x:c>
      <x:c r="F675" s="35" t="str"/>
      <x:c r="G675" s="38" t="str">
        <x:v>IMO-112</x:v>
      </x:c>
      <x:c r="H675" s="35" t="str">
        <x:v>Locked-workbook normalized regulatory term</x:v>
      </x:c>
      <x:c r="I675" s="35" t="str">
        <x:v>N4 - preserve the source concept; normalize spelling to ASCII lowerCamelCase</x:v>
      </x:c>
      <x:c r="J675" s="35" t="str">
        <x:v>REUSE_R2_TERM</x:v>
      </x:c>
    </x:row>
    <x:row r="676">
      <x:c r="A676" s="35" t="str">
        <x:v>observationTime</x:v>
      </x:c>
      <x:c r="B676" s="35" t="str">
        <x:v>https://w3id.org/nltl-benchmark/vocab#observationTime</x:v>
      </x:c>
      <x:c r="C676" s="35" t="str">
        <x:v>DatatypeProperty</x:v>
      </x:c>
      <x:c r="D676" s="35" t="str">
        <x:v>http://www.w3.org/2001/XMLSchema#dateTime</x:v>
      </x:c>
      <x:c r="E676" s="35" t="str">
        <x:v>xsd:dateTime</x:v>
      </x:c>
      <x:c r="F676" s="35" t="str"/>
      <x:c r="G676" s="38" t="str">
        <x:v>IMO-044</x:v>
      </x:c>
      <x:c r="H676" s="35" t="str">
        <x:v>Locked-workbook normalized regulatory term</x:v>
      </x:c>
      <x:c r="I676" s="35" t="str">
        <x:v>N4 - preserve the source concept; normalize spelling to ASCII lowerCamelCase</x:v>
      </x:c>
      <x:c r="J676" s="35" t="str">
        <x:v>REUSE_R2_TERM</x:v>
      </x:c>
    </x:row>
    <x:row r="677">
      <x:c r="A677" s="35" t="str">
        <x:v>observedIceAccretion</x:v>
      </x:c>
      <x:c r="B677" s="35" t="str">
        <x:v>https://w3id.org/nltl-benchmark/vocab#observedIceAccretion</x:v>
      </x:c>
      <x:c r="C677" s="35" t="str">
        <x:v>QuantityProperty</x:v>
      </x:c>
      <x:c r="D677" s="35" t="str">
        <x:v>http://qudt.org/schema/qudt/QuantityValue</x:v>
      </x:c>
      <x:c r="E677" s="35" t="str"/>
      <x:c r="F677" s="35" t="str">
        <x:v>m</x:v>
      </x:c>
      <x:c r="G677" s="38" t="str">
        <x:v>IMO-036</x:v>
      </x:c>
      <x:c r="H677" s="35" t="str">
        <x:v>Locked-workbook normalized regulatory term</x:v>
      </x:c>
      <x:c r="I677" s="35" t="str">
        <x:v>N4 - preserve the source concept; normalize spelling to ASCII lowerCamelCase</x:v>
      </x:c>
      <x:c r="J677" s="35" t="str">
        <x:v>REUSE_R2_TERM</x:v>
      </x:c>
    </x:row>
    <x:row r="678">
      <x:c r="A678" s="35" t="str">
        <x:v>observedViscosity</x:v>
      </x:c>
      <x:c r="B678" s="35" t="str">
        <x:v>https://w3id.org/nltl-benchmark/vocab#observedViscosity</x:v>
      </x:c>
      <x:c r="C678" s="35" t="str">
        <x:v>QuantityProperty</x:v>
      </x:c>
      <x:c r="D678" s="35" t="str">
        <x:v>http://qudt.org/schema/qudt/QuantityValue</x:v>
      </x:c>
      <x:c r="E678" s="35" t="str"/>
      <x:c r="F678" s="35" t="str"/>
      <x:c r="G678" s="38" t="str">
        <x:v>IMO-044</x:v>
      </x:c>
      <x:c r="H678" s="35" t="str">
        <x:v>Locked-workbook normalized regulatory term</x:v>
      </x:c>
      <x:c r="I678" s="35" t="str">
        <x:v>N4 - preserve the source concept; normalize spelling to ASCII lowerCamelCase</x:v>
      </x:c>
      <x:c r="J678" s="35" t="str">
        <x:v>REUSE_R2_TERM</x:v>
      </x:c>
    </x:row>
    <x:row r="679">
      <x:c r="A679" s="35" t="str">
        <x:v>oilFuelTankOuterShellSeparation</x:v>
      </x:c>
      <x:c r="B679" s="35" t="str">
        <x:v>https://w3id.org/nltl-benchmark/vocab#oilFuelTankOuterShellSeparation</x:v>
      </x:c>
      <x:c r="C679" s="35" t="str">
        <x:v>QuantityProperty</x:v>
      </x:c>
      <x:c r="D679" s="35" t="str">
        <x:v>http://qudt.org/schema/qudt/QuantityValue</x:v>
      </x:c>
      <x:c r="E679" s="35" t="str"/>
      <x:c r="F679" s="35" t="str">
        <x:v>m</x:v>
      </x:c>
      <x:c r="G679" s="38" t="str">
        <x:v>IMO-108</x:v>
      </x:c>
      <x:c r="H679" s="35" t="str">
        <x:v>Unit-stripped normalized regulatory variable</x:v>
      </x:c>
      <x:c r="I679" s="35" t="str">
        <x:v>N3 - remove unit from the identifier and retain it in unit/quantity metadata</x:v>
      </x:c>
      <x:c r="J679" s="35" t="str">
        <x:v>REUSE_R2_TERM</x:v>
      </x:c>
    </x:row>
    <x:row r="680">
      <x:c r="A680" s="35" t="str">
        <x:v>oilOrOilyMixtureDischargeToSea</x:v>
      </x:c>
      <x:c r="B680" s="35" t="str">
        <x:v>https://w3id.org/nltl-benchmark/vocab#oilOrOilyMixtureDischargeToSea</x:v>
      </x:c>
      <x:c r="C680" s="35" t="str">
        <x:v>DatatypeProperty</x:v>
      </x:c>
      <x:c r="D680" s="35" t="str">
        <x:v>http://www.w3.org/2001/XMLSchema#boolean</x:v>
      </x:c>
      <x:c r="E680" s="35" t="str">
        <x:v>xsd:boolean</x:v>
      </x:c>
      <x:c r="F680" s="35" t="str"/>
      <x:c r="G680" s="38" t="str">
        <x:v>IMO-105</x:v>
      </x:c>
      <x:c r="H680" s="35" t="str">
        <x:v>Locked-workbook normalized regulatory term</x:v>
      </x:c>
      <x:c r="I680" s="35" t="str">
        <x:v>N4 - preserve the source concept; normalize spelling to ASCII lowerCamelCase</x:v>
      </x:c>
      <x:c r="J680" s="35" t="str">
        <x:v>REUSE_R2_TERM</x:v>
      </x:c>
    </x:row>
    <x:row r="681">
      <x:c r="A681" s="35" t="str">
        <x:v>oilRecordBookPolarCoverage</x:v>
      </x:c>
      <x:c r="B681" s="35" t="str">
        <x:v>https://w3id.org/nltl-benchmark/vocab#oilRecordBookPolarCoverage</x:v>
      </x:c>
      <x:c r="C681" s="35" t="str">
        <x:v>DatatypeProperty</x:v>
      </x:c>
      <x:c r="D681" s="35" t="str">
        <x:v>http://www.w3.org/2001/XMLSchema#boolean</x:v>
      </x:c>
      <x:c r="E681" s="35" t="str">
        <x:v>xsd:boolean</x:v>
      </x:c>
      <x:c r="F681" s="35" t="str"/>
      <x:c r="G681" s="38" t="str">
        <x:v>IMO-107</x:v>
      </x:c>
      <x:c r="H681" s="35" t="str">
        <x:v>Locked-workbook normalized regulatory term</x:v>
      </x:c>
      <x:c r="I681" s="35" t="str">
        <x:v>N4 - preserve the source concept; normalize spelling to ASCII lowerCamelCase</x:v>
      </x:c>
      <x:c r="J681" s="35" t="str">
        <x:v>REUSE_R2_TERM</x:v>
      </x:c>
    </x:row>
    <x:row r="682">
      <x:c r="A682" s="35" t="str">
        <x:v>oilResidueTank</x:v>
      </x:c>
      <x:c r="B682" s="35" t="str">
        <x:v>https://w3id.org/nltl-benchmark/vocab#oilResidueTank</x:v>
      </x:c>
      <x:c r="C682" s="35" t="str">
        <x:v>Class</x:v>
      </x:c>
      <x:c r="D682" s="35" t="str">
        <x:v>https://w3id.org/nltl-benchmark/vocab#machineryComponent</x:v>
      </x:c>
      <x:c r="E682" s="35" t="str"/>
      <x:c r="F682" s="35" t="str"/>
      <x:c r="G682" s="38" t="str">
        <x:v>IMO-111</x:v>
      </x:c>
      <x:c r="H682" s="35" t="str">
        <x:v>Benchmark-coined descriptive engineering term</x:v>
      </x:c>
      <x:c r="I682" s="35" t="str">
        <x:v>N5 - component or subject first, followed by characteristic and qualifier/state; no unsupported external mapping</x:v>
      </x:c>
      <x:c r="J682" s="35" t="str">
        <x:v>REUSE_R2_TERM</x:v>
      </x:c>
    </x:row>
    <x:row r="683">
      <x:c r="A683" s="35" t="str">
        <x:v>oilTanker</x:v>
      </x:c>
      <x:c r="B683" s="35" t="str">
        <x:v>https://w3id.org/nltl-benchmark/vocab#oilTanker</x:v>
      </x:c>
      <x:c r="C683" s="35" t="str">
        <x:v>Class</x:v>
      </x:c>
      <x:c r="D683" s="35" t="str">
        <x:v>https://w3id.org/nltl-benchmark/vocab#ship</x:v>
      </x:c>
      <x:c r="E683" s="35" t="str"/>
      <x:c r="F683" s="35" t="str"/>
      <x:c r="G683" s="38" t="str">
        <x:v>IMO-109 | IMO-110</x:v>
      </x:c>
      <x:c r="H683" s="35" t="str">
        <x:v>Benchmark-coined descriptive engineering term</x:v>
      </x:c>
      <x:c r="I683" s="35" t="str">
        <x:v>N5 - component or subject first, followed by characteristic and qualifier/state; no unsupported external mapping</x:v>
      </x:c>
      <x:c r="J683" s="35" t="str">
        <x:v>REUSE_R2_TERM</x:v>
      </x:c>
    </x:row>
    <x:row r="684">
      <x:c r="A684" s="35" t="str">
        <x:v>oilyBilgeWaterHoldingTank</x:v>
      </x:c>
      <x:c r="B684" s="35" t="str">
        <x:v>https://w3id.org/nltl-benchmark/vocab#oilyBilgeWaterHoldingTank</x:v>
      </x:c>
      <x:c r="C684" s="35" t="str">
        <x:v>Class</x:v>
      </x:c>
      <x:c r="D684" s="35" t="str">
        <x:v>https://w3id.org/nltl-benchmark/vocab#machineryComponent</x:v>
      </x:c>
      <x:c r="E684" s="35" t="str"/>
      <x:c r="F684" s="35" t="str"/>
      <x:c r="G684" s="38" t="str">
        <x:v>IMO-111</x:v>
      </x:c>
      <x:c r="H684" s="35" t="str">
        <x:v>Benchmark-coined descriptive engineering term</x:v>
      </x:c>
      <x:c r="I684" s="35" t="str">
        <x:v>N5 - component or subject first, followed by characteristic and qualifier/state; no unsupported external mapping</x:v>
      </x:c>
      <x:c r="J684" s="35" t="str">
        <x:v>REUSE_R2_TERM</x:v>
      </x:c>
    </x:row>
    <x:row r="685">
      <x:c r="A685" s="35" t="str">
        <x:v>onSceneTransmitReceiveDeviceCount</x:v>
      </x:c>
      <x:c r="B685" s="35" t="str">
        <x:v>https://w3id.org/nltl-benchmark/vocab#onSceneTransmitReceiveDeviceCount</x:v>
      </x:c>
      <x:c r="C685" s="35" t="str">
        <x:v>DatatypeProperty</x:v>
      </x:c>
      <x:c r="D685" s="35" t="str">
        <x:v>http://www.w3.org/2001/XMLSchema#integer</x:v>
      </x:c>
      <x:c r="E685" s="35" t="str">
        <x:v>xsd:integer</x:v>
      </x:c>
      <x:c r="F685" s="35" t="str"/>
      <x:c r="G685" s="38" t="str">
        <x:v>IMO-097 | IMO-098</x:v>
      </x:c>
      <x:c r="H685" s="35" t="str">
        <x:v>Locked-workbook normalized regulatory term</x:v>
      </x:c>
      <x:c r="I685" s="35" t="str">
        <x:v>N4 - preserve the source concept; normalize spelling to ASCII lowerCamelCase</x:v>
      </x:c>
      <x:c r="J685" s="35" t="str">
        <x:v>REUSE_R2_TERM</x:v>
      </x:c>
    </x:row>
    <x:row r="686">
      <x:c r="A686" s="35" t="str">
        <x:v>openWaterServiceSpeed</x:v>
      </x:c>
      <x:c r="B686" s="35" t="str">
        <x:v>https://w3id.org/nltl-benchmark/vocab#openWaterServiceSpeed</x:v>
      </x:c>
      <x:c r="C686" s="35" t="str">
        <x:v>QuantityProperty</x:v>
      </x:c>
      <x:c r="D686" s="35" t="str">
        <x:v>http://qudt.org/schema/qudt/QuantityValue</x:v>
      </x:c>
      <x:c r="E686" s="35" t="str"/>
      <x:c r="F686" s="35" t="str">
        <x:v>kn</x:v>
      </x:c>
      <x:c r="G686" s="38" t="str">
        <x:v>TRF-040</x:v>
      </x:c>
      <x:c r="H686" s="35" t="str">
        <x:v>Unit-stripped normalized regulatory variable</x:v>
      </x:c>
      <x:c r="I686" s="35" t="str">
        <x:v>N3 - remove unit from the identifier and retain it in unit/quantity metadata</x:v>
      </x:c>
      <x:c r="J686" s="35" t="str">
        <x:v>REUSE_R2_TERM</x:v>
      </x:c>
    </x:row>
    <x:row r="687">
      <x:c r="A687" s="35" t="str">
        <x:v>openingActuationType</x:v>
      </x:c>
      <x:c r="B687" s="35" t="str">
        <x:v>https://w3id.org/nltl-benchmark/vocab#openingActuationType</x:v>
      </x:c>
      <x:c r="C687" s="35" t="str">
        <x:v>DatatypeProperty</x:v>
      </x:c>
      <x:c r="D687" s="35" t="str">
        <x:v>http://www.w3.org/2001/XMLSchema#string</x:v>
      </x:c>
      <x:c r="E687" s="35" t="str">
        <x:v>xsd:string</x:v>
      </x:c>
      <x:c r="F687" s="35" t="str"/>
      <x:c r="G687" s="38" t="str">
        <x:v>IMO-041</x:v>
      </x:c>
      <x:c r="H687" s="35" t="str">
        <x:v>Locked-workbook normalized regulatory term</x:v>
      </x:c>
      <x:c r="I687" s="35" t="str">
        <x:v>N4 - preserve the source concept; normalize spelling to ASCII lowerCamelCase</x:v>
      </x:c>
      <x:c r="J687" s="35" t="str">
        <x:v>REUSE_R2_TERM</x:v>
      </x:c>
    </x:row>
    <x:row r="688">
      <x:c r="A688" s="35" t="str">
        <x:v>operabilityTestStatus</x:v>
      </x:c>
      <x:c r="B688" s="35" t="str">
        <x:v>https://w3id.org/nltl-benchmark/vocab#operabilityTestStatus</x:v>
      </x:c>
      <x:c r="C688" s="35" t="str">
        <x:v>DatatypeProperty</x:v>
      </x:c>
      <x:c r="D688" s="35" t="str">
        <x:v>http://www.w3.org/2001/XMLSchema#boolean</x:v>
      </x:c>
      <x:c r="E688" s="35" t="str">
        <x:v>xsd:boolean</x:v>
      </x:c>
      <x:c r="F688" s="35" t="str"/>
      <x:c r="G688" s="38" t="str">
        <x:v>IMO-039</x:v>
      </x:c>
      <x:c r="H688" s="35" t="str">
        <x:v>Locked-workbook normalized regulatory term</x:v>
      </x:c>
      <x:c r="I688" s="35" t="str">
        <x:v>N4 - preserve the source concept; normalize spelling to ASCII lowerCamelCase</x:v>
      </x:c>
      <x:c r="J688" s="35" t="str">
        <x:v>REUSE_R2_TERM</x:v>
      </x:c>
    </x:row>
    <x:row r="689">
      <x:c r="A689" s="35" t="str">
        <x:v>operatesOnlyInContinuousDaylight</x:v>
      </x:c>
      <x:c r="B689" s="35" t="str">
        <x:v>https://w3id.org/nltl-benchmark/vocab#operatesOnlyInContinuousDaylight</x:v>
      </x:c>
      <x:c r="C689" s="35" t="str">
        <x:v>DatatypeProperty</x:v>
      </x:c>
      <x:c r="D689" s="35" t="str">
        <x:v>http://www.w3.org/2001/XMLSchema#boolean</x:v>
      </x:c>
      <x:c r="E689" s="35" t="str">
        <x:v>xsd:boolean</x:v>
      </x:c>
      <x:c r="F689" s="35" t="str"/>
      <x:c r="G689" s="38" t="str">
        <x:v>IMO-088 | IMO26-014</x:v>
      </x:c>
      <x:c r="H689" s="35" t="str">
        <x:v>Locked-workbook normalized regulatory term</x:v>
      </x:c>
      <x:c r="I689" s="35" t="str">
        <x:v>N4 - preserve the source concept; normalize spelling to ASCII lowerCamelCase</x:v>
      </x:c>
      <x:c r="J689" s="35" t="str">
        <x:v>REUSE_R2_TERM</x:v>
      </x:c>
    </x:row>
    <x:row r="690">
      <x:c r="A690" s="35" t="str">
        <x:v>operatingAftDraught</x:v>
      </x:c>
      <x:c r="B690" s="35" t="str">
        <x:v>https://w3id.org/nltl-benchmark/vocab#operatingAftDraught</x:v>
      </x:c>
      <x:c r="C690" s="35" t="str">
        <x:v>QuantityProperty</x:v>
      </x:c>
      <x:c r="D690" s="35" t="str">
        <x:v>http://qudt.org/schema/qudt/QuantityValue</x:v>
      </x:c>
      <x:c r="E690" s="35" t="str"/>
      <x:c r="F690" s="35" t="str">
        <x:v>m</x:v>
      </x:c>
      <x:c r="G690" s="38" t="str">
        <x:v>TRF-013</x:v>
      </x:c>
      <x:c r="H690" s="35" t="str">
        <x:v>Applicable TRAFICOM regulation wording plus explicit engineering node/operand role</x:v>
      </x:c>
      <x:c r="I690" s="35" t="str">
        <x:v>N4 - explicit engineering quantity in ASCII lowerCamelCase; formula symbols remain aliases only.</x:v>
      </x:c>
      <x:c r="J690" s="35" t="str">
        <x:v>ADD_DEVELOPMENT_TERM</x:v>
      </x:c>
    </x:row>
    <x:row r="691">
      <x:c r="A691" s="35" t="str">
        <x:v>operatingArea</x:v>
      </x:c>
      <x:c r="B691" s="35" t="str">
        <x:v>https://w3id.org/nltl-benchmark/vocab#operatingArea</x:v>
      </x:c>
      <x:c r="C691" s="35" t="str">
        <x:v>DatatypeProperty</x:v>
      </x:c>
      <x:c r="D691" s="35" t="str">
        <x:v>http://www.w3.org/2001/XMLSchema#string</x:v>
      </x:c>
      <x:c r="E691" s="35" t="str">
        <x:v>xsd:string</x:v>
      </x:c>
      <x:c r="F691" s="35" t="str"/>
      <x:c r="G691" s="38" t="str">
        <x:v>IMO-080 | IMO-105 | IMO-112 | IMO-120 | IMO-124 | IMO26-006</x:v>
      </x:c>
      <x:c r="H691" s="35" t="str">
        <x:v>Locked-workbook normalized regulatory term</x:v>
      </x:c>
      <x:c r="I691" s="35" t="str">
        <x:v>N4 - preserve the source concept; normalize spelling to ASCII lowerCamelCase</x:v>
      </x:c>
      <x:c r="J691" s="35" t="str">
        <x:v>REUSE_R2_TERM</x:v>
      </x:c>
    </x:row>
    <x:row r="692">
      <x:c r="A692" s="35" t="str">
        <x:v>operatingDraught</x:v>
      </x:c>
      <x:c r="B692" s="35" t="str">
        <x:v>https://w3id.org/nltl-benchmark/vocab#operatingDraught</x:v>
      </x:c>
      <x:c r="C692" s="35" t="str">
        <x:v>QuantityProperty</x:v>
      </x:c>
      <x:c r="D692" s="35" t="str">
        <x:v>http://qudt.org/schema/qudt/QuantityValue</x:v>
      </x:c>
      <x:c r="E692" s="35" t="str"/>
      <x:c r="F692" s="35" t="str">
        <x:v>m</x:v>
      </x:c>
      <x:c r="G692" s="38" t="str">
        <x:v>TRF-015</x:v>
      </x:c>
      <x:c r="H692" s="35" t="str">
        <x:v>Applicable TRAFICOM regulation wording plus explicit engineering node/operand role</x:v>
      </x:c>
      <x:c r="I692" s="35" t="str">
        <x:v>N4 - explicit engineering quantity in ASCII lowerCamelCase; formula symbols remain aliases only.</x:v>
      </x:c>
      <x:c r="J692" s="35" t="str">
        <x:v>ADD_DEVELOPMENT_TERM</x:v>
      </x:c>
    </x:row>
    <x:row r="693">
      <x:c r="A693" s="35" t="str">
        <x:v>operatingForeDraught</x:v>
      </x:c>
      <x:c r="B693" s="35" t="str">
        <x:v>https://w3id.org/nltl-benchmark/vocab#operatingForeDraught</x:v>
      </x:c>
      <x:c r="C693" s="35" t="str">
        <x:v>QuantityProperty</x:v>
      </x:c>
      <x:c r="D693" s="35" t="str">
        <x:v>http://qudt.org/schema/qudt/QuantityValue</x:v>
      </x:c>
      <x:c r="E693" s="35" t="str"/>
      <x:c r="F693" s="35" t="str">
        <x:v>m</x:v>
      </x:c>
      <x:c r="G693" s="38" t="str">
        <x:v>TRF-013</x:v>
      </x:c>
      <x:c r="H693" s="35" t="str">
        <x:v>Applicable TRAFICOM regulation wording plus explicit engineering node/operand role</x:v>
      </x:c>
      <x:c r="I693" s="35" t="str">
        <x:v>N4 - explicit engineering quantity in ASCII lowerCamelCase; formula symbols remain aliases only.</x:v>
      </x:c>
      <x:c r="J693" s="35" t="str">
        <x:v>ADD_DEVELOPMENT_TERM</x:v>
      </x:c>
    </x:row>
    <x:row r="694">
      <x:c r="A694" s="35" t="str">
        <x:v>operatingIceConcentration</x:v>
      </x:c>
      <x:c r="B694" s="35" t="str">
        <x:v>https://w3id.org/nltl-benchmark/vocab#operatingIceConcentration</x:v>
      </x:c>
      <x:c r="C694" s="35" t="str">
        <x:v>QuantityProperty</x:v>
      </x:c>
      <x:c r="D694" s="35" t="str">
        <x:v>http://qudt.org/schema/qudt/QuantityValue</x:v>
      </x:c>
      <x:c r="E694" s="35" t="str"/>
      <x:c r="F694" s="35" t="str">
        <x:v>1</x:v>
      </x:c>
      <x:c r="G694" s="38" t="str">
        <x:v>IMO-032 | IMO-049</x:v>
      </x:c>
      <x:c r="H694" s="35" t="str">
        <x:v>Locked-workbook normalized regulatory term</x:v>
      </x:c>
      <x:c r="I694" s="35" t="str">
        <x:v>N4 - preserve the source concept; normalize spelling to ASCII lowerCamelCase</x:v>
      </x:c>
      <x:c r="J694" s="35" t="str">
        <x:v>REUSE_R2_TERM</x:v>
      </x:c>
    </x:row>
    <x:row r="695">
      <x:c r="A695" s="35" t="str">
        <x:v>operatingIceType</x:v>
      </x:c>
      <x:c r="B695" s="35" t="str">
        <x:v>https://w3id.org/nltl-benchmark/vocab#operatingIceType</x:v>
      </x:c>
      <x:c r="C695" s="35" t="str">
        <x:v>DatatypeProperty</x:v>
      </x:c>
      <x:c r="D695" s="35" t="str">
        <x:v>http://www.w3.org/2001/XMLSchema#string</x:v>
      </x:c>
      <x:c r="E695" s="35" t="str">
        <x:v>xsd:string</x:v>
      </x:c>
      <x:c r="F695" s="35" t="str"/>
      <x:c r="G695" s="38" t="str">
        <x:v>IMO-032 | IMO-049</x:v>
      </x:c>
      <x:c r="H695" s="35" t="str">
        <x:v>Locked-workbook normalized regulatory term</x:v>
      </x:c>
      <x:c r="I695" s="35" t="str">
        <x:v>N4 - preserve the source concept; normalize spelling to ASCII lowerCamelCase</x:v>
      </x:c>
      <x:c r="J695" s="35" t="str">
        <x:v>REUSE_R2_TERM</x:v>
      </x:c>
    </x:row>
    <x:row r="696">
      <x:c r="A696" s="35" t="str">
        <x:v>operatingTestStatus</x:v>
      </x:c>
      <x:c r="B696" s="35" t="str">
        <x:v>https://w3id.org/nltl-benchmark/vocab#operatingTestStatus</x:v>
      </x:c>
      <x:c r="C696" s="35" t="str">
        <x:v>DatatypeProperty</x:v>
      </x:c>
      <x:c r="D696" s="35" t="str">
        <x:v>http://www.w3.org/2001/XMLSchema#boolean</x:v>
      </x:c>
      <x:c r="E696" s="35" t="str">
        <x:v>xsd:boolean</x:v>
      </x:c>
      <x:c r="F696" s="35" t="str"/>
      <x:c r="G696" s="38" t="str">
        <x:v>IMO-056 | IMO-061</x:v>
      </x:c>
      <x:c r="H696" s="35" t="str">
        <x:v>Locked-workbook normalized regulatory term</x:v>
      </x:c>
      <x:c r="I696" s="35" t="str">
        <x:v>N4 - preserve the source concept; normalize spelling to ASCII lowerCamelCase</x:v>
      </x:c>
      <x:c r="J696" s="35" t="str">
        <x:v>REUSE_R2_TERM</x:v>
      </x:c>
    </x:row>
    <x:row r="697">
      <x:c r="A697" s="35" t="str">
        <x:v>operatingTestTemperature</x:v>
      </x:c>
      <x:c r="B697" s="35" t="str">
        <x:v>https://w3id.org/nltl-benchmark/vocab#operatingTestTemperature</x:v>
      </x:c>
      <x:c r="C697" s="35" t="str">
        <x:v>QuantityProperty</x:v>
      </x:c>
      <x:c r="D697" s="35" t="str">
        <x:v>http://qudt.org/schema/qudt/QuantityValue</x:v>
      </x:c>
      <x:c r="E697" s="35" t="str"/>
      <x:c r="F697" s="35" t="str">
        <x:v>deg C</x:v>
      </x:c>
      <x:c r="G697" s="38" t="str">
        <x:v>IMO-056</x:v>
      </x:c>
      <x:c r="H697" s="35" t="str">
        <x:v>Unit-stripped normalized regulatory variable</x:v>
      </x:c>
      <x:c r="I697" s="35" t="str">
        <x:v>N3 - remove unit from the identifier and retain it in unit/quantity metadata</x:v>
      </x:c>
      <x:c r="J697" s="35" t="str">
        <x:v>REUSE_R2_TERM</x:v>
      </x:c>
    </x:row>
    <x:row r="698">
      <x:c r="A698" s="35" t="str">
        <x:v>operatingTrim</x:v>
      </x:c>
      <x:c r="B698" s="35" t="str">
        <x:v>https://w3id.org/nltl-benchmark/vocab#operatingTrim</x:v>
      </x:c>
      <x:c r="C698" s="35" t="str">
        <x:v>QuantityProperty</x:v>
      </x:c>
      <x:c r="D698" s="35" t="str">
        <x:v>http://qudt.org/schema/qudt/QuantityValue</x:v>
      </x:c>
      <x:c r="E698" s="35" t="str"/>
      <x:c r="F698" s="35" t="str">
        <x:v>m</x:v>
      </x:c>
      <x:c r="G698" s="38" t="str">
        <x:v>TRF-015</x:v>
      </x:c>
      <x:c r="H698" s="35" t="str">
        <x:v>Applicable TRAFICOM regulation wording plus explicit engineering node/operand role</x:v>
      </x:c>
      <x:c r="I698" s="35" t="str">
        <x:v>N4 - explicit engineering quantity in ASCII lowerCamelCase; formula symbols remain aliases only.</x:v>
      </x:c>
      <x:c r="J698" s="35" t="str">
        <x:v>ADD_DEVELOPMENT_TERM</x:v>
      </x:c>
    </x:row>
    <x:row r="699">
      <x:c r="A699" s="35" t="str">
        <x:v>operationalAssessmentPresent</x:v>
      </x:c>
      <x:c r="B699" s="35" t="str">
        <x:v>https://w3id.org/nltl-benchmark/vocab#operationalAssessmentPresent</x:v>
      </x:c>
      <x:c r="C699" s="35" t="str">
        <x:v>DatatypeProperty</x:v>
      </x:c>
      <x:c r="D699" s="35" t="str">
        <x:v>http://www.w3.org/2001/XMLSchema#boolean</x:v>
      </x:c>
      <x:c r="E699" s="35" t="str">
        <x:v>xsd:boolean</x:v>
      </x:c>
      <x:c r="F699" s="35" t="str"/>
      <x:c r="G699" s="38" t="str">
        <x:v>IMO-021</x:v>
      </x:c>
      <x:c r="H699" s="35" t="str">
        <x:v>Locked-workbook normalized regulatory term</x:v>
      </x:c>
      <x:c r="I699" s="35" t="str">
        <x:v>N4 - preserve the source concept; normalize spelling to ASCII lowerCamelCase</x:v>
      </x:c>
      <x:c r="J699" s="35" t="str">
        <x:v>REUSE_R2_TERM</x:v>
      </x:c>
    </x:row>
    <x:row r="700">
      <x:c r="A700" s="35" t="str">
        <x:v>operationalAssessmentReference</x:v>
      </x:c>
      <x:c r="B700" s="35" t="str">
        <x:v>https://w3id.org/nltl-benchmark/vocab#operationalAssessmentReference</x:v>
      </x:c>
      <x:c r="C700" s="35" t="str">
        <x:v>DatatypeProperty</x:v>
      </x:c>
      <x:c r="D700" s="35" t="str">
        <x:v>http://www.w3.org/2001/XMLSchema#string</x:v>
      </x:c>
      <x:c r="E700" s="35" t="str">
        <x:v>xsd:string</x:v>
      </x:c>
      <x:c r="F700" s="35" t="str"/>
      <x:c r="G700" s="38" t="str">
        <x:v>IMO-022</x:v>
      </x:c>
      <x:c r="H700" s="35" t="str">
        <x:v>Locked-workbook normalized regulatory term</x:v>
      </x:c>
      <x:c r="I700" s="35" t="str">
        <x:v>N4 - preserve the source concept; normalize spelling to ASCII lowerCamelCase</x:v>
      </x:c>
      <x:c r="J700" s="35" t="str">
        <x:v>REUSE_R2_TERM</x:v>
      </x:c>
    </x:row>
    <x:row r="701">
      <x:c r="A701" s="35" t="str">
        <x:v>operationalSpeedRange</x:v>
      </x:c>
      <x:c r="B701" s="35" t="str">
        <x:v>https://w3id.org/nltl-benchmark/vocab#operationalSpeedRange</x:v>
      </x:c>
      <x:c r="C701" s="35" t="str">
        <x:v>QuantityProperty</x:v>
      </x:c>
      <x:c r="D701" s="35" t="str">
        <x:v>http://qudt.org/schema/qudt/QuantityValue</x:v>
      </x:c>
      <x:c r="E701" s="35" t="str"/>
      <x:c r="F701" s="35" t="str">
        <x:v>kn</x:v>
      </x:c>
      <x:c r="G701" s="38" t="str">
        <x:v>TRF-089</x:v>
      </x:c>
      <x:c r="H701" s="35" t="str">
        <x:v>Benchmark-coined descriptive engineering term</x:v>
      </x:c>
      <x:c r="I701" s="35" t="str">
        <x:v>N5 - component or subject first, followed by characteristic and qualifier/state; no unsupported external mapping</x:v>
      </x:c>
      <x:c r="J701" s="35" t="str">
        <x:v>REUSE_R2_TERM</x:v>
      </x:c>
    </x:row>
    <x:row r="702">
      <x:c r="A702" s="35" t="str">
        <x:v>ordinaryFrameScantlingsUsed</x:v>
      </x:c>
      <x:c r="B702" s="35" t="str">
        <x:v>https://w3id.org/nltl-benchmark/vocab#ordinaryFrameScantlingsUsed</x:v>
      </x:c>
      <x:c r="C702" s="35" t="str">
        <x:v>DatatypeProperty</x:v>
      </x:c>
      <x:c r="D702" s="35" t="str">
        <x:v>http://www.w3.org/2001/XMLSchema#boolean</x:v>
      </x:c>
      <x:c r="E702" s="35" t="str">
        <x:v>xsd:boolean</x:v>
      </x:c>
      <x:c r="F702" s="35" t="str"/>
      <x:c r="G702" s="38" t="str">
        <x:v>TRF-045</x:v>
      </x:c>
      <x:c r="H702" s="35" t="str">
        <x:v>Applicable TRAFICOM regulation wording plus explicit engineering node/operand role</x:v>
      </x:c>
      <x:c r="I702" s="35" t="str">
        <x:v>N4 - explicit regulatory concept in ASCII lowerCamelCase with an XSD datatype.</x:v>
      </x:c>
      <x:c r="J702" s="35" t="str">
        <x:v>ADD_DEVELOPMENT_TERM</x:v>
      </x:c>
    </x:row>
    <x:row r="703">
      <x:c r="A703" s="35" t="str">
        <x:v>otherHorizontalPosition</x:v>
      </x:c>
      <x:c r="B703" s="35" t="str">
        <x:v>https://w3id.org/nltl-benchmark/vocab#otherHorizontalPosition</x:v>
      </x:c>
      <x:c r="C703" s="35" t="str">
        <x:v>NamedIndividual</x:v>
      </x:c>
      <x:c r="D703" s="35" t="str">
        <x:v>https://w3id.org/nltl-benchmark/vocab#loadPositionTypeValue</x:v>
      </x:c>
      <x:c r="E703" s="35" t="str"/>
      <x:c r="F703" s="35" t="str"/>
      <x:c r="G703" s="38" t="str">
        <x:v>TRF-030</x:v>
      </x:c>
      <x:c r="H703" s="35" t="str">
        <x:v>Applicable TRAFICOM regulation wording plus explicit engineering node/operand role</x:v>
      </x:c>
      <x:c r="I703" s="35" t="str">
        <x:v>N6 - concise ASCII lowerCamelCase controlled-value name grounded in the linked regulation.</x:v>
      </x:c>
      <x:c r="J703" s="35" t="str">
        <x:v>ADD_DEVELOPMENT_TERM</x:v>
      </x:c>
    </x:row>
    <x:row r="704">
      <x:c r="A704" s="35" t="str">
        <x:v>otherSurvivalCraft</x:v>
      </x:c>
      <x:c r="B704" s="35" t="str">
        <x:v>https://w3id.org/nltl-benchmark/vocab#otherSurvivalCraft</x:v>
      </x:c>
      <x:c r="C704" s="35" t="str">
        <x:v>Class</x:v>
      </x:c>
      <x:c r="D704" s="35" t="str">
        <x:v>https://w3id.org/nltl-benchmark/vocab#benchmarkEntity</x:v>
      </x:c>
      <x:c r="E704" s="35" t="str"/>
      <x:c r="F704" s="35" t="str"/>
      <x:c r="G704" s="38" t="str">
        <x:v>IMO-098</x:v>
      </x:c>
      <x:c r="H704" s="35" t="str">
        <x:v>Locked-workbook normalized regulatory term</x:v>
      </x:c>
      <x:c r="I704" s="35" t="str">
        <x:v>N4 - preserve the source concept; normalize spelling to ASCII lowerCamelCase</x:v>
      </x:c>
      <x:c r="J704" s="35" t="str">
        <x:v>REUSE_R2_TERM</x:v>
      </x:c>
    </x:row>
    <x:row r="705">
      <x:c r="A705" s="35" t="str">
        <x:v>outsideIceBeltDistributionFactorF9</x:v>
      </x:c>
      <x:c r="B705" s="35" t="str">
        <x:v>https://w3id.org/nltl-benchmark/vocab#outsideIceBeltDistributionFactorF9</x:v>
      </x:c>
      <x:c r="C705" s="35" t="str">
        <x:v>QuantityProperty</x:v>
      </x:c>
      <x:c r="D705" s="35" t="str">
        <x:v>http://qudt.org/schema/qudt/QuantityValue</x:v>
      </x:c>
      <x:c r="E705" s="35" t="str"/>
      <x:c r="F705" s="35" t="str">
        <x:v>1</x:v>
      </x:c>
      <x:c r="G705" s="38" t="str">
        <x:v>TRF-054</x:v>
      </x:c>
      <x:c r="H705" s="35" t="str">
        <x:v>Applicable TRAFICOM regulation wording plus explicit engineering node/operand role</x:v>
      </x:c>
      <x:c r="I705" s="35" t="str">
        <x:v>N4 - explicit engineering quantity in ASCII lowerCamelCase; formula symbols remain aliases only.</x:v>
      </x:c>
      <x:c r="J705" s="35" t="str">
        <x:v>ADD_DEVELOPMENT_TERM</x:v>
      </x:c>
    </x:row>
    <x:row r="706">
      <x:c r="A706" s="35" t="str">
        <x:v>outsideIceBeltFactor</x:v>
      </x:c>
      <x:c r="B706" s="35" t="str">
        <x:v>https://w3id.org/nltl-benchmark/vocab#outsideIceBeltFactor</x:v>
      </x:c>
      <x:c r="C706" s="35" t="str">
        <x:v>QuantityProperty</x:v>
      </x:c>
      <x:c r="D706" s="35" t="str">
        <x:v>http://qudt.org/schema/qudt/QuantityValue</x:v>
      </x:c>
      <x:c r="E706" s="35" t="str"/>
      <x:c r="F706" s="35" t="str">
        <x:v>1</x:v>
      </x:c>
      <x:c r="G706" s="38" t="str">
        <x:v>TRF-054</x:v>
      </x:c>
      <x:c r="H706" s="35" t="str">
        <x:v>Benchmark-coined descriptive engineering term</x:v>
      </x:c>
      <x:c r="I706" s="35" t="str">
        <x:v>N5 - component or subject first, followed by characteristic and qualifier/state; no unsupported external mapping</x:v>
      </x:c>
      <x:c r="J706" s="35" t="str">
        <x:v>REUSE_R2_TERM</x:v>
      </x:c>
    </x:row>
    <x:row r="707">
      <x:c r="A707" s="35" t="str">
        <x:v>outsideIceBeltSafetyFactorF10</x:v>
      </x:c>
      <x:c r="B707" s="35" t="str">
        <x:v>https://w3id.org/nltl-benchmark/vocab#outsideIceBeltSafetyFactorF10</x:v>
      </x:c>
      <x:c r="C707" s="35" t="str">
        <x:v>QuantityProperty</x:v>
      </x:c>
      <x:c r="D707" s="35" t="str">
        <x:v>http://qudt.org/schema/qudt/QuantityValue</x:v>
      </x:c>
      <x:c r="E707" s="35" t="str"/>
      <x:c r="F707" s="35" t="str">
        <x:v>1</x:v>
      </x:c>
      <x:c r="G707" s="38" t="str">
        <x:v>TRF-054</x:v>
      </x:c>
      <x:c r="H707" s="35" t="str">
        <x:v>Applicable TRAFICOM regulation wording plus explicit engineering node/operand role</x:v>
      </x:c>
      <x:c r="I707" s="35" t="str">
        <x:v>N4 - explicit engineering quantity in ASCII lowerCamelCase; formula symbols remain aliases only.</x:v>
      </x:c>
      <x:c r="J707" s="35" t="str">
        <x:v>ADD_DEVELOPMENT_TERM</x:v>
      </x:c>
    </x:row>
    <x:row r="708">
      <x:c r="A708" s="35" t="str">
        <x:v>outsideIceBeltShearFactorF11</x:v>
      </x:c>
      <x:c r="B708" s="35" t="str">
        <x:v>https://w3id.org/nltl-benchmark/vocab#outsideIceBeltShearFactorF11</x:v>
      </x:c>
      <x:c r="C708" s="35" t="str">
        <x:v>QuantityProperty</x:v>
      </x:c>
      <x:c r="D708" s="35" t="str">
        <x:v>http://qudt.org/schema/qudt/QuantityValue</x:v>
      </x:c>
      <x:c r="E708" s="35" t="str"/>
      <x:c r="F708" s="35" t="str">
        <x:v>1</x:v>
      </x:c>
      <x:c r="G708" s="38" t="str">
        <x:v>TRF-054</x:v>
      </x:c>
      <x:c r="H708" s="35" t="str">
        <x:v>Applicable TRAFICOM regulation wording plus explicit engineering node/operand role</x:v>
      </x:c>
      <x:c r="I708" s="35" t="str">
        <x:v>N4 - explicit engineering quantity in ASCII lowerCamelCase; formula symbols remain aliases only.</x:v>
      </x:c>
      <x:c r="J708" s="35" t="str">
        <x:v>ADD_DEVELOPMENT_TERM</x:v>
      </x:c>
    </x:row>
    <x:row r="709">
      <x:c r="A709" s="35" t="str">
        <x:v>passenger</x:v>
      </x:c>
      <x:c r="B709" s="35" t="str">
        <x:v>https://w3id.org/nltl-benchmark/vocab#passenger</x:v>
      </x:c>
      <x:c r="C709" s="35" t="str">
        <x:v>Class</x:v>
      </x:c>
      <x:c r="D709" s="35" t="str">
        <x:v>https://w3id.org/nltl-benchmark/vocab#person</x:v>
      </x:c>
      <x:c r="E709" s="35" t="str"/>
      <x:c r="F709" s="35" t="str"/>
      <x:c r="G709" s="38" t="str">
        <x:v>IMO-078</x:v>
      </x:c>
      <x:c r="H709" s="35" t="str">
        <x:v>Locked-workbook normalized regulatory term</x:v>
      </x:c>
      <x:c r="I709" s="35" t="str">
        <x:v>N4 - preserve the source concept; normalize spelling to ASCII lowerCamelCase</x:v>
      </x:c>
      <x:c r="J709" s="35" t="str">
        <x:v>REUSE_R2_TERM</x:v>
      </x:c>
    </x:row>
    <x:row r="710">
      <x:c r="A710" s="35" t="str">
        <x:v>passengerInstructionStatus</x:v>
      </x:c>
      <x:c r="B710" s="35" t="str">
        <x:v>https://w3id.org/nltl-benchmark/vocab#passengerInstructionStatus</x:v>
      </x:c>
      <x:c r="C710" s="35" t="str">
        <x:v>DatatypeProperty</x:v>
      </x:c>
      <x:c r="D710" s="35" t="str">
        <x:v>http://www.w3.org/2001/XMLSchema#boolean</x:v>
      </x:c>
      <x:c r="E710" s="35" t="str">
        <x:v>xsd:boolean</x:v>
      </x:c>
      <x:c r="F710" s="35" t="str"/>
      <x:c r="G710" s="38" t="str">
        <x:v>IMO-078</x:v>
      </x:c>
      <x:c r="H710" s="35" t="str">
        <x:v>Locked-workbook normalized regulatory term</x:v>
      </x:c>
      <x:c r="I710" s="35" t="str">
        <x:v>N4 - preserve the source concept; normalize spelling to ASCII lowerCamelCase</x:v>
      </x:c>
      <x:c r="J710" s="35" t="str">
        <x:v>REUSE_R2_TERM</x:v>
      </x:c>
    </x:row>
    <x:row r="711">
      <x:c r="A711" s="35" t="str">
        <x:v>passengerShip</x:v>
      </x:c>
      <x:c r="B711" s="35" t="str">
        <x:v>https://w3id.org/nltl-benchmark/vocab#passengerShip</x:v>
      </x:c>
      <x:c r="C711" s="35" t="str">
        <x:v>Class</x:v>
      </x:c>
      <x:c r="D711" s="35" t="str">
        <x:v>https://w3id.org/nltl-benchmark/vocab#ship</x:v>
      </x:c>
      <x:c r="E711" s="35" t="str"/>
      <x:c r="F711" s="35" t="str"/>
      <x:c r="G711" s="38" t="str">
        <x:v>IMO-070 | IMO-118</x:v>
      </x:c>
      <x:c r="H711" s="35" t="str">
        <x:v>Benchmark-coined descriptive engineering term</x:v>
      </x:c>
      <x:c r="I711" s="35" t="str">
        <x:v>N5 - component or subject first, followed by characteristic and qualifier/state; no unsupported external mapping</x:v>
      </x:c>
      <x:c r="J711" s="35" t="str">
        <x:v>REUSE_R2_TERM</x:v>
      </x:c>
    </x:row>
    <x:row r="712">
      <x:c r="A712" s="35" t="str">
        <x:v>passesThroughSupportingStructure</x:v>
      </x:c>
      <x:c r="B712" s="35" t="str">
        <x:v>https://w3id.org/nltl-benchmark/vocab#passesThroughSupportingStructure</x:v>
      </x:c>
      <x:c r="C712" s="35" t="str">
        <x:v>DatatypeProperty</x:v>
      </x:c>
      <x:c r="D712" s="35" t="str">
        <x:v>http://www.w3.org/2001/XMLSchema#boolean</x:v>
      </x:c>
      <x:c r="E712" s="35" t="str">
        <x:v>xsd:boolean</x:v>
      </x:c>
      <x:c r="F712" s="35" t="str"/>
      <x:c r="G712" s="38" t="str">
        <x:v>TRF-049</x:v>
      </x:c>
      <x:c r="H712" s="35" t="str">
        <x:v>Applicable TRAFICOM regulation wording plus explicit engineering node/operand role</x:v>
      </x:c>
      <x:c r="I712" s="35" t="str">
        <x:v>N4 - explicit regulatory concept in ASCII lowerCamelCase with an XSD datatype.</x:v>
      </x:c>
      <x:c r="J712" s="35" t="str">
        <x:v>ADD_DEVELOPMENT_TERM</x:v>
      </x:c>
    </x:row>
    <x:row r="713">
      <x:c r="A713" s="35" t="str">
        <x:v>patchLoad</x:v>
      </x:c>
      <x:c r="B713" s="35" t="str">
        <x:v>https://w3id.org/nltl-benchmark/vocab#patchLoad</x:v>
      </x:c>
      <x:c r="C713" s="35" t="str">
        <x:v>QuantityProperty</x:v>
      </x:c>
      <x:c r="D713" s="35" t="str">
        <x:v>http://qudt.org/schema/qudt/QuantityValue</x:v>
      </x:c>
      <x:c r="E713" s="35" t="str"/>
      <x:c r="F713" s="35" t="str">
        <x:v>kN</x:v>
      </x:c>
      <x:c r="G713" s="38" t="str">
        <x:v>I2-031</x:v>
      </x:c>
      <x:c r="H713" s="35" t="str">
        <x:v>Benchmark-coined descriptive engineering term</x:v>
      </x:c>
      <x:c r="I713" s="35" t="str">
        <x:v>N5 - component or subject first, followed by characteristic and qualifier/state; no unsupported external mapping</x:v>
      </x:c>
      <x:c r="J713" s="35" t="str">
        <x:v>REUSE_R2_TERM</x:v>
      </x:c>
    </x:row>
    <x:row r="714">
      <x:c r="A714" s="35" t="str">
        <x:v>peakPressureFactor</x:v>
      </x:c>
      <x:c r="B714" s="35" t="str">
        <x:v>https://w3id.org/nltl-benchmark/vocab#peakPressureFactor</x:v>
      </x:c>
      <x:c r="C714" s="35" t="str">
        <x:v>QuantityProperty</x:v>
      </x:c>
      <x:c r="D714" s="35" t="str">
        <x:v>http://qudt.org/schema/qudt/QuantityValue</x:v>
      </x:c>
      <x:c r="E714" s="35" t="str"/>
      <x:c r="F714" s="35" t="str">
        <x:v>1</x:v>
      </x:c>
      <x:c r="G714" s="38" t="str">
        <x:v>I2-018</x:v>
      </x:c>
      <x:c r="H714" s="35" t="str">
        <x:v>Benchmark-coined descriptive engineering term</x:v>
      </x:c>
      <x:c r="I714" s="35" t="str">
        <x:v>N5 - component or subject first, followed by characteristic and qualifier/state; no unsupported external mapping</x:v>
      </x:c>
      <x:c r="J714" s="35" t="str">
        <x:v>REUSE_R2_TERM</x:v>
      </x:c>
    </x:row>
    <x:row r="715">
      <x:c r="A715" s="35" t="str">
        <x:v>permanentDeformation</x:v>
      </x:c>
      <x:c r="B715" s="35" t="str">
        <x:v>https://w3id.org/nltl-benchmark/vocab#permanentDeformation</x:v>
      </x:c>
      <x:c r="C715" s="35" t="str">
        <x:v>DatatypeProperty</x:v>
      </x:c>
      <x:c r="D715" s="35" t="str">
        <x:v>http://www.w3.org/2001/XMLSchema#string</x:v>
      </x:c>
      <x:c r="E715" s="35" t="str">
        <x:v>xsd:string</x:v>
      </x:c>
      <x:c r="F715" s="35" t="str"/>
      <x:c r="G715" s="38" t="str">
        <x:v>I2-065</x:v>
      </x:c>
      <x:c r="H715" s="35" t="str">
        <x:v>Benchmark-coined descriptive engineering term</x:v>
      </x:c>
      <x:c r="I715" s="35" t="str">
        <x:v>N5 - component or subject first, followed by characteristic and qualifier/state; no unsupported external mapping</x:v>
      </x:c>
      <x:c r="J715" s="35" t="str">
        <x:v>REUSE_R2_TERM</x:v>
      </x:c>
    </x:row>
    <x:row r="716">
      <x:c r="A716" s="35" t="str">
        <x:v>permissibleStress</x:v>
      </x:c>
      <x:c r="B716" s="35" t="str">
        <x:v>https://w3id.org/nltl-benchmark/vocab#permissibleStress</x:v>
      </x:c>
      <x:c r="C716" s="35" t="str">
        <x:v>QuantityProperty</x:v>
      </x:c>
      <x:c r="D716" s="35" t="str">
        <x:v>http://qudt.org/schema/qudt/QuantityValue</x:v>
      </x:c>
      <x:c r="E716" s="35" t="str"/>
      <x:c r="F716" s="35" t="str">
        <x:v>MPa</x:v>
      </x:c>
      <x:c r="G716" s="38" t="str">
        <x:v>I2-055</x:v>
      </x:c>
      <x:c r="H716" s="35" t="str">
        <x:v>Benchmark-coined descriptive engineering term</x:v>
      </x:c>
      <x:c r="I716" s="35" t="str">
        <x:v>N5 - component or subject first, followed by characteristic and qualifier/state; no unsupported external mapping</x:v>
      </x:c>
      <x:c r="J716" s="35" t="str">
        <x:v>REUSE_R2_TERM</x:v>
      </x:c>
    </x:row>
    <x:row r="717">
      <x:c r="A717" s="35" t="str">
        <x:v>permittedReducedLineLoad</x:v>
      </x:c>
      <x:c r="B717" s="35" t="str">
        <x:v>https://w3id.org/nltl-benchmark/vocab#permittedReducedLineLoad</x:v>
      </x:c>
      <x:c r="C717" s="35" t="str">
        <x:v>QuantityProperty</x:v>
      </x:c>
      <x:c r="D717" s="35" t="str">
        <x:v>http://qudt.org/schema/qudt/QuantityValue</x:v>
      </x:c>
      <x:c r="E717" s="35" t="str"/>
      <x:c r="F717" s="35" t="str">
        <x:v>kN/m</x:v>
      </x:c>
      <x:c r="G717" s="38" t="str">
        <x:v>TRF-055</x:v>
      </x:c>
      <x:c r="H717" s="35" t="str">
        <x:v>Applicable TRAFICOM regulation wording plus explicit engineering node/operand role</x:v>
      </x:c>
      <x:c r="I717" s="35" t="str">
        <x:v>N4 - explicit engineering quantity in ASCII lowerCamelCase; formula symbols remain aliases only.</x:v>
      </x:c>
      <x:c r="J717" s="35" t="str">
        <x:v>ADD_DEVELOPMENT_TERM</x:v>
      </x:c>
    </x:row>
    <x:row r="718">
      <x:c r="A718" s="35" t="str">
        <x:v>personOnBoard</x:v>
      </x:c>
      <x:c r="B718" s="35" t="str">
        <x:v>https://w3id.org/nltl-benchmark/vocab#personOnBoard</x:v>
      </x:c>
      <x:c r="C718" s="35" t="str">
        <x:v>DatatypeProperty</x:v>
      </x:c>
      <x:c r="D718" s="35" t="str">
        <x:v>http://www.w3.org/2001/XMLSchema#integer</x:v>
      </x:c>
      <x:c r="E718" s="35" t="str">
        <x:v>xsd:integer</x:v>
      </x:c>
      <x:c r="F718" s="35" t="str"/>
      <x:c r="G718" s="38" t="str">
        <x:v>IMO-064 | IMO-070</x:v>
      </x:c>
      <x:c r="H718" s="35" t="str">
        <x:v>Locked-workbook normalized regulatory term</x:v>
      </x:c>
      <x:c r="I718" s="35" t="str">
        <x:v>N4 - preserve the source concept; normalize spelling to ASCII lowerCamelCase</x:v>
      </x:c>
      <x:c r="J718" s="35" t="str">
        <x:v>REUSE_R2_TERM</x:v>
      </x:c>
    </x:row>
    <x:row r="719">
      <x:c r="A719" s="35" t="str">
        <x:v>personalAndGroupSurvivalEquipmentTrainingStatus</x:v>
      </x:c>
      <x:c r="B719" s="35" t="str">
        <x:v>https://w3id.org/nltl-benchmark/vocab#personalAndGroupSurvivalEquipmentTrainingStatus</x:v>
      </x:c>
      <x:c r="C719" s="35" t="str">
        <x:v>DatatypeProperty</x:v>
      </x:c>
      <x:c r="D719" s="35" t="str">
        <x:v>http://www.w3.org/2001/XMLSchema#boolean</x:v>
      </x:c>
      <x:c r="E719" s="35" t="str">
        <x:v>xsd:boolean</x:v>
      </x:c>
      <x:c r="F719" s="35" t="str"/>
      <x:c r="G719" s="38" t="str">
        <x:v>IMO-078</x:v>
      </x:c>
      <x:c r="H719" s="35" t="str">
        <x:v>Benchmark-coined descriptive engineering term</x:v>
      </x:c>
      <x:c r="I719" s="35" t="str">
        <x:v>N5 - component or subject first, followed by characteristic and qualifier/state; no unsupported external mapping</x:v>
      </x:c>
      <x:c r="J719" s="35" t="str">
        <x:v>REUSE_R2_TERM</x:v>
      </x:c>
    </x:row>
    <x:row r="720">
      <x:c r="A720" s="35" t="str">
        <x:v>personalOrGroupSurvivalEquipmentRequired</x:v>
      </x:c>
      <x:c r="B720" s="35" t="str">
        <x:v>https://w3id.org/nltl-benchmark/vocab#personalOrGroupSurvivalEquipmentRequired</x:v>
      </x:c>
      <x:c r="C720" s="35" t="str">
        <x:v>DatatypeProperty</x:v>
      </x:c>
      <x:c r="D720" s="35" t="str">
        <x:v>http://www.w3.org/2001/XMLSchema#boolean</x:v>
      </x:c>
      <x:c r="E720" s="35" t="str">
        <x:v>xsd:boolean</x:v>
      </x:c>
      <x:c r="F720" s="35" t="str"/>
      <x:c r="G720" s="38" t="str">
        <x:v>IMO-075</x:v>
      </x:c>
      <x:c r="H720" s="35" t="str">
        <x:v>Locked-workbook normalized regulatory term</x:v>
      </x:c>
      <x:c r="I720" s="35" t="str">
        <x:v>N4 - preserve the source concept; normalize spelling to ASCII lowerCamelCase</x:v>
      </x:c>
      <x:c r="J720" s="35" t="str">
        <x:v>REUSE_R2_TERM</x:v>
      </x:c>
    </x:row>
    <x:row r="721">
      <x:c r="A721" s="35" t="str">
        <x:v>personsCapacityRequirement</x:v>
      </x:c>
      <x:c r="B721" s="35" t="str">
        <x:v>https://w3id.org/nltl-benchmark/vocab#personsCapacityRequirement</x:v>
      </x:c>
      <x:c r="C721" s="35" t="str">
        <x:v>DatatypeProperty</x:v>
      </x:c>
      <x:c r="D721" s="35" t="str">
        <x:v>http://www.w3.org/2001/XMLSchema#integer</x:v>
      </x:c>
      <x:c r="E721" s="35" t="str">
        <x:v>xsd:integer</x:v>
      </x:c>
      <x:c r="F721" s="35" t="str"/>
      <x:c r="G721" s="38" t="str">
        <x:v>IMO-077</x:v>
      </x:c>
      <x:c r="H721" s="35" t="str">
        <x:v>Locked-workbook normalized regulatory term</x:v>
      </x:c>
      <x:c r="I721" s="35" t="str">
        <x:v>N4 - preserve the source concept; normalize spelling to ASCII lowerCamelCase</x:v>
      </x:c>
      <x:c r="J721" s="35" t="str">
        <x:v>REUSE_R2_TERM</x:v>
      </x:c>
    </x:row>
    <x:row r="722">
      <x:c r="A722" s="35" t="str">
        <x:v>personsOnBoard</x:v>
      </x:c>
      <x:c r="B722" s="35" t="str">
        <x:v>https://w3id.org/nltl-benchmark/vocab#personsOnBoard</x:v>
      </x:c>
      <x:c r="C722" s="35" t="str">
        <x:v>DatatypeProperty</x:v>
      </x:c>
      <x:c r="D722" s="35" t="str">
        <x:v>http://www.w3.org/2001/XMLSchema#integer</x:v>
      </x:c>
      <x:c r="E722" s="35" t="str">
        <x:v>xsd:integer</x:v>
      </x:c>
      <x:c r="F722" s="35" t="str"/>
      <x:c r="G722" s="38" t="str">
        <x:v>IMO-075 | IMO-079</x:v>
      </x:c>
      <x:c r="H722" s="35" t="str">
        <x:v>Locked-workbook normalized regulatory term</x:v>
      </x:c>
      <x:c r="I722" s="35" t="str">
        <x:v>N4 - preserve the source concept; normalize spelling to ASCII lowerCamelCase</x:v>
      </x:c>
      <x:c r="J722" s="35" t="str">
        <x:v>REUSE_R2_TERM</x:v>
      </x:c>
    </x:row>
    <x:row r="723">
      <x:c r="A723" s="35" t="str">
        <x:v>pitchType</x:v>
      </x:c>
      <x:c r="B723" s="35" t="str">
        <x:v>https://w3id.org/nltl-benchmark/vocab#pitchType</x:v>
      </x:c>
      <x:c r="C723" s="35" t="str">
        <x:v>DatatypeProperty</x:v>
      </x:c>
      <x:c r="D723" s="35" t="str">
        <x:v>http://www.w3.org/2001/XMLSchema#string</x:v>
      </x:c>
      <x:c r="E723" s="35" t="str">
        <x:v>xsd:string</x:v>
      </x:c>
      <x:c r="F723" s="35" t="str"/>
      <x:c r="G723" s="38" t="str">
        <x:v>TRF-069</x:v>
      </x:c>
      <x:c r="H723" s="35" t="str">
        <x:v>Benchmark-coined descriptive engineering term</x:v>
      </x:c>
      <x:c r="I723" s="35" t="str">
        <x:v>N5 - component or subject first, followed by characteristic and qualifier/state; no unsupported external mapping</x:v>
      </x:c>
      <x:c r="J723" s="35" t="str">
        <x:v>REUSE_R2_TERM</x:v>
      </x:c>
    </x:row>
    <x:row r="724">
      <x:c r="A724" s="35" t="str">
        <x:v>pitchValueKnown</x:v>
      </x:c>
      <x:c r="B724" s="35" t="str">
        <x:v>https://w3id.org/nltl-benchmark/vocab#pitchValueKnown</x:v>
      </x:c>
      <x:c r="C724" s="35" t="str">
        <x:v>DatatypeProperty</x:v>
      </x:c>
      <x:c r="D724" s="35" t="str">
        <x:v>http://www.w3.org/2001/XMLSchema#boolean</x:v>
      </x:c>
      <x:c r="E724" s="35" t="str">
        <x:v>xsd:boolean</x:v>
      </x:c>
      <x:c r="F724" s="35" t="str"/>
      <x:c r="G724" s="38" t="str">
        <x:v>TRF-084 | TRF-086</x:v>
      </x:c>
      <x:c r="H724" s="35" t="str">
        <x:v>Benchmark-coined descriptive engineering term</x:v>
      </x:c>
      <x:c r="I724" s="35" t="str">
        <x:v>N5 - component or subject first, followed by characteristic and qualifier/state; no unsupported external mapping</x:v>
      </x:c>
      <x:c r="J724" s="35" t="str">
        <x:v>REUSE_R2_TERM</x:v>
      </x:c>
    </x:row>
    <x:row r="725">
      <x:c r="A725" s="35" t="str">
        <x:v>plannedOrActualLatitude</x:v>
      </x:c>
      <x:c r="B725" s="35" t="str">
        <x:v>https://w3id.org/nltl-benchmark/vocab#plannedOrActualLatitude</x:v>
      </x:c>
      <x:c r="C725" s="35" t="str">
        <x:v>QuantityProperty</x:v>
      </x:c>
      <x:c r="D725" s="35" t="str">
        <x:v>http://qudt.org/schema/qudt/QuantityValue</x:v>
      </x:c>
      <x:c r="E725" s="35" t="str"/>
      <x:c r="F725" s="35" t="str">
        <x:v>deg</x:v>
      </x:c>
      <x:c r="G725" s="38" t="str">
        <x:v>IMO-087 | IMO26-013</x:v>
      </x:c>
      <x:c r="H725" s="35" t="str">
        <x:v>Unit-stripped normalized regulatory variable</x:v>
      </x:c>
      <x:c r="I725" s="35" t="str">
        <x:v>N3 - remove unit from the identifier and retain it in unit/quantity metadata</x:v>
      </x:c>
      <x:c r="J725" s="35" t="str">
        <x:v>REUSE_R2_TERM</x:v>
      </x:c>
    </x:row>
    <x:row r="726">
      <x:c r="A726" s="35" t="str">
        <x:v>plasticCollapseMechanism</x:v>
      </x:c>
      <x:c r="B726" s="35" t="str">
        <x:v>https://w3id.org/nltl-benchmark/vocab#plasticCollapseMechanism</x:v>
      </x:c>
      <x:c r="C726" s="35" t="str">
        <x:v>DatatypeProperty</x:v>
      </x:c>
      <x:c r="D726" s="35" t="str">
        <x:v>http://www.w3.org/2001/XMLSchema#string</x:v>
      </x:c>
      <x:c r="E726" s="35" t="str">
        <x:v>xsd:string</x:v>
      </x:c>
      <x:c r="F726" s="35" t="str"/>
      <x:c r="G726" s="38" t="str">
        <x:v>I2-031 | I2-034</x:v>
      </x:c>
      <x:c r="H726" s="35" t="str">
        <x:v>Benchmark-coined descriptive engineering term</x:v>
      </x:c>
      <x:c r="I726" s="35" t="str">
        <x:v>N5 - component or subject first, followed by characteristic and qualifier/state; no unsupported external mapping</x:v>
      </x:c>
      <x:c r="J726" s="35" t="str">
        <x:v>REUSE_R2_TERM</x:v>
      </x:c>
    </x:row>
    <x:row r="727">
      <x:c r="A727" s="35" t="str">
        <x:v>plasticDeformation</x:v>
      </x:c>
      <x:c r="B727" s="35" t="str">
        <x:v>https://w3id.org/nltl-benchmark/vocab#plasticDeformation</x:v>
      </x:c>
      <x:c r="C727" s="35" t="str">
        <x:v>DatatypeProperty</x:v>
      </x:c>
      <x:c r="D727" s="35" t="str">
        <x:v>http://www.w3.org/2001/XMLSchema#string</x:v>
      </x:c>
      <x:c r="E727" s="35" t="str">
        <x:v>xsd:string</x:v>
      </x:c>
      <x:c r="F727" s="35" t="str"/>
      <x:c r="G727" s="38" t="str">
        <x:v>I2-065</x:v>
      </x:c>
      <x:c r="H727" s="35" t="str">
        <x:v>Benchmark-coined descriptive engineering term</x:v>
      </x:c>
      <x:c r="I727" s="35" t="str">
        <x:v>N5 - component or subject first, followed by characteristic and qualifier/state; no unsupported external mapping</x:v>
      </x:c>
      <x:c r="J727" s="35" t="str">
        <x:v>REUSE_R2_TERM</x:v>
      </x:c>
    </x:row>
    <x:row r="728">
      <x:c r="A728" s="35" t="str">
        <x:v>plasticStrength</x:v>
      </x:c>
      <x:c r="B728" s="35" t="str">
        <x:v>https://w3id.org/nltl-benchmark/vocab#plasticStrength</x:v>
      </x:c>
      <x:c r="C728" s="35" t="str">
        <x:v>QuantityProperty</x:v>
      </x:c>
      <x:c r="D728" s="35" t="str">
        <x:v>http://qudt.org/schema/qudt/QuantityValue</x:v>
      </x:c>
      <x:c r="E728" s="35" t="str"/>
      <x:c r="F728" s="35" t="str">
        <x:v>kN</x:v>
      </x:c>
      <x:c r="G728" s="38" t="str">
        <x:v>I2-031 | I2-034</x:v>
      </x:c>
      <x:c r="H728" s="35" t="str">
        <x:v>Benchmark-coined descriptive engineering term</x:v>
      </x:c>
      <x:c r="I728" s="35" t="str">
        <x:v>N5 - component or subject first, followed by characteristic and qualifier/state; no unsupported external mapping</x:v>
      </x:c>
      <x:c r="J728" s="35" t="str">
        <x:v>REUSE_R2_TERM</x:v>
      </x:c>
    </x:row>
    <x:row r="729">
      <x:c r="A729" s="35" t="str">
        <x:v>platedBossing</x:v>
      </x:c>
      <x:c r="B729" s="35" t="str">
        <x:v>https://w3id.org/nltl-benchmark/vocab#platedBossing</x:v>
      </x:c>
      <x:c r="C729" s="35" t="str">
        <x:v>DatatypeProperty</x:v>
      </x:c>
      <x:c r="D729" s="35" t="str">
        <x:v>http://www.w3.org/2001/XMLSchema#string</x:v>
      </x:c>
      <x:c r="E729" s="35" t="str">
        <x:v>xsd:string</x:v>
      </x:c>
      <x:c r="F729" s="35" t="str"/>
      <x:c r="G729" s="38" t="str">
        <x:v>TRF-064</x:v>
      </x:c>
      <x:c r="H729" s="35" t="str">
        <x:v>Benchmark-coined descriptive engineering term</x:v>
      </x:c>
      <x:c r="I729" s="35" t="str">
        <x:v>N5 - component or subject first, followed by characteristic and qualifier/state; no unsupported external mapping</x:v>
      </x:c>
      <x:c r="J729" s="35" t="str">
        <x:v>REUSE_R2_TERM</x:v>
      </x:c>
    </x:row>
    <x:row r="730">
      <x:c r="A730" s="35" t="str">
        <x:v>plating</x:v>
      </x:c>
      <x:c r="B730" s="35" t="str">
        <x:v>https://w3id.org/nltl-benchmark/vocab#plating</x:v>
      </x:c>
      <x:c r="C730" s="35" t="str">
        <x:v>Class</x:v>
      </x:c>
      <x:c r="D730" s="35" t="str">
        <x:v>https://w3id.org/nltl-benchmark/vocab#hullStructure</x:v>
      </x:c>
      <x:c r="E730" s="35" t="str"/>
      <x:c r="F730" s="35" t="str"/>
      <x:c r="G730" s="38" t="str">
        <x:v>I2-048</x:v>
      </x:c>
      <x:c r="H730" s="35" t="str">
        <x:v>Benchmark-coined descriptive engineering term</x:v>
      </x:c>
      <x:c r="I730" s="35" t="str">
        <x:v>N5 - component or subject first, followed by characteristic and qualifier/state; no unsupported external mapping</x:v>
      </x:c>
      <x:c r="J730" s="35" t="str">
        <x:v>REUSE_R2_TERM</x:v>
      </x:c>
    </x:row>
    <x:row r="731">
      <x:c r="A731" s="35" t="str">
        <x:v>platingFramingOrientation</x:v>
      </x:c>
      <x:c r="B731" s="35" t="str">
        <x:v>https://w3id.org/nltl-benchmark/vocab#platingFramingOrientation</x:v>
      </x:c>
      <x:c r="C731" s="35" t="str">
        <x:v>ObjectProperty</x:v>
      </x:c>
      <x:c r="D731" s="35" t="str">
        <x:v>https://w3id.org/nltl-benchmark/vocab#platingFramingOrientationValue</x:v>
      </x:c>
      <x:c r="E731" s="35" t="str"/>
      <x:c r="F731" s="35" t="str"/>
      <x:c r="G731" s="38" t="str">
        <x:v>TRF-041</x:v>
      </x:c>
      <x:c r="H731" s="35" t="str">
        <x:v>Applicable TRAFICOM regulation wording plus explicit engineering node/operand role</x:v>
      </x:c>
      <x:c r="I731" s="35" t="str">
        <x:v>N5 - ASCII lowerCamelCase relationship; use has + object role when it improves direction clarity.</x:v>
      </x:c>
      <x:c r="J731" s="35" t="str">
        <x:v>ADD_DEVELOPMENT_TERM</x:v>
      </x:c>
    </x:row>
    <x:row r="732">
      <x:c r="A732" s="35" t="str">
        <x:v>platingFramingOrientationValue</x:v>
      </x:c>
      <x:c r="B732" s="35" t="str">
        <x:v>https://w3id.org/nltl-benchmark/vocab#platingFramingOrientationValue</x:v>
      </x:c>
      <x:c r="C732" s="35" t="str">
        <x:v>Class</x:v>
      </x:c>
      <x:c r="D732" s="35" t="str">
        <x:v>https://w3id.org/nltl-benchmark/vocab#benchmarkEntity</x:v>
      </x:c>
      <x:c r="E732" s="35" t="str"/>
      <x:c r="F732" s="35" t="str"/>
      <x:c r="G732" s="38" t="str">
        <x:v>TRF-041</x:v>
      </x:c>
      <x:c r="H732" s="35" t="str">
        <x:v>Applicable TRAFICOM regulation wording plus explicit engineering node/operand role</x:v>
      </x:c>
      <x:c r="I732" s="35" t="str">
        <x:v>N4 - singular ASCII lowerCamelCase entity name derived from the linked regulatory role.</x:v>
      </x:c>
      <x:c r="J732" s="35" t="str">
        <x:v>ADD_DEVELOPMENT_TERM</x:v>
      </x:c>
    </x:row>
    <x:row r="733">
      <x:c r="A733" s="35" t="str">
        <x:v>platingPressure</x:v>
      </x:c>
      <x:c r="B733" s="35" t="str">
        <x:v>https://w3id.org/nltl-benchmark/vocab#platingPressure</x:v>
      </x:c>
      <x:c r="C733" s="35" t="str">
        <x:v>QuantityProperty</x:v>
      </x:c>
      <x:c r="D733" s="35" t="str">
        <x:v>http://qudt.org/schema/qudt/QuantityValue</x:v>
      </x:c>
      <x:c r="E733" s="35" t="str"/>
      <x:c r="F733" s="35" t="str">
        <x:v>MPa</x:v>
      </x:c>
      <x:c r="G733" s="38" t="str">
        <x:v>TRF-041</x:v>
      </x:c>
      <x:c r="H733" s="35" t="str">
        <x:v>Applicable TRAFICOM regulation wording plus explicit engineering node/operand role</x:v>
      </x:c>
      <x:c r="I733" s="35" t="str">
        <x:v>N4 - explicit engineering quantity in ASCII lowerCamelCase; formula symbols remain aliases only.</x:v>
      </x:c>
      <x:c r="J733" s="35" t="str">
        <x:v>ADD_DEVELOPMENT_TERM</x:v>
      </x:c>
    </x:row>
    <x:row r="734">
      <x:c r="A734" s="35" t="str">
        <x:v>pleasureYacht</x:v>
      </x:c>
      <x:c r="B734" s="35" t="str">
        <x:v>https://w3id.org/nltl-benchmark/vocab#pleasureYacht</x:v>
      </x:c>
      <x:c r="C734" s="35" t="str">
        <x:v>Class</x:v>
      </x:c>
      <x:c r="D734" s="35" t="str">
        <x:v>https://w3id.org/nltl-benchmark/vocab#ship</x:v>
      </x:c>
      <x:c r="E734" s="35" t="str"/>
      <x:c r="F734" s="35" t="str"/>
      <x:c r="G734" s="38" t="str">
        <x:v>IMO26-002 | IMO26-016</x:v>
      </x:c>
      <x:c r="H734" s="35" t="str">
        <x:v>Benchmark-coined descriptive engineering term</x:v>
      </x:c>
      <x:c r="I734" s="35" t="str">
        <x:v>N5 - component or subject first, followed by characteristic and qualifier/state; no unsupported external mapping</x:v>
      </x:c>
      <x:c r="J734" s="35" t="str">
        <x:v>REUSE_R2_TERM</x:v>
      </x:c>
    </x:row>
    <x:row r="735">
      <x:c r="A735" s="35" t="str">
        <x:v>polarCertificateSupplementPresent</x:v>
      </x:c>
      <x:c r="B735" s="35" t="str">
        <x:v>https://w3id.org/nltl-benchmark/vocab#polarCertificateSupplementPresent</x:v>
      </x:c>
      <x:c r="C735" s="35" t="str">
        <x:v>DatatypeProperty</x:v>
      </x:c>
      <x:c r="D735" s="35" t="str">
        <x:v>http://www.w3.org/2001/XMLSchema#boolean</x:v>
      </x:c>
      <x:c r="E735" s="35" t="str">
        <x:v>xsd:boolean</x:v>
      </x:c>
      <x:c r="F735" s="35" t="str"/>
      <x:c r="G735" s="38" t="str">
        <x:v>IMO-017</x:v>
      </x:c>
      <x:c r="H735" s="35" t="str">
        <x:v>Locked-workbook normalized regulatory term</x:v>
      </x:c>
      <x:c r="I735" s="35" t="str">
        <x:v>N4 - preserve the source concept; normalize spelling to ASCII lowerCamelCase</x:v>
      </x:c>
      <x:c r="J735" s="35" t="str">
        <x:v>REUSE_R2_TERM</x:v>
      </x:c>
    </x:row>
    <x:row r="736">
      <x:c r="A736" s="35" t="str">
        <x:v>polarCertificateValidityDates</x:v>
      </x:c>
      <x:c r="B736" s="35" t="str">
        <x:v>https://w3id.org/nltl-benchmark/vocab#polarCertificateValidityDates</x:v>
      </x:c>
      <x:c r="C736" s="35" t="str">
        <x:v>DatatypeProperty</x:v>
      </x:c>
      <x:c r="D736" s="35" t="str">
        <x:v>http://www.w3.org/2001/XMLSchema#date</x:v>
      </x:c>
      <x:c r="E736" s="35" t="str">
        <x:v>xsd:date</x:v>
      </x:c>
      <x:c r="F736" s="35" t="str"/>
      <x:c r="G736" s="38" t="str">
        <x:v>IMO-017</x:v>
      </x:c>
      <x:c r="H736" s="35" t="str">
        <x:v>Locked-workbook normalized regulatory term</x:v>
      </x:c>
      <x:c r="I736" s="35" t="str">
        <x:v>N4 - preserve the source concept; normalize spelling to ASCII lowerCamelCase</x:v>
      </x:c>
      <x:c r="J736" s="35" t="str">
        <x:v>REUSE_R2_TERM</x:v>
      </x:c>
    </x:row>
    <x:row r="737">
      <x:c r="A737" s="35" t="str">
        <x:v>polarClass</x:v>
      </x:c>
      <x:c r="B737" s="35" t="str">
        <x:v>https://w3id.org/nltl-benchmark/vocab#polarClass</x:v>
      </x:c>
      <x:c r="C737" s="35" t="str">
        <x:v>ObjectProperty</x:v>
      </x:c>
      <x:c r="D737" s="35" t="str">
        <x:v>https://w3id.org/nltl-benchmark/vocab#polarClassValue</x:v>
      </x:c>
      <x:c r="E737" s="35" t="str"/>
      <x:c r="F737" s="35" t="str"/>
      <x:c r="G737" s="38" t="str">
        <x:v>I2-002 | I2-008 | I2-010 | I2-011 | I2-048</x:v>
      </x:c>
      <x:c r="H737" s="35" t="str">
        <x:v>Benchmark-coined descriptive engineering term</x:v>
      </x:c>
      <x:c r="I737" s="35" t="str">
        <x:v>N5 - component or subject first, followed by characteristic and qualifier/state; no unsupported external mapping</x:v>
      </x:c>
      <x:c r="J737" s="35" t="str">
        <x:v>REUSE_R2_TERM</x:v>
      </x:c>
    </x:row>
    <x:row r="738">
      <x:c r="A738" s="35" t="str">
        <x:v>polarClothingPassageTestStatus</x:v>
      </x:c>
      <x:c r="B738" s="35" t="str">
        <x:v>https://w3id.org/nltl-benchmark/vocab#polarClothingPassageTestStatus</x:v>
      </x:c>
      <x:c r="C738" s="35" t="str">
        <x:v>DatatypeProperty</x:v>
      </x:c>
      <x:c r="D738" s="35" t="str">
        <x:v>http://www.w3.org/2001/XMLSchema#boolean</x:v>
      </x:c>
      <x:c r="E738" s="35" t="str">
        <x:v>xsd:boolean</x:v>
      </x:c>
      <x:c r="F738" s="35" t="str"/>
      <x:c r="G738" s="38" t="str">
        <x:v>IMO-067</x:v>
      </x:c>
      <x:c r="H738" s="35" t="str">
        <x:v>Locked-workbook normalized regulatory term</x:v>
      </x:c>
      <x:c r="I738" s="35" t="str">
        <x:v>N4 - preserve the source concept; normalize spelling to ASCII lowerCamelCase</x:v>
      </x:c>
      <x:c r="J738" s="35" t="str">
        <x:v>REUSE_R2_TERM</x:v>
      </x:c>
    </x:row>
    <x:row r="739">
      <x:c r="A739" s="35" t="str">
        <x:v>polarCodeApplies</x:v>
      </x:c>
      <x:c r="B739" s="35" t="str">
        <x:v>https://w3id.org/nltl-benchmark/vocab#polarCodeApplies</x:v>
      </x:c>
      <x:c r="C739" s="35" t="str">
        <x:v>DatatypeProperty</x:v>
      </x:c>
      <x:c r="D739" s="35" t="str">
        <x:v>http://www.w3.org/2001/XMLSchema#boolean</x:v>
      </x:c>
      <x:c r="E739" s="35" t="str">
        <x:v>xsd:boolean</x:v>
      </x:c>
      <x:c r="F739" s="35" t="str"/>
      <x:c r="G739" s="38" t="str">
        <x:v>IMO-014</x:v>
      </x:c>
      <x:c r="H739" s="35" t="str">
        <x:v>Locked-workbook normalized regulatory term</x:v>
      </x:c>
      <x:c r="I739" s="35" t="str">
        <x:v>N4 - preserve the source concept; normalize spelling to ASCII lowerCamelCase</x:v>
      </x:c>
      <x:c r="J739" s="35" t="str">
        <x:v>REUSE_R2_TERM</x:v>
      </x:c>
    </x:row>
    <x:row r="740">
      <x:c r="A740" s="35" t="str">
        <x:v>polarCodeChapter11Applicable</x:v>
      </x:c>
      <x:c r="B740" s="35" t="str">
        <x:v>https://w3id.org/nltl-benchmark/vocab#polarCodeChapter11Applicable</x:v>
      </x:c>
      <x:c r="C740" s="35" t="str">
        <x:v>DatatypeProperty</x:v>
      </x:c>
      <x:c r="D740" s="35" t="str">
        <x:v>http://www.w3.org/2001/XMLSchema#boolean</x:v>
      </x:c>
      <x:c r="E740" s="35" t="str">
        <x:v>xsd:boolean</x:v>
      </x:c>
      <x:c r="F740" s="35" t="str"/>
      <x:c r="G740" s="38" t="str">
        <x:v>IMO26-015</x:v>
      </x:c>
      <x:c r="H740" s="35" t="str">
        <x:v>Locked-workbook normalized regulatory term</x:v>
      </x:c>
      <x:c r="I740" s="35" t="str">
        <x:v>N4 - preserve the source concept; normalize spelling to ASCII lowerCamelCase</x:v>
      </x:c>
      <x:c r="J740" s="35" t="str">
        <x:v>REUSE_R2_TERM</x:v>
      </x:c>
    </x:row>
    <x:row r="741">
      <x:c r="A741" s="35" t="str">
        <x:v>polarCodeChapter11Dash1Applicable</x:v>
      </x:c>
      <x:c r="B741" s="35" t="str">
        <x:v>https://w3id.org/nltl-benchmark/vocab#polarCodeChapter11Dash1Applicable</x:v>
      </x:c>
      <x:c r="C741" s="35" t="str">
        <x:v>DatatypeProperty</x:v>
      </x:c>
      <x:c r="D741" s="35" t="str">
        <x:v>http://www.w3.org/2001/XMLSchema#boolean</x:v>
      </x:c>
      <x:c r="E741" s="35" t="str">
        <x:v>xsd:boolean</x:v>
      </x:c>
      <x:c r="F741" s="35" t="str"/>
      <x:c r="G741" s="38" t="str">
        <x:v>IMO26-016 | IMO26-017 | IMO26-018</x:v>
      </x:c>
      <x:c r="H741" s="35" t="str">
        <x:v>Explicit regulation-reference transcription</x:v>
      </x:c>
      <x:c r="I741" s="35" t="str">
        <x:v>N6 - spell separators as Point or Dash and identify the governing instrument</x:v>
      </x:c>
      <x:c r="J741" s="35" t="str">
        <x:v>REUSE_R2_TERM</x:v>
      </x:c>
    </x:row>
    <x:row r="742">
      <x:c r="A742" s="35" t="str">
        <x:v>polarCodeChapter9Applicable</x:v>
      </x:c>
      <x:c r="B742" s="35" t="str">
        <x:v>https://w3id.org/nltl-benchmark/vocab#polarCodeChapter9Applicable</x:v>
      </x:c>
      <x:c r="C742" s="35" t="str">
        <x:v>DatatypeProperty</x:v>
      </x:c>
      <x:c r="D742" s="35" t="str">
        <x:v>http://www.w3.org/2001/XMLSchema#boolean</x:v>
      </x:c>
      <x:c r="E742" s="35" t="str">
        <x:v>xsd:boolean</x:v>
      </x:c>
      <x:c r="F742" s="35" t="str"/>
      <x:c r="G742" s="38" t="str">
        <x:v>IMO26-001</x:v>
      </x:c>
      <x:c r="H742" s="35" t="str">
        <x:v>Locked-workbook normalized regulatory term</x:v>
      </x:c>
      <x:c r="I742" s="35" t="str">
        <x:v>N4 - preserve the source concept; normalize spelling to ASCII lowerCamelCase</x:v>
      </x:c>
      <x:c r="J742" s="35" t="str">
        <x:v>REUSE_R2_TERM</x:v>
      </x:c>
    </x:row>
    <x:row r="743">
      <x:c r="A743" s="35" t="str">
        <x:v>polarCodeChapter9Dash1Applicable</x:v>
      </x:c>
      <x:c r="B743" s="35" t="str">
        <x:v>https://w3id.org/nltl-benchmark/vocab#polarCodeChapter9Dash1Applicable</x:v>
      </x:c>
      <x:c r="C743" s="35" t="str">
        <x:v>DatatypeProperty</x:v>
      </x:c>
      <x:c r="D743" s="35" t="str">
        <x:v>http://www.w3.org/2001/XMLSchema#boolean</x:v>
      </x:c>
      <x:c r="E743" s="35" t="str">
        <x:v>xsd:boolean</x:v>
      </x:c>
      <x:c r="F743" s="35" t="str"/>
      <x:c r="G743" s="38" t="str">
        <x:v>IMO26-002 | IMO26-003 | IMO26-004 | IMO26-006</x:v>
      </x:c>
      <x:c r="H743" s="35" t="str">
        <x:v>Explicit regulation-reference transcription</x:v>
      </x:c>
      <x:c r="I743" s="35" t="str">
        <x:v>N6 - spell separators as Point or Dash and identify the governing instrument</x:v>
      </x:c>
      <x:c r="J743" s="35" t="str">
        <x:v>REUSE_R2_TERM</x:v>
      </x:c>
    </x:row>
    <x:row r="744">
      <x:c r="A744" s="35" t="str">
        <x:v>polarCodeOilDischargeParagraph1Point1Point1Applicable</x:v>
      </x:c>
      <x:c r="B744" s="35" t="str">
        <x:v>https://w3id.org/nltl-benchmark/vocab#polarCodeOilDischargeParagraph1Point1Point1Applicable</x:v>
      </x:c>
      <x:c r="C744" s="35" t="str">
        <x:v>DatatypeProperty</x:v>
      </x:c>
      <x:c r="D744" s="35" t="str">
        <x:v>http://www.w3.org/2001/XMLSchema#boolean</x:v>
      </x:c>
      <x:c r="E744" s="35" t="str">
        <x:v>xsd:boolean</x:v>
      </x:c>
      <x:c r="F744" s="35" t="str"/>
      <x:c r="G744" s="38" t="str">
        <x:v>IMO-106</x:v>
      </x:c>
      <x:c r="H744" s="35" t="str">
        <x:v>Explicit regulation-reference transcription</x:v>
      </x:c>
      <x:c r="I744" s="35" t="str">
        <x:v>N6 - spell separators as Point or Dash and identify the governing instrument</x:v>
      </x:c>
      <x:c r="J744" s="35" t="str">
        <x:v>REUSE_R2_TERM</x:v>
      </x:c>
    </x:row>
    <x:row r="745">
      <x:c r="A745" s="35" t="str">
        <x:v>polarCodeSewageParagraph4Point2Point1Point3ComplianceStatus</x:v>
      </x:c>
      <x:c r="B745" s="35" t="str">
        <x:v>https://w3id.org/nltl-benchmark/vocab#polarCodeSewageParagraph4Point2Point1Point3ComplianceStatus</x:v>
      </x:c>
      <x:c r="C745" s="35" t="str">
        <x:v>DatatypeProperty</x:v>
      </x:c>
      <x:c r="D745" s="35" t="str">
        <x:v>http://www.w3.org/2001/XMLSchema#boolean</x:v>
      </x:c>
      <x:c r="E745" s="35" t="str">
        <x:v>xsd:boolean</x:v>
      </x:c>
      <x:c r="F745" s="35" t="str"/>
      <x:c r="G745" s="38" t="str">
        <x:v>IMO-118</x:v>
      </x:c>
      <x:c r="H745" s="35" t="str">
        <x:v>Explicit regulation-reference transcription</x:v>
      </x:c>
      <x:c r="I745" s="35" t="str">
        <x:v>N6 - spell separators as Point or Dash and identify the governing instrument</x:v>
      </x:c>
      <x:c r="J745" s="35" t="str">
        <x:v>REUSE_R2_TERM</x:v>
      </x:c>
    </x:row>
    <x:row r="746">
      <x:c r="A746" s="35" t="str">
        <x:v>polarIncidentProcedurePresent</x:v>
      </x:c>
      <x:c r="B746" s="35" t="str">
        <x:v>https://w3id.org/nltl-benchmark/vocab#polarIncidentProcedurePresent</x:v>
      </x:c>
      <x:c r="C746" s="35" t="str">
        <x:v>DatatypeProperty</x:v>
      </x:c>
      <x:c r="D746" s="35" t="str">
        <x:v>http://www.w3.org/2001/XMLSchema#boolean</x:v>
      </x:c>
      <x:c r="E746" s="35" t="str">
        <x:v>xsd:boolean</x:v>
      </x:c>
      <x:c r="F746" s="35" t="str"/>
      <x:c r="G746" s="38" t="str">
        <x:v>IMO-024</x:v>
      </x:c>
      <x:c r="H746" s="35" t="str">
        <x:v>Locked-workbook normalized regulatory term</x:v>
      </x:c>
      <x:c r="I746" s="35" t="str">
        <x:v>N4 - preserve the source concept; normalize spelling to ASCII lowerCamelCase</x:v>
      </x:c>
      <x:c r="J746" s="35" t="str">
        <x:v>REUSE_R2_TERM</x:v>
      </x:c>
    </x:row>
    <x:row r="747">
      <x:c r="A747" s="35" t="str">
        <x:v>polarOperationCoverage</x:v>
      </x:c>
      <x:c r="B747" s="35" t="str">
        <x:v>https://w3id.org/nltl-benchmark/vocab#polarOperationCoverage</x:v>
      </x:c>
      <x:c r="C747" s="35" t="str">
        <x:v>DatatypeProperty</x:v>
      </x:c>
      <x:c r="D747" s="35" t="str">
        <x:v>http://www.w3.org/2001/XMLSchema#boolean</x:v>
      </x:c>
      <x:c r="E747" s="35" t="str">
        <x:v>xsd:boolean</x:v>
      </x:c>
      <x:c r="F747" s="35" t="str"/>
      <x:c r="G747" s="38" t="str">
        <x:v>IMO-107 | IMO-113 | IMO-125</x:v>
      </x:c>
      <x:c r="H747" s="35" t="str">
        <x:v>Benchmark-coined descriptive engineering term</x:v>
      </x:c>
      <x:c r="I747" s="35" t="str">
        <x:v>N5 - component or subject first, followed by characteristic and qualifier/state; no unsupported external mapping</x:v>
      </x:c>
      <x:c r="J747" s="35" t="str">
        <x:v>REUSE_R2_TERM</x:v>
      </x:c>
    </x:row>
    <x:row r="748">
      <x:c r="A748" s="35" t="str">
        <x:v>polarRoutePlan</x:v>
      </x:c>
      <x:c r="B748" s="35" t="str">
        <x:v>https://w3id.org/nltl-benchmark/vocab#polarRoutePlan</x:v>
      </x:c>
      <x:c r="C748" s="35" t="str">
        <x:v>Class</x:v>
      </x:c>
      <x:c r="D748" s="35" t="str">
        <x:v>https://w3id.org/nltl-benchmark/vocab#documentEvidence</x:v>
      </x:c>
      <x:c r="E748" s="35" t="str"/>
      <x:c r="F748" s="35" t="str"/>
      <x:c r="G748" s="38" t="str">
        <x:v>IMO-101</x:v>
      </x:c>
      <x:c r="H748" s="35" t="str">
        <x:v>Locked-workbook normalized regulatory term</x:v>
      </x:c>
      <x:c r="I748" s="35" t="str">
        <x:v>N4 - preserve the source concept; normalize spelling to ASCII lowerCamelCase</x:v>
      </x:c>
      <x:c r="J748" s="35" t="str">
        <x:v>REUSE_R2_TERM</x:v>
      </x:c>
    </x:row>
    <x:row r="749">
      <x:c r="A749" s="35" t="str">
        <x:v>polarServiceTemperature</x:v>
      </x:c>
      <x:c r="B749" s="35" t="str">
        <x:v>https://w3id.org/nltl-benchmark/vocab#polarServiceTemperature</x:v>
      </x:c>
      <x:c r="C749" s="35" t="str">
        <x:v>QuantityProperty</x:v>
      </x:c>
      <x:c r="D749" s="35" t="str">
        <x:v>http://qudt.org/schema/qudt/QuantityValue</x:v>
      </x:c>
      <x:c r="E749" s="35" t="str"/>
      <x:c r="F749" s="35" t="str">
        <x:v>deg C</x:v>
      </x:c>
      <x:c r="G749" s="38" t="str">
        <x:v>IMO-012 | IMO-019 | IMO-020 | IMO-031 | IMO-046 | IMO-048 | IMO-054 | IMO-056 | IMO-061</x:v>
      </x:c>
      <x:c r="H749" s="35" t="str">
        <x:v>Unit-stripped normalized regulatory variable</x:v>
      </x:c>
      <x:c r="I749" s="35" t="str">
        <x:v>N3 - remove unit from the identifier and retain it in unit/quantity metadata</x:v>
      </x:c>
      <x:c r="J749" s="35" t="str">
        <x:v>REUSE_R2_TERM</x:v>
      </x:c>
    </x:row>
    <x:row r="750">
      <x:c r="A750" s="35" t="str">
        <x:v>polarShipCertificateForm</x:v>
      </x:c>
      <x:c r="B750" s="35" t="str">
        <x:v>https://w3id.org/nltl-benchmark/vocab#polarShipCertificateForm</x:v>
      </x:c>
      <x:c r="C750" s="35" t="str">
        <x:v>Class</x:v>
      </x:c>
      <x:c r="D750" s="35" t="str">
        <x:v>https://w3id.org/nltl-benchmark/vocab#documentEvidence</x:v>
      </x:c>
      <x:c r="E750" s="35" t="str"/>
      <x:c r="F750" s="35" t="str"/>
      <x:c r="G750" s="38" t="str">
        <x:v>IMO-016</x:v>
      </x:c>
      <x:c r="H750" s="35" t="str">
        <x:v>Locked-workbook normalized regulatory term</x:v>
      </x:c>
      <x:c r="I750" s="35" t="str">
        <x:v>N4 - preserve the source concept; normalize spelling to ASCII lowerCamelCase</x:v>
      </x:c>
      <x:c r="J750" s="35" t="str">
        <x:v>REUSE_R2_TERM</x:v>
      </x:c>
    </x:row>
    <x:row r="751">
      <x:c r="A751" s="35" t="str">
        <x:v>polarShipCertificateParagraph1Point3Point3ExceptionApplies</x:v>
      </x:c>
      <x:c r="B751" s="35" t="str">
        <x:v>https://w3id.org/nltl-benchmark/vocab#polarShipCertificateParagraph1Point3Point3ExceptionApplies</x:v>
      </x:c>
      <x:c r="C751" s="35" t="str">
        <x:v>DatatypeProperty</x:v>
      </x:c>
      <x:c r="D751" s="35" t="str">
        <x:v>http://www.w3.org/2001/XMLSchema#boolean</x:v>
      </x:c>
      <x:c r="E751" s="35" t="str">
        <x:v>xsd:boolean</x:v>
      </x:c>
      <x:c r="F751" s="35" t="str"/>
      <x:c r="G751" s="38" t="str">
        <x:v>IMO-015</x:v>
      </x:c>
      <x:c r="H751" s="35" t="str">
        <x:v>Explicit regulation-reference transcription</x:v>
      </x:c>
      <x:c r="I751" s="35" t="str">
        <x:v>N6 - spell separators as Point or Dash and identify the governing instrument</x:v>
      </x:c>
      <x:c r="J751" s="35" t="str">
        <x:v>REUSE_R2_TERM</x:v>
      </x:c>
    </x:row>
    <x:row r="752">
      <x:c r="A752" s="35" t="str">
        <x:v>polarShipCertificatePresent</x:v>
      </x:c>
      <x:c r="B752" s="35" t="str">
        <x:v>https://w3id.org/nltl-benchmark/vocab#polarShipCertificatePresent</x:v>
      </x:c>
      <x:c r="C752" s="35" t="str">
        <x:v>DatatypeProperty</x:v>
      </x:c>
      <x:c r="D752" s="35" t="str">
        <x:v>http://www.w3.org/2001/XMLSchema#boolean</x:v>
      </x:c>
      <x:c r="E752" s="35" t="str">
        <x:v>xsd:boolean</x:v>
      </x:c>
      <x:c r="F752" s="35" t="str"/>
      <x:c r="G752" s="38" t="str">
        <x:v>IMO-014</x:v>
      </x:c>
      <x:c r="H752" s="35" t="str">
        <x:v>Locked-workbook normalized regulatory term</x:v>
      </x:c>
      <x:c r="I752" s="35" t="str">
        <x:v>N4 - preserve the source concept; normalize spelling to ASCII lowerCamelCase</x:v>
      </x:c>
      <x:c r="J752" s="35" t="str">
        <x:v>REUSE_R2_TERM</x:v>
      </x:c>
    </x:row>
    <x:row r="753">
      <x:c r="A753" s="35" t="str">
        <x:v>polarShipCertificateStatus</x:v>
      </x:c>
      <x:c r="B753" s="35" t="str">
        <x:v>https://w3id.org/nltl-benchmark/vocab#polarShipCertificateStatus</x:v>
      </x:c>
      <x:c r="C753" s="35" t="str">
        <x:v>DatatypeProperty</x:v>
      </x:c>
      <x:c r="D753" s="35" t="str">
        <x:v>http://www.w3.org/2001/XMLSchema#boolean</x:v>
      </x:c>
      <x:c r="E753" s="35" t="str">
        <x:v>xsd:boolean</x:v>
      </x:c>
      <x:c r="F753" s="35" t="str"/>
      <x:c r="G753" s="38" t="str">
        <x:v>IMO-014</x:v>
      </x:c>
      <x:c r="H753" s="35" t="str">
        <x:v>Locked-workbook normalized regulatory term</x:v>
      </x:c>
      <x:c r="I753" s="35" t="str">
        <x:v>N4 - preserve the source concept; normalize spelling to ASCII lowerCamelCase</x:v>
      </x:c>
      <x:c r="J753" s="35" t="str">
        <x:v>REUSE_R2_TERM</x:v>
      </x:c>
    </x:row>
    <x:row r="754">
      <x:c r="A754" s="35" t="str">
        <x:v>polarWaterOperationalManualFamiliarizationStatus</x:v>
      </x:c>
      <x:c r="B754" s="35" t="str">
        <x:v>https://w3id.org/nltl-benchmark/vocab#polarWaterOperationalManualFamiliarizationStatus</x:v>
      </x:c>
      <x:c r="C754" s="35" t="str">
        <x:v>DatatypeProperty</x:v>
      </x:c>
      <x:c r="D754" s="35" t="str">
        <x:v>http://www.w3.org/2001/XMLSchema#boolean</x:v>
      </x:c>
      <x:c r="E754" s="35" t="str">
        <x:v>xsd:boolean</x:v>
      </x:c>
      <x:c r="F754" s="35" t="str"/>
      <x:c r="G754" s="38" t="str">
        <x:v>IMO-104</x:v>
      </x:c>
      <x:c r="H754" s="35" t="str">
        <x:v>Locked-workbook normalized regulatory term</x:v>
      </x:c>
      <x:c r="I754" s="35" t="str">
        <x:v>N4 - preserve the source concept; normalize spelling to ASCII lowerCamelCase</x:v>
      </x:c>
      <x:c r="J754" s="35" t="str">
        <x:v>REUSE_R2_TERM</x:v>
      </x:c>
    </x:row>
    <x:row r="755">
      <x:c r="A755" s="35" t="str">
        <x:v>polarWaterOperationalManualIceAccretionLimit</x:v>
      </x:c>
      <x:c r="B755" s="35" t="str">
        <x:v>https://w3id.org/nltl-benchmark/vocab#polarWaterOperationalManualIceAccretionLimit</x:v>
      </x:c>
      <x:c r="C755" s="35" t="str">
        <x:v>DatatypeProperty</x:v>
      </x:c>
      <x:c r="D755" s="35" t="str">
        <x:v>http://www.w3.org/2001/XMLSchema#string</x:v>
      </x:c>
      <x:c r="E755" s="35" t="str">
        <x:v>xsd:string</x:v>
      </x:c>
      <x:c r="F755" s="35" t="str"/>
      <x:c r="G755" s="38" t="str">
        <x:v>IMO-036</x:v>
      </x:c>
      <x:c r="H755" s="35" t="str">
        <x:v>Locked-workbook normalized regulatory term</x:v>
      </x:c>
      <x:c r="I755" s="35" t="str">
        <x:v>N4 - preserve the source concept; normalize spelling to ASCII lowerCamelCase</x:v>
      </x:c>
      <x:c r="J755" s="35" t="str">
        <x:v>REUSE_R2_TERM</x:v>
      </x:c>
    </x:row>
    <x:row r="756">
      <x:c r="A756" s="35" t="str">
        <x:v>polarWaterOperationalManualIceCapabilityMethodologyPresent</x:v>
      </x:c>
      <x:c r="B756" s="35" t="str">
        <x:v>https://w3id.org/nltl-benchmark/vocab#polarWaterOperationalManualIceCapabilityMethodologyPresent</x:v>
      </x:c>
      <x:c r="C756" s="35" t="str">
        <x:v>DatatypeProperty</x:v>
      </x:c>
      <x:c r="D756" s="35" t="str">
        <x:v>http://www.w3.org/2001/XMLSchema#boolean</x:v>
      </x:c>
      <x:c r="E756" s="35" t="str">
        <x:v>xsd:boolean</x:v>
      </x:c>
      <x:c r="F756" s="35" t="str"/>
      <x:c r="G756" s="38" t="str">
        <x:v>IMO-026</x:v>
      </x:c>
      <x:c r="H756" s="35" t="str">
        <x:v>Locked-workbook normalized regulatory term</x:v>
      </x:c>
      <x:c r="I756" s="35" t="str">
        <x:v>N4 - preserve the source concept; normalize spelling to ASCII lowerCamelCase</x:v>
      </x:c>
      <x:c r="J756" s="35" t="str">
        <x:v>REUSE_R2_TERM</x:v>
      </x:c>
    </x:row>
    <x:row r="757">
      <x:c r="A757" s="35" t="str">
        <x:v>polarWaterOperationalManualIcingAllowanceInformationPresent</x:v>
      </x:c>
      <x:c r="B757" s="35" t="str">
        <x:v>https://w3id.org/nltl-benchmark/vocab#polarWaterOperationalManualIcingAllowanceInformationPresent</x:v>
      </x:c>
      <x:c r="C757" s="35" t="str">
        <x:v>DatatypeProperty</x:v>
      </x:c>
      <x:c r="D757" s="35" t="str">
        <x:v>http://www.w3.org/2001/XMLSchema#boolean</x:v>
      </x:c>
      <x:c r="E757" s="35" t="str">
        <x:v>xsd:boolean</x:v>
      </x:c>
      <x:c r="F757" s="35" t="str"/>
      <x:c r="G757" s="38" t="str">
        <x:v>IMO-035</x:v>
      </x:c>
      <x:c r="H757" s="35" t="str">
        <x:v>Locked-workbook normalized regulatory term</x:v>
      </x:c>
      <x:c r="I757" s="35" t="str">
        <x:v>N4 - preserve the source concept; normalize spelling to ASCII lowerCamelCase</x:v>
      </x:c>
      <x:c r="J757" s="35" t="str">
        <x:v>REUSE_R2_TERM</x:v>
      </x:c>
    </x:row>
    <x:row r="758">
      <x:c r="A758" s="35" t="str">
        <x:v>polarWaterOperationalManualIcingAllowanceValues</x:v>
      </x:c>
      <x:c r="B758" s="35" t="str">
        <x:v>https://w3id.org/nltl-benchmark/vocab#polarWaterOperationalManualIcingAllowanceValues</x:v>
      </x:c>
      <x:c r="C758" s="35" t="str">
        <x:v>DatatypeProperty</x:v>
      </x:c>
      <x:c r="D758" s="35" t="str">
        <x:v>http://www.w3.org/2001/XMLSchema#string</x:v>
      </x:c>
      <x:c r="E758" s="35" t="str">
        <x:v>xsd:string</x:v>
      </x:c>
      <x:c r="F758" s="35" t="str"/>
      <x:c r="G758" s="38" t="str">
        <x:v>IMO-035</x:v>
      </x:c>
      <x:c r="H758" s="35" t="str">
        <x:v>Locked-workbook normalized regulatory term</x:v>
      </x:c>
      <x:c r="I758" s="35" t="str">
        <x:v>N4 - preserve the source concept; normalize spelling to ASCII lowerCamelCase</x:v>
      </x:c>
      <x:c r="J758" s="35" t="str">
        <x:v>REUSE_R2_TERM</x:v>
      </x:c>
    </x:row>
    <x:row r="759">
      <x:c r="A759" s="35" t="str">
        <x:v>polarWaterOperationalManualPresent</x:v>
      </x:c>
      <x:c r="B759" s="35" t="str">
        <x:v>https://w3id.org/nltl-benchmark/vocab#polarWaterOperationalManualPresent</x:v>
      </x:c>
      <x:c r="C759" s="35" t="str">
        <x:v>DatatypeProperty</x:v>
      </x:c>
      <x:c r="D759" s="35" t="str">
        <x:v>http://www.w3.org/2001/XMLSchema#boolean</x:v>
      </x:c>
      <x:c r="E759" s="35" t="str">
        <x:v>xsd:boolean</x:v>
      </x:c>
      <x:c r="F759" s="35" t="str"/>
      <x:c r="G759" s="38" t="str">
        <x:v>IMO-022</x:v>
      </x:c>
      <x:c r="H759" s="35" t="str">
        <x:v>Locked-workbook normalized regulatory term</x:v>
      </x:c>
      <x:c r="I759" s="35" t="str">
        <x:v>N4 - preserve the source concept; normalize spelling to ASCII lowerCamelCase</x:v>
      </x:c>
      <x:c r="J759" s="35" t="str">
        <x:v>REUSE_R2_TERM</x:v>
      </x:c>
    </x:row>
    <x:row r="760">
      <x:c r="A760" s="35" t="str">
        <x:v>polarWaterOperationalManualPresentOnBoard</x:v>
      </x:c>
      <x:c r="B760" s="35" t="str">
        <x:v>https://w3id.org/nltl-benchmark/vocab#polarWaterOperationalManualPresentOnBoard</x:v>
      </x:c>
      <x:c r="C760" s="35" t="str">
        <x:v>DatatypeProperty</x:v>
      </x:c>
      <x:c r="D760" s="35" t="str">
        <x:v>http://www.w3.org/2001/XMLSchema#boolean</x:v>
      </x:c>
      <x:c r="E760" s="35" t="str">
        <x:v>xsd:boolean</x:v>
      </x:c>
      <x:c r="F760" s="35" t="str"/>
      <x:c r="G760" s="38" t="str">
        <x:v>IMO-025</x:v>
      </x:c>
      <x:c r="H760" s="35" t="str">
        <x:v>Locked-workbook normalized regulatory term</x:v>
      </x:c>
      <x:c r="I760" s="35" t="str">
        <x:v>N4 - preserve the source concept; normalize spelling to ASCII lowerCamelCase</x:v>
      </x:c>
      <x:c r="J760" s="35" t="str">
        <x:v>REUSE_R2_TERM</x:v>
      </x:c>
    </x:row>
    <x:row r="761">
      <x:c r="A761" s="35" t="str">
        <x:v>polarWaterOperationalManualRiskProcedureCoverage</x:v>
      </x:c>
      <x:c r="B761" s="35" t="str">
        <x:v>https://w3id.org/nltl-benchmark/vocab#polarWaterOperationalManualRiskProcedureCoverage</x:v>
      </x:c>
      <x:c r="C761" s="35" t="str">
        <x:v>DatatypeProperty</x:v>
      </x:c>
      <x:c r="D761" s="35" t="str">
        <x:v>http://www.w3.org/2001/XMLSchema#boolean</x:v>
      </x:c>
      <x:c r="E761" s="35" t="str">
        <x:v>xsd:boolean</x:v>
      </x:c>
      <x:c r="F761" s="35" t="str"/>
      <x:c r="G761" s="38" t="str">
        <x:v>IMO-027</x:v>
      </x:c>
      <x:c r="H761" s="35" t="str">
        <x:v>Locked-workbook normalized regulatory term</x:v>
      </x:c>
      <x:c r="I761" s="35" t="str">
        <x:v>N4 - preserve the source concept; normalize spelling to ASCII lowerCamelCase</x:v>
      </x:c>
      <x:c r="J761" s="35" t="str">
        <x:v>REUSE_R2_TERM</x:v>
      </x:c>
    </x:row>
    <x:row r="762">
      <x:c r="A762" s="35" t="str">
        <x:v>pollutionEmergencyPlanPolarCoverage</x:v>
      </x:c>
      <x:c r="B762" s="35" t="str">
        <x:v>https://w3id.org/nltl-benchmark/vocab#pollutionEmergencyPlanPolarCoverage</x:v>
      </x:c>
      <x:c r="C762" s="35" t="str">
        <x:v>DatatypeProperty</x:v>
      </x:c>
      <x:c r="D762" s="35" t="str">
        <x:v>http://www.w3.org/2001/XMLSchema#boolean</x:v>
      </x:c>
      <x:c r="E762" s="35" t="str">
        <x:v>xsd:boolean</x:v>
      </x:c>
      <x:c r="F762" s="35" t="str"/>
      <x:c r="G762" s="38" t="str">
        <x:v>IMO-107</x:v>
      </x:c>
      <x:c r="H762" s="35" t="str">
        <x:v>Locked-workbook normalized regulatory term</x:v>
      </x:c>
      <x:c r="I762" s="35" t="str">
        <x:v>N4 - preserve the source concept; normalize spelling to ASCII lowerCamelCase</x:v>
      </x:c>
      <x:c r="J762" s="35" t="str">
        <x:v>REUSE_R2_TERM</x:v>
      </x:c>
    </x:row>
    <x:row r="763">
      <x:c r="A763" s="35" t="str">
        <x:v>portableTwoWayRadio</x:v>
      </x:c>
      <x:c r="B763" s="35" t="str">
        <x:v>https://w3id.org/nltl-benchmark/vocab#portableTwoWayRadio</x:v>
      </x:c>
      <x:c r="C763" s="35" t="str">
        <x:v>Class</x:v>
      </x:c>
      <x:c r="D763" s="35" t="str">
        <x:v>https://w3id.org/nltl-benchmark/vocab#benchmarkEntity</x:v>
      </x:c>
      <x:c r="E763" s="35" t="str"/>
      <x:c r="F763" s="35" t="str"/>
      <x:c r="G763" s="38" t="str">
        <x:v>IMO-056</x:v>
      </x:c>
      <x:c r="H763" s="35" t="str">
        <x:v>Locked-workbook normalized regulatory term</x:v>
      </x:c>
      <x:c r="I763" s="35" t="str">
        <x:v>N4 - preserve the source concept; normalize spelling to ASCII lowerCamelCase</x:v>
      </x:c>
      <x:c r="J763" s="35" t="str">
        <x:v>REUSE_R2_TERM</x:v>
      </x:c>
    </x:row>
    <x:row r="764">
      <x:c r="A764" s="35" t="str">
        <x:v>prescribedProcedureApplicability</x:v>
      </x:c>
      <x:c r="B764" s="35" t="str">
        <x:v>https://w3id.org/nltl-benchmark/vocab#prescribedProcedureApplicability</x:v>
      </x:c>
      <x:c r="C764" s="35" t="str">
        <x:v>DatatypeProperty</x:v>
      </x:c>
      <x:c r="D764" s="35" t="str">
        <x:v>http://www.w3.org/2001/XMLSchema#boolean</x:v>
      </x:c>
      <x:c r="E764" s="35" t="str">
        <x:v>xsd:boolean</x:v>
      </x:c>
      <x:c r="F764" s="35" t="str"/>
      <x:c r="G764" s="38" t="str">
        <x:v>TRF-029</x:v>
      </x:c>
      <x:c r="H764" s="35" t="str">
        <x:v>Benchmark-coined descriptive engineering term</x:v>
      </x:c>
      <x:c r="I764" s="35" t="str">
        <x:v>N5 - component or subject first, followed by characteristic and qualifier/state; no unsupported external mapping</x:v>
      </x:c>
      <x:c r="J764" s="35" t="str">
        <x:v>REUSE_R2_TERM</x:v>
      </x:c>
    </x:row>
    <x:row r="765">
      <x:c r="A765" s="35" t="str">
        <x:v>primeMoverMeanTorque</x:v>
      </x:c>
      <x:c r="B765" s="35" t="str">
        <x:v>https://w3id.org/nltl-benchmark/vocab#primeMoverMeanTorque</x:v>
      </x:c>
      <x:c r="C765" s="35" t="str">
        <x:v>QuantityProperty</x:v>
      </x:c>
      <x:c r="D765" s="35" t="str">
        <x:v>http://qudt.org/schema/qudt/QuantityValue</x:v>
      </x:c>
      <x:c r="E765" s="35" t="str"/>
      <x:c r="F765" s="35" t="str">
        <x:v>kN*m</x:v>
      </x:c>
      <x:c r="G765" s="38" t="str">
        <x:v>TRF-100</x:v>
      </x:c>
      <x:c r="H765" s="35" t="str">
        <x:v>Benchmark-coined descriptive engineering term</x:v>
      </x:c>
      <x:c r="I765" s="35" t="str">
        <x:v>N5 - component or subject first, followed by characteristic and qualifier/state; no unsupported external mapping</x:v>
      </x:c>
      <x:c r="J765" s="35" t="str">
        <x:v>REUSE_R2_TERM</x:v>
      </x:c>
    </x:row>
    <x:row r="766">
      <x:c r="A766" s="35" t="str">
        <x:v>procedureImplementationStatus</x:v>
      </x:c>
      <x:c r="B766" s="35" t="str">
        <x:v>https://w3id.org/nltl-benchmark/vocab#procedureImplementationStatus</x:v>
      </x:c>
      <x:c r="C766" s="35" t="str">
        <x:v>DatatypeProperty</x:v>
      </x:c>
      <x:c r="D766" s="35" t="str">
        <x:v>http://www.w3.org/2001/XMLSchema#boolean</x:v>
      </x:c>
      <x:c r="E766" s="35" t="str">
        <x:v>xsd:boolean</x:v>
      </x:c>
      <x:c r="F766" s="35" t="str"/>
      <x:c r="G766" s="38" t="str">
        <x:v>IMO-099</x:v>
      </x:c>
      <x:c r="H766" s="35" t="str">
        <x:v>Locked-workbook normalized regulatory term</x:v>
      </x:c>
      <x:c r="I766" s="35" t="str">
        <x:v>N4 - preserve the source concept; normalize spelling to ASCII lowerCamelCase</x:v>
      </x:c>
      <x:c r="J766" s="35" t="str">
        <x:v>REUSE_R2_TERM</x:v>
      </x:c>
    </x:row>
    <x:row r="767">
      <x:c r="A767" s="35" t="str">
        <x:v>profileSection</x:v>
      </x:c>
      <x:c r="B767" s="35" t="str">
        <x:v>https://w3id.org/nltl-benchmark/vocab#profileSection</x:v>
      </x:c>
      <x:c r="C767" s="35" t="str">
        <x:v>NamedIndividual</x:v>
      </x:c>
      <x:c r="D767" s="35" t="str">
        <x:v>https://w3id.org/nltl-benchmark/vocab#frameProfileTypeValue</x:v>
      </x:c>
      <x:c r="E767" s="35" t="str"/>
      <x:c r="F767" s="35" t="str"/>
      <x:c r="G767" s="38" t="str">
        <x:v>TRF-051</x:v>
      </x:c>
      <x:c r="H767" s="35" t="str">
        <x:v>Applicable TRAFICOM regulation wording plus explicit engineering node/operand role</x:v>
      </x:c>
      <x:c r="I767" s="35" t="str">
        <x:v>N6 - concise ASCII lowerCamelCase controlled-value name grounded in the linked regulation.</x:v>
      </x:c>
      <x:c r="J767" s="35" t="str">
        <x:v>ADD_DEVELOPMENT_TERM</x:v>
      </x:c>
    </x:row>
    <x:row r="768">
      <x:c r="A768" s="35" t="str">
        <x:v>prolongedEntrapmentProcedurePresent</x:v>
      </x:c>
      <x:c r="B768" s="35" t="str">
        <x:v>https://w3id.org/nltl-benchmark/vocab#prolongedEntrapmentProcedurePresent</x:v>
      </x:c>
      <x:c r="C768" s="35" t="str">
        <x:v>DatatypeProperty</x:v>
      </x:c>
      <x:c r="D768" s="35" t="str">
        <x:v>http://www.w3.org/2001/XMLSchema#boolean</x:v>
      </x:c>
      <x:c r="E768" s="35" t="str">
        <x:v>xsd:boolean</x:v>
      </x:c>
      <x:c r="F768" s="35" t="str"/>
      <x:c r="G768" s="38" t="str">
        <x:v>IMO-028</x:v>
      </x:c>
      <x:c r="H768" s="35" t="str">
        <x:v>Locked-workbook normalized regulatory term</x:v>
      </x:c>
      <x:c r="I768" s="35" t="str">
        <x:v>N4 - preserve the source concept; normalize spelling to ASCII lowerCamelCase</x:v>
      </x:c>
      <x:c r="J768" s="35" t="str">
        <x:v>REUSE_R2_TERM</x:v>
      </x:c>
    </x:row>
    <x:row r="769">
      <x:c r="A769" s="35" t="str">
        <x:v>propellerBlade</x:v>
      </x:c>
      <x:c r="B769" s="35" t="str">
        <x:v>https://w3id.org/nltl-benchmark/vocab#propellerBlade</x:v>
      </x:c>
      <x:c r="C769" s="35" t="str">
        <x:v>Class</x:v>
      </x:c>
      <x:c r="D769" s="35" t="str">
        <x:v>https://w3id.org/nltl-benchmark/vocab#machineryComponent</x:v>
      </x:c>
      <x:c r="E769" s="35" t="str"/>
      <x:c r="F769" s="35" t="str"/>
      <x:c r="G769" s="38" t="str">
        <x:v>TRF-075</x:v>
      </x:c>
      <x:c r="H769" s="35" t="str">
        <x:v>Benchmark-coined descriptive engineering term</x:v>
      </x:c>
      <x:c r="I769" s="35" t="str">
        <x:v>N5 - component or subject first, followed by characteristic and qualifier/state; no unsupported external mapping</x:v>
      </x:c>
      <x:c r="J769" s="35" t="str">
        <x:v>REUSE_R2_TERM</x:v>
      </x:c>
    </x:row>
    <x:row r="770">
      <x:c r="A770" s="35" t="str">
        <x:v>propellerBladeCount</x:v>
      </x:c>
      <x:c r="B770" s="35" t="str">
        <x:v>https://w3id.org/nltl-benchmark/vocab#propellerBladeCount</x:v>
      </x:c>
      <x:c r="C770" s="35" t="str">
        <x:v>DatatypeProperty</x:v>
      </x:c>
      <x:c r="D770" s="35" t="str">
        <x:v>http://www.w3.org/2001/XMLSchema#integer</x:v>
      </x:c>
      <x:c r="E770" s="35" t="str">
        <x:v>xsd:integer</x:v>
      </x:c>
      <x:c r="F770" s="35" t="str"/>
      <x:c r="G770" s="38" t="str">
        <x:v>TRF-080</x:v>
      </x:c>
      <x:c r="H770" s="35" t="str">
        <x:v>Benchmark-coined descriptive engineering term</x:v>
      </x:c>
      <x:c r="I770" s="35" t="str">
        <x:v>N5 - component or subject first, followed by characteristic and qualifier/state; no unsupported external mapping</x:v>
      </x:c>
      <x:c r="J770" s="35" t="str">
        <x:v>REUSE_R2_TERM</x:v>
      </x:c>
    </x:row>
    <x:row r="771">
      <x:c r="A771" s="35" t="str">
        <x:v>propellerBladeLoss</x:v>
      </x:c>
      <x:c r="B771" s="35" t="str">
        <x:v>https://w3id.org/nltl-benchmark/vocab#propellerBladeLoss</x:v>
      </x:c>
      <x:c r="C771" s="35" t="str">
        <x:v>DatatypeProperty</x:v>
      </x:c>
      <x:c r="D771" s="35" t="str">
        <x:v>http://www.w3.org/2001/XMLSchema#boolean</x:v>
      </x:c>
      <x:c r="E771" s="35" t="str">
        <x:v>xsd:boolean</x:v>
      </x:c>
      <x:c r="F771" s="35" t="str"/>
      <x:c r="G771" s="38" t="str">
        <x:v>TRF-104</x:v>
      </x:c>
      <x:c r="H771" s="35" t="str">
        <x:v>Benchmark-coined descriptive engineering term</x:v>
      </x:c>
      <x:c r="I771" s="35" t="str">
        <x:v>N5 - component or subject first, followed by characteristic and qualifier/state; no unsupported external mapping</x:v>
      </x:c>
      <x:c r="J771" s="35" t="str">
        <x:v>REUSE_R2_TERM</x:v>
      </x:c>
    </x:row>
    <x:row r="772">
      <x:c r="A772" s="35" t="str">
        <x:v>propellerBladeMaterialProperty</x:v>
      </x:c>
      <x:c r="B772" s="35" t="str">
        <x:v>https://w3id.org/nltl-benchmark/vocab#propellerBladeMaterialProperty</x:v>
      </x:c>
      <x:c r="C772" s="35" t="str">
        <x:v>DatatypeProperty</x:v>
      </x:c>
      <x:c r="D772" s="35" t="str">
        <x:v>http://www.w3.org/2001/XMLSchema#string</x:v>
      </x:c>
      <x:c r="E772" s="35" t="str">
        <x:v>xsd:string</x:v>
      </x:c>
      <x:c r="F772" s="35" t="str"/>
      <x:c r="G772" s="38" t="str">
        <x:v>TRF-108</x:v>
      </x:c>
      <x:c r="H772" s="35" t="str">
        <x:v>Benchmark-coined descriptive engineering term</x:v>
      </x:c>
      <x:c r="I772" s="35" t="str">
        <x:v>N5 - component or subject first, followed by characteristic and qualifier/state; no unsupported external mapping</x:v>
      </x:c>
      <x:c r="J772" s="35" t="str">
        <x:v>REUSE_R2_TERM</x:v>
      </x:c>
    </x:row>
    <x:row r="773">
      <x:c r="A773" s="35" t="str">
        <x:v>propellerBladeOrientation</x:v>
      </x:c>
      <x:c r="B773" s="35" t="str">
        <x:v>https://w3id.org/nltl-benchmark/vocab#propellerBladeOrientation</x:v>
      </x:c>
      <x:c r="C773" s="35" t="str">
        <x:v>DatatypeProperty</x:v>
      </x:c>
      <x:c r="D773" s="35" t="str">
        <x:v>http://www.w3.org/2001/XMLSchema#string</x:v>
      </x:c>
      <x:c r="E773" s="35" t="str">
        <x:v>xsd:string</x:v>
      </x:c>
      <x:c r="F773" s="35" t="str"/>
      <x:c r="G773" s="38" t="str">
        <x:v>TRF-113</x:v>
      </x:c>
      <x:c r="H773" s="35" t="str">
        <x:v>Benchmark-coined descriptive engineering term</x:v>
      </x:c>
      <x:c r="I773" s="35" t="str">
        <x:v>N5 - component or subject first, followed by characteristic and qualifier/state; no unsupported external mapping</x:v>
      </x:c>
      <x:c r="J773" s="35" t="str">
        <x:v>REUSE_R2_TERM</x:v>
      </x:c>
    </x:row>
    <x:row r="774">
      <x:c r="A774" s="35" t="str">
        <x:v>propellerBladeTipHullClearance</x:v>
      </x:c>
      <x:c r="B774" s="35" t="str">
        <x:v>https://w3id.org/nltl-benchmark/vocab#propellerBladeTipHullClearance</x:v>
      </x:c>
      <x:c r="C774" s="35" t="str">
        <x:v>QuantityProperty</x:v>
      </x:c>
      <x:c r="D774" s="35" t="str">
        <x:v>http://qudt.org/schema/qudt/QuantityValue</x:v>
      </x:c>
      <x:c r="E774" s="35" t="str"/>
      <x:c r="F774" s="35" t="str">
        <x:v>m</x:v>
      </x:c>
      <x:c r="G774" s="38" t="str">
        <x:v>TRF-062</x:v>
      </x:c>
      <x:c r="H774" s="35" t="str">
        <x:v>Benchmark-coined descriptive engineering term</x:v>
      </x:c>
      <x:c r="I774" s="35" t="str">
        <x:v>N5 - component or subject first, followed by characteristic and qualifier/state; no unsupported external mapping</x:v>
      </x:c>
      <x:c r="J774" s="35" t="str">
        <x:v>REUSE_R2_TERM</x:v>
      </x:c>
    </x:row>
    <x:row r="775">
      <x:c r="A775" s="35" t="str">
        <x:v>propellerCount</x:v>
      </x:c>
      <x:c r="B775" s="35" t="str">
        <x:v>https://w3id.org/nltl-benchmark/vocab#propellerCount</x:v>
      </x:c>
      <x:c r="C775" s="35" t="str">
        <x:v>DatatypeProperty</x:v>
      </x:c>
      <x:c r="D775" s="35" t="str">
        <x:v>http://www.w3.org/2001/XMLSchema#integer</x:v>
      </x:c>
      <x:c r="E775" s="35" t="str">
        <x:v>xsd:integer</x:v>
      </x:c>
      <x:c r="F775" s="35" t="str"/>
      <x:c r="G775" s="38" t="str">
        <x:v>TRF-063</x:v>
      </x:c>
      <x:c r="H775" s="35" t="str">
        <x:v>Benchmark-coined descriptive engineering term</x:v>
      </x:c>
      <x:c r="I775" s="35" t="str">
        <x:v>N5 - component or subject first, followed by characteristic and qualifier/state; no unsupported external mapping</x:v>
      </x:c>
      <x:c r="J775" s="35" t="str">
        <x:v>REUSE_R2_TERM</x:v>
      </x:c>
    </x:row>
    <x:row r="776">
      <x:c r="A776" s="35" t="str">
        <x:v>propellerDiameter</x:v>
      </x:c>
      <x:c r="B776" s="35" t="str">
        <x:v>https://w3id.org/nltl-benchmark/vocab#propellerDiameter</x:v>
      </x:c>
      <x:c r="C776" s="35" t="str">
        <x:v>QuantityProperty</x:v>
      </x:c>
      <x:c r="D776" s="35" t="str">
        <x:v>http://qudt.org/schema/qudt/QuantityValue</x:v>
      </x:c>
      <x:c r="E776" s="35" t="str"/>
      <x:c r="F776" s="35" t="str">
        <x:v>m</x:v>
      </x:c>
      <x:c r="G776" s="38" t="str">
        <x:v>TRF-020 | TRF-072 | TRF-085 | TRF-101</x:v>
      </x:c>
      <x:c r="H776" s="35" t="str">
        <x:v>Verified exact implementation term</x:v>
      </x:c>
      <x:c r="I776" s="35" t="str">
        <x:v>N1 - reuse only after exact URI and semantic-context verification</x:v>
      </x:c>
      <x:c r="J776" s="35" t="str">
        <x:v>REUSE_R2_TERM</x:v>
      </x:c>
    </x:row>
    <x:row r="777">
      <x:c r="A777" s="35" t="str">
        <x:v>propellerHighestPointSubmerged</x:v>
      </x:c>
      <x:c r="B777" s="35" t="str">
        <x:v>https://w3id.org/nltl-benchmark/vocab#propellerHighestPointSubmerged</x:v>
      </x:c>
      <x:c r="C777" s="35" t="str">
        <x:v>DatatypeProperty</x:v>
      </x:c>
      <x:c r="D777" s="35" t="str">
        <x:v>http://www.w3.org/2001/XMLSchema#boolean</x:v>
      </x:c>
      <x:c r="E777" s="35" t="str">
        <x:v>xsd:boolean</x:v>
      </x:c>
      <x:c r="F777" s="35" t="str"/>
      <x:c r="G777" s="38" t="str">
        <x:v>TRF-016</x:v>
      </x:c>
      <x:c r="H777" s="35" t="str">
        <x:v>Benchmark-coined descriptive engineering term</x:v>
      </x:c>
      <x:c r="I777" s="35" t="str">
        <x:v>N5 - component or subject first, followed by characteristic and qualifier/state; no unsupported external mapping</x:v>
      </x:c>
      <x:c r="J777" s="35" t="str">
        <x:v>REUSE_R2_TERM</x:v>
      </x:c>
    </x:row>
    <x:row r="778">
      <x:c r="A778" s="35" t="str">
        <x:v>propellerIceExcitation</x:v>
      </x:c>
      <x:c r="B778" s="35" t="str">
        <x:v>https://w3id.org/nltl-benchmark/vocab#propellerIceExcitation</x:v>
      </x:c>
      <x:c r="C778" s="35" t="str">
        <x:v>DatatypeProperty</x:v>
      </x:c>
      <x:c r="D778" s="35" t="str">
        <x:v>http://www.w3.org/2001/XMLSchema#string</x:v>
      </x:c>
      <x:c r="E778" s="35" t="str">
        <x:v>xsd:string</x:v>
      </x:c>
      <x:c r="F778" s="35" t="str"/>
      <x:c r="G778" s="38" t="str">
        <x:v>TRF-100</x:v>
      </x:c>
      <x:c r="H778" s="35" t="str">
        <x:v>Benchmark-coined descriptive engineering term</x:v>
      </x:c>
      <x:c r="I778" s="35" t="str">
        <x:v>N5 - component or subject first, followed by characteristic and qualifier/state; no unsupported external mapping</x:v>
      </x:c>
      <x:c r="J778" s="35" t="str">
        <x:v>REUSE_R2_TERM</x:v>
      </x:c>
    </x:row>
    <x:row r="779">
      <x:c r="A779" s="35" t="str">
        <x:v>propellerIceInteraction</x:v>
      </x:c>
      <x:c r="B779" s="35" t="str">
        <x:v>https://w3id.org/nltl-benchmark/vocab#propellerIceInteraction</x:v>
      </x:c>
      <x:c r="C779" s="35" t="str">
        <x:v>DatatypeProperty</x:v>
      </x:c>
      <x:c r="D779" s="35" t="str">
        <x:v>http://www.w3.org/2001/XMLSchema#string</x:v>
      </x:c>
      <x:c r="E779" s="35" t="str">
        <x:v>xsd:string</x:v>
      </x:c>
      <x:c r="F779" s="35" t="str"/>
      <x:c r="G779" s="38" t="str">
        <x:v>TRF-125</x:v>
      </x:c>
      <x:c r="H779" s="35" t="str">
        <x:v>Benchmark-coined descriptive engineering term</x:v>
      </x:c>
      <x:c r="I779" s="35" t="str">
        <x:v>N5 - component or subject first, followed by characteristic and qualifier/state; no unsupported external mapping</x:v>
      </x:c>
      <x:c r="J779" s="35" t="str">
        <x:v>REUSE_R2_TERM</x:v>
      </x:c>
    </x:row>
    <x:row r="780">
      <x:c r="A780" s="35" t="str">
        <x:v>propellerIceInteractionComponent</x:v>
      </x:c>
      <x:c r="B780" s="35" t="str">
        <x:v>https://w3id.org/nltl-benchmark/vocab#propellerIceInteractionComponent</x:v>
      </x:c>
      <x:c r="C780" s="35" t="str">
        <x:v>Class</x:v>
      </x:c>
      <x:c r="D780" s="35" t="str">
        <x:v>https://w3id.org/nltl-benchmark/vocab#machineryComponent</x:v>
      </x:c>
      <x:c r="E780" s="35" t="str"/>
      <x:c r="F780" s="35" t="str"/>
      <x:c r="G780" s="38" t="str">
        <x:v>TRF-080</x:v>
      </x:c>
      <x:c r="H780" s="35" t="str">
        <x:v>Benchmark-coined descriptive engineering term</x:v>
      </x:c>
      <x:c r="I780" s="35" t="str">
        <x:v>N5 - component or subject first, followed by characteristic and qualifier/state; no unsupported external mapping</x:v>
      </x:c>
      <x:c r="J780" s="35" t="str">
        <x:v>REUSE_R2_TERM</x:v>
      </x:c>
    </x:row>
    <x:row r="781">
      <x:c r="A781" s="35" t="str">
        <x:v>propellerIceInteractionLoad</x:v>
      </x:c>
      <x:c r="B781" s="35" t="str">
        <x:v>https://w3id.org/nltl-benchmark/vocab#propellerIceInteractionLoad</x:v>
      </x:c>
      <x:c r="C781" s="35" t="str">
        <x:v>QuantityProperty</x:v>
      </x:c>
      <x:c r="D781" s="35" t="str">
        <x:v>http://qudt.org/schema/qudt/QuantityValue</x:v>
      </x:c>
      <x:c r="E781" s="35" t="str"/>
      <x:c r="F781" s="35" t="str">
        <x:v>kN</x:v>
      </x:c>
      <x:c r="G781" s="38" t="str">
        <x:v>TRF-070</x:v>
      </x:c>
      <x:c r="H781" s="35" t="str">
        <x:v>Benchmark-coined descriptive engineering term</x:v>
      </x:c>
      <x:c r="I781" s="35" t="str">
        <x:v>N5 - component or subject first, followed by characteristic and qualifier/state; no unsupported external mapping</x:v>
      </x:c>
      <x:c r="J781" s="35" t="str">
        <x:v>REUSE_R2_TERM</x:v>
      </x:c>
    </x:row>
    <x:row r="782">
      <x:c r="A782" s="35" t="str">
        <x:v>propellerIceInteractionLoadCase</x:v>
      </x:c>
      <x:c r="B782" s="35" t="str">
        <x:v>https://w3id.org/nltl-benchmark/vocab#propellerIceInteractionLoadCase</x:v>
      </x:c>
      <x:c r="C782" s="35" t="str">
        <x:v>DatatypeProperty</x:v>
      </x:c>
      <x:c r="D782" s="35" t="str">
        <x:v>http://www.w3.org/2001/XMLSchema#string</x:v>
      </x:c>
      <x:c r="E782" s="35" t="str">
        <x:v>xsd:string</x:v>
      </x:c>
      <x:c r="F782" s="35" t="str"/>
      <x:c r="G782" s="38" t="str">
        <x:v>TRF-092</x:v>
      </x:c>
      <x:c r="H782" s="35" t="str">
        <x:v>Benchmark-coined descriptive engineering term</x:v>
      </x:c>
      <x:c r="I782" s="35" t="str">
        <x:v>N5 - component or subject first, followed by characteristic and qualifier/state; no unsupported external mapping</x:v>
      </x:c>
      <x:c r="J782" s="35" t="str">
        <x:v>REUSE_R2_TERM</x:v>
      </x:c>
    </x:row>
    <x:row r="783">
      <x:c r="A783" s="35" t="str">
        <x:v>propellerIceMillingLoadSequence</x:v>
      </x:c>
      <x:c r="B783" s="35" t="str">
        <x:v>https://w3id.org/nltl-benchmark/vocab#propellerIceMillingLoadSequence</x:v>
      </x:c>
      <x:c r="C783" s="35" t="str">
        <x:v>DatatypeProperty</x:v>
      </x:c>
      <x:c r="D783" s="35" t="str">
        <x:v>http://www.w3.org/2001/XMLSchema#string</x:v>
      </x:c>
      <x:c r="E783" s="35" t="str">
        <x:v>xsd:string</x:v>
      </x:c>
      <x:c r="F783" s="35" t="str"/>
      <x:c r="G783" s="38" t="str">
        <x:v>TRF-091</x:v>
      </x:c>
      <x:c r="H783" s="35" t="str">
        <x:v>Benchmark-coined descriptive engineering term</x:v>
      </x:c>
      <x:c r="I783" s="35" t="str">
        <x:v>N5 - component or subject first, followed by characteristic and qualifier/state; no unsupported external mapping</x:v>
      </x:c>
      <x:c r="J783" s="35" t="str">
        <x:v>REUSE_R2_TERM</x:v>
      </x:c>
    </x:row>
    <x:row r="784">
      <x:c r="A784" s="35" t="str">
        <x:v>propellerPitchAtMcrBollard</x:v>
      </x:c>
      <x:c r="B784" s="35" t="str">
        <x:v>https://w3id.org/nltl-benchmark/vocab#propellerPitchAtMcrBollard</x:v>
      </x:c>
      <x:c r="C784" s="35" t="str">
        <x:v>QuantityProperty</x:v>
      </x:c>
      <x:c r="D784" s="35" t="str">
        <x:v>http://qudt.org/schema/qudt/QuantityValue</x:v>
      </x:c>
      <x:c r="E784" s="35" t="str"/>
      <x:c r="F784" s="35" t="str">
        <x:v>m</x:v>
      </x:c>
      <x:c r="G784" s="38" t="str">
        <x:v>TRF-084 | TRF-086</x:v>
      </x:c>
      <x:c r="H784" s="35" t="str">
        <x:v>Benchmark-coined descriptive engineering term</x:v>
      </x:c>
      <x:c r="I784" s="35" t="str">
        <x:v>N5 - component or subject first, followed by characteristic and qualifier/state; no unsupported external mapping</x:v>
      </x:c>
      <x:c r="J784" s="35" t="str">
        <x:v>REUSE_R2_TERM</x:v>
      </x:c>
    </x:row>
    <x:row r="785">
      <x:c r="A785" s="35" t="str">
        <x:v>propellerPitchAtMcrFreeRunning</x:v>
      </x:c>
      <x:c r="B785" s="35" t="str">
        <x:v>https://w3id.org/nltl-benchmark/vocab#propellerPitchAtMcrFreeRunning</x:v>
      </x:c>
      <x:c r="C785" s="35" t="str">
        <x:v>QuantityProperty</x:v>
      </x:c>
      <x:c r="D785" s="35" t="str">
        <x:v>http://qudt.org/schema/qudt/QuantityValue</x:v>
      </x:c>
      <x:c r="E785" s="35" t="str"/>
      <x:c r="F785" s="35" t="str">
        <x:v>m</x:v>
      </x:c>
      <x:c r="G785" s="38" t="str">
        <x:v>TRF-084 | TRF-086</x:v>
      </x:c>
      <x:c r="H785" s="35" t="str">
        <x:v>Benchmark-coined descriptive engineering term</x:v>
      </x:c>
      <x:c r="I785" s="35" t="str">
        <x:v>N5 - component or subject first, followed by characteristic and qualifier/state; no unsupported external mapping</x:v>
      </x:c>
      <x:c r="J785" s="35" t="str">
        <x:v>REUSE_R2_TERM</x:v>
      </x:c>
    </x:row>
    <x:row r="786">
      <x:c r="A786" s="35" t="str">
        <x:v>propellerPitchControlType</x:v>
      </x:c>
      <x:c r="B786" s="35" t="str">
        <x:v>https://w3id.org/nltl-benchmark/vocab#propellerPitchControlType</x:v>
      </x:c>
      <x:c r="C786" s="35" t="str">
        <x:v>ObjectProperty</x:v>
      </x:c>
      <x:c r="D786" s="35" t="str">
        <x:v>https://w3id.org/nltl-benchmark/vocab#propellerPitchControlTypeValue</x:v>
      </x:c>
      <x:c r="E786" s="35" t="str"/>
      <x:c r="F786" s="35" t="str"/>
      <x:c r="G786" s="38" t="str">
        <x:v>TRF-020</x:v>
      </x:c>
      <x:c r="H786" s="35" t="str">
        <x:v>Applicable TRAFICOM regulation wording plus explicit engineering node/operand role</x:v>
      </x:c>
      <x:c r="I786" s="35" t="str">
        <x:v>N5 - ASCII lowerCamelCase relationship; use has + object role when it improves direction clarity.</x:v>
      </x:c>
      <x:c r="J786" s="35" t="str">
        <x:v>ADD_DEVELOPMENT_TERM</x:v>
      </x:c>
    </x:row>
    <x:row r="787">
      <x:c r="A787" s="35" t="str">
        <x:v>propellerPitchControlTypeValue</x:v>
      </x:c>
      <x:c r="B787" s="35" t="str">
        <x:v>https://w3id.org/nltl-benchmark/vocab#propellerPitchControlTypeValue</x:v>
      </x:c>
      <x:c r="C787" s="35" t="str">
        <x:v>Class</x:v>
      </x:c>
      <x:c r="D787" s="35" t="str">
        <x:v>https://w3id.org/nltl-benchmark/vocab#benchmarkEntity</x:v>
      </x:c>
      <x:c r="E787" s="35" t="str"/>
      <x:c r="F787" s="35" t="str"/>
      <x:c r="G787" s="38" t="str">
        <x:v>TRF-020</x:v>
      </x:c>
      <x:c r="H787" s="35" t="str">
        <x:v>Applicable TRAFICOM regulation wording plus explicit engineering node/operand role</x:v>
      </x:c>
      <x:c r="I787" s="35" t="str">
        <x:v>N4 - singular ASCII lowerCamelCase entity name derived from the linked regulatory role.</x:v>
      </x:c>
      <x:c r="J787" s="35" t="str">
        <x:v>ADD_DEVELOPMENT_TERM</x:v>
      </x:c>
    </x:row>
    <x:row r="788">
      <x:c r="A788" s="35" t="str">
        <x:v>propellerPowerFraction</x:v>
      </x:c>
      <x:c r="B788" s="35" t="str">
        <x:v>https://w3id.org/nltl-benchmark/vocab#propellerPowerFraction</x:v>
      </x:c>
      <x:c r="C788" s="35" t="str">
        <x:v>QuantityProperty</x:v>
      </x:c>
      <x:c r="D788" s="35" t="str">
        <x:v>http://qudt.org/schema/qudt/QuantityValue</x:v>
      </x:c>
      <x:c r="E788" s="35" t="str"/>
      <x:c r="F788" s="35" t="str">
        <x:v>1</x:v>
      </x:c>
      <x:c r="G788" s="38" t="str">
        <x:v>TRF-119</x:v>
      </x:c>
      <x:c r="H788" s="35" t="str">
        <x:v>Benchmark-coined descriptive engineering term</x:v>
      </x:c>
      <x:c r="I788" s="35" t="str">
        <x:v>N5 - component or subject first, followed by characteristic and qualifier/state; no unsupported external mapping</x:v>
      </x:c>
      <x:c r="J788" s="35" t="str">
        <x:v>REUSE_R2_TERM</x:v>
      </x:c>
    </x:row>
    <x:row r="789">
      <x:c r="A789" s="35" t="str">
        <x:v>propellerReversingCapability</x:v>
      </x:c>
      <x:c r="B789" s="35" t="str">
        <x:v>https://w3id.org/nltl-benchmark/vocab#propellerReversingCapability</x:v>
      </x:c>
      <x:c r="C789" s="35" t="str">
        <x:v>DatatypeProperty</x:v>
      </x:c>
      <x:c r="D789" s="35" t="str">
        <x:v>http://www.w3.org/2001/XMLSchema#boolean</x:v>
      </x:c>
      <x:c r="E789" s="35" t="str">
        <x:v>xsd:boolean</x:v>
      </x:c>
      <x:c r="F789" s="35" t="str"/>
      <x:c r="G789" s="38" t="str">
        <x:v>TRF-076</x:v>
      </x:c>
      <x:c r="H789" s="35" t="str">
        <x:v>Benchmark-coined descriptive engineering term</x:v>
      </x:c>
      <x:c r="I789" s="35" t="str">
        <x:v>N5 - component or subject first, followed by characteristic and qualifier/state; no unsupported external mapping</x:v>
      </x:c>
      <x:c r="J789" s="35" t="str">
        <x:v>REUSE_R2_TERM</x:v>
      </x:c>
    </x:row>
    <x:row r="790">
      <x:c r="A790" s="35" t="str">
        <x:v>propellerRotationalSpeedAtMaximumContinuousRatingBollard</x:v>
      </x:c>
      <x:c r="B790" s="35" t="str">
        <x:v>https://w3id.org/nltl-benchmark/vocab#propellerRotationalSpeedAtMaximumContinuousRatingBollard</x:v>
      </x:c>
      <x:c r="C790" s="35" t="str">
        <x:v>QuantityProperty</x:v>
      </x:c>
      <x:c r="D790" s="35" t="str">
        <x:v>http://qudt.org/schema/qudt/QuantityValue</x:v>
      </x:c>
      <x:c r="E790" s="35" t="str"/>
      <x:c r="F790" s="35" t="str">
        <x:v>rev/min</x:v>
      </x:c>
      <x:c r="G790" s="38" t="str">
        <x:v>TRF-083 | TRF-085</x:v>
      </x:c>
      <x:c r="H790" s="35" t="str">
        <x:v>Benchmark-coined descriptive engineering term</x:v>
      </x:c>
      <x:c r="I790" s="35" t="str">
        <x:v>N5 - component or subject first, followed by characteristic and qualifier/state; no unsupported external mapping</x:v>
      </x:c>
      <x:c r="J790" s="35" t="str">
        <x:v>REUSE_R2_TERM</x:v>
      </x:c>
    </x:row>
    <x:row r="791">
      <x:c r="A791" s="35" t="str">
        <x:v>propellerShaftDesignThrust</x:v>
      </x:c>
      <x:c r="B791" s="35" t="str">
        <x:v>https://w3id.org/nltl-benchmark/vocab#propellerShaftDesignThrust</x:v>
      </x:c>
      <x:c r="C791" s="35" t="str">
        <x:v>QuantityProperty</x:v>
      </x:c>
      <x:c r="D791" s="35" t="str">
        <x:v>http://qudt.org/schema/qudt/QuantityValue</x:v>
      </x:c>
      <x:c r="E791" s="35" t="str"/>
      <x:c r="F791" s="35" t="str">
        <x:v>kN</x:v>
      </x:c>
      <x:c r="G791" s="38" t="str">
        <x:v>TRF-081</x:v>
      </x:c>
      <x:c r="H791" s="35" t="str">
        <x:v>Unit-stripped normalized regulatory variable</x:v>
      </x:c>
      <x:c r="I791" s="35" t="str">
        <x:v>N3 - remove unit from the identifier and retain it in unit/quantity metadata</x:v>
      </x:c>
      <x:c r="J791" s="35" t="str">
        <x:v>REUSE_R2_TERM</x:v>
      </x:c>
    </x:row>
    <x:row r="792">
      <x:c r="A792" s="35" t="str">
        <x:v>propellerType</x:v>
      </x:c>
      <x:c r="B792" s="35" t="str">
        <x:v>https://w3id.org/nltl-benchmark/vocab#propellerType</x:v>
      </x:c>
      <x:c r="C792" s="35" t="str">
        <x:v>DatatypeProperty</x:v>
      </x:c>
      <x:c r="D792" s="35" t="str">
        <x:v>http://www.w3.org/2001/XMLSchema#string</x:v>
      </x:c>
      <x:c r="E792" s="35" t="str">
        <x:v>xsd:string</x:v>
      </x:c>
      <x:c r="F792" s="35" t="str"/>
      <x:c r="G792" s="38" t="str">
        <x:v>TRF-069 | TRF-076 | TRF-077 | TRF-084 | TRF-086</x:v>
      </x:c>
      <x:c r="H792" s="35" t="str">
        <x:v>Verified exact implementation term</x:v>
      </x:c>
      <x:c r="I792" s="35" t="str">
        <x:v>N1 - reuse only after exact URI and semantic-context verification</x:v>
      </x:c>
      <x:c r="J792" s="35" t="str">
        <x:v>REUSE_R2_TERM</x:v>
      </x:c>
    </x:row>
    <x:row r="793">
      <x:c r="A793" s="35" t="str">
        <x:v>propulsionEngineReversedForAstern</x:v>
      </x:c>
      <x:c r="B793" s="35" t="str">
        <x:v>https://w3id.org/nltl-benchmark/vocab#propulsionEngineReversedForAstern</x:v>
      </x:c>
      <x:c r="C793" s="35" t="str">
        <x:v>DatatypeProperty</x:v>
      </x:c>
      <x:c r="D793" s="35" t="str">
        <x:v>http://www.w3.org/2001/XMLSchema#boolean</x:v>
      </x:c>
      <x:c r="E793" s="35" t="str">
        <x:v>xsd:boolean</x:v>
      </x:c>
      <x:c r="F793" s="35" t="str"/>
      <x:c r="G793" s="38" t="str">
        <x:v>TRF-126</x:v>
      </x:c>
      <x:c r="H793" s="35" t="str">
        <x:v>Benchmark-coined descriptive engineering term</x:v>
      </x:c>
      <x:c r="I793" s="35" t="str">
        <x:v>N5 - component or subject first, followed by characteristic and qualifier/state; no unsupported external mapping</x:v>
      </x:c>
      <x:c r="J793" s="35" t="str">
        <x:v>REUSE_R2_TERM</x:v>
      </x:c>
    </x:row>
    <x:row r="794">
      <x:c r="A794" s="35" t="str">
        <x:v>propulsionLineStrengthEvaluation</x:v>
      </x:c>
      <x:c r="B794" s="35" t="str">
        <x:v>https://w3id.org/nltl-benchmark/vocab#propulsionLineStrengthEvaluation</x:v>
      </x:c>
      <x:c r="C794" s="35" t="str">
        <x:v>DatatypeProperty</x:v>
      </x:c>
      <x:c r="D794" s="35" t="str">
        <x:v>http://www.w3.org/2001/XMLSchema#string</x:v>
      </x:c>
      <x:c r="E794" s="35" t="str">
        <x:v>xsd:string</x:v>
      </x:c>
      <x:c r="F794" s="35" t="str"/>
      <x:c r="G794" s="38" t="str">
        <x:v>TRF-091</x:v>
      </x:c>
      <x:c r="H794" s="35" t="str">
        <x:v>Benchmark-coined descriptive engineering term</x:v>
      </x:c>
      <x:c r="I794" s="35" t="str">
        <x:v>N5 - component or subject first, followed by characteristic and qualifier/state; no unsupported external mapping</x:v>
      </x:c>
      <x:c r="J794" s="35" t="str">
        <x:v>REUSE_R2_TERM</x:v>
      </x:c>
    </x:row>
    <x:row r="795">
      <x:c r="A795" s="35" t="str">
        <x:v>propulsionMachineryContinuousOutput</x:v>
      </x:c>
      <x:c r="B795" s="35" t="str">
        <x:v>https://w3id.org/nltl-benchmark/vocab#propulsionMachineryContinuousOutput</x:v>
      </x:c>
      <x:c r="C795" s="35" t="str">
        <x:v>QuantityProperty</x:v>
      </x:c>
      <x:c r="D795" s="35" t="str">
        <x:v>http://qudt.org/schema/qudt/QuantityValue</x:v>
      </x:c>
      <x:c r="E795" s="35" t="str"/>
      <x:c r="F795" s="35" t="str">
        <x:v>kW</x:v>
      </x:c>
      <x:c r="G795" s="38" t="str">
        <x:v>TRF-017</x:v>
      </x:c>
      <x:c r="H795" s="35" t="str">
        <x:v>Applicable TRAFICOM regulation wording plus explicit engineering node/operand role</x:v>
      </x:c>
      <x:c r="I795" s="35" t="str">
        <x:v>N4 - explicit engineering quantity in ASCII lowerCamelCase; formula symbols remain aliases only.</x:v>
      </x:c>
      <x:c r="J795" s="35" t="str">
        <x:v>ADD_DEVELOPMENT_TERM</x:v>
      </x:c>
    </x:row>
    <x:row r="796">
      <x:c r="A796" s="35" t="str">
        <x:v>propulsionOutputRestrictionApplies</x:v>
      </x:c>
      <x:c r="B796" s="35" t="str">
        <x:v>https://w3id.org/nltl-benchmark/vocab#propulsionOutputRestrictionApplies</x:v>
      </x:c>
      <x:c r="C796" s="35" t="str">
        <x:v>DatatypeProperty</x:v>
      </x:c>
      <x:c r="D796" s="35" t="str">
        <x:v>http://www.w3.org/2001/XMLSchema#boolean</x:v>
      </x:c>
      <x:c r="E796" s="35" t="str">
        <x:v>xsd:boolean</x:v>
      </x:c>
      <x:c r="F796" s="35" t="str"/>
      <x:c r="G796" s="38" t="str">
        <x:v>TRF-017</x:v>
      </x:c>
      <x:c r="H796" s="35" t="str">
        <x:v>Applicable TRAFICOM regulation wording plus explicit engineering node/operand role</x:v>
      </x:c>
      <x:c r="I796" s="35" t="str">
        <x:v>N4 - explicit regulatory concept in ASCII lowerCamelCase with an XSD datatype.</x:v>
      </x:c>
      <x:c r="J796" s="35" t="str">
        <x:v>ADD_DEVELOPMENT_TERM</x:v>
      </x:c>
    </x:row>
    <x:row r="797">
      <x:c r="A797" s="35" t="str">
        <x:v>propulsionSystemType</x:v>
      </x:c>
      <x:c r="B797" s="35" t="str">
        <x:v>https://w3id.org/nltl-benchmark/vocab#propulsionSystemType</x:v>
      </x:c>
      <x:c r="C797" s="35" t="str">
        <x:v>ObjectProperty</x:v>
      </x:c>
      <x:c r="D797" s="35" t="str">
        <x:v>https://w3id.org/nltl-benchmark/vocab#propulsionSystemTypeValue</x:v>
      </x:c>
      <x:c r="E797" s="35" t="str"/>
      <x:c r="F797" s="35" t="str"/>
      <x:c r="G797" s="38" t="str">
        <x:v>TRF-020</x:v>
      </x:c>
      <x:c r="H797" s="35" t="str">
        <x:v>Applicable TRAFICOM regulation wording plus explicit engineering node/operand role</x:v>
      </x:c>
      <x:c r="I797" s="35" t="str">
        <x:v>N5 - ASCII lowerCamelCase relationship; use has + object role when it improves direction clarity.</x:v>
      </x:c>
      <x:c r="J797" s="35" t="str">
        <x:v>ADD_DEVELOPMENT_TERM</x:v>
      </x:c>
    </x:row>
    <x:row r="798">
      <x:c r="A798" s="35" t="str">
        <x:v>propulsionSystemTypeValue</x:v>
      </x:c>
      <x:c r="B798" s="35" t="str">
        <x:v>https://w3id.org/nltl-benchmark/vocab#propulsionSystemTypeValue</x:v>
      </x:c>
      <x:c r="C798" s="35" t="str">
        <x:v>Class</x:v>
      </x:c>
      <x:c r="D798" s="35" t="str">
        <x:v>https://w3id.org/nltl-benchmark/vocab#benchmarkEntity</x:v>
      </x:c>
      <x:c r="E798" s="35" t="str"/>
      <x:c r="F798" s="35" t="str"/>
      <x:c r="G798" s="38" t="str">
        <x:v>TRF-020</x:v>
      </x:c>
      <x:c r="H798" s="35" t="str">
        <x:v>Applicable TRAFICOM regulation wording plus explicit engineering node/operand role</x:v>
      </x:c>
      <x:c r="I798" s="35" t="str">
        <x:v>N4 - singular ASCII lowerCamelCase entity name derived from the linked regulatory role.</x:v>
      </x:c>
      <x:c r="J798" s="35" t="str">
        <x:v>ADD_DEVELOPMENT_TERM</x:v>
      </x:c>
    </x:row>
    <x:row r="799">
      <x:c r="A799" s="35" t="str">
        <x:v>protectedLocationOrEquipment</x:v>
      </x:c>
      <x:c r="B799" s="35" t="str">
        <x:v>https://w3id.org/nltl-benchmark/vocab#protectedLocationOrEquipment</x:v>
      </x:c>
      <x:c r="C799" s="35" t="str">
        <x:v>DatatypeProperty</x:v>
      </x:c>
      <x:c r="D799" s="35" t="str">
        <x:v>http://www.w3.org/2001/XMLSchema#string</x:v>
      </x:c>
      <x:c r="E799" s="35" t="str">
        <x:v>xsd:string</x:v>
      </x:c>
      <x:c r="F799" s="35" t="str"/>
      <x:c r="G799" s="38" t="str">
        <x:v>IMO-066</x:v>
      </x:c>
      <x:c r="H799" s="35" t="str">
        <x:v>Locked-workbook normalized regulatory term</x:v>
      </x:c>
      <x:c r="I799" s="35" t="str">
        <x:v>N4 - preserve the source concept; normalize spelling to ASCII lowerCamelCase</x:v>
      </x:c>
      <x:c r="J799" s="35" t="str">
        <x:v>REUSE_R2_TERM</x:v>
      </x:c>
    </x:row>
    <x:row r="800">
      <x:c r="A800" s="35" t="str">
        <x:v>pstAvailabilityEffectivenessTestTemperature</x:v>
      </x:c>
      <x:c r="B800" s="35" t="str">
        <x:v>https://w3id.org/nltl-benchmark/vocab#pstAvailabilityEffectivenessTestTemperature</x:v>
      </x:c>
      <x:c r="C800" s="35" t="str">
        <x:v>QuantityProperty</x:v>
      </x:c>
      <x:c r="D800" s="35" t="str">
        <x:v>http://qudt.org/schema/qudt/QuantityValue</x:v>
      </x:c>
      <x:c r="E800" s="35" t="str"/>
      <x:c r="F800" s="35" t="str">
        <x:v>deg C</x:v>
      </x:c>
      <x:c r="G800" s="38" t="str">
        <x:v>IMO-054</x:v>
      </x:c>
      <x:c r="H800" s="35" t="str">
        <x:v>Unit-stripped normalized regulatory variable</x:v>
      </x:c>
      <x:c r="I800" s="35" t="str">
        <x:v>N3 - remove unit from the identifier and retain it in unit/quantity metadata</x:v>
      </x:c>
      <x:c r="J800" s="35" t="str">
        <x:v>REUSE_R2_TERM</x:v>
      </x:c>
    </x:row>
    <x:row r="801">
      <x:c r="A801" s="35" t="str">
        <x:v>pstTestStatus</x:v>
      </x:c>
      <x:c r="B801" s="35" t="str">
        <x:v>https://w3id.org/nltl-benchmark/vocab#pstTestStatus</x:v>
      </x:c>
      <x:c r="C801" s="35" t="str">
        <x:v>DatatypeProperty</x:v>
      </x:c>
      <x:c r="D801" s="35" t="str">
        <x:v>http://www.w3.org/2001/XMLSchema#boolean</x:v>
      </x:c>
      <x:c r="E801" s="35" t="str">
        <x:v>xsd:boolean</x:v>
      </x:c>
      <x:c r="F801" s="35" t="str"/>
      <x:c r="G801" s="38" t="str">
        <x:v>IMO-054</x:v>
      </x:c>
      <x:c r="H801" s="35" t="str">
        <x:v>Locked-workbook normalized regulatory term</x:v>
      </x:c>
      <x:c r="I801" s="35" t="str">
        <x:v>N4 - preserve the source concept; normalize spelling to ASCII lowerCamelCase</x:v>
      </x:c>
      <x:c r="J801" s="35" t="str">
        <x:v>REUSE_R2_TERM</x:v>
      </x:c>
    </x:row>
    <x:row r="802">
      <x:c r="A802" s="35" t="str">
        <x:v>pyramidStrengthPrinciple</x:v>
      </x:c>
      <x:c r="B802" s="35" t="str">
        <x:v>https://w3id.org/nltl-benchmark/vocab#pyramidStrengthPrinciple</x:v>
      </x:c>
      <x:c r="C802" s="35" t="str">
        <x:v>DatatypeProperty</x:v>
      </x:c>
      <x:c r="D802" s="35" t="str">
        <x:v>http://www.w3.org/2001/XMLSchema#string</x:v>
      </x:c>
      <x:c r="E802" s="35" t="str">
        <x:v>xsd:string</x:v>
      </x:c>
      <x:c r="F802" s="35" t="str"/>
      <x:c r="G802" s="38" t="str">
        <x:v>TRF-104</x:v>
      </x:c>
      <x:c r="H802" s="35" t="str">
        <x:v>Benchmark-coined descriptive engineering term</x:v>
      </x:c>
      <x:c r="I802" s="35" t="str">
        <x:v>N5 - component or subject first, followed by characteristic and qualifier/state; no unsupported external mapping</x:v>
      </x:c>
      <x:c r="J802" s="35" t="str">
        <x:v>REUSE_R2_TERM</x:v>
      </x:c>
    </x:row>
    <x:row r="803">
      <x:c r="A803" s="35" t="str">
        <x:v>qualifyingSurveyType</x:v>
      </x:c>
      <x:c r="B803" s="35" t="str">
        <x:v>https://w3id.org/nltl-benchmark/vocab#qualifyingSurveyType</x:v>
      </x:c>
      <x:c r="C803" s="35" t="str">
        <x:v>DatatypeProperty</x:v>
      </x:c>
      <x:c r="D803" s="35" t="str">
        <x:v>http://www.w3.org/2001/XMLSchema#string</x:v>
      </x:c>
      <x:c r="E803" s="35" t="str">
        <x:v>xsd:string</x:v>
      </x:c>
      <x:c r="F803" s="35" t="str"/>
      <x:c r="G803" s="38" t="str">
        <x:v>IMO-015</x:v>
      </x:c>
      <x:c r="H803" s="35" t="str">
        <x:v>Locked-workbook normalized regulatory term</x:v>
      </x:c>
      <x:c r="I803" s="35" t="str">
        <x:v>N4 - preserve the source concept; normalize spelling to ASCII lowerCamelCase</x:v>
      </x:c>
      <x:c r="J803" s="35" t="str">
        <x:v>REUSE_R2_TERM</x:v>
      </x:c>
    </x:row>
    <x:row r="804">
      <x:c r="A804" s="35" t="str">
        <x:v>reachesTankTopOrBelowFloorTop</x:v>
      </x:c>
      <x:c r="B804" s="35" t="str">
        <x:v>https://w3id.org/nltl-benchmark/vocab#reachesTankTopOrBelowFloorTop</x:v>
      </x:c>
      <x:c r="C804" s="35" t="str">
        <x:v>DatatypeProperty</x:v>
      </x:c>
      <x:c r="D804" s="35" t="str">
        <x:v>http://www.w3.org/2001/XMLSchema#boolean</x:v>
      </x:c>
      <x:c r="E804" s="35" t="str">
        <x:v>xsd:boolean</x:v>
      </x:c>
      <x:c r="F804" s="35" t="str"/>
      <x:c r="G804" s="38" t="str">
        <x:v>TRF-043</x:v>
      </x:c>
      <x:c r="H804" s="35" t="str">
        <x:v>Applicable TRAFICOM regulation wording plus explicit engineering node/operand role</x:v>
      </x:c>
      <x:c r="I804" s="35" t="str">
        <x:v>N4 - explicit regulatory concept in ASCII lowerCamelCase with an XSD datatype.</x:v>
      </x:c>
      <x:c r="J804" s="35" t="str">
        <x:v>ADD_DEVELOPMENT_TERM</x:v>
      </x:c>
    </x:row>
    <x:row r="805">
      <x:c r="A805" s="35" t="str">
        <x:v>reachesUpperBowIceBeltTop</x:v>
      </x:c>
      <x:c r="B805" s="35" t="str">
        <x:v>https://w3id.org/nltl-benchmark/vocab#reachesUpperBowIceBeltTop</x:v>
      </x:c>
      <x:c r="C805" s="35" t="str">
        <x:v>DatatypeProperty</x:v>
      </x:c>
      <x:c r="D805" s="35" t="str">
        <x:v>http://www.w3.org/2001/XMLSchema#boolean</x:v>
      </x:c>
      <x:c r="E805" s="35" t="str">
        <x:v>xsd:boolean</x:v>
      </x:c>
      <x:c r="F805" s="35" t="str"/>
      <x:c r="G805" s="38" t="str">
        <x:v>TRF-043</x:v>
      </x:c>
      <x:c r="H805" s="35" t="str">
        <x:v>Applicable TRAFICOM regulation wording plus explicit engineering node/operand role</x:v>
      </x:c>
      <x:c r="I805" s="35" t="str">
        <x:v>N4 - explicit regulatory concept in ASCII lowerCamelCase with an XSD datatype.</x:v>
      </x:c>
      <x:c r="J805" s="35" t="str">
        <x:v>ADD_DEVELOPMENT_TERM</x:v>
      </x:c>
    </x:row>
    <x:row r="806">
      <x:c r="A806" s="35" t="str">
        <x:v>readilyAvailableToMaster</x:v>
      </x:c>
      <x:c r="B806" s="35" t="str">
        <x:v>https://w3id.org/nltl-benchmark/vocab#readilyAvailableToMaster</x:v>
      </x:c>
      <x:c r="C806" s="35" t="str">
        <x:v>DatatypeProperty</x:v>
      </x:c>
      <x:c r="D806" s="35" t="str">
        <x:v>http://www.w3.org/2001/XMLSchema#boolean</x:v>
      </x:c>
      <x:c r="E806" s="35" t="str">
        <x:v>xsd:boolean</x:v>
      </x:c>
      <x:c r="F806" s="35" t="str"/>
      <x:c r="G806" s="38" t="str">
        <x:v>TRF-014</x:v>
      </x:c>
      <x:c r="H806" s="35" t="str">
        <x:v>Applicable TRAFICOM regulation wording plus explicit engineering node/operand role</x:v>
      </x:c>
      <x:c r="I806" s="35" t="str">
        <x:v>N4 - explicit regulatory concept in ASCII lowerCamelCase with an XSD datatype.</x:v>
      </x:c>
      <x:c r="J806" s="35" t="str">
        <x:v>ADD_DEVELOPMENT_TERM</x:v>
      </x:c>
    </x:row>
    <x:row r="807">
      <x:c r="A807" s="35" t="str">
        <x:v>recommendedChestVolume</x:v>
      </x:c>
      <x:c r="B807" s="35" t="str">
        <x:v>https://w3id.org/nltl-benchmark/vocab#recommendedChestVolume</x:v>
      </x:c>
      <x:c r="C807" s="35" t="str">
        <x:v>QuantityProperty</x:v>
      </x:c>
      <x:c r="D807" s="35" t="str">
        <x:v>http://qudt.org/schema/qudt/QuantityValue</x:v>
      </x:c>
      <x:c r="E807" s="35" t="str"/>
      <x:c r="F807" s="35" t="str">
        <x:v>m^3</x:v>
      </x:c>
      <x:c r="G807" s="38" t="str">
        <x:v>TRF-130</x:v>
      </x:c>
      <x:c r="H807" s="35" t="str">
        <x:v>Unit-stripped normalized regulatory variable</x:v>
      </x:c>
      <x:c r="I807" s="35" t="str">
        <x:v>N3 - remove unit from the identifier and retain it in unit/quantity metadata</x:v>
      </x:c>
      <x:c r="J807" s="35" t="str">
        <x:v>REUSE_R2_TERM</x:v>
      </x:c>
    </x:row>
    <x:row r="808">
      <x:c r="A808" s="35" t="str">
        <x:v>reducedBladeFatigueStrength</x:v>
      </x:c>
      <x:c r="B808" s="35" t="str">
        <x:v>https://w3id.org/nltl-benchmark/vocab#reducedBladeFatigueStrength</x:v>
      </x:c>
      <x:c r="C808" s="35" t="str">
        <x:v>QuantityProperty</x:v>
      </x:c>
      <x:c r="D808" s="35" t="str">
        <x:v>http://qudt.org/schema/qudt/QuantityValue</x:v>
      </x:c>
      <x:c r="E808" s="35" t="str"/>
      <x:c r="F808" s="35" t="str">
        <x:v>MPa</x:v>
      </x:c>
      <x:c r="G808" s="38" t="str">
        <x:v>TRF-110</x:v>
      </x:c>
      <x:c r="H808" s="35" t="str">
        <x:v>Regulatory symbol expanded from a directly verified definition</x:v>
      </x:c>
      <x:c r="I808" s="35" t="str">
        <x:v>N2 - replace formula symbol with its clause-defined engineering meaning; preserve symbol as alias</x:v>
      </x:c>
      <x:c r="J808" s="35" t="str">
        <x:v>REUSE_R2_TERM</x:v>
      </x:c>
    </x:row>
    <x:row r="809">
      <x:c r="A809" s="35" t="str">
        <x:v>reducedLineLoadApprovedByClassificationSociety</x:v>
      </x:c>
      <x:c r="B809" s="35" t="str">
        <x:v>https://w3id.org/nltl-benchmark/vocab#reducedLineLoadApprovedByClassificationSociety</x:v>
      </x:c>
      <x:c r="C809" s="35" t="str">
        <x:v>DatatypeProperty</x:v>
      </x:c>
      <x:c r="D809" s="35" t="str">
        <x:v>http://www.w3.org/2001/XMLSchema#boolean</x:v>
      </x:c>
      <x:c r="E809" s="35" t="str">
        <x:v>xsd:boolean</x:v>
      </x:c>
      <x:c r="F809" s="35" t="str"/>
      <x:c r="G809" s="38" t="str">
        <x:v>TRF-055</x:v>
      </x:c>
      <x:c r="H809" s="35" t="str">
        <x:v>Applicable TRAFICOM regulation wording plus explicit engineering node/operand role</x:v>
      </x:c>
      <x:c r="I809" s="35" t="str">
        <x:v>N4 - explicit regulatory concept in ASCII lowerCamelCase with an XSD datatype.</x:v>
      </x:c>
      <x:c r="J809" s="35" t="str">
        <x:v>ADD_DEVELOPMENT_TERM</x:v>
      </x:c>
    </x:row>
    <x:row r="810">
      <x:c r="A810" s="35" t="str">
        <x:v>regulationDerivedScantling</x:v>
      </x:c>
      <x:c r="B810" s="35" t="str">
        <x:v>https://w3id.org/nltl-benchmark/vocab#regulationDerivedScantling</x:v>
      </x:c>
      <x:c r="C810" s="35" t="str">
        <x:v>DatatypeProperty</x:v>
      </x:c>
      <x:c r="D810" s="35" t="str">
        <x:v>http://www.w3.org/2001/XMLSchema#string</x:v>
      </x:c>
      <x:c r="E810" s="35" t="str">
        <x:v>xsd:string</x:v>
      </x:c>
      <x:c r="F810" s="35" t="str"/>
      <x:c r="G810" s="38" t="str">
        <x:v>TRF-032</x:v>
      </x:c>
      <x:c r="H810" s="35" t="str">
        <x:v>Benchmark-coined descriptive engineering term</x:v>
      </x:c>
      <x:c r="I810" s="35" t="str">
        <x:v>N5 - component or subject first, followed by characteristic and qualifier/state; no unsupported external mapping</x:v>
      </x:c>
      <x:c r="J810" s="35" t="str">
        <x:v>REUSE_R2_TERM</x:v>
      </x:c>
    </x:row>
    <x:row r="811">
      <x:c r="A811" s="35" t="str">
        <x:v>regulationRequiredScantling</x:v>
      </x:c>
      <x:c r="B811" s="35" t="str">
        <x:v>https://w3id.org/nltl-benchmark/vocab#regulationRequiredScantling</x:v>
      </x:c>
      <x:c r="C811" s="35" t="str">
        <x:v>QuantityProperty</x:v>
      </x:c>
      <x:c r="D811" s="35" t="str">
        <x:v>http://qudt.org/schema/qudt/QuantityValue</x:v>
      </x:c>
      <x:c r="E811" s="35" t="str"/>
      <x:c r="F811" s="35" t="str"/>
      <x:c r="G811" s="38" t="str">
        <x:v>TRF-032</x:v>
      </x:c>
      <x:c r="H811" s="35" t="str">
        <x:v>Applicable TRAFICOM regulation wording plus explicit engineering node/operand role</x:v>
      </x:c>
      <x:c r="I811" s="35" t="str">
        <x:v>N4 - explicit engineering quantity in ASCII lowerCamelCase; formula symbols remain aliases only.</x:v>
      </x:c>
      <x:c r="J811" s="35" t="str">
        <x:v>ADD_DEVELOPMENT_TERM</x:v>
      </x:c>
    </x:row>
    <x:row r="812">
      <x:c r="A812" s="35" t="str">
        <x:v>releasedRescueBoatOrLifeboat</x:v>
      </x:c>
      <x:c r="B812" s="35" t="str">
        <x:v>https://w3id.org/nltl-benchmark/vocab#releasedRescueBoatOrLifeboat</x:v>
      </x:c>
      <x:c r="C812" s="35" t="str">
        <x:v>DatatypeProperty</x:v>
      </x:c>
      <x:c r="D812" s="35" t="str">
        <x:v>http://www.w3.org/2001/XMLSchema#boolean</x:v>
      </x:c>
      <x:c r="E812" s="35" t="str">
        <x:v>xsd:boolean</x:v>
      </x:c>
      <x:c r="F812" s="35" t="str"/>
      <x:c r="G812" s="38" t="str">
        <x:v>IMO-097</x:v>
      </x:c>
      <x:c r="H812" s="35" t="str">
        <x:v>Locked-workbook normalized regulatory term</x:v>
      </x:c>
      <x:c r="I812" s="35" t="str">
        <x:v>N4 - preserve the source concept; normalize spelling to ASCII lowerCamelCase</x:v>
      </x:c>
      <x:c r="J812" s="35" t="str">
        <x:v>REUSE_R2_TERM</x:v>
      </x:c>
    </x:row>
    <x:row r="813">
      <x:c r="A813" s="35" t="str">
        <x:v>relevantHatchOrDoor</x:v>
      </x:c>
      <x:c r="B813" s="35" t="str">
        <x:v>https://w3id.org/nltl-benchmark/vocab#relevantHatchOrDoor</x:v>
      </x:c>
      <x:c r="C813" s="35" t="str">
        <x:v>DatatypeProperty</x:v>
      </x:c>
      <x:c r="D813" s="35" t="str">
        <x:v>http://www.w3.org/2001/XMLSchema#string</x:v>
      </x:c>
      <x:c r="E813" s="35" t="str">
        <x:v>xsd:string</x:v>
      </x:c>
      <x:c r="F813" s="35" t="str"/>
      <x:c r="G813" s="38" t="str">
        <x:v>IMO-040</x:v>
      </x:c>
      <x:c r="H813" s="35" t="str">
        <x:v>Locked-workbook normalized regulatory term</x:v>
      </x:c>
      <x:c r="I813" s="35" t="str">
        <x:v>N4 - preserve the source concept; normalize spelling to ASCII lowerCamelCase</x:v>
      </x:c>
      <x:c r="J813" s="35" t="str">
        <x:v>REUSE_R2_TERM</x:v>
      </x:c>
    </x:row>
    <x:row r="814">
      <x:c r="A814" s="35" t="str">
        <x:v>relevantPolarWaterOperationalManualProcedureOrEquipment</x:v>
      </x:c>
      <x:c r="B814" s="35" t="str">
        <x:v>https://w3id.org/nltl-benchmark/vocab#relevantPolarWaterOperationalManualProcedureOrEquipment</x:v>
      </x:c>
      <x:c r="C814" s="35" t="str">
        <x:v>DatatypeProperty</x:v>
      </x:c>
      <x:c r="D814" s="35" t="str">
        <x:v>http://www.w3.org/2001/XMLSchema#string</x:v>
      </x:c>
      <x:c r="E814" s="35" t="str">
        <x:v>xsd:string</x:v>
      </x:c>
      <x:c r="F814" s="35" t="str"/>
      <x:c r="G814" s="38" t="str">
        <x:v>IMO-104</x:v>
      </x:c>
      <x:c r="H814" s="35" t="str">
        <x:v>Locked-workbook normalized regulatory term</x:v>
      </x:c>
      <x:c r="I814" s="35" t="str">
        <x:v>N4 - preserve the source concept; normalize spelling to ASCII lowerCamelCase</x:v>
      </x:c>
      <x:c r="J814" s="35" t="str">
        <x:v>REUSE_R2_TERM</x:v>
      </x:c>
    </x:row>
    <x:row r="815">
      <x:c r="A815" s="35" t="str">
        <x:v>repairRequired</x:v>
      </x:c>
      <x:c r="B815" s="35" t="str">
        <x:v>https://w3id.org/nltl-benchmark/vocab#repairRequired</x:v>
      </x:c>
      <x:c r="C815" s="35" t="str">
        <x:v>DatatypeProperty</x:v>
      </x:c>
      <x:c r="D815" s="35" t="str">
        <x:v>http://www.w3.org/2001/XMLSchema#boolean</x:v>
      </x:c>
      <x:c r="E815" s="35" t="str">
        <x:v>xsd:boolean</x:v>
      </x:c>
      <x:c r="F815" s="35" t="str"/>
      <x:c r="G815" s="38" t="str">
        <x:v>TRF-118</x:v>
      </x:c>
      <x:c r="H815" s="35" t="str">
        <x:v>Benchmark-coined descriptive engineering term</x:v>
      </x:c>
      <x:c r="I815" s="35" t="str">
        <x:v>N5 - component or subject first, followed by characteristic and qualifier/state; no unsupported external mapping</x:v>
      </x:c>
      <x:c r="J815" s="35" t="str">
        <x:v>REUSE_R2_TERM</x:v>
      </x:c>
    </x:row>
    <x:row r="816">
      <x:c r="A816" s="35" t="str">
        <x:v>requiredAccess</x:v>
      </x:c>
      <x:c r="B816" s="35" t="str">
        <x:v>https://w3id.org/nltl-benchmark/vocab#requiredAccess</x:v>
      </x:c>
      <x:c r="C816" s="35" t="str">
        <x:v>DatatypeProperty</x:v>
      </x:c>
      <x:c r="D816" s="35" t="str">
        <x:v>http://www.w3.org/2001/XMLSchema#string</x:v>
      </x:c>
      <x:c r="E816" s="35" t="str">
        <x:v>xsd:string</x:v>
      </x:c>
      <x:c r="F816" s="35" t="str"/>
      <x:c r="G816" s="38" t="str">
        <x:v>IMO-052</x:v>
      </x:c>
      <x:c r="H816" s="35" t="str">
        <x:v>Locked-workbook normalized regulatory term</x:v>
      </x:c>
      <x:c r="I816" s="35" t="str">
        <x:v>N4 - preserve the source concept; normalize spelling to ASCII lowerCamelCase</x:v>
      </x:c>
      <x:c r="J816" s="35" t="str">
        <x:v>REUSE_R2_TERM</x:v>
      </x:c>
    </x:row>
    <x:row r="817">
      <x:c r="A817" s="35" t="str">
        <x:v>requiredEquipmentOperation</x:v>
      </x:c>
      <x:c r="B817" s="35" t="str">
        <x:v>https://w3id.org/nltl-benchmark/vocab#requiredEquipmentOperation</x:v>
      </x:c>
      <x:c r="C817" s="35" t="str">
        <x:v>DatatypeProperty</x:v>
      </x:c>
      <x:c r="D817" s="35" t="str">
        <x:v>http://www.w3.org/2001/XMLSchema#string</x:v>
      </x:c>
      <x:c r="E817" s="35" t="str">
        <x:v>xsd:string</x:v>
      </x:c>
      <x:c r="F817" s="35" t="str"/>
      <x:c r="G817" s="38" t="str">
        <x:v>IMO-027</x:v>
      </x:c>
      <x:c r="H817" s="35" t="str">
        <x:v>Locked-workbook normalized regulatory term</x:v>
      </x:c>
      <x:c r="I817" s="35" t="str">
        <x:v>N4 - preserve the source concept; normalize spelling to ASCII lowerCamelCase</x:v>
      </x:c>
      <x:c r="J817" s="35" t="str">
        <x:v>REUSE_R2_TERM</x:v>
      </x:c>
    </x:row>
    <x:row r="818">
      <x:c r="A818" s="35" t="str">
        <x:v>requiredEquipmentRecords</x:v>
      </x:c>
      <x:c r="B818" s="35" t="str">
        <x:v>https://w3id.org/nltl-benchmark/vocab#requiredEquipmentRecords</x:v>
      </x:c>
      <x:c r="C818" s="35" t="str">
        <x:v>Class</x:v>
      </x:c>
      <x:c r="D818" s="35" t="str">
        <x:v>https://w3id.org/nltl-benchmark/vocab#documentEvidence</x:v>
      </x:c>
      <x:c r="E818" s="35" t="str"/>
      <x:c r="F818" s="35" t="str"/>
      <x:c r="G818" s="38" t="str">
        <x:v>IMO-017</x:v>
      </x:c>
      <x:c r="H818" s="35" t="str">
        <x:v>Locked-workbook normalized regulatory term</x:v>
      </x:c>
      <x:c r="I818" s="35" t="str">
        <x:v>N4 - preserve the source concept; normalize spelling to ASCII lowerCamelCase</x:v>
      </x:c>
      <x:c r="J818" s="35" t="str">
        <x:v>REUSE_R2_TERM</x:v>
      </x:c>
    </x:row>
    <x:row r="819">
      <x:c r="A819" s="35" t="str">
        <x:v>requiredIceRemovalMeansPresent</x:v>
      </x:c>
      <x:c r="B819" s="35" t="str">
        <x:v>https://w3id.org/nltl-benchmark/vocab#requiredIceRemovalMeansPresent</x:v>
      </x:c>
      <x:c r="C819" s="35" t="str">
        <x:v>DatatypeProperty</x:v>
      </x:c>
      <x:c r="D819" s="35" t="str">
        <x:v>http://www.w3.org/2001/XMLSchema#boolean</x:v>
      </x:c>
      <x:c r="E819" s="35" t="str">
        <x:v>xsd:boolean</x:v>
      </x:c>
      <x:c r="F819" s="35" t="str"/>
      <x:c r="G819" s="38" t="str">
        <x:v>IMO-034</x:v>
      </x:c>
      <x:c r="H819" s="35" t="str">
        <x:v>Locked-workbook normalized regulatory term</x:v>
      </x:c>
      <x:c r="I819" s="35" t="str">
        <x:v>N4 - preserve the source concept; normalize spelling to ASCII lowerCamelCase</x:v>
      </x:c>
      <x:c r="J819" s="35" t="str">
        <x:v>REUSE_R2_TERM</x:v>
      </x:c>
    </x:row>
    <x:row r="820">
      <x:c r="A820" s="35" t="str">
        <x:v>requiredNavigationOrCommunicationAntenna</x:v>
      </x:c>
      <x:c r="B820" s="35" t="str">
        <x:v>https://w3id.org/nltl-benchmark/vocab#requiredNavigationOrCommunicationAntenna</x:v>
      </x:c>
      <x:c r="C820" s="35" t="str">
        <x:v>DatatypeProperty</x:v>
      </x:c>
      <x:c r="D820" s="35" t="str">
        <x:v>http://www.w3.org/2001/XMLSchema#string</x:v>
      </x:c>
      <x:c r="E820" s="35" t="str">
        <x:v>xsd:string</x:v>
      </x:c>
      <x:c r="F820" s="35" t="str"/>
      <x:c r="G820" s="38" t="str">
        <x:v>IMO-083 | IMO26-009</x:v>
      </x:c>
      <x:c r="H820" s="35" t="str">
        <x:v>Locked-workbook normalized regulatory term</x:v>
      </x:c>
      <x:c r="I820" s="35" t="str">
        <x:v>N4 - preserve the source concept; normalize spelling to ASCII lowerCamelCase</x:v>
      </x:c>
      <x:c r="J820" s="35" t="str">
        <x:v>REUSE_R2_TERM</x:v>
      </x:c>
    </x:row>
    <x:row r="821">
      <x:c r="A821" s="35" t="str">
        <x:v>requiredPolarTrainingLevel</x:v>
      </x:c>
      <x:c r="B821" s="35" t="str">
        <x:v>https://w3id.org/nltl-benchmark/vocab#requiredPolarTrainingLevel</x:v>
      </x:c>
      <x:c r="C821" s="35" t="str">
        <x:v>DatatypeProperty</x:v>
      </x:c>
      <x:c r="D821" s="35" t="str">
        <x:v>http://www.w3.org/2001/XMLSchema#string</x:v>
      </x:c>
      <x:c r="E821" s="35" t="str">
        <x:v>xsd:string</x:v>
      </x:c>
      <x:c r="F821" s="35" t="str"/>
      <x:c r="G821" s="38" t="str">
        <x:v>IMO-102</x:v>
      </x:c>
      <x:c r="H821" s="35" t="str">
        <x:v>Locked-workbook normalized regulatory term</x:v>
      </x:c>
      <x:c r="I821" s="35" t="str">
        <x:v>N4 - preserve the source concept; normalize spelling to ASCII lowerCamelCase</x:v>
      </x:c>
      <x:c r="J821" s="35" t="str">
        <x:v>REUSE_R2_TERM</x:v>
      </x:c>
    </x:row>
    <x:row r="822">
      <x:c r="A822" s="35" t="str">
        <x:v>requiredPowerUnder1985Rules</x:v>
      </x:c>
      <x:c r="B822" s="35" t="str">
        <x:v>https://w3id.org/nltl-benchmark/vocab#requiredPowerUnder1985Rules</x:v>
      </x:c>
      <x:c r="C822" s="35" t="str">
        <x:v>QuantityProperty</x:v>
      </x:c>
      <x:c r="D822" s="35" t="str">
        <x:v>http://qudt.org/schema/qudt/QuantityValue</x:v>
      </x:c>
      <x:c r="E822" s="35" t="str"/>
      <x:c r="F822" s="35" t="str">
        <x:v>kW</x:v>
      </x:c>
      <x:c r="G822" s="38" t="str">
        <x:v>TRF-023</x:v>
      </x:c>
      <x:c r="H822" s="35" t="str">
        <x:v>Applicable TRAFICOM regulation wording plus explicit engineering node/operand role</x:v>
      </x:c>
      <x:c r="I822" s="35" t="str">
        <x:v>N4 - explicit engineering quantity in ASCII lowerCamelCase; formula symbols remain aliases only.</x:v>
      </x:c>
      <x:c r="J822" s="35" t="str">
        <x:v>ADD_DEVELOPMENT_TERM</x:v>
      </x:c>
    </x:row>
    <x:row r="823">
      <x:c r="A823" s="35" t="str">
        <x:v>requiredScreenOpening</x:v>
      </x:c>
      <x:c r="B823" s="35" t="str">
        <x:v>https://w3id.org/nltl-benchmark/vocab#requiredScreenOpening</x:v>
      </x:c>
      <x:c r="C823" s="35" t="str">
        <x:v>QuantityProperty</x:v>
      </x:c>
      <x:c r="D823" s="35" t="str">
        <x:v>http://qudt.org/schema/qudt/QuantityValue</x:v>
      </x:c>
      <x:c r="E823" s="35" t="str"/>
      <x:c r="F823" s="35" t="str">
        <x:v>mm</x:v>
      </x:c>
      <x:c r="G823" s="38" t="str">
        <x:v>IMO-121</x:v>
      </x:c>
      <x:c r="H823" s="35" t="str">
        <x:v>Unit-stripped normalized regulatory variable</x:v>
      </x:c>
      <x:c r="I823" s="35" t="str">
        <x:v>N3 - remove unit from the identifier and retain it in unit/quantity metadata</x:v>
      </x:c>
      <x:c r="J823" s="35" t="str">
        <x:v>REUSE_R2_TERM</x:v>
      </x:c>
    </x:row>
    <x:row r="824">
      <x:c r="A824" s="35" t="str">
        <x:v>requiredSectionModulus</x:v>
      </x:c>
      <x:c r="B824" s="35" t="str">
        <x:v>https://w3id.org/nltl-benchmark/vocab#requiredSectionModulus</x:v>
      </x:c>
      <x:c r="C824" s="35" t="str">
        <x:v>QuantityProperty</x:v>
      </x:c>
      <x:c r="D824" s="35" t="str">
        <x:v>http://qudt.org/schema/qudt/QuantityValue</x:v>
      </x:c>
      <x:c r="E824" s="35" t="str"/>
      <x:c r="F824" s="35" t="str">
        <x:v>cm^3</x:v>
      </x:c>
      <x:c r="G824" s="38" t="str">
        <x:v>TRF-055</x:v>
      </x:c>
      <x:c r="H824" s="35" t="str">
        <x:v>Applicable TRAFICOM regulation wording plus explicit engineering node/operand role</x:v>
      </x:c>
      <x:c r="I824" s="35" t="str">
        <x:v>N4 - explicit engineering quantity in ASCII lowerCamelCase; formula symbols remain aliases only.</x:v>
      </x:c>
      <x:c r="J824" s="35" t="str">
        <x:v>ADD_DEVELOPMENT_TERM</x:v>
      </x:c>
    </x:row>
    <x:row r="825">
      <x:c r="A825" s="35" t="str">
        <x:v>requiredSensorProjectsBelowHull</x:v>
      </x:c>
      <x:c r="B825" s="35" t="str">
        <x:v>https://w3id.org/nltl-benchmark/vocab#requiredSensorProjectsBelowHull</x:v>
      </x:c>
      <x:c r="C825" s="35" t="str">
        <x:v>DatatypeProperty</x:v>
      </x:c>
      <x:c r="D825" s="35" t="str">
        <x:v>http://www.w3.org/2001/XMLSchema#boolean</x:v>
      </x:c>
      <x:c r="E825" s="35" t="str">
        <x:v>xsd:boolean</x:v>
      </x:c>
      <x:c r="F825" s="35" t="str"/>
      <x:c r="G825" s="38" t="str">
        <x:v>IMO-084 | IMO26-010</x:v>
      </x:c>
      <x:c r="H825" s="35" t="str">
        <x:v>Locked-workbook normalized regulatory term</x:v>
      </x:c>
      <x:c r="I825" s="35" t="str">
        <x:v>N4 - preserve the source concept; normalize spelling to ASCII lowerCamelCase</x:v>
      </x:c>
      <x:c r="J825" s="35" t="str">
        <x:v>REUSE_R2_TERM</x:v>
      </x:c>
    </x:row>
    <x:row r="826">
      <x:c r="A826" s="35" t="str">
        <x:v>requiredShearArea</x:v>
      </x:c>
      <x:c r="B826" s="35" t="str">
        <x:v>https://w3id.org/nltl-benchmark/vocab#requiredShearArea</x:v>
      </x:c>
      <x:c r="C826" s="35" t="str">
        <x:v>QuantityProperty</x:v>
      </x:c>
      <x:c r="D826" s="35" t="str">
        <x:v>http://qudt.org/schema/qudt/QuantityValue</x:v>
      </x:c>
      <x:c r="E826" s="35" t="str"/>
      <x:c r="F826" s="35" t="str">
        <x:v>cm^2</x:v>
      </x:c>
      <x:c r="G826" s="38" t="str">
        <x:v>TRF-060</x:v>
      </x:c>
      <x:c r="H826" s="35" t="str">
        <x:v>Benchmark-coined descriptive engineering term</x:v>
      </x:c>
      <x:c r="I826" s="35" t="str">
        <x:v>N5 - component or subject first, followed by characteristic and qualifier/state; no unsupported external mapping</x:v>
      </x:c>
      <x:c r="J826" s="35" t="str">
        <x:v>REUSE_R2_TERM</x:v>
      </x:c>
    </x:row>
    <x:row r="827">
      <x:c r="A827" s="35" t="str">
        <x:v>requiredShellPlatingThickness</x:v>
      </x:c>
      <x:c r="B827" s="35" t="str">
        <x:v>https://w3id.org/nltl-benchmark/vocab#requiredShellPlatingThickness</x:v>
      </x:c>
      <x:c r="C827" s="35" t="str">
        <x:v>QuantityProperty</x:v>
      </x:c>
      <x:c r="D827" s="35" t="str">
        <x:v>http://qudt.org/schema/qudt/QuantityValue</x:v>
      </x:c>
      <x:c r="E827" s="35" t="str"/>
      <x:c r="F827" s="35" t="str">
        <x:v>mm</x:v>
      </x:c>
      <x:c r="G827" s="38" t="str">
        <x:v>TRF-041 | TRF-042</x:v>
      </x:c>
      <x:c r="H827" s="35" t="str">
        <x:v>Applicable TRAFICOM regulation wording plus explicit engineering node/operand role</x:v>
      </x:c>
      <x:c r="I827" s="35" t="str">
        <x:v>N4 - explicit engineering quantity in ASCII lowerCamelCase; formula symbols remain aliases only.</x:v>
      </x:c>
      <x:c r="J827" s="35" t="str">
        <x:v>ADD_DEVELOPMENT_TERM</x:v>
      </x:c>
    </x:row>
    <x:row r="828">
      <x:c r="A828" s="35" t="str">
        <x:v>requiredSystemsFunctionalAtPst</x:v>
      </x:c>
      <x:c r="B828" s="35" t="str">
        <x:v>https://w3id.org/nltl-benchmark/vocab#requiredSystemsFunctionalAtPst</x:v>
      </x:c>
      <x:c r="C828" s="35" t="str">
        <x:v>DatatypeProperty</x:v>
      </x:c>
      <x:c r="D828" s="35" t="str">
        <x:v>http://www.w3.org/2001/XMLSchema#boolean</x:v>
      </x:c>
      <x:c r="E828" s="35" t="str">
        <x:v>xsd:boolean</x:v>
      </x:c>
      <x:c r="F828" s="35" t="str"/>
      <x:c r="G828" s="38" t="str">
        <x:v>IMO-019</x:v>
      </x:c>
      <x:c r="H828" s="35" t="str">
        <x:v>Locked-workbook normalized regulatory term</x:v>
      </x:c>
      <x:c r="I828" s="35" t="str">
        <x:v>N4 - preserve the source concept; normalize spelling to ASCII lowerCamelCase</x:v>
      </x:c>
      <x:c r="J828" s="35" t="str">
        <x:v>REUSE_R2_TERM</x:v>
      </x:c>
    </x:row>
    <x:row r="829">
      <x:c r="A829" s="35" t="str">
        <x:v>rescueCommunicationPresent</x:v>
      </x:c>
      <x:c r="B829" s="35" t="str">
        <x:v>https://w3id.org/nltl-benchmark/vocab#rescueCommunicationPresent</x:v>
      </x:c>
      <x:c r="C829" s="35" t="str">
        <x:v>DatatypeProperty</x:v>
      </x:c>
      <x:c r="D829" s="35" t="str">
        <x:v>http://www.w3.org/2001/XMLSchema#boolean</x:v>
      </x:c>
      <x:c r="E829" s="35" t="str">
        <x:v>xsd:boolean</x:v>
      </x:c>
      <x:c r="F829" s="35" t="str"/>
      <x:c r="G829" s="38" t="str">
        <x:v>IMO-065</x:v>
      </x:c>
      <x:c r="H829" s="35" t="str">
        <x:v>Locked-workbook normalized regulatory term</x:v>
      </x:c>
      <x:c r="I829" s="35" t="str">
        <x:v>N4 - preserve the source concept; normalize spelling to ASCII lowerCamelCase</x:v>
      </x:c>
      <x:c r="J829" s="35" t="str">
        <x:v>REUSE_R2_TERM</x:v>
      </x:c>
    </x:row>
    <x:row r="830">
      <x:c r="A830" s="35" t="str">
        <x:v>rescueCoordinationCentreVoiceOrData</x:v>
      </x:c>
      <x:c r="B830" s="35" t="str">
        <x:v>https://w3id.org/nltl-benchmark/vocab#rescueCoordinationCentreVoiceOrData</x:v>
      </x:c>
      <x:c r="C830" s="35" t="str">
        <x:v>DatatypeProperty</x:v>
      </x:c>
      <x:c r="D830" s="35" t="str">
        <x:v>http://www.w3.org/2001/XMLSchema#boolean</x:v>
      </x:c>
      <x:c r="E830" s="35" t="str">
        <x:v>xsd:boolean</x:v>
      </x:c>
      <x:c r="F830" s="35" t="str"/>
      <x:c r="G830" s="38" t="str">
        <x:v>IMO-095</x:v>
      </x:c>
      <x:c r="H830" s="35" t="str">
        <x:v>Locked-workbook normalized regulatory term</x:v>
      </x:c>
      <x:c r="I830" s="35" t="str">
        <x:v>N4 - preserve the source concept; normalize spelling to ASCII lowerCamelCase</x:v>
      </x:c>
      <x:c r="J830" s="35" t="str">
        <x:v>REUSE_R2_TERM</x:v>
      </x:c>
    </x:row>
    <x:row r="831">
      <x:c r="A831" s="35" t="str">
        <x:v>reserveCoolingFunction</x:v>
      </x:c>
      <x:c r="B831" s="35" t="str">
        <x:v>https://w3id.org/nltl-benchmark/vocab#reserveCoolingFunction</x:v>
      </x:c>
      <x:c r="C831" s="35" t="str">
        <x:v>DatatypeProperty</x:v>
      </x:c>
      <x:c r="D831" s="35" t="str">
        <x:v>http://www.w3.org/2001/XMLSchema#string</x:v>
      </x:c>
      <x:c r="E831" s="35" t="str">
        <x:v>xsd:string</x:v>
      </x:c>
      <x:c r="F831" s="35" t="str"/>
      <x:c r="G831" s="38" t="str">
        <x:v>TRF-131</x:v>
      </x:c>
      <x:c r="H831" s="35" t="str">
        <x:v>Benchmark-coined descriptive engineering term</x:v>
      </x:c>
      <x:c r="I831" s="35" t="str">
        <x:v>N5 - component or subject first, followed by characteristic and qualifier/state; no unsupported external mapping</x:v>
      </x:c>
      <x:c r="J831" s="35" t="str">
        <x:v>REUSE_R2_TERM</x:v>
      </x:c>
    </x:row>
    <x:row r="832">
      <x:c r="A832" s="35" t="str">
        <x:v>residualStabilityFactorSI</x:v>
      </x:c>
      <x:c r="B832" s="35" t="str">
        <x:v>https://w3id.org/nltl-benchmark/vocab#residualStabilityFactorSI</x:v>
      </x:c>
      <x:c r="C832" s="35" t="str">
        <x:v>QuantityProperty</x:v>
      </x:c>
      <x:c r="D832" s="35" t="str">
        <x:v>http://qudt.org/schema/qudt/QuantityValue</x:v>
      </x:c>
      <x:c r="E832" s="35" t="str"/>
      <x:c r="F832" s="35" t="str">
        <x:v>1</x:v>
      </x:c>
      <x:c r="G832" s="38" t="str">
        <x:v>IMO-037</x:v>
      </x:c>
      <x:c r="H832" s="35" t="str">
        <x:v>Locked-workbook normalized regulatory term</x:v>
      </x:c>
      <x:c r="I832" s="35" t="str">
        <x:v>N4 - preserve the source concept; normalize spelling to ASCII lowerCamelCase</x:v>
      </x:c>
      <x:c r="J832" s="35" t="str">
        <x:v>REUSE_R2_TERM</x:v>
      </x:c>
    </x:row>
    <x:row r="833">
      <x:c r="A833" s="35" t="str">
        <x:v>residueNotRecoverableByCommonMethods</x:v>
      </x:c>
      <x:c r="B833" s="35" t="str">
        <x:v>https://w3id.org/nltl-benchmark/vocab#residueNotRecoverableByCommonMethods</x:v>
      </x:c>
      <x:c r="C833" s="35" t="str">
        <x:v>DatatypeProperty</x:v>
      </x:c>
      <x:c r="D833" s="35" t="str">
        <x:v>http://www.w3.org/2001/XMLSchema#boolean</x:v>
      </x:c>
      <x:c r="E833" s="35" t="str">
        <x:v>xsd:boolean</x:v>
      </x:c>
      <x:c r="F833" s="35" t="str"/>
      <x:c r="G833" s="38" t="str">
        <x:v>IMO-123</x:v>
      </x:c>
      <x:c r="H833" s="35" t="str">
        <x:v>Locked-workbook normalized regulatory term</x:v>
      </x:c>
      <x:c r="I833" s="35" t="str">
        <x:v>N4 - preserve the source concept; normalize spelling to ASCII lowerCamelCase</x:v>
      </x:c>
      <x:c r="J833" s="35" t="str">
        <x:v>REUSE_R2_TERM</x:v>
      </x:c>
    </x:row>
    <x:row r="834">
      <x:c r="A834" s="35" t="str">
        <x:v>resonantVibrationResponse</x:v>
      </x:c>
      <x:c r="B834" s="35" t="str">
        <x:v>https://w3id.org/nltl-benchmark/vocab#resonantVibrationResponse</x:v>
      </x:c>
      <x:c r="C834" s="35" t="str">
        <x:v>DatatypeProperty</x:v>
      </x:c>
      <x:c r="D834" s="35" t="str">
        <x:v>http://www.w3.org/2001/XMLSchema#string</x:v>
      </x:c>
      <x:c r="E834" s="35" t="str">
        <x:v>xsd:string</x:v>
      </x:c>
      <x:c r="F834" s="35" t="str"/>
      <x:c r="G834" s="38" t="str">
        <x:v>TRF-090</x:v>
      </x:c>
      <x:c r="H834" s="35" t="str">
        <x:v>Benchmark-coined descriptive engineering term</x:v>
      </x:c>
      <x:c r="I834" s="35" t="str">
        <x:v>N5 - component or subject first, followed by characteristic and qualifier/state; no unsupported external mapping</x:v>
      </x:c>
      <x:c r="J834" s="35" t="str">
        <x:v>REUSE_R2_TERM</x:v>
      </x:c>
    </x:row>
    <x:row r="835">
      <x:c r="A835" s="35" t="str">
        <x:v>responseTorque</x:v>
      </x:c>
      <x:c r="B835" s="35" t="str">
        <x:v>https://w3id.org/nltl-benchmark/vocab#responseTorque</x:v>
      </x:c>
      <x:c r="C835" s="35" t="str">
        <x:v>QuantityProperty</x:v>
      </x:c>
      <x:c r="D835" s="35" t="str">
        <x:v>http://qudt.org/schema/qudt/QuantityValue</x:v>
      </x:c>
      <x:c r="E835" s="35" t="str"/>
      <x:c r="F835" s="35" t="str">
        <x:v>kN*m</x:v>
      </x:c>
      <x:c r="G835" s="38" t="str">
        <x:v>TRF-097</x:v>
      </x:c>
      <x:c r="H835" s="35" t="str">
        <x:v>Unit-stripped normalized regulatory variable</x:v>
      </x:c>
      <x:c r="I835" s="35" t="str">
        <x:v>N3 - remove unit from the identifier and retain it in unit/quantity metadata</x:v>
      </x:c>
      <x:c r="J835" s="35" t="str">
        <x:v>REUSE_R2_TERM</x:v>
      </x:c>
    </x:row>
    <x:row r="836">
      <x:c r="A836" s="35" t="str">
        <x:v>restComplianceStatus</x:v>
      </x:c>
      <x:c r="B836" s="35" t="str">
        <x:v>https://w3id.org/nltl-benchmark/vocab#restComplianceStatus</x:v>
      </x:c>
      <x:c r="C836" s="35" t="str">
        <x:v>DatatypeProperty</x:v>
      </x:c>
      <x:c r="D836" s="35" t="str">
        <x:v>http://www.w3.org/2001/XMLSchema#boolean</x:v>
      </x:c>
      <x:c r="E836" s="35" t="str">
        <x:v>xsd:boolean</x:v>
      </x:c>
      <x:c r="F836" s="35" t="str"/>
      <x:c r="G836" s="38" t="str">
        <x:v>IMO-103</x:v>
      </x:c>
      <x:c r="H836" s="35" t="str">
        <x:v>Locked-workbook normalized regulatory term</x:v>
      </x:c>
      <x:c r="I836" s="35" t="str">
        <x:v>N4 - preserve the source concept; normalize spelling to ASCII lowerCamelCase</x:v>
      </x:c>
      <x:c r="J836" s="35" t="str">
        <x:v>REUSE_R2_TERM</x:v>
      </x:c>
    </x:row>
    <x:row r="837">
      <x:c r="A837" s="35" t="str">
        <x:v>restrictedPropulsionOutput</x:v>
      </x:c>
      <x:c r="B837" s="35" t="str">
        <x:v>https://w3id.org/nltl-benchmark/vocab#restrictedPropulsionOutput</x:v>
      </x:c>
      <x:c r="C837" s="35" t="str">
        <x:v>QuantityProperty</x:v>
      </x:c>
      <x:c r="D837" s="35" t="str">
        <x:v>http://qudt.org/schema/qudt/QuantityValue</x:v>
      </x:c>
      <x:c r="E837" s="35" t="str"/>
      <x:c r="F837" s="35" t="str">
        <x:v>kW</x:v>
      </x:c>
      <x:c r="G837" s="38" t="str">
        <x:v>TRF-017</x:v>
      </x:c>
      <x:c r="H837" s="35" t="str">
        <x:v>Applicable TRAFICOM regulation wording plus explicit engineering node/operand role</x:v>
      </x:c>
      <x:c r="I837" s="35" t="str">
        <x:v>N4 - explicit engineering quantity in ASCII lowerCamelCase; formula symbols remain aliases only.</x:v>
      </x:c>
      <x:c r="J837" s="35" t="str">
        <x:v>ADD_DEVELOPMENT_TERM</x:v>
      </x:c>
    </x:row>
    <x:row r="838">
      <x:c r="A838" s="35" t="str">
        <x:v>retainedOnBoard</x:v>
      </x:c>
      <x:c r="B838" s="35" t="str">
        <x:v>https://w3id.org/nltl-benchmark/vocab#retainedOnBoard</x:v>
      </x:c>
      <x:c r="C838" s="35" t="str">
        <x:v>DatatypeProperty</x:v>
      </x:c>
      <x:c r="D838" s="35" t="str">
        <x:v>http://www.w3.org/2001/XMLSchema#boolean</x:v>
      </x:c>
      <x:c r="E838" s="35" t="str">
        <x:v>xsd:boolean</x:v>
      </x:c>
      <x:c r="F838" s="35" t="str"/>
      <x:c r="G838" s="38" t="str">
        <x:v>TRF-014</x:v>
      </x:c>
      <x:c r="H838" s="35" t="str">
        <x:v>Applicable TRAFICOM regulation wording plus explicit engineering node/operand role</x:v>
      </x:c>
      <x:c r="I838" s="35" t="str">
        <x:v>N4 - explicit regulatory concept in ASCII lowerCamelCase with an XSD datatype.</x:v>
      </x:c>
      <x:c r="J838" s="35" t="str">
        <x:v>ADD_DEVELOPMENT_TERM</x:v>
      </x:c>
    </x:row>
    <x:row r="839">
      <x:c r="A839" s="35" t="str">
        <x:v>rotationalRestraint</x:v>
      </x:c>
      <x:c r="B839" s="35" t="str">
        <x:v>https://w3id.org/nltl-benchmark/vocab#rotationalRestraint</x:v>
      </x:c>
      <x:c r="C839" s="35" t="str">
        <x:v>DatatypeProperty</x:v>
      </x:c>
      <x:c r="D839" s="35" t="str">
        <x:v>http://www.w3.org/2001/XMLSchema#string</x:v>
      </x:c>
      <x:c r="E839" s="35" t="str">
        <x:v>xsd:string</x:v>
      </x:c>
      <x:c r="F839" s="35" t="str"/>
      <x:c r="G839" s="38" t="str">
        <x:v>I2-026</x:v>
      </x:c>
      <x:c r="H839" s="35" t="str">
        <x:v>Benchmark-coined descriptive engineering term</x:v>
      </x:c>
      <x:c r="I839" s="35" t="str">
        <x:v>N5 - component or subject first, followed by characteristic and qualifier/state; no unsupported external mapping</x:v>
      </x:c>
      <x:c r="J839" s="35" t="str">
        <x:v>REUSE_R2_TERM</x:v>
      </x:c>
    </x:row>
    <x:row r="840">
      <x:c r="A840" s="35" t="str">
        <x:v>rotationalSpeedKnown</x:v>
      </x:c>
      <x:c r="B840" s="35" t="str">
        <x:v>https://w3id.org/nltl-benchmark/vocab#rotationalSpeedKnown</x:v>
      </x:c>
      <x:c r="C840" s="35" t="str">
        <x:v>DatatypeProperty</x:v>
      </x:c>
      <x:c r="D840" s="35" t="str">
        <x:v>http://www.w3.org/2001/XMLSchema#boolean</x:v>
      </x:c>
      <x:c r="E840" s="35" t="str">
        <x:v>xsd:boolean</x:v>
      </x:c>
      <x:c r="F840" s="35" t="str"/>
      <x:c r="G840" s="38" t="str">
        <x:v>TRF-083</x:v>
      </x:c>
      <x:c r="H840" s="35" t="str">
        <x:v>Benchmark-coined descriptive engineering term</x:v>
      </x:c>
      <x:c r="I840" s="35" t="str">
        <x:v>N5 - component or subject first, followed by characteristic and qualifier/state; no unsupported external mapping</x:v>
      </x:c>
      <x:c r="J840" s="35" t="str">
        <x:v>REUSE_R2_TERM</x:v>
      </x:c>
    </x:row>
    <x:row r="841">
      <x:c r="A841" s="35" t="str">
        <x:v>routePoint</x:v>
      </x:c>
      <x:c r="B841" s="35" t="str">
        <x:v>https://w3id.org/nltl-benchmark/vocab#routePoint</x:v>
      </x:c>
      <x:c r="C841" s="35" t="str">
        <x:v>Class</x:v>
      </x:c>
      <x:c r="D841" s="35" t="str">
        <x:v>https://w3id.org/nltl-benchmark/vocab#benchmarkEntity</x:v>
      </x:c>
      <x:c r="E841" s="35" t="str"/>
      <x:c r="F841" s="35" t="str"/>
      <x:c r="G841" s="38" t="str">
        <x:v>IMO-090</x:v>
      </x:c>
      <x:c r="H841" s="35" t="str">
        <x:v>Locked-workbook normalized regulatory term</x:v>
      </x:c>
      <x:c r="I841" s="35" t="str">
        <x:v>N4 - preserve the source concept; normalize spelling to ASCII lowerCamelCase</x:v>
      </x:c>
      <x:c r="J841" s="35" t="str">
        <x:v>REUSE_R2_TERM</x:v>
      </x:c>
    </x:row>
    <x:row r="842">
      <x:c r="A842" s="35" t="str">
        <x:v>routeRemainsWithinArctic</x:v>
      </x:c>
      <x:c r="B842" s="35" t="str">
        <x:v>https://w3id.org/nltl-benchmark/vocab#routeRemainsWithinArctic</x:v>
      </x:c>
      <x:c r="C842" s="35" t="str">
        <x:v>DatatypeProperty</x:v>
      </x:c>
      <x:c r="D842" s="35" t="str">
        <x:v>http://www.w3.org/2001/XMLSchema#boolean</x:v>
      </x:c>
      <x:c r="E842" s="35" t="str">
        <x:v>xsd:boolean</x:v>
      </x:c>
      <x:c r="F842" s="35" t="str"/>
      <x:c r="G842" s="38" t="str">
        <x:v>IMO-123</x:v>
      </x:c>
      <x:c r="H842" s="35" t="str">
        <x:v>Locked-workbook normalized regulatory term</x:v>
      </x:c>
      <x:c r="I842" s="35" t="str">
        <x:v>N4 - preserve the source concept; normalize spelling to ASCII lowerCamelCase</x:v>
      </x:c>
      <x:c r="J842" s="35" t="str">
        <x:v>REUSE_R2_TERM</x:v>
      </x:c>
    </x:row>
    <x:row r="843">
      <x:c r="A843" s="35" t="str">
        <x:v>ruleLength</x:v>
      </x:c>
      <x:c r="B843" s="35" t="str">
        <x:v>https://w3id.org/nltl-benchmark/vocab#ruleLength</x:v>
      </x:c>
      <x:c r="C843" s="35" t="str">
        <x:v>QuantityProperty</x:v>
      </x:c>
      <x:c r="D843" s="35" t="str">
        <x:v>http://qudt.org/schema/qudt/QuantityValue</x:v>
      </x:c>
      <x:c r="E843" s="35" t="str"/>
      <x:c r="F843" s="35" t="str">
        <x:v>m</x:v>
      </x:c>
      <x:c r="G843" s="38" t="str">
        <x:v>TRF-035</x:v>
      </x:c>
      <x:c r="H843" s="35" t="str">
        <x:v>Benchmark-coined descriptive engineering term</x:v>
      </x:c>
      <x:c r="I843" s="35" t="str">
        <x:v>N5 - component or subject first, followed by characteristic and qualifier/state; no unsupported external mapping</x:v>
      </x:c>
      <x:c r="J843" s="35" t="str">
        <x:v>REUSE_R2_TERM</x:v>
      </x:c>
    </x:row>
    <x:row r="844">
      <x:c r="A844" s="35" t="str">
        <x:v>safeAccessExitPresent</x:v>
      </x:c>
      <x:c r="B844" s="35" t="str">
        <x:v>https://w3id.org/nltl-benchmark/vocab#safeAccessExitPresent</x:v>
      </x:c>
      <x:c r="C844" s="35" t="str">
        <x:v>DatatypeProperty</x:v>
      </x:c>
      <x:c r="D844" s="35" t="str">
        <x:v>http://www.w3.org/2001/XMLSchema#boolean</x:v>
      </x:c>
      <x:c r="E844" s="35" t="str">
        <x:v>xsd:boolean</x:v>
      </x:c>
      <x:c r="F844" s="35" t="str"/>
      <x:c r="G844" s="38" t="str">
        <x:v>IMO-065</x:v>
      </x:c>
      <x:c r="H844" s="35" t="str">
        <x:v>Locked-workbook normalized regulatory term</x:v>
      </x:c>
      <x:c r="I844" s="35" t="str">
        <x:v>N4 - preserve the source concept; normalize spelling to ASCII lowerCamelCase</x:v>
      </x:c>
      <x:c r="J844" s="35" t="str">
        <x:v>REUSE_R2_TERM</x:v>
      </x:c>
    </x:row>
    <x:row r="845">
      <x:c r="A845" s="35" t="str">
        <x:v>safeEvacuationMeansPresent</x:v>
      </x:c>
      <x:c r="B845" s="35" t="str">
        <x:v>https://w3id.org/nltl-benchmark/vocab#safeEvacuationMeansPresent</x:v>
      </x:c>
      <x:c r="C845" s="35" t="str">
        <x:v>DatatypeProperty</x:v>
      </x:c>
      <x:c r="D845" s="35" t="str">
        <x:v>http://www.w3.org/2001/XMLSchema#boolean</x:v>
      </x:c>
      <x:c r="E845" s="35" t="str">
        <x:v>xsd:boolean</x:v>
      </x:c>
      <x:c r="F845" s="35" t="str"/>
      <x:c r="G845" s="38" t="str">
        <x:v>IMO-068</x:v>
      </x:c>
      <x:c r="H845" s="35" t="str">
        <x:v>Locked-workbook normalized regulatory term</x:v>
      </x:c>
      <x:c r="I845" s="35" t="str">
        <x:v>N4 - preserve the source concept; normalize spelling to ASCII lowerCamelCase</x:v>
      </x:c>
      <x:c r="J845" s="35" t="str">
        <x:v>REUSE_R2_TERM</x:v>
      </x:c>
    </x:row>
    <x:row r="846">
      <x:c r="A846" s="35" t="str">
        <x:v>safeStatus</x:v>
      </x:c>
      <x:c r="B846" s="35" t="str">
        <x:v>https://w3id.org/nltl-benchmark/vocab#safeStatus</x:v>
      </x:c>
      <x:c r="C846" s="35" t="str">
        <x:v>DatatypeProperty</x:v>
      </x:c>
      <x:c r="D846" s="35" t="str">
        <x:v>http://www.w3.org/2001/XMLSchema#boolean</x:v>
      </x:c>
      <x:c r="E846" s="35" t="str">
        <x:v>xsd:boolean</x:v>
      </x:c>
      <x:c r="F846" s="35" t="str"/>
      <x:c r="G846" s="38" t="str">
        <x:v>IMO-062</x:v>
      </x:c>
      <x:c r="H846" s="35" t="str">
        <x:v>Locked-workbook normalized regulatory term</x:v>
      </x:c>
      <x:c r="I846" s="35" t="str">
        <x:v>N4 - preserve the source concept; normalize spelling to ASCII lowerCamelCase</x:v>
      </x:c>
      <x:c r="J846" s="35" t="str">
        <x:v>REUSE_R2_TERM</x:v>
      </x:c>
    </x:row>
    <x:row r="847">
      <x:c r="A847" s="35" t="str">
        <x:v>safetyFactorBladeLossYield</x:v>
      </x:c>
      <x:c r="B847" s="35" t="str">
        <x:v>https://w3id.org/nltl-benchmark/vocab#safetyFactorBladeLossYield</x:v>
      </x:c>
      <x:c r="C847" s="35" t="str">
        <x:v>QuantityProperty</x:v>
      </x:c>
      <x:c r="D847" s="35" t="str">
        <x:v>http://qudt.org/schema/qudt/QuantityValue</x:v>
      </x:c>
      <x:c r="E847" s="35" t="str"/>
      <x:c r="F847" s="35" t="str">
        <x:v>1</x:v>
      </x:c>
      <x:c r="G847" s="38" t="str">
        <x:v>TRF-110</x:v>
      </x:c>
      <x:c r="H847" s="35" t="str">
        <x:v>Benchmark-coined descriptive engineering term</x:v>
      </x:c>
      <x:c r="I847" s="35" t="str">
        <x:v>N5 - component or subject first, followed by characteristic and qualifier/state; no unsupported external mapping</x:v>
      </x:c>
      <x:c r="J847" s="35" t="str">
        <x:v>REUSE_R2_TERM</x:v>
      </x:c>
    </x:row>
    <x:row r="848">
      <x:c r="A848" s="35" t="str">
        <x:v>safetyFactorFatigue</x:v>
      </x:c>
      <x:c r="B848" s="35" t="str">
        <x:v>https://w3id.org/nltl-benchmark/vocab#safetyFactorFatigue</x:v>
      </x:c>
      <x:c r="C848" s="35" t="str">
        <x:v>QuantityProperty</x:v>
      </x:c>
      <x:c r="D848" s="35" t="str">
        <x:v>http://qudt.org/schema/qudt/QuantityValue</x:v>
      </x:c>
      <x:c r="E848" s="35" t="str"/>
      <x:c r="F848" s="35" t="str">
        <x:v>1</x:v>
      </x:c>
      <x:c r="G848" s="38" t="str">
        <x:v>TRF-110</x:v>
      </x:c>
      <x:c r="H848" s="35" t="str">
        <x:v>Benchmark-coined descriptive engineering term</x:v>
      </x:c>
      <x:c r="I848" s="35" t="str">
        <x:v>N5 - component or subject first, followed by characteristic and qualifier/state; no unsupported external mapping</x:v>
      </x:c>
      <x:c r="J848" s="35" t="str">
        <x:v>REUSE_R2_TERM</x:v>
      </x:c>
    </x:row>
    <x:row r="849">
      <x:c r="A849" s="35" t="str">
        <x:v>safetyManagementSystemImplemented</x:v>
      </x:c>
      <x:c r="B849" s="35" t="str">
        <x:v>https://w3id.org/nltl-benchmark/vocab#safetyManagementSystemImplemented</x:v>
      </x:c>
      <x:c r="C849" s="35" t="str">
        <x:v>DatatypeProperty</x:v>
      </x:c>
      <x:c r="D849" s="35" t="str">
        <x:v>http://www.w3.org/2001/XMLSchema#boolean</x:v>
      </x:c>
      <x:c r="E849" s="35" t="str">
        <x:v>xsd:boolean</x:v>
      </x:c>
      <x:c r="F849" s="35" t="str"/>
      <x:c r="G849" s="38" t="str">
        <x:v>IMO26-018</x:v>
      </x:c>
      <x:c r="H849" s="35" t="str">
        <x:v>Locked-workbook normalized regulatory term</x:v>
      </x:c>
      <x:c r="I849" s="35" t="str">
        <x:v>N4 - preserve the source concept; normalize spelling to ASCII lowerCamelCase</x:v>
      </x:c>
      <x:c r="J849" s="35" t="str">
        <x:v>REUSE_R2_TERM</x:v>
      </x:c>
    </x:row>
    <x:row r="850">
      <x:c r="A850" s="35" t="str">
        <x:v>sameScantlingsAsMainFrame</x:v>
      </x:c>
      <x:c r="B850" s="35" t="str">
        <x:v>https://w3id.org/nltl-benchmark/vocab#sameScantlingsAsMainFrame</x:v>
      </x:c>
      <x:c r="C850" s="35" t="str">
        <x:v>DatatypeProperty</x:v>
      </x:c>
      <x:c r="D850" s="35" t="str">
        <x:v>http://www.w3.org/2001/XMLSchema#boolean</x:v>
      </x:c>
      <x:c r="E850" s="35" t="str">
        <x:v>xsd:boolean</x:v>
      </x:c>
      <x:c r="F850" s="35" t="str"/>
      <x:c r="G850" s="38" t="str">
        <x:v>TRF-046 | TRF-047</x:v>
      </x:c>
      <x:c r="H850" s="35" t="str">
        <x:v>Applicable TRAFICOM regulation wording plus explicit engineering node/operand role</x:v>
      </x:c>
      <x:c r="I850" s="35" t="str">
        <x:v>N4 - explicit regulatory concept in ASCII lowerCamelCase with an XSD datatype.</x:v>
      </x:c>
      <x:c r="J850" s="35" t="str">
        <x:v>ADD_DEVELOPMENT_TERM</x:v>
      </x:c>
    </x:row>
    <x:row r="851">
      <x:c r="A851" s="35" t="str">
        <x:v>scallopingPresent</x:v>
      </x:c>
      <x:c r="B851" s="35" t="str">
        <x:v>https://w3id.org/nltl-benchmark/vocab#scallopingPresent</x:v>
      </x:c>
      <x:c r="C851" s="35" t="str">
        <x:v>DatatypeProperty</x:v>
      </x:c>
      <x:c r="D851" s="35" t="str">
        <x:v>http://www.w3.org/2001/XMLSchema#boolean</x:v>
      </x:c>
      <x:c r="E851" s="35" t="str">
        <x:v>xsd:boolean</x:v>
      </x:c>
      <x:c r="F851" s="35" t="str"/>
      <x:c r="G851" s="38" t="str">
        <x:v>TRF-050</x:v>
      </x:c>
      <x:c r="H851" s="35" t="str">
        <x:v>Benchmark-coined descriptive engineering term</x:v>
      </x:c>
      <x:c r="I851" s="35" t="str">
        <x:v>N5 - component or subject first, followed by characteristic and qualifier/state; no unsupported external mapping</x:v>
      </x:c>
      <x:c r="J851" s="35" t="str">
        <x:v>REUSE_R2_TERM</x:v>
      </x:c>
    </x:row>
    <x:row r="852">
      <x:c r="A852" s="35" t="str">
        <x:v>scantlingApprovalStatus</x:v>
      </x:c>
      <x:c r="B852" s="35" t="str">
        <x:v>https://w3id.org/nltl-benchmark/vocab#scantlingApprovalStatus</x:v>
      </x:c>
      <x:c r="C852" s="35" t="str">
        <x:v>ObjectProperty</x:v>
      </x:c>
      <x:c r="D852" s="35" t="str">
        <x:v>https://w3id.org/nltl-benchmark/vocab#evidenceState</x:v>
      </x:c>
      <x:c r="E852" s="35" t="str"/>
      <x:c r="F852" s="35" t="str"/>
      <x:c r="G852" s="38" t="str">
        <x:v>IMO-032 | IMO-049</x:v>
      </x:c>
      <x:c r="H852" s="35" t="str">
        <x:v>Locked-workbook normalized regulatory term</x:v>
      </x:c>
      <x:c r="I852" s="35" t="str">
        <x:v>N4 - preserve the source concept; normalize spelling to ASCII lowerCamelCase</x:v>
      </x:c>
      <x:c r="J852" s="35" t="str">
        <x:v>REUSE_R2_TERM</x:v>
      </x:c>
    </x:row>
    <x:row r="853">
      <x:c r="A853" s="35" t="str">
        <x:v>seaChestVolume</x:v>
      </x:c>
      <x:c r="B853" s="35" t="str">
        <x:v>https://w3id.org/nltl-benchmark/vocab#seaChestVolume</x:v>
      </x:c>
      <x:c r="C853" s="35" t="str">
        <x:v>QuantityProperty</x:v>
      </x:c>
      <x:c r="D853" s="35" t="str">
        <x:v>http://qudt.org/schema/qudt/QuantityValue</x:v>
      </x:c>
      <x:c r="E853" s="35" t="str"/>
      <x:c r="F853" s="35" t="str">
        <x:v>m^3</x:v>
      </x:c>
      <x:c r="G853" s="38" t="str">
        <x:v>TRF-130</x:v>
      </x:c>
      <x:c r="H853" s="35" t="str">
        <x:v>Unit-stripped normalized regulatory variable</x:v>
      </x:c>
      <x:c r="I853" s="35" t="str">
        <x:v>N3 - remove unit from the identifier and retain it in unit/quantity metadata</x:v>
      </x:c>
      <x:c r="J853" s="35" t="str">
        <x:v>REUSE_R2_TERM</x:v>
      </x:c>
    </x:row>
    <x:row r="854">
      <x:c r="A854" s="35" t="str">
        <x:v>seaIceConcentration</x:v>
      </x:c>
      <x:c r="B854" s="35" t="str">
        <x:v>https://w3id.org/nltl-benchmark/vocab#seaIceConcentration</x:v>
      </x:c>
      <x:c r="C854" s="35" t="str">
        <x:v>QuantityProperty</x:v>
      </x:c>
      <x:c r="D854" s="35" t="str">
        <x:v>http://qudt.org/schema/qudt/QuantityValue</x:v>
      </x:c>
      <x:c r="E854" s="35" t="str"/>
      <x:c r="F854" s="35" t="str">
        <x:v>1</x:v>
      </x:c>
      <x:c r="G854" s="38" t="str">
        <x:v>IMO-007</x:v>
      </x:c>
      <x:c r="H854" s="35" t="str">
        <x:v>Unit-stripped normalized regulatory variable</x:v>
      </x:c>
      <x:c r="I854" s="35" t="str">
        <x:v>N3 - remove unit from the identifier and retain it in unit/quantity metadata</x:v>
      </x:c>
      <x:c r="J854" s="35" t="str">
        <x:v>REUSE_R2_TERM</x:v>
      </x:c>
    </x:row>
    <x:row r="855">
      <x:c r="A855" s="35" t="str">
        <x:v>seaInletLocation</x:v>
      </x:c>
      <x:c r="B855" s="35" t="str">
        <x:v>https://w3id.org/nltl-benchmark/vocab#seaInletLocation</x:v>
      </x:c>
      <x:c r="C855" s="35" t="str">
        <x:v>DatatypeProperty</x:v>
      </x:c>
      <x:c r="D855" s="35" t="str">
        <x:v>http://www.w3.org/2001/XMLSchema#string</x:v>
      </x:c>
      <x:c r="E855" s="35" t="str">
        <x:v>xsd:string</x:v>
      </x:c>
      <x:c r="F855" s="35" t="str"/>
      <x:c r="G855" s="38" t="str">
        <x:v>TRF-130</x:v>
      </x:c>
      <x:c r="H855" s="35" t="str">
        <x:v>Verified exact implementation term</x:v>
      </x:c>
      <x:c r="I855" s="35" t="str">
        <x:v>N1 - reuse only after exact URI and semantic-context verification</x:v>
      </x:c>
      <x:c r="J855" s="35" t="str">
        <x:v>REUSE_R2_TERM</x:v>
      </x:c>
    </x:row>
    <x:row r="856">
      <x:c r="A856" s="35" t="str">
        <x:v>seaSuctionIceClearingCapability</x:v>
      </x:c>
      <x:c r="B856" s="35" t="str">
        <x:v>https://w3id.org/nltl-benchmark/vocab#seaSuctionIceClearingCapability</x:v>
      </x:c>
      <x:c r="C856" s="35" t="str">
        <x:v>DatatypeProperty</x:v>
      </x:c>
      <x:c r="D856" s="35" t="str">
        <x:v>http://www.w3.org/2001/XMLSchema#boolean</x:v>
      </x:c>
      <x:c r="E856" s="35" t="str">
        <x:v>xsd:boolean</x:v>
      </x:c>
      <x:c r="F856" s="35" t="str"/>
      <x:c r="G856" s="38" t="str">
        <x:v>IMO-060</x:v>
      </x:c>
      <x:c r="H856" s="35" t="str">
        <x:v>Locked-workbook normalized regulatory term</x:v>
      </x:c>
      <x:c r="I856" s="35" t="str">
        <x:v>N4 - preserve the source concept; normalize spelling to ASCII lowerCamelCase</x:v>
      </x:c>
      <x:c r="J856" s="35" t="str">
        <x:v>REUSE_R2_TERM</x:v>
      </x:c>
    </x:row>
    <x:row r="857">
      <x:c r="A857" s="35" t="str">
        <x:v>searchAndRescueCommunicationCapability</x:v>
      </x:c>
      <x:c r="B857" s="35" t="str">
        <x:v>https://w3id.org/nltl-benchmark/vocab#searchAndRescueCommunicationCapability</x:v>
      </x:c>
      <x:c r="C857" s="35" t="str">
        <x:v>DatatypeProperty</x:v>
      </x:c>
      <x:c r="D857" s="35" t="str">
        <x:v>http://www.w3.org/2001/XMLSchema#boolean</x:v>
      </x:c>
      <x:c r="E857" s="35" t="str">
        <x:v>xsd:boolean</x:v>
      </x:c>
      <x:c r="F857" s="35" t="str"/>
      <x:c r="G857" s="38" t="str">
        <x:v>IMO-095</x:v>
      </x:c>
      <x:c r="H857" s="35" t="str">
        <x:v>Benchmark-coined descriptive engineering term</x:v>
      </x:c>
      <x:c r="I857" s="35" t="str">
        <x:v>N5 - component or subject first, followed by characteristic and qualifier/state; no unsupported external mapping</x:v>
      </x:c>
      <x:c r="J857" s="35" t="str">
        <x:v>REUSE_R2_TERM</x:v>
      </x:c>
    </x:row>
    <x:row r="858">
      <x:c r="A858" s="35" t="str">
        <x:v>searchAndRescueCoordinationCommunicationPresent</x:v>
      </x:c>
      <x:c r="B858" s="35" t="str">
        <x:v>https://w3id.org/nltl-benchmark/vocab#searchAndRescueCoordinationCommunicationPresent</x:v>
      </x:c>
      <x:c r="C858" s="35" t="str">
        <x:v>DatatypeProperty</x:v>
      </x:c>
      <x:c r="D858" s="35" t="str">
        <x:v>http://www.w3.org/2001/XMLSchema#boolean</x:v>
      </x:c>
      <x:c r="E858" s="35" t="str">
        <x:v>xsd:boolean</x:v>
      </x:c>
      <x:c r="F858" s="35" t="str"/>
      <x:c r="G858" s="38" t="str">
        <x:v>IMO-091</x:v>
      </x:c>
      <x:c r="H858" s="35" t="str">
        <x:v>Locked-workbook normalized regulatory term</x:v>
      </x:c>
      <x:c r="I858" s="35" t="str">
        <x:v>N4 - preserve the source concept; normalize spelling to ASCII lowerCamelCase</x:v>
      </x:c>
      <x:c r="J858" s="35" t="str">
        <x:v>REUSE_R2_TERM</x:v>
      </x:c>
    </x:row>
    <x:row r="859">
      <x:c r="A859" s="35" t="str">
        <x:v>searchlightCoverageArc</x:v>
      </x:c>
      <x:c r="B859" s="35" t="str">
        <x:v>https://w3id.org/nltl-benchmark/vocab#searchlightCoverageArc</x:v>
      </x:c>
      <x:c r="C859" s="35" t="str">
        <x:v>QuantityProperty</x:v>
      </x:c>
      <x:c r="D859" s="35" t="str">
        <x:v>http://qudt.org/schema/qudt/QuantityValue</x:v>
      </x:c>
      <x:c r="E859" s="35" t="str"/>
      <x:c r="F859" s="35" t="str">
        <x:v>deg</x:v>
      </x:c>
      <x:c r="G859" s="38" t="str">
        <x:v>IMO-088</x:v>
      </x:c>
      <x:c r="H859" s="35" t="str">
        <x:v>Unit-stripped normalized regulatory variable</x:v>
      </x:c>
      <x:c r="I859" s="35" t="str">
        <x:v>N3 - remove unit from the identifier and retain it in unit/quantity metadata</x:v>
      </x:c>
      <x:c r="J859" s="35" t="str">
        <x:v>REUSE_R2_TERM</x:v>
      </x:c>
    </x:row>
    <x:row r="860">
      <x:c r="A860" s="35" t="str">
        <x:v>sectionModulus</x:v>
      </x:c>
      <x:c r="B860" s="35" t="str">
        <x:v>https://w3id.org/nltl-benchmark/vocab#sectionModulus</x:v>
      </x:c>
      <x:c r="C860" s="35" t="str">
        <x:v>QuantityProperty</x:v>
      </x:c>
      <x:c r="D860" s="35" t="str">
        <x:v>http://qudt.org/schema/qudt/QuantityValue</x:v>
      </x:c>
      <x:c r="E860" s="35" t="str"/>
      <x:c r="F860" s="35" t="str">
        <x:v>cm^3</x:v>
      </x:c>
      <x:c r="G860" s="38" t="str">
        <x:v>I2-029 | I2-030 | TRF-034 | TRF-044 | TRF-048 | TRF-053 | TRF-054 | TRF-055 | TRF-059 | TRF-060</x:v>
      </x:c>
      <x:c r="H860" s="35" t="str">
        <x:v>Locked-workbook normalized regulatory term</x:v>
      </x:c>
      <x:c r="I860" s="35" t="str">
        <x:v>N4 - preserve the source concept; normalize spelling to ASCII lowerCamelCase</x:v>
      </x:c>
      <x:c r="J860" s="35" t="str">
        <x:v>REUSE_R2_TERM</x:v>
      </x:c>
    </x:row>
    <x:row r="861">
      <x:c r="A861" s="35" t="str">
        <x:v>segregatedBallast</x:v>
      </x:c>
      <x:c r="B861" s="35" t="str">
        <x:v>https://w3id.org/nltl-benchmark/vocab#segregatedBallast</x:v>
      </x:c>
      <x:c r="C861" s="35" t="str">
        <x:v>DatatypeProperty</x:v>
      </x:c>
      <x:c r="D861" s="35" t="str">
        <x:v>http://www.w3.org/2001/XMLSchema#boolean</x:v>
      </x:c>
      <x:c r="E861" s="35" t="str">
        <x:v>xsd:boolean</x:v>
      </x:c>
      <x:c r="F861" s="35" t="str"/>
      <x:c r="G861" s="38" t="str">
        <x:v>IMO-106</x:v>
      </x:c>
      <x:c r="H861" s="35" t="str">
        <x:v>Benchmark-coined descriptive engineering term</x:v>
      </x:c>
      <x:c r="I861" s="35" t="str">
        <x:v>N5 - component or subject first, followed by characteristic and qualifier/state; no unsupported external mapping</x:v>
      </x:c>
      <x:c r="J861" s="35" t="str">
        <x:v>REUSE_R2_TERM</x:v>
      </x:c>
    </x:row>
    <x:row r="862">
      <x:c r="A862" s="35" t="str">
        <x:v>selectedDesignScantling</x:v>
      </x:c>
      <x:c r="B862" s="35" t="str">
        <x:v>https://w3id.org/nltl-benchmark/vocab#selectedDesignScantling</x:v>
      </x:c>
      <x:c r="C862" s="35" t="str">
        <x:v>QuantityProperty</x:v>
      </x:c>
      <x:c r="D862" s="35" t="str">
        <x:v>http://qudt.org/schema/qudt/QuantityValue</x:v>
      </x:c>
      <x:c r="E862" s="35" t="str"/>
      <x:c r="F862" s="35" t="str"/>
      <x:c r="G862" s="38" t="str">
        <x:v>TRF-032</x:v>
      </x:c>
      <x:c r="H862" s="35" t="str">
        <x:v>Applicable TRAFICOM regulation wording plus explicit engineering node/operand role</x:v>
      </x:c>
      <x:c r="I862" s="35" t="str">
        <x:v>N4 - explicit engineering quantity in ASCII lowerCamelCase; formula symbols remain aliases only.</x:v>
      </x:c>
      <x:c r="J862" s="35" t="str">
        <x:v>ADD_DEVELOPMENT_TERM</x:v>
      </x:c>
    </x:row>
    <x:row r="863">
      <x:c r="A863" s="35" t="str">
        <x:v>sensorIceProtectionPresent</x:v>
      </x:c>
      <x:c r="B863" s="35" t="str">
        <x:v>https://w3id.org/nltl-benchmark/vocab#sensorIceProtectionPresent</x:v>
      </x:c>
      <x:c r="C863" s="35" t="str">
        <x:v>DatatypeProperty</x:v>
      </x:c>
      <x:c r="D863" s="35" t="str">
        <x:v>http://www.w3.org/2001/XMLSchema#boolean</x:v>
      </x:c>
      <x:c r="E863" s="35" t="str">
        <x:v>xsd:boolean</x:v>
      </x:c>
      <x:c r="F863" s="35" t="str"/>
      <x:c r="G863" s="38" t="str">
        <x:v>IMO-084 | IMO26-010</x:v>
      </x:c>
      <x:c r="H863" s="35" t="str">
        <x:v>Locked-workbook normalized regulatory term</x:v>
      </x:c>
      <x:c r="I863" s="35" t="str">
        <x:v>N4 - preserve the source concept; normalize spelling to ASCII lowerCamelCase</x:v>
      </x:c>
      <x:c r="J863" s="35" t="str">
        <x:v>REUSE_R2_TERM</x:v>
      </x:c>
    </x:row>
    <x:row r="864">
      <x:c r="A864" s="35" t="str">
        <x:v>servesAsIceStringer</x:v>
      </x:c>
      <x:c r="B864" s="35" t="str">
        <x:v>https://w3id.org/nltl-benchmark/vocab#servesAsIceStringer</x:v>
      </x:c>
      <x:c r="C864" s="35" t="str">
        <x:v>DatatypeProperty</x:v>
      </x:c>
      <x:c r="D864" s="35" t="str">
        <x:v>http://www.w3.org/2001/XMLSchema#boolean</x:v>
      </x:c>
      <x:c r="E864" s="35" t="str">
        <x:v>xsd:boolean</x:v>
      </x:c>
      <x:c r="F864" s="35" t="str"/>
      <x:c r="G864" s="38" t="str">
        <x:v>TRF-055</x:v>
      </x:c>
      <x:c r="H864" s="35" t="str">
        <x:v>Applicable TRAFICOM regulation wording plus explicit engineering node/operand role</x:v>
      </x:c>
      <x:c r="I864" s="35" t="str">
        <x:v>N4 - explicit regulatory concept in ASCII lowerCamelCase with an XSD datatype.</x:v>
      </x:c>
      <x:c r="J864" s="35" t="str">
        <x:v>ADD_DEVELOPMENT_TERM</x:v>
      </x:c>
    </x:row>
    <x:row r="865">
      <x:c r="A865" s="35" t="str">
        <x:v>serviceLife</x:v>
      </x:c>
      <x:c r="B865" s="35" t="str">
        <x:v>https://w3id.org/nltl-benchmark/vocab#serviceLife</x:v>
      </x:c>
      <x:c r="C865" s="35" t="str">
        <x:v>QuantityProperty</x:v>
      </x:c>
      <x:c r="D865" s="35" t="str">
        <x:v>http://qudt.org/schema/qudt/QuantityValue</x:v>
      </x:c>
      <x:c r="E865" s="35" t="str"/>
      <x:c r="F865" s="35" t="str">
        <x:v>year</x:v>
      </x:c>
      <x:c r="G865" s="38" t="str">
        <x:v>TRF-070</x:v>
      </x:c>
      <x:c r="H865" s="35" t="str">
        <x:v>Benchmark-coined descriptive engineering term</x:v>
      </x:c>
      <x:c r="I865" s="35" t="str">
        <x:v>N5 - component or subject first, followed by characteristic and qualifier/state; no unsupported external mapping</x:v>
      </x:c>
      <x:c r="J865" s="35" t="str">
        <x:v>REUSE_R2_TERM</x:v>
      </x:c>
    </x:row>
    <x:row r="866">
      <x:c r="A866" s="35" t="str">
        <x:v>serviceLifeLoadDistribution</x:v>
      </x:c>
      <x:c r="B866" s="35" t="str">
        <x:v>https://w3id.org/nltl-benchmark/vocab#serviceLifeLoadDistribution</x:v>
      </x:c>
      <x:c r="C866" s="35" t="str">
        <x:v>DatatypeProperty</x:v>
      </x:c>
      <x:c r="D866" s="35" t="str">
        <x:v>http://www.w3.org/2001/XMLSchema#string</x:v>
      </x:c>
      <x:c r="E866" s="35" t="str">
        <x:v>xsd:string</x:v>
      </x:c>
      <x:c r="F866" s="35" t="str"/>
      <x:c r="G866" s="38" t="str">
        <x:v>TRF-106</x:v>
      </x:c>
      <x:c r="H866" s="35" t="str">
        <x:v>Locked-workbook normalized regulatory term</x:v>
      </x:c>
      <x:c r="I866" s="35" t="str">
        <x:v>N4 - preserve the source concept; normalize spelling to ASCII lowerCamelCase</x:v>
      </x:c>
      <x:c r="J866" s="35" t="str">
        <x:v>REUSE_R2_TERM</x:v>
      </x:c>
    </x:row>
    <x:row r="867">
      <x:c r="A867" s="35" t="str">
        <x:v>sewageDischargeOccurs</x:v>
      </x:c>
      <x:c r="B867" s="35" t="str">
        <x:v>https://w3id.org/nltl-benchmark/vocab#sewageDischargeOccurs</x:v>
      </x:c>
      <x:c r="C867" s="35" t="str">
        <x:v>DatatypeProperty</x:v>
      </x:c>
      <x:c r="D867" s="35" t="str">
        <x:v>http://www.w3.org/2001/XMLSchema#boolean</x:v>
      </x:c>
      <x:c r="E867" s="35" t="str">
        <x:v>xsd:boolean</x:v>
      </x:c>
      <x:c r="F867" s="35" t="str"/>
      <x:c r="G867" s="38" t="str">
        <x:v>IMO-119</x:v>
      </x:c>
      <x:c r="H867" s="35" t="str">
        <x:v>Locked-workbook normalized regulatory term</x:v>
      </x:c>
      <x:c r="I867" s="35" t="str">
        <x:v>N4 - preserve the source concept; normalize spelling to ASCII lowerCamelCase</x:v>
      </x:c>
      <x:c r="J867" s="35" t="str">
        <x:v>REUSE_R2_TERM</x:v>
      </x:c>
    </x:row>
    <x:row r="868">
      <x:c r="A868" s="35" t="str">
        <x:v>sewageDischargeToSea</x:v>
      </x:c>
      <x:c r="B868" s="35" t="str">
        <x:v>https://w3id.org/nltl-benchmark/vocab#sewageDischargeToSea</x:v>
      </x:c>
      <x:c r="C868" s="35" t="str">
        <x:v>DatatypeProperty</x:v>
      </x:c>
      <x:c r="D868" s="35" t="str">
        <x:v>http://www.w3.org/2001/XMLSchema#boolean</x:v>
      </x:c>
      <x:c r="E868" s="35" t="str">
        <x:v>xsd:boolean</x:v>
      </x:c>
      <x:c r="F868" s="35" t="str"/>
      <x:c r="G868" s="38" t="str">
        <x:v>IMO-118</x:v>
      </x:c>
      <x:c r="H868" s="35" t="str">
        <x:v>Locked-workbook normalized regulatory term</x:v>
      </x:c>
      <x:c r="I868" s="35" t="str">
        <x:v>N4 - preserve the source concept; normalize spelling to ASCII lowerCamelCase</x:v>
      </x:c>
      <x:c r="J868" s="35" t="str">
        <x:v>REUSE_R2_TERM</x:v>
      </x:c>
    </x:row>
    <x:row r="869">
      <x:c r="A869" s="35" t="str">
        <x:v>sewageDischargeType</x:v>
      </x:c>
      <x:c r="B869" s="35" t="str">
        <x:v>https://w3id.org/nltl-benchmark/vocab#sewageDischargeType</x:v>
      </x:c>
      <x:c r="C869" s="35" t="str">
        <x:v>DatatypeProperty</x:v>
      </x:c>
      <x:c r="D869" s="35" t="str">
        <x:v>http://www.w3.org/2001/XMLSchema#string</x:v>
      </x:c>
      <x:c r="E869" s="35" t="str">
        <x:v>xsd:string</x:v>
      </x:c>
      <x:c r="F869" s="35" t="str"/>
      <x:c r="G869" s="38" t="str">
        <x:v>IMO-115 | IMO-116</x:v>
      </x:c>
      <x:c r="H869" s="35" t="str">
        <x:v>Locked-workbook normalized regulatory term</x:v>
      </x:c>
      <x:c r="I869" s="35" t="str">
        <x:v>N4 - preserve the source concept; normalize spelling to ASCII lowerCamelCase</x:v>
      </x:c>
      <x:c r="J869" s="35" t="str">
        <x:v>REUSE_R2_TERM</x:v>
      </x:c>
    </x:row>
    <x:row r="870">
      <x:c r="A870" s="35" t="str">
        <x:v>sewageDischargeUsesTreatmentPlant</x:v>
      </x:c>
      <x:c r="B870" s="35" t="str">
        <x:v>https://w3id.org/nltl-benchmark/vocab#sewageDischargeUsesTreatmentPlant</x:v>
      </x:c>
      <x:c r="C870" s="35" t="str">
        <x:v>DatatypeProperty</x:v>
      </x:c>
      <x:c r="D870" s="35" t="str">
        <x:v>http://www.w3.org/2001/XMLSchema#boolean</x:v>
      </x:c>
      <x:c r="E870" s="35" t="str">
        <x:v>xsd:boolean</x:v>
      </x:c>
      <x:c r="F870" s="35" t="str"/>
      <x:c r="G870" s="38" t="str">
        <x:v>IMO-117</x:v>
      </x:c>
      <x:c r="H870" s="35" t="str">
        <x:v>Locked-workbook normalized regulatory term</x:v>
      </x:c>
      <x:c r="I870" s="35" t="str">
        <x:v>N4 - preserve the source concept; normalize spelling to ASCII lowerCamelCase</x:v>
      </x:c>
      <x:c r="J870" s="35" t="str">
        <x:v>REUSE_R2_TERM</x:v>
      </x:c>
    </x:row>
    <x:row r="871">
      <x:c r="A871" s="35" t="str">
        <x:v>sewageTreatmentPlantApprovalStatus</x:v>
      </x:c>
      <x:c r="B871" s="35" t="str">
        <x:v>https://w3id.org/nltl-benchmark/vocab#sewageTreatmentPlantApprovalStatus</x:v>
      </x:c>
      <x:c r="C871" s="35" t="str">
        <x:v>ObjectProperty</x:v>
      </x:c>
      <x:c r="D871" s="35" t="str">
        <x:v>https://w3id.org/nltl-benchmark/vocab#evidenceState</x:v>
      </x:c>
      <x:c r="E871" s="35" t="str"/>
      <x:c r="F871" s="35" t="str"/>
      <x:c r="G871" s="38" t="str">
        <x:v>IMO-117</x:v>
      </x:c>
      <x:c r="H871" s="35" t="str">
        <x:v>Locked-workbook normalized regulatory term</x:v>
      </x:c>
      <x:c r="I871" s="35" t="str">
        <x:v>N4 - preserve the source concept; normalize spelling to ASCII lowerCamelCase</x:v>
      </x:c>
      <x:c r="J871" s="35" t="str">
        <x:v>REUSE_R2_TERM</x:v>
      </x:c>
    </x:row>
    <x:row r="872">
      <x:c r="A872" s="35" t="str">
        <x:v>shaftComponent</x:v>
      </x:c>
      <x:c r="B872" s="35" t="str">
        <x:v>https://w3id.org/nltl-benchmark/vocab#shaftComponent</x:v>
      </x:c>
      <x:c r="C872" s="35" t="str">
        <x:v>Class</x:v>
      </x:c>
      <x:c r="D872" s="35" t="str">
        <x:v>https://w3id.org/nltl-benchmark/vocab#machineryComponent</x:v>
      </x:c>
      <x:c r="E872" s="35" t="str"/>
      <x:c r="F872" s="35" t="str"/>
      <x:c r="G872" s="38" t="str">
        <x:v>TRF-112</x:v>
      </x:c>
      <x:c r="H872" s="35" t="str">
        <x:v>Benchmark-coined descriptive engineering term</x:v>
      </x:c>
      <x:c r="I872" s="35" t="str">
        <x:v>N5 - component or subject first, followed by characteristic and qualifier/state; no unsupported external mapping</x:v>
      </x:c>
      <x:c r="J872" s="35" t="str">
        <x:v>REUSE_R2_TERM</x:v>
      </x:c>
    </x:row>
    <x:row r="873">
      <x:c r="A873" s="35" t="str">
        <x:v>shaftComponentDesignTorque</x:v>
      </x:c>
      <x:c r="B873" s="35" t="str">
        <x:v>https://w3id.org/nltl-benchmark/vocab#shaftComponentDesignTorque</x:v>
      </x:c>
      <x:c r="C873" s="35" t="str">
        <x:v>QuantityProperty</x:v>
      </x:c>
      <x:c r="D873" s="35" t="str">
        <x:v>http://qudt.org/schema/qudt/QuantityValue</x:v>
      </x:c>
      <x:c r="E873" s="35" t="str"/>
      <x:c r="F873" s="35" t="str">
        <x:v>kN*m</x:v>
      </x:c>
      <x:c r="G873" s="38" t="str">
        <x:v>TRF-089</x:v>
      </x:c>
      <x:c r="H873" s="35" t="str">
        <x:v>Benchmark-coined descriptive engineering term</x:v>
      </x:c>
      <x:c r="I873" s="35" t="str">
        <x:v>N5 - component or subject first, followed by characteristic and qualifier/state; no unsupported external mapping</x:v>
      </x:c>
      <x:c r="J873" s="35" t="str">
        <x:v>REUSE_R2_TERM</x:v>
      </x:c>
    </x:row>
    <x:row r="874">
      <x:c r="A874" s="35" t="str">
        <x:v>shaftLineComponent</x:v>
      </x:c>
      <x:c r="B874" s="35" t="str">
        <x:v>https://w3id.org/nltl-benchmark/vocab#shaftLineComponent</x:v>
      </x:c>
      <x:c r="C874" s="35" t="str">
        <x:v>Class</x:v>
      </x:c>
      <x:c r="D874" s="35" t="str">
        <x:v>https://w3id.org/nltl-benchmark/vocab#machineryComponent</x:v>
      </x:c>
      <x:c r="E874" s="35" t="str"/>
      <x:c r="F874" s="35" t="str"/>
      <x:c r="G874" s="38" t="str">
        <x:v>TRF-092</x:v>
      </x:c>
      <x:c r="H874" s="35" t="str">
        <x:v>Benchmark-coined descriptive engineering term</x:v>
      </x:c>
      <x:c r="I874" s="35" t="str">
        <x:v>N5 - component or subject first, followed by characteristic and qualifier/state; no unsupported external mapping</x:v>
      </x:c>
      <x:c r="J874" s="35" t="str">
        <x:v>REUSE_R2_TERM</x:v>
      </x:c>
    </x:row>
    <x:row r="875">
      <x:c r="A875" s="35" t="str">
        <x:v>shaftLineComponentDamage</x:v>
      </x:c>
      <x:c r="B875" s="35" t="str">
        <x:v>https://w3id.org/nltl-benchmark/vocab#shaftLineComponentDamage</x:v>
      </x:c>
      <x:c r="C875" s="35" t="str">
        <x:v>DatatypeProperty</x:v>
      </x:c>
      <x:c r="D875" s="35" t="str">
        <x:v>http://www.w3.org/2001/XMLSchema#boolean</x:v>
      </x:c>
      <x:c r="E875" s="35" t="str">
        <x:v>xsd:boolean</x:v>
      </x:c>
      <x:c r="F875" s="35" t="str"/>
      <x:c r="G875" s="38" t="str">
        <x:v>TRF-104</x:v>
      </x:c>
      <x:c r="H875" s="35" t="str">
        <x:v>Benchmark-coined descriptive engineering term</x:v>
      </x:c>
      <x:c r="I875" s="35" t="str">
        <x:v>N5 - component or subject first, followed by characteristic and qualifier/state; no unsupported external mapping</x:v>
      </x:c>
      <x:c r="J875" s="35" t="str">
        <x:v>REUSE_R2_TERM</x:v>
      </x:c>
    </x:row>
    <x:row r="876">
      <x:c r="A876" s="35" t="str">
        <x:v>shaftSpeed</x:v>
      </x:c>
      <x:c r="B876" s="35" t="str">
        <x:v>https://w3id.org/nltl-benchmark/vocab#shaftSpeed</x:v>
      </x:c>
      <x:c r="C876" s="35" t="str">
        <x:v>QuantityProperty</x:v>
      </x:c>
      <x:c r="D876" s="35" t="str">
        <x:v>http://qudt.org/schema/qudt/QuantityValue</x:v>
      </x:c>
      <x:c r="E876" s="35" t="str"/>
      <x:c r="F876" s="35" t="str">
        <x:v>rev/min</x:v>
      </x:c>
      <x:c r="G876" s="38" t="str">
        <x:v>TRF-092</x:v>
      </x:c>
      <x:c r="H876" s="35" t="str">
        <x:v>Benchmark-coined descriptive engineering term</x:v>
      </x:c>
      <x:c r="I876" s="35" t="str">
        <x:v>N5 - component or subject first, followed by characteristic and qualifier/state; no unsupported external mapping</x:v>
      </x:c>
      <x:c r="J876" s="35" t="str">
        <x:v>REUSE_R2_TERM</x:v>
      </x:c>
    </x:row>
    <x:row r="877">
      <x:c r="A877" s="35" t="str">
        <x:v>shapeCoefficient</x:v>
      </x:c>
      <x:c r="B877" s="35" t="str">
        <x:v>https://w3id.org/nltl-benchmark/vocab#shapeCoefficient</x:v>
      </x:c>
      <x:c r="C877" s="35" t="str">
        <x:v>QuantityProperty</x:v>
      </x:c>
      <x:c r="D877" s="35" t="str">
        <x:v>http://qudt.org/schema/qudt/QuantityValue</x:v>
      </x:c>
      <x:c r="E877" s="35" t="str"/>
      <x:c r="F877" s="35" t="str">
        <x:v>1</x:v>
      </x:c>
      <x:c r="G877" s="38" t="str">
        <x:v>I2-008 | I2-011</x:v>
      </x:c>
      <x:c r="H877" s="35" t="str">
        <x:v>Benchmark-coined descriptive engineering term</x:v>
      </x:c>
      <x:c r="I877" s="35" t="str">
        <x:v>N5 - component or subject first, followed by characteristic and qualifier/state; no unsupported external mapping</x:v>
      </x:c>
      <x:c r="J877" s="35" t="str">
        <x:v>REUSE_R2_TERM</x:v>
      </x:c>
    </x:row>
    <x:row r="878">
      <x:c r="A878" s="35" t="str">
        <x:v>shearArea</x:v>
      </x:c>
      <x:c r="B878" s="35" t="str">
        <x:v>https://w3id.org/nltl-benchmark/vocab#shearArea</x:v>
      </x:c>
      <x:c r="C878" s="35" t="str">
        <x:v>QuantityProperty</x:v>
      </x:c>
      <x:c r="D878" s="35" t="str">
        <x:v>http://qudt.org/schema/qudt/QuantityValue</x:v>
      </x:c>
      <x:c r="E878" s="35" t="str"/>
      <x:c r="F878" s="35" t="str">
        <x:v>m^2</x:v>
      </x:c>
      <x:c r="G878" s="38" t="str">
        <x:v>I2-029 | I2-032 | I2-035 | TRF-034 | TRF-044 | TRF-048 | TRF-053 | TRF-054 | TRF-055 | TRF-059 | TRF-060</x:v>
      </x:c>
      <x:c r="H878" s="35" t="str">
        <x:v>Locked-workbook normalized regulatory term</x:v>
      </x:c>
      <x:c r="I878" s="35" t="str">
        <x:v>N4 - preserve the source concept; normalize spelling to ASCII lowerCamelCase</x:v>
      </x:c>
      <x:c r="J878" s="35" t="str">
        <x:v>REUSE_R2_TERM</x:v>
      </x:c>
    </x:row>
    <x:row r="879">
      <x:c r="A879" s="35" t="str">
        <x:v>shellIceStrengtheningExtent</x:v>
      </x:c>
      <x:c r="B879" s="35" t="str">
        <x:v>https://w3id.org/nltl-benchmark/vocab#shellIceStrengtheningExtent</x:v>
      </x:c>
      <x:c r="C879" s="35" t="str">
        <x:v>DatatypeProperty</x:v>
      </x:c>
      <x:c r="D879" s="35" t="str">
        <x:v>http://www.w3.org/2001/XMLSchema#string</x:v>
      </x:c>
      <x:c r="E879" s="35" t="str">
        <x:v>xsd:string</x:v>
      </x:c>
      <x:c r="F879" s="35" t="str"/>
      <x:c r="G879" s="38" t="str">
        <x:v>TRF-063</x:v>
      </x:c>
      <x:c r="H879" s="35" t="str">
        <x:v>Benchmark-coined descriptive engineering term</x:v>
      </x:c>
      <x:c r="I879" s="35" t="str">
        <x:v>N5 - component or subject first, followed by characteristic and qualifier/state; no unsupported external mapping</x:v>
      </x:c>
      <x:c r="J879" s="35" t="str">
        <x:v>REUSE_R2_TERM</x:v>
      </x:c>
    </x:row>
    <x:row r="880">
      <x:c r="A880" s="35" t="str">
        <x:v>shellInclinationAngle</x:v>
      </x:c>
      <x:c r="B880" s="35" t="str">
        <x:v>https://w3id.org/nltl-benchmark/vocab#shellInclinationAngle</x:v>
      </x:c>
      <x:c r="C880" s="35" t="str">
        <x:v>QuantityProperty</x:v>
      </x:c>
      <x:c r="D880" s="35" t="str">
        <x:v>http://qudt.org/schema/qudt/QuantityValue</x:v>
      </x:c>
      <x:c r="E880" s="35" t="str"/>
      <x:c r="F880" s="35" t="str">
        <x:v>deg</x:v>
      </x:c>
      <x:c r="G880" s="38" t="str">
        <x:v>I2-005</x:v>
      </x:c>
      <x:c r="H880" s="35" t="str">
        <x:v>Benchmark-coined descriptive engineering term</x:v>
      </x:c>
      <x:c r="I880" s="35" t="str">
        <x:v>N5 - component or subject first, followed by characteristic and qualifier/state; no unsupported external mapping</x:v>
      </x:c>
      <x:c r="J880" s="35" t="str">
        <x:v>REUSE_R2_TERM</x:v>
      </x:c>
    </x:row>
    <x:row r="881">
      <x:c r="A881" s="35" t="str">
        <x:v>shellPlateButtCrossing</x:v>
      </x:c>
      <x:c r="B881" s="35" t="str">
        <x:v>https://w3id.org/nltl-benchmark/vocab#shellPlateButtCrossing</x:v>
      </x:c>
      <x:c r="C881" s="35" t="str">
        <x:v>DatatypeProperty</x:v>
      </x:c>
      <x:c r="D881" s="35" t="str">
        <x:v>http://www.w3.org/2001/XMLSchema#boolean</x:v>
      </x:c>
      <x:c r="E881" s="35" t="str">
        <x:v>xsd:boolean</x:v>
      </x:c>
      <x:c r="F881" s="35" t="str"/>
      <x:c r="G881" s="38" t="str">
        <x:v>TRF-050</x:v>
      </x:c>
      <x:c r="H881" s="35" t="str">
        <x:v>Benchmark-coined descriptive engineering term</x:v>
      </x:c>
      <x:c r="I881" s="35" t="str">
        <x:v>N5 - component or subject first, followed by characteristic and qualifier/state; no unsupported external mapping</x:v>
      </x:c>
      <x:c r="J881" s="35" t="str">
        <x:v>REUSE_R2_TERM</x:v>
      </x:c>
    </x:row>
    <x:row r="882">
      <x:c r="A882" s="35" t="str">
        <x:v>shipAttachmentStiffness</x:v>
      </x:c>
      <x:c r="B882" s="35" t="str">
        <x:v>https://w3id.org/nltl-benchmark/vocab#shipAttachmentStiffness</x:v>
      </x:c>
      <x:c r="C882" s="35" t="str">
        <x:v>QuantityProperty</x:v>
      </x:c>
      <x:c r="D882" s="35" t="str">
        <x:v>http://qudt.org/schema/qudt/QuantityValue</x:v>
      </x:c>
      <x:c r="E882" s="35" t="str"/>
      <x:c r="F882" s="35" t="str">
        <x:v>kN/m</x:v>
      </x:c>
      <x:c r="G882" s="38" t="str">
        <x:v>TRF-120</x:v>
      </x:c>
      <x:c r="H882" s="35" t="str">
        <x:v>Benchmark-coined descriptive engineering term</x:v>
      </x:c>
      <x:c r="I882" s="35" t="str">
        <x:v>N5 - component or subject first, followed by characteristic and qualifier/state; no unsupported external mapping</x:v>
      </x:c>
      <x:c r="J882" s="35" t="str">
        <x:v>REUSE_R2_TERM</x:v>
      </x:c>
    </x:row>
    <x:row r="883">
      <x:c r="A883" s="35" t="str">
        <x:v>shipBreadth</x:v>
      </x:c>
      <x:c r="B883" s="35" t="str">
        <x:v>https://w3id.org/nltl-benchmark/vocab#shipBreadth</x:v>
      </x:c>
      <x:c r="C883" s="35" t="str">
        <x:v>QuantityProperty</x:v>
      </x:c>
      <x:c r="D883" s="35" t="str">
        <x:v>http://qudt.org/schema/qudt/QuantityValue</x:v>
      </x:c>
      <x:c r="E883" s="35" t="str"/>
      <x:c r="F883" s="35" t="str">
        <x:v>m</x:v>
      </x:c>
      <x:c r="G883" s="38" t="str">
        <x:v>TRF-027 | TRF-056</x:v>
      </x:c>
      <x:c r="H883" s="35" t="str">
        <x:v>Benchmark-coined descriptive engineering term</x:v>
      </x:c>
      <x:c r="I883" s="35" t="str">
        <x:v>N5 - component or subject first, followed by characteristic and qualifier/state; no unsupported external mapping</x:v>
      </x:c>
      <x:c r="J883" s="35" t="str">
        <x:v>REUSE_R2_TERM</x:v>
      </x:c>
    </x:row>
    <x:row r="884">
      <x:c r="A884" s="35" t="str">
        <x:v>shipCategory</x:v>
      </x:c>
      <x:c r="B884" s="35" t="str">
        <x:v>https://w3id.org/nltl-benchmark/vocab#shipCategory</x:v>
      </x:c>
      <x:c r="C884" s="35" t="str">
        <x:v>ObjectProperty</x:v>
      </x:c>
      <x:c r="D884" s="35" t="str">
        <x:v>https://w3id.org/nltl-benchmark/vocab#polarShipCategoryValue</x:v>
      </x:c>
      <x:c r="E884" s="35" t="str"/>
      <x:c r="F884" s="35" t="str"/>
      <x:c r="G884" s="38" t="str">
        <x:v>IMO-001 | IMO-002 | IMO-003 | IMO-032 | IMO-037 | IMO-049 | IMO-085 | IMO-108 | IMO-109 | IMO-110 | IMO-111 | IMO-114 | IMO-118 | IMO-119 | IMO26-011</x:v>
      </x:c>
      <x:c r="H884" s="35" t="str">
        <x:v>Locked-workbook normalized regulatory term</x:v>
      </x:c>
      <x:c r="I884" s="35" t="str">
        <x:v>N4 - preserve the source concept; normalize spelling to ASCII lowerCamelCase</x:v>
      </x:c>
      <x:c r="J884" s="35" t="str">
        <x:v>REUSE_R2_TERM</x:v>
      </x:c>
    </x:row>
    <x:row r="885">
      <x:c r="A885" s="35" t="str">
        <x:v>shipEnRoute</x:v>
      </x:c>
      <x:c r="B885" s="35" t="str">
        <x:v>https://w3id.org/nltl-benchmark/vocab#shipEnRoute</x:v>
      </x:c>
      <x:c r="C885" s="35" t="str">
        <x:v>DatatypeProperty</x:v>
      </x:c>
      <x:c r="D885" s="35" t="str">
        <x:v>http://www.w3.org/2001/XMLSchema#boolean</x:v>
      </x:c>
      <x:c r="E885" s="35" t="str">
        <x:v>xsd:boolean</x:v>
      </x:c>
      <x:c r="F885" s="35" t="str"/>
      <x:c r="G885" s="38" t="str">
        <x:v>IMO-123</x:v>
      </x:c>
      <x:c r="H885" s="35" t="str">
        <x:v>Locked-workbook normalized regulatory term</x:v>
      </x:c>
      <x:c r="I885" s="35" t="str">
        <x:v>N4 - preserve the source concept; normalize spelling to ASCII lowerCamelCase</x:v>
      </x:c>
      <x:c r="J885" s="35" t="str">
        <x:v>REUSE_R2_TERM</x:v>
      </x:c>
    </x:row>
    <x:row r="886">
      <x:c r="A886" s="35" t="str">
        <x:v>shipExposedToIceAccretion</x:v>
      </x:c>
      <x:c r="B886" s="35" t="str">
        <x:v>https://w3id.org/nltl-benchmark/vocab#shipExposedToIceAccretion</x:v>
      </x:c>
      <x:c r="C886" s="35" t="str">
        <x:v>DatatypeProperty</x:v>
      </x:c>
      <x:c r="D886" s="35" t="str">
        <x:v>http://www.w3.org/2001/XMLSchema#boolean</x:v>
      </x:c>
      <x:c r="E886" s="35" t="str">
        <x:v>xsd:boolean</x:v>
      </x:c>
      <x:c r="F886" s="35" t="str"/>
      <x:c r="G886" s="38" t="str">
        <x:v>IMO-066</x:v>
      </x:c>
      <x:c r="H886" s="35" t="str">
        <x:v>Locked-workbook normalized regulatory term</x:v>
      </x:c>
      <x:c r="I886" s="35" t="str">
        <x:v>N4 - preserve the source concept; normalize spelling to ASCII lowerCamelCase</x:v>
      </x:c>
      <x:c r="J886" s="35" t="str">
        <x:v>REUSE_R2_TERM</x:v>
      </x:c>
    </x:row>
    <x:row r="887">
      <x:c r="A887" s="35" t="str">
        <x:v>shipIceStrengthened</x:v>
      </x:c>
      <x:c r="B887" s="35" t="str">
        <x:v>https://w3id.org/nltl-benchmark/vocab#shipIceStrengthened</x:v>
      </x:c>
      <x:c r="C887" s="35" t="str">
        <x:v>DatatypeProperty</x:v>
      </x:c>
      <x:c r="D887" s="35" t="str">
        <x:v>http://www.w3.org/2001/XMLSchema#boolean</x:v>
      </x:c>
      <x:c r="E887" s="35" t="str">
        <x:v>xsd:boolean</x:v>
      </x:c>
      <x:c r="F887" s="35" t="str"/>
      <x:c r="G887" s="38" t="str">
        <x:v>IMO-028 | IMO-032 | IMO-049 | IMO-081 | IMO26-007</x:v>
      </x:c>
      <x:c r="H887" s="35" t="str">
        <x:v>Locked-workbook normalized regulatory term</x:v>
      </x:c>
      <x:c r="I887" s="35" t="str">
        <x:v>N4 - preserve the source concept; normalize spelling to ASCII lowerCamelCase</x:v>
      </x:c>
      <x:c r="J887" s="35" t="str">
        <x:v>REUSE_R2_TERM</x:v>
      </x:c>
    </x:row>
    <x:row r="888">
      <x:c r="A888" s="35" t="str">
        <x:v>shipLength</x:v>
      </x:c>
      <x:c r="B888" s="35" t="str">
        <x:v>https://w3id.org/nltl-benchmark/vocab#shipLength</x:v>
      </x:c>
      <x:c r="C888" s="35" t="str">
        <x:v>QuantityProperty</x:v>
      </x:c>
      <x:c r="D888" s="35" t="str">
        <x:v>http://qudt.org/schema/qudt/QuantityValue</x:v>
      </x:c>
      <x:c r="E888" s="35" t="str"/>
      <x:c r="F888" s="35" t="str">
        <x:v>m</x:v>
      </x:c>
      <x:c r="G888" s="38" t="str">
        <x:v>TRF-027</x:v>
      </x:c>
      <x:c r="H888" s="35" t="str">
        <x:v>Verified exact implementation term</x:v>
      </x:c>
      <x:c r="I888" s="35" t="str">
        <x:v>N1 - reuse only after exact URI and semantic-context verification</x:v>
      </x:c>
      <x:c r="J888" s="35" t="str">
        <x:v>REUSE_R2_TERM</x:v>
      </x:c>
    </x:row>
    <x:row r="889">
      <x:c r="A889" s="35" t="str">
        <x:v>shipOperatesInIceCoveredWaters</x:v>
      </x:c>
      <x:c r="B889" s="35" t="str">
        <x:v>https://w3id.org/nltl-benchmark/vocab#shipOperatesInIceCoveredWaters</x:v>
      </x:c>
      <x:c r="C889" s="35" t="str">
        <x:v>DatatypeProperty</x:v>
      </x:c>
      <x:c r="D889" s="35" t="str">
        <x:v>http://www.w3.org/2001/XMLSchema#boolean</x:v>
      </x:c>
      <x:c r="E889" s="35" t="str">
        <x:v>xsd:boolean</x:v>
      </x:c>
      <x:c r="F889" s="35" t="str"/>
      <x:c r="G889" s="38" t="str">
        <x:v>IMO-068</x:v>
      </x:c>
      <x:c r="H889" s="35" t="str">
        <x:v>Locked-workbook normalized regulatory term</x:v>
      </x:c>
      <x:c r="I889" s="35" t="str">
        <x:v>N4 - preserve the source concept; normalize spelling to ASCII lowerCamelCase</x:v>
      </x:c>
      <x:c r="J889" s="35" t="str">
        <x:v>REUSE_R2_TERM</x:v>
      </x:c>
    </x:row>
    <x:row r="890">
      <x:c r="A890" s="35" t="str">
        <x:v>shipOperatesInLowAirTemperature</x:v>
      </x:c>
      <x:c r="B890" s="35" t="str">
        <x:v>https://w3id.org/nltl-benchmark/vocab#shipOperatesInLowAirTemperature</x:v>
      </x:c>
      <x:c r="C890" s="35" t="str">
        <x:v>DatatypeProperty</x:v>
      </x:c>
      <x:c r="D890" s="35" t="str">
        <x:v>http://www.w3.org/2001/XMLSchema#boolean</x:v>
      </x:c>
      <x:c r="E890" s="35" t="str">
        <x:v>xsd:boolean</x:v>
      </x:c>
      <x:c r="F890" s="35" t="str"/>
      <x:c r="G890" s="38" t="str">
        <x:v>IMO-013 | IMO-019 | IMO-020 | IMO-046 | IMO-097 | IMO-098</x:v>
      </x:c>
      <x:c r="H890" s="35" t="str">
        <x:v>Locked-workbook normalized regulatory term</x:v>
      </x:c>
      <x:c r="I890" s="35" t="str">
        <x:v>N4 - preserve the source concept; normalize spelling to ASCII lowerCamelCase</x:v>
      </x:c>
      <x:c r="J890" s="35" t="str">
        <x:v>REUSE_R2_TERM</x:v>
      </x:c>
    </x:row>
    <x:row r="891">
      <x:c r="A891" s="35" t="str">
        <x:v>shipOperatesInPolarWaters</x:v>
      </x:c>
      <x:c r="B891" s="35" t="str">
        <x:v>https://w3id.org/nltl-benchmark/vocab#shipOperatesInPolarWaters</x:v>
      </x:c>
      <x:c r="C891" s="35" t="str">
        <x:v>DatatypeProperty</x:v>
      </x:c>
      <x:c r="D891" s="35" t="str">
        <x:v>http://www.w3.org/2001/XMLSchema#boolean</x:v>
      </x:c>
      <x:c r="E891" s="35" t="str">
        <x:v>xsd:boolean</x:v>
      </x:c>
      <x:c r="F891" s="35" t="str"/>
      <x:c r="G891" s="38" t="str">
        <x:v>IMO-107 | IMO-113 | IMO-125 | IMO26-016</x:v>
      </x:c>
      <x:c r="H891" s="35" t="str">
        <x:v>Locked-workbook normalized regulatory term</x:v>
      </x:c>
      <x:c r="I891" s="35" t="str">
        <x:v>N4 - preserve the source concept; normalize spelling to ASCII lowerCamelCase</x:v>
      </x:c>
      <x:c r="J891" s="35" t="str">
        <x:v>REUSE_R2_TERM</x:v>
      </x:c>
    </x:row>
    <x:row r="892">
      <x:c r="A892" s="35" t="str">
        <x:v>shipPerformanceExperienceEvidence</x:v>
      </x:c>
      <x:c r="B892" s="35" t="str">
        <x:v>https://w3id.org/nltl-benchmark/vocab#shipPerformanceExperienceEvidence</x:v>
      </x:c>
      <x:c r="C892" s="35" t="str">
        <x:v>Class</x:v>
      </x:c>
      <x:c r="D892" s="35" t="str">
        <x:v>https://w3id.org/nltl-benchmark/vocab#documentEvidence</x:v>
      </x:c>
      <x:c r="E892" s="35" t="str"/>
      <x:c r="F892" s="35" t="str"/>
      <x:c r="G892" s="38" t="str">
        <x:v>TRF-028</x:v>
      </x:c>
      <x:c r="H892" s="35" t="str">
        <x:v>Benchmark-coined descriptive engineering term</x:v>
      </x:c>
      <x:c r="I892" s="35" t="str">
        <x:v>N5 - component or subject first, followed by characteristic and qualifier/state; no unsupported external mapping</x:v>
      </x:c>
      <x:c r="J892" s="35" t="str">
        <x:v>REUSE_R2_TERM</x:v>
      </x:c>
    </x:row>
    <x:row r="893">
      <x:c r="A893" s="35" t="str">
        <x:v>shipProvidesIcebreakingEscort</x:v>
      </x:c>
      <x:c r="B893" s="35" t="str">
        <x:v>https://w3id.org/nltl-benchmark/vocab#shipProvidesIcebreakingEscort</x:v>
      </x:c>
      <x:c r="C893" s="35" t="str">
        <x:v>DatatypeProperty</x:v>
      </x:c>
      <x:c r="D893" s="35" t="str">
        <x:v>http://www.w3.org/2001/XMLSchema#boolean</x:v>
      </x:c>
      <x:c r="E893" s="35" t="str">
        <x:v>xsd:boolean</x:v>
      </x:c>
      <x:c r="F893" s="35" t="str"/>
      <x:c r="G893" s="38" t="str">
        <x:v>IMO-094</x:v>
      </x:c>
      <x:c r="H893" s="35" t="str">
        <x:v>Locked-workbook normalized regulatory term</x:v>
      </x:c>
      <x:c r="I893" s="35" t="str">
        <x:v>N4 - preserve the source concept; normalize spelling to ASCII lowerCamelCase</x:v>
      </x:c>
      <x:c r="J893" s="35" t="str">
        <x:v>REUSE_R2_TERM</x:v>
      </x:c>
    </x:row>
    <x:row r="894">
      <x:c r="A894" s="35" t="str">
        <x:v>shipSideDeflection</x:v>
      </x:c>
      <x:c r="B894" s="35" t="str">
        <x:v>https://w3id.org/nltl-benchmark/vocab#shipSideDeflection</x:v>
      </x:c>
      <x:c r="C894" s="35" t="str">
        <x:v>QuantityProperty</x:v>
      </x:c>
      <x:c r="D894" s="35" t="str">
        <x:v>http://qudt.org/schema/qudt/QuantityValue</x:v>
      </x:c>
      <x:c r="E894" s="35" t="str"/>
      <x:c r="F894" s="35" t="str">
        <x:v>m</x:v>
      </x:c>
      <x:c r="G894" s="38" t="str">
        <x:v>TRF-056</x:v>
      </x:c>
      <x:c r="H894" s="35" t="str">
        <x:v>Benchmark-coined descriptive engineering term</x:v>
      </x:c>
      <x:c r="I894" s="35" t="str">
        <x:v>N5 - component or subject first, followed by characteristic and qualifier/state; no unsupported external mapping</x:v>
      </x:c>
      <x:c r="J894" s="35" t="str">
        <x:v>REUSE_R2_TERM</x:v>
      </x:c>
    </x:row>
    <x:row r="895">
      <x:c r="A895" s="35" t="str">
        <x:v>shipSizeEngineOutputCoefficientA</x:v>
      </x:c>
      <x:c r="B895" s="35" t="str">
        <x:v>https://w3id.org/nltl-benchmark/vocab#shipSizeEngineOutputCoefficientA</x:v>
      </x:c>
      <x:c r="C895" s="35" t="str">
        <x:v>QuantityProperty</x:v>
      </x:c>
      <x:c r="D895" s="35" t="str">
        <x:v>http://qudt.org/schema/qudt/QuantityValue</x:v>
      </x:c>
      <x:c r="E895" s="35" t="str"/>
      <x:c r="F895" s="35" t="str">
        <x:v>1</x:v>
      </x:c>
      <x:c r="G895" s="38" t="str">
        <x:v>TRF-037</x:v>
      </x:c>
      <x:c r="H895" s="35" t="str">
        <x:v>Applicable TRAFICOM regulation wording plus explicit engineering node/operand role</x:v>
      </x:c>
      <x:c r="I895" s="35" t="str">
        <x:v>N4 - explicit engineering quantity in ASCII lowerCamelCase; formula symbols remain aliases only.</x:v>
      </x:c>
      <x:c r="J895" s="35" t="str">
        <x:v>ADD_DEVELOPMENT_TERM</x:v>
      </x:c>
    </x:row>
    <x:row r="896">
      <x:c r="A896" s="35" t="str">
        <x:v>shipSizeEngineOutputCoefficientB</x:v>
      </x:c>
      <x:c r="B896" s="35" t="str">
        <x:v>https://w3id.org/nltl-benchmark/vocab#shipSizeEngineOutputCoefficientB</x:v>
      </x:c>
      <x:c r="C896" s="35" t="str">
        <x:v>QuantityProperty</x:v>
      </x:c>
      <x:c r="D896" s="35" t="str">
        <x:v>http://qudt.org/schema/qudt/QuantityValue</x:v>
      </x:c>
      <x:c r="E896" s="35" t="str"/>
      <x:c r="F896" s="35" t="str">
        <x:v>1</x:v>
      </x:c>
      <x:c r="G896" s="38" t="str">
        <x:v>TRF-037</x:v>
      </x:c>
      <x:c r="H896" s="35" t="str">
        <x:v>Applicable TRAFICOM regulation wording plus explicit engineering node/operand role</x:v>
      </x:c>
      <x:c r="I896" s="35" t="str">
        <x:v>N4 - explicit engineering quantity in ASCII lowerCamelCase; formula symbols remain aliases only.</x:v>
      </x:c>
      <x:c r="J896" s="35" t="str">
        <x:v>ADD_DEVELOPMENT_TERM</x:v>
      </x:c>
    </x:row>
    <x:row r="897">
      <x:c r="A897" s="35" t="str">
        <x:v>shipSizeEngineOutputCoefficientK</x:v>
      </x:c>
      <x:c r="B897" s="35" t="str">
        <x:v>https://w3id.org/nltl-benchmark/vocab#shipSizeEngineOutputCoefficientK</x:v>
      </x:c>
      <x:c r="C897" s="35" t="str">
        <x:v>QuantityProperty</x:v>
      </x:c>
      <x:c r="D897" s="35" t="str">
        <x:v>http://qudt.org/schema/qudt/QuantityValue</x:v>
      </x:c>
      <x:c r="E897" s="35" t="str"/>
      <x:c r="F897" s="35" t="str">
        <x:v>1</x:v>
      </x:c>
      <x:c r="G897" s="38" t="str">
        <x:v>TRF-037</x:v>
      </x:c>
      <x:c r="H897" s="35" t="str">
        <x:v>Applicable TRAFICOM regulation wording plus explicit engineering node/operand role</x:v>
      </x:c>
      <x:c r="I897" s="35" t="str">
        <x:v>N4 - explicit engineering quantity in ASCII lowerCamelCase; formula symbols remain aliases only.</x:v>
      </x:c>
      <x:c r="J897" s="35" t="str">
        <x:v>ADD_DEVELOPMENT_TERM</x:v>
      </x:c>
    </x:row>
    <x:row r="898">
      <x:c r="A898" s="35" t="str">
        <x:v>shipSizeEngineOutputFactorCd</x:v>
      </x:c>
      <x:c r="B898" s="35" t="str">
        <x:v>https://w3id.org/nltl-benchmark/vocab#shipSizeEngineOutputFactorCd</x:v>
      </x:c>
      <x:c r="C898" s="35" t="str">
        <x:v>QuantityProperty</x:v>
      </x:c>
      <x:c r="D898" s="35" t="str">
        <x:v>http://qudt.org/schema/qudt/QuantityValue</x:v>
      </x:c>
      <x:c r="E898" s="35" t="str"/>
      <x:c r="F898" s="35" t="str">
        <x:v>1</x:v>
      </x:c>
      <x:c r="G898" s="38" t="str">
        <x:v>TRF-037</x:v>
      </x:c>
      <x:c r="H898" s="35" t="str">
        <x:v>Applicable TRAFICOM regulation wording plus explicit engineering node/operand role</x:v>
      </x:c>
      <x:c r="I898" s="35" t="str">
        <x:v>N4 - explicit engineering quantity in ASCII lowerCamelCase; formula symbols remain aliases only.</x:v>
      </x:c>
      <x:c r="J898" s="35" t="str">
        <x:v>ADD_DEVELOPMENT_TERM</x:v>
      </x:c>
    </x:row>
    <x:row r="899">
      <x:c r="A899" s="35" t="str">
        <x:v>shipToShipCommunicationAvailable</x:v>
      </x:c>
      <x:c r="B899" s="35" t="str">
        <x:v>https://w3id.org/nltl-benchmark/vocab#shipToShipCommunicationAvailable</x:v>
      </x:c>
      <x:c r="C899" s="35" t="str">
        <x:v>DatatypeProperty</x:v>
      </x:c>
      <x:c r="D899" s="35" t="str">
        <x:v>http://www.w3.org/2001/XMLSchema#boolean</x:v>
      </x:c>
      <x:c r="E899" s="35" t="str">
        <x:v>xsd:boolean</x:v>
      </x:c>
      <x:c r="F899" s="35" t="str"/>
      <x:c r="G899" s="38" t="str">
        <x:v>IMO-090</x:v>
      </x:c>
      <x:c r="H899" s="35" t="str">
        <x:v>Locked-workbook normalized regulatory term</x:v>
      </x:c>
      <x:c r="I899" s="35" t="str">
        <x:v>N4 - preserve the source concept; normalize spelling to ASCII lowerCamelCase</x:v>
      </x:c>
      <x:c r="J899" s="35" t="str">
        <x:v>REUSE_R2_TERM</x:v>
      </x:c>
    </x:row>
    <x:row r="900">
      <x:c r="A900" s="35" t="str">
        <x:v>shipToShoreCommunicationAvailable</x:v>
      </x:c>
      <x:c r="B900" s="35" t="str">
        <x:v>https://w3id.org/nltl-benchmark/vocab#shipToShoreCommunicationAvailable</x:v>
      </x:c>
      <x:c r="C900" s="35" t="str">
        <x:v>DatatypeProperty</x:v>
      </x:c>
      <x:c r="D900" s="35" t="str">
        <x:v>http://www.w3.org/2001/XMLSchema#boolean</x:v>
      </x:c>
      <x:c r="E900" s="35" t="str">
        <x:v>xsd:boolean</x:v>
      </x:c>
      <x:c r="F900" s="35" t="str"/>
      <x:c r="G900" s="38" t="str">
        <x:v>IMO-090</x:v>
      </x:c>
      <x:c r="H900" s="35" t="str">
        <x:v>Locked-workbook normalized regulatory term</x:v>
      </x:c>
      <x:c r="I900" s="35" t="str">
        <x:v>N4 - preserve the source concept; normalize spelling to ASCII lowerCamelCase</x:v>
      </x:c>
      <x:c r="J900" s="35" t="str">
        <x:v>REUSE_R2_TERM</x:v>
      </x:c>
    </x:row>
    <x:row r="901">
      <x:c r="A901" s="35" t="str">
        <x:v>shipType</x:v>
      </x:c>
      <x:c r="B901" s="35" t="str">
        <x:v>https://w3id.org/nltl-benchmark/vocab#shipType</x:v>
      </x:c>
      <x:c r="C901" s="35" t="str">
        <x:v>DatatypeProperty</x:v>
      </x:c>
      <x:c r="D901" s="35" t="str">
        <x:v>http://www.w3.org/2001/XMLSchema#string</x:v>
      </x:c>
      <x:c r="E901" s="35" t="str">
        <x:v>xsd:string</x:v>
      </x:c>
      <x:c r="F901" s="35" t="str"/>
      <x:c r="G901" s="38" t="str">
        <x:v>IMO-070 | IMO-102 | IMO-109 | IMO-110 | IMO-118 | IMO26-002 | IMO26-016</x:v>
      </x:c>
      <x:c r="H901" s="35" t="str">
        <x:v>Locked-workbook normalized regulatory term</x:v>
      </x:c>
      <x:c r="I901" s="35" t="str">
        <x:v>N4 - preserve the source concept; normalize spelling to ASCII lowerCamelCase</x:v>
      </x:c>
      <x:c r="J901" s="35" t="str">
        <x:v>REUSE_R2_TERM</x:v>
      </x:c>
    </x:row>
    <x:row r="902">
      <x:c r="A902" s="35" t="str">
        <x:v>sideIcingAllowance</x:v>
      </x:c>
      <x:c r="B902" s="35" t="str">
        <x:v>https://w3id.org/nltl-benchmark/vocab#sideIcingAllowance</x:v>
      </x:c>
      <x:c r="C902" s="35" t="str">
        <x:v>QuantityProperty</x:v>
      </x:c>
      <x:c r="D902" s="35" t="str">
        <x:v>http://qudt.org/schema/qudt/QuantityValue</x:v>
      </x:c>
      <x:c r="E902" s="35" t="str"/>
      <x:c r="F902" s="35" t="str">
        <x:v>kg/m^2</x:v>
      </x:c>
      <x:c r="G902" s="38" t="str">
        <x:v>IMO-033</x:v>
      </x:c>
      <x:c r="H902" s="35" t="str">
        <x:v>Unit-stripped normalized regulatory variable</x:v>
      </x:c>
      <x:c r="I902" s="35" t="str">
        <x:v>N3 - remove unit from the identifier and retain it in unit/quantity metadata</x:v>
      </x:c>
      <x:c r="J902" s="35" t="str">
        <x:v>REUSE_R2_TERM</x:v>
      </x:c>
    </x:row>
    <x:row r="903">
      <x:c r="A903" s="35" t="str">
        <x:v>sidePropeller</x:v>
      </x:c>
      <x:c r="B903" s="35" t="str">
        <x:v>https://w3id.org/nltl-benchmark/vocab#sidePropeller</x:v>
      </x:c>
      <x:c r="C903" s="35" t="str">
        <x:v>Class</x:v>
      </x:c>
      <x:c r="D903" s="35" t="str">
        <x:v>https://w3id.org/nltl-benchmark/vocab#machineryComponent</x:v>
      </x:c>
      <x:c r="E903" s="35" t="str"/>
      <x:c r="F903" s="35" t="str"/>
      <x:c r="G903" s="38" t="str">
        <x:v>TRF-063</x:v>
      </x:c>
      <x:c r="H903" s="35" t="str">
        <x:v>Benchmark-coined descriptive engineering term</x:v>
      </x:c>
      <x:c r="I903" s="35" t="str">
        <x:v>N5 - component or subject first, followed by characteristic and qualifier/state; no unsupported external mapping</x:v>
      </x:c>
      <x:c r="J903" s="35" t="str">
        <x:v>REUSE_R2_TERM</x:v>
      </x:c>
    </x:row>
    <x:row r="904">
      <x:c r="A904" s="35" t="str">
        <x:v>sidePropellerShafting</x:v>
      </x:c>
      <x:c r="B904" s="35" t="str">
        <x:v>https://w3id.org/nltl-benchmark/vocab#sidePropellerShafting</x:v>
      </x:c>
      <x:c r="C904" s="35" t="str">
        <x:v>DatatypeProperty</x:v>
      </x:c>
      <x:c r="D904" s="35" t="str">
        <x:v>http://www.w3.org/2001/XMLSchema#string</x:v>
      </x:c>
      <x:c r="E904" s="35" t="str">
        <x:v>xsd:string</x:v>
      </x:c>
      <x:c r="F904" s="35" t="str"/>
      <x:c r="G904" s="38" t="str">
        <x:v>TRF-064</x:v>
      </x:c>
      <x:c r="H904" s="35" t="str">
        <x:v>Benchmark-coined descriptive engineering term</x:v>
      </x:c>
      <x:c r="I904" s="35" t="str">
        <x:v>N5 - component or subject first, followed by characteristic and qualifier/state; no unsupported external mapping</x:v>
      </x:c>
      <x:c r="J904" s="35" t="str">
        <x:v>REUSE_R2_TERM</x:v>
      </x:c>
    </x:row>
    <x:row r="905">
      <x:c r="A905" s="35" t="str">
        <x:v>sidescuttleInIceBelt</x:v>
      </x:c>
      <x:c r="B905" s="35" t="str">
        <x:v>https://w3id.org/nltl-benchmark/vocab#sidescuttleInIceBelt</x:v>
      </x:c>
      <x:c r="C905" s="35" t="str">
        <x:v>DatatypeProperty</x:v>
      </x:c>
      <x:c r="D905" s="35" t="str">
        <x:v>http://www.w3.org/2001/XMLSchema#boolean</x:v>
      </x:c>
      <x:c r="E905" s="35" t="str">
        <x:v>xsd:boolean</x:v>
      </x:c>
      <x:c r="F905" s="35" t="str"/>
      <x:c r="G905" s="38" t="str">
        <x:v>TRF-040</x:v>
      </x:c>
      <x:c r="H905" s="35" t="str">
        <x:v>Benchmark-coined descriptive engineering term</x:v>
      </x:c>
      <x:c r="I905" s="35" t="str">
        <x:v>N5 - component or subject first, followed by characteristic and qualifier/state; no unsupported external mapping</x:v>
      </x:c>
      <x:c r="J905" s="35" t="str">
        <x:v>REUSE_R2_TERM</x:v>
      </x:c>
    </x:row>
    <x:row r="906">
      <x:c r="A906" s="35" t="str">
        <x:v>significantlyDifferentBoundaryConditions</x:v>
      </x:c>
      <x:c r="B906" s="35" t="str">
        <x:v>https://w3id.org/nltl-benchmark/vocab#significantlyDifferentBoundaryConditions</x:v>
      </x:c>
      <x:c r="C906" s="35" t="str">
        <x:v>DatatypeProperty</x:v>
      </x:c>
      <x:c r="D906" s="35" t="str">
        <x:v>http://www.w3.org/2001/XMLSchema#boolean</x:v>
      </x:c>
      <x:c r="E906" s="35" t="str">
        <x:v>xsd:boolean</x:v>
      </x:c>
      <x:c r="F906" s="35" t="str"/>
      <x:c r="G906" s="38" t="str">
        <x:v>TRF-048</x:v>
      </x:c>
      <x:c r="H906" s="35" t="str">
        <x:v>Applicable TRAFICOM regulation wording plus explicit engineering node/operand role</x:v>
      </x:c>
      <x:c r="I906" s="35" t="str">
        <x:v>N4 - explicit regulatory concept in ASCII lowerCamelCase with an XSD datatype.</x:v>
      </x:c>
      <x:c r="J906" s="35" t="str">
        <x:v>ADD_DEVELOPMENT_TERM</x:v>
      </x:c>
    </x:row>
    <x:row r="907">
      <x:c r="A907" s="35" t="str">
        <x:v>similarAttachmentConstructionPresent</x:v>
      </x:c>
      <x:c r="B907" s="35" t="str">
        <x:v>https://w3id.org/nltl-benchmark/vocab#similarAttachmentConstructionPresent</x:v>
      </x:c>
      <x:c r="C907" s="35" t="str">
        <x:v>DatatypeProperty</x:v>
      </x:c>
      <x:c r="D907" s="35" t="str">
        <x:v>http://www.w3.org/2001/XMLSchema#boolean</x:v>
      </x:c>
      <x:c r="E907" s="35" t="str">
        <x:v>xsd:boolean</x:v>
      </x:c>
      <x:c r="F907" s="35" t="str"/>
      <x:c r="G907" s="38" t="str">
        <x:v>TRF-049</x:v>
      </x:c>
      <x:c r="H907" s="35" t="str">
        <x:v>Applicable TRAFICOM regulation wording plus explicit engineering node/operand role</x:v>
      </x:c>
      <x:c r="I907" s="35" t="str">
        <x:v>N4 - explicit regulatory concept in ASCII lowerCamelCase with an XSD datatype.</x:v>
      </x:c>
      <x:c r="J907" s="35" t="str">
        <x:v>ADD_DEVELOPMENT_TERM</x:v>
      </x:c>
    </x:row>
    <x:row r="908">
      <x:c r="A908" s="35" t="str">
        <x:v>singleDeckTankTopToMainDeckFrameCondition</x:v>
      </x:c>
      <x:c r="B908" s="35" t="str">
        <x:v>https://w3id.org/nltl-benchmark/vocab#singleDeckTankTopToMainDeckFrameCondition</x:v>
      </x:c>
      <x:c r="C908" s="35" t="str">
        <x:v>NamedIndividual</x:v>
      </x:c>
      <x:c r="D908" s="35" t="str">
        <x:v>https://w3id.org/nltl-benchmark/vocab#frameBoundaryConditionTypeValue</x:v>
      </x:c>
      <x:c r="E908" s="35" t="str"/>
      <x:c r="F908" s="35" t="str"/>
      <x:c r="G908" s="38" t="str">
        <x:v>TRF-044</x:v>
      </x:c>
      <x:c r="H908" s="35" t="str">
        <x:v>Applicable TRAFICOM regulation wording plus explicit engineering node/operand role</x:v>
      </x:c>
      <x:c r="I908" s="35" t="str">
        <x:v>N6 - concise ASCII lowerCamelCase controlled-value name grounded in the linked regulation.</x:v>
      </x:c>
      <x:c r="J908" s="35" t="str">
        <x:v>ADD_DEVELOPMENT_TERM</x:v>
      </x:c>
    </x:row>
    <x:row r="909">
      <x:c r="A909" s="35" t="str">
        <x:v>situatedAboveLowerIceWaterline</x:v>
      </x:c>
      <x:c r="B909" s="35" t="str">
        <x:v>https://w3id.org/nltl-benchmark/vocab#situatedAboveLowerIceWaterline</x:v>
      </x:c>
      <x:c r="C909" s="35" t="str">
        <x:v>DatatypeProperty</x:v>
      </x:c>
      <x:c r="D909" s="35" t="str">
        <x:v>http://www.w3.org/2001/XMLSchema#boolean</x:v>
      </x:c>
      <x:c r="E909" s="35" t="str">
        <x:v>xsd:boolean</x:v>
      </x:c>
      <x:c r="F909" s="35" t="str"/>
      <x:c r="G909" s="38" t="str">
        <x:v>TRF-016</x:v>
      </x:c>
      <x:c r="H909" s="35" t="str">
        <x:v>Applicable TRAFICOM regulation wording plus explicit engineering node/operand role</x:v>
      </x:c>
      <x:c r="I909" s="35" t="str">
        <x:v>N4 - explicit regulatory concept in ASCII lowerCamelCase with an XSD datatype.</x:v>
      </x:c>
      <x:c r="J909" s="35" t="str">
        <x:v>ADD_DEVELOPMENT_TERM</x:v>
      </x:c>
    </x:row>
    <x:row r="910">
      <x:c r="A910" s="35" t="str">
        <x:v>sizeCompatibilityStatus</x:v>
      </x:c>
      <x:c r="B910" s="35" t="str">
        <x:v>https://w3id.org/nltl-benchmark/vocab#sizeCompatibilityStatus</x:v>
      </x:c>
      <x:c r="C910" s="35" t="str">
        <x:v>DatatypeProperty</x:v>
      </x:c>
      <x:c r="D910" s="35" t="str">
        <x:v>http://www.w3.org/2001/XMLSchema#boolean</x:v>
      </x:c>
      <x:c r="E910" s="35" t="str">
        <x:v>xsd:boolean</x:v>
      </x:c>
      <x:c r="F910" s="35" t="str"/>
      <x:c r="G910" s="38" t="str">
        <x:v>IMO-070</x:v>
      </x:c>
      <x:c r="H910" s="35" t="str">
        <x:v>Locked-workbook normalized regulatory term</x:v>
      </x:c>
      <x:c r="I910" s="35" t="str">
        <x:v>N4 - preserve the source concept; normalize spelling to ASCII lowerCamelCase</x:v>
      </x:c>
      <x:c r="J910" s="35" t="str">
        <x:v>REUSE_R2_TERM</x:v>
      </x:c>
    </x:row>
    <x:row r="911">
      <x:c r="A911" s="35" t="str">
        <x:v>solasCertificateSchedule</x:v>
      </x:c>
      <x:c r="B911" s="35" t="str">
        <x:v>https://w3id.org/nltl-benchmark/vocab#solasCertificateSchedule</x:v>
      </x:c>
      <x:c r="C911" s="35" t="str">
        <x:v>Class</x:v>
      </x:c>
      <x:c r="D911" s="35" t="str">
        <x:v>https://w3id.org/nltl-benchmark/vocab#documentEvidence</x:v>
      </x:c>
      <x:c r="E911" s="35" t="str"/>
      <x:c r="F911" s="35" t="str"/>
      <x:c r="G911" s="38" t="str">
        <x:v>IMO-017</x:v>
      </x:c>
      <x:c r="H911" s="35" t="str">
        <x:v>Locked-workbook normalized regulatory term</x:v>
      </x:c>
      <x:c r="I911" s="35" t="str">
        <x:v>N4 - preserve the source concept; normalize spelling to ASCII lowerCamelCase</x:v>
      </x:c>
      <x:c r="J911" s="35" t="str">
        <x:v>REUSE_R2_TERM</x:v>
      </x:c>
    </x:row>
    <x:row r="912">
      <x:c r="A912" s="35" t="str">
        <x:v>solasChapterICertified</x:v>
      </x:c>
      <x:c r="B912" s="35" t="str">
        <x:v>https://w3id.org/nltl-benchmark/vocab#solasChapterICertified</x:v>
      </x:c>
      <x:c r="C912" s="35" t="str">
        <x:v>DatatypeProperty</x:v>
      </x:c>
      <x:c r="D912" s="35" t="str">
        <x:v>http://www.w3.org/2001/XMLSchema#boolean</x:v>
      </x:c>
      <x:c r="E912" s="35" t="str">
        <x:v>xsd:boolean</x:v>
      </x:c>
      <x:c r="F912" s="35" t="str"/>
      <x:c r="G912" s="38" t="str">
        <x:v>IMO26-001 | IMO26-015</x:v>
      </x:c>
      <x:c r="H912" s="35" t="str">
        <x:v>Locked-workbook normalized regulatory term</x:v>
      </x:c>
      <x:c r="I912" s="35" t="str">
        <x:v>N4 - preserve the source concept; normalize spelling to ASCII lowerCamelCase</x:v>
      </x:c>
      <x:c r="J912" s="35" t="str">
        <x:v>REUSE_R2_TERM</x:v>
      </x:c>
    </x:row>
    <x:row r="913">
      <x:c r="A913" s="35" t="str">
        <x:v>solasRegulationV22Point1Point9Point4ComplianceStatus</x:v>
      </x:c>
      <x:c r="B913" s="35" t="str">
        <x:v>https://w3id.org/nltl-benchmark/vocab#solasRegulationV22Point1Point9Point4ComplianceStatus</x:v>
      </x:c>
      <x:c r="C913" s="35" t="str">
        <x:v>DatatypeProperty</x:v>
      </x:c>
      <x:c r="D913" s="35" t="str">
        <x:v>http://www.w3.org/2001/XMLSchema#boolean</x:v>
      </x:c>
      <x:c r="E913" s="35" t="str">
        <x:v>xsd:boolean</x:v>
      </x:c>
      <x:c r="F913" s="35" t="str"/>
      <x:c r="G913" s="38" t="str">
        <x:v>IMO-082 | IMO26-008</x:v>
      </x:c>
      <x:c r="H913" s="35" t="str">
        <x:v>Explicit regulation-reference transcription</x:v>
      </x:c>
      <x:c r="I913" s="35" t="str">
        <x:v>N6 - spell separators as Point or Dash and identify the governing instrument</x:v>
      </x:c>
      <x:c r="J913" s="35" t="str">
        <x:v>REUSE_R2_TERM</x:v>
      </x:c>
    </x:row>
    <x:row r="914">
      <x:c r="A914" s="35" t="str">
        <x:v>spacing</x:v>
      </x:c>
      <x:c r="B914" s="35" t="str">
        <x:v>https://w3id.org/nltl-benchmark/vocab#spacing</x:v>
      </x:c>
      <x:c r="C914" s="35" t="str">
        <x:v>QuantityProperty</x:v>
      </x:c>
      <x:c r="D914" s="35" t="str">
        <x:v>http://qudt.org/schema/qudt/QuantityValue</x:v>
      </x:c>
      <x:c r="E914" s="35" t="str"/>
      <x:c r="F914" s="35" t="str">
        <x:v>m</x:v>
      </x:c>
      <x:c r="G914" s="38" t="str">
        <x:v>TRF-030 | TRF-040 | TRF-061</x:v>
      </x:c>
      <x:c r="H914" s="35" t="str">
        <x:v>Unit-stripped normalized regulatory variable</x:v>
      </x:c>
      <x:c r="I914" s="35" t="str">
        <x:v>N3 - remove unit from the identifier and retain it in unit/quantity metadata</x:v>
      </x:c>
      <x:c r="J914" s="35" t="str">
        <x:v>REUSE_R2_TERM</x:v>
      </x:c>
    </x:row>
    <x:row r="915">
      <x:c r="A915" s="35" t="str">
        <x:v>span</x:v>
      </x:c>
      <x:c r="B915" s="35" t="str">
        <x:v>https://w3id.org/nltl-benchmark/vocab#span</x:v>
      </x:c>
      <x:c r="C915" s="35" t="str">
        <x:v>QuantityProperty</x:v>
      </x:c>
      <x:c r="D915" s="35" t="str">
        <x:v>http://qudt.org/schema/qudt/QuantityValue</x:v>
      </x:c>
      <x:c r="E915" s="35" t="str"/>
      <x:c r="F915" s="35" t="str">
        <x:v>m</x:v>
      </x:c>
      <x:c r="G915" s="38" t="str">
        <x:v>I2-032 | TRF-030 | TRF-045</x:v>
      </x:c>
      <x:c r="H915" s="35" t="str">
        <x:v>Unit-stripped normalized regulatory variable</x:v>
      </x:c>
      <x:c r="I915" s="35" t="str">
        <x:v>N3 - remove unit from the identifier and retain it in unit/quantity metadata</x:v>
      </x:c>
      <x:c r="J915" s="35" t="str">
        <x:v>REUSE_R2_TERM</x:v>
      </x:c>
    </x:row>
    <x:row r="916">
      <x:c r="A916" s="35" t="str">
        <x:v>specialSurfaceCoatingMaintained</x:v>
      </x:c>
      <x:c r="B916" s="35" t="str">
        <x:v>https://w3id.org/nltl-benchmark/vocab#specialSurfaceCoatingMaintained</x:v>
      </x:c>
      <x:c r="C916" s="35" t="str">
        <x:v>DatatypeProperty</x:v>
      </x:c>
      <x:c r="D916" s="35" t="str">
        <x:v>http://www.w3.org/2001/XMLSchema#boolean</x:v>
      </x:c>
      <x:c r="E916" s="35" t="str">
        <x:v>xsd:boolean</x:v>
      </x:c>
      <x:c r="F916" s="35" t="str"/>
      <x:c r="G916" s="38" t="str">
        <x:v>TRF-042</x:v>
      </x:c>
      <x:c r="H916" s="35" t="str">
        <x:v>Applicable TRAFICOM regulation wording plus explicit engineering node/operand role</x:v>
      </x:c>
      <x:c r="I916" s="35" t="str">
        <x:v>N4 - explicit regulatory concept in ASCII lowerCamelCase with an XSD datatype.</x:v>
      </x:c>
      <x:c r="J916" s="35" t="str">
        <x:v>ADD_DEVELOPMENT_TERM</x:v>
      </x:c>
    </x:row>
    <x:row r="917">
      <x:c r="A917" s="35" t="str">
        <x:v>specimenDiameter</x:v>
      </x:c>
      <x:c r="B917" s="35" t="str">
        <x:v>https://w3id.org/nltl-benchmark/vocab#specimenDiameter</x:v>
      </x:c>
      <x:c r="C917" s="35" t="str">
        <x:v>QuantityProperty</x:v>
      </x:c>
      <x:c r="D917" s="35" t="str">
        <x:v>http://qudt.org/schema/qudt/QuantityValue</x:v>
      </x:c>
      <x:c r="E917" s="35" t="str"/>
      <x:c r="F917" s="35" t="str">
        <x:v>m</x:v>
      </x:c>
      <x:c r="G917" s="38" t="str">
        <x:v>TRF-072</x:v>
      </x:c>
      <x:c r="H917" s="35" t="str">
        <x:v>Benchmark-coined descriptive engineering term</x:v>
      </x:c>
      <x:c r="I917" s="35" t="str">
        <x:v>N5 - component or subject first, followed by characteristic and qualifier/state; no unsupported external mapping</x:v>
      </x:c>
      <x:c r="J917" s="35" t="str">
        <x:v>REUSE_R2_TERM</x:v>
      </x:c>
    </x:row>
    <x:row r="918">
      <x:c r="A918" s="35" t="str">
        <x:v>stabilityCalculationIcingAllowanceValues</x:v>
      </x:c>
      <x:c r="B918" s="35" t="str">
        <x:v>https://w3id.org/nltl-benchmark/vocab#stabilityCalculationIcingAllowanceValues</x:v>
      </x:c>
      <x:c r="C918" s="35" t="str">
        <x:v>DatatypeProperty</x:v>
      </x:c>
      <x:c r="D918" s="35" t="str">
        <x:v>http://www.w3.org/2001/XMLSchema#string</x:v>
      </x:c>
      <x:c r="E918" s="35" t="str">
        <x:v>xsd:string</x:v>
      </x:c>
      <x:c r="F918" s="35" t="str"/>
      <x:c r="G918" s="38" t="str">
        <x:v>IMO-035</x:v>
      </x:c>
      <x:c r="H918" s="35" t="str">
        <x:v>Locked-workbook normalized regulatory term</x:v>
      </x:c>
      <x:c r="I918" s="35" t="str">
        <x:v>N4 - preserve the source concept; normalize spelling to ASCII lowerCamelCase</x:v>
      </x:c>
      <x:c r="J918" s="35" t="str">
        <x:v>REUSE_R2_TERM</x:v>
      </x:c>
    </x:row>
    <x:row r="919">
      <x:c r="A919" s="35" t="str">
        <x:v>stallingAnalysisPurpose</x:v>
      </x:c>
      <x:c r="B919" s="35" t="str">
        <x:v>https://w3id.org/nltl-benchmark/vocab#stallingAnalysisPurpose</x:v>
      </x:c>
      <x:c r="C919" s="35" t="str">
        <x:v>DatatypeProperty</x:v>
      </x:c>
      <x:c r="D919" s="35" t="str">
        <x:v>http://www.w3.org/2001/XMLSchema#string</x:v>
      </x:c>
      <x:c r="E919" s="35" t="str">
        <x:v>xsd:string</x:v>
      </x:c>
      <x:c r="F919" s="35" t="str"/>
      <x:c r="G919" s="38" t="str">
        <x:v>TRF-091</x:v>
      </x:c>
      <x:c r="H919" s="35" t="str">
        <x:v>Benchmark-coined descriptive engineering term</x:v>
      </x:c>
      <x:c r="I919" s="35" t="str">
        <x:v>N5 - component or subject first, followed by characteristic and qualifier/state; no unsupported external mapping</x:v>
      </x:c>
      <x:c r="J919" s="35" t="str">
        <x:v>REUSE_R2_TERM</x:v>
      </x:c>
    </x:row>
    <x:row r="920">
      <x:c r="A920" s="35" t="str">
        <x:v>stcwCodeSectionAIi2ComplianceStatus</x:v>
      </x:c>
      <x:c r="B920" s="35" t="str">
        <x:v>https://w3id.org/nltl-benchmark/vocab#stcwCodeSectionAIi2ComplianceStatus</x:v>
      </x:c>
      <x:c r="C920" s="35" t="str">
        <x:v>DatatypeProperty</x:v>
      </x:c>
      <x:c r="D920" s="35" t="str">
        <x:v>http://www.w3.org/2001/XMLSchema#boolean</x:v>
      </x:c>
      <x:c r="E920" s="35" t="str">
        <x:v>xsd:boolean</x:v>
      </x:c>
      <x:c r="F920" s="35" t="str"/>
      <x:c r="G920" s="38" t="str">
        <x:v>IMO-103</x:v>
      </x:c>
      <x:c r="H920" s="35" t="str">
        <x:v>Locked-workbook normalized regulatory term</x:v>
      </x:c>
      <x:c r="I920" s="35" t="str">
        <x:v>N4 - preserve the source concept; normalize spelling to ASCII lowerCamelCase</x:v>
      </x:c>
      <x:c r="J920" s="35" t="str">
        <x:v>REUSE_R2_TERM</x:v>
      </x:c>
    </x:row>
    <x:row r="921">
      <x:c r="A921" s="35" t="str">
        <x:v>stcwConventionRegulationIi2ComplianceStatus</x:v>
      </x:c>
      <x:c r="B921" s="35" t="str">
        <x:v>https://w3id.org/nltl-benchmark/vocab#stcwConventionRegulationIi2ComplianceStatus</x:v>
      </x:c>
      <x:c r="C921" s="35" t="str">
        <x:v>DatatypeProperty</x:v>
      </x:c>
      <x:c r="D921" s="35" t="str">
        <x:v>http://www.w3.org/2001/XMLSchema#boolean</x:v>
      </x:c>
      <x:c r="E921" s="35" t="str">
        <x:v>xsd:boolean</x:v>
      </x:c>
      <x:c r="F921" s="35" t="str"/>
      <x:c r="G921" s="38" t="str">
        <x:v>IMO-103</x:v>
      </x:c>
      <x:c r="H921" s="35" t="str">
        <x:v>Locked-workbook normalized regulatory term</x:v>
      </x:c>
      <x:c r="I921" s="35" t="str">
        <x:v>N4 - preserve the source concept; normalize spelling to ASCII lowerCamelCase</x:v>
      </x:c>
      <x:c r="J921" s="35" t="str">
        <x:v>REUSE_R2_TERM</x:v>
      </x:c>
    </x:row>
    <x:row r="922">
      <x:c r="A922" s="35" t="str">
        <x:v>stcwQualificationStatus</x:v>
      </x:c>
      <x:c r="B922" s="35" t="str">
        <x:v>https://w3id.org/nltl-benchmark/vocab#stcwQualificationStatus</x:v>
      </x:c>
      <x:c r="C922" s="35" t="str">
        <x:v>DatatypeProperty</x:v>
      </x:c>
      <x:c r="D922" s="35" t="str">
        <x:v>http://www.w3.org/2001/XMLSchema#boolean</x:v>
      </x:c>
      <x:c r="E922" s="35" t="str">
        <x:v>xsd:boolean</x:v>
      </x:c>
      <x:c r="F922" s="35" t="str"/>
      <x:c r="G922" s="38" t="str">
        <x:v>IMO-102</x:v>
      </x:c>
      <x:c r="H922" s="35" t="str">
        <x:v>Locked-workbook normalized regulatory term</x:v>
      </x:c>
      <x:c r="I922" s="35" t="str">
        <x:v>N4 - preserve the source concept; normalize spelling to ASCII lowerCamelCase</x:v>
      </x:c>
      <x:c r="J922" s="35" t="str">
        <x:v>REUSE_R2_TERM</x:v>
      </x:c>
    </x:row>
    <x:row r="923">
      <x:c r="A923" s="35" t="str">
        <x:v>steadyStateHarmonic</x:v>
      </x:c>
      <x:c r="B923" s="35" t="str">
        <x:v>https://w3id.org/nltl-benchmark/vocab#steadyStateHarmonic</x:v>
      </x:c>
      <x:c r="C923" s="35" t="str">
        <x:v>DatatypeProperty</x:v>
      </x:c>
      <x:c r="D923" s="35" t="str">
        <x:v>http://www.w3.org/2001/XMLSchema#string</x:v>
      </x:c>
      <x:c r="E923" s="35" t="str">
        <x:v>xsd:string</x:v>
      </x:c>
      <x:c r="F923" s="35" t="str"/>
      <x:c r="G923" s="38" t="str">
        <x:v>TRF-093</x:v>
      </x:c>
      <x:c r="H923" s="35" t="str">
        <x:v>Benchmark-coined descriptive engineering term</x:v>
      </x:c>
      <x:c r="I923" s="35" t="str">
        <x:v>N5 - component or subject first, followed by characteristic and qualifier/state; no unsupported external mapping</x:v>
      </x:c>
      <x:c r="J923" s="35" t="str">
        <x:v>REUSE_R2_TERM</x:v>
      </x:c>
    </x:row>
    <x:row r="924">
      <x:c r="A924" s="35" t="str">
        <x:v>steelGrade</x:v>
      </x:c>
      <x:c r="B924" s="35" t="str">
        <x:v>https://w3id.org/nltl-benchmark/vocab#steelGrade</x:v>
      </x:c>
      <x:c r="C924" s="35" t="str">
        <x:v>DatatypeProperty</x:v>
      </x:c>
      <x:c r="D924" s="35" t="str">
        <x:v>http://www.w3.org/2001/XMLSchema#string</x:v>
      </x:c>
      <x:c r="E924" s="35" t="str">
        <x:v>xsd:string</x:v>
      </x:c>
      <x:c r="F924" s="35" t="str"/>
      <x:c r="G924" s="38" t="str">
        <x:v>I2-048</x:v>
      </x:c>
      <x:c r="H924" s="35" t="str">
        <x:v>Benchmark-coined descriptive engineering term</x:v>
      </x:c>
      <x:c r="I924" s="35" t="str">
        <x:v>N5 - component or subject first, followed by characteristic and qualifier/state; no unsupported external mapping</x:v>
      </x:c>
      <x:c r="J924" s="35" t="str">
        <x:v>REUSE_R2_TERM</x:v>
      </x:c>
    </x:row>
    <x:row r="925">
      <x:c r="A925" s="35" t="str">
        <x:v>steelGradeValue</x:v>
      </x:c>
      <x:c r="B925" s="35" t="str">
        <x:v>https://w3id.org/nltl-benchmark/vocab#steelGradeValue</x:v>
      </x:c>
      <x:c r="C925" s="35" t="str">
        <x:v>Class</x:v>
      </x:c>
      <x:c r="D925" s="35" t="str">
        <x:v>https://w3id.org/nltl-benchmark/vocab#benchmarkEntity</x:v>
      </x:c>
      <x:c r="E925" s="35" t="str"/>
      <x:c r="F925" s="35" t="str"/>
      <x:c r="G925" s="38" t="str">
        <x:v>TRF-041 | TRF-042 | TRF-051</x:v>
      </x:c>
      <x:c r="H925" s="35" t="str">
        <x:v>Applicable TRAFICOM regulation wording plus explicit engineering node/operand role</x:v>
      </x:c>
      <x:c r="I925" s="35" t="str">
        <x:v>N4 - singular ASCII lowerCamelCase entity name derived from the linked regulatory role.</x:v>
      </x:c>
      <x:c r="J925" s="35" t="str">
        <x:v>ADD_DEVELOPMENT_TERM</x:v>
      </x:c>
    </x:row>
    <x:row r="926">
      <x:c r="A926" s="35" t="str">
        <x:v>steelRenewalRequired</x:v>
      </x:c>
      <x:c r="B926" s="35" t="str">
        <x:v>https://w3id.org/nltl-benchmark/vocab#steelRenewalRequired</x:v>
      </x:c>
      <x:c r="C926" s="35" t="str">
        <x:v>DatatypeProperty</x:v>
      </x:c>
      <x:c r="D926" s="35" t="str">
        <x:v>http://www.w3.org/2001/XMLSchema#boolean</x:v>
      </x:c>
      <x:c r="E926" s="35" t="str">
        <x:v>xsd:boolean</x:v>
      </x:c>
      <x:c r="F926" s="35" t="str"/>
      <x:c r="G926" s="38" t="str">
        <x:v>I2-047</x:v>
      </x:c>
      <x:c r="H926" s="35" t="str">
        <x:v>Benchmark-coined descriptive engineering term</x:v>
      </x:c>
      <x:c r="I926" s="35" t="str">
        <x:v>N5 - component or subject first, followed by characteristic and qualifier/state; no unsupported external mapping</x:v>
      </x:c>
      <x:c r="J926" s="35" t="str">
        <x:v>REUSE_R2_TERM</x:v>
      </x:c>
    </x:row>
    <x:row r="927">
      <x:c r="A927" s="35" t="str">
        <x:v>steeringMechanism</x:v>
      </x:c>
      <x:c r="B927" s="35" t="str">
        <x:v>https://w3id.org/nltl-benchmark/vocab#steeringMechanism</x:v>
      </x:c>
      <x:c r="C927" s="35" t="str">
        <x:v>Class</x:v>
      </x:c>
      <x:c r="D927" s="35" t="str">
        <x:v>https://w3id.org/nltl-benchmark/vocab#machineryComponent</x:v>
      </x:c>
      <x:c r="E927" s="35" t="str"/>
      <x:c r="F927" s="35" t="str"/>
      <x:c r="G927" s="38" t="str">
        <x:v>TRF-113</x:v>
      </x:c>
      <x:c r="H927" s="35" t="str">
        <x:v>Benchmark-coined descriptive engineering term</x:v>
      </x:c>
      <x:c r="I927" s="35" t="str">
        <x:v>N5 - component or subject first, followed by characteristic and qualifier/state; no unsupported external mapping</x:v>
      </x:c>
      <x:c r="J927" s="35" t="str">
        <x:v>REUSE_R2_TERM</x:v>
      </x:c>
    </x:row>
    <x:row r="928">
      <x:c r="A928" s="35" t="str">
        <x:v>stemAngle</x:v>
      </x:c>
      <x:c r="B928" s="35" t="str">
        <x:v>https://w3id.org/nltl-benchmark/vocab#stemAngle</x:v>
      </x:c>
      <x:c r="C928" s="35" t="str">
        <x:v>QuantityProperty</x:v>
      </x:c>
      <x:c r="D928" s="35" t="str">
        <x:v>http://qudt.org/schema/qudt/QuantityValue</x:v>
      </x:c>
      <x:c r="E928" s="35" t="str"/>
      <x:c r="F928" s="35" t="str">
        <x:v>deg</x:v>
      </x:c>
      <x:c r="G928" s="38" t="str">
        <x:v>I2-050 | I2-054</x:v>
      </x:c>
      <x:c r="H928" s="35" t="str">
        <x:v>Regulatory symbol expanded from a directly verified definition</x:v>
      </x:c>
      <x:c r="I928" s="35" t="str">
        <x:v>N2 - replace formula symbol with its clause-defined engineering meaning; preserve symbol as alias</x:v>
      </x:c>
      <x:c r="J928" s="35" t="str">
        <x:v>REUSE_R2_TERM</x:v>
      </x:c>
    </x:row>
    <x:row r="929">
      <x:c r="A929" s="35" t="str">
        <x:v>sternFrame</x:v>
      </x:c>
      <x:c r="B929" s="35" t="str">
        <x:v>https://w3id.org/nltl-benchmark/vocab#sternFrame</x:v>
      </x:c>
      <x:c r="C929" s="35" t="str">
        <x:v>Class</x:v>
      </x:c>
      <x:c r="D929" s="35" t="str">
        <x:v>https://w3id.org/nltl-benchmark/vocab#hullStructure</x:v>
      </x:c>
      <x:c r="E929" s="35" t="str"/>
      <x:c r="F929" s="35" t="str"/>
      <x:c r="G929" s="38" t="str">
        <x:v>TRF-062</x:v>
      </x:c>
      <x:c r="H929" s="35" t="str">
        <x:v>Benchmark-coined descriptive engineering term</x:v>
      </x:c>
      <x:c r="I929" s="35" t="str">
        <x:v>N5 - component or subject first, followed by characteristic and qualifier/state; no unsupported external mapping</x:v>
      </x:c>
      <x:c r="J929" s="35" t="str">
        <x:v>REUSE_R2_TERM</x:v>
      </x:c>
    </x:row>
    <x:row r="930">
      <x:c r="A930" s="35" t="str">
        <x:v>sternRegion</x:v>
      </x:c>
      <x:c r="B930" s="35" t="str">
        <x:v>https://w3id.org/nltl-benchmark/vocab#sternRegion</x:v>
      </x:c>
      <x:c r="C930" s="35" t="str">
        <x:v>NamedIndividual</x:v>
      </x:c>
      <x:c r="D930" s="35" t="str">
        <x:v>https://w3id.org/nltl-benchmark/vocab#hullRegionValue</x:v>
      </x:c>
      <x:c r="E930" s="35" t="str"/>
      <x:c r="F930" s="35" t="str"/>
      <x:c r="G930" s="38" t="str">
        <x:v>TRF-035 | TRF-037 | TRF-043 | TRF-052</x:v>
      </x:c>
      <x:c r="H930" s="35" t="str">
        <x:v>Applicable TRAFICOM regulation wording plus explicit engineering node/operand role</x:v>
      </x:c>
      <x:c r="I930" s="35" t="str">
        <x:v>N6 - concise ASCII lowerCamelCase controlled-value name grounded in the linked regulation.</x:v>
      </x:c>
      <x:c r="J930" s="35" t="str">
        <x:v>ADD_DEVELOPMENT_TERM</x:v>
      </x:c>
    </x:row>
    <x:row r="931">
      <x:c r="A931" s="35" t="str">
        <x:v>sternTube</x:v>
      </x:c>
      <x:c r="B931" s="35" t="str">
        <x:v>https://w3id.org/nltl-benchmark/vocab#sternTube</x:v>
      </x:c>
      <x:c r="C931" s="35" t="str">
        <x:v>Class</x:v>
      </x:c>
      <x:c r="D931" s="35" t="str">
        <x:v>https://w3id.org/nltl-benchmark/vocab#machineryComponent</x:v>
      </x:c>
      <x:c r="E931" s="35" t="str"/>
      <x:c r="F931" s="35" t="str"/>
      <x:c r="G931" s="38" t="str">
        <x:v>TRF-064</x:v>
      </x:c>
      <x:c r="H931" s="35" t="str">
        <x:v>Benchmark-coined descriptive engineering term</x:v>
      </x:c>
      <x:c r="I931" s="35" t="str">
        <x:v>N5 - component or subject first, followed by characteristic and qualifier/state; no unsupported external mapping</x:v>
      </x:c>
      <x:c r="J931" s="35" t="str">
        <x:v>REUSE_R2_TERM</x:v>
      </x:c>
    </x:row>
    <x:row r="932">
      <x:c r="A932" s="35" t="str">
        <x:v>stoppedLightPresent</x:v>
      </x:c>
      <x:c r="B932" s="35" t="str">
        <x:v>https://w3id.org/nltl-benchmark/vocab#stoppedLightPresent</x:v>
      </x:c>
      <x:c r="C932" s="35" t="str">
        <x:v>DatatypeProperty</x:v>
      </x:c>
      <x:c r="D932" s="35" t="str">
        <x:v>http://www.w3.org/2001/XMLSchema#boolean</x:v>
      </x:c>
      <x:c r="E932" s="35" t="str">
        <x:v>xsd:boolean</x:v>
      </x:c>
      <x:c r="F932" s="35" t="str"/>
      <x:c r="G932" s="38" t="str">
        <x:v>IMO-089</x:v>
      </x:c>
      <x:c r="H932" s="35" t="str">
        <x:v>Locked-workbook normalized regulatory term</x:v>
      </x:c>
      <x:c r="I932" s="35" t="str">
        <x:v>N4 - preserve the source concept; normalize spelling to ASCII lowerCamelCase</x:v>
      </x:c>
      <x:c r="J932" s="35" t="str">
        <x:v>REUSE_R2_TERM</x:v>
      </x:c>
    </x:row>
    <x:row r="933">
      <x:c r="A933" s="35" t="str">
        <x:v>storageAccessibilityStatus</x:v>
      </x:c>
      <x:c r="B933" s="35" t="str">
        <x:v>https://w3id.org/nltl-benchmark/vocab#storageAccessibilityStatus</x:v>
      </x:c>
      <x:c r="C933" s="35" t="str">
        <x:v>DatatypeProperty</x:v>
      </x:c>
      <x:c r="D933" s="35" t="str">
        <x:v>http://www.w3.org/2001/XMLSchema#boolean</x:v>
      </x:c>
      <x:c r="E933" s="35" t="str">
        <x:v>xsd:boolean</x:v>
      </x:c>
      <x:c r="F933" s="35" t="str"/>
      <x:c r="G933" s="38" t="str">
        <x:v>IMO-075</x:v>
      </x:c>
      <x:c r="H933" s="35" t="str">
        <x:v>Locked-workbook normalized regulatory term</x:v>
      </x:c>
      <x:c r="I933" s="35" t="str">
        <x:v>N4 - preserve the source concept; normalize spelling to ASCII lowerCamelCase</x:v>
      </x:c>
      <x:c r="J933" s="35" t="str">
        <x:v>REUSE_R2_TERM</x:v>
      </x:c>
    </x:row>
    <x:row r="934">
      <x:c r="A934" s="35" t="str">
        <x:v>storageDistanceToMusterOrEmbarkation</x:v>
      </x:c>
      <x:c r="B934" s="35" t="str">
        <x:v>https://w3id.org/nltl-benchmark/vocab#storageDistanceToMusterOrEmbarkation</x:v>
      </x:c>
      <x:c r="C934" s="35" t="str">
        <x:v>QuantityProperty</x:v>
      </x:c>
      <x:c r="D934" s="35" t="str">
        <x:v>http://qudt.org/schema/qudt/QuantityValue</x:v>
      </x:c>
      <x:c r="E934" s="35" t="str"/>
      <x:c r="F934" s="35" t="str">
        <x:v>m</x:v>
      </x:c>
      <x:c r="G934" s="38" t="str">
        <x:v>IMO-075</x:v>
      </x:c>
      <x:c r="H934" s="35" t="str">
        <x:v>Locked-workbook normalized regulatory term</x:v>
      </x:c>
      <x:c r="I934" s="35" t="str">
        <x:v>N4 - preserve the source concept; normalize spelling to ASCII lowerCamelCase</x:v>
      </x:c>
      <x:c r="J934" s="35" t="str">
        <x:v>REUSE_R2_TERM</x:v>
      </x:c>
    </x:row>
    <x:row r="935">
      <x:c r="A935" s="35" t="str">
        <x:v>storageLocation</x:v>
      </x:c>
      <x:c r="B935" s="35" t="str">
        <x:v>https://w3id.org/nltl-benchmark/vocab#storageLocation</x:v>
      </x:c>
      <x:c r="C935" s="35" t="str">
        <x:v>DatatypeProperty</x:v>
      </x:c>
      <x:c r="D935" s="35" t="str">
        <x:v>http://www.w3.org/2001/XMLSchema#string</x:v>
      </x:c>
      <x:c r="E935" s="35" t="str">
        <x:v>xsd:string</x:v>
      </x:c>
      <x:c r="F935" s="35" t="str"/>
      <x:c r="G935" s="38" t="str">
        <x:v>IMO-059</x:v>
      </x:c>
      <x:c r="H935" s="35" t="str">
        <x:v>Locked-workbook normalized regulatory term</x:v>
      </x:c>
      <x:c r="I935" s="35" t="str">
        <x:v>N4 - preserve the source concept; normalize spelling to ASCII lowerCamelCase</x:v>
      </x:c>
      <x:c r="J935" s="35" t="str">
        <x:v>REUSE_R2_TERM</x:v>
      </x:c>
    </x:row>
    <x:row r="936">
      <x:c r="A936" s="35" t="str">
        <x:v>storageLocationSubjectToFreezing</x:v>
      </x:c>
      <x:c r="B936" s="35" t="str">
        <x:v>https://w3id.org/nltl-benchmark/vocab#storageLocationSubjectToFreezing</x:v>
      </x:c>
      <x:c r="C936" s="35" t="str">
        <x:v>Class</x:v>
      </x:c>
      <x:c r="D936" s="35" t="str">
        <x:v>https://w3id.org/nltl-benchmark/vocab#benchmarkEntity</x:v>
      </x:c>
      <x:c r="E936" s="35" t="str"/>
      <x:c r="F936" s="35" t="str"/>
      <x:c r="G936" s="38" t="str">
        <x:v>IMO-061</x:v>
      </x:c>
      <x:c r="H936" s="35" t="str">
        <x:v>Locked-workbook normalized regulatory term</x:v>
      </x:c>
      <x:c r="I936" s="35" t="str">
        <x:v>N4 - preserve the source concept; normalize spelling to ASCII lowerCamelCase</x:v>
      </x:c>
      <x:c r="J936" s="35" t="str">
        <x:v>REUSE_R2_TERM</x:v>
      </x:c>
    </x:row>
    <x:row r="937">
      <x:c r="A937" s="35" t="str">
        <x:v>storageLocationTemperatureClass</x:v>
      </x:c>
      <x:c r="B937" s="35" t="str">
        <x:v>https://w3id.org/nltl-benchmark/vocab#storageLocationTemperatureClass</x:v>
      </x:c>
      <x:c r="C937" s="35" t="str">
        <x:v>DatatypeProperty</x:v>
      </x:c>
      <x:c r="D937" s="35" t="str">
        <x:v>http://www.w3.org/2001/XMLSchema#string</x:v>
      </x:c>
      <x:c r="E937" s="35" t="str">
        <x:v>xsd:string</x:v>
      </x:c>
      <x:c r="F937" s="35" t="str"/>
      <x:c r="G937" s="38" t="str">
        <x:v>IMO-059</x:v>
      </x:c>
      <x:c r="H937" s="35" t="str">
        <x:v>Locked-workbook normalized regulatory term</x:v>
      </x:c>
      <x:c r="I937" s="35" t="str">
        <x:v>N4 - preserve the source concept; normalize spelling to ASCII lowerCamelCase</x:v>
      </x:c>
      <x:c r="J937" s="35" t="str">
        <x:v>REUSE_R2_TERM</x:v>
      </x:c>
    </x:row>
    <x:row r="938">
      <x:c r="A938" s="35" t="str">
        <x:v>strainerOpenArea</x:v>
      </x:c>
      <x:c r="B938" s="35" t="str">
        <x:v>https://w3id.org/nltl-benchmark/vocab#strainerOpenArea</x:v>
      </x:c>
      <x:c r="C938" s="35" t="str">
        <x:v>QuantityProperty</x:v>
      </x:c>
      <x:c r="D938" s="35" t="str">
        <x:v>http://qudt.org/schema/qudt/QuantityValue</x:v>
      </x:c>
      <x:c r="E938" s="35" t="str"/>
      <x:c r="F938" s="35" t="str">
        <x:v>m^2</x:v>
      </x:c>
      <x:c r="G938" s="38" t="str">
        <x:v>TRF-130</x:v>
      </x:c>
      <x:c r="H938" s="35" t="str">
        <x:v>Unit-stripped normalized regulatory variable</x:v>
      </x:c>
      <x:c r="I938" s="35" t="str">
        <x:v>N3 - remove unit from the identifier and retain it in unit/quantity metadata</x:v>
      </x:c>
      <x:c r="J938" s="35" t="str">
        <x:v>REUSE_R2_TERM</x:v>
      </x:c>
    </x:row>
    <x:row r="939">
      <x:c r="A939" s="35" t="str">
        <x:v>strainerOpenAreaRatio</x:v>
      </x:c>
      <x:c r="B939" s="35" t="str">
        <x:v>https://w3id.org/nltl-benchmark/vocab#strainerOpenAreaRatio</x:v>
      </x:c>
      <x:c r="C939" s="35" t="str">
        <x:v>QuantityProperty</x:v>
      </x:c>
      <x:c r="D939" s="35" t="str">
        <x:v>http://qudt.org/schema/qudt/QuantityValue</x:v>
      </x:c>
      <x:c r="E939" s="35" t="str"/>
      <x:c r="F939" s="35" t="str">
        <x:v>1</x:v>
      </x:c>
      <x:c r="G939" s="38" t="str">
        <x:v>TRF-130</x:v>
      </x:c>
      <x:c r="H939" s="35" t="str">
        <x:v>Locked-workbook normalized regulatory term</x:v>
      </x:c>
      <x:c r="I939" s="35" t="str">
        <x:v>N4 - preserve the source concept; normalize spelling to ASCII lowerCamelCase</x:v>
      </x:c>
      <x:c r="J939" s="35" t="str">
        <x:v>REUSE_R2_TERM</x:v>
      </x:c>
    </x:row>
    <x:row r="940">
      <x:c r="A940" s="35" t="str">
        <x:v>strengthContinuityStatus</x:v>
      </x:c>
      <x:c r="B940" s="35" t="str">
        <x:v>https://w3id.org/nltl-benchmark/vocab#strengthContinuityStatus</x:v>
      </x:c>
      <x:c r="C940" s="35" t="str">
        <x:v>DatatypeProperty</x:v>
      </x:c>
      <x:c r="D940" s="35" t="str">
        <x:v>http://www.w3.org/2001/XMLSchema#boolean</x:v>
      </x:c>
      <x:c r="E940" s="35" t="str">
        <x:v>xsd:boolean</x:v>
      </x:c>
      <x:c r="F940" s="35" t="str"/>
      <x:c r="G940" s="38" t="str">
        <x:v>I2-067</x:v>
      </x:c>
      <x:c r="H940" s="35" t="str">
        <x:v>Benchmark-coined descriptive engineering term</x:v>
      </x:c>
      <x:c r="I940" s="35" t="str">
        <x:v>N5 - component or subject first, followed by characteristic and qualifier/state; no unsupported external mapping</x:v>
      </x:c>
      <x:c r="J940" s="35" t="str">
        <x:v>REUSE_R2_TERM</x:v>
      </x:c>
    </x:row>
    <x:row r="941">
      <x:c r="A941" s="35" t="str">
        <x:v>strengthCriterionStatus</x:v>
      </x:c>
      <x:c r="B941" s="35" t="str">
        <x:v>https://w3id.org/nltl-benchmark/vocab#strengthCriterionStatus</x:v>
      </x:c>
      <x:c r="C941" s="35" t="str">
        <x:v>DatatypeProperty</x:v>
      </x:c>
      <x:c r="D941" s="35" t="str">
        <x:v>http://www.w3.org/2001/XMLSchema#boolean</x:v>
      </x:c>
      <x:c r="E941" s="35" t="str">
        <x:v>xsd:boolean</x:v>
      </x:c>
      <x:c r="F941" s="35" t="str"/>
      <x:c r="G941" s="38" t="str">
        <x:v>I2-055</x:v>
      </x:c>
      <x:c r="H941" s="35" t="str">
        <x:v>Benchmark-coined descriptive engineering term</x:v>
      </x:c>
      <x:c r="I941" s="35" t="str">
        <x:v>N5 - component or subject first, followed by characteristic and qualifier/state; no unsupported external mapping</x:v>
      </x:c>
      <x:c r="J941" s="35" t="str">
        <x:v>REUSE_R2_TERM</x:v>
      </x:c>
    </x:row>
    <x:row r="942">
      <x:c r="A942" s="35" t="str">
        <x:v>stressLifeCurveType</x:v>
      </x:c>
      <x:c r="B942" s="35" t="str">
        <x:v>https://w3id.org/nltl-benchmark/vocab#stressLifeCurveType</x:v>
      </x:c>
      <x:c r="C942" s="35" t="str">
        <x:v>DatatypeProperty</x:v>
      </x:c>
      <x:c r="D942" s="35" t="str">
        <x:v>http://www.w3.org/2001/XMLSchema#string</x:v>
      </x:c>
      <x:c r="E942" s="35" t="str">
        <x:v>xsd:string</x:v>
      </x:c>
      <x:c r="F942" s="35" t="str"/>
      <x:c r="G942" s="38" t="str">
        <x:v>TRF-106 | TRF-108</x:v>
      </x:c>
      <x:c r="H942" s="35" t="str">
        <x:v>Locked-workbook normalized regulatory term</x:v>
      </x:c>
      <x:c r="I942" s="35" t="str">
        <x:v>N4 - preserve the source concept; normalize spelling to ASCII lowerCamelCase</x:v>
      </x:c>
      <x:c r="J942" s="35" t="str">
        <x:v>REUSE_R2_TERM</x:v>
      </x:c>
    </x:row>
    <x:row r="943">
      <x:c r="A943" s="35" t="str">
        <x:v>stressMeasure</x:v>
      </x:c>
      <x:c r="B943" s="35" t="str">
        <x:v>https://w3id.org/nltl-benchmark/vocab#stressMeasure</x:v>
      </x:c>
      <x:c r="C943" s="35" t="str">
        <x:v>DatatypeProperty</x:v>
      </x:c>
      <x:c r="D943" s="35" t="str">
        <x:v>http://www.w3.org/2001/XMLSchema#string</x:v>
      </x:c>
      <x:c r="E943" s="35" t="str">
        <x:v>xsd:string</x:v>
      </x:c>
      <x:c r="F943" s="35" t="str"/>
      <x:c r="G943" s="38" t="str">
        <x:v>TRF-106</x:v>
      </x:c>
      <x:c r="H943" s="35" t="str">
        <x:v>Locked-workbook normalized regulatory term</x:v>
      </x:c>
      <x:c r="I943" s="35" t="str">
        <x:v>N4 - preserve the source concept; normalize spelling to ASCII lowerCamelCase</x:v>
      </x:c>
      <x:c r="J943" s="35" t="str">
        <x:v>REUSE_R2_TERM</x:v>
      </x:c>
    </x:row>
    <x:row r="944">
      <x:c r="A944" s="35" t="str">
        <x:v>stringerOutsideIceBeltHeight</x:v>
      </x:c>
      <x:c r="B944" s="35" t="str">
        <x:v>https://w3id.org/nltl-benchmark/vocab#stringerOutsideIceBeltHeight</x:v>
      </x:c>
      <x:c r="C944" s="35" t="str">
        <x:v>QuantityProperty</x:v>
      </x:c>
      <x:c r="D944" s="35" t="str">
        <x:v>http://qudt.org/schema/qudt/QuantityValue</x:v>
      </x:c>
      <x:c r="E944" s="35" t="str"/>
      <x:c r="F944" s="35" t="str">
        <x:v>m</x:v>
      </x:c>
      <x:c r="G944" s="38" t="str">
        <x:v>TRF-058</x:v>
      </x:c>
      <x:c r="H944" s="35" t="str">
        <x:v>Benchmark-coined descriptive engineering term</x:v>
      </x:c>
      <x:c r="I944" s="35" t="str">
        <x:v>N5 - component or subject first, followed by characteristic and qualifier/state; no unsupported external mapping</x:v>
      </x:c>
      <x:c r="J944" s="35" t="str">
        <x:v>REUSE_R2_TERM</x:v>
      </x:c>
    </x:row>
    <x:row r="945">
      <x:c r="A945" s="35" t="str">
        <x:v>stringerSpan</x:v>
      </x:c>
      <x:c r="B945" s="35" t="str">
        <x:v>https://w3id.org/nltl-benchmark/vocab#stringerSpan</x:v>
      </x:c>
      <x:c r="C945" s="35" t="str">
        <x:v>QuantityProperty</x:v>
      </x:c>
      <x:c r="D945" s="35" t="str">
        <x:v>http://qudt.org/schema/qudt/QuantityValue</x:v>
      </x:c>
      <x:c r="E945" s="35" t="str"/>
      <x:c r="F945" s="35" t="str">
        <x:v>m</x:v>
      </x:c>
      <x:c r="G945" s="38" t="str">
        <x:v>TRF-058</x:v>
      </x:c>
      <x:c r="H945" s="35" t="str">
        <x:v>Verified exact implementation term</x:v>
      </x:c>
      <x:c r="I945" s="35" t="str">
        <x:v>N1 - reuse only after exact URI and semantic-context verification</x:v>
      </x:c>
      <x:c r="J945" s="35" t="str">
        <x:v>REUSE_R2_TERM</x:v>
      </x:c>
    </x:row>
    <x:row r="946">
      <x:c r="A946" s="35" t="str">
        <x:v>structuralArrangement</x:v>
      </x:c>
      <x:c r="B946" s="35" t="str">
        <x:v>https://w3id.org/nltl-benchmark/vocab#structuralArrangement</x:v>
      </x:c>
      <x:c r="C946" s="35" t="str">
        <x:v>DatatypeProperty</x:v>
      </x:c>
      <x:c r="D946" s="35" t="str">
        <x:v>http://www.w3.org/2001/XMLSchema#string</x:v>
      </x:c>
      <x:c r="E946" s="35" t="str">
        <x:v>xsd:string</x:v>
      </x:c>
      <x:c r="F946" s="35" t="str"/>
      <x:c r="G946" s="38" t="str">
        <x:v>TRF-029</x:v>
      </x:c>
      <x:c r="H946" s="35" t="str">
        <x:v>Benchmark-coined descriptive engineering term</x:v>
      </x:c>
      <x:c r="I946" s="35" t="str">
        <x:v>N5 - component or subject first, followed by characteristic and qualifier/state; no unsupported external mapping</x:v>
      </x:c>
      <x:c r="J946" s="35" t="str">
        <x:v>REUSE_R2_TERM</x:v>
      </x:c>
    </x:row>
    <x:row r="947">
      <x:c r="A947" s="35" t="str">
        <x:v>structuralConnection</x:v>
      </x:c>
      <x:c r="B947" s="35" t="str">
        <x:v>https://w3id.org/nltl-benchmark/vocab#structuralConnection</x:v>
      </x:c>
      <x:c r="C947" s="35" t="str">
        <x:v>ObjectProperty</x:v>
      </x:c>
      <x:c r="D947" s="35" t="str">
        <x:v>https://w3id.org/nltl-benchmark/vocab#benchmarkEntity</x:v>
      </x:c>
      <x:c r="E947" s="35" t="str"/>
      <x:c r="F947" s="35" t="str"/>
      <x:c r="G947" s="38" t="str">
        <x:v>I2-067</x:v>
      </x:c>
      <x:c r="H947" s="35" t="str">
        <x:v>Benchmark-coined descriptive engineering term</x:v>
      </x:c>
      <x:c r="I947" s="35" t="str">
        <x:v>N5 - component or subject first, followed by characteristic and qualifier/state; no unsupported external mapping</x:v>
      </x:c>
      <x:c r="J947" s="35" t="str">
        <x:v>REUSE_R2_TERM</x:v>
      </x:c>
    </x:row>
    <x:row r="948">
      <x:c r="A948" s="35" t="str">
        <x:v>structuralMember</x:v>
      </x:c>
      <x:c r="B948" s="35" t="str">
        <x:v>https://w3id.org/nltl-benchmark/vocab#structuralMember</x:v>
      </x:c>
      <x:c r="C948" s="35" t="str">
        <x:v>Class</x:v>
      </x:c>
      <x:c r="D948" s="35" t="str">
        <x:v>https://w3id.org/nltl-benchmark/vocab#hullStructure</x:v>
      </x:c>
      <x:c r="E948" s="35" t="str"/>
      <x:c r="F948" s="35" t="str"/>
      <x:c r="G948" s="38" t="str">
        <x:v>I2-019 | I2-060</x:v>
      </x:c>
      <x:c r="H948" s="35" t="str">
        <x:v>Benchmark-coined descriptive engineering term</x:v>
      </x:c>
      <x:c r="I948" s="35" t="str">
        <x:v>N5 - component or subject first, followed by characteristic and qualifier/state; no unsupported external mapping</x:v>
      </x:c>
      <x:c r="J948" s="35" t="str">
        <x:v>REUSE_R2_TERM</x:v>
      </x:c>
    </x:row>
    <x:row r="949">
      <x:c r="A949" s="35" t="str">
        <x:v>structuralStiffening</x:v>
      </x:c>
      <x:c r="B949" s="35" t="str">
        <x:v>https://w3id.org/nltl-benchmark/vocab#structuralStiffening</x:v>
      </x:c>
      <x:c r="C949" s="35" t="str">
        <x:v>DatatypeProperty</x:v>
      </x:c>
      <x:c r="D949" s="35" t="str">
        <x:v>http://www.w3.org/2001/XMLSchema#string</x:v>
      </x:c>
      <x:c r="E949" s="35" t="str">
        <x:v>xsd:string</x:v>
      </x:c>
      <x:c r="F949" s="35" t="str"/>
      <x:c r="G949" s="38" t="str">
        <x:v>I2-060</x:v>
      </x:c>
      <x:c r="H949" s="35" t="str">
        <x:v>Benchmark-coined descriptive engineering term</x:v>
      </x:c>
      <x:c r="I949" s="35" t="str">
        <x:v>N5 - component or subject first, followed by characteristic and qualifier/state; no unsupported external mapping</x:v>
      </x:c>
      <x:c r="J949" s="35" t="str">
        <x:v>REUSE_R2_TERM</x:v>
      </x:c>
    </x:row>
    <x:row r="950">
      <x:c r="A950" s="35" t="str">
        <x:v>strutDesignEvidence</x:v>
      </x:c>
      <x:c r="B950" s="35" t="str">
        <x:v>https://w3id.org/nltl-benchmark/vocab#strutDesignEvidence</x:v>
      </x:c>
      <x:c r="C950" s="35" t="str">
        <x:v>Class</x:v>
      </x:c>
      <x:c r="D950" s="35" t="str">
        <x:v>https://w3id.org/nltl-benchmark/vocab#documentEvidence</x:v>
      </x:c>
      <x:c r="E950" s="35" t="str"/>
      <x:c r="F950" s="35" t="str"/>
      <x:c r="G950" s="38" t="str">
        <x:v>TRF-064</x:v>
      </x:c>
      <x:c r="H950" s="35" t="str">
        <x:v>Benchmark-coined descriptive engineering term</x:v>
      </x:c>
      <x:c r="I950" s="35" t="str">
        <x:v>N5 - component or subject first, followed by characteristic and qualifier/state; no unsupported external mapping</x:v>
      </x:c>
      <x:c r="J950" s="35" t="str">
        <x:v>REUSE_R2_TERM</x:v>
      </x:c>
    </x:row>
    <x:row r="951">
      <x:c r="A951" s="35" t="str">
        <x:v>strutHullAttachmentEvidence</x:v>
      </x:c>
      <x:c r="B951" s="35" t="str">
        <x:v>https://w3id.org/nltl-benchmark/vocab#strutHullAttachmentEvidence</x:v>
      </x:c>
      <x:c r="C951" s="35" t="str">
        <x:v>Class</x:v>
      </x:c>
      <x:c r="D951" s="35" t="str">
        <x:v>https://w3id.org/nltl-benchmark/vocab#documentEvidence</x:v>
      </x:c>
      <x:c r="E951" s="35" t="str"/>
      <x:c r="F951" s="35" t="str"/>
      <x:c r="G951" s="38" t="str">
        <x:v>TRF-064</x:v>
      </x:c>
      <x:c r="H951" s="35" t="str">
        <x:v>Benchmark-coined descriptive engineering term</x:v>
      </x:c>
      <x:c r="I951" s="35" t="str">
        <x:v>N5 - component or subject first, followed by characteristic and qualifier/state; no unsupported external mapping</x:v>
      </x:c>
      <x:c r="J951" s="35" t="str">
        <x:v>REUSE_R2_TERM</x:v>
      </x:c>
    </x:row>
    <x:row r="952">
      <x:c r="A952" s="35" t="str">
        <x:v>strutStrengthEvidence</x:v>
      </x:c>
      <x:c r="B952" s="35" t="str">
        <x:v>https://w3id.org/nltl-benchmark/vocab#strutStrengthEvidence</x:v>
      </x:c>
      <x:c r="C952" s="35" t="str">
        <x:v>Class</x:v>
      </x:c>
      <x:c r="D952" s="35" t="str">
        <x:v>https://w3id.org/nltl-benchmark/vocab#documentEvidence</x:v>
      </x:c>
      <x:c r="E952" s="35" t="str"/>
      <x:c r="F952" s="35" t="str"/>
      <x:c r="G952" s="38" t="str">
        <x:v>TRF-064</x:v>
      </x:c>
      <x:c r="H952" s="35" t="str">
        <x:v>Benchmark-coined descriptive engineering term</x:v>
      </x:c>
      <x:c r="I952" s="35" t="str">
        <x:v>N5 - component or subject first, followed by characteristic and qualifier/state; no unsupported external mapping</x:v>
      </x:c>
      <x:c r="J952" s="35" t="str">
        <x:v>REUSE_R2_TERM</x:v>
      </x:c>
    </x:row>
    <x:row r="953">
      <x:c r="A953" s="35" t="str">
        <x:v>substituteArrangementStatus</x:v>
      </x:c>
      <x:c r="B953" s="35" t="str">
        <x:v>https://w3id.org/nltl-benchmark/vocab#substituteArrangementStatus</x:v>
      </x:c>
      <x:c r="C953" s="35" t="str">
        <x:v>DatatypeProperty</x:v>
      </x:c>
      <x:c r="D953" s="35" t="str">
        <x:v>http://www.w3.org/2001/XMLSchema#boolean</x:v>
      </x:c>
      <x:c r="E953" s="35" t="str">
        <x:v>xsd:boolean</x:v>
      </x:c>
      <x:c r="F953" s="35" t="str"/>
      <x:c r="G953" s="38" t="str">
        <x:v>TRF-131</x:v>
      </x:c>
      <x:c r="H953" s="35" t="str">
        <x:v>Benchmark-coined descriptive engineering term</x:v>
      </x:c>
      <x:c r="I953" s="35" t="str">
        <x:v>N5 - component or subject first, followed by characteristic and qualifier/state; no unsupported external mapping</x:v>
      </x:c>
      <x:c r="J953" s="35" t="str">
        <x:v>REUSE_R2_TERM</x:v>
      </x:c>
    </x:row>
    <x:row r="954">
      <x:c r="A954" s="35" t="str">
        <x:v>summerLoadLineFreshWaterDraught</x:v>
      </x:c>
      <x:c r="B954" s="35" t="str">
        <x:v>https://w3id.org/nltl-benchmark/vocab#summerLoadLineFreshWaterDraught</x:v>
      </x:c>
      <x:c r="C954" s="35" t="str">
        <x:v>QuantityProperty</x:v>
      </x:c>
      <x:c r="D954" s="35" t="str">
        <x:v>http://qudt.org/schema/qudt/QuantityValue</x:v>
      </x:c>
      <x:c r="E954" s="35" t="str"/>
      <x:c r="F954" s="35" t="str">
        <x:v>m</x:v>
      </x:c>
      <x:c r="G954" s="38" t="str">
        <x:v>TRF-014</x:v>
      </x:c>
      <x:c r="H954" s="35" t="str">
        <x:v>Applicable TRAFICOM regulation wording plus explicit engineering node/operand role</x:v>
      </x:c>
      <x:c r="I954" s="35" t="str">
        <x:v>N4 - explicit engineering quantity in ASCII lowerCamelCase; formula symbols remain aliases only.</x:v>
      </x:c>
      <x:c r="J954" s="35" t="str">
        <x:v>ADD_DEVELOPMENT_TERM</x:v>
      </x:c>
    </x:row>
    <x:row r="955">
      <x:c r="A955" s="35" t="str">
        <x:v>supportFixity</x:v>
      </x:c>
      <x:c r="B955" s="35" t="str">
        <x:v>https://w3id.org/nltl-benchmark/vocab#supportFixity</x:v>
      </x:c>
      <x:c r="C955" s="35" t="str">
        <x:v>DatatypeProperty</x:v>
      </x:c>
      <x:c r="D955" s="35" t="str">
        <x:v>http://www.w3.org/2001/XMLSchema#string</x:v>
      </x:c>
      <x:c r="E955" s="35" t="str">
        <x:v>xsd:string</x:v>
      </x:c>
      <x:c r="F955" s="35" t="str"/>
      <x:c r="G955" s="38" t="str">
        <x:v>I2-026</x:v>
      </x:c>
      <x:c r="H955" s="35" t="str">
        <x:v>Benchmark-coined descriptive engineering term</x:v>
      </x:c>
      <x:c r="I955" s="35" t="str">
        <x:v>N5 - component or subject first, followed by characteristic and qualifier/state; no unsupported external mapping</x:v>
      </x:c>
      <x:c r="J955" s="35" t="str">
        <x:v>REUSE_R2_TERM</x:v>
      </x:c>
    </x:row>
    <x:row r="956">
      <x:c r="A956" s="35" t="str">
        <x:v>supportedAircraftVoiceFrequency</x:v>
      </x:c>
      <x:c r="B956" s="35" t="str">
        <x:v>https://w3id.org/nltl-benchmark/vocab#supportedAircraftVoiceFrequency</x:v>
      </x:c>
      <x:c r="C956" s="35" t="str">
        <x:v>QuantityProperty</x:v>
      </x:c>
      <x:c r="D956" s="35" t="str">
        <x:v>http://qudt.org/schema/qudt/QuantityValue</x:v>
      </x:c>
      <x:c r="E956" s="35" t="str"/>
      <x:c r="F956" s="35" t="str">
        <x:v>MHz</x:v>
      </x:c>
      <x:c r="G956" s="38" t="str">
        <x:v>IMO-095</x:v>
      </x:c>
      <x:c r="H956" s="35" t="str">
        <x:v>Locked-workbook normalized regulatory term</x:v>
      </x:c>
      <x:c r="I956" s="35" t="str">
        <x:v>N4 - preserve the source concept; normalize spelling to ASCII lowerCamelCase</x:v>
      </x:c>
      <x:c r="J956" s="35" t="str">
        <x:v>REUSE_R2_TERM</x:v>
      </x:c>
    </x:row>
    <x:row r="957">
      <x:c r="A957" s="35" t="str">
        <x:v>supportedStringerOutsideIceBelt</x:v>
      </x:c>
      <x:c r="B957" s="35" t="str">
        <x:v>https://w3id.org/nltl-benchmark/vocab#supportedStringerOutsideIceBelt</x:v>
      </x:c>
      <x:c r="C957" s="35" t="str">
        <x:v>DatatypeProperty</x:v>
      </x:c>
      <x:c r="D957" s="35" t="str">
        <x:v>http://www.w3.org/2001/XMLSchema#boolean</x:v>
      </x:c>
      <x:c r="E957" s="35" t="str">
        <x:v>xsd:boolean</x:v>
      </x:c>
      <x:c r="F957" s="35" t="str"/>
      <x:c r="G957" s="38" t="str">
        <x:v>TRF-058</x:v>
      </x:c>
      <x:c r="H957" s="35" t="str">
        <x:v>Applicable TRAFICOM regulation wording plus explicit engineering node/operand role</x:v>
      </x:c>
      <x:c r="I957" s="35" t="str">
        <x:v>N4 - explicit regulatory concept in ASCII lowerCamelCase with an XSD datatype.</x:v>
      </x:c>
      <x:c r="J957" s="35" t="str">
        <x:v>ADD_DEVELOPMENT_TERM</x:v>
      </x:c>
    </x:row>
    <x:row r="958">
      <x:c r="A958" s="35" t="str">
        <x:v>supportingStructure</x:v>
      </x:c>
      <x:c r="B958" s="35" t="str">
        <x:v>https://w3id.org/nltl-benchmark/vocab#supportingStructure</x:v>
      </x:c>
      <x:c r="C958" s="35" t="str">
        <x:v>Class</x:v>
      </x:c>
      <x:c r="D958" s="35" t="str">
        <x:v>https://w3id.org/nltl-benchmark/vocab#hullStructure</x:v>
      </x:c>
      <x:c r="E958" s="35" t="str"/>
      <x:c r="F958" s="35" t="str"/>
      <x:c r="G958" s="38" t="str">
        <x:v>TRF-046 | TRF-047 | TRF-049</x:v>
      </x:c>
      <x:c r="H958" s="35" t="str">
        <x:v>Benchmark-coined descriptive engineering term</x:v>
      </x:c>
      <x:c r="I958" s="35" t="str">
        <x:v>N5 - component or subject first, followed by characteristic and qualifier/state; no unsupported external mapping</x:v>
      </x:c>
      <x:c r="J958" s="35" t="str">
        <x:v>REUSE_R2_TERM</x:v>
      </x:c>
    </x:row>
    <x:row r="959">
      <x:c r="A959" s="35" t="str">
        <x:v>supportingStructureAtOrAboveIceBeltUpperLimit</x:v>
      </x:c>
      <x:c r="B959" s="35" t="str">
        <x:v>https://w3id.org/nltl-benchmark/vocab#supportingStructureAtOrAboveIceBeltUpperLimit</x:v>
      </x:c>
      <x:c r="C959" s="35" t="str">
        <x:v>DatatypeProperty</x:v>
      </x:c>
      <x:c r="D959" s="35" t="str">
        <x:v>http://www.w3.org/2001/XMLSchema#boolean</x:v>
      </x:c>
      <x:c r="E959" s="35" t="str">
        <x:v>xsd:boolean</x:v>
      </x:c>
      <x:c r="F959" s="35" t="str"/>
      <x:c r="G959" s="38" t="str">
        <x:v>TRF-046</x:v>
      </x:c>
      <x:c r="H959" s="35" t="str">
        <x:v>Applicable TRAFICOM regulation wording plus explicit engineering node/operand role</x:v>
      </x:c>
      <x:c r="I959" s="35" t="str">
        <x:v>N4 - explicit regulatory concept in ASCII lowerCamelCase with an XSD datatype.</x:v>
      </x:c>
      <x:c r="J959" s="35" t="str">
        <x:v>ADD_DEVELOPMENT_TERM</x:v>
      </x:c>
    </x:row>
    <x:row r="960">
      <x:c r="A960" s="35" t="str">
        <x:v>supportingStructureAtOrBelowIceBeltLowerLimit</x:v>
      </x:c>
      <x:c r="B960" s="35" t="str">
        <x:v>https://w3id.org/nltl-benchmark/vocab#supportingStructureAtOrBelowIceBeltLowerLimit</x:v>
      </x:c>
      <x:c r="C960" s="35" t="str">
        <x:v>DatatypeProperty</x:v>
      </x:c>
      <x:c r="D960" s="35" t="str">
        <x:v>http://www.w3.org/2001/XMLSchema#boolean</x:v>
      </x:c>
      <x:c r="E960" s="35" t="str">
        <x:v>xsd:boolean</x:v>
      </x:c>
      <x:c r="F960" s="35" t="str"/>
      <x:c r="G960" s="38" t="str">
        <x:v>TRF-047</x:v>
      </x:c>
      <x:c r="H960" s="35" t="str">
        <x:v>Applicable TRAFICOM regulation wording plus explicit engineering node/operand role</x:v>
      </x:c>
      <x:c r="I960" s="35" t="str">
        <x:v>N4 - explicit regulatory concept in ASCII lowerCamelCase with an XSD datatype.</x:v>
      </x:c>
      <x:c r="J960" s="35" t="str">
        <x:v>ADD_DEVELOPMENT_TERM</x:v>
      </x:c>
    </x:row>
    <x:row r="961">
      <x:c r="A961" s="35" t="str">
        <x:v>supportsIceStrengthenedFrames</x:v>
      </x:c>
      <x:c r="B961" s="35" t="str">
        <x:v>https://w3id.org/nltl-benchmark/vocab#supportsIceStrengthenedFrames</x:v>
      </x:c>
      <x:c r="C961" s="35" t="str">
        <x:v>DatatypeProperty</x:v>
      </x:c>
      <x:c r="D961" s="35" t="str">
        <x:v>http://www.w3.org/2001/XMLSchema#boolean</x:v>
      </x:c>
      <x:c r="E961" s="35" t="str">
        <x:v>xsd:boolean</x:v>
      </x:c>
      <x:c r="F961" s="35" t="str"/>
      <x:c r="G961" s="38" t="str">
        <x:v>TRF-054</x:v>
      </x:c>
      <x:c r="H961" s="35" t="str">
        <x:v>Applicable TRAFICOM regulation wording plus explicit engineering node/operand role</x:v>
      </x:c>
      <x:c r="I961" s="35" t="str">
        <x:v>N4 - explicit regulatory concept in ASCII lowerCamelCase with an XSD datatype.</x:v>
      </x:c>
      <x:c r="J961" s="35" t="str">
        <x:v>ADD_DEVELOPMENT_TERM</x:v>
      </x:c>
    </x:row>
    <x:row r="962">
      <x:c r="A962" s="35" t="str">
        <x:v>surveyComplianceStatus</x:v>
      </x:c>
      <x:c r="B962" s="35" t="str">
        <x:v>https://w3id.org/nltl-benchmark/vocab#surveyComplianceStatus</x:v>
      </x:c>
      <x:c r="C962" s="35" t="str">
        <x:v>DatatypeProperty</x:v>
      </x:c>
      <x:c r="D962" s="35" t="str">
        <x:v>http://www.w3.org/2001/XMLSchema#boolean</x:v>
      </x:c>
      <x:c r="E962" s="35" t="str">
        <x:v>xsd:boolean</x:v>
      </x:c>
      <x:c r="F962" s="35" t="str"/>
      <x:c r="G962" s="38" t="str">
        <x:v>IMO-015</x:v>
      </x:c>
      <x:c r="H962" s="35" t="str">
        <x:v>Locked-workbook normalized regulatory term</x:v>
      </x:c>
      <x:c r="I962" s="35" t="str">
        <x:v>N4 - preserve the source concept; normalize spelling to ASCII lowerCamelCase</x:v>
      </x:c>
      <x:c r="J962" s="35" t="str">
        <x:v>REUSE_R2_TERM</x:v>
      </x:c>
    </x:row>
    <x:row r="963">
      <x:c r="A963" s="35" t="str">
        <x:v>surveyDates</x:v>
      </x:c>
      <x:c r="B963" s="35" t="str">
        <x:v>https://w3id.org/nltl-benchmark/vocab#surveyDates</x:v>
      </x:c>
      <x:c r="C963" s="35" t="str">
        <x:v>DatatypeProperty</x:v>
      </x:c>
      <x:c r="D963" s="35" t="str">
        <x:v>http://www.w3.org/2001/XMLSchema#date</x:v>
      </x:c>
      <x:c r="E963" s="35" t="str">
        <x:v>xsd:date</x:v>
      </x:c>
      <x:c r="F963" s="35" t="str"/>
      <x:c r="G963" s="38" t="str">
        <x:v>IMO-017</x:v>
      </x:c>
      <x:c r="H963" s="35" t="str">
        <x:v>Locked-workbook normalized regulatory term</x:v>
      </x:c>
      <x:c r="I963" s="35" t="str">
        <x:v>N4 - preserve the source concept; normalize spelling to ASCII lowerCamelCase</x:v>
      </x:c>
      <x:c r="J963" s="35" t="str">
        <x:v>REUSE_R2_TERM</x:v>
      </x:c>
    </x:row>
    <x:row r="964">
      <x:c r="A964" s="35" t="str">
        <x:v>survivalCraftAvailableCapacity</x:v>
      </x:c>
      <x:c r="B964" s="35" t="str">
        <x:v>https://w3id.org/nltl-benchmark/vocab#survivalCraftAvailableCapacity</x:v>
      </x:c>
      <x:c r="C964" s="35" t="str">
        <x:v>DatatypeProperty</x:v>
      </x:c>
      <x:c r="D964" s="35" t="str">
        <x:v>http://www.w3.org/2001/XMLSchema#integer</x:v>
      </x:c>
      <x:c r="E964" s="35" t="str">
        <x:v>xsd:integer</x:v>
      </x:c>
      <x:c r="F964" s="35" t="str"/>
      <x:c r="G964" s="38" t="str">
        <x:v>IMO-077</x:v>
      </x:c>
      <x:c r="H964" s="35" t="str">
        <x:v>Locked-workbook normalized regulatory term</x:v>
      </x:c>
      <x:c r="I964" s="35" t="str">
        <x:v>N4 - preserve the source concept; normalize spelling to ASCII lowerCamelCase</x:v>
      </x:c>
      <x:c r="J964" s="35" t="str">
        <x:v>REUSE_R2_TERM</x:v>
      </x:c>
    </x:row>
    <x:row r="965">
      <x:c r="A965" s="35" t="str">
        <x:v>survivalCraftCommunicationDevice</x:v>
      </x:c>
      <x:c r="B965" s="35" t="str">
        <x:v>https://w3id.org/nltl-benchmark/vocab#survivalCraftCommunicationDevice</x:v>
      </x:c>
      <x:c r="C965" s="35" t="str">
        <x:v>Class</x:v>
      </x:c>
      <x:c r="D965" s="35" t="str">
        <x:v>https://w3id.org/nltl-benchmark/vocab#benchmarkEntity</x:v>
      </x:c>
      <x:c r="E965" s="35" t="str"/>
      <x:c r="F965" s="35" t="str"/>
      <x:c r="G965" s="38" t="str">
        <x:v>IMO-093</x:v>
      </x:c>
      <x:c r="H965" s="35" t="str">
        <x:v>Locked-workbook normalized regulatory term</x:v>
      </x:c>
      <x:c r="I965" s="35" t="str">
        <x:v>N4 - preserve the source concept; normalize spelling to ASCII lowerCamelCase</x:v>
      </x:c>
      <x:c r="J965" s="35" t="str">
        <x:v>REUSE_R2_TERM</x:v>
      </x:c>
    </x:row>
    <x:row r="966">
      <x:c r="A966" s="35" t="str">
        <x:v>survivalEquipmentDeploymentApprovalStatus</x:v>
      </x:c>
      <x:c r="B966" s="35" t="str">
        <x:v>https://w3id.org/nltl-benchmark/vocab#survivalEquipmentDeploymentApprovalStatus</x:v>
      </x:c>
      <x:c r="C966" s="35" t="str">
        <x:v>ObjectProperty</x:v>
      </x:c>
      <x:c r="D966" s="35" t="str">
        <x:v>https://w3id.org/nltl-benchmark/vocab#evidenceState</x:v>
      </x:c>
      <x:c r="E966" s="35" t="str"/>
      <x:c r="F966" s="35" t="str"/>
      <x:c r="G966" s="38" t="str">
        <x:v>IMO-068</x:v>
      </x:c>
      <x:c r="H966" s="35" t="str">
        <x:v>Locked-workbook normalized regulatory term</x:v>
      </x:c>
      <x:c r="I966" s="35" t="str">
        <x:v>N4 - preserve the source concept; normalize spelling to ASCII lowerCamelCase</x:v>
      </x:c>
      <x:c r="J966" s="35" t="str">
        <x:v>REUSE_R2_TERM</x:v>
      </x:c>
    </x:row>
    <x:row r="967">
      <x:c r="A967" s="35" t="str">
        <x:v>survivalSupportDuration</x:v>
      </x:c>
      <x:c r="B967" s="35" t="str">
        <x:v>https://w3id.org/nltl-benchmark/vocab#survivalSupportDuration</x:v>
      </x:c>
      <x:c r="C967" s="35" t="str">
        <x:v>QuantityProperty</x:v>
      </x:c>
      <x:c r="D967" s="35" t="str">
        <x:v>http://qudt.org/schema/qudt/QuantityValue</x:v>
      </x:c>
      <x:c r="E967" s="35" t="str"/>
      <x:c r="F967" s="35" t="str">
        <x:v>day</x:v>
      </x:c>
      <x:c r="G967" s="38" t="str">
        <x:v>IMO-065</x:v>
      </x:c>
      <x:c r="H967" s="35" t="str">
        <x:v>Unit-stripped normalized regulatory variable</x:v>
      </x:c>
      <x:c r="I967" s="35" t="str">
        <x:v>N3 - remove unit from the identifier and retain it in unit/quantity metadata</x:v>
      </x:c>
      <x:c r="J967" s="35" t="str">
        <x:v>REUSE_R2_TERM</x:v>
      </x:c>
    </x:row>
    <x:row r="968">
      <x:c r="A968" s="35" t="str">
        <x:v>survivalSystemTestStatus</x:v>
      </x:c>
      <x:c r="B968" s="35" t="str">
        <x:v>https://w3id.org/nltl-benchmark/vocab#survivalSystemTestStatus</x:v>
      </x:c>
      <x:c r="C968" s="35" t="str">
        <x:v>DatatypeProperty</x:v>
      </x:c>
      <x:c r="D968" s="35" t="str">
        <x:v>http://www.w3.org/2001/XMLSchema#boolean</x:v>
      </x:c>
      <x:c r="E968" s="35" t="str">
        <x:v>xsd:boolean</x:v>
      </x:c>
      <x:c r="F968" s="35" t="str"/>
      <x:c r="G968" s="38" t="str">
        <x:v>IMO-020</x:v>
      </x:c>
      <x:c r="H968" s="35" t="str">
        <x:v>Locked-workbook normalized regulatory term</x:v>
      </x:c>
      <x:c r="I968" s="35" t="str">
        <x:v>N4 - preserve the source concept; normalize spelling to ASCII lowerCamelCase</x:v>
      </x:c>
      <x:c r="J968" s="35" t="str">
        <x:v>REUSE_R2_TERM</x:v>
      </x:c>
    </x:row>
    <x:row r="969">
      <x:c r="A969" s="35" t="str">
        <x:v>survivalSystemTestTemperature</x:v>
      </x:c>
      <x:c r="B969" s="35" t="str">
        <x:v>https://w3id.org/nltl-benchmark/vocab#survivalSystemTestTemperature</x:v>
      </x:c>
      <x:c r="C969" s="35" t="str">
        <x:v>QuantityProperty</x:v>
      </x:c>
      <x:c r="D969" s="35" t="str">
        <x:v>http://qudt.org/schema/qudt/QuantityValue</x:v>
      </x:c>
      <x:c r="E969" s="35" t="str"/>
      <x:c r="F969" s="35" t="str">
        <x:v>deg C</x:v>
      </x:c>
      <x:c r="G969" s="38" t="str">
        <x:v>IMO-020</x:v>
      </x:c>
      <x:c r="H969" s="35" t="str">
        <x:v>Unit-stripped normalized regulatory variable</x:v>
      </x:c>
      <x:c r="I969" s="35" t="str">
        <x:v>N3 - remove unit from the identifier and retain it in unit/quantity metadata</x:v>
      </x:c>
      <x:c r="J969" s="35" t="str">
        <x:v>REUSE_R2_TERM</x:v>
      </x:c>
    </x:row>
    <x:row r="970">
      <x:c r="A970" s="35" t="str">
        <x:v>sustenanceMeansPresent</x:v>
      </x:c>
      <x:c r="B970" s="35" t="str">
        <x:v>https://w3id.org/nltl-benchmark/vocab#sustenanceMeansPresent</x:v>
      </x:c>
      <x:c r="C970" s="35" t="str">
        <x:v>DatatypeProperty</x:v>
      </x:c>
      <x:c r="D970" s="35" t="str">
        <x:v>http://www.w3.org/2001/XMLSchema#boolean</x:v>
      </x:c>
      <x:c r="E970" s="35" t="str">
        <x:v>xsd:boolean</x:v>
      </x:c>
      <x:c r="F970" s="35" t="str"/>
      <x:c r="G970" s="38" t="str">
        <x:v>IMO-065</x:v>
      </x:c>
      <x:c r="H970" s="35" t="str">
        <x:v>Locked-workbook normalized regulatory term</x:v>
      </x:c>
      <x:c r="I970" s="35" t="str">
        <x:v>N4 - preserve the source concept; normalize spelling to ASCII lowerCamelCase</x:v>
      </x:c>
      <x:c r="J970" s="35" t="str">
        <x:v>REUSE_R2_TERM</x:v>
      </x:c>
    </x:row>
    <x:row r="971">
      <x:c r="A971" s="35" t="str">
        <x:v>tankBottom</x:v>
      </x:c>
      <x:c r="B971" s="35" t="str">
        <x:v>https://w3id.org/nltl-benchmark/vocab#tankBottom</x:v>
      </x:c>
      <x:c r="C971" s="35" t="str">
        <x:v>Class</x:v>
      </x:c>
      <x:c r="D971" s="35" t="str">
        <x:v>https://w3id.org/nltl-benchmark/vocab#tankBoundaryPlating</x:v>
      </x:c>
      <x:c r="E971" s="35" t="str"/>
      <x:c r="F971" s="35" t="str"/>
      <x:c r="G971" s="38" t="str">
        <x:v>TRF-051</x:v>
      </x:c>
      <x:c r="H971" s="35" t="str">
        <x:v>Applicable TRAFICOM regulation wording plus explicit engineering node/operand role</x:v>
      </x:c>
      <x:c r="I971" s="35" t="str">
        <x:v>N4 - singular ASCII lowerCamelCase entity name derived from the linked regulatory role.</x:v>
      </x:c>
      <x:c r="J971" s="35" t="str">
        <x:v>ADD_DEVELOPMENT_TERM</x:v>
      </x:c>
    </x:row>
    <x:row r="972">
      <x:c r="A972" s="35" t="str">
        <x:v>tankBoundaryPlating</x:v>
      </x:c>
      <x:c r="B972" s="35" t="str">
        <x:v>https://w3id.org/nltl-benchmark/vocab#tankBoundaryPlating</x:v>
      </x:c>
      <x:c r="C972" s="35" t="str">
        <x:v>Class</x:v>
      </x:c>
      <x:c r="D972" s="35" t="str">
        <x:v>https://w3id.org/nltl-benchmark/vocab#plating</x:v>
      </x:c>
      <x:c r="E972" s="35" t="str"/>
      <x:c r="F972" s="35" t="str"/>
      <x:c r="G972" s="38" t="str">
        <x:v>TRF-046 | TRF-047 | TRF-051</x:v>
      </x:c>
      <x:c r="H972" s="35" t="str">
        <x:v>Applicable TRAFICOM regulation wording plus explicit engineering node/operand role</x:v>
      </x:c>
      <x:c r="I972" s="35" t="str">
        <x:v>N4 - singular ASCII lowerCamelCase entity name derived from the linked regulatory role.</x:v>
      </x:c>
      <x:c r="J972" s="35" t="str">
        <x:v>ADD_DEVELOPMENT_TERM</x:v>
      </x:c>
    </x:row>
    <x:row r="973">
      <x:c r="A973" s="35" t="str">
        <x:v>tankOuterShellSeparation</x:v>
      </x:c>
      <x:c r="B973" s="35" t="str">
        <x:v>https://w3id.org/nltl-benchmark/vocab#tankOuterShellSeparation</x:v>
      </x:c>
      <x:c r="C973" s="35" t="str">
        <x:v>QuantityProperty</x:v>
      </x:c>
      <x:c r="D973" s="35" t="str">
        <x:v>http://qudt.org/schema/qudt/QuantityValue</x:v>
      </x:c>
      <x:c r="E973" s="35" t="str"/>
      <x:c r="F973" s="35" t="str">
        <x:v>m</x:v>
      </x:c>
      <x:c r="G973" s="38" t="str">
        <x:v>IMO-111</x:v>
      </x:c>
      <x:c r="H973" s="35" t="str">
        <x:v>Unit-stripped normalized regulatory variable</x:v>
      </x:c>
      <x:c r="I973" s="35" t="str">
        <x:v>N3 - remove unit from the identifier and retain it in unit/quantity metadata</x:v>
      </x:c>
      <x:c r="J973" s="35" t="str">
        <x:v>REUSE_R2_TERM</x:v>
      </x:c>
    </x:row>
    <x:row r="974">
      <x:c r="A974" s="35" t="str">
        <x:v>tankTop</x:v>
      </x:c>
      <x:c r="B974" s="35" t="str">
        <x:v>https://w3id.org/nltl-benchmark/vocab#tankTop</x:v>
      </x:c>
      <x:c r="C974" s="35" t="str">
        <x:v>Class</x:v>
      </x:c>
      <x:c r="D974" s="35" t="str">
        <x:v>https://w3id.org/nltl-benchmark/vocab#hullStructure</x:v>
      </x:c>
      <x:c r="E974" s="35" t="str"/>
      <x:c r="F974" s="35" t="str"/>
      <x:c r="G974" s="38" t="str">
        <x:v>TRF-063</x:v>
      </x:c>
      <x:c r="H974" s="35" t="str">
        <x:v>Benchmark-coined descriptive engineering term</x:v>
      </x:c>
      <x:c r="I974" s="35" t="str">
        <x:v>N5 - component or subject first, followed by characteristic and qualifier/state; no unsupported external mapping</x:v>
      </x:c>
      <x:c r="J974" s="35" t="str">
        <x:v>REUSE_R2_TERM</x:v>
      </x:c>
    </x:row>
    <x:row r="975">
      <x:c r="A975" s="35" t="str">
        <x:v>tankType</x:v>
      </x:c>
      <x:c r="B975" s="35" t="str">
        <x:v>https://w3id.org/nltl-benchmark/vocab#tankType</x:v>
      </x:c>
      <x:c r="C975" s="35" t="str">
        <x:v>DatatypeProperty</x:v>
      </x:c>
      <x:c r="D975" s="35" t="str">
        <x:v>http://www.w3.org/2001/XMLSchema#string</x:v>
      </x:c>
      <x:c r="E975" s="35" t="str">
        <x:v>xsd:string</x:v>
      </x:c>
      <x:c r="F975" s="35" t="str"/>
      <x:c r="G975" s="38" t="str">
        <x:v>IMO-111</x:v>
      </x:c>
      <x:c r="H975" s="35" t="str">
        <x:v>Locked-workbook normalized regulatory term</x:v>
      </x:c>
      <x:c r="I975" s="35" t="str">
        <x:v>N4 - preserve the source concept; normalize spelling to ASCII lowerCamelCase</x:v>
      </x:c>
      <x:c r="J975" s="35" t="str">
        <x:v>REUSE_R2_TERM</x:v>
      </x:c>
    </x:row>
    <x:row r="976">
      <x:c r="A976" s="35" t="str">
        <x:v>telemedicalAssistanceCommunicationEquipmentPresent</x:v>
      </x:c>
      <x:c r="B976" s="35" t="str">
        <x:v>https://w3id.org/nltl-benchmark/vocab#telemedicalAssistanceCommunicationEquipmentPresent</x:v>
      </x:c>
      <x:c r="C976" s="35" t="str">
        <x:v>DatatypeProperty</x:v>
      </x:c>
      <x:c r="D976" s="35" t="str">
        <x:v>http://www.w3.org/2001/XMLSchema#boolean</x:v>
      </x:c>
      <x:c r="E976" s="35" t="str">
        <x:v>xsd:boolean</x:v>
      </x:c>
      <x:c r="F976" s="35" t="str"/>
      <x:c r="G976" s="38" t="str">
        <x:v>IMO-092</x:v>
      </x:c>
      <x:c r="H976" s="35" t="str">
        <x:v>Locked-workbook normalized regulatory term</x:v>
      </x:c>
      <x:c r="I976" s="35" t="str">
        <x:v>N4 - preserve the source concept; normalize spelling to ASCII lowerCamelCase</x:v>
      </x:c>
      <x:c r="J976" s="35" t="str">
        <x:v>REUSE_R2_TERM</x:v>
      </x:c>
    </x:row>
    <x:row r="977">
      <x:c r="A977" s="35" t="str">
        <x:v>telemedicalAssistanceServiceTwoWayDataCapability</x:v>
      </x:c>
      <x:c r="B977" s="35" t="str">
        <x:v>https://w3id.org/nltl-benchmark/vocab#telemedicalAssistanceServiceTwoWayDataCapability</x:v>
      </x:c>
      <x:c r="C977" s="35" t="str">
        <x:v>DatatypeProperty</x:v>
      </x:c>
      <x:c r="D977" s="35" t="str">
        <x:v>http://www.w3.org/2001/XMLSchema#boolean</x:v>
      </x:c>
      <x:c r="E977" s="35" t="str">
        <x:v>xsd:boolean</x:v>
      </x:c>
      <x:c r="F977" s="35" t="str"/>
      <x:c r="G977" s="38" t="str">
        <x:v>IMO-096</x:v>
      </x:c>
      <x:c r="H977" s="35" t="str">
        <x:v>Locked-workbook normalized regulatory term</x:v>
      </x:c>
      <x:c r="I977" s="35" t="str">
        <x:v>N4 - preserve the source concept; normalize spelling to ASCII lowerCamelCase</x:v>
      </x:c>
      <x:c r="J977" s="35" t="str">
        <x:v>REUSE_R2_TERM</x:v>
      </x:c>
    </x:row>
    <x:row r="978">
      <x:c r="A978" s="35" t="str">
        <x:v>telemedicalAssistanceServiceTwoWayVoiceCapability</x:v>
      </x:c>
      <x:c r="B978" s="35" t="str">
        <x:v>https://w3id.org/nltl-benchmark/vocab#telemedicalAssistanceServiceTwoWayVoiceCapability</x:v>
      </x:c>
      <x:c r="C978" s="35" t="str">
        <x:v>DatatypeProperty</x:v>
      </x:c>
      <x:c r="D978" s="35" t="str">
        <x:v>http://www.w3.org/2001/XMLSchema#boolean</x:v>
      </x:c>
      <x:c r="E978" s="35" t="str">
        <x:v>xsd:boolean</x:v>
      </x:c>
      <x:c r="F978" s="35" t="str"/>
      <x:c r="G978" s="38" t="str">
        <x:v>IMO-096</x:v>
      </x:c>
      <x:c r="H978" s="35" t="str">
        <x:v>Locked-workbook normalized regulatory term</x:v>
      </x:c>
      <x:c r="I978" s="35" t="str">
        <x:v>N4 - preserve the source concept; normalize spelling to ASCII lowerCamelCase</x:v>
      </x:c>
      <x:c r="J978" s="35" t="str">
        <x:v>REUSE_R2_TERM</x:v>
      </x:c>
    </x:row>
    <x:row r="979">
      <x:c r="A979" s="35" t="str">
        <x:v>terminatesAtDeckOrIceStringer</x:v>
      </x:c>
      <x:c r="B979" s="35" t="str">
        <x:v>https://w3id.org/nltl-benchmark/vocab#terminatesAtDeckOrIceStringer</x:v>
      </x:c>
      <x:c r="C979" s="35" t="str">
        <x:v>DatatypeProperty</x:v>
      </x:c>
      <x:c r="D979" s="35" t="str">
        <x:v>http://www.w3.org/2001/XMLSchema#boolean</x:v>
      </x:c>
      <x:c r="E979" s="35" t="str">
        <x:v>xsd:boolean</x:v>
      </x:c>
      <x:c r="F979" s="35" t="str"/>
      <x:c r="G979" s="38" t="str">
        <x:v>TRF-049</x:v>
      </x:c>
      <x:c r="H979" s="35" t="str">
        <x:v>Applicable TRAFICOM regulation wording plus explicit engineering node/operand role</x:v>
      </x:c>
      <x:c r="I979" s="35" t="str">
        <x:v>N4 - explicit regulatory concept in ASCII lowerCamelCase with an XSD datatype.</x:v>
      </x:c>
      <x:c r="J979" s="35" t="str">
        <x:v>ADD_DEVELOPMENT_TERM</x:v>
      </x:c>
    </x:row>
    <x:row r="980">
      <x:c r="A980" s="35" t="str">
        <x:v>testSpecimenSizeReductionFactor</x:v>
      </x:c>
      <x:c r="B980" s="35" t="str">
        <x:v>https://w3id.org/nltl-benchmark/vocab#testSpecimenSizeReductionFactor</x:v>
      </x:c>
      <x:c r="C980" s="35" t="str">
        <x:v>QuantityProperty</x:v>
      </x:c>
      <x:c r="D980" s="35" t="str">
        <x:v>http://qudt.org/schema/qudt/QuantityValue</x:v>
      </x:c>
      <x:c r="E980" s="35" t="str"/>
      <x:c r="F980" s="35" t="str">
        <x:v>1</x:v>
      </x:c>
      <x:c r="G980" s="38" t="str">
        <x:v>TRF-110</x:v>
      </x:c>
      <x:c r="H980" s="35" t="str">
        <x:v>Regulatory symbol expanded from a directly verified definition</x:v>
      </x:c>
      <x:c r="I980" s="35" t="str">
        <x:v>N2 - replace formula symbol with its clause-defined engineering meaning; preserve symbol as alias</x:v>
      </x:c>
      <x:c r="J980" s="35" t="str">
        <x:v>REUSE_R2_TERM</x:v>
      </x:c>
    </x:row>
    <x:row r="981">
      <x:c r="A981" s="35" t="str">
        <x:v>testTemperature</x:v>
      </x:c>
      <x:c r="B981" s="35" t="str">
        <x:v>https://w3id.org/nltl-benchmark/vocab#testTemperature</x:v>
      </x:c>
      <x:c r="C981" s="35" t="str">
        <x:v>QuantityProperty</x:v>
      </x:c>
      <x:c r="D981" s="35" t="str">
        <x:v>http://qudt.org/schema/qudt/QuantityValue</x:v>
      </x:c>
      <x:c r="E981" s="35" t="str"/>
      <x:c r="F981" s="35" t="str">
        <x:v>deg C</x:v>
      </x:c>
      <x:c r="G981" s="38" t="str">
        <x:v>TRF-072</x:v>
      </x:c>
      <x:c r="H981" s="35" t="str">
        <x:v>Unit-stripped normalized regulatory variable</x:v>
      </x:c>
      <x:c r="I981" s="35" t="str">
        <x:v>N3 - remove unit from the identifier and retain it in unit/quantity metadata</x:v>
      </x:c>
      <x:c r="J981" s="35" t="str">
        <x:v>REUSE_R2_TERM</x:v>
      </x:c>
    </x:row>
    <x:row r="982">
      <x:c r="A982" s="35" t="str">
        <x:v>thermalProtectionApprovalStatus</x:v>
      </x:c>
      <x:c r="B982" s="35" t="str">
        <x:v>https://w3id.org/nltl-benchmark/vocab#thermalProtectionApprovalStatus</x:v>
      </x:c>
      <x:c r="C982" s="35" t="str">
        <x:v>ObjectProperty</x:v>
      </x:c>
      <x:c r="D982" s="35" t="str">
        <x:v>https://w3id.org/nltl-benchmark/vocab#evidenceState</x:v>
      </x:c>
      <x:c r="E982" s="35" t="str"/>
      <x:c r="F982" s="35" t="str"/>
      <x:c r="G982" s="38" t="str">
        <x:v>IMO-064</x:v>
      </x:c>
      <x:c r="H982" s="35" t="str">
        <x:v>Locked-workbook normalized regulatory term</x:v>
      </x:c>
      <x:c r="I982" s="35" t="str">
        <x:v>N4 - preserve the source concept; normalize spelling to ASCII lowerCamelCase</x:v>
      </x:c>
      <x:c r="J982" s="35" t="str">
        <x:v>REUSE_R2_TERM</x:v>
      </x:c>
    </x:row>
    <x:row r="983">
      <x:c r="A983" s="35" t="str">
        <x:v>thickness</x:v>
      </x:c>
      <x:c r="B983" s="35" t="str">
        <x:v>https://w3id.org/nltl-benchmark/vocab#thickness</x:v>
      </x:c>
      <x:c r="C983" s="35" t="str">
        <x:v>QuantityProperty</x:v>
      </x:c>
      <x:c r="D983" s="35" t="str">
        <x:v>http://qudt.org/schema/qudt/QuantityValue</x:v>
      </x:c>
      <x:c r="E983" s="35" t="str"/>
      <x:c r="F983" s="35" t="str">
        <x:v>m</x:v>
      </x:c>
      <x:c r="G983" s="38" t="str">
        <x:v>I2-021 | I2-029 | I2-041 | I2-042 | I2-061 | TRF-040 | TRF-041 | TRF-051 | TRF-061</x:v>
      </x:c>
      <x:c r="H983" s="35" t="str">
        <x:v>Locked-workbook normalized regulatory term</x:v>
      </x:c>
      <x:c r="I983" s="35" t="str">
        <x:v>N4 - preserve the source concept; normalize spelling to ASCII lowerCamelCase</x:v>
      </x:c>
      <x:c r="J983" s="35" t="str">
        <x:v>REUSE_R2_TERM</x:v>
      </x:c>
    </x:row>
    <x:row r="984">
      <x:c r="A984" s="35" t="str">
        <x:v>thrusterBody</x:v>
      </x:c>
      <x:c r="B984" s="35" t="str">
        <x:v>https://w3id.org/nltl-benchmark/vocab#thrusterBody</x:v>
      </x:c>
      <x:c r="C984" s="35" t="str">
        <x:v>Class</x:v>
      </x:c>
      <x:c r="D984" s="35" t="str">
        <x:v>https://w3id.org/nltl-benchmark/vocab#machineryComponent</x:v>
      </x:c>
      <x:c r="E984" s="35" t="str"/>
      <x:c r="F984" s="35" t="str"/>
      <x:c r="G984" s="38" t="str">
        <x:v>TRF-113 | TRF-114</x:v>
      </x:c>
      <x:c r="H984" s="35" t="str">
        <x:v>Benchmark-coined descriptive engineering term</x:v>
      </x:c>
      <x:c r="I984" s="35" t="str">
        <x:v>N5 - component or subject first, followed by characteristic and qualifier/state; no unsupported external mapping</x:v>
      </x:c>
      <x:c r="J984" s="35" t="str">
        <x:v>REUSE_R2_TERM</x:v>
      </x:c>
    </x:row>
    <x:row r="985">
      <x:c r="A985" s="35" t="str">
        <x:v>thrusterBodyIceInteractionLoad</x:v>
      </x:c>
      <x:c r="B985" s="35" t="str">
        <x:v>https://w3id.org/nltl-benchmark/vocab#thrusterBodyIceInteractionLoad</x:v>
      </x:c>
      <x:c r="C985" s="35" t="str">
        <x:v>QuantityProperty</x:v>
      </x:c>
      <x:c r="D985" s="35" t="str">
        <x:v>http://qudt.org/schema/qudt/QuantityValue</x:v>
      </x:c>
      <x:c r="E985" s="35" t="str"/>
      <x:c r="F985" s="35" t="str">
        <x:v>kN</x:v>
      </x:c>
      <x:c r="G985" s="38" t="str">
        <x:v>TRF-070</x:v>
      </x:c>
      <x:c r="H985" s="35" t="str">
        <x:v>Benchmark-coined descriptive engineering term</x:v>
      </x:c>
      <x:c r="I985" s="35" t="str">
        <x:v>N5 - component or subject first, followed by characteristic and qualifier/state; no unsupported external mapping</x:v>
      </x:c>
      <x:c r="J985" s="35" t="str">
        <x:v>REUSE_R2_TERM</x:v>
      </x:c>
    </x:row>
    <x:row r="986">
      <x:c r="A986" s="35" t="str">
        <x:v>thrusterBodyLocalStrength</x:v>
      </x:c>
      <x:c r="B986" s="35" t="str">
        <x:v>https://w3id.org/nltl-benchmark/vocab#thrusterBodyLocalStrength</x:v>
      </x:c>
      <x:c r="C986" s="35" t="str">
        <x:v>DatatypeProperty</x:v>
      </x:c>
      <x:c r="D986" s="35" t="str">
        <x:v>http://www.w3.org/2001/XMLSchema#boolean</x:v>
      </x:c>
      <x:c r="E986" s="35" t="str">
        <x:v>xsd:boolean</x:v>
      </x:c>
      <x:c r="F986" s="35" t="str"/>
      <x:c r="G986" s="38" t="str">
        <x:v>TRF-070</x:v>
      </x:c>
      <x:c r="H986" s="35" t="str">
        <x:v>Benchmark-coined descriptive engineering term</x:v>
      </x:c>
      <x:c r="I986" s="35" t="str">
        <x:v>N5 - component or subject first, followed by characteristic and qualifier/state; no unsupported external mapping</x:v>
      </x:c>
      <x:c r="J986" s="35" t="str">
        <x:v>REUSE_R2_TERM</x:v>
      </x:c>
    </x:row>
    <x:row r="987">
      <x:c r="A987" s="35" t="str">
        <x:v>thrusterExtremeLoad</x:v>
      </x:c>
      <x:c r="B987" s="35" t="str">
        <x:v>https://w3id.org/nltl-benchmark/vocab#thrusterExtremeLoad</x:v>
      </x:c>
      <x:c r="C987" s="35" t="str">
        <x:v>QuantityProperty</x:v>
      </x:c>
      <x:c r="D987" s="35" t="str">
        <x:v>http://qudt.org/schema/qudt/QuantityValue</x:v>
      </x:c>
      <x:c r="E987" s="35" t="str"/>
      <x:c r="F987" s="35" t="str">
        <x:v>kN</x:v>
      </x:c>
      <x:c r="G987" s="38" t="str">
        <x:v>TRF-118</x:v>
      </x:c>
      <x:c r="H987" s="35" t="str">
        <x:v>Benchmark-coined descriptive engineering term</x:v>
      </x:c>
      <x:c r="I987" s="35" t="str">
        <x:v>N5 - component or subject first, followed by characteristic and qualifier/state; no unsupported external mapping</x:v>
      </x:c>
      <x:c r="J987" s="35" t="str">
        <x:v>REUSE_R2_TERM</x:v>
      </x:c>
    </x:row>
    <x:row r="988">
      <x:c r="A988" s="35" t="str">
        <x:v>thrusterFitting</x:v>
      </x:c>
      <x:c r="B988" s="35" t="str">
        <x:v>https://w3id.org/nltl-benchmark/vocab#thrusterFitting</x:v>
      </x:c>
      <x:c r="C988" s="35" t="str">
        <x:v>Class</x:v>
      </x:c>
      <x:c r="D988" s="35" t="str">
        <x:v>https://w3id.org/nltl-benchmark/vocab#machineryComponent</x:v>
      </x:c>
      <x:c r="E988" s="35" t="str"/>
      <x:c r="F988" s="35" t="str"/>
      <x:c r="G988" s="38" t="str">
        <x:v>TRF-113</x:v>
      </x:c>
      <x:c r="H988" s="35" t="str">
        <x:v>Benchmark-coined descriptive engineering term</x:v>
      </x:c>
      <x:c r="I988" s="35" t="str">
        <x:v>N5 - component or subject first, followed by characteristic and qualifier/state; no unsupported external mapping</x:v>
      </x:c>
      <x:c r="J988" s="35" t="str">
        <x:v>REUSE_R2_TERM</x:v>
      </x:c>
    </x:row>
    <x:row r="989">
      <x:c r="A989" s="35" t="str">
        <x:v>thrusterGlobalModeFrequency</x:v>
      </x:c>
      <x:c r="B989" s="35" t="str">
        <x:v>https://w3id.org/nltl-benchmark/vocab#thrusterGlobalModeFrequency</x:v>
      </x:c>
      <x:c r="C989" s="35" t="str">
        <x:v>QuantityProperty</x:v>
      </x:c>
      <x:c r="D989" s="35" t="str">
        <x:v>http://qudt.org/schema/qudt/QuantityValue</x:v>
      </x:c>
      <x:c r="E989" s="35" t="str"/>
      <x:c r="F989" s="35" t="str">
        <x:v>Hz</x:v>
      </x:c>
      <x:c r="G989" s="38" t="str">
        <x:v>TRF-119</x:v>
      </x:c>
      <x:c r="H989" s="35" t="str">
        <x:v>Benchmark-coined descriptive engineering term</x:v>
      </x:c>
      <x:c r="I989" s="35" t="str">
        <x:v>N5 - component or subject first, followed by characteristic and qualifier/state; no unsupported external mapping</x:v>
      </x:c>
      <x:c r="J989" s="35" t="str">
        <x:v>REUSE_R2_TERM</x:v>
      </x:c>
    </x:row>
    <x:row r="990">
      <x:c r="A990" s="35" t="str">
        <x:v>thrusterNaturalFrequency</x:v>
      </x:c>
      <x:c r="B990" s="35" t="str">
        <x:v>https://w3id.org/nltl-benchmark/vocab#thrusterNaturalFrequency</x:v>
      </x:c>
      <x:c r="C990" s="35" t="str">
        <x:v>QuantityProperty</x:v>
      </x:c>
      <x:c r="D990" s="35" t="str">
        <x:v>http://qudt.org/schema/qudt/QuantityValue</x:v>
      </x:c>
      <x:c r="E990" s="35" t="str"/>
      <x:c r="F990" s="35" t="str">
        <x:v>Hz</x:v>
      </x:c>
      <x:c r="G990" s="38" t="str">
        <x:v>TRF-120</x:v>
      </x:c>
      <x:c r="H990" s="35" t="str">
        <x:v>Benchmark-coined descriptive engineering term</x:v>
      </x:c>
      <x:c r="I990" s="35" t="str">
        <x:v>N5 - component or subject first, followed by characteristic and qualifier/state; no unsupported external mapping</x:v>
      </x:c>
      <x:c r="J990" s="35" t="str">
        <x:v>REUSE_R2_TERM</x:v>
      </x:c>
    </x:row>
    <x:row r="991">
      <x:c r="A991" s="35" t="str">
        <x:v>thrusterOperability</x:v>
      </x:c>
      <x:c r="B991" s="35" t="str">
        <x:v>https://w3id.org/nltl-benchmark/vocab#thrusterOperability</x:v>
      </x:c>
      <x:c r="C991" s="35" t="str">
        <x:v>DatatypeProperty</x:v>
      </x:c>
      <x:c r="D991" s="35" t="str">
        <x:v>http://www.w3.org/2001/XMLSchema#boolean</x:v>
      </x:c>
      <x:c r="E991" s="35" t="str">
        <x:v>xsd:boolean</x:v>
      </x:c>
      <x:c r="F991" s="35" t="str"/>
      <x:c r="G991" s="38" t="str">
        <x:v>TRF-118</x:v>
      </x:c>
      <x:c r="H991" s="35" t="str">
        <x:v>Benchmark-coined descriptive engineering term</x:v>
      </x:c>
      <x:c r="I991" s="35" t="str">
        <x:v>N5 - component or subject first, followed by characteristic and qualifier/state; no unsupported external mapping</x:v>
      </x:c>
      <x:c r="J991" s="35" t="str">
        <x:v>REUSE_R2_TERM</x:v>
      </x:c>
    </x:row>
    <x:row r="992">
      <x:c r="A992" s="35" t="str">
        <x:v>thrusterType</x:v>
      </x:c>
      <x:c r="B992" s="35" t="str">
        <x:v>https://w3id.org/nltl-benchmark/vocab#thrusterType</x:v>
      </x:c>
      <x:c r="C992" s="35" t="str">
        <x:v>DatatypeProperty</x:v>
      </x:c>
      <x:c r="D992" s="35" t="str">
        <x:v>http://www.w3.org/2001/XMLSchema#string</x:v>
      </x:c>
      <x:c r="E992" s="35" t="str">
        <x:v>xsd:string</x:v>
      </x:c>
      <x:c r="F992" s="35" t="str"/>
      <x:c r="G992" s="38" t="str">
        <x:v>TRF-070</x:v>
      </x:c>
      <x:c r="H992" s="35" t="str">
        <x:v>Benchmark-coined descriptive engineering term</x:v>
      </x:c>
      <x:c r="I992" s="35" t="str">
        <x:v>N5 - component or subject first, followed by characteristic and qualifier/state; no unsupported external mapping</x:v>
      </x:c>
      <x:c r="J992" s="35" t="str">
        <x:v>REUSE_R2_TERM</x:v>
      </x:c>
    </x:row>
    <x:row r="993">
      <x:c r="A993" s="35" t="str">
        <x:v>timeDomainAnalysis</x:v>
      </x:c>
      <x:c r="B993" s="35" t="str">
        <x:v>https://w3id.org/nltl-benchmark/vocab#timeDomainAnalysis</x:v>
      </x:c>
      <x:c r="C993" s="35" t="str">
        <x:v>Class</x:v>
      </x:c>
      <x:c r="D993" s="35" t="str">
        <x:v>https://w3id.org/nltl-benchmark/vocab#engineeringAnalysis</x:v>
      </x:c>
      <x:c r="E993" s="35" t="str"/>
      <x:c r="F993" s="35" t="str"/>
      <x:c r="G993" s="38" t="str">
        <x:v>TRF-090</x:v>
      </x:c>
      <x:c r="H993" s="35" t="str">
        <x:v>Benchmark-coined descriptive engineering term</x:v>
      </x:c>
      <x:c r="I993" s="35" t="str">
        <x:v>N5 - component or subject first, followed by characteristic and qualifier/state; no unsupported external mapping</x:v>
      </x:c>
      <x:c r="J993" s="35" t="str">
        <x:v>REUSE_R2_TERM</x:v>
      </x:c>
    </x:row>
    <x:row r="994">
      <x:c r="A994" s="35" t="str">
        <x:v>timeDomainTorsionalAnalysis</x:v>
      </x:c>
      <x:c r="B994" s="35" t="str">
        <x:v>https://w3id.org/nltl-benchmark/vocab#timeDomainTorsionalAnalysis</x:v>
      </x:c>
      <x:c r="C994" s="35" t="str">
        <x:v>Class</x:v>
      </x:c>
      <x:c r="D994" s="35" t="str">
        <x:v>https://w3id.org/nltl-benchmark/vocab#engineeringAnalysis</x:v>
      </x:c>
      <x:c r="E994" s="35" t="str"/>
      <x:c r="F994" s="35" t="str"/>
      <x:c r="G994" s="38" t="str">
        <x:v>TRF-100</x:v>
      </x:c>
      <x:c r="H994" s="35" t="str">
        <x:v>Benchmark-coined descriptive engineering term</x:v>
      </x:c>
      <x:c r="I994" s="35" t="str">
        <x:v>N5 - component or subject first, followed by characteristic and qualifier/state; no unsupported external mapping</x:v>
      </x:c>
      <x:c r="J994" s="35" t="str">
        <x:v>REUSE_R2_TERM</x:v>
      </x:c>
    </x:row>
    <x:row r="995">
      <x:c r="A995" s="35" t="str">
        <x:v>torsionalVibrationAnalysis</x:v>
      </x:c>
      <x:c r="B995" s="35" t="str">
        <x:v>https://w3id.org/nltl-benchmark/vocab#torsionalVibrationAnalysis</x:v>
      </x:c>
      <x:c r="C995" s="35" t="str">
        <x:v>Class</x:v>
      </x:c>
      <x:c r="D995" s="35" t="str">
        <x:v>https://w3id.org/nltl-benchmark/vocab#engineeringAnalysis</x:v>
      </x:c>
      <x:c r="E995" s="35" t="str"/>
      <x:c r="F995" s="35" t="str"/>
      <x:c r="G995" s="38" t="str">
        <x:v>TRF-089</x:v>
      </x:c>
      <x:c r="H995" s="35" t="str">
        <x:v>Benchmark-coined descriptive engineering term</x:v>
      </x:c>
      <x:c r="I995" s="35" t="str">
        <x:v>N5 - component or subject first, followed by characteristic and qualifier/state; no unsupported external mapping</x:v>
      </x:c>
      <x:c r="J995" s="35" t="str">
        <x:v>REUSE_R2_TERM</x:v>
      </x:c>
    </x:row>
    <x:row r="996">
      <x:c r="A996" s="35" t="str">
        <x:v>totalGlancingImpactForce</x:v>
      </x:c>
      <x:c r="B996" s="35" t="str">
        <x:v>https://w3id.org/nltl-benchmark/vocab#totalGlancingImpactForce</x:v>
      </x:c>
      <x:c r="C996" s="35" t="str">
        <x:v>QuantityProperty</x:v>
      </x:c>
      <x:c r="D996" s="35" t="str">
        <x:v>http://qudt.org/schema/qudt/QuantityValue</x:v>
      </x:c>
      <x:c r="E996" s="35" t="str"/>
      <x:c r="F996" s="35" t="str">
        <x:v>kN</x:v>
      </x:c>
      <x:c r="G996" s="38" t="str">
        <x:v>I2-008</x:v>
      </x:c>
      <x:c r="H996" s="35" t="str">
        <x:v>Benchmark-coined descriptive engineering term</x:v>
      </x:c>
      <x:c r="I996" s="35" t="str">
        <x:v>N5 - component or subject first, followed by characteristic and qualifier/state; no unsupported external mapping</x:v>
      </x:c>
      <x:c r="J996" s="35" t="str">
        <x:v>REUSE_R2_TERM</x:v>
      </x:c>
    </x:row>
    <x:row r="997">
      <x:c r="A997" s="35" t="str">
        <x:v>totalIceConcentration</x:v>
      </x:c>
      <x:c r="B997" s="35" t="str">
        <x:v>https://w3id.org/nltl-benchmark/vocab#totalIceConcentration</x:v>
      </x:c>
      <x:c r="C997" s="35" t="str">
        <x:v>QuantityProperty</x:v>
      </x:c>
      <x:c r="D997" s="35" t="str">
        <x:v>http://qudt.org/schema/qudt/QuantityValue</x:v>
      </x:c>
      <x:c r="E997" s="35" t="str"/>
      <x:c r="F997" s="35" t="str">
        <x:v>1</x:v>
      </x:c>
      <x:c r="G997" s="38" t="str">
        <x:v>IMO-009</x:v>
      </x:c>
      <x:c r="H997" s="35" t="str">
        <x:v>Unit-stripped normalized regulatory variable</x:v>
      </x:c>
      <x:c r="I997" s="35" t="str">
        <x:v>N3 - remove unit from the identifier and retain it in unit/quantity metadata</x:v>
      </x:c>
      <x:c r="J997" s="35" t="str">
        <x:v>REUSE_R2_TERM</x:v>
      </x:c>
    </x:row>
    <x:row r="998">
      <x:c r="A998" s="35" t="str">
        <x:v>totalIcePresent</x:v>
      </x:c>
      <x:c r="B998" s="35" t="str">
        <x:v>https://w3id.org/nltl-benchmark/vocab#totalIcePresent</x:v>
      </x:c>
      <x:c r="C998" s="35" t="str">
        <x:v>DatatypeProperty</x:v>
      </x:c>
      <x:c r="D998" s="35" t="str">
        <x:v>http://www.w3.org/2001/XMLSchema#boolean</x:v>
      </x:c>
      <x:c r="E998" s="35" t="str">
        <x:v>xsd:boolean</x:v>
      </x:c>
      <x:c r="F998" s="35" t="str"/>
      <x:c r="G998" s="38" t="str">
        <x:v>IMO-005</x:v>
      </x:c>
      <x:c r="H998" s="35" t="str">
        <x:v>Locked-workbook normalized regulatory term</x:v>
      </x:c>
      <x:c r="I998" s="35" t="str">
        <x:v>N4 - preserve the source concept; normalize spelling to ASCII lowerCamelCase</x:v>
      </x:c>
      <x:c r="J998" s="35" t="str">
        <x:v>REUSE_R2_TERM</x:v>
      </x:c>
    </x:row>
    <x:row r="999">
      <x:c r="A999" s="35" t="str">
        <x:v>totalPropulsionPowerForScantlings</x:v>
      </x:c>
      <x:c r="B999" s="35" t="str">
        <x:v>https://w3id.org/nltl-benchmark/vocab#totalPropulsionPowerForScantlings</x:v>
      </x:c>
      <x:c r="C999" s="35" t="str">
        <x:v>QuantityProperty</x:v>
      </x:c>
      <x:c r="D999" s="35" t="str">
        <x:v>http://qudt.org/schema/qudt/QuantityValue</x:v>
      </x:c>
      <x:c r="E999" s="35" t="str"/>
      <x:c r="F999" s="35" t="str">
        <x:v>kW</x:v>
      </x:c>
      <x:c r="G999" s="38" t="str">
        <x:v>TRF-039</x:v>
      </x:c>
      <x:c r="H999" s="35" t="str">
        <x:v>Unit-stripped normalized regulatory variable</x:v>
      </x:c>
      <x:c r="I999" s="35" t="str">
        <x:v>N3 - remove unit from the identifier and retain it in unit/quantity metadata</x:v>
      </x:c>
      <x:c r="J999" s="35" t="str">
        <x:v>REUSE_R2_TERM</x:v>
      </x:c>
    </x:row>
    <x:row r="1000">
      <x:c r="A1000" s="35" t="str">
        <x:v>totalRelevantEnginePower</x:v>
      </x:c>
      <x:c r="B1000" s="35" t="str">
        <x:v>https://w3id.org/nltl-benchmark/vocab#totalRelevantEnginePower</x:v>
      </x:c>
      <x:c r="C1000" s="35" t="str">
        <x:v>QuantityProperty</x:v>
      </x:c>
      <x:c r="D1000" s="35" t="str">
        <x:v>http://qudt.org/schema/qudt/QuantityValue</x:v>
      </x:c>
      <x:c r="E1000" s="35" t="str"/>
      <x:c r="F1000" s="35" t="str">
        <x:v>kW</x:v>
      </x:c>
      <x:c r="G1000" s="38" t="str">
        <x:v>TRF-130</x:v>
      </x:c>
      <x:c r="H1000" s="35" t="str">
        <x:v>Unit-stripped normalized regulatory variable</x:v>
      </x:c>
      <x:c r="I1000" s="35" t="str">
        <x:v>N3 - remove unit from the identifier and retain it in unit/quantity metadata</x:v>
      </x:c>
      <x:c r="J1000" s="35" t="str">
        <x:v>REUSE_R2_TERM</x:v>
      </x:c>
    </x:row>
    <x:row r="1001">
      <x:c r="A1001" s="35" t="str">
        <x:v>traficom2017Section3Point2Point2Method</x:v>
      </x:c>
      <x:c r="B1001" s="35" t="str">
        <x:v>https://w3id.org/nltl-benchmark/vocab#traficom2017Section3Point2Point2Method</x:v>
      </x:c>
      <x:c r="C1001" s="35" t="str">
        <x:v>NamedIndividual</x:v>
      </x:c>
      <x:c r="D1001" s="35" t="str">
        <x:v>https://w3id.org/nltl-benchmark/vocab#engineOutputComplianceMethodValue</x:v>
      </x:c>
      <x:c r="E1001" s="35" t="str"/>
      <x:c r="F1001" s="35" t="str"/>
      <x:c r="G1001" s="38" t="str">
        <x:v>TRF-007 | TRF-009 | TRF-024</x:v>
      </x:c>
      <x:c r="H1001" s="35" t="str">
        <x:v>Applicable TRAFICOM regulation wording plus explicit engineering node/operand role</x:v>
      </x:c>
      <x:c r="I1001" s="35" t="str">
        <x:v>N6 - concise ASCII lowerCamelCase controlled-value name grounded in the linked regulation.</x:v>
      </x:c>
      <x:c r="J1001" s="35" t="str">
        <x:v>ADD_DEVELOPMENT_TERM</x:v>
      </x:c>
    </x:row>
    <x:row r="1002">
      <x:c r="A1002" s="35" t="str">
        <x:v>traficom2017Section3Point2Point4Method</x:v>
      </x:c>
      <x:c r="B1002" s="35" t="str">
        <x:v>https://w3id.org/nltl-benchmark/vocab#traficom2017Section3Point2Point4Method</x:v>
      </x:c>
      <x:c r="C1002" s="35" t="str">
        <x:v>NamedIndividual</x:v>
      </x:c>
      <x:c r="D1002" s="35" t="str">
        <x:v>https://w3id.org/nltl-benchmark/vocab#engineOutputComplianceMethodValue</x:v>
      </x:c>
      <x:c r="E1002" s="35" t="str"/>
      <x:c r="F1002" s="35" t="str"/>
      <x:c r="G1002" s="38" t="str">
        <x:v>TRF-007 | TRF-009 | TRF-024</x:v>
      </x:c>
      <x:c r="H1002" s="35" t="str">
        <x:v>Applicable TRAFICOM regulation wording plus explicit engineering node/operand role</x:v>
      </x:c>
      <x:c r="I1002" s="35" t="str">
        <x:v>N6 - concise ASCII lowerCamelCase controlled-value name grounded in the linked regulation.</x:v>
      </x:c>
      <x:c r="J1002" s="35" t="str">
        <x:v>ADD_DEVELOPMENT_TERM</x:v>
      </x:c>
    </x:row>
    <x:row r="1003">
      <x:c r="A1003" s="35" t="str">
        <x:v>transverseFrame</x:v>
      </x:c>
      <x:c r="B1003" s="35" t="str">
        <x:v>https://w3id.org/nltl-benchmark/vocab#transverseFrame</x:v>
      </x:c>
      <x:c r="C1003" s="35" t="str">
        <x:v>Class</x:v>
      </x:c>
      <x:c r="D1003" s="35" t="str">
        <x:v>https://w3id.org/nltl-benchmark/vocab#hullStructure</x:v>
      </x:c>
      <x:c r="E1003" s="35" t="str"/>
      <x:c r="F1003" s="35" t="str"/>
      <x:c r="G1003" s="38" t="str">
        <x:v>TRF-046 | TRF-047</x:v>
      </x:c>
      <x:c r="H1003" s="35" t="str">
        <x:v>Benchmark-coined descriptive engineering term</x:v>
      </x:c>
      <x:c r="I1003" s="35" t="str">
        <x:v>N5 - component or subject first, followed by characteristic and qualifier/state; no unsupported external mapping</x:v>
      </x:c>
      <x:c r="J1003" s="35" t="str">
        <x:v>REUSE_R2_TERM</x:v>
      </x:c>
    </x:row>
    <x:row r="1004">
      <x:c r="A1004" s="35" t="str">
        <x:v>transverseFramingOrientation</x:v>
      </x:c>
      <x:c r="B1004" s="35" t="str">
        <x:v>https://w3id.org/nltl-benchmark/vocab#transverseFramingOrientation</x:v>
      </x:c>
      <x:c r="C1004" s="35" t="str">
        <x:v>NamedIndividual</x:v>
      </x:c>
      <x:c r="D1004" s="35" t="str">
        <x:v>https://w3id.org/nltl-benchmark/vocab#platingFramingOrientationValue</x:v>
      </x:c>
      <x:c r="E1004" s="35" t="str"/>
      <x:c r="F1004" s="35" t="str"/>
      <x:c r="G1004" s="38" t="str">
        <x:v>TRF-041</x:v>
      </x:c>
      <x:c r="H1004" s="35" t="str">
        <x:v>Applicable TRAFICOM regulation wording plus explicit engineering node/operand role</x:v>
      </x:c>
      <x:c r="I1004" s="35" t="str">
        <x:v>N6 - concise ASCII lowerCamelCase controlled-value name grounded in the linked regulation.</x:v>
      </x:c>
      <x:c r="J1004" s="35" t="str">
        <x:v>ADD_DEVELOPMENT_TERM</x:v>
      </x:c>
    </x:row>
    <x:row r="1005">
      <x:c r="A1005" s="35" t="str">
        <x:v>transversePenetration</x:v>
      </x:c>
      <x:c r="B1005" s="35" t="str">
        <x:v>https://w3id.org/nltl-benchmark/vocab#transversePenetration</x:v>
      </x:c>
      <x:c r="C1005" s="35" t="str">
        <x:v>QuantityProperty</x:v>
      </x:c>
      <x:c r="D1005" s="35" t="str">
        <x:v>http://qudt.org/schema/qudt/QuantityValue</x:v>
      </x:c>
      <x:c r="E1005" s="35" t="str"/>
      <x:c r="F1005" s="35" t="str">
        <x:v>mm</x:v>
      </x:c>
      <x:c r="G1005" s="38" t="str">
        <x:v>IMO-038</x:v>
      </x:c>
      <x:c r="H1005" s="35" t="str">
        <x:v>Unit-stripped normalized regulatory variable</x:v>
      </x:c>
      <x:c r="I1005" s="35" t="str">
        <x:v>N3 - remove unit from the identifier and retain it in unit/quantity metadata</x:v>
      </x:c>
      <x:c r="J1005" s="35" t="str">
        <x:v>REUSE_R2_TERM</x:v>
      </x:c>
    </x:row>
    <x:row r="1006">
      <x:c r="A1006" s="35" t="str">
        <x:v>transversePlatingFactorF1</x:v>
      </x:c>
      <x:c r="B1006" s="35" t="str">
        <x:v>https://w3id.org/nltl-benchmark/vocab#transversePlatingFactorF1</x:v>
      </x:c>
      <x:c r="C1006" s="35" t="str">
        <x:v>QuantityProperty</x:v>
      </x:c>
      <x:c r="D1006" s="35" t="str">
        <x:v>http://qudt.org/schema/qudt/QuantityValue</x:v>
      </x:c>
      <x:c r="E1006" s="35" t="str"/>
      <x:c r="F1006" s="35" t="str">
        <x:v>1</x:v>
      </x:c>
      <x:c r="G1006" s="38" t="str">
        <x:v>TRF-041</x:v>
      </x:c>
      <x:c r="H1006" s="35" t="str">
        <x:v>Applicable TRAFICOM regulation wording plus explicit engineering node/operand role</x:v>
      </x:c>
      <x:c r="I1006" s="35" t="str">
        <x:v>N4 - explicit engineering quantity in ASCII lowerCamelCase; formula symbols remain aliases only.</x:v>
      </x:c>
      <x:c r="J1006" s="35" t="str">
        <x:v>ADD_DEVELOPMENT_TERM</x:v>
      </x:c>
    </x:row>
    <x:row r="1007">
      <x:c r="A1007" s="35" t="str">
        <x:v>twoDeckFrameCondition</x:v>
      </x:c>
      <x:c r="B1007" s="35" t="str">
        <x:v>https://w3id.org/nltl-benchmark/vocab#twoDeckFrameCondition</x:v>
      </x:c>
      <x:c r="C1007" s="35" t="str">
        <x:v>NamedIndividual</x:v>
      </x:c>
      <x:c r="D1007" s="35" t="str">
        <x:v>https://w3id.org/nltl-benchmark/vocab#frameBoundaryConditionTypeValue</x:v>
      </x:c>
      <x:c r="E1007" s="35" t="str"/>
      <x:c r="F1007" s="35" t="str"/>
      <x:c r="G1007" s="38" t="str">
        <x:v>TRF-044</x:v>
      </x:c>
      <x:c r="H1007" s="35" t="str">
        <x:v>Applicable TRAFICOM regulation wording plus explicit engineering node/operand role</x:v>
      </x:c>
      <x:c r="I1007" s="35" t="str">
        <x:v>N6 - concise ASCII lowerCamelCase controlled-value name grounded in the linked regulation.</x:v>
      </x:c>
      <x:c r="J1007" s="35" t="str">
        <x:v>ADD_DEVELOPMENT_TERM</x:v>
      </x:c>
    </x:row>
    <x:row r="1008">
      <x:c r="A1008" s="35" t="str">
        <x:v>twoSlopeSnCurveUsed</x:v>
      </x:c>
      <x:c r="B1008" s="35" t="str">
        <x:v>https://w3id.org/nltl-benchmark/vocab#twoSlopeSnCurveUsed</x:v>
      </x:c>
      <x:c r="C1008" s="35" t="str">
        <x:v>DatatypeProperty</x:v>
      </x:c>
      <x:c r="D1008" s="35" t="str">
        <x:v>http://www.w3.org/2001/XMLSchema#boolean</x:v>
      </x:c>
      <x:c r="E1008" s="35" t="str">
        <x:v>xsd:boolean</x:v>
      </x:c>
      <x:c r="F1008" s="35" t="str"/>
      <x:c r="G1008" s="38" t="str">
        <x:v>TRF-108</x:v>
      </x:c>
      <x:c r="H1008" s="35" t="str">
        <x:v>Benchmark-coined descriptive engineering term</x:v>
      </x:c>
      <x:c r="I1008" s="35" t="str">
        <x:v>N5 - component or subject first, followed by characteristic and qualifier/state; no unsupported external mapping</x:v>
      </x:c>
      <x:c r="J1008" s="35" t="str">
        <x:v>REUSE_R2_TERM</x:v>
      </x:c>
    </x:row>
    <x:row r="1009">
      <x:c r="A1009" s="35" t="str">
        <x:v>twoWayOnSceneCommunicationPresent</x:v>
      </x:c>
      <x:c r="B1009" s="35" t="str">
        <x:v>https://w3id.org/nltl-benchmark/vocab#twoWayOnSceneCommunicationPresent</x:v>
      </x:c>
      <x:c r="C1009" s="35" t="str">
        <x:v>DatatypeProperty</x:v>
      </x:c>
      <x:c r="D1009" s="35" t="str">
        <x:v>http://www.w3.org/2001/XMLSchema#boolean</x:v>
      </x:c>
      <x:c r="E1009" s="35" t="str">
        <x:v>xsd:boolean</x:v>
      </x:c>
      <x:c r="F1009" s="35" t="str"/>
      <x:c r="G1009" s="38" t="str">
        <x:v>IMO-091</x:v>
      </x:c>
      <x:c r="H1009" s="35" t="str">
        <x:v>Locked-workbook normalized regulatory term</x:v>
      </x:c>
      <x:c r="I1009" s="35" t="str">
        <x:v>N4 - preserve the source concept; normalize spelling to ASCII lowerCamelCase</x:v>
      </x:c>
      <x:c r="J1009" s="35" t="str">
        <x:v>REUSE_R2_TERM</x:v>
      </x:c>
    </x:row>
    <x:row r="1010">
      <x:c r="A1010" s="35" t="str">
        <x:v>ultimateTensileStrength</x:v>
      </x:c>
      <x:c r="B1010" s="35" t="str">
        <x:v>https://w3id.org/nltl-benchmark/vocab#ultimateTensileStrength</x:v>
      </x:c>
      <x:c r="C1010" s="35" t="str">
        <x:v>QuantityProperty</x:v>
      </x:c>
      <x:c r="D1010" s="35" t="str">
        <x:v>http://qudt.org/schema/qudt/QuantityValue</x:v>
      </x:c>
      <x:c r="E1010" s="35" t="str"/>
      <x:c r="F1010" s="35" t="str">
        <x:v>MPa</x:v>
      </x:c>
      <x:c r="G1010" s="38" t="str">
        <x:v>TRF-106</x:v>
      </x:c>
      <x:c r="H1010" s="35" t="str">
        <x:v>Unit-stripped normalized regulatory variable</x:v>
      </x:c>
      <x:c r="I1010" s="35" t="str">
        <x:v>N3 - remove unit from the identifier and retain it in unit/quantity metadata</x:v>
      </x:c>
      <x:c r="J1010" s="35" t="str">
        <x:v>REUSE_R2_TERM</x:v>
      </x:c>
    </x:row>
    <x:row r="1011">
      <x:c r="A1011" s="35" t="str">
        <x:v>upperBowIceBeltRequired</x:v>
      </x:c>
      <x:c r="B1011" s="35" t="str">
        <x:v>https://w3id.org/nltl-benchmark/vocab#upperBowIceBeltRequired</x:v>
      </x:c>
      <x:c r="C1011" s="35" t="str">
        <x:v>DatatypeProperty</x:v>
      </x:c>
      <x:c r="D1011" s="35" t="str">
        <x:v>http://www.w3.org/2001/XMLSchema#boolean</x:v>
      </x:c>
      <x:c r="E1011" s="35" t="str">
        <x:v>xsd:boolean</x:v>
      </x:c>
      <x:c r="F1011" s="35" t="str"/>
      <x:c r="G1011" s="38" t="str">
        <x:v>TRF-043</x:v>
      </x:c>
      <x:c r="H1011" s="35" t="str">
        <x:v>Benchmark-coined descriptive engineering term</x:v>
      </x:c>
      <x:c r="I1011" s="35" t="str">
        <x:v>N5 - component or subject first, followed by characteristic and qualifier/state; no unsupported external mapping</x:v>
      </x:c>
      <x:c r="J1011" s="35" t="str">
        <x:v>REUSE_R2_TERM</x:v>
      </x:c>
    </x:row>
    <x:row r="1012">
      <x:c r="A1012" s="35" t="str">
        <x:v>upperBowIceBeltStrengtheningStatus</x:v>
      </x:c>
      <x:c r="B1012" s="35" t="str">
        <x:v>https://w3id.org/nltl-benchmark/vocab#upperBowIceBeltStrengtheningStatus</x:v>
      </x:c>
      <x:c r="C1012" s="35" t="str">
        <x:v>DatatypeProperty</x:v>
      </x:c>
      <x:c r="D1012" s="35" t="str">
        <x:v>http://www.w3.org/2001/XMLSchema#boolean</x:v>
      </x:c>
      <x:c r="E1012" s="35" t="str">
        <x:v>xsd:boolean</x:v>
      </x:c>
      <x:c r="F1012" s="35" t="str"/>
      <x:c r="G1012" s="38" t="str">
        <x:v>TRF-040</x:v>
      </x:c>
      <x:c r="H1012" s="35" t="str">
        <x:v>Benchmark-coined descriptive engineering term</x:v>
      </x:c>
      <x:c r="I1012" s="35" t="str">
        <x:v>N5 - component or subject first, followed by characteristic and qualifier/state; no unsupported external mapping</x:v>
      </x:c>
      <x:c r="J1012" s="35" t="str">
        <x:v>REUSE_R2_TERM</x:v>
      </x:c>
    </x:row>
    <x:row r="1013">
      <x:c r="A1013" s="35" t="str">
        <x:v>upperBowIceBeltTop</x:v>
      </x:c>
      <x:c r="B1013" s="35" t="str">
        <x:v>https://w3id.org/nltl-benchmark/vocab#upperBowIceBeltTop</x:v>
      </x:c>
      <x:c r="C1013" s="35" t="str">
        <x:v>DatatypeProperty</x:v>
      </x:c>
      <x:c r="D1013" s="35" t="str">
        <x:v>http://www.w3.org/2001/XMLSchema#string</x:v>
      </x:c>
      <x:c r="E1013" s="35" t="str">
        <x:v>xsd:string</x:v>
      </x:c>
      <x:c r="F1013" s="35" t="str"/>
      <x:c r="G1013" s="38" t="str">
        <x:v>TRF-043</x:v>
      </x:c>
      <x:c r="H1013" s="35" t="str">
        <x:v>Benchmark-coined descriptive engineering term</x:v>
      </x:c>
      <x:c r="I1013" s="35" t="str">
        <x:v>N5 - component or subject first, followed by characteristic and qualifier/state; no unsupported external mapping</x:v>
      </x:c>
      <x:c r="J1013" s="35" t="str">
        <x:v>REUSE_R2_TERM</x:v>
      </x:c>
    </x:row>
    <x:row r="1014">
      <x:c r="A1014" s="35" t="str">
        <x:v>upperIceWaterline</x:v>
      </x:c>
      <x:c r="B1014" s="35" t="str">
        <x:v>https://w3id.org/nltl-benchmark/vocab#upperIceWaterline</x:v>
      </x:c>
      <x:c r="C1014" s="35" t="str">
        <x:v>DatatypeProperty</x:v>
      </x:c>
      <x:c r="D1014" s="35" t="str">
        <x:v>http://www.w3.org/2001/XMLSchema#string</x:v>
      </x:c>
      <x:c r="E1014" s="35" t="str">
        <x:v>xsd:string</x:v>
      </x:c>
      <x:c r="F1014" s="35" t="str"/>
      <x:c r="G1014" s="38" t="str">
        <x:v>I2-003 | I2-004 | TRF-011 | TRF-014 | TRF-015 | TRF-016 | TRF-020 | TRF-030 | TRF-061</x:v>
      </x:c>
      <x:c r="H1014" s="35" t="str">
        <x:v>Verified exact implementation term</x:v>
      </x:c>
      <x:c r="I1014" s="35" t="str">
        <x:v>N1 - reuse only after exact URI and semantic-context verification</x:v>
      </x:c>
      <x:c r="J1014" s="35" t="str">
        <x:v>REUSE_R2_TERM</x:v>
      </x:c>
    </x:row>
    <x:row r="1015">
      <x:c r="A1015" s="35" t="str">
        <x:v>upperIceWaterlineBreadth</x:v>
      </x:c>
      <x:c r="B1015" s="35" t="str">
        <x:v>https://w3id.org/nltl-benchmark/vocab#upperIceWaterlineBreadth</x:v>
      </x:c>
      <x:c r="C1015" s="35" t="str">
        <x:v>QuantityProperty</x:v>
      </x:c>
      <x:c r="D1015" s="35" t="str">
        <x:v>http://qudt.org/schema/qudt/QuantityValue</x:v>
      </x:c>
      <x:c r="E1015" s="35" t="str"/>
      <x:c r="F1015" s="35" t="str">
        <x:v>m</x:v>
      </x:c>
      <x:c r="G1015" s="38" t="str">
        <x:v>TRF-020</x:v>
      </x:c>
      <x:c r="H1015" s="35" t="str">
        <x:v>Applicable TRAFICOM regulation wording plus explicit engineering node/operand role</x:v>
      </x:c>
      <x:c r="I1015" s="35" t="str">
        <x:v>N4 - explicit engineering quantity in ASCII lowerCamelCase; formula symbols remain aliases only.</x:v>
      </x:c>
      <x:c r="J1015" s="35" t="str">
        <x:v>ADD_DEVELOPMENT_TERM</x:v>
      </x:c>
    </x:row>
    <x:row r="1016">
      <x:c r="A1016" s="35" t="str">
        <x:v>upperIceWaterlineCenteredPosition</x:v>
      </x:c>
      <x:c r="B1016" s="35" t="str">
        <x:v>https://w3id.org/nltl-benchmark/vocab#upperIceWaterlineCenteredPosition</x:v>
      </x:c>
      <x:c r="C1016" s="35" t="str">
        <x:v>NamedIndividual</x:v>
      </x:c>
      <x:c r="D1016" s="35" t="str">
        <x:v>https://w3id.org/nltl-benchmark/vocab#loadPositionTypeValue</x:v>
      </x:c>
      <x:c r="E1016" s="35" t="str"/>
      <x:c r="F1016" s="35" t="str"/>
      <x:c r="G1016" s="38" t="str">
        <x:v>TRF-030</x:v>
      </x:c>
      <x:c r="H1016" s="35" t="str">
        <x:v>Applicable TRAFICOM regulation wording plus explicit engineering node/operand role</x:v>
      </x:c>
      <x:c r="I1016" s="35" t="str">
        <x:v>N6 - concise ASCII lowerCamelCase controlled-value name grounded in the linked regulation.</x:v>
      </x:c>
      <x:c r="J1016" s="35" t="str">
        <x:v>ADD_DEVELOPMENT_TERM</x:v>
      </x:c>
    </x:row>
    <x:row r="1017">
      <x:c r="A1017" s="35" t="str">
        <x:v>upperIceWaterlineDraught</x:v>
      </x:c>
      <x:c r="B1017" s="35" t="str">
        <x:v>https://w3id.org/nltl-benchmark/vocab#upperIceWaterlineDraught</x:v>
      </x:c>
      <x:c r="C1017" s="35" t="str">
        <x:v>QuantityProperty</x:v>
      </x:c>
      <x:c r="D1017" s="35" t="str">
        <x:v>http://qudt.org/schema/qudt/QuantityValue</x:v>
      </x:c>
      <x:c r="E1017" s="35" t="str"/>
      <x:c r="F1017" s="35" t="str">
        <x:v>m</x:v>
      </x:c>
      <x:c r="G1017" s="38" t="str">
        <x:v>IMO-038</x:v>
      </x:c>
      <x:c r="H1017" s="35" t="str">
        <x:v>Locked-workbook normalized regulatory term</x:v>
      </x:c>
      <x:c r="I1017" s="35" t="str">
        <x:v>N4 - preserve the source concept; normalize spelling to ASCII lowerCamelCase</x:v>
      </x:c>
      <x:c r="J1017" s="35" t="str">
        <x:v>REUSE_R2_TERM</x:v>
      </x:c>
    </x:row>
    <x:row r="1018">
      <x:c r="A1018" s="35" t="str">
        <x:v>upperIceWaterlineLength</x:v>
      </x:c>
      <x:c r="B1018" s="35" t="str">
        <x:v>https://w3id.org/nltl-benchmark/vocab#upperIceWaterlineLength</x:v>
      </x:c>
      <x:c r="C1018" s="35" t="str">
        <x:v>QuantityProperty</x:v>
      </x:c>
      <x:c r="D1018" s="35" t="str">
        <x:v>http://qudt.org/schema/qudt/QuantityValue</x:v>
      </x:c>
      <x:c r="E1018" s="35" t="str"/>
      <x:c r="F1018" s="35" t="str">
        <x:v>m</x:v>
      </x:c>
      <x:c r="G1018" s="38" t="str">
        <x:v>IMO-038</x:v>
      </x:c>
      <x:c r="H1018" s="35" t="str">
        <x:v>Locked-workbook normalized regulatory term</x:v>
      </x:c>
      <x:c r="I1018" s="35" t="str">
        <x:v>N4 - preserve the source concept; normalize spelling to ASCII lowerCamelCase</x:v>
      </x:c>
      <x:c r="J1018" s="35" t="str">
        <x:v>REUSE_R2_TERM</x:v>
      </x:c>
    </x:row>
    <x:row r="1019">
      <x:c r="A1019" s="35" t="str">
        <x:v>upperIceWaterlineReferencePosition</x:v>
      </x:c>
      <x:c r="B1019" s="35" t="str">
        <x:v>https://w3id.org/nltl-benchmark/vocab#upperIceWaterlineReferencePosition</x:v>
      </x:c>
      <x:c r="C1019" s="35" t="str">
        <x:v>QuantityProperty</x:v>
      </x:c>
      <x:c r="D1019" s="35" t="str">
        <x:v>http://qudt.org/schema/qudt/QuantityValue</x:v>
      </x:c>
      <x:c r="E1019" s="35" t="str"/>
      <x:c r="F1019" s="35" t="str">
        <x:v>m</x:v>
      </x:c>
      <x:c r="G1019" s="38" t="str">
        <x:v>TRF-030</x:v>
      </x:c>
      <x:c r="H1019" s="35" t="str">
        <x:v>Applicable TRAFICOM regulation wording plus explicit engineering node/operand role</x:v>
      </x:c>
      <x:c r="I1019" s="35" t="str">
        <x:v>N4 - explicit engineering quantity in ASCII lowerCamelCase; formula symbols remain aliases only.</x:v>
      </x:c>
      <x:c r="J1019" s="35" t="str">
        <x:v>ADD_DEVELOPMENT_TERM</x:v>
      </x:c>
    </x:row>
    <x:row r="1020">
      <x:c r="A1020" s="35" t="str">
        <x:v>urI1ComplianceStatus</x:v>
      </x:c>
      <x:c r="B1020" s="35" t="str">
        <x:v>https://w3id.org/nltl-benchmark/vocab#urI1ComplianceStatus</x:v>
      </x:c>
      <x:c r="C1020" s="35" t="str">
        <x:v>DatatypeProperty</x:v>
      </x:c>
      <x:c r="D1020" s="35" t="str">
        <x:v>http://www.w3.org/2001/XMLSchema#boolean</x:v>
      </x:c>
      <x:c r="E1020" s="35" t="str">
        <x:v>xsd:boolean</x:v>
      </x:c>
      <x:c r="F1020" s="35" t="str"/>
      <x:c r="G1020" s="38" t="str">
        <x:v>I2-002</x:v>
      </x:c>
      <x:c r="H1020" s="35" t="str">
        <x:v>Benchmark-coined descriptive engineering term</x:v>
      </x:c>
      <x:c r="I1020" s="35" t="str">
        <x:v>N5 - component or subject first, followed by characteristic and qualifier/state; no unsupported external mapping</x:v>
      </x:c>
      <x:c r="J1020" s="35" t="str">
        <x:v>REUSE_R2_TERM</x:v>
      </x:c>
    </x:row>
    <x:row r="1021">
      <x:c r="A1021" s="35" t="str">
        <x:v>urI2Applicability</x:v>
      </x:c>
      <x:c r="B1021" s="35" t="str">
        <x:v>https://w3id.org/nltl-benchmark/vocab#urI2Applicability</x:v>
      </x:c>
      <x:c r="C1021" s="35" t="str">
        <x:v>DatatypeProperty</x:v>
      </x:c>
      <x:c r="D1021" s="35" t="str">
        <x:v>http://www.w3.org/2001/XMLSchema#boolean</x:v>
      </x:c>
      <x:c r="E1021" s="35" t="str">
        <x:v>xsd:boolean</x:v>
      </x:c>
      <x:c r="F1021" s="35" t="str"/>
      <x:c r="G1021" s="38" t="str">
        <x:v>I2-002</x:v>
      </x:c>
      <x:c r="H1021" s="35" t="str">
        <x:v>Benchmark-coined descriptive engineering term</x:v>
      </x:c>
      <x:c r="I1021" s="35" t="str">
        <x:v>N5 - component or subject first, followed by characteristic and qualifier/state; no unsupported external mapping</x:v>
      </x:c>
      <x:c r="J1021" s="35" t="str">
        <x:v>REUSE_R2_TERM</x:v>
      </x:c>
    </x:row>
    <x:row r="1022">
      <x:c r="A1022" s="35" t="str">
        <x:v>urI2RevisionApplicability</x:v>
      </x:c>
      <x:c r="B1022" s="35" t="str">
        <x:v>https://w3id.org/nltl-benchmark/vocab#urI2RevisionApplicability</x:v>
      </x:c>
      <x:c r="C1022" s="35" t="str">
        <x:v>DatatypeProperty</x:v>
      </x:c>
      <x:c r="D1022" s="35" t="str">
        <x:v>http://www.w3.org/2001/XMLSchema#boolean</x:v>
      </x:c>
      <x:c r="E1022" s="35" t="str">
        <x:v>xsd:boolean</x:v>
      </x:c>
      <x:c r="F1022" s="35" t="str"/>
      <x:c r="G1022" s="38" t="str">
        <x:v>I2-001</x:v>
      </x:c>
      <x:c r="H1022" s="35" t="str">
        <x:v>Benchmark-coined descriptive engineering term</x:v>
      </x:c>
      <x:c r="I1022" s="35" t="str">
        <x:v>N5 - component or subject first, followed by characteristic and qualifier/state; no unsupported external mapping</x:v>
      </x:c>
      <x:c r="J1022" s="35" t="str">
        <x:v>REUSE_R2_TERM</x:v>
      </x:c>
    </x:row>
    <x:row r="1023">
      <x:c r="A1023" s="35" t="str">
        <x:v>usedToReachLowerIceWaterline</x:v>
      </x:c>
      <x:c r="B1023" s="35" t="str">
        <x:v>https://w3id.org/nltl-benchmark/vocab#usedToReachLowerIceWaterline</x:v>
      </x:c>
      <x:c r="C1023" s="35" t="str">
        <x:v>DatatypeProperty</x:v>
      </x:c>
      <x:c r="D1023" s="35" t="str">
        <x:v>http://www.w3.org/2001/XMLSchema#boolean</x:v>
      </x:c>
      <x:c r="E1023" s="35" t="str">
        <x:v>xsd:boolean</x:v>
      </x:c>
      <x:c r="F1023" s="35" t="str"/>
      <x:c r="G1023" s="38" t="str">
        <x:v>TRF-016</x:v>
      </x:c>
      <x:c r="H1023" s="35" t="str">
        <x:v>Applicable TRAFICOM regulation wording plus explicit engineering node/operand role</x:v>
      </x:c>
      <x:c r="I1023" s="35" t="str">
        <x:v>N4 - explicit regulatory concept in ASCII lowerCamelCase with an XSD datatype.</x:v>
      </x:c>
      <x:c r="J1023" s="35" t="str">
        <x:v>ADD_DEVELOPMENT_TERM</x:v>
      </x:c>
    </x:row>
    <x:row r="1024">
      <x:c r="A1024" s="35" t="str">
        <x:v>valveExposed</x:v>
      </x:c>
      <x:c r="B1024" s="35" t="str">
        <x:v>https://w3id.org/nltl-benchmark/vocab#valveExposed</x:v>
      </x:c>
      <x:c r="C1024" s="35" t="str">
        <x:v>DatatypeProperty</x:v>
      </x:c>
      <x:c r="D1024" s="35" t="str">
        <x:v>http://www.w3.org/2001/XMLSchema#boolean</x:v>
      </x:c>
      <x:c r="E1024" s="35" t="str">
        <x:v>xsd:boolean</x:v>
      </x:c>
      <x:c r="F1024" s="35" t="str"/>
      <x:c r="G1024" s="38" t="str">
        <x:v>IMO-055</x:v>
      </x:c>
      <x:c r="H1024" s="35" t="str">
        <x:v>Locked-workbook normalized regulatory term</x:v>
      </x:c>
      <x:c r="I1024" s="35" t="str">
        <x:v>N4 - preserve the source concept; normalize spelling to ASCII lowerCamelCase</x:v>
      </x:c>
      <x:c r="J1024" s="35" t="str">
        <x:v>REUSE_R2_TERM</x:v>
      </x:c>
    </x:row>
    <x:row r="1025">
      <x:c r="A1025" s="35" t="str">
        <x:v>valveType</x:v>
      </x:c>
      <x:c r="B1025" s="35" t="str">
        <x:v>https://w3id.org/nltl-benchmark/vocab#valveType</x:v>
      </x:c>
      <x:c r="C1025" s="35" t="str">
        <x:v>DatatypeProperty</x:v>
      </x:c>
      <x:c r="D1025" s="35" t="str">
        <x:v>http://www.w3.org/2001/XMLSchema#string</x:v>
      </x:c>
      <x:c r="E1025" s="35" t="str">
        <x:v>xsd:string</x:v>
      </x:c>
      <x:c r="F1025" s="35" t="str"/>
      <x:c r="G1025" s="38" t="str">
        <x:v>IMO-055</x:v>
      </x:c>
      <x:c r="H1025" s="35" t="str">
        <x:v>Locked-workbook normalized regulatory term</x:v>
      </x:c>
      <x:c r="I1025" s="35" t="str">
        <x:v>N4 - preserve the source concept; normalize spelling to ASCII lowerCamelCase</x:v>
      </x:c>
      <x:c r="J1025" s="35" t="str">
        <x:v>REUSE_R2_TERM</x:v>
      </x:c>
    </x:row>
    <x:row r="1026">
      <x:c r="A1026" s="35" t="str">
        <x:v>variableAmplitudeLoadingReductionFactor</x:v>
      </x:c>
      <x:c r="B1026" s="35" t="str">
        <x:v>https://w3id.org/nltl-benchmark/vocab#variableAmplitudeLoadingReductionFactor</x:v>
      </x:c>
      <x:c r="C1026" s="35" t="str">
        <x:v>QuantityProperty</x:v>
      </x:c>
      <x:c r="D1026" s="35" t="str">
        <x:v>http://qudt.org/schema/qudt/QuantityValue</x:v>
      </x:c>
      <x:c r="E1026" s="35" t="str"/>
      <x:c r="F1026" s="35" t="str">
        <x:v>1</x:v>
      </x:c>
      <x:c r="G1026" s="38" t="str">
        <x:v>TRF-110</x:v>
      </x:c>
      <x:c r="H1026" s="35" t="str">
        <x:v>Regulatory symbol expanded from a directly verified definition</x:v>
      </x:c>
      <x:c r="I1026" s="35" t="str">
        <x:v>N2 - replace formula symbol with its clause-defined engineering meaning; preserve symbol as alias</x:v>
      </x:c>
      <x:c r="J1026" s="35" t="str">
        <x:v>REUSE_R2_TERM</x:v>
      </x:c>
    </x:row>
    <x:row r="1027">
      <x:c r="A1027" s="35" t="str">
        <x:v>verticalCoordinate</x:v>
      </x:c>
      <x:c r="B1027" s="35" t="str">
        <x:v>https://w3id.org/nltl-benchmark/vocab#verticalCoordinate</x:v>
      </x:c>
      <x:c r="C1027" s="35" t="str">
        <x:v>QuantityProperty</x:v>
      </x:c>
      <x:c r="D1027" s="35" t="str">
        <x:v>http://qudt.org/schema/qudt/QuantityValue</x:v>
      </x:c>
      <x:c r="E1027" s="35" t="str"/>
      <x:c r="F1027" s="35" t="str">
        <x:v>m</x:v>
      </x:c>
      <x:c r="G1027" s="38" t="str">
        <x:v>TRF-011 | TRF-012</x:v>
      </x:c>
      <x:c r="H1027" s="35" t="str">
        <x:v>Applicable TRAFICOM regulation wording plus explicit engineering node/operand role</x:v>
      </x:c>
      <x:c r="I1027" s="35" t="str">
        <x:v>N4 - explicit engineering quantity in ASCII lowerCamelCase; formula symbols remain aliases only.</x:v>
      </x:c>
      <x:c r="J1027" s="35" t="str">
        <x:v>ADD_DEVELOPMENT_TERM</x:v>
      </x:c>
    </x:row>
    <x:row r="1028">
      <x:c r="A1028" s="35" t="str">
        <x:v>verticalDamageExtent</x:v>
      </x:c>
      <x:c r="B1028" s="35" t="str">
        <x:v>https://w3id.org/nltl-benchmark/vocab#verticalDamageExtent</x:v>
      </x:c>
      <x:c r="C1028" s="35" t="str">
        <x:v>QuantityProperty</x:v>
      </x:c>
      <x:c r="D1028" s="35" t="str">
        <x:v>http://qudt.org/schema/qudt/QuantityValue</x:v>
      </x:c>
      <x:c r="E1028" s="35" t="str"/>
      <x:c r="F1028" s="35" t="str">
        <x:v>m</x:v>
      </x:c>
      <x:c r="G1028" s="38" t="str">
        <x:v>IMO-038</x:v>
      </x:c>
      <x:c r="H1028" s="35" t="str">
        <x:v>Locked-workbook normalized regulatory term</x:v>
      </x:c>
      <x:c r="I1028" s="35" t="str">
        <x:v>N4 - preserve the source concept; normalize spelling to ASCII lowerCamelCase</x:v>
      </x:c>
      <x:c r="J1028" s="35" t="str">
        <x:v>REUSE_R2_TERM</x:v>
      </x:c>
    </x:row>
    <x:row r="1029">
      <x:c r="A1029" s="35" t="str">
        <x:v>verticalLoadPosition</x:v>
      </x:c>
      <x:c r="B1029" s="35" t="str">
        <x:v>https://w3id.org/nltl-benchmark/vocab#verticalLoadPosition</x:v>
      </x:c>
      <x:c r="C1029" s="35" t="str">
        <x:v>QuantityProperty</x:v>
      </x:c>
      <x:c r="D1029" s="35" t="str">
        <x:v>http://qudt.org/schema/qudt/QuantityValue</x:v>
      </x:c>
      <x:c r="E1029" s="35" t="str"/>
      <x:c r="F1029" s="35" t="str">
        <x:v>m</x:v>
      </x:c>
      <x:c r="G1029" s="38" t="str">
        <x:v>TRF-030</x:v>
      </x:c>
      <x:c r="H1029" s="35" t="str">
        <x:v>Applicable TRAFICOM regulation wording plus explicit engineering node/operand role</x:v>
      </x:c>
      <x:c r="I1029" s="35" t="str">
        <x:v>N4 - explicit engineering quantity in ASCII lowerCamelCase; formula symbols remain aliases only.</x:v>
      </x:c>
      <x:c r="J1029" s="35" t="str">
        <x:v>ADD_DEVELOPMENT_TERM</x:v>
      </x:c>
    </x:row>
    <x:row r="1030">
      <x:c r="A1030" s="35" t="str">
        <x:v>verticalLoadPositionType</x:v>
      </x:c>
      <x:c r="B1030" s="35" t="str">
        <x:v>https://w3id.org/nltl-benchmark/vocab#verticalLoadPositionType</x:v>
      </x:c>
      <x:c r="C1030" s="35" t="str">
        <x:v>ObjectProperty</x:v>
      </x:c>
      <x:c r="D1030" s="35" t="str">
        <x:v>https://w3id.org/nltl-benchmark/vocab#loadPositionTypeValue</x:v>
      </x:c>
      <x:c r="E1030" s="35" t="str"/>
      <x:c r="F1030" s="35" t="str"/>
      <x:c r="G1030" s="38" t="str">
        <x:v>TRF-030</x:v>
      </x:c>
      <x:c r="H1030" s="35" t="str">
        <x:v>Applicable TRAFICOM regulation wording plus explicit engineering node/operand role</x:v>
      </x:c>
      <x:c r="I1030" s="35" t="str">
        <x:v>N5 - ASCII lowerCamelCase relationship; use has + object role when it improves direction clarity.</x:v>
      </x:c>
      <x:c r="J1030" s="35" t="str">
        <x:v>ADD_DEVELOPMENT_TERM</x:v>
      </x:c>
    </x:row>
    <x:row r="1031">
      <x:c r="A1031" s="35" t="str">
        <x:v>veryLongHatchOpening</x:v>
      </x:c>
      <x:c r="B1031" s="35" t="str">
        <x:v>https://w3id.org/nltl-benchmark/vocab#veryLongHatchOpening</x:v>
      </x:c>
      <x:c r="C1031" s="35" t="str">
        <x:v>DatatypeProperty</x:v>
      </x:c>
      <x:c r="D1031" s="35" t="str">
        <x:v>http://www.w3.org/2001/XMLSchema#boolean</x:v>
      </x:c>
      <x:c r="E1031" s="35" t="str">
        <x:v>xsd:boolean</x:v>
      </x:c>
      <x:c r="F1031" s="35" t="str"/>
      <x:c r="G1031" s="38" t="str">
        <x:v>TRF-055</x:v>
      </x:c>
      <x:c r="H1031" s="35" t="str">
        <x:v>Applicable TRAFICOM regulation wording plus explicit engineering node/operand role</x:v>
      </x:c>
      <x:c r="I1031" s="35" t="str">
        <x:v>N4 - explicit regulatory concept in ASCII lowerCamelCase with an XSD datatype.</x:v>
      </x:c>
      <x:c r="J1031" s="35" t="str">
        <x:v>ADD_DEVELOPMENT_TERM</x:v>
      </x:c>
    </x:row>
    <x:row r="1032">
      <x:c r="A1032" s="35" t="str">
        <x:v>vibrationAnalysis</x:v>
      </x:c>
      <x:c r="B1032" s="35" t="str">
        <x:v>https://w3id.org/nltl-benchmark/vocab#vibrationAnalysis</x:v>
      </x:c>
      <x:c r="C1032" s="35" t="str">
        <x:v>Class</x:v>
      </x:c>
      <x:c r="D1032" s="35" t="str">
        <x:v>https://w3id.org/nltl-benchmark/vocab#engineeringAnalysis</x:v>
      </x:c>
      <x:c r="E1032" s="35" t="str"/>
      <x:c r="F1032" s="35" t="str"/>
      <x:c r="G1032" s="38" t="str">
        <x:v>TRF-125</x:v>
      </x:c>
      <x:c r="H1032" s="35" t="str">
        <x:v>Benchmark-coined descriptive engineering term</x:v>
      </x:c>
      <x:c r="I1032" s="35" t="str">
        <x:v>N5 - component or subject first, followed by characteristic and qualifier/state; no unsupported external mapping</x:v>
      </x:c>
      <x:c r="J1032" s="35" t="str">
        <x:v>REUSE_R2_TERM</x:v>
      </x:c>
    </x:row>
    <x:row r="1033">
      <x:c r="A1033" s="35" t="str">
        <x:v>vibratoryLoadDesignEvidence</x:v>
      </x:c>
      <x:c r="B1033" s="35" t="str">
        <x:v>https://w3id.org/nltl-benchmark/vocab#vibratoryLoadDesignEvidence</x:v>
      </x:c>
      <x:c r="C1033" s="35" t="str">
        <x:v>Class</x:v>
      </x:c>
      <x:c r="D1033" s="35" t="str">
        <x:v>https://w3id.org/nltl-benchmark/vocab#documentEvidence</x:v>
      </x:c>
      <x:c r="E1033" s="35" t="str"/>
      <x:c r="F1033" s="35" t="str"/>
      <x:c r="G1033" s="38" t="str">
        <x:v>TRF-119</x:v>
      </x:c>
      <x:c r="H1033" s="35" t="str">
        <x:v>Benchmark-coined descriptive engineering term</x:v>
      </x:c>
      <x:c r="I1033" s="35" t="str">
        <x:v>N5 - component or subject first, followed by characteristic and qualifier/state; no unsupported external mapping</x:v>
      </x:c>
      <x:c r="J1033" s="35" t="str">
        <x:v>REUSE_R2_TERM</x:v>
      </x:c>
    </x:row>
    <x:row r="1034">
      <x:c r="A1034" s="35" t="str">
        <x:v>visibilityRange</x:v>
      </x:c>
      <x:c r="B1034" s="35" t="str">
        <x:v>https://w3id.org/nltl-benchmark/vocab#visibilityRange</x:v>
      </x:c>
      <x:c r="C1034" s="35" t="str">
        <x:v>QuantityProperty</x:v>
      </x:c>
      <x:c r="D1034" s="35" t="str">
        <x:v>http://qudt.org/schema/qudt/QuantityValue</x:v>
      </x:c>
      <x:c r="E1034" s="35" t="str"/>
      <x:c r="F1034" s="35" t="str">
        <x:v>nautical mile</x:v>
      </x:c>
      <x:c r="G1034" s="38" t="str">
        <x:v>IMO-089</x:v>
      </x:c>
      <x:c r="H1034" s="35" t="str">
        <x:v>Unit-stripped normalized regulatory variable</x:v>
      </x:c>
      <x:c r="I1034" s="35" t="str">
        <x:v>N3 - remove unit from the identifier and retain it in unit/quantity metadata</x:v>
      </x:c>
      <x:c r="J1034" s="35" t="str">
        <x:v>REUSE_R2_TERM</x:v>
      </x:c>
    </x:row>
    <x:row r="1035">
      <x:c r="A1035" s="35" t="str">
        <x:v>visibleFromAstern</x:v>
      </x:c>
      <x:c r="B1035" s="35" t="str">
        <x:v>https://w3id.org/nltl-benchmark/vocab#visibleFromAstern</x:v>
      </x:c>
      <x:c r="C1035" s="35" t="str">
        <x:v>DatatypeProperty</x:v>
      </x:c>
      <x:c r="D1035" s="35" t="str">
        <x:v>http://www.w3.org/2001/XMLSchema#boolean</x:v>
      </x:c>
      <x:c r="E1035" s="35" t="str">
        <x:v>xsd:boolean</x:v>
      </x:c>
      <x:c r="F1035" s="35" t="str"/>
      <x:c r="G1035" s="38" t="str">
        <x:v>IMO-089</x:v>
      </x:c>
      <x:c r="H1035" s="35" t="str">
        <x:v>Locked-workbook normalized regulatory term</x:v>
      </x:c>
      <x:c r="I1035" s="35" t="str">
        <x:v>N4 - preserve the source concept; normalize spelling to ASCII lowerCamelCase</x:v>
      </x:c>
      <x:c r="J1035" s="35" t="str">
        <x:v>REUSE_R2_TERM</x:v>
      </x:c>
    </x:row>
    <x:row r="1036">
      <x:c r="A1036" s="35" t="str">
        <x:v>visualIceDetectionIlluminationMeansCount</x:v>
      </x:c>
      <x:c r="B1036" s="35" t="str">
        <x:v>https://w3id.org/nltl-benchmark/vocab#visualIceDetectionIlluminationMeansCount</x:v>
      </x:c>
      <x:c r="C1036" s="35" t="str">
        <x:v>DatatypeProperty</x:v>
      </x:c>
      <x:c r="D1036" s="35" t="str">
        <x:v>http://www.w3.org/2001/XMLSchema#integer</x:v>
      </x:c>
      <x:c r="E1036" s="35" t="str">
        <x:v>xsd:integer</x:v>
      </x:c>
      <x:c r="F1036" s="35" t="str"/>
      <x:c r="G1036" s="38" t="str">
        <x:v>IMO26-014</x:v>
      </x:c>
      <x:c r="H1036" s="35" t="str">
        <x:v>Locked-workbook normalized regulatory term</x:v>
      </x:c>
      <x:c r="I1036" s="35" t="str">
        <x:v>N4 - preserve the source concept; normalize spelling to ASCII lowerCamelCase</x:v>
      </x:c>
      <x:c r="J1036" s="35" t="str">
        <x:v>REUSE_R2_TERM</x:v>
      </x:c>
    </x:row>
    <x:row r="1037">
      <x:c r="A1037" s="35" t="str">
        <x:v>vonMises</x:v>
      </x:c>
      <x:c r="B1037" s="35" t="str">
        <x:v>https://w3id.org/nltl-benchmark/vocab#vonMises</x:v>
      </x:c>
      <x:c r="C1037" s="35" t="str">
        <x:v>DatatypeProperty</x:v>
      </x:c>
      <x:c r="D1037" s="35" t="str">
        <x:v>http://www.w3.org/2001/XMLSchema#string</x:v>
      </x:c>
      <x:c r="E1037" s="35" t="str">
        <x:v>xsd:string</x:v>
      </x:c>
      <x:c r="F1037" s="35" t="str"/>
      <x:c r="G1037" s="38" t="str">
        <x:v>TRF-106</x:v>
      </x:c>
      <x:c r="H1037" s="35" t="str">
        <x:v>Benchmark-coined descriptive engineering term</x:v>
      </x:c>
      <x:c r="I1037" s="35" t="str">
        <x:v>N5 - component or subject first, followed by characteristic and qualifier/state; no unsupported external mapping</x:v>
      </x:c>
      <x:c r="J1037" s="35" t="str">
        <x:v>REUSE_R2_TERM</x:v>
      </x:c>
    </x:row>
    <x:row r="1038">
      <x:c r="A1038" s="35" t="str">
        <x:v>vonMisesYieldCriterion</x:v>
      </x:c>
      <x:c r="B1038" s="35" t="str">
        <x:v>https://w3id.org/nltl-benchmark/vocab#vonMisesYieldCriterion</x:v>
      </x:c>
      <x:c r="C1038" s="35" t="str">
        <x:v>DatatypeProperty</x:v>
      </x:c>
      <x:c r="D1038" s="35" t="str">
        <x:v>http://www.w3.org/2001/XMLSchema#string</x:v>
      </x:c>
      <x:c r="E1038" s="35" t="str">
        <x:v>xsd:string</x:v>
      </x:c>
      <x:c r="F1038" s="35" t="str"/>
      <x:c r="G1038" s="38" t="str">
        <x:v>TRF-031</x:v>
      </x:c>
      <x:c r="H1038" s="35" t="str">
        <x:v>Benchmark-coined descriptive engineering term</x:v>
      </x:c>
      <x:c r="I1038" s="35" t="str">
        <x:v>N5 - component or subject first, followed by characteristic and qualifier/state; no unsupported external mapping</x:v>
      </x:c>
      <x:c r="J1038" s="35" t="str">
        <x:v>REUSE_R2_TERM</x:v>
      </x:c>
    </x:row>
    <x:row r="1039">
      <x:c r="A1039" s="35" t="str">
        <x:v>voyageLimitAvoidance</x:v>
      </x:c>
      <x:c r="B1039" s="35" t="str">
        <x:v>https://w3id.org/nltl-benchmark/vocab#voyageLimitAvoidance</x:v>
      </x:c>
      <x:c r="C1039" s="35" t="str">
        <x:v>DatatypeProperty</x:v>
      </x:c>
      <x:c r="D1039" s="35" t="str">
        <x:v>http://www.w3.org/2001/XMLSchema#string</x:v>
      </x:c>
      <x:c r="E1039" s="35" t="str">
        <x:v>xsd:string</x:v>
      </x:c>
      <x:c r="F1039" s="35" t="str"/>
      <x:c r="G1039" s="38" t="str">
        <x:v>IMO-027</x:v>
      </x:c>
      <x:c r="H1039" s="35" t="str">
        <x:v>Locked-workbook normalized regulatory term</x:v>
      </x:c>
      <x:c r="I1039" s="35" t="str">
        <x:v>N4 - preserve the source concept; normalize spelling to ASCII lowerCamelCase</x:v>
      </x:c>
      <x:c r="J1039" s="35" t="str">
        <x:v>REUSE_R2_TERM</x:v>
      </x:c>
    </x:row>
    <x:row r="1040">
      <x:c r="A1040" s="35" t="str">
        <x:v>voyagePlanCoverage</x:v>
      </x:c>
      <x:c r="B1040" s="35" t="str">
        <x:v>https://w3id.org/nltl-benchmark/vocab#voyagePlanCoverage</x:v>
      </x:c>
      <x:c r="C1040" s="35" t="str">
        <x:v>DatatypeProperty</x:v>
      </x:c>
      <x:c r="D1040" s="35" t="str">
        <x:v>http://www.w3.org/2001/XMLSchema#boolean</x:v>
      </x:c>
      <x:c r="E1040" s="35" t="str">
        <x:v>xsd:boolean</x:v>
      </x:c>
      <x:c r="F1040" s="35" t="str"/>
      <x:c r="G1040" s="38" t="str">
        <x:v>IMO26-017</x:v>
      </x:c>
      <x:c r="H1040" s="35" t="str">
        <x:v>Locked-workbook normalized regulatory term</x:v>
      </x:c>
      <x:c r="I1040" s="35" t="str">
        <x:v>N4 - preserve the source concept; normalize spelling to ASCII lowerCamelCase</x:v>
      </x:c>
      <x:c r="J1040" s="35" t="str">
        <x:v>REUSE_R2_TERM</x:v>
      </x:c>
    </x:row>
    <x:row r="1041">
      <x:c r="A1041" s="35" t="str">
        <x:v>voyagePlanHazardCoverage</x:v>
      </x:c>
      <x:c r="B1041" s="35" t="str">
        <x:v>https://w3id.org/nltl-benchmark/vocab#voyagePlanHazardCoverage</x:v>
      </x:c>
      <x:c r="C1041" s="35" t="str">
        <x:v>DatatypeProperty</x:v>
      </x:c>
      <x:c r="D1041" s="35" t="str">
        <x:v>http://www.w3.org/2001/XMLSchema#boolean</x:v>
      </x:c>
      <x:c r="E1041" s="35" t="str">
        <x:v>xsd:boolean</x:v>
      </x:c>
      <x:c r="F1041" s="35" t="str"/>
      <x:c r="G1041" s="38" t="str">
        <x:v>IMO-100</x:v>
      </x:c>
      <x:c r="H1041" s="35" t="str">
        <x:v>Locked-workbook normalized regulatory term</x:v>
      </x:c>
      <x:c r="I1041" s="35" t="str">
        <x:v>N4 - preserve the source concept; normalize spelling to ASCII lowerCamelCase</x:v>
      </x:c>
      <x:c r="J1041" s="35" t="str">
        <x:v>REUSE_R2_TERM</x:v>
      </x:c>
    </x:row>
    <x:row r="1042">
      <x:c r="A1042" s="35" t="str">
        <x:v>voyagePlanPresent</x:v>
      </x:c>
      <x:c r="B1042" s="35" t="str">
        <x:v>https://w3id.org/nltl-benchmark/vocab#voyagePlanPresent</x:v>
      </x:c>
      <x:c r="C1042" s="35" t="str">
        <x:v>DatatypeProperty</x:v>
      </x:c>
      <x:c r="D1042" s="35" t="str">
        <x:v>http://www.w3.org/2001/XMLSchema#boolean</x:v>
      </x:c>
      <x:c r="E1042" s="35" t="str">
        <x:v>xsd:boolean</x:v>
      </x:c>
      <x:c r="F1042" s="35" t="str"/>
      <x:c r="G1042" s="38" t="str">
        <x:v>IMO-100 | IMO26-017</x:v>
      </x:c>
      <x:c r="H1042" s="35" t="str">
        <x:v>Locked-workbook normalized regulatory term</x:v>
      </x:c>
      <x:c r="I1042" s="35" t="str">
        <x:v>N4 - preserve the source concept; normalize spelling to ASCII lowerCamelCase</x:v>
      </x:c>
      <x:c r="J1042" s="35" t="str">
        <x:v>REUSE_R2_TERM</x:v>
      </x:c>
    </x:row>
    <x:row r="1043">
      <x:c r="A1043" s="35" t="str">
        <x:v>voyagePlanningTopicCoverage</x:v>
      </x:c>
      <x:c r="B1043" s="35" t="str">
        <x:v>https://w3id.org/nltl-benchmark/vocab#voyagePlanningTopicCoverage</x:v>
      </x:c>
      <x:c r="C1043" s="35" t="str">
        <x:v>DatatypeProperty</x:v>
      </x:c>
      <x:c r="D1043" s="35" t="str">
        <x:v>http://www.w3.org/2001/XMLSchema#boolean</x:v>
      </x:c>
      <x:c r="E1043" s="35" t="str">
        <x:v>xsd:boolean</x:v>
      </x:c>
      <x:c r="F1043" s="35" t="str"/>
      <x:c r="G1043" s="38" t="str">
        <x:v>IMO-101 | IMO26-018</x:v>
      </x:c>
      <x:c r="H1043" s="35" t="str">
        <x:v>Locked-workbook normalized regulatory term</x:v>
      </x:c>
      <x:c r="I1043" s="35" t="str">
        <x:v>N4 - preserve the source concept; normalize spelling to ASCII lowerCamelCase</x:v>
      </x:c>
      <x:c r="J1043" s="35" t="str">
        <x:v>REUSE_R2_TERM</x:v>
      </x:c>
    </x:row>
    <x:row r="1044">
      <x:c r="A1044" s="35" t="str">
        <x:v>warningTrianglePresent</x:v>
      </x:c>
      <x:c r="B1044" s="35" t="str">
        <x:v>https://w3id.org/nltl-benchmark/vocab#warningTrianglePresent</x:v>
      </x:c>
      <x:c r="C1044" s="35" t="str">
        <x:v>DatatypeProperty</x:v>
      </x:c>
      <x:c r="D1044" s="35" t="str">
        <x:v>http://www.w3.org/2001/XMLSchema#boolean</x:v>
      </x:c>
      <x:c r="E1044" s="35" t="str">
        <x:v>xsd:boolean</x:v>
      </x:c>
      <x:c r="F1044" s="35" t="str"/>
      <x:c r="G1044" s="38" t="str">
        <x:v>TRF-014</x:v>
      </x:c>
      <x:c r="H1044" s="35" t="str">
        <x:v>Applicable TRAFICOM regulation wording plus explicit engineering node/operand role</x:v>
      </x:c>
      <x:c r="I1044" s="35" t="str">
        <x:v>N4 - explicit regulatory concept in ASCII lowerCamelCase with an XSD datatype.</x:v>
      </x:c>
      <x:c r="J1044" s="35" t="str">
        <x:v>ADD_DEVELOPMENT_TERM</x:v>
      </x:c>
    </x:row>
    <x:row r="1045">
      <x:c r="A1045" s="35" t="str">
        <x:v>watchCoverageStatus</x:v>
      </x:c>
      <x:c r="B1045" s="35" t="str">
        <x:v>https://w3id.org/nltl-benchmark/vocab#watchCoverageStatus</x:v>
      </x:c>
      <x:c r="C1045" s="35" t="str">
        <x:v>DatatypeProperty</x:v>
      </x:c>
      <x:c r="D1045" s="35" t="str">
        <x:v>http://www.w3.org/2001/XMLSchema#boolean</x:v>
      </x:c>
      <x:c r="E1045" s="35" t="str">
        <x:v>xsd:boolean</x:v>
      </x:c>
      <x:c r="F1045" s="35" t="str"/>
      <x:c r="G1045" s="38" t="str">
        <x:v>IMO-103</x:v>
      </x:c>
      <x:c r="H1045" s="35" t="str">
        <x:v>Locked-workbook normalized regulatory term</x:v>
      </x:c>
      <x:c r="I1045" s="35" t="str">
        <x:v>N4 - preserve the source concept; normalize spelling to ASCII lowerCamelCase</x:v>
      </x:c>
      <x:c r="J1045" s="35" t="str">
        <x:v>REUSE_R2_TERM</x:v>
      </x:c>
    </x:row>
    <x:row r="1046">
      <x:c r="A1046" s="35" t="str">
        <x:v>waterAddedMass</x:v>
      </x:c>
      <x:c r="B1046" s="35" t="str">
        <x:v>https://w3id.org/nltl-benchmark/vocab#waterAddedMass</x:v>
      </x:c>
      <x:c r="C1046" s="35" t="str">
        <x:v>QuantityProperty</x:v>
      </x:c>
      <x:c r="D1046" s="35" t="str">
        <x:v>http://qudt.org/schema/qudt/QuantityValue</x:v>
      </x:c>
      <x:c r="E1046" s="35" t="str"/>
      <x:c r="F1046" s="35" t="str">
        <x:v>kg</x:v>
      </x:c>
      <x:c r="G1046" s="38" t="str">
        <x:v>TRF-120</x:v>
      </x:c>
      <x:c r="H1046" s="35" t="str">
        <x:v>Benchmark-coined descriptive engineering term</x:v>
      </x:c>
      <x:c r="I1046" s="35" t="str">
        <x:v>N5 - component or subject first, followed by characteristic and qualifier/state; no unsupported external mapping</x:v>
      </x:c>
      <x:c r="J1046" s="35" t="str">
        <x:v>REUSE_R2_TERM</x:v>
      </x:c>
    </x:row>
    <x:row r="1047">
      <x:c r="A1047" s="35" t="str">
        <x:v>waterMistPump</x:v>
      </x:c>
      <x:c r="B1047" s="35" t="str">
        <x:v>https://w3id.org/nltl-benchmark/vocab#waterMistPump</x:v>
      </x:c>
      <x:c r="C1047" s="35" t="str">
        <x:v>Class</x:v>
      </x:c>
      <x:c r="D1047" s="35" t="str">
        <x:v>https://w3id.org/nltl-benchmark/vocab#firePump</x:v>
      </x:c>
      <x:c r="E1047" s="35" t="str"/>
      <x:c r="F1047" s="35" t="str"/>
      <x:c r="G1047" s="38" t="str">
        <x:v>IMO-057</x:v>
      </x:c>
      <x:c r="H1047" s="35" t="str">
        <x:v>Applicable regulation explicit wording; R2 benchmark gap repair</x:v>
      </x:c>
      <x:c r="I1047" s="35" t="str">
        <x:v>N4 - preserve explicit regulatory entity as ASCII lowerCamelCase</x:v>
      </x:c>
      <x:c r="J1047" s="35" t="str">
        <x:v>REUSE_R2_TERM</x:v>
      </x:c>
    </x:row>
    <x:row r="1048">
      <x:c r="A1048" s="35" t="str">
        <x:v>waterSprayPump</x:v>
      </x:c>
      <x:c r="B1048" s="35" t="str">
        <x:v>https://w3id.org/nltl-benchmark/vocab#waterSprayPump</x:v>
      </x:c>
      <x:c r="C1048" s="35" t="str">
        <x:v>Class</x:v>
      </x:c>
      <x:c r="D1048" s="35" t="str">
        <x:v>https://w3id.org/nltl-benchmark/vocab#firePump</x:v>
      </x:c>
      <x:c r="E1048" s="35" t="str"/>
      <x:c r="F1048" s="35" t="str"/>
      <x:c r="G1048" s="38" t="str">
        <x:v>IMO-057</x:v>
      </x:c>
      <x:c r="H1048" s="35" t="str">
        <x:v>Applicable regulation explicit wording; R2 benchmark gap repair</x:v>
      </x:c>
      <x:c r="I1048" s="35" t="str">
        <x:v>N4 - preserve explicit regulatory entity as ASCII lowerCamelCase</x:v>
      </x:c>
      <x:c r="J1048" s="35" t="str">
        <x:v>REUSE_R2_TERM</x:v>
      </x:c>
    </x:row>
    <x:row r="1049">
      <x:c r="A1049" s="35" t="str">
        <x:v>waterlineAngleAtQuarterBreadth</x:v>
      </x:c>
      <x:c r="B1049" s="35" t="str">
        <x:v>https://w3id.org/nltl-benchmark/vocab#waterlineAngleAtQuarterBreadth</x:v>
      </x:c>
      <x:c r="C1049" s="35" t="str">
        <x:v>QuantityProperty</x:v>
      </x:c>
      <x:c r="D1049" s="35" t="str">
        <x:v>http://qudt.org/schema/qudt/QuantityValue</x:v>
      </x:c>
      <x:c r="E1049" s="35" t="str"/>
      <x:c r="F1049" s="35" t="str">
        <x:v>deg</x:v>
      </x:c>
      <x:c r="G1049" s="38" t="str">
        <x:v>TRF-022</x:v>
      </x:c>
      <x:c r="H1049" s="35" t="str">
        <x:v>Applicable TRAFICOM regulation wording plus explicit engineering node/operand role</x:v>
      </x:c>
      <x:c r="I1049" s="35" t="str">
        <x:v>N4 - explicit engineering quantity in ASCII lowerCamelCase; formula symbols remain aliases only.</x:v>
      </x:c>
      <x:c r="J1049" s="35" t="str">
        <x:v>ADD_DEVELOPMENT_TERM</x:v>
      </x:c>
    </x:row>
    <x:row r="1050">
      <x:c r="A1050" s="35" t="str">
        <x:v>waterlineDisplacement</x:v>
      </x:c>
      <x:c r="B1050" s="35" t="str">
        <x:v>https://w3id.org/nltl-benchmark/vocab#waterlineDisplacement</x:v>
      </x:c>
      <x:c r="C1050" s="35" t="str">
        <x:v>QuantityProperty</x:v>
      </x:c>
      <x:c r="D1050" s="35" t="str">
        <x:v>http://qudt.org/schema/qudt/QuantityValue</x:v>
      </x:c>
      <x:c r="E1050" s="35" t="str"/>
      <x:c r="F1050" s="35" t="str">
        <x:v>t</x:v>
      </x:c>
      <x:c r="G1050" s="38" t="str">
        <x:v>TRF-016</x:v>
      </x:c>
      <x:c r="H1050" s="35" t="str">
        <x:v>Applicable TRAFICOM regulation wording plus explicit engineering node/operand role</x:v>
      </x:c>
      <x:c r="I1050" s="35" t="str">
        <x:v>N4 - explicit engineering quantity in ASCII lowerCamelCase; formula symbols remain aliases only.</x:v>
      </x:c>
      <x:c r="J1050" s="35" t="str">
        <x:v>ADD_DEVELOPMENT_TERM</x:v>
      </x:c>
    </x:row>
    <x:row r="1051">
      <x:c r="A1051" s="35" t="str">
        <x:v>waterlineProfilePoint</x:v>
      </x:c>
      <x:c r="B1051" s="35" t="str">
        <x:v>https://w3id.org/nltl-benchmark/vocab#waterlineProfilePoint</x:v>
      </x:c>
      <x:c r="C1051" s="35" t="str">
        <x:v>Class</x:v>
      </x:c>
      <x:c r="D1051" s="35" t="str">
        <x:v>https://w3id.org/nltl-benchmark/vocab#benchmarkEntity</x:v>
      </x:c>
      <x:c r="E1051" s="35" t="str"/>
      <x:c r="F1051" s="35" t="str"/>
      <x:c r="G1051" s="38" t="str">
        <x:v>TRF-011 | TRF-012</x:v>
      </x:c>
      <x:c r="H1051" s="35" t="str">
        <x:v>Applicable TRAFICOM regulation wording plus explicit engineering node/operand role</x:v>
      </x:c>
      <x:c r="I1051" s="35" t="str">
        <x:v>N4 - singular ASCII lowerCamelCase entity name derived from the linked regulatory role.</x:v>
      </x:c>
      <x:c r="J1051" s="35" t="str">
        <x:v>ADD_DEVELOPMENT_TERM</x:v>
      </x:c>
    </x:row>
    <x:row r="1052">
      <x:c r="A1052" s="35" t="str">
        <x:v>watertightOrWeathertightClosingDevice</x:v>
      </x:c>
      <x:c r="B1052" s="35" t="str">
        <x:v>https://w3id.org/nltl-benchmark/vocab#watertightOrWeathertightClosingDevice</x:v>
      </x:c>
      <x:c r="C1052" s="35" t="str">
        <x:v>Class</x:v>
      </x:c>
      <x:c r="D1052" s="35" t="str">
        <x:v>https://w3id.org/nltl-benchmark/vocab#benchmarkEntity</x:v>
      </x:c>
      <x:c r="E1052" s="35" t="str"/>
      <x:c r="F1052" s="35" t="str"/>
      <x:c r="G1052" s="38" t="str">
        <x:v>IMO-039</x:v>
      </x:c>
      <x:c r="H1052" s="35" t="str">
        <x:v>Locked-workbook normalized regulatory term</x:v>
      </x:c>
      <x:c r="I1052" s="35" t="str">
        <x:v>N4 - preserve the source concept; normalize spelling to ASCII lowerCamelCase</x:v>
      </x:c>
      <x:c r="J1052" s="35" t="str">
        <x:v>REUSE_R2_TERM</x:v>
      </x:c>
    </x:row>
    <x:row r="1053">
      <x:c r="A1053" s="35" t="str">
        <x:v>weatherDeckBelowIceBeltUpperLimit</x:v>
      </x:c>
      <x:c r="B1053" s="35" t="str">
        <x:v>https://w3id.org/nltl-benchmark/vocab#weatherDeckBelowIceBeltUpperLimit</x:v>
      </x:c>
      <x:c r="C1053" s="35" t="str">
        <x:v>DatatypeProperty</x:v>
      </x:c>
      <x:c r="D1053" s="35" t="str">
        <x:v>http://www.w3.org/2001/XMLSchema#boolean</x:v>
      </x:c>
      <x:c r="E1053" s="35" t="str">
        <x:v>xsd:boolean</x:v>
      </x:c>
      <x:c r="F1053" s="35" t="str"/>
      <x:c r="G1053" s="38" t="str">
        <x:v>TRF-040</x:v>
      </x:c>
      <x:c r="H1053" s="35" t="str">
        <x:v>Benchmark-coined descriptive engineering term</x:v>
      </x:c>
      <x:c r="I1053" s="35" t="str">
        <x:v>N5 - component or subject first, followed by characteristic and qualifier/state; no unsupported external mapping</x:v>
      </x:c>
      <x:c r="J1053" s="35" t="str">
        <x:v>REUSE_R2_TERM</x:v>
      </x:c>
    </x:row>
    <x:row r="1054">
      <x:c r="A1054" s="35" t="str">
        <x:v>weatherProtectionPresent</x:v>
      </x:c>
      <x:c r="B1054" s="35" t="str">
        <x:v>https://w3id.org/nltl-benchmark/vocab#weatherProtectionPresent</x:v>
      </x:c>
      <x:c r="C1054" s="35" t="str">
        <x:v>DatatypeProperty</x:v>
      </x:c>
      <x:c r="D1054" s="35" t="str">
        <x:v>http://www.w3.org/2001/XMLSchema#boolean</x:v>
      </x:c>
      <x:c r="E1054" s="35" t="str">
        <x:v>xsd:boolean</x:v>
      </x:c>
      <x:c r="F1054" s="35" t="str"/>
      <x:c r="G1054" s="38" t="str">
        <x:v>IMO-065</x:v>
      </x:c>
      <x:c r="H1054" s="35" t="str">
        <x:v>Locked-workbook normalized regulatory term</x:v>
      </x:c>
      <x:c r="I1054" s="35" t="str">
        <x:v>N4 - preserve the source concept; normalize spelling to ASCII lowerCamelCase</x:v>
      </x:c>
      <x:c r="J1054" s="35" t="str">
        <x:v>REUSE_R2_TERM</x:v>
      </x:c>
    </x:row>
    <x:row r="1055">
      <x:c r="A1055" s="35" t="str">
        <x:v>weatherdeckHatch</x:v>
      </x:c>
      <x:c r="B1055" s="35" t="str">
        <x:v>https://w3id.org/nltl-benchmark/vocab#weatherdeckHatch</x:v>
      </x:c>
      <x:c r="C1055" s="35" t="str">
        <x:v>Class</x:v>
      </x:c>
      <x:c r="D1055" s="35" t="str">
        <x:v>https://w3id.org/nltl-benchmark/vocab#shipComponent</x:v>
      </x:c>
      <x:c r="E1055" s="35" t="str"/>
      <x:c r="F1055" s="35" t="str"/>
      <x:c r="G1055" s="38" t="str">
        <x:v>TRF-056</x:v>
      </x:c>
      <x:c r="H1055" s="35" t="str">
        <x:v>Applicable TRAFICOM regulation wording plus explicit engineering node/operand role</x:v>
      </x:c>
      <x:c r="I1055" s="35" t="str">
        <x:v>N4 - singular ASCII lowerCamelCase entity name derived from the linked regulatory role.</x:v>
      </x:c>
      <x:c r="J1055" s="35" t="str">
        <x:v>ADD_DEVELOPMENT_TERM</x:v>
      </x:c>
    </x:row>
    <x:row r="1056">
      <x:c r="A1056" s="35" t="str">
        <x:v>webFrame</x:v>
      </x:c>
      <x:c r="B1056" s="35" t="str">
        <x:v>https://w3id.org/nltl-benchmark/vocab#webFrame</x:v>
      </x:c>
      <x:c r="C1056" s="35" t="str">
        <x:v>Class</x:v>
      </x:c>
      <x:c r="D1056" s="35" t="str">
        <x:v>https://w3id.org/nltl-benchmark/vocab#hullStructure</x:v>
      </x:c>
      <x:c r="E1056" s="35" t="str"/>
      <x:c r="F1056" s="35" t="str"/>
      <x:c r="G1056" s="38" t="str">
        <x:v>I2-037 | I2-062</x:v>
      </x:c>
      <x:c r="H1056" s="35" t="str">
        <x:v>Benchmark-coined descriptive engineering term</x:v>
      </x:c>
      <x:c r="I1056" s="35" t="str">
        <x:v>N5 - component or subject first, followed by characteristic and qualifier/state; no unsupported external mapping</x:v>
      </x:c>
      <x:c r="J1056" s="35" t="str">
        <x:v>REUSE_R2_TERM</x:v>
      </x:c>
    </x:row>
    <x:row r="1057">
      <x:c r="A1057" s="35" t="str">
        <x:v>webFrameIceLoad</x:v>
      </x:c>
      <x:c r="B1057" s="35" t="str">
        <x:v>https://w3id.org/nltl-benchmark/vocab#webFrameIceLoad</x:v>
      </x:c>
      <x:c r="C1057" s="35" t="str">
        <x:v>QuantityProperty</x:v>
      </x:c>
      <x:c r="D1057" s="35" t="str">
        <x:v>http://qudt.org/schema/qudt/QuantityValue</x:v>
      </x:c>
      <x:c r="E1057" s="35" t="str"/>
      <x:c r="F1057" s="35" t="str">
        <x:v>kN</x:v>
      </x:c>
      <x:c r="G1057" s="38" t="str">
        <x:v>TRF-057</x:v>
      </x:c>
      <x:c r="H1057" s="35" t="str">
        <x:v>Verified exact implementation term</x:v>
      </x:c>
      <x:c r="I1057" s="35" t="str">
        <x:v>N1 - reuse only after exact URI and semantic-context verification</x:v>
      </x:c>
      <x:c r="J1057" s="35" t="str">
        <x:v>REUSE_R2_TERM</x:v>
      </x:c>
    </x:row>
    <x:row r="1058">
      <x:c r="A1058" s="35" t="str">
        <x:v>webFrameSafetyFactor</x:v>
      </x:c>
      <x:c r="B1058" s="35" t="str">
        <x:v>https://w3id.org/nltl-benchmark/vocab#webFrameSafetyFactor</x:v>
      </x:c>
      <x:c r="C1058" s="35" t="str">
        <x:v>QuantityProperty</x:v>
      </x:c>
      <x:c r="D1058" s="35" t="str">
        <x:v>http://qudt.org/schema/qudt/QuantityValue</x:v>
      </x:c>
      <x:c r="E1058" s="35" t="str"/>
      <x:c r="F1058" s="35" t="str">
        <x:v>1</x:v>
      </x:c>
      <x:c r="G1058" s="38" t="str">
        <x:v>TRF-057</x:v>
      </x:c>
      <x:c r="H1058" s="35" t="str">
        <x:v>Benchmark-coined descriptive engineering term</x:v>
      </x:c>
      <x:c r="I1058" s="35" t="str">
        <x:v>N5 - component or subject first, followed by characteristic and qualifier/state; no unsupported external mapping</x:v>
      </x:c>
      <x:c r="J1058" s="35" t="str">
        <x:v>REUSE_R2_TERM</x:v>
      </x:c>
    </x:row>
    <x:row r="1059">
      <x:c r="A1059" s="35" t="str">
        <x:v>webFrameShearDistributionFactorF13</x:v>
      </x:c>
      <x:c r="B1059" s="35" t="str">
        <x:v>https://w3id.org/nltl-benchmark/vocab#webFrameShearDistributionFactorF13</x:v>
      </x:c>
      <x:c r="C1059" s="35" t="str">
        <x:v>QuantityProperty</x:v>
      </x:c>
      <x:c r="D1059" s="35" t="str">
        <x:v>http://qudt.org/schema/qudt/QuantityValue</x:v>
      </x:c>
      <x:c r="E1059" s="35" t="str"/>
      <x:c r="F1059" s="35" t="str">
        <x:v>1</x:v>
      </x:c>
      <x:c r="G1059" s="38" t="str">
        <x:v>TRF-059</x:v>
      </x:c>
      <x:c r="H1059" s="35" t="str">
        <x:v>Applicable TRAFICOM regulation wording plus explicit engineering node/operand role</x:v>
      </x:c>
      <x:c r="I1059" s="35" t="str">
        <x:v>N4 - explicit engineering quantity in ASCII lowerCamelCase; formula symbols remain aliases only.</x:v>
      </x:c>
      <x:c r="J1059" s="35" t="str">
        <x:v>ADD_DEVELOPMENT_TERM</x:v>
      </x:c>
    </x:row>
    <x:row r="1060">
      <x:c r="A1060" s="35" t="str">
        <x:v>webFrameShearFactorAlpha</x:v>
      </x:c>
      <x:c r="B1060" s="35" t="str">
        <x:v>https://w3id.org/nltl-benchmark/vocab#webFrameShearFactorAlpha</x:v>
      </x:c>
      <x:c r="C1060" s="35" t="str">
        <x:v>QuantityProperty</x:v>
      </x:c>
      <x:c r="D1060" s="35" t="str">
        <x:v>http://qudt.org/schema/qudt/QuantityValue</x:v>
      </x:c>
      <x:c r="E1060" s="35" t="str"/>
      <x:c r="F1060" s="35" t="str">
        <x:v>1</x:v>
      </x:c>
      <x:c r="G1060" s="38" t="str">
        <x:v>TRF-059</x:v>
      </x:c>
      <x:c r="H1060" s="35" t="str">
        <x:v>Applicable TRAFICOM regulation wording plus explicit engineering node/operand role</x:v>
      </x:c>
      <x:c r="I1060" s="35" t="str">
        <x:v>N4 - explicit engineering quantity in ASCII lowerCamelCase; formula symbols remain aliases only.</x:v>
      </x:c>
      <x:c r="J1060" s="35" t="str">
        <x:v>ADD_DEVELOPMENT_TERM</x:v>
      </x:c>
    </x:row>
    <x:row r="1061">
      <x:c r="A1061" s="35" t="str">
        <x:v>webFrameSpacing</x:v>
      </x:c>
      <x:c r="B1061" s="35" t="str">
        <x:v>https://w3id.org/nltl-benchmark/vocab#webFrameSpacing</x:v>
      </x:c>
      <x:c r="C1061" s="35" t="str">
        <x:v>QuantityProperty</x:v>
      </x:c>
      <x:c r="D1061" s="35" t="str">
        <x:v>http://qudt.org/schema/qudt/QuantityValue</x:v>
      </x:c>
      <x:c r="E1061" s="35" t="str"/>
      <x:c r="F1061" s="35" t="str">
        <x:v>m</x:v>
      </x:c>
      <x:c r="G1061" s="38" t="str">
        <x:v>TRF-057</x:v>
      </x:c>
      <x:c r="H1061" s="35" t="str">
        <x:v>Verified exact implementation term</x:v>
      </x:c>
      <x:c r="I1061" s="35" t="str">
        <x:v>N1 - reuse only after exact URI and semantic-context verification</x:v>
      </x:c>
      <x:c r="J1061" s="35" t="str">
        <x:v>REUSE_R2_TERM</x:v>
      </x:c>
    </x:row>
    <x:row r="1062">
      <x:c r="A1062" s="35" t="str">
        <x:v>webPlateArea</x:v>
      </x:c>
      <x:c r="B1062" s="35" t="str">
        <x:v>https://w3id.org/nltl-benchmark/vocab#webPlateArea</x:v>
      </x:c>
      <x:c r="C1062" s="35" t="str">
        <x:v>QuantityProperty</x:v>
      </x:c>
      <x:c r="D1062" s="35" t="str">
        <x:v>http://qudt.org/schema/qudt/QuantityValue</x:v>
      </x:c>
      <x:c r="E1062" s="35" t="str"/>
      <x:c r="F1062" s="35" t="str">
        <x:v>cm^2</x:v>
      </x:c>
      <x:c r="G1062" s="38" t="str">
        <x:v>TRF-059</x:v>
      </x:c>
      <x:c r="H1062" s="35" t="str">
        <x:v>Applicable TRAFICOM regulation wording plus explicit engineering node/operand role</x:v>
      </x:c>
      <x:c r="I1062" s="35" t="str">
        <x:v>N4 - explicit engineering quantity in ASCII lowerCamelCase; formula symbols remain aliases only.</x:v>
      </x:c>
      <x:c r="J1062" s="35" t="str">
        <x:v>ADD_DEVELOPMENT_TERM</x:v>
      </x:c>
    </x:row>
    <x:row r="1063">
      <x:c r="A1063" s="35" t="str">
        <x:v>webPlateConnectionSideCount</x:v>
      </x:c>
      <x:c r="B1063" s="35" t="str">
        <x:v>https://w3id.org/nltl-benchmark/vocab#webPlateConnectionSideCount</x:v>
      </x:c>
      <x:c r="C1063" s="35" t="str">
        <x:v>DatatypeProperty</x:v>
      </x:c>
      <x:c r="D1063" s="35" t="str">
        <x:v>http://www.w3.org/2001/XMLSchema#integer</x:v>
      </x:c>
      <x:c r="E1063" s="35" t="str">
        <x:v>xsd:integer</x:v>
      </x:c>
      <x:c r="F1063" s="35" t="str"/>
      <x:c r="G1063" s="38" t="str">
        <x:v>TRF-049</x:v>
      </x:c>
      <x:c r="H1063" s="35" t="str">
        <x:v>Applicable TRAFICOM regulation wording plus explicit engineering node/operand role</x:v>
      </x:c>
      <x:c r="I1063" s="35" t="str">
        <x:v>N4 - explicit regulatory concept in ASCII lowerCamelCase with an XSD datatype.</x:v>
      </x:c>
      <x:c r="J1063" s="35" t="str">
        <x:v>ADD_DEVELOPMENT_TERM</x:v>
      </x:c>
    </x:row>
    <x:row r="1064">
      <x:c r="A1064" s="35" t="str">
        <x:v>weldType</x:v>
      </x:c>
      <x:c r="B1064" s="35" t="str">
        <x:v>https://w3id.org/nltl-benchmark/vocab#weldType</x:v>
      </x:c>
      <x:c r="C1064" s="35" t="str">
        <x:v>DatatypeProperty</x:v>
      </x:c>
      <x:c r="D1064" s="35" t="str">
        <x:v>http://www.w3.org/2001/XMLSchema#string</x:v>
      </x:c>
      <x:c r="E1064" s="35" t="str">
        <x:v>xsd:string</x:v>
      </x:c>
      <x:c r="F1064" s="35" t="str"/>
      <x:c r="G1064" s="38" t="str">
        <x:v>I2-066 | TRF-050</x:v>
      </x:c>
      <x:c r="H1064" s="35" t="str">
        <x:v>Benchmark-coined descriptive engineering term</x:v>
      </x:c>
      <x:c r="I1064" s="35" t="str">
        <x:v>N5 - component or subject first, followed by characteristic and qualifier/state; no unsupported external mapping</x:v>
      </x:c>
      <x:c r="J1064" s="35" t="str">
        <x:v>REUSE_R2_TERM</x:v>
      </x:c>
    </x:row>
    <x:row r="1065">
      <x:c r="A1065" s="35" t="str">
        <x:v>weldTypeValue</x:v>
      </x:c>
      <x:c r="B1065" s="35" t="str">
        <x:v>https://w3id.org/nltl-benchmark/vocab#weldTypeValue</x:v>
      </x:c>
      <x:c r="C1065" s="35" t="str">
        <x:v>Class</x:v>
      </x:c>
      <x:c r="D1065" s="35" t="str">
        <x:v>https://w3id.org/nltl-benchmark/vocab#benchmarkEntity</x:v>
      </x:c>
      <x:c r="E1065" s="35" t="str"/>
      <x:c r="F1065" s="35" t="str"/>
      <x:c r="G1065" s="38" t="str">
        <x:v>TRF-050</x:v>
      </x:c>
      <x:c r="H1065" s="35" t="str">
        <x:v>Applicable TRAFICOM regulation wording plus explicit engineering node/operand role</x:v>
      </x:c>
      <x:c r="I1065" s="35" t="str">
        <x:v>N4 - singular ASCII lowerCamelCase entity name derived from the linked regulatory role.</x:v>
      </x:c>
      <x:c r="J1065" s="35" t="str">
        <x:v>ADD_DEVELOPMENT_TERM</x:v>
      </x:c>
    </x:row>
    <x:row r="1066">
      <x:c r="A1066" s="35" t="str">
        <x:v>wingTankProtectionStatus</x:v>
      </x:c>
      <x:c r="B1066" s="35" t="str">
        <x:v>https://w3id.org/nltl-benchmark/vocab#wingTankProtectionStatus</x:v>
      </x:c>
      <x:c r="C1066" s="35" t="str">
        <x:v>DatatypeProperty</x:v>
      </x:c>
      <x:c r="D1066" s="35" t="str">
        <x:v>http://www.w3.org/2001/XMLSchema#boolean</x:v>
      </x:c>
      <x:c r="E1066" s="35" t="str">
        <x:v>xsd:boolean</x:v>
      </x:c>
      <x:c r="F1066" s="35" t="str"/>
      <x:c r="G1066" s="38" t="str">
        <x:v>IMO-110</x:v>
      </x:c>
      <x:c r="H1066" s="35" t="str">
        <x:v>Locked-workbook normalized regulatory term</x:v>
      </x:c>
      <x:c r="I1066" s="35" t="str">
        <x:v>N4 - preserve the source concept; normalize spelling to ASCII lowerCamelCase</x:v>
      </x:c>
      <x:c r="J1066" s="35" t="str">
        <x:v>REUSE_R2_TERM</x:v>
      </x:c>
    </x:row>
    <x:row r="1067">
      <x:c r="A1067" s="35" t="str">
        <x:v>winterClothingOperabilityTestStatus</x:v>
      </x:c>
      <x:c r="B1067" s="35" t="str">
        <x:v>https://w3id.org/nltl-benchmark/vocab#winterClothingOperabilityTestStatus</x:v>
      </x:c>
      <x:c r="C1067" s="35" t="str">
        <x:v>DatatypeProperty</x:v>
      </x:c>
      <x:c r="D1067" s="35" t="str">
        <x:v>http://www.w3.org/2001/XMLSchema#boolean</x:v>
      </x:c>
      <x:c r="E1067" s="35" t="str">
        <x:v>xsd:boolean</x:v>
      </x:c>
      <x:c r="F1067" s="35" t="str"/>
      <x:c r="G1067" s="38" t="str">
        <x:v>IMO-042</x:v>
      </x:c>
      <x:c r="H1067" s="35" t="str">
        <x:v>Locked-workbook normalized regulatory term</x:v>
      </x:c>
      <x:c r="I1067" s="35" t="str">
        <x:v>N4 - preserve the source concept; normalize spelling to ASCII lowerCamelCase</x:v>
      </x:c>
      <x:c r="J1067" s="35" t="str">
        <x:v>REUSE_R2_TERM</x:v>
      </x:c>
    </x:row>
    <x:row r="1068">
      <x:c r="A1068" s="35" t="str">
        <x:v>winterGrowthCount</x:v>
      </x:c>
      <x:c r="B1068" s="35" t="str">
        <x:v>https://w3id.org/nltl-benchmark/vocab#winterGrowthCount</x:v>
      </x:c>
      <x:c r="C1068" s="35" t="str">
        <x:v>DatatypeProperty</x:v>
      </x:c>
      <x:c r="D1068" s="35" t="str">
        <x:v>http://www.w3.org/2001/XMLSchema#integer</x:v>
      </x:c>
      <x:c r="E1068" s="35" t="str">
        <x:v>xsd:integer</x:v>
      </x:c>
      <x:c r="F1068" s="35" t="str"/>
      <x:c r="G1068" s="38" t="str">
        <x:v>IMO-004</x:v>
      </x:c>
      <x:c r="H1068" s="35" t="str">
        <x:v>Locked-workbook normalized regulatory term</x:v>
      </x:c>
      <x:c r="I1068" s="35" t="str">
        <x:v>N4 - preserve the source concept; normalize spelling to ASCII lowerCamelCase</x:v>
      </x:c>
      <x:c r="J1068" s="35" t="str">
        <x:v>REUSE_R2_TERM</x:v>
      </x:c>
    </x:row>
    <x:row r="1069">
      <x:c r="A1069" s="35" t="str">
        <x:v>withinIceStrengthenedArea</x:v>
      </x:c>
      <x:c r="B1069" s="35" t="str">
        <x:v>https://w3id.org/nltl-benchmark/vocab#withinIceStrengthenedArea</x:v>
      </x:c>
      <x:c r="C1069" s="35" t="str">
        <x:v>DatatypeProperty</x:v>
      </x:c>
      <x:c r="D1069" s="35" t="str">
        <x:v>http://www.w3.org/2001/XMLSchema#boolean</x:v>
      </x:c>
      <x:c r="E1069" s="35" t="str">
        <x:v>xsd:boolean</x:v>
      </x:c>
      <x:c r="F1069" s="35" t="str"/>
      <x:c r="G1069" s="38" t="str">
        <x:v>TRF-049</x:v>
      </x:c>
      <x:c r="H1069" s="35" t="str">
        <x:v>Applicable TRAFICOM regulation wording plus explicit engineering node/operand role</x:v>
      </x:c>
      <x:c r="I1069" s="35" t="str">
        <x:v>N4 - explicit regulatory concept in ASCII lowerCamelCase with an XSD datatype.</x:v>
      </x:c>
      <x:c r="J1069" s="35" t="str">
        <x:v>ADD_DEVELOPMENT_TERM</x:v>
      </x:c>
    </x:row>
    <x:row r="1070">
      <x:c r="A1070" s="35" t="str">
        <x:v>workingLiquid</x:v>
      </x:c>
      <x:c r="B1070" s="35" t="str">
        <x:v>https://w3id.org/nltl-benchmark/vocab#workingLiquid</x:v>
      </x:c>
      <x:c r="C1070" s="35" t="str">
        <x:v>DatatypeProperty</x:v>
      </x:c>
      <x:c r="D1070" s="35" t="str">
        <x:v>http://www.w3.org/2001/XMLSchema#string</x:v>
      </x:c>
      <x:c r="E1070" s="35" t="str">
        <x:v>xsd:string</x:v>
      </x:c>
      <x:c r="F1070" s="35" t="str"/>
      <x:c r="G1070" s="38" t="str">
        <x:v>IMO-044</x:v>
      </x:c>
      <x:c r="H1070" s="35" t="str">
        <x:v>Locked-workbook normalized regulatory term</x:v>
      </x:c>
      <x:c r="I1070" s="35" t="str">
        <x:v>N4 - preserve the source concept; normalize spelling to ASCII lowerCamelCase</x:v>
      </x:c>
      <x:c r="J1070" s="35" t="str">
        <x:v>REUSE_R2_TERM</x:v>
      </x:c>
    </x:row>
    <x:row r="1071">
      <x:c r="A1071" s="35" t="str">
        <x:v>yieldPoint</x:v>
      </x:c>
      <x:c r="B1071" s="35" t="str">
        <x:v>https://w3id.org/nltl-benchmark/vocab#yieldPoint</x:v>
      </x:c>
      <x:c r="C1071" s="35" t="str">
        <x:v>QuantityProperty</x:v>
      </x:c>
      <x:c r="D1071" s="35" t="str">
        <x:v>http://qudt.org/schema/qudt/QuantityValue</x:v>
      </x:c>
      <x:c r="E1071" s="35" t="str"/>
      <x:c r="F1071" s="35" t="str">
        <x:v>MPa</x:v>
      </x:c>
      <x:c r="G1071" s="38" t="str">
        <x:v>TRF-031</x:v>
      </x:c>
      <x:c r="H1071" s="35" t="str">
        <x:v>Benchmark-coined descriptive engineering term</x:v>
      </x:c>
      <x:c r="I1071" s="35" t="str">
        <x:v>N5 - component or subject first, followed by characteristic and qualifier/state; no unsupported external mapping</x:v>
      </x:c>
      <x:c r="J1071" s="35" t="str">
        <x:v>REUSE_R2_TERM</x:v>
      </x:c>
    </x:row>
    <x:row r="1072">
      <x:c r="A1072" s="35" t="str">
        <x:v>yieldSafetyFactor</x:v>
      </x:c>
      <x:c r="B1072" s="35" t="str">
        <x:v>https://w3id.org/nltl-benchmark/vocab#yieldSafetyFactor</x:v>
      </x:c>
      <x:c r="C1072" s="35" t="str">
        <x:v>QuantityProperty</x:v>
      </x:c>
      <x:c r="D1072" s="35" t="str">
        <x:v>http://qudt.org/schema/qudt/QuantityValue</x:v>
      </x:c>
      <x:c r="E1072" s="35" t="str"/>
      <x:c r="F1072" s="35" t="str">
        <x:v>1</x:v>
      </x:c>
      <x:c r="G1072" s="38" t="str">
        <x:v>TRF-110 | TRF-112 | TRF-118</x:v>
      </x:c>
      <x:c r="H1072" s="35" t="str">
        <x:v>Benchmark-coined descriptive engineering term</x:v>
      </x:c>
      <x:c r="I1072" s="35" t="str">
        <x:v>N5 - component or subject first, followed by characteristic and qualifier/state; no unsupported external mapping</x:v>
      </x:c>
      <x:c r="J1072" s="35" t="str">
        <x:v>REUSE_R2_TERM</x:v>
      </x:c>
    </x:row>
    <x:row r="1073">
      <x:c r="A1073" s="35" t="str">
        <x:v>yieldShearStress</x:v>
      </x:c>
      <x:c r="B1073" s="35" t="str">
        <x:v>https://w3id.org/nltl-benchmark/vocab#yieldShearStress</x:v>
      </x:c>
      <x:c r="C1073" s="35" t="str">
        <x:v>QuantityProperty</x:v>
      </x:c>
      <x:c r="D1073" s="35" t="str">
        <x:v>http://qudt.org/schema/qudt/QuantityValue</x:v>
      </x:c>
      <x:c r="E1073" s="35" t="str"/>
      <x:c r="F1073" s="35" t="str">
        <x:v>MPa</x:v>
      </x:c>
      <x:c r="G1073" s="38" t="str">
        <x:v>TRF-031</x:v>
      </x:c>
      <x:c r="H1073" s="35" t="str">
        <x:v>Applicable TRAFICOM regulation wording plus explicit engineering node/operand role</x:v>
      </x:c>
      <x:c r="I1073" s="35" t="str">
        <x:v>N4 - explicit engineering quantity in ASCII lowerCamelCase; formula symbols remain aliases only.</x:v>
      </x:c>
      <x:c r="J1073" s="35" t="str">
        <x:v>ADD_DEVELOPMENT_TERM</x:v>
      </x:c>
    </x:row>
    <x:row r="1074">
      <x:c r="A1074" s="35" t="str">
        <x:v>yieldStrength</x:v>
      </x:c>
      <x:c r="B1074" s="35" t="str">
        <x:v>https://w3id.org/nltl-benchmark/vocab#yieldStrength</x:v>
      </x:c>
      <x:c r="C1074" s="35" t="str">
        <x:v>QuantityProperty</x:v>
      </x:c>
      <x:c r="D1074" s="35" t="str">
        <x:v>http://qudt.org/schema/qudt/QuantityValue</x:v>
      </x:c>
      <x:c r="E1074" s="35" t="str"/>
      <x:c r="F1074" s="35" t="str">
        <x:v>MPa</x:v>
      </x:c>
      <x:c r="G1074" s="38" t="str">
        <x:v>I2-022 | I2-023 | I2-032 | I2-035 | I2-040 | I2-041 | I2-043 | I2-064 | TRF-041 | TRF-042 | TRF-044 | TRF-048 | TRF-051 | TRF-053 | TRF-054 | TRF-059 | TRF-060 | TRF-068 | TRF-123</x:v>
      </x:c>
      <x:c r="H1074" s="35" t="str">
        <x:v>Unit-stripped normalized regulatory variable</x:v>
      </x:c>
      <x:c r="I1074" s="35" t="str">
        <x:v>N3 - remove unit from the identifier and retain it in unit/quantity metadata</x:v>
      </x:c>
      <x:c r="J1074" s="35" t="str">
        <x:v>REUSE_R2_TERM</x:v>
      </x:c>
    </x:row>
    <x:row r="1075">
      <x:c r="A1075" s="35" t="str">
        <x:v>yieldingMargin</x:v>
      </x:c>
      <x:c r="B1075" s="35" t="str">
        <x:v>https://w3id.org/nltl-benchmark/vocab#yieldingMargin</x:v>
      </x:c>
      <x:c r="C1075" s="35" t="str">
        <x:v>QuantityProperty</x:v>
      </x:c>
      <x:c r="D1075" s="35" t="str">
        <x:v>http://qudt.org/schema/qudt/QuantityValue</x:v>
      </x:c>
      <x:c r="E1075" s="35" t="str"/>
      <x:c r="F1075" s="35" t="str">
        <x:v>1</x:v>
      </x:c>
      <x:c r="G1075" s="38" t="str">
        <x:v>I2-065</x:v>
      </x:c>
      <x:c r="H1075" s="35" t="str">
        <x:v>Benchmark-coined descriptive engineering term</x:v>
      </x:c>
      <x:c r="I1075" s="35" t="str">
        <x:v>N5 - component or subject first, followed by characteristic and qualifier/state; no unsupported external mapping</x:v>
      </x:c>
      <x:c r="J1075" s="35" t="str">
        <x:v>REUSE_R2_TERM</x:v>
      </x:c>
    </x:row>
    <x:row r="1076">
      <x:c r="A1076" s="36" t="str">
        <x:v>zeroPointTwoPercentProofStrength</x:v>
      </x:c>
      <x:c r="B1076" s="36" t="str">
        <x:v>https://w3id.org/nltl-benchmark/vocab#zeroPointTwoPercentProofStrength</x:v>
      </x:c>
      <x:c r="C1076" s="36" t="str">
        <x:v>QuantityProperty</x:v>
      </x:c>
      <x:c r="D1076" s="36" t="str">
        <x:v>http://qudt.org/schema/qudt/QuantityValue</x:v>
      </x:c>
      <x:c r="E1076" s="36" t="str"/>
      <x:c r="F1076" s="36" t="str">
        <x:v>MPa</x:v>
      </x:c>
      <x:c r="G1076" s="57" t="str">
        <x:v>TRF-106</x:v>
      </x:c>
      <x:c r="H1076" s="36" t="str">
        <x:v>Unit-stripped normalized regulatory variable</x:v>
      </x:c>
      <x:c r="I1076" s="36" t="str">
        <x:v>N3 - remove unit from the identifier and retain it in unit/quantity metadata</x:v>
      </x:c>
      <x:c r="J1076" s="36" t="str">
        <x:v>REUSE_R2_TERM</x:v>
      </x:c>
    </x:row>
  </x:sheetData>
  <x:pageMargins left="0.7" right="0.7" top="0.75" bottom="0.75" header="0.3" footer="0.3"/>
  <x:tableParts count="1">
    <x:tablePart xmlns:r="http://schemas.openxmlformats.org/officeDocument/2006/relationships" r:id="R123dd78203b1453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8" hidden="0" customWidth="1"/>
    <x:col min="2" max="2" width="34" hidden="0" customWidth="1"/>
    <x:col min="3" max="3" width="46" hidden="0" customWidth="1"/>
    <x:col min="4" max="4" width="34" hidden="0" customWidth="1"/>
    <x:col min="5" max="5" width="90" hidden="0" customWidth="1"/>
    <x:col min="6" max="6" width="38" hidden="0" customWidth="1"/>
  </x:cols>
  <x:sheetData>
    <x:row r="1">
      <x:c r="A1" s="11" t="str">
        <x:v>NLTL Development Calibration - Batch 01</x:v>
      </x:c>
      <x:c r="B1" s="12"/>
      <x:c r="C1" s="12"/>
      <x:c r="D1" s="12"/>
      <x:c r="E1" s="12"/>
      <x:c r="F1" s="12"/>
    </x:row>
    <x:row r="2">
      <x:c r="A2" s="13" t="str">
        <x:v>OWNERSHIP | DEV-CAL-BATCH-01-FIRST-50 | vocabulary is not frozen</x:v>
      </x:c>
      <x:c r="B2" s="13"/>
      <x:c r="C2" s="13"/>
      <x:c r="D2" s="13"/>
      <x:c r="E2" s="13"/>
      <x:c r="F2" s="13"/>
    </x:row>
    <x:row r="3">
      <x:c r="A3" s="14"/>
      <x:c r="B3" s="14"/>
      <x:c r="C3" s="14"/>
      <x:c r="D3" s="14"/>
      <x:c r="E3" s="14"/>
      <x:c r="F3" s="14"/>
    </x:row>
    <x:row r="4" ht="32" customHeight="1">
      <x:c r="A4" s="32" t="str">
        <x:v>REQUIREMENT_ID</x:v>
      </x:c>
      <x:c r="B4" s="51" t="str">
        <x:v>TARGET_OWNER</x:v>
      </x:c>
      <x:c r="C4" s="51" t="str">
        <x:v>LOCAL_NAME</x:v>
      </x:c>
      <x:c r="D4" s="51" t="str">
        <x:v>REQUIRED_OWNER</x:v>
      </x:c>
      <x:c r="E4" s="51" t="str">
        <x:v>SEMANTIC_OBLIGATIONS</x:v>
      </x:c>
      <x:c r="F4" s="33" t="str">
        <x:v>STATUS</x:v>
      </x:c>
    </x:row>
    <x:row r="5">
      <x:c r="A5" s="37" t="str">
        <x:v>TRF-001</x:v>
      </x:c>
      <x:c r="B5" s="34" t="str">
        <x:v>ship</x:v>
      </x:c>
      <x:c r="C5" s="34" t="str">
        <x:v>applicableIceClassRegulationEdition</x:v>
      </x:c>
      <x:c r="D5" s="34" t="str">
        <x:v>ship</x:v>
      </x:c>
      <x:c r="E5" s="34" t="str"/>
      <x:c r="F5" s="34" t="str">
        <x:v>AUTHORITATIVE_REQUIREMENT_SCOPED</x:v>
      </x:c>
    </x:row>
    <x:row r="6">
      <x:c r="A6" s="38" t="str">
        <x:v>TRF-001</x:v>
      </x:c>
      <x:c r="B6" s="35" t="str">
        <x:v>ship</x:v>
      </x:c>
      <x:c r="C6" s="35" t="str">
        <x:v>applicableIceClassRegulatoryProvision</x:v>
      </x:c>
      <x:c r="D6" s="35" t="str">
        <x:v>ship</x:v>
      </x:c>
      <x:c r="E6" s="35" t="str"/>
      <x:c r="F6" s="35" t="str">
        <x:v>AUTHORITATIVE_REQUIREMENT_SCOPED</x:v>
      </x:c>
    </x:row>
    <x:row r="7">
      <x:c r="A7" s="38" t="str">
        <x:v>TRF-001</x:v>
      </x:c>
      <x:c r="B7" s="35" t="str">
        <x:v>ship</x:v>
      </x:c>
      <x:c r="C7" s="35" t="str">
        <x:v>constructionContractDate</x:v>
      </x:c>
      <x:c r="D7" s="35" t="str">
        <x:v>ship</x:v>
      </x:c>
      <x:c r="E7" s="35" t="str"/>
      <x:c r="F7" s="35" t="str">
        <x:v>AUTHORITATIVE_REQUIREMENT_SCOPED</x:v>
      </x:c>
    </x:row>
    <x:row r="8">
      <x:c r="A8" s="38" t="str">
        <x:v>TRF-001</x:v>
      </x:c>
      <x:c r="B8" s="35" t="str">
        <x:v>ship</x:v>
      </x:c>
      <x:c r="C8" s="35" t="str">
        <x:v>iceClass</x:v>
      </x:c>
      <x:c r="D8" s="35" t="str">
        <x:v>ship</x:v>
      </x:c>
      <x:c r="E8" s="35" t="str"/>
      <x:c r="F8" s="35" t="str">
        <x:v>AUTHORITATIVE_REQUIREMENT_SCOPED</x:v>
      </x:c>
    </x:row>
    <x:row r="9">
      <x:c r="A9" s="38" t="str">
        <x:v>TRF-001</x:v>
      </x:c>
      <x:c r="B9" s="35" t="str">
        <x:v>ship</x:v>
      </x:c>
      <x:c r="C9" s="35" t="str">
        <x:v>iceClassDraughtChapter2Provision2021</x:v>
      </x:c>
      <x:c r="D9" s="35" t="str">
        <x:v>ship</x:v>
      </x:c>
      <x:c r="E9" s="35" t="str"/>
      <x:c r="F9" s="35" t="str">
        <x:v>AUTHORITATIVE_REQUIREMENT_SCOPED</x:v>
      </x:c>
    </x:row>
    <x:row r="10">
      <x:c r="A10" s="38" t="str">
        <x:v>TRF-001</x:v>
      </x:c>
      <x:c r="B10" s="35" t="str">
        <x:v>ship</x:v>
      </x:c>
      <x:c r="C10" s="35" t="str">
        <x:v>iceClassRegulationEdition2021</x:v>
      </x:c>
      <x:c r="D10" s="35" t="str">
        <x:v>ship</x:v>
      </x:c>
      <x:c r="E10" s="35" t="str"/>
      <x:c r="F10" s="35" t="str">
        <x:v>AUTHORITATIVE_REQUIREMENT_SCOPED</x:v>
      </x:c>
    </x:row>
    <x:row r="11">
      <x:c r="A11" s="38" t="str">
        <x:v>TRF-001</x:v>
      </x:c>
      <x:c r="B11" s="35" t="str">
        <x:v>ship</x:v>
      </x:c>
      <x:c r="C11" s="35" t="str">
        <x:v>iceClassSection1Point8Provision2021</x:v>
      </x:c>
      <x:c r="D11" s="35" t="str">
        <x:v>ship</x:v>
      </x:c>
      <x:c r="E11" s="35" t="str"/>
      <x:c r="F11" s="35" t="str">
        <x:v>AUTHORITATIVE_REQUIREMENT_SCOPED</x:v>
      </x:c>
    </x:row>
    <x:row r="12">
      <x:c r="A12" s="38" t="str">
        <x:v>TRF-002</x:v>
      </x:c>
      <x:c r="B12" s="35" t="str">
        <x:v>ship</x:v>
      </x:c>
      <x:c r="C12" s="35" t="str">
        <x:v>applicableIceClassRegulationEdition</x:v>
      </x:c>
      <x:c r="D12" s="35" t="str">
        <x:v>ship</x:v>
      </x:c>
      <x:c r="E12" s="35" t="str"/>
      <x:c r="F12" s="35" t="str">
        <x:v>AUTHORITATIVE_REQUIREMENT_SCOPED</x:v>
      </x:c>
    </x:row>
    <x:row r="13">
      <x:c r="A13" s="38" t="str">
        <x:v>TRF-002</x:v>
      </x:c>
      <x:c r="B13" s="35" t="str">
        <x:v>ship</x:v>
      </x:c>
      <x:c r="C13" s="35" t="str">
        <x:v>constructionContractDate</x:v>
      </x:c>
      <x:c r="D13" s="35" t="str">
        <x:v>ship</x:v>
      </x:c>
      <x:c r="E13" s="35" t="str"/>
      <x:c r="F13" s="35" t="str">
        <x:v>AUTHORITATIVE_REQUIREMENT_SCOPED</x:v>
      </x:c>
    </x:row>
    <x:row r="14">
      <x:c r="A14" s="38" t="str">
        <x:v>TRF-002</x:v>
      </x:c>
      <x:c r="B14" s="35" t="str">
        <x:v>ship</x:v>
      </x:c>
      <x:c r="C14" s="35" t="str">
        <x:v>iceClass</x:v>
      </x:c>
      <x:c r="D14" s="35" t="str">
        <x:v>ship</x:v>
      </x:c>
      <x:c r="E14" s="35" t="str"/>
      <x:c r="F14" s="35" t="str">
        <x:v>AUTHORITATIVE_REQUIREMENT_SCOPED</x:v>
      </x:c>
    </x:row>
    <x:row r="15">
      <x:c r="A15" s="38" t="str">
        <x:v>TRF-002</x:v>
      </x:c>
      <x:c r="B15" s="35" t="str">
        <x:v>ship</x:v>
      </x:c>
      <x:c r="C15" s="35" t="str">
        <x:v>iceClassRegulationEdition2017</x:v>
      </x:c>
      <x:c r="D15" s="35" t="str">
        <x:v>ship</x:v>
      </x:c>
      <x:c r="E15" s="35" t="str"/>
      <x:c r="F15" s="35" t="str">
        <x:v>AUTHORITATIVE_REQUIREMENT_SCOPED</x:v>
      </x:c>
    </x:row>
    <x:row r="16">
      <x:c r="A16" s="38" t="str">
        <x:v>TRF-003</x:v>
      </x:c>
      <x:c r="B16" s="35" t="str">
        <x:v>ship</x:v>
      </x:c>
      <x:c r="C16" s="35" t="str">
        <x:v>applicableIceClassRegulationEdition</x:v>
      </x:c>
      <x:c r="D16" s="35" t="str">
        <x:v>ship</x:v>
      </x:c>
      <x:c r="E16" s="35" t="str"/>
      <x:c r="F16" s="35" t="str">
        <x:v>AUTHORITATIVE_REQUIREMENT_SCOPED</x:v>
      </x:c>
    </x:row>
    <x:row r="17">
      <x:c r="A17" s="38" t="str">
        <x:v>TRF-003</x:v>
      </x:c>
      <x:c r="B17" s="35" t="str">
        <x:v>ship</x:v>
      </x:c>
      <x:c r="C17" s="35" t="str">
        <x:v>constructionContractDate</x:v>
      </x:c>
      <x:c r="D17" s="35" t="str">
        <x:v>ship</x:v>
      </x:c>
      <x:c r="E17" s="35" t="str"/>
      <x:c r="F17" s="35" t="str">
        <x:v>AUTHORITATIVE_REQUIREMENT_SCOPED</x:v>
      </x:c>
    </x:row>
    <x:row r="18">
      <x:c r="A18" s="38" t="str">
        <x:v>TRF-003</x:v>
      </x:c>
      <x:c r="B18" s="35" t="str">
        <x:v>ship</x:v>
      </x:c>
      <x:c r="C18" s="35" t="str">
        <x:v>iceClass</x:v>
      </x:c>
      <x:c r="D18" s="35" t="str">
        <x:v>ship</x:v>
      </x:c>
      <x:c r="E18" s="35" t="str"/>
      <x:c r="F18" s="35" t="str">
        <x:v>AUTHORITATIVE_REQUIREMENT_SCOPED</x:v>
      </x:c>
    </x:row>
    <x:row r="19">
      <x:c r="A19" s="38" t="str">
        <x:v>TRF-003</x:v>
      </x:c>
      <x:c r="B19" s="35" t="str">
        <x:v>ship</x:v>
      </x:c>
      <x:c r="C19" s="35" t="str">
        <x:v>iceClassRegulationEdition2010</x:v>
      </x:c>
      <x:c r="D19" s="35" t="str">
        <x:v>ship</x:v>
      </x:c>
      <x:c r="E19" s="35" t="str"/>
      <x:c r="F19" s="35" t="str">
        <x:v>AUTHORITATIVE_REQUIREMENT_SCOPED</x:v>
      </x:c>
    </x:row>
    <x:row r="20">
      <x:c r="A20" s="38" t="str">
        <x:v>TRF-004</x:v>
      </x:c>
      <x:c r="B20" s="35" t="str">
        <x:v>ship</x:v>
      </x:c>
      <x:c r="C20" s="35" t="str">
        <x:v>applicableIceClassRegulationEdition</x:v>
      </x:c>
      <x:c r="D20" s="35" t="str">
        <x:v>ship</x:v>
      </x:c>
      <x:c r="E20" s="35" t="str"/>
      <x:c r="F20" s="35" t="str">
        <x:v>AUTHORITATIVE_REQUIREMENT_SCOPED</x:v>
      </x:c>
    </x:row>
    <x:row r="21">
      <x:c r="A21" s="38" t="str">
        <x:v>TRF-004</x:v>
      </x:c>
      <x:c r="B21" s="35" t="str">
        <x:v>ship</x:v>
      </x:c>
      <x:c r="C21" s="35" t="str">
        <x:v>constructionContractDate</x:v>
      </x:c>
      <x:c r="D21" s="35" t="str">
        <x:v>ship</x:v>
      </x:c>
      <x:c r="E21" s="35" t="str"/>
      <x:c r="F21" s="35" t="str">
        <x:v>AUTHORITATIVE_REQUIREMENT_SCOPED</x:v>
      </x:c>
    </x:row>
    <x:row r="22">
      <x:c r="A22" s="38" t="str">
        <x:v>TRF-004</x:v>
      </x:c>
      <x:c r="B22" s="35" t="str">
        <x:v>ship</x:v>
      </x:c>
      <x:c r="C22" s="35" t="str">
        <x:v>iceClass</x:v>
      </x:c>
      <x:c r="D22" s="35" t="str">
        <x:v>ship</x:v>
      </x:c>
      <x:c r="E22" s="35" t="str"/>
      <x:c r="F22" s="35" t="str">
        <x:v>AUTHORITATIVE_REQUIREMENT_SCOPED</x:v>
      </x:c>
    </x:row>
    <x:row r="23">
      <x:c r="A23" s="38" t="str">
        <x:v>TRF-004</x:v>
      </x:c>
      <x:c r="B23" s="35" t="str">
        <x:v>ship</x:v>
      </x:c>
      <x:c r="C23" s="35" t="str">
        <x:v>iceClassRegulationEdition2008</x:v>
      </x:c>
      <x:c r="D23" s="35" t="str">
        <x:v>ship</x:v>
      </x:c>
      <x:c r="E23" s="35" t="str"/>
      <x:c r="F23" s="35" t="str">
        <x:v>AUTHORITATIVE_REQUIREMENT_SCOPED</x:v>
      </x:c>
    </x:row>
    <x:row r="24">
      <x:c r="A24" s="38" t="str">
        <x:v>TRF-005</x:v>
      </x:c>
      <x:c r="B24" s="35" t="str">
        <x:v>ship</x:v>
      </x:c>
      <x:c r="C24" s="35" t="str">
        <x:v>applicableIceClassRegulationEdition</x:v>
      </x:c>
      <x:c r="D24" s="35" t="str">
        <x:v>ship</x:v>
      </x:c>
      <x:c r="E24" s="35" t="str"/>
      <x:c r="F24" s="35" t="str">
        <x:v>AUTHORITATIVE_REQUIREMENT_SCOPED</x:v>
      </x:c>
    </x:row>
    <x:row r="25">
      <x:c r="A25" s="38" t="str">
        <x:v>TRF-005</x:v>
      </x:c>
      <x:c r="B25" s="35" t="str">
        <x:v>ship</x:v>
      </x:c>
      <x:c r="C25" s="35" t="str">
        <x:v>constructionContractDate</x:v>
      </x:c>
      <x:c r="D25" s="35" t="str">
        <x:v>ship</x:v>
      </x:c>
      <x:c r="E25" s="35" t="str"/>
      <x:c r="F25" s="35" t="str">
        <x:v>AUTHORITATIVE_REQUIREMENT_SCOPED</x:v>
      </x:c>
    </x:row>
    <x:row r="26">
      <x:c r="A26" s="38" t="str">
        <x:v>TRF-005</x:v>
      </x:c>
      <x:c r="B26" s="35" t="str">
        <x:v>ship</x:v>
      </x:c>
      <x:c r="C26" s="35" t="str">
        <x:v>constructionStageDate</x:v>
      </x:c>
      <x:c r="D26" s="35" t="str">
        <x:v>ship</x:v>
      </x:c>
      <x:c r="E26" s="35" t="str"/>
      <x:c r="F26" s="35" t="str">
        <x:v>AUTHORITATIVE_REQUIREMENT_SCOPED</x:v>
      </x:c>
    </x:row>
    <x:row r="27">
      <x:c r="A27" s="38" t="str">
        <x:v>TRF-005</x:v>
      </x:c>
      <x:c r="B27" s="35" t="str">
        <x:v>ship</x:v>
      </x:c>
      <x:c r="C27" s="35" t="str">
        <x:v>iceClass</x:v>
      </x:c>
      <x:c r="D27" s="35" t="str">
        <x:v>ship</x:v>
      </x:c>
      <x:c r="E27" s="35" t="str"/>
      <x:c r="F27" s="35" t="str">
        <x:v>AUTHORITATIVE_REQUIREMENT_SCOPED</x:v>
      </x:c>
    </x:row>
    <x:row r="28">
      <x:c r="A28" s="38" t="str">
        <x:v>TRF-005</x:v>
      </x:c>
      <x:c r="B28" s="35" t="str">
        <x:v>ship</x:v>
      </x:c>
      <x:c r="C28" s="35" t="str">
        <x:v>iceClassRegulationEdition2002</x:v>
      </x:c>
      <x:c r="D28" s="35" t="str">
        <x:v>ship</x:v>
      </x:c>
      <x:c r="E28" s="35" t="str"/>
      <x:c r="F28" s="35" t="str">
        <x:v>AUTHORITATIVE_REQUIREMENT_SCOPED</x:v>
      </x:c>
    </x:row>
    <x:row r="29">
      <x:c r="A29" s="38" t="str">
        <x:v>TRF-006</x:v>
      </x:c>
      <x:c r="B29" s="35" t="str">
        <x:v>ship</x:v>
      </x:c>
      <x:c r="C29" s="35" t="str">
        <x:v>applicableIceClassRegulationEdition</x:v>
      </x:c>
      <x:c r="D29" s="35" t="str">
        <x:v>ship</x:v>
      </x:c>
      <x:c r="E29" s="35" t="str"/>
      <x:c r="F29" s="35" t="str">
        <x:v>AUTHORITATIVE_REQUIREMENT_SCOPED</x:v>
      </x:c>
    </x:row>
    <x:row r="30">
      <x:c r="A30" s="38" t="str">
        <x:v>TRF-006</x:v>
      </x:c>
      <x:c r="B30" s="35" t="str">
        <x:v>ship</x:v>
      </x:c>
      <x:c r="C30" s="35" t="str">
        <x:v>constructionStageDate</x:v>
      </x:c>
      <x:c r="D30" s="35" t="str">
        <x:v>ship</x:v>
      </x:c>
      <x:c r="E30" s="35" t="str"/>
      <x:c r="F30" s="35" t="str">
        <x:v>AUTHORITATIVE_REQUIREMENT_SCOPED</x:v>
      </x:c>
    </x:row>
    <x:row r="31">
      <x:c r="A31" s="38" t="str">
        <x:v>TRF-006</x:v>
      </x:c>
      <x:c r="B31" s="35" t="str">
        <x:v>ship</x:v>
      </x:c>
      <x:c r="C31" s="35" t="str">
        <x:v>engineOutputRegulationEdition</x:v>
      </x:c>
      <x:c r="D31" s="35" t="str">
        <x:v>ship</x:v>
      </x:c>
      <x:c r="E31" s="35" t="str"/>
      <x:c r="F31" s="35" t="str">
        <x:v>AUTHORITATIVE_REQUIREMENT_SCOPED</x:v>
      </x:c>
    </x:row>
    <x:row r="32">
      <x:c r="A32" s="38" t="str">
        <x:v>TRF-006</x:v>
      </x:c>
      <x:c r="B32" s="35" t="str">
        <x:v>ship</x:v>
      </x:c>
      <x:c r="C32" s="35" t="str">
        <x:v>iceClass</x:v>
      </x:c>
      <x:c r="D32" s="35" t="str">
        <x:v>ship</x:v>
      </x:c>
      <x:c r="E32" s="35" t="str"/>
      <x:c r="F32" s="35" t="str">
        <x:v>AUTHORITATIVE_REQUIREMENT_SCOPED</x:v>
      </x:c>
    </x:row>
    <x:row r="33">
      <x:c r="A33" s="38" t="str">
        <x:v>TRF-006</x:v>
      </x:c>
      <x:c r="B33" s="35" t="str">
        <x:v>ship</x:v>
      </x:c>
      <x:c r="C33" s="35" t="str">
        <x:v>iceClassRegulationEdition2008</x:v>
      </x:c>
      <x:c r="D33" s="35" t="str">
        <x:v>ship</x:v>
      </x:c>
      <x:c r="E33" s="35" t="str"/>
      <x:c r="F33" s="35" t="str">
        <x:v>AUTHORITATIVE_REQUIREMENT_SCOPED</x:v>
      </x:c>
    </x:row>
    <x:row r="34">
      <x:c r="A34" s="38" t="str">
        <x:v>TRF-006</x:v>
      </x:c>
      <x:c r="B34" s="35" t="str">
        <x:v>ship</x:v>
      </x:c>
      <x:c r="C34" s="35" t="str">
        <x:v>iceClassRuleEdition1985</x:v>
      </x:c>
      <x:c r="D34" s="35" t="str">
        <x:v>ship</x:v>
      </x:c>
      <x:c r="E34" s="35" t="str"/>
      <x:c r="F34" s="35" t="str">
        <x:v>AUTHORITATIVE_REQUIREMENT_SCOPED</x:v>
      </x:c>
    </x:row>
    <x:row r="35">
      <x:c r="A35" s="38" t="str">
        <x:v>TRF-006</x:v>
      </x:c>
      <x:c r="B35" s="35" t="str">
        <x:v>ship</x:v>
      </x:c>
      <x:c r="C35" s="35" t="str">
        <x:v>maximumContinuousRatingPower</x:v>
      </x:c>
      <x:c r="D35" s="35" t="str">
        <x:v>ship</x:v>
      </x:c>
      <x:c r="E35" s="35" t="str"/>
      <x:c r="F35" s="35" t="str">
        <x:v>AUTHORITATIVE_REQUIREMENT_SCOPED</x:v>
      </x:c>
    </x:row>
    <x:row r="36">
      <x:c r="A36" s="38" t="str">
        <x:v>TRF-007</x:v>
      </x:c>
      <x:c r="B36" s="35" t="str">
        <x:v>ship</x:v>
      </x:c>
      <x:c r="C36" s="35" t="str">
        <x:v>assessmentDate</x:v>
      </x:c>
      <x:c r="D36" s="35" t="str">
        <x:v>ship</x:v>
      </x:c>
      <x:c r="E36" s="35" t="str"/>
      <x:c r="F36" s="35" t="str">
        <x:v>AUTHORITATIVE_REQUIREMENT_SCOPED</x:v>
      </x:c>
    </x:row>
    <x:row r="37">
      <x:c r="A37" s="38" t="str">
        <x:v>TRF-007</x:v>
      </x:c>
      <x:c r="B37" s="35" t="str">
        <x:v>ship</x:v>
      </x:c>
      <x:c r="C37" s="35" t="str">
        <x:v>constructionStageDate</x:v>
      </x:c>
      <x:c r="D37" s="35" t="str">
        <x:v>ship</x:v>
      </x:c>
      <x:c r="E37" s="35" t="str"/>
      <x:c r="F37" s="35" t="str">
        <x:v>AUTHORITATIVE_REQUIREMENT_SCOPED</x:v>
      </x:c>
    </x:row>
    <x:row r="38">
      <x:c r="A38" s="38" t="str">
        <x:v>TRF-007</x:v>
      </x:c>
      <x:c r="B38" s="35" t="str">
        <x:v>ship</x:v>
      </x:c>
      <x:c r="C38" s="35" t="str">
        <x:v>deliveryDate</x:v>
      </x:c>
      <x:c r="D38" s="35" t="str">
        <x:v>ship</x:v>
      </x:c>
      <x:c r="E38" s="35" t="str"/>
      <x:c r="F38" s="35" t="str">
        <x:v>AUTHORITATIVE_REQUIREMENT_SCOPED</x:v>
      </x:c>
    </x:row>
    <x:row r="39">
      <x:c r="A39" s="38" t="str">
        <x:v>TRF-007</x:v>
      </x:c>
      <x:c r="B39" s="35" t="str">
        <x:v>ship</x:v>
      </x:c>
      <x:c r="C39" s="35" t="str">
        <x:v>engineOutputComplianceMethod</x:v>
      </x:c>
      <x:c r="D39" s="35" t="str">
        <x:v>ship</x:v>
      </x:c>
      <x:c r="E39" s="35" t="str"/>
      <x:c r="F39" s="35" t="str">
        <x:v>AUTHORITATIVE_REQUIREMENT_SCOPED</x:v>
      </x:c>
    </x:row>
    <x:row r="40">
      <x:c r="A40" s="38" t="str">
        <x:v>TRF-007</x:v>
      </x:c>
      <x:c r="B40" s="35" t="str">
        <x:v>ship</x:v>
      </x:c>
      <x:c r="C40" s="35" t="str">
        <x:v>iceClass</x:v>
      </x:c>
      <x:c r="D40" s="35" t="str">
        <x:v>ship</x:v>
      </x:c>
      <x:c r="E40" s="35" t="str"/>
      <x:c r="F40" s="35" t="str">
        <x:v>AUTHORITATIVE_REQUIREMENT_SCOPED</x:v>
      </x:c>
    </x:row>
    <x:row r="41">
      <x:c r="A41" s="38" t="str">
        <x:v>TRF-007</x:v>
      </x:c>
      <x:c r="B41" s="35" t="str">
        <x:v>ship</x:v>
      </x:c>
      <x:c r="C41" s="35" t="str">
        <x:v>traficom2017Section3Point2Point2Method</x:v>
      </x:c>
      <x:c r="D41" s="35" t="str">
        <x:v>ship</x:v>
      </x:c>
      <x:c r="E41" s="35" t="str"/>
      <x:c r="F41" s="35" t="str">
        <x:v>AUTHORITATIVE_REQUIREMENT_SCOPED</x:v>
      </x:c>
    </x:row>
    <x:row r="42">
      <x:c r="A42" s="38" t="str">
        <x:v>TRF-007</x:v>
      </x:c>
      <x:c r="B42" s="35" t="str">
        <x:v>ship</x:v>
      </x:c>
      <x:c r="C42" s="35" t="str">
        <x:v>traficom2017Section3Point2Point4Method</x:v>
      </x:c>
      <x:c r="D42" s="35" t="str">
        <x:v>ship</x:v>
      </x:c>
      <x:c r="E42" s="35" t="str"/>
      <x:c r="F42" s="35" t="str">
        <x:v>AUTHORITATIVE_REQUIREMENT_SCOPED</x:v>
      </x:c>
    </x:row>
    <x:row r="43">
      <x:c r="A43" s="38" t="str">
        <x:v>TRF-009</x:v>
      </x:c>
      <x:c r="B43" s="35" t="str">
        <x:v>ship</x:v>
      </x:c>
      <x:c r="C43" s="35" t="str">
        <x:v>assessmentDate</x:v>
      </x:c>
      <x:c r="D43" s="35" t="str">
        <x:v>ship</x:v>
      </x:c>
      <x:c r="E43" s="35" t="str"/>
      <x:c r="F43" s="35" t="str">
        <x:v>AUTHORITATIVE_REQUIREMENT_SCOPED</x:v>
      </x:c>
    </x:row>
    <x:row r="44">
      <x:c r="A44" s="38" t="str">
        <x:v>TRF-009</x:v>
      </x:c>
      <x:c r="B44" s="35" t="str">
        <x:v>ship</x:v>
      </x:c>
      <x:c r="C44" s="35" t="str">
        <x:v>constructionStageDate</x:v>
      </x:c>
      <x:c r="D44" s="35" t="str">
        <x:v>ship</x:v>
      </x:c>
      <x:c r="E44" s="35" t="str"/>
      <x:c r="F44" s="35" t="str">
        <x:v>AUTHORITATIVE_REQUIREMENT_SCOPED</x:v>
      </x:c>
    </x:row>
    <x:row r="45">
      <x:c r="A45" s="38" t="str">
        <x:v>TRF-009</x:v>
      </x:c>
      <x:c r="B45" s="35" t="str">
        <x:v>ship</x:v>
      </x:c>
      <x:c r="C45" s="35" t="str">
        <x:v>deliveryDate</x:v>
      </x:c>
      <x:c r="D45" s="35" t="str">
        <x:v>ship</x:v>
      </x:c>
      <x:c r="E45" s="35" t="str"/>
      <x:c r="F45" s="35" t="str">
        <x:v>AUTHORITATIVE_REQUIREMENT_SCOPED</x:v>
      </x:c>
    </x:row>
    <x:row r="46">
      <x:c r="A46" s="38" t="str">
        <x:v>TRF-009</x:v>
      </x:c>
      <x:c r="B46" s="35" t="str">
        <x:v>ship</x:v>
      </x:c>
      <x:c r="C46" s="35" t="str">
        <x:v>engineOutputComplianceMethod</x:v>
      </x:c>
      <x:c r="D46" s="35" t="str">
        <x:v>ship</x:v>
      </x:c>
      <x:c r="E46" s="35" t="str"/>
      <x:c r="F46" s="35" t="str">
        <x:v>AUTHORITATIVE_REQUIREMENT_SCOPED</x:v>
      </x:c>
    </x:row>
    <x:row r="47">
      <x:c r="A47" s="38" t="str">
        <x:v>TRF-009</x:v>
      </x:c>
      <x:c r="B47" s="35" t="str">
        <x:v>ship</x:v>
      </x:c>
      <x:c r="C47" s="35" t="str">
        <x:v>iceClass</x:v>
      </x:c>
      <x:c r="D47" s="35" t="str">
        <x:v>ship</x:v>
      </x:c>
      <x:c r="E47" s="35" t="str"/>
      <x:c r="F47" s="35" t="str">
        <x:v>AUTHORITATIVE_REQUIREMENT_SCOPED</x:v>
      </x:c>
    </x:row>
    <x:row r="48">
      <x:c r="A48" s="38" t="str">
        <x:v>TRF-009</x:v>
      </x:c>
      <x:c r="B48" s="35" t="str">
        <x:v>ship</x:v>
      </x:c>
      <x:c r="C48" s="35" t="str">
        <x:v>traficom2017Section3Point2Point2Method</x:v>
      </x:c>
      <x:c r="D48" s="35" t="str">
        <x:v>ship</x:v>
      </x:c>
      <x:c r="E48" s="35" t="str"/>
      <x:c r="F48" s="35" t="str">
        <x:v>AUTHORITATIVE_REQUIREMENT_SCOPED</x:v>
      </x:c>
    </x:row>
    <x:row r="49">
      <x:c r="A49" s="38" t="str">
        <x:v>TRF-009</x:v>
      </x:c>
      <x:c r="B49" s="35" t="str">
        <x:v>ship</x:v>
      </x:c>
      <x:c r="C49" s="35" t="str">
        <x:v>traficom2017Section3Point2Point4Method</x:v>
      </x:c>
      <x:c r="D49" s="35" t="str">
        <x:v>ship</x:v>
      </x:c>
      <x:c r="E49" s="35" t="str"/>
      <x:c r="F49" s="35" t="str">
        <x:v>AUTHORITATIVE_REQUIREMENT_SCOPED</x:v>
      </x:c>
    </x:row>
    <x:row r="50">
      <x:c r="A50" s="38" t="str">
        <x:v>TRF-010</x:v>
      </x:c>
      <x:c r="B50" s="35" t="str">
        <x:v>ship</x:v>
      </x:c>
      <x:c r="C50" s="35" t="str">
        <x:v>iceClass</x:v>
      </x:c>
      <x:c r="D50" s="35" t="str">
        <x:v>ship</x:v>
      </x:c>
      <x:c r="E50" s="35" t="str"/>
      <x:c r="F50" s="35" t="str">
        <x:v>AUTHORITATIVE_REQUIREMENT_SCOPED</x:v>
      </x:c>
    </x:row>
    <x:row r="51">
      <x:c r="A51" s="38" t="str">
        <x:v>TRF-011</x:v>
      </x:c>
      <x:c r="B51" s="35" t="str">
        <x:v>ship</x:v>
      </x:c>
      <x:c r="C51" s="35" t="str">
        <x:v>hasIntendedIceOperatingWaterline</x:v>
      </x:c>
      <x:c r="D51" s="35" t="str">
        <x:v>ship</x:v>
      </x:c>
      <x:c r="E51" s="35" t="str">
        <x:v>Validate bidirectional pointwise equality between UIWL and the maximum verticalCoordinate among intended ice-operating waterline points at each longitudinalPosition; use one bounded grouped subquery or aggregation, not mirrored nested EXISTS branches.</x:v>
      </x:c>
      <x:c r="F51" s="35" t="str">
        <x:v>AUTHORITATIVE_REQUIREMENT_SCOPED</x:v>
      </x:c>
    </x:row>
    <x:row r="52">
      <x:c r="A52" s="38" t="str">
        <x:v>TRF-011</x:v>
      </x:c>
      <x:c r="B52" s="35" t="str">
        <x:v>ship</x:v>
      </x:c>
      <x:c r="C52" s="35" t="str">
        <x:v>hasUpperIceWaterline</x:v>
      </x:c>
      <x:c r="D52" s="35" t="str">
        <x:v>ship</x:v>
      </x:c>
      <x:c r="E52" s="35" t="str">
        <x:v>Validate bidirectional pointwise equality between UIWL and the maximum verticalCoordinate among intended ice-operating waterline points at each longitudinalPosition; use one bounded grouped subquery or aggregation, not mirrored nested EXISTS branches.</x:v>
      </x:c>
      <x:c r="F52" s="35" t="str">
        <x:v>AUTHORITATIVE_REQUIREMENT_SCOPED</x:v>
      </x:c>
    </x:row>
    <x:row r="53">
      <x:c r="A53" s="38" t="str">
        <x:v>TRF-011</x:v>
      </x:c>
      <x:c r="B53" s="35" t="str">
        <x:v>ship</x:v>
      </x:c>
      <x:c r="C53" s="35" t="str">
        <x:v>hasWaterlineProfilePoint</x:v>
      </x:c>
      <x:c r="D53" s="35" t="str">
        <x:v>iceWaterline</x:v>
      </x:c>
      <x:c r="E53" s="35" t="str">
        <x:v>Validate bidirectional pointwise equality between UIWL and the maximum verticalCoordinate among intended ice-operating waterline points at each longitudinalPosition; use one bounded grouped subquery or aggregation, not mirrored nested EXISTS branches.</x:v>
      </x:c>
      <x:c r="F53" s="35" t="str">
        <x:v>AUTHORITATIVE_REQUIREMENT_SCOPED</x:v>
      </x:c>
    </x:row>
    <x:row r="54">
      <x:c r="A54" s="38" t="str">
        <x:v>TRF-011</x:v>
      </x:c>
      <x:c r="B54" s="35" t="str">
        <x:v>ship</x:v>
      </x:c>
      <x:c r="C54" s="35" t="str">
        <x:v>iceWaterline</x:v>
      </x:c>
      <x:c r="D54" s="35" t="str">
        <x:v>ship</x:v>
      </x:c>
      <x:c r="E54" s="35" t="str">
        <x:v>Validate bidirectional pointwise equality between UIWL and the maximum verticalCoordinate among intended ice-operating waterline points at each longitudinalPosition; use one bounded grouped subquery or aggregation, not mirrored nested EXISTS branches.</x:v>
      </x:c>
      <x:c r="F54" s="35" t="str">
        <x:v>AUTHORITATIVE_REQUIREMENT_SCOPED</x:v>
      </x:c>
    </x:row>
    <x:row r="55">
      <x:c r="A55" s="38" t="str">
        <x:v>TRF-011</x:v>
      </x:c>
      <x:c r="B55" s="35" t="str">
        <x:v>ship</x:v>
      </x:c>
      <x:c r="C55" s="35" t="str">
        <x:v>longitudinalPosition</x:v>
      </x:c>
      <x:c r="D55" s="35" t="str">
        <x:v>waterlineProfilePoint</x:v>
      </x:c>
      <x:c r="E55" s="35" t="str">
        <x:v>Validate bidirectional pointwise equality between UIWL and the maximum verticalCoordinate among intended ice-operating waterline points at each longitudinalPosition; use one bounded grouped subquery or aggregation, not mirrored nested EXISTS branches.</x:v>
      </x:c>
      <x:c r="F55" s="35" t="str">
        <x:v>AUTHORITATIVE_REQUIREMENT_SCOPED</x:v>
      </x:c>
    </x:row>
    <x:row r="56">
      <x:c r="A56" s="38" t="str">
        <x:v>TRF-011</x:v>
      </x:c>
      <x:c r="B56" s="35" t="str">
        <x:v>ship</x:v>
      </x:c>
      <x:c r="C56" s="35" t="str">
        <x:v>verticalCoordinate</x:v>
      </x:c>
      <x:c r="D56" s="35" t="str">
        <x:v>waterlineProfilePoint</x:v>
      </x:c>
      <x:c r="E56" s="35" t="str">
        <x:v>Validate bidirectional pointwise equality between UIWL and the maximum verticalCoordinate among intended ice-operating waterline points at each longitudinalPosition; use one bounded grouped subquery or aggregation, not mirrored nested EXISTS branches.</x:v>
      </x:c>
      <x:c r="F56" s="35" t="str">
        <x:v>AUTHORITATIVE_REQUIREMENT_SCOPED</x:v>
      </x:c>
    </x:row>
    <x:row r="57">
      <x:c r="A57" s="38" t="str">
        <x:v>TRF-011</x:v>
      </x:c>
      <x:c r="B57" s="35" t="str">
        <x:v>ship</x:v>
      </x:c>
      <x:c r="C57" s="35" t="str">
        <x:v>waterlineProfilePoint</x:v>
      </x:c>
      <x:c r="D57" s="35" t="str">
        <x:v>ship</x:v>
      </x:c>
      <x:c r="E57" s="35" t="str">
        <x:v>Validate bidirectional pointwise equality between UIWL and the maximum verticalCoordinate among intended ice-operating waterline points at each longitudinalPosition; use one bounded grouped subquery or aggregation, not mirrored nested EXISTS branches.</x:v>
      </x:c>
      <x:c r="F57" s="35" t="str">
        <x:v>AUTHORITATIVE_REQUIREMENT_SCOPED</x:v>
      </x:c>
    </x:row>
    <x:row r="58">
      <x:c r="A58" s="38" t="str">
        <x:v>TRF-012</x:v>
      </x:c>
      <x:c r="B58" s="35" t="str">
        <x:v>ship</x:v>
      </x:c>
      <x:c r="C58" s="35" t="str">
        <x:v>hasIntendedIceOperatingWaterline</x:v>
      </x:c>
      <x:c r="D58" s="35" t="str">
        <x:v>ship</x:v>
      </x:c>
      <x:c r="E58" s="35" t="str">
        <x:v>Validate that the LIWL is the pointwise lower envelope of all intended ice-operating waterlines; presence alone is insufficient.</x:v>
      </x:c>
      <x:c r="F58" s="35" t="str">
        <x:v>AUTHORITATIVE_REQUIREMENT_SCOPED</x:v>
      </x:c>
    </x:row>
    <x:row r="59">
      <x:c r="A59" s="38" t="str">
        <x:v>TRF-012</x:v>
      </x:c>
      <x:c r="B59" s="35" t="str">
        <x:v>ship</x:v>
      </x:c>
      <x:c r="C59" s="35" t="str">
        <x:v>hasLowerIceWaterline</x:v>
      </x:c>
      <x:c r="D59" s="35" t="str">
        <x:v>ship</x:v>
      </x:c>
      <x:c r="E59" s="35" t="str">
        <x:v>Validate that the LIWL is the pointwise lower envelope of all intended ice-operating waterlines; presence alone is insufficient.</x:v>
      </x:c>
      <x:c r="F59" s="35" t="str">
        <x:v>AUTHORITATIVE_REQUIREMENT_SCOPED</x:v>
      </x:c>
    </x:row>
    <x:row r="60">
      <x:c r="A60" s="38" t="str">
        <x:v>TRF-012</x:v>
      </x:c>
      <x:c r="B60" s="35" t="str">
        <x:v>ship</x:v>
      </x:c>
      <x:c r="C60" s="35" t="str">
        <x:v>hasWaterlineProfilePoint</x:v>
      </x:c>
      <x:c r="D60" s="35" t="str">
        <x:v>ship</x:v>
      </x:c>
      <x:c r="E60" s="35" t="str">
        <x:v>Validate that the LIWL is the pointwise lower envelope of all intended ice-operating waterlines; presence alone is insufficient.</x:v>
      </x:c>
      <x:c r="F60" s="35" t="str">
        <x:v>AUTHORITATIVE_REQUIREMENT_SCOPED</x:v>
      </x:c>
    </x:row>
    <x:row r="61">
      <x:c r="A61" s="38" t="str">
        <x:v>TRF-012</x:v>
      </x:c>
      <x:c r="B61" s="35" t="str">
        <x:v>ship</x:v>
      </x:c>
      <x:c r="C61" s="35" t="str">
        <x:v>iceWaterline</x:v>
      </x:c>
      <x:c r="D61" s="35" t="str">
        <x:v>ship</x:v>
      </x:c>
      <x:c r="E61" s="35" t="str">
        <x:v>Validate that the LIWL is the pointwise lower envelope of all intended ice-operating waterlines; presence alone is insufficient.</x:v>
      </x:c>
      <x:c r="F61" s="35" t="str">
        <x:v>AUTHORITATIVE_REQUIREMENT_SCOPED</x:v>
      </x:c>
    </x:row>
    <x:row r="62">
      <x:c r="A62" s="38" t="str">
        <x:v>TRF-012</x:v>
      </x:c>
      <x:c r="B62" s="35" t="str">
        <x:v>ship</x:v>
      </x:c>
      <x:c r="C62" s="35" t="str">
        <x:v>longitudinalPosition</x:v>
      </x:c>
      <x:c r="D62" s="35" t="str">
        <x:v>ship</x:v>
      </x:c>
      <x:c r="E62" s="35" t="str">
        <x:v>Validate that the LIWL is the pointwise lower envelope of all intended ice-operating waterlines; presence alone is insufficient.</x:v>
      </x:c>
      <x:c r="F62" s="35" t="str">
        <x:v>AUTHORITATIVE_REQUIREMENT_SCOPED</x:v>
      </x:c>
    </x:row>
    <x:row r="63">
      <x:c r="A63" s="38" t="str">
        <x:v>TRF-012</x:v>
      </x:c>
      <x:c r="B63" s="35" t="str">
        <x:v>ship</x:v>
      </x:c>
      <x:c r="C63" s="35" t="str">
        <x:v>verticalCoordinate</x:v>
      </x:c>
      <x:c r="D63" s="35" t="str">
        <x:v>ship</x:v>
      </x:c>
      <x:c r="E63" s="35" t="str">
        <x:v>Validate that the LIWL is the pointwise lower envelope of all intended ice-operating waterlines; presence alone is insufficient.</x:v>
      </x:c>
      <x:c r="F63" s="35" t="str">
        <x:v>AUTHORITATIVE_REQUIREMENT_SCOPED</x:v>
      </x:c>
    </x:row>
    <x:row r="64">
      <x:c r="A64" s="38" t="str">
        <x:v>TRF-012</x:v>
      </x:c>
      <x:c r="B64" s="35" t="str">
        <x:v>ship</x:v>
      </x:c>
      <x:c r="C64" s="35" t="str">
        <x:v>waterlineProfilePoint</x:v>
      </x:c>
      <x:c r="D64" s="35" t="str">
        <x:v>ship</x:v>
      </x:c>
      <x:c r="E64" s="35" t="str">
        <x:v>Validate that the LIWL is the pointwise lower envelope of all intended ice-operating waterlines; presence alone is insufficient.</x:v>
      </x:c>
      <x:c r="F64" s="35" t="str">
        <x:v>AUTHORITATIVE_REQUIREMENT_SCOPED</x:v>
      </x:c>
    </x:row>
    <x:row r="65">
      <x:c r="A65" s="38" t="str">
        <x:v>TRF-013</x:v>
      </x:c>
      <x:c r="B65" s="35" t="str">
        <x:v>ship</x:v>
      </x:c>
      <x:c r="C65" s="35" t="str">
        <x:v>draughtAtAftPerpendicular</x:v>
      </x:c>
      <x:c r="D65" s="35" t="str">
        <x:v>ship</x:v>
      </x:c>
      <x:c r="E65" s="35" t="str"/>
      <x:c r="F65" s="35" t="str">
        <x:v>AUTHORITATIVE_REQUIREMENT_SCOPED</x:v>
      </x:c>
    </x:row>
    <x:row r="66">
      <x:c r="A66" s="38" t="str">
        <x:v>TRF-013</x:v>
      </x:c>
      <x:c r="B66" s="35" t="str">
        <x:v>ship</x:v>
      </x:c>
      <x:c r="C66" s="35" t="str">
        <x:v>draughtAtForePerpendicular</x:v>
      </x:c>
      <x:c r="D66" s="35" t="str">
        <x:v>ship</x:v>
      </x:c>
      <x:c r="E66" s="35" t="str"/>
      <x:c r="F66" s="35" t="str">
        <x:v>AUTHORITATIVE_REQUIREMENT_SCOPED</x:v>
      </x:c>
    </x:row>
    <x:row r="67">
      <x:c r="A67" s="38" t="str">
        <x:v>TRF-013</x:v>
      </x:c>
      <x:c r="B67" s="35" t="str">
        <x:v>ship</x:v>
      </x:c>
      <x:c r="C67" s="35" t="str">
        <x:v>hasLowerIceWaterline</x:v>
      </x:c>
      <x:c r="D67" s="35" t="str">
        <x:v>ship</x:v>
      </x:c>
      <x:c r="E67" s="35" t="str"/>
      <x:c r="F67" s="35" t="str">
        <x:v>AUTHORITATIVE_REQUIREMENT_SCOPED</x:v>
      </x:c>
    </x:row>
    <x:row r="68">
      <x:c r="A68" s="38" t="str">
        <x:v>TRF-013</x:v>
      </x:c>
      <x:c r="B68" s="35" t="str">
        <x:v>ship</x:v>
      </x:c>
      <x:c r="C68" s="35" t="str">
        <x:v>hasUpperIceWaterline</x:v>
      </x:c>
      <x:c r="D68" s="35" t="str">
        <x:v>ship</x:v>
      </x:c>
      <x:c r="E68" s="35" t="str"/>
      <x:c r="F68" s="35" t="str">
        <x:v>AUTHORITATIVE_REQUIREMENT_SCOPED</x:v>
      </x:c>
    </x:row>
    <x:row r="69">
      <x:c r="A69" s="38" t="str">
        <x:v>TRF-013</x:v>
      </x:c>
      <x:c r="B69" s="35" t="str">
        <x:v>ship</x:v>
      </x:c>
      <x:c r="C69" s="35" t="str">
        <x:v>iceClass</x:v>
      </x:c>
      <x:c r="D69" s="35" t="str">
        <x:v>ship</x:v>
      </x:c>
      <x:c r="E69" s="35" t="str"/>
      <x:c r="F69" s="35" t="str">
        <x:v>AUTHORITATIVE_REQUIREMENT_SCOPED</x:v>
      </x:c>
    </x:row>
    <x:row r="70">
      <x:c r="A70" s="38" t="str">
        <x:v>TRF-013</x:v>
      </x:c>
      <x:c r="B70" s="35" t="str">
        <x:v>ship</x:v>
      </x:c>
      <x:c r="C70" s="35" t="str">
        <x:v>operatingAftDraught</x:v>
      </x:c>
      <x:c r="D70" s="35" t="str">
        <x:v>ship</x:v>
      </x:c>
      <x:c r="E70" s="35" t="str"/>
      <x:c r="F70" s="35" t="str">
        <x:v>AUTHORITATIVE_REQUIREMENT_SCOPED</x:v>
      </x:c>
    </x:row>
    <x:row r="71">
      <x:c r="A71" s="38" t="str">
        <x:v>TRF-013</x:v>
      </x:c>
      <x:c r="B71" s="35" t="str">
        <x:v>ship</x:v>
      </x:c>
      <x:c r="C71" s="35" t="str">
        <x:v>operatingForeDraught</x:v>
      </x:c>
      <x:c r="D71" s="35" t="str">
        <x:v>ship</x:v>
      </x:c>
      <x:c r="E71" s="35" t="str"/>
      <x:c r="F71" s="35" t="str">
        <x:v>AUTHORITATIVE_REQUIREMENT_SCOPED</x:v>
      </x:c>
    </x:row>
    <x:row r="72">
      <x:c r="A72" s="38" t="str">
        <x:v>TRF-013</x:v>
      </x:c>
      <x:c r="B72" s="35" t="str">
        <x:v>ship</x:v>
      </x:c>
      <x:c r="C72" s="35" t="str">
        <x:v>shipIceStrengthened</x:v>
      </x:c>
      <x:c r="D72" s="35" t="str">
        <x:v>ship</x:v>
      </x:c>
      <x:c r="E72" s="35" t="str"/>
      <x:c r="F72" s="35" t="str">
        <x:v>AUTHORITATIVE_REQUIREMENT_SCOPED</x:v>
      </x:c>
    </x:row>
    <x:row r="73">
      <x:c r="A73" s="38" t="str">
        <x:v>TRF-014</x:v>
      </x:c>
      <x:c r="B73" s="35" t="str">
        <x:v>ship</x:v>
      </x:c>
      <x:c r="C73" s="35" t="str">
        <x:v>classCertificate</x:v>
      </x:c>
      <x:c r="D73" s="35" t="str">
        <x:v>ship</x:v>
      </x:c>
      <x:c r="E73"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73" s="35" t="str">
        <x:v>AUTHORITATIVE_REQUIREMENT_SCOPED</x:v>
      </x:c>
    </x:row>
    <x:row r="74">
      <x:c r="A74" s="38" t="str">
        <x:v>TRF-014</x:v>
      </x:c>
      <x:c r="B74" s="35" t="str">
        <x:v>ship</x:v>
      </x:c>
      <x:c r="C74" s="35" t="str">
        <x:v>constructionDate</x:v>
      </x:c>
      <x:c r="D74" s="35" t="str">
        <x:v>ship</x:v>
      </x:c>
      <x:c r="E74"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74" s="35" t="str">
        <x:v>AUTHORITATIVE_REQUIREMENT_SCOPED</x:v>
      </x:c>
    </x:row>
    <x:row r="75">
      <x:c r="A75" s="38" t="str">
        <x:v>TRF-014</x:v>
      </x:c>
      <x:c r="B75" s="35" t="str">
        <x:v>ship</x:v>
      </x:c>
      <x:c r="C75" s="35" t="str">
        <x:v>firstScheduledDryDockingDate</x:v>
      </x:c>
      <x:c r="D75" s="35" t="str">
        <x:v>ship</x:v>
      </x:c>
      <x:c r="E75"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75" s="35" t="str">
        <x:v>AUTHORITATIVE_REQUIREMENT_SCOPED</x:v>
      </x:c>
    </x:row>
    <x:row r="76">
      <x:c r="A76" s="38" t="str">
        <x:v>TRF-014</x:v>
      </x:c>
      <x:c r="B76" s="35" t="str">
        <x:v>ship</x:v>
      </x:c>
      <x:c r="C76" s="35" t="str">
        <x:v>hasClassCertificate</x:v>
      </x:c>
      <x:c r="D76" s="35" t="str">
        <x:v>ship</x:v>
      </x:c>
      <x:c r="E76"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76" s="35" t="str">
        <x:v>AUTHORITATIVE_REQUIREMENT_SCOPED</x:v>
      </x:c>
    </x:row>
    <x:row r="77">
      <x:c r="A77" s="38" t="str">
        <x:v>TRF-014</x:v>
      </x:c>
      <x:c r="B77" s="35" t="str">
        <x:v>ship</x:v>
      </x:c>
      <x:c r="C77" s="35" t="str">
        <x:v>hasIceDraughtRestrictionDocument</x:v>
      </x:c>
      <x:c r="D77" s="35" t="str">
        <x:v>ship</x:v>
      </x:c>
      <x:c r="E77"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77" s="35" t="str">
        <x:v>AUTHORITATIVE_REQUIREMENT_SCOPED</x:v>
      </x:c>
    </x:row>
    <x:row r="78">
      <x:c r="A78" s="38" t="str">
        <x:v>TRF-014</x:v>
      </x:c>
      <x:c r="B78" s="35" t="str">
        <x:v>ship</x:v>
      </x:c>
      <x:c r="C78" s="35" t="str">
        <x:v>iceClass</x:v>
      </x:c>
      <x:c r="D78" s="35" t="str">
        <x:v>ship</x:v>
      </x:c>
      <x:c r="E78"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78" s="35" t="str">
        <x:v>AUTHORITATIVE_REQUIREMENT_SCOPED</x:v>
      </x:c>
    </x:row>
    <x:row r="79">
      <x:c r="A79" s="38" t="str">
        <x:v>TRF-014</x:v>
      </x:c>
      <x:c r="B79" s="35" t="str">
        <x:v>ship</x:v>
      </x:c>
      <x:c r="C79" s="35" t="str">
        <x:v>iceClassDraughtMarkDraughtAmidships</x:v>
      </x:c>
      <x:c r="D79" s="35" t="str">
        <x:v>ship</x:v>
      </x:c>
      <x:c r="E79"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79" s="35" t="str">
        <x:v>AUTHORITATIVE_REQUIREMENT_SCOPED</x:v>
      </x:c>
    </x:row>
    <x:row r="80">
      <x:c r="A80" s="38" t="str">
        <x:v>TRF-014</x:v>
      </x:c>
      <x:c r="B80" s="35" t="str">
        <x:v>ship</x:v>
      </x:c>
      <x:c r="C80" s="35" t="str">
        <x:v>iceClassDraughtMarkPresent</x:v>
      </x:c>
      <x:c r="D80" s="35" t="str">
        <x:v>ship</x:v>
      </x:c>
      <x:c r="E80"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80" s="35" t="str">
        <x:v>AUTHORITATIVE_REQUIREMENT_SCOPED</x:v>
      </x:c>
    </x:row>
    <x:row r="81">
      <x:c r="A81" s="38" t="str">
        <x:v>TRF-014</x:v>
      </x:c>
      <x:c r="B81" s="35" t="str">
        <x:v>ship</x:v>
      </x:c>
      <x:c r="C81" s="35" t="str">
        <x:v>iceDraughtRestrictionDocument</x:v>
      </x:c>
      <x:c r="D81" s="35" t="str">
        <x:v>ship</x:v>
      </x:c>
      <x:c r="E81"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81" s="35" t="str">
        <x:v>AUTHORITATIVE_REQUIREMENT_SCOPED</x:v>
      </x:c>
    </x:row>
    <x:row r="82">
      <x:c r="A82" s="38" t="str">
        <x:v>TRF-014</x:v>
      </x:c>
      <x:c r="B82" s="35" t="str">
        <x:v>ship</x:v>
      </x:c>
      <x:c r="C82" s="35" t="str">
        <x:v>maximumIceClassDraughtAft</x:v>
      </x:c>
      <x:c r="D82" s="35" t="str">
        <x:v>ship</x:v>
      </x:c>
      <x:c r="E82"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82" s="35" t="str">
        <x:v>AUTHORITATIVE_REQUIREMENT_SCOPED</x:v>
      </x:c>
    </x:row>
    <x:row r="83">
      <x:c r="A83" s="38" t="str">
        <x:v>TRF-014</x:v>
      </x:c>
      <x:c r="B83" s="35" t="str">
        <x:v>ship</x:v>
      </x:c>
      <x:c r="C83" s="35" t="str">
        <x:v>maximumIceClassDraughtAmidships</x:v>
      </x:c>
      <x:c r="D83" s="35" t="str">
        <x:v>ship</x:v>
      </x:c>
      <x:c r="E83"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83" s="35" t="str">
        <x:v>AUTHORITATIVE_REQUIREMENT_SCOPED</x:v>
      </x:c>
    </x:row>
    <x:row r="84">
      <x:c r="A84" s="38" t="str">
        <x:v>TRF-014</x:v>
      </x:c>
      <x:c r="B84" s="35" t="str">
        <x:v>ship</x:v>
      </x:c>
      <x:c r="C84" s="35" t="str">
        <x:v>maximumIceClassDraughtFore</x:v>
      </x:c>
      <x:c r="D84" s="35" t="str">
        <x:v>ship</x:v>
      </x:c>
      <x:c r="E84"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84" s="35" t="str">
        <x:v>AUTHORITATIVE_REQUIREMENT_SCOPED</x:v>
      </x:c>
    </x:row>
    <x:row r="85">
      <x:c r="A85" s="38" t="str">
        <x:v>TRF-014</x:v>
      </x:c>
      <x:c r="B85" s="35" t="str">
        <x:v>ship</x:v>
      </x:c>
      <x:c r="C85" s="35" t="str">
        <x:v>minimumIceClassDraughtAft</x:v>
      </x:c>
      <x:c r="D85" s="35" t="str">
        <x:v>ship</x:v>
      </x:c>
      <x:c r="E85"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85" s="35" t="str">
        <x:v>AUTHORITATIVE_REQUIREMENT_SCOPED</x:v>
      </x:c>
    </x:row>
    <x:row r="86">
      <x:c r="A86" s="38" t="str">
        <x:v>TRF-014</x:v>
      </x:c>
      <x:c r="B86" s="35" t="str">
        <x:v>ship</x:v>
      </x:c>
      <x:c r="C86" s="35" t="str">
        <x:v>minimumIceClassDraughtAmidships</x:v>
      </x:c>
      <x:c r="D86" s="35" t="str">
        <x:v>ship</x:v>
      </x:c>
      <x:c r="E86"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86" s="35" t="str">
        <x:v>AUTHORITATIVE_REQUIREMENT_SCOPED</x:v>
      </x:c>
    </x:row>
    <x:row r="87">
      <x:c r="A87" s="38" t="str">
        <x:v>TRF-014</x:v>
      </x:c>
      <x:c r="B87" s="35" t="str">
        <x:v>ship</x:v>
      </x:c>
      <x:c r="C87" s="35" t="str">
        <x:v>minimumIceClassDraughtFore</x:v>
      </x:c>
      <x:c r="D87" s="35" t="str">
        <x:v>ship</x:v>
      </x:c>
      <x:c r="E87"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87" s="35" t="str">
        <x:v>AUTHORITATIVE_REQUIREMENT_SCOPED</x:v>
      </x:c>
    </x:row>
    <x:row r="88">
      <x:c r="A88" s="38" t="str">
        <x:v>TRF-014</x:v>
      </x:c>
      <x:c r="B88" s="35" t="str">
        <x:v>ship</x:v>
      </x:c>
      <x:c r="C88" s="35" t="str">
        <x:v>readilyAvailableToMaster</x:v>
      </x:c>
      <x:c r="D88" s="35" t="str">
        <x:v>ship</x:v>
      </x:c>
      <x:c r="E88"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88" s="35" t="str">
        <x:v>AUTHORITATIVE_REQUIREMENT_SCOPED</x:v>
      </x:c>
    </x:row>
    <x:row r="89">
      <x:c r="A89" s="38" t="str">
        <x:v>TRF-014</x:v>
      </x:c>
      <x:c r="B89" s="35" t="str">
        <x:v>ship</x:v>
      </x:c>
      <x:c r="C89" s="35" t="str">
        <x:v>retainedOnBoard</x:v>
      </x:c>
      <x:c r="D89" s="35" t="str">
        <x:v>ship</x:v>
      </x:c>
      <x:c r="E89"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89" s="35" t="str">
        <x:v>AUTHORITATIVE_REQUIREMENT_SCOPED</x:v>
      </x:c>
    </x:row>
    <x:row r="90">
      <x:c r="A90" s="38" t="str">
        <x:v>TRF-014</x:v>
      </x:c>
      <x:c r="B90" s="35" t="str">
        <x:v>ship</x:v>
      </x:c>
      <x:c r="C90" s="35" t="str">
        <x:v>summerLoadLineFreshWaterDraught</x:v>
      </x:c>
      <x:c r="D90" s="35" t="str">
        <x:v>ship</x:v>
      </x:c>
      <x:c r="E90"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90" s="35" t="str">
        <x:v>AUTHORITATIVE_REQUIREMENT_SCOPED</x:v>
      </x:c>
    </x:row>
    <x:row r="91">
      <x:c r="A91" s="38" t="str">
        <x:v>TRF-014</x:v>
      </x:c>
      <x:c r="B91" s="35" t="str">
        <x:v>ship</x:v>
      </x:c>
      <x:c r="C91" s="35" t="str">
        <x:v>upperIceWaterlineDraught</x:v>
      </x:c>
      <x:c r="D91" s="35" t="str">
        <x:v>ship</x:v>
      </x:c>
      <x:c r="E91"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91" s="35" t="str">
        <x:v>AUTHORITATIVE_REQUIREMENT_SCOPED</x:v>
      </x:c>
    </x:row>
    <x:row r="92">
      <x:c r="A92" s="38" t="str">
        <x:v>TRF-014</x:v>
      </x:c>
      <x:c r="B92" s="35" t="str">
        <x:v>ship</x:v>
      </x:c>
      <x:c r="C92" s="35" t="str">
        <x:v>warningTrianglePresent</x:v>
      </x:c>
      <x:c r="D92" s="35" t="str">
        <x:v>ship</x:v>
      </x:c>
      <x:c r="E92" s="35" t="str">
        <x:v>Draught increases downward: a summer load line at a higher level than UIWL has a numerically smaller draught. | For a pre-1 July 2007 ship, complete warning-triangle and draught-mark evidence passes without requiring firstScheduledDryDockingDate; otherwise the marking is required when the first scheduled dry docking after the cutoff is due or past.</x:v>
      </x:c>
      <x:c r="F92" s="35" t="str">
        <x:v>AUTHORITATIVE_REQUIREMENT_SCOPED</x:v>
      </x:c>
    </x:row>
    <x:row r="93">
      <x:c r="A93" s="38" t="str">
        <x:v>TRF-015</x:v>
      </x:c>
      <x:c r="B93" s="35" t="str">
        <x:v>ship</x:v>
      </x:c>
      <x:c r="C93" s="35" t="str">
        <x:v>gramPerKilogramSalinityUnit</x:v>
      </x:c>
      <x:c r="D93" s="35" t="str">
        <x:v>ship</x:v>
      </x:c>
      <x:c r="E93" s="35" t="str"/>
      <x:c r="F93" s="35" t="str">
        <x:v>AUTHORITATIVE_REQUIREMENT_SCOPED</x:v>
      </x:c>
    </x:row>
    <x:row r="94">
      <x:c r="A94" s="38" t="str">
        <x:v>TRF-015</x:v>
      </x:c>
      <x:c r="B94" s="35" t="str">
        <x:v>ship</x:v>
      </x:c>
      <x:c r="C94" s="35" t="str">
        <x:v>intendedRouteSeaWaterSalinity</x:v>
      </x:c>
      <x:c r="D94" s="35" t="str">
        <x:v>ship</x:v>
      </x:c>
      <x:c r="E94" s="35" t="str"/>
      <x:c r="F94" s="35" t="str">
        <x:v>AUTHORITATIVE_REQUIREMENT_SCOPED</x:v>
      </x:c>
    </x:row>
    <x:row r="95">
      <x:c r="A95" s="38" t="str">
        <x:v>TRF-015</x:v>
      </x:c>
      <x:c r="B95" s="35" t="str">
        <x:v>ship</x:v>
      </x:c>
      <x:c r="C95" s="35" t="str">
        <x:v>loadingCalculationSeaWaterSalinity</x:v>
      </x:c>
      <x:c r="D95" s="35" t="str">
        <x:v>ship</x:v>
      </x:c>
      <x:c r="E95" s="35" t="str"/>
      <x:c r="F95" s="35" t="str">
        <x:v>AUTHORITATIVE_REQUIREMENT_SCOPED</x:v>
      </x:c>
    </x:row>
    <x:row r="96">
      <x:c r="A96" s="38" t="str">
        <x:v>TRF-015</x:v>
      </x:c>
      <x:c r="B96" s="35" t="str">
        <x:v>ship</x:v>
      </x:c>
      <x:c r="C96" s="35" t="str">
        <x:v>maximumPermittedIceTrim</x:v>
      </x:c>
      <x:c r="D96" s="35" t="str">
        <x:v>ship</x:v>
      </x:c>
      <x:c r="E96" s="35" t="str"/>
      <x:c r="F96" s="35" t="str">
        <x:v>AUTHORITATIVE_REQUIREMENT_SCOPED</x:v>
      </x:c>
    </x:row>
    <x:row r="97">
      <x:c r="A97" s="38" t="str">
        <x:v>TRF-015</x:v>
      </x:c>
      <x:c r="B97" s="35" t="str">
        <x:v>ship</x:v>
      </x:c>
      <x:c r="C97" s="35" t="str">
        <x:v>navigatingInIce</x:v>
      </x:c>
      <x:c r="D97" s="35" t="str">
        <x:v>ship</x:v>
      </x:c>
      <x:c r="E97" s="35" t="str"/>
      <x:c r="F97" s="35" t="str">
        <x:v>AUTHORITATIVE_REQUIREMENT_SCOPED</x:v>
      </x:c>
    </x:row>
    <x:row r="98">
      <x:c r="A98" s="38" t="str">
        <x:v>TRF-015</x:v>
      </x:c>
      <x:c r="B98" s="35" t="str">
        <x:v>ship</x:v>
      </x:c>
      <x:c r="C98" s="35" t="str">
        <x:v>operatingDraught</x:v>
      </x:c>
      <x:c r="D98" s="35" t="str">
        <x:v>ship</x:v>
      </x:c>
      <x:c r="E98" s="35" t="str"/>
      <x:c r="F98" s="35" t="str">
        <x:v>AUTHORITATIVE_REQUIREMENT_SCOPED</x:v>
      </x:c>
    </x:row>
    <x:row r="99">
      <x:c r="A99" s="38" t="str">
        <x:v>TRF-015</x:v>
      </x:c>
      <x:c r="B99" s="35" t="str">
        <x:v>ship</x:v>
      </x:c>
      <x:c r="C99" s="35" t="str">
        <x:v>operatingTrim</x:v>
      </x:c>
      <x:c r="D99" s="35" t="str">
        <x:v>ship</x:v>
      </x:c>
      <x:c r="E99" s="35" t="str"/>
      <x:c r="F99" s="35" t="str">
        <x:v>AUTHORITATIVE_REQUIREMENT_SCOPED</x:v>
      </x:c>
    </x:row>
    <x:row r="100">
      <x:c r="A100" s="38" t="str">
        <x:v>TRF-015</x:v>
      </x:c>
      <x:c r="B100" s="35" t="str">
        <x:v>ship</x:v>
      </x:c>
      <x:c r="C100" s="35" t="str">
        <x:v>upperIceWaterlineDraught</x:v>
      </x:c>
      <x:c r="D100" s="35" t="str">
        <x:v>ship</x:v>
      </x:c>
      <x:c r="E100" s="35" t="str"/>
      <x:c r="F100" s="35" t="str">
        <x:v>AUTHORITATIVE_REQUIREMENT_SCOPED</x:v>
      </x:c>
    </x:row>
    <x:row r="101">
      <x:c r="A101" s="38" t="str">
        <x:v>TRF-016</x:v>
      </x:c>
      <x:c r="B101" s="35" t="str">
        <x:v>ship</x:v>
      </x:c>
      <x:c r="C101" s="35" t="str">
        <x:v>ballastTank</x:v>
      </x:c>
      <x:c r="D101" s="35" t="str">
        <x:v>ship</x:v>
      </x:c>
      <x:c r="E101" s="35" t="str"/>
      <x:c r="F101" s="35" t="str">
        <x:v>AUTHORITATIVE_REQUIREMENT_SCOPED</x:v>
      </x:c>
    </x:row>
    <x:row r="102">
      <x:c r="A102" s="38" t="str">
        <x:v>TRF-016</x:v>
      </x:c>
      <x:c r="B102" s="35" t="str">
        <x:v>ship</x:v>
      </x:c>
      <x:c r="C102" s="35" t="str">
        <x:v>displacementAtUpperIceWaterline</x:v>
      </x:c>
      <x:c r="D102" s="35" t="str">
        <x:v>ship</x:v>
      </x:c>
      <x:c r="E102" s="35" t="str"/>
      <x:c r="F102" s="35" t="str">
        <x:v>AUTHORITATIVE_REQUIREMENT_SCOPED</x:v>
      </x:c>
    </x:row>
    <x:row r="103">
      <x:c r="A103" s="38" t="str">
        <x:v>TRF-016</x:v>
      </x:c>
      <x:c r="B103" s="35" t="str">
        <x:v>ship</x:v>
      </x:c>
      <x:c r="C103" s="35" t="str">
        <x:v>draughtAmidships</x:v>
      </x:c>
      <x:c r="D103" s="35" t="str">
        <x:v>ship</x:v>
      </x:c>
      <x:c r="E103" s="35" t="str"/>
      <x:c r="F103" s="35" t="str">
        <x:v>AUTHORITATIVE_REQUIREMENT_SCOPED</x:v>
      </x:c>
    </x:row>
    <x:row r="104">
      <x:c r="A104" s="38" t="str">
        <x:v>TRF-016</x:v>
      </x:c>
      <x:c r="B104" s="35" t="str">
        <x:v>ship</x:v>
      </x:c>
      <x:c r="C104" s="35" t="str">
        <x:v>forwardDraught</x:v>
      </x:c>
      <x:c r="D104" s="35" t="str">
        <x:v>ship</x:v>
      </x:c>
      <x:c r="E104" s="35" t="str"/>
      <x:c r="F104" s="35" t="str">
        <x:v>AUTHORITATIVE_REQUIREMENT_SCOPED</x:v>
      </x:c>
    </x:row>
    <x:row r="105">
      <x:c r="A105" s="38" t="str">
        <x:v>TRF-016</x:v>
      </x:c>
      <x:c r="B105" s="35" t="str">
        <x:v>ship</x:v>
      </x:c>
      <x:c r="C105" s="35" t="str">
        <x:v>freezingPreventionPresent</x:v>
      </x:c>
      <x:c r="D105" s="35" t="str">
        <x:v>ballastTank</x:v>
      </x:c>
      <x:c r="E105" s="35" t="str"/>
      <x:c r="F105" s="35" t="str">
        <x:v>AUTHORITATIVE_REQUIREMENT_SCOPED</x:v>
      </x:c>
    </x:row>
    <x:row r="106">
      <x:c r="A106" s="38" t="str">
        <x:v>TRF-016</x:v>
      </x:c>
      <x:c r="B106" s="35" t="str">
        <x:v>ship</x:v>
      </x:c>
      <x:c r="C106" s="35" t="str">
        <x:v>hasBallastTank</x:v>
      </x:c>
      <x:c r="D106" s="35" t="str">
        <x:v>ship</x:v>
      </x:c>
      <x:c r="E106" s="35" t="str"/>
      <x:c r="F106" s="35" t="str">
        <x:v>AUTHORITATIVE_REQUIREMENT_SCOPED</x:v>
      </x:c>
    </x:row>
    <x:row r="107">
      <x:c r="A107" s="38" t="str">
        <x:v>TRF-016</x:v>
      </x:c>
      <x:c r="B107" s="35" t="str">
        <x:v>ship</x:v>
      </x:c>
      <x:c r="C107" s="35" t="str">
        <x:v>hasLowerIceWaterline</x:v>
      </x:c>
      <x:c r="D107" s="35" t="str">
        <x:v>ship</x:v>
      </x:c>
      <x:c r="E107" s="35" t="str"/>
      <x:c r="F107" s="35" t="str">
        <x:v>AUTHORITATIVE_REQUIREMENT_SCOPED</x:v>
      </x:c>
    </x:row>
    <x:row r="108">
      <x:c r="A108" s="38" t="str">
        <x:v>TRF-016</x:v>
      </x:c>
      <x:c r="B108" s="35" t="str">
        <x:v>ship</x:v>
      </x:c>
      <x:c r="C108" s="35" t="str">
        <x:v>hasUpperIceWaterline</x:v>
      </x:c>
      <x:c r="D108" s="35" t="str">
        <x:v>ship</x:v>
      </x:c>
      <x:c r="E108" s="35" t="str"/>
      <x:c r="F108" s="35" t="str">
        <x:v>AUTHORITATIVE_REQUIREMENT_SCOPED</x:v>
      </x:c>
    </x:row>
    <x:row r="109">
      <x:c r="A109" s="38" t="str">
        <x:v>TRF-016</x:v>
      </x:c>
      <x:c r="B109" s="35" t="str">
        <x:v>ship</x:v>
      </x:c>
      <x:c r="C109" s="35" t="str">
        <x:v>levelIceThickness</x:v>
      </x:c>
      <x:c r="D109" s="35" t="str">
        <x:v>ship</x:v>
      </x:c>
      <x:c r="E109" s="35" t="str"/>
      <x:c r="F109" s="35" t="str">
        <x:v>AUTHORITATIVE_REQUIREMENT_SCOPED</x:v>
      </x:c>
    </x:row>
    <x:row r="110">
      <x:c r="A110" s="38" t="str">
        <x:v>TRF-016</x:v>
      </x:c>
      <x:c r="B110" s="35" t="str">
        <x:v>ship</x:v>
      </x:c>
      <x:c r="C110" s="35" t="str">
        <x:v>liwlDraughtAmidships</x:v>
      </x:c>
      <x:c r="D110" s="35" t="str">
        <x:v>ship</x:v>
      </x:c>
      <x:c r="E110" s="35" t="str"/>
      <x:c r="F110" s="35" t="str">
        <x:v>AUTHORITATIVE_REQUIREMENT_SCOPED</x:v>
      </x:c>
    </x:row>
    <x:row r="111">
      <x:c r="A111" s="38" t="str">
        <x:v>TRF-016</x:v>
      </x:c>
      <x:c r="B111" s="35" t="str">
        <x:v>ship</x:v>
      </x:c>
      <x:c r="C111" s="35" t="str">
        <x:v>navigatingInIce</x:v>
      </x:c>
      <x:c r="D111" s="35" t="str">
        <x:v>ship</x:v>
      </x:c>
      <x:c r="E111" s="35" t="str"/>
      <x:c r="F111" s="35" t="str">
        <x:v>AUTHORITATIVE_REQUIREMENT_SCOPED</x:v>
      </x:c>
    </x:row>
    <x:row r="112">
      <x:c r="A112" s="38" t="str">
        <x:v>TRF-016</x:v>
      </x:c>
      <x:c r="B112" s="35" t="str">
        <x:v>ship</x:v>
      </x:c>
      <x:c r="C112" s="35" t="str">
        <x:v>propellerHighestPointSubmerged</x:v>
      </x:c>
      <x:c r="D112" s="35" t="str">
        <x:v>ship</x:v>
      </x:c>
      <x:c r="E112" s="35" t="str"/>
      <x:c r="F112" s="35" t="str">
        <x:v>AUTHORITATIVE_REQUIREMENT_SCOPED</x:v>
      </x:c>
    </x:row>
    <x:row r="113">
      <x:c r="A113" s="38" t="str">
        <x:v>TRF-016</x:v>
      </x:c>
      <x:c r="B113" s="35" t="str">
        <x:v>ship</x:v>
      </x:c>
      <x:c r="C113" s="35" t="str">
        <x:v>situatedAboveLowerIceWaterline</x:v>
      </x:c>
      <x:c r="D113" s="35" t="str">
        <x:v>ballastTank</x:v>
      </x:c>
      <x:c r="E113" s="35" t="str"/>
      <x:c r="F113" s="35" t="str">
        <x:v>AUTHORITATIVE_REQUIREMENT_SCOPED</x:v>
      </x:c>
    </x:row>
    <x:row r="114">
      <x:c r="A114" s="38" t="str">
        <x:v>TRF-016</x:v>
      </x:c>
      <x:c r="B114" s="35" t="str">
        <x:v>ship</x:v>
      </x:c>
      <x:c r="C114" s="35" t="str">
        <x:v>usedToReachLowerIceWaterline</x:v>
      </x:c>
      <x:c r="D114" s="35" t="str">
        <x:v>ballastTank</x:v>
      </x:c>
      <x:c r="E114" s="35" t="str"/>
      <x:c r="F114" s="35" t="str">
        <x:v>AUTHORITATIVE_REQUIREMENT_SCOPED</x:v>
      </x:c>
    </x:row>
    <x:row r="115">
      <x:c r="A115" s="38" t="str">
        <x:v>TRF-016</x:v>
      </x:c>
      <x:c r="B115" s="35" t="str">
        <x:v>ship</x:v>
      </x:c>
      <x:c r="C115" s="35" t="str">
        <x:v>waterlineDisplacement</x:v>
      </x:c>
      <x:c r="D115" s="35" t="str">
        <x:v>ship</x:v>
      </x:c>
      <x:c r="E115" s="35" t="str"/>
      <x:c r="F115" s="35" t="str">
        <x:v>AUTHORITATIVE_REQUIREMENT_SCOPED</x:v>
      </x:c>
    </x:row>
    <x:row r="116">
      <x:c r="A116" s="38" t="str">
        <x:v>TRF-017</x:v>
      </x:c>
      <x:c r="B116" s="35" t="str">
        <x:v>ship</x:v>
      </x:c>
      <x:c r="C116" s="35" t="str">
        <x:v>maximumContinuousRatingPower</x:v>
      </x:c>
      <x:c r="D116" s="35" t="str">
        <x:v>ship</x:v>
      </x:c>
      <x:c r="E116" s="35" t="str"/>
      <x:c r="F116" s="35" t="str">
        <x:v>AUTHORITATIVE_REQUIREMENT_SCOPED</x:v>
      </x:c>
    </x:row>
    <x:row r="117">
      <x:c r="A117" s="38" t="str">
        <x:v>TRF-017</x:v>
      </x:c>
      <x:c r="B117" s="35" t="str">
        <x:v>ship</x:v>
      </x:c>
      <x:c r="C117" s="35" t="str">
        <x:v>propulsionMachineryContinuousOutput</x:v>
      </x:c>
      <x:c r="D117" s="35" t="str">
        <x:v>ship</x:v>
      </x:c>
      <x:c r="E117" s="35" t="str"/>
      <x:c r="F117" s="35" t="str">
        <x:v>AUTHORITATIVE_REQUIREMENT_SCOPED</x:v>
      </x:c>
    </x:row>
    <x:row r="118">
      <x:c r="A118" s="38" t="str">
        <x:v>TRF-017</x:v>
      </x:c>
      <x:c r="B118" s="35" t="str">
        <x:v>ship</x:v>
      </x:c>
      <x:c r="C118" s="35" t="str">
        <x:v>propulsionOutputRestrictionApplies</x:v>
      </x:c>
      <x:c r="D118" s="35" t="str">
        <x:v>ship</x:v>
      </x:c>
      <x:c r="E118" s="35" t="str"/>
      <x:c r="F118" s="35" t="str">
        <x:v>AUTHORITATIVE_REQUIREMENT_SCOPED</x:v>
      </x:c>
    </x:row>
    <x:row r="119">
      <x:c r="A119" s="38" t="str">
        <x:v>TRF-017</x:v>
      </x:c>
      <x:c r="B119" s="35" t="str">
        <x:v>ship</x:v>
      </x:c>
      <x:c r="C119" s="35" t="str">
        <x:v>restrictedPropulsionOutput</x:v>
      </x:c>
      <x:c r="D119" s="35" t="str">
        <x:v>ship</x:v>
      </x:c>
      <x:c r="E119" s="35" t="str"/>
      <x:c r="F119" s="35" t="str">
        <x:v>AUTHORITATIVE_REQUIREMENT_SCOPED</x:v>
      </x:c>
    </x:row>
    <x:row r="120">
      <x:c r="A120" s="38" t="str">
        <x:v>TRF-018</x:v>
      </x:c>
      <x:c r="B120" s="35" t="str">
        <x:v>ship</x:v>
      </x:c>
      <x:c r="C120" s="35" t="str">
        <x:v>calculatedRequiredPower</x:v>
      </x:c>
      <x:c r="D120" s="35" t="str">
        <x:v>ship</x:v>
      </x:c>
      <x:c r="E120" s="35" t="str"/>
      <x:c r="F120" s="35" t="str">
        <x:v>AUTHORITATIVE_REQUIREMENT_SCOPED</x:v>
      </x:c>
    </x:row>
    <x:row r="121">
      <x:c r="A121" s="38" t="str">
        <x:v>TRF-018</x:v>
      </x:c>
      <x:c r="B121" s="35" t="str">
        <x:v>ship</x:v>
      </x:c>
      <x:c r="C121" s="35" t="str">
        <x:v>iceClass</x:v>
      </x:c>
      <x:c r="D121" s="35" t="str">
        <x:v>ship</x:v>
      </x:c>
      <x:c r="E121" s="35" t="str"/>
      <x:c r="F121" s="35" t="str">
        <x:v>AUTHORITATIVE_REQUIREMENT_SCOPED</x:v>
      </x:c>
    </x:row>
    <x:row r="122">
      <x:c r="A122" s="38" t="str">
        <x:v>TRF-018</x:v>
      </x:c>
      <x:c r="B122" s="35" t="str">
        <x:v>ship</x:v>
      </x:c>
      <x:c r="C122" s="35" t="str">
        <x:v>maximumContinuousRatingPower</x:v>
      </x:c>
      <x:c r="D122" s="35" t="str">
        <x:v>ship</x:v>
      </x:c>
      <x:c r="E122" s="35" t="str"/>
      <x:c r="F122" s="35" t="str">
        <x:v>AUTHORITATIVE_REQUIREMENT_SCOPED</x:v>
      </x:c>
    </x:row>
    <x:row r="123">
      <x:c r="A123" s="38" t="str">
        <x:v>TRF-020</x:v>
      </x:c>
      <x:c r="B123" s="35" t="str">
        <x:v>ship</x:v>
      </x:c>
      <x:c r="C123" s="35" t="str">
        <x:v>brashIceChannelResistanceAtLowerIceWaterline</x:v>
      </x:c>
      <x:c r="D123" s="35" t="str">
        <x:v>ship</x:v>
      </x:c>
      <x:c r="E123"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23" s="35" t="str">
        <x:v>AUTHORITATIVE_REQUIREMENT_SCOPED</x:v>
      </x:c>
    </x:row>
    <x:row r="124">
      <x:c r="A124" s="38" t="str">
        <x:v>TRF-020</x:v>
      </x:c>
      <x:c r="B124" s="35" t="str">
        <x:v>ship</x:v>
      </x:c>
      <x:c r="C124" s="35" t="str">
        <x:v>brashIceChannelResistanceAtUpperIceWaterline</x:v>
      </x:c>
      <x:c r="D124" s="35" t="str">
        <x:v>ship</x:v>
      </x:c>
      <x:c r="E124"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24" s="35" t="str">
        <x:v>AUTHORITATIVE_REQUIREMENT_SCOPED</x:v>
      </x:c>
    </x:row>
    <x:row r="125">
      <x:c r="A125" s="38" t="str">
        <x:v>TRF-020</x:v>
      </x:c>
      <x:c r="B125" s="35" t="str">
        <x:v>ship</x:v>
      </x:c>
      <x:c r="C125" s="35" t="str">
        <x:v>brashIceChannelResistanceRch</x:v>
      </x:c>
      <x:c r="D125" s="35" t="str">
        <x:v>ship</x:v>
      </x:c>
      <x:c r="E125"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25" s="35" t="str">
        <x:v>AUTHORITATIVE_REQUIREMENT_SCOPED</x:v>
      </x:c>
    </x:row>
    <x:row r="126">
      <x:c r="A126" s="38" t="str">
        <x:v>TRF-020</x:v>
      </x:c>
      <x:c r="B126" s="35" t="str">
        <x:v>ship</x:v>
      </x:c>
      <x:c r="C126" s="35" t="str">
        <x:v>constructionStageDate</x:v>
      </x:c>
      <x:c r="D126" s="35" t="str">
        <x:v>ship</x:v>
      </x:c>
      <x:c r="E126"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26" s="35" t="str">
        <x:v>AUTHORITATIVE_REQUIREMENT_SCOPED</x:v>
      </x:c>
    </x:row>
    <x:row r="127">
      <x:c r="A127" s="38" t="str">
        <x:v>TRF-020</x:v>
      </x:c>
      <x:c r="B127" s="35" t="str">
        <x:v>ship</x:v>
      </x:c>
      <x:c r="C127" s="35" t="str">
        <x:v>controllablePitch</x:v>
      </x:c>
      <x:c r="D127" s="35" t="str">
        <x:v>ship</x:v>
      </x:c>
      <x:c r="E127"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27" s="35" t="str">
        <x:v>AUTHORITATIVE_REQUIREMENT_SCOPED</x:v>
      </x:c>
    </x:row>
    <x:row r="128">
      <x:c r="A128" s="38" t="str">
        <x:v>TRF-020</x:v>
      </x:c>
      <x:c r="B128" s="35" t="str">
        <x:v>ship</x:v>
      </x:c>
      <x:c r="C128" s="35" t="str">
        <x:v>conventionalPropulsionSystem</x:v>
      </x:c>
      <x:c r="D128" s="35" t="str">
        <x:v>ship</x:v>
      </x:c>
      <x:c r="E128"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28" s="35" t="str">
        <x:v>AUTHORITATIVE_REQUIREMENT_SCOPED</x:v>
      </x:c>
    </x:row>
    <x:row r="129">
      <x:c r="A129" s="38" t="str">
        <x:v>TRF-020</x:v>
      </x:c>
      <x:c r="B129" s="35" t="str">
        <x:v>ship</x:v>
      </x:c>
      <x:c r="C129" s="35" t="str">
        <x:v>electricPropulsionMachinery</x:v>
      </x:c>
      <x:c r="D129" s="35" t="str">
        <x:v>ship</x:v>
      </x:c>
      <x:c r="E129"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29" s="35" t="str">
        <x:v>AUTHORITATIVE_REQUIREMENT_SCOPED</x:v>
      </x:c>
    </x:row>
    <x:row r="130">
      <x:c r="A130" s="38" t="str">
        <x:v>TRF-020</x:v>
      </x:c>
      <x:c r="B130" s="35" t="str">
        <x:v>ship</x:v>
      </x:c>
      <x:c r="C130" s="35" t="str">
        <x:v>engineOutputCoefficientKe</x:v>
      </x:c>
      <x:c r="D130" s="35" t="str">
        <x:v>ship</x:v>
      </x:c>
      <x:c r="E130"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30" s="35" t="str">
        <x:v>AUTHORITATIVE_REQUIREMENT_SCOPED</x:v>
      </x:c>
    </x:row>
    <x:row r="131">
      <x:c r="A131" s="38" t="str">
        <x:v>TRF-020</x:v>
      </x:c>
      <x:c r="B131" s="35" t="str">
        <x:v>ship</x:v>
      </x:c>
      <x:c r="C131" s="35" t="str">
        <x:v>fixedPitch</x:v>
      </x:c>
      <x:c r="D131" s="35" t="str">
        <x:v>ship</x:v>
      </x:c>
      <x:c r="E131"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31" s="35" t="str">
        <x:v>AUTHORITATIVE_REQUIREMENT_SCOPED</x:v>
      </x:c>
    </x:row>
    <x:row r="132">
      <x:c r="A132" s="38" t="str">
        <x:v>TRF-020</x:v>
      </x:c>
      <x:c r="B132" s="35" t="str">
        <x:v>ship</x:v>
      </x:c>
      <x:c r="C132" s="35" t="str">
        <x:v>hasLowerIceWaterline</x:v>
      </x:c>
      <x:c r="D132" s="35" t="str">
        <x:v>ship</x:v>
      </x:c>
      <x:c r="E132"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32" s="35" t="str">
        <x:v>AUTHORITATIVE_REQUIREMENT_SCOPED</x:v>
      </x:c>
    </x:row>
    <x:row r="133">
      <x:c r="A133" s="38" t="str">
        <x:v>TRF-020</x:v>
      </x:c>
      <x:c r="B133" s="35" t="str">
        <x:v>ship</x:v>
      </x:c>
      <x:c r="C133" s="35" t="str">
        <x:v>hasUpperIceWaterline</x:v>
      </x:c>
      <x:c r="D133" s="35" t="str">
        <x:v>ship</x:v>
      </x:c>
      <x:c r="E133"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33" s="35" t="str">
        <x:v>AUTHORITATIVE_REQUIREMENT_SCOPED</x:v>
      </x:c>
    </x:row>
    <x:row r="134">
      <x:c r="A134" s="38" t="str">
        <x:v>TRF-020</x:v>
      </x:c>
      <x:c r="B134" s="35" t="str">
        <x:v>ship</x:v>
      </x:c>
      <x:c r="C134" s="35" t="str">
        <x:v>hydraulicPropulsionMachinery</x:v>
      </x:c>
      <x:c r="D134" s="35" t="str">
        <x:v>ship</x:v>
      </x:c>
      <x:c r="E134"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34" s="35" t="str">
        <x:v>AUTHORITATIVE_REQUIREMENT_SCOPED</x:v>
      </x:c>
    </x:row>
    <x:row r="135">
      <x:c r="A135" s="38" t="str">
        <x:v>TRF-020</x:v>
      </x:c>
      <x:c r="B135" s="35" t="str">
        <x:v>ship</x:v>
      </x:c>
      <x:c r="C135" s="35" t="str">
        <x:v>iceClass</x:v>
      </x:c>
      <x:c r="D135" s="35" t="str">
        <x:v>ship</x:v>
      </x:c>
      <x:c r="E135"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35" s="35" t="str">
        <x:v>AUTHORITATIVE_REQUIREMENT_SCOPED</x:v>
      </x:c>
    </x:row>
    <x:row r="136">
      <x:c r="A136" s="38" t="str">
        <x:v>TRF-020</x:v>
      </x:c>
      <x:c r="B136" s="35" t="str">
        <x:v>ship</x:v>
      </x:c>
      <x:c r="C136" s="35" t="str">
        <x:v>iceWaterline</x:v>
      </x:c>
      <x:c r="D136" s="35" t="str">
        <x:v>ship</x:v>
      </x:c>
      <x:c r="E136"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36" s="35" t="str">
        <x:v>AUTHORITATIVE_REQUIREMENT_SCOPED</x:v>
      </x:c>
    </x:row>
    <x:row r="137">
      <x:c r="A137" s="38" t="str">
        <x:v>TRF-020</x:v>
      </x:c>
      <x:c r="B137" s="35" t="str">
        <x:v>ship</x:v>
      </x:c>
      <x:c r="C137" s="35" t="str">
        <x:v>maximumContinuousRatingPower</x:v>
      </x:c>
      <x:c r="D137" s="35" t="str">
        <x:v>ship</x:v>
      </x:c>
      <x:c r="E137"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37" s="35" t="str">
        <x:v>AUTHORITATIVE_REQUIREMENT_SCOPED</x:v>
      </x:c>
    </x:row>
    <x:row r="138">
      <x:c r="A138" s="38" t="str">
        <x:v>TRF-020</x:v>
      </x:c>
      <x:c r="B138" s="35" t="str">
        <x:v>ship</x:v>
      </x:c>
      <x:c r="C138" s="35" t="str">
        <x:v>minimumRequiredPowerAtLowerIceWaterline</x:v>
      </x:c>
      <x:c r="D138" s="35" t="str">
        <x:v>ship</x:v>
      </x:c>
      <x:c r="E138"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38" s="35" t="str">
        <x:v>AUTHORITATIVE_REQUIREMENT_SCOPED</x:v>
      </x:c>
    </x:row>
    <x:row r="139">
      <x:c r="A139" s="38" t="str">
        <x:v>TRF-020</x:v>
      </x:c>
      <x:c r="B139" s="35" t="str">
        <x:v>ship</x:v>
      </x:c>
      <x:c r="C139" s="35" t="str">
        <x:v>minimumRequiredPowerAtUpperIceWaterline</x:v>
      </x:c>
      <x:c r="D139" s="35" t="str">
        <x:v>ship</x:v>
      </x:c>
      <x:c r="E139"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39" s="35" t="str">
        <x:v>AUTHORITATIVE_REQUIREMENT_SCOPED</x:v>
      </x:c>
    </x:row>
    <x:row r="140">
      <x:c r="A140" s="38" t="str">
        <x:v>TRF-020</x:v>
      </x:c>
      <x:c r="B140" s="35" t="str">
        <x:v>ship</x:v>
      </x:c>
      <x:c r="C140" s="35" t="str">
        <x:v>propellerCount</x:v>
      </x:c>
      <x:c r="D140" s="35" t="str">
        <x:v>ship</x:v>
      </x:c>
      <x:c r="E140"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40" s="35" t="str">
        <x:v>AUTHORITATIVE_REQUIREMENT_SCOPED</x:v>
      </x:c>
    </x:row>
    <x:row r="141">
      <x:c r="A141" s="38" t="str">
        <x:v>TRF-020</x:v>
      </x:c>
      <x:c r="B141" s="35" t="str">
        <x:v>ship</x:v>
      </x:c>
      <x:c r="C141" s="35" t="str">
        <x:v>propellerDiameter</x:v>
      </x:c>
      <x:c r="D141" s="35" t="str">
        <x:v>ship</x:v>
      </x:c>
      <x:c r="E141"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41" s="35" t="str">
        <x:v>AUTHORITATIVE_REQUIREMENT_SCOPED</x:v>
      </x:c>
    </x:row>
    <x:row r="142">
      <x:c r="A142" s="38" t="str">
        <x:v>TRF-020</x:v>
      </x:c>
      <x:c r="B142" s="35" t="str">
        <x:v>ship</x:v>
      </x:c>
      <x:c r="C142" s="35" t="str">
        <x:v>propellerPitchControlType</x:v>
      </x:c>
      <x:c r="D142" s="35" t="str">
        <x:v>ship</x:v>
      </x:c>
      <x:c r="E142"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42" s="35" t="str">
        <x:v>AUTHORITATIVE_REQUIREMENT_SCOPED</x:v>
      </x:c>
    </x:row>
    <x:row r="143">
      <x:c r="A143" s="38" t="str">
        <x:v>TRF-020</x:v>
      </x:c>
      <x:c r="B143" s="35" t="str">
        <x:v>ship</x:v>
      </x:c>
      <x:c r="C143" s="35" t="str">
        <x:v>propulsionSystemType</x:v>
      </x:c>
      <x:c r="D143" s="35" t="str">
        <x:v>ship</x:v>
      </x:c>
      <x:c r="E143"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43" s="35" t="str">
        <x:v>AUTHORITATIVE_REQUIREMENT_SCOPED</x:v>
      </x:c>
    </x:row>
    <x:row r="144">
      <x:c r="A144" s="38" t="str">
        <x:v>TRF-020</x:v>
      </x:c>
      <x:c r="B144" s="35" t="str">
        <x:v>ship</x:v>
      </x:c>
      <x:c r="C144" s="35" t="str">
        <x:v>upperIceWaterlineBreadth</x:v>
      </x:c>
      <x:c r="D144" s="35" t="str">
        <x:v>iceWaterline</x:v>
      </x:c>
      <x:c r="E144"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44" s="35" t="str">
        <x:v>AUTHORITATIVE_REQUIREMENT_SCOPED</x:v>
      </x:c>
    </x:row>
    <x:row r="145">
      <x:c r="A145" s="38" t="str">
        <x:v>TRF-020</x:v>
      </x:c>
      <x:c r="B145" s="35" t="str">
        <x:v>ship</x:v>
      </x:c>
      <x:c r="C145" s="35" t="str">
        <x:v>upperIceWaterlineLength</x:v>
      </x:c>
      <x:c r="D145" s="35" t="str">
        <x:v>iceWaterline</x:v>
      </x:c>
      <x:c r="E145" s="35" t="str">
        <x:v>Require sufficient constructionStageDate and controlled iceClass evidence before selecting applicable/non-applicable branches. | Calculate minimum power separately at UIWL and LIWL from the corresponding draught-dependent resistance inputs, but use upperIceWaterlineLength and upperIceWaterlineBreadth for both calculations; require maximumContinuousRatingPower to be at least the greater result.</x:v>
      </x:c>
      <x:c r="F145" s="35" t="str">
        <x:v>AUTHORITATIVE_REQUIREMENT_SCOPED</x:v>
      </x:c>
    </x:row>
    <x:row r="146">
      <x:c r="A146" s="38" t="str">
        <x:v>TRF-022</x:v>
      </x:c>
      <x:c r="B146" s="35" t="str">
        <x:v>ship</x:v>
      </x:c>
      <x:c r="C146" s="35" t="str">
        <x:v>bowRakeAtQuarterBreadth</x:v>
      </x:c>
      <x:c r="D146" s="35" t="str">
        <x:v>ship</x:v>
      </x:c>
      <x:c r="E146"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46" s="35" t="str">
        <x:v>AUTHORITATIVE_REQUIREMENT_SCOPED</x:v>
      </x:c>
    </x:row>
    <x:row r="147">
      <x:c r="A147" s="38" t="str">
        <x:v>TRF-022</x:v>
      </x:c>
      <x:c r="B147" s="35" t="str">
        <x:v>ship</x:v>
      </x:c>
      <x:c r="C147" s="35" t="str">
        <x:v>clampedHullGeometryTerm</x:v>
      </x:c>
      <x:c r="D147" s="35" t="str">
        <x:v>ship</x:v>
      </x:c>
      <x:c r="E147"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47" s="35" t="str">
        <x:v>AUTHORITATIVE_REQUIREMENT_SCOPED</x:v>
      </x:c>
    </x:row>
    <x:row r="148">
      <x:c r="A148" s="38" t="str">
        <x:v>TRF-022</x:v>
      </x:c>
      <x:c r="B148" s="35" t="str">
        <x:v>ship</x:v>
      </x:c>
      <x:c r="C148" s="35" t="str">
        <x:v>coefficientC3</x:v>
      </x:c>
      <x:c r="D148" s="35" t="str">
        <x:v>ship</x:v>
      </x:c>
      <x:c r="E148"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48" s="35" t="str">
        <x:v>AUTHORITATIVE_REQUIREMENT_SCOPED</x:v>
      </x:c>
    </x:row>
    <x:row r="149">
      <x:c r="A149" s="38" t="str">
        <x:v>TRF-022</x:v>
      </x:c>
      <x:c r="B149" s="35" t="str">
        <x:v>ship</x:v>
      </x:c>
      <x:c r="C149" s="35" t="str">
        <x:v>coefficientC4</x:v>
      </x:c>
      <x:c r="D149" s="35" t="str">
        <x:v>ship</x:v>
      </x:c>
      <x:c r="E149"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49" s="35" t="str">
        <x:v>AUTHORITATIVE_REQUIREMENT_SCOPED</x:v>
      </x:c>
    </x:row>
    <x:row r="150">
      <x:c r="A150" s="38" t="str">
        <x:v>TRF-022</x:v>
      </x:c>
      <x:c r="B150" s="35" t="str">
        <x:v>ship</x:v>
      </x:c>
      <x:c r="C150" s="35" t="str">
        <x:v>coefficientC5</x:v>
      </x:c>
      <x:c r="D150" s="35" t="str">
        <x:v>ship</x:v>
      </x:c>
      <x:c r="E150"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50" s="35" t="str">
        <x:v>AUTHORITATIVE_REQUIREMENT_SCOPED</x:v>
      </x:c>
    </x:row>
    <x:row r="151">
      <x:c r="A151" s="38" t="str">
        <x:v>TRF-022</x:v>
      </x:c>
      <x:c r="B151" s="35" t="str">
        <x:v>ship</x:v>
      </x:c>
      <x:c r="C151" s="35" t="str">
        <x:v>coefficientF1</x:v>
      </x:c>
      <x:c r="D151" s="35" t="str">
        <x:v>ship</x:v>
      </x:c>
      <x:c r="E151"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51" s="35" t="str">
        <x:v>AUTHORITATIVE_REQUIREMENT_SCOPED</x:v>
      </x:c>
    </x:row>
    <x:row r="152">
      <x:c r="A152" s="38" t="str">
        <x:v>TRF-022</x:v>
      </x:c>
      <x:c r="B152" s="35" t="str">
        <x:v>ship</x:v>
      </x:c>
      <x:c r="C152" s="35" t="str">
        <x:v>coefficientF2</x:v>
      </x:c>
      <x:c r="D152" s="35" t="str">
        <x:v>ship</x:v>
      </x:c>
      <x:c r="E152"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52" s="35" t="str">
        <x:v>AUTHORITATIVE_REQUIREMENT_SCOPED</x:v>
      </x:c>
    </x:row>
    <x:row r="153">
      <x:c r="A153" s="38" t="str">
        <x:v>TRF-022</x:v>
      </x:c>
      <x:c r="B153" s="35" t="str">
        <x:v>ship</x:v>
      </x:c>
      <x:c r="C153" s="35" t="str">
        <x:v>coefficientF3</x:v>
      </x:c>
      <x:c r="D153" s="35" t="str">
        <x:v>ship</x:v>
      </x:c>
      <x:c r="E153"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53" s="35" t="str">
        <x:v>AUTHORITATIVE_REQUIREMENT_SCOPED</x:v>
      </x:c>
    </x:row>
    <x:row r="154">
      <x:c r="A154" s="38" t="str">
        <x:v>TRF-022</x:v>
      </x:c>
      <x:c r="B154" s="35" t="str">
        <x:v>ship</x:v>
      </x:c>
      <x:c r="C154" s="35" t="str">
        <x:v>coefficientF4</x:v>
      </x:c>
      <x:c r="D154" s="35" t="str">
        <x:v>ship</x:v>
      </x:c>
      <x:c r="E154"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54" s="35" t="str">
        <x:v>AUTHORITATIVE_REQUIREMENT_SCOPED</x:v>
      </x:c>
    </x:row>
    <x:row r="155">
      <x:c r="A155" s="38" t="str">
        <x:v>TRF-022</x:v>
      </x:c>
      <x:c r="B155" s="35" t="str">
        <x:v>ship</x:v>
      </x:c>
      <x:c r="C155" s="35" t="str">
        <x:v>coefficientG1</x:v>
      </x:c>
      <x:c r="D155" s="35" t="str">
        <x:v>ship</x:v>
      </x:c>
      <x:c r="E155"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55" s="35" t="str">
        <x:v>AUTHORITATIVE_REQUIREMENT_SCOPED</x:v>
      </x:c>
    </x:row>
    <x:row r="156">
      <x:c r="A156" s="38" t="str">
        <x:v>TRF-022</x:v>
      </x:c>
      <x:c r="B156" s="35" t="str">
        <x:v>ship</x:v>
      </x:c>
      <x:c r="C156" s="35" t="str">
        <x:v>coefficientG2</x:v>
      </x:c>
      <x:c r="D156" s="35" t="str">
        <x:v>ship</x:v>
      </x:c>
      <x:c r="E156"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56" s="35" t="str">
        <x:v>AUTHORITATIVE_REQUIREMENT_SCOPED</x:v>
      </x:c>
    </x:row>
    <x:row r="157">
      <x:c r="A157" s="38" t="str">
        <x:v>TRF-022</x:v>
      </x:c>
      <x:c r="B157" s="35" t="str">
        <x:v>ship</x:v>
      </x:c>
      <x:c r="C157" s="35" t="str">
        <x:v>coefficientG3</x:v>
      </x:c>
      <x:c r="D157" s="35" t="str">
        <x:v>ship</x:v>
      </x:c>
      <x:c r="E157"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57" s="35" t="str">
        <x:v>AUTHORITATIVE_REQUIREMENT_SCOPED</x:v>
      </x:c>
    </x:row>
    <x:row r="158">
      <x:c r="A158" s="38" t="str">
        <x:v>TRF-022</x:v>
      </x:c>
      <x:c r="B158" s="35" t="str">
        <x:v>ship</x:v>
      </x:c>
      <x:c r="C158" s="35" t="str">
        <x:v>flareAngle</x:v>
      </x:c>
      <x:c r="D158" s="35" t="str">
        <x:v>ship</x:v>
      </x:c>
      <x:c r="E158"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58" s="35" t="str">
        <x:v>AUTHORITATIVE_REQUIREMENT_SCOPED</x:v>
      </x:c>
    </x:row>
    <x:row r="159">
      <x:c r="A159" s="38" t="str">
        <x:v>TRF-022</x:v>
      </x:c>
      <x:c r="B159" s="35" t="str">
        <x:v>ship</x:v>
      </x:c>
      <x:c r="C159" s="35" t="str">
        <x:v>iceClassDraught</x:v>
      </x:c>
      <x:c r="D159" s="35" t="str">
        <x:v>ship</x:v>
      </x:c>
      <x:c r="E159"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59" s="35" t="str">
        <x:v>AUTHORITATIVE_REQUIREMENT_SCOPED</x:v>
      </x:c>
    </x:row>
    <x:row r="160">
      <x:c r="A160" s="38" t="str">
        <x:v>TRF-022</x:v>
      </x:c>
      <x:c r="B160" s="35" t="str">
        <x:v>ship</x:v>
      </x:c>
      <x:c r="C160" s="35" t="str">
        <x:v>kilogramPerSquareMetreSquareSecondUnit</x:v>
      </x:c>
      <x:c r="D160" s="35" t="str">
        <x:v>ship</x:v>
      </x:c>
      <x:c r="E160"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60" s="35" t="str">
        <x:v>AUTHORITATIVE_REQUIREMENT_SCOPED</x:v>
      </x:c>
    </x:row>
    <x:row r="161">
      <x:c r="A161" s="38" t="str">
        <x:v>TRF-022</x:v>
      </x:c>
      <x:c r="B161" s="35" t="str">
        <x:v>ship</x:v>
      </x:c>
      <x:c r="C161" s="35" t="str">
        <x:v>kilogramPerSquareSecondUnit</x:v>
      </x:c>
      <x:c r="D161" s="35" t="str">
        <x:v>ship</x:v>
      </x:c>
      <x:c r="E161"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61" s="35" t="str">
        <x:v>AUTHORITATIVE_REQUIREMENT_SCOPED</x:v>
      </x:c>
    </x:row>
    <x:row r="162">
      <x:c r="A162" s="38" t="str">
        <x:v>TRF-022</x:v>
      </x:c>
      <x:c r="B162" s="35" t="str">
        <x:v>ship</x:v>
      </x:c>
      <x:c r="C162" s="35" t="str">
        <x:v>newtonPerMetreToPowerOnePointFiveUnit</x:v>
      </x:c>
      <x:c r="D162" s="35" t="str">
        <x:v>ship</x:v>
      </x:c>
      <x:c r="E162"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62" s="35" t="str">
        <x:v>AUTHORITATIVE_REQUIREMENT_SCOPED</x:v>
      </x:c>
    </x:row>
    <x:row r="163">
      <x:c r="A163" s="38" t="str">
        <x:v>TRF-022</x:v>
      </x:c>
      <x:c r="B163" s="35" t="str">
        <x:v>ship</x:v>
      </x:c>
      <x:c r="C163" s="35" t="str">
        <x:v>shipBreadth</x:v>
      </x:c>
      <x:c r="D163" s="35" t="str">
        <x:v>ship</x:v>
      </x:c>
      <x:c r="E163"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63" s="35" t="str">
        <x:v>AUTHORITATIVE_REQUIREMENT_SCOPED</x:v>
      </x:c>
    </x:row>
    <x:row r="164">
      <x:c r="A164" s="38" t="str">
        <x:v>TRF-022</x:v>
      </x:c>
      <x:c r="B164" s="35" t="str">
        <x:v>ship</x:v>
      </x:c>
      <x:c r="C164" s="35" t="str">
        <x:v>shipLength</x:v>
      </x:c>
      <x:c r="D164" s="35" t="str">
        <x:v>ship</x:v>
      </x:c>
      <x:c r="E164"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64" s="35" t="str">
        <x:v>AUTHORITATIVE_REQUIREMENT_SCOPED</x:v>
      </x:c>
    </x:row>
    <x:row r="165">
      <x:c r="A165" s="38" t="str">
        <x:v>TRF-022</x:v>
      </x:c>
      <x:c r="B165" s="35" t="str">
        <x:v>ship</x:v>
      </x:c>
      <x:c r="C165" s="35" t="str">
        <x:v>waterlineAngleAtQuarterBreadth</x:v>
      </x:c>
      <x:c r="D165" s="35" t="str">
        <x:v>ship</x:v>
      </x:c>
      <x:c r="E165" s="35" t="str">
        <x:v>Use the supported XPath math-function IRIs math:sin, math:tan, and math:atan from http://www.w3.org/2005/xpath-functions/math# for psi = atan(tan(phi2)/sin(alpha)); include degree/radian conversion, singular-input rejection, and tolerance comparison. | Apply Table 3-2 constants and clamp ((L*T)/B^2)^3 to the inclusive interval [5,20].</x:v>
      </x:c>
      <x:c r="F165" s="35" t="str">
        <x:v>AUTHORITATIVE_REQUIREMENT_SCOPED</x:v>
      </x:c>
    </x:row>
    <x:row r="166">
      <x:c r="A166" s="38" t="str">
        <x:v>TRF-023</x:v>
      </x:c>
      <x:c r="B166" s="35" t="str">
        <x:v>ship</x:v>
      </x:c>
      <x:c r="C166" s="35" t="str">
        <x:v>applicableIceClassRegulationEdition</x:v>
      </x:c>
      <x:c r="D166" s="35" t="str">
        <x:v>ship</x:v>
      </x:c>
      <x:c r="E166" s="35" t="str"/>
      <x:c r="F166" s="35" t="str">
        <x:v>AUTHORITATIVE_REQUIREMENT_SCOPED</x:v>
      </x:c>
    </x:row>
    <x:row r="167">
      <x:c r="A167" s="38" t="str">
        <x:v>TRF-023</x:v>
      </x:c>
      <x:c r="B167" s="35" t="str">
        <x:v>ship</x:v>
      </x:c>
      <x:c r="C167" s="35" t="str">
        <x:v>iceClass</x:v>
      </x:c>
      <x:c r="D167" s="35" t="str">
        <x:v>ship</x:v>
      </x:c>
      <x:c r="E167" s="35" t="str"/>
      <x:c r="F167" s="35" t="str">
        <x:v>AUTHORITATIVE_REQUIREMENT_SCOPED</x:v>
      </x:c>
    </x:row>
    <x:row r="168">
      <x:c r="A168" s="38" t="str">
        <x:v>TRF-023</x:v>
      </x:c>
      <x:c r="B168" s="35" t="str">
        <x:v>ship</x:v>
      </x:c>
      <x:c r="C168" s="35" t="str">
        <x:v>iceClassRuleEdition1985</x:v>
      </x:c>
      <x:c r="D168" s="35" t="str">
        <x:v>ship</x:v>
      </x:c>
      <x:c r="E168" s="35" t="str"/>
      <x:c r="F168" s="35" t="str">
        <x:v>AUTHORITATIVE_REQUIREMENT_SCOPED</x:v>
      </x:c>
    </x:row>
    <x:row r="169">
      <x:c r="A169" s="38" t="str">
        <x:v>TRF-023</x:v>
      </x:c>
      <x:c r="B169" s="35" t="str">
        <x:v>ship</x:v>
      </x:c>
      <x:c r="C169" s="35" t="str">
        <x:v>maximumContinuousRatingPower</x:v>
      </x:c>
      <x:c r="D169" s="35" t="str">
        <x:v>ship</x:v>
      </x:c>
      <x:c r="E169" s="35" t="str"/>
      <x:c r="F169" s="35" t="str">
        <x:v>AUTHORITATIVE_REQUIREMENT_SCOPED</x:v>
      </x:c>
    </x:row>
    <x:row r="170">
      <x:c r="A170" s="38" t="str">
        <x:v>TRF-023</x:v>
      </x:c>
      <x:c r="B170" s="35" t="str">
        <x:v>ship</x:v>
      </x:c>
      <x:c r="C170" s="35" t="str">
        <x:v>requiredPowerUnder1985Rules</x:v>
      </x:c>
      <x:c r="D170" s="35" t="str">
        <x:v>ship</x:v>
      </x:c>
      <x:c r="E170" s="35" t="str"/>
      <x:c r="F170" s="35" t="str">
        <x:v>AUTHORITATIVE_REQUIREMENT_SCOPED</x:v>
      </x:c>
    </x:row>
    <x:row r="171">
      <x:c r="A171" s="38" t="str">
        <x:v>TRF-024</x:v>
      </x:c>
      <x:c r="B171" s="35" t="str">
        <x:v>ship</x:v>
      </x:c>
      <x:c r="C171" s="35" t="str">
        <x:v>assessmentDate</x:v>
      </x:c>
      <x:c r="D171" s="35" t="str">
        <x:v>ship</x:v>
      </x:c>
      <x:c r="E171" s="35" t="str"/>
      <x:c r="F171" s="35" t="str">
        <x:v>AUTHORITATIVE_REQUIREMENT_SCOPED</x:v>
      </x:c>
    </x:row>
    <x:row r="172">
      <x:c r="A172" s="38" t="str">
        <x:v>TRF-024</x:v>
      </x:c>
      <x:c r="B172" s="35" t="str">
        <x:v>ship</x:v>
      </x:c>
      <x:c r="C172" s="35" t="str">
        <x:v>constructionStageDate</x:v>
      </x:c>
      <x:c r="D172" s="35" t="str">
        <x:v>ship</x:v>
      </x:c>
      <x:c r="E172" s="35" t="str"/>
      <x:c r="F172" s="35" t="str">
        <x:v>AUTHORITATIVE_REQUIREMENT_SCOPED</x:v>
      </x:c>
    </x:row>
    <x:row r="173">
      <x:c r="A173" s="38" t="str">
        <x:v>TRF-024</x:v>
      </x:c>
      <x:c r="B173" s="35" t="str">
        <x:v>ship</x:v>
      </x:c>
      <x:c r="C173" s="35" t="str">
        <x:v>deliveryDate</x:v>
      </x:c>
      <x:c r="D173" s="35" t="str">
        <x:v>ship</x:v>
      </x:c>
      <x:c r="E173" s="35" t="str"/>
      <x:c r="F173" s="35" t="str">
        <x:v>AUTHORITATIVE_REQUIREMENT_SCOPED</x:v>
      </x:c>
    </x:row>
    <x:row r="174">
      <x:c r="A174" s="38" t="str">
        <x:v>TRF-024</x:v>
      </x:c>
      <x:c r="B174" s="35" t="str">
        <x:v>ship</x:v>
      </x:c>
      <x:c r="C174" s="35" t="str">
        <x:v>engineOutputComplianceMethod</x:v>
      </x:c>
      <x:c r="D174" s="35" t="str">
        <x:v>ship</x:v>
      </x:c>
      <x:c r="E174" s="35" t="str"/>
      <x:c r="F174" s="35" t="str">
        <x:v>AUTHORITATIVE_REQUIREMENT_SCOPED</x:v>
      </x:c>
    </x:row>
    <x:row r="175">
      <x:c r="A175" s="38" t="str">
        <x:v>TRF-024</x:v>
      </x:c>
      <x:c r="B175" s="35" t="str">
        <x:v>ship</x:v>
      </x:c>
      <x:c r="C175" s="35" t="str">
        <x:v>iceClass</x:v>
      </x:c>
      <x:c r="D175" s="35" t="str">
        <x:v>ship</x:v>
      </x:c>
      <x:c r="E175" s="35" t="str"/>
      <x:c r="F175" s="35" t="str">
        <x:v>AUTHORITATIVE_REQUIREMENT_SCOPED</x:v>
      </x:c>
    </x:row>
    <x:row r="176">
      <x:c r="A176" s="38" t="str">
        <x:v>TRF-024</x:v>
      </x:c>
      <x:c r="B176" s="35" t="str">
        <x:v>ship</x:v>
      </x:c>
      <x:c r="C176" s="35" t="str">
        <x:v>traficom2017Section3Point2Point2Method</x:v>
      </x:c>
      <x:c r="D176" s="35" t="str">
        <x:v>ship</x:v>
      </x:c>
      <x:c r="E176" s="35" t="str"/>
      <x:c r="F176" s="35" t="str">
        <x:v>AUTHORITATIVE_REQUIREMENT_SCOPED</x:v>
      </x:c>
    </x:row>
    <x:row r="177">
      <x:c r="A177" s="38" t="str">
        <x:v>TRF-024</x:v>
      </x:c>
      <x:c r="B177" s="35" t="str">
        <x:v>ship</x:v>
      </x:c>
      <x:c r="C177" s="35" t="str">
        <x:v>traficom2017Section3Point2Point4Method</x:v>
      </x:c>
      <x:c r="D177" s="35" t="str">
        <x:v>ship</x:v>
      </x:c>
      <x:c r="E177" s="35" t="str"/>
      <x:c r="F177" s="35" t="str">
        <x:v>AUTHORITATIVE_REQUIREMENT_SCOPED</x:v>
      </x:c>
    </x:row>
    <x:row r="178">
      <x:c r="A178" s="38" t="str">
        <x:v>TRF-025</x:v>
      </x:c>
      <x:c r="B178" s="35" t="str">
        <x:v>ship</x:v>
      </x:c>
      <x:c r="C178" s="35" t="str">
        <x:v>brashIceResistanceCoefficientC1</x:v>
      </x:c>
      <x:c r="D178" s="35" t="str">
        <x:v>ship</x:v>
      </x:c>
      <x:c r="E178"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78" s="35" t="str">
        <x:v>AUTHORITATIVE_REQUIREMENT_SCOPED</x:v>
      </x:c>
    </x:row>
    <x:row r="179">
      <x:c r="A179" s="38" t="str">
        <x:v>TRF-025</x:v>
      </x:c>
      <x:c r="B179" s="35" t="str">
        <x:v>ship</x:v>
      </x:c>
      <x:c r="C179" s="35" t="str">
        <x:v>brashIceResistanceCoefficientC2</x:v>
      </x:c>
      <x:c r="D179" s="35" t="str">
        <x:v>ship</x:v>
      </x:c>
      <x:c r="E179"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79" s="35" t="str">
        <x:v>AUTHORITATIVE_REQUIREMENT_SCOPED</x:v>
      </x:c>
    </x:row>
    <x:row r="180">
      <x:c r="A180" s="38" t="str">
        <x:v>TRF-025</x:v>
      </x:c>
      <x:c r="B180" s="35" t="str">
        <x:v>ship</x:v>
      </x:c>
      <x:c r="C180" s="35" t="str">
        <x:v>bulbousBowPresent</x:v>
      </x:c>
      <x:c r="D180" s="35" t="str">
        <x:v>ship</x:v>
      </x:c>
      <x:c r="E180"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80" s="35" t="str">
        <x:v>AUTHORITATIVE_REQUIREMENT_SCOPED</x:v>
      </x:c>
    </x:row>
    <x:row r="181">
      <x:c r="A181" s="38" t="str">
        <x:v>TRF-025</x:v>
      </x:c>
      <x:c r="B181" s="35" t="str">
        <x:v>ship</x:v>
      </x:c>
      <x:c r="C181" s="35" t="str">
        <x:v>coefficientF1</x:v>
      </x:c>
      <x:c r="D181" s="35" t="str">
        <x:v>ship</x:v>
      </x:c>
      <x:c r="E181"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81" s="35" t="str">
        <x:v>AUTHORITATIVE_REQUIREMENT_SCOPED</x:v>
      </x:c>
    </x:row>
    <x:row r="182">
      <x:c r="A182" s="38" t="str">
        <x:v>TRF-025</x:v>
      </x:c>
      <x:c r="B182" s="35" t="str">
        <x:v>ship</x:v>
      </x:c>
      <x:c r="C182" s="35" t="str">
        <x:v>coefficientF2</x:v>
      </x:c>
      <x:c r="D182" s="35" t="str">
        <x:v>ship</x:v>
      </x:c>
      <x:c r="E182"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82" s="35" t="str">
        <x:v>AUTHORITATIVE_REQUIREMENT_SCOPED</x:v>
      </x:c>
    </x:row>
    <x:row r="183">
      <x:c r="A183" s="38" t="str">
        <x:v>TRF-025</x:v>
      </x:c>
      <x:c r="B183" s="35" t="str">
        <x:v>ship</x:v>
      </x:c>
      <x:c r="C183" s="35" t="str">
        <x:v>coefficientF3</x:v>
      </x:c>
      <x:c r="D183" s="35" t="str">
        <x:v>ship</x:v>
      </x:c>
      <x:c r="E183"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83" s="35" t="str">
        <x:v>AUTHORITATIVE_REQUIREMENT_SCOPED</x:v>
      </x:c>
    </x:row>
    <x:row r="184">
      <x:c r="A184" s="38" t="str">
        <x:v>TRF-025</x:v>
      </x:c>
      <x:c r="B184" s="35" t="str">
        <x:v>ship</x:v>
      </x:c>
      <x:c r="C184" s="35" t="str">
        <x:v>coefficientF4</x:v>
      </x:c>
      <x:c r="D184" s="35" t="str">
        <x:v>ship</x:v>
      </x:c>
      <x:c r="E184"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84" s="35" t="str">
        <x:v>AUTHORITATIVE_REQUIREMENT_SCOPED</x:v>
      </x:c>
    </x:row>
    <x:row r="185">
      <x:c r="A185" s="38" t="str">
        <x:v>TRF-025</x:v>
      </x:c>
      <x:c r="B185" s="35" t="str">
        <x:v>ship</x:v>
      </x:c>
      <x:c r="C185" s="35" t="str">
        <x:v>coefficientG1</x:v>
      </x:c>
      <x:c r="D185" s="35" t="str">
        <x:v>ship</x:v>
      </x:c>
      <x:c r="E185"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85" s="35" t="str">
        <x:v>AUTHORITATIVE_REQUIREMENT_SCOPED</x:v>
      </x:c>
    </x:row>
    <x:row r="186">
      <x:c r="A186" s="38" t="str">
        <x:v>TRF-025</x:v>
      </x:c>
      <x:c r="B186" s="35" t="str">
        <x:v>ship</x:v>
      </x:c>
      <x:c r="C186" s="35" t="str">
        <x:v>coefficientG2</x:v>
      </x:c>
      <x:c r="D186" s="35" t="str">
        <x:v>ship</x:v>
      </x:c>
      <x:c r="E186"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86" s="35" t="str">
        <x:v>AUTHORITATIVE_REQUIREMENT_SCOPED</x:v>
      </x:c>
    </x:row>
    <x:row r="187">
      <x:c r="A187" s="38" t="str">
        <x:v>TRF-025</x:v>
      </x:c>
      <x:c r="B187" s="35" t="str">
        <x:v>ship</x:v>
      </x:c>
      <x:c r="C187" s="35" t="str">
        <x:v>coefficientG3</x:v>
      </x:c>
      <x:c r="D187" s="35" t="str">
        <x:v>ship</x:v>
      </x:c>
      <x:c r="E187"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87" s="35" t="str">
        <x:v>AUTHORITATIVE_REQUIREMENT_SCOPED</x:v>
      </x:c>
    </x:row>
    <x:row r="188">
      <x:c r="A188" s="38" t="str">
        <x:v>TRF-025</x:v>
      </x:c>
      <x:c r="B188" s="35" t="str">
        <x:v>ship</x:v>
      </x:c>
      <x:c r="C188" s="35" t="str">
        <x:v>iceClass</x:v>
      </x:c>
      <x:c r="D188" s="35" t="str">
        <x:v>ship</x:v>
      </x:c>
      <x:c r="E188"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88" s="35" t="str">
        <x:v>AUTHORITATIVE_REQUIREMENT_SCOPED</x:v>
      </x:c>
    </x:row>
    <x:row r="189">
      <x:c r="A189" s="38" t="str">
        <x:v>TRF-025</x:v>
      </x:c>
      <x:c r="B189" s="35" t="str">
        <x:v>ship</x:v>
      </x:c>
      <x:c r="C189" s="35" t="str">
        <x:v>iceClassDraught</x:v>
      </x:c>
      <x:c r="D189" s="35" t="str">
        <x:v>ship</x:v>
      </x:c>
      <x:c r="E189"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89" s="35" t="str">
        <x:v>AUTHORITATIVE_REQUIREMENT_SCOPED</x:v>
      </x:c>
    </x:row>
    <x:row r="190">
      <x:c r="A190" s="38" t="str">
        <x:v>TRF-025</x:v>
      </x:c>
      <x:c r="B190" s="35" t="str">
        <x:v>ship</x:v>
      </x:c>
      <x:c r="C190" s="35" t="str">
        <x:v>newtonPerMetreToPowerOnePointFiveUnit</x:v>
      </x:c>
      <x:c r="D190" s="35" t="str">
        <x:v>ship</x:v>
      </x:c>
      <x:c r="E190"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90" s="35" t="str">
        <x:v>AUTHORITATIVE_REQUIREMENT_SCOPED</x:v>
      </x:c>
    </x:row>
    <x:row r="191">
      <x:c r="A191" s="38" t="str">
        <x:v>TRF-025</x:v>
      </x:c>
      <x:c r="B191" s="35" t="str">
        <x:v>ship</x:v>
      </x:c>
      <x:c r="C191" s="35" t="str">
        <x:v>shipBreadth</x:v>
      </x:c>
      <x:c r="D191" s="35" t="str">
        <x:v>ship</x:v>
      </x:c>
      <x:c r="E191"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91" s="35" t="str">
        <x:v>AUTHORITATIVE_REQUIREMENT_SCOPED</x:v>
      </x:c>
    </x:row>
    <x:row r="192">
      <x:c r="A192" s="38" t="str">
        <x:v>TRF-025</x:v>
      </x:c>
      <x:c r="B192" s="35" t="str">
        <x:v>ship</x:v>
      </x:c>
      <x:c r="C192" s="35" t="str">
        <x:v>shipLength</x:v>
      </x:c>
      <x:c r="D192" s="35" t="str">
        <x:v>ship</x:v>
      </x:c>
      <x:c r="E192" s="35" t="str">
        <x:v>Apply only to IA Super ships with bulbousBowPresent=false; require exactly one controlled iceClass and one boolean bulbousBowPresent before branch selection. | Validate C1 and C2 in their original value domains with numerical tolerance and reject non-positive L, B, or T operands.</x:v>
      </x:c>
      <x:c r="F192" s="35" t="str">
        <x:v>AUTHORITATIVE_REQUIREMENT_SCOPED</x:v>
      </x:c>
    </x:row>
    <x:row r="193">
      <x:c r="A193" s="38" t="str">
        <x:v>TRF-026</x:v>
      </x:c>
      <x:c r="B193" s="35" t="str">
        <x:v>ship</x:v>
      </x:c>
      <x:c r="C193" s="35" t="str">
        <x:v>brashIceResistanceCoefficientC1</x:v>
      </x:c>
      <x:c r="D193" s="35" t="str">
        <x:v>ship</x:v>
      </x:c>
      <x:c r="E193" s="35" t="str">
        <x:v>Require exactly one controlled iceClass first. Non-IA-Super ships are non-applicable without bulb data; IA Super requires exactly one bulbousBowPresent value, false is non-applicable, and true activates the C1/C2 formula checks.</x:v>
      </x:c>
      <x:c r="F193" s="35" t="str">
        <x:v>AUTHORITATIVE_REQUIREMENT_SCOPED</x:v>
      </x:c>
    </x:row>
    <x:row r="194">
      <x:c r="A194" s="38" t="str">
        <x:v>TRF-026</x:v>
      </x:c>
      <x:c r="B194" s="35" t="str">
        <x:v>ship</x:v>
      </x:c>
      <x:c r="C194" s="35" t="str">
        <x:v>brashIceResistanceCoefficientC2</x:v>
      </x:c>
      <x:c r="D194" s="35" t="str">
        <x:v>ship</x:v>
      </x:c>
      <x:c r="E194" s="35" t="str">
        <x:v>Require exactly one controlled iceClass first. Non-IA-Super ships are non-applicable without bulb data; IA Super requires exactly one bulbousBowPresent value, false is non-applicable, and true activates the C1/C2 formula checks.</x:v>
      </x:c>
      <x:c r="F194" s="35" t="str">
        <x:v>AUTHORITATIVE_REQUIREMENT_SCOPED</x:v>
      </x:c>
    </x:row>
    <x:row r="195">
      <x:c r="A195" s="38" t="str">
        <x:v>TRF-026</x:v>
      </x:c>
      <x:c r="B195" s="35" t="str">
        <x:v>ship</x:v>
      </x:c>
      <x:c r="C195" s="35" t="str">
        <x:v>bulbousBowPresent</x:v>
      </x:c>
      <x:c r="D195" s="35" t="str">
        <x:v>ship</x:v>
      </x:c>
      <x:c r="E195" s="35" t="str">
        <x:v>Require exactly one controlled iceClass first. Non-IA-Super ships are non-applicable without bulb data; IA Super requires exactly one bulbousBowPresent value, false is non-applicable, and true activates the C1/C2 formula checks.</x:v>
      </x:c>
      <x:c r="F195" s="35" t="str">
        <x:v>AUTHORITATIVE_REQUIREMENT_SCOPED</x:v>
      </x:c>
    </x:row>
    <x:row r="196">
      <x:c r="A196" s="38" t="str">
        <x:v>TRF-026</x:v>
      </x:c>
      <x:c r="B196" s="35" t="str">
        <x:v>ship</x:v>
      </x:c>
      <x:c r="C196" s="35" t="str">
        <x:v>coefficientF1</x:v>
      </x:c>
      <x:c r="D196" s="35" t="str">
        <x:v>ship</x:v>
      </x:c>
      <x:c r="E196" s="35" t="str">
        <x:v>Require exactly one controlled iceClass first. Non-IA-Super ships are non-applicable without bulb data; IA Super requires exactly one bulbousBowPresent value, false is non-applicable, and true activates the C1/C2 formula checks.</x:v>
      </x:c>
      <x:c r="F196" s="35" t="str">
        <x:v>AUTHORITATIVE_REQUIREMENT_SCOPED</x:v>
      </x:c>
    </x:row>
    <x:row r="197">
      <x:c r="A197" s="38" t="str">
        <x:v>TRF-026</x:v>
      </x:c>
      <x:c r="B197" s="35" t="str">
        <x:v>ship</x:v>
      </x:c>
      <x:c r="C197" s="35" t="str">
        <x:v>coefficientF2</x:v>
      </x:c>
      <x:c r="D197" s="35" t="str">
        <x:v>ship</x:v>
      </x:c>
      <x:c r="E197" s="35" t="str">
        <x:v>Require exactly one controlled iceClass first. Non-IA-Super ships are non-applicable without bulb data; IA Super requires exactly one bulbousBowPresent value, false is non-applicable, and true activates the C1/C2 formula checks.</x:v>
      </x:c>
      <x:c r="F197" s="35" t="str">
        <x:v>AUTHORITATIVE_REQUIREMENT_SCOPED</x:v>
      </x:c>
    </x:row>
    <x:row r="198">
      <x:c r="A198" s="38" t="str">
        <x:v>TRF-026</x:v>
      </x:c>
      <x:c r="B198" s="35" t="str">
        <x:v>ship</x:v>
      </x:c>
      <x:c r="C198" s="35" t="str">
        <x:v>coefficientF3</x:v>
      </x:c>
      <x:c r="D198" s="35" t="str">
        <x:v>ship</x:v>
      </x:c>
      <x:c r="E198" s="35" t="str">
        <x:v>Require exactly one controlled iceClass first. Non-IA-Super ships are non-applicable without bulb data; IA Super requires exactly one bulbousBowPresent value, false is non-applicable, and true activates the C1/C2 formula checks.</x:v>
      </x:c>
      <x:c r="F198" s="35" t="str">
        <x:v>AUTHORITATIVE_REQUIREMENT_SCOPED</x:v>
      </x:c>
    </x:row>
    <x:row r="199">
      <x:c r="A199" s="38" t="str">
        <x:v>TRF-026</x:v>
      </x:c>
      <x:c r="B199" s="35" t="str">
        <x:v>ship</x:v>
      </x:c>
      <x:c r="C199" s="35" t="str">
        <x:v>coefficientF4</x:v>
      </x:c>
      <x:c r="D199" s="35" t="str">
        <x:v>ship</x:v>
      </x:c>
      <x:c r="E199" s="35" t="str">
        <x:v>Require exactly one controlled iceClass first. Non-IA-Super ships are non-applicable without bulb data; IA Super requires exactly one bulbousBowPresent value, false is non-applicable, and true activates the C1/C2 formula checks.</x:v>
      </x:c>
      <x:c r="F199" s="35" t="str">
        <x:v>AUTHORITATIVE_REQUIREMENT_SCOPED</x:v>
      </x:c>
    </x:row>
    <x:row r="200">
      <x:c r="A200" s="38" t="str">
        <x:v>TRF-026</x:v>
      </x:c>
      <x:c r="B200" s="35" t="str">
        <x:v>ship</x:v>
      </x:c>
      <x:c r="C200" s="35" t="str">
        <x:v>coefficientG1</x:v>
      </x:c>
      <x:c r="D200" s="35" t="str">
        <x:v>ship</x:v>
      </x:c>
      <x:c r="E200" s="35" t="str">
        <x:v>Require exactly one controlled iceClass first. Non-IA-Super ships are non-applicable without bulb data; IA Super requires exactly one bulbousBowPresent value, false is non-applicable, and true activates the C1/C2 formula checks.</x:v>
      </x:c>
      <x:c r="F200" s="35" t="str">
        <x:v>AUTHORITATIVE_REQUIREMENT_SCOPED</x:v>
      </x:c>
    </x:row>
    <x:row r="201">
      <x:c r="A201" s="38" t="str">
        <x:v>TRF-026</x:v>
      </x:c>
      <x:c r="B201" s="35" t="str">
        <x:v>ship</x:v>
      </x:c>
      <x:c r="C201" s="35" t="str">
        <x:v>coefficientG2</x:v>
      </x:c>
      <x:c r="D201" s="35" t="str">
        <x:v>ship</x:v>
      </x:c>
      <x:c r="E201" s="35" t="str">
        <x:v>Require exactly one controlled iceClass first. Non-IA-Super ships are non-applicable without bulb data; IA Super requires exactly one bulbousBowPresent value, false is non-applicable, and true activates the C1/C2 formula checks.</x:v>
      </x:c>
      <x:c r="F201" s="35" t="str">
        <x:v>AUTHORITATIVE_REQUIREMENT_SCOPED</x:v>
      </x:c>
    </x:row>
    <x:row r="202">
      <x:c r="A202" s="38" t="str">
        <x:v>TRF-026</x:v>
      </x:c>
      <x:c r="B202" s="35" t="str">
        <x:v>ship</x:v>
      </x:c>
      <x:c r="C202" s="35" t="str">
        <x:v>coefficientG3</x:v>
      </x:c>
      <x:c r="D202" s="35" t="str">
        <x:v>ship</x:v>
      </x:c>
      <x:c r="E202" s="35" t="str">
        <x:v>Require exactly one controlled iceClass first. Non-IA-Super ships are non-applicable without bulb data; IA Super requires exactly one bulbousBowPresent value, false is non-applicable, and true activates the C1/C2 formula checks.</x:v>
      </x:c>
      <x:c r="F202" s="35" t="str">
        <x:v>AUTHORITATIVE_REQUIREMENT_SCOPED</x:v>
      </x:c>
    </x:row>
    <x:row r="203">
      <x:c r="A203" s="38" t="str">
        <x:v>TRF-026</x:v>
      </x:c>
      <x:c r="B203" s="35" t="str">
        <x:v>ship</x:v>
      </x:c>
      <x:c r="C203" s="35" t="str">
        <x:v>iceClass</x:v>
      </x:c>
      <x:c r="D203" s="35" t="str">
        <x:v>ship</x:v>
      </x:c>
      <x:c r="E203" s="35" t="str">
        <x:v>Require exactly one controlled iceClass first. Non-IA-Super ships are non-applicable without bulb data; IA Super requires exactly one bulbousBowPresent value, false is non-applicable, and true activates the C1/C2 formula checks.</x:v>
      </x:c>
      <x:c r="F203" s="35" t="str">
        <x:v>AUTHORITATIVE_REQUIREMENT_SCOPED</x:v>
      </x:c>
    </x:row>
    <x:row r="204">
      <x:c r="A204" s="38" t="str">
        <x:v>TRF-026</x:v>
      </x:c>
      <x:c r="B204" s="35" t="str">
        <x:v>ship</x:v>
      </x:c>
      <x:c r="C204" s="35" t="str">
        <x:v>iceClassDraught</x:v>
      </x:c>
      <x:c r="D204" s="35" t="str">
        <x:v>ship</x:v>
      </x:c>
      <x:c r="E204" s="35" t="str">
        <x:v>Require exactly one controlled iceClass first. Non-IA-Super ships are non-applicable without bulb data; IA Super requires exactly one bulbousBowPresent value, false is non-applicable, and true activates the C1/C2 formula checks.</x:v>
      </x:c>
      <x:c r="F204" s="35" t="str">
        <x:v>AUTHORITATIVE_REQUIREMENT_SCOPED</x:v>
      </x:c>
    </x:row>
    <x:row r="205">
      <x:c r="A205" s="38" t="str">
        <x:v>TRF-026</x:v>
      </x:c>
      <x:c r="B205" s="35" t="str">
        <x:v>ship</x:v>
      </x:c>
      <x:c r="C205" s="35" t="str">
        <x:v>shipBreadth</x:v>
      </x:c>
      <x:c r="D205" s="35" t="str">
        <x:v>ship</x:v>
      </x:c>
      <x:c r="E205" s="35" t="str">
        <x:v>Require exactly one controlled iceClass first. Non-IA-Super ships are non-applicable without bulb data; IA Super requires exactly one bulbousBowPresent value, false is non-applicable, and true activates the C1/C2 formula checks.</x:v>
      </x:c>
      <x:c r="F205" s="35" t="str">
        <x:v>AUTHORITATIVE_REQUIREMENT_SCOPED</x:v>
      </x:c>
    </x:row>
    <x:row r="206">
      <x:c r="A206" s="38" t="str">
        <x:v>TRF-026</x:v>
      </x:c>
      <x:c r="B206" s="35" t="str">
        <x:v>ship</x:v>
      </x:c>
      <x:c r="C206" s="35" t="str">
        <x:v>shipLength</x:v>
      </x:c>
      <x:c r="D206" s="35" t="str">
        <x:v>ship</x:v>
      </x:c>
      <x:c r="E206" s="35" t="str">
        <x:v>Require exactly one controlled iceClass first. Non-IA-Super ships are non-applicable without bulb data; IA Super requires exactly one bulbousBowPresent value, false is non-applicable, and true activates the C1/C2 formula checks.</x:v>
      </x:c>
      <x:c r="F206" s="35" t="str">
        <x:v>AUTHORITATIVE_REQUIREMENT_SCOPED</x:v>
      </x:c>
    </x:row>
    <x:row r="207">
      <x:c r="A207" s="38" t="str">
        <x:v>TRF-027</x:v>
      </x:c>
      <x:c r="B207" s="35" t="str">
        <x:v>ship</x:v>
      </x:c>
      <x:c r="C207" s="35" t="str">
        <x:v>clampedHullGeometryTerm</x:v>
      </x:c>
      <x:c r="D207" s="35" t="str">
        <x:v>ship</x:v>
      </x:c>
      <x:c r="E207" s="35" t="str">
        <x:v>Require exactly one controlled iceClass before applicability branching; apply the Table 3-3 and clamped-geometry rules only to IA Super or IA ships with constructionStageDate before 1 September 2003.</x:v>
      </x:c>
      <x:c r="F207" s="35" t="str">
        <x:v>AUTHORITATIVE_REQUIREMENT_SCOPED</x:v>
      </x:c>
    </x:row>
    <x:row r="208">
      <x:c r="A208" s="38" t="str">
        <x:v>TRF-027</x:v>
      </x:c>
      <x:c r="B208" s="35" t="str">
        <x:v>ship</x:v>
      </x:c>
      <x:c r="C208" s="35" t="str">
        <x:v>coefficientC3</x:v>
      </x:c>
      <x:c r="D208" s="35" t="str">
        <x:v>ship</x:v>
      </x:c>
      <x:c r="E208" s="35" t="str">
        <x:v>Require exactly one controlled iceClass before applicability branching; apply the Table 3-3 and clamped-geometry rules only to IA Super or IA ships with constructionStageDate before 1 September 2003.</x:v>
      </x:c>
      <x:c r="F208" s="35" t="str">
        <x:v>AUTHORITATIVE_REQUIREMENT_SCOPED</x:v>
      </x:c>
    </x:row>
    <x:row r="209">
      <x:c r="A209" s="38" t="str">
        <x:v>TRF-027</x:v>
      </x:c>
      <x:c r="B209" s="35" t="str">
        <x:v>ship</x:v>
      </x:c>
      <x:c r="C209" s="35" t="str">
        <x:v>coefficientC4</x:v>
      </x:c>
      <x:c r="D209" s="35" t="str">
        <x:v>ship</x:v>
      </x:c>
      <x:c r="E209" s="35" t="str">
        <x:v>Require exactly one controlled iceClass before applicability branching; apply the Table 3-3 and clamped-geometry rules only to IA Super or IA ships with constructionStageDate before 1 September 2003.</x:v>
      </x:c>
      <x:c r="F209" s="35" t="str">
        <x:v>AUTHORITATIVE_REQUIREMENT_SCOPED</x:v>
      </x:c>
    </x:row>
    <x:row r="210">
      <x:c r="A210" s="38" t="str">
        <x:v>TRF-027</x:v>
      </x:c>
      <x:c r="B210" s="35" t="str">
        <x:v>ship</x:v>
      </x:c>
      <x:c r="C210" s="35" t="str">
        <x:v>coefficientC5</x:v>
      </x:c>
      <x:c r="D210" s="35" t="str">
        <x:v>ship</x:v>
      </x:c>
      <x:c r="E210" s="35" t="str">
        <x:v>Require exactly one controlled iceClass before applicability branching; apply the Table 3-3 and clamped-geometry rules only to IA Super or IA ships with constructionStageDate before 1 September 2003.</x:v>
      </x:c>
      <x:c r="F210" s="35" t="str">
        <x:v>AUTHORITATIVE_REQUIREMENT_SCOPED</x:v>
      </x:c>
    </x:row>
    <x:row r="211">
      <x:c r="A211" s="38" t="str">
        <x:v>TRF-027</x:v>
      </x:c>
      <x:c r="B211" s="35" t="str">
        <x:v>ship</x:v>
      </x:c>
      <x:c r="C211" s="35" t="str">
        <x:v>coefficientF1</x:v>
      </x:c>
      <x:c r="D211" s="35" t="str">
        <x:v>ship</x:v>
      </x:c>
      <x:c r="E211" s="35" t="str">
        <x:v>Require exactly one controlled iceClass before applicability branching; apply the Table 3-3 and clamped-geometry rules only to IA Super or IA ships with constructionStageDate before 1 September 2003.</x:v>
      </x:c>
      <x:c r="F211" s="35" t="str">
        <x:v>AUTHORITATIVE_REQUIREMENT_SCOPED</x:v>
      </x:c>
    </x:row>
    <x:row r="212">
      <x:c r="A212" s="38" t="str">
        <x:v>TRF-027</x:v>
      </x:c>
      <x:c r="B212" s="35" t="str">
        <x:v>ship</x:v>
      </x:c>
      <x:c r="C212" s="35" t="str">
        <x:v>coefficientF2</x:v>
      </x:c>
      <x:c r="D212" s="35" t="str">
        <x:v>ship</x:v>
      </x:c>
      <x:c r="E212" s="35" t="str">
        <x:v>Require exactly one controlled iceClass before applicability branching; apply the Table 3-3 and clamped-geometry rules only to IA Super or IA ships with constructionStageDate before 1 September 2003.</x:v>
      </x:c>
      <x:c r="F212" s="35" t="str">
        <x:v>AUTHORITATIVE_REQUIREMENT_SCOPED</x:v>
      </x:c>
    </x:row>
    <x:row r="213">
      <x:c r="A213" s="38" t="str">
        <x:v>TRF-027</x:v>
      </x:c>
      <x:c r="B213" s="35" t="str">
        <x:v>ship</x:v>
      </x:c>
      <x:c r="C213" s="35" t="str">
        <x:v>coefficientF3</x:v>
      </x:c>
      <x:c r="D213" s="35" t="str">
        <x:v>ship</x:v>
      </x:c>
      <x:c r="E213" s="35" t="str">
        <x:v>Require exactly one controlled iceClass before applicability branching; apply the Table 3-3 and clamped-geometry rules only to IA Super or IA ships with constructionStageDate before 1 September 2003.</x:v>
      </x:c>
      <x:c r="F213" s="35" t="str">
        <x:v>AUTHORITATIVE_REQUIREMENT_SCOPED</x:v>
      </x:c>
    </x:row>
    <x:row r="214">
      <x:c r="A214" s="38" t="str">
        <x:v>TRF-027</x:v>
      </x:c>
      <x:c r="B214" s="35" t="str">
        <x:v>ship</x:v>
      </x:c>
      <x:c r="C214" s="35" t="str">
        <x:v>coefficientF4</x:v>
      </x:c>
      <x:c r="D214" s="35" t="str">
        <x:v>ship</x:v>
      </x:c>
      <x:c r="E214" s="35" t="str">
        <x:v>Require exactly one controlled iceClass before applicability branching; apply the Table 3-3 and clamped-geometry rules only to IA Super or IA ships with constructionStageDate before 1 September 2003.</x:v>
      </x:c>
      <x:c r="F214" s="35" t="str">
        <x:v>AUTHORITATIVE_REQUIREMENT_SCOPED</x:v>
      </x:c>
    </x:row>
    <x:row r="215">
      <x:c r="A215" s="38" t="str">
        <x:v>TRF-027</x:v>
      </x:c>
      <x:c r="B215" s="35" t="str">
        <x:v>ship</x:v>
      </x:c>
      <x:c r="C215" s="35" t="str">
        <x:v>coefficientG1</x:v>
      </x:c>
      <x:c r="D215" s="35" t="str">
        <x:v>ship</x:v>
      </x:c>
      <x:c r="E215" s="35" t="str">
        <x:v>Require exactly one controlled iceClass before applicability branching; apply the Table 3-3 and clamped-geometry rules only to IA Super or IA ships with constructionStageDate before 1 September 2003.</x:v>
      </x:c>
      <x:c r="F215" s="35" t="str">
        <x:v>AUTHORITATIVE_REQUIREMENT_SCOPED</x:v>
      </x:c>
    </x:row>
    <x:row r="216">
      <x:c r="A216" s="38" t="str">
        <x:v>TRF-027</x:v>
      </x:c>
      <x:c r="B216" s="35" t="str">
        <x:v>ship</x:v>
      </x:c>
      <x:c r="C216" s="35" t="str">
        <x:v>coefficientG2</x:v>
      </x:c>
      <x:c r="D216" s="35" t="str">
        <x:v>ship</x:v>
      </x:c>
      <x:c r="E216" s="35" t="str">
        <x:v>Require exactly one controlled iceClass before applicability branching; apply the Table 3-3 and clamped-geometry rules only to IA Super or IA ships with constructionStageDate before 1 September 2003.</x:v>
      </x:c>
      <x:c r="F216" s="35" t="str">
        <x:v>AUTHORITATIVE_REQUIREMENT_SCOPED</x:v>
      </x:c>
    </x:row>
    <x:row r="217">
      <x:c r="A217" s="38" t="str">
        <x:v>TRF-027</x:v>
      </x:c>
      <x:c r="B217" s="35" t="str">
        <x:v>ship</x:v>
      </x:c>
      <x:c r="C217" s="35" t="str">
        <x:v>coefficientG3</x:v>
      </x:c>
      <x:c r="D217" s="35" t="str">
        <x:v>ship</x:v>
      </x:c>
      <x:c r="E217" s="35" t="str">
        <x:v>Require exactly one controlled iceClass before applicability branching; apply the Table 3-3 and clamped-geometry rules only to IA Super or IA ships with constructionStageDate before 1 September 2003.</x:v>
      </x:c>
      <x:c r="F217" s="35" t="str">
        <x:v>AUTHORITATIVE_REQUIREMENT_SCOPED</x:v>
      </x:c>
    </x:row>
    <x:row r="218">
      <x:c r="A218" s="38" t="str">
        <x:v>TRF-027</x:v>
      </x:c>
      <x:c r="B218" s="35" t="str">
        <x:v>ship</x:v>
      </x:c>
      <x:c r="C218" s="35" t="str">
        <x:v>constructionStageDate</x:v>
      </x:c>
      <x:c r="D218" s="35" t="str">
        <x:v>ship</x:v>
      </x:c>
      <x:c r="E218" s="35" t="str">
        <x:v>Require exactly one controlled iceClass before applicability branching; apply the Table 3-3 and clamped-geometry rules only to IA Super or IA ships with constructionStageDate before 1 September 2003.</x:v>
      </x:c>
      <x:c r="F218" s="35" t="str">
        <x:v>AUTHORITATIVE_REQUIREMENT_SCOPED</x:v>
      </x:c>
    </x:row>
    <x:row r="219">
      <x:c r="A219" s="38" t="str">
        <x:v>TRF-027</x:v>
      </x:c>
      <x:c r="B219" s="35" t="str">
        <x:v>ship</x:v>
      </x:c>
      <x:c r="C219" s="35" t="str">
        <x:v>iceClass</x:v>
      </x:c>
      <x:c r="D219" s="35" t="str">
        <x:v>ship</x:v>
      </x:c>
      <x:c r="E219" s="35" t="str">
        <x:v>Require exactly one controlled iceClass before applicability branching; apply the Table 3-3 and clamped-geometry rules only to IA Super or IA ships with constructionStageDate before 1 September 2003.</x:v>
      </x:c>
      <x:c r="F219" s="35" t="str">
        <x:v>AUTHORITATIVE_REQUIREMENT_SCOPED</x:v>
      </x:c>
    </x:row>
    <x:row r="220">
      <x:c r="A220" s="38" t="str">
        <x:v>TRF-027</x:v>
      </x:c>
      <x:c r="B220" s="35" t="str">
        <x:v>ship</x:v>
      </x:c>
      <x:c r="C220" s="35" t="str">
        <x:v>iceClassDraught</x:v>
      </x:c>
      <x:c r="D220" s="35" t="str">
        <x:v>ship</x:v>
      </x:c>
      <x:c r="E220" s="35" t="str">
        <x:v>Require exactly one controlled iceClass before applicability branching; apply the Table 3-3 and clamped-geometry rules only to IA Super or IA ships with constructionStageDate before 1 September 2003.</x:v>
      </x:c>
      <x:c r="F220" s="35" t="str">
        <x:v>AUTHORITATIVE_REQUIREMENT_SCOPED</x:v>
      </x:c>
    </x:row>
    <x:row r="221">
      <x:c r="A221" s="38" t="str">
        <x:v>TRF-027</x:v>
      </x:c>
      <x:c r="B221" s="35" t="str">
        <x:v>ship</x:v>
      </x:c>
      <x:c r="C221" s="35" t="str">
        <x:v>iceClassIa</x:v>
      </x:c>
      <x:c r="D221" s="35" t="str">
        <x:v>ship</x:v>
      </x:c>
      <x:c r="E221" s="35" t="str">
        <x:v>Require exactly one controlled iceClass before applicability branching; apply the Table 3-3 and clamped-geometry rules only to IA Super or IA ships with constructionStageDate before 1 September 2003.</x:v>
      </x:c>
      <x:c r="F221" s="35" t="str">
        <x:v>AUTHORITATIVE_REQUIREMENT_SCOPED</x:v>
      </x:c>
    </x:row>
    <x:row r="222">
      <x:c r="A222" s="38" t="str">
        <x:v>TRF-027</x:v>
      </x:c>
      <x:c r="B222" s="35" t="str">
        <x:v>ship</x:v>
      </x:c>
      <x:c r="C222" s="35" t="str">
        <x:v>iceClassIaSuper</x:v>
      </x:c>
      <x:c r="D222" s="35" t="str">
        <x:v>ship</x:v>
      </x:c>
      <x:c r="E222" s="35" t="str">
        <x:v>Require exactly one controlled iceClass before applicability branching; apply the Table 3-3 and clamped-geometry rules only to IA Super or IA ships with constructionStageDate before 1 September 2003.</x:v>
      </x:c>
      <x:c r="F222" s="35" t="str">
        <x:v>AUTHORITATIVE_REQUIREMENT_SCOPED</x:v>
      </x:c>
    </x:row>
    <x:row r="223">
      <x:c r="A223" s="38" t="str">
        <x:v>TRF-027</x:v>
      </x:c>
      <x:c r="B223" s="35" t="str">
        <x:v>ship</x:v>
      </x:c>
      <x:c r="C223" s="35" t="str">
        <x:v>kilogramPerSquareMetreSquareSecondUnit</x:v>
      </x:c>
      <x:c r="D223" s="35" t="str">
        <x:v>ship</x:v>
      </x:c>
      <x:c r="E223" s="35" t="str">
        <x:v>Require exactly one controlled iceClass before applicability branching; apply the Table 3-3 and clamped-geometry rules only to IA Super or IA ships with constructionStageDate before 1 September 2003.</x:v>
      </x:c>
      <x:c r="F223" s="35" t="str">
        <x:v>AUTHORITATIVE_REQUIREMENT_SCOPED</x:v>
      </x:c>
    </x:row>
    <x:row r="224">
      <x:c r="A224" s="38" t="str">
        <x:v>TRF-027</x:v>
      </x:c>
      <x:c r="B224" s="35" t="str">
        <x:v>ship</x:v>
      </x:c>
      <x:c r="C224" s="35" t="str">
        <x:v>kilogramPerSquareSecondUnit</x:v>
      </x:c>
      <x:c r="D224" s="35" t="str">
        <x:v>ship</x:v>
      </x:c>
      <x:c r="E224" s="35" t="str">
        <x:v>Require exactly one controlled iceClass before applicability branching; apply the Table 3-3 and clamped-geometry rules only to IA Super or IA ships with constructionStageDate before 1 September 2003.</x:v>
      </x:c>
      <x:c r="F224" s="35" t="str">
        <x:v>AUTHORITATIVE_REQUIREMENT_SCOPED</x:v>
      </x:c>
    </x:row>
    <x:row r="225">
      <x:c r="A225" s="38" t="str">
        <x:v>TRF-027</x:v>
      </x:c>
      <x:c r="B225" s="35" t="str">
        <x:v>ship</x:v>
      </x:c>
      <x:c r="C225" s="35" t="str">
        <x:v>newtonPerMetreToPowerOnePointFiveUnit</x:v>
      </x:c>
      <x:c r="D225" s="35" t="str">
        <x:v>ship</x:v>
      </x:c>
      <x:c r="E225" s="35" t="str">
        <x:v>Require exactly one controlled iceClass before applicability branching; apply the Table 3-3 and clamped-geometry rules only to IA Super or IA ships with constructionStageDate before 1 September 2003.</x:v>
      </x:c>
      <x:c r="F225" s="35" t="str">
        <x:v>AUTHORITATIVE_REQUIREMENT_SCOPED</x:v>
      </x:c>
    </x:row>
    <x:row r="226">
      <x:c r="A226" s="38" t="str">
        <x:v>TRF-027</x:v>
      </x:c>
      <x:c r="B226" s="35" t="str">
        <x:v>ship</x:v>
      </x:c>
      <x:c r="C226" s="35" t="str">
        <x:v>shipBreadth</x:v>
      </x:c>
      <x:c r="D226" s="35" t="str">
        <x:v>ship</x:v>
      </x:c>
      <x:c r="E226" s="35" t="str">
        <x:v>Require exactly one controlled iceClass before applicability branching; apply the Table 3-3 and clamped-geometry rules only to IA Super or IA ships with constructionStageDate before 1 September 2003.</x:v>
      </x:c>
      <x:c r="F226" s="35" t="str">
        <x:v>AUTHORITATIVE_REQUIREMENT_SCOPED</x:v>
      </x:c>
    </x:row>
    <x:row r="227">
      <x:c r="A227" s="38" t="str">
        <x:v>TRF-027</x:v>
      </x:c>
      <x:c r="B227" s="35" t="str">
        <x:v>ship</x:v>
      </x:c>
      <x:c r="C227" s="35" t="str">
        <x:v>shipLength</x:v>
      </x:c>
      <x:c r="D227" s="35" t="str">
        <x:v>ship</x:v>
      </x:c>
      <x:c r="E227" s="35" t="str">
        <x:v>Require exactly one controlled iceClass before applicability branching; apply the Table 3-3 and clamped-geometry rules only to IA Super or IA ships with constructionStageDate before 1 September 2003.</x:v>
      </x:c>
      <x:c r="F227" s="35" t="str">
        <x:v>AUTHORITATIVE_REQUIREMENT_SCOPED</x:v>
      </x:c>
    </x:row>
    <x:row r="228">
      <x:c r="A228" s="38" t="str">
        <x:v>TRF-028</x:v>
      </x:c>
      <x:c r="B228" s="35" t="str">
        <x:v>ship</x:v>
      </x:c>
      <x:c r="C228" s="35" t="str">
        <x:v>alternativeCalculationEvidence</x:v>
      </x:c>
      <x:c r="D228" s="35" t="str">
        <x:v>ship</x:v>
      </x:c>
      <x:c r="E228" s="35" t="str"/>
      <x:c r="F228" s="35" t="str">
        <x:v>AUTHORITATIVE_REQUIREMENT_SCOPED</x:v>
      </x:c>
    </x:row>
    <x:row r="229">
      <x:c r="A229" s="38" t="str">
        <x:v>TRF-028</x:v>
      </x:c>
      <x:c r="B229" s="35" t="str">
        <x:v>ship</x:v>
      </x:c>
      <x:c r="C229" s="35" t="str">
        <x:v>approvalRevocationStatus</x:v>
      </x:c>
      <x:c r="D229" s="35" t="str">
        <x:v>ship</x:v>
      </x:c>
      <x:c r="E229" s="35" t="str"/>
      <x:c r="F229" s="35" t="str">
        <x:v>AUTHORITATIVE_REQUIREMENT_SCOPED</x:v>
      </x:c>
    </x:row>
    <x:row r="230">
      <x:c r="A230" s="38" t="str">
        <x:v>TRF-028</x:v>
      </x:c>
      <x:c r="B230" s="35" t="str">
        <x:v>ship</x:v>
      </x:c>
      <x:c r="C230" s="35" t="str">
        <x:v>approvalStatus</x:v>
      </x:c>
      <x:c r="D230" s="35" t="str">
        <x:v>ship</x:v>
      </x:c>
      <x:c r="E230" s="35" t="str"/>
      <x:c r="F230" s="35" t="str">
        <x:v>AUTHORITATIVE_REQUIREMENT_SCOPED</x:v>
      </x:c>
    </x:row>
    <x:row r="231">
      <x:c r="A231" s="38" t="str">
        <x:v>TRF-028</x:v>
      </x:c>
      <x:c r="B231" s="35" t="str">
        <x:v>ship</x:v>
      </x:c>
      <x:c r="C231" s="35" t="str">
        <x:v>brashIceChannelResistanceRch</x:v>
      </x:c>
      <x:c r="D231" s="35" t="str">
        <x:v>ship</x:v>
      </x:c>
      <x:c r="E231" s="35" t="str"/>
      <x:c r="F231" s="35" t="str">
        <x:v>AUTHORITATIVE_REQUIREMENT_SCOPED</x:v>
      </x:c>
    </x:row>
    <x:row r="232">
      <x:c r="A232" s="38" t="str">
        <x:v>TRF-028</x:v>
      </x:c>
      <x:c r="B232" s="35" t="str">
        <x:v>ship</x:v>
      </x:c>
      <x:c r="C232" s="35" t="str">
        <x:v>engineOutputCoefficientKe</x:v>
      </x:c>
      <x:c r="D232" s="35" t="str">
        <x:v>ship</x:v>
      </x:c>
      <x:c r="E232" s="35" t="str"/>
      <x:c r="F232" s="35" t="str">
        <x:v>AUTHORITATIVE_REQUIREMENT_SCOPED</x:v>
      </x:c>
    </x:row>
    <x:row r="233">
      <x:c r="A233" s="38" t="str">
        <x:v>TRF-028</x:v>
      </x:c>
      <x:c r="B233" s="35" t="str">
        <x:v>ship</x:v>
      </x:c>
      <x:c r="C233" s="35" t="str">
        <x:v>modelTestEvidence</x:v>
      </x:c>
      <x:c r="D233" s="35" t="str">
        <x:v>ship</x:v>
      </x:c>
      <x:c r="E233" s="35" t="str"/>
      <x:c r="F233" s="35" t="str">
        <x:v>AUTHORITATIVE_REQUIREMENT_SCOPED</x:v>
      </x:c>
    </x:row>
    <x:row r="234">
      <x:c r="A234" s="38" t="str">
        <x:v>TRF-028</x:v>
      </x:c>
      <x:c r="B234" s="35" t="str">
        <x:v>ship</x:v>
      </x:c>
      <x:c r="C234" s="35" t="str">
        <x:v>shipPerformanceExperienceEvidence</x:v>
      </x:c>
      <x:c r="D234" s="35" t="str">
        <x:v>ship</x:v>
      </x:c>
      <x:c r="E234" s="35" t="str"/>
      <x:c r="F234" s="35" t="str">
        <x:v>AUTHORITATIVE_REQUIREMENT_SCOPED</x:v>
      </x:c>
    </x:row>
    <x:row r="235">
      <x:c r="A235" s="38" t="str">
        <x:v>TRF-029</x:v>
      </x:c>
      <x:c r="B235" s="35" t="str">
        <x:v>ship</x:v>
      </x:c>
      <x:c r="C235" s="35" t="str">
        <x:v>directAnalysisApprovalStatus</x:v>
      </x:c>
      <x:c r="D235" s="35" t="str">
        <x:v>ship</x:v>
      </x:c>
      <x:c r="E235" s="35" t="str"/>
      <x:c r="F235" s="35" t="str">
        <x:v>AUTHORITATIVE_REQUIREMENT_SCOPED</x:v>
      </x:c>
    </x:row>
    <x:row r="236">
      <x:c r="A236" s="38" t="str">
        <x:v>TRF-029</x:v>
      </x:c>
      <x:c r="B236" s="35" t="str">
        <x:v>ship</x:v>
      </x:c>
      <x:c r="C236" s="35" t="str">
        <x:v>directAnalysisUsed</x:v>
      </x:c>
      <x:c r="D236" s="35" t="str">
        <x:v>ship</x:v>
      </x:c>
      <x:c r="E236" s="35" t="str"/>
      <x:c r="F236" s="35" t="str">
        <x:v>AUTHORITATIVE_REQUIREMENT_SCOPED</x:v>
      </x:c>
    </x:row>
    <x:row r="237">
      <x:c r="A237" s="38" t="str">
        <x:v>TRF-029</x:v>
      </x:c>
      <x:c r="B237" s="35" t="str">
        <x:v>ship</x:v>
      </x:c>
      <x:c r="C237" s="35" t="str">
        <x:v>prescribedProcedureApplicability</x:v>
      </x:c>
      <x:c r="D237" s="35" t="str">
        <x:v>ship</x:v>
      </x:c>
      <x:c r="E237" s="35" t="str"/>
      <x:c r="F237" s="35" t="str">
        <x:v>AUTHORITATIVE_REQUIREMENT_SCOPED</x:v>
      </x:c>
    </x:row>
    <x:row r="238">
      <x:c r="A238" s="38" t="str">
        <x:v>TRF-029</x:v>
      </x:c>
      <x:c r="B238" s="35" t="str">
        <x:v>ship</x:v>
      </x:c>
      <x:c r="C238" s="35" t="str">
        <x:v>structuralArrangement</x:v>
      </x:c>
      <x:c r="D238" s="35" t="str">
        <x:v>ship</x:v>
      </x:c>
      <x:c r="E238" s="35" t="str"/>
      <x:c r="F238" s="35" t="str">
        <x:v>AUTHORITATIVE_REQUIREMENT_SCOPED</x:v>
      </x:c>
    </x:row>
    <x:row r="239">
      <x:c r="A239" s="38" t="str">
        <x:v>TRF-030</x:v>
      </x:c>
      <x:c r="B239" s="35" t="str">
        <x:v>ship</x:v>
      </x:c>
      <x:c r="C239" s="35" t="str">
        <x:v>appliedIcePressure</x:v>
      </x:c>
      <x:c r="D239" s="35" t="str">
        <x:v>ship</x:v>
      </x:c>
      <x:c r="E239"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39" s="35" t="str">
        <x:v>AUTHORITATIVE_REQUIREMENT_SCOPED</x:v>
      </x:c>
    </x:row>
    <x:row r="240">
      <x:c r="A240" s="38" t="str">
        <x:v>TRF-030</x:v>
      </x:c>
      <x:c r="B240" s="35" t="str">
        <x:v>ship</x:v>
      </x:c>
      <x:c r="C240" s="35" t="str">
        <x:v>capacityMinimizingLoadPositionConfirmed</x:v>
      </x:c>
      <x:c r="D240" s="35" t="str">
        <x:v>directAnalysisCase</x:v>
      </x:c>
      <x:c r="E240"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40" s="35" t="str">
        <x:v>AUTHORITATIVE_REQUIREMENT_SCOPED</x:v>
      </x:c>
    </x:row>
    <x:row r="241">
      <x:c r="A241" s="38" t="str">
        <x:v>TRF-030</x:v>
      </x:c>
      <x:c r="B241" s="35" t="str">
        <x:v>ship</x:v>
      </x:c>
      <x:c r="C241" s="35" t="str">
        <x:v>combinedBendingAndShearEvaluated</x:v>
      </x:c>
      <x:c r="D241" s="35" t="str">
        <x:v>directAnalysisCase</x:v>
      </x:c>
      <x:c r="E241"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41" s="35" t="str">
        <x:v>AUTHORITATIVE_REQUIREMENT_SCOPED</x:v>
      </x:c>
    </x:row>
    <x:row r="242">
      <x:c r="A242" s="38" t="str">
        <x:v>TRF-030</x:v>
      </x:c>
      <x:c r="B242" s="35" t="str">
        <x:v>ship</x:v>
      </x:c>
      <x:c r="C242" s="35" t="str">
        <x:v>directAnalysisCase</x:v>
      </x:c>
      <x:c r="D242" s="35" t="str">
        <x:v>ship</x:v>
      </x:c>
      <x:c r="E242"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42" s="35" t="str">
        <x:v>AUTHORITATIVE_REQUIREMENT_SCOPED</x:v>
      </x:c>
    </x:row>
    <x:row r="243">
      <x:c r="A243" s="38" t="str">
        <x:v>TRF-030</x:v>
      </x:c>
      <x:c r="B243" s="35" t="str">
        <x:v>ship</x:v>
      </x:c>
      <x:c r="C243" s="35" t="str">
        <x:v>halfLoadHeightBelowLowerIceWaterlinePosition</x:v>
      </x:c>
      <x:c r="D243" s="35" t="str">
        <x:v>ship</x:v>
      </x:c>
      <x:c r="E243"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43" s="35" t="str">
        <x:v>AUTHORITATIVE_REQUIREMENT_SCOPED</x:v>
      </x:c>
    </x:row>
    <x:row r="244">
      <x:c r="A244" s="38" t="str">
        <x:v>TRF-030</x:v>
      </x:c>
      <x:c r="B244" s="35" t="str">
        <x:v>ship</x:v>
      </x:c>
      <x:c r="C244" s="35" t="str">
        <x:v>hasDirectAnalysisCase</x:v>
      </x:c>
      <x:c r="D244" s="35" t="str">
        <x:v>ship</x:v>
      </x:c>
      <x:c r="E244"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44" s="35" t="str">
        <x:v>AUTHORITATIVE_REQUIREMENT_SCOPED</x:v>
      </x:c>
    </x:row>
    <x:row r="245">
      <x:c r="A245" s="38" t="str">
        <x:v>TRF-030</x:v>
      </x:c>
      <x:c r="B245" s="35" t="str">
        <x:v>ship</x:v>
      </x:c>
      <x:c r="C245" s="35" t="str">
        <x:v>horizontalLoadPosition</x:v>
      </x:c>
      <x:c r="D245" s="35" t="str">
        <x:v>directAnalysisCase</x:v>
      </x:c>
      <x:c r="E245"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45" s="35" t="str">
        <x:v>AUTHORITATIVE_REQUIREMENT_SCOPED</x:v>
      </x:c>
    </x:row>
    <x:row r="246">
      <x:c r="A246" s="38" t="str">
        <x:v>TRF-030</x:v>
      </x:c>
      <x:c r="B246" s="35" t="str">
        <x:v>ship</x:v>
      </x:c>
      <x:c r="C246" s="35" t="str">
        <x:v>horizontalLoadPositionType</x:v>
      </x:c>
      <x:c r="D246" s="35" t="str">
        <x:v>directAnalysisCase</x:v>
      </x:c>
      <x:c r="E246"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46" s="35" t="str">
        <x:v>AUTHORITATIVE_REQUIREMENT_SCOPED</x:v>
      </x:c>
    </x:row>
    <x:row r="247">
      <x:c r="A247" s="38" t="str">
        <x:v>TRF-030</x:v>
      </x:c>
      <x:c r="B247" s="35" t="str">
        <x:v>ship</x:v>
      </x:c>
      <x:c r="C247" s="35" t="str">
        <x:v>iceLoadAreaFactorCa</x:v>
      </x:c>
      <x:c r="D247" s="35" t="str">
        <x:v>directAnalysisCase</x:v>
      </x:c>
      <x:c r="E247"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47" s="35" t="str">
        <x:v>AUTHORITATIVE_REQUIREMENT_SCOPED</x:v>
      </x:c>
    </x:row>
    <x:row r="248">
      <x:c r="A248" s="38" t="str">
        <x:v>TRF-030</x:v>
      </x:c>
      <x:c r="B248" s="35" t="str">
        <x:v>ship</x:v>
      </x:c>
      <x:c r="C248" s="35" t="str">
        <x:v>icePressure</x:v>
      </x:c>
      <x:c r="D248" s="35" t="str">
        <x:v>ship</x:v>
      </x:c>
      <x:c r="E248"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48" s="35" t="str">
        <x:v>AUTHORITATIVE_REQUIREMENT_SCOPED</x:v>
      </x:c>
    </x:row>
    <x:row r="249">
      <x:c r="A249" s="38" t="str">
        <x:v>TRF-030</x:v>
      </x:c>
      <x:c r="B249" s="35" t="str">
        <x:v>ship</x:v>
      </x:c>
      <x:c r="C249" s="35" t="str">
        <x:v>intermediateVerticalPosition</x:v>
      </x:c>
      <x:c r="D249" s="35" t="str">
        <x:v>ship</x:v>
      </x:c>
      <x:c r="E249"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49" s="35" t="str">
        <x:v>AUTHORITATIVE_REQUIREMENT_SCOPED</x:v>
      </x:c>
    </x:row>
    <x:row r="250">
      <x:c r="A250" s="38" t="str">
        <x:v>TRF-030</x:v>
      </x:c>
      <x:c r="B250" s="35" t="str">
        <x:v>ship</x:v>
      </x:c>
      <x:c r="C250" s="35" t="str">
        <x:v>loadLengthDeterminedFromArrangement</x:v>
      </x:c>
      <x:c r="D250" s="35" t="str">
        <x:v>ship</x:v>
      </x:c>
      <x:c r="E250"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50" s="35" t="str">
        <x:v>AUTHORITATIVE_REQUIREMENT_SCOPED</x:v>
      </x:c>
    </x:row>
    <x:row r="251">
      <x:c r="A251" s="38" t="str">
        <x:v>TRF-030</x:v>
      </x:c>
      <x:c r="B251" s="35" t="str">
        <x:v>ship</x:v>
      </x:c>
      <x:c r="C251" s="35" t="str">
        <x:v>loadPatchApplicationLocation</x:v>
      </x:c>
      <x:c r="D251" s="35" t="str">
        <x:v>ship</x:v>
      </x:c>
      <x:c r="E251"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51" s="35" t="str">
        <x:v>AUTHORITATIVE_REQUIREMENT_SCOPED</x:v>
      </x:c>
    </x:row>
    <x:row r="252">
      <x:c r="A252" s="38" t="str">
        <x:v>TRF-030</x:v>
      </x:c>
      <x:c r="B252" s="35" t="str">
        <x:v>ship</x:v>
      </x:c>
      <x:c r="C252" s="35" t="str">
        <x:v>loadPatchHeight</x:v>
      </x:c>
      <x:c r="D252" s="35" t="str">
        <x:v>ship</x:v>
      </x:c>
      <x:c r="E252"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52" s="35" t="str">
        <x:v>AUTHORITATIVE_REQUIREMENT_SCOPED</x:v>
      </x:c>
    </x:row>
    <x:row r="253">
      <x:c r="A253" s="38" t="str">
        <x:v>TRF-030</x:v>
      </x:c>
      <x:c r="B253" s="35" t="str">
        <x:v>ship</x:v>
      </x:c>
      <x:c r="C253" s="35" t="str">
        <x:v>loadPatchLength</x:v>
      </x:c>
      <x:c r="D253" s="35" t="str">
        <x:v>directAnalysisCase</x:v>
      </x:c>
      <x:c r="E253"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53" s="35" t="str">
        <x:v>AUTHORITATIVE_REQUIREMENT_SCOPED</x:v>
      </x:c>
    </x:row>
    <x:row r="254">
      <x:c r="A254" s="38" t="str">
        <x:v>TRF-030</x:v>
      </x:c>
      <x:c r="B254" s="35" t="str">
        <x:v>ship</x:v>
      </x:c>
      <x:c r="C254" s="35" t="str">
        <x:v>lowerIceWaterlineReferencePosition</x:v>
      </x:c>
      <x:c r="D254" s="35" t="str">
        <x:v>directAnalysisCase</x:v>
      </x:c>
      <x:c r="E254"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54" s="35" t="str">
        <x:v>AUTHORITATIVE_REQUIREMENT_SCOPED</x:v>
      </x:c>
    </x:row>
    <x:row r="255">
      <x:c r="A255" s="38" t="str">
        <x:v>TRF-030</x:v>
      </x:c>
      <x:c r="B255" s="35" t="str">
        <x:v>ship</x:v>
      </x:c>
      <x:c r="C255" s="35" t="str">
        <x:v>midSpanOrSpacingCenteredPosition</x:v>
      </x:c>
      <x:c r="D255" s="35" t="str">
        <x:v>ship</x:v>
      </x:c>
      <x:c r="E255"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55" s="35" t="str">
        <x:v>AUTHORITATIVE_REQUIREMENT_SCOPED</x:v>
      </x:c>
    </x:row>
    <x:row r="256">
      <x:c r="A256" s="38" t="str">
        <x:v>TRF-030</x:v>
      </x:c>
      <x:c r="B256" s="35" t="str">
        <x:v>ship</x:v>
      </x:c>
      <x:c r="C256" s="35" t="str">
        <x:v>otherHorizontalPosition</x:v>
      </x:c>
      <x:c r="D256" s="35" t="str">
        <x:v>ship</x:v>
      </x:c>
      <x:c r="E256"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56" s="35" t="str">
        <x:v>AUTHORITATIVE_REQUIREMENT_SCOPED</x:v>
      </x:c>
    </x:row>
    <x:row r="257">
      <x:c r="A257" s="38" t="str">
        <x:v>TRF-030</x:v>
      </x:c>
      <x:c r="B257" s="35" t="str">
        <x:v>ship</x:v>
      </x:c>
      <x:c r="C257" s="35" t="str">
        <x:v>spacing</x:v>
      </x:c>
      <x:c r="D257" s="35" t="str">
        <x:v>ship</x:v>
      </x:c>
      <x:c r="E257"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57" s="35" t="str">
        <x:v>AUTHORITATIVE_REQUIREMENT_SCOPED</x:v>
      </x:c>
    </x:row>
    <x:row r="258">
      <x:c r="A258" s="38" t="str">
        <x:v>TRF-030</x:v>
      </x:c>
      <x:c r="B258" s="35" t="str">
        <x:v>ship</x:v>
      </x:c>
      <x:c r="C258" s="35" t="str">
        <x:v>span</x:v>
      </x:c>
      <x:c r="D258" s="35" t="str">
        <x:v>ship</x:v>
      </x:c>
      <x:c r="E258"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58" s="35" t="str">
        <x:v>AUTHORITATIVE_REQUIREMENT_SCOPED</x:v>
      </x:c>
    </x:row>
    <x:row r="259">
      <x:c r="A259" s="38" t="str">
        <x:v>TRF-030</x:v>
      </x:c>
      <x:c r="B259" s="35" t="str">
        <x:v>ship</x:v>
      </x:c>
      <x:c r="C259" s="35" t="str">
        <x:v>upperIceWaterlineCenteredPosition</x:v>
      </x:c>
      <x:c r="D259" s="35" t="str">
        <x:v>ship</x:v>
      </x:c>
      <x:c r="E259"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59" s="35" t="str">
        <x:v>AUTHORITATIVE_REQUIREMENT_SCOPED</x:v>
      </x:c>
    </x:row>
    <x:row r="260">
      <x:c r="A260" s="38" t="str">
        <x:v>TRF-030</x:v>
      </x:c>
      <x:c r="B260" s="35" t="str">
        <x:v>ship</x:v>
      </x:c>
      <x:c r="C260" s="35" t="str">
        <x:v>upperIceWaterlineReferencePosition</x:v>
      </x:c>
      <x:c r="D260" s="35" t="str">
        <x:v>directAnalysisCase</x:v>
      </x:c>
      <x:c r="E260"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60" s="35" t="str">
        <x:v>AUTHORITATIVE_REQUIREMENT_SCOPED</x:v>
      </x:c>
    </x:row>
    <x:row r="261">
      <x:c r="A261" s="38" t="str">
        <x:v>TRF-030</x:v>
      </x:c>
      <x:c r="B261" s="35" t="str">
        <x:v>ship</x:v>
      </x:c>
      <x:c r="C261" s="35" t="str">
        <x:v>verticalLoadPosition</x:v>
      </x:c>
      <x:c r="D261" s="35" t="str">
        <x:v>directAnalysisCase</x:v>
      </x:c>
      <x:c r="E261"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61" s="35" t="str">
        <x:v>AUTHORITATIVE_REQUIREMENT_SCOPED</x:v>
      </x:c>
    </x:row>
    <x:row r="262">
      <x:c r="A262" s="38" t="str">
        <x:v>TRF-030</x:v>
      </x:c>
      <x:c r="B262" s="35" t="str">
        <x:v>ship</x:v>
      </x:c>
      <x:c r="C262" s="35" t="str">
        <x:v>verticalLoadPositionType</x:v>
      </x:c>
      <x:c r="D262" s="35" t="str">
        <x:v>directAnalysisCase</x:v>
      </x:c>
      <x:c r="E262" s="35" t="str">
        <x:v>Represent several vertical and horizontal directAnalysisCase nodes. Each case owns its position, combined bending/shear evidence, and capacity-minimizing evidence. | When load length is not determined from the arrangement, require several distinct directAnalysisCase nodes, each containing both its loadPatchLength and corresponding iceLoadAreaFactorCa; the shared case node is the canonical pairing structure.</x:v>
      </x:c>
      <x:c r="F262" s="35" t="str">
        <x:v>AUTHORITATIVE_REQUIREMENT_SCOPED</x:v>
      </x:c>
    </x:row>
    <x:row r="263">
      <x:c r="A263" s="38" t="str">
        <x:v>TRF-031</x:v>
      </x:c>
      <x:c r="B263" s="35" t="str">
        <x:v>ship</x:v>
      </x:c>
      <x:c r="C263" s="35" t="str">
        <x:v>allowableShearStress</x:v>
      </x:c>
      <x:c r="D263" s="35" t="str">
        <x:v>ship</x:v>
      </x:c>
      <x:c r="E263" s="35" t="str"/>
      <x:c r="F263" s="35" t="str">
        <x:v>AUTHORITATIVE_REQUIREMENT_SCOPED</x:v>
      </x:c>
    </x:row>
    <x:row r="264">
      <x:c r="A264" s="38" t="str">
        <x:v>TRF-031</x:v>
      </x:c>
      <x:c r="B264" s="35" t="str">
        <x:v>ship</x:v>
      </x:c>
      <x:c r="C264" s="35" t="str">
        <x:v>beamTheoryUsed</x:v>
      </x:c>
      <x:c r="D264" s="35" t="str">
        <x:v>ship</x:v>
      </x:c>
      <x:c r="E264" s="35" t="str"/>
      <x:c r="F264" s="35" t="str">
        <x:v>AUTHORITATIVE_REQUIREMENT_SCOPED</x:v>
      </x:c>
    </x:row>
    <x:row r="265">
      <x:c r="A265" s="38" t="str">
        <x:v>TRF-031</x:v>
      </x:c>
      <x:c r="B265" s="35" t="str">
        <x:v>ship</x:v>
      </x:c>
      <x:c r="C265" s="35" t="str">
        <x:v>combinedBendingShearStress</x:v>
      </x:c>
      <x:c r="D265" s="35" t="str">
        <x:v>ship</x:v>
      </x:c>
      <x:c r="E265" s="35" t="str"/>
      <x:c r="F265" s="35" t="str">
        <x:v>AUTHORITATIVE_REQUIREMENT_SCOPED</x:v>
      </x:c>
    </x:row>
    <x:row r="266">
      <x:c r="A266" s="38" t="str">
        <x:v>TRF-031</x:v>
      </x:c>
      <x:c r="B266" s="35" t="str">
        <x:v>ship</x:v>
      </x:c>
      <x:c r="C266" s="35" t="str">
        <x:v>vonMisesYieldCriterion</x:v>
      </x:c>
      <x:c r="D266" s="35" t="str">
        <x:v>ship</x:v>
      </x:c>
      <x:c r="E266" s="35" t="str"/>
      <x:c r="F266" s="35" t="str">
        <x:v>AUTHORITATIVE_REQUIREMENT_SCOPED</x:v>
      </x:c>
    </x:row>
    <x:row r="267">
      <x:c r="A267" s="38" t="str">
        <x:v>TRF-031</x:v>
      </x:c>
      <x:c r="B267" s="35" t="str">
        <x:v>ship</x:v>
      </x:c>
      <x:c r="C267" s="35" t="str">
        <x:v>yieldPoint</x:v>
      </x:c>
      <x:c r="D267" s="35" t="str">
        <x:v>ship</x:v>
      </x:c>
      <x:c r="E267" s="35" t="str"/>
      <x:c r="F267" s="35" t="str">
        <x:v>AUTHORITATIVE_REQUIREMENT_SCOPED</x:v>
      </x:c>
    </x:row>
    <x:row r="268">
      <x:c r="A268" s="38" t="str">
        <x:v>TRF-031</x:v>
      </x:c>
      <x:c r="B268" s="35" t="str">
        <x:v>ship</x:v>
      </x:c>
      <x:c r="C268" s="35" t="str">
        <x:v>yieldShearStress</x:v>
      </x:c>
      <x:c r="D268" s="35" t="str">
        <x:v>ship</x:v>
      </x:c>
      <x:c r="E268" s="35" t="str"/>
      <x:c r="F268" s="35" t="str">
        <x:v>AUTHORITATIVE_REQUIREMENT_SCOPED</x:v>
      </x:c>
    </x:row>
    <x:row r="269">
      <x:c r="A269" s="38" t="str">
        <x:v>TRF-032</x:v>
      </x:c>
      <x:c r="B269" s="35" t="str">
        <x:v>ship</x:v>
      </x:c>
      <x:c r="C269" s="35" t="str">
        <x:v>classificationSocietyRequiredScantling</x:v>
      </x:c>
      <x:c r="D269" s="35" t="str">
        <x:v>ship</x:v>
      </x:c>
      <x:c r="E269" s="35" t="str"/>
      <x:c r="F269" s="35" t="str">
        <x:v>AUTHORITATIVE_REQUIREMENT_SCOPED</x:v>
      </x:c>
    </x:row>
    <x:row r="270">
      <x:c r="A270" s="38" t="str">
        <x:v>TRF-032</x:v>
      </x:c>
      <x:c r="B270" s="35" t="str">
        <x:v>ship</x:v>
      </x:c>
      <x:c r="C270" s="35" t="str">
        <x:v>iceStrengtheningStatus</x:v>
      </x:c>
      <x:c r="D270" s="35" t="str">
        <x:v>ship</x:v>
      </x:c>
      <x:c r="E270" s="35" t="str"/>
      <x:c r="F270" s="35" t="str">
        <x:v>AUTHORITATIVE_REQUIREMENT_SCOPED</x:v>
      </x:c>
    </x:row>
    <x:row r="271">
      <x:c r="A271" s="38" t="str">
        <x:v>TRF-032</x:v>
      </x:c>
      <x:c r="B271" s="35" t="str">
        <x:v>ship</x:v>
      </x:c>
      <x:c r="C271" s="35" t="str">
        <x:v>regulationRequiredScantling</x:v>
      </x:c>
      <x:c r="D271" s="35" t="str">
        <x:v>ship</x:v>
      </x:c>
      <x:c r="E271" s="35" t="str"/>
      <x:c r="F271" s="35" t="str">
        <x:v>AUTHORITATIVE_REQUIREMENT_SCOPED</x:v>
      </x:c>
    </x:row>
    <x:row r="272">
      <x:c r="A272" s="38" t="str">
        <x:v>TRF-032</x:v>
      </x:c>
      <x:c r="B272" s="35" t="str">
        <x:v>ship</x:v>
      </x:c>
      <x:c r="C272" s="35" t="str">
        <x:v>selectedDesignScantling</x:v>
      </x:c>
      <x:c r="D272" s="35" t="str">
        <x:v>ship</x:v>
      </x:c>
      <x:c r="E272" s="35" t="str"/>
      <x:c r="F272" s="35" t="str">
        <x:v>AUTHORITATIVE_REQUIREMENT_SCOPED</x:v>
      </x:c>
    </x:row>
    <x:row r="273">
      <x:c r="A273" s="38" t="str">
        <x:v>TRF-034</x:v>
      </x:c>
      <x:c r="B273" s="35" t="str">
        <x:v>effectiveMemberCrossSection</x:v>
      </x:c>
      <x:c r="C273" s="35" t="str">
        <x:v>effectiveMemberCrossSection</x:v>
      </x:c>
      <x:c r="D273" s="35" t="str">
        <x:v>effectiveMemberCrossSection</x:v>
      </x:c>
      <x:c r="E273" s="35" t="str"/>
      <x:c r="F273" s="35" t="str">
        <x:v>AUTHORITATIVE_REQUIREMENT_SCOPED</x:v>
      </x:c>
    </x:row>
    <x:row r="274">
      <x:c r="A274" s="38" t="str">
        <x:v>TRF-034</x:v>
      </x:c>
      <x:c r="B274" s="35" t="str">
        <x:v>effectiveMemberCrossSection</x:v>
      </x:c>
      <x:c r="C274" s="35" t="str">
        <x:v>hasClassificationSocietySectionPropertyCalculationEvidence</x:v>
      </x:c>
      <x:c r="D274" s="35" t="str">
        <x:v>effectiveMemberCrossSection</x:v>
      </x:c>
      <x:c r="E274" s="35" t="str"/>
      <x:c r="F274" s="35" t="str">
        <x:v>AUTHORITATIVE_REQUIREMENT_SCOPED</x:v>
      </x:c>
    </x:row>
    <x:row r="275">
      <x:c r="A275" s="38" t="str">
        <x:v>TRF-034</x:v>
      </x:c>
      <x:c r="B275" s="35" t="str">
        <x:v>effectiveMemberCrossSection</x:v>
      </x:c>
      <x:c r="C275" s="35" t="str">
        <x:v>hasEffectiveMemberCrossSection</x:v>
      </x:c>
      <x:c r="D275" s="35" t="str">
        <x:v>hullStructure</x:v>
      </x:c>
      <x:c r="E275" s="35" t="str"/>
      <x:c r="F275" s="35" t="str">
        <x:v>AUTHORITATIVE_REQUIREMENT_SCOPED</x:v>
      </x:c>
    </x:row>
    <x:row r="276">
      <x:c r="A276" s="38" t="str">
        <x:v>TRF-034</x:v>
      </x:c>
      <x:c r="B276" s="35" t="str">
        <x:v>effectiveMemberCrossSection</x:v>
      </x:c>
      <x:c r="C276" s="35" t="str">
        <x:v>iceStringer</x:v>
      </x:c>
      <x:c r="D276" s="35" t="str">
        <x:v>effectiveMemberCrossSection</x:v>
      </x:c>
      <x:c r="E276" s="35" t="str"/>
      <x:c r="F276" s="35" t="str">
        <x:v>AUTHORITATIVE_REQUIREMENT_SCOPED</x:v>
      </x:c>
    </x:row>
    <x:row r="277">
      <x:c r="A277" s="38" t="str">
        <x:v>TRF-034</x:v>
      </x:c>
      <x:c r="B277" s="35" t="str">
        <x:v>effectiveMemberCrossSection</x:v>
      </x:c>
      <x:c r="C277" s="35" t="str">
        <x:v>memberNormalToPlating</x:v>
      </x:c>
      <x:c r="D277" s="35" t="str">
        <x:v>hullStructure</x:v>
      </x:c>
      <x:c r="E277" s="35" t="str"/>
      <x:c r="F277" s="35" t="str">
        <x:v>AUTHORITATIVE_REQUIREMENT_SCOPED</x:v>
      </x:c>
    </x:row>
    <x:row r="278">
      <x:c r="A278" s="38" t="str">
        <x:v>TRF-034</x:v>
      </x:c>
      <x:c r="B278" s="35" t="str">
        <x:v>effectiveMemberCrossSection</x:v>
      </x:c>
      <x:c r="C278" s="35" t="str">
        <x:v>sectionModulus</x:v>
      </x:c>
      <x:c r="D278" s="35" t="str">
        <x:v>effectiveMemberCrossSection</x:v>
      </x:c>
      <x:c r="E278" s="35" t="str"/>
      <x:c r="F278" s="35" t="str">
        <x:v>AUTHORITATIVE_REQUIREMENT_SCOPED</x:v>
      </x:c>
    </x:row>
    <x:row r="279">
      <x:c r="A279" s="38" t="str">
        <x:v>TRF-034</x:v>
      </x:c>
      <x:c r="B279" s="35" t="str">
        <x:v>effectiveMemberCrossSection</x:v>
      </x:c>
      <x:c r="C279" s="35" t="str">
        <x:v>shearArea</x:v>
      </x:c>
      <x:c r="D279" s="35" t="str">
        <x:v>effectiveMemberCrossSection</x:v>
      </x:c>
      <x:c r="E279" s="35" t="str"/>
      <x:c r="F279" s="35" t="str">
        <x:v>AUTHORITATIVE_REQUIREMENT_SCOPED</x:v>
      </x:c>
    </x:row>
    <x:row r="280">
      <x:c r="A280" s="38" t="str">
        <x:v>TRF-035</x:v>
      </x:c>
      <x:c r="B280" s="35" t="str">
        <x:v>ship</x:v>
      </x:c>
      <x:c r="C280" s="35" t="str">
        <x:v>bowRegion</x:v>
      </x:c>
      <x:c r="D280" s="35" t="str">
        <x:v>ship</x:v>
      </x:c>
      <x:c r="E280" s="35" t="str"/>
      <x:c r="F280" s="35" t="str">
        <x:v>AUTHORITATIVE_REQUIREMENT_SCOPED</x:v>
      </x:c>
    </x:row>
    <x:row r="281">
      <x:c r="A281" s="38" t="str">
        <x:v>TRF-035</x:v>
      </x:c>
      <x:c r="B281" s="35" t="str">
        <x:v>ship</x:v>
      </x:c>
      <x:c r="C281" s="35" t="str">
        <x:v>classificationSociety</x:v>
      </x:c>
      <x:c r="D281" s="35" t="str">
        <x:v>ship</x:v>
      </x:c>
      <x:c r="E281" s="35" t="str"/>
      <x:c r="F281" s="35" t="str">
        <x:v>AUTHORITATIVE_REQUIREMENT_SCOPED</x:v>
      </x:c>
    </x:row>
    <x:row r="282">
      <x:c r="A282" s="38" t="str">
        <x:v>TRF-035</x:v>
      </x:c>
      <x:c r="B282" s="35" t="str">
        <x:v>ship</x:v>
      </x:c>
      <x:c r="C282" s="35" t="str">
        <x:v>classificationSocietyRuleLength</x:v>
      </x:c>
      <x:c r="D282" s="35" t="str">
        <x:v>ship</x:v>
      </x:c>
      <x:c r="E282" s="35" t="str"/>
      <x:c r="F282" s="35" t="str">
        <x:v>AUTHORITATIVE_REQUIREMENT_SCOPED</x:v>
      </x:c>
    </x:row>
    <x:row r="283">
      <x:c r="A283" s="38" t="str">
        <x:v>TRF-035</x:v>
      </x:c>
      <x:c r="B283" s="35" t="str">
        <x:v>ship</x:v>
      </x:c>
      <x:c r="C283" s="35" t="str">
        <x:v>hullRegion</x:v>
      </x:c>
      <x:c r="D283" s="35" t="str">
        <x:v>ship</x:v>
      </x:c>
      <x:c r="E283" s="35" t="str"/>
      <x:c r="F283" s="35" t="str">
        <x:v>AUTHORITATIVE_REQUIREMENT_SCOPED</x:v>
      </x:c>
    </x:row>
    <x:row r="284">
      <x:c r="A284" s="38" t="str">
        <x:v>TRF-035</x:v>
      </x:c>
      <x:c r="B284" s="35" t="str">
        <x:v>ship</x:v>
      </x:c>
      <x:c r="C284" s="35" t="str">
        <x:v>midbodyRegion</x:v>
      </x:c>
      <x:c r="D284" s="35" t="str">
        <x:v>ship</x:v>
      </x:c>
      <x:c r="E284" s="35" t="str"/>
      <x:c r="F284" s="35" t="str">
        <x:v>AUTHORITATIVE_REQUIREMENT_SCOPED</x:v>
      </x:c>
    </x:row>
    <x:row r="285">
      <x:c r="A285" s="38" t="str">
        <x:v>TRF-035</x:v>
      </x:c>
      <x:c r="B285" s="35" t="str">
        <x:v>ship</x:v>
      </x:c>
      <x:c r="C285" s="35" t="str">
        <x:v>ruleLength</x:v>
      </x:c>
      <x:c r="D285" s="35" t="str">
        <x:v>ship</x:v>
      </x:c>
      <x:c r="E285" s="35" t="str"/>
      <x:c r="F285" s="35" t="str">
        <x:v>AUTHORITATIVE_REQUIREMENT_SCOPED</x:v>
      </x:c>
    </x:row>
    <x:row r="286">
      <x:c r="A286" s="38" t="str">
        <x:v>TRF-035</x:v>
      </x:c>
      <x:c r="B286" s="35" t="str">
        <x:v>ship</x:v>
      </x:c>
      <x:c r="C286" s="35" t="str">
        <x:v>sternRegion</x:v>
      </x:c>
      <x:c r="D286" s="35" t="str">
        <x:v>ship</x:v>
      </x:c>
      <x:c r="E286" s="35" t="str"/>
      <x:c r="F286" s="35" t="str">
        <x:v>AUTHORITATIVE_REQUIREMENT_SCOPED</x:v>
      </x:c>
    </x:row>
    <x:row r="287">
      <x:c r="A287" s="38" t="str">
        <x:v>TRF-036</x:v>
      </x:c>
      <x:c r="B287" s="35" t="str">
        <x:v>iceClassDesignParameterSet</x:v>
      </x:c>
      <x:c r="C287" s="35" t="str">
        <x:v>designIceLoadHeight</x:v>
      </x:c>
      <x:c r="D287" s="35" t="str">
        <x:v>iceClassDesignParameterSet</x:v>
      </x:c>
      <x:c r="E287" s="35" t="str"/>
      <x:c r="F287" s="35" t="str">
        <x:v>AUTHORITATIVE_REQUIREMENT_SCOPED</x:v>
      </x:c>
    </x:row>
    <x:row r="288">
      <x:c r="A288" s="38" t="str">
        <x:v>TRF-036</x:v>
      </x:c>
      <x:c r="B288" s="35" t="str">
        <x:v>iceClassDesignParameterSet</x:v>
      </x:c>
      <x:c r="C288" s="35" t="str">
        <x:v>hasIceClassDesignParameterSet</x:v>
      </x:c>
      <x:c r="D288" s="35" t="str">
        <x:v>ship</x:v>
      </x:c>
      <x:c r="E288" s="35" t="str"/>
      <x:c r="F288" s="35" t="str">
        <x:v>AUTHORITATIVE_REQUIREMENT_SCOPED</x:v>
      </x:c>
    </x:row>
    <x:row r="289">
      <x:c r="A289" s="38" t="str">
        <x:v>TRF-036</x:v>
      </x:c>
      <x:c r="B289" s="35" t="str">
        <x:v>iceClassDesignParameterSet</x:v>
      </x:c>
      <x:c r="C289" s="35" t="str">
        <x:v>iceClass</x:v>
      </x:c>
      <x:c r="D289" s="35" t="str">
        <x:v>ship</x:v>
      </x:c>
      <x:c r="E289" s="35" t="str"/>
      <x:c r="F289" s="35" t="str">
        <x:v>AUTHORITATIVE_REQUIREMENT_SCOPED</x:v>
      </x:c>
    </x:row>
    <x:row r="290">
      <x:c r="A290" s="38" t="str">
        <x:v>TRF-036</x:v>
      </x:c>
      <x:c r="B290" s="35" t="str">
        <x:v>iceClassDesignParameterSet</x:v>
      </x:c>
      <x:c r="C290" s="35" t="str">
        <x:v>iceClassDesignParameterSet</x:v>
      </x:c>
      <x:c r="D290" s="35" t="str">
        <x:v>iceClassDesignParameterSet</x:v>
      </x:c>
      <x:c r="E290" s="35" t="str"/>
      <x:c r="F290" s="35" t="str">
        <x:v>AUTHORITATIVE_REQUIREMENT_SCOPED</x:v>
      </x:c>
    </x:row>
    <x:row r="291">
      <x:c r="A291" s="38" t="str">
        <x:v>TRF-036</x:v>
      </x:c>
      <x:c r="B291" s="35" t="str">
        <x:v>iceClassDesignParameterSet</x:v>
      </x:c>
      <x:c r="C291" s="35" t="str">
        <x:v>levelIceThickness</x:v>
      </x:c>
      <x:c r="D291" s="35" t="str">
        <x:v>iceClassDesignParameterSet</x:v>
      </x:c>
      <x:c r="E291" s="35" t="str"/>
      <x:c r="F291" s="35" t="str">
        <x:v>AUTHORITATIVE_REQUIREMENT_SCOPED</x:v>
      </x:c>
    </x:row>
    <x:row r="292">
      <x:c r="A292" s="38" t="str">
        <x:v>TRF-037</x:v>
      </x:c>
      <x:c r="B292" s="35" t="str">
        <x:v>ship</x:v>
      </x:c>
      <x:c r="C292" s="35" t="str">
        <x:v>continuousPropulsionPowerAvailableInIce</x:v>
      </x:c>
      <x:c r="D292" s="35" t="str">
        <x:v>ship</x:v>
      </x:c>
      <x:c r="E292"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292" s="35" t="str">
        <x:v>AUTHORITATIVE_REQUIREMENT_SCOPED</x:v>
      </x:c>
    </x:row>
    <x:row r="293">
      <x:c r="A293" s="38" t="str">
        <x:v>TRF-037</x:v>
      </x:c>
      <x:c r="B293" s="35" t="str">
        <x:v>ship</x:v>
      </x:c>
      <x:c r="C293" s="35" t="str">
        <x:v>directAnalysisCase</x:v>
      </x:c>
      <x:c r="D293" s="35" t="str">
        <x:v>ship</x:v>
      </x:c>
      <x:c r="E293"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293" s="35" t="str">
        <x:v>AUTHORITATIVE_REQUIREMENT_SCOPED</x:v>
      </x:c>
    </x:row>
    <x:row r="294">
      <x:c r="A294" s="38" t="str">
        <x:v>TRF-037</x:v>
      </x:c>
      <x:c r="B294" s="35" t="str">
        <x:v>ship</x:v>
      </x:c>
      <x:c r="C294" s="35" t="str">
        <x:v>displacementAtMaximumIceClassDraught</x:v>
      </x:c>
      <x:c r="D294" s="35" t="str">
        <x:v>ship</x:v>
      </x:c>
      <x:c r="E294"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294" s="35" t="str">
        <x:v>AUTHORITATIVE_REQUIREMENT_SCOPED</x:v>
      </x:c>
    </x:row>
    <x:row r="295">
      <x:c r="A295" s="38" t="str">
        <x:v>TRF-037</x:v>
      </x:c>
      <x:c r="B295" s="35" t="str">
        <x:v>ship</x:v>
      </x:c>
      <x:c r="C295" s="35" t="str">
        <x:v>hasDirectAnalysisCase</x:v>
      </x:c>
      <x:c r="D295" s="35" t="str">
        <x:v>ship</x:v>
      </x:c>
      <x:c r="E295"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295" s="35" t="str">
        <x:v>AUTHORITATIVE_REQUIREMENT_SCOPED</x:v>
      </x:c>
    </x:row>
    <x:row r="296">
      <x:c r="A296" s="38" t="str">
        <x:v>TRF-037</x:v>
      </x:c>
      <x:c r="B296" s="35" t="str">
        <x:v>ship</x:v>
      </x:c>
      <x:c r="C296" s="35" t="str">
        <x:v>hullRegion</x:v>
      </x:c>
      <x:c r="D296" s="35" t="str">
        <x:v>ship</x:v>
      </x:c>
      <x:c r="E296"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296" s="35" t="str">
        <x:v>AUTHORITATIVE_REQUIREMENT_SCOPED</x:v>
      </x:c>
    </x:row>
    <x:row r="297">
      <x:c r="A297" s="38" t="str">
        <x:v>TRF-037</x:v>
      </x:c>
      <x:c r="B297" s="35" t="str">
        <x:v>ship</x:v>
      </x:c>
      <x:c r="C297" s="35" t="str">
        <x:v>iceClassFactorCp</x:v>
      </x:c>
      <x:c r="D297" s="35" t="str">
        <x:v>ship</x:v>
      </x:c>
      <x:c r="E297"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297" s="35" t="str">
        <x:v>AUTHORITATIVE_REQUIREMENT_SCOPED</x:v>
      </x:c>
    </x:row>
    <x:row r="298">
      <x:c r="A298" s="38" t="str">
        <x:v>TRF-037</x:v>
      </x:c>
      <x:c r="B298" s="35" t="str">
        <x:v>ship</x:v>
      </x:c>
      <x:c r="C298" s="35" t="str">
        <x:v>iceLoadAreaFactorCa</x:v>
      </x:c>
      <x:c r="D298" s="35" t="str">
        <x:v>directAnalysisCase</x:v>
      </x:c>
      <x:c r="E298"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298" s="35" t="str">
        <x:v>AUTHORITATIVE_REQUIREMENT_SCOPED</x:v>
      </x:c>
    </x:row>
    <x:row r="299">
      <x:c r="A299" s="38" t="str">
        <x:v>TRF-037</x:v>
      </x:c>
      <x:c r="B299" s="35" t="str">
        <x:v>ship</x:v>
      </x:c>
      <x:c r="C299" s="35" t="str">
        <x:v>icePressure</x:v>
      </x:c>
      <x:c r="D299" s="35" t="str">
        <x:v>ship</x:v>
      </x:c>
      <x:c r="E299"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299" s="35" t="str">
        <x:v>AUTHORITATIVE_REQUIREMENT_SCOPED</x:v>
      </x:c>
    </x:row>
    <x:row r="300">
      <x:c r="A300" s="38" t="str">
        <x:v>TRF-037</x:v>
      </x:c>
      <x:c r="B300" s="35" t="str">
        <x:v>ship</x:v>
      </x:c>
      <x:c r="C300" s="35" t="str">
        <x:v>nominalIcePressureP0</x:v>
      </x:c>
      <x:c r="D300" s="35" t="str">
        <x:v>ship</x:v>
      </x:c>
      <x:c r="E300"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300" s="35" t="str">
        <x:v>AUTHORITATIVE_REQUIREMENT_SCOPED</x:v>
      </x:c>
    </x:row>
    <x:row r="301">
      <x:c r="A301" s="38" t="str">
        <x:v>TRF-037</x:v>
      </x:c>
      <x:c r="B301" s="35" t="str">
        <x:v>ship</x:v>
      </x:c>
      <x:c r="C301" s="35" t="str">
        <x:v>shipSizeEngineOutputCoefficientA</x:v>
      </x:c>
      <x:c r="D301" s="35" t="str">
        <x:v>ship</x:v>
      </x:c>
      <x:c r="E301"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301" s="35" t="str">
        <x:v>AUTHORITATIVE_REQUIREMENT_SCOPED</x:v>
      </x:c>
    </x:row>
    <x:row r="302">
      <x:c r="A302" s="38" t="str">
        <x:v>TRF-037</x:v>
      </x:c>
      <x:c r="B302" s="35" t="str">
        <x:v>ship</x:v>
      </x:c>
      <x:c r="C302" s="35" t="str">
        <x:v>shipSizeEngineOutputCoefficientB</x:v>
      </x:c>
      <x:c r="D302" s="35" t="str">
        <x:v>ship</x:v>
      </x:c>
      <x:c r="E302"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302" s="35" t="str">
        <x:v>AUTHORITATIVE_REQUIREMENT_SCOPED</x:v>
      </x:c>
    </x:row>
    <x:row r="303">
      <x:c r="A303" s="38" t="str">
        <x:v>TRF-037</x:v>
      </x:c>
      <x:c r="B303" s="35" t="str">
        <x:v>ship</x:v>
      </x:c>
      <x:c r="C303" s="35" t="str">
        <x:v>shipSizeEngineOutputCoefficientK</x:v>
      </x:c>
      <x:c r="D303" s="35" t="str">
        <x:v>ship</x:v>
      </x:c>
      <x:c r="E303"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303" s="35" t="str">
        <x:v>AUTHORITATIVE_REQUIREMENT_SCOPED</x:v>
      </x:c>
    </x:row>
    <x:row r="304">
      <x:c r="A304" s="38" t="str">
        <x:v>TRF-037</x:v>
      </x:c>
      <x:c r="B304" s="35" t="str">
        <x:v>ship</x:v>
      </x:c>
      <x:c r="C304" s="35" t="str">
        <x:v>shipSizeEngineOutputFactorCd</x:v>
      </x:c>
      <x:c r="D304" s="35" t="str">
        <x:v>ship</x:v>
      </x:c>
      <x:c r="E304" s="35" t="str">
        <x:v>Compute rawCd=(a*k+b)/1000 and validate shipSizeEngineOutputFactorCd against IF(rawCd &gt; 1, 1, rawCd); the maximum is a cap, not a rejection of raw values above 1. | Validate icePressure = shipSizeEngineOutputFactorCd * iceClassFactorCp * iceLoadAreaFactorCa * nominalIcePressureP0; iceLoadAreaFactorCa is owned by directAnalysisCase and is reached from ship with hasDirectAnalysisCase.</x:v>
      </x:c>
      <x:c r="F304" s="35" t="str">
        <x:v>AUTHORITATIVE_REQUIREMENT_SCOPED</x:v>
      </x:c>
    </x:row>
    <x:row r="305">
      <x:c r="A305" s="38" t="str">
        <x:v>TRF-041</x:v>
      </x:c>
      <x:c r="B305" s="35" t="str">
        <x:v>plating</x:v>
      </x:c>
      <x:c r="C305" s="35" t="str">
        <x:v>corrosionAbrasionAddition</x:v>
      </x:c>
      <x:c r="D305" s="35" t="str">
        <x:v>plating</x:v>
      </x:c>
      <x:c r="E305" s="35" t="str">
        <x:v>Use the applicable transverse or longitudinal plating formula and reject missing operands; do not target generic benchmarkEntity.</x:v>
      </x:c>
      <x:c r="F305" s="35" t="str">
        <x:v>AUTHORITATIVE_REQUIREMENT_SCOPED</x:v>
      </x:c>
    </x:row>
    <x:row r="306">
      <x:c r="A306" s="38" t="str">
        <x:v>TRF-041</x:v>
      </x:c>
      <x:c r="B306" s="35" t="str">
        <x:v>plating</x:v>
      </x:c>
      <x:c r="C306" s="35" t="str">
        <x:v>hullStructuralSteelGrade</x:v>
      </x:c>
      <x:c r="D306" s="35" t="str">
        <x:v>plating</x:v>
      </x:c>
      <x:c r="E306" s="35" t="str">
        <x:v>Use the applicable transverse or longitudinal plating formula and reject missing operands; do not target generic benchmarkEntity.</x:v>
      </x:c>
      <x:c r="F306" s="35" t="str">
        <x:v>AUTHORITATIVE_REQUIREMENT_SCOPED</x:v>
      </x:c>
    </x:row>
    <x:row r="307">
      <x:c r="A307" s="38" t="str">
        <x:v>TRF-041</x:v>
      </x:c>
      <x:c r="B307" s="35" t="str">
        <x:v>plating</x:v>
      </x:c>
      <x:c r="C307" s="35" t="str">
        <x:v>icePressure</x:v>
      </x:c>
      <x:c r="D307" s="35" t="str">
        <x:v>plating</x:v>
      </x:c>
      <x:c r="E307" s="35" t="str">
        <x:v>Use the applicable transverse or longitudinal plating formula and reject missing operands; do not target generic benchmarkEntity.</x:v>
      </x:c>
      <x:c r="F307" s="35" t="str">
        <x:v>AUTHORITATIVE_REQUIREMENT_SCOPED</x:v>
      </x:c>
    </x:row>
    <x:row r="308">
      <x:c r="A308" s="38" t="str">
        <x:v>TRF-041</x:v>
      </x:c>
      <x:c r="B308" s="35" t="str">
        <x:v>plating</x:v>
      </x:c>
      <x:c r="C308" s="35" t="str">
        <x:v>longitudinalFramingOrientation</x:v>
      </x:c>
      <x:c r="D308" s="35" t="str">
        <x:v>plating</x:v>
      </x:c>
      <x:c r="E308" s="35" t="str">
        <x:v>Use the applicable transverse or longitudinal plating formula and reject missing operands; do not target generic benchmarkEntity.</x:v>
      </x:c>
      <x:c r="F308" s="35" t="str">
        <x:v>AUTHORITATIVE_REQUIREMENT_SCOPED</x:v>
      </x:c>
    </x:row>
    <x:row r="309">
      <x:c r="A309" s="38" t="str">
        <x:v>TRF-041</x:v>
      </x:c>
      <x:c r="B309" s="35" t="str">
        <x:v>plating</x:v>
      </x:c>
      <x:c r="C309" s="35" t="str">
        <x:v>longitudinalPlatingFactorF2</x:v>
      </x:c>
      <x:c r="D309" s="35" t="str">
        <x:v>plating</x:v>
      </x:c>
      <x:c r="E309" s="35" t="str">
        <x:v>Use the applicable transverse or longitudinal plating formula and reject missing operands; do not target generic benchmarkEntity.</x:v>
      </x:c>
      <x:c r="F309" s="35" t="str">
        <x:v>AUTHORITATIVE_REQUIREMENT_SCOPED</x:v>
      </x:c>
    </x:row>
    <x:row r="310">
      <x:c r="A310" s="38" t="str">
        <x:v>TRF-041</x:v>
      </x:c>
      <x:c r="B310" s="35" t="str">
        <x:v>plating</x:v>
      </x:c>
      <x:c r="C310" s="35" t="str">
        <x:v>platingFramingOrientation</x:v>
      </x:c>
      <x:c r="D310" s="35" t="str">
        <x:v>plating</x:v>
      </x:c>
      <x:c r="E310" s="35" t="str">
        <x:v>Use the applicable transverse or longitudinal plating formula and reject missing operands; do not target generic benchmarkEntity.</x:v>
      </x:c>
      <x:c r="F310" s="35" t="str">
        <x:v>AUTHORITATIVE_REQUIREMENT_SCOPED</x:v>
      </x:c>
    </x:row>
    <x:row r="311">
      <x:c r="A311" s="38" t="str">
        <x:v>TRF-041</x:v>
      </x:c>
      <x:c r="B311" s="35" t="str">
        <x:v>plating</x:v>
      </x:c>
      <x:c r="C311" s="35" t="str">
        <x:v>platingPressure</x:v>
      </x:c>
      <x:c r="D311" s="35" t="str">
        <x:v>plating</x:v>
      </x:c>
      <x:c r="E311" s="35" t="str">
        <x:v>Use the applicable transverse or longitudinal plating formula and reject missing operands; do not target generic benchmarkEntity.</x:v>
      </x:c>
      <x:c r="F311" s="35" t="str">
        <x:v>AUTHORITATIVE_REQUIREMENT_SCOPED</x:v>
      </x:c>
    </x:row>
    <x:row r="312">
      <x:c r="A312" s="38" t="str">
        <x:v>TRF-041</x:v>
      </x:c>
      <x:c r="B312" s="35" t="str">
        <x:v>plating</x:v>
      </x:c>
      <x:c r="C312" s="35" t="str">
        <x:v>requiredShellPlatingThickness</x:v>
      </x:c>
      <x:c r="D312" s="35" t="str">
        <x:v>plating</x:v>
      </x:c>
      <x:c r="E312" s="35" t="str">
        <x:v>Use the applicable transverse or longitudinal plating formula and reject missing operands; do not target generic benchmarkEntity.</x:v>
      </x:c>
      <x:c r="F312" s="35" t="str">
        <x:v>AUTHORITATIVE_REQUIREMENT_SCOPED</x:v>
      </x:c>
    </x:row>
    <x:row r="313">
      <x:c r="A313" s="38" t="str">
        <x:v>TRF-041</x:v>
      </x:c>
      <x:c r="B313" s="35" t="str">
        <x:v>plating</x:v>
      </x:c>
      <x:c r="C313" s="35" t="str">
        <x:v>spacing</x:v>
      </x:c>
      <x:c r="D313" s="35" t="str">
        <x:v>plating</x:v>
      </x:c>
      <x:c r="E313" s="35" t="str">
        <x:v>Use the applicable transverse or longitudinal plating formula and reject missing operands; do not target generic benchmarkEntity.</x:v>
      </x:c>
      <x:c r="F313" s="35" t="str">
        <x:v>AUTHORITATIVE_REQUIREMENT_SCOPED</x:v>
      </x:c>
    </x:row>
    <x:row r="314">
      <x:c r="A314" s="38" t="str">
        <x:v>TRF-041</x:v>
      </x:c>
      <x:c r="B314" s="35" t="str">
        <x:v>plating</x:v>
      </x:c>
      <x:c r="C314" s="35" t="str">
        <x:v>transverseFramingOrientation</x:v>
      </x:c>
      <x:c r="D314" s="35" t="str">
        <x:v>plating</x:v>
      </x:c>
      <x:c r="E314" s="35" t="str">
        <x:v>Use the applicable transverse or longitudinal plating formula and reject missing operands; do not target generic benchmarkEntity.</x:v>
      </x:c>
      <x:c r="F314" s="35" t="str">
        <x:v>AUTHORITATIVE_REQUIREMENT_SCOPED</x:v>
      </x:c>
    </x:row>
    <x:row r="315">
      <x:c r="A315" s="38" t="str">
        <x:v>TRF-041</x:v>
      </x:c>
      <x:c r="B315" s="35" t="str">
        <x:v>plating</x:v>
      </x:c>
      <x:c r="C315" s="35" t="str">
        <x:v>transversePlatingFactorF1</x:v>
      </x:c>
      <x:c r="D315" s="35" t="str">
        <x:v>plating</x:v>
      </x:c>
      <x:c r="E315" s="35" t="str">
        <x:v>Use the applicable transverse or longitudinal plating formula and reject missing operands; do not target generic benchmarkEntity.</x:v>
      </x:c>
      <x:c r="F315" s="35" t="str">
        <x:v>AUTHORITATIVE_REQUIREMENT_SCOPED</x:v>
      </x:c>
    </x:row>
    <x:row r="316">
      <x:c r="A316" s="38" t="str">
        <x:v>TRF-041</x:v>
      </x:c>
      <x:c r="B316" s="35" t="str">
        <x:v>plating</x:v>
      </x:c>
      <x:c r="C316" s="35" t="str">
        <x:v>yieldStrength</x:v>
      </x:c>
      <x:c r="D316" s="35" t="str">
        <x:v>plating</x:v>
      </x:c>
      <x:c r="E316" s="35" t="str">
        <x:v>Use the applicable transverse or longitudinal plating formula and reject missing operands; do not target generic benchmarkEntity.</x:v>
      </x:c>
      <x:c r="F316" s="35" t="str">
        <x:v>AUTHORITATIVE_REQUIREMENT_SCOPED</x:v>
      </x:c>
    </x:row>
    <x:row r="317">
      <x:c r="A317" s="38" t="str">
        <x:v>TRF-042</x:v>
      </x:c>
      <x:c r="B317" s="35" t="str">
        <x:v>plating</x:v>
      </x:c>
      <x:c r="C317" s="35" t="str">
        <x:v>corrosionAbrasionAddition</x:v>
      </x:c>
      <x:c r="D317" s="35" t="str">
        <x:v>plating</x:v>
      </x:c>
      <x:c r="E317" s="35" t="str">
        <x:v>Use tolerance max(1e-6*ABS(expected),1e-12), not the sum of relative and absolute tolerances, for derived f2 comparison. | Constrain materialApprovalStatus to the canonical evidenceState range when a lower corrosion addition is justified by approved maintained coating evidence.</x:v>
      </x:c>
      <x:c r="F317" s="35" t="str">
        <x:v>AUTHORITATIVE_REQUIREMENT_SCOPED</x:v>
      </x:c>
    </x:row>
    <x:row r="318">
      <x:c r="A318" s="38" t="str">
        <x:v>TRF-042</x:v>
      </x:c>
      <x:c r="B318" s="35" t="str">
        <x:v>plating</x:v>
      </x:c>
      <x:c r="C318" s="35" t="str">
        <x:v>designIceLoadHeight</x:v>
      </x:c>
      <x:c r="D318" s="35" t="str">
        <x:v>plating</x:v>
      </x:c>
      <x:c r="E318" s="35" t="str">
        <x:v>Use tolerance max(1e-6*ABS(expected),1e-12), not the sum of relative and absolute tolerances, for derived f2 comparison. | Constrain materialApprovalStatus to the canonical evidenceState range when a lower corrosion addition is justified by approved maintained coating evidence.</x:v>
      </x:c>
      <x:c r="F318" s="35" t="str">
        <x:v>AUTHORITATIVE_REQUIREMENT_SCOPED</x:v>
      </x:c>
    </x:row>
    <x:row r="319">
      <x:c r="A319" s="38" t="str">
        <x:v>TRF-042</x:v>
      </x:c>
      <x:c r="B319" s="35" t="str">
        <x:v>plating</x:v>
      </x:c>
      <x:c r="C319" s="35" t="str">
        <x:v>hullStructuralSteelGrade</x:v>
      </x:c>
      <x:c r="D319" s="35" t="str">
        <x:v>plating</x:v>
      </x:c>
      <x:c r="E319" s="35" t="str">
        <x:v>Use tolerance max(1e-6*ABS(expected),1e-12), not the sum of relative and absolute tolerances, for derived f2 comparison. | Constrain materialApprovalStatus to the canonical evidenceState range when a lower corrosion addition is justified by approved maintained coating evidence.</x:v>
      </x:c>
      <x:c r="F319" s="35" t="str">
        <x:v>AUTHORITATIVE_REQUIREMENT_SCOPED</x:v>
      </x:c>
    </x:row>
    <x:row r="320">
      <x:c r="A320" s="38" t="str">
        <x:v>TRF-042</x:v>
      </x:c>
      <x:c r="B320" s="35" t="str">
        <x:v>plating</x:v>
      </x:c>
      <x:c r="C320" s="35" t="str">
        <x:v>longitudinalPlatingFactorF2</x:v>
      </x:c>
      <x:c r="D320" s="35" t="str">
        <x:v>plating</x:v>
      </x:c>
      <x:c r="E320" s="35" t="str">
        <x:v>Use tolerance max(1e-6*ABS(expected),1e-12), not the sum of relative and absolute tolerances, for derived f2 comparison. | Constrain materialApprovalStatus to the canonical evidenceState range when a lower corrosion addition is justified by approved maintained coating evidence.</x:v>
      </x:c>
      <x:c r="F320" s="35" t="str">
        <x:v>AUTHORITATIVE_REQUIREMENT_SCOPED</x:v>
      </x:c>
    </x:row>
    <x:row r="321">
      <x:c r="A321" s="38" t="str">
        <x:v>TRF-042</x:v>
      </x:c>
      <x:c r="B321" s="35" t="str">
        <x:v>plating</x:v>
      </x:c>
      <x:c r="C321" s="35" t="str">
        <x:v>materialApprovalStatus</x:v>
      </x:c>
      <x:c r="D321" s="35" t="str">
        <x:v>plating</x:v>
      </x:c>
      <x:c r="E321" s="35" t="str">
        <x:v>Use tolerance max(1e-6*ABS(expected),1e-12), not the sum of relative and absolute tolerances, for derived f2 comparison. | Constrain materialApprovalStatus to the canonical evidenceState range when a lower corrosion addition is justified by approved maintained coating evidence.</x:v>
      </x:c>
      <x:c r="F321" s="35" t="str">
        <x:v>AUTHORITATIVE_REQUIREMENT_SCOPED</x:v>
      </x:c>
    </x:row>
    <x:row r="322">
      <x:c r="A322" s="38" t="str">
        <x:v>TRF-042</x:v>
      </x:c>
      <x:c r="B322" s="35" t="str">
        <x:v>plating</x:v>
      </x:c>
      <x:c r="C322" s="35" t="str">
        <x:v>plating</x:v>
      </x:c>
      <x:c r="D322" s="35" t="str">
        <x:v>plating</x:v>
      </x:c>
      <x:c r="E322" s="35" t="str">
        <x:v>Use tolerance max(1e-6*ABS(expected),1e-12), not the sum of relative and absolute tolerances, for derived f2 comparison. | Constrain materialApprovalStatus to the canonical evidenceState range when a lower corrosion addition is justified by approved maintained coating evidence.</x:v>
      </x:c>
      <x:c r="F322" s="35" t="str">
        <x:v>AUTHORITATIVE_REQUIREMENT_SCOPED</x:v>
      </x:c>
    </x:row>
    <x:row r="323">
      <x:c r="A323" s="38" t="str">
        <x:v>TRF-042</x:v>
      </x:c>
      <x:c r="B323" s="35" t="str">
        <x:v>plating</x:v>
      </x:c>
      <x:c r="C323" s="35" t="str">
        <x:v>requiredShellPlatingThickness</x:v>
      </x:c>
      <x:c r="D323" s="35" t="str">
        <x:v>plating</x:v>
      </x:c>
      <x:c r="E323" s="35" t="str">
        <x:v>Use tolerance max(1e-6*ABS(expected),1e-12), not the sum of relative and absolute tolerances, for derived f2 comparison. | Constrain materialApprovalStatus to the canonical evidenceState range when a lower corrosion addition is justified by approved maintained coating evidence.</x:v>
      </x:c>
      <x:c r="F323" s="35" t="str">
        <x:v>AUTHORITATIVE_REQUIREMENT_SCOPED</x:v>
      </x:c>
    </x:row>
    <x:row r="324">
      <x:c r="A324" s="38" t="str">
        <x:v>TRF-042</x:v>
      </x:c>
      <x:c r="B324" s="35" t="str">
        <x:v>plating</x:v>
      </x:c>
      <x:c r="C324" s="35" t="str">
        <x:v>spacing</x:v>
      </x:c>
      <x:c r="D324" s="35" t="str">
        <x:v>plating</x:v>
      </x:c>
      <x:c r="E324" s="35" t="str">
        <x:v>Use tolerance max(1e-6*ABS(expected),1e-12), not the sum of relative and absolute tolerances, for derived f2 comparison. | Constrain materialApprovalStatus to the canonical evidenceState range when a lower corrosion addition is justified by approved maintained coating evidence.</x:v>
      </x:c>
      <x:c r="F324" s="35" t="str">
        <x:v>AUTHORITATIVE_REQUIREMENT_SCOPED</x:v>
      </x:c>
    </x:row>
    <x:row r="325">
      <x:c r="A325" s="38" t="str">
        <x:v>TRF-042</x:v>
      </x:c>
      <x:c r="B325" s="35" t="str">
        <x:v>plating</x:v>
      </x:c>
      <x:c r="C325" s="35" t="str">
        <x:v>specialSurfaceCoatingMaintained</x:v>
      </x:c>
      <x:c r="D325" s="35" t="str">
        <x:v>plating</x:v>
      </x:c>
      <x:c r="E325" s="35" t="str">
        <x:v>Use tolerance max(1e-6*ABS(expected),1e-12), not the sum of relative and absolute tolerances, for derived f2 comparison. | Constrain materialApprovalStatus to the canonical evidenceState range when a lower corrosion addition is justified by approved maintained coating evidence.</x:v>
      </x:c>
      <x:c r="F325" s="35" t="str">
        <x:v>AUTHORITATIVE_REQUIREMENT_SCOPED</x:v>
      </x:c>
    </x:row>
    <x:row r="326">
      <x:c r="A326" s="38" t="str">
        <x:v>TRF-042</x:v>
      </x:c>
      <x:c r="B326" s="35" t="str">
        <x:v>plating</x:v>
      </x:c>
      <x:c r="C326" s="35" t="str">
        <x:v>yieldStrength</x:v>
      </x:c>
      <x:c r="D326" s="35" t="str">
        <x:v>plating</x:v>
      </x:c>
      <x:c r="E326" s="35" t="str">
        <x:v>Use tolerance max(1e-6*ABS(expected),1e-12), not the sum of relative and absolute tolerances, for derived f2 comparison. | Constrain materialApprovalStatus to the canonical evidenceState range when a lower corrosion addition is justified by approved maintained coating evidence.</x:v>
      </x:c>
      <x:c r="F326" s="35" t="str">
        <x:v>AUTHORITATIVE_REQUIREMENT_SCOPED</x:v>
      </x:c>
    </x:row>
    <x:row r="327">
      <x:c r="A327" s="38" t="str">
        <x:v>TRF-043</x:v>
      </x:c>
      <x:c r="B327" s="35" t="str">
        <x:v>frame</x:v>
      </x:c>
      <x:c r="C327" s="35" t="str">
        <x:v>extensionBeyondAdjacentDeckOrTankBoundary</x:v>
      </x:c>
      <x:c r="D327" s="35" t="str">
        <x:v>frame</x:v>
      </x:c>
      <x:c r="E327" s="35" t="str">
        <x:v>Apply Table 4-6 minima by default and model the &lt;=250 mm termination allowance only as an explicit exception.</x:v>
      </x:c>
      <x:c r="F327" s="35" t="str">
        <x:v>AUTHORITATIVE_REQUIREMENT_SCOPED</x:v>
      </x:c>
    </x:row>
    <x:row r="328">
      <x:c r="A328" s="38" t="str">
        <x:v>TRF-043</x:v>
      </x:c>
      <x:c r="B328" s="35" t="str">
        <x:v>frame</x:v>
      </x:c>
      <x:c r="C328" s="35" t="str">
        <x:v>frame</x:v>
      </x:c>
      <x:c r="D328" s="35" t="str">
        <x:v>frame</x:v>
      </x:c>
      <x:c r="E328" s="35" t="str">
        <x:v>Apply Table 4-6 minima by default and model the &lt;=250 mm termination allowance only as an explicit exception.</x:v>
      </x:c>
      <x:c r="F328" s="35" t="str">
        <x:v>AUTHORITATIVE_REQUIREMENT_SCOPED</x:v>
      </x:c>
    </x:row>
    <x:row r="329">
      <x:c r="A329" s="38" t="str">
        <x:v>TRF-043</x:v>
      </x:c>
      <x:c r="B329" s="35" t="str">
        <x:v>frame</x:v>
      </x:c>
      <x:c r="C329" s="35" t="str">
        <x:v>framingIceStrengtheningAboveUpperIceWaterline</x:v>
      </x:c>
      <x:c r="D329" s="35" t="str">
        <x:v>frame</x:v>
      </x:c>
      <x:c r="E329" s="35" t="str">
        <x:v>Apply Table 4-6 minima by default and model the &lt;=250 mm termination allowance only as an explicit exception.</x:v>
      </x:c>
      <x:c r="F329" s="35" t="str">
        <x:v>AUTHORITATIVE_REQUIREMENT_SCOPED</x:v>
      </x:c>
    </x:row>
    <x:row r="330">
      <x:c r="A330" s="38" t="str">
        <x:v>TRF-043</x:v>
      </x:c>
      <x:c r="B330" s="35" t="str">
        <x:v>frame</x:v>
      </x:c>
      <x:c r="C330" s="35" t="str">
        <x:v>framingIceStrengtheningBelowLowerIceWaterline</x:v>
      </x:c>
      <x:c r="D330" s="35" t="str">
        <x:v>frame</x:v>
      </x:c>
      <x:c r="E330" s="35" t="str">
        <x:v>Apply Table 4-6 minima by default and model the &lt;=250 mm termination allowance only as an explicit exception.</x:v>
      </x:c>
      <x:c r="F330" s="35" t="str">
        <x:v>AUTHORITATIVE_REQUIREMENT_SCOPED</x:v>
      </x:c>
    </x:row>
    <x:row r="331">
      <x:c r="A331" s="38" t="str">
        <x:v>TRF-043</x:v>
      </x:c>
      <x:c r="B331" s="35" t="str">
        <x:v>frame</x:v>
      </x:c>
      <x:c r="C331" s="35" t="str">
        <x:v>hullRegion</x:v>
      </x:c>
      <x:c r="D331" s="35" t="str">
        <x:v>frame</x:v>
      </x:c>
      <x:c r="E331" s="35" t="str">
        <x:v>Apply Table 4-6 minima by default and model the &lt;=250 mm termination allowance only as an explicit exception.</x:v>
      </x:c>
      <x:c r="F331" s="35" t="str">
        <x:v>AUTHORITATIVE_REQUIREMENT_SCOPED</x:v>
      </x:c>
    </x:row>
    <x:row r="332">
      <x:c r="A332" s="38" t="str">
        <x:v>TRF-043</x:v>
      </x:c>
      <x:c r="B332" s="35" t="str">
        <x:v>frame</x:v>
      </x:c>
      <x:c r="C332" s="35" t="str">
        <x:v>iceClass</x:v>
      </x:c>
      <x:c r="D332" s="35" t="str">
        <x:v>frame</x:v>
      </x:c>
      <x:c r="E332" s="35" t="str">
        <x:v>Apply Table 4-6 minima by default and model the &lt;=250 mm termination allowance only as an explicit exception.</x:v>
      </x:c>
      <x:c r="F332" s="35" t="str">
        <x:v>AUTHORITATIVE_REQUIREMENT_SCOPED</x:v>
      </x:c>
    </x:row>
    <x:row r="333">
      <x:c r="A333" s="38" t="str">
        <x:v>TRF-043</x:v>
      </x:c>
      <x:c r="B333" s="35" t="str">
        <x:v>frame</x:v>
      </x:c>
      <x:c r="C333" s="35" t="str">
        <x:v>iceStrengtheningTerminationAtAdjacentBoundaryPermitted</x:v>
      </x:c>
      <x:c r="D333" s="35" t="str">
        <x:v>frame</x:v>
      </x:c>
      <x:c r="E333" s="35" t="str">
        <x:v>Apply Table 4-6 minima by default and model the &lt;=250 mm termination allowance only as an explicit exception.</x:v>
      </x:c>
      <x:c r="F333" s="35" t="str">
        <x:v>AUTHORITATIVE_REQUIREMENT_SCOPED</x:v>
      </x:c>
    </x:row>
    <x:row r="334">
      <x:c r="A334" s="38" t="str">
        <x:v>TRF-043</x:v>
      </x:c>
      <x:c r="B334" s="35" t="str">
        <x:v>frame</x:v>
      </x:c>
      <x:c r="C334" s="35" t="str">
        <x:v>reachesTankTopOrBelowFloorTop</x:v>
      </x:c>
      <x:c r="D334" s="35" t="str">
        <x:v>frame</x:v>
      </x:c>
      <x:c r="E334" s="35" t="str">
        <x:v>Apply Table 4-6 minima by default and model the &lt;=250 mm termination allowance only as an explicit exception.</x:v>
      </x:c>
      <x:c r="F334" s="35" t="str">
        <x:v>AUTHORITATIVE_REQUIREMENT_SCOPED</x:v>
      </x:c>
    </x:row>
    <x:row r="335">
      <x:c r="A335" s="38" t="str">
        <x:v>TRF-043</x:v>
      </x:c>
      <x:c r="B335" s="35" t="str">
        <x:v>frame</x:v>
      </x:c>
      <x:c r="C335" s="35" t="str">
        <x:v>reachesUpperBowIceBeltTop</x:v>
      </x:c>
      <x:c r="D335" s="35" t="str">
        <x:v>frame</x:v>
      </x:c>
      <x:c r="E335" s="35" t="str">
        <x:v>Apply Table 4-6 minima by default and model the &lt;=250 mm termination allowance only as an explicit exception.</x:v>
      </x:c>
      <x:c r="F335" s="35" t="str">
        <x:v>AUTHORITATIVE_REQUIREMENT_SCOPED</x:v>
      </x:c>
    </x:row>
    <x:row r="336">
      <x:c r="A336" s="38" t="str">
        <x:v>TRF-043</x:v>
      </x:c>
      <x:c r="B336" s="35" t="str">
        <x:v>frame</x:v>
      </x:c>
      <x:c r="C336" s="35" t="str">
        <x:v>upperBowIceBeltRequired</x:v>
      </x:c>
      <x:c r="D336" s="35" t="str">
        <x:v>frame</x:v>
      </x:c>
      <x:c r="E336" s="35" t="str">
        <x:v>Apply Table 4-6 minima by default and model the &lt;=250 mm termination allowance only as an explicit exception.</x:v>
      </x:c>
      <x:c r="F336" s="35" t="str">
        <x:v>AUTHORITATIVE_REQUIREMENT_SCOPED</x:v>
      </x:c>
    </x:row>
    <x:row r="337">
      <x:c r="A337" s="38" t="str">
        <x:v>TRF-044</x:v>
      </x:c>
      <x:c r="B337" s="35" t="str">
        <x:v>transverseFrame</x:v>
      </x:c>
      <x:c r="C337" s="35" t="str">
        <x:v>designIceLoadHeight</x:v>
      </x:c>
      <x:c r="D337" s="35" t="str">
        <x:v>transverseFrame</x:v>
      </x:c>
      <x:c r="E337" s="35" t="str"/>
      <x:c r="F337" s="35" t="str">
        <x:v>AUTHORITATIVE_REQUIREMENT_SCOPED</x:v>
      </x:c>
    </x:row>
    <x:row r="338">
      <x:c r="A338" s="38" t="str">
        <x:v>TRF-044</x:v>
      </x:c>
      <x:c r="B338" s="35" t="str">
        <x:v>transverseFrame</x:v>
      </x:c>
      <x:c r="C338" s="35" t="str">
        <x:v>effectiveFrameSpan</x:v>
      </x:c>
      <x:c r="D338" s="35" t="str">
        <x:v>transverseFrame</x:v>
      </x:c>
      <x:c r="E338" s="35" t="str"/>
      <x:c r="F338" s="35" t="str">
        <x:v>AUTHORITATIVE_REQUIREMENT_SCOPED</x:v>
      </x:c>
    </x:row>
    <x:row r="339">
      <x:c r="A339" s="38" t="str">
        <x:v>TRF-044</x:v>
      </x:c>
      <x:c r="B339" s="35" t="str">
        <x:v>transverseFrame</x:v>
      </x:c>
      <x:c r="C339" s="35" t="str">
        <x:v>frameBoundaryConditionFactorM0</x:v>
      </x:c>
      <x:c r="D339" s="35" t="str">
        <x:v>transverseFrame</x:v>
      </x:c>
      <x:c r="E339" s="35" t="str"/>
      <x:c r="F339" s="35" t="str">
        <x:v>AUTHORITATIVE_REQUIREMENT_SCOPED</x:v>
      </x:c>
    </x:row>
    <x:row r="340">
      <x:c r="A340" s="38" t="str">
        <x:v>TRF-044</x:v>
      </x:c>
      <x:c r="B340" s="35" t="str">
        <x:v>transverseFrame</x:v>
      </x:c>
      <x:c r="C340" s="35" t="str">
        <x:v>frameBoundaryConditionType</x:v>
      </x:c>
      <x:c r="D340" s="35" t="str">
        <x:v>transverseFrame</x:v>
      </x:c>
      <x:c r="E340" s="35" t="str"/>
      <x:c r="F340" s="35" t="str">
        <x:v>AUTHORITATIVE_REQUIREMENT_SCOPED</x:v>
      </x:c>
    </x:row>
    <x:row r="341">
      <x:c r="A341" s="38" t="str">
        <x:v>TRF-044</x:v>
      </x:c>
      <x:c r="B341" s="35" t="str">
        <x:v>transverseFrame</x:v>
      </x:c>
      <x:c r="C341" s="35" t="str">
        <x:v>frameMomentFactorMt</x:v>
      </x:c>
      <x:c r="D341" s="35" t="str">
        <x:v>transverseFrame</x:v>
      </x:c>
      <x:c r="E341" s="35" t="str"/>
      <x:c r="F341" s="35" t="str">
        <x:v>AUTHORITATIVE_REQUIREMENT_SCOPED</x:v>
      </x:c>
    </x:row>
    <x:row r="342">
      <x:c r="A342" s="38" t="str">
        <x:v>TRF-044</x:v>
      </x:c>
      <x:c r="B342" s="35" t="str">
        <x:v>transverseFrame</x:v>
      </x:c>
      <x:c r="C342" s="35" t="str">
        <x:v>frameShearDistributionFactorF3</x:v>
      </x:c>
      <x:c r="D342" s="35" t="str">
        <x:v>transverseFrame</x:v>
      </x:c>
      <x:c r="E342" s="35" t="str"/>
      <x:c r="F342" s="35" t="str">
        <x:v>AUTHORITATIVE_REQUIREMENT_SCOPED</x:v>
      </x:c>
    </x:row>
    <x:row r="343">
      <x:c r="A343" s="38" t="str">
        <x:v>TRF-044</x:v>
      </x:c>
      <x:c r="B343" s="35" t="str">
        <x:v>transverseFrame</x:v>
      </x:c>
      <x:c r="C343" s="35" t="str">
        <x:v>icePressure</x:v>
      </x:c>
      <x:c r="D343" s="35" t="str">
        <x:v>transverseFrame</x:v>
      </x:c>
      <x:c r="E343" s="35" t="str"/>
      <x:c r="F343" s="35" t="str">
        <x:v>AUTHORITATIVE_REQUIREMENT_SCOPED</x:v>
      </x:c>
    </x:row>
    <x:row r="344">
      <x:c r="A344" s="38" t="str">
        <x:v>TRF-044</x:v>
      </x:c>
      <x:c r="B344" s="35" t="str">
        <x:v>transverseFrame</x:v>
      </x:c>
      <x:c r="C344" s="35" t="str">
        <x:v>intermediateTransverseFrame</x:v>
      </x:c>
      <x:c r="D344" s="35" t="str">
        <x:v>transverseFrame</x:v>
      </x:c>
      <x:c r="E344" s="35" t="str"/>
      <x:c r="F344" s="35" t="str">
        <x:v>AUTHORITATIVE_REQUIREMENT_SCOPED</x:v>
      </x:c>
    </x:row>
    <x:row r="345">
      <x:c r="A345" s="38" t="str">
        <x:v>TRF-044</x:v>
      </x:c>
      <x:c r="B345" s="35" t="str">
        <x:v>transverseFrame</x:v>
      </x:c>
      <x:c r="C345" s="35" t="str">
        <x:v>mainTransverseFrame</x:v>
      </x:c>
      <x:c r="D345" s="35" t="str">
        <x:v>transverseFrame</x:v>
      </x:c>
      <x:c r="E345" s="35" t="str"/>
      <x:c r="F345" s="35" t="str">
        <x:v>AUTHORITATIVE_REQUIREMENT_SCOPED</x:v>
      </x:c>
    </x:row>
    <x:row r="346">
      <x:c r="A346" s="38" t="str">
        <x:v>TRF-044</x:v>
      </x:c>
      <x:c r="B346" s="35" t="str">
        <x:v>transverseFrame</x:v>
      </x:c>
      <x:c r="C346" s="35" t="str">
        <x:v>requiredShearArea</x:v>
      </x:c>
      <x:c r="D346" s="35" t="str">
        <x:v>transverseFrame</x:v>
      </x:c>
      <x:c r="E346" s="35" t="str"/>
      <x:c r="F346" s="35" t="str">
        <x:v>AUTHORITATIVE_REQUIREMENT_SCOPED</x:v>
      </x:c>
    </x:row>
    <x:row r="347">
      <x:c r="A347" s="38" t="str">
        <x:v>TRF-044</x:v>
      </x:c>
      <x:c r="B347" s="35" t="str">
        <x:v>transverseFrame</x:v>
      </x:c>
      <x:c r="C347" s="35" t="str">
        <x:v>sectionModulus</x:v>
      </x:c>
      <x:c r="D347" s="35" t="str">
        <x:v>transverseFrame</x:v>
      </x:c>
      <x:c r="E347" s="35" t="str"/>
      <x:c r="F347" s="35" t="str">
        <x:v>AUTHORITATIVE_REQUIREMENT_SCOPED</x:v>
      </x:c>
    </x:row>
    <x:row r="348">
      <x:c r="A348" s="38" t="str">
        <x:v>TRF-044</x:v>
      </x:c>
      <x:c r="B348" s="35" t="str">
        <x:v>transverseFrame</x:v>
      </x:c>
      <x:c r="C348" s="35" t="str">
        <x:v>spacing</x:v>
      </x:c>
      <x:c r="D348" s="35" t="str">
        <x:v>transverseFrame</x:v>
      </x:c>
      <x:c r="E348" s="35" t="str"/>
      <x:c r="F348" s="35" t="str">
        <x:v>AUTHORITATIVE_REQUIREMENT_SCOPED</x:v>
      </x:c>
    </x:row>
    <x:row r="349">
      <x:c r="A349" s="38" t="str">
        <x:v>TRF-044</x:v>
      </x:c>
      <x:c r="B349" s="35" t="str">
        <x:v>transverseFrame</x:v>
      </x:c>
      <x:c r="C349" s="35" t="str">
        <x:v>span</x:v>
      </x:c>
      <x:c r="D349" s="35" t="str">
        <x:v>transverseFrame</x:v>
      </x:c>
      <x:c r="E349" s="35" t="str"/>
      <x:c r="F349" s="35" t="str">
        <x:v>AUTHORITATIVE_REQUIREMENT_SCOPED</x:v>
      </x:c>
    </x:row>
    <x:row r="350">
      <x:c r="A350" s="38" t="str">
        <x:v>TRF-044</x:v>
      </x:c>
      <x:c r="B350" s="35" t="str">
        <x:v>transverseFrame</x:v>
      </x:c>
      <x:c r="C350" s="35" t="str">
        <x:v>yieldStrength</x:v>
      </x:c>
      <x:c r="D350" s="35" t="str">
        <x:v>transverseFrame</x:v>
      </x:c>
      <x:c r="E350" s="35" t="str"/>
      <x:c r="F350" s="35" t="str">
        <x:v>AUTHORITATIVE_REQUIREMENT_SCOPED</x:v>
      </x:c>
    </x:row>
    <x:row r="351">
      <x:c r="A351" s="38" t="str">
        <x:v>TRF-045</x:v>
      </x:c>
      <x:c r="B351" s="35" t="str">
        <x:v>frame</x:v>
      </x:c>
      <x:c r="C351" s="35" t="str">
        <x:v>frameSpanWithinIceStrengtheningZone</x:v>
      </x:c>
      <x:c r="D351" s="35" t="str">
        <x:v>frame</x:v>
      </x:c>
      <x:c r="E351" s="35" t="str"/>
      <x:c r="F351" s="35" t="str">
        <x:v>AUTHORITATIVE_REQUIREMENT_SCOPED</x:v>
      </x:c>
    </x:row>
    <x:row r="352">
      <x:c r="A352" s="38" t="str">
        <x:v>TRF-045</x:v>
      </x:c>
      <x:c r="B352" s="35" t="str">
        <x:v>frame</x:v>
      </x:c>
      <x:c r="C352" s="35" t="str">
        <x:v>ordinaryFrameScantlingsUsed</x:v>
      </x:c>
      <x:c r="D352" s="35" t="str">
        <x:v>frame</x:v>
      </x:c>
      <x:c r="E352" s="35" t="str"/>
      <x:c r="F352" s="35" t="str">
        <x:v>AUTHORITATIVE_REQUIREMENT_SCOPED</x:v>
      </x:c>
    </x:row>
    <x:row r="353">
      <x:c r="A353" s="38" t="str">
        <x:v>TRF-045</x:v>
      </x:c>
      <x:c r="B353" s="35" t="str">
        <x:v>frame</x:v>
      </x:c>
      <x:c r="C353" s="35" t="str">
        <x:v>span</x:v>
      </x:c>
      <x:c r="D353" s="35" t="str">
        <x:v>frame</x:v>
      </x:c>
      <x:c r="E353" s="35" t="str"/>
      <x:c r="F353" s="35" t="str">
        <x:v>AUTHORITATIVE_REQUIREMENT_SCOPED</x:v>
      </x:c>
    </x:row>
    <x:row r="354">
      <x:c r="A354" s="38" t="str">
        <x:v>TRF-046</x:v>
      </x:c>
      <x:c r="B354" s="35" t="str">
        <x:v>frame</x:v>
      </x:c>
      <x:c r="C354" s="35" t="str">
        <x:v>connectsToAdjacentMainFrame</x:v>
      </x:c>
      <x:c r="D354" s="35" t="str">
        <x:v>horizontalConnectionMember</x:v>
      </x:c>
      <x:c r="E354" s="35" t="str">
        <x:v>Require the strengthened upper end to attach to an eligible supporting structure. The at-or-above-ice-belt condition qualifies only the ordinary-scantlings and intermediate-frame horizontal-member permissions; it is not an unconditional attachment requirement.</x:v>
      </x:c>
      <x:c r="F354" s="35" t="str">
        <x:v>AUTHORITATIVE_REQUIREMENT_SCOPED</x:v>
      </x:c>
    </x:row>
    <x:row r="355">
      <x:c r="A355" s="38" t="str">
        <x:v>TRF-046</x:v>
      </x:c>
      <x:c r="B355" s="35" t="str">
        <x:v>frame</x:v>
      </x:c>
      <x:c r="C355" s="35" t="str">
        <x:v>deckStructure</x:v>
      </x:c>
      <x:c r="D355" s="35" t="str">
        <x:v>frame</x:v>
      </x:c>
      <x:c r="E355" s="35" t="str">
        <x:v>Require the strengthened upper end to attach to an eligible supporting structure. The at-or-above-ice-belt condition qualifies only the ordinary-scantlings and intermediate-frame horizontal-member permissions; it is not an unconditional attachment requirement.</x:v>
      </x:c>
      <x:c r="F355" s="35" t="str">
        <x:v>AUTHORITATIVE_REQUIREMENT_SCOPED</x:v>
      </x:c>
    </x:row>
    <x:row r="356">
      <x:c r="A356" s="38" t="str">
        <x:v>TRF-046</x:v>
      </x:c>
      <x:c r="B356" s="35" t="str">
        <x:v>frame</x:v>
      </x:c>
      <x:c r="C356" s="35" t="str">
        <x:v>frameStrengthenedPart</x:v>
      </x:c>
      <x:c r="D356" s="35" t="str">
        <x:v>frame</x:v>
      </x:c>
      <x:c r="E356" s="35" t="str">
        <x:v>Require the strengthened upper end to attach to an eligible supporting structure. The at-or-above-ice-belt condition qualifies only the ordinary-scantlings and intermediate-frame horizontal-member permissions; it is not an unconditional attachment requirement.</x:v>
      </x:c>
      <x:c r="F356" s="35" t="str">
        <x:v>AUTHORITATIVE_REQUIREMENT_SCOPED</x:v>
      </x:c>
    </x:row>
    <x:row r="357">
      <x:c r="A357" s="38" t="str">
        <x:v>TRF-046</x:v>
      </x:c>
      <x:c r="B357" s="35" t="str">
        <x:v>frame</x:v>
      </x:c>
      <x:c r="C357" s="35" t="str">
        <x:v>hasAttachedSupportingStructure</x:v>
      </x:c>
      <x:c r="D357" s="35" t="str">
        <x:v>frameEnd</x:v>
      </x:c>
      <x:c r="E357" s="35" t="str">
        <x:v>Require the strengthened upper end to attach to an eligible supporting structure. The at-or-above-ice-belt condition qualifies only the ordinary-scantlings and intermediate-frame horizontal-member permissions; it is not an unconditional attachment requirement.</x:v>
      </x:c>
      <x:c r="F357" s="35" t="str">
        <x:v>AUTHORITATIVE_REQUIREMENT_SCOPED</x:v>
      </x:c>
    </x:row>
    <x:row r="358">
      <x:c r="A358" s="38" t="str">
        <x:v>TRF-046</x:v>
      </x:c>
      <x:c r="B358" s="35" t="str">
        <x:v>frame</x:v>
      </x:c>
      <x:c r="C358" s="35" t="str">
        <x:v>hasHorizontalConnectionMember</x:v>
      </x:c>
      <x:c r="D358" s="35" t="str">
        <x:v>frameEnd</x:v>
      </x:c>
      <x:c r="E358" s="35" t="str">
        <x:v>Require the strengthened upper end to attach to an eligible supporting structure. The at-or-above-ice-belt condition qualifies only the ordinary-scantlings and intermediate-frame horizontal-member permissions; it is not an unconditional attachment requirement.</x:v>
      </x:c>
      <x:c r="F358" s="35" t="str">
        <x:v>AUTHORITATIVE_REQUIREMENT_SCOPED</x:v>
      </x:c>
    </x:row>
    <x:row r="359">
      <x:c r="A359" s="38" t="str">
        <x:v>TRF-046</x:v>
      </x:c>
      <x:c r="B359" s="35" t="str">
        <x:v>frame</x:v>
      </x:c>
      <x:c r="C359" s="35" t="str">
        <x:v>hasStrengthenedPart</x:v>
      </x:c>
      <x:c r="D359" s="35" t="str">
        <x:v>frame</x:v>
      </x:c>
      <x:c r="E359" s="35" t="str">
        <x:v>Require the strengthened upper end to attach to an eligible supporting structure. The at-or-above-ice-belt condition qualifies only the ordinary-scantlings and intermediate-frame horizontal-member permissions; it is not an unconditional attachment requirement.</x:v>
      </x:c>
      <x:c r="F359" s="35" t="str">
        <x:v>AUTHORITATIVE_REQUIREMENT_SCOPED</x:v>
      </x:c>
    </x:row>
    <x:row r="360">
      <x:c r="A360" s="38" t="str">
        <x:v>TRF-046</x:v>
      </x:c>
      <x:c r="B360" s="35" t="str">
        <x:v>frame</x:v>
      </x:c>
      <x:c r="C360" s="35" t="str">
        <x:v>hasTerminationAboveSupportingStructure</x:v>
      </x:c>
      <x:c r="D360" s="35" t="str">
        <x:v>frameEnd</x:v>
      </x:c>
      <x:c r="E360" s="35" t="str">
        <x:v>Require the strengthened upper end to attach to an eligible supporting structure. The at-or-above-ice-belt condition qualifies only the ordinary-scantlings and intermediate-frame horizontal-member permissions; it is not an unconditional attachment requirement.</x:v>
      </x:c>
      <x:c r="F360" s="35" t="str">
        <x:v>AUTHORITATIVE_REQUIREMENT_SCOPED</x:v>
      </x:c>
    </x:row>
    <x:row r="361">
      <x:c r="A361" s="38" t="str">
        <x:v>TRF-046</x:v>
      </x:c>
      <x:c r="B361" s="35" t="str">
        <x:v>frame</x:v>
      </x:c>
      <x:c r="C361" s="35" t="str">
        <x:v>hasUpperEnd</x:v>
      </x:c>
      <x:c r="D361" s="35" t="str">
        <x:v>frame</x:v>
      </x:c>
      <x:c r="E361" s="35" t="str">
        <x:v>Require the strengthened upper end to attach to an eligible supporting structure. The at-or-above-ice-belt condition qualifies only the ordinary-scantlings and intermediate-frame horizontal-member permissions; it is not an unconditional attachment requirement.</x:v>
      </x:c>
      <x:c r="F361" s="35" t="str">
        <x:v>AUTHORITATIVE_REQUIREMENT_SCOPED</x:v>
      </x:c>
    </x:row>
    <x:row r="362">
      <x:c r="A362" s="38" t="str">
        <x:v>TRF-046</x:v>
      </x:c>
      <x:c r="B362" s="35" t="str">
        <x:v>frame</x:v>
      </x:c>
      <x:c r="C362" s="35" t="str">
        <x:v>horizontalConnectionMember</x:v>
      </x:c>
      <x:c r="D362" s="35" t="str">
        <x:v>frame</x:v>
      </x:c>
      <x:c r="E362" s="35" t="str">
        <x:v>Require the strengthened upper end to attach to an eligible supporting structure. The at-or-above-ice-belt condition qualifies only the ordinary-scantlings and intermediate-frame horizontal-member permissions; it is not an unconditional attachment requirement.</x:v>
      </x:c>
      <x:c r="F362" s="35" t="str">
        <x:v>AUTHORITATIVE_REQUIREMENT_SCOPED</x:v>
      </x:c>
    </x:row>
    <x:row r="363">
      <x:c r="A363" s="38" t="str">
        <x:v>TRF-046</x:v>
      </x:c>
      <x:c r="B363" s="35" t="str">
        <x:v>frame</x:v>
      </x:c>
      <x:c r="C363" s="35" t="str">
        <x:v>iceStringer</x:v>
      </x:c>
      <x:c r="D363" s="35" t="str">
        <x:v>frame</x:v>
      </x:c>
      <x:c r="E363" s="35" t="str">
        <x:v>Require the strengthened upper end to attach to an eligible supporting structure. The at-or-above-ice-belt condition qualifies only the ordinary-scantlings and intermediate-frame horizontal-member permissions; it is not an unconditional attachment requirement.</x:v>
      </x:c>
      <x:c r="F363" s="35" t="str">
        <x:v>AUTHORITATIVE_REQUIREMENT_SCOPED</x:v>
      </x:c>
    </x:row>
    <x:row r="364">
      <x:c r="A364" s="38" t="str">
        <x:v>TRF-046</x:v>
      </x:c>
      <x:c r="B364" s="35" t="str">
        <x:v>frame</x:v>
      </x:c>
      <x:c r="C364" s="35" t="str">
        <x:v>intermediateIceFrame</x:v>
      </x:c>
      <x:c r="D364" s="35" t="str">
        <x:v>frame</x:v>
      </x:c>
      <x:c r="E364" s="35" t="str">
        <x:v>Require the strengthened upper end to attach to an eligible supporting structure. The at-or-above-ice-belt condition qualifies only the ordinary-scantlings and intermediate-frame horizontal-member permissions; it is not an unconditional attachment requirement.</x:v>
      </x:c>
      <x:c r="F364" s="35" t="str">
        <x:v>AUTHORITATIVE_REQUIREMENT_SCOPED</x:v>
      </x:c>
    </x:row>
    <x:row r="365">
      <x:c r="A365" s="38" t="str">
        <x:v>TRF-046</x:v>
      </x:c>
      <x:c r="B365" s="35" t="str">
        <x:v>frame</x:v>
      </x:c>
      <x:c r="C365" s="35" t="str">
        <x:v>mainFrame</x:v>
      </x:c>
      <x:c r="D365" s="35" t="str">
        <x:v>frame</x:v>
      </x:c>
      <x:c r="E365" s="35" t="str">
        <x:v>Require the strengthened upper end to attach to an eligible supporting structure. The at-or-above-ice-belt condition qualifies only the ordinary-scantlings and intermediate-frame horizontal-member permissions; it is not an unconditional attachment requirement.</x:v>
      </x:c>
      <x:c r="F365" s="35" t="str">
        <x:v>AUTHORITATIVE_REQUIREMENT_SCOPED</x:v>
      </x:c>
    </x:row>
    <x:row r="366">
      <x:c r="A366" s="38" t="str">
        <x:v>TRF-046</x:v>
      </x:c>
      <x:c r="B366" s="35" t="str">
        <x:v>frame</x:v>
      </x:c>
      <x:c r="C366" s="35" t="str">
        <x:v>ordinaryFrameScantlingsUsed</x:v>
      </x:c>
      <x:c r="D366" s="35" t="str">
        <x:v>frameStrengthenedPart</x:v>
      </x:c>
      <x:c r="E366" s="35" t="str">
        <x:v>Require the strengthened upper end to attach to an eligible supporting structure. The at-or-above-ice-belt condition qualifies only the ordinary-scantlings and intermediate-frame horizontal-member permissions; it is not an unconditional attachment requirement.</x:v>
      </x:c>
      <x:c r="F366" s="35" t="str">
        <x:v>AUTHORITATIVE_REQUIREMENT_SCOPED</x:v>
      </x:c>
    </x:row>
    <x:row r="367">
      <x:c r="A367" s="38" t="str">
        <x:v>TRF-046</x:v>
      </x:c>
      <x:c r="B367" s="35" t="str">
        <x:v>frame</x:v>
      </x:c>
      <x:c r="C367" s="35" t="str">
        <x:v>sameScantlingsAsMainFrame</x:v>
      </x:c>
      <x:c r="D367" s="35" t="str">
        <x:v>horizontalConnectionMember</x:v>
      </x:c>
      <x:c r="E367" s="35" t="str">
        <x:v>Require the strengthened upper end to attach to an eligible supporting structure. The at-or-above-ice-belt condition qualifies only the ordinary-scantlings and intermediate-frame horizontal-member permissions; it is not an unconditional attachment requirement.</x:v>
      </x:c>
      <x:c r="F367" s="35" t="str">
        <x:v>AUTHORITATIVE_REQUIREMENT_SCOPED</x:v>
      </x:c>
    </x:row>
    <x:row r="368">
      <x:c r="A368" s="38" t="str">
        <x:v>TRF-046</x:v>
      </x:c>
      <x:c r="B368" s="35" t="str">
        <x:v>frame</x:v>
      </x:c>
      <x:c r="C368" s="35" t="str">
        <x:v>supportingStructure</x:v>
      </x:c>
      <x:c r="D368" s="35" t="str">
        <x:v>frame</x:v>
      </x:c>
      <x:c r="E368" s="35" t="str">
        <x:v>Require the strengthened upper end to attach to an eligible supporting structure. The at-or-above-ice-belt condition qualifies only the ordinary-scantlings and intermediate-frame horizontal-member permissions; it is not an unconditional attachment requirement.</x:v>
      </x:c>
      <x:c r="F368" s="35" t="str">
        <x:v>AUTHORITATIVE_REQUIREMENT_SCOPED</x:v>
      </x:c>
    </x:row>
    <x:row r="369">
      <x:c r="A369" s="38" t="str">
        <x:v>TRF-046</x:v>
      </x:c>
      <x:c r="B369" s="35" t="str">
        <x:v>frame</x:v>
      </x:c>
      <x:c r="C369" s="35" t="str">
        <x:v>supportingStructureAtOrAboveIceBeltUpperLimit</x:v>
      </x:c>
      <x:c r="D369" s="35" t="str">
        <x:v>supportingStructure</x:v>
      </x:c>
      <x:c r="E369" s="35" t="str">
        <x:v>Require the strengthened upper end to attach to an eligible supporting structure. The at-or-above-ice-belt condition qualifies only the ordinary-scantlings and intermediate-frame horizontal-member permissions; it is not an unconditional attachment requirement.</x:v>
      </x:c>
      <x:c r="F369" s="35" t="str">
        <x:v>AUTHORITATIVE_REQUIREMENT_SCOPED</x:v>
      </x:c>
    </x:row>
    <x:row r="370">
      <x:c r="A370" s="38" t="str">
        <x:v>TRF-046</x:v>
      </x:c>
      <x:c r="B370" s="35" t="str">
        <x:v>frame</x:v>
      </x:c>
      <x:c r="C370" s="35" t="str">
        <x:v>tankBoundaryPlating</x:v>
      </x:c>
      <x:c r="D370" s="35" t="str">
        <x:v>frame</x:v>
      </x:c>
      <x:c r="E370" s="35" t="str">
        <x:v>Require the strengthened upper end to attach to an eligible supporting structure. The at-or-above-ice-belt condition qualifies only the ordinary-scantlings and intermediate-frame horizontal-member permissions; it is not an unconditional attachment requirement.</x:v>
      </x:c>
      <x:c r="F370" s="35" t="str">
        <x:v>AUTHORITATIVE_REQUIREMENT_SCOPED</x:v>
      </x:c>
    </x:row>
    <x:row r="371">
      <x:c r="A371" s="38" t="str">
        <x:v>TRF-046</x:v>
      </x:c>
      <x:c r="B371" s="35" t="str">
        <x:v>frame</x:v>
      </x:c>
      <x:c r="C371" s="35" t="str">
        <x:v>transverseFrame</x:v>
      </x:c>
      <x:c r="D371" s="35" t="str">
        <x:v>frame</x:v>
      </x:c>
      <x:c r="E371" s="35" t="str">
        <x:v>Require the strengthened upper end to attach to an eligible supporting structure. The at-or-above-ice-belt condition qualifies only the ordinary-scantlings and intermediate-frame horizontal-member permissions; it is not an unconditional attachment requirement.</x:v>
      </x:c>
      <x:c r="F371" s="35" t="str">
        <x:v>AUTHORITATIVE_REQUIREMENT_SCOPED</x:v>
      </x:c>
    </x:row>
    <x:row r="372">
      <x:c r="A372" s="38" t="str">
        <x:v>TRF-047</x:v>
      </x:c>
      <x:c r="B372" s="35" t="str">
        <x:v>frame</x:v>
      </x:c>
      <x:c r="C372" s="35" t="str">
        <x:v>connectsToAdjacentMainFrame</x:v>
      </x:c>
      <x:c r="D372" s="35" t="str">
        <x:v>frame</x:v>
      </x:c>
      <x:c r="E372" s="35" t="str"/>
      <x:c r="F372" s="35" t="str">
        <x:v>AUTHORITATIVE_REQUIREMENT_SCOPED</x:v>
      </x:c>
    </x:row>
    <x:row r="373">
      <x:c r="A373" s="38" t="str">
        <x:v>TRF-047</x:v>
      </x:c>
      <x:c r="B373" s="35" t="str">
        <x:v>frame</x:v>
      </x:c>
      <x:c r="C373" s="35" t="str">
        <x:v>deckStructure</x:v>
      </x:c>
      <x:c r="D373" s="35" t="str">
        <x:v>frame</x:v>
      </x:c>
      <x:c r="E373" s="35" t="str"/>
      <x:c r="F373" s="35" t="str">
        <x:v>AUTHORITATIVE_REQUIREMENT_SCOPED</x:v>
      </x:c>
    </x:row>
    <x:row r="374">
      <x:c r="A374" s="38" t="str">
        <x:v>TRF-047</x:v>
      </x:c>
      <x:c r="B374" s="35" t="str">
        <x:v>frame</x:v>
      </x:c>
      <x:c r="C374" s="35" t="str">
        <x:v>frameStrengthenedPart</x:v>
      </x:c>
      <x:c r="D374" s="35" t="str">
        <x:v>frame</x:v>
      </x:c>
      <x:c r="E374" s="35" t="str"/>
      <x:c r="F374" s="35" t="str">
        <x:v>AUTHORITATIVE_REQUIREMENT_SCOPED</x:v>
      </x:c>
    </x:row>
    <x:row r="375">
      <x:c r="A375" s="38" t="str">
        <x:v>TRF-047</x:v>
      </x:c>
      <x:c r="B375" s="35" t="str">
        <x:v>frame</x:v>
      </x:c>
      <x:c r="C375" s="35" t="str">
        <x:v>hasAttachedSupportingStructure</x:v>
      </x:c>
      <x:c r="D375" s="35" t="str">
        <x:v>frame</x:v>
      </x:c>
      <x:c r="E375" s="35" t="str"/>
      <x:c r="F375" s="35" t="str">
        <x:v>AUTHORITATIVE_REQUIREMENT_SCOPED</x:v>
      </x:c>
    </x:row>
    <x:row r="376">
      <x:c r="A376" s="38" t="str">
        <x:v>TRF-047</x:v>
      </x:c>
      <x:c r="B376" s="35" t="str">
        <x:v>frame</x:v>
      </x:c>
      <x:c r="C376" s="35" t="str">
        <x:v>hasHorizontalConnectionMember</x:v>
      </x:c>
      <x:c r="D376" s="35" t="str">
        <x:v>frameEnd</x:v>
      </x:c>
      <x:c r="E376" s="35" t="str"/>
      <x:c r="F376" s="35" t="str">
        <x:v>AUTHORITATIVE_REQUIREMENT_SCOPED</x:v>
      </x:c>
    </x:row>
    <x:row r="377">
      <x:c r="A377" s="38" t="str">
        <x:v>TRF-047</x:v>
      </x:c>
      <x:c r="B377" s="35" t="str">
        <x:v>frame</x:v>
      </x:c>
      <x:c r="C377" s="35" t="str">
        <x:v>hasLowerEnd</x:v>
      </x:c>
      <x:c r="D377" s="35" t="str">
        <x:v>frame</x:v>
      </x:c>
      <x:c r="E377" s="35" t="str"/>
      <x:c r="F377" s="35" t="str">
        <x:v>AUTHORITATIVE_REQUIREMENT_SCOPED</x:v>
      </x:c>
    </x:row>
    <x:row r="378">
      <x:c r="A378" s="38" t="str">
        <x:v>TRF-047</x:v>
      </x:c>
      <x:c r="B378" s="35" t="str">
        <x:v>frame</x:v>
      </x:c>
      <x:c r="C378" s="35" t="str">
        <x:v>hasStrengthenedPart</x:v>
      </x:c>
      <x:c r="D378" s="35" t="str">
        <x:v>frame</x:v>
      </x:c>
      <x:c r="E378" s="35" t="str"/>
      <x:c r="F378" s="35" t="str">
        <x:v>AUTHORITATIVE_REQUIREMENT_SCOPED</x:v>
      </x:c>
    </x:row>
    <x:row r="379">
      <x:c r="A379" s="38" t="str">
        <x:v>TRF-047</x:v>
      </x:c>
      <x:c r="B379" s="35" t="str">
        <x:v>frame</x:v>
      </x:c>
      <x:c r="C379" s="35" t="str">
        <x:v>hasTerminationBelowSupportingStructure</x:v>
      </x:c>
      <x:c r="D379" s="35" t="str">
        <x:v>frame</x:v>
      </x:c>
      <x:c r="E379" s="35" t="str"/>
      <x:c r="F379" s="35" t="str">
        <x:v>AUTHORITATIVE_REQUIREMENT_SCOPED</x:v>
      </x:c>
    </x:row>
    <x:row r="380">
      <x:c r="A380" s="38" t="str">
        <x:v>TRF-047</x:v>
      </x:c>
      <x:c r="B380" s="35" t="str">
        <x:v>frame</x:v>
      </x:c>
      <x:c r="C380" s="35" t="str">
        <x:v>horizontalConnectionMember</x:v>
      </x:c>
      <x:c r="D380" s="35" t="str">
        <x:v>frame</x:v>
      </x:c>
      <x:c r="E380" s="35" t="str"/>
      <x:c r="F380" s="35" t="str">
        <x:v>AUTHORITATIVE_REQUIREMENT_SCOPED</x:v>
      </x:c>
    </x:row>
    <x:row r="381">
      <x:c r="A381" s="38" t="str">
        <x:v>TRF-047</x:v>
      </x:c>
      <x:c r="B381" s="35" t="str">
        <x:v>frame</x:v>
      </x:c>
      <x:c r="C381" s="35" t="str">
        <x:v>iceStringer</x:v>
      </x:c>
      <x:c r="D381" s="35" t="str">
        <x:v>frame</x:v>
      </x:c>
      <x:c r="E381" s="35" t="str"/>
      <x:c r="F381" s="35" t="str">
        <x:v>AUTHORITATIVE_REQUIREMENT_SCOPED</x:v>
      </x:c>
    </x:row>
    <x:row r="382">
      <x:c r="A382" s="38" t="str">
        <x:v>TRF-047</x:v>
      </x:c>
      <x:c r="B382" s="35" t="str">
        <x:v>frame</x:v>
      </x:c>
      <x:c r="C382" s="35" t="str">
        <x:v>intermediateIceFrame</x:v>
      </x:c>
      <x:c r="D382" s="35" t="str">
        <x:v>frame</x:v>
      </x:c>
      <x:c r="E382" s="35" t="str"/>
      <x:c r="F382" s="35" t="str">
        <x:v>AUTHORITATIVE_REQUIREMENT_SCOPED</x:v>
      </x:c>
    </x:row>
    <x:row r="383">
      <x:c r="A383" s="38" t="str">
        <x:v>TRF-047</x:v>
      </x:c>
      <x:c r="B383" s="35" t="str">
        <x:v>frame</x:v>
      </x:c>
      <x:c r="C383" s="35" t="str">
        <x:v>mainFrame</x:v>
      </x:c>
      <x:c r="D383" s="35" t="str">
        <x:v>frame</x:v>
      </x:c>
      <x:c r="E383" s="35" t="str"/>
      <x:c r="F383" s="35" t="str">
        <x:v>AUTHORITATIVE_REQUIREMENT_SCOPED</x:v>
      </x:c>
    </x:row>
    <x:row r="384">
      <x:c r="A384" s="38" t="str">
        <x:v>TRF-047</x:v>
      </x:c>
      <x:c r="B384" s="35" t="str">
        <x:v>frame</x:v>
      </x:c>
      <x:c r="C384" s="35" t="str">
        <x:v>mainFrameBelowIceBeltStrengthened</x:v>
      </x:c>
      <x:c r="D384" s="35" t="str">
        <x:v>frame</x:v>
      </x:c>
      <x:c r="E384" s="35" t="str"/>
      <x:c r="F384" s="35" t="str">
        <x:v>AUTHORITATIVE_REQUIREMENT_SCOPED</x:v>
      </x:c>
    </x:row>
    <x:row r="385">
      <x:c r="A385" s="38" t="str">
        <x:v>TRF-047</x:v>
      </x:c>
      <x:c r="B385" s="35" t="str">
        <x:v>frame</x:v>
      </x:c>
      <x:c r="C385" s="35" t="str">
        <x:v>ordinaryFrameScantlingsUsed</x:v>
      </x:c>
      <x:c r="D385" s="35" t="str">
        <x:v>frame</x:v>
      </x:c>
      <x:c r="E385" s="35" t="str"/>
      <x:c r="F385" s="35" t="str">
        <x:v>AUTHORITATIVE_REQUIREMENT_SCOPED</x:v>
      </x:c>
    </x:row>
    <x:row r="386">
      <x:c r="A386" s="38" t="str">
        <x:v>TRF-047</x:v>
      </x:c>
      <x:c r="B386" s="35" t="str">
        <x:v>frame</x:v>
      </x:c>
      <x:c r="C386" s="35" t="str">
        <x:v>sameScantlingsAsMainFrame</x:v>
      </x:c>
      <x:c r="D386" s="35" t="str">
        <x:v>frame</x:v>
      </x:c>
      <x:c r="E386" s="35" t="str"/>
      <x:c r="F386" s="35" t="str">
        <x:v>AUTHORITATIVE_REQUIREMENT_SCOPED</x:v>
      </x:c>
    </x:row>
    <x:row r="387">
      <x:c r="A387" s="38" t="str">
        <x:v>TRF-047</x:v>
      </x:c>
      <x:c r="B387" s="35" t="str">
        <x:v>frame</x:v>
      </x:c>
      <x:c r="C387" s="35" t="str">
        <x:v>supportingStructure</x:v>
      </x:c>
      <x:c r="D387" s="35" t="str">
        <x:v>frame</x:v>
      </x:c>
      <x:c r="E387" s="35" t="str"/>
      <x:c r="F387" s="35" t="str">
        <x:v>AUTHORITATIVE_REQUIREMENT_SCOPED</x:v>
      </x:c>
    </x:row>
    <x:row r="388">
      <x:c r="A388" s="38" t="str">
        <x:v>TRF-047</x:v>
      </x:c>
      <x:c r="B388" s="35" t="str">
        <x:v>frame</x:v>
      </x:c>
      <x:c r="C388" s="35" t="str">
        <x:v>supportingStructureAtOrBelowIceBeltLowerLimit</x:v>
      </x:c>
      <x:c r="D388" s="35" t="str">
        <x:v>frame</x:v>
      </x:c>
      <x:c r="E388" s="35" t="str"/>
      <x:c r="F388" s="35" t="str">
        <x:v>AUTHORITATIVE_REQUIREMENT_SCOPED</x:v>
      </x:c>
    </x:row>
    <x:row r="389">
      <x:c r="A389" s="38" t="str">
        <x:v>TRF-047</x:v>
      </x:c>
      <x:c r="B389" s="35" t="str">
        <x:v>frame</x:v>
      </x:c>
      <x:c r="C389" s="35" t="str">
        <x:v>tankBoundaryPlating</x:v>
      </x:c>
      <x:c r="D389" s="35" t="str">
        <x:v>frame</x:v>
      </x:c>
      <x:c r="E389" s="35" t="str"/>
      <x:c r="F389" s="35" t="str">
        <x:v>AUTHORITATIVE_REQUIREMENT_SCOPED</x:v>
      </x:c>
    </x:row>
    <x:row r="390">
      <x:c r="A390" s="38" t="str">
        <x:v>TRF-047</x:v>
      </x:c>
      <x:c r="B390" s="35" t="str">
        <x:v>frame</x:v>
      </x:c>
      <x:c r="C390" s="35" t="str">
        <x:v>tankTop</x:v>
      </x:c>
      <x:c r="D390" s="35" t="str">
        <x:v>frame</x:v>
      </x:c>
      <x:c r="E390" s="35" t="str"/>
      <x:c r="F390" s="35" t="str">
        <x:v>AUTHORITATIVE_REQUIREMENT_SCOPED</x:v>
      </x:c>
    </x:row>
    <x:row r="391">
      <x:c r="A391" s="38" t="str">
        <x:v>TRF-047</x:v>
      </x:c>
      <x:c r="B391" s="35" t="str">
        <x:v>frame</x:v>
      </x:c>
      <x:c r="C391" s="35" t="str">
        <x:v>transverseFrame</x:v>
      </x:c>
      <x:c r="D391" s="35" t="str">
        <x:v>frame</x:v>
      </x:c>
      <x:c r="E391" s="35" t="str"/>
      <x:c r="F391" s="35" t="str">
        <x:v>AUTHORITATIVE_REQUIREMENT_SCOPED</x:v>
      </x:c>
    </x:row>
    <x:row r="392">
      <x:c r="A392" s="38" t="str">
        <x:v>TRF-048</x:v>
      </x:c>
      <x:c r="B392" s="35" t="str">
        <x:v>longitudinalFrame</x:v>
      </x:c>
      <x:c r="C392" s="35" t="str">
        <x:v>actualFrameShearArea</x:v>
      </x:c>
      <x:c r="D392" s="35" t="str">
        <x:v>longitudinalFrame</x:v>
      </x:c>
      <x:c r="E392" s="35" t="str"/>
      <x:c r="F392" s="35" t="str">
        <x:v>AUTHORITATIVE_REQUIREMENT_SCOPED</x:v>
      </x:c>
    </x:row>
    <x:row r="393">
      <x:c r="A393" s="38" t="str">
        <x:v>TRF-048</x:v>
      </x:c>
      <x:c r="B393" s="35" t="str">
        <x:v>longitudinalFrame</x:v>
      </x:c>
      <x:c r="C393" s="35" t="str">
        <x:v>bracketArea</x:v>
      </x:c>
      <x:c r="D393" s="35" t="str">
        <x:v>longitudinalFrame</x:v>
      </x:c>
      <x:c r="E393" s="35" t="str"/>
      <x:c r="F393" s="35" t="str">
        <x:v>AUTHORITATIVE_REQUIREMENT_SCOPED</x:v>
      </x:c>
    </x:row>
    <x:row r="394">
      <x:c r="A394" s="38" t="str">
        <x:v>TRF-048</x:v>
      </x:c>
      <x:c r="B394" s="35" t="str">
        <x:v>longitudinalFrame</x:v>
      </x:c>
      <x:c r="C394" s="35" t="str">
        <x:v>connectionBracket</x:v>
      </x:c>
      <x:c r="D394" s="35" t="str">
        <x:v>longitudinalFrame</x:v>
      </x:c>
      <x:c r="E394" s="35" t="str"/>
      <x:c r="F394" s="35" t="str">
        <x:v>AUTHORITATIVE_REQUIREMENT_SCOPED</x:v>
      </x:c>
    </x:row>
    <x:row r="395">
      <x:c r="A395" s="38" t="str">
        <x:v>TRF-048</x:v>
      </x:c>
      <x:c r="B395" s="35" t="str">
        <x:v>longitudinalFrame</x:v>
      </x:c>
      <x:c r="C395" s="35" t="str">
        <x:v>designIceLoadHeight</x:v>
      </x:c>
      <x:c r="D395" s="35" t="str">
        <x:v>longitudinalFrame</x:v>
      </x:c>
      <x:c r="E395" s="35" t="str"/>
      <x:c r="F395" s="35" t="str">
        <x:v>AUTHORITATIVE_REQUIREMENT_SCOPED</x:v>
      </x:c>
    </x:row>
    <x:row r="396">
      <x:c r="A396" s="38" t="str">
        <x:v>TRF-048</x:v>
      </x:c>
      <x:c r="B396" s="35" t="str">
        <x:v>longitudinalFrame</x:v>
      </x:c>
      <x:c r="C396" s="35" t="str">
        <x:v>frameBoundaryConditionEvidence</x:v>
      </x:c>
      <x:c r="D396" s="35" t="str">
        <x:v>longitudinalFrame</x:v>
      </x:c>
      <x:c r="E396" s="35" t="str"/>
      <x:c r="F396" s="35" t="str">
        <x:v>AUTHORITATIVE_REQUIREMENT_SCOPED</x:v>
      </x:c>
    </x:row>
    <x:row r="397">
      <x:c r="A397" s="38" t="str">
        <x:v>TRF-048</x:v>
      </x:c>
      <x:c r="B397" s="35" t="str">
        <x:v>longitudinalFrame</x:v>
      </x:c>
      <x:c r="C397" s="35" t="str">
        <x:v>frameMomentFactorM</x:v>
      </x:c>
      <x:c r="D397" s="35" t="str">
        <x:v>longitudinalFrame</x:v>
      </x:c>
      <x:c r="E397" s="35" t="str"/>
      <x:c r="F397" s="35" t="str">
        <x:v>AUTHORITATIVE_REQUIREMENT_SCOPED</x:v>
      </x:c>
    </x:row>
    <x:row r="398">
      <x:c r="A398" s="38" t="str">
        <x:v>TRF-048</x:v>
      </x:c>
      <x:c r="B398" s="35" t="str">
        <x:v>longitudinalFrame</x:v>
      </x:c>
      <x:c r="C398" s="35" t="str">
        <x:v>grossFrameShearArea</x:v>
      </x:c>
      <x:c r="D398" s="35" t="str">
        <x:v>longitudinalFrame</x:v>
      </x:c>
      <x:c r="E398" s="35" t="str"/>
      <x:c r="F398" s="35" t="str">
        <x:v>AUTHORITATIVE_REQUIREMENT_SCOPED</x:v>
      </x:c>
    </x:row>
    <x:row r="399">
      <x:c r="A399" s="38" t="str">
        <x:v>TRF-048</x:v>
      </x:c>
      <x:c r="B399" s="35" t="str">
        <x:v>longitudinalFrame</x:v>
      </x:c>
      <x:c r="C399" s="35" t="str">
        <x:v>hasFrameBoundaryConditionEvidence</x:v>
      </x:c>
      <x:c r="D399" s="35" t="str">
        <x:v>longitudinalFrame</x:v>
      </x:c>
      <x:c r="E399" s="35" t="str"/>
      <x:c r="F399" s="35" t="str">
        <x:v>AUTHORITATIVE_REQUIREMENT_SCOPED</x:v>
      </x:c>
    </x:row>
    <x:row r="400">
      <x:c r="A400" s="38" t="str">
        <x:v>TRF-048</x:v>
      </x:c>
      <x:c r="B400" s="35" t="str">
        <x:v>longitudinalFrame</x:v>
      </x:c>
      <x:c r="C400" s="35" t="str">
        <x:v>icePressure</x:v>
      </x:c>
      <x:c r="D400" s="35" t="str">
        <x:v>longitudinalFrame</x:v>
      </x:c>
      <x:c r="E400" s="35" t="str"/>
      <x:c r="F400" s="35" t="str">
        <x:v>AUTHORITATIVE_REQUIREMENT_SCOPED</x:v>
      </x:c>
    </x:row>
    <x:row r="401">
      <x:c r="A401" s="38" t="str">
        <x:v>TRF-048</x:v>
      </x:c>
      <x:c r="B401" s="35" t="str">
        <x:v>longitudinalFrame</x:v>
      </x:c>
      <x:c r="C401" s="35" t="str">
        <x:v>longitudinalFrame</x:v>
      </x:c>
      <x:c r="D401" s="35" t="str">
        <x:v>longitudinalFrame</x:v>
      </x:c>
      <x:c r="E401" s="35" t="str"/>
      <x:c r="F401" s="35" t="str">
        <x:v>AUTHORITATIVE_REQUIREMENT_SCOPED</x:v>
      </x:c>
    </x:row>
    <x:row r="402">
      <x:c r="A402" s="38" t="str">
        <x:v>TRF-048</x:v>
      </x:c>
      <x:c r="B402" s="35" t="str">
        <x:v>longitudinalFrame</x:v>
      </x:c>
      <x:c r="C402" s="35" t="str">
        <x:v>longitudinalFrameLoadDistributionFactorF4</x:v>
      </x:c>
      <x:c r="D402" s="35" t="str">
        <x:v>longitudinalFrame</x:v>
      </x:c>
      <x:c r="E402" s="35" t="str"/>
      <x:c r="F402" s="35" t="str">
        <x:v>AUTHORITATIVE_REQUIREMENT_SCOPED</x:v>
      </x:c>
    </x:row>
    <x:row r="403">
      <x:c r="A403" s="38" t="str">
        <x:v>TRF-048</x:v>
      </x:c>
      <x:c r="B403" s="35" t="str">
        <x:v>longitudinalFrame</x:v>
      </x:c>
      <x:c r="C403" s="35" t="str">
        <x:v>longitudinalFrameShearFactorF5</x:v>
      </x:c>
      <x:c r="D403" s="35" t="str">
        <x:v>longitudinalFrame</x:v>
      </x:c>
      <x:c r="E403" s="35" t="str"/>
      <x:c r="F403" s="35" t="str">
        <x:v>AUTHORITATIVE_REQUIREMENT_SCOPED</x:v>
      </x:c>
    </x:row>
    <x:row r="404">
      <x:c r="A404" s="38" t="str">
        <x:v>TRF-048</x:v>
      </x:c>
      <x:c r="B404" s="35" t="str">
        <x:v>longitudinalFrame</x:v>
      </x:c>
      <x:c r="C404" s="35" t="str">
        <x:v>sectionModulus</x:v>
      </x:c>
      <x:c r="D404" s="35" t="str">
        <x:v>longitudinalFrame</x:v>
      </x:c>
      <x:c r="E404" s="35" t="str"/>
      <x:c r="F404" s="35" t="str">
        <x:v>AUTHORITATIVE_REQUIREMENT_SCOPED</x:v>
      </x:c>
    </x:row>
    <x:row r="405">
      <x:c r="A405" s="38" t="str">
        <x:v>TRF-048</x:v>
      </x:c>
      <x:c r="B405" s="35" t="str">
        <x:v>longitudinalFrame</x:v>
      </x:c>
      <x:c r="C405" s="35" t="str">
        <x:v>significantlyDifferentBoundaryConditions</x:v>
      </x:c>
      <x:c r="D405" s="35" t="str">
        <x:v>longitudinalFrame</x:v>
      </x:c>
      <x:c r="E405" s="35" t="str"/>
      <x:c r="F405" s="35" t="str">
        <x:v>AUTHORITATIVE_REQUIREMENT_SCOPED</x:v>
      </x:c>
    </x:row>
    <x:row r="406">
      <x:c r="A406" s="38" t="str">
        <x:v>TRF-048</x:v>
      </x:c>
      <x:c r="B406" s="35" t="str">
        <x:v>longitudinalFrame</x:v>
      </x:c>
      <x:c r="C406" s="35" t="str">
        <x:v>spacing</x:v>
      </x:c>
      <x:c r="D406" s="35" t="str">
        <x:v>longitudinalFrame</x:v>
      </x:c>
      <x:c r="E406" s="35" t="str"/>
      <x:c r="F406" s="35" t="str">
        <x:v>AUTHORITATIVE_REQUIREMENT_SCOPED</x:v>
      </x:c>
    </x:row>
    <x:row r="407">
      <x:c r="A407" s="38" t="str">
        <x:v>TRF-048</x:v>
      </x:c>
      <x:c r="B407" s="35" t="str">
        <x:v>longitudinalFrame</x:v>
      </x:c>
      <x:c r="C407" s="35" t="str">
        <x:v>span</x:v>
      </x:c>
      <x:c r="D407" s="35" t="str">
        <x:v>longitudinalFrame</x:v>
      </x:c>
      <x:c r="E407" s="35" t="str"/>
      <x:c r="F407" s="35" t="str">
        <x:v>AUTHORITATIVE_REQUIREMENT_SCOPED</x:v>
      </x:c>
    </x:row>
    <x:row r="408">
      <x:c r="A408" s="38" t="str">
        <x:v>TRF-048</x:v>
      </x:c>
      <x:c r="B408" s="35" t="str">
        <x:v>longitudinalFrame</x:v>
      </x:c>
      <x:c r="C408" s="35" t="str">
        <x:v>yieldStrength</x:v>
      </x:c>
      <x:c r="D408" s="35" t="str">
        <x:v>longitudinalFrame</x:v>
      </x:c>
      <x:c r="E408" s="35" t="str"/>
      <x:c r="F408" s="35" t="str">
        <x:v>AUTHORITATIVE_REQUIREMENT_SCOPED</x:v>
      </x:c>
    </x:row>
    <x:row r="409">
      <x:c r="A409" s="38" t="str">
        <x:v>TRF-049</x:v>
      </x:c>
      <x:c r="B409" s="35" t="str">
        <x:v>frame</x:v>
      </x:c>
      <x:c r="C409" s="35" t="str">
        <x:v>bracketEdgeStiffened</x:v>
      </x:c>
      <x:c r="D409" s="35" t="str">
        <x:v>connectionBracket</x:v>
      </x:c>
      <x:c r="E409"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09" s="35" t="str">
        <x:v>AUTHORITATIVE_REQUIREMENT_SCOPED</x:v>
      </x:c>
    </x:row>
    <x:row r="410">
      <x:c r="A410" s="38" t="str">
        <x:v>TRF-049</x:v>
      </x:c>
      <x:c r="B410" s="35" t="str">
        <x:v>frame</x:v>
      </x:c>
      <x:c r="C410" s="35" t="str">
        <x:v>bracketThickness</x:v>
      </x:c>
      <x:c r="D410" s="35" t="str">
        <x:v>connectionBracket</x:v>
      </x:c>
      <x:c r="E410"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10" s="35" t="str">
        <x:v>AUTHORITATIVE_REQUIREMENT_SCOPED</x:v>
      </x:c>
    </x:row>
    <x:row r="411">
      <x:c r="A411" s="38" t="str">
        <x:v>TRF-049</x:v>
      </x:c>
      <x:c r="B411" s="35" t="str">
        <x:v>frame</x:v>
      </x:c>
      <x:c r="C411" s="35" t="str">
        <x:v>bucklingStiffening</x:v>
      </x:c>
      <x:c r="D411" s="35" t="str">
        <x:v>connectionBracket</x:v>
      </x:c>
      <x:c r="E411"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11" s="35" t="str">
        <x:v>AUTHORITATIVE_REQUIREMENT_SCOPED</x:v>
      </x:c>
    </x:row>
    <x:row r="412">
      <x:c r="A412" s="38" t="str">
        <x:v>TRF-049</x:v>
      </x:c>
      <x:c r="B412" s="35" t="str">
        <x:v>frame</x:v>
      </x:c>
      <x:c r="C412" s="35" t="str">
        <x:v>connectionBracket</x:v>
      </x:c>
      <x:c r="D412" s="35" t="str">
        <x:v>frame</x:v>
      </x:c>
      <x:c r="E412"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12" s="35" t="str">
        <x:v>AUTHORITATIVE_REQUIREMENT_SCOPED</x:v>
      </x:c>
    </x:row>
    <x:row r="413">
      <x:c r="A413" s="38" t="str">
        <x:v>TRF-049</x:v>
      </x:c>
      <x:c r="B413" s="35" t="str">
        <x:v>frame</x:v>
      </x:c>
      <x:c r="C413" s="35" t="str">
        <x:v>effectiveAttachmentConfirmed</x:v>
      </x:c>
      <x:c r="D413" s="35" t="str">
        <x:v>frameAttachment</x:v>
      </x:c>
      <x:c r="E413"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13" s="35" t="str">
        <x:v>AUTHORITATIVE_REQUIREMENT_SCOPED</x:v>
      </x:c>
    </x:row>
    <x:row r="414">
      <x:c r="A414" s="38" t="str">
        <x:v>TRF-049</x:v>
      </x:c>
      <x:c r="B414" s="35" t="str">
        <x:v>frame</x:v>
      </x:c>
      <x:c r="C414" s="35" t="str">
        <x:v>frame</x:v>
      </x:c>
      <x:c r="D414" s="35" t="str">
        <x:v>frame</x:v>
      </x:c>
      <x:c r="E414"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14" s="35" t="str">
        <x:v>AUTHORITATIVE_REQUIREMENT_SCOPED</x:v>
      </x:c>
    </x:row>
    <x:row r="415">
      <x:c r="A415" s="38" t="str">
        <x:v>TRF-049</x:v>
      </x:c>
      <x:c r="B415" s="35" t="str">
        <x:v>frame</x:v>
      </x:c>
      <x:c r="C415" s="35" t="str">
        <x:v>frameAttachment</x:v>
      </x:c>
      <x:c r="D415" s="35" t="str">
        <x:v>frame</x:v>
      </x:c>
      <x:c r="E415"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15" s="35" t="str">
        <x:v>AUTHORITATIVE_REQUIREMENT_SCOPED</x:v>
      </x:c>
    </x:row>
    <x:row r="416">
      <x:c r="A416" s="38" t="str">
        <x:v>TRF-049</x:v>
      </x:c>
      <x:c r="B416" s="35" t="str">
        <x:v>frame</x:v>
      </x:c>
      <x:c r="C416" s="35" t="str">
        <x:v>frameWebThickness</x:v>
      </x:c>
      <x:c r="D416" s="35" t="str">
        <x:v>frame</x:v>
      </x:c>
      <x:c r="E416"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16" s="35" t="str">
        <x:v>AUTHORITATIVE_REQUIREMENT_SCOPED</x:v>
      </x:c>
    </x:row>
    <x:row r="417">
      <x:c r="A417" s="38" t="str">
        <x:v>TRF-049</x:v>
      </x:c>
      <x:c r="B417" s="35" t="str">
        <x:v>frame</x:v>
      </x:c>
      <x:c r="C417" s="35" t="str">
        <x:v>hasAttachedSupportingStructure</x:v>
      </x:c>
      <x:c r="D417" s="35" t="str">
        <x:v>frameAttachment</x:v>
      </x:c>
      <x:c r="E417"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17" s="35" t="str">
        <x:v>AUTHORITATIVE_REQUIREMENT_SCOPED</x:v>
      </x:c>
    </x:row>
    <x:row r="418">
      <x:c r="A418" s="38" t="str">
        <x:v>TRF-049</x:v>
      </x:c>
      <x:c r="B418" s="35" t="str">
        <x:v>frame</x:v>
      </x:c>
      <x:c r="C418" s="35" t="str">
        <x:v>hasConnectionBracket</x:v>
      </x:c>
      <x:c r="D418" s="35" t="str">
        <x:v>frameAttachment</x:v>
      </x:c>
      <x:c r="E418"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18" s="35" t="str">
        <x:v>AUTHORITATIVE_REQUIREMENT_SCOPED</x:v>
      </x:c>
    </x:row>
    <x:row r="419">
      <x:c r="A419" s="38" t="str">
        <x:v>TRF-049</x:v>
      </x:c>
      <x:c r="B419" s="35" t="str">
        <x:v>frame</x:v>
      </x:c>
      <x:c r="C419" s="35" t="str">
        <x:v>hasFrameAttachment</x:v>
      </x:c>
      <x:c r="D419" s="35" t="str">
        <x:v>frame</x:v>
      </x:c>
      <x:c r="E419"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19" s="35" t="str">
        <x:v>AUTHORITATIVE_REQUIREMENT_SCOPED</x:v>
      </x:c>
    </x:row>
    <x:row r="420">
      <x:c r="A420" s="38" t="str">
        <x:v>TRF-049</x:v>
      </x:c>
      <x:c r="B420" s="35" t="str">
        <x:v>frame</x:v>
      </x:c>
      <x:c r="C420" s="35" t="str">
        <x:v>hasSupportingBulkhead</x:v>
      </x:c>
      <x:c r="D420" s="35" t="str">
        <x:v>frame</x:v>
      </x:c>
      <x:c r="E420"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20" s="35" t="str">
        <x:v>AUTHORITATIVE_REQUIREMENT_SCOPED</x:v>
      </x:c>
    </x:row>
    <x:row r="421">
      <x:c r="A421" s="38" t="str">
        <x:v>TRF-049</x:v>
      </x:c>
      <x:c r="B421" s="35" t="str">
        <x:v>frame</x:v>
      </x:c>
      <x:c r="C421" s="35" t="str">
        <x:v>hasSupportingStructureAttachment</x:v>
      </x:c>
      <x:c r="D421" s="35" t="str">
        <x:v>supportingStructure</x:v>
      </x:c>
      <x:c r="E421"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21" s="35" t="str">
        <x:v>AUTHORITATIVE_REQUIREMENT_SCOPED</x:v>
      </x:c>
    </x:row>
    <x:row r="422">
      <x:c r="A422" s="38" t="str">
        <x:v>TRF-049</x:v>
      </x:c>
      <x:c r="B422" s="35" t="str">
        <x:v>frame</x:v>
      </x:c>
      <x:c r="C422" s="35" t="str">
        <x:v>hasSupportingWebFrame</x:v>
      </x:c>
      <x:c r="D422" s="35" t="str">
        <x:v>frame</x:v>
      </x:c>
      <x:c r="E422"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22" s="35" t="str">
        <x:v>AUTHORITATIVE_REQUIREMENT_SCOPED</x:v>
      </x:c>
    </x:row>
    <x:row r="423">
      <x:c r="A423" s="38" t="str">
        <x:v>TRF-049</x:v>
      </x:c>
      <x:c r="B423" s="35" t="str">
        <x:v>frame</x:v>
      </x:c>
      <x:c r="C423" s="35" t="str">
        <x:v>longitudinalFrame</x:v>
      </x:c>
      <x:c r="D423" s="35" t="str">
        <x:v>frame</x:v>
      </x:c>
      <x:c r="E423"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23" s="35" t="str">
        <x:v>AUTHORITATIVE_REQUIREMENT_SCOPED</x:v>
      </x:c>
    </x:row>
    <x:row r="424">
      <x:c r="A424" s="38" t="str">
        <x:v>TRF-049</x:v>
      </x:c>
      <x:c r="B424" s="35" t="str">
        <x:v>frame</x:v>
      </x:c>
      <x:c r="C424" s="35" t="str">
        <x:v>passesThroughSupportingStructure</x:v>
      </x:c>
      <x:c r="D424" s="35" t="str">
        <x:v>frame</x:v>
      </x:c>
      <x:c r="E424"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24" s="35" t="str">
        <x:v>AUTHORITATIVE_REQUIREMENT_SCOPED</x:v>
      </x:c>
    </x:row>
    <x:row r="425">
      <x:c r="A425" s="38" t="str">
        <x:v>TRF-049</x:v>
      </x:c>
      <x:c r="B425" s="35" t="str">
        <x:v>frame</x:v>
      </x:c>
      <x:c r="C425" s="35" t="str">
        <x:v>similarAttachmentConstructionPresent</x:v>
      </x:c>
      <x:c r="D425" s="35" t="str">
        <x:v>frameAttachment</x:v>
      </x:c>
      <x:c r="E425"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25" s="35" t="str">
        <x:v>AUTHORITATIVE_REQUIREMENT_SCOPED</x:v>
      </x:c>
    </x:row>
    <x:row r="426">
      <x:c r="A426" s="38" t="str">
        <x:v>TRF-049</x:v>
      </x:c>
      <x:c r="B426" s="35" t="str">
        <x:v>frame</x:v>
      </x:c>
      <x:c r="C426" s="35" t="str">
        <x:v>supportingStructure</x:v>
      </x:c>
      <x:c r="D426" s="35" t="str">
        <x:v>frame</x:v>
      </x:c>
      <x:c r="E426"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26" s="35" t="str">
        <x:v>AUTHORITATIVE_REQUIREMENT_SCOPED</x:v>
      </x:c>
    </x:row>
    <x:row r="427">
      <x:c r="A427" s="38" t="str">
        <x:v>TRF-049</x:v>
      </x:c>
      <x:c r="B427" s="35" t="str">
        <x:v>frame</x:v>
      </x:c>
      <x:c r="C427" s="35" t="str">
        <x:v>terminatesAtDeckOrIceStringer</x:v>
      </x:c>
      <x:c r="D427" s="35" t="str">
        <x:v>frame</x:v>
      </x:c>
      <x:c r="E427"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27" s="35" t="str">
        <x:v>AUTHORITATIVE_REQUIREMENT_SCOPED</x:v>
      </x:c>
    </x:row>
    <x:row r="428">
      <x:c r="A428" s="38" t="str">
        <x:v>TRF-049</x:v>
      </x:c>
      <x:c r="B428" s="35" t="str">
        <x:v>frame</x:v>
      </x:c>
      <x:c r="C428" s="35" t="str">
        <x:v>transverseFrame</x:v>
      </x:c>
      <x:c r="D428" s="35" t="str">
        <x:v>frame</x:v>
      </x:c>
      <x:c r="E428"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28" s="35" t="str">
        <x:v>AUTHORITATIVE_REQUIREMENT_SCOPED</x:v>
      </x:c>
    </x:row>
    <x:row r="429">
      <x:c r="A429" s="38" t="str">
        <x:v>TRF-049</x:v>
      </x:c>
      <x:c r="B429" s="35" t="str">
        <x:v>frame</x:v>
      </x:c>
      <x:c r="C429" s="35" t="str">
        <x:v>webPlateConnectionSideCount</x:v>
      </x:c>
      <x:c r="D429" s="35" t="str">
        <x:v>frame</x:v>
      </x:c>
      <x:c r="E429"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29" s="35" t="str">
        <x:v>AUTHORITATIVE_REQUIREMENT_SCOPED</x:v>
      </x:c>
    </x:row>
    <x:row r="430">
      <x:c r="A430" s="38" t="str">
        <x:v>TRF-049</x:v>
      </x:c>
      <x:c r="B430" s="35" t="str">
        <x:v>frame</x:v>
      </x:c>
      <x:c r="C430" s="35" t="str">
        <x:v>withinIceStrengthenedArea</x:v>
      </x:c>
      <x:c r="D430" s="35" t="str">
        <x:v>frame</x:v>
      </x:c>
      <x:c r="E430" s="35" t="str">
        <x:v>Target frame subclasses directly and keep attachment evidence on frameAttachment: effectiveAttachmentConfirmed, similarAttachmentConstructionPresent, hasAttachedSupportingStructure, and hasConnectionBracket. | Use SHACL Core for local presence, datatype, cardinality, and unit checks; reserve bounded SPARQL for shared attachment identity and bracketThickness &gt;= frameWebThickness.</x:v>
      </x:c>
      <x:c r="F430" s="35" t="str">
        <x:v>AUTHORITATIVE_REQUIREMENT_SCOPED</x:v>
      </x:c>
    </x:row>
    <x:row r="431">
      <x:c r="A431" s="38" t="str">
        <x:v>TRF-050</x:v>
      </x:c>
      <x:c r="B431" s="35" t="str">
        <x:v>frameAttachment</x:v>
      </x:c>
      <x:c r="C431" s="35" t="str">
        <x:v>doubleContinuousWeld</x:v>
      </x:c>
      <x:c r="D431" s="35" t="str">
        <x:v>frameAttachment</x:v>
      </x:c>
      <x:c r="E431" s="35" t="str"/>
      <x:c r="F431" s="35" t="str">
        <x:v>AUTHORITATIVE_REQUIREMENT_SCOPED</x:v>
      </x:c>
    </x:row>
    <x:row r="432">
      <x:c r="A432" s="38" t="str">
        <x:v>TRF-050</x:v>
      </x:c>
      <x:c r="B432" s="35" t="str">
        <x:v>frameAttachment</x:v>
      </x:c>
      <x:c r="C432" s="35" t="str">
        <x:v>frameShellAttachment</x:v>
      </x:c>
      <x:c r="D432" s="35" t="str">
        <x:v>frameAttachment</x:v>
      </x:c>
      <x:c r="E432" s="35" t="str"/>
      <x:c r="F432" s="35" t="str">
        <x:v>AUTHORITATIVE_REQUIREMENT_SCOPED</x:v>
      </x:c>
    </x:row>
    <x:row r="433">
      <x:c r="A433" s="38" t="str">
        <x:v>TRF-050</x:v>
      </x:c>
      <x:c r="B433" s="35" t="str">
        <x:v>frameAttachment</x:v>
      </x:c>
      <x:c r="C433" s="35" t="str">
        <x:v>frameShellWeldType</x:v>
      </x:c>
      <x:c r="D433" s="35" t="str">
        <x:v>frameAttachment</x:v>
      </x:c>
      <x:c r="E433" s="35" t="str"/>
      <x:c r="F433" s="35" t="str">
        <x:v>AUTHORITATIVE_REQUIREMENT_SCOPED</x:v>
      </x:c>
    </x:row>
    <x:row r="434">
      <x:c r="A434" s="38" t="str">
        <x:v>TRF-050</x:v>
      </x:c>
      <x:c r="B434" s="35" t="str">
        <x:v>frameAttachment</x:v>
      </x:c>
      <x:c r="C434" s="35" t="str">
        <x:v>scallopingPresent</x:v>
      </x:c>
      <x:c r="D434" s="35" t="str">
        <x:v>frameAttachment</x:v>
      </x:c>
      <x:c r="E434" s="35" t="str"/>
      <x:c r="F434" s="35" t="str">
        <x:v>AUTHORITATIVE_REQUIREMENT_SCOPED</x:v>
      </x:c>
    </x:row>
    <x:row r="435">
      <x:c r="A435" s="38" t="str">
        <x:v>TRF-050</x:v>
      </x:c>
      <x:c r="B435" s="35" t="str">
        <x:v>frameAttachment</x:v>
      </x:c>
      <x:c r="C435" s="35" t="str">
        <x:v>shellPlateButtCrossing</x:v>
      </x:c>
      <x:c r="D435" s="35" t="str">
        <x:v>frameAttachment</x:v>
      </x:c>
      <x:c r="E435" s="35" t="str"/>
      <x:c r="F435" s="35" t="str">
        <x:v>AUTHORITATIVE_REQUIREMENT_SCOPED</x:v>
      </x:c>
    </x:row>
    <x:row r="436">
      <x:c r="A436" s="38" t="str">
        <x:v>TRF-051</x:v>
      </x:c>
      <x:c r="B436" s="35" t="str">
        <x:v>hullStructure</x:v>
      </x:c>
      <x:c r="C436" s="35" t="str">
        <x:v>adjacentFrameHeight</x:v>
      </x:c>
      <x:c r="D436" s="35" t="str">
        <x:v>hullStructure</x:v>
      </x:c>
      <x:c r="E436" s="35" t="str"/>
      <x:c r="F436" s="35" t="str">
        <x:v>AUTHORITATIVE_REQUIREMENT_SCOPED</x:v>
      </x:c>
    </x:row>
    <x:row r="437">
      <x:c r="A437" s="38" t="str">
        <x:v>TRF-051</x:v>
      </x:c>
      <x:c r="B437" s="35" t="str">
        <x:v>hullStructure</x:v>
      </x:c>
      <x:c r="C437" s="35" t="str">
        <x:v>bulkhead</x:v>
      </x:c>
      <x:c r="D437" s="35" t="str">
        <x:v>hullStructure</x:v>
      </x:c>
      <x:c r="E437" s="35" t="str"/>
      <x:c r="F437" s="35" t="str">
        <x:v>AUTHORITATIVE_REQUIREMENT_SCOPED</x:v>
      </x:c>
    </x:row>
    <x:row r="438">
      <x:c r="A438" s="38" t="str">
        <x:v>TRF-051</x:v>
      </x:c>
      <x:c r="B438" s="35" t="str">
        <x:v>hullStructure</x:v>
      </x:c>
      <x:c r="C438" s="35" t="str">
        <x:v>corrosionAbrasionAddition</x:v>
      </x:c>
      <x:c r="D438" s="35" t="str">
        <x:v>hullStructure</x:v>
      </x:c>
      <x:c r="E438" s="35" t="str"/>
      <x:c r="F438" s="35" t="str">
        <x:v>AUTHORITATIVE_REQUIREMENT_SCOPED</x:v>
      </x:c>
    </x:row>
    <x:row r="439">
      <x:c r="A439" s="38" t="str">
        <x:v>TRF-051</x:v>
      </x:c>
      <x:c r="B439" s="35" t="str">
        <x:v>hullStructure</x:v>
      </x:c>
      <x:c r="C439" s="35" t="str">
        <x:v>deckStructure</x:v>
      </x:c>
      <x:c r="D439" s="35" t="str">
        <x:v>hullStructure</x:v>
      </x:c>
      <x:c r="E439" s="35" t="str"/>
      <x:c r="F439" s="35" t="str">
        <x:v>AUTHORITATIVE_REQUIREMENT_SCOPED</x:v>
      </x:c>
    </x:row>
    <x:row r="440">
      <x:c r="A440" s="38" t="str">
        <x:v>TRF-051</x:v>
      </x:c>
      <x:c r="B440" s="35" t="str">
        <x:v>hullStructure</x:v>
      </x:c>
      <x:c r="C440" s="35" t="str">
        <x:v>flatBarSection</x:v>
      </x:c>
      <x:c r="D440" s="35" t="str">
        <x:v>hullStructure</x:v>
      </x:c>
      <x:c r="E440" s="35" t="str"/>
      <x:c r="F440" s="35" t="str">
        <x:v>AUTHORITATIVE_REQUIREMENT_SCOPED</x:v>
      </x:c>
    </x:row>
    <x:row r="441">
      <x:c r="A441" s="38" t="str">
        <x:v>TRF-051</x:v>
      </x:c>
      <x:c r="B441" s="35" t="str">
        <x:v>hullStructure</x:v>
      </x:c>
      <x:c r="C441" s="35" t="str">
        <x:v>frameProfileType</x:v>
      </x:c>
      <x:c r="D441" s="35" t="str">
        <x:v>hullStructure</x:v>
      </x:c>
      <x:c r="E441" s="35" t="str"/>
      <x:c r="F441" s="35" t="str">
        <x:v>AUTHORITATIVE_REQUIREMENT_SCOPED</x:v>
      </x:c>
    </x:row>
    <x:row r="442">
      <x:c r="A442" s="38" t="str">
        <x:v>TRF-051</x:v>
      </x:c>
      <x:c r="B442" s="35" t="str">
        <x:v>hullStructure</x:v>
      </x:c>
      <x:c r="C442" s="35" t="str">
        <x:v>frameWebThickness</x:v>
      </x:c>
      <x:c r="D442" s="35" t="str">
        <x:v>hullStructure</x:v>
      </x:c>
      <x:c r="E442" s="35" t="str"/>
      <x:c r="F442" s="35" t="str">
        <x:v>AUTHORITATIVE_REQUIREMENT_SCOPED</x:v>
      </x:c>
    </x:row>
    <x:row r="443">
      <x:c r="A443" s="38" t="str">
        <x:v>TRF-051</x:v>
      </x:c>
      <x:c r="B443" s="35" t="str">
        <x:v>hullStructure</x:v>
      </x:c>
      <x:c r="C443" s="35" t="str">
        <x:v>hullStructuralSteelGrade</x:v>
      </x:c>
      <x:c r="D443" s="35" t="str">
        <x:v>hullStructure</x:v>
      </x:c>
      <x:c r="E443" s="35" t="str"/>
      <x:c r="F443" s="35" t="str">
        <x:v>AUTHORITATIVE_REQUIREMENT_SCOPED</x:v>
      </x:c>
    </x:row>
    <x:row r="444">
      <x:c r="A444" s="38" t="str">
        <x:v>TRF-051</x:v>
      </x:c>
      <x:c r="B444" s="35" t="str">
        <x:v>hullStructure</x:v>
      </x:c>
      <x:c r="C444" s="35" t="str">
        <x:v>inLieuOfFrame</x:v>
      </x:c>
      <x:c r="D444" s="35" t="str">
        <x:v>hullStructure</x:v>
      </x:c>
      <x:c r="E444" s="35" t="str"/>
      <x:c r="F444" s="35" t="str">
        <x:v>AUTHORITATIVE_REQUIREMENT_SCOPED</x:v>
      </x:c>
    </x:row>
    <x:row r="445">
      <x:c r="A445" s="38" t="str">
        <x:v>TRF-051</x:v>
      </x:c>
      <x:c r="B445" s="35" t="str">
        <x:v>hullStructure</x:v>
      </x:c>
      <x:c r="C445" s="35" t="str">
        <x:v>netShellPlatingThickness</x:v>
      </x:c>
      <x:c r="D445" s="35" t="str">
        <x:v>hullStructure</x:v>
      </x:c>
      <x:c r="E445" s="35" t="str"/>
      <x:c r="F445" s="35" t="str">
        <x:v>AUTHORITATIVE_REQUIREMENT_SCOPED</x:v>
      </x:c>
    </x:row>
    <x:row r="446">
      <x:c r="A446" s="38" t="str">
        <x:v>TRF-051</x:v>
      </x:c>
      <x:c r="B446" s="35" t="str">
        <x:v>hullStructure</x:v>
      </x:c>
      <x:c r="C446" s="35" t="str">
        <x:v>profileSection</x:v>
      </x:c>
      <x:c r="D446" s="35" t="str">
        <x:v>hullStructure</x:v>
      </x:c>
      <x:c r="E446" s="35" t="str"/>
      <x:c r="F446" s="35" t="str">
        <x:v>AUTHORITATIVE_REQUIREMENT_SCOPED</x:v>
      </x:c>
    </x:row>
    <x:row r="447">
      <x:c r="A447" s="38" t="str">
        <x:v>TRF-051</x:v>
      </x:c>
      <x:c r="B447" s="35" t="str">
        <x:v>hullStructure</x:v>
      </x:c>
      <x:c r="C447" s="35" t="str">
        <x:v>tankBottom</x:v>
      </x:c>
      <x:c r="D447" s="35" t="str">
        <x:v>hullStructure</x:v>
      </x:c>
      <x:c r="E447" s="35" t="str"/>
      <x:c r="F447" s="35" t="str">
        <x:v>AUTHORITATIVE_REQUIREMENT_SCOPED</x:v>
      </x:c>
    </x:row>
    <x:row r="448">
      <x:c r="A448" s="38" t="str">
        <x:v>TRF-051</x:v>
      </x:c>
      <x:c r="B448" s="35" t="str">
        <x:v>hullStructure</x:v>
      </x:c>
      <x:c r="C448" s="35" t="str">
        <x:v>tankBoundaryPlating</x:v>
      </x:c>
      <x:c r="D448" s="35" t="str">
        <x:v>hullStructure</x:v>
      </x:c>
      <x:c r="E448" s="35" t="str"/>
      <x:c r="F448" s="35" t="str">
        <x:v>AUTHORITATIVE_REQUIREMENT_SCOPED</x:v>
      </x:c>
    </x:row>
    <x:row r="449">
      <x:c r="A449" s="38" t="str">
        <x:v>TRF-051</x:v>
      </x:c>
      <x:c r="B449" s="35" t="str">
        <x:v>hullStructure</x:v>
      </x:c>
      <x:c r="C449" s="35" t="str">
        <x:v>tankTop</x:v>
      </x:c>
      <x:c r="D449" s="35" t="str">
        <x:v>hullStructure</x:v>
      </x:c>
      <x:c r="E449" s="35" t="str"/>
      <x:c r="F449" s="35" t="str">
        <x:v>AUTHORITATIVE_REQUIREMENT_SCOPED</x:v>
      </x:c>
    </x:row>
    <x:row r="450">
      <x:c r="A450" s="38" t="str">
        <x:v>TRF-051</x:v>
      </x:c>
      <x:c r="B450" s="35" t="str">
        <x:v>hullStructure</x:v>
      </x:c>
      <x:c r="C450" s="35" t="str">
        <x:v>yieldStrength</x:v>
      </x:c>
      <x:c r="D450" s="35" t="str">
        <x:v>hullStructure</x:v>
      </x:c>
      <x:c r="E450" s="35" t="str"/>
      <x:c r="F450" s="35" t="str">
        <x:v>AUTHORITATIVE_REQUIREMENT_SCOPED</x:v>
      </x:c>
    </x:row>
    <x:row r="451">
      <x:c r="A451" s="38" t="str">
        <x:v>TRF-052</x:v>
      </x:c>
      <x:c r="B451" s="35" t="str">
        <x:v>frame</x:v>
      </x:c>
      <x:c r="C451" s="35" t="str">
        <x:v>antitrippingSupportSpacing</x:v>
      </x:c>
      <x:c r="D451" s="35" t="str">
        <x:v>frame</x:v>
      </x:c>
      <x:c r="E451" s="35" t="str"/>
      <x:c r="F451" s="35" t="str">
        <x:v>AUTHORITATIVE_REQUIREMENT_SCOPED</x:v>
      </x:c>
    </x:row>
    <x:row r="452">
      <x:c r="A452" s="38" t="str">
        <x:v>TRF-052</x:v>
      </x:c>
      <x:c r="B452" s="35" t="str">
        <x:v>frame</x:v>
      </x:c>
      <x:c r="C452" s="35" t="str">
        <x:v>bowRegion</x:v>
      </x:c>
      <x:c r="D452" s="35" t="str">
        <x:v>frame</x:v>
      </x:c>
      <x:c r="E452" s="35" t="str"/>
      <x:c r="F452" s="35" t="str">
        <x:v>AUTHORITATIVE_REQUIREMENT_SCOPED</x:v>
      </x:c>
    </x:row>
    <x:row r="453">
      <x:c r="A453" s="38" t="str">
        <x:v>TRF-052</x:v>
      </x:c>
      <x:c r="B453" s="35" t="str">
        <x:v>frame</x:v>
      </x:c>
      <x:c r="C453" s="35" t="str">
        <x:v>equivalentSupportStatusByDirectCalculation</x:v>
      </x:c>
      <x:c r="D453" s="35" t="str">
        <x:v>frame</x:v>
      </x:c>
      <x:c r="E453" s="35" t="str"/>
      <x:c r="F453" s="35" t="str">
        <x:v>AUTHORITATIVE_REQUIREMENT_SCOPED</x:v>
      </x:c>
    </x:row>
    <x:row r="454">
      <x:c r="A454" s="38" t="str">
        <x:v>TRF-052</x:v>
      </x:c>
      <x:c r="B454" s="35" t="str">
        <x:v>frame</x:v>
      </x:c>
      <x:c r="C454" s="35" t="str">
        <x:v>frameAsymmetrical</x:v>
      </x:c>
      <x:c r="D454" s="35" t="str">
        <x:v>frame</x:v>
      </x:c>
      <x:c r="E454" s="35" t="str"/>
      <x:c r="F454" s="35" t="str">
        <x:v>AUTHORITATIVE_REQUIREMENT_SCOPED</x:v>
      </x:c>
    </x:row>
    <x:row r="455">
      <x:c r="A455" s="38" t="str">
        <x:v>TRF-052</x:v>
      </x:c>
      <x:c r="B455" s="35" t="str">
        <x:v>frame</x:v>
      </x:c>
      <x:c r="C455" s="35" t="str">
        <x:v>frameSpan</x:v>
      </x:c>
      <x:c r="D455" s="35" t="str">
        <x:v>frame</x:v>
      </x:c>
      <x:c r="E455" s="35" t="str"/>
      <x:c r="F455" s="35" t="str">
        <x:v>AUTHORITATIVE_REQUIREMENT_SCOPED</x:v>
      </x:c>
    </x:row>
    <x:row r="456">
      <x:c r="A456" s="38" t="str">
        <x:v>TRF-052</x:v>
      </x:c>
      <x:c r="B456" s="35" t="str">
        <x:v>frame</x:v>
      </x:c>
      <x:c r="C456" s="35" t="str">
        <x:v>frameWebAngleToShell</x:v>
      </x:c>
      <x:c r="D456" s="35" t="str">
        <x:v>frame</x:v>
      </x:c>
      <x:c r="E456" s="35" t="str"/>
      <x:c r="F456" s="35" t="str">
        <x:v>AUTHORITATIVE_REQUIREMENT_SCOPED</x:v>
      </x:c>
    </x:row>
    <x:row r="457">
      <x:c r="A457" s="38" t="str">
        <x:v>TRF-052</x:v>
      </x:c>
      <x:c r="B457" s="35" t="str">
        <x:v>frame</x:v>
      </x:c>
      <x:c r="C457" s="35" t="str">
        <x:v>hasAntitrippingSupportRegion</x:v>
      </x:c>
      <x:c r="D457" s="35" t="str">
        <x:v>frame</x:v>
      </x:c>
      <x:c r="E457" s="35" t="str"/>
      <x:c r="F457" s="35" t="str">
        <x:v>AUTHORITATIVE_REQUIREMENT_SCOPED</x:v>
      </x:c>
    </x:row>
    <x:row r="458">
      <x:c r="A458" s="38" t="str">
        <x:v>TRF-052</x:v>
      </x:c>
      <x:c r="B458" s="35" t="str">
        <x:v>frame</x:v>
      </x:c>
      <x:c r="C458" s="35" t="str">
        <x:v>iceClass</x:v>
      </x:c>
      <x:c r="D458" s="35" t="str">
        <x:v>frame</x:v>
      </x:c>
      <x:c r="E458" s="35" t="str"/>
      <x:c r="F458" s="35" t="str">
        <x:v>AUTHORITATIVE_REQUIREMENT_SCOPED</x:v>
      </x:c>
    </x:row>
    <x:row r="459">
      <x:c r="A459" s="38" t="str">
        <x:v>TRF-052</x:v>
      </x:c>
      <x:c r="B459" s="35" t="str">
        <x:v>frame</x:v>
      </x:c>
      <x:c r="C459" s="35" t="str">
        <x:v>midbodyRegion</x:v>
      </x:c>
      <x:c r="D459" s="35" t="str">
        <x:v>frame</x:v>
      </x:c>
      <x:c r="E459" s="35" t="str"/>
      <x:c r="F459" s="35" t="str">
        <x:v>AUTHORITATIVE_REQUIREMENT_SCOPED</x:v>
      </x:c>
    </x:row>
    <x:row r="460">
      <x:c r="A460" s="38" t="str">
        <x:v>TRF-053</x:v>
      </x:c>
      <x:c r="B460" s="35" t="str">
        <x:v>iceStringer</x:v>
      </x:c>
      <x:c r="C460" s="35" t="str">
        <x:v>designIceLoadHeight</x:v>
      </x:c>
      <x:c r="D460" s="35" t="str">
        <x:v>iceStringer</x:v>
      </x:c>
      <x:c r="E460" s="35" t="str"/>
      <x:c r="F460" s="35" t="str">
        <x:v>AUTHORITATIVE_REQUIREMENT_SCOPED</x:v>
      </x:c>
    </x:row>
    <x:row r="461">
      <x:c r="A461" s="38" t="str">
        <x:v>TRF-053</x:v>
      </x:c>
      <x:c r="B461" s="35" t="str">
        <x:v>iceStringer</x:v>
      </x:c>
      <x:c r="C461" s="35" t="str">
        <x:v>designLineLoad</x:v>
      </x:c>
      <x:c r="D461" s="35" t="str">
        <x:v>iceStringer</x:v>
      </x:c>
      <x:c r="E461" s="35" t="str"/>
      <x:c r="F461" s="35" t="str">
        <x:v>AUTHORITATIVE_REQUIREMENT_SCOPED</x:v>
      </x:c>
    </x:row>
    <x:row r="462">
      <x:c r="A462" s="38" t="str">
        <x:v>TRF-053</x:v>
      </x:c>
      <x:c r="B462" s="35" t="str">
        <x:v>iceStringer</x:v>
      </x:c>
      <x:c r="C462" s="35" t="str">
        <x:v>frameMomentFactorM</x:v>
      </x:c>
      <x:c r="D462" s="35" t="str">
        <x:v>iceStringer</x:v>
      </x:c>
      <x:c r="E462" s="35" t="str"/>
      <x:c r="F462" s="35" t="str">
        <x:v>AUTHORITATIVE_REQUIREMENT_SCOPED</x:v>
      </x:c>
    </x:row>
    <x:row r="463">
      <x:c r="A463" s="38" t="str">
        <x:v>TRF-053</x:v>
      </x:c>
      <x:c r="B463" s="35" t="str">
        <x:v>iceStringer</x:v>
      </x:c>
      <x:c r="C463" s="35" t="str">
        <x:v>icePressure</x:v>
      </x:c>
      <x:c r="D463" s="35" t="str">
        <x:v>iceStringer</x:v>
      </x:c>
      <x:c r="E463" s="35" t="str"/>
      <x:c r="F463" s="35" t="str">
        <x:v>AUTHORITATIVE_REQUIREMENT_SCOPED</x:v>
      </x:c>
    </x:row>
    <x:row r="464">
      <x:c r="A464" s="38" t="str">
        <x:v>TRF-053</x:v>
      </x:c>
      <x:c r="B464" s="35" t="str">
        <x:v>iceStringer</x:v>
      </x:c>
      <x:c r="C464" s="35" t="str">
        <x:v>iceStringer</x:v>
      </x:c>
      <x:c r="D464" s="35" t="str">
        <x:v>iceStringer</x:v>
      </x:c>
      <x:c r="E464" s="35" t="str"/>
      <x:c r="F464" s="35" t="str">
        <x:v>AUTHORITATIVE_REQUIREMENT_SCOPED</x:v>
      </x:c>
    </x:row>
    <x:row r="465">
      <x:c r="A465" s="38" t="str">
        <x:v>TRF-053</x:v>
      </x:c>
      <x:c r="B465" s="35" t="str">
        <x:v>iceStringer</x:v>
      </x:c>
      <x:c r="C465" s="35" t="str">
        <x:v>iceStringerDistributionFactorF6</x:v>
      </x:c>
      <x:c r="D465" s="35" t="str">
        <x:v>iceStringer</x:v>
      </x:c>
      <x:c r="E465" s="35" t="str"/>
      <x:c r="F465" s="35" t="str">
        <x:v>AUTHORITATIVE_REQUIREMENT_SCOPED</x:v>
      </x:c>
    </x:row>
    <x:row r="466">
      <x:c r="A466" s="38" t="str">
        <x:v>TRF-053</x:v>
      </x:c>
      <x:c r="B466" s="35" t="str">
        <x:v>iceStringer</x:v>
      </x:c>
      <x:c r="C466" s="35" t="str">
        <x:v>iceStringerSafetyFactorF7</x:v>
      </x:c>
      <x:c r="D466" s="35" t="str">
        <x:v>iceStringer</x:v>
      </x:c>
      <x:c r="E466" s="35" t="str"/>
      <x:c r="F466" s="35" t="str">
        <x:v>AUTHORITATIVE_REQUIREMENT_SCOPED</x:v>
      </x:c>
    </x:row>
    <x:row r="467">
      <x:c r="A467" s="38" t="str">
        <x:v>TRF-053</x:v>
      </x:c>
      <x:c r="B467" s="35" t="str">
        <x:v>iceStringer</x:v>
      </x:c>
      <x:c r="C467" s="35" t="str">
        <x:v>iceStringerShearFactorF8</x:v>
      </x:c>
      <x:c r="D467" s="35" t="str">
        <x:v>iceStringer</x:v>
      </x:c>
      <x:c r="E467" s="35" t="str"/>
      <x:c r="F467" s="35" t="str">
        <x:v>AUTHORITATIVE_REQUIREMENT_SCOPED</x:v>
      </x:c>
    </x:row>
    <x:row r="468">
      <x:c r="A468" s="38" t="str">
        <x:v>TRF-053</x:v>
      </x:c>
      <x:c r="B468" s="35" t="str">
        <x:v>iceStringer</x:v>
      </x:c>
      <x:c r="C468" s="35" t="str">
        <x:v>locatedWithinIceBelt</x:v>
      </x:c>
      <x:c r="D468" s="35" t="str">
        <x:v>iceStringer</x:v>
      </x:c>
      <x:c r="E468" s="35" t="str"/>
      <x:c r="F468" s="35" t="str">
        <x:v>AUTHORITATIVE_REQUIREMENT_SCOPED</x:v>
      </x:c>
    </x:row>
    <x:row r="469">
      <x:c r="A469" s="38" t="str">
        <x:v>TRF-053</x:v>
      </x:c>
      <x:c r="B469" s="35" t="str">
        <x:v>iceStringer</x:v>
      </x:c>
      <x:c r="C469" s="35" t="str">
        <x:v>requiredShearArea</x:v>
      </x:c>
      <x:c r="D469" s="35" t="str">
        <x:v>iceStringer</x:v>
      </x:c>
      <x:c r="E469" s="35" t="str"/>
      <x:c r="F469" s="35" t="str">
        <x:v>AUTHORITATIVE_REQUIREMENT_SCOPED</x:v>
      </x:c>
    </x:row>
    <x:row r="470">
      <x:c r="A470" s="38" t="str">
        <x:v>TRF-053</x:v>
      </x:c>
      <x:c r="B470" s="35" t="str">
        <x:v>iceStringer</x:v>
      </x:c>
      <x:c r="C470" s="35" t="str">
        <x:v>sectionModulus</x:v>
      </x:c>
      <x:c r="D470" s="35" t="str">
        <x:v>iceStringer</x:v>
      </x:c>
      <x:c r="E470" s="35" t="str"/>
      <x:c r="F470" s="35" t="str">
        <x:v>AUTHORITATIVE_REQUIREMENT_SCOPED</x:v>
      </x:c>
    </x:row>
    <x:row r="471">
      <x:c r="A471" s="38" t="str">
        <x:v>TRF-053</x:v>
      </x:c>
      <x:c r="B471" s="35" t="str">
        <x:v>iceStringer</x:v>
      </x:c>
      <x:c r="C471" s="35" t="str">
        <x:v>span</x:v>
      </x:c>
      <x:c r="D471" s="35" t="str">
        <x:v>iceStringer</x:v>
      </x:c>
      <x:c r="E471" s="35" t="str"/>
      <x:c r="F471" s="35" t="str">
        <x:v>AUTHORITATIVE_REQUIREMENT_SCOPED</x:v>
      </x:c>
    </x:row>
    <x:row r="472">
      <x:c r="A472" s="38" t="str">
        <x:v>TRF-053</x:v>
      </x:c>
      <x:c r="B472" s="35" t="str">
        <x:v>iceStringer</x:v>
      </x:c>
      <x:c r="C472" s="35" t="str">
        <x:v>yieldStrength</x:v>
      </x:c>
      <x:c r="D472" s="35" t="str">
        <x:v>iceStringer</x:v>
      </x:c>
      <x:c r="E472" s="35" t="str"/>
      <x:c r="F472" s="35" t="str">
        <x:v>AUTHORITATIVE_REQUIREMENT_SCOPED</x:v>
      </x:c>
    </x:row>
    <x:row r="473">
      <x:c r="A473" s="38" t="str">
        <x:v>TRF-054</x:v>
      </x:c>
      <x:c r="B473" s="35" t="str">
        <x:v>iceStringer</x:v>
      </x:c>
      <x:c r="C473" s="35" t="str">
        <x:v>designIceLoadHeight</x:v>
      </x:c>
      <x:c r="D473" s="35" t="str">
        <x:v>iceStringer</x:v>
      </x:c>
      <x:c r="E473" s="35" t="str"/>
      <x:c r="F473" s="35" t="str">
        <x:v>AUTHORITATIVE_REQUIREMENT_SCOPED</x:v>
      </x:c>
    </x:row>
    <x:row r="474">
      <x:c r="A474" s="38" t="str">
        <x:v>TRF-054</x:v>
      </x:c>
      <x:c r="B474" s="35" t="str">
        <x:v>iceStringer</x:v>
      </x:c>
      <x:c r="C474" s="35" t="str">
        <x:v>designLineLoad</x:v>
      </x:c>
      <x:c r="D474" s="35" t="str">
        <x:v>iceStringer</x:v>
      </x:c>
      <x:c r="E474" s="35" t="str"/>
      <x:c r="F474" s="35" t="str">
        <x:v>AUTHORITATIVE_REQUIREMENT_SCOPED</x:v>
      </x:c>
    </x:row>
    <x:row r="475">
      <x:c r="A475" s="38" t="str">
        <x:v>TRF-054</x:v>
      </x:c>
      <x:c r="B475" s="35" t="str">
        <x:v>iceStringer</x:v>
      </x:c>
      <x:c r="C475" s="35" t="str">
        <x:v>distanceToAdjacentIceStringer</x:v>
      </x:c>
      <x:c r="D475" s="35" t="str">
        <x:v>iceStringer</x:v>
      </x:c>
      <x:c r="E475" s="35" t="str"/>
      <x:c r="F475" s="35" t="str">
        <x:v>AUTHORITATIVE_REQUIREMENT_SCOPED</x:v>
      </x:c>
    </x:row>
    <x:row r="476">
      <x:c r="A476" s="38" t="str">
        <x:v>TRF-054</x:v>
      </x:c>
      <x:c r="B476" s="35" t="str">
        <x:v>iceStringer</x:v>
      </x:c>
      <x:c r="C476" s="35" t="str">
        <x:v>distanceToIceBelt</x:v>
      </x:c>
      <x:c r="D476" s="35" t="str">
        <x:v>iceStringer</x:v>
      </x:c>
      <x:c r="E476" s="35" t="str"/>
      <x:c r="F476" s="35" t="str">
        <x:v>AUTHORITATIVE_REQUIREMENT_SCOPED</x:v>
      </x:c>
    </x:row>
    <x:row r="477">
      <x:c r="A477" s="38" t="str">
        <x:v>TRF-054</x:v>
      </x:c>
      <x:c r="B477" s="35" t="str">
        <x:v>iceStringer</x:v>
      </x:c>
      <x:c r="C477" s="35" t="str">
        <x:v>frameMomentFactorM</x:v>
      </x:c>
      <x:c r="D477" s="35" t="str">
        <x:v>iceStringer</x:v>
      </x:c>
      <x:c r="E477" s="35" t="str"/>
      <x:c r="F477" s="35" t="str">
        <x:v>AUTHORITATIVE_REQUIREMENT_SCOPED</x:v>
      </x:c>
    </x:row>
    <x:row r="478">
      <x:c r="A478" s="38" t="str">
        <x:v>TRF-054</x:v>
      </x:c>
      <x:c r="B478" s="35" t="str">
        <x:v>iceStringer</x:v>
      </x:c>
      <x:c r="C478" s="35" t="str">
        <x:v>icePressure</x:v>
      </x:c>
      <x:c r="D478" s="35" t="str">
        <x:v>iceStringer</x:v>
      </x:c>
      <x:c r="E478" s="35" t="str"/>
      <x:c r="F478" s="35" t="str">
        <x:v>AUTHORITATIVE_REQUIREMENT_SCOPED</x:v>
      </x:c>
    </x:row>
    <x:row r="479">
      <x:c r="A479" s="38" t="str">
        <x:v>TRF-054</x:v>
      </x:c>
      <x:c r="B479" s="35" t="str">
        <x:v>iceStringer</x:v>
      </x:c>
      <x:c r="C479" s="35" t="str">
        <x:v>iceStringer</x:v>
      </x:c>
      <x:c r="D479" s="35" t="str">
        <x:v>iceStringer</x:v>
      </x:c>
      <x:c r="E479" s="35" t="str"/>
      <x:c r="F479" s="35" t="str">
        <x:v>AUTHORITATIVE_REQUIREMENT_SCOPED</x:v>
      </x:c>
    </x:row>
    <x:row r="480">
      <x:c r="A480" s="38" t="str">
        <x:v>TRF-054</x:v>
      </x:c>
      <x:c r="B480" s="35" t="str">
        <x:v>iceStringer</x:v>
      </x:c>
      <x:c r="C480" s="35" t="str">
        <x:v>locatedOutsideIceBelt</x:v>
      </x:c>
      <x:c r="D480" s="35" t="str">
        <x:v>iceStringer</x:v>
      </x:c>
      <x:c r="E480" s="35" t="str"/>
      <x:c r="F480" s="35" t="str">
        <x:v>AUTHORITATIVE_REQUIREMENT_SCOPED</x:v>
      </x:c>
    </x:row>
    <x:row r="481">
      <x:c r="A481" s="38" t="str">
        <x:v>TRF-054</x:v>
      </x:c>
      <x:c r="B481" s="35" t="str">
        <x:v>iceStringer</x:v>
      </x:c>
      <x:c r="C481" s="35" t="str">
        <x:v>outsideIceBeltDistributionFactorF9</x:v>
      </x:c>
      <x:c r="D481" s="35" t="str">
        <x:v>iceStringer</x:v>
      </x:c>
      <x:c r="E481" s="35" t="str"/>
      <x:c r="F481" s="35" t="str">
        <x:v>AUTHORITATIVE_REQUIREMENT_SCOPED</x:v>
      </x:c>
    </x:row>
    <x:row r="482">
      <x:c r="A482" s="38" t="str">
        <x:v>TRF-054</x:v>
      </x:c>
      <x:c r="B482" s="35" t="str">
        <x:v>iceStringer</x:v>
      </x:c>
      <x:c r="C482" s="35" t="str">
        <x:v>outsideIceBeltFactor</x:v>
      </x:c>
      <x:c r="D482" s="35" t="str">
        <x:v>iceStringer</x:v>
      </x:c>
      <x:c r="E482" s="35" t="str"/>
      <x:c r="F482" s="35" t="str">
        <x:v>AUTHORITATIVE_REQUIREMENT_SCOPED</x:v>
      </x:c>
    </x:row>
    <x:row r="483">
      <x:c r="A483" s="38" t="str">
        <x:v>TRF-054</x:v>
      </x:c>
      <x:c r="B483" s="35" t="str">
        <x:v>iceStringer</x:v>
      </x:c>
      <x:c r="C483" s="35" t="str">
        <x:v>outsideIceBeltSafetyFactorF10</x:v>
      </x:c>
      <x:c r="D483" s="35" t="str">
        <x:v>iceStringer</x:v>
      </x:c>
      <x:c r="E483" s="35" t="str"/>
      <x:c r="F483" s="35" t="str">
        <x:v>AUTHORITATIVE_REQUIREMENT_SCOPED</x:v>
      </x:c>
    </x:row>
    <x:row r="484">
      <x:c r="A484" s="38" t="str">
        <x:v>TRF-054</x:v>
      </x:c>
      <x:c r="B484" s="35" t="str">
        <x:v>iceStringer</x:v>
      </x:c>
      <x:c r="C484" s="35" t="str">
        <x:v>outsideIceBeltShearFactorF11</x:v>
      </x:c>
      <x:c r="D484" s="35" t="str">
        <x:v>iceStringer</x:v>
      </x:c>
      <x:c r="E484" s="35" t="str"/>
      <x:c r="F484" s="35" t="str">
        <x:v>AUTHORITATIVE_REQUIREMENT_SCOPED</x:v>
      </x:c>
    </x:row>
    <x:row r="485">
      <x:c r="A485" s="38" t="str">
        <x:v>TRF-054</x:v>
      </x:c>
      <x:c r="B485" s="35" t="str">
        <x:v>iceStringer</x:v>
      </x:c>
      <x:c r="C485" s="35" t="str">
        <x:v>requiredShearArea</x:v>
      </x:c>
      <x:c r="D485" s="35" t="str">
        <x:v>iceStringer</x:v>
      </x:c>
      <x:c r="E485" s="35" t="str"/>
      <x:c r="F485" s="35" t="str">
        <x:v>AUTHORITATIVE_REQUIREMENT_SCOPED</x:v>
      </x:c>
    </x:row>
    <x:row r="486">
      <x:c r="A486" s="38" t="str">
        <x:v>TRF-054</x:v>
      </x:c>
      <x:c r="B486" s="35" t="str">
        <x:v>iceStringer</x:v>
      </x:c>
      <x:c r="C486" s="35" t="str">
        <x:v>sectionModulus</x:v>
      </x:c>
      <x:c r="D486" s="35" t="str">
        <x:v>iceStringer</x:v>
      </x:c>
      <x:c r="E486" s="35" t="str"/>
      <x:c r="F486" s="35" t="str">
        <x:v>AUTHORITATIVE_REQUIREMENT_SCOPED</x:v>
      </x:c>
    </x:row>
    <x:row r="487">
      <x:c r="A487" s="38" t="str">
        <x:v>TRF-054</x:v>
      </x:c>
      <x:c r="B487" s="35" t="str">
        <x:v>iceStringer</x:v>
      </x:c>
      <x:c r="C487" s="35" t="str">
        <x:v>span</x:v>
      </x:c>
      <x:c r="D487" s="35" t="str">
        <x:v>iceStringer</x:v>
      </x:c>
      <x:c r="E487" s="35" t="str"/>
      <x:c r="F487" s="35" t="str">
        <x:v>AUTHORITATIVE_REQUIREMENT_SCOPED</x:v>
      </x:c>
    </x:row>
    <x:row r="488">
      <x:c r="A488" s="38" t="str">
        <x:v>TRF-054</x:v>
      </x:c>
      <x:c r="B488" s="35" t="str">
        <x:v>iceStringer</x:v>
      </x:c>
      <x:c r="C488" s="35" t="str">
        <x:v>stringerSpan</x:v>
      </x:c>
      <x:c r="D488" s="35" t="str">
        <x:v>iceStringer</x:v>
      </x:c>
      <x:c r="E488" s="35" t="str"/>
      <x:c r="F488" s="35" t="str">
        <x:v>AUTHORITATIVE_REQUIREMENT_SCOPED</x:v>
      </x:c>
    </x:row>
    <x:row r="489">
      <x:c r="A489" s="38" t="str">
        <x:v>TRF-054</x:v>
      </x:c>
      <x:c r="B489" s="35" t="str">
        <x:v>iceStringer</x:v>
      </x:c>
      <x:c r="C489" s="35" t="str">
        <x:v>supportsIceStrengthenedFrames</x:v>
      </x:c>
      <x:c r="D489" s="35" t="str">
        <x:v>iceStringer</x:v>
      </x:c>
      <x:c r="E489" s="35" t="str"/>
      <x:c r="F489" s="35" t="str">
        <x:v>AUTHORITATIVE_REQUIREMENT_SCOPED</x:v>
      </x:c>
    </x:row>
    <x:row r="490">
      <x:c r="A490" s="38" t="str">
        <x:v>TRF-054</x:v>
      </x:c>
      <x:c r="B490" s="35" t="str">
        <x:v>iceStringer</x:v>
      </x:c>
      <x:c r="C490" s="35" t="str">
        <x:v>yieldStrength</x:v>
      </x:c>
      <x:c r="D490" s="35" t="str">
        <x:v>iceStringer</x:v>
      </x:c>
      <x:c r="E490" s="35" t="str"/>
      <x:c r="F490" s="35" t="str">
        <x:v>AUTHORITATIVE_REQUIREMENT_SCOPED</x:v>
      </x:c>
    </x:row>
    <x:row r="491">
      <x:c r="A491" s="38" t="str">
        <x:v>TRF-055</x:v>
      </x:c>
      <x:c r="B491" s="35" t="str">
        <x:v>narrowDeckStrip</x:v>
      </x:c>
      <x:c r="C491" s="35" t="str">
        <x:v>abreastOfHatch</x:v>
      </x:c>
      <x:c r="D491" s="35" t="str">
        <x:v>narrowDeckStrip</x:v>
      </x:c>
      <x:c r="E491" s="35" t="str"/>
      <x:c r="F491" s="35" t="str">
        <x:v>AUTHORITATIVE_REQUIREMENT_SCOPED</x:v>
      </x:c>
    </x:row>
    <x:row r="492">
      <x:c r="A492" s="38" t="str">
        <x:v>TRF-055</x:v>
      </x:c>
      <x:c r="B492" s="35" t="str">
        <x:v>narrowDeckStrip</x:v>
      </x:c>
      <x:c r="C492" s="35" t="str">
        <x:v>actualSectionModulus</x:v>
      </x:c>
      <x:c r="D492" s="35" t="str">
        <x:v>narrowDeckStrip</x:v>
      </x:c>
      <x:c r="E492" s="35" t="str"/>
      <x:c r="F492" s="35" t="str">
        <x:v>AUTHORITATIVE_REQUIREMENT_SCOPED</x:v>
      </x:c>
    </x:row>
    <x:row r="493">
      <x:c r="A493" s="38" t="str">
        <x:v>TRF-055</x:v>
      </x:c>
      <x:c r="B493" s="35" t="str">
        <x:v>narrowDeckStrip</x:v>
      </x:c>
      <x:c r="C493" s="35" t="str">
        <x:v>actualShearArea</x:v>
      </x:c>
      <x:c r="D493" s="35" t="str">
        <x:v>narrowDeckStrip</x:v>
      </x:c>
      <x:c r="E493" s="35" t="str"/>
      <x:c r="F493" s="35" t="str">
        <x:v>AUTHORITATIVE_REQUIREMENT_SCOPED</x:v>
      </x:c>
    </x:row>
    <x:row r="494">
      <x:c r="A494" s="38" t="str">
        <x:v>TRF-055</x:v>
      </x:c>
      <x:c r="B494" s="35" t="str">
        <x:v>narrowDeckStrip</x:v>
      </x:c>
      <x:c r="C494" s="35" t="str">
        <x:v>designLineLoad</x:v>
      </x:c>
      <x:c r="D494" s="35" t="str">
        <x:v>narrowDeckStrip</x:v>
      </x:c>
      <x:c r="E494" s="35" t="str"/>
      <x:c r="F494" s="35" t="str">
        <x:v>AUTHORITATIVE_REQUIREMENT_SCOPED</x:v>
      </x:c>
    </x:row>
    <x:row r="495">
      <x:c r="A495" s="38" t="str">
        <x:v>TRF-055</x:v>
      </x:c>
      <x:c r="B495" s="35" t="str">
        <x:v>narrowDeckStrip</x:v>
      </x:c>
      <x:c r="C495" s="35" t="str">
        <x:v>hatchOpeningLength</x:v>
      </x:c>
      <x:c r="D495" s="35" t="str">
        <x:v>narrowDeckStrip</x:v>
      </x:c>
      <x:c r="E495" s="35" t="str"/>
      <x:c r="F495" s="35" t="str">
        <x:v>AUTHORITATIVE_REQUIREMENT_SCOPED</x:v>
      </x:c>
    </x:row>
    <x:row r="496">
      <x:c r="A496" s="38" t="str">
        <x:v>TRF-055</x:v>
      </x:c>
      <x:c r="B496" s="35" t="str">
        <x:v>narrowDeckStrip</x:v>
      </x:c>
      <x:c r="C496" s="35" t="str">
        <x:v>narrowDeckStrip</x:v>
      </x:c>
      <x:c r="D496" s="35" t="str">
        <x:v>narrowDeckStrip</x:v>
      </x:c>
      <x:c r="E496" s="35" t="str"/>
      <x:c r="F496" s="35" t="str">
        <x:v>AUTHORITATIVE_REQUIREMENT_SCOPED</x:v>
      </x:c>
    </x:row>
    <x:row r="497">
      <x:c r="A497" s="38" t="str">
        <x:v>TRF-055</x:v>
      </x:c>
      <x:c r="B497" s="35" t="str">
        <x:v>narrowDeckStrip</x:v>
      </x:c>
      <x:c r="C497" s="35" t="str">
        <x:v>permittedReducedLineLoad</x:v>
      </x:c>
      <x:c r="D497" s="35" t="str">
        <x:v>narrowDeckStrip</x:v>
      </x:c>
      <x:c r="E497" s="35" t="str"/>
      <x:c r="F497" s="35" t="str">
        <x:v>AUTHORITATIVE_REQUIREMENT_SCOPED</x:v>
      </x:c>
    </x:row>
    <x:row r="498">
      <x:c r="A498" s="38" t="str">
        <x:v>TRF-055</x:v>
      </x:c>
      <x:c r="B498" s="35" t="str">
        <x:v>narrowDeckStrip</x:v>
      </x:c>
      <x:c r="C498" s="35" t="str">
        <x:v>reducedLineLoadApprovedByClassificationSociety</x:v>
      </x:c>
      <x:c r="D498" s="35" t="str">
        <x:v>narrowDeckStrip</x:v>
      </x:c>
      <x:c r="E498" s="35" t="str"/>
      <x:c r="F498" s="35" t="str">
        <x:v>AUTHORITATIVE_REQUIREMENT_SCOPED</x:v>
      </x:c>
    </x:row>
    <x:row r="499">
      <x:c r="A499" s="38" t="str">
        <x:v>TRF-055</x:v>
      </x:c>
      <x:c r="B499" s="35" t="str">
        <x:v>narrowDeckStrip</x:v>
      </x:c>
      <x:c r="C499" s="35" t="str">
        <x:v>requiredSectionModulus</x:v>
      </x:c>
      <x:c r="D499" s="35" t="str">
        <x:v>narrowDeckStrip</x:v>
      </x:c>
      <x:c r="E499" s="35" t="str"/>
      <x:c r="F499" s="35" t="str">
        <x:v>AUTHORITATIVE_REQUIREMENT_SCOPED</x:v>
      </x:c>
    </x:row>
    <x:row r="500">
      <x:c r="A500" s="38" t="str">
        <x:v>TRF-055</x:v>
      </x:c>
      <x:c r="B500" s="35" t="str">
        <x:v>narrowDeckStrip</x:v>
      </x:c>
      <x:c r="C500" s="35" t="str">
        <x:v>requiredShearArea</x:v>
      </x:c>
      <x:c r="D500" s="35" t="str">
        <x:v>narrowDeckStrip</x:v>
      </x:c>
      <x:c r="E500" s="35" t="str"/>
      <x:c r="F500" s="35" t="str">
        <x:v>AUTHORITATIVE_REQUIREMENT_SCOPED</x:v>
      </x:c>
    </x:row>
    <x:row r="501">
      <x:c r="A501" s="38" t="str">
        <x:v>TRF-055</x:v>
      </x:c>
      <x:c r="B501" s="35" t="str">
        <x:v>narrowDeckStrip</x:v>
      </x:c>
      <x:c r="C501" s="35" t="str">
        <x:v>scantlingApprovalStatus</x:v>
      </x:c>
      <x:c r="D501" s="35" t="str">
        <x:v>narrowDeckStrip</x:v>
      </x:c>
      <x:c r="E501" s="35" t="str"/>
      <x:c r="F501" s="35" t="str">
        <x:v>AUTHORITATIVE_REQUIREMENT_SCOPED</x:v>
      </x:c>
    </x:row>
    <x:row r="502">
      <x:c r="A502" s="38" t="str">
        <x:v>TRF-055</x:v>
      </x:c>
      <x:c r="B502" s="35" t="str">
        <x:v>narrowDeckStrip</x:v>
      </x:c>
      <x:c r="C502" s="35" t="str">
        <x:v>sectionModulus</x:v>
      </x:c>
      <x:c r="D502" s="35" t="str">
        <x:v>narrowDeckStrip</x:v>
      </x:c>
      <x:c r="E502" s="35" t="str"/>
      <x:c r="F502" s="35" t="str">
        <x:v>AUTHORITATIVE_REQUIREMENT_SCOPED</x:v>
      </x:c>
    </x:row>
    <x:row r="503">
      <x:c r="A503" s="38" t="str">
        <x:v>TRF-055</x:v>
      </x:c>
      <x:c r="B503" s="35" t="str">
        <x:v>narrowDeckStrip</x:v>
      </x:c>
      <x:c r="C503" s="35" t="str">
        <x:v>servesAsIceStringer</x:v>
      </x:c>
      <x:c r="D503" s="35" t="str">
        <x:v>narrowDeckStrip</x:v>
      </x:c>
      <x:c r="E503" s="35" t="str"/>
      <x:c r="F503" s="35" t="str">
        <x:v>AUTHORITATIVE_REQUIREMENT_SCOPED</x:v>
      </x:c>
    </x:row>
    <x:row r="504">
      <x:c r="A504" s="38" t="str">
        <x:v>TRF-055</x:v>
      </x:c>
      <x:c r="B504" s="35" t="str">
        <x:v>narrowDeckStrip</x:v>
      </x:c>
      <x:c r="C504" s="35" t="str">
        <x:v>shipBreadth</x:v>
      </x:c>
      <x:c r="D504" s="35" t="str">
        <x:v>narrowDeckStrip</x:v>
      </x:c>
      <x:c r="E504" s="35" t="str"/>
      <x:c r="F504" s="35" t="str">
        <x:v>AUTHORITATIVE_REQUIREMENT_SCOPED</x:v>
      </x:c>
    </x:row>
    <x:row r="505">
      <x:c r="A505" s="38" t="str">
        <x:v>TRF-055</x:v>
      </x:c>
      <x:c r="B505" s="35" t="str">
        <x:v>narrowDeckStrip</x:v>
      </x:c>
      <x:c r="C505" s="35" t="str">
        <x:v>veryLongHatchOpening</x:v>
      </x:c>
      <x:c r="D505" s="35" t="str">
        <x:v>narrowDeckStrip</x:v>
      </x:c>
      <x:c r="E505" s="35" t="str"/>
      <x:c r="F505" s="35" t="str">
        <x:v>AUTHORITATIVE_REQUIREMENT_SCOPED</x:v>
      </x:c>
    </x:row>
    <x:row r="506">
      <x:c r="A506" s="38" t="str">
        <x:v>TRF-056</x:v>
      </x:c>
      <x:c r="B506" s="35" t="str">
        <x:v>weatherdeckHatch</x:v>
      </x:c>
      <x:c r="C506" s="35" t="str">
        <x:v>hasHatchCoverDesignEvidence</x:v>
      </x:c>
      <x:c r="D506" s="35" t="str">
        <x:v>weatherdeckHatch</x:v>
      </x:c>
      <x:c r="E506" s="35" t="str"/>
      <x:c r="F506" s="35" t="str">
        <x:v>AUTHORITATIVE_REQUIREMENT_SCOPED</x:v>
      </x:c>
    </x:row>
    <x:row r="507">
      <x:c r="A507" s="38" t="str">
        <x:v>TRF-056</x:v>
      </x:c>
      <x:c r="B507" s="35" t="str">
        <x:v>weatherdeckHatch</x:v>
      </x:c>
      <x:c r="C507" s="35" t="str">
        <x:v>hasHatchFittingDesignEvidence</x:v>
      </x:c>
      <x:c r="D507" s="35" t="str">
        <x:v>weatherdeckHatch</x:v>
      </x:c>
      <x:c r="E507" s="35" t="str"/>
      <x:c r="F507" s="35" t="str">
        <x:v>AUTHORITATIVE_REQUIREMENT_SCOPED</x:v>
      </x:c>
    </x:row>
    <x:row r="508">
      <x:c r="A508" s="38" t="str">
        <x:v>TRF-056</x:v>
      </x:c>
      <x:c r="B508" s="35" t="str">
        <x:v>weatherdeckHatch</x:v>
      </x:c>
      <x:c r="C508" s="35" t="str">
        <x:v>hasWeatherdeckHatch</x:v>
      </x:c>
      <x:c r="D508" s="35" t="str">
        <x:v>ship</x:v>
      </x:c>
      <x:c r="E508" s="35" t="str"/>
      <x:c r="F508" s="35" t="str">
        <x:v>AUTHORITATIVE_REQUIREMENT_SCOPED</x:v>
      </x:c>
    </x:row>
    <x:row r="509">
      <x:c r="A509" s="38" t="str">
        <x:v>TRF-056</x:v>
      </x:c>
      <x:c r="B509" s="35" t="str">
        <x:v>weatherdeckHatch</x:v>
      </x:c>
      <x:c r="C509" s="35" t="str">
        <x:v>hatchCoverDesignEvidence</x:v>
      </x:c>
      <x:c r="D509" s="35" t="str">
        <x:v>weatherdeckHatch</x:v>
      </x:c>
      <x:c r="E509" s="35" t="str"/>
      <x:c r="F509" s="35" t="str">
        <x:v>AUTHORITATIVE_REQUIREMENT_SCOPED</x:v>
      </x:c>
    </x:row>
    <x:row r="510">
      <x:c r="A510" s="38" t="str">
        <x:v>TRF-056</x:v>
      </x:c>
      <x:c r="B510" s="35" t="str">
        <x:v>weatherdeckHatch</x:v>
      </x:c>
      <x:c r="C510" s="35" t="str">
        <x:v>hatchFittingDesignEvidence</x:v>
      </x:c>
      <x:c r="D510" s="35" t="str">
        <x:v>weatherdeckHatch</x:v>
      </x:c>
      <x:c r="E510" s="35" t="str"/>
      <x:c r="F510" s="35" t="str">
        <x:v>AUTHORITATIVE_REQUIREMENT_SCOPED</x:v>
      </x:c>
    </x:row>
    <x:row r="511">
      <x:c r="A511" s="38" t="str">
        <x:v>TRF-056</x:v>
      </x:c>
      <x:c r="B511" s="35" t="str">
        <x:v>weatherdeckHatch</x:v>
      </x:c>
      <x:c r="C511" s="35" t="str">
        <x:v>hatchOpeningLength</x:v>
      </x:c>
      <x:c r="D511" s="35" t="str">
        <x:v>weatherdeckHatch</x:v>
      </x:c>
      <x:c r="E511" s="35" t="str"/>
      <x:c r="F511" s="35" t="str">
        <x:v>AUTHORITATIVE_REQUIREMENT_SCOPED</x:v>
      </x:c>
    </x:row>
    <x:row r="512">
      <x:c r="A512" s="38" t="str">
        <x:v>TRF-056</x:v>
      </x:c>
      <x:c r="B512" s="35" t="str">
        <x:v>weatherdeckHatch</x:v>
      </x:c>
      <x:c r="C512" s="35" t="str">
        <x:v>shipBreadth</x:v>
      </x:c>
      <x:c r="D512" s="35" t="str">
        <x:v>weatherdeckHatch</x:v>
      </x:c>
      <x:c r="E512" s="35" t="str"/>
      <x:c r="F512" s="35" t="str">
        <x:v>AUTHORITATIVE_REQUIREMENT_SCOPED</x:v>
      </x:c>
    </x:row>
    <x:row r="513">
      <x:c r="A513" s="38" t="str">
        <x:v>TRF-056</x:v>
      </x:c>
      <x:c r="B513" s="35" t="str">
        <x:v>weatherdeckHatch</x:v>
      </x:c>
      <x:c r="C513" s="35" t="str">
        <x:v>shipSideDeflection</x:v>
      </x:c>
      <x:c r="D513" s="35" t="str">
        <x:v>weatherdeckHatch</x:v>
      </x:c>
      <x:c r="E513" s="35" t="str"/>
      <x:c r="F513" s="35" t="str">
        <x:v>AUTHORITATIVE_REQUIREMENT_SCOPED</x:v>
      </x:c>
    </x:row>
    <x:row r="514">
      <x:c r="A514" s="38" t="str">
        <x:v>TRF-056</x:v>
      </x:c>
      <x:c r="B514" s="35" t="str">
        <x:v>weatherdeckHatch</x:v>
      </x:c>
      <x:c r="C514" s="35" t="str">
        <x:v>weatherdeckHatch</x:v>
      </x:c>
      <x:c r="D514" s="35" t="str">
        <x:v>weatherdeckHatch</x:v>
      </x:c>
      <x:c r="E514" s="35" t="str"/>
      <x:c r="F514" s="35" t="str">
        <x:v>AUTHORITATIVE_REQUIREMENT_SCOPED</x:v>
      </x:c>
    </x:row>
    <x:row r="515">
      <x:c r="A515" s="38" t="str">
        <x:v>TRF-057</x:v>
      </x:c>
      <x:c r="B515" s="35" t="str">
        <x:v>webFrame</x:v>
      </x:c>
      <x:c r="C515" s="35" t="str">
        <x:v>iceLoadHeight</x:v>
      </x:c>
      <x:c r="D515" s="35" t="str">
        <x:v>webFrame</x:v>
      </x:c>
      <x:c r="E515" s="35" t="str"/>
      <x:c r="F515" s="35" t="str">
        <x:v>AUTHORITATIVE_REQUIREMENT_SCOPED</x:v>
      </x:c>
    </x:row>
    <x:row r="516">
      <x:c r="A516" s="38" t="str">
        <x:v>TRF-057</x:v>
      </x:c>
      <x:c r="B516" s="35" t="str">
        <x:v>webFrame</x:v>
      </x:c>
      <x:c r="C516" s="35" t="str">
        <x:v>iceLoadSourceType</x:v>
      </x:c>
      <x:c r="D516" s="35" t="str">
        <x:v>webFrame</x:v>
      </x:c>
      <x:c r="E516" s="35" t="str"/>
      <x:c r="F516" s="35" t="str">
        <x:v>AUTHORITATIVE_REQUIREMENT_SCOPED</x:v>
      </x:c>
    </x:row>
    <x:row r="517">
      <x:c r="A517" s="38" t="str">
        <x:v>TRF-057</x:v>
      </x:c>
      <x:c r="B517" s="35" t="str">
        <x:v>webFrame</x:v>
      </x:c>
      <x:c r="C517" s="35" t="str">
        <x:v>icePressure</x:v>
      </x:c>
      <x:c r="D517" s="35" t="str">
        <x:v>webFrame</x:v>
      </x:c>
      <x:c r="E517" s="35" t="str"/>
      <x:c r="F517" s="35" t="str">
        <x:v>AUTHORITATIVE_REQUIREMENT_SCOPED</x:v>
      </x:c>
    </x:row>
    <x:row r="518">
      <x:c r="A518" s="38" t="str">
        <x:v>TRF-057</x:v>
      </x:c>
      <x:c r="B518" s="35" t="str">
        <x:v>webFrame</x:v>
      </x:c>
      <x:c r="C518" s="35" t="str">
        <x:v>iceStringerLoadSource</x:v>
      </x:c>
      <x:c r="D518" s="35" t="str">
        <x:v>webFrame</x:v>
      </x:c>
      <x:c r="E518" s="35" t="str"/>
      <x:c r="F518" s="35" t="str">
        <x:v>AUTHORITATIVE_REQUIREMENT_SCOPED</x:v>
      </x:c>
    </x:row>
    <x:row r="519">
      <x:c r="A519" s="38" t="str">
        <x:v>TRF-057</x:v>
      </x:c>
      <x:c r="B519" s="35" t="str">
        <x:v>webFrame</x:v>
      </x:c>
      <x:c r="C519" s="35" t="str">
        <x:v>loadLengthParameter</x:v>
      </x:c>
      <x:c r="D519" s="35" t="str">
        <x:v>webFrame</x:v>
      </x:c>
      <x:c r="E519" s="35" t="str"/>
      <x:c r="F519" s="35" t="str">
        <x:v>AUTHORITATIVE_REQUIREMENT_SCOPED</x:v>
      </x:c>
    </x:row>
    <x:row r="520">
      <x:c r="A520" s="38" t="str">
        <x:v>TRF-057</x:v>
      </x:c>
      <x:c r="B520" s="35" t="str">
        <x:v>webFrame</x:v>
      </x:c>
      <x:c r="C520" s="35" t="str">
        <x:v>longitudinalFramingLoadSource</x:v>
      </x:c>
      <x:c r="D520" s="35" t="str">
        <x:v>webFrame</x:v>
      </x:c>
      <x:c r="E520" s="35" t="str"/>
      <x:c r="F520" s="35" t="str">
        <x:v>AUTHORITATIVE_REQUIREMENT_SCOPED</x:v>
      </x:c>
    </x:row>
    <x:row r="521">
      <x:c r="A521" s="38" t="str">
        <x:v>TRF-057</x:v>
      </x:c>
      <x:c r="B521" s="35" t="str">
        <x:v>webFrame</x:v>
      </x:c>
      <x:c r="C521" s="35" t="str">
        <x:v>minimumLineLoad</x:v>
      </x:c>
      <x:c r="D521" s="35" t="str">
        <x:v>webFrame</x:v>
      </x:c>
      <x:c r="E521" s="35" t="str"/>
      <x:c r="F521" s="35" t="str">
        <x:v>AUTHORITATIVE_REQUIREMENT_SCOPED</x:v>
      </x:c>
    </x:row>
    <x:row r="522">
      <x:c r="A522" s="38" t="str">
        <x:v>TRF-057</x:v>
      </x:c>
      <x:c r="B522" s="35" t="str">
        <x:v>webFrame</x:v>
      </x:c>
      <x:c r="C522" s="35" t="str">
        <x:v>webFrameIceLoad</x:v>
      </x:c>
      <x:c r="D522" s="35" t="str">
        <x:v>webFrame</x:v>
      </x:c>
      <x:c r="E522" s="35" t="str"/>
      <x:c r="F522" s="35" t="str">
        <x:v>AUTHORITATIVE_REQUIREMENT_SCOPED</x:v>
      </x:c>
    </x:row>
    <x:row r="523">
      <x:c r="A523" s="38" t="str">
        <x:v>TRF-057</x:v>
      </x:c>
      <x:c r="B523" s="35" t="str">
        <x:v>webFrame</x:v>
      </x:c>
      <x:c r="C523" s="35" t="str">
        <x:v>webFrameSafetyFactor</x:v>
      </x:c>
      <x:c r="D523" s="35" t="str">
        <x:v>webFrame</x:v>
      </x:c>
      <x:c r="E523" s="35" t="str"/>
      <x:c r="F523" s="35" t="str">
        <x:v>AUTHORITATIVE_REQUIREMENT_SCOPED</x:v>
      </x:c>
    </x:row>
    <x:row r="524">
      <x:c r="A524" s="38" t="str">
        <x:v>TRF-057</x:v>
      </x:c>
      <x:c r="B524" s="35" t="str">
        <x:v>webFrame</x:v>
      </x:c>
      <x:c r="C524" s="35" t="str">
        <x:v>webFrameSpacing</x:v>
      </x:c>
      <x:c r="D524" s="35" t="str">
        <x:v>webFrame</x:v>
      </x:c>
      <x:c r="E524" s="35" t="str"/>
      <x:c r="F524" s="35" t="str">
        <x:v>AUTHORITATIVE_REQUIREMENT_SCOPED</x:v>
      </x:c>
    </x:row>
    <x:row r="525">
      <x:c r="A525" s="38" t="str">
        <x:v>TRF-058</x:v>
      </x:c>
      <x:c r="B525" s="35" t="str">
        <x:v>webFrame</x:v>
      </x:c>
      <x:c r="C525" s="35" t="str">
        <x:v>adjustedIceLoadForce</x:v>
      </x:c>
      <x:c r="D525" s="35" t="str">
        <x:v>webFrame</x:v>
      </x:c>
      <x:c r="E525" s="35" t="str"/>
      <x:c r="F525" s="35" t="str">
        <x:v>AUTHORITATIVE_REQUIREMENT_SCOPED</x:v>
      </x:c>
    </x:row>
    <x:row r="526">
      <x:c r="A526" s="38" t="str">
        <x:v>TRF-058</x:v>
      </x:c>
      <x:c r="B526" s="35" t="str">
        <x:v>webFrame</x:v>
      </x:c>
      <x:c r="C526" s="35" t="str">
        <x:v>iceLoadForce</x:v>
      </x:c>
      <x:c r="D526" s="35" t="str">
        <x:v>webFrame</x:v>
      </x:c>
      <x:c r="E526" s="35" t="str"/>
      <x:c r="F526" s="35" t="str">
        <x:v>AUTHORITATIVE_REQUIREMENT_SCOPED</x:v>
      </x:c>
    </x:row>
    <x:row r="527">
      <x:c r="A527" s="38" t="str">
        <x:v>TRF-058</x:v>
      </x:c>
      <x:c r="B527" s="35" t="str">
        <x:v>webFrame</x:v>
      </x:c>
      <x:c r="C527" s="35" t="str">
        <x:v>stringerOutsideIceBeltHeight</x:v>
      </x:c>
      <x:c r="D527" s="35" t="str">
        <x:v>webFrame</x:v>
      </x:c>
      <x:c r="E527" s="35" t="str"/>
      <x:c r="F527" s="35" t="str">
        <x:v>AUTHORITATIVE_REQUIREMENT_SCOPED</x:v>
      </x:c>
    </x:row>
    <x:row r="528">
      <x:c r="A528" s="38" t="str">
        <x:v>TRF-058</x:v>
      </x:c>
      <x:c r="B528" s="35" t="str">
        <x:v>webFrame</x:v>
      </x:c>
      <x:c r="C528" s="35" t="str">
        <x:v>stringerSpan</x:v>
      </x:c>
      <x:c r="D528" s="35" t="str">
        <x:v>webFrame</x:v>
      </x:c>
      <x:c r="E528" s="35" t="str"/>
      <x:c r="F528" s="35" t="str">
        <x:v>AUTHORITATIVE_REQUIREMENT_SCOPED</x:v>
      </x:c>
    </x:row>
    <x:row r="529">
      <x:c r="A529" s="38" t="str">
        <x:v>TRF-058</x:v>
      </x:c>
      <x:c r="B529" s="35" t="str">
        <x:v>webFrame</x:v>
      </x:c>
      <x:c r="C529" s="35" t="str">
        <x:v>supportedStringerOutsideIceBelt</x:v>
      </x:c>
      <x:c r="D529" s="35" t="str">
        <x:v>webFrame</x:v>
      </x:c>
      <x:c r="E529" s="35" t="str"/>
      <x:c r="F529" s="35" t="str">
        <x:v>AUTHORITATIVE_REQUIREMENT_SCOPED</x:v>
      </x:c>
    </x:row>
    <x:row r="530">
      <x:c r="A530" s="38" t="str">
        <x:v>TRF-059</x:v>
      </x:c>
      <x:c r="B530" s="35" t="str">
        <x:v>webFrame</x:v>
      </x:c>
      <x:c r="C530" s="35" t="str">
        <x:v>freeFlangeArea</x:v>
      </x:c>
      <x:c r="D530" s="35" t="str">
        <x:v>webFrame</x:v>
      </x:c>
      <x:c r="E530" s="35" t="str"/>
      <x:c r="F530" s="35" t="str">
        <x:v>AUTHORITATIVE_REQUIREMENT_SCOPED</x:v>
      </x:c>
    </x:row>
    <x:row r="531">
      <x:c r="A531" s="38" t="str">
        <x:v>TRF-059</x:v>
      </x:c>
      <x:c r="B531" s="35" t="str">
        <x:v>webFrame</x:v>
      </x:c>
      <x:c r="C531" s="35" t="str">
        <x:v>freeFlangeToWebAreaRatio</x:v>
      </x:c>
      <x:c r="D531" s="35" t="str">
        <x:v>webFrame</x:v>
      </x:c>
      <x:c r="E531" s="35" t="str"/>
      <x:c r="F531" s="35" t="str">
        <x:v>AUTHORITATIVE_REQUIREMENT_SCOPED</x:v>
      </x:c>
    </x:row>
    <x:row r="532">
      <x:c r="A532" s="38" t="str">
        <x:v>TRF-059</x:v>
      </x:c>
      <x:c r="B532" s="35" t="str">
        <x:v>webFrame</x:v>
      </x:c>
      <x:c r="C532" s="35" t="str">
        <x:v>maximumCalculatedShearForce</x:v>
      </x:c>
      <x:c r="D532" s="35" t="str">
        <x:v>webFrame</x:v>
      </x:c>
      <x:c r="E532" s="35" t="str"/>
      <x:c r="F532" s="35" t="str">
        <x:v>AUTHORITATIVE_REQUIREMENT_SCOPED</x:v>
      </x:c>
    </x:row>
    <x:row r="533">
      <x:c r="A533" s="38" t="str">
        <x:v>TRF-059</x:v>
      </x:c>
      <x:c r="B533" s="35" t="str">
        <x:v>webFrame</x:v>
      </x:c>
      <x:c r="C533" s="35" t="str">
        <x:v>requiredShearArea</x:v>
      </x:c>
      <x:c r="D533" s="35" t="str">
        <x:v>webFrame</x:v>
      </x:c>
      <x:c r="E533" s="35" t="str"/>
      <x:c r="F533" s="35" t="str">
        <x:v>AUTHORITATIVE_REQUIREMENT_SCOPED</x:v>
      </x:c>
    </x:row>
    <x:row r="534">
      <x:c r="A534" s="38" t="str">
        <x:v>TRF-059</x:v>
      </x:c>
      <x:c r="B534" s="35" t="str">
        <x:v>webFrame</x:v>
      </x:c>
      <x:c r="C534" s="35" t="str">
        <x:v>sectionModulus</x:v>
      </x:c>
      <x:c r="D534" s="35" t="str">
        <x:v>webFrame</x:v>
      </x:c>
      <x:c r="E534" s="35" t="str"/>
      <x:c r="F534" s="35" t="str">
        <x:v>AUTHORITATIVE_REQUIREMENT_SCOPED</x:v>
      </x:c>
    </x:row>
    <x:row r="535">
      <x:c r="A535" s="38" t="str">
        <x:v>TRF-059</x:v>
      </x:c>
      <x:c r="B535" s="35" t="str">
        <x:v>webFrame</x:v>
      </x:c>
      <x:c r="C535" s="35" t="str">
        <x:v>webFrameShearDistributionFactorF13</x:v>
      </x:c>
      <x:c r="D535" s="35" t="str">
        <x:v>webFrame</x:v>
      </x:c>
      <x:c r="E535" s="35" t="str"/>
      <x:c r="F535" s="35" t="str">
        <x:v>AUTHORITATIVE_REQUIREMENT_SCOPED</x:v>
      </x:c>
    </x:row>
    <x:row r="536">
      <x:c r="A536" s="38" t="str">
        <x:v>TRF-059</x:v>
      </x:c>
      <x:c r="B536" s="35" t="str">
        <x:v>webFrame</x:v>
      </x:c>
      <x:c r="C536" s="35" t="str">
        <x:v>webFrameShearFactorAlpha</x:v>
      </x:c>
      <x:c r="D536" s="35" t="str">
        <x:v>webFrame</x:v>
      </x:c>
      <x:c r="E536" s="35" t="str"/>
      <x:c r="F536" s="35" t="str">
        <x:v>AUTHORITATIVE_REQUIREMENT_SCOPED</x:v>
      </x:c>
    </x:row>
    <x:row r="537">
      <x:c r="A537" s="38" t="str">
        <x:v>TRF-059</x:v>
      </x:c>
      <x:c r="B537" s="35" t="str">
        <x:v>webFrame</x:v>
      </x:c>
      <x:c r="C537" s="35" t="str">
        <x:v>webPlateArea</x:v>
      </x:c>
      <x:c r="D537" s="35" t="str">
        <x:v>webFrame</x:v>
      </x:c>
      <x:c r="E537" s="35" t="str"/>
      <x:c r="F537" s="35" t="str">
        <x:v>AUTHORITATIVE_REQUIREMENT_SCOPED</x:v>
      </x:c>
    </x:row>
    <x:row r="538">
      <x:c r="A538" s="57" t="str">
        <x:v>TRF-059</x:v>
      </x:c>
      <x:c r="B538" s="36" t="str">
        <x:v>webFrame</x:v>
      </x:c>
      <x:c r="C538" s="36" t="str">
        <x:v>yieldStrength</x:v>
      </x:c>
      <x:c r="D538" s="36" t="str">
        <x:v>webFrame</x:v>
      </x:c>
      <x:c r="E538" s="36" t="str"/>
      <x:c r="F538" s="36" t="str">
        <x:v>AUTHORITATIVE_REQUIREMENT_SCOPED</x:v>
      </x:c>
    </x:row>
  </x:sheetData>
  <x:conditionalFormatting sqref="F5:F538">
    <x:cfRule type="containsText" dxfId="20" priority="1" operator="containsText" text="READY"/>
    <x:cfRule type="containsText" dxfId="21" priority="2" operator="containsText" text="COMPLETE"/>
    <x:cfRule type="containsText" dxfId="22" priority="3" operator="containsText" text="NEW"/>
    <x:cfRule type="containsText" dxfId="23" priority="4" operator="containsText" text="REMODEL"/>
    <x:cfRule type="containsText" dxfId="24" priority="5" operator="containsText" text="UNIT"/>
  </x:conditionalFormatting>
  <x:pageMargins left="0.7" right="0.7" top="0.75" bottom="0.75" header="0.3" footer="0.3"/>
  <x:tableParts count="1">
    <x:tablePart xmlns:r="http://schemas.openxmlformats.org/officeDocument/2006/relationships" r:id="R11010a1a684d451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82" hidden="0" customWidth="1"/>
    <x:col min="4" max="4" width="38" hidden="0" customWidth="1"/>
    <x:col min="5" max="5" width="90" hidden="0" customWidth="1"/>
  </x:cols>
  <x:sheetData>
    <x:row r="1">
      <x:c r="A1" s="11" t="str">
        <x:v>NLTL Development Calibration - Batch 01</x:v>
      </x:c>
      <x:c r="B1" s="12"/>
      <x:c r="C1" s="12"/>
      <x:c r="D1" s="12"/>
      <x:c r="E1" s="12"/>
    </x:row>
    <x:row r="2">
      <x:c r="A2" s="13" t="str">
        <x:v>STABILIZATION | DEV-CAL-BATCH-01-FIRST-50 | vocabulary is not frozen</x:v>
      </x:c>
      <x:c r="B2" s="13"/>
      <x:c r="C2" s="13"/>
      <x:c r="D2" s="13"/>
      <x:c r="E2" s="13"/>
    </x:row>
    <x:row r="3">
      <x:c r="A3" s="14"/>
      <x:c r="B3" s="14"/>
      <x:c r="C3" s="14"/>
      <x:c r="D3" s="14"/>
      <x:c r="E3" s="14"/>
    </x:row>
    <x:row r="4" ht="32" customHeight="1">
      <x:c r="A4" s="32" t="str">
        <x:v>REQUIREMENT_ID</x:v>
      </x:c>
      <x:c r="B4" s="51" t="str">
        <x:v>FAILURE_CLASS</x:v>
      </x:c>
      <x:c r="C4" s="51" t="str">
        <x:v>R7_EVIDENCE</x:v>
      </x:c>
      <x:c r="D4" s="51" t="str">
        <x:v>R8_STATUS</x:v>
      </x:c>
      <x:c r="E4" s="33" t="str">
        <x:v>ENGINEERING_RESOLUTION</x:v>
      </x:c>
    </x:row>
    <x:row r="5" ht="54" customHeight="1">
      <x:c r="A5" s="37" t="str">
        <x:v>TRF-037</x:v>
      </x:c>
      <x:c r="B5" s="34" t="str">
        <x:v>CONTEXT_INDEX_GAP</x:v>
      </x:c>
      <x:c r="C5" s="37" t="str">
        <x:v>hasDirectAnalysisCase existed in R7 but was absent from the scoped context; iceLoadAreaFactorCa ownership also needed the directAnalysisCase path.</x:v>
      </x:c>
      <x:c r="D5" s="37" t="str">
        <x:v>RESOLVED</x:v>
      </x:c>
      <x:c r="E5" s="37" t="str">
        <x:v>Index hasDirectAnalysisCase and directAnalysisCase; mark ca owner; generic owner-path expansion supplies canonical object-property paths.</x:v>
      </x:c>
    </x:row>
    <x:row r="6" ht="54" customHeight="1">
      <x:c r="A6" s="38" t="str">
        <x:v>TRF-042</x:v>
      </x:c>
      <x:c r="B6" s="35" t="str">
        <x:v>CONTEXT_INDEX_GAP</x:v>
      </x:c>
      <x:c r="C6" s="38" t="str">
        <x:v>plating existed in R7 and was the authoritative target owner, but the class was not in the scoped context.</x:v>
      </x:c>
      <x:c r="D6" s="38" t="str">
        <x:v>RESOLVED</x:v>
      </x:c>
      <x:c r="E6" s="38" t="str">
        <x:v>Index the existing plating class and always include the authoritative target-owner class.</x:v>
      </x:c>
    </x:row>
    <x:row r="7" ht="54" customHeight="1">
      <x:c r="A7" s="38" t="str">
        <x:v>TRF-022 | TRF-027</x:v>
      </x:c>
      <x:c r="B7" s="35" t="str">
        <x:v>NUMERIC_SERIALIZATION</x:v>
      </x:c>
      <x:c r="C7" s="38" t="str">
        <x:v>Numeric sh:hasValue on qudt:numericValue rejected equivalent decimal lexical forms.</x:v>
      </x:c>
      <x:c r="D7" s="38" t="str">
        <x:v>RESOLVED_GENERAL_GUARD</x:v>
      </x:c>
      <x:c r="E7" s="38" t="str">
        <x:v>Static validator rejects numeric sh:hasValue; prompts require equal numeric bounds for constants and tolerance for derived results.</x:v>
      </x:c>
    </x:row>
    <x:row r="8" ht="54" customHeight="1">
      <x:c r="A8" s="38" t="str">
        <x:v>TRF-030</x:v>
      </x:c>
      <x:c r="B8" s="35" t="str">
        <x:v>NODE_MODEL_OVERCONSTRAINT</x:v>
      </x:c>
      <x:c r="C8" s="38" t="str">
        <x:v>A case shape could require both vertical and horizontal position properties although cases represent alternative axes.</x:v>
      </x:c>
      <x:c r="D8" s="38" t="str">
        <x:v>RESOLVED_GENERAL_GUARD</x:v>
      </x:c>
      <x:c r="E8" s="38" t="str">
        <x:v>Verified exclusivePropertyGroups metadata plus deterministic conjunctive-shape rejection.</x:v>
      </x:c>
    </x:row>
    <x:row r="9" ht="54" customHeight="1">
      <x:c r="A9" s="38" t="str">
        <x:v>TRF-025</x:v>
      </x:c>
      <x:c r="B9" s="35" t="str">
        <x:v>TOLERANCE_SCALE</x:v>
      </x:c>
      <x:c r="C9" s="38" t="str">
        <x:v>Generated C2 tolerance was based on the reported value rather than the expected formula result.</x:v>
      </x:c>
      <x:c r="D9" s="38" t="str">
        <x:v>RESOLVED_GENERAL_GUIDANCE</x:v>
      </x:c>
      <x:c r="E9" s="38" t="str">
        <x:v>Generator and validator now require derived tolerances to scale from the expected result.</x:v>
      </x:c>
    </x:row>
    <x:row r="10" ht="54" customHeight="1">
      <x:c r="A10" s="38" t="str">
        <x:v>TRF-011</x:v>
      </x:c>
      <x:c r="B10" s="35" t="str">
        <x:v>GENERATOR_SYNTAX</x:v>
      </x:c>
      <x:c r="C10" s="38" t="str">
        <x:v>Final repair contained a stray token and invalid Turtle.</x:v>
      </x:c>
      <x:c r="D10" s="38" t="str">
        <x:v>ALREADY_BLOCKED_AND_GUIDANCE_STRENGTHENED</x:v>
      </x:c>
      <x:c r="E10" s="38" t="str">
        <x:v>Existing parser gate prevents acceptance; generator now performs an explicit pre-return syntax self-check.</x:v>
      </x:c>
    </x:row>
    <x:row r="11" ht="54" customHeight="1">
      <x:c r="A11" s="38" t="str">
        <x:v>ALL</x:v>
      </x:c>
      <x:c r="B11" s="35" t="str">
        <x:v>STATUS_CLASSIFICATION</x:v>
      </x:c>
      <x:c r="C11" s="38" t="str">
        <x:v>Matcher exhaustion was previously labeled VOCABULARY_GAP even when a canonical term might exist outside retrieval candidates.</x:v>
      </x:c>
      <x:c r="D11" s="38" t="str">
        <x:v>RESOLVED</x:v>
      </x:c>
      <x:c r="E11" s="38" t="str">
        <x:v>Runtime status is TERM_RESOLUTION_UNRESOLVED; a true vocabulary gap requires registry/index audit evidence.</x:v>
      </x:c>
    </x:row>
    <x:row r="12" ht="54" customHeight="1">
      <x:c r="A12" s="38" t="str">
        <x:v>TRF-025</x:v>
      </x:c>
      <x:c r="B12" s="35" t="str">
        <x:v>UNIT_METADATA_GAP</x:v>
      </x:c>
      <x:c r="C12" s="38" t="str">
        <x:v>C1 and C2 are formula outputs whose units were left unspecified, causing the generated shape and canonical fixtures to disagree.</x:v>
      </x:c>
      <x:c r="D12" s="38" t="str">
        <x:v>RESOLVED_R8_1</x:v>
      </x:c>
      <x:c r="E12" s="38" t="str">
        <x:v>Assign unit:N to C1 and C2 from the verified dimensions of every additive formula term.</x:v>
      </x:c>
    </x:row>
    <x:row r="13" ht="54" customHeight="1">
      <x:c r="A13" s="38" t="str">
        <x:v>TRF-030</x:v>
      </x:c>
      <x:c r="B13" s="35" t="str">
        <x:v>OVER_STRONG_EXCLUSIVITY</x:v>
      </x:c>
      <x:c r="C13" s="38" t="str">
        <x:v>The semantic validator correctly noted that the clause does not prohibit a case from recording both coordinates.</x:v>
      </x:c>
      <x:c r="D13" s="38" t="str">
        <x:v>RESOLVED_R8_1</x:v>
      </x:c>
      <x:c r="E13" s="38" t="str">
        <x:v>Remove the R8 exclusivePropertyGroups declaration; retain the requirement for several vertical and horizontal cases.</x:v>
      </x:c>
    </x:row>
    <x:row r="14" ht="54" customHeight="1">
      <x:c r="A14" s="57" t="str">
        <x:v>TRF-022</x:v>
      </x:c>
      <x:c r="B14" s="36" t="str">
        <x:v>UNSUPPORTED_APPLICABILITY</x:v>
      </x:c>
      <x:c r="C14" s="57" t="str">
        <x:v>The R8 shape inherited a construction-date branch although clause 3.2.2 contains no date condition, allowing the deliberate failure to pass.</x:v>
      </x:c>
      <x:c r="D14" s="57" t="str">
        <x:v>RESOLVED_R8_1</x:v>
      </x:c>
      <x:c r="E14" s="57" t="str">
        <x:v>Remove constructionStageDate from the TRF-022 scoped requirement index.</x:v>
      </x:c>
    </x:row>
  </x:sheetData>
  <x:conditionalFormatting sqref="D5:D14">
    <x:cfRule type="containsText" dxfId="25" priority="1" operator="containsText" text="READY"/>
    <x:cfRule type="containsText" dxfId="26" priority="2" operator="containsText" text="COMPLETE"/>
    <x:cfRule type="containsText" dxfId="27" priority="3" operator="containsText" text="NEW"/>
    <x:cfRule type="containsText" dxfId="28" priority="4" operator="containsText" text="REMODEL"/>
    <x:cfRule type="containsText" dxfId="29" priority="5" operator="containsText" text="UNIT"/>
  </x:conditionalFormatting>
  <x:pageMargins left="0.7" right="0.7" top="0.75" bottom="0.75" header="0.3" footer="0.3"/>
  <x:tableParts count="1">
    <x:tablePart xmlns:r="http://schemas.openxmlformats.org/officeDocument/2006/relationships" r:id="R432eb26481d9402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48" hidden="0" customWidth="1"/>
    <x:col min="3" max="3" width="18" hidden="0" customWidth="1"/>
    <x:col min="4" max="4" width="18" hidden="0" customWidth="1"/>
    <x:col min="5" max="5" width="18" hidden="0" customWidth="1"/>
    <x:col min="6" max="6" width="18" hidden="0" customWidth="1"/>
    <x:col min="7" max="7" width="68" hidden="0" customWidth="1"/>
    <x:col min="8" max="8" width="72" hidden="0" customWidth="1"/>
    <x:col min="9" max="9" width="68" hidden="0" customWidth="1"/>
    <x:col min="10" max="10" width="18" hidden="0" customWidth="1"/>
    <x:col min="11" max="11" width="38" hidden="0" customWidth="1"/>
    <x:col min="12" max="12" width="18" hidden="0" customWidth="1"/>
    <x:col min="13" max="13" width="22" hidden="0" customWidth="1"/>
  </x:cols>
  <x:sheetData>
    <x:row r="1">
      <x:c r="A1" s="11" t="str">
        <x:v>NLTL Development Calibration - Batch 01</x:v>
      </x:c>
      <x:c r="B1" s="12"/>
      <x:c r="C1" s="12"/>
      <x:c r="D1" s="12"/>
      <x:c r="E1" s="12"/>
      <x:c r="F1" s="12"/>
      <x:c r="G1" s="12"/>
      <x:c r="H1" s="12"/>
      <x:c r="I1" s="12"/>
      <x:c r="J1" s="12"/>
      <x:c r="K1" s="12"/>
      <x:c r="L1" s="12"/>
      <x:c r="M1" s="12"/>
    </x:row>
    <x:row r="2">
      <x:c r="A2" s="13" t="str">
        <x:v>RDF_CASES | DEV-CAL-BATCH-01-FIRST-50 | vocabulary is not frozen</x:v>
      </x:c>
      <x:c r="B2" s="13"/>
      <x:c r="C2" s="13"/>
      <x:c r="D2" s="13"/>
      <x:c r="E2" s="13"/>
      <x:c r="F2" s="13"/>
      <x:c r="G2" s="13"/>
      <x:c r="H2" s="13"/>
      <x:c r="I2" s="13"/>
      <x:c r="J2" s="13"/>
      <x:c r="K2" s="13"/>
      <x:c r="L2" s="13"/>
      <x:c r="M2" s="13"/>
    </x:row>
    <x:row r="3">
      <x:c r="A3" s="14"/>
      <x:c r="B3" s="14"/>
      <x:c r="C3" s="14"/>
      <x:c r="D3" s="14"/>
      <x:c r="E3" s="14"/>
      <x:c r="F3" s="14"/>
      <x:c r="G3" s="14"/>
      <x:c r="H3" s="14"/>
      <x:c r="I3" s="14"/>
      <x:c r="J3" s="14"/>
      <x:c r="K3" s="14"/>
      <x:c r="L3" s="14"/>
      <x:c r="M3" s="14"/>
    </x:row>
    <x:row r="4" ht="32" customHeight="1">
      <x:c r="A4" s="32" t="str">
        <x:v>CASE_ID</x:v>
      </x:c>
      <x:c r="B4" s="51" t="str">
        <x:v>REQUIREMENT_ID</x:v>
      </x:c>
      <x:c r="C4" s="51" t="str">
        <x:v>CASE_KIND</x:v>
      </x:c>
      <x:c r="D4" s="51" t="str">
        <x:v>EXPECTED_CONFORMS</x:v>
      </x:c>
      <x:c r="E4" s="51" t="str">
        <x:v>SOURCE_PAGE</x:v>
      </x:c>
      <x:c r="F4" s="51" t="str">
        <x:v>SOURCE_CLAUSE</x:v>
      </x:c>
      <x:c r="G4" s="51" t="str">
        <x:v>SCENARIO_BASIS</x:v>
      </x:c>
      <x:c r="H4" s="51" t="str">
        <x:v>RDF_FILE</x:v>
      </x:c>
      <x:c r="I4" s="51" t="str">
        <x:v>RDF_SHA256</x:v>
      </x:c>
      <x:c r="J4" s="51" t="str">
        <x:v>TRIPLE_COUNT</x:v>
      </x:c>
      <x:c r="K4" s="51" t="str">
        <x:v>DEVELOPMENT_VOCABULARY_ID</x:v>
      </x:c>
      <x:c r="L4" s="51" t="str">
        <x:v>CALIBRATION_ONLY</x:v>
      </x:c>
      <x:c r="M4" s="33" t="str">
        <x:v>EXECUTION_STATUS</x:v>
      </x:c>
    </x:row>
    <x:row r="5">
      <x:c r="A5" s="34" t="str">
        <x:v>B01-TRF-001-PASS</x:v>
      </x:c>
      <x:c r="B5" s="37" t="str">
        <x:v>TRF-001</x:v>
      </x:c>
      <x:c r="C5" s="34" t="str">
        <x:v>PASS</x:v>
      </x:c>
      <x:c r="D5" s="66" t="b">
        <x:v>1</x:v>
      </x:c>
      <x:c r="E5" s="52" t="n">
        <x:v>5</x:v>
      </x:c>
      <x:c r="F5" s="34" t="str">
        <x:v>1.1</x:v>
      </x:c>
      <x:c r="G5" s="34" t="str">
        <x:v>cutoff-1 day non-applicable; cutoff date pass; wrong edition fail</x:v>
      </x:c>
      <x:c r="H5" s="34" t="str">
        <x:v>INPUTS/DEVELOPMENT_CALIBRATION/BATCH_01_FIRST_50/rdf_fixtures/TRF-001/trf-001_01_pass.ttl</x:v>
      </x:c>
      <x:c r="I5" s="34" t="str">
        <x:v>4fa27906e57d9d60d22a5608ca05dd60582af45af87386cf0c71ed84f8463187</x:v>
      </x:c>
      <x:c r="J5" s="52" t="n">
        <x:v>11</x:v>
      </x:c>
      <x:c r="K5" s="34" t="str">
        <x:v>VOCAB-DEV-2026-08-13-BATCH01-R8.1-POSTCONFIRMATION</x:v>
      </x:c>
      <x:c r="L5" s="34" t="str">
        <x:v>YES</x:v>
      </x:c>
      <x:c r="M5" s="34" t="str">
        <x:v>NOT_IN_R7_ACCEPTED_SET</x:v>
      </x:c>
    </x:row>
    <x:row r="6">
      <x:c r="A6" s="35" t="str">
        <x:v>B01-TRF-001-FAIL</x:v>
      </x:c>
      <x:c r="B6" s="38" t="str">
        <x:v>TRF-001</x:v>
      </x:c>
      <x:c r="C6" s="35" t="str">
        <x:v>FAIL</x:v>
      </x:c>
      <x:c r="D6" s="67" t="b">
        <x:v>0</x:v>
      </x:c>
      <x:c r="E6" s="54" t="n">
        <x:v>5</x:v>
      </x:c>
      <x:c r="F6" s="35" t="str">
        <x:v>1.1</x:v>
      </x:c>
      <x:c r="G6" s="35" t="str">
        <x:v>cutoff-1 day non-applicable; cutoff date pass; wrong edition fail</x:v>
      </x:c>
      <x:c r="H6" s="35" t="str">
        <x:v>INPUTS/DEVELOPMENT_CALIBRATION/BATCH_01_FIRST_50/rdf_fixtures/TRF-001/trf-001_02_fail.ttl</x:v>
      </x:c>
      <x:c r="I6" s="35" t="str">
        <x:v>04dbffd89f38c59521fa534270225ce25958a5d37fb8a5d16aad033d34cf3868</x:v>
      </x:c>
      <x:c r="J6" s="54" t="n">
        <x:v>11</x:v>
      </x:c>
      <x:c r="K6" s="35" t="str">
        <x:v>VOCAB-DEV-2026-08-13-BATCH01-R8.1-POSTCONFIRMATION</x:v>
      </x:c>
      <x:c r="L6" s="35" t="str">
        <x:v>YES</x:v>
      </x:c>
      <x:c r="M6" s="35" t="str">
        <x:v>NOT_IN_R7_ACCEPTED_SET</x:v>
      </x:c>
    </x:row>
    <x:row r="7">
      <x:c r="A7" s="35" t="str">
        <x:v>B01-TRF-001-BOUNDARY</x:v>
      </x:c>
      <x:c r="B7" s="38" t="str">
        <x:v>TRF-001</x:v>
      </x:c>
      <x:c r="C7" s="35" t="str">
        <x:v>BOUNDARY</x:v>
      </x:c>
      <x:c r="D7" s="67" t="b">
        <x:v>1</x:v>
      </x:c>
      <x:c r="E7" s="54" t="n">
        <x:v>5</x:v>
      </x:c>
      <x:c r="F7" s="35" t="str">
        <x:v>1.1</x:v>
      </x:c>
      <x:c r="G7" s="35" t="str">
        <x:v>cutoff-1 day non-applicable; cutoff date pass; wrong edition fail</x:v>
      </x:c>
      <x:c r="H7" s="35" t="str">
        <x:v>INPUTS/DEVELOPMENT_CALIBRATION/BATCH_01_FIRST_50/rdf_fixtures/TRF-001/trf-001_03_boundary.ttl</x:v>
      </x:c>
      <x:c r="I7" s="35" t="str">
        <x:v>c3db99d5369983bb84fa86c3fbdb846154bd79a06cf61c5d07157195bc2665fd</x:v>
      </x:c>
      <x:c r="J7" s="54" t="n">
        <x:v>11</x:v>
      </x:c>
      <x:c r="K7" s="35" t="str">
        <x:v>VOCAB-DEV-2026-08-13-BATCH01-R8.1-POSTCONFIRMATION</x:v>
      </x:c>
      <x:c r="L7" s="35" t="str">
        <x:v>YES</x:v>
      </x:c>
      <x:c r="M7" s="35" t="str">
        <x:v>NOT_IN_R7_ACCEPTED_SET</x:v>
      </x:c>
    </x:row>
    <x:row r="8">
      <x:c r="A8" s="35" t="str">
        <x:v>B01-TRF-002-PASS</x:v>
      </x:c>
      <x:c r="B8" s="38" t="str">
        <x:v>TRF-002</x:v>
      </x:c>
      <x:c r="C8" s="35" t="str">
        <x:v>PASS</x:v>
      </x:c>
      <x:c r="D8" s="67" t="b">
        <x:v>1</x:v>
      </x:c>
      <x:c r="E8" s="54" t="n">
        <x:v>5</x:v>
      </x:c>
      <x:c r="F8" s="35" t="str">
        <x:v>1.2</x:v>
      </x:c>
      <x:c r="G8" s="35" t="str">
        <x:v>lower boundary pass; upper boundary non-applicable; wrong edition fail</x:v>
      </x:c>
      <x:c r="H8" s="35" t="str">
        <x:v>INPUTS/DEVELOPMENT_CALIBRATION/BATCH_01_FIRST_50/rdf_fixtures/TRF-002/trf-002_01_pass.ttl</x:v>
      </x:c>
      <x:c r="I8" s="35" t="str">
        <x:v>4b0432057b17bcaf2b877b843bb7307c4ee4a705c1b0b796b06cbed410b0becf</x:v>
      </x:c>
      <x:c r="J8" s="54" t="n">
        <x:v>7</x:v>
      </x:c>
      <x:c r="K8" s="35" t="str">
        <x:v>VOCAB-DEV-2026-08-13-BATCH01-R8.1-POSTCONFIRMATION</x:v>
      </x:c>
      <x:c r="L8" s="35" t="str">
        <x:v>YES</x:v>
      </x:c>
      <x:c r="M8" s="35" t="str">
        <x:v>NOT_IN_R7_ACCEPTED_SET</x:v>
      </x:c>
    </x:row>
    <x:row r="9">
      <x:c r="A9" s="35" t="str">
        <x:v>B01-TRF-002-FAIL</x:v>
      </x:c>
      <x:c r="B9" s="38" t="str">
        <x:v>TRF-002</x:v>
      </x:c>
      <x:c r="C9" s="35" t="str">
        <x:v>FAIL</x:v>
      </x:c>
      <x:c r="D9" s="67" t="b">
        <x:v>0</x:v>
      </x:c>
      <x:c r="E9" s="54" t="n">
        <x:v>5</x:v>
      </x:c>
      <x:c r="F9" s="35" t="str">
        <x:v>1.2</x:v>
      </x:c>
      <x:c r="G9" s="35" t="str">
        <x:v>lower boundary pass; upper boundary non-applicable; wrong edition fail</x:v>
      </x:c>
      <x:c r="H9" s="35" t="str">
        <x:v>INPUTS/DEVELOPMENT_CALIBRATION/BATCH_01_FIRST_50/rdf_fixtures/TRF-002/trf-002_02_fail.ttl</x:v>
      </x:c>
      <x:c r="I9" s="35" t="str">
        <x:v>df9a207d71a4d66714db8936bdb286a45ab19b186f5b04a6b853ab2fe14dc2ac</x:v>
      </x:c>
      <x:c r="J9" s="54" t="n">
        <x:v>7</x:v>
      </x:c>
      <x:c r="K9" s="35" t="str">
        <x:v>VOCAB-DEV-2026-08-13-BATCH01-R8.1-POSTCONFIRMATION</x:v>
      </x:c>
      <x:c r="L9" s="35" t="str">
        <x:v>YES</x:v>
      </x:c>
      <x:c r="M9" s="35" t="str">
        <x:v>NOT_IN_R7_ACCEPTED_SET</x:v>
      </x:c>
    </x:row>
    <x:row r="10">
      <x:c r="A10" s="35" t="str">
        <x:v>B01-TRF-002-BOUNDARY</x:v>
      </x:c>
      <x:c r="B10" s="38" t="str">
        <x:v>TRF-002</x:v>
      </x:c>
      <x:c r="C10" s="35" t="str">
        <x:v>BOUNDARY</x:v>
      </x:c>
      <x:c r="D10" s="67" t="b">
        <x:v>1</x:v>
      </x:c>
      <x:c r="E10" s="54" t="n">
        <x:v>5</x:v>
      </x:c>
      <x:c r="F10" s="35" t="str">
        <x:v>1.2</x:v>
      </x:c>
      <x:c r="G10" s="35" t="str">
        <x:v>lower boundary pass; upper boundary non-applicable; wrong edition fail</x:v>
      </x:c>
      <x:c r="H10" s="35" t="str">
        <x:v>INPUTS/DEVELOPMENT_CALIBRATION/BATCH_01_FIRST_50/rdf_fixtures/TRF-002/trf-002_03_boundary.ttl</x:v>
      </x:c>
      <x:c r="I10" s="35" t="str">
        <x:v>a9cfb0ff3a9184bdb311fab238137024e755261109a09c64bf1a7ed20032d502</x:v>
      </x:c>
      <x:c r="J10" s="54" t="n">
        <x:v>7</x:v>
      </x:c>
      <x:c r="K10" s="35" t="str">
        <x:v>VOCAB-DEV-2026-08-13-BATCH01-R8.1-POSTCONFIRMATION</x:v>
      </x:c>
      <x:c r="L10" s="35" t="str">
        <x:v>YES</x:v>
      </x:c>
      <x:c r="M10" s="35" t="str">
        <x:v>NOT_IN_R7_ACCEPTED_SET</x:v>
      </x:c>
    </x:row>
    <x:row r="11">
      <x:c r="A11" s="35" t="str">
        <x:v>B01-TRF-003-PASS</x:v>
      </x:c>
      <x:c r="B11" s="38" t="str">
        <x:v>TRF-003</x:v>
      </x:c>
      <x:c r="C11" s="35" t="str">
        <x:v>PASS</x:v>
      </x:c>
      <x:c r="D11" s="67" t="b">
        <x:v>1</x:v>
      </x:c>
      <x:c r="E11" s="54" t="n">
        <x:v>5</x:v>
      </x:c>
      <x:c r="F11" s="35" t="str">
        <x:v>1.3</x:v>
      </x:c>
      <x:c r="G11" s="35" t="str">
        <x:v>both date boundaries plus wrong edition</x:v>
      </x:c>
      <x:c r="H11" s="35" t="str">
        <x:v>INPUTS/DEVELOPMENT_CALIBRATION/BATCH_01_FIRST_50/rdf_fixtures/TRF-003/trf-003_01_pass.ttl</x:v>
      </x:c>
      <x:c r="I11" s="35" t="str">
        <x:v>7e3939fec633a3393362931054e38e6f6b37833133209bbf132cf2d6e6cba849</x:v>
      </x:c>
      <x:c r="J11" s="54" t="n">
        <x:v>7</x:v>
      </x:c>
      <x:c r="K11" s="35" t="str">
        <x:v>VOCAB-DEV-2026-08-13-BATCH01-R8.1-POSTCONFIRMATION</x:v>
      </x:c>
      <x:c r="L11" s="35" t="str">
        <x:v>YES</x:v>
      </x:c>
      <x:c r="M11" s="35" t="str">
        <x:v>NOT_IN_R7_ACCEPTED_SET</x:v>
      </x:c>
    </x:row>
    <x:row r="12">
      <x:c r="A12" s="35" t="str">
        <x:v>B01-TRF-003-FAIL</x:v>
      </x:c>
      <x:c r="B12" s="38" t="str">
        <x:v>TRF-003</x:v>
      </x:c>
      <x:c r="C12" s="35" t="str">
        <x:v>FAIL</x:v>
      </x:c>
      <x:c r="D12" s="67" t="b">
        <x:v>0</x:v>
      </x:c>
      <x:c r="E12" s="54" t="n">
        <x:v>5</x:v>
      </x:c>
      <x:c r="F12" s="35" t="str">
        <x:v>1.3</x:v>
      </x:c>
      <x:c r="G12" s="35" t="str">
        <x:v>both date boundaries plus wrong edition</x:v>
      </x:c>
      <x:c r="H12" s="35" t="str">
        <x:v>INPUTS/DEVELOPMENT_CALIBRATION/BATCH_01_FIRST_50/rdf_fixtures/TRF-003/trf-003_02_fail.ttl</x:v>
      </x:c>
      <x:c r="I12" s="35" t="str">
        <x:v>8ea80dd37d802564f39b702a6ab2ad3e36c1d5fda0f6ffe58909b4d9a4efb024</x:v>
      </x:c>
      <x:c r="J12" s="54" t="n">
        <x:v>7</x:v>
      </x:c>
      <x:c r="K12" s="35" t="str">
        <x:v>VOCAB-DEV-2026-08-13-BATCH01-R8.1-POSTCONFIRMATION</x:v>
      </x:c>
      <x:c r="L12" s="35" t="str">
        <x:v>YES</x:v>
      </x:c>
      <x:c r="M12" s="35" t="str">
        <x:v>NOT_IN_R7_ACCEPTED_SET</x:v>
      </x:c>
    </x:row>
    <x:row r="13">
      <x:c r="A13" s="35" t="str">
        <x:v>B01-TRF-003-BOUNDARY</x:v>
      </x:c>
      <x:c r="B13" s="38" t="str">
        <x:v>TRF-003</x:v>
      </x:c>
      <x:c r="C13" s="35" t="str">
        <x:v>BOUNDARY</x:v>
      </x:c>
      <x:c r="D13" s="67" t="b">
        <x:v>1</x:v>
      </x:c>
      <x:c r="E13" s="54" t="n">
        <x:v>5</x:v>
      </x:c>
      <x:c r="F13" s="35" t="str">
        <x:v>1.3</x:v>
      </x:c>
      <x:c r="G13" s="35" t="str">
        <x:v>both date boundaries plus wrong edition</x:v>
      </x:c>
      <x:c r="H13" s="35" t="str">
        <x:v>INPUTS/DEVELOPMENT_CALIBRATION/BATCH_01_FIRST_50/rdf_fixtures/TRF-003/trf-003_03_boundary.ttl</x:v>
      </x:c>
      <x:c r="I13" s="35" t="str">
        <x:v>990b2286c1d3548a023ec718ed90bf59cbf759fc57334081b13345eaf85c65e3</x:v>
      </x:c>
      <x:c r="J13" s="54" t="n">
        <x:v>7</x:v>
      </x:c>
      <x:c r="K13" s="35" t="str">
        <x:v>VOCAB-DEV-2026-08-13-BATCH01-R8.1-POSTCONFIRMATION</x:v>
      </x:c>
      <x:c r="L13" s="35" t="str">
        <x:v>YES</x:v>
      </x:c>
      <x:c r="M13" s="35" t="str">
        <x:v>NOT_IN_R7_ACCEPTED_SET</x:v>
      </x:c>
    </x:row>
    <x:row r="14">
      <x:c r="A14" s="35" t="str">
        <x:v>B01-TRF-004-PASS</x:v>
      </x:c>
      <x:c r="B14" s="38" t="str">
        <x:v>TRF-004</x:v>
      </x:c>
      <x:c r="C14" s="35" t="str">
        <x:v>PASS</x:v>
      </x:c>
      <x:c r="D14" s="67" t="b">
        <x:v>1</x:v>
      </x:c>
      <x:c r="E14" s="54" t="n">
        <x:v>5</x:v>
      </x:c>
      <x:c r="F14" s="35" t="str">
        <x:v>1.4</x:v>
      </x:c>
      <x:c r="G14" s="35" t="str">
        <x:v>both date boundaries plus wrong edition</x:v>
      </x:c>
      <x:c r="H14" s="35" t="str">
        <x:v>INPUTS/DEVELOPMENT_CALIBRATION/BATCH_01_FIRST_50/rdf_fixtures/TRF-004/trf-004_01_pass.ttl</x:v>
      </x:c>
      <x:c r="I14" s="35" t="str">
        <x:v>f2d70121e6658b68e92fbd4a8ebe69c99d832d4e05764f42203e7fe5b39b811d</x:v>
      </x:c>
      <x:c r="J14" s="54" t="n">
        <x:v>7</x:v>
      </x:c>
      <x:c r="K14" s="35" t="str">
        <x:v>VOCAB-DEV-2026-08-13-BATCH01-R8.1-POSTCONFIRMATION</x:v>
      </x:c>
      <x:c r="L14" s="35" t="str">
        <x:v>YES</x:v>
      </x:c>
      <x:c r="M14" s="35" t="str">
        <x:v>NOT_IN_R7_ACCEPTED_SET</x:v>
      </x:c>
    </x:row>
    <x:row r="15">
      <x:c r="A15" s="35" t="str">
        <x:v>B01-TRF-004-FAIL</x:v>
      </x:c>
      <x:c r="B15" s="38" t="str">
        <x:v>TRF-004</x:v>
      </x:c>
      <x:c r="C15" s="35" t="str">
        <x:v>FAIL</x:v>
      </x:c>
      <x:c r="D15" s="67" t="b">
        <x:v>0</x:v>
      </x:c>
      <x:c r="E15" s="54" t="n">
        <x:v>5</x:v>
      </x:c>
      <x:c r="F15" s="35" t="str">
        <x:v>1.4</x:v>
      </x:c>
      <x:c r="G15" s="35" t="str">
        <x:v>both date boundaries plus wrong edition</x:v>
      </x:c>
      <x:c r="H15" s="35" t="str">
        <x:v>INPUTS/DEVELOPMENT_CALIBRATION/BATCH_01_FIRST_50/rdf_fixtures/TRF-004/trf-004_02_fail.ttl</x:v>
      </x:c>
      <x:c r="I15" s="35" t="str">
        <x:v>948cf0217edaf5f2208bcd936000739293a815295b9ed07cf1a68847515ca742</x:v>
      </x:c>
      <x:c r="J15" s="54" t="n">
        <x:v>7</x:v>
      </x:c>
      <x:c r="K15" s="35" t="str">
        <x:v>VOCAB-DEV-2026-08-13-BATCH01-R8.1-POSTCONFIRMATION</x:v>
      </x:c>
      <x:c r="L15" s="35" t="str">
        <x:v>YES</x:v>
      </x:c>
      <x:c r="M15" s="35" t="str">
        <x:v>NOT_IN_R7_ACCEPTED_SET</x:v>
      </x:c>
    </x:row>
    <x:row r="16">
      <x:c r="A16" s="35" t="str">
        <x:v>B01-TRF-004-BOUNDARY</x:v>
      </x:c>
      <x:c r="B16" s="38" t="str">
        <x:v>TRF-004</x:v>
      </x:c>
      <x:c r="C16" s="35" t="str">
        <x:v>BOUNDARY</x:v>
      </x:c>
      <x:c r="D16" s="67" t="b">
        <x:v>1</x:v>
      </x:c>
      <x:c r="E16" s="54" t="n">
        <x:v>5</x:v>
      </x:c>
      <x:c r="F16" s="35" t="str">
        <x:v>1.4</x:v>
      </x:c>
      <x:c r="G16" s="35" t="str">
        <x:v>both date boundaries plus wrong edition</x:v>
      </x:c>
      <x:c r="H16" s="35" t="str">
        <x:v>INPUTS/DEVELOPMENT_CALIBRATION/BATCH_01_FIRST_50/rdf_fixtures/TRF-004/trf-004_03_boundary.ttl</x:v>
      </x:c>
      <x:c r="I16" s="35" t="str">
        <x:v>5ff65786d747b406d735b7a1b05922c990ce0acbdd817a2dcb534af8bb0b893b</x:v>
      </x:c>
      <x:c r="J16" s="54" t="n">
        <x:v>7</x:v>
      </x:c>
      <x:c r="K16" s="35" t="str">
        <x:v>VOCAB-DEV-2026-08-13-BATCH01-R8.1-POSTCONFIRMATION</x:v>
      </x:c>
      <x:c r="L16" s="35" t="str">
        <x:v>YES</x:v>
      </x:c>
      <x:c r="M16" s="35" t="str">
        <x:v>NOT_IN_R7_ACCEPTED_SET</x:v>
      </x:c>
    </x:row>
    <x:row r="17">
      <x:c r="A17" s="35" t="str">
        <x:v>B01-TRF-005-PASS</x:v>
      </x:c>
      <x:c r="B17" s="38" t="str">
        <x:v>TRF-005</x:v>
      </x:c>
      <x:c r="C17" s="35" t="str">
        <x:v>PASS</x:v>
      </x:c>
      <x:c r="D17" s="67" t="b">
        <x:v>1</x:v>
      </x:c>
      <x:c r="E17" s="54" t="n">
        <x:v>5</x:v>
      </x:c>
      <x:c r="F17" s="35" t="str">
        <x:v>1.5</x:v>
      </x:c>
      <x:c r="G17" s="35" t="str">
        <x:v>stage-date boundary, contract-date boundary, wrong edition</x:v>
      </x:c>
      <x:c r="H17" s="35" t="str">
        <x:v>INPUTS/DEVELOPMENT_CALIBRATION/BATCH_01_FIRST_50/rdf_fixtures/TRF-005/trf-005_01_pass.ttl</x:v>
      </x:c>
      <x:c r="I17" s="35" t="str">
        <x:v>2c84e70affb4c4c8397ff6ca961995160149cf3311317f8dc4e16dde4d5aace2</x:v>
      </x:c>
      <x:c r="J17" s="54" t="n">
        <x:v>8</x:v>
      </x:c>
      <x:c r="K17" s="35" t="str">
        <x:v>VOCAB-DEV-2026-08-13-BATCH01-R8.1-POSTCONFIRMATION</x:v>
      </x:c>
      <x:c r="L17" s="35" t="str">
        <x:v>YES</x:v>
      </x:c>
      <x:c r="M17" s="35" t="str">
        <x:v>NOT_IN_R7_ACCEPTED_SET</x:v>
      </x:c>
    </x:row>
    <x:row r="18">
      <x:c r="A18" s="35" t="str">
        <x:v>B01-TRF-005-FAIL</x:v>
      </x:c>
      <x:c r="B18" s="38" t="str">
        <x:v>TRF-005</x:v>
      </x:c>
      <x:c r="C18" s="35" t="str">
        <x:v>FAIL</x:v>
      </x:c>
      <x:c r="D18" s="67" t="b">
        <x:v>0</x:v>
      </x:c>
      <x:c r="E18" s="54" t="n">
        <x:v>5</x:v>
      </x:c>
      <x:c r="F18" s="35" t="str">
        <x:v>1.5</x:v>
      </x:c>
      <x:c r="G18" s="35" t="str">
        <x:v>stage-date boundary, contract-date boundary, wrong edition</x:v>
      </x:c>
      <x:c r="H18" s="35" t="str">
        <x:v>INPUTS/DEVELOPMENT_CALIBRATION/BATCH_01_FIRST_50/rdf_fixtures/TRF-005/trf-005_02_fail.ttl</x:v>
      </x:c>
      <x:c r="I18" s="35" t="str">
        <x:v>4f726dfffd076d284a0a999172a98b9dd911be611d0d0a052ee4390256a887dd</x:v>
      </x:c>
      <x:c r="J18" s="54" t="n">
        <x:v>8</x:v>
      </x:c>
      <x:c r="K18" s="35" t="str">
        <x:v>VOCAB-DEV-2026-08-13-BATCH01-R8.1-POSTCONFIRMATION</x:v>
      </x:c>
      <x:c r="L18" s="35" t="str">
        <x:v>YES</x:v>
      </x:c>
      <x:c r="M18" s="35" t="str">
        <x:v>NOT_IN_R7_ACCEPTED_SET</x:v>
      </x:c>
    </x:row>
    <x:row r="19">
      <x:c r="A19" s="35" t="str">
        <x:v>B01-TRF-005-BOUNDARY</x:v>
      </x:c>
      <x:c r="B19" s="38" t="str">
        <x:v>TRF-005</x:v>
      </x:c>
      <x:c r="C19" s="35" t="str">
        <x:v>BOUNDARY</x:v>
      </x:c>
      <x:c r="D19" s="67" t="b">
        <x:v>1</x:v>
      </x:c>
      <x:c r="E19" s="54" t="n">
        <x:v>5</x:v>
      </x:c>
      <x:c r="F19" s="35" t="str">
        <x:v>1.5</x:v>
      </x:c>
      <x:c r="G19" s="35" t="str">
        <x:v>stage-date boundary, contract-date boundary, wrong edition</x:v>
      </x:c>
      <x:c r="H19" s="35" t="str">
        <x:v>INPUTS/DEVELOPMENT_CALIBRATION/BATCH_01_FIRST_50/rdf_fixtures/TRF-005/trf-005_03_boundary.ttl</x:v>
      </x:c>
      <x:c r="I19" s="35" t="str">
        <x:v>3b9d60202aaf576bd71d608602f77355b4acc4e3f2ba5655daac121b7d8b336e</x:v>
      </x:c>
      <x:c r="J19" s="54" t="n">
        <x:v>8</x:v>
      </x:c>
      <x:c r="K19" s="35" t="str">
        <x:v>VOCAB-DEV-2026-08-13-BATCH01-R8.1-POSTCONFIRMATION</x:v>
      </x:c>
      <x:c r="L19" s="35" t="str">
        <x:v>YES</x:v>
      </x:c>
      <x:c r="M19" s="35" t="str">
        <x:v>NOT_IN_R7_ACCEPTED_SET</x:v>
      </x:c>
    </x:row>
    <x:row r="20">
      <x:c r="A20" s="35" t="str">
        <x:v>B01-TRF-006-PASS</x:v>
      </x:c>
      <x:c r="B20" s="38" t="str">
        <x:v>TRF-006</x:v>
      </x:c>
      <x:c r="C20" s="35" t="str">
        <x:v>PASS</x:v>
      </x:c>
      <x:c r="D20" s="67" t="b">
        <x:v>1</x:v>
      </x:c>
      <x:c r="E20" s="54" t="n">
        <x:v>5</x:v>
      </x:c>
      <x:c r="F20" s="35" t="str">
        <x:v>1.6</x:v>
      </x:c>
      <x:c r="G20" s="35" t="str">
        <x:v>1985 applicability pass/fail and optional 2008 engine-output branch</x:v>
      </x:c>
      <x:c r="H20" s="35" t="str">
        <x:v>INPUTS/DEVELOPMENT_CALIBRATION/BATCH_01_FIRST_50/rdf_fixtures/TRF-006/trf-006_01_pass.ttl</x:v>
      </x:c>
      <x:c r="I20" s="35" t="str">
        <x:v>18c651d701e5fa8092c175aa7e90cd00508516e1ce90ff4987352833a23761da</x:v>
      </x:c>
      <x:c r="J20" s="54" t="n">
        <x:v>12</x:v>
      </x:c>
      <x:c r="K20" s="35" t="str">
        <x:v>VOCAB-DEV-2026-08-13-BATCH01-R8.1-POSTCONFIRMATION</x:v>
      </x:c>
      <x:c r="L20" s="35" t="str">
        <x:v>YES</x:v>
      </x:c>
      <x:c r="M20" s="35" t="str">
        <x:v>NOT_IN_R7_ACCEPTED_SET</x:v>
      </x:c>
    </x:row>
    <x:row r="21">
      <x:c r="A21" s="35" t="str">
        <x:v>B01-TRF-006-FAIL</x:v>
      </x:c>
      <x:c r="B21" s="38" t="str">
        <x:v>TRF-006</x:v>
      </x:c>
      <x:c r="C21" s="35" t="str">
        <x:v>FAIL</x:v>
      </x:c>
      <x:c r="D21" s="67" t="b">
        <x:v>0</x:v>
      </x:c>
      <x:c r="E21" s="54" t="n">
        <x:v>5</x:v>
      </x:c>
      <x:c r="F21" s="35" t="str">
        <x:v>1.6</x:v>
      </x:c>
      <x:c r="G21" s="35" t="str">
        <x:v>1985 applicability pass/fail and optional 2008 engine-output branch</x:v>
      </x:c>
      <x:c r="H21" s="35" t="str">
        <x:v>INPUTS/DEVELOPMENT_CALIBRATION/BATCH_01_FIRST_50/rdf_fixtures/TRF-006/trf-006_02_fail.ttl</x:v>
      </x:c>
      <x:c r="I21" s="35" t="str">
        <x:v>ed9a006c117c04686d821e7ca24852efd1819a60c3afd03e0c4c70ee30f8b4d7</x:v>
      </x:c>
      <x:c r="J21" s="54" t="n">
        <x:v>12</x:v>
      </x:c>
      <x:c r="K21" s="35" t="str">
        <x:v>VOCAB-DEV-2026-08-13-BATCH01-R8.1-POSTCONFIRMATION</x:v>
      </x:c>
      <x:c r="L21" s="35" t="str">
        <x:v>YES</x:v>
      </x:c>
      <x:c r="M21" s="35" t="str">
        <x:v>NOT_IN_R7_ACCEPTED_SET</x:v>
      </x:c>
    </x:row>
    <x:row r="22">
      <x:c r="A22" s="35" t="str">
        <x:v>B01-TRF-006-BOUNDARY</x:v>
      </x:c>
      <x:c r="B22" s="38" t="str">
        <x:v>TRF-006</x:v>
      </x:c>
      <x:c r="C22" s="35" t="str">
        <x:v>BOUNDARY</x:v>
      </x:c>
      <x:c r="D22" s="67" t="b">
        <x:v>1</x:v>
      </x:c>
      <x:c r="E22" s="54" t="n">
        <x:v>5</x:v>
      </x:c>
      <x:c r="F22" s="35" t="str">
        <x:v>1.6</x:v>
      </x:c>
      <x:c r="G22" s="35" t="str">
        <x:v>1985 applicability pass/fail and optional 2008 engine-output branch</x:v>
      </x:c>
      <x:c r="H22" s="35" t="str">
        <x:v>INPUTS/DEVELOPMENT_CALIBRATION/BATCH_01_FIRST_50/rdf_fixtures/TRF-006/trf-006_03_boundary.ttl</x:v>
      </x:c>
      <x:c r="I22" s="35" t="str">
        <x:v>799f886d9aa800456decc82e8254834ceb43a0390a82a2ed9f2d50057dc50e0d</x:v>
      </x:c>
      <x:c r="J22" s="54" t="n">
        <x:v>12</x:v>
      </x:c>
      <x:c r="K22" s="35" t="str">
        <x:v>VOCAB-DEV-2026-08-13-BATCH01-R8.1-POSTCONFIRMATION</x:v>
      </x:c>
      <x:c r="L22" s="35" t="str">
        <x:v>YES</x:v>
      </x:c>
      <x:c r="M22" s="35" t="str">
        <x:v>NOT_IN_R7_ACCEPTED_SET</x:v>
      </x:c>
    </x:row>
    <x:row r="23">
      <x:c r="A23" s="35" t="str">
        <x:v>B01-TRF-007-PASS</x:v>
      </x:c>
      <x:c r="B23" s="38" t="str">
        <x:v>TRF-007</x:v>
      </x:c>
      <x:c r="C23" s="35" t="str">
        <x:v>PASS</x:v>
      </x:c>
      <x:c r="D23" s="67" t="b">
        <x:v>1</x:v>
      </x:c>
      <x:c r="E23" s="54" t="n">
        <x:v>5</x:v>
      </x:c>
      <x:c r="F23" s="35" t="str">
        <x:v>1.6</x:v>
      </x:c>
      <x:c r="G23" s="35" t="str">
        <x:v>before deadline, at deadline compliant, at deadline missing method</x:v>
      </x:c>
      <x:c r="H23" s="35" t="str">
        <x:v>INPUTS/DEVELOPMENT_CALIBRATION/BATCH_01_FIRST_50/rdf_fixtures/TRF-007/trf-007_01_pass.ttl</x:v>
      </x:c>
      <x:c r="I23" s="35" t="str">
        <x:v>1eaa142a1ed3b5f70394cad933a3a4d4f5d4f69a04ca50277dc2a39c33484189</x:v>
      </x:c>
      <x:c r="J23" s="54" t="n">
        <x:v>8</x:v>
      </x:c>
      <x:c r="K23" s="35" t="str">
        <x:v>VOCAB-DEV-2026-08-13-BATCH01-R8.1-POSTCONFIRMATION</x:v>
      </x:c>
      <x:c r="L23" s="35" t="str">
        <x:v>YES</x:v>
      </x:c>
      <x:c r="M23" s="35" t="str">
        <x:v>NOT_IN_R7_ACCEPTED_SET</x:v>
      </x:c>
    </x:row>
    <x:row r="24">
      <x:c r="A24" s="35" t="str">
        <x:v>B01-TRF-007-FAIL</x:v>
      </x:c>
      <x:c r="B24" s="38" t="str">
        <x:v>TRF-007</x:v>
      </x:c>
      <x:c r="C24" s="35" t="str">
        <x:v>FAIL</x:v>
      </x:c>
      <x:c r="D24" s="67" t="b">
        <x:v>0</x:v>
      </x:c>
      <x:c r="E24" s="54" t="n">
        <x:v>5</x:v>
      </x:c>
      <x:c r="F24" s="35" t="str">
        <x:v>1.6</x:v>
      </x:c>
      <x:c r="G24" s="35" t="str">
        <x:v>before deadline, at deadline compliant, at deadline missing method</x:v>
      </x:c>
      <x:c r="H24" s="35" t="str">
        <x:v>INPUTS/DEVELOPMENT_CALIBRATION/BATCH_01_FIRST_50/rdf_fixtures/TRF-007/trf-007_02_fail.ttl</x:v>
      </x:c>
      <x:c r="I24" s="35" t="str">
        <x:v>8f6ddb9fc911375960c619225c4f9f039bea66e1730092f7b4589d4905231c54</x:v>
      </x:c>
      <x:c r="J24" s="54" t="n">
        <x:v>7</x:v>
      </x:c>
      <x:c r="K24" s="35" t="str">
        <x:v>VOCAB-DEV-2026-08-13-BATCH01-R8.1-POSTCONFIRMATION</x:v>
      </x:c>
      <x:c r="L24" s="35" t="str">
        <x:v>YES</x:v>
      </x:c>
      <x:c r="M24" s="35" t="str">
        <x:v>NOT_IN_R7_ACCEPTED_SET</x:v>
      </x:c>
    </x:row>
    <x:row r="25">
      <x:c r="A25" s="35" t="str">
        <x:v>B01-TRF-007-BOUNDARY</x:v>
      </x:c>
      <x:c r="B25" s="38" t="str">
        <x:v>TRF-007</x:v>
      </x:c>
      <x:c r="C25" s="35" t="str">
        <x:v>BOUNDARY</x:v>
      </x:c>
      <x:c r="D25" s="67" t="b">
        <x:v>1</x:v>
      </x:c>
      <x:c r="E25" s="54" t="n">
        <x:v>5</x:v>
      </x:c>
      <x:c r="F25" s="35" t="str">
        <x:v>1.6</x:v>
      </x:c>
      <x:c r="G25" s="35" t="str">
        <x:v>before deadline, at deadline compliant, at deadline missing method</x:v>
      </x:c>
      <x:c r="H25" s="35" t="str">
        <x:v>INPUTS/DEVELOPMENT_CALIBRATION/BATCH_01_FIRST_50/rdf_fixtures/TRF-007/trf-007_03_boundary.ttl</x:v>
      </x:c>
      <x:c r="I25" s="35" t="str">
        <x:v>3a613fe7fef58e67f713ee8ce7e2666eb2824c32bf39f32792f9241d0c14557c</x:v>
      </x:c>
      <x:c r="J25" s="54" t="n">
        <x:v>8</x:v>
      </x:c>
      <x:c r="K25" s="35" t="str">
        <x:v>VOCAB-DEV-2026-08-13-BATCH01-R8.1-POSTCONFIRMATION</x:v>
      </x:c>
      <x:c r="L25" s="35" t="str">
        <x:v>YES</x:v>
      </x:c>
      <x:c r="M25" s="35" t="str">
        <x:v>NOT_IN_R7_ACCEPTED_SET</x:v>
      </x:c>
    </x:row>
    <x:row r="26">
      <x:c r="A26" s="35" t="str">
        <x:v>B01-TRF-009-PASS</x:v>
      </x:c>
      <x:c r="B26" s="38" t="str">
        <x:v>TRF-009</x:v>
      </x:c>
      <x:c r="C26" s="35" t="str">
        <x:v>PASS</x:v>
      </x:c>
      <x:c r="D26" s="67" t="b">
        <x:v>1</x:v>
      </x:c>
      <x:c r="E26" s="54" t="n">
        <x:v>6</x:v>
      </x:c>
      <x:c r="F26" s="35" t="str">
        <x:v>1.7</x:v>
      </x:c>
      <x:c r="G26" s="35" t="str">
        <x:v>reuse TRF-007 fixture facts under separate requirement mapping</x:v>
      </x:c>
      <x:c r="H26" s="35" t="str">
        <x:v>INPUTS/DEVELOPMENT_CALIBRATION/BATCH_01_FIRST_50/rdf_fixtures/TRF-009/trf-009_01_pass.ttl</x:v>
      </x:c>
      <x:c r="I26" s="35" t="str">
        <x:v>30194060bca8153a105a1de8122cb8dc25dbde2d9737a5f4614b7f59ecf296d6</x:v>
      </x:c>
      <x:c r="J26" s="54" t="n">
        <x:v>8</x:v>
      </x:c>
      <x:c r="K26" s="35" t="str">
        <x:v>VOCAB-DEV-2026-08-13-BATCH01-R8.1-POSTCONFIRMATION</x:v>
      </x:c>
      <x:c r="L26" s="35" t="str">
        <x:v>YES</x:v>
      </x:c>
      <x:c r="M26" s="35" t="str">
        <x:v>NOT_IN_R7_ACCEPTED_SET</x:v>
      </x:c>
    </x:row>
    <x:row r="27">
      <x:c r="A27" s="35" t="str">
        <x:v>B01-TRF-009-FAIL</x:v>
      </x:c>
      <x:c r="B27" s="38" t="str">
        <x:v>TRF-009</x:v>
      </x:c>
      <x:c r="C27" s="35" t="str">
        <x:v>FAIL</x:v>
      </x:c>
      <x:c r="D27" s="67" t="b">
        <x:v>0</x:v>
      </x:c>
      <x:c r="E27" s="54" t="n">
        <x:v>6</x:v>
      </x:c>
      <x:c r="F27" s="35" t="str">
        <x:v>1.7</x:v>
      </x:c>
      <x:c r="G27" s="35" t="str">
        <x:v>reuse TRF-007 fixture facts under separate requirement mapping</x:v>
      </x:c>
      <x:c r="H27" s="35" t="str">
        <x:v>INPUTS/DEVELOPMENT_CALIBRATION/BATCH_01_FIRST_50/rdf_fixtures/TRF-009/trf-009_02_fail.ttl</x:v>
      </x:c>
      <x:c r="I27" s="35" t="str">
        <x:v>bdfdf096ecca3c65685b8c636fdb382387cbeea4373a6b7eed8ea976fafeab96</x:v>
      </x:c>
      <x:c r="J27" s="54" t="n">
        <x:v>7</x:v>
      </x:c>
      <x:c r="K27" s="35" t="str">
        <x:v>VOCAB-DEV-2026-08-13-BATCH01-R8.1-POSTCONFIRMATION</x:v>
      </x:c>
      <x:c r="L27" s="35" t="str">
        <x:v>YES</x:v>
      </x:c>
      <x:c r="M27" s="35" t="str">
        <x:v>NOT_IN_R7_ACCEPTED_SET</x:v>
      </x:c>
    </x:row>
    <x:row r="28">
      <x:c r="A28" s="35" t="str">
        <x:v>B01-TRF-009-BOUNDARY</x:v>
      </x:c>
      <x:c r="B28" s="38" t="str">
        <x:v>TRF-009</x:v>
      </x:c>
      <x:c r="C28" s="35" t="str">
        <x:v>BOUNDARY</x:v>
      </x:c>
      <x:c r="D28" s="67" t="b">
        <x:v>1</x:v>
      </x:c>
      <x:c r="E28" s="54" t="n">
        <x:v>6</x:v>
      </x:c>
      <x:c r="F28" s="35" t="str">
        <x:v>1.7</x:v>
      </x:c>
      <x:c r="G28" s="35" t="str">
        <x:v>reuse TRF-007 fixture facts under separate requirement mapping</x:v>
      </x:c>
      <x:c r="H28" s="35" t="str">
        <x:v>INPUTS/DEVELOPMENT_CALIBRATION/BATCH_01_FIRST_50/rdf_fixtures/TRF-009/trf-009_03_boundary.ttl</x:v>
      </x:c>
      <x:c r="I28" s="35" t="str">
        <x:v>fabda3d543d8a08456f6c049a806d38d0d00b20beb00c6bc0386dc81aa85443f</x:v>
      </x:c>
      <x:c r="J28" s="54" t="n">
        <x:v>8</x:v>
      </x:c>
      <x:c r="K28" s="35" t="str">
        <x:v>VOCAB-DEV-2026-08-13-BATCH01-R8.1-POSTCONFIRMATION</x:v>
      </x:c>
      <x:c r="L28" s="35" t="str">
        <x:v>YES</x:v>
      </x:c>
      <x:c r="M28" s="35" t="str">
        <x:v>NOT_IN_R7_ACCEPTED_SET</x:v>
      </x:c>
    </x:row>
    <x:row r="29">
      <x:c r="A29" s="35" t="str">
        <x:v>B01-TRF-010-PASS</x:v>
      </x:c>
      <x:c r="B29" s="38" t="str">
        <x:v>TRF-010</x:v>
      </x:c>
      <x:c r="C29" s="35" t="str">
        <x:v>PASS</x:v>
      </x:c>
      <x:c r="D29" s="67" t="b">
        <x:v>1</x:v>
      </x:c>
      <x:c r="E29" s="54" t="n">
        <x:v>6</x:v>
      </x:c>
      <x:c r="F29" s="35" t="str">
        <x:v>1.8</x:v>
      </x:c>
      <x:c r="G29" s="35" t="str">
        <x:v>each allowed class; invalid external value; missing value</x:v>
      </x:c>
      <x:c r="H29" s="35" t="str">
        <x:v>INPUTS/DEVELOPMENT_CALIBRATION/BATCH_01_FIRST_50/rdf_fixtures/TRF-010/trf-010_01_pass.ttl</x:v>
      </x:c>
      <x:c r="I29" s="35" t="str">
        <x:v>fe2c1a2b965e861daf3da99a1a6461aeaa71bbf9e513be7146663db36f6e90b6</x:v>
      </x:c>
      <x:c r="J29" s="54" t="n">
        <x:v>4</x:v>
      </x:c>
      <x:c r="K29" s="35" t="str">
        <x:v>VOCAB-DEV-2026-08-13-BATCH01-R8.1-POSTCONFIRMATION</x:v>
      </x:c>
      <x:c r="L29" s="35" t="str">
        <x:v>YES</x:v>
      </x:c>
      <x:c r="M29" s="35" t="str">
        <x:v>NOT_IN_R7_ACCEPTED_SET</x:v>
      </x:c>
    </x:row>
    <x:row r="30">
      <x:c r="A30" s="35" t="str">
        <x:v>B01-TRF-010-FAIL</x:v>
      </x:c>
      <x:c r="B30" s="38" t="str">
        <x:v>TRF-010</x:v>
      </x:c>
      <x:c r="C30" s="35" t="str">
        <x:v>FAIL</x:v>
      </x:c>
      <x:c r="D30" s="67" t="b">
        <x:v>0</x:v>
      </x:c>
      <x:c r="E30" s="54" t="n">
        <x:v>6</x:v>
      </x:c>
      <x:c r="F30" s="35" t="str">
        <x:v>1.8</x:v>
      </x:c>
      <x:c r="G30" s="35" t="str">
        <x:v>each allowed class; invalid external value; missing value</x:v>
      </x:c>
      <x:c r="H30" s="35" t="str">
        <x:v>INPUTS/DEVELOPMENT_CALIBRATION/BATCH_01_FIRST_50/rdf_fixtures/TRF-010/trf-010_02_fail.ttl</x:v>
      </x:c>
      <x:c r="I30" s="35" t="str">
        <x:v>1cad0518d86f6fd5e5134dac5270d65be8552ff28f1c4914da76c90ab1f9ece4</x:v>
      </x:c>
      <x:c r="J30" s="54" t="n">
        <x:v>4</x:v>
      </x:c>
      <x:c r="K30" s="35" t="str">
        <x:v>VOCAB-DEV-2026-08-13-BATCH01-R8.1-POSTCONFIRMATION</x:v>
      </x:c>
      <x:c r="L30" s="35" t="str">
        <x:v>YES</x:v>
      </x:c>
      <x:c r="M30" s="35" t="str">
        <x:v>NOT_IN_R7_ACCEPTED_SET</x:v>
      </x:c>
    </x:row>
    <x:row r="31">
      <x:c r="A31" s="35" t="str">
        <x:v>B01-TRF-010-BOUNDARY</x:v>
      </x:c>
      <x:c r="B31" s="38" t="str">
        <x:v>TRF-010</x:v>
      </x:c>
      <x:c r="C31" s="35" t="str">
        <x:v>BOUNDARY</x:v>
      </x:c>
      <x:c r="D31" s="67" t="b">
        <x:v>1</x:v>
      </x:c>
      <x:c r="E31" s="54" t="n">
        <x:v>6</x:v>
      </x:c>
      <x:c r="F31" s="35" t="str">
        <x:v>1.8</x:v>
      </x:c>
      <x:c r="G31" s="35" t="str">
        <x:v>each allowed class; invalid external value; missing value</x:v>
      </x:c>
      <x:c r="H31" s="35" t="str">
        <x:v>INPUTS/DEVELOPMENT_CALIBRATION/BATCH_01_FIRST_50/rdf_fixtures/TRF-010/trf-010_03_boundary.ttl</x:v>
      </x:c>
      <x:c r="I31" s="35" t="str">
        <x:v>8510250faa9d40e54ea4db95f70fe8f4c39060498ae4ea08cf2e252d72972401</x:v>
      </x:c>
      <x:c r="J31" s="54" t="n">
        <x:v>4</x:v>
      </x:c>
      <x:c r="K31" s="35" t="str">
        <x:v>VOCAB-DEV-2026-08-13-BATCH01-R8.1-POSTCONFIRMATION</x:v>
      </x:c>
      <x:c r="L31" s="35" t="str">
        <x:v>YES</x:v>
      </x:c>
      <x:c r="M31" s="35" t="str">
        <x:v>NOT_IN_R7_ACCEPTED_SET</x:v>
      </x:c>
    </x:row>
    <x:row r="32">
      <x:c r="A32" s="35" t="str">
        <x:v>B01-TRF-011-PASS</x:v>
      </x:c>
      <x:c r="B32" s="38" t="str">
        <x:v>TRF-011</x:v>
      </x:c>
      <x:c r="C32" s="35" t="str">
        <x:v>PASS</x:v>
      </x:c>
      <x:c r="D32" s="67" t="b">
        <x:v>1</x:v>
      </x:c>
      <x:c r="E32" s="54" t="n">
        <x:v>6</x:v>
      </x:c>
      <x:c r="F32" s="35" t="str">
        <x:v>2.1</x:v>
      </x:c>
      <x:c r="G32" s="35" t="str">
        <x:v>valid envelope, point below required maximum, missing profile</x:v>
      </x:c>
      <x:c r="H32" s="35" t="str">
        <x:v>INPUTS/DEVELOPMENT_CALIBRATION/BATCH_01_FIRST_50/rdf_fixtures/TRF-011/trf-011_01_pass.ttl</x:v>
      </x:c>
      <x:c r="I32" s="35" t="str">
        <x:v>f58243b5d66be692f5af383ed5db744bf5d04f8ca126c075603b8d572506e0d5</x:v>
      </x:c>
      <x:c r="J32" s="54" t="n">
        <x:v>59</x:v>
      </x:c>
      <x:c r="K32" s="35" t="str">
        <x:v>VOCAB-DEV-2026-08-13-BATCH01-R8.1-POSTCONFIRMATION</x:v>
      </x:c>
      <x:c r="L32" s="35" t="str">
        <x:v>YES</x:v>
      </x:c>
      <x:c r="M32" s="35" t="str">
        <x:v>NOT_IN_R7_ACCEPTED_SET</x:v>
      </x:c>
    </x:row>
    <x:row r="33">
      <x:c r="A33" s="35" t="str">
        <x:v>B01-TRF-011-FAIL</x:v>
      </x:c>
      <x:c r="B33" s="38" t="str">
        <x:v>TRF-011</x:v>
      </x:c>
      <x:c r="C33" s="35" t="str">
        <x:v>FAIL</x:v>
      </x:c>
      <x:c r="D33" s="67" t="b">
        <x:v>0</x:v>
      </x:c>
      <x:c r="E33" s="54" t="n">
        <x:v>6</x:v>
      </x:c>
      <x:c r="F33" s="35" t="str">
        <x:v>2.1</x:v>
      </x:c>
      <x:c r="G33" s="35" t="str">
        <x:v>valid envelope, point below required maximum, missing profile</x:v>
      </x:c>
      <x:c r="H33" s="35" t="str">
        <x:v>INPUTS/DEVELOPMENT_CALIBRATION/BATCH_01_FIRST_50/rdf_fixtures/TRF-011/trf-011_02_fail.ttl</x:v>
      </x:c>
      <x:c r="I33" s="35" t="str">
        <x:v>cee219d0e7a7b1c8c4790e7a12297e633d3ebab130f1b64544378495c9712122</x:v>
      </x:c>
      <x:c r="J33" s="54" t="n">
        <x:v>59</x:v>
      </x:c>
      <x:c r="K33" s="35" t="str">
        <x:v>VOCAB-DEV-2026-08-13-BATCH01-R8.1-POSTCONFIRMATION</x:v>
      </x:c>
      <x:c r="L33" s="35" t="str">
        <x:v>YES</x:v>
      </x:c>
      <x:c r="M33" s="35" t="str">
        <x:v>NOT_IN_R7_ACCEPTED_SET</x:v>
      </x:c>
    </x:row>
    <x:row r="34">
      <x:c r="A34" s="35" t="str">
        <x:v>B01-TRF-011-BOUNDARY</x:v>
      </x:c>
      <x:c r="B34" s="38" t="str">
        <x:v>TRF-011</x:v>
      </x:c>
      <x:c r="C34" s="35" t="str">
        <x:v>BOUNDARY</x:v>
      </x:c>
      <x:c r="D34" s="67" t="b">
        <x:v>1</x:v>
      </x:c>
      <x:c r="E34" s="54" t="n">
        <x:v>6</x:v>
      </x:c>
      <x:c r="F34" s="35" t="str">
        <x:v>2.1</x:v>
      </x:c>
      <x:c r="G34" s="35" t="str">
        <x:v>valid envelope, point below required maximum, missing profile</x:v>
      </x:c>
      <x:c r="H34" s="35" t="str">
        <x:v>INPUTS/DEVELOPMENT_CALIBRATION/BATCH_01_FIRST_50/rdf_fixtures/TRF-011/trf-011_03_boundary.ttl</x:v>
      </x:c>
      <x:c r="I34" s="35" t="str">
        <x:v>b0ff9a1bf03d8005118a1a2d729f03bd657142a9841525f015423afbcc7a514f</x:v>
      </x:c>
      <x:c r="J34" s="54" t="n">
        <x:v>59</x:v>
      </x:c>
      <x:c r="K34" s="35" t="str">
        <x:v>VOCAB-DEV-2026-08-13-BATCH01-R8.1-POSTCONFIRMATION</x:v>
      </x:c>
      <x:c r="L34" s="35" t="str">
        <x:v>YES</x:v>
      </x:c>
      <x:c r="M34" s="35" t="str">
        <x:v>NOT_IN_R7_ACCEPTED_SET</x:v>
      </x:c>
    </x:row>
    <x:row r="35">
      <x:c r="A35" s="35" t="str">
        <x:v>B01-TRF-012-PASS</x:v>
      </x:c>
      <x:c r="B35" s="38" t="str">
        <x:v>TRF-012</x:v>
      </x:c>
      <x:c r="C35" s="35" t="str">
        <x:v>PASS</x:v>
      </x:c>
      <x:c r="D35" s="67" t="b">
        <x:v>1</x:v>
      </x:c>
      <x:c r="E35" s="54" t="n">
        <x:v>6</x:v>
      </x:c>
      <x:c r="F35" s="35" t="str">
        <x:v>2.1</x:v>
      </x:c>
      <x:c r="G35" s="35" t="str">
        <x:v>valid envelope, point above required minimum, missing profile</x:v>
      </x:c>
      <x:c r="H35" s="35" t="str">
        <x:v>INPUTS/DEVELOPMENT_CALIBRATION/BATCH_01_FIRST_50/rdf_fixtures/TRF-012/trf-012_01_pass.ttl</x:v>
      </x:c>
      <x:c r="I35" s="35" t="str">
        <x:v>59e5f2bd2268688682ba85b0699b961c7376874f46b12724fcfd3ca6e2a0c3b4</x:v>
      </x:c>
      <x:c r="J35" s="54" t="n">
        <x:v>59</x:v>
      </x:c>
      <x:c r="K35" s="35" t="str">
        <x:v>VOCAB-DEV-2026-08-13-BATCH01-R8.1-POSTCONFIRMATION</x:v>
      </x:c>
      <x:c r="L35" s="35" t="str">
        <x:v>YES</x:v>
      </x:c>
      <x:c r="M35" s="35" t="str">
        <x:v>NOT_IN_R7_ACCEPTED_SET</x:v>
      </x:c>
    </x:row>
    <x:row r="36">
      <x:c r="A36" s="35" t="str">
        <x:v>B01-TRF-012-FAIL</x:v>
      </x:c>
      <x:c r="B36" s="38" t="str">
        <x:v>TRF-012</x:v>
      </x:c>
      <x:c r="C36" s="35" t="str">
        <x:v>FAIL</x:v>
      </x:c>
      <x:c r="D36" s="67" t="b">
        <x:v>0</x:v>
      </x:c>
      <x:c r="E36" s="54" t="n">
        <x:v>6</x:v>
      </x:c>
      <x:c r="F36" s="35" t="str">
        <x:v>2.1</x:v>
      </x:c>
      <x:c r="G36" s="35" t="str">
        <x:v>valid envelope, point above required minimum, missing profile</x:v>
      </x:c>
      <x:c r="H36" s="35" t="str">
        <x:v>INPUTS/DEVELOPMENT_CALIBRATION/BATCH_01_FIRST_50/rdf_fixtures/TRF-012/trf-012_02_fail.ttl</x:v>
      </x:c>
      <x:c r="I36" s="35" t="str">
        <x:v>75aeaf606dfe772d873094e90ec191730a6de3c5674a5bf3394b0339f6e8c758</x:v>
      </x:c>
      <x:c r="J36" s="54" t="n">
        <x:v>59</x:v>
      </x:c>
      <x:c r="K36" s="35" t="str">
        <x:v>VOCAB-DEV-2026-08-13-BATCH01-R8.1-POSTCONFIRMATION</x:v>
      </x:c>
      <x:c r="L36" s="35" t="str">
        <x:v>YES</x:v>
      </x:c>
      <x:c r="M36" s="35" t="str">
        <x:v>NOT_IN_R7_ACCEPTED_SET</x:v>
      </x:c>
    </x:row>
    <x:row r="37">
      <x:c r="A37" s="35" t="str">
        <x:v>B01-TRF-012-BOUNDARY</x:v>
      </x:c>
      <x:c r="B37" s="38" t="str">
        <x:v>TRF-012</x:v>
      </x:c>
      <x:c r="C37" s="35" t="str">
        <x:v>BOUNDARY</x:v>
      </x:c>
      <x:c r="D37" s="67" t="b">
        <x:v>1</x:v>
      </x:c>
      <x:c r="E37" s="54" t="n">
        <x:v>6</x:v>
      </x:c>
      <x:c r="F37" s="35" t="str">
        <x:v>2.1</x:v>
      </x:c>
      <x:c r="G37" s="35" t="str">
        <x:v>valid envelope, point above required minimum, missing profile</x:v>
      </x:c>
      <x:c r="H37" s="35" t="str">
        <x:v>INPUTS/DEVELOPMENT_CALIBRATION/BATCH_01_FIRST_50/rdf_fixtures/TRF-012/trf-012_03_boundary.ttl</x:v>
      </x:c>
      <x:c r="I37" s="35" t="str">
        <x:v>0282845d30058df89f497659cb2e24ad37a23196d60ca4c809f58afe880bd017</x:v>
      </x:c>
      <x:c r="J37" s="54" t="n">
        <x:v>59</x:v>
      </x:c>
      <x:c r="K37" s="35" t="str">
        <x:v>VOCAB-DEV-2026-08-13-BATCH01-R8.1-POSTCONFIRMATION</x:v>
      </x:c>
      <x:c r="L37" s="35" t="str">
        <x:v>YES</x:v>
      </x:c>
      <x:c r="M37" s="35" t="str">
        <x:v>NOT_IN_R7_ACCEPTED_SET</x:v>
      </x:c>
    </x:row>
    <x:row r="38">
      <x:c r="A38" s="35" t="str">
        <x:v>B01-TRF-013-PASS</x:v>
      </x:c>
      <x:c r="B38" s="38" t="str">
        <x:v>TRF-013</x:v>
      </x:c>
      <x:c r="C38" s="35" t="str">
        <x:v>PASS</x:v>
      </x:c>
      <x:c r="D38" s="67" t="b">
        <x:v>1</x:v>
      </x:c>
      <x:c r="E38" s="54" t="n">
        <x:v>7</x:v>
      </x:c>
      <x:c r="F38" s="35" t="str">
        <x:v>2.2</x:v>
      </x:c>
      <x:c r="G38" s="35" t="str">
        <x:v>inside both bounds, below lower, above upper</x:v>
      </x:c>
      <x:c r="H38" s="35" t="str">
        <x:v>INPUTS/DEVELOPMENT_CALIBRATION/BATCH_01_FIRST_50/rdf_fixtures/TRF-013/trf-013_01_pass.ttl</x:v>
      </x:c>
      <x:c r="I38" s="35" t="str">
        <x:v>d8b1148df6f677abecb8bacac32c43b350f01730c5e385d052e0bd7b16287bc4</x:v>
      </x:c>
      <x:c r="J38" s="54" t="n">
        <x:v>83</x:v>
      </x:c>
      <x:c r="K38" s="35" t="str">
        <x:v>VOCAB-DEV-2026-08-13-BATCH01-R8.1-POSTCONFIRMATION</x:v>
      </x:c>
      <x:c r="L38" s="35" t="str">
        <x:v>YES</x:v>
      </x:c>
      <x:c r="M38" s="35" t="str">
        <x:v>NOT_IN_R7_ACCEPTED_SET</x:v>
      </x:c>
    </x:row>
    <x:row r="39">
      <x:c r="A39" s="35" t="str">
        <x:v>B01-TRF-013-FAIL</x:v>
      </x:c>
      <x:c r="B39" s="38" t="str">
        <x:v>TRF-013</x:v>
      </x:c>
      <x:c r="C39" s="35" t="str">
        <x:v>FAIL</x:v>
      </x:c>
      <x:c r="D39" s="67" t="b">
        <x:v>0</x:v>
      </x:c>
      <x:c r="E39" s="54" t="n">
        <x:v>7</x:v>
      </x:c>
      <x:c r="F39" s="35" t="str">
        <x:v>2.2</x:v>
      </x:c>
      <x:c r="G39" s="35" t="str">
        <x:v>inside both bounds, below lower, above upper</x:v>
      </x:c>
      <x:c r="H39" s="35" t="str">
        <x:v>INPUTS/DEVELOPMENT_CALIBRATION/BATCH_01_FIRST_50/rdf_fixtures/TRF-013/trf-013_02_fail.ttl</x:v>
      </x:c>
      <x:c r="I39" s="35" t="str">
        <x:v>f07081a620730906656cc33ce1e203888238427eabba00dce67d4eaf9e0e7690</x:v>
      </x:c>
      <x:c r="J39" s="54" t="n">
        <x:v>83</x:v>
      </x:c>
      <x:c r="K39" s="35" t="str">
        <x:v>VOCAB-DEV-2026-08-13-BATCH01-R8.1-POSTCONFIRMATION</x:v>
      </x:c>
      <x:c r="L39" s="35" t="str">
        <x:v>YES</x:v>
      </x:c>
      <x:c r="M39" s="35" t="str">
        <x:v>NOT_IN_R7_ACCEPTED_SET</x:v>
      </x:c>
    </x:row>
    <x:row r="40">
      <x:c r="A40" s="35" t="str">
        <x:v>B01-TRF-013-BOUNDARY</x:v>
      </x:c>
      <x:c r="B40" s="38" t="str">
        <x:v>TRF-013</x:v>
      </x:c>
      <x:c r="C40" s="35" t="str">
        <x:v>BOUNDARY</x:v>
      </x:c>
      <x:c r="D40" s="67" t="b">
        <x:v>1</x:v>
      </x:c>
      <x:c r="E40" s="54" t="n">
        <x:v>7</x:v>
      </x:c>
      <x:c r="F40" s="35" t="str">
        <x:v>2.2</x:v>
      </x:c>
      <x:c r="G40" s="35" t="str">
        <x:v>inside both bounds, below lower, above upper</x:v>
      </x:c>
      <x:c r="H40" s="35" t="str">
        <x:v>INPUTS/DEVELOPMENT_CALIBRATION/BATCH_01_FIRST_50/rdf_fixtures/TRF-013/trf-013_03_boundary.ttl</x:v>
      </x:c>
      <x:c r="I40" s="35" t="str">
        <x:v>19fcefb2b14f67a248b20c5c0c9c6ec7ad47fb17a566cf887f543a3a61406ac6</x:v>
      </x:c>
      <x:c r="J40" s="54" t="n">
        <x:v>83</x:v>
      </x:c>
      <x:c r="K40" s="35" t="str">
        <x:v>VOCAB-DEV-2026-08-13-BATCH01-R8.1-POSTCONFIRMATION</x:v>
      </x:c>
      <x:c r="L40" s="35" t="str">
        <x:v>YES</x:v>
      </x:c>
      <x:c r="M40" s="35" t="str">
        <x:v>NOT_IN_R7_ACCEPTED_SET</x:v>
      </x:c>
    </x:row>
    <x:row r="41">
      <x:c r="A41" s="35" t="str">
        <x:v>B01-TRF-014-PASS</x:v>
      </x:c>
      <x:c r="B41" s="38" t="str">
        <x:v>TRF-014</x:v>
      </x:c>
      <x:c r="C41" s="35" t="str">
        <x:v>PASS</x:v>
      </x:c>
      <x:c r="D41" s="67" t="b">
        <x:v>1</x:v>
      </x:c>
      <x:c r="E41" s="54" t="n">
        <x:v>7</x:v>
      </x:c>
      <x:c r="F41" s="35" t="str">
        <x:v>2.2</x:v>
      </x:c>
      <x:c r="G41" s="35" t="str">
        <x:v>document evidence, certificate content, post-2007 marking, legacy docking deadline</x:v>
      </x:c>
      <x:c r="H41" s="35" t="str">
        <x:v>INPUTS/DEVELOPMENT_CALIBRATION/BATCH_01_FIRST_50/rdf_fixtures/TRF-014/trf-014_01_pass.ttl</x:v>
      </x:c>
      <x:c r="I41" s="35" t="str">
        <x:v>f3d2de6dc3986c026dd917686cd86715d49ab515aa22be73ba890e01eed9ba4f</x:v>
      </x:c>
      <x:c r="J41" s="54" t="n">
        <x:v>53</x:v>
      </x:c>
      <x:c r="K41" s="35" t="str">
        <x:v>VOCAB-DEV-2026-08-13-BATCH01-R8.1-POSTCONFIRMATION</x:v>
      </x:c>
      <x:c r="L41" s="35" t="str">
        <x:v>YES</x:v>
      </x:c>
      <x:c r="M41" s="35" t="str">
        <x:v>EXPECTED_MATCH</x:v>
      </x:c>
    </x:row>
    <x:row r="42">
      <x:c r="A42" s="35" t="str">
        <x:v>B01-TRF-014-FAIL</x:v>
      </x:c>
      <x:c r="B42" s="38" t="str">
        <x:v>TRF-014</x:v>
      </x:c>
      <x:c r="C42" s="35" t="str">
        <x:v>FAIL</x:v>
      </x:c>
      <x:c r="D42" s="67" t="b">
        <x:v>0</x:v>
      </x:c>
      <x:c r="E42" s="54" t="n">
        <x:v>7</x:v>
      </x:c>
      <x:c r="F42" s="35" t="str">
        <x:v>2.2</x:v>
      </x:c>
      <x:c r="G42" s="35" t="str">
        <x:v>document evidence, certificate content, post-2007 marking, legacy docking deadline</x:v>
      </x:c>
      <x:c r="H42" s="35" t="str">
        <x:v>INPUTS/DEVELOPMENT_CALIBRATION/BATCH_01_FIRST_50/rdf_fixtures/TRF-014/trf-014_02_fail.ttl</x:v>
      </x:c>
      <x:c r="I42" s="35" t="str">
        <x:v>591812a338511848234c15115c51cd921069418c4e8a095628edf498d96a2137</x:v>
      </x:c>
      <x:c r="J42" s="54" t="n">
        <x:v>53</x:v>
      </x:c>
      <x:c r="K42" s="35" t="str">
        <x:v>VOCAB-DEV-2026-08-13-BATCH01-R8.1-POSTCONFIRMATION</x:v>
      </x:c>
      <x:c r="L42" s="35" t="str">
        <x:v>YES</x:v>
      </x:c>
      <x:c r="M42" s="35" t="str">
        <x:v>EXPECTED_MATCH</x:v>
      </x:c>
    </x:row>
    <x:row r="43">
      <x:c r="A43" s="35" t="str">
        <x:v>B01-TRF-014-BOUNDARY</x:v>
      </x:c>
      <x:c r="B43" s="38" t="str">
        <x:v>TRF-014</x:v>
      </x:c>
      <x:c r="C43" s="35" t="str">
        <x:v>BOUNDARY</x:v>
      </x:c>
      <x:c r="D43" s="67" t="b">
        <x:v>1</x:v>
      </x:c>
      <x:c r="E43" s="54" t="n">
        <x:v>7</x:v>
      </x:c>
      <x:c r="F43" s="35" t="str">
        <x:v>2.2</x:v>
      </x:c>
      <x:c r="G43" s="35" t="str">
        <x:v>document evidence, certificate content, post-2007 marking, legacy docking deadline</x:v>
      </x:c>
      <x:c r="H43" s="35" t="str">
        <x:v>INPUTS/DEVELOPMENT_CALIBRATION/BATCH_01_FIRST_50/rdf_fixtures/TRF-014/trf-014_03_boundary.ttl</x:v>
      </x:c>
      <x:c r="I43" s="35" t="str">
        <x:v>fbef226fa410328c6544106829bc8351b6e082419f59c064fd455db09c80763e</x:v>
      </x:c>
      <x:c r="J43" s="54" t="n">
        <x:v>53</x:v>
      </x:c>
      <x:c r="K43" s="35" t="str">
        <x:v>VOCAB-DEV-2026-08-13-BATCH01-R8.1-POSTCONFIRMATION</x:v>
      </x:c>
      <x:c r="L43" s="35" t="str">
        <x:v>YES</x:v>
      </x:c>
      <x:c r="M43" s="35" t="str">
        <x:v>EXPECTED_MATCH</x:v>
      </x:c>
    </x:row>
    <x:row r="44">
      <x:c r="A44" s="35" t="str">
        <x:v>B01-TRF-015-PASS</x:v>
      </x:c>
      <x:c r="B44" s="38" t="str">
        <x:v>TRF-015</x:v>
      </x:c>
      <x:c r="C44" s="35" t="str">
        <x:v>PASS</x:v>
      </x:c>
      <x:c r="D44" s="67" t="b">
        <x:v>1</x:v>
      </x:c>
      <x:c r="E44" s="54" t="n">
        <x:v>7</x:v>
      </x:c>
      <x:c r="F44" s="35" t="str">
        <x:v>2.2</x:v>
      </x:c>
      <x:c r="G44" s="35" t="str">
        <x:v>draught/trim within limit; exceeded limit; salinity mismatch</x:v>
      </x:c>
      <x:c r="H44" s="35" t="str">
        <x:v>INPUTS/DEVELOPMENT_CALIBRATION/BATCH_01_FIRST_50/rdf_fixtures/TRF-015/trf-015_01_pass.ttl</x:v>
      </x:c>
      <x:c r="I44" s="35" t="str">
        <x:v>a9f519dbf5bf6177951bffc2759b2776ae6abdeea6b5458fc27ced40c6f0747a</x:v>
      </x:c>
      <x:c r="J44" s="54" t="n">
        <x:v>28</x:v>
      </x:c>
      <x:c r="K44" s="35" t="str">
        <x:v>VOCAB-DEV-2026-08-13-BATCH01-R8.1-POSTCONFIRMATION</x:v>
      </x:c>
      <x:c r="L44" s="35" t="str">
        <x:v>YES</x:v>
      </x:c>
      <x:c r="M44" s="35" t="str">
        <x:v>NOT_IN_R7_ACCEPTED_SET</x:v>
      </x:c>
    </x:row>
    <x:row r="45">
      <x:c r="A45" s="35" t="str">
        <x:v>B01-TRF-015-FAIL</x:v>
      </x:c>
      <x:c r="B45" s="38" t="str">
        <x:v>TRF-015</x:v>
      </x:c>
      <x:c r="C45" s="35" t="str">
        <x:v>FAIL</x:v>
      </x:c>
      <x:c r="D45" s="67" t="b">
        <x:v>0</x:v>
      </x:c>
      <x:c r="E45" s="54" t="n">
        <x:v>7</x:v>
      </x:c>
      <x:c r="F45" s="35" t="str">
        <x:v>2.2</x:v>
      </x:c>
      <x:c r="G45" s="35" t="str">
        <x:v>draught/trim within limit; exceeded limit; salinity mismatch</x:v>
      </x:c>
      <x:c r="H45" s="35" t="str">
        <x:v>INPUTS/DEVELOPMENT_CALIBRATION/BATCH_01_FIRST_50/rdf_fixtures/TRF-015/trf-015_02_fail.ttl</x:v>
      </x:c>
      <x:c r="I45" s="35" t="str">
        <x:v>cb31de3188d73104ae103f8a3ab1c1133c9e9b48cb53a94bed0510acfc5a83b5</x:v>
      </x:c>
      <x:c r="J45" s="54" t="n">
        <x:v>28</x:v>
      </x:c>
      <x:c r="K45" s="35" t="str">
        <x:v>VOCAB-DEV-2026-08-13-BATCH01-R8.1-POSTCONFIRMATION</x:v>
      </x:c>
      <x:c r="L45" s="35" t="str">
        <x:v>YES</x:v>
      </x:c>
      <x:c r="M45" s="35" t="str">
        <x:v>NOT_IN_R7_ACCEPTED_SET</x:v>
      </x:c>
    </x:row>
    <x:row r="46">
      <x:c r="A46" s="35" t="str">
        <x:v>B01-TRF-015-BOUNDARY</x:v>
      </x:c>
      <x:c r="B46" s="38" t="str">
        <x:v>TRF-015</x:v>
      </x:c>
      <x:c r="C46" s="35" t="str">
        <x:v>BOUNDARY</x:v>
      </x:c>
      <x:c r="D46" s="67" t="b">
        <x:v>1</x:v>
      </x:c>
      <x:c r="E46" s="54" t="n">
        <x:v>7</x:v>
      </x:c>
      <x:c r="F46" s="35" t="str">
        <x:v>2.2</x:v>
      </x:c>
      <x:c r="G46" s="35" t="str">
        <x:v>draught/trim within limit; exceeded limit; salinity mismatch</x:v>
      </x:c>
      <x:c r="H46" s="35" t="str">
        <x:v>INPUTS/DEVELOPMENT_CALIBRATION/BATCH_01_FIRST_50/rdf_fixtures/TRF-015/trf-015_03_boundary.ttl</x:v>
      </x:c>
      <x:c r="I46" s="35" t="str">
        <x:v>15643e43e237e89447f3ed73fc13f3f85f2a897c51127c866f121654d2b9e871</x:v>
      </x:c>
      <x:c r="J46" s="54" t="n">
        <x:v>28</x:v>
      </x:c>
      <x:c r="K46" s="35" t="str">
        <x:v>VOCAB-DEV-2026-08-13-BATCH01-R8.1-POSTCONFIRMATION</x:v>
      </x:c>
      <x:c r="L46" s="35" t="str">
        <x:v>YES</x:v>
      </x:c>
      <x:c r="M46" s="35" t="str">
        <x:v>NOT_IN_R7_ACCEPTED_SET</x:v>
      </x:c>
    </x:row>
    <x:row r="47">
      <x:c r="A47" s="35" t="str">
        <x:v>B01-TRF-016-PASS</x:v>
      </x:c>
      <x:c r="B47" s="38" t="str">
        <x:v>TRF-016</x:v>
      </x:c>
      <x:c r="C47" s="35" t="str">
        <x:v>PASS</x:v>
      </x:c>
      <x:c r="D47" s="67" t="b">
        <x:v>1</x:v>
      </x:c>
      <x:c r="E47" s="54" t="n">
        <x:v>7</x:v>
      </x:c>
      <x:c r="F47" s="35" t="str">
        <x:v>2.2</x:v>
      </x:c>
      <x:c r="G47" s="35" t="str">
        <x:v>all clauses pass; exact formula boundary; low draught; missing freeze protection</x:v>
      </x:c>
      <x:c r="H47" s="35" t="str">
        <x:v>INPUTS/DEVELOPMENT_CALIBRATION/BATCH_01_FIRST_50/rdf_fixtures/TRF-016/trf-016_01_pass.ttl</x:v>
      </x:c>
      <x:c r="I47" s="35" t="str">
        <x:v>44cf5972e76145b4f6a519bce5c1f136be4888f5e59643f933f10c4dd6eaf4b6</x:v>
      </x:c>
      <x:c r="J47" s="54" t="n">
        <x:v>80</x:v>
      </x:c>
      <x:c r="K47" s="35" t="str">
        <x:v>VOCAB-DEV-2026-08-13-BATCH01-R8.1-POSTCONFIRMATION</x:v>
      </x:c>
      <x:c r="L47" s="35" t="str">
        <x:v>YES</x:v>
      </x:c>
      <x:c r="M47" s="35" t="str">
        <x:v>NOT_IN_R7_ACCEPTED_SET</x:v>
      </x:c>
    </x:row>
    <x:row r="48">
      <x:c r="A48" s="35" t="str">
        <x:v>B01-TRF-016-FAIL</x:v>
      </x:c>
      <x:c r="B48" s="38" t="str">
        <x:v>TRF-016</x:v>
      </x:c>
      <x:c r="C48" s="35" t="str">
        <x:v>FAIL</x:v>
      </x:c>
      <x:c r="D48" s="67" t="b">
        <x:v>0</x:v>
      </x:c>
      <x:c r="E48" s="54" t="n">
        <x:v>7</x:v>
      </x:c>
      <x:c r="F48" s="35" t="str">
        <x:v>2.2</x:v>
      </x:c>
      <x:c r="G48" s="35" t="str">
        <x:v>all clauses pass; exact formula boundary; low draught; missing freeze protection</x:v>
      </x:c>
      <x:c r="H48" s="35" t="str">
        <x:v>INPUTS/DEVELOPMENT_CALIBRATION/BATCH_01_FIRST_50/rdf_fixtures/TRF-016/trf-016_02_fail.ttl</x:v>
      </x:c>
      <x:c r="I48" s="35" t="str">
        <x:v>13589fb43df2f18c880ba3990847885e01f003c131867fdf72ce8049ea7e3f17</x:v>
      </x:c>
      <x:c r="J48" s="54" t="n">
        <x:v>80</x:v>
      </x:c>
      <x:c r="K48" s="35" t="str">
        <x:v>VOCAB-DEV-2026-08-13-BATCH01-R8.1-POSTCONFIRMATION</x:v>
      </x:c>
      <x:c r="L48" s="35" t="str">
        <x:v>YES</x:v>
      </x:c>
      <x:c r="M48" s="35" t="str">
        <x:v>NOT_IN_R7_ACCEPTED_SET</x:v>
      </x:c>
    </x:row>
    <x:row r="49">
      <x:c r="A49" s="35" t="str">
        <x:v>B01-TRF-016-BOUNDARY</x:v>
      </x:c>
      <x:c r="B49" s="38" t="str">
        <x:v>TRF-016</x:v>
      </x:c>
      <x:c r="C49" s="35" t="str">
        <x:v>BOUNDARY</x:v>
      </x:c>
      <x:c r="D49" s="67" t="b">
        <x:v>1</x:v>
      </x:c>
      <x:c r="E49" s="54" t="n">
        <x:v>7</x:v>
      </x:c>
      <x:c r="F49" s="35" t="str">
        <x:v>2.2</x:v>
      </x:c>
      <x:c r="G49" s="35" t="str">
        <x:v>all clauses pass; exact formula boundary; low draught; missing freeze protection</x:v>
      </x:c>
      <x:c r="H49" s="35" t="str">
        <x:v>INPUTS/DEVELOPMENT_CALIBRATION/BATCH_01_FIRST_50/rdf_fixtures/TRF-016/trf-016_03_boundary.ttl</x:v>
      </x:c>
      <x:c r="I49" s="35" t="str">
        <x:v>3b24b98131653cf973d9d2a2b8a8549b528d0d850719c77e9abb079eb4f385c9</x:v>
      </x:c>
      <x:c r="J49" s="54" t="n">
        <x:v>80</x:v>
      </x:c>
      <x:c r="K49" s="35" t="str">
        <x:v>VOCAB-DEV-2026-08-13-BATCH01-R8.1-POSTCONFIRMATION</x:v>
      </x:c>
      <x:c r="L49" s="35" t="str">
        <x:v>YES</x:v>
      </x:c>
      <x:c r="M49" s="35" t="str">
        <x:v>NOT_IN_R7_ACCEPTED_SET</x:v>
      </x:c>
    </x:row>
    <x:row r="50">
      <x:c r="A50" s="35" t="str">
        <x:v>B01-TRF-017-PASS</x:v>
      </x:c>
      <x:c r="B50" s="38" t="str">
        <x:v>TRF-017</x:v>
      </x:c>
      <x:c r="C50" s="35" t="str">
        <x:v>PASS</x:v>
      </x:c>
      <x:c r="D50" s="67" t="b">
        <x:v>1</x:v>
      </x:c>
      <x:c r="E50" s="54" t="n">
        <x:v>7</x:v>
      </x:c>
      <x:c r="F50" s="35" t="str">
        <x:v>3.1</x:v>
      </x:c>
      <x:c r="G50" s="35" t="str">
        <x:v>unrestricted total; restricted output; additional source included; incorrect total</x:v>
      </x:c>
      <x:c r="H50" s="35" t="str">
        <x:v>INPUTS/DEVELOPMENT_CALIBRATION/BATCH_01_FIRST_50/rdf_fixtures/TRF-017/trf-017_01_pass.ttl</x:v>
      </x:c>
      <x:c r="I50" s="35" t="str">
        <x:v>be72ef431ec674dfc2190fdea7a75ea3366763f84ef43f84857b2de9740ac21e</x:v>
      </x:c>
      <x:c r="J50" s="54" t="n">
        <x:v>16</x:v>
      </x:c>
      <x:c r="K50" s="35" t="str">
        <x:v>VOCAB-DEV-2026-08-13-BATCH01-R8.1-POSTCONFIRMATION</x:v>
      </x:c>
      <x:c r="L50" s="35" t="str">
        <x:v>YES</x:v>
      </x:c>
      <x:c r="M50" s="35" t="str">
        <x:v>NOT_IN_R7_ACCEPTED_SET</x:v>
      </x:c>
    </x:row>
    <x:row r="51">
      <x:c r="A51" s="35" t="str">
        <x:v>B01-TRF-017-FAIL</x:v>
      </x:c>
      <x:c r="B51" s="38" t="str">
        <x:v>TRF-017</x:v>
      </x:c>
      <x:c r="C51" s="35" t="str">
        <x:v>FAIL</x:v>
      </x:c>
      <x:c r="D51" s="67" t="b">
        <x:v>0</x:v>
      </x:c>
      <x:c r="E51" s="54" t="n">
        <x:v>7</x:v>
      </x:c>
      <x:c r="F51" s="35" t="str">
        <x:v>3.1</x:v>
      </x:c>
      <x:c r="G51" s="35" t="str">
        <x:v>unrestricted total; restricted output; additional source included; incorrect total</x:v>
      </x:c>
      <x:c r="H51" s="35" t="str">
        <x:v>INPUTS/DEVELOPMENT_CALIBRATION/BATCH_01_FIRST_50/rdf_fixtures/TRF-017/trf-017_02_fail.ttl</x:v>
      </x:c>
      <x:c r="I51" s="35" t="str">
        <x:v>a679787ac4caea55857364ed51f258593d0d293576e3fe19a4381f08c420ab18</x:v>
      </x:c>
      <x:c r="J51" s="54" t="n">
        <x:v>16</x:v>
      </x:c>
      <x:c r="K51" s="35" t="str">
        <x:v>VOCAB-DEV-2026-08-13-BATCH01-R8.1-POSTCONFIRMATION</x:v>
      </x:c>
      <x:c r="L51" s="35" t="str">
        <x:v>YES</x:v>
      </x:c>
      <x:c r="M51" s="35" t="str">
        <x:v>NOT_IN_R7_ACCEPTED_SET</x:v>
      </x:c>
    </x:row>
    <x:row r="52">
      <x:c r="A52" s="35" t="str">
        <x:v>B01-TRF-017-BOUNDARY</x:v>
      </x:c>
      <x:c r="B52" s="38" t="str">
        <x:v>TRF-017</x:v>
      </x:c>
      <x:c r="C52" s="35" t="str">
        <x:v>BOUNDARY</x:v>
      </x:c>
      <x:c r="D52" s="67" t="b">
        <x:v>1</x:v>
      </x:c>
      <x:c r="E52" s="54" t="n">
        <x:v>7</x:v>
      </x:c>
      <x:c r="F52" s="35" t="str">
        <x:v>3.1</x:v>
      </x:c>
      <x:c r="G52" s="35" t="str">
        <x:v>unrestricted total; restricted output; additional source included; incorrect total</x:v>
      </x:c>
      <x:c r="H52" s="35" t="str">
        <x:v>INPUTS/DEVELOPMENT_CALIBRATION/BATCH_01_FIRST_50/rdf_fixtures/TRF-017/trf-017_03_boundary.ttl</x:v>
      </x:c>
      <x:c r="I52" s="35" t="str">
        <x:v>8eca6a986a96c7d36ed66ec217973c281a017f4fc360eaedad046190d5df57de</x:v>
      </x:c>
      <x:c r="J52" s="54" t="n">
        <x:v>16</x:v>
      </x:c>
      <x:c r="K52" s="35" t="str">
        <x:v>VOCAB-DEV-2026-08-13-BATCH01-R8.1-POSTCONFIRMATION</x:v>
      </x:c>
      <x:c r="L52" s="35" t="str">
        <x:v>YES</x:v>
      </x:c>
      <x:c r="M52" s="35" t="str">
        <x:v>NOT_IN_R7_ACCEPTED_SET</x:v>
      </x:c>
    </x:row>
    <x:row r="53">
      <x:c r="A53" s="35" t="str">
        <x:v>B01-TRF-018-PASS</x:v>
      </x:c>
      <x:c r="B53" s="38" t="str">
        <x:v>TRF-018</x:v>
      </x:c>
      <x:c r="C53" s="35" t="str">
        <x:v>PASS</x:v>
      </x:c>
      <x:c r="D53" s="67" t="b">
        <x:v>1</x:v>
      </x:c>
      <x:c r="E53" s="54" t="n">
        <x:v>8</x:v>
      </x:c>
      <x:c r="F53" s="35" t="str">
        <x:v>3.2</x:v>
      </x:c>
      <x:c r="G53" s="35" t="str">
        <x:v>IA/IB/IC 1000-kW floor; IA Super 2800-kW floor; calculated requirement higher than floor</x:v>
      </x:c>
      <x:c r="H53" s="35" t="str">
        <x:v>INPUTS/DEVELOPMENT_CALIBRATION/BATCH_01_FIRST_50/rdf_fixtures/TRF-018/trf-018_01_pass.ttl</x:v>
      </x:c>
      <x:c r="I53" s="35" t="str">
        <x:v>a467266fccb1167455f8a44954660aa29a7786ac581b3384c7df061926e9fa36</x:v>
      </x:c>
      <x:c r="J53" s="54" t="n">
        <x:v>12</x:v>
      </x:c>
      <x:c r="K53" s="35" t="str">
        <x:v>VOCAB-DEV-2026-08-13-BATCH01-R8.1-POSTCONFIRMATION</x:v>
      </x:c>
      <x:c r="L53" s="35" t="str">
        <x:v>YES</x:v>
      </x:c>
      <x:c r="M53" s="35" t="str">
        <x:v>NOT_IN_R7_ACCEPTED_SET</x:v>
      </x:c>
    </x:row>
    <x:row r="54">
      <x:c r="A54" s="35" t="str">
        <x:v>B01-TRF-018-FAIL</x:v>
      </x:c>
      <x:c r="B54" s="38" t="str">
        <x:v>TRF-018</x:v>
      </x:c>
      <x:c r="C54" s="35" t="str">
        <x:v>FAIL</x:v>
      </x:c>
      <x:c r="D54" s="67" t="b">
        <x:v>0</x:v>
      </x:c>
      <x:c r="E54" s="54" t="n">
        <x:v>8</x:v>
      </x:c>
      <x:c r="F54" s="35" t="str">
        <x:v>3.2</x:v>
      </x:c>
      <x:c r="G54" s="35" t="str">
        <x:v>IA/IB/IC 1000-kW floor; IA Super 2800-kW floor; calculated requirement higher than floor</x:v>
      </x:c>
      <x:c r="H54" s="35" t="str">
        <x:v>INPUTS/DEVELOPMENT_CALIBRATION/BATCH_01_FIRST_50/rdf_fixtures/TRF-018/trf-018_02_fail.ttl</x:v>
      </x:c>
      <x:c r="I54" s="35" t="str">
        <x:v>a4d379e0e3a45e156d083cf51baaf46972d4a3588f59a4c6f2f610b23e4cdea8</x:v>
      </x:c>
      <x:c r="J54" s="54" t="n">
        <x:v>12</x:v>
      </x:c>
      <x:c r="K54" s="35" t="str">
        <x:v>VOCAB-DEV-2026-08-13-BATCH01-R8.1-POSTCONFIRMATION</x:v>
      </x:c>
      <x:c r="L54" s="35" t="str">
        <x:v>YES</x:v>
      </x:c>
      <x:c r="M54" s="35" t="str">
        <x:v>NOT_IN_R7_ACCEPTED_SET</x:v>
      </x:c>
    </x:row>
    <x:row r="55">
      <x:c r="A55" s="35" t="str">
        <x:v>B01-TRF-018-BOUNDARY</x:v>
      </x:c>
      <x:c r="B55" s="38" t="str">
        <x:v>TRF-018</x:v>
      </x:c>
      <x:c r="C55" s="35" t="str">
        <x:v>BOUNDARY</x:v>
      </x:c>
      <x:c r="D55" s="67" t="b">
        <x:v>1</x:v>
      </x:c>
      <x:c r="E55" s="54" t="n">
        <x:v>8</x:v>
      </x:c>
      <x:c r="F55" s="35" t="str">
        <x:v>3.2</x:v>
      </x:c>
      <x:c r="G55" s="35" t="str">
        <x:v>IA/IB/IC 1000-kW floor; IA Super 2800-kW floor; calculated requirement higher than floor</x:v>
      </x:c>
      <x:c r="H55" s="35" t="str">
        <x:v>INPUTS/DEVELOPMENT_CALIBRATION/BATCH_01_FIRST_50/rdf_fixtures/TRF-018/trf-018_03_boundary.ttl</x:v>
      </x:c>
      <x:c r="I55" s="35" t="str">
        <x:v>b40d237d4edcb9d20d3e6cd4299eec25199383eeb938f0521835f313697eb298</x:v>
      </x:c>
      <x:c r="J55" s="54" t="n">
        <x:v>12</x:v>
      </x:c>
      <x:c r="K55" s="35" t="str">
        <x:v>VOCAB-DEV-2026-08-13-BATCH01-R8.1-POSTCONFIRMATION</x:v>
      </x:c>
      <x:c r="L55" s="35" t="str">
        <x:v>YES</x:v>
      </x:c>
      <x:c r="M55" s="35" t="str">
        <x:v>NOT_IN_R7_ACCEPTED_SET</x:v>
      </x:c>
    </x:row>
    <x:row r="56">
      <x:c r="A56" s="35" t="str">
        <x:v>B01-TRF-020-PASS</x:v>
      </x:c>
      <x:c r="B56" s="38" t="str">
        <x:v>TRF-020</x:v>
      </x:c>
      <x:c r="C56" s="35" t="str">
        <x:v>PASS</x:v>
      </x:c>
      <x:c r="D56" s="67" t="b">
        <x:v>1</x:v>
      </x:c>
      <x:c r="E56" s="54" t="str">
        <x:v>8-9</x:v>
      </x:c>
      <x:c r="F56" s="35" t="str">
        <x:v>3.2.2</x:v>
      </x:c>
      <x:c r="G56" s="35" t="str">
        <x:v>Ke table rows, UIWL/LIWL maximum, construction cutoff, power shortfall</x:v>
      </x:c>
      <x:c r="H56" s="35" t="str">
        <x:v>INPUTS/DEVELOPMENT_CALIBRATION/BATCH_01_FIRST_50/rdf_fixtures/TRF-020/trf-020_01_pass.ttl</x:v>
      </x:c>
      <x:c r="I56" s="35" t="str">
        <x:v>e14bbd94d77b24022d2a8e6de26cc8c4f1c47c5110f58c02f283173738cbc139</x:v>
      </x:c>
      <x:c r="J56" s="54" t="n">
        <x:v>52</x:v>
      </x:c>
      <x:c r="K56" s="35" t="str">
        <x:v>VOCAB-DEV-2026-08-13-BATCH01-R8.1-POSTCONFIRMATION</x:v>
      </x:c>
      <x:c r="L56" s="35" t="str">
        <x:v>YES</x:v>
      </x:c>
      <x:c r="M56" s="35" t="str">
        <x:v>EXPECTED_MATCH</x:v>
      </x:c>
    </x:row>
    <x:row r="57">
      <x:c r="A57" s="35" t="str">
        <x:v>B01-TRF-020-FAIL</x:v>
      </x:c>
      <x:c r="B57" s="38" t="str">
        <x:v>TRF-020</x:v>
      </x:c>
      <x:c r="C57" s="35" t="str">
        <x:v>FAIL</x:v>
      </x:c>
      <x:c r="D57" s="67" t="b">
        <x:v>0</x:v>
      </x:c>
      <x:c r="E57" s="54" t="str">
        <x:v>8-9</x:v>
      </x:c>
      <x:c r="F57" s="35" t="str">
        <x:v>3.2.2</x:v>
      </x:c>
      <x:c r="G57" s="35" t="str">
        <x:v>Ke table rows, UIWL/LIWL maximum, construction cutoff, power shortfall</x:v>
      </x:c>
      <x:c r="H57" s="35" t="str">
        <x:v>INPUTS/DEVELOPMENT_CALIBRATION/BATCH_01_FIRST_50/rdf_fixtures/TRF-020/trf-020_02_fail.ttl</x:v>
      </x:c>
      <x:c r="I57" s="35" t="str">
        <x:v>1f0af195efb9f23f350035adf6f1278b57da496e566e8657af8225e4b565a336</x:v>
      </x:c>
      <x:c r="J57" s="54" t="n">
        <x:v>52</x:v>
      </x:c>
      <x:c r="K57" s="35" t="str">
        <x:v>VOCAB-DEV-2026-08-13-BATCH01-R8.1-POSTCONFIRMATION</x:v>
      </x:c>
      <x:c r="L57" s="35" t="str">
        <x:v>YES</x:v>
      </x:c>
      <x:c r="M57" s="35" t="str">
        <x:v>EXPECTED_MATCH</x:v>
      </x:c>
    </x:row>
    <x:row r="58">
      <x:c r="A58" s="35" t="str">
        <x:v>B01-TRF-020-BOUNDARY</x:v>
      </x:c>
      <x:c r="B58" s="38" t="str">
        <x:v>TRF-020</x:v>
      </x:c>
      <x:c r="C58" s="35" t="str">
        <x:v>BOUNDARY</x:v>
      </x:c>
      <x:c r="D58" s="67" t="b">
        <x:v>1</x:v>
      </x:c>
      <x:c r="E58" s="54" t="str">
        <x:v>8-9</x:v>
      </x:c>
      <x:c r="F58" s="35" t="str">
        <x:v>3.2.2</x:v>
      </x:c>
      <x:c r="G58" s="35" t="str">
        <x:v>Ke table rows, UIWL/LIWL maximum, construction cutoff, power shortfall</x:v>
      </x:c>
      <x:c r="H58" s="35" t="str">
        <x:v>INPUTS/DEVELOPMENT_CALIBRATION/BATCH_01_FIRST_50/rdf_fixtures/TRF-020/trf-020_03_boundary.ttl</x:v>
      </x:c>
      <x:c r="I58" s="35" t="str">
        <x:v>9f4902e9ee984a1f5c0ebe5a3e37ae5c84352ff96662b2f3645baa1c3cc174b1</x:v>
      </x:c>
      <x:c r="J58" s="54" t="n">
        <x:v>52</x:v>
      </x:c>
      <x:c r="K58" s="35" t="str">
        <x:v>VOCAB-DEV-2026-08-13-BATCH01-R8.1-POSTCONFIRMATION</x:v>
      </x:c>
      <x:c r="L58" s="35" t="str">
        <x:v>YES</x:v>
      </x:c>
      <x:c r="M58" s="35" t="str">
        <x:v>EXPECTED_MATCH</x:v>
      </x:c>
    </x:row>
    <x:row r="59">
      <x:c r="A59" s="35" t="str">
        <x:v>B01-TRF-022-PASS</x:v>
      </x:c>
      <x:c r="B59" s="38" t="str">
        <x:v>TRF-022</x:v>
      </x:c>
      <x:c r="C59" s="35" t="str">
        <x:v>PASS</x:v>
      </x:c>
      <x:c r="D59" s="67" t="b">
        <x:v>1</x:v>
      </x:c>
      <x:c r="E59" s="54" t="n">
        <x:v>10</x:v>
      </x:c>
      <x:c r="F59" s="35" t="str">
        <x:v>3.2.2</x:v>
      </x:c>
      <x:c r="G59" s="35" t="str">
        <x:v>angle calculation, exact clamp 5/20, below/above clamp, wrong constant</x:v>
      </x:c>
      <x:c r="H59" s="35" t="str">
        <x:v>INPUTS/DEVELOPMENT_CALIBRATION/BATCH_01_FIRST_50/rdf_fixtures/TRF-022/trf-022_01_pass.ttl</x:v>
      </x:c>
      <x:c r="I59" s="35" t="str">
        <x:v>e1257cf715e1651bccefa5f5fa00b68cb31d831d91793d35c1b5dcf33fa8629b</x:v>
      </x:c>
      <x:c r="J59" s="54" t="n">
        <x:v>71</x:v>
      </x:c>
      <x:c r="K59" s="35" t="str">
        <x:v>VOCAB-DEV-2026-08-13-BATCH01-R8.1-POSTCONFIRMATION</x:v>
      </x:c>
      <x:c r="L59" s="35" t="str">
        <x:v>YES</x:v>
      </x:c>
      <x:c r="M59" s="35" t="str">
        <x:v>EXPECTED_MISMATCH</x:v>
      </x:c>
    </x:row>
    <x:row r="60">
      <x:c r="A60" s="35" t="str">
        <x:v>B01-TRF-022-FAIL</x:v>
      </x:c>
      <x:c r="B60" s="38" t="str">
        <x:v>TRF-022</x:v>
      </x:c>
      <x:c r="C60" s="35" t="str">
        <x:v>FAIL</x:v>
      </x:c>
      <x:c r="D60" s="67" t="b">
        <x:v>0</x:v>
      </x:c>
      <x:c r="E60" s="54" t="n">
        <x:v>10</x:v>
      </x:c>
      <x:c r="F60" s="35" t="str">
        <x:v>3.2.2</x:v>
      </x:c>
      <x:c r="G60" s="35" t="str">
        <x:v>angle calculation, exact clamp 5/20, below/above clamp, wrong constant</x:v>
      </x:c>
      <x:c r="H60" s="35" t="str">
        <x:v>INPUTS/DEVELOPMENT_CALIBRATION/BATCH_01_FIRST_50/rdf_fixtures/TRF-022/trf-022_02_fail.ttl</x:v>
      </x:c>
      <x:c r="I60" s="35" t="str">
        <x:v>dff0198facecd1ffa189224e0c8c4d015e5bb1d1c76baf0a7e5c2bbd6e01685b</x:v>
      </x:c>
      <x:c r="J60" s="54" t="n">
        <x:v>71</x:v>
      </x:c>
      <x:c r="K60" s="35" t="str">
        <x:v>VOCAB-DEV-2026-08-13-BATCH01-R8.1-POSTCONFIRMATION</x:v>
      </x:c>
      <x:c r="L60" s="35" t="str">
        <x:v>YES</x:v>
      </x:c>
      <x:c r="M60" s="35" t="str">
        <x:v>EXPECTED_MATCH</x:v>
      </x:c>
    </x:row>
    <x:row r="61">
      <x:c r="A61" s="35" t="str">
        <x:v>B01-TRF-022-BOUNDARY</x:v>
      </x:c>
      <x:c r="B61" s="38" t="str">
        <x:v>TRF-022</x:v>
      </x:c>
      <x:c r="C61" s="35" t="str">
        <x:v>BOUNDARY</x:v>
      </x:c>
      <x:c r="D61" s="67" t="b">
        <x:v>1</x:v>
      </x:c>
      <x:c r="E61" s="54" t="n">
        <x:v>10</x:v>
      </x:c>
      <x:c r="F61" s="35" t="str">
        <x:v>3.2.2</x:v>
      </x:c>
      <x:c r="G61" s="35" t="str">
        <x:v>angle calculation, exact clamp 5/20, below/above clamp, wrong constant</x:v>
      </x:c>
      <x:c r="H61" s="35" t="str">
        <x:v>INPUTS/DEVELOPMENT_CALIBRATION/BATCH_01_FIRST_50/rdf_fixtures/TRF-022/trf-022_03_boundary.ttl</x:v>
      </x:c>
      <x:c r="I61" s="35" t="str">
        <x:v>548895049e70674e814ef4100d660a0d95772fa2df7ea558f2a34f38e8f8b8b2</x:v>
      </x:c>
      <x:c r="J61" s="54" t="n">
        <x:v>71</x:v>
      </x:c>
      <x:c r="K61" s="35" t="str">
        <x:v>VOCAB-DEV-2026-08-13-BATCH01-R8.1-POSTCONFIRMATION</x:v>
      </x:c>
      <x:c r="L61" s="35" t="str">
        <x:v>YES</x:v>
      </x:c>
      <x:c r="M61" s="35" t="str">
        <x:v>EXPECTED_MISMATCH</x:v>
      </x:c>
    </x:row>
    <x:row r="62">
      <x:c r="A62" s="35" t="str">
        <x:v>B01-TRF-023-PASS</x:v>
      </x:c>
      <x:c r="B62" s="38" t="str">
        <x:v>TRF-023</x:v>
      </x:c>
      <x:c r="C62" s="35" t="str">
        <x:v>PASS</x:v>
      </x:c>
      <x:c r="D62" s="67" t="b">
        <x:v>1</x:v>
      </x:c>
      <x:c r="E62" s="54" t="n">
        <x:v>10</x:v>
      </x:c>
      <x:c r="F62" s="35" t="str">
        <x:v>3.2.3</x:v>
      </x:c>
      <x:c r="G62" s="35" t="str">
        <x:v>IB/IC legacy applicability, exact minimum, below minimum</x:v>
      </x:c>
      <x:c r="H62" s="35" t="str">
        <x:v>INPUTS/DEVELOPMENT_CALIBRATION/BATCH_01_FIRST_50/rdf_fixtures/TRF-023/trf-023_01_pass.ttl</x:v>
      </x:c>
      <x:c r="I62" s="35" t="str">
        <x:v>3d4ebbd526539b32d0c3a9879d16422131f48382163d247c8b3452d7b732b6e1</x:v>
      </x:c>
      <x:c r="J62" s="54" t="n">
        <x:v>13</x:v>
      </x:c>
      <x:c r="K62" s="35" t="str">
        <x:v>VOCAB-DEV-2026-08-13-BATCH01-R8.1-POSTCONFIRMATION</x:v>
      </x:c>
      <x:c r="L62" s="35" t="str">
        <x:v>YES</x:v>
      </x:c>
      <x:c r="M62" s="35" t="str">
        <x:v>NOT_IN_R7_ACCEPTED_SET</x:v>
      </x:c>
    </x:row>
    <x:row r="63">
      <x:c r="A63" s="35" t="str">
        <x:v>B01-TRF-023-FAIL</x:v>
      </x:c>
      <x:c r="B63" s="38" t="str">
        <x:v>TRF-023</x:v>
      </x:c>
      <x:c r="C63" s="35" t="str">
        <x:v>FAIL</x:v>
      </x:c>
      <x:c r="D63" s="67" t="b">
        <x:v>0</x:v>
      </x:c>
      <x:c r="E63" s="54" t="n">
        <x:v>10</x:v>
      </x:c>
      <x:c r="F63" s="35" t="str">
        <x:v>3.2.3</x:v>
      </x:c>
      <x:c r="G63" s="35" t="str">
        <x:v>IB/IC legacy applicability, exact minimum, below minimum</x:v>
      </x:c>
      <x:c r="H63" s="35" t="str">
        <x:v>INPUTS/DEVELOPMENT_CALIBRATION/BATCH_01_FIRST_50/rdf_fixtures/TRF-023/trf-023_02_fail.ttl</x:v>
      </x:c>
      <x:c r="I63" s="35" t="str">
        <x:v>4c24e13857cac818afef9f05dd43bba3da74aa92b24bc51411250b4e61fcc62e</x:v>
      </x:c>
      <x:c r="J63" s="54" t="n">
        <x:v>13</x:v>
      </x:c>
      <x:c r="K63" s="35" t="str">
        <x:v>VOCAB-DEV-2026-08-13-BATCH01-R8.1-POSTCONFIRMATION</x:v>
      </x:c>
      <x:c r="L63" s="35" t="str">
        <x:v>YES</x:v>
      </x:c>
      <x:c r="M63" s="35" t="str">
        <x:v>NOT_IN_R7_ACCEPTED_SET</x:v>
      </x:c>
    </x:row>
    <x:row r="64">
      <x:c r="A64" s="35" t="str">
        <x:v>B01-TRF-023-BOUNDARY</x:v>
      </x:c>
      <x:c r="B64" s="38" t="str">
        <x:v>TRF-023</x:v>
      </x:c>
      <x:c r="C64" s="35" t="str">
        <x:v>BOUNDARY</x:v>
      </x:c>
      <x:c r="D64" s="67" t="b">
        <x:v>1</x:v>
      </x:c>
      <x:c r="E64" s="54" t="n">
        <x:v>10</x:v>
      </x:c>
      <x:c r="F64" s="35" t="str">
        <x:v>3.2.3</x:v>
      </x:c>
      <x:c r="G64" s="35" t="str">
        <x:v>IB/IC legacy applicability, exact minimum, below minimum</x:v>
      </x:c>
      <x:c r="H64" s="35" t="str">
        <x:v>INPUTS/DEVELOPMENT_CALIBRATION/BATCH_01_FIRST_50/rdf_fixtures/TRF-023/trf-023_03_boundary.ttl</x:v>
      </x:c>
      <x:c r="I64" s="35" t="str">
        <x:v>57aa8abe9c7e0dde81a770f2a92aad4692be4bf4be66c0860263ad75d3b73206</x:v>
      </x:c>
      <x:c r="J64" s="54" t="n">
        <x:v>13</x:v>
      </x:c>
      <x:c r="K64" s="35" t="str">
        <x:v>VOCAB-DEV-2026-08-13-BATCH01-R8.1-POSTCONFIRMATION</x:v>
      </x:c>
      <x:c r="L64" s="35" t="str">
        <x:v>YES</x:v>
      </x:c>
      <x:c r="M64" s="35" t="str">
        <x:v>NOT_IN_R7_ACCEPTED_SET</x:v>
      </x:c>
    </x:row>
    <x:row r="65">
      <x:c r="A65" s="35" t="str">
        <x:v>B01-TRF-024-PASS</x:v>
      </x:c>
      <x:c r="B65" s="38" t="str">
        <x:v>TRF-024</x:v>
      </x:c>
      <x:c r="C65" s="35" t="str">
        <x:v>PASS</x:v>
      </x:c>
      <x:c r="D65" s="67" t="b">
        <x:v>1</x:v>
      </x:c>
      <x:c r="E65" s="54" t="n">
        <x:v>10</x:v>
      </x:c>
      <x:c r="F65" s="35" t="str">
        <x:v>3.2.4</x:v>
      </x:c>
      <x:c r="G65" s="35" t="str">
        <x:v>before deadline, at deadline valid method, missing method</x:v>
      </x:c>
      <x:c r="H65" s="35" t="str">
        <x:v>INPUTS/DEVELOPMENT_CALIBRATION/BATCH_01_FIRST_50/rdf_fixtures/TRF-024/trf-024_01_pass.ttl</x:v>
      </x:c>
      <x:c r="I65" s="35" t="str">
        <x:v>d4ab9b95f6541e57ddf4505ca9d7ea421b9aa93fd0ee52212bf7b8c03b92da63</x:v>
      </x:c>
      <x:c r="J65" s="54" t="n">
        <x:v>8</x:v>
      </x:c>
      <x:c r="K65" s="35" t="str">
        <x:v>VOCAB-DEV-2026-08-13-BATCH01-R8.1-POSTCONFIRMATION</x:v>
      </x:c>
      <x:c r="L65" s="35" t="str">
        <x:v>YES</x:v>
      </x:c>
      <x:c r="M65" s="35" t="str">
        <x:v>NOT_IN_R7_ACCEPTED_SET</x:v>
      </x:c>
    </x:row>
    <x:row r="66">
      <x:c r="A66" s="35" t="str">
        <x:v>B01-TRF-024-FAIL</x:v>
      </x:c>
      <x:c r="B66" s="38" t="str">
        <x:v>TRF-024</x:v>
      </x:c>
      <x:c r="C66" s="35" t="str">
        <x:v>FAIL</x:v>
      </x:c>
      <x:c r="D66" s="67" t="b">
        <x:v>0</x:v>
      </x:c>
      <x:c r="E66" s="54" t="n">
        <x:v>10</x:v>
      </x:c>
      <x:c r="F66" s="35" t="str">
        <x:v>3.2.4</x:v>
      </x:c>
      <x:c r="G66" s="35" t="str">
        <x:v>before deadline, at deadline valid method, missing method</x:v>
      </x:c>
      <x:c r="H66" s="35" t="str">
        <x:v>INPUTS/DEVELOPMENT_CALIBRATION/BATCH_01_FIRST_50/rdf_fixtures/TRF-024/trf-024_02_fail.ttl</x:v>
      </x:c>
      <x:c r="I66" s="35" t="str">
        <x:v>7d2fed32a5e9c75b2948882da10097edf56197036aa1b5f14d249b5766a2ab30</x:v>
      </x:c>
      <x:c r="J66" s="54" t="n">
        <x:v>7</x:v>
      </x:c>
      <x:c r="K66" s="35" t="str">
        <x:v>VOCAB-DEV-2026-08-13-BATCH01-R8.1-POSTCONFIRMATION</x:v>
      </x:c>
      <x:c r="L66" s="35" t="str">
        <x:v>YES</x:v>
      </x:c>
      <x:c r="M66" s="35" t="str">
        <x:v>NOT_IN_R7_ACCEPTED_SET</x:v>
      </x:c>
    </x:row>
    <x:row r="67">
      <x:c r="A67" s="35" t="str">
        <x:v>B01-TRF-024-BOUNDARY</x:v>
      </x:c>
      <x:c r="B67" s="38" t="str">
        <x:v>TRF-024</x:v>
      </x:c>
      <x:c r="C67" s="35" t="str">
        <x:v>BOUNDARY</x:v>
      </x:c>
      <x:c r="D67" s="67" t="b">
        <x:v>1</x:v>
      </x:c>
      <x:c r="E67" s="54" t="n">
        <x:v>10</x:v>
      </x:c>
      <x:c r="F67" s="35" t="str">
        <x:v>3.2.4</x:v>
      </x:c>
      <x:c r="G67" s="35" t="str">
        <x:v>before deadline, at deadline valid method, missing method</x:v>
      </x:c>
      <x:c r="H67" s="35" t="str">
        <x:v>INPUTS/DEVELOPMENT_CALIBRATION/BATCH_01_FIRST_50/rdf_fixtures/TRF-024/trf-024_03_boundary.ttl</x:v>
      </x:c>
      <x:c r="I67" s="35" t="str">
        <x:v>244a6a999c3f44c03c6ea34b226ebe01e9355d2d17e0b4b563548710f56b04b6</x:v>
      </x:c>
      <x:c r="J67" s="54" t="n">
        <x:v>8</x:v>
      </x:c>
      <x:c r="K67" s="35" t="str">
        <x:v>VOCAB-DEV-2026-08-13-BATCH01-R8.1-POSTCONFIRMATION</x:v>
      </x:c>
      <x:c r="L67" s="35" t="str">
        <x:v>YES</x:v>
      </x:c>
      <x:c r="M67" s="35" t="str">
        <x:v>NOT_IN_R7_ACCEPTED_SET</x:v>
      </x:c>
    </x:row>
    <x:row r="68">
      <x:c r="A68" s="35" t="str">
        <x:v>B01-TRF-025-PASS</x:v>
      </x:c>
      <x:c r="B68" s="38" t="str">
        <x:v>TRF-025</x:v>
      </x:c>
      <x:c r="C68" s="35" t="str">
        <x:v>PASS</x:v>
      </x:c>
      <x:c r="D68" s="67" t="b">
        <x:v>1</x:v>
      </x:c>
      <x:c r="E68" s="54" t="n">
        <x:v>10</x:v>
      </x:c>
      <x:c r="F68" s="35" t="str">
        <x:v>3.2.4</x:v>
      </x:c>
      <x:c r="G68" s="35" t="str">
        <x:v>IA Super no bulb exact formulas and perturbed C1/C2</x:v>
      </x:c>
      <x:c r="H68" s="35" t="str">
        <x:v>INPUTS/DEVELOPMENT_CALIBRATION/BATCH_01_FIRST_50/rdf_fixtures/TRF-025/trf-025_01_pass.ttl</x:v>
      </x:c>
      <x:c r="I68" s="35" t="str">
        <x:v>7047f27bc417a1580ddbb99fb0801e01656d65d4d2f2a5da06b51a2684008d14</x:v>
      </x:c>
      <x:c r="J68" s="54" t="n">
        <x:v>53</x:v>
      </x:c>
      <x:c r="K68" s="35" t="str">
        <x:v>VOCAB-DEV-2026-08-13-BATCH01-R8.1-POSTCONFIRMATION</x:v>
      </x:c>
      <x:c r="L68" s="35" t="str">
        <x:v>YES</x:v>
      </x:c>
      <x:c r="M68" s="35" t="str">
        <x:v>NOT_IN_R7_ACCEPTED_SET</x:v>
      </x:c>
    </x:row>
    <x:row r="69">
      <x:c r="A69" s="35" t="str">
        <x:v>B01-TRF-025-FAIL</x:v>
      </x:c>
      <x:c r="B69" s="38" t="str">
        <x:v>TRF-025</x:v>
      </x:c>
      <x:c r="C69" s="35" t="str">
        <x:v>FAIL</x:v>
      </x:c>
      <x:c r="D69" s="67" t="b">
        <x:v>0</x:v>
      </x:c>
      <x:c r="E69" s="54" t="n">
        <x:v>10</x:v>
      </x:c>
      <x:c r="F69" s="35" t="str">
        <x:v>3.2.4</x:v>
      </x:c>
      <x:c r="G69" s="35" t="str">
        <x:v>IA Super no bulb exact formulas and perturbed C1/C2</x:v>
      </x:c>
      <x:c r="H69" s="35" t="str">
        <x:v>INPUTS/DEVELOPMENT_CALIBRATION/BATCH_01_FIRST_50/rdf_fixtures/TRF-025/trf-025_02_fail.ttl</x:v>
      </x:c>
      <x:c r="I69" s="35" t="str">
        <x:v>6fb706d9e669f17674cc33581ee105129404e597200061c796a9a799463d9259</x:v>
      </x:c>
      <x:c r="J69" s="54" t="n">
        <x:v>53</x:v>
      </x:c>
      <x:c r="K69" s="35" t="str">
        <x:v>VOCAB-DEV-2026-08-13-BATCH01-R8.1-POSTCONFIRMATION</x:v>
      </x:c>
      <x:c r="L69" s="35" t="str">
        <x:v>YES</x:v>
      </x:c>
      <x:c r="M69" s="35" t="str">
        <x:v>NOT_IN_R7_ACCEPTED_SET</x:v>
      </x:c>
    </x:row>
    <x:row r="70">
      <x:c r="A70" s="35" t="str">
        <x:v>B01-TRF-025-BOUNDARY</x:v>
      </x:c>
      <x:c r="B70" s="38" t="str">
        <x:v>TRF-025</x:v>
      </x:c>
      <x:c r="C70" s="35" t="str">
        <x:v>BOUNDARY</x:v>
      </x:c>
      <x:c r="D70" s="67" t="b">
        <x:v>1</x:v>
      </x:c>
      <x:c r="E70" s="54" t="n">
        <x:v>10</x:v>
      </x:c>
      <x:c r="F70" s="35" t="str">
        <x:v>3.2.4</x:v>
      </x:c>
      <x:c r="G70" s="35" t="str">
        <x:v>IA Super no bulb exact formulas and perturbed C1/C2</x:v>
      </x:c>
      <x:c r="H70" s="35" t="str">
        <x:v>INPUTS/DEVELOPMENT_CALIBRATION/BATCH_01_FIRST_50/rdf_fixtures/TRF-025/trf-025_03_boundary.ttl</x:v>
      </x:c>
      <x:c r="I70" s="35" t="str">
        <x:v>a8d7d2eb86ee3fe6dfae00cb0cbf3d5366f23c19591007b15772b3ebb22c9c9a</x:v>
      </x:c>
      <x:c r="J70" s="54" t="n">
        <x:v>53</x:v>
      </x:c>
      <x:c r="K70" s="35" t="str">
        <x:v>VOCAB-DEV-2026-08-13-BATCH01-R8.1-POSTCONFIRMATION</x:v>
      </x:c>
      <x:c r="L70" s="35" t="str">
        <x:v>YES</x:v>
      </x:c>
      <x:c r="M70" s="35" t="str">
        <x:v>NOT_IN_R7_ACCEPTED_SET</x:v>
      </x:c>
    </x:row>
    <x:row r="71">
      <x:c r="A71" s="35" t="str">
        <x:v>B01-TRF-026-PASS</x:v>
      </x:c>
      <x:c r="B71" s="38" t="str">
        <x:v>TRF-026</x:v>
      </x:c>
      <x:c r="C71" s="35" t="str">
        <x:v>PASS</x:v>
      </x:c>
      <x:c r="D71" s="67" t="b">
        <x:v>1</x:v>
      </x:c>
      <x:c r="E71" s="54" t="n">
        <x:v>11</x:v>
      </x:c>
      <x:c r="F71" s="35" t="str">
        <x:v>3.2.4</x:v>
      </x:c>
      <x:c r="G71" s="35" t="str">
        <x:v>IA Super bulb exact formulas and perturbed C1/C2</x:v>
      </x:c>
      <x:c r="H71" s="35" t="str">
        <x:v>INPUTS/DEVELOPMENT_CALIBRATION/BATCH_01_FIRST_50/rdf_fixtures/TRF-026/trf-026_01_pass.ttl</x:v>
      </x:c>
      <x:c r="I71" s="35" t="str">
        <x:v>87bf0fb9306f75c4d9f83a7f7b95a6c5b6797b1e21cbdbd4bdfbc9e9e1fd7483</x:v>
      </x:c>
      <x:c r="J71" s="54" t="n">
        <x:v>53</x:v>
      </x:c>
      <x:c r="K71" s="35" t="str">
        <x:v>VOCAB-DEV-2026-08-13-BATCH01-R8.1-POSTCONFIRMATION</x:v>
      </x:c>
      <x:c r="L71" s="35" t="str">
        <x:v>YES</x:v>
      </x:c>
      <x:c r="M71" s="35" t="str">
        <x:v>EXPECTED_MATCH</x:v>
      </x:c>
    </x:row>
    <x:row r="72">
      <x:c r="A72" s="35" t="str">
        <x:v>B01-TRF-026-FAIL</x:v>
      </x:c>
      <x:c r="B72" s="38" t="str">
        <x:v>TRF-026</x:v>
      </x:c>
      <x:c r="C72" s="35" t="str">
        <x:v>FAIL</x:v>
      </x:c>
      <x:c r="D72" s="67" t="b">
        <x:v>0</x:v>
      </x:c>
      <x:c r="E72" s="54" t="n">
        <x:v>11</x:v>
      </x:c>
      <x:c r="F72" s="35" t="str">
        <x:v>3.2.4</x:v>
      </x:c>
      <x:c r="G72" s="35" t="str">
        <x:v>IA Super bulb exact formulas and perturbed C1/C2</x:v>
      </x:c>
      <x:c r="H72" s="35" t="str">
        <x:v>INPUTS/DEVELOPMENT_CALIBRATION/BATCH_01_FIRST_50/rdf_fixtures/TRF-026/trf-026_02_fail.ttl</x:v>
      </x:c>
      <x:c r="I72" s="35" t="str">
        <x:v>66b4ee8dfd887744239e534c225cd58783390e0c9418c16142a02e9bf225c86a</x:v>
      </x:c>
      <x:c r="J72" s="54" t="n">
        <x:v>53</x:v>
      </x:c>
      <x:c r="K72" s="35" t="str">
        <x:v>VOCAB-DEV-2026-08-13-BATCH01-R8.1-POSTCONFIRMATION</x:v>
      </x:c>
      <x:c r="L72" s="35" t="str">
        <x:v>YES</x:v>
      </x:c>
      <x:c r="M72" s="35" t="str">
        <x:v>EXPECTED_MATCH</x:v>
      </x:c>
    </x:row>
    <x:row r="73">
      <x:c r="A73" s="35" t="str">
        <x:v>B01-TRF-026-BOUNDARY</x:v>
      </x:c>
      <x:c r="B73" s="38" t="str">
        <x:v>TRF-026</x:v>
      </x:c>
      <x:c r="C73" s="35" t="str">
        <x:v>BOUNDARY</x:v>
      </x:c>
      <x:c r="D73" s="67" t="b">
        <x:v>1</x:v>
      </x:c>
      <x:c r="E73" s="54" t="n">
        <x:v>11</x:v>
      </x:c>
      <x:c r="F73" s="35" t="str">
        <x:v>3.2.4</x:v>
      </x:c>
      <x:c r="G73" s="35" t="str">
        <x:v>IA Super bulb exact formulas and perturbed C1/C2</x:v>
      </x:c>
      <x:c r="H73" s="35" t="str">
        <x:v>INPUTS/DEVELOPMENT_CALIBRATION/BATCH_01_FIRST_50/rdf_fixtures/TRF-026/trf-026_03_boundary.ttl</x:v>
      </x:c>
      <x:c r="I73" s="35" t="str">
        <x:v>67e6c3079e3c312e9a2cfe1981389abcd20796a89e180eb9603a91ae5c3b48e4</x:v>
      </x:c>
      <x:c r="J73" s="54" t="n">
        <x:v>53</x:v>
      </x:c>
      <x:c r="K73" s="35" t="str">
        <x:v>VOCAB-DEV-2026-08-13-BATCH01-R8.1-POSTCONFIRMATION</x:v>
      </x:c>
      <x:c r="L73" s="35" t="str">
        <x:v>YES</x:v>
      </x:c>
      <x:c r="M73" s="35" t="str">
        <x:v>EXPECTED_MATCH</x:v>
      </x:c>
    </x:row>
    <x:row r="74">
      <x:c r="A74" s="35" t="str">
        <x:v>B01-TRF-027-PASS</x:v>
      </x:c>
      <x:c r="B74" s="38" t="str">
        <x:v>TRF-027</x:v>
      </x:c>
      <x:c r="C74" s="35" t="str">
        <x:v>PASS</x:v>
      </x:c>
      <x:c r="D74" s="67" t="b">
        <x:v>1</x:v>
      </x:c>
      <x:c r="E74" s="54" t="n">
        <x:v>11</x:v>
      </x:c>
      <x:c r="F74" s="35" t="str">
        <x:v>3.2.4</x:v>
      </x:c>
      <x:c r="G74" s="35" t="str">
        <x:v>exact constants, clamp 5/20, out-of-range raw geometry</x:v>
      </x:c>
      <x:c r="H74" s="35" t="str">
        <x:v>INPUTS/DEVELOPMENT_CALIBRATION/BATCH_01_FIRST_50/rdf_fixtures/TRF-027/trf-027_01_pass.ttl</x:v>
      </x:c>
      <x:c r="I74" s="35" t="str">
        <x:v>d30e3c034527b7b717fd013cc55c0f61e56413b3b8953086648c4f2b8df404a7</x:v>
      </x:c>
      <x:c r="J74" s="54" t="n">
        <x:v>61</x:v>
      </x:c>
      <x:c r="K74" s="35" t="str">
        <x:v>VOCAB-DEV-2026-08-13-BATCH01-R8.1-POSTCONFIRMATION</x:v>
      </x:c>
      <x:c r="L74" s="35" t="str">
        <x:v>YES</x:v>
      </x:c>
      <x:c r="M74" s="35" t="str">
        <x:v>EXPECTED_MISMATCH</x:v>
      </x:c>
    </x:row>
    <x:row r="75">
      <x:c r="A75" s="35" t="str">
        <x:v>B01-TRF-027-FAIL</x:v>
      </x:c>
      <x:c r="B75" s="38" t="str">
        <x:v>TRF-027</x:v>
      </x:c>
      <x:c r="C75" s="35" t="str">
        <x:v>FAIL</x:v>
      </x:c>
      <x:c r="D75" s="67" t="b">
        <x:v>0</x:v>
      </x:c>
      <x:c r="E75" s="54" t="n">
        <x:v>11</x:v>
      </x:c>
      <x:c r="F75" s="35" t="str">
        <x:v>3.2.4</x:v>
      </x:c>
      <x:c r="G75" s="35" t="str">
        <x:v>exact constants, clamp 5/20, out-of-range raw geometry</x:v>
      </x:c>
      <x:c r="H75" s="35" t="str">
        <x:v>INPUTS/DEVELOPMENT_CALIBRATION/BATCH_01_FIRST_50/rdf_fixtures/TRF-027/trf-027_02_fail.ttl</x:v>
      </x:c>
      <x:c r="I75" s="35" t="str">
        <x:v>ccb1a1855e071946ec957d94f3f4c3906cbe196b630d16a3e45ce64c344f5ba0</x:v>
      </x:c>
      <x:c r="J75" s="54" t="n">
        <x:v>61</x:v>
      </x:c>
      <x:c r="K75" s="35" t="str">
        <x:v>VOCAB-DEV-2026-08-13-BATCH01-R8.1-POSTCONFIRMATION</x:v>
      </x:c>
      <x:c r="L75" s="35" t="str">
        <x:v>YES</x:v>
      </x:c>
      <x:c r="M75" s="35" t="str">
        <x:v>EXPECTED_MATCH</x:v>
      </x:c>
    </x:row>
    <x:row r="76">
      <x:c r="A76" s="35" t="str">
        <x:v>B01-TRF-027-BOUNDARY</x:v>
      </x:c>
      <x:c r="B76" s="38" t="str">
        <x:v>TRF-027</x:v>
      </x:c>
      <x:c r="C76" s="35" t="str">
        <x:v>BOUNDARY</x:v>
      </x:c>
      <x:c r="D76" s="67" t="b">
        <x:v>1</x:v>
      </x:c>
      <x:c r="E76" s="54" t="n">
        <x:v>11</x:v>
      </x:c>
      <x:c r="F76" s="35" t="str">
        <x:v>3.2.4</x:v>
      </x:c>
      <x:c r="G76" s="35" t="str">
        <x:v>exact constants, clamp 5/20, out-of-range raw geometry</x:v>
      </x:c>
      <x:c r="H76" s="35" t="str">
        <x:v>INPUTS/DEVELOPMENT_CALIBRATION/BATCH_01_FIRST_50/rdf_fixtures/TRF-027/trf-027_03_boundary.ttl</x:v>
      </x:c>
      <x:c r="I76" s="35" t="str">
        <x:v>e234bd32ac747ba4869ed716e914525ac36490ab3cdaee0d66e49b002e191f14</x:v>
      </x:c>
      <x:c r="J76" s="54" t="n">
        <x:v>61</x:v>
      </x:c>
      <x:c r="K76" s="35" t="str">
        <x:v>VOCAB-DEV-2026-08-13-BATCH01-R8.1-POSTCONFIRMATION</x:v>
      </x:c>
      <x:c r="L76" s="35" t="str">
        <x:v>YES</x:v>
      </x:c>
      <x:c r="M76" s="35" t="str">
        <x:v>EXPECTED_MISMATCH</x:v>
      </x:c>
    </x:row>
    <x:row r="77">
      <x:c r="A77" s="35" t="str">
        <x:v>B01-TRF-030-PASS</x:v>
      </x:c>
      <x:c r="B77" s="38" t="str">
        <x:v>TRF-030</x:v>
      </x:c>
      <x:c r="C77" s="35" t="str">
        <x:v>PASS</x:v>
      </x:c>
      <x:c r="D77" s="67" t="b">
        <x:v>1</x:v>
      </x:c>
      <x:c r="E77" s="54" t="n">
        <x:v>12</x:v>
      </x:c>
      <x:c r="F77" s="35" t="str">
        <x:v>4.1</x:v>
      </x:c>
      <x:c r="G77" s="35" t="str">
        <x:v>complete location set, missing UIWL case, wrong 1.8p pressure, missing la exploration</x:v>
      </x:c>
      <x:c r="H77" s="35" t="str">
        <x:v>INPUTS/DEVELOPMENT_CALIBRATION/BATCH_01_FIRST_50/rdf_fixtures/TRF-030/trf-030_01_pass.ttl</x:v>
      </x:c>
      <x:c r="I77" s="35" t="str">
        <x:v>0d8ca9cd1f3fde2f7340c35cdc7d98bd7e784c2e5078a685357b16ea41884c8a</x:v>
      </x:c>
      <x:c r="J77" s="54" t="n">
        <x:v>137</x:v>
      </x:c>
      <x:c r="K77" s="35" t="str">
        <x:v>VOCAB-DEV-2026-08-13-BATCH01-R8.1-POSTCONFIRMATION</x:v>
      </x:c>
      <x:c r="L77" s="35" t="str">
        <x:v>YES</x:v>
      </x:c>
      <x:c r="M77" s="35" t="str">
        <x:v>EXPECTED_MISMATCH</x:v>
      </x:c>
    </x:row>
    <x:row r="78">
      <x:c r="A78" s="35" t="str">
        <x:v>B01-TRF-030-FAIL</x:v>
      </x:c>
      <x:c r="B78" s="38" t="str">
        <x:v>TRF-030</x:v>
      </x:c>
      <x:c r="C78" s="35" t="str">
        <x:v>FAIL</x:v>
      </x:c>
      <x:c r="D78" s="67" t="b">
        <x:v>0</x:v>
      </x:c>
      <x:c r="E78" s="54" t="n">
        <x:v>12</x:v>
      </x:c>
      <x:c r="F78" s="35" t="str">
        <x:v>4.1</x:v>
      </x:c>
      <x:c r="G78" s="35" t="str">
        <x:v>complete location set, missing UIWL case, wrong 1.8p pressure, missing la exploration</x:v>
      </x:c>
      <x:c r="H78" s="35" t="str">
        <x:v>INPUTS/DEVELOPMENT_CALIBRATION/BATCH_01_FIRST_50/rdf_fixtures/TRF-030/trf-030_02_fail.ttl</x:v>
      </x:c>
      <x:c r="I78" s="35" t="str">
        <x:v>0afa32feb0d855d4c075c15c97a3b23b2d1d165c77e9c09adb3ed665ceefd2e4</x:v>
      </x:c>
      <x:c r="J78" s="54" t="n">
        <x:v>137</x:v>
      </x:c>
      <x:c r="K78" s="35" t="str">
        <x:v>VOCAB-DEV-2026-08-13-BATCH01-R8.1-POSTCONFIRMATION</x:v>
      </x:c>
      <x:c r="L78" s="35" t="str">
        <x:v>YES</x:v>
      </x:c>
      <x:c r="M78" s="35" t="str">
        <x:v>EXPECTED_MATCH</x:v>
      </x:c>
    </x:row>
    <x:row r="79">
      <x:c r="A79" s="35" t="str">
        <x:v>B01-TRF-030-BOUNDARY</x:v>
      </x:c>
      <x:c r="B79" s="38" t="str">
        <x:v>TRF-030</x:v>
      </x:c>
      <x:c r="C79" s="35" t="str">
        <x:v>BOUNDARY</x:v>
      </x:c>
      <x:c r="D79" s="67" t="b">
        <x:v>1</x:v>
      </x:c>
      <x:c r="E79" s="54" t="n">
        <x:v>12</x:v>
      </x:c>
      <x:c r="F79" s="35" t="str">
        <x:v>4.1</x:v>
      </x:c>
      <x:c r="G79" s="35" t="str">
        <x:v>complete location set, missing UIWL case, wrong 1.8p pressure, missing la exploration</x:v>
      </x:c>
      <x:c r="H79" s="35" t="str">
        <x:v>INPUTS/DEVELOPMENT_CALIBRATION/BATCH_01_FIRST_50/rdf_fixtures/TRF-030/trf-030_03_boundary.ttl</x:v>
      </x:c>
      <x:c r="I79" s="35" t="str">
        <x:v>4add150a4bdc1e71783c13a185840f162e20d1353046dbfd38f8b774f34f552e</x:v>
      </x:c>
      <x:c r="J79" s="54" t="n">
        <x:v>137</x:v>
      </x:c>
      <x:c r="K79" s="35" t="str">
        <x:v>VOCAB-DEV-2026-08-13-BATCH01-R8.1-POSTCONFIRMATION</x:v>
      </x:c>
      <x:c r="L79" s="35" t="str">
        <x:v>YES</x:v>
      </x:c>
      <x:c r="M79" s="35" t="str">
        <x:v>EXPECTED_MISMATCH</x:v>
      </x:c>
    </x:row>
    <x:row r="80">
      <x:c r="A80" s="35" t="str">
        <x:v>B01-TRF-031-PASS</x:v>
      </x:c>
      <x:c r="B80" s="38" t="str">
        <x:v>TRF-031</x:v>
      </x:c>
      <x:c r="C80" s="35" t="str">
        <x:v>PASS</x:v>
      </x:c>
      <x:c r="D80" s="67" t="b">
        <x:v>1</x:v>
      </x:c>
      <x:c r="E80" s="54" t="n">
        <x:v>12</x:v>
      </x:c>
      <x:c r="F80" s="35" t="str">
        <x:v>4.1</x:v>
      </x:c>
      <x:c r="G80" s="35" t="str">
        <x:v>stress just below/at yield and shear 0.9 boundary</x:v>
      </x:c>
      <x:c r="H80" s="35" t="str">
        <x:v>INPUTS/DEVELOPMENT_CALIBRATION/BATCH_01_FIRST_50/rdf_fixtures/TRF-031/trf-031_01_pass.ttl</x:v>
      </x:c>
      <x:c r="I80" s="35" t="str">
        <x:v>468f1478248493b04250ab5fadd713c54d29442a5d5becff1319c59ab061ad71</x:v>
      </x:c>
      <x:c r="J80" s="54" t="n">
        <x:v>21</x:v>
      </x:c>
      <x:c r="K80" s="35" t="str">
        <x:v>VOCAB-DEV-2026-08-13-BATCH01-R8.1-POSTCONFIRMATION</x:v>
      </x:c>
      <x:c r="L80" s="35" t="str">
        <x:v>YES</x:v>
      </x:c>
      <x:c r="M80" s="35" t="str">
        <x:v>NOT_IN_R7_ACCEPTED_SET</x:v>
      </x:c>
    </x:row>
    <x:row r="81">
      <x:c r="A81" s="35" t="str">
        <x:v>B01-TRF-031-FAIL</x:v>
      </x:c>
      <x:c r="B81" s="38" t="str">
        <x:v>TRF-031</x:v>
      </x:c>
      <x:c r="C81" s="35" t="str">
        <x:v>FAIL</x:v>
      </x:c>
      <x:c r="D81" s="67" t="b">
        <x:v>0</x:v>
      </x:c>
      <x:c r="E81" s="54" t="n">
        <x:v>12</x:v>
      </x:c>
      <x:c r="F81" s="35" t="str">
        <x:v>4.1</x:v>
      </x:c>
      <x:c r="G81" s="35" t="str">
        <x:v>stress just below/at yield and shear 0.9 boundary</x:v>
      </x:c>
      <x:c r="H81" s="35" t="str">
        <x:v>INPUTS/DEVELOPMENT_CALIBRATION/BATCH_01_FIRST_50/rdf_fixtures/TRF-031/trf-031_02_fail.ttl</x:v>
      </x:c>
      <x:c r="I81" s="35" t="str">
        <x:v>4c66591b8ba26a2d43bb2b9a61ba7eec9ac835fb053f3fa805fa60c9e14002c1</x:v>
      </x:c>
      <x:c r="J81" s="54" t="n">
        <x:v>21</x:v>
      </x:c>
      <x:c r="K81" s="35" t="str">
        <x:v>VOCAB-DEV-2026-08-13-BATCH01-R8.1-POSTCONFIRMATION</x:v>
      </x:c>
      <x:c r="L81" s="35" t="str">
        <x:v>YES</x:v>
      </x:c>
      <x:c r="M81" s="35" t="str">
        <x:v>NOT_IN_R7_ACCEPTED_SET</x:v>
      </x:c>
    </x:row>
    <x:row r="82">
      <x:c r="A82" s="35" t="str">
        <x:v>B01-TRF-031-BOUNDARY</x:v>
      </x:c>
      <x:c r="B82" s="38" t="str">
        <x:v>TRF-031</x:v>
      </x:c>
      <x:c r="C82" s="35" t="str">
        <x:v>BOUNDARY</x:v>
      </x:c>
      <x:c r="D82" s="67" t="b">
        <x:v>1</x:v>
      </x:c>
      <x:c r="E82" s="54" t="n">
        <x:v>12</x:v>
      </x:c>
      <x:c r="F82" s="35" t="str">
        <x:v>4.1</x:v>
      </x:c>
      <x:c r="G82" s="35" t="str">
        <x:v>stress just below/at yield and shear 0.9 boundary</x:v>
      </x:c>
      <x:c r="H82" s="35" t="str">
        <x:v>INPUTS/DEVELOPMENT_CALIBRATION/BATCH_01_FIRST_50/rdf_fixtures/TRF-031/trf-031_03_boundary.ttl</x:v>
      </x:c>
      <x:c r="I82" s="35" t="str">
        <x:v>bfb940a4e807b0e40708874ae910f3031e4bb451af30d7b5c66e6225f434e34f</x:v>
      </x:c>
      <x:c r="J82" s="54" t="n">
        <x:v>21</x:v>
      </x:c>
      <x:c r="K82" s="35" t="str">
        <x:v>VOCAB-DEV-2026-08-13-BATCH01-R8.1-POSTCONFIRMATION</x:v>
      </x:c>
      <x:c r="L82" s="35" t="str">
        <x:v>YES</x:v>
      </x:c>
      <x:c r="M82" s="35" t="str">
        <x:v>NOT_IN_R7_ACCEPTED_SET</x:v>
      </x:c>
    </x:row>
    <x:row r="83">
      <x:c r="A83" s="35" t="str">
        <x:v>B01-TRF-032-PASS</x:v>
      </x:c>
      <x:c r="B83" s="38" t="str">
        <x:v>TRF-032</x:v>
      </x:c>
      <x:c r="C83" s="35" t="str">
        <x:v>PASS</x:v>
      </x:c>
      <x:c r="D83" s="67" t="b">
        <x:v>1</x:v>
      </x:c>
      <x:c r="E83" s="54" t="n">
        <x:v>12</x:v>
      </x:c>
      <x:c r="F83" s="35" t="str">
        <x:v>4.1</x:v>
      </x:c>
      <x:c r="G83" s="35" t="str">
        <x:v>regulation governs; class governs; selected below maximum</x:v>
      </x:c>
      <x:c r="H83" s="35" t="str">
        <x:v>INPUTS/DEVELOPMENT_CALIBRATION/BATCH_01_FIRST_50/rdf_fixtures/TRF-032/trf-032_01_pass.ttl</x:v>
      </x:c>
      <x:c r="I83" s="35" t="str">
        <x:v>1ddd9d669c00d06d4c2d53da07719ab599524e9ced88ecf91350ab5b0e4cbd71</x:v>
      </x:c>
      <x:c r="J83" s="54" t="n">
        <x:v>16</x:v>
      </x:c>
      <x:c r="K83" s="35" t="str">
        <x:v>VOCAB-DEV-2026-08-13-BATCH01-R8.1-POSTCONFIRMATION</x:v>
      </x:c>
      <x:c r="L83" s="35" t="str">
        <x:v>YES</x:v>
      </x:c>
      <x:c r="M83" s="35" t="str">
        <x:v>NOT_IN_R7_ACCEPTED_SET</x:v>
      </x:c>
    </x:row>
    <x:row r="84">
      <x:c r="A84" s="35" t="str">
        <x:v>B01-TRF-032-FAIL</x:v>
      </x:c>
      <x:c r="B84" s="38" t="str">
        <x:v>TRF-032</x:v>
      </x:c>
      <x:c r="C84" s="35" t="str">
        <x:v>FAIL</x:v>
      </x:c>
      <x:c r="D84" s="67" t="b">
        <x:v>0</x:v>
      </x:c>
      <x:c r="E84" s="54" t="n">
        <x:v>12</x:v>
      </x:c>
      <x:c r="F84" s="35" t="str">
        <x:v>4.1</x:v>
      </x:c>
      <x:c r="G84" s="35" t="str">
        <x:v>regulation governs; class governs; selected below maximum</x:v>
      </x:c>
      <x:c r="H84" s="35" t="str">
        <x:v>INPUTS/DEVELOPMENT_CALIBRATION/BATCH_01_FIRST_50/rdf_fixtures/TRF-032/trf-032_02_fail.ttl</x:v>
      </x:c>
      <x:c r="I84" s="35" t="str">
        <x:v>0079487ab766d4d9b3b0cdd0b6ef226c775698637daa7dde64e92d17cd05cf94</x:v>
      </x:c>
      <x:c r="J84" s="54" t="n">
        <x:v>16</x:v>
      </x:c>
      <x:c r="K84" s="35" t="str">
        <x:v>VOCAB-DEV-2026-08-13-BATCH01-R8.1-POSTCONFIRMATION</x:v>
      </x:c>
      <x:c r="L84" s="35" t="str">
        <x:v>YES</x:v>
      </x:c>
      <x:c r="M84" s="35" t="str">
        <x:v>NOT_IN_R7_ACCEPTED_SET</x:v>
      </x:c>
    </x:row>
    <x:row r="85">
      <x:c r="A85" s="35" t="str">
        <x:v>B01-TRF-032-BOUNDARY</x:v>
      </x:c>
      <x:c r="B85" s="38" t="str">
        <x:v>TRF-032</x:v>
      </x:c>
      <x:c r="C85" s="35" t="str">
        <x:v>BOUNDARY</x:v>
      </x:c>
      <x:c r="D85" s="67" t="b">
        <x:v>1</x:v>
      </x:c>
      <x:c r="E85" s="54" t="n">
        <x:v>12</x:v>
      </x:c>
      <x:c r="F85" s="35" t="str">
        <x:v>4.1</x:v>
      </x:c>
      <x:c r="G85" s="35" t="str">
        <x:v>regulation governs; class governs; selected below maximum</x:v>
      </x:c>
      <x:c r="H85" s="35" t="str">
        <x:v>INPUTS/DEVELOPMENT_CALIBRATION/BATCH_01_FIRST_50/rdf_fixtures/TRF-032/trf-032_03_boundary.ttl</x:v>
      </x:c>
      <x:c r="I85" s="35" t="str">
        <x:v>f72525feb7da7690346b5d555273252c216852c036f9c967ff6725055760df7f</x:v>
      </x:c>
      <x:c r="J85" s="54" t="n">
        <x:v>16</x:v>
      </x:c>
      <x:c r="K85" s="35" t="str">
        <x:v>VOCAB-DEV-2026-08-13-BATCH01-R8.1-POSTCONFIRMATION</x:v>
      </x:c>
      <x:c r="L85" s="35" t="str">
        <x:v>YES</x:v>
      </x:c>
      <x:c r="M85" s="35" t="str">
        <x:v>NOT_IN_R7_ACCEPTED_SET</x:v>
      </x:c>
    </x:row>
    <x:row r="86">
      <x:c r="A86" s="35" t="str">
        <x:v>B01-TRF-034-PASS</x:v>
      </x:c>
      <x:c r="B86" s="38" t="str">
        <x:v>TRF-034</x:v>
      </x:c>
      <x:c r="C86" s="35" t="str">
        <x:v>PASS</x:v>
      </x:c>
      <x:c r="D86" s="67" t="b">
        <x:v>1</x:v>
      </x:c>
      <x:c r="E86" s="54" t="n">
        <x:v>13</x:v>
      </x:c>
      <x:c r="F86" s="35" t="str">
        <x:v>4.1</x:v>
      </x:c>
      <x:c r="G86" s="35" t="str">
        <x:v>normal member values; non-normal with evidence; non-normal missing evidence</x:v>
      </x:c>
      <x:c r="H86" s="35" t="str">
        <x:v>INPUTS/DEVELOPMENT_CALIBRATION/BATCH_01_FIRST_50/rdf_fixtures/TRF-034/trf-034_01_pass.ttl</x:v>
      </x:c>
      <x:c r="I86" s="35" t="str">
        <x:v>906941be7c0080cb28b83456b2352be310bf9e0a8d295f91b752c30b5eb01c28</x:v>
      </x:c>
      <x:c r="J86" s="54" t="n">
        <x:v>18</x:v>
      </x:c>
      <x:c r="K86" s="35" t="str">
        <x:v>VOCAB-DEV-2026-08-13-BATCH01-R8.1-POSTCONFIRMATION</x:v>
      </x:c>
      <x:c r="L86" s="35" t="str">
        <x:v>YES</x:v>
      </x:c>
      <x:c r="M86" s="35" t="str">
        <x:v>NOT_IN_R7_ACCEPTED_SET</x:v>
      </x:c>
    </x:row>
    <x:row r="87">
      <x:c r="A87" s="35" t="str">
        <x:v>B01-TRF-034-FAIL</x:v>
      </x:c>
      <x:c r="B87" s="38" t="str">
        <x:v>TRF-034</x:v>
      </x:c>
      <x:c r="C87" s="35" t="str">
        <x:v>FAIL</x:v>
      </x:c>
      <x:c r="D87" s="67" t="b">
        <x:v>0</x:v>
      </x:c>
      <x:c r="E87" s="54" t="n">
        <x:v>13</x:v>
      </x:c>
      <x:c r="F87" s="35" t="str">
        <x:v>4.1</x:v>
      </x:c>
      <x:c r="G87" s="35" t="str">
        <x:v>normal member values; non-normal with evidence; non-normal missing evidence</x:v>
      </x:c>
      <x:c r="H87" s="35" t="str">
        <x:v>INPUTS/DEVELOPMENT_CALIBRATION/BATCH_01_FIRST_50/rdf_fixtures/TRF-034/trf-034_02_fail.ttl</x:v>
      </x:c>
      <x:c r="I87" s="35" t="str">
        <x:v>7330f8b2753cef0f233a1c34daf73d05a694d8e7d30bdb237d6f30a8ead9dc2d</x:v>
      </x:c>
      <x:c r="J87" s="54" t="n">
        <x:v>16</x:v>
      </x:c>
      <x:c r="K87" s="35" t="str">
        <x:v>VOCAB-DEV-2026-08-13-BATCH01-R8.1-POSTCONFIRMATION</x:v>
      </x:c>
      <x:c r="L87" s="35" t="str">
        <x:v>YES</x:v>
      </x:c>
      <x:c r="M87" s="35" t="str">
        <x:v>NOT_IN_R7_ACCEPTED_SET</x:v>
      </x:c>
    </x:row>
    <x:row r="88">
      <x:c r="A88" s="35" t="str">
        <x:v>B01-TRF-034-BOUNDARY</x:v>
      </x:c>
      <x:c r="B88" s="38" t="str">
        <x:v>TRF-034</x:v>
      </x:c>
      <x:c r="C88" s="35" t="str">
        <x:v>BOUNDARY</x:v>
      </x:c>
      <x:c r="D88" s="67" t="b">
        <x:v>1</x:v>
      </x:c>
      <x:c r="E88" s="54" t="n">
        <x:v>13</x:v>
      </x:c>
      <x:c r="F88" s="35" t="str">
        <x:v>4.1</x:v>
      </x:c>
      <x:c r="G88" s="35" t="str">
        <x:v>normal member values; non-normal with evidence; non-normal missing evidence</x:v>
      </x:c>
      <x:c r="H88" s="35" t="str">
        <x:v>INPUTS/DEVELOPMENT_CALIBRATION/BATCH_01_FIRST_50/rdf_fixtures/TRF-034/trf-034_03_boundary.ttl</x:v>
      </x:c>
      <x:c r="I88" s="35" t="str">
        <x:v>777ffd693642762004027c97e9fe41791916c74501d0e11e13454d4f3fd876bd</x:v>
      </x:c>
      <x:c r="J88" s="54" t="n">
        <x:v>18</x:v>
      </x:c>
      <x:c r="K88" s="35" t="str">
        <x:v>VOCAB-DEV-2026-08-13-BATCH01-R8.1-POSTCONFIRMATION</x:v>
      </x:c>
      <x:c r="L88" s="35" t="str">
        <x:v>YES</x:v>
      </x:c>
      <x:c r="M88" s="35" t="str">
        <x:v>NOT_IN_R7_ACCEPTED_SET</x:v>
      </x:c>
    </x:row>
    <x:row r="89">
      <x:c r="A89" s="35" t="str">
        <x:v>B01-TRF-035-PASS</x:v>
      </x:c>
      <x:c r="B89" s="38" t="str">
        <x:v>TRF-035</x:v>
      </x:c>
      <x:c r="C89" s="35" t="str">
        <x:v>PASS</x:v>
      </x:c>
      <x:c r="D89" s="67" t="b">
        <x:v>1</x:v>
      </x:c>
      <x:c r="E89" s="54" t="n">
        <x:v>13</x:v>
      </x:c>
      <x:c r="F89" s="35" t="str">
        <x:v>4.1.1</x:v>
      </x:c>
      <x:c r="G89" s="35" t="str">
        <x:v>equal length and mismatch</x:v>
      </x:c>
      <x:c r="H89" s="35" t="str">
        <x:v>INPUTS/DEVELOPMENT_CALIBRATION/BATCH_01_FIRST_50/rdf_fixtures/TRF-035/trf-035_01_pass.ttl</x:v>
      </x:c>
      <x:c r="I89" s="35" t="str">
        <x:v>682e4406fd6736ad4ce40ceffcdca72ac0ec214806017dad8e2265b9c9f02e4e</x:v>
      </x:c>
      <x:c r="J89" s="54" t="n">
        <x:v>13</x:v>
      </x:c>
      <x:c r="K89" s="35" t="str">
        <x:v>VOCAB-DEV-2026-08-13-BATCH01-R8.1-POSTCONFIRMATION</x:v>
      </x:c>
      <x:c r="L89" s="35" t="str">
        <x:v>YES</x:v>
      </x:c>
      <x:c r="M89" s="35" t="str">
        <x:v>NOT_IN_R7_ACCEPTED_SET</x:v>
      </x:c>
    </x:row>
    <x:row r="90">
      <x:c r="A90" s="35" t="str">
        <x:v>B01-TRF-035-FAIL</x:v>
      </x:c>
      <x:c r="B90" s="38" t="str">
        <x:v>TRF-035</x:v>
      </x:c>
      <x:c r="C90" s="35" t="str">
        <x:v>FAIL</x:v>
      </x:c>
      <x:c r="D90" s="67" t="b">
        <x:v>0</x:v>
      </x:c>
      <x:c r="E90" s="54" t="n">
        <x:v>13</x:v>
      </x:c>
      <x:c r="F90" s="35" t="str">
        <x:v>4.1.1</x:v>
      </x:c>
      <x:c r="G90" s="35" t="str">
        <x:v>equal length and mismatch</x:v>
      </x:c>
      <x:c r="H90" s="35" t="str">
        <x:v>INPUTS/DEVELOPMENT_CALIBRATION/BATCH_01_FIRST_50/rdf_fixtures/TRF-035/trf-035_02_fail.ttl</x:v>
      </x:c>
      <x:c r="I90" s="35" t="str">
        <x:v>35eaccbdfe4fae461d9ec6810ce06c77859702cf2db43ac28b7b7a31ba3777b4</x:v>
      </x:c>
      <x:c r="J90" s="54" t="n">
        <x:v>13</x:v>
      </x:c>
      <x:c r="K90" s="35" t="str">
        <x:v>VOCAB-DEV-2026-08-13-BATCH01-R8.1-POSTCONFIRMATION</x:v>
      </x:c>
      <x:c r="L90" s="35" t="str">
        <x:v>YES</x:v>
      </x:c>
      <x:c r="M90" s="35" t="str">
        <x:v>NOT_IN_R7_ACCEPTED_SET</x:v>
      </x:c>
    </x:row>
    <x:row r="91">
      <x:c r="A91" s="35" t="str">
        <x:v>B01-TRF-035-BOUNDARY</x:v>
      </x:c>
      <x:c r="B91" s="38" t="str">
        <x:v>TRF-035</x:v>
      </x:c>
      <x:c r="C91" s="35" t="str">
        <x:v>BOUNDARY</x:v>
      </x:c>
      <x:c r="D91" s="67" t="b">
        <x:v>1</x:v>
      </x:c>
      <x:c r="E91" s="54" t="n">
        <x:v>13</x:v>
      </x:c>
      <x:c r="F91" s="35" t="str">
        <x:v>4.1.1</x:v>
      </x:c>
      <x:c r="G91" s="35" t="str">
        <x:v>equal length and mismatch</x:v>
      </x:c>
      <x:c r="H91" s="35" t="str">
        <x:v>INPUTS/DEVELOPMENT_CALIBRATION/BATCH_01_FIRST_50/rdf_fixtures/TRF-035/trf-035_03_boundary.ttl</x:v>
      </x:c>
      <x:c r="I91" s="35" t="str">
        <x:v>3901630acdec893446b2af506ba24a4f844adf16f9ad950645289945a7d91f0f</x:v>
      </x:c>
      <x:c r="J91" s="54" t="n">
        <x:v>13</x:v>
      </x:c>
      <x:c r="K91" s="35" t="str">
        <x:v>VOCAB-DEV-2026-08-13-BATCH01-R8.1-POSTCONFIRMATION</x:v>
      </x:c>
      <x:c r="L91" s="35" t="str">
        <x:v>YES</x:v>
      </x:c>
      <x:c r="M91" s="35" t="str">
        <x:v>NOT_IN_R7_ACCEPTED_SET</x:v>
      </x:c>
    </x:row>
    <x:row r="92">
      <x:c r="A92" s="35" t="str">
        <x:v>B01-TRF-036-PASS</x:v>
      </x:c>
      <x:c r="B92" s="38" t="str">
        <x:v>TRF-036</x:v>
      </x:c>
      <x:c r="C92" s="35" t="str">
        <x:v>PASS</x:v>
      </x:c>
      <x:c r="D92" s="67" t="b">
        <x:v>1</x:v>
      </x:c>
      <x:c r="E92" s="54" t="n">
        <x:v>14</x:v>
      </x:c>
      <x:c r="F92" s="35" t="str">
        <x:v>4.2.1</x:v>
      </x:c>
      <x:c r="G92" s="35" t="str">
        <x:v>each ice-class row, wrong h, wrong hi</x:v>
      </x:c>
      <x:c r="H92" s="35" t="str">
        <x:v>INPUTS/DEVELOPMENT_CALIBRATION/BATCH_01_FIRST_50/rdf_fixtures/TRF-036/trf-036_01_pass.ttl</x:v>
      </x:c>
      <x:c r="I92" s="35" t="str">
        <x:v>9b32e0fcddcf432d7f557fa640c25c39a49f2d6bac15ba28cbbcb291f1cff5f1</x:v>
      </x:c>
      <x:c r="J92" s="54" t="n">
        <x:v>14</x:v>
      </x:c>
      <x:c r="K92" s="35" t="str">
        <x:v>VOCAB-DEV-2026-08-13-BATCH01-R8.1-POSTCONFIRMATION</x:v>
      </x:c>
      <x:c r="L92" s="35" t="str">
        <x:v>YES</x:v>
      </x:c>
      <x:c r="M92" s="35" t="str">
        <x:v>NOT_IN_R7_ACCEPTED_SET</x:v>
      </x:c>
    </x:row>
    <x:row r="93">
      <x:c r="A93" s="35" t="str">
        <x:v>B01-TRF-036-FAIL</x:v>
      </x:c>
      <x:c r="B93" s="38" t="str">
        <x:v>TRF-036</x:v>
      </x:c>
      <x:c r="C93" s="35" t="str">
        <x:v>FAIL</x:v>
      </x:c>
      <x:c r="D93" s="67" t="b">
        <x:v>0</x:v>
      </x:c>
      <x:c r="E93" s="54" t="n">
        <x:v>14</x:v>
      </x:c>
      <x:c r="F93" s="35" t="str">
        <x:v>4.2.1</x:v>
      </x:c>
      <x:c r="G93" s="35" t="str">
        <x:v>each ice-class row, wrong h, wrong hi</x:v>
      </x:c>
      <x:c r="H93" s="35" t="str">
        <x:v>INPUTS/DEVELOPMENT_CALIBRATION/BATCH_01_FIRST_50/rdf_fixtures/TRF-036/trf-036_02_fail.ttl</x:v>
      </x:c>
      <x:c r="I93" s="35" t="str">
        <x:v>b8aeb784e6c1e010c161c5f7139a763824f6e29bfc35b941580fc7d5b33139cc</x:v>
      </x:c>
      <x:c r="J93" s="54" t="n">
        <x:v>14</x:v>
      </x:c>
      <x:c r="K93" s="35" t="str">
        <x:v>VOCAB-DEV-2026-08-13-BATCH01-R8.1-POSTCONFIRMATION</x:v>
      </x:c>
      <x:c r="L93" s="35" t="str">
        <x:v>YES</x:v>
      </x:c>
      <x:c r="M93" s="35" t="str">
        <x:v>NOT_IN_R7_ACCEPTED_SET</x:v>
      </x:c>
    </x:row>
    <x:row r="94">
      <x:c r="A94" s="35" t="str">
        <x:v>B01-TRF-036-BOUNDARY</x:v>
      </x:c>
      <x:c r="B94" s="38" t="str">
        <x:v>TRF-036</x:v>
      </x:c>
      <x:c r="C94" s="35" t="str">
        <x:v>BOUNDARY</x:v>
      </x:c>
      <x:c r="D94" s="67" t="b">
        <x:v>1</x:v>
      </x:c>
      <x:c r="E94" s="54" t="n">
        <x:v>14</x:v>
      </x:c>
      <x:c r="F94" s="35" t="str">
        <x:v>4.2.1</x:v>
      </x:c>
      <x:c r="G94" s="35" t="str">
        <x:v>each ice-class row, wrong h, wrong hi</x:v>
      </x:c>
      <x:c r="H94" s="35" t="str">
        <x:v>INPUTS/DEVELOPMENT_CALIBRATION/BATCH_01_FIRST_50/rdf_fixtures/TRF-036/trf-036_03_boundary.ttl</x:v>
      </x:c>
      <x:c r="I94" s="35" t="str">
        <x:v>bc4bb0230101ebc4787cc1b1ef1a86888705365e7786ebda17fa29c3278b12ad</x:v>
      </x:c>
      <x:c r="J94" s="54" t="n">
        <x:v>14</x:v>
      </x:c>
      <x:c r="K94" s="35" t="str">
        <x:v>VOCAB-DEV-2026-08-13-BATCH01-R8.1-POSTCONFIRMATION</x:v>
      </x:c>
      <x:c r="L94" s="35" t="str">
        <x:v>YES</x:v>
      </x:c>
      <x:c r="M94" s="35" t="str">
        <x:v>NOT_IN_R7_ACCEPTED_SET</x:v>
      </x:c>
    </x:row>
    <x:row r="95">
      <x:c r="A95" s="35" t="str">
        <x:v>B01-TRF-037-PASS</x:v>
      </x:c>
      <x:c r="B95" s="38" t="str">
        <x:v>TRF-037</x:v>
      </x:c>
      <x:c r="C95" s="35" t="str">
        <x:v>PASS</x:v>
      </x:c>
      <x:c r="D95" s="67" t="b">
        <x:v>1</x:v>
      </x:c>
      <x:c r="E95" s="54" t="n">
        <x:v>14</x:v>
      </x:c>
      <x:c r="F95" s="35" t="str">
        <x:v>4.2.2</x:v>
      </x:c>
      <x:c r="G95" s="35" t="str">
        <x:v>exact p, cd cap at 1, incorrect factor/product</x:v>
      </x:c>
      <x:c r="H95" s="35" t="str">
        <x:v>INPUTS/DEVELOPMENT_CALIBRATION/BATCH_01_FIRST_50/rdf_fixtures/TRF-037/trf-037_01_pass.ttl</x:v>
      </x:c>
      <x:c r="I95" s="35" t="str">
        <x:v>99a84b0d560fade36f2c4fc848bd3974c0522e334d81719a6af980b28603cf5d</x:v>
      </x:c>
      <x:c r="J95" s="54" t="n">
        <x:v>46</x:v>
      </x:c>
      <x:c r="K95" s="35" t="str">
        <x:v>VOCAB-DEV-2026-08-13-BATCH01-R8.1-POSTCONFIRMATION</x:v>
      </x:c>
      <x:c r="L95" s="35" t="str">
        <x:v>YES</x:v>
      </x:c>
      <x:c r="M95" s="35" t="str">
        <x:v>NOT_IN_R7_ACCEPTED_SET</x:v>
      </x:c>
    </x:row>
    <x:row r="96">
      <x:c r="A96" s="35" t="str">
        <x:v>B01-TRF-037-FAIL</x:v>
      </x:c>
      <x:c r="B96" s="38" t="str">
        <x:v>TRF-037</x:v>
      </x:c>
      <x:c r="C96" s="35" t="str">
        <x:v>FAIL</x:v>
      </x:c>
      <x:c r="D96" s="67" t="b">
        <x:v>0</x:v>
      </x:c>
      <x:c r="E96" s="54" t="n">
        <x:v>14</x:v>
      </x:c>
      <x:c r="F96" s="35" t="str">
        <x:v>4.2.2</x:v>
      </x:c>
      <x:c r="G96" s="35" t="str">
        <x:v>exact p, cd cap at 1, incorrect factor/product</x:v>
      </x:c>
      <x:c r="H96" s="35" t="str">
        <x:v>INPUTS/DEVELOPMENT_CALIBRATION/BATCH_01_FIRST_50/rdf_fixtures/TRF-037/trf-037_02_fail.ttl</x:v>
      </x:c>
      <x:c r="I96" s="35" t="str">
        <x:v>c1c8675d75ed95134a626e7e53cc5dca474266f09d3bd9ae10304657d42ffca5</x:v>
      </x:c>
      <x:c r="J96" s="54" t="n">
        <x:v>46</x:v>
      </x:c>
      <x:c r="K96" s="35" t="str">
        <x:v>VOCAB-DEV-2026-08-13-BATCH01-R8.1-POSTCONFIRMATION</x:v>
      </x:c>
      <x:c r="L96" s="35" t="str">
        <x:v>YES</x:v>
      </x:c>
      <x:c r="M96" s="35" t="str">
        <x:v>NOT_IN_R7_ACCEPTED_SET</x:v>
      </x:c>
    </x:row>
    <x:row r="97">
      <x:c r="A97" s="35" t="str">
        <x:v>B01-TRF-037-BOUNDARY</x:v>
      </x:c>
      <x:c r="B97" s="38" t="str">
        <x:v>TRF-037</x:v>
      </x:c>
      <x:c r="C97" s="35" t="str">
        <x:v>BOUNDARY</x:v>
      </x:c>
      <x:c r="D97" s="67" t="b">
        <x:v>1</x:v>
      </x:c>
      <x:c r="E97" s="54" t="n">
        <x:v>14</x:v>
      </x:c>
      <x:c r="F97" s="35" t="str">
        <x:v>4.2.2</x:v>
      </x:c>
      <x:c r="G97" s="35" t="str">
        <x:v>exact p, cd cap at 1, incorrect factor/product</x:v>
      </x:c>
      <x:c r="H97" s="35" t="str">
        <x:v>INPUTS/DEVELOPMENT_CALIBRATION/BATCH_01_FIRST_50/rdf_fixtures/TRF-037/trf-037_03_boundary.ttl</x:v>
      </x:c>
      <x:c r="I97" s="35" t="str">
        <x:v>bbd451b59e6b445443ec9fd8b7fd022f81577cb1d03976fa01c99e0bb4dd7bb3</x:v>
      </x:c>
      <x:c r="J97" s="54" t="n">
        <x:v>46</x:v>
      </x:c>
      <x:c r="K97" s="35" t="str">
        <x:v>VOCAB-DEV-2026-08-13-BATCH01-R8.1-POSTCONFIRMATION</x:v>
      </x:c>
      <x:c r="L97" s="35" t="str">
        <x:v>YES</x:v>
      </x:c>
      <x:c r="M97" s="35" t="str">
        <x:v>NOT_IN_R7_ACCEPTED_SET</x:v>
      </x:c>
    </x:row>
    <x:row r="98">
      <x:c r="A98" s="35" t="str">
        <x:v>B01-TRF-041-PASS</x:v>
      </x:c>
      <x:c r="B98" s="38" t="str">
        <x:v>TRF-041</x:v>
      </x:c>
      <x:c r="C98" s="35" t="str">
        <x:v>PASS</x:v>
      </x:c>
      <x:c r="D98" s="67" t="b">
        <x:v>1</x:v>
      </x:c>
      <x:c r="E98" s="54" t="n">
        <x:v>17</x:v>
      </x:c>
      <x:c r="F98" s="35" t="str">
        <x:v>4.3.2</x:v>
      </x:c>
      <x:c r="G98" s="35" t="str">
        <x:v>both framing branches, exact formula boundary, low thickness</x:v>
      </x:c>
      <x:c r="H98" s="35" t="str">
        <x:v>INPUTS/DEVELOPMENT_CALIBRATION/BATCH_01_FIRST_50/rdf_fixtures/TRF-041/trf-041_01_pass.ttl</x:v>
      </x:c>
      <x:c r="I98" s="35" t="str">
        <x:v>b403945094bf4fb14ff68d7130e0984a2a545eb8fdc60010cb590ecb6a68f818</x:v>
      </x:c>
      <x:c r="J98" s="54" t="n">
        <x:v>38</x:v>
      </x:c>
      <x:c r="K98" s="35" t="str">
        <x:v>VOCAB-DEV-2026-08-13-BATCH01-R8.1-POSTCONFIRMATION</x:v>
      </x:c>
      <x:c r="L98" s="35" t="str">
        <x:v>YES</x:v>
      </x:c>
      <x:c r="M98" s="35" t="str">
        <x:v>NOT_IN_R7_ACCEPTED_SET</x:v>
      </x:c>
    </x:row>
    <x:row r="99">
      <x:c r="A99" s="35" t="str">
        <x:v>B01-TRF-041-FAIL</x:v>
      </x:c>
      <x:c r="B99" s="38" t="str">
        <x:v>TRF-041</x:v>
      </x:c>
      <x:c r="C99" s="35" t="str">
        <x:v>FAIL</x:v>
      </x:c>
      <x:c r="D99" s="67" t="b">
        <x:v>0</x:v>
      </x:c>
      <x:c r="E99" s="54" t="n">
        <x:v>17</x:v>
      </x:c>
      <x:c r="F99" s="35" t="str">
        <x:v>4.3.2</x:v>
      </x:c>
      <x:c r="G99" s="35" t="str">
        <x:v>both framing branches, exact formula boundary, low thickness</x:v>
      </x:c>
      <x:c r="H99" s="35" t="str">
        <x:v>INPUTS/DEVELOPMENT_CALIBRATION/BATCH_01_FIRST_50/rdf_fixtures/TRF-041/trf-041_02_fail.ttl</x:v>
      </x:c>
      <x:c r="I99" s="35" t="str">
        <x:v>ec7be9f25847feb273e8e978089371273eab7349ca17f7307024c5ff953a6bdc</x:v>
      </x:c>
      <x:c r="J99" s="54" t="n">
        <x:v>38</x:v>
      </x:c>
      <x:c r="K99" s="35" t="str">
        <x:v>VOCAB-DEV-2026-08-13-BATCH01-R8.1-POSTCONFIRMATION</x:v>
      </x:c>
      <x:c r="L99" s="35" t="str">
        <x:v>YES</x:v>
      </x:c>
      <x:c r="M99" s="35" t="str">
        <x:v>NOT_IN_R7_ACCEPTED_SET</x:v>
      </x:c>
    </x:row>
    <x:row r="100">
      <x:c r="A100" s="35" t="str">
        <x:v>B01-TRF-041-BOUNDARY</x:v>
      </x:c>
      <x:c r="B100" s="38" t="str">
        <x:v>TRF-041</x:v>
      </x:c>
      <x:c r="C100" s="35" t="str">
        <x:v>BOUNDARY</x:v>
      </x:c>
      <x:c r="D100" s="67" t="b">
        <x:v>1</x:v>
      </x:c>
      <x:c r="E100" s="54" t="n">
        <x:v>17</x:v>
      </x:c>
      <x:c r="F100" s="35" t="str">
        <x:v>4.3.2</x:v>
      </x:c>
      <x:c r="G100" s="35" t="str">
        <x:v>both framing branches, exact formula boundary, low thickness</x:v>
      </x:c>
      <x:c r="H100" s="35" t="str">
        <x:v>INPUTS/DEVELOPMENT_CALIBRATION/BATCH_01_FIRST_50/rdf_fixtures/TRF-041/trf-041_03_boundary.ttl</x:v>
      </x:c>
      <x:c r="I100" s="35" t="str">
        <x:v>b4069b898c585378ac3fdfd6d2a8cb1ff816fcf3077bdbfb24a94a4d6f396c1e</x:v>
      </x:c>
      <x:c r="J100" s="54" t="n">
        <x:v>38</x:v>
      </x:c>
      <x:c r="K100" s="35" t="str">
        <x:v>VOCAB-DEV-2026-08-13-BATCH01-R8.1-POSTCONFIRMATION</x:v>
      </x:c>
      <x:c r="L100" s="35" t="str">
        <x:v>YES</x:v>
      </x:c>
      <x:c r="M100" s="35" t="str">
        <x:v>NOT_IN_R7_ACCEPTED_SET</x:v>
      </x:c>
    </x:row>
    <x:row r="101">
      <x:c r="A101" s="35" t="str">
        <x:v>B01-TRF-042-PASS</x:v>
      </x:c>
      <x:c r="B101" s="38" t="str">
        <x:v>TRF-042</x:v>
      </x:c>
      <x:c r="C101" s="35" t="str">
        <x:v>PASS</x:v>
      </x:c>
      <x:c r="D101" s="67" t="b">
        <x:v>1</x:v>
      </x:c>
      <x:c r="E101" s="54" t="n">
        <x:v>17</x:v>
      </x:c>
      <x:c r="F101" s="35" t="str">
        <x:v>4.3.2</x:v>
      </x:c>
      <x:c r="G101" s="35" t="str">
        <x:v>h/s at 1 and 1.8, steel-grade values, approved/unapproved lower tc</x:v>
      </x:c>
      <x:c r="H101" s="35" t="str">
        <x:v>INPUTS/DEVELOPMENT_CALIBRATION/BATCH_01_FIRST_50/rdf_fixtures/TRF-042/trf-042_01_pass.ttl</x:v>
      </x:c>
      <x:c r="I101" s="35" t="str">
        <x:v>ec996779d78a279b2807fb5e10786567342fe7bfca47c972db7ecd70e07d8209</x:v>
      </x:c>
      <x:c r="J101" s="54" t="n">
        <x:v>31</x:v>
      </x:c>
      <x:c r="K101" s="35" t="str">
        <x:v>VOCAB-DEV-2026-08-13-BATCH01-R8.1-POSTCONFIRMATION</x:v>
      </x:c>
      <x:c r="L101" s="35" t="str">
        <x:v>YES</x:v>
      </x:c>
      <x:c r="M101" s="35" t="str">
        <x:v>NOT_IN_R7_ACCEPTED_SET</x:v>
      </x:c>
    </x:row>
    <x:row r="102">
      <x:c r="A102" s="35" t="str">
        <x:v>B01-TRF-042-FAIL</x:v>
      </x:c>
      <x:c r="B102" s="38" t="str">
        <x:v>TRF-042</x:v>
      </x:c>
      <x:c r="C102" s="35" t="str">
        <x:v>FAIL</x:v>
      </x:c>
      <x:c r="D102" s="67" t="b">
        <x:v>0</x:v>
      </x:c>
      <x:c r="E102" s="54" t="n">
        <x:v>17</x:v>
      </x:c>
      <x:c r="F102" s="35" t="str">
        <x:v>4.3.2</x:v>
      </x:c>
      <x:c r="G102" s="35" t="str">
        <x:v>h/s at 1 and 1.8, steel-grade values, approved/unapproved lower tc</x:v>
      </x:c>
      <x:c r="H102" s="35" t="str">
        <x:v>INPUTS/DEVELOPMENT_CALIBRATION/BATCH_01_FIRST_50/rdf_fixtures/TRF-042/trf-042_02_fail.ttl</x:v>
      </x:c>
      <x:c r="I102" s="35" t="str">
        <x:v>718817de0205431efcf7ebadfc5acbb78479c3c8a96bd99d66e03f5e7d71f16a</x:v>
      </x:c>
      <x:c r="J102" s="54" t="n">
        <x:v>31</x:v>
      </x:c>
      <x:c r="K102" s="35" t="str">
        <x:v>VOCAB-DEV-2026-08-13-BATCH01-R8.1-POSTCONFIRMATION</x:v>
      </x:c>
      <x:c r="L102" s="35" t="str">
        <x:v>YES</x:v>
      </x:c>
      <x:c r="M102" s="35" t="str">
        <x:v>NOT_IN_R7_ACCEPTED_SET</x:v>
      </x:c>
    </x:row>
    <x:row r="103">
      <x:c r="A103" s="35" t="str">
        <x:v>B01-TRF-042-BOUNDARY</x:v>
      </x:c>
      <x:c r="B103" s="38" t="str">
        <x:v>TRF-042</x:v>
      </x:c>
      <x:c r="C103" s="35" t="str">
        <x:v>BOUNDARY</x:v>
      </x:c>
      <x:c r="D103" s="67" t="b">
        <x:v>1</x:v>
      </x:c>
      <x:c r="E103" s="54" t="n">
        <x:v>17</x:v>
      </x:c>
      <x:c r="F103" s="35" t="str">
        <x:v>4.3.2</x:v>
      </x:c>
      <x:c r="G103" s="35" t="str">
        <x:v>h/s at 1 and 1.8, steel-grade values, approved/unapproved lower tc</x:v>
      </x:c>
      <x:c r="H103" s="35" t="str">
        <x:v>INPUTS/DEVELOPMENT_CALIBRATION/BATCH_01_FIRST_50/rdf_fixtures/TRF-042/trf-042_03_boundary.ttl</x:v>
      </x:c>
      <x:c r="I103" s="35" t="str">
        <x:v>6e43b1d08903a94088b685033b5411fe91531d77153c10ca553b10735c17027a</x:v>
      </x:c>
      <x:c r="J103" s="54" t="n">
        <x:v>31</x:v>
      </x:c>
      <x:c r="K103" s="35" t="str">
        <x:v>VOCAB-DEV-2026-08-13-BATCH01-R8.1-POSTCONFIRMATION</x:v>
      </x:c>
      <x:c r="L103" s="35" t="str">
        <x:v>YES</x:v>
      </x:c>
      <x:c r="M103" s="35" t="str">
        <x:v>NOT_IN_R7_ACCEPTED_SET</x:v>
      </x:c>
    </x:row>
    <x:row r="104">
      <x:c r="A104" s="35" t="str">
        <x:v>B01-TRF-043-PASS</x:v>
      </x:c>
      <x:c r="B104" s="38" t="str">
        <x:v>TRF-043</x:v>
      </x:c>
      <x:c r="C104" s="35" t="str">
        <x:v>PASS</x:v>
      </x:c>
      <x:c r="D104" s="67" t="b">
        <x:v>1</x:v>
      </x:c>
      <x:c r="E104" s="54" t="n">
        <x:v>18</x:v>
      </x:c>
      <x:c r="F104" s="35" t="str">
        <x:v>4.4.1</x:v>
      </x:c>
      <x:c r="G104" s="35" t="str">
        <x:v>table rows, exact 250-mm boundary, 251-mm failure</x:v>
      </x:c>
      <x:c r="H104" s="35" t="str">
        <x:v>INPUTS/DEVELOPMENT_CALIBRATION/BATCH_01_FIRST_50/rdf_fixtures/TRF-043/trf-043_01_pass.ttl</x:v>
      </x:c>
      <x:c r="I104" s="35" t="str">
        <x:v>5a4df31449ecf584b2088ffe6fa94c6ebcd552d07a0a2345e4cb3dd59faabb00</x:v>
      </x:c>
      <x:c r="J104" s="54" t="n">
        <x:v>22</x:v>
      </x:c>
      <x:c r="K104" s="35" t="str">
        <x:v>VOCAB-DEV-2026-08-13-BATCH01-R8.1-POSTCONFIRMATION</x:v>
      </x:c>
      <x:c r="L104" s="35" t="str">
        <x:v>YES</x:v>
      </x:c>
      <x:c r="M104" s="35" t="str">
        <x:v>NOT_IN_R7_ACCEPTED_SET</x:v>
      </x:c>
    </x:row>
    <x:row r="105">
      <x:c r="A105" s="35" t="str">
        <x:v>B01-TRF-043-FAIL</x:v>
      </x:c>
      <x:c r="B105" s="38" t="str">
        <x:v>TRF-043</x:v>
      </x:c>
      <x:c r="C105" s="35" t="str">
        <x:v>FAIL</x:v>
      </x:c>
      <x:c r="D105" s="67" t="b">
        <x:v>0</x:v>
      </x:c>
      <x:c r="E105" s="54" t="n">
        <x:v>18</x:v>
      </x:c>
      <x:c r="F105" s="35" t="str">
        <x:v>4.4.1</x:v>
      </x:c>
      <x:c r="G105" s="35" t="str">
        <x:v>table rows, exact 250-mm boundary, 251-mm failure</x:v>
      </x:c>
      <x:c r="H105" s="35" t="str">
        <x:v>INPUTS/DEVELOPMENT_CALIBRATION/BATCH_01_FIRST_50/rdf_fixtures/TRF-043/trf-043_02_fail.ttl</x:v>
      </x:c>
      <x:c r="I105" s="35" t="str">
        <x:v>5396dafb8874d40b66349173d3ed1296e00d4141b36a6890d6c26957f5867d30</x:v>
      </x:c>
      <x:c r="J105" s="54" t="n">
        <x:v>22</x:v>
      </x:c>
      <x:c r="K105" s="35" t="str">
        <x:v>VOCAB-DEV-2026-08-13-BATCH01-R8.1-POSTCONFIRMATION</x:v>
      </x:c>
      <x:c r="L105" s="35" t="str">
        <x:v>YES</x:v>
      </x:c>
      <x:c r="M105" s="35" t="str">
        <x:v>NOT_IN_R7_ACCEPTED_SET</x:v>
      </x:c>
    </x:row>
    <x:row r="106">
      <x:c r="A106" s="35" t="str">
        <x:v>B01-TRF-043-BOUNDARY</x:v>
      </x:c>
      <x:c r="B106" s="38" t="str">
        <x:v>TRF-043</x:v>
      </x:c>
      <x:c r="C106" s="35" t="str">
        <x:v>BOUNDARY</x:v>
      </x:c>
      <x:c r="D106" s="67" t="b">
        <x:v>1</x:v>
      </x:c>
      <x:c r="E106" s="54" t="n">
        <x:v>18</x:v>
      </x:c>
      <x:c r="F106" s="35" t="str">
        <x:v>4.4.1</x:v>
      </x:c>
      <x:c r="G106" s="35" t="str">
        <x:v>table rows, exact 250-mm boundary, 251-mm failure</x:v>
      </x:c>
      <x:c r="H106" s="35" t="str">
        <x:v>INPUTS/DEVELOPMENT_CALIBRATION/BATCH_01_FIRST_50/rdf_fixtures/TRF-043/trf-043_03_boundary.ttl</x:v>
      </x:c>
      <x:c r="I106" s="35" t="str">
        <x:v>8d91b8c61a5bb922e8da728b2c623c0bc2abf4520ac805b40031363820e44d1d</x:v>
      </x:c>
      <x:c r="J106" s="54" t="n">
        <x:v>22</x:v>
      </x:c>
      <x:c r="K106" s="35" t="str">
        <x:v>VOCAB-DEV-2026-08-13-BATCH01-R8.1-POSTCONFIRMATION</x:v>
      </x:c>
      <x:c r="L106" s="35" t="str">
        <x:v>YES</x:v>
      </x:c>
      <x:c r="M106" s="35" t="str">
        <x:v>NOT_IN_R7_ACCEPTED_SET</x:v>
      </x:c>
    </x:row>
    <x:row r="107">
      <x:c r="A107" s="35" t="str">
        <x:v>B01-TRF-044-PASS</x:v>
      </x:c>
      <x:c r="B107" s="38" t="str">
        <x:v>TRF-044</x:v>
      </x:c>
      <x:c r="C107" s="35" t="str">
        <x:v>PASS</x:v>
      </x:c>
      <x:c r="D107" s="67" t="b">
        <x:v>1</x:v>
      </x:c>
      <x:c r="E107" s="54" t="str">
        <x:v>18-19</x:v>
      </x:c>
      <x:c r="F107" s="35" t="str">
        <x:v>4.4.2.1</x:v>
      </x:c>
      <x:c r="G107" s="35" t="str">
        <x:v>m0 rows, h/l boundary, exact Z/A, low Z/A</x:v>
      </x:c>
      <x:c r="H107" s="35" t="str">
        <x:v>INPUTS/DEVELOPMENT_CALIBRATION/BATCH_01_FIRST_50/rdf_fixtures/TRF-044/trf-044_01_pass.ttl</x:v>
      </x:c>
      <x:c r="I107" s="35" t="str">
        <x:v>74dc7326f9b9edd0002775359afb9c7fef2b1344bf814b5fe2a9d7fd6611ebd2</x:v>
      </x:c>
      <x:c r="J107" s="54" t="n">
        <x:v>50</x:v>
      </x:c>
      <x:c r="K107" s="35" t="str">
        <x:v>VOCAB-DEV-2026-08-13-BATCH01-R8.1-POSTCONFIRMATION</x:v>
      </x:c>
      <x:c r="L107" s="35" t="str">
        <x:v>YES</x:v>
      </x:c>
      <x:c r="M107" s="35" t="str">
        <x:v>NOT_IN_R7_ACCEPTED_SET</x:v>
      </x:c>
    </x:row>
    <x:row r="108">
      <x:c r="A108" s="35" t="str">
        <x:v>B01-TRF-044-FAIL</x:v>
      </x:c>
      <x:c r="B108" s="38" t="str">
        <x:v>TRF-044</x:v>
      </x:c>
      <x:c r="C108" s="35" t="str">
        <x:v>FAIL</x:v>
      </x:c>
      <x:c r="D108" s="67" t="b">
        <x:v>0</x:v>
      </x:c>
      <x:c r="E108" s="54" t="str">
        <x:v>18-19</x:v>
      </x:c>
      <x:c r="F108" s="35" t="str">
        <x:v>4.4.2.1</x:v>
      </x:c>
      <x:c r="G108" s="35" t="str">
        <x:v>m0 rows, h/l boundary, exact Z/A, low Z/A</x:v>
      </x:c>
      <x:c r="H108" s="35" t="str">
        <x:v>INPUTS/DEVELOPMENT_CALIBRATION/BATCH_01_FIRST_50/rdf_fixtures/TRF-044/trf-044_02_fail.ttl</x:v>
      </x:c>
      <x:c r="I108" s="35" t="str">
        <x:v>4c269748035fef79d4eeb0a7c50540d2c05920c9276d34a9a941e35e6fc8c1e8</x:v>
      </x:c>
      <x:c r="J108" s="54" t="n">
        <x:v>50</x:v>
      </x:c>
      <x:c r="K108" s="35" t="str">
        <x:v>VOCAB-DEV-2026-08-13-BATCH01-R8.1-POSTCONFIRMATION</x:v>
      </x:c>
      <x:c r="L108" s="35" t="str">
        <x:v>YES</x:v>
      </x:c>
      <x:c r="M108" s="35" t="str">
        <x:v>NOT_IN_R7_ACCEPTED_SET</x:v>
      </x:c>
    </x:row>
    <x:row r="109">
      <x:c r="A109" s="35" t="str">
        <x:v>B01-TRF-044-BOUNDARY</x:v>
      </x:c>
      <x:c r="B109" s="38" t="str">
        <x:v>TRF-044</x:v>
      </x:c>
      <x:c r="C109" s="35" t="str">
        <x:v>BOUNDARY</x:v>
      </x:c>
      <x:c r="D109" s="67" t="b">
        <x:v>1</x:v>
      </x:c>
      <x:c r="E109" s="54" t="str">
        <x:v>18-19</x:v>
      </x:c>
      <x:c r="F109" s="35" t="str">
        <x:v>4.4.2.1</x:v>
      </x:c>
      <x:c r="G109" s="35" t="str">
        <x:v>m0 rows, h/l boundary, exact Z/A, low Z/A</x:v>
      </x:c>
      <x:c r="H109" s="35" t="str">
        <x:v>INPUTS/DEVELOPMENT_CALIBRATION/BATCH_01_FIRST_50/rdf_fixtures/TRF-044/trf-044_03_boundary.ttl</x:v>
      </x:c>
      <x:c r="I109" s="35" t="str">
        <x:v>f7c6aa3ebda4ffb280dafadb60bf93717fc8c83e18d4ff7c0af8867b1b06b485</x:v>
      </x:c>
      <x:c r="J109" s="54" t="n">
        <x:v>50</x:v>
      </x:c>
      <x:c r="K109" s="35" t="str">
        <x:v>VOCAB-DEV-2026-08-13-BATCH01-R8.1-POSTCONFIRMATION</x:v>
      </x:c>
      <x:c r="L109" s="35" t="str">
        <x:v>YES</x:v>
      </x:c>
      <x:c r="M109" s="35" t="str">
        <x:v>NOT_IN_R7_ACCEPTED_SET</x:v>
      </x:c>
    </x:row>
    <x:row r="110">
      <x:c r="A110" s="35" t="str">
        <x:v>B01-TRF-045-PASS</x:v>
      </x:c>
      <x:c r="B110" s="38" t="str">
        <x:v>TRF-045</x:v>
      </x:c>
      <x:c r="C110" s="35" t="str">
        <x:v>PASS</x:v>
      </x:c>
      <x:c r="D110" s="67" t="b">
        <x:v>1</x:v>
      </x:c>
      <x:c r="E110" s="54" t="n">
        <x:v>19</x:v>
      </x:c>
      <x:c r="F110" s="35" t="str">
        <x:v>4.4.2.1</x:v>
      </x:c>
      <x:c r="G110" s="35" t="str">
        <x:v>14.9% permitted, 15% not permitted, ordinary scantling use</x:v>
      </x:c>
      <x:c r="H110" s="35" t="str">
        <x:v>INPUTS/DEVELOPMENT_CALIBRATION/BATCH_01_FIRST_50/rdf_fixtures/TRF-045/trf-045_01_pass.ttl</x:v>
      </x:c>
      <x:c r="I110" s="35" t="str">
        <x:v>fb7e6c27c6a0dc7fed068b640927f67a0c3b432116d5e80ad37ca394b9979af4</x:v>
      </x:c>
      <x:c r="J110" s="54" t="n">
        <x:v>13</x:v>
      </x:c>
      <x:c r="K110" s="35" t="str">
        <x:v>VOCAB-DEV-2026-08-13-BATCH01-R8.1-POSTCONFIRMATION</x:v>
      </x:c>
      <x:c r="L110" s="35" t="str">
        <x:v>YES</x:v>
      </x:c>
      <x:c r="M110" s="35" t="str">
        <x:v>NOT_IN_R7_ACCEPTED_SET</x:v>
      </x:c>
    </x:row>
    <x:row r="111">
      <x:c r="A111" s="35" t="str">
        <x:v>B01-TRF-045-FAIL</x:v>
      </x:c>
      <x:c r="B111" s="38" t="str">
        <x:v>TRF-045</x:v>
      </x:c>
      <x:c r="C111" s="35" t="str">
        <x:v>FAIL</x:v>
      </x:c>
      <x:c r="D111" s="67" t="b">
        <x:v>0</x:v>
      </x:c>
      <x:c r="E111" s="54" t="n">
        <x:v>19</x:v>
      </x:c>
      <x:c r="F111" s="35" t="str">
        <x:v>4.4.2.1</x:v>
      </x:c>
      <x:c r="G111" s="35" t="str">
        <x:v>14.9% permitted, 15% not permitted, ordinary scantling use</x:v>
      </x:c>
      <x:c r="H111" s="35" t="str">
        <x:v>INPUTS/DEVELOPMENT_CALIBRATION/BATCH_01_FIRST_50/rdf_fixtures/TRF-045/trf-045_02_fail.ttl</x:v>
      </x:c>
      <x:c r="I111" s="35" t="str">
        <x:v>313d941f3ff1b987f8c3feaedd2618371865a53c628201bc4913dbff7a0bca6b</x:v>
      </x:c>
      <x:c r="J111" s="54" t="n">
        <x:v>13</x:v>
      </x:c>
      <x:c r="K111" s="35" t="str">
        <x:v>VOCAB-DEV-2026-08-13-BATCH01-R8.1-POSTCONFIRMATION</x:v>
      </x:c>
      <x:c r="L111" s="35" t="str">
        <x:v>YES</x:v>
      </x:c>
      <x:c r="M111" s="35" t="str">
        <x:v>NOT_IN_R7_ACCEPTED_SET</x:v>
      </x:c>
    </x:row>
    <x:row r="112">
      <x:c r="A112" s="35" t="str">
        <x:v>B01-TRF-045-BOUNDARY</x:v>
      </x:c>
      <x:c r="B112" s="38" t="str">
        <x:v>TRF-045</x:v>
      </x:c>
      <x:c r="C112" s="35" t="str">
        <x:v>BOUNDARY</x:v>
      </x:c>
      <x:c r="D112" s="67" t="b">
        <x:v>1</x:v>
      </x:c>
      <x:c r="E112" s="54" t="n">
        <x:v>19</x:v>
      </x:c>
      <x:c r="F112" s="35" t="str">
        <x:v>4.4.2.1</x:v>
      </x:c>
      <x:c r="G112" s="35" t="str">
        <x:v>14.9% permitted, 15% not permitted, ordinary scantling use</x:v>
      </x:c>
      <x:c r="H112" s="35" t="str">
        <x:v>INPUTS/DEVELOPMENT_CALIBRATION/BATCH_01_FIRST_50/rdf_fixtures/TRF-045/trf-045_03_boundary.ttl</x:v>
      </x:c>
      <x:c r="I112" s="35" t="str">
        <x:v>23c6514f475b7b5f6f9bff59ba6be36400d6c2e35894713797dbb2d328adc590</x:v>
      </x:c>
      <x:c r="J112" s="54" t="n">
        <x:v>13</x:v>
      </x:c>
      <x:c r="K112" s="35" t="str">
        <x:v>VOCAB-DEV-2026-08-13-BATCH01-R8.1-POSTCONFIRMATION</x:v>
      </x:c>
      <x:c r="L112" s="35" t="str">
        <x:v>YES</x:v>
      </x:c>
      <x:c r="M112" s="35" t="str">
        <x:v>NOT_IN_R7_ACCEPTED_SET</x:v>
      </x:c>
    </x:row>
    <x:row r="113">
      <x:c r="A113" s="35" t="str">
        <x:v>B01-TRF-046-PASS</x:v>
      </x:c>
      <x:c r="B113" s="38" t="str">
        <x:v>TRF-046</x:v>
      </x:c>
      <x:c r="C113" s="35" t="str">
        <x:v>PASS</x:v>
      </x:c>
      <x:c r="D113" s="67" t="b">
        <x:v>1</x:v>
      </x:c>
      <x:c r="E113" s="54" t="n">
        <x:v>19</x:v>
      </x:c>
      <x:c r="F113" s="35" t="str">
        <x:v>4.4.2.2</x:v>
      </x:c>
      <x:c r="G113" s="35" t="str">
        <x:v>direct attachment, permitted termination alternative, missing connection</x:v>
      </x:c>
      <x:c r="H113" s="35" t="str">
        <x:v>INPUTS/DEVELOPMENT_CALIBRATION/BATCH_01_FIRST_50/rdf_fixtures/TRF-046/trf-046_01_pass.ttl</x:v>
      </x:c>
      <x:c r="I113" s="35" t="str">
        <x:v>80757be279d78ac9c3b46ef3481318d509ae1c6b177ccb43b202f81445e0d02c</x:v>
      </x:c>
      <x:c r="J113" s="54" t="n">
        <x:v>35</x:v>
      </x:c>
      <x:c r="K113" s="35" t="str">
        <x:v>VOCAB-DEV-2026-08-13-BATCH01-R8.1-POSTCONFIRMATION</x:v>
      </x:c>
      <x:c r="L113" s="35" t="str">
        <x:v>YES</x:v>
      </x:c>
      <x:c r="M113" s="35" t="str">
        <x:v>EXPECTED_MATCH</x:v>
      </x:c>
    </x:row>
    <x:row r="114">
      <x:c r="A114" s="35" t="str">
        <x:v>B01-TRF-046-FAIL</x:v>
      </x:c>
      <x:c r="B114" s="38" t="str">
        <x:v>TRF-046</x:v>
      </x:c>
      <x:c r="C114" s="35" t="str">
        <x:v>FAIL</x:v>
      </x:c>
      <x:c r="D114" s="67" t="b">
        <x:v>0</x:v>
      </x:c>
      <x:c r="E114" s="54" t="n">
        <x:v>19</x:v>
      </x:c>
      <x:c r="F114" s="35" t="str">
        <x:v>4.4.2.2</x:v>
      </x:c>
      <x:c r="G114" s="35" t="str">
        <x:v>direct attachment, permitted termination alternative, missing connection</x:v>
      </x:c>
      <x:c r="H114" s="35" t="str">
        <x:v>INPUTS/DEVELOPMENT_CALIBRATION/BATCH_01_FIRST_50/rdf_fixtures/TRF-046/trf-046_02_fail.ttl</x:v>
      </x:c>
      <x:c r="I114" s="35" t="str">
        <x:v>b54218e8a68293f3dc558689f0b7d8bac4d105a323902e682e22ab3887d0d486</x:v>
      </x:c>
      <x:c r="J114" s="54" t="n">
        <x:v>33</x:v>
      </x:c>
      <x:c r="K114" s="35" t="str">
        <x:v>VOCAB-DEV-2026-08-13-BATCH01-R8.1-POSTCONFIRMATION</x:v>
      </x:c>
      <x:c r="L114" s="35" t="str">
        <x:v>YES</x:v>
      </x:c>
      <x:c r="M114" s="35" t="str">
        <x:v>EXPECTED_MATCH</x:v>
      </x:c>
    </x:row>
    <x:row r="115">
      <x:c r="A115" s="35" t="str">
        <x:v>B01-TRF-046-BOUNDARY</x:v>
      </x:c>
      <x:c r="B115" s="38" t="str">
        <x:v>TRF-046</x:v>
      </x:c>
      <x:c r="C115" s="35" t="str">
        <x:v>BOUNDARY</x:v>
      </x:c>
      <x:c r="D115" s="67" t="b">
        <x:v>1</x:v>
      </x:c>
      <x:c r="E115" s="54" t="n">
        <x:v>19</x:v>
      </x:c>
      <x:c r="F115" s="35" t="str">
        <x:v>4.4.2.2</x:v>
      </x:c>
      <x:c r="G115" s="35" t="str">
        <x:v>direct attachment, permitted termination alternative, missing connection</x:v>
      </x:c>
      <x:c r="H115" s="35" t="str">
        <x:v>INPUTS/DEVELOPMENT_CALIBRATION/BATCH_01_FIRST_50/rdf_fixtures/TRF-046/trf-046_03_boundary.ttl</x:v>
      </x:c>
      <x:c r="I115" s="35" t="str">
        <x:v>6e9ed2c25dd13d123c1eaf161d81d066e43c424c8e9fb186ace8e602102235bb</x:v>
      </x:c>
      <x:c r="J115" s="54" t="n">
        <x:v>35</x:v>
      </x:c>
      <x:c r="K115" s="35" t="str">
        <x:v>VOCAB-DEV-2026-08-13-BATCH01-R8.1-POSTCONFIRMATION</x:v>
      </x:c>
      <x:c r="L115" s="35" t="str">
        <x:v>YES</x:v>
      </x:c>
      <x:c r="M115" s="35" t="str">
        <x:v>EXPECTED_MATCH</x:v>
      </x:c>
    </x:row>
    <x:row r="116">
      <x:c r="A116" s="35" t="str">
        <x:v>B01-TRF-047-PASS</x:v>
      </x:c>
      <x:c r="B116" s="38" t="str">
        <x:v>TRF-047</x:v>
      </x:c>
      <x:c r="C116" s="35" t="str">
        <x:v>PASS</x:v>
      </x:c>
      <x:c r="D116" s="67" t="b">
        <x:v>1</x:v>
      </x:c>
      <x:c r="E116" s="54" t="n">
        <x:v>20</x:v>
      </x:c>
      <x:c r="F116" s="35" t="str">
        <x:v>4.4.2.3</x:v>
      </x:c>
      <x:c r="G116" s="35" t="str">
        <x:v>direct attachment, permitted lower alternative, missing strengthening</x:v>
      </x:c>
      <x:c r="H116" s="35" t="str">
        <x:v>INPUTS/DEVELOPMENT_CALIBRATION/BATCH_01_FIRST_50/rdf_fixtures/TRF-047/trf-047_01_pass.ttl</x:v>
      </x:c>
      <x:c r="I116" s="35" t="str">
        <x:v>6555de39e7b149f31ee31cbd45988e0d5f82135573aa56c39e5e9632d9fb3e71</x:v>
      </x:c>
      <x:c r="J116" s="54" t="n">
        <x:v>39</x:v>
      </x:c>
      <x:c r="K116" s="35" t="str">
        <x:v>VOCAB-DEV-2026-08-13-BATCH01-R8.1-POSTCONFIRMATION</x:v>
      </x:c>
      <x:c r="L116" s="35" t="str">
        <x:v>YES</x:v>
      </x:c>
      <x:c r="M116" s="35" t="str">
        <x:v>NOT_IN_R7_ACCEPTED_SET</x:v>
      </x:c>
    </x:row>
    <x:row r="117">
      <x:c r="A117" s="35" t="str">
        <x:v>B01-TRF-047-FAIL</x:v>
      </x:c>
      <x:c r="B117" s="38" t="str">
        <x:v>TRF-047</x:v>
      </x:c>
      <x:c r="C117" s="35" t="str">
        <x:v>FAIL</x:v>
      </x:c>
      <x:c r="D117" s="67" t="b">
        <x:v>0</x:v>
      </x:c>
      <x:c r="E117" s="54" t="n">
        <x:v>20</x:v>
      </x:c>
      <x:c r="F117" s="35" t="str">
        <x:v>4.4.2.3</x:v>
      </x:c>
      <x:c r="G117" s="35" t="str">
        <x:v>direct attachment, permitted lower alternative, missing strengthening</x:v>
      </x:c>
      <x:c r="H117" s="35" t="str">
        <x:v>INPUTS/DEVELOPMENT_CALIBRATION/BATCH_01_FIRST_50/rdf_fixtures/TRF-047/trf-047_02_fail.ttl</x:v>
      </x:c>
      <x:c r="I117" s="35" t="str">
        <x:v>a7a7920e9728add7c61d4af2b77954dfc440ce6b55f223710df802f38586532f</x:v>
      </x:c>
      <x:c r="J117" s="54" t="n">
        <x:v>37</x:v>
      </x:c>
      <x:c r="K117" s="35" t="str">
        <x:v>VOCAB-DEV-2026-08-13-BATCH01-R8.1-POSTCONFIRMATION</x:v>
      </x:c>
      <x:c r="L117" s="35" t="str">
        <x:v>YES</x:v>
      </x:c>
      <x:c r="M117" s="35" t="str">
        <x:v>NOT_IN_R7_ACCEPTED_SET</x:v>
      </x:c>
    </x:row>
    <x:row r="118">
      <x:c r="A118" s="35" t="str">
        <x:v>B01-TRF-047-BOUNDARY</x:v>
      </x:c>
      <x:c r="B118" s="38" t="str">
        <x:v>TRF-047</x:v>
      </x:c>
      <x:c r="C118" s="35" t="str">
        <x:v>BOUNDARY</x:v>
      </x:c>
      <x:c r="D118" s="67" t="b">
        <x:v>1</x:v>
      </x:c>
      <x:c r="E118" s="54" t="n">
        <x:v>20</x:v>
      </x:c>
      <x:c r="F118" s="35" t="str">
        <x:v>4.4.2.3</x:v>
      </x:c>
      <x:c r="G118" s="35" t="str">
        <x:v>direct attachment, permitted lower alternative, missing strengthening</x:v>
      </x:c>
      <x:c r="H118" s="35" t="str">
        <x:v>INPUTS/DEVELOPMENT_CALIBRATION/BATCH_01_FIRST_50/rdf_fixtures/TRF-047/trf-047_03_boundary.ttl</x:v>
      </x:c>
      <x:c r="I118" s="35" t="str">
        <x:v>16ca275e970f64aeef9043d7b20331b3b707953c07b9071b11701da1a71f6f5b</x:v>
      </x:c>
      <x:c r="J118" s="54" t="n">
        <x:v>39</x:v>
      </x:c>
      <x:c r="K118" s="35" t="str">
        <x:v>VOCAB-DEV-2026-08-13-BATCH01-R8.1-POSTCONFIRMATION</x:v>
      </x:c>
      <x:c r="L118" s="35" t="str">
        <x:v>YES</x:v>
      </x:c>
      <x:c r="M118" s="35" t="str">
        <x:v>NOT_IN_R7_ACCEPTED_SET</x:v>
      </x:c>
    </x:row>
    <x:row r="119">
      <x:c r="A119" s="35" t="str">
        <x:v>B01-TRF-048-PASS</x:v>
      </x:c>
      <x:c r="B119" s="38" t="str">
        <x:v>TRF-048</x:v>
      </x:c>
      <x:c r="C119" s="35" t="str">
        <x:v>PASS</x:v>
      </x:c>
      <x:c r="D119" s="67" t="b">
        <x:v>1</x:v>
      </x:c>
      <x:c r="E119" s="54" t="n">
        <x:v>20</x:v>
      </x:c>
      <x:c r="F119" s="35" t="str">
        <x:v>4.4.3</x:v>
      </x:c>
      <x:c r="G119" s="35" t="str">
        <x:v>m=13.3 default, smaller end-field m, bracket exclusion, low Z/A</x:v>
      </x:c>
      <x:c r="H119" s="35" t="str">
        <x:v>INPUTS/DEVELOPMENT_CALIBRATION/BATCH_01_FIRST_50/rdf_fixtures/TRF-048/trf-048_01_pass.ttl</x:v>
      </x:c>
      <x:c r="I119" s="35" t="str">
        <x:v>e808e0a6213f757580f465536fa33e8224aac3ff10aaeb78d2b3c921a940de2c</x:v>
      </x:c>
      <x:c r="J119" s="54" t="n">
        <x:v>57</x:v>
      </x:c>
      <x:c r="K119" s="35" t="str">
        <x:v>VOCAB-DEV-2026-08-13-BATCH01-R8.1-POSTCONFIRMATION</x:v>
      </x:c>
      <x:c r="L119" s="35" t="str">
        <x:v>YES</x:v>
      </x:c>
      <x:c r="M119" s="35" t="str">
        <x:v>NOT_IN_R7_ACCEPTED_SET</x:v>
      </x:c>
    </x:row>
    <x:row r="120">
      <x:c r="A120" s="35" t="str">
        <x:v>B01-TRF-048-FAIL</x:v>
      </x:c>
      <x:c r="B120" s="38" t="str">
        <x:v>TRF-048</x:v>
      </x:c>
      <x:c r="C120" s="35" t="str">
        <x:v>FAIL</x:v>
      </x:c>
      <x:c r="D120" s="67" t="b">
        <x:v>0</x:v>
      </x:c>
      <x:c r="E120" s="54" t="n">
        <x:v>20</x:v>
      </x:c>
      <x:c r="F120" s="35" t="str">
        <x:v>4.4.3</x:v>
      </x:c>
      <x:c r="G120" s="35" t="str">
        <x:v>m=13.3 default, smaller end-field m, bracket exclusion, low Z/A</x:v>
      </x:c>
      <x:c r="H120" s="35" t="str">
        <x:v>INPUTS/DEVELOPMENT_CALIBRATION/BATCH_01_FIRST_50/rdf_fixtures/TRF-048/trf-048_02_fail.ttl</x:v>
      </x:c>
      <x:c r="I120" s="35" t="str">
        <x:v>174cbf85ffb1a6ec07eef83f5afbb58875a68421e06bc633bdbc14301ffd42a9</x:v>
      </x:c>
      <x:c r="J120" s="54" t="n">
        <x:v>57</x:v>
      </x:c>
      <x:c r="K120" s="35" t="str">
        <x:v>VOCAB-DEV-2026-08-13-BATCH01-R8.1-POSTCONFIRMATION</x:v>
      </x:c>
      <x:c r="L120" s="35" t="str">
        <x:v>YES</x:v>
      </x:c>
      <x:c r="M120" s="35" t="str">
        <x:v>NOT_IN_R7_ACCEPTED_SET</x:v>
      </x:c>
    </x:row>
    <x:row r="121">
      <x:c r="A121" s="35" t="str">
        <x:v>B01-TRF-048-BOUNDARY</x:v>
      </x:c>
      <x:c r="B121" s="38" t="str">
        <x:v>TRF-048</x:v>
      </x:c>
      <x:c r="C121" s="35" t="str">
        <x:v>BOUNDARY</x:v>
      </x:c>
      <x:c r="D121" s="67" t="b">
        <x:v>1</x:v>
      </x:c>
      <x:c r="E121" s="54" t="n">
        <x:v>20</x:v>
      </x:c>
      <x:c r="F121" s="35" t="str">
        <x:v>4.4.3</x:v>
      </x:c>
      <x:c r="G121" s="35" t="str">
        <x:v>m=13.3 default, smaller end-field m, bracket exclusion, low Z/A</x:v>
      </x:c>
      <x:c r="H121" s="35" t="str">
        <x:v>INPUTS/DEVELOPMENT_CALIBRATION/BATCH_01_FIRST_50/rdf_fixtures/TRF-048/trf-048_03_boundary.ttl</x:v>
      </x:c>
      <x:c r="I121" s="35" t="str">
        <x:v>9e93e95517b2b4a6f65beba8de23532e959b3f8fba43d3102e8ce4214b8cfd2c</x:v>
      </x:c>
      <x:c r="J121" s="54" t="n">
        <x:v>57</x:v>
      </x:c>
      <x:c r="K121" s="35" t="str">
        <x:v>VOCAB-DEV-2026-08-13-BATCH01-R8.1-POSTCONFIRMATION</x:v>
      </x:c>
      <x:c r="L121" s="35" t="str">
        <x:v>YES</x:v>
      </x:c>
      <x:c r="M121" s="35" t="str">
        <x:v>NOT_IN_R7_ACCEPTED_SET</x:v>
      </x:c>
    </x:row>
    <x:row r="122">
      <x:c r="A122" s="35" t="str">
        <x:v>B01-TRF-049-PASS</x:v>
      </x:c>
      <x:c r="B122" s="38" t="str">
        <x:v>TRF-049</x:v>
      </x:c>
      <x:c r="C122" s="35" t="str">
        <x:v>PASS</x:v>
      </x:c>
      <x:c r="D122" s="67" t="b">
        <x:v>1</x:v>
      </x:c>
      <x:c r="E122" s="54" t="n">
        <x:v>21</x:v>
      </x:c>
      <x:c r="F122" s="35" t="str">
        <x:v>4.4.4.1</x:v>
      </x:c>
      <x:c r="G122" s="35" t="str">
        <x:v>longitudinal brackets, terminating frame bracket, through-frame two-sided connection, thin bracket</x:v>
      </x:c>
      <x:c r="H122" s="35" t="str">
        <x:v>INPUTS/DEVELOPMENT_CALIBRATION/BATCH_01_FIRST_50/rdf_fixtures/TRF-049/trf-049_01_pass.ttl</x:v>
      </x:c>
      <x:c r="I122" s="35" t="str">
        <x:v>4f6dad5d523ad402fa234f31847000d3c2aba40e25d18b84f96685d9b4ddd037</x:v>
      </x:c>
      <x:c r="J122" s="54" t="n">
        <x:v>38</x:v>
      </x:c>
      <x:c r="K122" s="35" t="str">
        <x:v>VOCAB-DEV-2026-08-13-BATCH01-R8.1-POSTCONFIRMATION</x:v>
      </x:c>
      <x:c r="L122" s="35" t="str">
        <x:v>YES</x:v>
      </x:c>
      <x:c r="M122" s="35" t="str">
        <x:v>EXPECTED_MATCH</x:v>
      </x:c>
    </x:row>
    <x:row r="123">
      <x:c r="A123" s="35" t="str">
        <x:v>B01-TRF-049-FAIL</x:v>
      </x:c>
      <x:c r="B123" s="38" t="str">
        <x:v>TRF-049</x:v>
      </x:c>
      <x:c r="C123" s="35" t="str">
        <x:v>FAIL</x:v>
      </x:c>
      <x:c r="D123" s="67" t="b">
        <x:v>0</x:v>
      </x:c>
      <x:c r="E123" s="54" t="n">
        <x:v>21</x:v>
      </x:c>
      <x:c r="F123" s="35" t="str">
        <x:v>4.4.4.1</x:v>
      </x:c>
      <x:c r="G123" s="35" t="str">
        <x:v>longitudinal brackets, terminating frame bracket, through-frame two-sided connection, thin bracket</x:v>
      </x:c>
      <x:c r="H123" s="35" t="str">
        <x:v>INPUTS/DEVELOPMENT_CALIBRATION/BATCH_01_FIRST_50/rdf_fixtures/TRF-049/trf-049_02_fail.ttl</x:v>
      </x:c>
      <x:c r="I123" s="35" t="str">
        <x:v>0b9c20950a59c7c81e1a77bc841721a7cccf884a1eb86b8248789f957d063631</x:v>
      </x:c>
      <x:c r="J123" s="54" t="n">
        <x:v>38</x:v>
      </x:c>
      <x:c r="K123" s="35" t="str">
        <x:v>VOCAB-DEV-2026-08-13-BATCH01-R8.1-POSTCONFIRMATION</x:v>
      </x:c>
      <x:c r="L123" s="35" t="str">
        <x:v>YES</x:v>
      </x:c>
      <x:c r="M123" s="35" t="str">
        <x:v>EXPECTED_MATCH</x:v>
      </x:c>
    </x:row>
    <x:row r="124">
      <x:c r="A124" s="35" t="str">
        <x:v>B01-TRF-049-BOUNDARY</x:v>
      </x:c>
      <x:c r="B124" s="38" t="str">
        <x:v>TRF-049</x:v>
      </x:c>
      <x:c r="C124" s="35" t="str">
        <x:v>BOUNDARY</x:v>
      </x:c>
      <x:c r="D124" s="67" t="b">
        <x:v>1</x:v>
      </x:c>
      <x:c r="E124" s="54" t="n">
        <x:v>21</x:v>
      </x:c>
      <x:c r="F124" s="35" t="str">
        <x:v>4.4.4.1</x:v>
      </x:c>
      <x:c r="G124" s="35" t="str">
        <x:v>longitudinal brackets, terminating frame bracket, through-frame two-sided connection, thin bracket</x:v>
      </x:c>
      <x:c r="H124" s="35" t="str">
        <x:v>INPUTS/DEVELOPMENT_CALIBRATION/BATCH_01_FIRST_50/rdf_fixtures/TRF-049/trf-049_03_boundary.ttl</x:v>
      </x:c>
      <x:c r="I124" s="35" t="str">
        <x:v>208d4b4d8d1b0286bd826aa09ef38ff268549ad03f29c3ae08caef2088b03657</x:v>
      </x:c>
      <x:c r="J124" s="54" t="n">
        <x:v>38</x:v>
      </x:c>
      <x:c r="K124" s="35" t="str">
        <x:v>VOCAB-DEV-2026-08-13-BATCH01-R8.1-POSTCONFIRMATION</x:v>
      </x:c>
      <x:c r="L124" s="35" t="str">
        <x:v>YES</x:v>
      </x:c>
      <x:c r="M124" s="35" t="str">
        <x:v>EXPECTED_MATCH</x:v>
      </x:c>
    </x:row>
    <x:row r="125">
      <x:c r="A125" s="35" t="str">
        <x:v>B01-TRF-050-PASS</x:v>
      </x:c>
      <x:c r="B125" s="38" t="str">
        <x:v>TRF-050</x:v>
      </x:c>
      <x:c r="C125" s="35" t="str">
        <x:v>PASS</x:v>
      </x:c>
      <x:c r="D125" s="67" t="b">
        <x:v>1</x:v>
      </x:c>
      <x:c r="E125" s="54" t="n">
        <x:v>21</x:v>
      </x:c>
      <x:c r="F125" s="35" t="str">
        <x:v>4.4.4.2</x:v>
      </x:c>
      <x:c r="G125" s="35" t="str">
        <x:v>double continuous pass, scallop without crossing fail, crossing exception</x:v>
      </x:c>
      <x:c r="H125" s="35" t="str">
        <x:v>INPUTS/DEVELOPMENT_CALIBRATION/BATCH_01_FIRST_50/rdf_fixtures/TRF-050/trf-050_01_pass.ttl</x:v>
      </x:c>
      <x:c r="I125" s="35" t="str">
        <x:v>00ec9cd718743964e913d573e118459d0cfbd3fd3e167ef69f33d80d9618c21c</x:v>
      </x:c>
      <x:c r="J125" s="54" t="n">
        <x:v>8</x:v>
      </x:c>
      <x:c r="K125" s="35" t="str">
        <x:v>VOCAB-DEV-2026-08-13-BATCH01-R8.1-POSTCONFIRMATION</x:v>
      </x:c>
      <x:c r="L125" s="35" t="str">
        <x:v>YES</x:v>
      </x:c>
      <x:c r="M125" s="35" t="str">
        <x:v>NOT_IN_R7_ACCEPTED_SET</x:v>
      </x:c>
    </x:row>
    <x:row r="126">
      <x:c r="A126" s="35" t="str">
        <x:v>B01-TRF-050-FAIL</x:v>
      </x:c>
      <x:c r="B126" s="38" t="str">
        <x:v>TRF-050</x:v>
      </x:c>
      <x:c r="C126" s="35" t="str">
        <x:v>FAIL</x:v>
      </x:c>
      <x:c r="D126" s="67" t="b">
        <x:v>0</x:v>
      </x:c>
      <x:c r="E126" s="54" t="n">
        <x:v>21</x:v>
      </x:c>
      <x:c r="F126" s="35" t="str">
        <x:v>4.4.4.2</x:v>
      </x:c>
      <x:c r="G126" s="35" t="str">
        <x:v>double continuous pass, scallop without crossing fail, crossing exception</x:v>
      </x:c>
      <x:c r="H126" s="35" t="str">
        <x:v>INPUTS/DEVELOPMENT_CALIBRATION/BATCH_01_FIRST_50/rdf_fixtures/TRF-050/trf-050_02_fail.ttl</x:v>
      </x:c>
      <x:c r="I126" s="35" t="str">
        <x:v>aace1520f8b87c07fdd04d126522db505aac4da0a63ef2480057f85d2e13e6b9</x:v>
      </x:c>
      <x:c r="J126" s="54" t="n">
        <x:v>8</x:v>
      </x:c>
      <x:c r="K126" s="35" t="str">
        <x:v>VOCAB-DEV-2026-08-13-BATCH01-R8.1-POSTCONFIRMATION</x:v>
      </x:c>
      <x:c r="L126" s="35" t="str">
        <x:v>YES</x:v>
      </x:c>
      <x:c r="M126" s="35" t="str">
        <x:v>NOT_IN_R7_ACCEPTED_SET</x:v>
      </x:c>
    </x:row>
    <x:row r="127">
      <x:c r="A127" s="35" t="str">
        <x:v>B01-TRF-050-BOUNDARY</x:v>
      </x:c>
      <x:c r="B127" s="38" t="str">
        <x:v>TRF-050</x:v>
      </x:c>
      <x:c r="C127" s="35" t="str">
        <x:v>BOUNDARY</x:v>
      </x:c>
      <x:c r="D127" s="67" t="b">
        <x:v>1</x:v>
      </x:c>
      <x:c r="E127" s="54" t="n">
        <x:v>21</x:v>
      </x:c>
      <x:c r="F127" s="35" t="str">
        <x:v>4.4.4.2</x:v>
      </x:c>
      <x:c r="G127" s="35" t="str">
        <x:v>double continuous pass, scallop without crossing fail, crossing exception</x:v>
      </x:c>
      <x:c r="H127" s="35" t="str">
        <x:v>INPUTS/DEVELOPMENT_CALIBRATION/BATCH_01_FIRST_50/rdf_fixtures/TRF-050/trf-050_03_boundary.ttl</x:v>
      </x:c>
      <x:c r="I127" s="35" t="str">
        <x:v>be3220689861323d043781c5e36d736676602790beaba64d52e86489e3f024d8</x:v>
      </x:c>
      <x:c r="J127" s="54" t="n">
        <x:v>8</x:v>
      </x:c>
      <x:c r="K127" s="35" t="str">
        <x:v>VOCAB-DEV-2026-08-13-BATCH01-R8.1-POSTCONFIRMATION</x:v>
      </x:c>
      <x:c r="L127" s="35" t="str">
        <x:v>YES</x:v>
      </x:c>
      <x:c r="M127" s="35" t="str">
        <x:v>NOT_IN_R7_ACCEPTED_SET</x:v>
      </x:c>
    </x:row>
    <x:row r="128">
      <x:c r="A128" s="35" t="str">
        <x:v>B01-TRF-051-PASS</x:v>
      </x:c>
      <x:c r="B128" s="38" t="str">
        <x:v>TRF-051</x:v>
      </x:c>
      <x:c r="C128" s="35" t="str">
        <x:v>PASS</x:v>
      </x:c>
      <x:c r="D128" s="67" t="b">
        <x:v>1</x:v>
      </x:c>
      <x:c r="E128" s="54" t="n">
        <x:v>21</x:v>
      </x:c>
      <x:c r="F128" s="35" t="str">
        <x:v>4.4.4.2</x:v>
      </x:c>
      <x:c r="G128" s="35" t="str">
        <x:v>profile/flat-bar C branches, 9-mm floor, half-net-shell floor</x:v>
      </x:c>
      <x:c r="H128" s="35" t="str">
        <x:v>INPUTS/DEVELOPMENT_CALIBRATION/BATCH_01_FIRST_50/rdf_fixtures/TRF-051/trf-051_01_pass.ttl</x:v>
      </x:c>
      <x:c r="I128" s="35" t="str">
        <x:v>8792ff61bd86e39a1088dc411281b32bb14f4dc389941ca9e8b6ea330af4cbbc</x:v>
      </x:c>
      <x:c r="J128" s="54" t="n">
        <x:v>32</x:v>
      </x:c>
      <x:c r="K128" s="35" t="str">
        <x:v>VOCAB-DEV-2026-08-13-BATCH01-R8.1-POSTCONFIRMATION</x:v>
      </x:c>
      <x:c r="L128" s="35" t="str">
        <x:v>YES</x:v>
      </x:c>
      <x:c r="M128" s="35" t="str">
        <x:v>NOT_IN_R7_ACCEPTED_SET</x:v>
      </x:c>
    </x:row>
    <x:row r="129">
      <x:c r="A129" s="35" t="str">
        <x:v>B01-TRF-051-FAIL</x:v>
      </x:c>
      <x:c r="B129" s="38" t="str">
        <x:v>TRF-051</x:v>
      </x:c>
      <x:c r="C129" s="35" t="str">
        <x:v>FAIL</x:v>
      </x:c>
      <x:c r="D129" s="67" t="b">
        <x:v>0</x:v>
      </x:c>
      <x:c r="E129" s="54" t="n">
        <x:v>21</x:v>
      </x:c>
      <x:c r="F129" s="35" t="str">
        <x:v>4.4.4.2</x:v>
      </x:c>
      <x:c r="G129" s="35" t="str">
        <x:v>profile/flat-bar C branches, 9-mm floor, half-net-shell floor</x:v>
      </x:c>
      <x:c r="H129" s="35" t="str">
        <x:v>INPUTS/DEVELOPMENT_CALIBRATION/BATCH_01_FIRST_50/rdf_fixtures/TRF-051/trf-051_02_fail.ttl</x:v>
      </x:c>
      <x:c r="I129" s="35" t="str">
        <x:v>1d1d4f517ae733ad844c7bd79520df0eaaf0ce9627b418a1be46397c2e6b8ad0</x:v>
      </x:c>
      <x:c r="J129" s="54" t="n">
        <x:v>32</x:v>
      </x:c>
      <x:c r="K129" s="35" t="str">
        <x:v>VOCAB-DEV-2026-08-13-BATCH01-R8.1-POSTCONFIRMATION</x:v>
      </x:c>
      <x:c r="L129" s="35" t="str">
        <x:v>YES</x:v>
      </x:c>
      <x:c r="M129" s="35" t="str">
        <x:v>NOT_IN_R7_ACCEPTED_SET</x:v>
      </x:c>
    </x:row>
    <x:row r="130">
      <x:c r="A130" s="35" t="str">
        <x:v>B01-TRF-051-BOUNDARY</x:v>
      </x:c>
      <x:c r="B130" s="38" t="str">
        <x:v>TRF-051</x:v>
      </x:c>
      <x:c r="C130" s="35" t="str">
        <x:v>BOUNDARY</x:v>
      </x:c>
      <x:c r="D130" s="67" t="b">
        <x:v>1</x:v>
      </x:c>
      <x:c r="E130" s="54" t="n">
        <x:v>21</x:v>
      </x:c>
      <x:c r="F130" s="35" t="str">
        <x:v>4.4.4.2</x:v>
      </x:c>
      <x:c r="G130" s="35" t="str">
        <x:v>profile/flat-bar C branches, 9-mm floor, half-net-shell floor</x:v>
      </x:c>
      <x:c r="H130" s="35" t="str">
        <x:v>INPUTS/DEVELOPMENT_CALIBRATION/BATCH_01_FIRST_50/rdf_fixtures/TRF-051/trf-051_03_boundary.ttl</x:v>
      </x:c>
      <x:c r="I130" s="35" t="str">
        <x:v>dd8b879d6194d4f1cc5b2ff26f31825c4b572dc6f07f8010e65962ad6c4d742e</x:v>
      </x:c>
      <x:c r="J130" s="54" t="n">
        <x:v>32</x:v>
      </x:c>
      <x:c r="K130" s="35" t="str">
        <x:v>VOCAB-DEV-2026-08-13-BATCH01-R8.1-POSTCONFIRMATION</x:v>
      </x:c>
      <x:c r="L130" s="35" t="str">
        <x:v>YES</x:v>
      </x:c>
      <x:c r="M130" s="35" t="str">
        <x:v>NOT_IN_R7_ACCEPTED_SET</x:v>
      </x:c>
    </x:row>
    <x:row r="131">
      <x:c r="A131" s="35" t="str">
        <x:v>B01-TRF-052-PASS</x:v>
      </x:c>
      <x:c r="B131" s="38" t="str">
        <x:v>TRF-052</x:v>
      </x:c>
      <x:c r="C131" s="35" t="str">
        <x:v>PASS</x:v>
      </x:c>
      <x:c r="D131" s="67" t="b">
        <x:v>1</x:v>
      </x:c>
      <x:c r="E131" s="54" t="n">
        <x:v>21</x:v>
      </x:c>
      <x:c r="F131" s="35" t="str">
        <x:v>4.4.4.2</x:v>
      </x:c>
      <x:c r="G131" s="35" t="str">
        <x:v>1300-mm boundary, &gt;4-m all regions, class/region matrix, equivalent alternative</x:v>
      </x:c>
      <x:c r="H131" s="35" t="str">
        <x:v>INPUTS/DEVELOPMENT_CALIBRATION/BATCH_01_FIRST_50/rdf_fixtures/TRF-052/trf-052_01_pass.ttl</x:v>
      </x:c>
      <x:c r="I131" s="35" t="str">
        <x:v>17777dbd841f70ef00c9afc3922d84fd4a62babc9715a8500a2a5fcbd7e50a43</x:v>
      </x:c>
      <x:c r="J131" s="54" t="n">
        <x:v>22</x:v>
      </x:c>
      <x:c r="K131" s="35" t="str">
        <x:v>VOCAB-DEV-2026-08-13-BATCH01-R8.1-POSTCONFIRMATION</x:v>
      </x:c>
      <x:c r="L131" s="35" t="str">
        <x:v>YES</x:v>
      </x:c>
      <x:c r="M131" s="35" t="str">
        <x:v>NOT_IN_R7_ACCEPTED_SET</x:v>
      </x:c>
    </x:row>
    <x:row r="132">
      <x:c r="A132" s="35" t="str">
        <x:v>B01-TRF-052-FAIL</x:v>
      </x:c>
      <x:c r="B132" s="38" t="str">
        <x:v>TRF-052</x:v>
      </x:c>
      <x:c r="C132" s="35" t="str">
        <x:v>FAIL</x:v>
      </x:c>
      <x:c r="D132" s="67" t="b">
        <x:v>0</x:v>
      </x:c>
      <x:c r="E132" s="54" t="n">
        <x:v>21</x:v>
      </x:c>
      <x:c r="F132" s="35" t="str">
        <x:v>4.4.4.2</x:v>
      </x:c>
      <x:c r="G132" s="35" t="str">
        <x:v>1300-mm boundary, &gt;4-m all regions, class/region matrix, equivalent alternative</x:v>
      </x:c>
      <x:c r="H132" s="35" t="str">
        <x:v>INPUTS/DEVELOPMENT_CALIBRATION/BATCH_01_FIRST_50/rdf_fixtures/TRF-052/trf-052_02_fail.ttl</x:v>
      </x:c>
      <x:c r="I132" s="35" t="str">
        <x:v>cf10ff84a70e937f96f65bdfb80b7177a9f8cdfb7ac48e735d35e36de645a238</x:v>
      </x:c>
      <x:c r="J132" s="54" t="n">
        <x:v>20</x:v>
      </x:c>
      <x:c r="K132" s="35" t="str">
        <x:v>VOCAB-DEV-2026-08-13-BATCH01-R8.1-POSTCONFIRMATION</x:v>
      </x:c>
      <x:c r="L132" s="35" t="str">
        <x:v>YES</x:v>
      </x:c>
      <x:c r="M132" s="35" t="str">
        <x:v>NOT_IN_R7_ACCEPTED_SET</x:v>
      </x:c>
    </x:row>
    <x:row r="133">
      <x:c r="A133" s="35" t="str">
        <x:v>B01-TRF-052-BOUNDARY</x:v>
      </x:c>
      <x:c r="B133" s="38" t="str">
        <x:v>TRF-052</x:v>
      </x:c>
      <x:c r="C133" s="35" t="str">
        <x:v>BOUNDARY</x:v>
      </x:c>
      <x:c r="D133" s="67" t="b">
        <x:v>1</x:v>
      </x:c>
      <x:c r="E133" s="54" t="n">
        <x:v>21</x:v>
      </x:c>
      <x:c r="F133" s="35" t="str">
        <x:v>4.4.4.2</x:v>
      </x:c>
      <x:c r="G133" s="35" t="str">
        <x:v>1300-mm boundary, &gt;4-m all regions, class/region matrix, equivalent alternative</x:v>
      </x:c>
      <x:c r="H133" s="35" t="str">
        <x:v>INPUTS/DEVELOPMENT_CALIBRATION/BATCH_01_FIRST_50/rdf_fixtures/TRF-052/trf-052_03_boundary.ttl</x:v>
      </x:c>
      <x:c r="I133" s="35" t="str">
        <x:v>961c199277d620ecc6b030327f3c1d5ffde4d1a223a971476dced9804601a2c5</x:v>
      </x:c>
      <x:c r="J133" s="54" t="n">
        <x:v>22</x:v>
      </x:c>
      <x:c r="K133" s="35" t="str">
        <x:v>VOCAB-DEV-2026-08-13-BATCH01-R8.1-POSTCONFIRMATION</x:v>
      </x:c>
      <x:c r="L133" s="35" t="str">
        <x:v>YES</x:v>
      </x:c>
      <x:c r="M133" s="35" t="str">
        <x:v>NOT_IN_R7_ACCEPTED_SET</x:v>
      </x:c>
    </x:row>
    <x:row r="134">
      <x:c r="A134" s="35" t="str">
        <x:v>B01-TRF-053-PASS</x:v>
      </x:c>
      <x:c r="B134" s="38" t="str">
        <x:v>TRF-053</x:v>
      </x:c>
      <x:c r="C134" s="35" t="str">
        <x:v>PASS</x:v>
      </x:c>
      <x:c r="D134" s="67" t="b">
        <x:v>1</x:v>
      </x:c>
      <x:c r="E134" s="54" t="str">
        <x:v>21-22</x:v>
      </x:c>
      <x:c r="F134" s="35" t="str">
        <x:v>4.5.1</x:v>
      </x:c>
      <x:c r="G134" s="35" t="str">
        <x:v>0.15-MN/m floor, exact Z/A, low Z/A</x:v>
      </x:c>
      <x:c r="H134" s="35" t="str">
        <x:v>INPUTS/DEVELOPMENT_CALIBRATION/BATCH_01_FIRST_50/rdf_fixtures/TRF-053/trf-053_01_pass.ttl</x:v>
      </x:c>
      <x:c r="I134" s="35" t="str">
        <x:v>210206cce231faa0ccf7b7d56252febe60b69388a1460a69bb152818e5324c70</x:v>
      </x:c>
      <x:c r="J134" s="54" t="n">
        <x:v>49</x:v>
      </x:c>
      <x:c r="K134" s="35" t="str">
        <x:v>VOCAB-DEV-2026-08-13-BATCH01-R8.1-POSTCONFIRMATION</x:v>
      </x:c>
      <x:c r="L134" s="35" t="str">
        <x:v>YES</x:v>
      </x:c>
      <x:c r="M134" s="35" t="str">
        <x:v>NOT_IN_R7_ACCEPTED_SET</x:v>
      </x:c>
    </x:row>
    <x:row r="135">
      <x:c r="A135" s="35" t="str">
        <x:v>B01-TRF-053-FAIL</x:v>
      </x:c>
      <x:c r="B135" s="38" t="str">
        <x:v>TRF-053</x:v>
      </x:c>
      <x:c r="C135" s="35" t="str">
        <x:v>FAIL</x:v>
      </x:c>
      <x:c r="D135" s="67" t="b">
        <x:v>0</x:v>
      </x:c>
      <x:c r="E135" s="54" t="str">
        <x:v>21-22</x:v>
      </x:c>
      <x:c r="F135" s="35" t="str">
        <x:v>4.5.1</x:v>
      </x:c>
      <x:c r="G135" s="35" t="str">
        <x:v>0.15-MN/m floor, exact Z/A, low Z/A</x:v>
      </x:c>
      <x:c r="H135" s="35" t="str">
        <x:v>INPUTS/DEVELOPMENT_CALIBRATION/BATCH_01_FIRST_50/rdf_fixtures/TRF-053/trf-053_02_fail.ttl</x:v>
      </x:c>
      <x:c r="I135" s="35" t="str">
        <x:v>38d6ab12dbf5263bacc900d96cb4ae7c7ac98fde79dbc6960c84622a1e263f49</x:v>
      </x:c>
      <x:c r="J135" s="54" t="n">
        <x:v>49</x:v>
      </x:c>
      <x:c r="K135" s="35" t="str">
        <x:v>VOCAB-DEV-2026-08-13-BATCH01-R8.1-POSTCONFIRMATION</x:v>
      </x:c>
      <x:c r="L135" s="35" t="str">
        <x:v>YES</x:v>
      </x:c>
      <x:c r="M135" s="35" t="str">
        <x:v>NOT_IN_R7_ACCEPTED_SET</x:v>
      </x:c>
    </x:row>
    <x:row r="136">
      <x:c r="A136" s="35" t="str">
        <x:v>B01-TRF-053-BOUNDARY</x:v>
      </x:c>
      <x:c r="B136" s="38" t="str">
        <x:v>TRF-053</x:v>
      </x:c>
      <x:c r="C136" s="35" t="str">
        <x:v>BOUNDARY</x:v>
      </x:c>
      <x:c r="D136" s="67" t="b">
        <x:v>1</x:v>
      </x:c>
      <x:c r="E136" s="54" t="str">
        <x:v>21-22</x:v>
      </x:c>
      <x:c r="F136" s="35" t="str">
        <x:v>4.5.1</x:v>
      </x:c>
      <x:c r="G136" s="35" t="str">
        <x:v>0.15-MN/m floor, exact Z/A, low Z/A</x:v>
      </x:c>
      <x:c r="H136" s="35" t="str">
        <x:v>INPUTS/DEVELOPMENT_CALIBRATION/BATCH_01_FIRST_50/rdf_fixtures/TRF-053/trf-053_03_boundary.ttl</x:v>
      </x:c>
      <x:c r="I136" s="35" t="str">
        <x:v>fba09ee86c657a0739cff85b626253d3a172e2fcfb96c50d9cf28619e59f523e</x:v>
      </x:c>
      <x:c r="J136" s="54" t="n">
        <x:v>49</x:v>
      </x:c>
      <x:c r="K136" s="35" t="str">
        <x:v>VOCAB-DEV-2026-08-13-BATCH01-R8.1-POSTCONFIRMATION</x:v>
      </x:c>
      <x:c r="L136" s="35" t="str">
        <x:v>YES</x:v>
      </x:c>
      <x:c r="M136" s="35" t="str">
        <x:v>NOT_IN_R7_ACCEPTED_SET</x:v>
      </x:c>
    </x:row>
    <x:row r="137">
      <x:c r="A137" s="35" t="str">
        <x:v>B01-TRF-054-PASS</x:v>
      </x:c>
      <x:c r="B137" s="38" t="str">
        <x:v>TRF-054</x:v>
      </x:c>
      <x:c r="C137" s="35" t="str">
        <x:v>PASS</x:v>
      </x:c>
      <x:c r="D137" s="67" t="b">
        <x:v>1</x:v>
      </x:c>
      <x:c r="E137" s="54" t="str">
        <x:v>22-23</x:v>
      </x:c>
      <x:c r="F137" s="35" t="str">
        <x:v>4.5.2</x:v>
      </x:c>
      <x:c r="G137" s="35" t="str">
        <x:v>inside/outside factor, hs=0, near ls boundary, low Z/A</x:v>
      </x:c>
      <x:c r="H137" s="35" t="str">
        <x:v>INPUTS/DEVELOPMENT_CALIBRATION/BATCH_01_FIRST_50/rdf_fixtures/TRF-054/trf-054_01_pass.ttl</x:v>
      </x:c>
      <x:c r="I137" s="35" t="str">
        <x:v>416578a006e67ecf56b9f76be8f81960667c49d2e192471dda06e19d86e35756</x:v>
      </x:c>
      <x:c r="J137" s="54" t="n">
        <x:v>66</x:v>
      </x:c>
      <x:c r="K137" s="35" t="str">
        <x:v>VOCAB-DEV-2026-08-13-BATCH01-R8.1-POSTCONFIRMATION</x:v>
      </x:c>
      <x:c r="L137" s="35" t="str">
        <x:v>YES</x:v>
      </x:c>
      <x:c r="M137" s="35" t="str">
        <x:v>NOT_IN_R7_ACCEPTED_SET</x:v>
      </x:c>
    </x:row>
    <x:row r="138">
      <x:c r="A138" s="35" t="str">
        <x:v>B01-TRF-054-FAIL</x:v>
      </x:c>
      <x:c r="B138" s="38" t="str">
        <x:v>TRF-054</x:v>
      </x:c>
      <x:c r="C138" s="35" t="str">
        <x:v>FAIL</x:v>
      </x:c>
      <x:c r="D138" s="67" t="b">
        <x:v>0</x:v>
      </x:c>
      <x:c r="E138" s="54" t="str">
        <x:v>22-23</x:v>
      </x:c>
      <x:c r="F138" s="35" t="str">
        <x:v>4.5.2</x:v>
      </x:c>
      <x:c r="G138" s="35" t="str">
        <x:v>inside/outside factor, hs=0, near ls boundary, low Z/A</x:v>
      </x:c>
      <x:c r="H138" s="35" t="str">
        <x:v>INPUTS/DEVELOPMENT_CALIBRATION/BATCH_01_FIRST_50/rdf_fixtures/TRF-054/trf-054_02_fail.ttl</x:v>
      </x:c>
      <x:c r="I138" s="35" t="str">
        <x:v>22d732d6138861cc374ed49753f3d64c692fb45a5b5932761643e8c108341bcb</x:v>
      </x:c>
      <x:c r="J138" s="54" t="n">
        <x:v>66</x:v>
      </x:c>
      <x:c r="K138" s="35" t="str">
        <x:v>VOCAB-DEV-2026-08-13-BATCH01-R8.1-POSTCONFIRMATION</x:v>
      </x:c>
      <x:c r="L138" s="35" t="str">
        <x:v>YES</x:v>
      </x:c>
      <x:c r="M138" s="35" t="str">
        <x:v>NOT_IN_R7_ACCEPTED_SET</x:v>
      </x:c>
    </x:row>
    <x:row r="139">
      <x:c r="A139" s="35" t="str">
        <x:v>B01-TRF-054-BOUNDARY</x:v>
      </x:c>
      <x:c r="B139" s="38" t="str">
        <x:v>TRF-054</x:v>
      </x:c>
      <x:c r="C139" s="35" t="str">
        <x:v>BOUNDARY</x:v>
      </x:c>
      <x:c r="D139" s="67" t="b">
        <x:v>1</x:v>
      </x:c>
      <x:c r="E139" s="54" t="str">
        <x:v>22-23</x:v>
      </x:c>
      <x:c r="F139" s="35" t="str">
        <x:v>4.5.2</x:v>
      </x:c>
      <x:c r="G139" s="35" t="str">
        <x:v>inside/outside factor, hs=0, near ls boundary, low Z/A</x:v>
      </x:c>
      <x:c r="H139" s="35" t="str">
        <x:v>INPUTS/DEVELOPMENT_CALIBRATION/BATCH_01_FIRST_50/rdf_fixtures/TRF-054/trf-054_03_boundary.ttl</x:v>
      </x:c>
      <x:c r="I139" s="35" t="str">
        <x:v>f5232b03552145f6ccfc688a7b08ec1eafa4fcdc91d2457095dfdae903d0d7ba</x:v>
      </x:c>
      <x:c r="J139" s="54" t="n">
        <x:v>66</x:v>
      </x:c>
      <x:c r="K139" s="35" t="str">
        <x:v>VOCAB-DEV-2026-08-13-BATCH01-R8.1-POSTCONFIRMATION</x:v>
      </x:c>
      <x:c r="L139" s="35" t="str">
        <x:v>YES</x:v>
      </x:c>
      <x:c r="M139" s="35" t="str">
        <x:v>NOT_IN_R7_ACCEPTED_SET</x:v>
      </x:c>
    </x:row>
    <x:row r="140">
      <x:c r="A140" s="35" t="str">
        <x:v>B01-TRF-055-PASS</x:v>
      </x:c>
      <x:c r="B140" s="38" t="str">
        <x:v>TRF-055</x:v>
      </x:c>
      <x:c r="C140" s="35" t="str">
        <x:v>PASS</x:v>
      </x:c>
      <x:c r="D140" s="67" t="b">
        <x:v>1</x:v>
      </x:c>
      <x:c r="E140" s="54" t="n">
        <x:v>23</x:v>
      </x:c>
      <x:c r="F140" s="35" t="str">
        <x:v>4.5.3</x:v>
      </x:c>
      <x:c r="G140" s="35" t="str">
        <x:v>normal 0.15 floor, approved 0.10, below 0.10 failure</x:v>
      </x:c>
      <x:c r="H140" s="35" t="str">
        <x:v>INPUTS/DEVELOPMENT_CALIBRATION/BATCH_01_FIRST_50/rdf_fixtures/TRF-055/trf-055_01_pass.ttl</x:v>
      </x:c>
      <x:c r="I140" s="35" t="str">
        <x:v>dbbe8a2982861c8a36016c4d62c917cf0fb66dde044cb6dd073d7ad1d2b4ba07</x:v>
      </x:c>
      <x:c r="J140" s="54" t="n">
        <x:v>45</x:v>
      </x:c>
      <x:c r="K140" s="35" t="str">
        <x:v>VOCAB-DEV-2026-08-13-BATCH01-R8.1-POSTCONFIRMATION</x:v>
      </x:c>
      <x:c r="L140" s="35" t="str">
        <x:v>YES</x:v>
      </x:c>
      <x:c r="M140" s="35" t="str">
        <x:v>NOT_IN_R7_ACCEPTED_SET</x:v>
      </x:c>
    </x:row>
    <x:row r="141">
      <x:c r="A141" s="35" t="str">
        <x:v>B01-TRF-055-FAIL</x:v>
      </x:c>
      <x:c r="B141" s="38" t="str">
        <x:v>TRF-055</x:v>
      </x:c>
      <x:c r="C141" s="35" t="str">
        <x:v>FAIL</x:v>
      </x:c>
      <x:c r="D141" s="67" t="b">
        <x:v>0</x:v>
      </x:c>
      <x:c r="E141" s="54" t="n">
        <x:v>23</x:v>
      </x:c>
      <x:c r="F141" s="35" t="str">
        <x:v>4.5.3</x:v>
      </x:c>
      <x:c r="G141" s="35" t="str">
        <x:v>normal 0.15 floor, approved 0.10, below 0.10 failure</x:v>
      </x:c>
      <x:c r="H141" s="35" t="str">
        <x:v>INPUTS/DEVELOPMENT_CALIBRATION/BATCH_01_FIRST_50/rdf_fixtures/TRF-055/trf-055_02_fail.ttl</x:v>
      </x:c>
      <x:c r="I141" s="35" t="str">
        <x:v>2deeba7d7c0e1c0f0269b3f1037346ba019c27e69e60243e30f58199c3bca41c</x:v>
      </x:c>
      <x:c r="J141" s="54" t="n">
        <x:v>45</x:v>
      </x:c>
      <x:c r="K141" s="35" t="str">
        <x:v>VOCAB-DEV-2026-08-13-BATCH01-R8.1-POSTCONFIRMATION</x:v>
      </x:c>
      <x:c r="L141" s="35" t="str">
        <x:v>YES</x:v>
      </x:c>
      <x:c r="M141" s="35" t="str">
        <x:v>NOT_IN_R7_ACCEPTED_SET</x:v>
      </x:c>
    </x:row>
    <x:row r="142">
      <x:c r="A142" s="35" t="str">
        <x:v>B01-TRF-055-BOUNDARY</x:v>
      </x:c>
      <x:c r="B142" s="38" t="str">
        <x:v>TRF-055</x:v>
      </x:c>
      <x:c r="C142" s="35" t="str">
        <x:v>BOUNDARY</x:v>
      </x:c>
      <x:c r="D142" s="67" t="b">
        <x:v>1</x:v>
      </x:c>
      <x:c r="E142" s="54" t="n">
        <x:v>23</x:v>
      </x:c>
      <x:c r="F142" s="35" t="str">
        <x:v>4.5.3</x:v>
      </x:c>
      <x:c r="G142" s="35" t="str">
        <x:v>normal 0.15 floor, approved 0.10, below 0.10 failure</x:v>
      </x:c>
      <x:c r="H142" s="35" t="str">
        <x:v>INPUTS/DEVELOPMENT_CALIBRATION/BATCH_01_FIRST_50/rdf_fixtures/TRF-055/trf-055_03_boundary.ttl</x:v>
      </x:c>
      <x:c r="I142" s="35" t="str">
        <x:v>4e4fe4e612edfc0587d0fcca5b94aac6f810488734d1e9c672739eacc4537f9c</x:v>
      </x:c>
      <x:c r="J142" s="54" t="n">
        <x:v>45</x:v>
      </x:c>
      <x:c r="K142" s="35" t="str">
        <x:v>VOCAB-DEV-2026-08-13-BATCH01-R8.1-POSTCONFIRMATION</x:v>
      </x:c>
      <x:c r="L142" s="35" t="str">
        <x:v>YES</x:v>
      </x:c>
      <x:c r="M142" s="35" t="str">
        <x:v>NOT_IN_R7_ACCEPTED_SET</x:v>
      </x:c>
    </x:row>
    <x:row r="143">
      <x:c r="A143" s="35" t="str">
        <x:v>B01-TRF-056-PASS</x:v>
      </x:c>
      <x:c r="B143" s="38" t="str">
        <x:v>TRF-056</x:v>
      </x:c>
      <x:c r="C143" s="35" t="str">
        <x:v>PASS</x:v>
      </x:c>
      <x:c r="D143" s="67" t="b">
        <x:v>1</x:v>
      </x:c>
      <x:c r="E143" s="54" t="n">
        <x:v>23</x:v>
      </x:c>
      <x:c r="F143" s="35" t="str">
        <x:v>4.5.3</x:v>
      </x:c>
      <x:c r="G143" s="35" t="str">
        <x:v>hatch &lt;=B/2 non-applicable, &gt;B/2 with evidence pass, missing evidence fail</x:v>
      </x:c>
      <x:c r="H143" s="35" t="str">
        <x:v>INPUTS/DEVELOPMENT_CALIBRATION/BATCH_01_FIRST_50/rdf_fixtures/TRF-056/trf-056_01_pass.ttl</x:v>
      </x:c>
      <x:c r="I143" s="35" t="str">
        <x:v>f2db6c55ef3d021e8a551616529a7585b45f9e679c2c3b596d4a9f9076b809c9</x:v>
      </x:c>
      <x:c r="J143" s="54" t="n">
        <x:v>28</x:v>
      </x:c>
      <x:c r="K143" s="35" t="str">
        <x:v>VOCAB-DEV-2026-08-13-BATCH01-R8.1-POSTCONFIRMATION</x:v>
      </x:c>
      <x:c r="L143" s="35" t="str">
        <x:v>YES</x:v>
      </x:c>
      <x:c r="M143" s="35" t="str">
        <x:v>NOT_IN_R7_ACCEPTED_SET</x:v>
      </x:c>
    </x:row>
    <x:row r="144">
      <x:c r="A144" s="35" t="str">
        <x:v>B01-TRF-056-FAIL</x:v>
      </x:c>
      <x:c r="B144" s="38" t="str">
        <x:v>TRF-056</x:v>
      </x:c>
      <x:c r="C144" s="35" t="str">
        <x:v>FAIL</x:v>
      </x:c>
      <x:c r="D144" s="67" t="b">
        <x:v>0</x:v>
      </x:c>
      <x:c r="E144" s="54" t="n">
        <x:v>23</x:v>
      </x:c>
      <x:c r="F144" s="35" t="str">
        <x:v>4.5.3</x:v>
      </x:c>
      <x:c r="G144" s="35" t="str">
        <x:v>hatch &lt;=B/2 non-applicable, &gt;B/2 with evidence pass, missing evidence fail</x:v>
      </x:c>
      <x:c r="H144" s="35" t="str">
        <x:v>INPUTS/DEVELOPMENT_CALIBRATION/BATCH_01_FIRST_50/rdf_fixtures/TRF-056/trf-056_02_fail.ttl</x:v>
      </x:c>
      <x:c r="I144" s="35" t="str">
        <x:v>a361871895217ba568fda304102bbdac3873e51d7bd91c7257ac963a48de24a4</x:v>
      </x:c>
      <x:c r="J144" s="54" t="n">
        <x:v>22</x:v>
      </x:c>
      <x:c r="K144" s="35" t="str">
        <x:v>VOCAB-DEV-2026-08-13-BATCH01-R8.1-POSTCONFIRMATION</x:v>
      </x:c>
      <x:c r="L144" s="35" t="str">
        <x:v>YES</x:v>
      </x:c>
      <x:c r="M144" s="35" t="str">
        <x:v>NOT_IN_R7_ACCEPTED_SET</x:v>
      </x:c>
    </x:row>
    <x:row r="145">
      <x:c r="A145" s="35" t="str">
        <x:v>B01-TRF-056-BOUNDARY</x:v>
      </x:c>
      <x:c r="B145" s="38" t="str">
        <x:v>TRF-056</x:v>
      </x:c>
      <x:c r="C145" s="35" t="str">
        <x:v>BOUNDARY</x:v>
      </x:c>
      <x:c r="D145" s="67" t="b">
        <x:v>1</x:v>
      </x:c>
      <x:c r="E145" s="54" t="n">
        <x:v>23</x:v>
      </x:c>
      <x:c r="F145" s="35" t="str">
        <x:v>4.5.3</x:v>
      </x:c>
      <x:c r="G145" s="35" t="str">
        <x:v>hatch &lt;=B/2 non-applicable, &gt;B/2 with evidence pass, missing evidence fail</x:v>
      </x:c>
      <x:c r="H145" s="35" t="str">
        <x:v>INPUTS/DEVELOPMENT_CALIBRATION/BATCH_01_FIRST_50/rdf_fixtures/TRF-056/trf-056_03_boundary.ttl</x:v>
      </x:c>
      <x:c r="I145" s="35" t="str">
        <x:v>42bf4a5caca4f59b846412aa62ce75a8af36c206f80d4a159ff16dcb9a6a4a32</x:v>
      </x:c>
      <x:c r="J145" s="54" t="n">
        <x:v>28</x:v>
      </x:c>
      <x:c r="K145" s="35" t="str">
        <x:v>VOCAB-DEV-2026-08-13-BATCH01-R8.1-POSTCONFIRMATION</x:v>
      </x:c>
      <x:c r="L145" s="35" t="str">
        <x:v>YES</x:v>
      </x:c>
      <x:c r="M145" s="35" t="str">
        <x:v>NOT_IN_R7_ACCEPTED_SET</x:v>
      </x:c>
    </x:row>
    <x:row r="146">
      <x:c r="A146" s="35" t="str">
        <x:v>B01-TRF-057-PASS</x:v>
      </x:c>
      <x:c r="B146" s="38" t="str">
        <x:v>TRF-057</x:v>
      </x:c>
      <x:c r="C146" s="35" t="str">
        <x:v>PASS</x:v>
      </x:c>
      <x:c r="D146" s="67" t="b">
        <x:v>1</x:v>
      </x:c>
      <x:c r="E146" s="54" t="n">
        <x:v>23</x:v>
      </x:c>
      <x:c r="F146" s="35" t="str">
        <x:v>4.6.1</x:v>
      </x:c>
      <x:c r="G146" s="35" t="str">
        <x:v>both load sources, floor active/inactive, exact F, wrong la</x:v>
      </x:c>
      <x:c r="H146" s="35" t="str">
        <x:v>INPUTS/DEVELOPMENT_CALIBRATION/BATCH_01_FIRST_50/rdf_fixtures/TRF-057/trf-057_01_pass.ttl</x:v>
      </x:c>
      <x:c r="I146" s="35" t="str">
        <x:v>d26511ea2b3a15d3b75e9aaeb7a1382bcc173c433a961bb6fc6cff5ea9382d21</x:v>
      </x:c>
      <x:c r="J146" s="54" t="n">
        <x:v>33</x:v>
      </x:c>
      <x:c r="K146" s="35" t="str">
        <x:v>VOCAB-DEV-2026-08-13-BATCH01-R8.1-POSTCONFIRMATION</x:v>
      </x:c>
      <x:c r="L146" s="35" t="str">
        <x:v>YES</x:v>
      </x:c>
      <x:c r="M146" s="35" t="str">
        <x:v>NOT_IN_R7_ACCEPTED_SET</x:v>
      </x:c>
    </x:row>
    <x:row r="147">
      <x:c r="A147" s="35" t="str">
        <x:v>B01-TRF-057-FAIL</x:v>
      </x:c>
      <x:c r="B147" s="38" t="str">
        <x:v>TRF-057</x:v>
      </x:c>
      <x:c r="C147" s="35" t="str">
        <x:v>FAIL</x:v>
      </x:c>
      <x:c r="D147" s="67" t="b">
        <x:v>0</x:v>
      </x:c>
      <x:c r="E147" s="54" t="n">
        <x:v>23</x:v>
      </x:c>
      <x:c r="F147" s="35" t="str">
        <x:v>4.6.1</x:v>
      </x:c>
      <x:c r="G147" s="35" t="str">
        <x:v>both load sources, floor active/inactive, exact F, wrong la</x:v>
      </x:c>
      <x:c r="H147" s="35" t="str">
        <x:v>INPUTS/DEVELOPMENT_CALIBRATION/BATCH_01_FIRST_50/rdf_fixtures/TRF-057/trf-057_02_fail.ttl</x:v>
      </x:c>
      <x:c r="I147" s="35" t="str">
        <x:v>60f8d958cc3bf24f1429686725025bca411eca2e17992631b7a45392609d516d</x:v>
      </x:c>
      <x:c r="J147" s="54" t="n">
        <x:v>33</x:v>
      </x:c>
      <x:c r="K147" s="35" t="str">
        <x:v>VOCAB-DEV-2026-08-13-BATCH01-R8.1-POSTCONFIRMATION</x:v>
      </x:c>
      <x:c r="L147" s="35" t="str">
        <x:v>YES</x:v>
      </x:c>
      <x:c r="M147" s="35" t="str">
        <x:v>NOT_IN_R7_ACCEPTED_SET</x:v>
      </x:c>
    </x:row>
    <x:row r="148">
      <x:c r="A148" s="35" t="str">
        <x:v>B01-TRF-057-BOUNDARY</x:v>
      </x:c>
      <x:c r="B148" s="38" t="str">
        <x:v>TRF-057</x:v>
      </x:c>
      <x:c r="C148" s="35" t="str">
        <x:v>BOUNDARY</x:v>
      </x:c>
      <x:c r="D148" s="67" t="b">
        <x:v>1</x:v>
      </x:c>
      <x:c r="E148" s="54" t="n">
        <x:v>23</x:v>
      </x:c>
      <x:c r="F148" s="35" t="str">
        <x:v>4.6.1</x:v>
      </x:c>
      <x:c r="G148" s="35" t="str">
        <x:v>both load sources, floor active/inactive, exact F, wrong la</x:v>
      </x:c>
      <x:c r="H148" s="35" t="str">
        <x:v>INPUTS/DEVELOPMENT_CALIBRATION/BATCH_01_FIRST_50/rdf_fixtures/TRF-057/trf-057_03_boundary.ttl</x:v>
      </x:c>
      <x:c r="I148" s="35" t="str">
        <x:v>d071624ff35adc61ab0a54664767705ffcc7cc9c1103b3be69272f0346fc2138</x:v>
      </x:c>
      <x:c r="J148" s="54" t="n">
        <x:v>33</x:v>
      </x:c>
      <x:c r="K148" s="35" t="str">
        <x:v>VOCAB-DEV-2026-08-13-BATCH01-R8.1-POSTCONFIRMATION</x:v>
      </x:c>
      <x:c r="L148" s="35" t="str">
        <x:v>YES</x:v>
      </x:c>
      <x:c r="M148" s="35" t="str">
        <x:v>NOT_IN_R7_ACCEPTED_SET</x:v>
      </x:c>
    </x:row>
    <x:row r="149">
      <x:c r="A149" s="35" t="str">
        <x:v>B01-TRF-058-PASS</x:v>
      </x:c>
      <x:c r="B149" s="38" t="str">
        <x:v>TRF-058</x:v>
      </x:c>
      <x:c r="C149" s="35" t="str">
        <x:v>PASS</x:v>
      </x:c>
      <x:c r="D149" s="67" t="b">
        <x:v>1</x:v>
      </x:c>
      <x:c r="E149" s="54" t="n">
        <x:v>23</x:v>
      </x:c>
      <x:c r="F149" s="35" t="str">
        <x:v>4.6.1</x:v>
      </x:c>
      <x:c r="G149" s="35" t="str">
        <x:v>inside belt unchanged, outside factor, hs/ls boundary</x:v>
      </x:c>
      <x:c r="H149" s="35" t="str">
        <x:v>INPUTS/DEVELOPMENT_CALIBRATION/BATCH_01_FIRST_50/rdf_fixtures/TRF-058/trf-058_01_pass.ttl</x:v>
      </x:c>
      <x:c r="I149" s="35" t="str">
        <x:v>d6112b588daab03607069d4f8ee4344e390832122f34f641eae8044639f7106a</x:v>
      </x:c>
      <x:c r="J149" s="54" t="n">
        <x:v>21</x:v>
      </x:c>
      <x:c r="K149" s="35" t="str">
        <x:v>VOCAB-DEV-2026-08-13-BATCH01-R8.1-POSTCONFIRMATION</x:v>
      </x:c>
      <x:c r="L149" s="35" t="str">
        <x:v>YES</x:v>
      </x:c>
      <x:c r="M149" s="35" t="str">
        <x:v>NOT_IN_R7_ACCEPTED_SET</x:v>
      </x:c>
    </x:row>
    <x:row r="150">
      <x:c r="A150" s="35" t="str">
        <x:v>B01-TRF-058-FAIL</x:v>
      </x:c>
      <x:c r="B150" s="38" t="str">
        <x:v>TRF-058</x:v>
      </x:c>
      <x:c r="C150" s="35" t="str">
        <x:v>FAIL</x:v>
      </x:c>
      <x:c r="D150" s="67" t="b">
        <x:v>0</x:v>
      </x:c>
      <x:c r="E150" s="54" t="n">
        <x:v>23</x:v>
      </x:c>
      <x:c r="F150" s="35" t="str">
        <x:v>4.6.1</x:v>
      </x:c>
      <x:c r="G150" s="35" t="str">
        <x:v>inside belt unchanged, outside factor, hs/ls boundary</x:v>
      </x:c>
      <x:c r="H150" s="35" t="str">
        <x:v>INPUTS/DEVELOPMENT_CALIBRATION/BATCH_01_FIRST_50/rdf_fixtures/TRF-058/trf-058_02_fail.ttl</x:v>
      </x:c>
      <x:c r="I150" s="35" t="str">
        <x:v>594edee7d81917553e8d0c68e3cbc5f35956122a5f426ac37737910cdd24ee3c</x:v>
      </x:c>
      <x:c r="J150" s="54" t="n">
        <x:v>21</x:v>
      </x:c>
      <x:c r="K150" s="35" t="str">
        <x:v>VOCAB-DEV-2026-08-13-BATCH01-R8.1-POSTCONFIRMATION</x:v>
      </x:c>
      <x:c r="L150" s="35" t="str">
        <x:v>YES</x:v>
      </x:c>
      <x:c r="M150" s="35" t="str">
        <x:v>NOT_IN_R7_ACCEPTED_SET</x:v>
      </x:c>
    </x:row>
    <x:row r="151">
      <x:c r="A151" s="35" t="str">
        <x:v>B01-TRF-058-BOUNDARY</x:v>
      </x:c>
      <x:c r="B151" s="38" t="str">
        <x:v>TRF-058</x:v>
      </x:c>
      <x:c r="C151" s="35" t="str">
        <x:v>BOUNDARY</x:v>
      </x:c>
      <x:c r="D151" s="67" t="b">
        <x:v>1</x:v>
      </x:c>
      <x:c r="E151" s="54" t="n">
        <x:v>23</x:v>
      </x:c>
      <x:c r="F151" s="35" t="str">
        <x:v>4.6.1</x:v>
      </x:c>
      <x:c r="G151" s="35" t="str">
        <x:v>inside belt unchanged, outside factor, hs/ls boundary</x:v>
      </x:c>
      <x:c r="H151" s="35" t="str">
        <x:v>INPUTS/DEVELOPMENT_CALIBRATION/BATCH_01_FIRST_50/rdf_fixtures/TRF-058/trf-058_03_boundary.ttl</x:v>
      </x:c>
      <x:c r="I151" s="35" t="str">
        <x:v>551aacf87c8bdc2d7a194f7571ee99c1e9193939ae854d154e3b94fa332b356b</x:v>
      </x:c>
      <x:c r="J151" s="54" t="n">
        <x:v>21</x:v>
      </x:c>
      <x:c r="K151" s="35" t="str">
        <x:v>VOCAB-DEV-2026-08-13-BATCH01-R8.1-POSTCONFIRMATION</x:v>
      </x:c>
      <x:c r="L151" s="35" t="str">
        <x:v>YES</x:v>
      </x:c>
      <x:c r="M151" s="35" t="str">
        <x:v>NOT_IN_R7_ACCEPTED_SET</x:v>
      </x:c>
    </x:row>
    <x:row r="152">
      <x:c r="A152" s="35" t="str">
        <x:v>B01-TRF-059-PASS</x:v>
      </x:c>
      <x:c r="B152" s="38" t="str">
        <x:v>TRF-059</x:v>
      </x:c>
      <x:c r="C152" s="35" t="str">
        <x:v>PASS</x:v>
      </x:c>
      <x:c r="D152" s="67" t="b">
        <x:v>1</x:v>
      </x:c>
      <x:c r="E152" s="54" t="n">
        <x:v>23</x:v>
      </x:c>
      <x:c r="F152" s="35" t="str">
        <x:v>4.6.2</x:v>
      </x:c>
      <x:c r="G152" s="35" t="str">
        <x:v>alpha table rows, exact A, low A</x:v>
      </x:c>
      <x:c r="H152" s="35" t="str">
        <x:v>INPUTS/DEVELOPMENT_CALIBRATION/BATCH_01_FIRST_50/rdf_fixtures/TRF-059/trf-059_01_pass.ttl</x:v>
      </x:c>
      <x:c r="I152" s="35" t="str">
        <x:v>32c0e0d4193c283db4a749d922fd7c48f7fb4ec15ed3c0db6194b6ae6eba8b18</x:v>
      </x:c>
      <x:c r="J152" s="54" t="n">
        <x:v>40</x:v>
      </x:c>
      <x:c r="K152" s="35" t="str">
        <x:v>VOCAB-DEV-2026-08-13-BATCH01-R8.1-POSTCONFIRMATION</x:v>
      </x:c>
      <x:c r="L152" s="35" t="str">
        <x:v>YES</x:v>
      </x:c>
      <x:c r="M152" s="35" t="str">
        <x:v>NOT_IN_R7_ACCEPTED_SET</x:v>
      </x:c>
    </x:row>
    <x:row r="153">
      <x:c r="A153" s="35" t="str">
        <x:v>B01-TRF-059-FAIL</x:v>
      </x:c>
      <x:c r="B153" s="38" t="str">
        <x:v>TRF-059</x:v>
      </x:c>
      <x:c r="C153" s="35" t="str">
        <x:v>FAIL</x:v>
      </x:c>
      <x:c r="D153" s="67" t="b">
        <x:v>0</x:v>
      </x:c>
      <x:c r="E153" s="54" t="n">
        <x:v>23</x:v>
      </x:c>
      <x:c r="F153" s="35" t="str">
        <x:v>4.6.2</x:v>
      </x:c>
      <x:c r="G153" s="35" t="str">
        <x:v>alpha table rows, exact A, low A</x:v>
      </x:c>
      <x:c r="H153" s="35" t="str">
        <x:v>INPUTS/DEVELOPMENT_CALIBRATION/BATCH_01_FIRST_50/rdf_fixtures/TRF-059/trf-059_02_fail.ttl</x:v>
      </x:c>
      <x:c r="I153" s="35" t="str">
        <x:v>b9f9e1e719fe803702edf75ec2fb40862cc81c26ef62ad0b7a5917688bb3fbe2</x:v>
      </x:c>
      <x:c r="J153" s="54" t="n">
        <x:v>40</x:v>
      </x:c>
      <x:c r="K153" s="35" t="str">
        <x:v>VOCAB-DEV-2026-08-13-BATCH01-R8.1-POSTCONFIRMATION</x:v>
      </x:c>
      <x:c r="L153" s="35" t="str">
        <x:v>YES</x:v>
      </x:c>
      <x:c r="M153" s="35" t="str">
        <x:v>NOT_IN_R7_ACCEPTED_SET</x:v>
      </x:c>
    </x:row>
    <x:row r="154">
      <x:c r="A154" s="36" t="str">
        <x:v>B01-TRF-059-BOUNDARY</x:v>
      </x:c>
      <x:c r="B154" s="57" t="str">
        <x:v>TRF-059</x:v>
      </x:c>
      <x:c r="C154" s="36" t="str">
        <x:v>BOUNDARY</x:v>
      </x:c>
      <x:c r="D154" s="68" t="b">
        <x:v>1</x:v>
      </x:c>
      <x:c r="E154" s="56" t="n">
        <x:v>23</x:v>
      </x:c>
      <x:c r="F154" s="36" t="str">
        <x:v>4.6.2</x:v>
      </x:c>
      <x:c r="G154" s="36" t="str">
        <x:v>alpha table rows, exact A, low A</x:v>
      </x:c>
      <x:c r="H154" s="36" t="str">
        <x:v>INPUTS/DEVELOPMENT_CALIBRATION/BATCH_01_FIRST_50/rdf_fixtures/TRF-059/trf-059_03_boundary.ttl</x:v>
      </x:c>
      <x:c r="I154" s="36" t="str">
        <x:v>ff1fcc6515eb5af0eae5894ddd0bcf142336919bfed0f23d195e27d2d1e163a8</x:v>
      </x:c>
      <x:c r="J154" s="56" t="n">
        <x:v>40</x:v>
      </x:c>
      <x:c r="K154" s="36" t="str">
        <x:v>VOCAB-DEV-2026-08-13-BATCH01-R8.1-POSTCONFIRMATION</x:v>
      </x:c>
      <x:c r="L154" s="36" t="str">
        <x:v>YES</x:v>
      </x:c>
      <x:c r="M154" s="36" t="str">
        <x:v>NOT_IN_R7_ACCEPTED_SET</x:v>
      </x:c>
    </x:row>
  </x:sheetData>
  <x:conditionalFormatting sqref="M5:M154">
    <x:cfRule type="containsText" dxfId="30" priority="1" operator="containsText" text="READY"/>
    <x:cfRule type="containsText" dxfId="31" priority="2" operator="containsText" text="COMPLETE"/>
    <x:cfRule type="containsText" dxfId="32" priority="3" operator="containsText" text="NEW"/>
    <x:cfRule type="containsText" dxfId="33" priority="4" operator="containsText" text="REMODEL"/>
    <x:cfRule type="containsText" dxfId="34" priority="5" operator="containsText" text="UNIT"/>
  </x:conditionalFormatting>
  <x:pageMargins left="0.7" right="0.7" top="0.75" bottom="0.75" header="0.3" footer="0.3"/>
  <x:tableParts count="1">
    <x:tablePart xmlns:r="http://schemas.openxmlformats.org/officeDocument/2006/relationships" r:id="Re9cb5afc5b3f4c6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8" hidden="0" customWidth="1"/>
    <x:col min="2" max="2" width="48" hidden="0" customWidth="1"/>
    <x:col min="3" max="3" width="28" hidden="0" customWidth="1"/>
    <x:col min="4" max="4" width="18" hidden="0" customWidth="1"/>
    <x:col min="5" max="5" width="18" hidden="0" customWidth="1"/>
    <x:col min="6" max="6" width="18" hidden="0" customWidth="1"/>
    <x:col min="7" max="7" width="18" hidden="0" customWidth="1"/>
    <x:col min="8" max="8" width="18" hidden="0" customWidth="1"/>
    <x:col min="9" max="9" width="34" hidden="0" customWidth="1"/>
    <x:col min="10" max="10" width="90" hidden="0" customWidth="1"/>
  </x:cols>
  <x:sheetData>
    <x:row r="1">
      <x:c r="A1" s="11" t="str">
        <x:v>NLTL Development Calibration - Batch 01</x:v>
      </x:c>
      <x:c r="B1" s="12"/>
      <x:c r="C1" s="12"/>
      <x:c r="D1" s="12"/>
      <x:c r="E1" s="12"/>
      <x:c r="F1" s="12"/>
      <x:c r="G1" s="12"/>
      <x:c r="H1" s="12"/>
      <x:c r="I1" s="12"/>
      <x:c r="J1" s="12"/>
    </x:row>
    <x:row r="2">
      <x:c r="A2" s="13" t="str">
        <x:v>CALIBRATION_ANALYSIS | DEV-CAL-BATCH-01-FIRST-50 | vocabulary is not frozen</x:v>
      </x:c>
      <x:c r="B2" s="13"/>
      <x:c r="C2" s="13"/>
      <x:c r="D2" s="13"/>
      <x:c r="E2" s="13"/>
      <x:c r="F2" s="13"/>
      <x:c r="G2" s="13"/>
      <x:c r="H2" s="13"/>
      <x:c r="I2" s="13"/>
      <x:c r="J2" s="13"/>
    </x:row>
    <x:row r="3">
      <x:c r="A3" s="14"/>
      <x:c r="B3" s="14"/>
      <x:c r="C3" s="14"/>
      <x:c r="D3" s="14"/>
      <x:c r="E3" s="14"/>
      <x:c r="F3" s="14"/>
      <x:c r="G3" s="14"/>
      <x:c r="H3" s="14"/>
      <x:c r="I3" s="14"/>
      <x:c r="J3" s="14"/>
    </x:row>
    <x:row r="4" ht="32" customHeight="1">
      <x:c r="A4" s="32" t="str">
        <x:v>REQUIREMENT_ID</x:v>
      </x:c>
      <x:c r="B4" s="51" t="str">
        <x:v>R7_RUN_ID</x:v>
      </x:c>
      <x:c r="C4" s="51" t="str">
        <x:v>R7_GENERATION_STATUS</x:v>
      </x:c>
      <x:c r="D4" s="51" t="str">
        <x:v>R7_SEMANTIC_ATTEMPTS</x:v>
      </x:c>
      <x:c r="E4" s="51" t="str">
        <x:v>R7_ACCEPTED</x:v>
      </x:c>
      <x:c r="F4" s="51" t="str">
        <x:v>R7_API_CALLS</x:v>
      </x:c>
      <x:c r="G4" s="51" t="str">
        <x:v>R7_EVALUATED_CASES</x:v>
      </x:c>
      <x:c r="H4" s="51" t="str">
        <x:v>R7_EXPECTED_MATCHES</x:v>
      </x:c>
      <x:c r="I4" s="51" t="str">
        <x:v>CLASSIFICATION</x:v>
      </x:c>
      <x:c r="J4" s="33" t="str">
        <x:v>FINAL_FEEDBACK</x:v>
      </x:c>
    </x:row>
    <x:row r="5">
      <x:c r="A5" s="37" t="str">
        <x:v>TRF-011</x:v>
      </x:c>
      <x:c r="B5" s="34" t="str">
        <x:v>RUN-TRF-011-20260813T043726311670Z</x:v>
      </x:c>
      <x:c r="C5" s="34" t="str">
        <x:v>MAX_ATTEMPTS_REACHED</x:v>
      </x:c>
      <x:c r="D5" s="34" t="n">
        <x:v>3</x:v>
      </x:c>
      <x:c r="E5" s="34" t="str">
        <x:v>FALSE</x:v>
      </x:c>
      <x:c r="F5" s="34" t="n">
        <x:v>6</x:v>
      </x:c>
      <x:c r="G5" s="34" t="n">
        <x:v>0</x:v>
      </x:c>
      <x:c r="H5" s="34" t="n">
        <x:v>0</x:v>
      </x:c>
      <x:c r="I5" s="34" t="str">
        <x:v>R7_REPAIR_LIMIT</x:v>
      </x:c>
      <x:c r="J5" s="34" t="str">
        <x:v>Remove the stray `arguments` token after the second sh:SPARQLConstraint so the Turtle closes as `] .`. Also enforce the supplied quantity-property ranges by adding `sh:class qudt:QuantityValue` to the longitudinalPosition and verticalCoordinate value constraints, then rerun deterministic validation.</x:v>
      </x:c>
    </x:row>
    <x:row r="6">
      <x:c r="A6" s="38" t="str">
        <x:v>TRF-014</x:v>
      </x:c>
      <x:c r="B6" s="35" t="str">
        <x:v>RUN-TRF-014-20260813T044005541702Z</x:v>
      </x:c>
      <x:c r="C6" s="35" t="str">
        <x:v>GENERATION_ACCEPTED</x:v>
      </x:c>
      <x:c r="D6" s="35" t="n">
        <x:v>1</x:v>
      </x:c>
      <x:c r="E6" s="35" t="str">
        <x:v>TRUE</x:v>
      </x:c>
      <x:c r="F6" s="35" t="n">
        <x:v>2</x:v>
      </x:c>
      <x:c r="G6" s="35" t="n">
        <x:v>3</x:v>
      </x:c>
      <x:c r="H6" s="35" t="n">
        <x:v>3</x:v>
      </x:c>
      <x:c r="I6" s="35" t="str">
        <x:v>R7_RDF_CLEAN</x:v>
      </x:c>
      <x:c r="J6" s="35" t="str">
        <x:v>No repair required; the candidate is structurally valid and faithfully encodes the ship-owned evidence, draught quantities, conditional marking applicability, comparison direction, date threshold, datatypes, and metre units.</x:v>
      </x:c>
    </x:row>
    <x:row r="7">
      <x:c r="A7" s="38" t="str">
        <x:v>TRF-020</x:v>
      </x:c>
      <x:c r="B7" s="35" t="str">
        <x:v>RUN-TRF-020-20260813T044200588649Z</x:v>
      </x:c>
      <x:c r="C7" s="35" t="str">
        <x:v>GENERATION_ACCEPTED</x:v>
      </x:c>
      <x:c r="D7" s="35" t="n">
        <x:v>1</x:v>
      </x:c>
      <x:c r="E7" s="35" t="str">
        <x:v>TRUE</x:v>
      </x:c>
      <x:c r="F7" s="35" t="n">
        <x:v>2</x:v>
      </x:c>
      <x:c r="G7" s="35" t="n">
        <x:v>3</x:v>
      </x:c>
      <x:c r="H7" s="35" t="n">
        <x:v>3</x:v>
      </x:c>
      <x:c r="I7" s="35" t="str">
        <x:v>R7_RDF_CLEAN</x:v>
      </x:c>
      <x:c r="J7" s="35" t="str">
        <x:v>No repair required; freeze the candidate for later RDF evaluation.</x:v>
      </x:c>
    </x:row>
    <x:row r="8">
      <x:c r="A8" s="38" t="str">
        <x:v>TRF-022</x:v>
      </x:c>
      <x:c r="B8" s="35" t="str">
        <x:v>RUN-TRF-022-20260813T044343321929Z</x:v>
      </x:c>
      <x:c r="C8" s="35" t="str">
        <x:v>GENERATION_ACCEPTED</x:v>
      </x:c>
      <x:c r="D8" s="35" t="n">
        <x:v>2</x:v>
      </x:c>
      <x:c r="E8" s="35" t="str">
        <x:v>TRUE</x:v>
      </x:c>
      <x:c r="F8" s="35" t="n">
        <x:v>4</x:v>
      </x:c>
      <x:c r="G8" s="35" t="n">
        <x:v>3</x:v>
      </x:c>
      <x:c r="H8" s="35" t="n">
        <x:v>1</x:v>
      </x:c>
      <x:c r="I8" s="35" t="str">
        <x:v>R7_ACCEPTED_RDF_MISMATCH</x:v>
      </x:c>
      <x:c r="J8" s="35" t="str">
        <x:v>Candidate faithfully encodes ship-level applicability, required constants and units, trigonometric formula with tolerance, and the inclusive clamped hull-geometry calculation using canonical terms.</x:v>
      </x:c>
    </x:row>
    <x:row r="9">
      <x:c r="A9" s="38" t="str">
        <x:v>TRF-025</x:v>
      </x:c>
      <x:c r="B9" s="35" t="str">
        <x:v>RUN-TRF-025-20260813T044603103672Z</x:v>
      </x:c>
      <x:c r="C9" s="35" t="str">
        <x:v>MAX_ATTEMPTS_REACHED</x:v>
      </x:c>
      <x:c r="D9" s="35" t="n">
        <x:v>3</x:v>
      </x:c>
      <x:c r="E9" s="35" t="str">
        <x:v>FALSE</x:v>
      </x:c>
      <x:c r="F9" s="35" t="n">
        <x:v>6</x:v>
      </x:c>
      <x:c r="G9" s="35" t="n">
        <x:v>0</x:v>
      </x:c>
      <x:c r="H9" s="35" t="n">
        <x:v>0</x:v>
      </x:c>
      <x:c r="I9" s="35" t="str">
        <x:v>R7_REPAIR_LIMIT</x:v>
      </x:c>
      <x:c r="J9" s="35" t="str">
        <x:v>Correct the C2 comparison tolerance: it is currently derived from ABS(?c2), while C1 correctly derives its relative tolerance from the formula result. Revise the bounded, square-root-free C2 test so it is mathematically equivalent to ABS(?c2 - ?expectedC2) &lt;= max(0.000001 * ABS(?expectedC2), 0.000000001), where ?expectedC2 = ?c2Base + ?rootTerm / sqrt(?l). Preserve the algebraic bounded approach rather than exact decimal equality, and ensure both the relative-tolerance crossover and bounds are based on the expected C2 value, not the reported C2 value.</x:v>
      </x:c>
    </x:row>
    <x:row r="10">
      <x:c r="A10" s="38" t="str">
        <x:v>TRF-026</x:v>
      </x:c>
      <x:c r="B10" s="35" t="str">
        <x:v>RUN-TRF-026-20260813T045058131183Z</x:v>
      </x:c>
      <x:c r="C10" s="35" t="str">
        <x:v>GENERATION_ACCEPTED</x:v>
      </x:c>
      <x:c r="D10" s="35" t="n">
        <x:v>2</x:v>
      </x:c>
      <x:c r="E10" s="35" t="str">
        <x:v>TRUE</x:v>
      </x:c>
      <x:c r="F10" s="35" t="n">
        <x:v>5</x:v>
      </x:c>
      <x:c r="G10" s="35" t="n">
        <x:v>3</x:v>
      </x:c>
      <x:c r="H10" s="35" t="n">
        <x:v>3</x:v>
      </x:c>
      <x:c r="I10" s="35" t="str">
        <x:v>R7_RDF_CLEAN</x:v>
      </x:c>
      <x:c r="J10" s="35" t="str">
        <x:v>No repair required; the candidate faithfully encodes applicability, ship-owned operands, units, and tolerance-based C1 and algebraically equivalent C2 formula validation.</x:v>
      </x:c>
    </x:row>
    <x:row r="11">
      <x:c r="A11" s="38" t="str">
        <x:v>TRF-027</x:v>
      </x:c>
      <x:c r="B11" s="35" t="str">
        <x:v>RUN-TRF-027-20260813T045351885205Z</x:v>
      </x:c>
      <x:c r="C11" s="35" t="str">
        <x:v>GENERATION_ACCEPTED</x:v>
      </x:c>
      <x:c r="D11" s="35" t="n">
        <x:v>2</x:v>
      </x:c>
      <x:c r="E11" s="35" t="str">
        <x:v>TRUE</x:v>
      </x:c>
      <x:c r="F11" s="35" t="n">
        <x:v>4</x:v>
      </x:c>
      <x:c r="G11" s="35" t="n">
        <x:v>3</x:v>
      </x:c>
      <x:c r="H11" s="35" t="n">
        <x:v>1</x:v>
      </x:c>
      <x:c r="I11" s="35" t="str">
        <x:v>R7_ACCEPTED_RDF_MISMATCH</x:v>
      </x:c>
      <x:c r="J11" s="35" t="str">
        <x:v>Candidate faithfully encodes ship-level applicability, the pre-1 September 2003 boundary for IA Super/IA ships, all coefficient values and units, and the bounded hull-geometry formula with non-zero breadth protection and tolerance-based decimal comparison.</x:v>
      </x:c>
    </x:row>
    <x:row r="12">
      <x:c r="A12" s="38" t="str">
        <x:v>TRF-030</x:v>
      </x:c>
      <x:c r="B12" s="35" t="str">
        <x:v>RUN-TRF-030-20260813T045555431640Z</x:v>
      </x:c>
      <x:c r="C12" s="35" t="str">
        <x:v>GENERATION_ACCEPTED</x:v>
      </x:c>
      <x:c r="D12" s="35" t="n">
        <x:v>3</x:v>
      </x:c>
      <x:c r="E12" s="35" t="str">
        <x:v>TRUE</x:v>
      </x:c>
      <x:c r="F12" s="35" t="n">
        <x:v>6</x:v>
      </x:c>
      <x:c r="G12" s="35" t="n">
        <x:v>3</x:v>
      </x:c>
      <x:c r="H12" s="35" t="n">
        <x:v>1</x:v>
      </x:c>
      <x:c r="I12" s="35" t="str">
        <x:v>R7_ACCEPTED_RDF_MISMATCH</x:v>
      </x:c>
      <x:c r="J12" s="35" t="str">
        <x:v>Candidate faithfully encodes TRF-030 with correct owners, case-level pairing, alternatives, multiplicities, formula directions, tolerances, datatypes, and units.</x:v>
      </x:c>
    </x:row>
    <x:row r="13">
      <x:c r="A13" s="38" t="str">
        <x:v>TRF-037</x:v>
      </x:c>
      <x:c r="B13" s="35" t="str">
        <x:v>RUN-TRF-037-20260813T050033816934Z</x:v>
      </x:c>
      <x:c r="C13" s="35" t="str">
        <x:v>VOCABULARY_GAP</x:v>
      </x:c>
      <x:c r="D13" s="35" t="n">
        <x:v>2</x:v>
      </x:c>
      <x:c r="E13" s="35" t="str">
        <x:v>FALSE</x:v>
      </x:c>
      <x:c r="F13" s="35" t="n">
        <x:v>5</x:v>
      </x:c>
      <x:c r="G13" s="35" t="n">
        <x:v>0</x:v>
      </x:c>
      <x:c r="H13" s="35" t="n">
        <x:v>0</x:v>
      </x:c>
      <x:c r="I13" s="35" t="str">
        <x:v>R7_VOCABULARY_OR_INDEX_GAP</x:v>
      </x:c>
      <x:c r="J13" s="35" t="str">
        <x:v>No supplied candidate is the required canonical ship-to-direct-analysis-case relationship; the candidates are two classes and the case-owned ca quantity property.</x:v>
      </x:c>
    </x:row>
    <x:row r="14">
      <x:c r="A14" s="38" t="str">
        <x:v>TRF-042</x:v>
      </x:c>
      <x:c r="B14" s="35" t="str">
        <x:v>RUN-TRF-042-20260813T050258253896Z</x:v>
      </x:c>
      <x:c r="C14" s="35" t="str">
        <x:v>VOCABULARY_GAP</x:v>
      </x:c>
      <x:c r="D14" s="35" t="n">
        <x:v>2</x:v>
      </x:c>
      <x:c r="E14" s="35" t="str">
        <x:v>FALSE</x:v>
      </x:c>
      <x:c r="F14" s="35" t="n">
        <x:v>5</x:v>
      </x:c>
      <x:c r="G14" s="35" t="n">
        <x:v>0</x:v>
      </x:c>
      <x:c r="H14" s="35" t="n">
        <x:v>0</x:v>
      </x:c>
      <x:c r="I14" s="35" t="str">
        <x:v>R7_VOCABULARY_OR_INDEX_GAP</x:v>
      </x:c>
      <x:c r="J14" s="35" t="str">
        <x:v>No supplied candidate is the approved specific class required for the plating owner; nltl:plating is explicitly out of scope, and benchmarkEntity, ship, steel-grade terms, and controlled values do not fit the required owner class.</x:v>
      </x:c>
    </x:row>
    <x:row r="15">
      <x:c r="A15" s="38" t="str">
        <x:v>TRF-046</x:v>
      </x:c>
      <x:c r="B15" s="35" t="str">
        <x:v>RUN-TRF-046-20260813T050548711269Z</x:v>
      </x:c>
      <x:c r="C15" s="35" t="str">
        <x:v>GENERATION_ACCEPTED</x:v>
      </x:c>
      <x:c r="D15" s="35" t="n">
        <x:v>2</x:v>
      </x:c>
      <x:c r="E15" s="35" t="str">
        <x:v>TRUE</x:v>
      </x:c>
      <x:c r="F15" s="35" t="n">
        <x:v>4</x:v>
      </x:c>
      <x:c r="G15" s="35" t="n">
        <x:v>3</x:v>
      </x:c>
      <x:c r="H15" s="35" t="n">
        <x:v>3</x:v>
      </x:c>
      <x:c r="I15" s="35" t="str">
        <x:v>R7_RDF_CLEAN</x:v>
      </x:c>
      <x:c r="J15" s="35" t="str">
        <x:v>No repair required; the candidate faithfully encodes the attachment rule, bounded intermediate-frame alternative, and conditional ordinary-scantlings permission on the canonical owners.</x:v>
      </x:c>
    </x:row>
    <x:row r="16">
      <x:c r="A16" s="57" t="str">
        <x:v>TRF-049</x:v>
      </x:c>
      <x:c r="B16" s="36" t="str">
        <x:v>RUN-TRF-049-20260813T050910131858Z</x:v>
      </x:c>
      <x:c r="C16" s="36" t="str">
        <x:v>GENERATION_ACCEPTED</x:v>
      </x:c>
      <x:c r="D16" s="36" t="n">
        <x:v>3</x:v>
      </x:c>
      <x:c r="E16" s="36" t="str">
        <x:v>TRUE</x:v>
      </x:c>
      <x:c r="F16" s="36" t="n">
        <x:v>6</x:v>
      </x:c>
      <x:c r="G16" s="36" t="n">
        <x:v>3</x:v>
      </x:c>
      <x:c r="H16" s="36" t="n">
        <x:v>3</x:v>
      </x:c>
      <x:c r="I16" s="36" t="str">
        <x:v>R7_RDF_CLEAN</x:v>
      </x:c>
      <x:c r="J16" s="36" t="str">
        <x:v>Candidate faithfully encodes frame-level applicability, supporting-structure attachment relationships, conditional longitudinal and transverse requirements, two-sided web connection, bracket properties, and the millimetre thickness comparison with the correct direction.</x:v>
      </x:c>
    </x:row>
  </x:sheetData>
  <x:conditionalFormatting sqref="C5:C16">
    <x:cfRule type="containsText" dxfId="35" priority="1" operator="containsText" text="READY"/>
    <x:cfRule type="containsText" dxfId="36" priority="2" operator="containsText" text="COMPLETE"/>
    <x:cfRule type="containsText" dxfId="37" priority="3" operator="containsText" text="NEW"/>
    <x:cfRule type="containsText" dxfId="38" priority="4" operator="containsText" text="REMODEL"/>
    <x:cfRule type="containsText" dxfId="39" priority="5" operator="containsText" text="UNIT"/>
  </x:conditionalFormatting>
  <x:pageMargins left="0.7" right="0.7" top="0.75" bottom="0.75" header="0.3" footer="0.3"/>
  <x:tableParts count="1">
    <x:tablePart xmlns:r="http://schemas.openxmlformats.org/officeDocument/2006/relationships" r:id="R408c5f914f844a5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0" hidden="0" customWidth="1"/>
    <x:col min="2" max="2" width="82" hidden="0" customWidth="1"/>
  </x:cols>
  <x:sheetData>
    <x:row r="1">
      <x:c r="A1" s="11" t="str">
        <x:v>NLTL Development Calibration - Batch 01</x:v>
      </x:c>
      <x:c r="B1" s="12"/>
      <x:c r="C1" s="12"/>
      <x:c r="D1" s="12"/>
    </x:row>
    <x:row r="2">
      <x:c r="A2" s="13" t="str">
        <x:v>First 50 eligible requirements | engineering preflight</x:v>
      </x:c>
      <x:c r="B2" s="13"/>
      <x:c r="C2" s="13"/>
      <x:c r="D2" s="13"/>
    </x:row>
    <x:row r="3">
      <x:c r="A3" s="14"/>
      <x:c r="B3" s="14"/>
      <x:c r="C3" s="14"/>
      <x:c r="D3" s="14"/>
    </x:row>
    <x:row r="4">
      <x:c r="A4" s="15" t="str">
        <x:v>METRIC</x:v>
      </x:c>
      <x:c r="B4" s="15" t="str">
        <x:v>VALUE</x:v>
      </x:c>
      <x:c r="C4" s="14"/>
      <x:c r="D4" s="14"/>
    </x:row>
    <x:row r="5">
      <x:c r="A5" s="16" t="str">
        <x:v>Requirements</x:v>
      </x:c>
      <x:c r="B5" s="17" t="n">
        <x:f>COUNTA('REQUIREMENTS'!$B$5:$B$54)</x:f>
        <x:v>50</x:v>
      </x:c>
      <x:c r="C5" s="14"/>
      <x:c r="D5" s="14"/>
    </x:row>
    <x:row r="6">
      <x:c r="A6" s="16" t="str">
        <x:v>Static</x:v>
      </x:c>
      <x:c r="B6" s="17" t="n">
        <x:f>COUNTIF('REQUIREMENTS'!$G$5:$G$54,"Static")</x:f>
        <x:v>25</x:v>
      </x:c>
      <x:c r="C6" s="14"/>
      <x:c r="D6" s="14"/>
    </x:row>
    <x:row r="7">
      <x:c r="A7" s="16" t="str">
        <x:v>Static Calculation</x:v>
      </x:c>
      <x:c r="B7" s="17" t="n">
        <x:f>COUNTIF('REQUIREMENTS'!$G$5:$G$54,"Static Calculation")</x:f>
        <x:v>25</x:v>
      </x:c>
      <x:c r="C7" s="14"/>
      <x:c r="D7" s="14"/>
    </x:row>
    <x:row r="8">
      <x:c r="A8" s="16" t="str">
        <x:v>Planned minimum RDF variants</x:v>
      </x:c>
      <x:c r="B8" s="17" t="n">
        <x:f>SUM('REQUIREMENTS'!$L$5:$L$54)</x:f>
        <x:v>146</x:v>
      </x:c>
      <x:c r="C8" s="14"/>
      <x:c r="D8" s="14"/>
    </x:row>
    <x:row r="9">
      <x:c r="A9" s="16" t="str">
        <x:v>Unique draft terms/values</x:v>
      </x:c>
      <x:c r="B9" s="17" t="n">
        <x:f>COUNTA('DRAFT_TERMS'!$A$5:$A$250)</x:f>
        <x:v>134</x:v>
      </x:c>
      <x:c r="C9" s="14"/>
      <x:c r="D9" s="14"/>
    </x:row>
    <x:row r="10">
      <x:c r="A10" s="16" t="str">
        <x:v>Ready-after-index-check decisions</x:v>
      </x:c>
      <x:c r="B10" s="17" t="n">
        <x:f>COUNTIF('PREFLIGHT'!$E$5:$E$54,"READY_AFTER_INDEX_CHECK")</x:f>
        <x:v>4</x:v>
      </x:c>
      <x:c r="C10" s="14"/>
      <x:c r="D10" s="14"/>
    </x:row>
    <x:row r="11">
      <x:c r="A11" s="16" t="str">
        <x:v>R8 stabilization registry terms</x:v>
      </x:c>
      <x:c r="B11" s="17" t="n">
        <x:f>COUNTA('DEVELOPMENT_TERMS'!$A$5:$A$1200)</x:f>
        <x:v>1072</x:v>
      </x:c>
      <x:c r="C11" s="14"/>
      <x:c r="D11" s="14"/>
    </x:row>
    <x:row r="12">
      <x:c r="A12" s="16" t="str">
        <x:v>R8 cumulative development additions</x:v>
      </x:c>
      <x:c r="B12" s="17" t="n">
        <x:f>COUNTIF('DEVELOPMENT_TERMS'!$J$5:$J$1200,"ADD_DEVELOPMENT_TERM")</x:f>
        <x:v>247</x:v>
      </x:c>
      <x:c r="C12" s="14"/>
      <x:c r="D12" s="14"/>
    </x:row>
    <x:row r="13">
      <x:c r="A13" s="16" t="str">
        <x:v>Authored RDF cases</x:v>
      </x:c>
      <x:c r="B13" s="17" t="n">
        <x:f>COUNTA('RDF_CASES'!$A$5:$A$204)</x:f>
        <x:v>150</x:v>
      </x:c>
      <x:c r="C13" s="14"/>
      <x:c r="D13" s="14"/>
    </x:row>
    <x:row r="14">
      <x:c r="A14" s="16" t="str">
        <x:v>RDF fixture validation</x:v>
      </x:c>
      <x:c r="B14" s="14" t="str">
        <x:f>"PASS"</x:f>
        <x:v>PASS</x:v>
      </x:c>
      <x:c r="C14" s="14"/>
      <x:c r="D14" s="14"/>
    </x:row>
    <x:row r="15">
      <x:c r="A15" s="14"/>
      <x:c r="B15" s="14"/>
      <x:c r="C15" s="14"/>
      <x:c r="D15" s="14"/>
    </x:row>
    <x:row r="16" ht="38" customHeight="1">
      <x:c r="A16" s="18" t="str">
        <x:v>PHASE</x:v>
      </x:c>
      <x:c r="B16" s="19" t="str">
        <x:v>Vocabulary development/calibration; do not report as final benchmark accuracy.</x:v>
      </x:c>
      <x:c r="C16" s="19" t="str"/>
      <x:c r="D16" s="19" t="str"/>
    </x:row>
    <x:row r="17" ht="38" customHeight="1">
      <x:c r="A17" s="18" t="str">
        <x:v>ORDER</x:v>
      </x:c>
      <x:c r="B17" s="19" t="str">
        <x:v>RDF expectations are created before fresh SHACL generation.</x:v>
      </x:c>
      <x:c r="C17" s="19" t="str"/>
      <x:c r="D17" s="19" t="str"/>
    </x:row>
    <x:row r="18" ht="38" customHeight="1">
      <x:c r="A18" s="18" t="str">
        <x:v>VOCABULARY</x:v>
      </x:c>
      <x:c r="B18" s="19" t="str">
        <x:v>R2 is the source baseline; R8.1 preserves the R8 confirmation evidence and records three post-confirmation schema/index corrections without adding vocabulary terms.</x:v>
      </x:c>
      <x:c r="C18" s="19" t="str"/>
      <x:c r="D18" s="19" t="str"/>
    </x:row>
    <x:row r="19" ht="38" customHeight="1">
      <x:c r="A19" s="18" t="str">
        <x:v>LEAKAGE</x:v>
      </x:c>
      <x:c r="B19" s="19" t="str">
        <x:v>Development fixtures become regression tests. Official evaluation will be regenerated after the final vocabulary/pipeline freeze.</x:v>
      </x:c>
      <x:c r="C19" s="19" t="str"/>
      <x:c r="D19" s="19" t="str"/>
    </x:row>
    <x:row r="20" ht="38" customHeight="1">
      <x:c r="A20" s="18" t="str">
        <x:v>NEXT GATE</x:v>
      </x:c>
      <x:c r="B20" s="19" t="str">
        <x:v>R8 confirmation found no remaining vocabulary-name gap. R8.1 now needs only a no-API fixture/schema recheck, after which generation may scale with RDF evaluation kept separate.</x:v>
      </x:c>
      <x:c r="C20" s="19" t="str"/>
      <x:c r="D20" s="19" t="str"/>
    </x:row>
  </x:sheetData>
  <x:pageMargins left="0.7" right="0.7" top="0.75" bottom="0.75" header="0.3" footer="0.3"/>
</x:worksheet>
</file>