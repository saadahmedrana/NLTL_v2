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f35b158240d43a4" /></Relationships>
</file>

<file path=xl/workbook.xml><?xml version="1.0" encoding="utf-8"?>
<x:workbook xmlns:x="http://schemas.openxmlformats.org/spreadsheetml/2006/main">
  <x:sheets>
    <x:sheet xmlns:r="http://schemas.openxmlformats.org/officeDocument/2006/relationships" name="SUMMARY" sheetId="1" r:id="R0f402d84f0174bd8"/>
    <x:sheet xmlns:r="http://schemas.openxmlformats.org/officeDocument/2006/relationships" name="README" sheetId="2" r:id="R068a18f018a34927"/>
    <x:sheet xmlns:r="http://schemas.openxmlformats.org/officeDocument/2006/relationships" name="R11_RESULTS" sheetId="3" r:id="R4825660d27bf4e75"/>
    <x:sheet xmlns:r="http://schemas.openxmlformats.org/officeDocument/2006/relationships" name="TERM_ADDITIONS" sheetId="4" r:id="R96298558710c4037"/>
    <x:sheet xmlns:r="http://schemas.openxmlformats.org/officeDocument/2006/relationships" name="CONTRACT_CHANGES" sheetId="5" r:id="R1e31f88fa750402a"/>
    <x:sheet xmlns:r="http://schemas.openxmlformats.org/officeDocument/2006/relationships" name="SCHEMA_QUEUE" sheetId="6" r:id="R69043acdc08b4e8e"/>
    <x:sheet xmlns:r="http://schemas.openxmlformats.org/officeDocument/2006/relationships" name="GENERATOR_CONTROL" sheetId="7" r:id="Re8d6a2169c844cee"/>
    <x:sheet xmlns:r="http://schemas.openxmlformats.org/officeDocument/2006/relationships" name="VALIDATION" sheetId="8" r:id="Rc88259bedae9467d"/>
  </x:sheets>
</x:workbook>
</file>

<file path=xl/sharedStrings.xml><?xml version="1.0" encoding="utf-8"?>
<x:sst xmlns:x="http://schemas.openxmlformats.org/spreadsheetml/2006/main"/>
</file>

<file path=xl/styles.xml><?xml version="1.0" encoding="utf-8"?>
<x:styleSheet xmlns:x="http://schemas.openxmlformats.org/spreadsheetml/2006/main">
  <x:fonts count="12">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
      <x:b/>
      <x:sz val="15"/>
      <x:color rgb="FFFFFFFF"/>
      <x:name val="Carlito"/>
    </x:font>
    <x:font>
      <x:b/>
      <x:sz val="15"/>
      <x:color rgb="FFFFFFFF"/>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4">
    <x:border/>
    <x:border>
      <x:bottom style="thin">
        <x:color rgb="FFCBD5E1"/>
      </x:bottom>
    </x:border>
    <x:border>
      <x:top style="thin">
        <x:color rgb="FFCBD5E1"/>
      </x:top>
      <x:bottom style="thin">
        <x:color rgb="FFCBD5E1"/>
      </x:bottom>
    </x:border>
    <x:border>
      <x:top style="thin">
        <x:color rgb="FFCBD5E1"/>
      </x:top>
    </x:border>
  </x:borders>
  <x:cellStyleXfs count="1">
    <x:xf numFmtId="0" fontId="0" fillId="0" borderId="0"/>
  </x:cellStyleXfs>
  <x:cellXfs count="43">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4" fillId="0" borderId="0" xfId="0" applyNumberFormat="1" applyFont="1" applyFill="1" applyBorder="1"/>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0" xfId="0" applyNumberFormat="1" applyFont="1" applyFill="1" applyBorder="1"/>
    <x:xf numFmtId="0" fontId="10" fillId="2" borderId="0" xfId="0" applyNumberFormat="1" applyFont="1" applyFill="1" applyBorder="1"/>
    <x:xf numFmtId="0" fontId="3" fillId="4" borderId="0" xfId="0" applyNumberFormat="1" applyFont="1" applyFill="1" applyBorder="1" applyAlignment="1">
      <x:alignment wrapText="1"/>
    </x:xf>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11" fillId="2" borderId="0" xfId="0" applyNumberFormat="1" applyFont="1" applyFill="1" applyBorder="1"/>
    <x:xf numFmtId="0" fontId="8" fillId="4" borderId="0" xfId="0" applyNumberFormat="1" applyFont="1" applyFill="1" applyBorder="1" applyAlignment="1">
      <x:alignment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cellXfs>
  <x:cellStyles count="1">
    <x:cellStyle name="Normal" xfId="0"/>
  </x:cellStyles>
  <x:dxfs count="28">
    <x:dxf>
      <x:fill>
        <x:patternFill patternType="solid">
          <x:bgColor rgb="FFDCFCE7"/>
        </x:patternFill>
      </x:fill>
    </x:dxf>
    <x:dxf>
      <x:fill>
        <x:patternFill patternType="solid">
          <x:bgColor rgb="FFDCFCE7"/>
        </x:patternFill>
      </x:fill>
    </x:dxf>
    <x:dxf>
      <x:fill>
        <x:patternFill patternType="solid">
          <x:bgColor rgb="FFFEF3C7"/>
        </x:patternFill>
      </x:fill>
    </x:dxf>
    <x:dxf>
      <x:fill>
        <x:patternFill patternType="solid">
          <x:bgColor rgb="FFFEE2E2"/>
        </x:patternFill>
      </x:fill>
    </x:dxf>
    <x:dxf>
      <x:fill>
        <x:patternFill patternType="solid">
          <x:bgColor rgb="FFDCFCE7"/>
        </x:patternFill>
      </x:fill>
    </x:dxf>
    <x:dxf>
      <x:fill>
        <x:patternFill patternType="solid">
          <x:bgColor rgb="FFDCFCE7"/>
        </x:patternFill>
      </x:fill>
    </x:dxf>
    <x:dxf>
      <x:fill>
        <x:patternFill patternType="solid">
          <x:bgColor rgb="FFFEF3C7"/>
        </x:patternFill>
      </x:fill>
    </x:dxf>
    <x:dxf>
      <x:fill>
        <x:patternFill patternType="solid">
          <x:bgColor rgb="FFFEE2E2"/>
        </x:patternFill>
      </x:fill>
    </x:dxf>
    <x:dxf>
      <x:fill>
        <x:patternFill patternType="solid">
          <x:bgColor rgb="FFDCFCE7"/>
        </x:patternFill>
      </x:fill>
    </x:dxf>
    <x:dxf>
      <x:fill>
        <x:patternFill patternType="solid">
          <x:bgColor rgb="FFDCFCE7"/>
        </x:patternFill>
      </x:fill>
    </x:dxf>
    <x:dxf>
      <x:fill>
        <x:patternFill patternType="solid">
          <x:bgColor rgb="FFFEF3C7"/>
        </x:patternFill>
      </x:fill>
    </x:dxf>
    <x:dxf>
      <x:fill>
        <x:patternFill patternType="solid">
          <x:bgColor rgb="FFFEE2E2"/>
        </x:patternFill>
      </x:fill>
    </x:dxf>
    <x:dxf>
      <x:fill>
        <x:patternFill patternType="solid">
          <x:bgColor rgb="FFDCFCE7"/>
        </x:patternFill>
      </x:fill>
    </x:dxf>
    <x:dxf>
      <x:fill>
        <x:patternFill patternType="solid">
          <x:bgColor rgb="FFDCFCE7"/>
        </x:patternFill>
      </x:fill>
    </x:dxf>
    <x:dxf>
      <x:fill>
        <x:patternFill patternType="solid">
          <x:bgColor rgb="FFFEF3C7"/>
        </x:patternFill>
      </x:fill>
    </x:dxf>
    <x:dxf>
      <x:fill>
        <x:patternFill patternType="solid">
          <x:bgColor rgb="FFFEE2E2"/>
        </x:patternFill>
      </x:fill>
    </x:dxf>
    <x:dxf>
      <x:fill>
        <x:patternFill patternType="solid">
          <x:bgColor rgb="FFDCFCE7"/>
        </x:patternFill>
      </x:fill>
    </x:dxf>
    <x:dxf>
      <x:fill>
        <x:patternFill patternType="solid">
          <x:bgColor rgb="FFDCFCE7"/>
        </x:patternFill>
      </x:fill>
    </x:dxf>
    <x:dxf>
      <x:fill>
        <x:patternFill patternType="solid">
          <x:bgColor rgb="FFFEF3C7"/>
        </x:patternFill>
      </x:fill>
    </x:dxf>
    <x:dxf>
      <x:fill>
        <x:patternFill patternType="solid">
          <x:bgColor rgb="FFFEE2E2"/>
        </x:patternFill>
      </x:fill>
    </x:dxf>
    <x:dxf>
      <x:fill>
        <x:patternFill patternType="solid">
          <x:bgColor rgb="FFDCFCE7"/>
        </x:patternFill>
      </x:fill>
    </x:dxf>
    <x:dxf>
      <x:fill>
        <x:patternFill patternType="solid">
          <x:bgColor rgb="FFDCFCE7"/>
        </x:patternFill>
      </x:fill>
    </x:dxf>
    <x:dxf>
      <x:fill>
        <x:patternFill patternType="solid">
          <x:bgColor rgb="FFFEF3C7"/>
        </x:patternFill>
      </x:fill>
    </x:dxf>
    <x:dxf>
      <x:fill>
        <x:patternFill patternType="solid">
          <x:bgColor rgb="FFFEE2E2"/>
        </x:patternFill>
      </x:fill>
    </x:dxf>
    <x:dxf>
      <x:fill>
        <x:patternFill patternType="solid">
          <x:bgColor rgb="FFDCFCE7"/>
        </x:patternFill>
      </x:fill>
    </x:dxf>
    <x:dxf>
      <x:fill>
        <x:patternFill patternType="solid">
          <x:bgColor rgb="FFDCFCE7"/>
        </x:patternFill>
      </x:fill>
    </x:dxf>
    <x:dxf>
      <x:fill>
        <x:patternFill patternType="solid">
          <x:bgColor rgb="FFFEF3C7"/>
        </x:patternFill>
      </x:fill>
    </x:dxf>
    <x:dxf>
      <x:fill>
        <x:patternFill patternType="solid">
          <x:bgColor rgb="FF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15e1b772f2f4a33" /><Relationship Type="http://schemas.openxmlformats.org/officeDocument/2006/relationships/theme" Target="/xl/theme/theme1.xml" Id="R616a6bc3e24945dd" /><Relationship Type="http://schemas.microsoft.com/office/2022/11/relationships/FeaturePropertyBag" Target="/xl/featurePropertyBag/featurePropertyBag.xml" Id="Ra05c28fd599d4fa6" /><Relationship Type="http://schemas.openxmlformats.org/officeDocument/2006/relationships/sharedStrings" Target="/xl/sharedStrings.xml" Id="R4e6be0b904e14436" /><Relationship Type="http://schemas.openxmlformats.org/officeDocument/2006/relationships/worksheet" Target="/xl/worksheets/sheet1.xml" Id="R0f402d84f0174bd8" /><Relationship Type="http://schemas.openxmlformats.org/officeDocument/2006/relationships/worksheet" Target="/xl/worksheets/sheet2.xml" Id="R068a18f018a34927" /><Relationship Type="http://schemas.openxmlformats.org/officeDocument/2006/relationships/worksheet" Target="/xl/worksheets/sheet3.xml" Id="R4825660d27bf4e75" /><Relationship Type="http://schemas.openxmlformats.org/officeDocument/2006/relationships/worksheet" Target="/xl/worksheets/sheet4.xml" Id="R96298558710c4037" /><Relationship Type="http://schemas.openxmlformats.org/officeDocument/2006/relationships/worksheet" Target="/xl/worksheets/sheet5.xml" Id="R1e31f88fa750402a" /><Relationship Type="http://schemas.openxmlformats.org/officeDocument/2006/relationships/worksheet" Target="/xl/worksheets/sheet6.xml" Id="R69043acdc08b4e8e" /><Relationship Type="http://schemas.openxmlformats.org/officeDocument/2006/relationships/worksheet" Target="/xl/worksheets/sheet7.xml" Id="Re8d6a2169c844cee" /><Relationship Type="http://schemas.openxmlformats.org/officeDocument/2006/relationships/worksheet" Target="/xl/worksheets/sheet8.xml" Id="Rc88259bedae9467d"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R12T1" displayName="R12T1"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R12T2" displayName="R12T2" ref="A4:K29" headerRowCount="1" totalsRowCount="0" totalsRowShown="0">
  <x:tableColumns count="11">
    <x:tableColumn id="1" name="REQUIREMENT_ID"/>
    <x:tableColumn id="2" name="SOURCE"/>
    <x:tableColumn id="3" name="PAGE"/>
    <x:tableColumn id="4" name="CLAUSE"/>
    <x:tableColumn id="5" name="R11_STATUS"/>
    <x:tableColumn id="6" name="ACCEPTED"/>
    <x:tableColumn id="7" name="ATTEMPTS"/>
    <x:tableColumn id="8" name="CLASSIFICATION"/>
    <x:tableColumn id="9" name="R12_TERMS"/>
    <x:tableColumn id="10" name="QUEUE"/>
    <x:tableColumn id="11" name="FINAL_FEEDBACK"/>
  </x:tableColumns>
  <x:tableStyleInfo name="TableStyleMedium2" showFirstColumn="0" showLastColumn="0" showRowStripes="1" showColumnStripes="0"/>
</x:table>
</file>

<file path=xl/tables/table3.xml><?xml version="1.0" encoding="utf-8"?>
<x:table xmlns:x="http://schemas.openxmlformats.org/spreadsheetml/2006/main" id="3" name="R12T3" displayName="R12T3" ref="A4:M28" headerRowCount="1" totalsRowCount="0" totalsRowShown="0">
  <x:tableColumns count="13">
    <x:tableColumn id="1" name="LOCAL_NAME"/>
    <x:tableColumn id="2" name="IRI"/>
    <x:tableColumn id="3" name="LABEL"/>
    <x:tableColumn id="4" name="KIND"/>
    <x:tableColumn id="5" name="DOMAIN"/>
    <x:tableColumn id="6" name="RANGE"/>
    <x:tableColumn id="7" name="DATATYPE"/>
    <x:tableColumn id="8" name="UNIT_IRI"/>
    <x:tableColumn id="9" name="UNIT_SYMBOL"/>
    <x:tableColumn id="10" name="ALIASES"/>
    <x:tableColumn id="11" name="REQUIREMENTS"/>
    <x:tableColumn id="12" name="SOURCE_REFS"/>
    <x:tableColumn id="13" name="RATIONALE"/>
  </x:tableColumns>
  <x:tableStyleInfo name="TableStyleMedium2" showFirstColumn="0" showLastColumn="0" showRowStripes="1" showColumnStripes="0"/>
</x:table>
</file>

<file path=xl/tables/table4.xml><?xml version="1.0" encoding="utf-8"?>
<x:table xmlns:x="http://schemas.openxmlformats.org/spreadsheetml/2006/main" id="4" name="R12T4" displayName="R12T4" ref="A4:L12" headerRowCount="1" totalsRowCount="0" totalsRowShown="0">
  <x:tableColumns count="12">
    <x:tableColumn id="1" name="REQUIREMENT_ID"/>
    <x:tableColumn id="2" name="STATUS"/>
    <x:tableColumn id="3" name="DECISION"/>
    <x:tableColumn id="4" name="APPLICABILITY"/>
    <x:tableColumn id="5" name="RELATIONSHIPS"/>
    <x:tableColumn id="6" name="CONTROLLED_VALUES"/>
    <x:tableColumn id="7" name="OPERANDS"/>
    <x:tableColumn id="8" name="RESULTS"/>
    <x:tableColumn id="9" name="EVIDENCE"/>
    <x:tableColumn id="10" name="COMPARISON_MODEL"/>
    <x:tableColumn id="11" name="FORMULA"/>
    <x:tableColumn id="12" name="TABLE_MODEL"/>
  </x:tableColumns>
  <x:tableStyleInfo name="TableStyleMedium2" showFirstColumn="0" showLastColumn="0" showRowStripes="1" showColumnStripes="0"/>
</x:table>
</file>

<file path=xl/tables/table5.xml><?xml version="1.0" encoding="utf-8"?>
<x:table xmlns:x="http://schemas.openxmlformats.org/spreadsheetml/2006/main" id="5" name="R12T5" displayName="R12T5" ref="A4:G12" headerRowCount="1" totalsRowCount="0" totalsRowShown="0">
  <x:tableColumns count="7">
    <x:tableColumn id="1" name="ORDER"/>
    <x:tableColumn id="2" name="REQUIREMENT_ID"/>
    <x:tableColumn id="3" name="SOURCE"/>
    <x:tableColumn id="4" name="PAGE"/>
    <x:tableColumn id="5" name="CLAUSE"/>
    <x:tableColumn id="6" name="R11_STATUS"/>
    <x:tableColumn id="7" name="PURPOSE"/>
  </x:tableColumns>
  <x:tableStyleInfo name="TableStyleMedium2" showFirstColumn="0" showLastColumn="0" showRowStripes="1" showColumnStripes="0"/>
</x:table>
</file>

<file path=xl/tables/table6.xml><?xml version="1.0" encoding="utf-8"?>
<x:table xmlns:x="http://schemas.openxmlformats.org/spreadsheetml/2006/main" id="6" name="R12T6" displayName="R12T6" ref="A4:G9" headerRowCount="1" totalsRowCount="0" totalsRowShown="0">
  <x:tableColumns count="7">
    <x:tableColumn id="1" name="ORDER"/>
    <x:tableColumn id="2" name="REQUIREMENT_ID"/>
    <x:tableColumn id="3" name="SOURCE"/>
    <x:tableColumn id="4" name="PAGE"/>
    <x:tableColumn id="5" name="CLAUSE"/>
    <x:tableColumn id="6" name="R11_STATUS"/>
    <x:tableColumn id="7" name="REASON"/>
  </x:tableColumns>
  <x:tableStyleInfo name="TableStyleMedium2" showFirstColumn="0" showLastColumn="0" showRowStripes="1" showColumnStripes="0"/>
</x:table>
</file>

<file path=xl/tables/table7.xml><?xml version="1.0" encoding="utf-8"?>
<x:table xmlns:x="http://schemas.openxmlformats.org/spreadsheetml/2006/main" id="7" name="R12T7" displayName="R12T7" ref="A4:C10" headerRowCount="1" totalsRowCount="0" totalsRowShown="0">
  <x:tableColumns count="3">
    <x:tableColumn id="1" name="CHECK"/>
    <x:tableColumn id="2" name="RESULT"/>
    <x:tableColumn id="3" name="DETAI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91c47ce40a94da7" /></Relationships>
</file>

<file path=xl/worksheets/_rels/sheet3.xml.rels>&#65279;<?xml version="1.0" encoding="utf-8"?><Relationships xmlns="http://schemas.openxmlformats.org/package/2006/relationships"><Relationship Type="http://schemas.openxmlformats.org/officeDocument/2006/relationships/table" Target="/xl/tables/table2.xml" Id="R54ebe39740244a95" /></Relationships>
</file>

<file path=xl/worksheets/_rels/sheet4.xml.rels>&#65279;<?xml version="1.0" encoding="utf-8"?><Relationships xmlns="http://schemas.openxmlformats.org/package/2006/relationships"><Relationship Type="http://schemas.openxmlformats.org/officeDocument/2006/relationships/table" Target="/xl/tables/table3.xml" Id="R30d2fdcca88e4d49" /></Relationships>
</file>

<file path=xl/worksheets/_rels/sheet5.xml.rels>&#65279;<?xml version="1.0" encoding="utf-8"?><Relationships xmlns="http://schemas.openxmlformats.org/package/2006/relationships"><Relationship Type="http://schemas.openxmlformats.org/officeDocument/2006/relationships/table" Target="/xl/tables/table4.xml" Id="R294814cc0cd54ae9" /></Relationships>
</file>

<file path=xl/worksheets/_rels/sheet6.xml.rels>&#65279;<?xml version="1.0" encoding="utf-8"?><Relationships xmlns="http://schemas.openxmlformats.org/package/2006/relationships"><Relationship Type="http://schemas.openxmlformats.org/officeDocument/2006/relationships/table" Target="/xl/tables/table5.xml" Id="R2e4968bff27945fd" /></Relationships>
</file>

<file path=xl/worksheets/_rels/sheet7.xml.rels>&#65279;<?xml version="1.0" encoding="utf-8"?><Relationships xmlns="http://schemas.openxmlformats.org/package/2006/relationships"><Relationship Type="http://schemas.openxmlformats.org/officeDocument/2006/relationships/table" Target="/xl/tables/table6.xml" Id="R476a72f7f57b44e0" /></Relationships>
</file>

<file path=xl/worksheets/_rels/sheet8.xml.rels>&#65279;<?xml version="1.0" encoding="utf-8"?><Relationships xmlns="http://schemas.openxmlformats.org/package/2006/relationships"><Relationship Type="http://schemas.openxmlformats.org/officeDocument/2006/relationships/table" Target="/xl/tables/table7.xml" Id="Red26dd54f94e42a6" /></Relationships>
</file>

<file path=xl/worksheets/sheet1.xml><?xml version="1.0" encoding="utf-8"?>
<x:worksheet xmlns:x="http://schemas.openxmlformats.org/spreadsheetml/2006/main">
  <x:sheetViews>
    <x:sheetView showGridLines="0" workbookViewId="0"/>
  </x:sheetViews>
  <x:sheetFormatPr defaultRowHeight="15"/>
  <x:cols>
    <x:col min="1" max="1" width="34" hidden="0" customWidth="1"/>
    <x:col min="2" max="2" width="48" hidden="0" customWidth="1"/>
    <x:col min="3" max="3" width="8" hidden="0" customWidth="1"/>
    <x:col min="4" max="4" width="8" hidden="0" customWidth="1"/>
  </x:cols>
  <x:sheetData>
    <x:row r="1">
      <x:c r="A1" s="8" t="str">
        <x:v>R12 Final-Gap-Closure Development Revision</x:v>
      </x:c>
      <x:c r="B1" s="9"/>
      <x:c r="C1" s="9"/>
      <x:c r="D1" s="9"/>
    </x:row>
    <x:row r="2">
      <x:c r="A2" s="10" t="str">
        <x:v>VOCAB-DEV-2026-08-14-R12-FINAL-GAP-CLOSURE</x:v>
      </x:c>
      <x:c r="B2" s="10"/>
      <x:c r="C2" s="10"/>
      <x:c r="D2" s="10"/>
    </x:row>
    <x:row r="3">
      <x:c r="A3" s="11"/>
      <x:c r="B3" s="11"/>
      <x:c r="C3" s="11"/>
      <x:c r="D3" s="11"/>
    </x:row>
    <x:row r="4">
      <x:c r="A4" s="12" t="str">
        <x:v>METRIC</x:v>
      </x:c>
      <x:c r="B4" s="12" t="str">
        <x:v>VALUE</x:v>
      </x:c>
      <x:c r="C4" s="11"/>
      <x:c r="D4" s="11"/>
    </x:row>
    <x:row r="5">
      <x:c r="A5" s="13" t="str">
        <x:v>R11 cases</x:v>
      </x:c>
      <x:c r="B5" s="11" t="n">
        <x:v>25</x:v>
      </x:c>
      <x:c r="C5" s="11"/>
      <x:c r="D5" s="11"/>
    </x:row>
    <x:row r="6">
      <x:c r="A6" s="13" t="str">
        <x:v>R11 accepted</x:v>
      </x:c>
      <x:c r="B6" s="11" t="n">
        <x:v>12</x:v>
      </x:c>
      <x:c r="C6" s="11"/>
      <x:c r="D6" s="11"/>
    </x:row>
    <x:row r="7">
      <x:c r="A7" s="13" t="str">
        <x:v>R11 failures</x:v>
      </x:c>
      <x:c r="B7" s="11" t="n">
        <x:v>13</x:v>
      </x:c>
      <x:c r="C7" s="11"/>
      <x:c r="D7" s="11"/>
    </x:row>
    <x:row r="8">
      <x:c r="A8" s="13" t="str">
        <x:v>R12 registry terms</x:v>
      </x:c>
      <x:c r="B8" s="11" t="n">
        <x:v>1607</x:v>
      </x:c>
      <x:c r="C8" s="11"/>
      <x:c r="D8" s="11"/>
    </x:row>
    <x:row r="9">
      <x:c r="A9" s="13" t="str">
        <x:v>R12 terms added</x:v>
      </x:c>
      <x:c r="B9" s="11" t="n">
        <x:v>24</x:v>
      </x:c>
      <x:c r="C9" s="11"/>
      <x:c r="D9" s="11"/>
    </x:row>
    <x:row r="10">
      <x:c r="A10" s="13" t="str">
        <x:v>Owner assignments inferred</x:v>
      </x:c>
      <x:c r="B10" s="11" t="n">
        <x:v>11</x:v>
      </x:c>
      <x:c r="C10" s="11"/>
      <x:c r="D10" s="11"/>
    </x:row>
    <x:row r="11">
      <x:c r="A11" s="13" t="str">
        <x:v>Schema confirmation</x:v>
      </x:c>
      <x:c r="B11" s="11" t="n">
        <x:v>8</x:v>
      </x:c>
      <x:c r="C11" s="11"/>
      <x:c r="D11" s="11"/>
    </x:row>
    <x:row r="12">
      <x:c r="A12" s="13" t="str">
        <x:v>Generator control</x:v>
      </x:c>
      <x:c r="B12" s="11" t="n">
        <x:v>5</x:v>
      </x:c>
      <x:c r="C12" s="11"/>
      <x:c r="D12" s="11"/>
    </x:row>
    <x:row r="13">
      <x:c r="A13" s="13" t="str">
        <x:v>API calls during build</x:v>
      </x:c>
      <x:c r="B13" s="11" t="n">
        <x:v>0</x:v>
      </x:c>
      <x:c r="C13" s="11"/>
      <x:c r="D13" s="11"/>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s>
  <x:sheetData>
    <x:row r="1">
      <x:c r="A1" s="25" t="str">
        <x:v>R12 Final-Gap-Closure Development Revision</x:v>
      </x:c>
      <x:c r="B1" s="9"/>
    </x:row>
    <x:row r="2">
      <x:c r="A2" s="10" t="str">
        <x:v>README | editable engineering traceability</x:v>
      </x:c>
      <x:c r="B2" s="10"/>
    </x:row>
    <x:row r="3">
      <x:c r="A3" s="11"/>
      <x:c r="B3" s="11"/>
    </x:row>
    <x:row r="4" ht="30" customHeight="1">
      <x:c r="A4" s="26" t="str">
        <x:v>SECTION</x:v>
      </x:c>
      <x:c r="B4" s="26" t="str">
        <x:v>DETAIL</x:v>
      </x:c>
    </x:row>
    <x:row r="5">
      <x:c r="A5" s="27" t="str">
        <x:v>PURPOSE</x:v>
      </x:c>
      <x:c r="B5" s="28" t="str">
        <x:v>Trace the offline R12 closure of the eight source-grounded vocabulary or requirement-model gaps exposed by R11.</x:v>
      </x:c>
    </x:row>
    <x:row r="6">
      <x:c r="A6" s="29" t="str">
        <x:v>BOUNDARY</x:v>
      </x:c>
      <x:c r="B6" s="30" t="str">
        <x:v>R12 remains development calibration and is not the final experimental vocabulary lock.</x:v>
      </x:c>
    </x:row>
    <x:row r="7">
      <x:c r="A7" s="29" t="str">
        <x:v>SOURCE CONTROL</x:v>
      </x:c>
      <x:c r="B7" s="30" t="str">
        <x:v>Names and controlled values derive from verified IACS UR I2, MSC.385(94) clause 12.3.1, and TRAFICOM clause 6.6.5.2 wording. No external equivalence is claimed.</x:v>
      </x:c>
    </x:row>
    <x:row r="8">
      <x:c r="A8" s="29" t="str">
        <x:v>SCHEMA CONFIRMATION</x:v>
      </x:c>
      <x:c r="B8" s="30" t="str">
        <x:v>Run the eight changed-context requirements once.</x:v>
      </x:c>
    </x:row>
    <x:row r="9">
      <x:c r="A9" s="29" t="str">
        <x:v>GENERATOR CONTROL</x:v>
      </x:c>
      <x:c r="B9" s="30" t="str">
        <x:v>Run the five failures with sufficient vocabulary only after schema confirmation; they test generator behavior, not vocabulary coverage.</x:v>
      </x:c>
    </x:row>
    <x:row r="10">
      <x:c r="A10" s="31" t="str">
        <x:v>NO API</x:v>
      </x:c>
      <x:c r="B10" s="32" t="str">
        <x:v>No API calls were made while constructing or validating R12.</x:v>
      </x:c>
    </x:row>
  </x:sheetData>
  <x:pageMargins left="0.7" right="0.7" top="0.75" bottom="0.75" header="0.3" footer="0.3"/>
  <x:tableParts count="1">
    <x:tablePart xmlns:r="http://schemas.openxmlformats.org/officeDocument/2006/relationships" r:id="R591c47ce40a94da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18" hidden="0" customWidth="1"/>
    <x:col min="5" max="5" width="28" hidden="0" customWidth="1"/>
    <x:col min="6" max="6" width="18" hidden="0" customWidth="1"/>
    <x:col min="7" max="7" width="18" hidden="0" customWidth="1"/>
    <x:col min="8" max="8" width="38" hidden="0" customWidth="1"/>
    <x:col min="9" max="9" width="38" hidden="0" customWidth="1"/>
    <x:col min="10" max="10" width="28" hidden="0" customWidth="1"/>
    <x:col min="11" max="11" width="52" hidden="0" customWidth="1"/>
  </x:cols>
  <x:sheetData>
    <x:row r="1">
      <x:c r="A1" s="25" t="str">
        <x:v>R12 Final-Gap-Closure Development Revision</x:v>
      </x:c>
      <x:c r="B1" s="9"/>
      <x:c r="C1" s="9"/>
      <x:c r="D1" s="9"/>
      <x:c r="E1" s="9"/>
      <x:c r="F1" s="9"/>
      <x:c r="G1" s="9"/>
      <x:c r="H1" s="9"/>
      <x:c r="I1" s="9"/>
      <x:c r="J1" s="9"/>
      <x:c r="K1" s="9"/>
    </x:row>
    <x:row r="2">
      <x:c r="A2" s="10" t="str">
        <x:v>R11_RESULTS | editable engineering traceability</x:v>
      </x:c>
      <x:c r="B2" s="10"/>
      <x:c r="C2" s="10"/>
      <x:c r="D2" s="10"/>
      <x:c r="E2" s="10"/>
      <x:c r="F2" s="10"/>
      <x:c r="G2" s="10"/>
      <x:c r="H2" s="10"/>
      <x:c r="I2" s="10"/>
      <x:c r="J2" s="10"/>
      <x:c r="K2" s="10"/>
    </x:row>
    <x:row r="3">
      <x:c r="A3" s="11"/>
      <x:c r="B3" s="11"/>
      <x:c r="C3" s="11"/>
      <x:c r="D3" s="11"/>
      <x:c r="E3" s="11"/>
      <x:c r="F3" s="11"/>
      <x:c r="G3" s="11"/>
      <x:c r="H3" s="11"/>
      <x:c r="I3" s="11"/>
      <x:c r="J3" s="11"/>
      <x:c r="K3" s="11"/>
    </x:row>
    <x:row r="4" ht="30" customHeight="1">
      <x:c r="A4" s="26" t="str">
        <x:v>REQUIREMENT_ID</x:v>
      </x:c>
      <x:c r="B4" s="26" t="str">
        <x:v>SOURCE</x:v>
      </x:c>
      <x:c r="C4" s="26" t="str">
        <x:v>PAGE</x:v>
      </x:c>
      <x:c r="D4" s="26" t="str">
        <x:v>CLAUSE</x:v>
      </x:c>
      <x:c r="E4" s="26" t="str">
        <x:v>R11_STATUS</x:v>
      </x:c>
      <x:c r="F4" s="26" t="str">
        <x:v>ACCEPTED</x:v>
      </x:c>
      <x:c r="G4" s="26" t="str">
        <x:v>ATTEMPTS</x:v>
      </x:c>
      <x:c r="H4" s="26" t="str">
        <x:v>CLASSIFICATION</x:v>
      </x:c>
      <x:c r="I4" s="26" t="str">
        <x:v>R12_TERMS</x:v>
      </x:c>
      <x:c r="J4" s="26" t="str">
        <x:v>QUEUE</x:v>
      </x:c>
      <x:c r="K4" s="26" t="str">
        <x:v>FINAL_FEEDBACK</x:v>
      </x:c>
    </x:row>
    <x:row r="5">
      <x:c r="A5" s="27" t="str">
        <x:v>I2-014</x:v>
      </x:c>
      <x:c r="B5" s="27" t="str">
        <x:v>IACS_UR_I2</x:v>
      </x:c>
      <x:c r="C5" s="27" t="n">
        <x:v>5</x:v>
      </x:c>
      <x:c r="D5" s="27" t="str">
        <x:v>I2.3.2.1</x:v>
      </x:c>
      <x:c r="E5" s="27" t="str">
        <x:v>TERM_RESOLUTION_UNRESOLVED</x:v>
      </x:c>
      <x:c r="F5" s="40" t="b">
        <x:v>0</x:v>
      </x:c>
      <x:c r="G5" s="27" t="n">
        <x:v>3</x:v>
      </x:c>
      <x:c r="H5" s="28" t="str">
        <x:v>VOCABULARY_OR_REQUIREMENT_MODEL_CLOSURE</x:v>
      </x:c>
      <x:c r="I5" s="28" t="str">
        <x:v>bowSubregionCalculationEvidence</x:v>
      </x:c>
      <x:c r="J5" s="27" t="str">
        <x:v>SCHEMA_CONFIRMATION</x:v>
      </x:c>
      <x:c r="K5" s="28" t="str">
        <x:v>Remove the unsupported equations equating glancing values to calculated values and deriving total force, Pavg, b, and w from maxima; I2-014 supplies no such formula. Obtain canonical calculation/provenance relationship or formula-model terms to validate that each case's F, Q, P, and AR is calculated at its midpoint and that the respective maxima are used to calculate Pavg, b, and w, rather than imposing invented arithmetic.</x:v>
      </x:c>
    </x:row>
    <x:row r="6">
      <x:c r="A6" s="29" t="str">
        <x:v>I2-015</x:v>
      </x:c>
      <x:c r="B6" s="29" t="str">
        <x:v>IACS_UR_I2</x:v>
      </x:c>
      <x:c r="C6" s="29" t="n">
        <x:v>5</x:v>
      </x:c>
      <x:c r="D6" s="29" t="str">
        <x:v>I2.3.2.1</x:v>
      </x:c>
      <x:c r="E6" s="29" t="str">
        <x:v>TERM_RESOLUTION_UNRESOLVED</x:v>
      </x:c>
      <x:c r="F6" s="41" t="b">
        <x:v>0</x:v>
      </x:c>
      <x:c r="G6" s="29" t="n">
        <x:v>2</x:v>
      </x:c>
      <x:c r="H6" s="30" t="str">
        <x:v>VOCABULARY_OR_REQUIREMENT_MODEL_CLOSURE</x:v>
      </x:c>
      <x:c r="I6" s="30" t="str">
        <x:v>bowFormApplicabilityValue | bowFormApplicabilityClassification | i231vBowFormApplicability</x:v>
      </x:c>
      <x:c r="J6" s="29" t="str">
        <x:v>SCHEMA_CONFIRMATION</x:v>
      </x:c>
      <x:c r="K6" s="30" t="str">
        <x:v>No supplied candidate is semantically verified: calculationCase is a generic calculation-case class and ship is an owner class, while the feedback requires a canonical bow-form classification/selection term or path for I2.3.1(v).</x:v>
      </x:c>
    </x:row>
    <x:row r="7">
      <x:c r="A7" s="29" t="str">
        <x:v>I2-017</x:v>
      </x:c>
      <x:c r="B7" s="29" t="str">
        <x:v>IACS_UR_I2</x:v>
      </x:c>
      <x:c r="C7" s="29" t="n">
        <x:v>6</x:v>
      </x:c>
      <x:c r="D7" s="29" t="str">
        <x:v>I2.3.2.2</x:v>
      </x:c>
      <x:c r="E7" s="29" t="str">
        <x:v>GENERATION_ACCEPTED</x:v>
      </x:c>
      <x:c r="F7" s="41" t="b">
        <x:v>1</x:v>
      </x:c>
      <x:c r="G7" s="29" t="n">
        <x:v>2</x:v>
      </x:c>
      <x:c r="H7" s="30" t="str">
        <x:v>R11_ACCEPTED_NO_R12_ACTION</x:v>
      </x:c>
      <x:c r="I7" s="30" t="str"/>
      <x:c r="J7" s="29" t="str">
        <x:v>NONE</x:v>
      </x:c>
      <x:c r="K7" s="30" t="str">
        <x:v>Candidate faithfully targets the ship and the supplied calculation/table-case owners, enforces all declared operands and results with the correct quantity datatypes and units, and implements the conditional DF, force conversion to kN, and line-load formulas with expected-result-scaled tolerances.</x:v>
      </x:c>
    </x:row>
    <x:row r="8">
      <x:c r="A8" s="29" t="str">
        <x:v>I2-019</x:v>
      </x:c>
      <x:c r="B8" s="29" t="str">
        <x:v>IACS_UR_I2</x:v>
      </x:c>
      <x:c r="C8" s="29" t="n">
        <x:v>7</x:v>
      </x:c>
      <x:c r="D8" s="29" t="str">
        <x:v>I2.3.5</x:v>
      </x:c>
      <x:c r="E8" s="29" t="str">
        <x:v>MAX_ATTEMPTS_REACHED</x:v>
      </x:c>
      <x:c r="F8" s="41" t="b">
        <x:v>0</x:v>
      </x:c>
      <x:c r="G8" s="29" t="n">
        <x:v>3</x:v>
      </x:c>
      <x:c r="H8" s="30" t="str">
        <x:v>GENERATOR_LOGIC_CONTROL_NO_NEW_VOCABULARY</x:v>
      </x:c>
      <x:c r="I8" s="30" t="str"/>
      <x:c r="J8" s="29" t="str">
        <x:v>GENERATOR_CONTROL</x:v>
      </x:c>
      <x:c r="K8" s="30" t="str">
        <x:v>Add and enforce the supplied required structural-member relationship nltl:spansHullArea in the applicable boundary-spanning model. The COMPLETE dependency contract declares spansHullArea as a relationship term, but the candidate omits it entirely and therefore does not require the declared spanning evidence.</x:v>
      </x:c>
    </x:row>
    <x:row r="9">
      <x:c r="A9" s="29" t="str">
        <x:v>I2-022</x:v>
      </x:c>
      <x:c r="B9" s="29" t="str">
        <x:v>IACS_UR_I2</x:v>
      </x:c>
      <x:c r="C9" s="29" t="n">
        <x:v>8</x:v>
      </x:c>
      <x:c r="D9" s="29" t="str">
        <x:v>I2.4.2</x:v>
      </x:c>
      <x:c r="E9" s="29" t="str">
        <x:v>TERM_RESOLUTION_UNRESOLVED</x:v>
      </x:c>
      <x:c r="F9" s="41" t="b">
        <x:v>0</x:v>
      </x:c>
      <x:c r="G9" s="29" t="n">
        <x:v>1</x:v>
      </x:c>
      <x:c r="H9" s="30" t="str">
        <x:v>VOCABULARY_OR_REQUIREMENT_MODEL_CLOSURE</x:v>
      </x:c>
      <x:c r="I9" s="30" t="str">
        <x:v>platingHullAreaClassification | bowIntermediateBottomHullArea | midbodyBottomHullArea | sternBottomHullArea</x:v>
      </x:c>
      <x:c r="J9" s="29" t="str">
        <x:v>SCHEMA_CONFIRMATION</x:v>
      </x:c>
      <x:c r="K9" s="30" t="str">
        <x:v>No supplied candidate is semantically verified for the required hull-area classification path and controlled values BI_b, M_b, and S_b; hullArea is only an unapproved string property, while plating and framingAngleOmega do not provide the required hull-area applicability semantics.</x:v>
      </x:c>
    </x:row>
    <x:row r="10">
      <x:c r="A10" s="29" t="str">
        <x:v>I2-030</x:v>
      </x:c>
      <x:c r="B10" s="29" t="str">
        <x:v>IACS_UR_I2</x:v>
      </x:c>
      <x:c r="C10" s="29" t="n">
        <x:v>11</x:v>
      </x:c>
      <x:c r="D10" s="29" t="str">
        <x:v>I2.5.8-I2.5.9</x:v>
      </x:c>
      <x:c r="E10" s="29" t="str">
        <x:v>MAX_ATTEMPTS_REACHED</x:v>
      </x:c>
      <x:c r="F10" s="41" t="b">
        <x:v>0</x:v>
      </x:c>
      <x:c r="G10" s="29" t="n">
        <x:v>3</x:v>
      </x:c>
      <x:c r="H10" s="30" t="str">
        <x:v>VOCABULARY_OR_REQUIREMENT_MODEL_CLOSURE</x:v>
      </x:c>
      <x:c r="I10" s="30" t="str">
        <x:v>localFrameSectionCalculationCase | hasLocalFrameSectionCalculationCase | sectionCalculationCasePlating | sectionCalculationCaseStructuralMember</x:v>
      </x:c>
      <x:c r="J10" s="29" t="str">
        <x:v>SCHEMA_CONFIRMATION</x:v>
      </x:c>
      <x:c r="K10" s="30" t="str">
        <x:v>Add canonical relationship path(s) linking the applicable structural member, plating/Omega, and calculation case; do not evaluate disjoint ship children by combinatorial joins. On that linked case, require and validate plasticNeutralAxisHeight against the stated z_na formula (with derived-result tolerance), require the relevant reported sectionModulus/result, and connect it to the Z_p calculation. Implement the strict 20&lt;Omega&lt;70 conditional linear-interpolation equation using the mandatory 20 and 70 endpoint results, and require the direct/formula versus interpolation branch evidence so missing branch-selection data cannot pass. The current optional/disconnected sectionModulus, plasticNeutralAxisHeight, framingAngleOmega, calculation case, and endpoints neither enforce nor evaluate the required interpolation/result semantics.</x:v>
      </x:c>
    </x:row>
    <x:row r="11">
      <x:c r="A11" s="29" t="str">
        <x:v>I2-031</x:v>
      </x:c>
      <x:c r="B11" s="29" t="str">
        <x:v>IACS_UR_I2</x:v>
      </x:c>
      <x:c r="C11" s="29" t="n">
        <x:v>12</x:v>
      </x:c>
      <x:c r="D11" s="29" t="str">
        <x:v>I2.6.1</x:v>
      </x:c>
      <x:c r="E11" s="29" t="str">
        <x:v>MAX_ATTEMPTS_REACHED</x:v>
      </x:c>
      <x:c r="F11" s="41" t="b">
        <x:v>0</x:v>
      </x:c>
      <x:c r="G11" s="29" t="n">
        <x:v>3</x:v>
      </x:c>
      <x:c r="H11" s="30" t="str">
        <x:v>GENERATOR_LOGIC_CONTROL_NO_NEW_VOCABULARY</x:v>
      </x:c>
      <x:c r="I11" s="30" t="str"/>
      <x:c r="J11" s="29" t="str">
        <x:v>GENERATOR_CONTROL</x:v>
      </x:c>
      <x:c r="K11" s="30" t="str">
        <x:v>Constrain every selected local-frame node to nltl:structuralMember (and retain nltl:localFrame) before applying nltl:structuralLocation, nltl:midspanPlasticCollapseLoad, and nltl:hasStructuralMemberLoadCase, whose declared owner is structuralMember; do not apply these properties to an untyped localFrame. Remove sh:minCount 1 on hasStructuralMemberLoadCase: the requirement's every-load-case demand/orientation rules do not independently require that a load case exist. Keep the bounded comparison and bottom-case orientation violations conditional on actual linked load cases.</x:v>
      </x:c>
    </x:row>
    <x:row r="12">
      <x:c r="A12" s="29" t="str">
        <x:v>I2-032</x:v>
      </x:c>
      <x:c r="B12" s="29" t="str">
        <x:v>IACS_UR_I2</x:v>
      </x:c>
      <x:c r="C12" s="29" t="n">
        <x:v>12</x:v>
      </x:c>
      <x:c r="D12" s="29" t="str">
        <x:v>I2.6.2</x:v>
      </x:c>
      <x:c r="E12" s="29" t="str">
        <x:v>GENERATION_ACCEPTED</x:v>
      </x:c>
      <x:c r="F12" s="41" t="b">
        <x:v>1</x:v>
      </x:c>
      <x:c r="G12" s="29" t="n">
        <x:v>1</x:v>
      </x:c>
      <x:c r="H12" s="30" t="str">
        <x:v>R11_ACCEPTED_NO_R12_ACTION</x:v>
      </x:c>
      <x:c r="I12" s="30" t="str"/>
      <x:c r="J12" s="29" t="str">
        <x:v>NONE</x:v>
      </x:c>
      <x:c r="K12" s="30" t="str">
        <x:v>Candidate faithfully encodes the I2.6.2 formula, unit conversions, owner paths, calculated-result tolerance, and A_w &gt;= A_t comparison.</x:v>
      </x:c>
    </x:row>
    <x:row r="13">
      <x:c r="A13" s="29" t="str">
        <x:v>I2-034</x:v>
      </x:c>
      <x:c r="B13" s="29" t="str">
        <x:v>IACS_UR_I2</x:v>
      </x:c>
      <x:c r="C13" s="29" t="n">
        <x:v>13</x:v>
      </x:c>
      <x:c r="D13" s="29" t="str">
        <x:v>I2.7.1</x:v>
      </x:c>
      <x:c r="E13" s="29" t="str">
        <x:v>MAX_ATTEMPTS_REACHED</x:v>
      </x:c>
      <x:c r="F13" s="41" t="b">
        <x:v>0</x:v>
      </x:c>
      <x:c r="G13" s="29" t="n">
        <x:v>3</x:v>
      </x:c>
      <x:c r="H13" s="30" t="str">
        <x:v>VOCABULARY_OR_REQUIREMENT_MODEL_CLOSURE</x:v>
      </x:c>
      <x:c r="I13" s="30" t="str">
        <x:v>structuralLocation | sideStructureLocation</x:v>
      </x:c>
      <x:c r="J13" s="29" t="str">
        <x:v>SCHEMA_CONFIRMATION</x:v>
      </x:c>
      <x:c r="K13" s="30" t="str">
        <x:v>Replace the convenience nltl:sideStructureApplicability boolean gate and its mandatory-presence check with the canonical structural-member relationship/path and controlled value that establishes side-structure membership (including nltl:sideStructureLocation). That required relationship/path is not supplied in the scoped vocabulary, so locate it before repair; then apply the load-case demand and plastic-strength comparison only to those selected side-structure longitudinal local frames.</x:v>
      </x:c>
    </x:row>
    <x:row r="14">
      <x:c r="A14" s="29" t="str">
        <x:v>I2-040</x:v>
      </x:c>
      <x:c r="B14" s="29" t="str">
        <x:v>IACS_UR_I2</x:v>
      </x:c>
      <x:c r="C14" s="29" t="n">
        <x:v>14</x:v>
      </x:c>
      <x:c r="D14" s="29" t="str">
        <x:v>I2.9.1</x:v>
      </x:c>
      <x:c r="E14" s="29" t="str">
        <x:v>GENERATION_ACCEPTED</x:v>
      </x:c>
      <x:c r="F14" s="41" t="b">
        <x:v>1</x:v>
      </x:c>
      <x:c r="G14" s="29" t="n">
        <x:v>1</x:v>
      </x:c>
      <x:c r="H14" s="30" t="str">
        <x:v>R11_ACCEPTED_NO_R12_ACTION</x:v>
      </x:c>
      <x:c r="I14" s="30" t="str"/>
      <x:c r="J14" s="29" t="str">
        <x:v>NONE</x:v>
      </x:c>
      <x:c r="K14" s="30" t="str">
        <x:v>Candidate faithfully encodes the ship-targeted universal structural-member constraint, controlled section alternatives, required quantity owners, decimal datatypes, MPa/mm units, and inclusive formula boundary.</x:v>
      </x:c>
    </x:row>
    <x:row r="15">
      <x:c r="A15" s="29" t="str">
        <x:v>I2-046</x:v>
      </x:c>
      <x:c r="B15" s="29" t="str">
        <x:v>IACS_UR_I2</x:v>
      </x:c>
      <x:c r="C15" s="29" t="n">
        <x:v>15</x:v>
      </x:c>
      <x:c r="D15" s="29" t="str">
        <x:v>I2.11.3</x:v>
      </x:c>
      <x:c r="E15" s="29" t="str">
        <x:v>MAX_ATTEMPTS_REACHED</x:v>
      </x:c>
      <x:c r="F15" s="41" t="b">
        <x:v>0</x:v>
      </x:c>
      <x:c r="G15" s="29" t="n">
        <x:v>3</x:v>
      </x:c>
      <x:c r="H15" s="30" t="str">
        <x:v>VOCABULARY_OR_REQUIREMENT_MODEL_CLOSURE</x:v>
      </x:c>
      <x:c r="I15" s="30" t="str">
        <x:v>internalStructureCorrosionAbrasionAddition</x:v>
      </x:c>
      <x:c r="J15" s="29" t="str">
        <x:v>SCHEMA_CONFIRMATION</x:v>
      </x:c>
      <x:c r="K15" s="30" t="str">
        <x:v>Remove the SPARQL rule requiring every Polar Class ship to identify at least one member: this is an unsupported existence requirement for a universal every-item rule. Replace the plating-only check with coverage of every internal ice-strengthened structure within the applicable hull area, including plated members adjacent to shell and stiffener webs/flanges; do not require the range object to be nltl:internalStructure when the canonical relationship range is nltl:internalIceStrengthenedStructure. Preserve corrosionAbrasionAllowance only on its authoritative plating owner, and obtain the canonical property/path needed to validate the required addition for non-plating stiffener webs and flanges. Also account for the COMPLETE dependency-contract operands asBuiltThickness and corrosionAbrasionAddition where required by the comparison model; the current graph omits them and cannot represent the full requirement.</x:v>
      </x:c>
    </x:row>
    <x:row r="16">
      <x:c r="A16" s="29" t="str">
        <x:v>I2-052</x:v>
      </x:c>
      <x:c r="B16" s="29" t="str">
        <x:v>IACS_UR_I2</x:v>
      </x:c>
      <x:c r="C16" s="29" t="n">
        <x:v>19</x:v>
      </x:c>
      <x:c r="D16" s="29" t="str">
        <x:v>I2.13.3.1</x:v>
      </x:c>
      <x:c r="E16" s="29" t="str">
        <x:v>GENERATION_ACCEPTED</x:v>
      </x:c>
      <x:c r="F16" s="41" t="b">
        <x:v>1</x:v>
      </x:c>
      <x:c r="G16" s="29" t="n">
        <x:v>3</x:v>
      </x:c>
      <x:c r="H16" s="30" t="str">
        <x:v>R11_ACCEPTED_NO_R12_ACTION</x:v>
      </x:c>
      <x:c r="I16" s="30" t="str"/>
      <x:c r="J16" s="29" t="str">
        <x:v>NONE</x:v>
      </x:c>
      <x:c r="K16" s="30" t="str">
        <x:v>Faithfully encodes the ship-to-calculation-case model, linked endpoint membership, operand ownership, unit compatibility, strict intermediate interval, and linear-interpolation result using an expected-result-scaled tolerance.</x:v>
      </x:c>
    </x:row>
    <x:row r="17">
      <x:c r="A17" s="29" t="str">
        <x:v>I2-054</x:v>
      </x:c>
      <x:c r="B17" s="29" t="str">
        <x:v>IACS_UR_I2</x:v>
      </x:c>
      <x:c r="C17" s="29" t="n">
        <x:v>20</x:v>
      </x:c>
      <x:c r="D17" s="29" t="str">
        <x:v>I2.13.4.1</x:v>
      </x:c>
      <x:c r="E17" s="29" t="str">
        <x:v>MAX_ATTEMPTS_REACHED</x:v>
      </x:c>
      <x:c r="F17" s="41" t="b">
        <x:v>0</x:v>
      </x:c>
      <x:c r="G17" s="29" t="n">
        <x:v>3</x:v>
      </x:c>
      <x:c r="H17" s="30" t="str">
        <x:v>GENERATOR_LOGIC_CONTROL_NO_NEW_VOCABULARY</x:v>
      </x:c>
      <x:c r="I17" s="30" t="str"/>
      <x:c r="J17" s="29" t="str">
        <x:v>GENERATOR_CONTROL</x:v>
      </x:c>
      <x:c r="K17" s="30" t="str">
        <x:v>Repair the calculation-case ownership and formula comparison: do not impose the invented requirement that every hull-girder case must also be linked by hasCalculationCase merely to associate evidence. Model hasCalculationCase and its calculationCase-owned interpolation evidence on the declared calculationCase owner, and ensure any hull-girder case receiving hasInterpolationPoint is explicitly a calculationCase as required by that property's owner/domain. Replace the fifth-power ratio test with a bounded derived-result comparison whose tolerance is scaled from the expected M_I formula result (with the absolute fallback), not from a transformed power ratio; retain math:sin and the sin(gamma_stem)^(-0.2) operand semantics.</x:v>
      </x:c>
    </x:row>
    <x:row r="18">
      <x:c r="A18" s="29" t="str">
        <x:v>I2-065</x:v>
      </x:c>
      <x:c r="B18" s="29" t="str">
        <x:v>IACS_UR_I2</x:v>
      </x:c>
      <x:c r="C18" s="29" t="n">
        <x:v>22</x:v>
      </x:c>
      <x:c r="D18" s="29" t="str">
        <x:v>I2.17.6</x:v>
      </x:c>
      <x:c r="E18" s="29" t="str">
        <x:v>GENERATION_ACCEPTED</x:v>
      </x:c>
      <x:c r="F18" s="41" t="b">
        <x:v>1</x:v>
      </x:c>
      <x:c r="G18" s="29" t="n">
        <x:v>3</x:v>
      </x:c>
      <x:c r="H18" s="30" t="str">
        <x:v>R11_ACCEPTED_NO_R12_ACTION</x:v>
      </x:c>
      <x:c r="I18" s="30" t="str"/>
      <x:c r="J18" s="29" t="str">
        <x:v>NONE</x:v>
      </x:c>
      <x:c r="K18" s="30" t="str">
        <x:v>Candidate faithfully targets ships, conditionally applies obligations to nonlinear calculation cases, preserves declared property owners and paths, requires the controlled nonlinear method value, evidence, margins, deformation operands, structural dimension, and a true explicit minor-deformation assessment, with correct quantity datatypes and units.</x:v>
      </x:c>
    </x:row>
    <x:row r="19">
      <x:c r="A19" s="29" t="str">
        <x:v>IMO-017</x:v>
      </x:c>
      <x:c r="B19" s="29" t="str">
        <x:v>IMO_POLAR_CODE</x:v>
      </x:c>
      <x:c r="C19" s="29" t="n">
        <x:v>14</x:v>
      </x:c>
      <x:c r="D19" s="29" t="str">
        <x:v>1.3.6</x:v>
      </x:c>
      <x:c r="E19" s="29" t="str">
        <x:v>GENERATION_ACCEPTED</x:v>
      </x:c>
      <x:c r="F19" s="41" t="b">
        <x:v>1</x:v>
      </x:c>
      <x:c r="G19" s="29" t="n">
        <x:v>3</x:v>
      </x:c>
      <x:c r="H19" s="30" t="str">
        <x:v>R11_ACCEPTED_NO_R12_ACTION</x:v>
      </x:c>
      <x:c r="I19" s="30" t="str"/>
      <x:c r="J19" s="29" t="str">
        <x:v>NONE</x:v>
      </x:c>
      <x:c r="K19" s="30" t="str">
        <x:v>Candidate faithfully encodes the ship-targeted certificate, supplement, equipment-record, boolean-presence, typed-date, and typed SOLAS schedule date-record consistency requirements using the supplied canonical owners and paths.</x:v>
      </x:c>
    </x:row>
    <x:row r="20">
      <x:c r="A20" s="29" t="str">
        <x:v>IMO-078</x:v>
      </x:c>
      <x:c r="B20" s="29" t="str">
        <x:v>IMO_POLAR_CODE</x:v>
      </x:c>
      <x:c r="C20" s="29" t="n">
        <x:v>25</x:v>
      </x:c>
      <x:c r="D20" s="29" t="str">
        <x:v>8.3.3.3.3.6-.7</x:v>
      </x:c>
      <x:c r="E20" s="29" t="str">
        <x:v>GENERATION_ACCEPTED</x:v>
      </x:c>
      <x:c r="F20" s="41" t="b">
        <x:v>1</x:v>
      </x:c>
      <x:c r="G20" s="29" t="n">
        <x:v>1</x:v>
      </x:c>
      <x:c r="H20" s="30" t="str">
        <x:v>R11_ACCEPTED_NO_R12_ACTION</x:v>
      </x:c>
      <x:c r="I20" s="30" t="str"/>
      <x:c r="J20" s="29" t="str">
        <x:v>NONE</x:v>
      </x:c>
      <x:c r="K20" s="30" t="str">
        <x:v>Candidate faithfully targets ships, follows the supplied ship-to-passenger and ship-to-crew-member paths, and requires the correct boolean completion properties to be present and true on each linked passenger and crew member.</x:v>
      </x:c>
    </x:row>
    <x:row r="21">
      <x:c r="A21" s="29" t="str">
        <x:v>IMO-102</x:v>
      </x:c>
      <x:c r="B21" s="29" t="str">
        <x:v>IMO_POLAR_CODE</x:v>
      </x:c>
      <x:c r="C21" s="29" t="n">
        <x:v>30</x:v>
      </x:c>
      <x:c r="D21" s="29" t="str">
        <x:v>12.3.1</x:v>
      </x:c>
      <x:c r="E21" s="29" t="str">
        <x:v>TERM_RESOLUTION_UNRESOLVED</x:v>
      </x:c>
      <x:c r="F21" s="41" t="b">
        <x:v>0</x:v>
      </x:c>
      <x:c r="G21" s="29" t="n">
        <x:v>2</x:v>
      </x:c>
      <x:c r="H21" s="30" t="str">
        <x:v>VOCABULARY_OR_REQUIREMENT_MODEL_CLOSURE</x:v>
      </x:c>
      <x:c r="I21" s="30" t="str">
        <x:v>basicPolarTrainingLevel | advancedPolarTrainingLevel | polarTrainingNotApplicable</x:v>
      </x:c>
      <x:c r="J21" s="29" t="str">
        <x:v>SCHEMA_CONFIRMATION</x:v>
      </x:c>
      <x:c r="K21" s="30" t="str">
        <x:v>No supplied candidate is verified: the feedback requires canonical controlled training-level values or a comparison path that constrains validity and exact required-to-attained matching, but the supplied properties only link to an uncandidate trainingLevelValue range and provide no such control or comparison semantics.</x:v>
      </x:c>
    </x:row>
    <x:row r="22">
      <x:c r="A22" s="29" t="str">
        <x:v>IMO26-009</x:v>
      </x:c>
      <x:c r="B22" s="29" t="str">
        <x:v>IMO_AMEND_2026</x:v>
      </x:c>
      <x:c r="C22" s="29" t="n">
        <x:v>3</x:v>
      </x:c>
      <x:c r="D22" s="29" t="str">
        <x:v>9-1.3.2.1.3</x:v>
      </x:c>
      <x:c r="E22" s="29" t="str">
        <x:v>GENERATION_ACCEPTED</x:v>
      </x:c>
      <x:c r="F22" s="41" t="b">
        <x:v>1</x:v>
      </x:c>
      <x:c r="G22" s="29" t="n">
        <x:v>1</x:v>
      </x:c>
      <x:c r="H22" s="30" t="str">
        <x:v>R11_ACCEPTED_NO_R12_ACTION</x:v>
      </x:c>
      <x:c r="I22" s="30" t="str"/>
      <x:c r="J22" s="29" t="str">
        <x:v>NONE</x:v>
      </x:c>
      <x:c r="K22" s="30" t="str">
        <x:v>Candidate faithfully encodes the ship-level ice-accretion applicability condition and validates every linked required navigation-or-communication antenna for the required antenna-owned prevention boolean.</x:v>
      </x:c>
    </x:row>
    <x:row r="23">
      <x:c r="A23" s="29" t="str">
        <x:v>TRF-069</x:v>
      </x:c>
      <x:c r="B23" s="29" t="str">
        <x:v>TRAFICOM</x:v>
      </x:c>
      <x:c r="C23" s="29" t="n">
        <x:v>26</x:v>
      </x:c>
      <x:c r="D23" s="29" t="str">
        <x:v>6.1</x:v>
      </x:c>
      <x:c r="E23" s="29" t="str">
        <x:v>GENERATION_ACCEPTED</x:v>
      </x:c>
      <x:c r="F23" s="41" t="b">
        <x:v>1</x:v>
      </x:c>
      <x:c r="G23" s="29" t="n">
        <x:v>3</x:v>
      </x:c>
      <x:c r="H23" s="30" t="str">
        <x:v>R11_ACCEPTED_NO_R12_ACTION</x:v>
      </x:c>
      <x:c r="I23" s="30" t="str"/>
      <x:c r="J23" s="29" t="str">
        <x:v>NONE</x:v>
      </x:c>
      <x:c r="K23" s="30" t="str">
        <x:v>Candidate faithfully encodes the ship-level conditional applicability, required maximum-ice-torque quantity datatype/unit evidence, and linked design-condition evidence with all required included and excluded load-scope assertions.</x:v>
      </x:c>
    </x:row>
    <x:row r="24">
      <x:c r="A24" s="29" t="str">
        <x:v>TRF-070</x:v>
      </x:c>
      <x:c r="B24" s="29" t="str">
        <x:v>TRAFICOM</x:v>
      </x:c>
      <x:c r="C24" s="29" t="str">
        <x:v>26-27</x:v>
      </x:c>
      <x:c r="D24" s="29" t="str">
        <x:v>6.1</x:v>
      </x:c>
      <x:c r="E24" s="29" t="str">
        <x:v>MAX_ATTEMPTS_REACHED</x:v>
      </x:c>
      <x:c r="F24" s="41" t="b">
        <x:v>0</x:v>
      </x:c>
      <x:c r="G24" s="29" t="n">
        <x:v>3</x:v>
      </x:c>
      <x:c r="H24" s="30" t="str">
        <x:v>GENERATOR_LOGIC_CONTROL_NO_NEW_VOCABULARY</x:v>
      </x:c>
      <x:c r="I24" s="30" t="str"/>
      <x:c r="J24" s="29" t="str">
        <x:v>GENERATOR_CONTROL</x:v>
      </x:c>
      <x:c r="K24" s="30" t="str">
        <x:v>Model the azimuthing service-life statement on the linked nltl:designCondition: require nltl:designConditionExpectedLoad (kN) and nltl:designConditionLocalStrengthCapacity (kN) on that condition together with nltl:normalOperationalConditions true, and add the required comparison between the applicable thruster-body ice interaction load/expected load and the local-strength capacity rather than merely requiring unrelated ship-level values and a boolean sufficiency assertion. Also make applicability-selection evidence complete: the readiness logic currently permits a ship with neither mainPropulsionThruster nor thrusterType to pass; require the relevant selection values or explicitly report missing branch-selection evidence.</x:v>
      </x:c>
    </x:row>
    <x:row r="25">
      <x:c r="A25" s="29" t="str">
        <x:v>TRF-082</x:v>
      </x:c>
      <x:c r="B25" s="29" t="str">
        <x:v>TRAFICOM</x:v>
      </x:c>
      <x:c r="C25" s="29" t="n">
        <x:v>37</x:v>
      </x:c>
      <x:c r="D25" s="29" t="str">
        <x:v>6.5.2.2</x:v>
      </x:c>
      <x:c r="E25" s="29" t="str">
        <x:v>GENERATION_ACCEPTED</x:v>
      </x:c>
      <x:c r="F25" s="41" t="b">
        <x:v>1</x:v>
      </x:c>
      <x:c r="G25" s="29" t="n">
        <x:v>1</x:v>
      </x:c>
      <x:c r="H25" s="30" t="str">
        <x:v>R11_ACCEPTED_NO_R12_ACTION</x:v>
      </x:c>
      <x:c r="I25" s="30" t="str"/>
      <x:c r="J25" s="29" t="str">
        <x:v>NONE</x:v>
      </x:c>
      <x:c r="K25" s="30" t="str">
        <x:v>Candidate faithfully encodes the ship-owned conditional: a required, single boolean selects either known thrust or a documented Table 6-8 lookup case; the lookup case requires applied=true, the exact controlled table reference, and evidence, while the thrust quantity is constrained to decimal kilonewtons.</x:v>
      </x:c>
    </x:row>
    <x:row r="26">
      <x:c r="A26" s="29" t="str">
        <x:v>TRF-085</x:v>
      </x:c>
      <x:c r="B26" s="29" t="str">
        <x:v>TRAFICOM</x:v>
      </x:c>
      <x:c r="C26" s="29" t="n">
        <x:v>39</x:v>
      </x:c>
      <x:c r="D26" s="29" t="str">
        <x:v>6.5.3.2</x:v>
      </x:c>
      <x:c r="E26" s="29" t="str">
        <x:v>MAX_ATTEMPTS_REACHED</x:v>
      </x:c>
      <x:c r="F26" s="41" t="b">
        <x:v>0</x:v>
      </x:c>
      <x:c r="G26" s="29" t="n">
        <x:v>3</x:v>
      </x:c>
      <x:c r="H26" s="30" t="str">
        <x:v>GENERATOR_LOGIC_CONTROL_NO_NEW_VOCABULARY</x:v>
      </x:c>
      <x:c r="I26" s="30" t="str"/>
      <x:c r="J26" s="29" t="str">
        <x:v>GENERATOR_CONTROL</x:v>
      </x:c>
      <x:c r="K26" s="30" t="str">
        <x:v>Add sh:class qudt:QuantityValue to the shared diameter and rotational-speed quantity node shapes (or equivalently to every property shape using them). The canonical ranges for propellerDiameter, propellerRotationalSpeedAtMaximumContinuousRatingBollard, lookupInputQuantity, and lookupResultQuantity require QuantityValue nodes; validating only numericValue and unit permits non-QuantityValue resources.</x:v>
      </x:c>
    </x:row>
    <x:row r="27">
      <x:c r="A27" s="29" t="str">
        <x:v>TRF-114</x:v>
      </x:c>
      <x:c r="B27" s="29" t="str">
        <x:v>TRAFICOM</x:v>
      </x:c>
      <x:c r="C27" s="29" t="n">
        <x:v>53</x:v>
      </x:c>
      <x:c r="D27" s="29" t="str">
        <x:v>6.6.5.2</x:v>
      </x:c>
      <x:c r="E27" s="29" t="str">
        <x:v>TERM_RESOLUTION_UNRESOLVED</x:v>
      </x:c>
      <x:c r="F27" s="41" t="b">
        <x:v>0</x:v>
      </x:c>
      <x:c r="G27" s="29" t="n">
        <x:v>3</x:v>
      </x:c>
      <x:c r="H27" s="30" t="str">
        <x:v>VOCABULARY_OR_REQUIREMENT_MODEL_CLOSURE</x:v>
      </x:c>
      <x:c r="I27" s="30" t="str">
        <x:v>designIceBlockTableReference | impactLoadCaseTableReference | traficomTable6Dash3Reference | traficomTable6Dash16Reference | contactGeometryValue | contactGeometryClassification | hemisphericalContactGeometry | nonHemisphericalContactGeometry</x:v>
      </x:c>
      <x:c r="J27" s="29" t="str">
        <x:v>SCHEMA_CONFIRMATION</x:v>
      </x:c>
      <x:c r="K27" s="30" t="str">
        <x:v>Add the required source-table selection constraints: validate that the ship's designIceBlock is selected from Table 6-3 and that each applicable impact load case is selected from Table 6-16, using the canonical table/load-case property and controlled values or table model that must be located. Do not treat an unconstrained free-text designIceBlock or load-case identifier as satisfying the cited table requirements. Also obtain and enforce the canonical controlled representation for hemispherical versus non-hemispherical contact geometry; the current raw STR comparison to the literal "hemispherical" permits unvalidated arbitrary strings to select the conditional branch.</x:v>
      </x:c>
    </x:row>
    <x:row r="28">
      <x:c r="A28" s="29" t="str">
        <x:v>TRF-118</x:v>
      </x:c>
      <x:c r="B28" s="29" t="str">
        <x:v>TRAFICOM</x:v>
      </x:c>
      <x:c r="C28" s="29" t="n">
        <x:v>60</x:v>
      </x:c>
      <x:c r="D28" s="29" t="str">
        <x:v>6.6.5.4</x:v>
      </x:c>
      <x:c r="E28" s="29" t="str">
        <x:v>GENERATION_ACCEPTED</x:v>
      </x:c>
      <x:c r="F28" s="41" t="b">
        <x:v>1</x:v>
      </x:c>
      <x:c r="G28" s="29" t="n">
        <x:v>1</x:v>
      </x:c>
      <x:c r="H28" s="30" t="str">
        <x:v>R11_ACCEPTED_NO_R12_ACTION</x:v>
      </x:c>
      <x:c r="I28" s="30" t="str"/>
      <x:c r="J28" s="29" t="str">
        <x:v>NONE</x:v>
      </x:c>
      <x:c r="K28" s="30" t="str">
        <x:v>Candidate is structurally and semantically faithful to the supplied complete dependency contract, owners, operands, units, safety margins, assessment evidence, component relationship, and expected-value-scaled formula tolerance.</x:v>
      </x:c>
    </x:row>
    <x:row r="29">
      <x:c r="A29" s="31" t="str">
        <x:v>TRF-123</x:v>
      </x:c>
      <x:c r="B29" s="31" t="str">
        <x:v>TRAFICOM</x:v>
      </x:c>
      <x:c r="C29" s="31" t="n">
        <x:v>61</x:v>
      </x:c>
      <x:c r="D29" s="31" t="str">
        <x:v>6.7.3</x:v>
      </x:c>
      <x:c r="E29" s="31" t="str">
        <x:v>GENERATION_ACCEPTED</x:v>
      </x:c>
      <x:c r="F29" s="42" t="b">
        <x:v>1</x:v>
      </x:c>
      <x:c r="G29" s="31" t="n">
        <x:v>2</x:v>
      </x:c>
      <x:c r="H29" s="32" t="str">
        <x:v>R11_ACCEPTED_NO_R12_ACTION</x:v>
      </x:c>
      <x:c r="I29" s="32" t="str"/>
      <x:c r="J29" s="31" t="str">
        <x:v>NONE</x:v>
      </x:c>
      <x:c r="K29" s="32" t="str">
        <x:v>Candidate faithfully targets ships and their occasional-force load cases, enforces explicit propeller-blade exclusion and assessed-component scope, validates required owners, quantity datatypes and MPa/unitless units, and applies the safety-factor stress comparison with toleranced yield-value consistency checks.</x:v>
      </x:c>
    </x:row>
  </x:sheetData>
  <x:conditionalFormatting sqref="E5:E29">
    <x:cfRule type="containsText" dxfId="0" priority="1" operator="containsText" text="PASS"/>
    <x:cfRule type="containsText" dxfId="1" priority="2" operator="containsText" text="ACCEPT"/>
    <x:cfRule type="containsText" dxfId="2" priority="3" operator="containsText" text="MAX"/>
    <x:cfRule type="containsText" dxfId="3" priority="4" operator="containsText" text="UNRESOLVED"/>
  </x:conditionalFormatting>
  <x:conditionalFormatting sqref="F5:F29">
    <x:cfRule type="containsText" dxfId="4" priority="5" operator="containsText" text="PASS"/>
    <x:cfRule type="containsText" dxfId="5" priority="6" operator="containsText" text="ACCEPT"/>
    <x:cfRule type="containsText" dxfId="6" priority="7" operator="containsText" text="MAX"/>
    <x:cfRule type="containsText" dxfId="7" priority="8" operator="containsText" text="UNRESOLVED"/>
  </x:conditionalFormatting>
  <x:pageMargins left="0.7" right="0.7" top="0.75" bottom="0.75" header="0.3" footer="0.3"/>
  <x:tableParts count="1">
    <x:tablePart xmlns:r="http://schemas.openxmlformats.org/officeDocument/2006/relationships" r:id="R54ebe39740244a95"/>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8" hidden="0" customWidth="1"/>
    <x:col min="2" max="2" width="38" hidden="0" customWidth="1"/>
    <x:col min="3" max="3" width="18" hidden="0" customWidth="1"/>
    <x:col min="4" max="4" width="18" hidden="0" customWidth="1"/>
    <x:col min="5" max="5" width="18" hidden="0" customWidth="1"/>
    <x:col min="6" max="6" width="18" hidden="0" customWidth="1"/>
    <x:col min="7" max="7" width="18" hidden="0" customWidth="1"/>
    <x:col min="8" max="8" width="38" hidden="0" customWidth="1"/>
    <x:col min="9" max="9" width="18" hidden="0" customWidth="1"/>
    <x:col min="10" max="10" width="18" hidden="0" customWidth="1"/>
    <x:col min="11" max="11" width="18" hidden="0" customWidth="1"/>
    <x:col min="12" max="12" width="38" hidden="0" customWidth="1"/>
    <x:col min="13" max="13" width="52" hidden="0" customWidth="1"/>
  </x:cols>
  <x:sheetData>
    <x:row r="1">
      <x:c r="A1" s="25" t="str">
        <x:v>R12 Final-Gap-Closure Development Revision</x:v>
      </x:c>
      <x:c r="B1" s="9"/>
      <x:c r="C1" s="9"/>
      <x:c r="D1" s="9"/>
      <x:c r="E1" s="9"/>
      <x:c r="F1" s="9"/>
      <x:c r="G1" s="9"/>
      <x:c r="H1" s="9"/>
      <x:c r="I1" s="9"/>
      <x:c r="J1" s="9"/>
      <x:c r="K1" s="9"/>
      <x:c r="L1" s="9"/>
      <x:c r="M1" s="9"/>
    </x:row>
    <x:row r="2">
      <x:c r="A2" s="10" t="str">
        <x:v>TERM_ADDITIONS | editable engineering traceability</x:v>
      </x:c>
      <x:c r="B2" s="10"/>
      <x:c r="C2" s="10"/>
      <x:c r="D2" s="10"/>
      <x:c r="E2" s="10"/>
      <x:c r="F2" s="10"/>
      <x:c r="G2" s="10"/>
      <x:c r="H2" s="10"/>
      <x:c r="I2" s="10"/>
      <x:c r="J2" s="10"/>
      <x:c r="K2" s="10"/>
      <x:c r="L2" s="10"/>
      <x:c r="M2" s="10"/>
    </x:row>
    <x:row r="3">
      <x:c r="A3" s="11"/>
      <x:c r="B3" s="11"/>
      <x:c r="C3" s="11"/>
      <x:c r="D3" s="11"/>
      <x:c r="E3" s="11"/>
      <x:c r="F3" s="11"/>
      <x:c r="G3" s="11"/>
      <x:c r="H3" s="11"/>
      <x:c r="I3" s="11"/>
      <x:c r="J3" s="11"/>
      <x:c r="K3" s="11"/>
      <x:c r="L3" s="11"/>
      <x:c r="M3" s="11"/>
    </x:row>
    <x:row r="4" ht="30" customHeight="1">
      <x:c r="A4" s="26" t="str">
        <x:v>LOCAL_NAME</x:v>
      </x:c>
      <x:c r="B4" s="26" t="str">
        <x:v>IRI</x:v>
      </x:c>
      <x:c r="C4" s="26" t="str">
        <x:v>LABEL</x:v>
      </x:c>
      <x:c r="D4" s="26" t="str">
        <x:v>KIND</x:v>
      </x:c>
      <x:c r="E4" s="26" t="str">
        <x:v>DOMAIN</x:v>
      </x:c>
      <x:c r="F4" s="26" t="str">
        <x:v>RANGE</x:v>
      </x:c>
      <x:c r="G4" s="26" t="str">
        <x:v>DATATYPE</x:v>
      </x:c>
      <x:c r="H4" s="26" t="str">
        <x:v>UNIT_IRI</x:v>
      </x:c>
      <x:c r="I4" s="26" t="str">
        <x:v>UNIT_SYMBOL</x:v>
      </x:c>
      <x:c r="J4" s="26" t="str">
        <x:v>ALIASES</x:v>
      </x:c>
      <x:c r="K4" s="26" t="str">
        <x:v>REQUIREMENTS</x:v>
      </x:c>
      <x:c r="L4" s="26" t="str">
        <x:v>SOURCE_REFS</x:v>
      </x:c>
      <x:c r="M4" s="26" t="str">
        <x:v>RATIONALE</x:v>
      </x:c>
    </x:row>
    <x:row r="5">
      <x:c r="A5" s="27" t="str">
        <x:v>advancedPolarTrainingLevel</x:v>
      </x:c>
      <x:c r="B5" s="27" t="str">
        <x:v>https://w3id.org/nltl-benchmark/vocab#advancedPolarTrainingLevel</x:v>
      </x:c>
      <x:c r="C5" s="27" t="str">
        <x:v>Advanced polar training level</x:v>
      </x:c>
      <x:c r="D5" s="27" t="str">
        <x:v>NamedIndividual</x:v>
      </x:c>
      <x:c r="E5" s="27" t="str"/>
      <x:c r="F5" s="27" t="str">
        <x:v>https://w3id.org/nltl-benchmark/vocab#trainingLevelValue</x:v>
      </x:c>
      <x:c r="G5" s="27" t="str"/>
      <x:c r="H5" s="27" t="str"/>
      <x:c r="I5" s="27" t="str"/>
      <x:c r="J5" s="27" t="str">
        <x:v>Advanced training</x:v>
      </x:c>
      <x:c r="K5" s="27" t="str">
        <x:v>IMO-102</x:v>
      </x:c>
      <x:c r="L5" s="28" t="str">
        <x:v>IMO-102 | IMO_POLAR_CODE p.30 | 12.3.1</x:v>
      </x:c>
      <x:c r="M5" s="28" t="str">
        <x:v>Exact clause wording converted to a typed relationship, controlled value, result/evidence role, or owner-local quantity; no external equivalence claimed.</x:v>
      </x:c>
    </x:row>
    <x:row r="6">
      <x:c r="A6" s="29" t="str">
        <x:v>basicPolarTrainingLevel</x:v>
      </x:c>
      <x:c r="B6" s="29" t="str">
        <x:v>https://w3id.org/nltl-benchmark/vocab#basicPolarTrainingLevel</x:v>
      </x:c>
      <x:c r="C6" s="29" t="str">
        <x:v>Basic polar training level</x:v>
      </x:c>
      <x:c r="D6" s="29" t="str">
        <x:v>NamedIndividual</x:v>
      </x:c>
      <x:c r="E6" s="29" t="str"/>
      <x:c r="F6" s="29" t="str">
        <x:v>https://w3id.org/nltl-benchmark/vocab#trainingLevelValue</x:v>
      </x:c>
      <x:c r="G6" s="29" t="str"/>
      <x:c r="H6" s="29" t="str"/>
      <x:c r="I6" s="29" t="str"/>
      <x:c r="J6" s="29" t="str">
        <x:v>Basic training</x:v>
      </x:c>
      <x:c r="K6" s="29" t="str">
        <x:v>IMO-102</x:v>
      </x:c>
      <x:c r="L6" s="30" t="str">
        <x:v>IMO-102 | IMO_POLAR_CODE p.30 | 12.3.1</x:v>
      </x:c>
      <x:c r="M6" s="30" t="str">
        <x:v>Exact clause wording converted to a typed relationship, controlled value, result/evidence role, or owner-local quantity; no external equivalence claimed.</x:v>
      </x:c>
    </x:row>
    <x:row r="7">
      <x:c r="A7" s="29" t="str">
        <x:v>bowFormApplicabilityClassification</x:v>
      </x:c>
      <x:c r="B7" s="29" t="str">
        <x:v>https://w3id.org/nltl-benchmark/vocab#bowFormApplicabilityClassification</x:v>
      </x:c>
      <x:c r="C7" s="29" t="str">
        <x:v>Bow form applicability classification</x:v>
      </x:c>
      <x:c r="D7" s="29" t="str">
        <x:v>ObjectProperty</x:v>
      </x:c>
      <x:c r="E7" s="29" t="str">
        <x:v>bowSubregionCalculationCase</x:v>
      </x:c>
      <x:c r="F7" s="29" t="str">
        <x:v>https://w3id.org/nltl-benchmark/vocab#bowFormApplicabilityValue</x:v>
      </x:c>
      <x:c r="G7" s="29" t="str"/>
      <x:c r="H7" s="29" t="str"/>
      <x:c r="I7" s="29" t="str"/>
      <x:c r="J7" s="29" t="str"/>
      <x:c r="K7" s="29" t="str">
        <x:v>I2-015</x:v>
      </x:c>
      <x:c r="L7" s="30" t="str">
        <x:v>I2-015 | IACS_UR_I2 p.5 | I2.3.2.1</x:v>
      </x:c>
      <x:c r="M7" s="30" t="str">
        <x:v>Exact clause wording converted to a typed relationship, controlled value, result/evidence role, or owner-local quantity; no external equivalence claimed.</x:v>
      </x:c>
    </x:row>
    <x:row r="8">
      <x:c r="A8" s="29" t="str">
        <x:v>bowFormApplicabilityValue</x:v>
      </x:c>
      <x:c r="B8" s="29" t="str">
        <x:v>https://w3id.org/nltl-benchmark/vocab#bowFormApplicabilityValue</x:v>
      </x:c>
      <x:c r="C8" s="29" t="str">
        <x:v>Bow form applicability value</x:v>
      </x:c>
      <x:c r="D8" s="29" t="str">
        <x:v>Class</x:v>
      </x:c>
      <x:c r="E8" s="29" t="str"/>
      <x:c r="F8" s="29" t="str">
        <x:v>https://w3id.org/nltl-benchmark/vocab#benchmarkEntity</x:v>
      </x:c>
      <x:c r="G8" s="29" t="str"/>
      <x:c r="H8" s="29" t="str"/>
      <x:c r="I8" s="29" t="str"/>
      <x:c r="J8" s="29" t="str"/>
      <x:c r="K8" s="29" t="str">
        <x:v>I2-015</x:v>
      </x:c>
      <x:c r="L8" s="30" t="str">
        <x:v>I2-015 | IACS_UR_I2 p.5 | I2.3.2.1</x:v>
      </x:c>
      <x:c r="M8" s="30" t="str">
        <x:v>Exact clause wording converted to a typed relationship, controlled value, result/evidence role, or owner-local quantity; no external equivalence claimed.</x:v>
      </x:c>
    </x:row>
    <x:row r="9">
      <x:c r="A9" s="29" t="str">
        <x:v>bowIntermediateBottomHullArea</x:v>
      </x:c>
      <x:c r="B9" s="29" t="str">
        <x:v>https://w3id.org/nltl-benchmark/vocab#bowIntermediateBottomHullArea</x:v>
      </x:c>
      <x:c r="C9" s="29" t="str">
        <x:v>Bow intermediate bottom hull area</x:v>
      </x:c>
      <x:c r="D9" s="29" t="str">
        <x:v>NamedIndividual</x:v>
      </x:c>
      <x:c r="E9" s="29" t="str"/>
      <x:c r="F9" s="29" t="str">
        <x:v>https://w3id.org/nltl-benchmark/vocab#hullAreaValue</x:v>
      </x:c>
      <x:c r="G9" s="29" t="str"/>
      <x:c r="H9" s="29" t="str"/>
      <x:c r="I9" s="29" t="str"/>
      <x:c r="J9" s="29" t="str">
        <x:v>BI_b | BIb</x:v>
      </x:c>
      <x:c r="K9" s="29" t="str">
        <x:v>I2-022 | I2-031</x:v>
      </x:c>
      <x:c r="L9" s="30" t="str">
        <x:v>I2-022 | IACS_UR_I2 p.8 | I2.4.2; I2-031 | IACS_UR_I2 p.12 | I2.6.1</x:v>
      </x:c>
      <x:c r="M9" s="30" t="str">
        <x:v>Exact clause wording converted to a typed relationship, controlled value, result/evidence role, or owner-local quantity; no external equivalence claimed.</x:v>
      </x:c>
    </x:row>
    <x:row r="10">
      <x:c r="A10" s="29" t="str">
        <x:v>bowSubregionCalculationEvidence</x:v>
      </x:c>
      <x:c r="B10" s="29" t="str">
        <x:v>https://w3id.org/nltl-benchmark/vocab#bowSubregionCalculationEvidence</x:v>
      </x:c>
      <x:c r="C10" s="29" t="str">
        <x:v>Bow subregion calculation evidence</x:v>
      </x:c>
      <x:c r="D10" s="29" t="str">
        <x:v>ObjectProperty</x:v>
      </x:c>
      <x:c r="E10" s="29" t="str">
        <x:v>bowSubregionCalculationCase</x:v>
      </x:c>
      <x:c r="F10" s="29" t="str">
        <x:v>https://w3id.org/nltl-benchmark/vocab#evidenceArtifact</x:v>
      </x:c>
      <x:c r="G10" s="29" t="str"/>
      <x:c r="H10" s="29" t="str"/>
      <x:c r="I10" s="29" t="str"/>
      <x:c r="J10" s="29" t="str"/>
      <x:c r="K10" s="29" t="str">
        <x:v>I2-014</x:v>
      </x:c>
      <x:c r="L10" s="30" t="str">
        <x:v>I2-014 | IACS_UR_I2 p.5 | I2.3.2.1</x:v>
      </x:c>
      <x:c r="M10" s="30" t="str">
        <x:v>Exact clause wording converted to a typed relationship, controlled value, result/evidence role, or owner-local quantity; no external equivalence claimed.</x:v>
      </x:c>
    </x:row>
    <x:row r="11">
      <x:c r="A11" s="29" t="str">
        <x:v>contactGeometryClassification</x:v>
      </x:c>
      <x:c r="B11" s="29" t="str">
        <x:v>https://w3id.org/nltl-benchmark/vocab#contactGeometryClassification</x:v>
      </x:c>
      <x:c r="C11" s="29" t="str">
        <x:v>Contact geometry classification</x:v>
      </x:c>
      <x:c r="D11" s="29" t="str">
        <x:v>ObjectProperty</x:v>
      </x:c>
      <x:c r="E11" s="29" t="str">
        <x:v>thrusterIceImpactLoadCase</x:v>
      </x:c>
      <x:c r="F11" s="29" t="str">
        <x:v>https://w3id.org/nltl-benchmark/vocab#contactGeometryValue</x:v>
      </x:c>
      <x:c r="G11" s="29" t="str"/>
      <x:c r="H11" s="29" t="str"/>
      <x:c r="I11" s="29" t="str"/>
      <x:c r="J11" s="29" t="str"/>
      <x:c r="K11" s="29" t="str">
        <x:v>TRF-114</x:v>
      </x:c>
      <x:c r="L11" s="30" t="str">
        <x:v>TRF-114 | TRAFICOM p.53 | 6.6.5.2</x:v>
      </x:c>
      <x:c r="M11" s="30" t="str">
        <x:v>Exact clause wording converted to a typed relationship, controlled value, result/evidence role, or owner-local quantity; no external equivalence claimed.</x:v>
      </x:c>
    </x:row>
    <x:row r="12">
      <x:c r="A12" s="29" t="str">
        <x:v>contactGeometryValue</x:v>
      </x:c>
      <x:c r="B12" s="29" t="str">
        <x:v>https://w3id.org/nltl-benchmark/vocab#contactGeometryValue</x:v>
      </x:c>
      <x:c r="C12" s="29" t="str">
        <x:v>Contact geometry value</x:v>
      </x:c>
      <x:c r="D12" s="29" t="str">
        <x:v>Class</x:v>
      </x:c>
      <x:c r="E12" s="29" t="str"/>
      <x:c r="F12" s="29" t="str">
        <x:v>https://w3id.org/nltl-benchmark/vocab#benchmarkEntity</x:v>
      </x:c>
      <x:c r="G12" s="29" t="str"/>
      <x:c r="H12" s="29" t="str"/>
      <x:c r="I12" s="29" t="str"/>
      <x:c r="J12" s="29" t="str"/>
      <x:c r="K12" s="29" t="str">
        <x:v>TRF-114</x:v>
      </x:c>
      <x:c r="L12" s="30" t="str">
        <x:v>TRF-114 | TRAFICOM p.53 | 6.6.5.2</x:v>
      </x:c>
      <x:c r="M12" s="30" t="str">
        <x:v>Exact clause wording converted to a typed relationship, controlled value, result/evidence role, or owner-local quantity; no external equivalence claimed.</x:v>
      </x:c>
    </x:row>
    <x:row r="13">
      <x:c r="A13" s="29" t="str">
        <x:v>designIceBlockTableReference</x:v>
      </x:c>
      <x:c r="B13" s="29" t="str">
        <x:v>https://w3id.org/nltl-benchmark/vocab#designIceBlockTableReference</x:v>
      </x:c>
      <x:c r="C13" s="29" t="str">
        <x:v>Design ice block table reference</x:v>
      </x:c>
      <x:c r="D13" s="29" t="str">
        <x:v>ObjectProperty</x:v>
      </x:c>
      <x:c r="E13" s="29" t="str">
        <x:v>thrusterIceImpactLoadCase</x:v>
      </x:c>
      <x:c r="F13" s="29" t="str">
        <x:v>https://w3id.org/nltl-benchmark/vocab#tableReferenceValue</x:v>
      </x:c>
      <x:c r="G13" s="29" t="str"/>
      <x:c r="H13" s="29" t="str"/>
      <x:c r="I13" s="29" t="str"/>
      <x:c r="J13" s="29" t="str"/>
      <x:c r="K13" s="29" t="str">
        <x:v>TRF-114</x:v>
      </x:c>
      <x:c r="L13" s="30" t="str">
        <x:v>TRF-114 | TRAFICOM p.53 | 6.6.5.2</x:v>
      </x:c>
      <x:c r="M13" s="30" t="str">
        <x:v>Exact clause wording converted to a typed relationship, controlled value, result/evidence role, or owner-local quantity; no external equivalence claimed.</x:v>
      </x:c>
    </x:row>
    <x:row r="14">
      <x:c r="A14" s="29" t="str">
        <x:v>hasLocalFrameSectionCalculationCase</x:v>
      </x:c>
      <x:c r="B14" s="29" t="str">
        <x:v>https://w3id.org/nltl-benchmark/vocab#hasLocalFrameSectionCalculationCase</x:v>
      </x:c>
      <x:c r="C14" s="29" t="str">
        <x:v>Has local frame section calculation case</x:v>
      </x:c>
      <x:c r="D14" s="29" t="str">
        <x:v>ObjectProperty</x:v>
      </x:c>
      <x:c r="E14" s="29" t="str">
        <x:v>structuralMember</x:v>
      </x:c>
      <x:c r="F14" s="29" t="str">
        <x:v>https://w3id.org/nltl-benchmark/vocab#localFrameSectionCalculationCase</x:v>
      </x:c>
      <x:c r="G14" s="29" t="str"/>
      <x:c r="H14" s="29" t="str"/>
      <x:c r="I14" s="29" t="str"/>
      <x:c r="J14" s="29" t="str"/>
      <x:c r="K14" s="29" t="str">
        <x:v>I2-030</x:v>
      </x:c>
      <x:c r="L14" s="30" t="str">
        <x:v>I2-030 | IACS_UR_I2 p.11 | I2.5.8-I2.5.9</x:v>
      </x:c>
      <x:c r="M14" s="30" t="str">
        <x:v>Exact clause wording converted to a typed relationship, controlled value, result/evidence role, or owner-local quantity; no external equivalence claimed.</x:v>
      </x:c>
    </x:row>
    <x:row r="15">
      <x:c r="A15" s="29" t="str">
        <x:v>hemisphericalContactGeometry</x:v>
      </x:c>
      <x:c r="B15" s="29" t="str">
        <x:v>https://w3id.org/nltl-benchmark/vocab#hemisphericalContactGeometry</x:v>
      </x:c>
      <x:c r="C15" s="29" t="str">
        <x:v>Hemispherical contact geometry</x:v>
      </x:c>
      <x:c r="D15" s="29" t="str">
        <x:v>NamedIndividual</x:v>
      </x:c>
      <x:c r="E15" s="29" t="str"/>
      <x:c r="F15" s="29" t="str">
        <x:v>https://w3id.org/nltl-benchmark/vocab#contactGeometryValue</x:v>
      </x:c>
      <x:c r="G15" s="29" t="str"/>
      <x:c r="H15" s="29" t="str"/>
      <x:c r="I15" s="29" t="str"/>
      <x:c r="J15" s="29" t="str">
        <x:v>hemispherical</x:v>
      </x:c>
      <x:c r="K15" s="29" t="str">
        <x:v>TRF-114</x:v>
      </x:c>
      <x:c r="L15" s="30" t="str">
        <x:v>TRF-114 | TRAFICOM p.53 | 6.6.5.2</x:v>
      </x:c>
      <x:c r="M15" s="30" t="str">
        <x:v>Exact clause wording converted to a typed relationship, controlled value, result/evidence role, or owner-local quantity; no external equivalence claimed.</x:v>
      </x:c>
    </x:row>
    <x:row r="16">
      <x:c r="A16" s="29" t="str">
        <x:v>i231vBowFormApplicability</x:v>
      </x:c>
      <x:c r="B16" s="29" t="str">
        <x:v>https://w3id.org/nltl-benchmark/vocab#i231vBowFormApplicability</x:v>
      </x:c>
      <x:c r="C16" s="29" t="str">
        <x:v>I231v bow form applicability</x:v>
      </x:c>
      <x:c r="D16" s="29" t="str">
        <x:v>NamedIndividual</x:v>
      </x:c>
      <x:c r="E16" s="29" t="str"/>
      <x:c r="F16" s="29" t="str">
        <x:v>https://w3id.org/nltl-benchmark/vocab#bowFormApplicabilityValue</x:v>
      </x:c>
      <x:c r="G16" s="29" t="str"/>
      <x:c r="H16" s="29" t="str"/>
      <x:c r="I16" s="29" t="str"/>
      <x:c r="J16" s="29" t="str">
        <x:v>bow forms defined in I2.3.1(v)</x:v>
      </x:c>
      <x:c r="K16" s="29" t="str">
        <x:v>I2-015</x:v>
      </x:c>
      <x:c r="L16" s="30" t="str">
        <x:v>I2-015 | IACS_UR_I2 p.5 | I2.3.2.1</x:v>
      </x:c>
      <x:c r="M16" s="30" t="str">
        <x:v>Exact clause wording converted to a typed relationship, controlled value, result/evidence role, or owner-local quantity; no external equivalence claimed.</x:v>
      </x:c>
    </x:row>
    <x:row r="17">
      <x:c r="A17" s="29" t="str">
        <x:v>impactLoadCaseTableReference</x:v>
      </x:c>
      <x:c r="B17" s="29" t="str">
        <x:v>https://w3id.org/nltl-benchmark/vocab#impactLoadCaseTableReference</x:v>
      </x:c>
      <x:c r="C17" s="29" t="str">
        <x:v>Impact load case table reference</x:v>
      </x:c>
      <x:c r="D17" s="29" t="str">
        <x:v>ObjectProperty</x:v>
      </x:c>
      <x:c r="E17" s="29" t="str">
        <x:v>thrusterIceImpactLoadCase</x:v>
      </x:c>
      <x:c r="F17" s="29" t="str">
        <x:v>https://w3id.org/nltl-benchmark/vocab#tableReferenceValue</x:v>
      </x:c>
      <x:c r="G17" s="29" t="str"/>
      <x:c r="H17" s="29" t="str"/>
      <x:c r="I17" s="29" t="str"/>
      <x:c r="J17" s="29" t="str"/>
      <x:c r="K17" s="29" t="str">
        <x:v>TRF-114</x:v>
      </x:c>
      <x:c r="L17" s="30" t="str">
        <x:v>TRF-114 | TRAFICOM p.53 | 6.6.5.2</x:v>
      </x:c>
      <x:c r="M17" s="30" t="str">
        <x:v>Exact clause wording converted to a typed relationship, controlled value, result/evidence role, or owner-local quantity; no external equivalence claimed.</x:v>
      </x:c>
    </x:row>
    <x:row r="18">
      <x:c r="A18" s="29" t="str">
        <x:v>internalStructureCorrosionAbrasionAddition</x:v>
      </x:c>
      <x:c r="B18" s="29" t="str">
        <x:v>https://w3id.org/nltl-benchmark/vocab#internalStructureCorrosionAbrasionAddition</x:v>
      </x:c>
      <x:c r="C18" s="29" t="str">
        <x:v>Internal structure corrosion abrasion addition</x:v>
      </x:c>
      <x:c r="D18" s="29" t="str">
        <x:v>QuantityProperty</x:v>
      </x:c>
      <x:c r="E18" s="29" t="str">
        <x:v>internalIceStrengthenedStructure</x:v>
      </x:c>
      <x:c r="F18" s="29" t="str">
        <x:v>http://qudt.org/schema/qudt/QuantityValue</x:v>
      </x:c>
      <x:c r="G18" s="29" t="str"/>
      <x:c r="H18" s="29" t="str">
        <x:v>http://qudt.org/vocab/unit/MilliM</x:v>
      </x:c>
      <x:c r="I18" s="29" t="str">
        <x:v>mm</x:v>
      </x:c>
      <x:c r="J18" s="29" t="str">
        <x:v>ts</x:v>
      </x:c>
      <x:c r="K18" s="29" t="str">
        <x:v>I2-046</x:v>
      </x:c>
      <x:c r="L18" s="30" t="str">
        <x:v>I2-046 | IACS_UR_I2 p.15 | I2.11.3</x:v>
      </x:c>
      <x:c r="M18" s="30" t="str">
        <x:v>Exact clause wording converted to a typed relationship, controlled value, result/evidence role, or owner-local quantity; no external equivalence claimed.</x:v>
      </x:c>
    </x:row>
    <x:row r="19">
      <x:c r="A19" s="29" t="str">
        <x:v>localFrameSectionCalculationCase</x:v>
      </x:c>
      <x:c r="B19" s="29" t="str">
        <x:v>https://w3id.org/nltl-benchmark/vocab#localFrameSectionCalculationCase</x:v>
      </x:c>
      <x:c r="C19" s="29" t="str">
        <x:v>Local frame section calculation case</x:v>
      </x:c>
      <x:c r="D19" s="29" t="str">
        <x:v>Class</x:v>
      </x:c>
      <x:c r="E19" s="29" t="str"/>
      <x:c r="F19" s="29" t="str">
        <x:v>https://w3id.org/nltl-benchmark/vocab#calculationCase</x:v>
      </x:c>
      <x:c r="G19" s="29" t="str"/>
      <x:c r="H19" s="29" t="str"/>
      <x:c r="I19" s="29" t="str"/>
      <x:c r="J19" s="29" t="str"/>
      <x:c r="K19" s="29" t="str">
        <x:v>I2-030</x:v>
      </x:c>
      <x:c r="L19" s="30" t="str">
        <x:v>I2-030 | IACS_UR_I2 p.11 | I2.5.8-I2.5.9</x:v>
      </x:c>
      <x:c r="M19" s="30" t="str">
        <x:v>Exact clause wording converted to a typed relationship, controlled value, result/evidence role, or owner-local quantity; no external equivalence claimed.</x:v>
      </x:c>
    </x:row>
    <x:row r="20">
      <x:c r="A20" s="29" t="str">
        <x:v>midbodyBottomHullArea</x:v>
      </x:c>
      <x:c r="B20" s="29" t="str">
        <x:v>https://w3id.org/nltl-benchmark/vocab#midbodyBottomHullArea</x:v>
      </x:c>
      <x:c r="C20" s="29" t="str">
        <x:v>Midbody bottom hull area</x:v>
      </x:c>
      <x:c r="D20" s="29" t="str">
        <x:v>NamedIndividual</x:v>
      </x:c>
      <x:c r="E20" s="29" t="str"/>
      <x:c r="F20" s="29" t="str">
        <x:v>https://w3id.org/nltl-benchmark/vocab#hullAreaValue</x:v>
      </x:c>
      <x:c r="G20" s="29" t="str"/>
      <x:c r="H20" s="29" t="str"/>
      <x:c r="I20" s="29" t="str"/>
      <x:c r="J20" s="29" t="str">
        <x:v>M_b | Mb</x:v>
      </x:c>
      <x:c r="K20" s="29" t="str">
        <x:v>I2-022 | I2-031</x:v>
      </x:c>
      <x:c r="L20" s="30" t="str">
        <x:v>I2-022 | IACS_UR_I2 p.8 | I2.4.2; I2-031 | IACS_UR_I2 p.12 | I2.6.1</x:v>
      </x:c>
      <x:c r="M20" s="30" t="str">
        <x:v>Exact clause wording converted to a typed relationship, controlled value, result/evidence role, or owner-local quantity; no external equivalence claimed.</x:v>
      </x:c>
    </x:row>
    <x:row r="21">
      <x:c r="A21" s="29" t="str">
        <x:v>nonHemisphericalContactGeometry</x:v>
      </x:c>
      <x:c r="B21" s="29" t="str">
        <x:v>https://w3id.org/nltl-benchmark/vocab#nonHemisphericalContactGeometry</x:v>
      </x:c>
      <x:c r="C21" s="29" t="str">
        <x:v>Non hemispherical contact geometry</x:v>
      </x:c>
      <x:c r="D21" s="29" t="str">
        <x:v>NamedIndividual</x:v>
      </x:c>
      <x:c r="E21" s="29" t="str"/>
      <x:c r="F21" s="29" t="str">
        <x:v>https://w3id.org/nltl-benchmark/vocab#contactGeometryValue</x:v>
      </x:c>
      <x:c r="G21" s="29" t="str"/>
      <x:c r="H21" s="29" t="str"/>
      <x:c r="I21" s="29" t="str"/>
      <x:c r="J21" s="29" t="str">
        <x:v>differs from the shape of the hemisphere</x:v>
      </x:c>
      <x:c r="K21" s="29" t="str">
        <x:v>TRF-114</x:v>
      </x:c>
      <x:c r="L21" s="30" t="str">
        <x:v>TRF-114 | TRAFICOM p.53 | 6.6.5.2</x:v>
      </x:c>
      <x:c r="M21" s="30" t="str">
        <x:v>Exact clause wording converted to a typed relationship, controlled value, result/evidence role, or owner-local quantity; no external equivalence claimed.</x:v>
      </x:c>
    </x:row>
    <x:row r="22">
      <x:c r="A22" s="29" t="str">
        <x:v>platingHullAreaClassification</x:v>
      </x:c>
      <x:c r="B22" s="29" t="str">
        <x:v>https://w3id.org/nltl-benchmark/vocab#platingHullAreaClassification</x:v>
      </x:c>
      <x:c r="C22" s="29" t="str">
        <x:v>Plating hull area classification</x:v>
      </x:c>
      <x:c r="D22" s="29" t="str">
        <x:v>ObjectProperty</x:v>
      </x:c>
      <x:c r="E22" s="29" t="str">
        <x:v>plating</x:v>
      </x:c>
      <x:c r="F22" s="29" t="str">
        <x:v>https://w3id.org/nltl-benchmark/vocab#hullAreaValue</x:v>
      </x:c>
      <x:c r="G22" s="29" t="str"/>
      <x:c r="H22" s="29" t="str"/>
      <x:c r="I22" s="29" t="str"/>
      <x:c r="J22" s="29" t="str"/>
      <x:c r="K22" s="29" t="str">
        <x:v>I2-022</x:v>
      </x:c>
      <x:c r="L22" s="30" t="str">
        <x:v>I2-022 | IACS_UR_I2 p.8 | I2.4.2</x:v>
      </x:c>
      <x:c r="M22" s="30" t="str">
        <x:v>Exact clause wording converted to a typed relationship, controlled value, result/evidence role, or owner-local quantity; no external equivalence claimed.</x:v>
      </x:c>
    </x:row>
    <x:row r="23">
      <x:c r="A23" s="29" t="str">
        <x:v>polarTrainingNotApplicable</x:v>
      </x:c>
      <x:c r="B23" s="29" t="str">
        <x:v>https://w3id.org/nltl-benchmark/vocab#polarTrainingNotApplicable</x:v>
      </x:c>
      <x:c r="C23" s="29" t="str">
        <x:v>Polar training not applicable</x:v>
      </x:c>
      <x:c r="D23" s="29" t="str">
        <x:v>NamedIndividual</x:v>
      </x:c>
      <x:c r="E23" s="29" t="str"/>
      <x:c r="F23" s="29" t="str">
        <x:v>https://w3id.org/nltl-benchmark/vocab#trainingLevelValue</x:v>
      </x:c>
      <x:c r="G23" s="29" t="str"/>
      <x:c r="H23" s="29" t="str"/>
      <x:c r="I23" s="29" t="str"/>
      <x:c r="J23" s="29" t="str">
        <x:v>Not applicable</x:v>
      </x:c>
      <x:c r="K23" s="29" t="str">
        <x:v>IMO-102</x:v>
      </x:c>
      <x:c r="L23" s="30" t="str">
        <x:v>IMO-102 | IMO_POLAR_CODE p.30 | 12.3.1</x:v>
      </x:c>
      <x:c r="M23" s="30" t="str">
        <x:v>Exact clause wording converted to a typed relationship, controlled value, result/evidence role, or owner-local quantity; no external equivalence claimed.</x:v>
      </x:c>
    </x:row>
    <x:row r="24">
      <x:c r="A24" s="29" t="str">
        <x:v>sectionCalculationCasePlating</x:v>
      </x:c>
      <x:c r="B24" s="29" t="str">
        <x:v>https://w3id.org/nltl-benchmark/vocab#sectionCalculationCasePlating</x:v>
      </x:c>
      <x:c r="C24" s="29" t="str">
        <x:v>Section calculation case plating</x:v>
      </x:c>
      <x:c r="D24" s="29" t="str">
        <x:v>ObjectProperty</x:v>
      </x:c>
      <x:c r="E24" s="29" t="str">
        <x:v>localFrameSectionCalculationCase</x:v>
      </x:c>
      <x:c r="F24" s="29" t="str">
        <x:v>https://w3id.org/nltl-benchmark/vocab#plating</x:v>
      </x:c>
      <x:c r="G24" s="29" t="str"/>
      <x:c r="H24" s="29" t="str"/>
      <x:c r="I24" s="29" t="str"/>
      <x:c r="J24" s="29" t="str"/>
      <x:c r="K24" s="29" t="str">
        <x:v>I2-030</x:v>
      </x:c>
      <x:c r="L24" s="30" t="str">
        <x:v>I2-030 | IACS_UR_I2 p.11 | I2.5.8-I2.5.9</x:v>
      </x:c>
      <x:c r="M24" s="30" t="str">
        <x:v>Exact clause wording converted to a typed relationship, controlled value, result/evidence role, or owner-local quantity; no external equivalence claimed.</x:v>
      </x:c>
    </x:row>
    <x:row r="25">
      <x:c r="A25" s="29" t="str">
        <x:v>sectionCalculationCaseStructuralMember</x:v>
      </x:c>
      <x:c r="B25" s="29" t="str">
        <x:v>https://w3id.org/nltl-benchmark/vocab#sectionCalculationCaseStructuralMember</x:v>
      </x:c>
      <x:c r="C25" s="29" t="str">
        <x:v>Section calculation case structural member</x:v>
      </x:c>
      <x:c r="D25" s="29" t="str">
        <x:v>ObjectProperty</x:v>
      </x:c>
      <x:c r="E25" s="29" t="str">
        <x:v>localFrameSectionCalculationCase</x:v>
      </x:c>
      <x:c r="F25" s="29" t="str">
        <x:v>https://w3id.org/nltl-benchmark/vocab#structuralMember</x:v>
      </x:c>
      <x:c r="G25" s="29" t="str"/>
      <x:c r="H25" s="29" t="str"/>
      <x:c r="I25" s="29" t="str"/>
      <x:c r="J25" s="29" t="str"/>
      <x:c r="K25" s="29" t="str">
        <x:v>I2-030</x:v>
      </x:c>
      <x:c r="L25" s="30" t="str">
        <x:v>I2-030 | IACS_UR_I2 p.11 | I2.5.8-I2.5.9</x:v>
      </x:c>
      <x:c r="M25" s="30" t="str">
        <x:v>Exact clause wording converted to a typed relationship, controlled value, result/evidence role, or owner-local quantity; no external equivalence claimed.</x:v>
      </x:c>
    </x:row>
    <x:row r="26">
      <x:c r="A26" s="29" t="str">
        <x:v>sternBottomHullArea</x:v>
      </x:c>
      <x:c r="B26" s="29" t="str">
        <x:v>https://w3id.org/nltl-benchmark/vocab#sternBottomHullArea</x:v>
      </x:c>
      <x:c r="C26" s="29" t="str">
        <x:v>Stern bottom hull area</x:v>
      </x:c>
      <x:c r="D26" s="29" t="str">
        <x:v>NamedIndividual</x:v>
      </x:c>
      <x:c r="E26" s="29" t="str"/>
      <x:c r="F26" s="29" t="str">
        <x:v>https://w3id.org/nltl-benchmark/vocab#hullAreaValue</x:v>
      </x:c>
      <x:c r="G26" s="29" t="str"/>
      <x:c r="H26" s="29" t="str"/>
      <x:c r="I26" s="29" t="str"/>
      <x:c r="J26" s="29" t="str">
        <x:v>S_b | Sb</x:v>
      </x:c>
      <x:c r="K26" s="29" t="str">
        <x:v>I2-022 | I2-031</x:v>
      </x:c>
      <x:c r="L26" s="30" t="str">
        <x:v>I2-022 | IACS_UR_I2 p.8 | I2.4.2; I2-031 | IACS_UR_I2 p.12 | I2.6.1</x:v>
      </x:c>
      <x:c r="M26" s="30" t="str">
        <x:v>Exact clause wording converted to a typed relationship, controlled value, result/evidence role, or owner-local quantity; no external equivalence claimed.</x:v>
      </x:c>
    </x:row>
    <x:row r="27">
      <x:c r="A27" s="29" t="str">
        <x:v>traficomTable6Dash16Reference</x:v>
      </x:c>
      <x:c r="B27" s="29" t="str">
        <x:v>https://w3id.org/nltl-benchmark/vocab#traficomTable6Dash16Reference</x:v>
      </x:c>
      <x:c r="C27" s="29" t="str">
        <x:v>Traficom table6 dash16 reference</x:v>
      </x:c>
      <x:c r="D27" s="29" t="str">
        <x:v>NamedIndividual</x:v>
      </x:c>
      <x:c r="E27" s="29" t="str"/>
      <x:c r="F27" s="29" t="str">
        <x:v>https://w3id.org/nltl-benchmark/vocab#tableReferenceValue</x:v>
      </x:c>
      <x:c r="G27" s="29" t="str"/>
      <x:c r="H27" s="29" t="str"/>
      <x:c r="I27" s="29" t="str"/>
      <x:c r="J27" s="29" t="str">
        <x:v>Table 6-16</x:v>
      </x:c>
      <x:c r="K27" s="29" t="str">
        <x:v>TRF-114</x:v>
      </x:c>
      <x:c r="L27" s="30" t="str">
        <x:v>TRF-114 | TRAFICOM p.53 | 6.6.5.2</x:v>
      </x:c>
      <x:c r="M27" s="30" t="str">
        <x:v>Exact clause wording converted to a typed relationship, controlled value, result/evidence role, or owner-local quantity; no external equivalence claimed.</x:v>
      </x:c>
    </x:row>
    <x:row r="28">
      <x:c r="A28" s="31" t="str">
        <x:v>traficomTable6Dash3Reference</x:v>
      </x:c>
      <x:c r="B28" s="31" t="str">
        <x:v>https://w3id.org/nltl-benchmark/vocab#traficomTable6Dash3Reference</x:v>
      </x:c>
      <x:c r="C28" s="31" t="str">
        <x:v>Traficom table6 dash3 reference</x:v>
      </x:c>
      <x:c r="D28" s="31" t="str">
        <x:v>NamedIndividual</x:v>
      </x:c>
      <x:c r="E28" s="31" t="str"/>
      <x:c r="F28" s="31" t="str">
        <x:v>https://w3id.org/nltl-benchmark/vocab#tableReferenceValue</x:v>
      </x:c>
      <x:c r="G28" s="31" t="str"/>
      <x:c r="H28" s="31" t="str"/>
      <x:c r="I28" s="31" t="str"/>
      <x:c r="J28" s="31" t="str">
        <x:v>Table 6-3</x:v>
      </x:c>
      <x:c r="K28" s="31" t="str">
        <x:v>TRF-114</x:v>
      </x:c>
      <x:c r="L28" s="32" t="str">
        <x:v>TRF-114 | TRAFICOM p.53 | 6.6.5.2</x:v>
      </x:c>
      <x:c r="M28" s="32" t="str">
        <x:v>Exact clause wording converted to a typed relationship, controlled value, result/evidence role, or owner-local quantity; no external equivalence claimed.</x:v>
      </x:c>
    </x:row>
  </x:sheetData>
  <x:pageMargins left="0.7" right="0.7" top="0.75" bottom="0.75" header="0.3" footer="0.3"/>
  <x:tableParts count="1">
    <x:tablePart xmlns:r="http://schemas.openxmlformats.org/officeDocument/2006/relationships" r:id="R30d2fdcca88e4d49"/>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8" hidden="0" customWidth="1"/>
    <x:col min="2" max="2" width="28" hidden="0" customWidth="1"/>
    <x:col min="3" max="3" width="18" hidden="0" customWidth="1"/>
    <x:col min="4" max="4" width="38" hidden="0" customWidth="1"/>
    <x:col min="5" max="5" width="38" hidden="0" customWidth="1"/>
    <x:col min="6" max="6" width="38" hidden="0" customWidth="1"/>
    <x:col min="7" max="7" width="38" hidden="0" customWidth="1"/>
    <x:col min="8" max="8" width="28" hidden="0" customWidth="1"/>
    <x:col min="9" max="9" width="38" hidden="0" customWidth="1"/>
    <x:col min="10" max="10" width="52" hidden="0" customWidth="1"/>
    <x:col min="11" max="11" width="52" hidden="0" customWidth="1"/>
    <x:col min="12" max="12" width="52" hidden="0" customWidth="1"/>
  </x:cols>
  <x:sheetData>
    <x:row r="1">
      <x:c r="A1" s="25" t="str">
        <x:v>R12 Final-Gap-Closure Development Revision</x:v>
      </x:c>
      <x:c r="B1" s="9"/>
      <x:c r="C1" s="9"/>
      <x:c r="D1" s="9"/>
      <x:c r="E1" s="9"/>
      <x:c r="F1" s="9"/>
      <x:c r="G1" s="9"/>
      <x:c r="H1" s="9"/>
      <x:c r="I1" s="9"/>
      <x:c r="J1" s="9"/>
      <x:c r="K1" s="9"/>
      <x:c r="L1" s="9"/>
    </x:row>
    <x:row r="2">
      <x:c r="A2" s="10" t="str">
        <x:v>CONTRACT_CHANGES | editable engineering traceability</x:v>
      </x:c>
      <x:c r="B2" s="10"/>
      <x:c r="C2" s="10"/>
      <x:c r="D2" s="10"/>
      <x:c r="E2" s="10"/>
      <x:c r="F2" s="10"/>
      <x:c r="G2" s="10"/>
      <x:c r="H2" s="10"/>
      <x:c r="I2" s="10"/>
      <x:c r="J2" s="10"/>
      <x:c r="K2" s="10"/>
      <x:c r="L2" s="10"/>
    </x:row>
    <x:row r="3">
      <x:c r="A3" s="11"/>
      <x:c r="B3" s="11"/>
      <x:c r="C3" s="11"/>
      <x:c r="D3" s="11"/>
      <x:c r="E3" s="11"/>
      <x:c r="F3" s="11"/>
      <x:c r="G3" s="11"/>
      <x:c r="H3" s="11"/>
      <x:c r="I3" s="11"/>
      <x:c r="J3" s="11"/>
      <x:c r="K3" s="11"/>
      <x:c r="L3" s="11"/>
    </x:row>
    <x:row r="4" ht="30" customHeight="1">
      <x:c r="A4" s="26" t="str">
        <x:v>REQUIREMENT_ID</x:v>
      </x:c>
      <x:c r="B4" s="26" t="str">
        <x:v>STATUS</x:v>
      </x:c>
      <x:c r="C4" s="26" t="str">
        <x:v>DECISION</x:v>
      </x:c>
      <x:c r="D4" s="26" t="str">
        <x:v>APPLICABILITY</x:v>
      </x:c>
      <x:c r="E4" s="26" t="str">
        <x:v>RELATIONSHIPS</x:v>
      </x:c>
      <x:c r="F4" s="26" t="str">
        <x:v>CONTROLLED_VALUES</x:v>
      </x:c>
      <x:c r="G4" s="26" t="str">
        <x:v>OPERANDS</x:v>
      </x:c>
      <x:c r="H4" s="26" t="str">
        <x:v>RESULTS</x:v>
      </x:c>
      <x:c r="I4" s="26" t="str">
        <x:v>EVIDENCE</x:v>
      </x:c>
      <x:c r="J4" s="26" t="str">
        <x:v>COMPARISON_MODEL</x:v>
      </x:c>
      <x:c r="K4" s="26" t="str">
        <x:v>FORMULA</x:v>
      </x:c>
      <x:c r="L4" s="26" t="str">
        <x:v>TABLE_MODEL</x:v>
      </x:c>
    </x:row>
    <x:row r="5">
      <x:c r="A5" s="27" t="str">
        <x:v>I2-014</x:v>
      </x:c>
      <x:c r="B5" s="27" t="str">
        <x:v>COMPLETE</x:v>
      </x:c>
      <x:c r="C5" s="27" t="str">
        <x:v>R12_SOURCE_GROUNDED_FINAL_GAP_CLOSURE</x:v>
      </x:c>
      <x:c r="D5" s="28" t="str"/>
      <x:c r="E5" s="28" t="str">
        <x:v>bowSubregionCalculationEvidence | hasBowSubregionCalculationCase</x:v>
      </x:c>
      <x:c r="F5" s="28" t="str"/>
      <x:c r="G5" s="28" t="str">
        <x:v>bowSubregionMidLengthPosition | bowSubregionAspectRatio</x:v>
      </x:c>
      <x:c r="H5" s="28" t="str">
        <x:v>bowSubregionCalculatedForce | bowSubregionCalculatedLineLoad | bowSubregionCalculatedPressure | selectedMaximumBowForce | selectedMaximumBowLineLoad | selectedMaximumBowPressure</x:v>
      </x:c>
      <x:c r="I5" s="28" t="str">
        <x:v>bowSubregionCalculationEvidence</x:v>
      </x:c>
      <x:c r="J5" s="28" t="str">
        <x:v>Each of four equal-length bow subregions must carry midpoint calculation evidence and reported F, Q, P and AR values. Select the maxima of F, Q and P for downstream Pavg, b and w calculations. I2-014 does not itself supply arithmetic equations equating or deriving these quantities.</x:v>
      </x:c>
      <x:c r="K5" s="28" t="str"/>
      <x:c r="L5" s="28" t="str"/>
    </x:row>
    <x:row r="6">
      <x:c r="A6" s="29" t="str">
        <x:v>I2-015</x:v>
      </x:c>
      <x:c r="B6" s="29" t="str">
        <x:v>COMPLETE</x:v>
      </x:c>
      <x:c r="C6" s="29" t="str">
        <x:v>R12_SOURCE_GROUNDED_FINAL_GAP_CLOSURE</x:v>
      </x:c>
      <x:c r="D6" s="30" t="str">
        <x:v>bowFormApplicabilityClassification | i231vBowFormApplicability</x:v>
      </x:c>
      <x:c r="E6" s="30" t="str">
        <x:v>bowFormApplicabilityClassification | hasBowSubregionCalculationCase | hasFailureClassFactorLookupCase</x:v>
      </x:c>
      <x:c r="F6" s="30" t="str">
        <x:v>i231vBowFormApplicability</x:v>
      </x:c>
      <x:c r="G6" s="30" t="str">
        <x:v>bowSubregionMidLengthPosition | upperIceWaterlineLengthLUI | bowSubregionWaterlineAngle | betaIPrime | flexuralFailureClassFactor | crushingFailureClassFactor</x:v>
      </x:c>
      <x:c r="H6" s="30" t="str">
        <x:v>bowShapeCoefficient</x:v>
      </x:c>
      <x:c r="I6" s="30" t="str"/>
      <x:c r="J6" s="30" t="str">
        <x:v>For bow forms defined in I2.3.1(v), take f_ai = min(f_ai1, f_ai2, f_ai3), where f_ai1 = (0.097 - 0.68*(x/L_UI - 0.15)^2)*alpha_i/(beta_i_prime)^0.5, f_ai2 = 1.2*C_FF/(sin(beta_i_prime)*C_FC*D_UI^0.64), and f_ai3 = 0.60.</x:v>
      </x:c>
      <x:c r="K6" s="30" t="str">
        <x:v>f_ai=min(f_ai1,f_ai2,f_ai3); f_ai1=(0.097-0.68*(x/L_UI-0.15)^2)*alpha_i/sqrt(beta_i_prime); f_ai2=1.2*C_FF/(sin(beta_i_prime)*C_FC*D_UI^0.64); f_ai3=0.60</x:v>
      </x:c>
      <x:c r="L6" s="30" t="str"/>
    </x:row>
    <x:row r="7">
      <x:c r="A7" s="29" t="str">
        <x:v>I2-022</x:v>
      </x:c>
      <x:c r="B7" s="29" t="str">
        <x:v>COMPLETE</x:v>
      </x:c>
      <x:c r="C7" s="29" t="str">
        <x:v>R12_SOURCE_GROUNDED_FINAL_GAP_CLOSURE</x:v>
      </x:c>
      <x:c r="D7" s="30" t="str">
        <x:v>platingHullAreaClassification | bowIntermediateBottomHullArea | midbodyBottomHullArea | sternBottomHullArea | framingAngleOmega</x:v>
      </x:c>
      <x:c r="E7" s="30" t="str">
        <x:v>hasPlating | platingHullAreaClassification | platingSupportedByStructuralMember</x:v>
      </x:c>
      <x:c r="F7" s="30" t="str">
        <x:v>bowIntermediateBottomHullArea | midbodyBottomHullArea | sternBottomHullArea</x:v>
      </x:c>
      <x:c r="G7" s="30" t="str">
        <x:v>frameSpacing | selectedHullAreaFactor | peakPressureFactor | averageIcePressure | yieldStrength | loadPatchHeight</x:v>
      </x:c>
      <x:c r="H7" s="30" t="str">
        <x:v>iceLoadRequiredNetPlateThickness</x:v>
      </x:c>
      <x:c r="I7" s="30" t="str"/>
      <x:c r="J7" s="30" t="str">
        <x:v>For transversely-framed plating (Omega &gt;= 70 deg), including bottom plating in hull areas BI_b, M_b and S_b, t_net = 500*s*sqrt((AF*PPF_p*P_avg)/sigma_y)/(1 + s/(2*b)) [mm].</x:v>
      </x:c>
      <x:c r="K7" s="30" t="str">
        <x:v>t_net=500*s*sqrt((AF*PPF_p*P_avg)/sigma_y)/(1+s/(2*b)); applicable when Omega&gt;=70 degrees, including BI_b, M_b and S_b.</x:v>
      </x:c>
      <x:c r="L7" s="30" t="str"/>
    </x:row>
    <x:row r="8">
      <x:c r="A8" s="29" t="str">
        <x:v>I2-030</x:v>
      </x:c>
      <x:c r="B8" s="29" t="str">
        <x:v>COMPLETE</x:v>
      </x:c>
      <x:c r="C8" s="29" t="str">
        <x:v>R12_SOURCE_GROUNDED_FINAL_GAP_CLOSURE</x:v>
      </x:c>
      <x:c r="D8" s="30" t="str">
        <x:v>framingAngleOmega</x:v>
      </x:c>
      <x:c r="E8" s="30" t="str">
        <x:v>hasCalculationCase | hasLocalFrameSectionCalculationCase | interpolationLowerEndpoint | interpolationUpperEndpoint | sectionCalculationCasePlating | sectionCalculationCaseStructuralMember</x:v>
      </x:c>
      <x:c r="F8" s="30" t="str"/>
      <x:c r="G8" s="30" t="str">
        <x:v>netLocalFrameFlangeArea | webHeight | netWebThickness | netAttachedShellPlateThickness | frameSpacing | localFrameFlangeCentreHeight | webAngleToShellPlate | webToFlangeCentreDistance | interpolationPointCoordinate | interpolationPointResult</x:v>
      </x:c>
      <x:c r="H8" s="30" t="str">
        <x:v>plasticNeutralAxisHeight | netEffectivePlasticSectionModulus</x:v>
      </x:c>
      <x:c r="I8" s="30" t="str"/>
      <x:c r="J8" s="30" t="str">
        <x:v>When the local-frame area exceeds the attached-plate-flange area, z_na = (100*A_fn + h_w*t_wn - 1000*t_pn*s)/(2*t_wn) [mm]. The net effective plastic section modulus is Z_p = t_pn*s*(z_na + t_pn/2)*sin(phi_w) + (((h_w - z_na)^2 + z_na^2)*t_wn*sin(phi_w))/2000 + A_fn*((h_fc - z_na)*sin(phi_w) - b_w*cos(phi_w))/10 [cm^3]. For oblique framing (70 deg &gt; Omega &gt; 20 deg), use linear interpolation.</x:v>
      </x:c>
      <x:c r="K8" s="30" t="str">
        <x:v>When A_fn exceeds the attached-plate-flange area, calculate z_na and Z_p using the equations in I2.5.8-I2.5.9. For 20&lt;Omega&lt;70 degrees use linear interpolation between linked endpoint results.</x:v>
      </x:c>
      <x:c r="L8" s="30" t="str"/>
    </x:row>
    <x:row r="9">
      <x:c r="A9" s="29" t="str">
        <x:v>I2-034</x:v>
      </x:c>
      <x:c r="B9" s="29" t="str">
        <x:v>COMPLETE</x:v>
      </x:c>
      <x:c r="C9" s="29" t="str">
        <x:v>R12_SOURCE_GROUNDED_FINAL_GAP_CLOSURE</x:v>
      </x:c>
      <x:c r="D9" s="30" t="str">
        <x:v>longitudinalFrameOrientation | structuralLocation | sideStructureLocation</x:v>
      </x:c>
      <x:c r="E9" s="30" t="str">
        <x:v>frameProfileType | hasStructuralMember | hasStructuralMemberLoadCase | structuralLocation</x:v>
      </x:c>
      <x:c r="F9" s="30" t="str">
        <x:v>sideStructureLocation</x:v>
      </x:c>
      <x:c r="G9" s="30" t="str">
        <x:v>combinedShearAndBendingDemand | midspanPlasticCollapseLoad | plasticStrength</x:v>
      </x:c>
      <x:c r="H9" s="30" t="str"/>
      <x:c r="I9" s="30" t="str"/>
      <x:c r="J9" s="30" t="str">
        <x:v>For each longitudinal local frame whose structuralLocation is sideStructureLocation, every represented load-case combined shear-and-bending demand must not exceed the member plastic strength/midspan plastic-collapse load. The clause is universal and does not require inventing a member or load case when none is represented.</x:v>
      </x:c>
      <x:c r="K9" s="30" t="str"/>
      <x:c r="L9" s="30" t="str"/>
    </x:row>
    <x:row r="10">
      <x:c r="A10" s="29" t="str">
        <x:v>I2-046</x:v>
      </x:c>
      <x:c r="B10" s="29" t="str">
        <x:v>COMPLETE</x:v>
      </x:c>
      <x:c r="C10" s="29" t="str">
        <x:v>R12_SOURCE_GROUNDED_FINAL_GAP_CLOSURE</x:v>
      </x:c>
      <x:c r="D10" s="30" t="str">
        <x:v>polarClass</x:v>
      </x:c>
      <x:c r="E10" s="30" t="str">
        <x:v>hasInternalIceStrengthenedStructure | polarClass</x:v>
      </x:c>
      <x:c r="F10" s="30" t="str"/>
      <x:c r="G10" s="30" t="str">
        <x:v>internalStructureCorrosionAbrasionAddition</x:v>
      </x:c>
      <x:c r="H10" s="30" t="str">
        <x:v>internalStructureCorrosionAbrasionAddition</x:v>
      </x:c>
      <x:c r="I10" s="30" t="str"/>
      <x:c r="J10" s="30" t="str">
        <x:v>Every internalIceStrengthenedStructure linked from an applicable Polar Class ship must have internalStructureCorrosionAbrasionAddition &gt;= 1.0 mm. This includes represented plated members adjacent to shell and stiffener webs/flanges; the universal clause does not require inventing a structure instance.</x:v>
      </x:c>
      <x:c r="K10" s="30" t="str"/>
      <x:c r="L10" s="30" t="str"/>
    </x:row>
    <x:row r="11">
      <x:c r="A11" s="29" t="str">
        <x:v>IMO-102</x:v>
      </x:c>
      <x:c r="B11" s="29" t="str">
        <x:v>COMPLETE</x:v>
      </x:c>
      <x:c r="C11" s="29" t="str">
        <x:v>R12_SOURCE_GROUNDED_FINAL_GAP_CLOSURE</x:v>
      </x:c>
      <x:c r="D11" s="30" t="str">
        <x:v>iceConditionClassification | shipType | crewRole</x:v>
      </x:c>
      <x:c r="E11" s="30" t="str">
        <x:v>hasCrewMemberInventory | hasCrewTrainingRecord | hasPolarTrainingRecord | iceConditionClassification | requiredTrainingLevel | trainingRecordLevel</x:v>
      </x:c>
      <x:c r="F11" s="30" t="str">
        <x:v>basicPolarTrainingLevel | advancedPolarTrainingLevel | polarTrainingNotApplicable</x:v>
      </x:c>
      <x:c r="G11" s="30" t="str">
        <x:v>requiredTrainingLevel | trainingRecordLevel | stcwQualificationValid</x:v>
      </x:c>
      <x:c r="H11" s="30" t="str"/>
      <x:c r="I11" s="30" t="str">
        <x:v>hasPolarTrainingRecord</x:v>
      </x:c>
      <x:c r="J11" s="30" t="str">
        <x:v>Derive one controlled required level from the exact 12.3.1 matrix. For each applicable crew member, the linked training record level must equal the derived required level and stcwQualificationValid must be true. Not-applicable matrix cells use polarTrainingNotApplicable.</x:v>
      </x:c>
      <x:c r="K11" s="30" t="str"/>
      <x:c r="L11" s="30" t="str">
        <x:v>MSC.385(94), chapter 12, clause 12.3.1 matrix: Ice free is not applicable; Open waters requires basic training for master, chief mate and OICNW on tankers/passenger ships and is not applicable to other ships; Other waters requires advanced for master/chief mate and basic for OICNW for all three ship groups.</x:v>
      </x:c>
    </x:row>
    <x:row r="12">
      <x:c r="A12" s="31" t="str">
        <x:v>TRF-114</x:v>
      </x:c>
      <x:c r="B12" s="31" t="str">
        <x:v>COMPLETE</x:v>
      </x:c>
      <x:c r="C12" s="31" t="str">
        <x:v>R12_SOURCE_GROUNDED_FINAL_GAP_CLOSURE</x:v>
      </x:c>
      <x:c r="D12" s="32" t="str">
        <x:v>designIceBlockTableReference | traficomTable6Dash3Reference | impactLoadCaseTableReference | traficomTable6Dash16Reference</x:v>
      </x:c>
      <x:c r="E12" s="32" t="str">
        <x:v>contactGeometryClassification | contactGeometryCorrespondenceEvidence | designIceBlockTableReference | hasThrusterIceImpactLoadCase | impactLoadCaseTableReference | thrusterIceImpactLoadedAreaEvidence | thrusterImpactCaseAppliesToBody</x:v>
      </x:c>
      <x:c r="F12" s="32" t="str">
        <x:v>traficomTable6Dash3Reference | traficomTable6Dash16Reference | hemisphericalContactGeometry | nonHemisphericalContactGeometry</x:v>
      </x:c>
      <x:c r="G12" s="32" t="str">
        <x:v>iceOperatingSpeed | thrusterIceImpactLoad | thrusterIceImpactDemand | thrusterResistanceCapacity | contactGeometryClassification | equivalentImpactSphereRadius</x:v>
      </x:c>
      <x:c r="H12" s="32" t="str"/>
      <x:c r="I12" s="32" t="str">
        <x:v>thrusterIceImpactLoadedAreaEvidence | contactGeometryCorrespondenceEvidence</x:v>
      </x:c>
      <x:c r="J12" s="32" t="str">
        <x:v>Each linked impact case must reference TRAFICOM Table 6-3 for the design ice block and Table 6-16 for its load case, apply to the thruster body, and classify contact geometry. Non-hemispherical geometry additionally requires an equivalent sphere radius and correspondence evidence.</x:v>
      </x:c>
      <x:c r="K12" s="32" t="str"/>
      <x:c r="L12" s="32" t="str">
        <x:v>TRAFICOM clause 6.6.5.2 explicitly cites Table 6-3 for the design ice block and Table 6-16 for impact load cases.</x:v>
      </x:c>
    </x:row>
  </x:sheetData>
  <x:conditionalFormatting sqref="B5:B12">
    <x:cfRule type="containsText" dxfId="8" priority="1" operator="containsText" text="PASS"/>
    <x:cfRule type="containsText" dxfId="9" priority="2" operator="containsText" text="ACCEPT"/>
    <x:cfRule type="containsText" dxfId="10" priority="3" operator="containsText" text="MAX"/>
    <x:cfRule type="containsText" dxfId="11" priority="4" operator="containsText" text="UNRESOLVED"/>
  </x:conditionalFormatting>
  <x:conditionalFormatting sqref="H5:H12">
    <x:cfRule type="containsText" dxfId="12" priority="5" operator="containsText" text="PASS"/>
    <x:cfRule type="containsText" dxfId="13" priority="6" operator="containsText" text="ACCEPT"/>
    <x:cfRule type="containsText" dxfId="14" priority="7" operator="containsText" text="MAX"/>
    <x:cfRule type="containsText" dxfId="15" priority="8" operator="containsText" text="UNRESOLVED"/>
  </x:conditionalFormatting>
  <x:pageMargins left="0.7" right="0.7" top="0.75" bottom="0.75" header="0.3" footer="0.3"/>
  <x:tableParts count="1">
    <x:tablePart xmlns:r="http://schemas.openxmlformats.org/officeDocument/2006/relationships" r:id="R294814cc0cd54ae9"/>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28" hidden="0" customWidth="1"/>
    <x:col min="7" max="7" width="28" hidden="0" customWidth="1"/>
  </x:cols>
  <x:sheetData>
    <x:row r="1">
      <x:c r="A1" s="25" t="str">
        <x:v>R12 Final-Gap-Closure Development Revision</x:v>
      </x:c>
      <x:c r="B1" s="9"/>
      <x:c r="C1" s="9"/>
      <x:c r="D1" s="9"/>
      <x:c r="E1" s="9"/>
      <x:c r="F1" s="9"/>
      <x:c r="G1" s="9"/>
    </x:row>
    <x:row r="2">
      <x:c r="A2" s="10" t="str">
        <x:v>SCHEMA_QUEUE | editable engineering traceability</x:v>
      </x:c>
      <x:c r="B2" s="10"/>
      <x:c r="C2" s="10"/>
      <x:c r="D2" s="10"/>
      <x:c r="E2" s="10"/>
      <x:c r="F2" s="10"/>
      <x:c r="G2" s="10"/>
    </x:row>
    <x:row r="3">
      <x:c r="A3" s="11"/>
      <x:c r="B3" s="11"/>
      <x:c r="C3" s="11"/>
      <x:c r="D3" s="11"/>
      <x:c r="E3" s="11"/>
      <x:c r="F3" s="11"/>
      <x:c r="G3" s="11"/>
    </x:row>
    <x:row r="4" ht="30" customHeight="1">
      <x:c r="A4" s="26" t="str">
        <x:v>ORDER</x:v>
      </x:c>
      <x:c r="B4" s="26" t="str">
        <x:v>REQUIREMENT_ID</x:v>
      </x:c>
      <x:c r="C4" s="26" t="str">
        <x:v>SOURCE</x:v>
      </x:c>
      <x:c r="D4" s="26" t="str">
        <x:v>PAGE</x:v>
      </x:c>
      <x:c r="E4" s="26" t="str">
        <x:v>CLAUSE</x:v>
      </x:c>
      <x:c r="F4" s="26" t="str">
        <x:v>R11_STATUS</x:v>
      </x:c>
      <x:c r="G4" s="26" t="str">
        <x:v>PURPOSE</x:v>
      </x:c>
    </x:row>
    <x:row r="5">
      <x:c r="A5" s="27" t="n">
        <x:v>1</x:v>
      </x:c>
      <x:c r="B5" s="27" t="str">
        <x:v>I2-014</x:v>
      </x:c>
      <x:c r="C5" s="27" t="str">
        <x:v>IACS_UR_I2</x:v>
      </x:c>
      <x:c r="D5" s="27" t="n">
        <x:v>5</x:v>
      </x:c>
      <x:c r="E5" s="27" t="str">
        <x:v>I2.3.2.1</x:v>
      </x:c>
      <x:c r="F5" s="27" t="str">
        <x:v>TERM_RESOLUTION_UNRESOLVED</x:v>
      </x:c>
      <x:c r="G5" s="27" t="str">
        <x:v>Confirm changed R12 vocabulary/contract once</x:v>
      </x:c>
    </x:row>
    <x:row r="6">
      <x:c r="A6" s="29" t="n">
        <x:v>2</x:v>
      </x:c>
      <x:c r="B6" s="29" t="str">
        <x:v>I2-015</x:v>
      </x:c>
      <x:c r="C6" s="29" t="str">
        <x:v>IACS_UR_I2</x:v>
      </x:c>
      <x:c r="D6" s="29" t="n">
        <x:v>5</x:v>
      </x:c>
      <x:c r="E6" s="29" t="str">
        <x:v>I2.3.2.1</x:v>
      </x:c>
      <x:c r="F6" s="29" t="str">
        <x:v>TERM_RESOLUTION_UNRESOLVED</x:v>
      </x:c>
      <x:c r="G6" s="29" t="str">
        <x:v>Confirm changed R12 vocabulary/contract once</x:v>
      </x:c>
    </x:row>
    <x:row r="7">
      <x:c r="A7" s="29" t="n">
        <x:v>3</x:v>
      </x:c>
      <x:c r="B7" s="29" t="str">
        <x:v>I2-022</x:v>
      </x:c>
      <x:c r="C7" s="29" t="str">
        <x:v>IACS_UR_I2</x:v>
      </x:c>
      <x:c r="D7" s="29" t="n">
        <x:v>8</x:v>
      </x:c>
      <x:c r="E7" s="29" t="str">
        <x:v>I2.4.2</x:v>
      </x:c>
      <x:c r="F7" s="29" t="str">
        <x:v>TERM_RESOLUTION_UNRESOLVED</x:v>
      </x:c>
      <x:c r="G7" s="29" t="str">
        <x:v>Confirm changed R12 vocabulary/contract once</x:v>
      </x:c>
    </x:row>
    <x:row r="8">
      <x:c r="A8" s="29" t="n">
        <x:v>4</x:v>
      </x:c>
      <x:c r="B8" s="29" t="str">
        <x:v>I2-030</x:v>
      </x:c>
      <x:c r="C8" s="29" t="str">
        <x:v>IACS_UR_I2</x:v>
      </x:c>
      <x:c r="D8" s="29" t="n">
        <x:v>11</x:v>
      </x:c>
      <x:c r="E8" s="29" t="str">
        <x:v>I2.5.8-I2.5.9</x:v>
      </x:c>
      <x:c r="F8" s="29" t="str">
        <x:v>MAX_ATTEMPTS_REACHED</x:v>
      </x:c>
      <x:c r="G8" s="29" t="str">
        <x:v>Confirm changed R12 vocabulary/contract once</x:v>
      </x:c>
    </x:row>
    <x:row r="9">
      <x:c r="A9" s="29" t="n">
        <x:v>5</x:v>
      </x:c>
      <x:c r="B9" s="29" t="str">
        <x:v>I2-034</x:v>
      </x:c>
      <x:c r="C9" s="29" t="str">
        <x:v>IACS_UR_I2</x:v>
      </x:c>
      <x:c r="D9" s="29" t="n">
        <x:v>13</x:v>
      </x:c>
      <x:c r="E9" s="29" t="str">
        <x:v>I2.7.1</x:v>
      </x:c>
      <x:c r="F9" s="29" t="str">
        <x:v>MAX_ATTEMPTS_REACHED</x:v>
      </x:c>
      <x:c r="G9" s="29" t="str">
        <x:v>Confirm changed R12 vocabulary/contract once</x:v>
      </x:c>
    </x:row>
    <x:row r="10">
      <x:c r="A10" s="29" t="n">
        <x:v>6</x:v>
      </x:c>
      <x:c r="B10" s="29" t="str">
        <x:v>I2-046</x:v>
      </x:c>
      <x:c r="C10" s="29" t="str">
        <x:v>IACS_UR_I2</x:v>
      </x:c>
      <x:c r="D10" s="29" t="n">
        <x:v>15</x:v>
      </x:c>
      <x:c r="E10" s="29" t="str">
        <x:v>I2.11.3</x:v>
      </x:c>
      <x:c r="F10" s="29" t="str">
        <x:v>MAX_ATTEMPTS_REACHED</x:v>
      </x:c>
      <x:c r="G10" s="29" t="str">
        <x:v>Confirm changed R12 vocabulary/contract once</x:v>
      </x:c>
    </x:row>
    <x:row r="11">
      <x:c r="A11" s="29" t="n">
        <x:v>7</x:v>
      </x:c>
      <x:c r="B11" s="29" t="str">
        <x:v>IMO-102</x:v>
      </x:c>
      <x:c r="C11" s="29" t="str">
        <x:v>IMO_POLAR_CODE</x:v>
      </x:c>
      <x:c r="D11" s="29" t="n">
        <x:v>30</x:v>
      </x:c>
      <x:c r="E11" s="29" t="str">
        <x:v>12.3.1</x:v>
      </x:c>
      <x:c r="F11" s="29" t="str">
        <x:v>TERM_RESOLUTION_UNRESOLVED</x:v>
      </x:c>
      <x:c r="G11" s="29" t="str">
        <x:v>Confirm changed R12 vocabulary/contract once</x:v>
      </x:c>
    </x:row>
    <x:row r="12">
      <x:c r="A12" s="31" t="n">
        <x:v>8</x:v>
      </x:c>
      <x:c r="B12" s="31" t="str">
        <x:v>TRF-114</x:v>
      </x:c>
      <x:c r="C12" s="31" t="str">
        <x:v>TRAFICOM</x:v>
      </x:c>
      <x:c r="D12" s="31" t="n">
        <x:v>53</x:v>
      </x:c>
      <x:c r="E12" s="31" t="str">
        <x:v>6.6.5.2</x:v>
      </x:c>
      <x:c r="F12" s="31" t="str">
        <x:v>TERM_RESOLUTION_UNRESOLVED</x:v>
      </x:c>
      <x:c r="G12" s="31" t="str">
        <x:v>Confirm changed R12 vocabulary/contract once</x:v>
      </x:c>
    </x:row>
  </x:sheetData>
  <x:conditionalFormatting sqref="F5:F12">
    <x:cfRule type="containsText" dxfId="16" priority="1" operator="containsText" text="PASS"/>
    <x:cfRule type="containsText" dxfId="17" priority="2" operator="containsText" text="ACCEPT"/>
    <x:cfRule type="containsText" dxfId="18" priority="3" operator="containsText" text="MAX"/>
    <x:cfRule type="containsText" dxfId="19" priority="4" operator="containsText" text="UNRESOLVED"/>
  </x:conditionalFormatting>
  <x:pageMargins left="0.7" right="0.7" top="0.75" bottom="0.75" header="0.3" footer="0.3"/>
  <x:tableParts count="1">
    <x:tablePart xmlns:r="http://schemas.openxmlformats.org/officeDocument/2006/relationships" r:id="R2e4968bff27945fd"/>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28" hidden="0" customWidth="1"/>
    <x:col min="7" max="7" width="52" hidden="0" customWidth="1"/>
  </x:cols>
  <x:sheetData>
    <x:row r="1">
      <x:c r="A1" s="25" t="str">
        <x:v>R12 Final-Gap-Closure Development Revision</x:v>
      </x:c>
      <x:c r="B1" s="9"/>
      <x:c r="C1" s="9"/>
      <x:c r="D1" s="9"/>
      <x:c r="E1" s="9"/>
      <x:c r="F1" s="9"/>
      <x:c r="G1" s="9"/>
    </x:row>
    <x:row r="2">
      <x:c r="A2" s="10" t="str">
        <x:v>GENERATOR_CONTROL | editable engineering traceability</x:v>
      </x:c>
      <x:c r="B2" s="10"/>
      <x:c r="C2" s="10"/>
      <x:c r="D2" s="10"/>
      <x:c r="E2" s="10"/>
      <x:c r="F2" s="10"/>
      <x:c r="G2" s="10"/>
    </x:row>
    <x:row r="3">
      <x:c r="A3" s="11"/>
      <x:c r="B3" s="11"/>
      <x:c r="C3" s="11"/>
      <x:c r="D3" s="11"/>
      <x:c r="E3" s="11"/>
      <x:c r="F3" s="11"/>
      <x:c r="G3" s="11"/>
    </x:row>
    <x:row r="4" ht="30" customHeight="1">
      <x:c r="A4" s="26" t="str">
        <x:v>ORDER</x:v>
      </x:c>
      <x:c r="B4" s="26" t="str">
        <x:v>REQUIREMENT_ID</x:v>
      </x:c>
      <x:c r="C4" s="26" t="str">
        <x:v>SOURCE</x:v>
      </x:c>
      <x:c r="D4" s="26" t="str">
        <x:v>PAGE</x:v>
      </x:c>
      <x:c r="E4" s="26" t="str">
        <x:v>CLAUSE</x:v>
      </x:c>
      <x:c r="F4" s="26" t="str">
        <x:v>R11_STATUS</x:v>
      </x:c>
      <x:c r="G4" s="26" t="str">
        <x:v>REASON</x:v>
      </x:c>
    </x:row>
    <x:row r="5">
      <x:c r="A5" s="27" t="n">
        <x:v>1</x:v>
      </x:c>
      <x:c r="B5" s="27" t="str">
        <x:v>I2-019</x:v>
      </x:c>
      <x:c r="C5" s="27" t="str">
        <x:v>IACS_UR_I2</x:v>
      </x:c>
      <x:c r="D5" s="27" t="n">
        <x:v>7</x:v>
      </x:c>
      <x:c r="E5" s="27" t="str">
        <x:v>I2.3.5</x:v>
      </x:c>
      <x:c r="F5" s="27" t="str">
        <x:v>MAX_ATTEMPTS_REACHED</x:v>
      </x:c>
      <x:c r="G5" s="28" t="str">
        <x:v>Vocabulary sufficient; isolate generator repair behavior</x:v>
      </x:c>
    </x:row>
    <x:row r="6">
      <x:c r="A6" s="29" t="n">
        <x:v>2</x:v>
      </x:c>
      <x:c r="B6" s="29" t="str">
        <x:v>I2-031</x:v>
      </x:c>
      <x:c r="C6" s="29" t="str">
        <x:v>IACS_UR_I2</x:v>
      </x:c>
      <x:c r="D6" s="29" t="n">
        <x:v>12</x:v>
      </x:c>
      <x:c r="E6" s="29" t="str">
        <x:v>I2.6.1</x:v>
      </x:c>
      <x:c r="F6" s="29" t="str">
        <x:v>MAX_ATTEMPTS_REACHED</x:v>
      </x:c>
      <x:c r="G6" s="30" t="str">
        <x:v>Vocabulary sufficient; isolate generator repair behavior</x:v>
      </x:c>
    </x:row>
    <x:row r="7">
      <x:c r="A7" s="29" t="n">
        <x:v>3</x:v>
      </x:c>
      <x:c r="B7" s="29" t="str">
        <x:v>I2-054</x:v>
      </x:c>
      <x:c r="C7" s="29" t="str">
        <x:v>IACS_UR_I2</x:v>
      </x:c>
      <x:c r="D7" s="29" t="n">
        <x:v>20</x:v>
      </x:c>
      <x:c r="E7" s="29" t="str">
        <x:v>I2.13.4.1</x:v>
      </x:c>
      <x:c r="F7" s="29" t="str">
        <x:v>MAX_ATTEMPTS_REACHED</x:v>
      </x:c>
      <x:c r="G7" s="30" t="str">
        <x:v>Vocabulary sufficient; isolate generator repair behavior</x:v>
      </x:c>
    </x:row>
    <x:row r="8">
      <x:c r="A8" s="29" t="n">
        <x:v>4</x:v>
      </x:c>
      <x:c r="B8" s="29" t="str">
        <x:v>TRF-070</x:v>
      </x:c>
      <x:c r="C8" s="29" t="str">
        <x:v>TRAFICOM</x:v>
      </x:c>
      <x:c r="D8" s="29" t="str">
        <x:v>26-27</x:v>
      </x:c>
      <x:c r="E8" s="29" t="str">
        <x:v>6.1</x:v>
      </x:c>
      <x:c r="F8" s="29" t="str">
        <x:v>MAX_ATTEMPTS_REACHED</x:v>
      </x:c>
      <x:c r="G8" s="30" t="str">
        <x:v>Vocabulary sufficient; isolate generator repair behavior</x:v>
      </x:c>
    </x:row>
    <x:row r="9">
      <x:c r="A9" s="31" t="n">
        <x:v>5</x:v>
      </x:c>
      <x:c r="B9" s="31" t="str">
        <x:v>TRF-085</x:v>
      </x:c>
      <x:c r="C9" s="31" t="str">
        <x:v>TRAFICOM</x:v>
      </x:c>
      <x:c r="D9" s="31" t="n">
        <x:v>39</x:v>
      </x:c>
      <x:c r="E9" s="31" t="str">
        <x:v>6.5.3.2</x:v>
      </x:c>
      <x:c r="F9" s="31" t="str">
        <x:v>MAX_ATTEMPTS_REACHED</x:v>
      </x:c>
      <x:c r="G9" s="32" t="str">
        <x:v>Vocabulary sufficient; isolate generator repair behavior</x:v>
      </x:c>
    </x:row>
  </x:sheetData>
  <x:conditionalFormatting sqref="F5:F9">
    <x:cfRule type="containsText" dxfId="20" priority="1" operator="containsText" text="PASS"/>
    <x:cfRule type="containsText" dxfId="21" priority="2" operator="containsText" text="ACCEPT"/>
    <x:cfRule type="containsText" dxfId="22" priority="3" operator="containsText" text="MAX"/>
    <x:cfRule type="containsText" dxfId="23" priority="4" operator="containsText" text="UNRESOLVED"/>
  </x:conditionalFormatting>
  <x:pageMargins left="0.7" right="0.7" top="0.75" bottom="0.75" header="0.3" footer="0.3"/>
  <x:tableParts count="1">
    <x:tablePart xmlns:r="http://schemas.openxmlformats.org/officeDocument/2006/relationships" r:id="R476a72f7f57b44e0"/>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8" hidden="0" customWidth="1"/>
    <x:col min="2" max="2" width="28" hidden="0" customWidth="1"/>
    <x:col min="3" max="3" width="52" hidden="0" customWidth="1"/>
  </x:cols>
  <x:sheetData>
    <x:row r="1">
      <x:c r="A1" s="25" t="str">
        <x:v>R12 Final-Gap-Closure Development Revision</x:v>
      </x:c>
      <x:c r="B1" s="9"/>
      <x:c r="C1" s="9"/>
    </x:row>
    <x:row r="2">
      <x:c r="A2" s="10" t="str">
        <x:v>VALIDATION | editable engineering traceability</x:v>
      </x:c>
      <x:c r="B2" s="10"/>
      <x:c r="C2" s="10"/>
    </x:row>
    <x:row r="3">
      <x:c r="A3" s="11"/>
      <x:c r="B3" s="11"/>
      <x:c r="C3" s="11"/>
    </x:row>
    <x:row r="4" ht="30" customHeight="1">
      <x:c r="A4" s="26" t="str">
        <x:v>CHECK</x:v>
      </x:c>
      <x:c r="B4" s="26" t="str">
        <x:v>RESULT</x:v>
      </x:c>
      <x:c r="C4" s="26" t="str">
        <x:v>DETAIL</x:v>
      </x:c>
    </x:row>
    <x:row r="5">
      <x:c r="A5" s="27" t="str">
        <x:v>Ontology and registry</x:v>
      </x:c>
      <x:c r="B5" s="27" t="str">
        <x:v>PASS</x:v>
      </x:c>
      <x:c r="C5" s="28" t="str">
        <x:v>1607 terms; 24 R12 additions</x:v>
      </x:c>
    </x:row>
    <x:row r="6">
      <x:c r="A6" s="29" t="str">
        <x:v>Local-name QA</x:v>
      </x:c>
      <x:c r="B6" s="29" t="str">
        <x:v>PASS</x:v>
      </x:c>
      <x:c r="C6" s="30" t="str">
        <x:v>All registry local names are unique ASCII-only lowerCamelCase identifiers</x:v>
      </x:c>
    </x:row>
    <x:row r="7">
      <x:c r="A7" s="29" t="str">
        <x:v>Source grounding</x:v>
      </x:c>
      <x:c r="B7" s="29" t="str">
        <x:v>PASS</x:v>
      </x:c>
      <x:c r="C7" s="30" t="str">
        <x:v>Controlled training values verified in MSC.385(94) 12.3.1; table/contact terms verified in TRAFICOM 6.6.5.2</x:v>
      </x:c>
    </x:row>
    <x:row r="8">
      <x:c r="A8" s="29" t="str">
        <x:v>Schema confirmation queue</x:v>
      </x:c>
      <x:c r="B8" s="29" t="str">
        <x:v>PASS</x:v>
      </x:c>
      <x:c r="C8" s="30" t="str">
        <x:v>8 changed-context cases</x:v>
      </x:c>
    </x:row>
    <x:row r="9">
      <x:c r="A9" s="29" t="str">
        <x:v>Generator control queue</x:v>
      </x:c>
      <x:c r="B9" s="29" t="str">
        <x:v>PASS</x:v>
      </x:c>
      <x:c r="C9" s="30" t="str">
        <x:v>5 sufficient-vocabulary cases</x:v>
      </x:c>
    </x:row>
    <x:row r="10">
      <x:c r="A10" s="31" t="str">
        <x:v>API calls during R12 build</x:v>
      </x:c>
      <x:c r="B10" s="31" t="str">
        <x:v>PASS</x:v>
      </x:c>
      <x:c r="C10" s="32" t="str">
        <x:v>0</x:v>
      </x:c>
    </x:row>
  </x:sheetData>
  <x:conditionalFormatting sqref="B5:B10">
    <x:cfRule type="containsText" dxfId="24" priority="1" operator="containsText" text="PASS"/>
    <x:cfRule type="containsText" dxfId="25" priority="2" operator="containsText" text="ACCEPT"/>
    <x:cfRule type="containsText" dxfId="26" priority="3" operator="containsText" text="MAX"/>
    <x:cfRule type="containsText" dxfId="27" priority="4" operator="containsText" text="UNRESOLVED"/>
  </x:conditionalFormatting>
  <x:pageMargins left="0.7" right="0.7" top="0.75" bottom="0.75" header="0.3" footer="0.3"/>
  <x:tableParts count="1">
    <x:tablePart xmlns:r="http://schemas.openxmlformats.org/officeDocument/2006/relationships" r:id="Red26dd54f94e42a6"/>
  </x:tableParts>
</x:worksheet>
</file>