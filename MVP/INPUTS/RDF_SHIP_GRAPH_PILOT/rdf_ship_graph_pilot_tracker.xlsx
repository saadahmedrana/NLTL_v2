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2b6f639f3b44307" /></Relationships>
</file>

<file path=xl/workbook.xml><?xml version="1.0" encoding="utf-8"?>
<x:workbook xmlns:x="http://schemas.openxmlformats.org/spreadsheetml/2006/main">
  <x:sheets>
    <x:sheet xmlns:r="http://schemas.openxmlformats.org/officeDocument/2006/relationships" name="README" sheetId="1" r:id="R7e173692af864c08"/>
    <x:sheet xmlns:r="http://schemas.openxmlformats.org/officeDocument/2006/relationships" name="CASES" sheetId="2" r:id="Rc56830eee7c54ae2"/>
    <x:sheet xmlns:r="http://schemas.openxmlformats.org/officeDocument/2006/relationships" name="FILE_REGULATION_MAP" sheetId="3" r:id="R19e725c83d844192"/>
    <x:sheet xmlns:r="http://schemas.openxmlformats.org/officeDocument/2006/relationships" name="REQUIREMENTS" sheetId="4" r:id="Rf417deb8e7564f6e"/>
    <x:sheet xmlns:r="http://schemas.openxmlformats.org/officeDocument/2006/relationships" name="VOCABULARY" sheetId="5" r:id="R6da9440165ee4495"/>
    <x:sheet xmlns:r="http://schemas.openxmlformats.org/officeDocument/2006/relationships" name="VALIDATION_RUNS" sheetId="6" r:id="R4bfc3726076b4730"/>
    <x:sheet xmlns:r="http://schemas.openxmlformats.org/officeDocument/2006/relationships" name="EXTENSION_QUEUE" sheetId="7" r:id="R554315728d114e34"/>
    <x:sheet xmlns:r="http://schemas.openxmlformats.org/officeDocument/2006/relationships" name="CHANGE_LOG" sheetId="8" r:id="R58931c53dadb4c8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b/>
      <x:sz val="16"/>
      <x:color rgb="FFFFFFFF"/>
      <x:name val="Carlito"/>
    </x:font>
    <x:font>
      <x:i/>
      <x:sz val="11"/>
      <x:color rgb="FF5B6573"/>
      <x:name val="Carlito"/>
    </x:font>
    <x:font>
      <x:b/>
      <x:sz val="11"/>
      <x:color rgb="FFFFFFFF"/>
      <x:name val="Carlito"/>
    </x:font>
    <x:font>
      <x:sz val="10"/>
      <x:color rgb="FF1E293B"/>
      <x:name val="Carlito"/>
    </x:font>
    <x:font>
      <x:b/>
      <x:sz val="11"/>
      <x:color rgb="FF7A4B00"/>
      <x:name val="Carlito"/>
    </x:font>
  </x:fonts>
  <x:fills count="6">
    <x:fill>
      <x:patternFill patternType="none"/>
    </x:fill>
    <x:fill>
      <x:patternFill patternType="gray125"/>
    </x:fill>
    <x:fill>
      <x:patternFill patternType="solid">
        <x:fgColor rgb="FF16324F"/>
      </x:patternFill>
    </x:fill>
    <x:fill>
      <x:patternFill patternType="solid">
        <x:fgColor rgb="FFE8F0F7"/>
      </x:patternFill>
    </x:fill>
    <x:fill>
      <x:patternFill patternType="solid">
        <x:fgColor rgb="FF0F766E"/>
      </x:patternFill>
    </x:fill>
    <x:fill>
      <x:patternFill patternType="solid">
        <x:fgColor rgb="FFFFF4D6"/>
      </x:patternFill>
    </x:fill>
  </x:fills>
  <x:borders count="6">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bottom style="thin">
        <x:color rgb="FFD8DEE8"/>
      </x:bottom>
    </x:border>
    <x:border>
      <x:top style="thin">
        <x:color rgb="FFD8DEE8"/>
      </x:top>
      <x:bottom style="thin">
        <x:color rgb="FFD8DEE8"/>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1" fontId="0" fillId="0" borderId="0" xfId="0" applyNumberFormat="1" applyFont="1" applyFill="1" applyBorder="1"/>
    <x:xf numFmtId="201" fontId="4" fillId="0" borderId="0" xfId="0" applyNumberFormat="1" applyFont="1" applyFill="1" applyBorder="1"/>
    <x:xf numFmtId="201" fontId="4" fillId="0" borderId="4" xfId="0" applyNumberFormat="1" applyFont="1" applyFill="1" applyBorder="1"/>
    <x:xf numFmtId="201" fontId="4" fillId="0" borderId="5" xfId="0" applyNumberFormat="1" applyFont="1" applyFill="1" applyBorder="1"/>
    <x:xf numFmtId="201" fontId="4" fillId="0" borderId="4" xfId="0" applyNumberFormat="1" applyFont="1" applyFill="1" applyBorder="1" applyAlignment="1">
      <x:alignment wrapText="1"/>
    </x:xf>
    <x:xf numFmtId="201" fontId="4" fillId="0" borderId="5" xfId="0" applyNumberFormat="1" applyFont="1" applyFill="1" applyBorder="1" applyAlignment="1">
      <x:alignment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cellXfs>
  <x:cellStyles count="1">
    <x:cellStyle name="Normal" xfId="0"/>
  </x:cellStyles>
  <x:dxfs count="2">
    <x:dxf>
      <x:font>
        <x:b/>
        <x:color rgb="FF166534"/>
      </x:font>
      <x:fill>
        <x:patternFill patternType="solid">
          <x:bgColor rgb="FFE4F4E8"/>
        </x:patternFill>
      </x:fill>
    </x:dxf>
    <x:dxf>
      <x:font>
        <x:b/>
        <x:color rgb="FF991B1B"/>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52f41632dc4957" /><Relationship Type="http://schemas.openxmlformats.org/officeDocument/2006/relationships/theme" Target="/xl/theme/theme1.xml" Id="R13c6fa29825b445f" /><Relationship Type="http://schemas.openxmlformats.org/officeDocument/2006/relationships/sharedStrings" Target="/xl/sharedStrings.xml" Id="R56b791d2b789477f" /><Relationship Type="http://schemas.openxmlformats.org/officeDocument/2006/relationships/worksheet" Target="/xl/worksheets/sheet1.xml" Id="R7e173692af864c08" /><Relationship Type="http://schemas.openxmlformats.org/officeDocument/2006/relationships/worksheet" Target="/xl/worksheets/sheet2.xml" Id="Rc56830eee7c54ae2" /><Relationship Type="http://schemas.openxmlformats.org/officeDocument/2006/relationships/worksheet" Target="/xl/worksheets/sheet3.xml" Id="R19e725c83d844192" /><Relationship Type="http://schemas.openxmlformats.org/officeDocument/2006/relationships/worksheet" Target="/xl/worksheets/sheet4.xml" Id="Rf417deb8e7564f6e" /><Relationship Type="http://schemas.openxmlformats.org/officeDocument/2006/relationships/worksheet" Target="/xl/worksheets/sheet5.xml" Id="R6da9440165ee4495" /><Relationship Type="http://schemas.openxmlformats.org/officeDocument/2006/relationships/worksheet" Target="/xl/worksheets/sheet6.xml" Id="R4bfc3726076b4730" /><Relationship Type="http://schemas.openxmlformats.org/officeDocument/2006/relationships/worksheet" Target="/xl/worksheets/sheet7.xml" Id="R554315728d114e34" /><Relationship Type="http://schemas.openxmlformats.org/officeDocument/2006/relationships/worksheet" Target="/xl/worksheets/sheet8.xml" Id="R58931c53dadb4c8a" /><Relationship Type="http://schemas.microsoft.com/office/2017/10/relationships/person" Target="/xl/persons/person.xml" Id="R853bee92eed64b23" /></Relationships>
</file>

<file path=xl/persons/person.xml><?xml version="1.0" encoding="utf-8"?>
<xltc:personList xmlns:xltc="http://schemas.microsoft.com/office/spreadsheetml/2018/threadedcomments">
  <xltc:person displayName="User" id="{29C381E7-31D1-4234-B8A8-C98A76C1892A}"/>
</xltc:personList>
</file>

<file path=xl/tables/table1.xml><?xml version="1.0" encoding="utf-8"?>
<x:table xmlns:x="http://schemas.openxmlformats.org/spreadsheetml/2006/main" id="1" name="PilotCasesTable" displayName="PilotCasesTable" ref="A4:M8" headerRowCount="1" totalsRowCount="0" totalsRowShown="0">
  <x:autoFilter ref="A4:M8"/>
  <x:tableColumns count="13">
    <x:tableColumn id="1" name="Case ID"/>
    <x:tableColumn id="2" name="Level"/>
    <x:tableColumn id="3" name="Title"/>
    <x:tableColumn id="4" name="Review Status"/>
    <x:tableColumn id="5" name="Requirement Count"/>
    <x:tableColumn id="6" name="RDF Variant Count"/>
    <x:tableColumn id="7" name="Expected Pass Files"/>
    <x:tableColumn id="8" name="Expected Fail Files"/>
    <x:tableColumn id="9" name="Validation Matches"/>
    <x:tableColumn id="10" name="Coverage Summary"/>
    <x:tableColumn id="11" name="Main Limitation"/>
    <x:tableColumn id="12" name="Owner / Reviewer"/>
    <x:tableColumn id="13" name="Review Notes"/>
  </x:tableColumns>
  <x:tableStyleInfo name="TableStyleMedium2" showFirstColumn="0" showLastColumn="0" showRowStripes="1" showColumnStripes="0"/>
</x:table>
</file>

<file path=xl/tables/table2.xml><?xml version="1.0" encoding="utf-8"?>
<x:table xmlns:x="http://schemas.openxmlformats.org/spreadsheetml/2006/main" id="2" name="FileRegulationMapTable" displayName="FileRegulationMapTable" ref="A4:R18" headerRowCount="1" totalsRowCount="0" totalsRowShown="0">
  <x:autoFilter ref="A4:R18"/>
  <x:tableColumns count="18">
    <x:tableColumn id="1" name="Case ID"/>
    <x:tableColumn id="2" name="Level"/>
    <x:tableColumn id="3" name="Variant ID"/>
    <x:tableColumn id="4" name="RDF Data File"/>
    <x:tableColumn id="5" name="Expected Result"/>
    <x:tableColumn id="6" name="SHACL File"/>
    <x:tableColumn id="7" name="Requirement ID"/>
    <x:tableColumn id="8" name="Regulation File"/>
    <x:tableColumn id="9" name="Source Title"/>
    <x:tableColumn id="10" name="Edition / Effective Date"/>
    <x:tableColumn id="11" name="Clause"/>
    <x:tableColumn id="12" name="PDF Page"/>
    <x:tableColumn id="13" name="Printed Page"/>
    <x:tableColumn id="14" name="Coverage"/>
    <x:tableColumn id="15" name="Coverage Note"/>
    <x:tableColumn id="16" name="Deliberate Violation"/>
    <x:tableColumn id="17" name="Review Status"/>
    <x:tableColumn id="18" name="Reviewer Notes"/>
  </x:tableColumns>
  <x:tableStyleInfo name="TableStyleMedium2" showFirstColumn="0" showLastColumn="0" showRowStripes="1" showColumnStripes="0"/>
</x:table>
</file>

<file path=xl/tables/table3.xml><?xml version="1.0" encoding="utf-8"?>
<x:table xmlns:x="http://schemas.openxmlformats.org/spreadsheetml/2006/main" id="3" name="PilotRequirementsTable" displayName="PilotRequirementsTable" ref="A4:O9" headerRowCount="1" totalsRowCount="0" totalsRowShown="0">
  <x:autoFilter ref="A4:O9"/>
  <x:tableColumns count="15">
    <x:tableColumn id="1" name="Requirement ID"/>
    <x:tableColumn id="2" name="Source"/>
    <x:tableColumn id="3" name="Edition"/>
    <x:tableColumn id="4" name="Section"/>
    <x:tableColumn id="5" name="Clause"/>
    <x:tableColumn id="6" name="PDF Page"/>
    <x:tableColumn id="7" name="Printed Page"/>
    <x:tableColumn id="8" name="Exact Source Text"/>
    <x:tableColumn id="9" name="Approved Normalized Requirement"/>
    <x:tableColumn id="10" name="Encoding Pattern"/>
    <x:tableColumn id="11" name="Required Inputs"/>
    <x:tableColumn id="12" name="Active Status"/>
    <x:tableColumn id="13" name="Source File"/>
    <x:tableColumn id="14" name="Source URL"/>
    <x:tableColumn id="15" name="Pilot Coverage Note"/>
  </x:tableColumns>
  <x:tableStyleInfo name="TableStyleMedium2" showFirstColumn="0" showLastColumn="0" showRowStripes="1" showColumnStripes="0"/>
</x:table>
</file>

<file path=xl/tables/table4.xml><?xml version="1.0" encoding="utf-8"?>
<x:table xmlns:x="http://schemas.openxmlformats.org/spreadsheetml/2006/main" id="4" name="PilotVocabularyTable" displayName="PilotVocabularyTable" ref="A4:M24" headerRowCount="1" totalsRowCount="0" totalsRowShown="0">
  <x:autoFilter ref="A4:M24"/>
  <x:tableColumns count="13">
    <x:tableColumn id="1" name="Local Name"/>
    <x:tableColumn id="2" name="Exact IRI"/>
    <x:tableColumn id="3" name="Authority"/>
    <x:tableColumn id="4" name="Concept ID"/>
    <x:tableColumn id="5" name="Human Label"/>
    <x:tableColumn id="6" name="Kind"/>
    <x:tableColumn id="7" name="Datatype / Range"/>
    <x:tableColumn id="8" name="Unit IRI"/>
    <x:tableColumn id="9" name="Naming Basis"/>
    <x:tableColumn id="10" name="Used in Cases"/>
    <x:tableColumn id="11" name="Linked Pilot Requirements"/>
    <x:tableColumn id="12" name="Automated Check"/>
    <x:tableColumn id="13" name="Review Notes"/>
  </x:tableColumns>
  <x:tableStyleInfo name="TableStyleMedium2" showFirstColumn="0" showLastColumn="0" showRowStripes="1" showColumnStripes="0"/>
</x:table>
</file>

<file path=xl/tables/table5.xml><?xml version="1.0" encoding="utf-8"?>
<x:table xmlns:x="http://schemas.openxmlformats.org/spreadsheetml/2006/main" id="5" name="PilotValidationRunsTable" displayName="PilotValidationRunsTable" ref="A4:O12" headerRowCount="1" totalsRowCount="0" totalsRowShown="0">
  <x:autoFilter ref="A4:O12"/>
  <x:tableColumns count="15">
    <x:tableColumn id="1" name="Case ID"/>
    <x:tableColumn id="2" name="Variant ID"/>
    <x:tableColumn id="3" name="RDF Data File"/>
    <x:tableColumn id="4" name="SHACL File"/>
    <x:tableColumn id="5" name="Expected Result"/>
    <x:tableColumn id="6" name="Actual Result"/>
    <x:tableColumn id="7" name="Outcome Match"/>
    <x:tableColumn id="8" name="Validation Message"/>
    <x:tableColumn id="9" name="Data SHA-256"/>
    <x:tableColumn id="10" name="Shape SHA-256"/>
    <x:tableColumn id="11" name="Validation Date"/>
    <x:tableColumn id="12" name="pySHACL"/>
    <x:tableColumn id="13" name="RDFLib"/>
    <x:tableColumn id="14" name="Errors"/>
    <x:tableColumn id="15" name="Review Notes"/>
  </x:tableColumns>
  <x:tableStyleInfo name="TableStyleMedium2" showFirstColumn="0" showLastColumn="0" showRowStripes="1" showColumnStripes="0"/>
</x:table>
</file>

<file path=xl/tables/table6.xml><?xml version="1.0" encoding="utf-8"?>
<x:table xmlns:x="http://schemas.openxmlformats.org/spreadsheetml/2006/main" id="6" name="PilotExtensionQueueTable" displayName="PilotExtensionQueueTable" ref="A4:L24" headerRowCount="1" totalsRowCount="0" totalsRowShown="0">
  <x:autoFilter ref="A4:L24"/>
  <x:tableColumns count="12">
    <x:tableColumn id="1" name="Candidate Case ID"/>
    <x:tableColumn id="2" name="Requirement ID"/>
    <x:tableColumn id="3" name="Proposed Level"/>
    <x:tableColumn id="4" name="Why Add It"/>
    <x:tableColumn id="5" name="Source Verified"/>
    <x:tableColumn id="6" name="Vocabulary Verified"/>
    <x:tableColumn id="7" name="Shape Status"/>
    <x:tableColumn id="8" name="Pass Graph Status"/>
    <x:tableColumn id="9" name="Fail Graph Status"/>
    <x:tableColumn id="10" name="Human Review"/>
    <x:tableColumn id="11" name="Priority"/>
    <x:tableColumn id="12" name="Notes / Vocabulary Gaps"/>
  </x:tableColumns>
  <x:tableStyleInfo name="TableStyleMedium2" showFirstColumn="0" showLastColumn="0" showRowStripes="1" showColumnStripes="0"/>
</x:table>
</file>

<file path=xl/tables/table7.xml><?xml version="1.0" encoding="utf-8"?>
<x:table xmlns:x="http://schemas.openxmlformats.org/spreadsheetml/2006/main" id="7" name="PilotChangeLogTable" displayName="PilotChangeLogTable" ref="A4:H7" headerRowCount="1" totalsRowCount="0" totalsRowShown="0">
  <x:autoFilter ref="A4:H7"/>
  <x:tableColumns count="8">
    <x:tableColumn id="1" name="Change ID"/>
    <x:tableColumn id="2" name="Date"/>
    <x:tableColumn id="3" name="Area"/>
    <x:tableColumn id="4" name="Action"/>
    <x:tableColumn id="5" name="Reason"/>
    <x:tableColumn id="6" name="Files / Cases"/>
    <x:tableColumn id="7" name="Author / Reviewer"/>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1c2832e7044d31" /></Relationships>
</file>

<file path=xl/worksheets/_rels/sheet3.xml.rels>&#65279;<?xml version="1.0" encoding="utf-8"?><Relationships xmlns="http://schemas.openxmlformats.org/package/2006/relationships"><Relationship Type="http://schemas.openxmlformats.org/officeDocument/2006/relationships/table" Target="/xl/tables/table2.xml" Id="R848b924dac654483" /></Relationships>
</file>

<file path=xl/worksheets/_rels/sheet4.xml.rels>&#65279;<?xml version="1.0" encoding="utf-8"?><Relationships xmlns="http://schemas.openxmlformats.org/package/2006/relationships"><Relationship Type="http://schemas.openxmlformats.org/officeDocument/2006/relationships/table" Target="/xl/tables/table3.xml" Id="R63f698bff5bd475b" /></Relationships>
</file>

<file path=xl/worksheets/_rels/sheet5.xml.rels>&#65279;<?xml version="1.0" encoding="utf-8"?><Relationships xmlns="http://schemas.openxmlformats.org/package/2006/relationships"><Relationship Type="http://schemas.openxmlformats.org/officeDocument/2006/relationships/table" Target="/xl/tables/table4.xml" Id="R98724932f5b44936" /></Relationships>
</file>

<file path=xl/worksheets/_rels/sheet6.xml.rels>&#65279;<?xml version="1.0" encoding="utf-8"?><Relationships xmlns="http://schemas.openxmlformats.org/package/2006/relationships"><Relationship Type="http://schemas.openxmlformats.org/officeDocument/2006/relationships/table" Target="/xl/tables/table5.xml" Id="Rffc3dab64b674567" /></Relationships>
</file>

<file path=xl/worksheets/_rels/sheet7.xml.rels>&#65279;<?xml version="1.0" encoding="utf-8"?><Relationships xmlns="http://schemas.openxmlformats.org/package/2006/relationships"><Relationship Type="http://schemas.openxmlformats.org/officeDocument/2006/relationships/table" Target="/xl/tables/table6.xml" Id="R25df45bc0ed343d0" /></Relationships>
</file>

<file path=xl/worksheets/_rels/sheet8.xml.rels>&#65279;<?xml version="1.0" encoding="utf-8"?><Relationships xmlns="http://schemas.openxmlformats.org/package/2006/relationships"><Relationship Type="http://schemas.openxmlformats.org/officeDocument/2006/relationships/table" Target="/xl/tables/table7.xml" Id="Rf9159ba66326422a"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48" hidden="0" customWidth="1"/>
    <x:col min="4" max="4" width="44" hidden="0" customWidth="1"/>
  </x:cols>
  <x:sheetData>
    <x:row r="1" ht="30" customHeight="1">
      <x:c r="A1" s="3" t="str">
        <x:v>RDF ship graph pilot tracker</x:v>
      </x:c>
      <x:c r="B1" s="3"/>
      <x:c r="C1" s="3"/>
      <x:c r="D1" s="3"/>
      <x:c r="E1" s="3"/>
      <x:c r="F1" s="3"/>
      <x:c r="G1" s="3"/>
      <x:c r="H1" s="3"/>
    </x:row>
    <x:row r="2" ht="34" customHeight="1">
      <x:c r="A2" s="7" t="str">
        <x:v>Editable control workbook for pilot ship graphs, regulation mappings, vocabulary use, and validation evidence.</x:v>
      </x:c>
      <x:c r="B2" s="7"/>
      <x:c r="C2" s="7"/>
      <x:c r="D2" s="7"/>
      <x:c r="E2" s="7"/>
      <x:c r="F2" s="7"/>
      <x:c r="G2" s="7"/>
      <x:c r="H2" s="7"/>
    </x:row>
    <x:row r="4" ht="32" customHeight="1">
      <x:c r="A4" s="16" t="str">
        <x:v>Pilot summary</x:v>
      </x:c>
      <x:c r="B4" s="17" t="str">
        <x:v>Value</x:v>
      </x:c>
      <x:c r="C4" s="17" t="str">
        <x:v>Meaning</x:v>
      </x:c>
      <x:c r="D4" s="18" t="str">
        <x:v>Review action</x:v>
      </x:c>
    </x:row>
    <x:row r="5">
      <x:c r="A5" s="24" t="str">
        <x:v>Cases</x:v>
      </x:c>
      <x:c r="B5" s="24" t="n">
        <x:f>COUNTA('CASES'!$A$5:$A$104)</x:f>
        <x:v>4</x:v>
      </x:c>
      <x:c r="C5" s="24" t="str">
        <x:v>Two requirement-level and two integrated pilot cases</x:v>
      </x:c>
      <x:c r="D5" s="24" t="str">
        <x:v>Review case scope and status in CASES</x:v>
      </x:c>
    </x:row>
    <x:row r="6">
      <x:c r="A6" s="25" t="str">
        <x:v>RDF variants</x:v>
      </x:c>
      <x:c r="B6" s="25" t="n">
        <x:f>COUNTA('VALIDATION_RUNS'!$B$5:$B$204)</x:f>
        <x:v>8</x:v>
      </x:c>
      <x:c r="C6" s="25" t="str">
        <x:v>One pass and one single-fault fail graph per case</x:v>
      </x:c>
      <x:c r="D6" s="25" t="str">
        <x:v>Use VALIDATION_RUNS for executable outcomes</x:v>
      </x:c>
    </x:row>
    <x:row r="7">
      <x:c r="A7" s="25" t="str">
        <x:v>Requirement-file links</x:v>
      </x:c>
      <x:c r="B7" s="25" t="n">
        <x:f>COUNTA('FILE_REGULATION_MAP'!$A$5:$A$204)</x:f>
        <x:v>14</x:v>
      </x:c>
      <x:c r="C7" s="25" t="str">
        <x:v>One row per RDF file and linked requirement</x:v>
      </x:c>
      <x:c r="D7" s="25" t="str">
        <x:v>Use FILE_REGULATION_MAP when adding or editing files</x:v>
      </x:c>
    </x:row>
    <x:row r="8">
      <x:c r="A8" s="25" t="str">
        <x:v>Validation matches</x:v>
      </x:c>
      <x:c r="B8" s="25" t="str">
        <x:f>COUNTIF('VALIDATION_RUNS'!$G$5:$G$204,"PASS")&amp;"/"&amp;COUNTA('VALIDATION_RUNS'!$B$5:$B$204)</x:f>
        <x:v>8/8</x:v>
      </x:c>
      <x:c r="C8" s="25" t="str">
        <x:v>Expected outcome equals executable outcome</x:v>
      </x:c>
      <x:c r="D8" s="25" t="str">
        <x:v>Resolve every mismatch before locking</x:v>
      </x:c>
    </x:row>
    <x:row r="9">
      <x:c r="A9" s="25" t="str">
        <x:v>Vocabulary terms used</x:v>
      </x:c>
      <x:c r="B9" s="25" t="n">
        <x:f>COUNTA('VOCABULARY'!$A$5:$A$204)</x:f>
        <x:v>20</x:v>
      </x:c>
      <x:c r="C9" s="25" t="str">
        <x:v>Exact canonical terms used by shapes and RDF</x:v>
      </x:c>
      <x:c r="D9" s="25" t="str">
        <x:v>Add terms only after registry/ontology verification</x:v>
      </x:c>
    </x:row>
    <x:row r="11" ht="32" customHeight="1">
      <x:c r="A11" s="16" t="str">
        <x:v>Editing workflow</x:v>
      </x:c>
      <x:c r="B11" s="17" t="str">
        <x:v>Step</x:v>
      </x:c>
      <x:c r="C11" s="17" t="str">
        <x:v>Where</x:v>
      </x:c>
      <x:c r="D11" s="18" t="str">
        <x:v>Completion rule</x:v>
      </x:c>
    </x:row>
    <x:row r="12">
      <x:c r="A12" s="24" t="str">
        <x:v>Select</x:v>
      </x:c>
      <x:c r="B12" s="24" t="n">
        <x:v>1</x:v>
      </x:c>
      <x:c r="C12" s="24" t="str">
        <x:v>EXTENSION_QUEUE</x:v>
      </x:c>
      <x:c r="D12" s="24" t="str">
        <x:v>Choose a requirement and record why it belongs in the benchmark</x:v>
      </x:c>
    </x:row>
    <x:row r="13">
      <x:c r="A13" s="25" t="str">
        <x:v>Trace</x:v>
      </x:c>
      <x:c r="B13" s="25" t="n">
        <x:v>2</x:v>
      </x:c>
      <x:c r="C13" s="25" t="str">
        <x:v>REQUIREMENTS and FILE_REGULATION_MAP</x:v>
      </x:c>
      <x:c r="D13" s="25" t="str">
        <x:v>Verify exact source, edition, clause, and PDF page</x:v>
      </x:c>
    </x:row>
    <x:row r="14">
      <x:c r="A14" s="25" t="str">
        <x:v>Ground</x:v>
      </x:c>
      <x:c r="B14" s="25" t="n">
        <x:v>3</x:v>
      </x:c>
      <x:c r="C14" s="25" t="str">
        <x:v>VOCABULARY</x:v>
      </x:c>
      <x:c r="D14" s="25" t="str">
        <x:v>Use only locked terms or record a vocabulary gap</x:v>
      </x:c>
    </x:row>
    <x:row r="15">
      <x:c r="A15" s="25" t="str">
        <x:v>Build</x:v>
      </x:c>
      <x:c r="B15" s="25" t="n">
        <x:v>4</x:v>
      </x:c>
      <x:c r="C15" s="25" t="str">
        <x:v>Case folder</x:v>
      </x:c>
      <x:c r="D15" s="25" t="str">
        <x:v>Create a conforming graph before creating a single-fault failing graph</x:v>
      </x:c>
    </x:row>
    <x:row r="16">
      <x:c r="A16" s="25" t="str">
        <x:v>Validate</x:v>
      </x:c>
      <x:c r="B16" s="25" t="n">
        <x:v>5</x:v>
      </x:c>
      <x:c r="C16" s="25" t="str">
        <x:v>VALIDATION_RUNS</x:v>
      </x:c>
      <x:c r="D16" s="25" t="str">
        <x:v>Expected and actual results must match</x:v>
      </x:c>
    </x:row>
    <x:row r="17">
      <x:c r="A17" s="25" t="str">
        <x:v>Review</x:v>
      </x:c>
      <x:c r="B17" s="25" t="n">
        <x:v>6</x:v>
      </x:c>
      <x:c r="C17" s="25" t="str">
        <x:v>CASES</x:v>
      </x:c>
      <x:c r="D17" s="25" t="str">
        <x:v>A human reviewer marks Approved or Locked</x:v>
      </x:c>
    </x:row>
    <x:row r="19">
      <x:c r="A19" s="28" t="str">
        <x:v>Scope note: IMO-075 is a deterministic subset. The workbook does not invent a distance threshold for the phrase 'as close as practical'.</x:v>
      </x:c>
      <x:c r="B19" s="28"/>
      <x:c r="C19" s="28"/>
      <x:c r="D19" s="28"/>
      <x:c r="E19" s="28"/>
      <x:c r="F19" s="28"/>
      <x:c r="G19" s="28"/>
      <x:c r="H19" s="28"/>
    </x:row>
  </x:sheetData>
  <x:mergeCells>
    <x:mergeCell ref="A1:H1"/>
    <x:mergeCell ref="A2:H2"/>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38"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48" hidden="0" customWidth="1"/>
    <x:col min="11" max="11" width="48" hidden="0" customWidth="1"/>
    <x:col min="12" max="12" width="28" hidden="0" customWidth="1"/>
    <x:col min="13" max="13" width="28" hidden="0" customWidth="1"/>
  </x:cols>
  <x:sheetData>
    <x:row r="1" ht="30" customHeight="1">
      <x:c r="A1" s="3" t="str">
        <x:v>Pilot case register</x:v>
      </x:c>
      <x:c r="B1" s="3"/>
      <x:c r="C1" s="3"/>
      <x:c r="D1" s="3"/>
      <x:c r="E1" s="3"/>
      <x:c r="F1" s="3"/>
      <x:c r="G1" s="3"/>
      <x:c r="H1" s="3"/>
      <x:c r="I1" s="3"/>
      <x:c r="J1" s="3"/>
      <x:c r="K1" s="3"/>
      <x:c r="L1" s="3"/>
      <x:c r="M1" s="3"/>
    </x:row>
    <x:row r="2" ht="34" customHeight="1">
      <x:c r="A2" s="7" t="str">
        <x:v>One editable row per requirement-level or integrated ship case.</x:v>
      </x:c>
      <x:c r="B2" s="7"/>
      <x:c r="C2" s="7"/>
      <x:c r="D2" s="7"/>
      <x:c r="E2" s="7"/>
      <x:c r="F2" s="7"/>
      <x:c r="G2" s="7"/>
      <x:c r="H2" s="7"/>
      <x:c r="I2" s="7"/>
      <x:c r="J2" s="7"/>
      <x:c r="K2" s="7"/>
      <x:c r="L2" s="7"/>
      <x:c r="M2" s="7"/>
    </x:row>
    <x:row r="4" ht="32" customHeight="1">
      <x:c r="A4" s="16" t="str">
        <x:v>Case ID</x:v>
      </x:c>
      <x:c r="B4" s="17" t="str">
        <x:v>Level</x:v>
      </x:c>
      <x:c r="C4" s="17" t="str">
        <x:v>Title</x:v>
      </x:c>
      <x:c r="D4" s="17" t="str">
        <x:v>Review Status</x:v>
      </x:c>
      <x:c r="E4" s="17" t="str">
        <x:v>Requirement Count</x:v>
      </x:c>
      <x:c r="F4" s="17" t="str">
        <x:v>RDF Variant Count</x:v>
      </x:c>
      <x:c r="G4" s="17" t="str">
        <x:v>Expected Pass Files</x:v>
      </x:c>
      <x:c r="H4" s="17" t="str">
        <x:v>Expected Fail Files</x:v>
      </x:c>
      <x:c r="I4" s="17" t="str">
        <x:v>Validation Matches</x:v>
      </x:c>
      <x:c r="J4" s="17" t="str">
        <x:v>Coverage Summary</x:v>
      </x:c>
      <x:c r="K4" s="17" t="str">
        <x:v>Main Limitation</x:v>
      </x:c>
      <x:c r="L4" s="17" t="str">
        <x:v>Owner / Reviewer</x:v>
      </x:c>
      <x:c r="M4" s="18" t="str">
        <x:v>Review Notes</x:v>
      </x:c>
    </x:row>
    <x:row r="5">
      <x:c r="A5" s="24" t="str">
        <x:v>RQ-IMO-075</x:v>
      </x:c>
      <x:c r="B5" s="24" t="str">
        <x:v>requirement</x:v>
      </x:c>
      <x:c r="C5" s="24" t="str">
        <x:v>Survival-equipment capacity and accessible storage</x:v>
      </x:c>
      <x:c r="D5" s="24" t="str">
        <x:v>Pilot - reviewable</x:v>
      </x:c>
      <x:c r="E5" s="24" t="n">
        <x:v>1</x:v>
      </x:c>
      <x:c r="F5" s="24" t="n">
        <x:f>COUNTIF('VALIDATION_RUNS'!$A$5:$A$204,A5)</x:f>
        <x:v>2</x:v>
      </x:c>
      <x:c r="G5" s="24" t="n">
        <x:f>COUNTIFS('VALIDATION_RUNS'!$A$5:$A$204,A5,'VALIDATION_RUNS'!$E$5:$E$204,"Conforms")</x:f>
        <x:v>1</x:v>
      </x:c>
      <x:c r="H5" s="24" t="n">
        <x:f>COUNTIFS('VALIDATION_RUNS'!$A$5:$A$204,A5,'VALIDATION_RUNS'!$E$5:$E$204,"Does not conform")</x:f>
        <x:v>1</x:v>
      </x:c>
      <x:c r="I5" s="24" t="str">
        <x:f>COUNTIFS('VALIDATION_RUNS'!$A$5:$A$204,A5,'VALIDATION_RUNS'!$G$5:$G$204,"PASS")&amp;"/"&amp;F5</x:f>
        <x:v>2/2</x:v>
      </x:c>
      <x:c r="J5" s="24" t="str">
        <x:v>IMO-075: Deterministic subset</x:v>
      </x:c>
      <x:c r="K5" s="24" t="str">
        <x:v>Validates 110 percent capacity and accessible storage. The unquantified phrase 'as close as practical' is not converted into an invented distance threshold.</x:v>
      </x:c>
      <x:c r="L5" s="24" t="str"/>
      <x:c r="M5" s="24" t="str"/>
    </x:row>
    <x:row r="6">
      <x:c r="A6" s="25" t="str">
        <x:v>RQ-IMO26-014</x:v>
      </x:c>
      <x:c r="B6" s="25" t="str">
        <x:v>requirement</x:v>
      </x:c>
      <x:c r="C6" s="25" t="str">
        <x:v>Visual ice-detection illumination means</x:v>
      </x:c>
      <x:c r="D6" s="25" t="str">
        <x:v>Pilot - reviewable</x:v>
      </x:c>
      <x:c r="E6" s="25" t="n">
        <x:v>1</x:v>
      </x:c>
      <x:c r="F6" s="25" t="n">
        <x:f>COUNTIF('VALIDATION_RUNS'!$A$5:$A$204,A6)</x:f>
        <x:v>2</x:v>
      </x:c>
      <x:c r="G6" s="25" t="n">
        <x:f>COUNTIFS('VALIDATION_RUNS'!$A$5:$A$204,A6,'VALIDATION_RUNS'!$E$5:$E$204,"Conforms")</x:f>
        <x:v>1</x:v>
      </x:c>
      <x:c r="H6" s="25" t="n">
        <x:f>COUNTIFS('VALIDATION_RUNS'!$A$5:$A$204,A6,'VALIDATION_RUNS'!$E$5:$E$204,"Does not conform")</x:f>
        <x:v>1</x:v>
      </x:c>
      <x:c r="I6" s="25" t="str">
        <x:f>COUNTIFS('VALIDATION_RUNS'!$A$5:$A$204,A6,'VALIDATION_RUNS'!$G$5:$G$204,"PASS")&amp;"/"&amp;F6</x:f>
        <x:v>2/2</x:v>
      </x:c>
      <x:c r="J6" s="25" t="str">
        <x:v>IMO26-014: Full deterministic encoding</x:v>
      </x:c>
      <x:c r="K6" s="25" t="str">
        <x:v>None recorded</x:v>
      </x:c>
      <x:c r="L6" s="25" t="str"/>
      <x:c r="M6" s="25" t="str"/>
    </x:row>
    <x:row r="7">
      <x:c r="A7" s="25" t="str">
        <x:v>INT-001</x:v>
      </x:c>
      <x:c r="B7" s="25" t="str">
        <x:v>integrated</x:v>
      </x:c>
      <x:c r="C7" s="25" t="str">
        <x:v>Polar survival and bridge-wing design</x:v>
      </x:c>
      <x:c r="D7" s="25" t="str">
        <x:v>Pilot - reviewable</x:v>
      </x:c>
      <x:c r="E7" s="25" t="n">
        <x:v>2</x:v>
      </x:c>
      <x:c r="F7" s="25" t="n">
        <x:f>COUNTIF('VALIDATION_RUNS'!$A$5:$A$204,A7)</x:f>
        <x:v>2</x:v>
      </x:c>
      <x:c r="G7" s="25" t="n">
        <x:f>COUNTIFS('VALIDATION_RUNS'!$A$5:$A$204,A7,'VALIDATION_RUNS'!$E$5:$E$204,"Conforms")</x:f>
        <x:v>1</x:v>
      </x:c>
      <x:c r="H7" s="25" t="n">
        <x:f>COUNTIFS('VALIDATION_RUNS'!$A$5:$A$204,A7,'VALIDATION_RUNS'!$E$5:$E$204,"Does not conform")</x:f>
        <x:v>1</x:v>
      </x:c>
      <x:c r="I7" s="25" t="str">
        <x:f>COUNTIFS('VALIDATION_RUNS'!$A$5:$A$204,A7,'VALIDATION_RUNS'!$G$5:$G$204,"PASS")&amp;"/"&amp;F7</x:f>
        <x:v>2/2</x:v>
      </x:c>
      <x:c r="J7" s="25" t="str">
        <x:v>IMO-075: Deterministic subset | IMO-085: Full deterministic encoding</x:v>
      </x:c>
      <x:c r="K7" s="25" t="str">
        <x:v>Validates capacity and accessibility; no invented threshold for 'as close as practical'.</x:v>
      </x:c>
      <x:c r="L7" s="25" t="str"/>
      <x:c r="M7" s="25" t="str"/>
    </x:row>
    <x:row r="8">
      <x:c r="A8" s="25" t="str">
        <x:v>INT-002</x:v>
      </x:c>
      <x:c r="B8" s="25" t="str">
        <x:v>integrated</x:v>
      </x:c>
      <x:c r="C8" s="25" t="str">
        <x:v>January 2026 navigation package</x:v>
      </x:c>
      <x:c r="D8" s="25" t="str">
        <x:v>Pilot - reviewable</x:v>
      </x:c>
      <x:c r="E8" s="25" t="n">
        <x:v>3</x:v>
      </x:c>
      <x:c r="F8" s="25" t="n">
        <x:f>COUNTIF('VALIDATION_RUNS'!$A$5:$A$204,A8)</x:f>
        <x:v>2</x:v>
      </x:c>
      <x:c r="G8" s="25" t="n">
        <x:f>COUNTIFS('VALIDATION_RUNS'!$A$5:$A$204,A8,'VALIDATION_RUNS'!$E$5:$E$204,"Conforms")</x:f>
        <x:v>1</x:v>
      </x:c>
      <x:c r="H8" s="25" t="n">
        <x:f>COUNTIFS('VALIDATION_RUNS'!$A$5:$A$204,A8,'VALIDATION_RUNS'!$E$5:$E$204,"Does not conform")</x:f>
        <x:v>1</x:v>
      </x:c>
      <x:c r="I8" s="25" t="str">
        <x:f>COUNTIFS('VALIDATION_RUNS'!$A$5:$A$204,A8,'VALIDATION_RUNS'!$G$5:$G$204,"PASS")&amp;"/"&amp;F8</x:f>
        <x:v>2/2</x:v>
      </x:c>
      <x:c r="J8" s="25" t="str">
        <x:v>IMO26-007: Full deterministic encoding | IMO26-011: Full deterministic encoding | IMO26-014: Full deterministic encoding</x:v>
      </x:c>
      <x:c r="K8" s="25" t="str">
        <x:v>None recorded</x:v>
      </x:c>
      <x:c r="L8" s="25" t="str"/>
      <x:c r="M8" s="25" t="str"/>
    </x:row>
  </x:sheetData>
  <x:mergeCells>
    <x:mergeCell ref="A1:M1"/>
    <x:mergeCell ref="A2:M2"/>
  </x:mergeCells>
  <x:dataValidations count="1">
    <x:dataValidation type="list" sqref="D5:D104">
      <x:formula1>"Pilot - reviewable,Approved,Locked,Needs revision,Retired"</x:formula1>
    </x:dataValidation>
  </x:dataValidations>
  <x:pageMargins left="0.7" right="0.7" top="0.75" bottom="0.75" header="0.3" footer="0.3"/>
  <x:tableParts count="1">
    <x:tablePart xmlns:r="http://schemas.openxmlformats.org/officeDocument/2006/relationships" r:id="R941c2832e7044d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5" max="5" width="16" hidden="0" customWidth="1"/>
    <x:col min="7" max="7" width="16" hidden="0" customWidth="1"/>
    <x:col min="11" max="11" width="16" hidden="0" customWidth="1"/>
    <x:col min="12" max="12" width="16" hidden="0" customWidth="1"/>
    <x:col min="13" max="13" width="16" hidden="0" customWidth="1"/>
    <x:col min="14" max="14" width="16" hidden="0" customWidth="1"/>
    <x:col min="17" max="17" width="16" hidden="0" customWidth="1"/>
    <x:col min="4" max="4" width="42" hidden="0" customWidth="1"/>
    <x:col min="6" max="6" width="42" hidden="0" customWidth="1"/>
    <x:col min="8" max="8" width="42" hidden="0" customWidth="1"/>
    <x:col min="9" max="9" width="42" hidden="0" customWidth="1"/>
    <x:col min="10" max="10" width="36" hidden="0" customWidth="1"/>
    <x:col min="15" max="15" width="52" hidden="0" customWidth="1"/>
    <x:col min="16" max="16" width="52" hidden="0" customWidth="1"/>
    <x:col min="18" max="18" width="32" hidden="0" customWidth="1"/>
  </x:cols>
  <x:sheetData>
    <x:row r="1" ht="30" customHeight="1">
      <x:c r="A1" s="3" t="str">
        <x:v>File-to-regulation mapping</x:v>
      </x:c>
      <x:c r="B1" s="3"/>
      <x:c r="C1" s="3"/>
      <x:c r="D1" s="3"/>
      <x:c r="E1" s="3"/>
      <x:c r="F1" s="3"/>
      <x:c r="G1" s="3"/>
      <x:c r="H1" s="3"/>
      <x:c r="I1" s="3"/>
      <x:c r="J1" s="3"/>
      <x:c r="K1" s="3"/>
      <x:c r="L1" s="3"/>
      <x:c r="M1" s="3"/>
      <x:c r="N1" s="3"/>
      <x:c r="O1" s="3"/>
      <x:c r="P1" s="3"/>
      <x:c r="Q1" s="3"/>
      <x:c r="R1" s="3"/>
    </x:row>
    <x:row r="2" ht="34" customHeight="1">
      <x:c r="A2" s="7" t="str">
        <x:v>Direct trace from every RDF variant to each regulation it is intended to assess.</x:v>
      </x:c>
      <x:c r="B2" s="7"/>
      <x:c r="C2" s="7"/>
      <x:c r="D2" s="7"/>
      <x:c r="E2" s="7"/>
      <x:c r="F2" s="7"/>
      <x:c r="G2" s="7"/>
      <x:c r="H2" s="7"/>
      <x:c r="I2" s="7"/>
      <x:c r="J2" s="7"/>
      <x:c r="K2" s="7"/>
      <x:c r="L2" s="7"/>
      <x:c r="M2" s="7"/>
      <x:c r="N2" s="7"/>
      <x:c r="O2" s="7"/>
      <x:c r="P2" s="7"/>
      <x:c r="Q2" s="7"/>
      <x:c r="R2" s="7"/>
    </x:row>
    <x:row r="4" ht="32" customHeight="1">
      <x:c r="A4" s="16" t="str">
        <x:v>Case ID</x:v>
      </x:c>
      <x:c r="B4" s="17" t="str">
        <x:v>Level</x:v>
      </x:c>
      <x:c r="C4" s="17" t="str">
        <x:v>Variant ID</x:v>
      </x:c>
      <x:c r="D4" s="17" t="str">
        <x:v>RDF Data File</x:v>
      </x:c>
      <x:c r="E4" s="17" t="str">
        <x:v>Expected Result</x:v>
      </x:c>
      <x:c r="F4" s="17" t="str">
        <x:v>SHACL File</x:v>
      </x:c>
      <x:c r="G4" s="17" t="str">
        <x:v>Requirement ID</x:v>
      </x:c>
      <x:c r="H4" s="17" t="str">
        <x:v>Regulation File</x:v>
      </x:c>
      <x:c r="I4" s="17" t="str">
        <x:v>Source Title</x:v>
      </x:c>
      <x:c r="J4" s="17" t="str">
        <x:v>Edition / Effective Date</x:v>
      </x:c>
      <x:c r="K4" s="17" t="str">
        <x:v>Clause</x:v>
      </x:c>
      <x:c r="L4" s="17" t="str">
        <x:v>PDF Page</x:v>
      </x:c>
      <x:c r="M4" s="17" t="str">
        <x:v>Printed Page</x:v>
      </x:c>
      <x:c r="N4" s="17" t="str">
        <x:v>Coverage</x:v>
      </x:c>
      <x:c r="O4" s="17" t="str">
        <x:v>Coverage Note</x:v>
      </x:c>
      <x:c r="P4" s="17" t="str">
        <x:v>Deliberate Violation</x:v>
      </x:c>
      <x:c r="Q4" s="17" t="str">
        <x:v>Review Status</x:v>
      </x:c>
      <x:c r="R4" s="18" t="str">
        <x:v>Reviewer Notes</x:v>
      </x:c>
    </x:row>
    <x:row r="5">
      <x:c r="A5" s="24" t="str">
        <x:v>RQ-IMO-075</x:v>
      </x:c>
      <x:c r="B5" s="24" t="str">
        <x:v>requirement</x:v>
      </x:c>
      <x:c r="C5" s="24" t="str">
        <x:v>RQ-IMO-075-PASS</x:v>
      </x:c>
      <x:c r="D5" s="24" t="str">
        <x:v>requirement_level/RQ-IMO-075_survival_equipment/RQ-IMO-075_pass.ttl</x:v>
      </x:c>
      <x:c r="E5" s="24" t="str">
        <x:v>Conforms</x:v>
      </x:c>
      <x:c r="F5" s="24" t="str">
        <x:v>requirement_level/RQ-IMO-075_survival_equipment/RQ-IMO-075_shapes.ttl</x:v>
      </x:c>
      <x:c r="G5" s="24" t="str">
        <x:v>IMO-075</x:v>
      </x:c>
      <x:c r="H5" s="24" t="str">
        <x:v>RELEVANT FILES/MSC.385(94).pdf</x:v>
      </x:c>
      <x:c r="I5" s="24" t="str">
        <x:v>International Code for Ships Operating in Polar Waters (Polar Code)</x:v>
      </x:c>
      <x:c r="J5" s="24" t="str">
        <x:v>Resolution MSC.385(94), adopted 21 Nov 2014; consolidated with MEPC.264(68), adopted 15 May 2015</x:v>
      </x:c>
      <x:c r="K5" s="24" t="str">
        <x:v>8.3.3.3.3.2</x:v>
      </x:c>
      <x:c r="L5" s="24" t="n">
        <x:v>25</x:v>
      </x:c>
      <x:c r="M5" s="24" t="n">
        <x:v>24</x:v>
      </x:c>
      <x:c r="N5" s="24" t="str">
        <x:v>Deterministic subset</x:v>
      </x:c>
      <x:c r="O5" s="24" t="str">
        <x:v>Validates 110 percent capacity and accessible storage. The unquantified phrase 'as close as practical' is not converted into an invented distance threshold.</x:v>
      </x:c>
      <x:c r="P5" s="24" t="str">
        <x:v>None</x:v>
      </x:c>
      <x:c r="Q5" s="24" t="str">
        <x:v>Pilot - reviewable</x:v>
      </x:c>
      <x:c r="R5" s="24" t="str"/>
    </x:row>
    <x:row r="6">
      <x:c r="A6" s="25" t="str">
        <x:v>RQ-IMO-075</x:v>
      </x:c>
      <x:c r="B6" s="25" t="str">
        <x:v>requirement</x:v>
      </x:c>
      <x:c r="C6" s="25" t="str">
        <x:v>RQ-IMO-075-FAIL</x:v>
      </x:c>
      <x:c r="D6" s="25" t="str">
        <x:v>requirement_level/RQ-IMO-075_survival_equipment/RQ-IMO-075_fail.ttl</x:v>
      </x:c>
      <x:c r="E6" s="25" t="str">
        <x:v>Does not conform</x:v>
      </x:c>
      <x:c r="F6" s="25" t="str">
        <x:v>requirement_level/RQ-IMO-075_survival_equipment/RQ-IMO-075_shapes.ttl</x:v>
      </x:c>
      <x:c r="G6" s="25" t="str">
        <x:v>IMO-075</x:v>
      </x:c>
      <x:c r="H6" s="25" t="str">
        <x:v>RELEVANT FILES/MSC.385(94).pdf</x:v>
      </x:c>
      <x:c r="I6" s="25" t="str">
        <x:v>International Code for Ships Operating in Polar Waters (Polar Code)</x:v>
      </x:c>
      <x:c r="J6" s="25" t="str">
        <x:v>Resolution MSC.385(94), adopted 21 Nov 2014; consolidated with MEPC.264(68), adopted 15 May 2015</x:v>
      </x:c>
      <x:c r="K6" s="25" t="str">
        <x:v>8.3.3.3.3.2</x:v>
      </x:c>
      <x:c r="L6" s="25" t="n">
        <x:v>25</x:v>
      </x:c>
      <x:c r="M6" s="25" t="n">
        <x:v>24</x:v>
      </x:c>
      <x:c r="N6" s="25" t="str">
        <x:v>Deterministic subset</x:v>
      </x:c>
      <x:c r="O6" s="25" t="str">
        <x:v>Validates 110 percent capacity and accessible storage. The unquantified phrase 'as close as practical' is not converted into an invented distance threshold.</x:v>
      </x:c>
      <x:c r="P6" s="25" t="str">
        <x:v>availableSurvivalEquipmentCapacity is 54 for 50 persons; integer capacity 55 is the minimum satisfying 110 percent</x:v>
      </x:c>
      <x:c r="Q6" s="25" t="str">
        <x:v>Pilot - reviewable</x:v>
      </x:c>
      <x:c r="R6" s="25" t="str"/>
    </x:row>
    <x:row r="7">
      <x:c r="A7" s="25" t="str">
        <x:v>RQ-IMO26-014</x:v>
      </x:c>
      <x:c r="B7" s="25" t="str">
        <x:v>requirement</x:v>
      </x:c>
      <x:c r="C7" s="25" t="str">
        <x:v>RQ-IMO26-014-PASS</x:v>
      </x:c>
      <x:c r="D7" s="25" t="str">
        <x:v>requirement_level/RQ-IMO26-014_illumination_means/RQ-IMO26-014_pass.ttl</x:v>
      </x:c>
      <x:c r="E7" s="25" t="str">
        <x:v>Conforms</x:v>
      </x:c>
      <x:c r="F7" s="25" t="str">
        <x:v>requirement_level/RQ-IMO26-014_illumination_means/RQ-IMO26-014_shapes.ttl</x:v>
      </x:c>
      <x:c r="G7" s="25" t="str">
        <x:v>IMO26-014</x:v>
      </x:c>
      <x:c r="H7" s="25" t="str">
        <x:v>RELEVANT FILES/POLARCODES.pdf</x:v>
      </x:c>
      <x:c r="I7" s="25" t="str">
        <x:v>Polar Code January 2026 Supplement - Resolution MSC.538(107)</x:v>
      </x:c>
      <x:c r="J7" s="25" t="str">
        <x:v>January 2026 Supplement; effective 1 Jan 2026</x:v>
      </x:c>
      <x:c r="K7" s="25" t="str">
        <x:v>9-1.3.3</x:v>
      </x:c>
      <x:c r="L7" s="25" t="n">
        <x:v>4</x:v>
      </x:c>
      <x:c r="M7" s="25" t="n">
        <x:v>4</x:v>
      </x:c>
      <x:c r="N7" s="25" t="str">
        <x:v>Full deterministic encoding</x:v>
      </x:c>
      <x:c r="O7" s="25" t="str">
        <x:v>The continuous-daylight exception and minimum equipment count are both represented.</x:v>
      </x:c>
      <x:c r="P7" s="25" t="str">
        <x:v>None</x:v>
      </x:c>
      <x:c r="Q7" s="25" t="str">
        <x:v>Pilot - reviewable</x:v>
      </x:c>
      <x:c r="R7" s="25" t="str"/>
    </x:row>
    <x:row r="8">
      <x:c r="A8" s="25" t="str">
        <x:v>RQ-IMO26-014</x:v>
      </x:c>
      <x:c r="B8" s="25" t="str">
        <x:v>requirement</x:v>
      </x:c>
      <x:c r="C8" s="25" t="str">
        <x:v>RQ-IMO26-014-FAIL</x:v>
      </x:c>
      <x:c r="D8" s="25" t="str">
        <x:v>requirement_level/RQ-IMO26-014_illumination_means/RQ-IMO26-014_fail.ttl</x:v>
      </x:c>
      <x:c r="E8" s="25" t="str">
        <x:v>Does not conform</x:v>
      </x:c>
      <x:c r="F8" s="25" t="str">
        <x:v>requirement_level/RQ-IMO26-014_illumination_means/RQ-IMO26-014_shapes.ttl</x:v>
      </x:c>
      <x:c r="G8" s="25" t="str">
        <x:v>IMO26-014</x:v>
      </x:c>
      <x:c r="H8" s="25" t="str">
        <x:v>RELEVANT FILES/POLARCODES.pdf</x:v>
      </x:c>
      <x:c r="I8" s="25" t="str">
        <x:v>Polar Code January 2026 Supplement - Resolution MSC.538(107)</x:v>
      </x:c>
      <x:c r="J8" s="25" t="str">
        <x:v>January 2026 Supplement; effective 1 Jan 2026</x:v>
      </x:c>
      <x:c r="K8" s="25" t="str">
        <x:v>9-1.3.3</x:v>
      </x:c>
      <x:c r="L8" s="25" t="n">
        <x:v>4</x:v>
      </x:c>
      <x:c r="M8" s="25" t="n">
        <x:v>4</x:v>
      </x:c>
      <x:c r="N8" s="25" t="str">
        <x:v>Full deterministic encoding</x:v>
      </x:c>
      <x:c r="O8" s="25" t="str">
        <x:v>The continuous-daylight exception and minimum equipment count are both represented.</x:v>
      </x:c>
      <x:c r="P8" s="25" t="str">
        <x:v>visualIceDetectionIlluminationMeansCount is 1 although the continuous-daylight exception is false</x:v>
      </x:c>
      <x:c r="Q8" s="25" t="str">
        <x:v>Pilot - reviewable</x:v>
      </x:c>
      <x:c r="R8" s="25" t="str"/>
    </x:row>
    <x:row r="9">
      <x:c r="A9" s="25" t="str">
        <x:v>INT-001</x:v>
      </x:c>
      <x:c r="B9" s="25" t="str">
        <x:v>integrated</x:v>
      </x:c>
      <x:c r="C9" s="25" t="str">
        <x:v>INT-001-PASS</x:v>
      </x:c>
      <x:c r="D9" s="25" t="str">
        <x:v>integrated/INT-001_polar_survival_bridge/INT-001_pass.ttl</x:v>
      </x:c>
      <x:c r="E9" s="25" t="str">
        <x:v>Conforms</x:v>
      </x:c>
      <x:c r="F9" s="25" t="str">
        <x:v>integrated/INT-001_polar_survival_bridge/INT-001_shapes.ttl</x:v>
      </x:c>
      <x:c r="G9" s="25" t="str">
        <x:v>IMO-075</x:v>
      </x:c>
      <x:c r="H9" s="25" t="str">
        <x:v>RELEVANT FILES/MSC.385(94).pdf</x:v>
      </x:c>
      <x:c r="I9" s="25" t="str">
        <x:v>International Code for Ships Operating in Polar Waters (Polar Code)</x:v>
      </x:c>
      <x:c r="J9" s="25" t="str">
        <x:v>Resolution MSC.385(94), adopted 21 Nov 2014; consolidated with MEPC.264(68), adopted 15 May 2015</x:v>
      </x:c>
      <x:c r="K9" s="25" t="str">
        <x:v>8.3.3.3.3.2</x:v>
      </x:c>
      <x:c r="L9" s="25" t="n">
        <x:v>25</x:v>
      </x:c>
      <x:c r="M9" s="25" t="n">
        <x:v>24</x:v>
      </x:c>
      <x:c r="N9" s="25" t="str">
        <x:v>Deterministic subset</x:v>
      </x:c>
      <x:c r="O9" s="25" t="str">
        <x:v>Validates capacity and accessibility; no invented threshold for 'as close as practical'.</x:v>
      </x:c>
      <x:c r="P9" s="25" t="str">
        <x:v>None</x:v>
      </x:c>
      <x:c r="Q9" s="25" t="str">
        <x:v>Pilot - reviewable</x:v>
      </x:c>
      <x:c r="R9" s="25" t="str"/>
    </x:row>
    <x:row r="10">
      <x:c r="A10" s="25" t="str">
        <x:v>INT-001</x:v>
      </x:c>
      <x:c r="B10" s="25" t="str">
        <x:v>integrated</x:v>
      </x:c>
      <x:c r="C10" s="25" t="str">
        <x:v>INT-001-PASS</x:v>
      </x:c>
      <x:c r="D10" s="25" t="str">
        <x:v>integrated/INT-001_polar_survival_bridge/INT-001_pass.ttl</x:v>
      </x:c>
      <x:c r="E10" s="25" t="str">
        <x:v>Conforms</x:v>
      </x:c>
      <x:c r="F10" s="25" t="str">
        <x:v>integrated/INT-001_polar_survival_bridge/INT-001_shapes.ttl</x:v>
      </x:c>
      <x:c r="G10" s="25" t="str">
        <x:v>IMO-085</x:v>
      </x:c>
      <x:c r="H10" s="25" t="str">
        <x:v>RELEVANT FILES/MSC.385(94).pdf</x:v>
      </x:c>
      <x:c r="I10" s="25" t="str">
        <x:v>International Code for Ships Operating in Polar Waters (Polar Code)</x:v>
      </x:c>
      <x:c r="J10" s="25" t="str">
        <x:v>Resolution MSC.385(94), adopted 21 Nov 2014; consolidated with MEPC.264(68), adopted 15 May 2015</x:v>
      </x:c>
      <x:c r="K10" s="25" t="str">
        <x:v>9.3.2.1.4.2</x:v>
      </x:c>
      <x:c r="L10" s="25" t="n">
        <x:v>27</x:v>
      </x:c>
      <x:c r="M10" s="25" t="n">
        <x:v>26</x:v>
      </x:c>
      <x:c r="N10" s="25" t="str">
        <x:v>Full deterministic encoding</x:v>
      </x:c>
      <x:c r="O10" s="25" t="str">
        <x:v>Represents category, construction date, and the two permitted bridge-wing paths.</x:v>
      </x:c>
      <x:c r="P10" s="25" t="str">
        <x:v>None</x:v>
      </x:c>
      <x:c r="Q10" s="25" t="str">
        <x:v>Pilot - reviewable</x:v>
      </x:c>
      <x:c r="R10" s="25" t="str"/>
    </x:row>
    <x:row r="11">
      <x:c r="A11" s="25" t="str">
        <x:v>INT-001</x:v>
      </x:c>
      <x:c r="B11" s="25" t="str">
        <x:v>integrated</x:v>
      </x:c>
      <x:c r="C11" s="25" t="str">
        <x:v>INT-001-FAIL</x:v>
      </x:c>
      <x:c r="D11" s="25" t="str">
        <x:v>integrated/INT-001_polar_survival_bridge/INT-001_fail.ttl</x:v>
      </x:c>
      <x:c r="E11" s="25" t="str">
        <x:v>Does not conform</x:v>
      </x:c>
      <x:c r="F11" s="25" t="str">
        <x:v>integrated/INT-001_polar_survival_bridge/INT-001_shapes.ttl</x:v>
      </x:c>
      <x:c r="G11" s="25" t="str">
        <x:v>IMO-075</x:v>
      </x:c>
      <x:c r="H11" s="25" t="str">
        <x:v>RELEVANT FILES/MSC.385(94).pdf</x:v>
      </x:c>
      <x:c r="I11" s="25" t="str">
        <x:v>International Code for Ships Operating in Polar Waters (Polar Code)</x:v>
      </x:c>
      <x:c r="J11" s="25" t="str">
        <x:v>Resolution MSC.385(94), adopted 21 Nov 2014; consolidated with MEPC.264(68), adopted 15 May 2015</x:v>
      </x:c>
      <x:c r="K11" s="25" t="str">
        <x:v>8.3.3.3.3.2</x:v>
      </x:c>
      <x:c r="L11" s="25" t="n">
        <x:v>25</x:v>
      </x:c>
      <x:c r="M11" s="25" t="n">
        <x:v>24</x:v>
      </x:c>
      <x:c r="N11" s="25" t="str">
        <x:v>Deterministic subset</x:v>
      </x:c>
      <x:c r="O11" s="25" t="str">
        <x:v>Validates capacity and accessibility; no invented threshold for 'as close as practical'.</x:v>
      </x:c>
      <x:c r="P11" s="25" t="str">
        <x:v>bridgeWingsEnclosed changes from true to false while bridgeWingProtectionDesignStatus remains false</x:v>
      </x:c>
      <x:c r="Q11" s="25" t="str">
        <x:v>Pilot - reviewable</x:v>
      </x:c>
      <x:c r="R11" s="25" t="str"/>
    </x:row>
    <x:row r="12">
      <x:c r="A12" s="25" t="str">
        <x:v>INT-001</x:v>
      </x:c>
      <x:c r="B12" s="25" t="str">
        <x:v>integrated</x:v>
      </x:c>
      <x:c r="C12" s="25" t="str">
        <x:v>INT-001-FAIL</x:v>
      </x:c>
      <x:c r="D12" s="25" t="str">
        <x:v>integrated/INT-001_polar_survival_bridge/INT-001_fail.ttl</x:v>
      </x:c>
      <x:c r="E12" s="25" t="str">
        <x:v>Does not conform</x:v>
      </x:c>
      <x:c r="F12" s="25" t="str">
        <x:v>integrated/INT-001_polar_survival_bridge/INT-001_shapes.ttl</x:v>
      </x:c>
      <x:c r="G12" s="25" t="str">
        <x:v>IMO-085</x:v>
      </x:c>
      <x:c r="H12" s="25" t="str">
        <x:v>RELEVANT FILES/MSC.385(94).pdf</x:v>
      </x:c>
      <x:c r="I12" s="25" t="str">
        <x:v>International Code for Ships Operating in Polar Waters (Polar Code)</x:v>
      </x:c>
      <x:c r="J12" s="25" t="str">
        <x:v>Resolution MSC.385(94), adopted 21 Nov 2014; consolidated with MEPC.264(68), adopted 15 May 2015</x:v>
      </x:c>
      <x:c r="K12" s="25" t="str">
        <x:v>9.3.2.1.4.2</x:v>
      </x:c>
      <x:c r="L12" s="25" t="n">
        <x:v>27</x:v>
      </x:c>
      <x:c r="M12" s="25" t="n">
        <x:v>26</x:v>
      </x:c>
      <x:c r="N12" s="25" t="str">
        <x:v>Full deterministic encoding</x:v>
      </x:c>
      <x:c r="O12" s="25" t="str">
        <x:v>Represents category, construction date, and the two permitted bridge-wing paths.</x:v>
      </x:c>
      <x:c r="P12" s="25" t="str">
        <x:v>bridgeWingsEnclosed changes from true to false while bridgeWingProtectionDesignStatus remains false</x:v>
      </x:c>
      <x:c r="Q12" s="25" t="str">
        <x:v>Pilot - reviewable</x:v>
      </x:c>
      <x:c r="R12" s="25" t="str"/>
    </x:row>
    <x:row r="13">
      <x:c r="A13" s="25" t="str">
        <x:v>INT-002</x:v>
      </x:c>
      <x:c r="B13" s="25" t="str">
        <x:v>integrated</x:v>
      </x:c>
      <x:c r="C13" s="25" t="str">
        <x:v>INT-002-PASS</x:v>
      </x:c>
      <x:c r="D13" s="25" t="str">
        <x:v>integrated/INT-002_2026_navigation/INT-002_pass.ttl</x:v>
      </x:c>
      <x:c r="E13" s="25" t="str">
        <x:v>Conforms</x:v>
      </x:c>
      <x:c r="F13" s="25" t="str">
        <x:v>integrated/INT-002_2026_navigation/INT-002_shapes.ttl</x:v>
      </x:c>
      <x:c r="G13" s="25" t="str">
        <x:v>IMO26-007</x:v>
      </x:c>
      <x:c r="H13" s="25" t="str">
        <x:v>RELEVANT FILES/POLARCODES.pdf</x:v>
      </x:c>
      <x:c r="I13" s="25" t="str">
        <x:v>Polar Code January 2026 Supplement - Resolution MSC.538(107)</x:v>
      </x:c>
      <x:c r="J13" s="25" t="str">
        <x:v>January 2026 Supplement; effective 1 Jan 2026</x:v>
      </x:c>
      <x:c r="K13" s="25" t="str">
        <x:v>9-1.3.2.1.1</x:v>
      </x:c>
      <x:c r="L13" s="25" t="n">
        <x:v>3</x:v>
      </x:c>
      <x:c r="M13" s="25" t="n">
        <x:v>3</x:v>
      </x:c>
      <x:c r="N13" s="25" t="str">
        <x:v>Full deterministic encoding</x:v>
      </x:c>
      <x:c r="O13" s="25" t="str">
        <x:v>Represents both equipment alternatives and the Administration-accepted equivalent path.</x:v>
      </x:c>
      <x:c r="P13" s="25" t="str">
        <x:v>None</x:v>
      </x:c>
      <x:c r="Q13" s="25" t="str">
        <x:v>Pilot - reviewable</x:v>
      </x:c>
      <x:c r="R13" s="25" t="str"/>
    </x:row>
    <x:row r="14">
      <x:c r="A14" s="25" t="str">
        <x:v>INT-002</x:v>
      </x:c>
      <x:c r="B14" s="25" t="str">
        <x:v>integrated</x:v>
      </x:c>
      <x:c r="C14" s="25" t="str">
        <x:v>INT-002-PASS</x:v>
      </x:c>
      <x:c r="D14" s="25" t="str">
        <x:v>integrated/INT-002_2026_navigation/INT-002_pass.ttl</x:v>
      </x:c>
      <x:c r="E14" s="25" t="str">
        <x:v>Conforms</x:v>
      </x:c>
      <x:c r="F14" s="25" t="str">
        <x:v>integrated/INT-002_2026_navigation/INT-002_shapes.ttl</x:v>
      </x:c>
      <x:c r="G14" s="25" t="str">
        <x:v>IMO26-011</x:v>
      </x:c>
      <x:c r="H14" s="25" t="str">
        <x:v>RELEVANT FILES/POLARCODES.pdf</x:v>
      </x:c>
      <x:c r="I14" s="25" t="str">
        <x:v>Polar Code January 2026 Supplement - Resolution MSC.538(107)</x:v>
      </x:c>
      <x:c r="J14" s="25" t="str">
        <x:v>January 2026 Supplement; effective 1 Jan 2026</x:v>
      </x:c>
      <x:c r="K14" s="25" t="str">
        <x:v>9-1.3.2.1.4.2</x:v>
      </x:c>
      <x:c r="L14" s="25" t="n">
        <x:v>4</x:v>
      </x:c>
      <x:c r="M14" s="25" t="n">
        <x:v>4</x:v>
      </x:c>
      <x:c r="N14" s="25" t="str">
        <x:v>Full deterministic encoding</x:v>
      </x:c>
      <x:c r="O14" s="25" t="str">
        <x:v>Represents enclosed, protective-design, and Administration-accepted equivalent paths.</x:v>
      </x:c>
      <x:c r="P14" s="25" t="str">
        <x:v>None</x:v>
      </x:c>
      <x:c r="Q14" s="25" t="str">
        <x:v>Pilot - reviewable</x:v>
      </x:c>
      <x:c r="R14" s="25" t="str"/>
    </x:row>
    <x:row r="15">
      <x:c r="A15" s="25" t="str">
        <x:v>INT-002</x:v>
      </x:c>
      <x:c r="B15" s="25" t="str">
        <x:v>integrated</x:v>
      </x:c>
      <x:c r="C15" s="25" t="str">
        <x:v>INT-002-PASS</x:v>
      </x:c>
      <x:c r="D15" s="25" t="str">
        <x:v>integrated/INT-002_2026_navigation/INT-002_pass.ttl</x:v>
      </x:c>
      <x:c r="E15" s="25" t="str">
        <x:v>Conforms</x:v>
      </x:c>
      <x:c r="F15" s="25" t="str">
        <x:v>integrated/INT-002_2026_navigation/INT-002_shapes.ttl</x:v>
      </x:c>
      <x:c r="G15" s="25" t="str">
        <x:v>IMO26-014</x:v>
      </x:c>
      <x:c r="H15" s="25" t="str">
        <x:v>RELEVANT FILES/POLARCODES.pdf</x:v>
      </x:c>
      <x:c r="I15" s="25" t="str">
        <x:v>Polar Code January 2026 Supplement - Resolution MSC.538(107)</x:v>
      </x:c>
      <x:c r="J15" s="25" t="str">
        <x:v>January 2026 Supplement; effective 1 Jan 2026</x:v>
      </x:c>
      <x:c r="K15" s="25" t="str">
        <x:v>9-1.3.3</x:v>
      </x:c>
      <x:c r="L15" s="25" t="n">
        <x:v>4</x:v>
      </x:c>
      <x:c r="M15" s="25" t="n">
        <x:v>4</x:v>
      </x:c>
      <x:c r="N15" s="25" t="str">
        <x:v>Full deterministic encoding</x:v>
      </x:c>
      <x:c r="O15" s="25" t="str">
        <x:v>Represents the continuous-daylight exception and minimum count.</x:v>
      </x:c>
      <x:c r="P15" s="25" t="str">
        <x:v>None</x:v>
      </x:c>
      <x:c r="Q15" s="25" t="str">
        <x:v>Pilot - reviewable</x:v>
      </x:c>
      <x:c r="R15" s="25" t="str"/>
    </x:row>
    <x:row r="16">
      <x:c r="A16" s="25" t="str">
        <x:v>INT-002</x:v>
      </x:c>
      <x:c r="B16" s="25" t="str">
        <x:v>integrated</x:v>
      </x:c>
      <x:c r="C16" s="25" t="str">
        <x:v>INT-002-FAIL</x:v>
      </x:c>
      <x:c r="D16" s="25" t="str">
        <x:v>integrated/INT-002_2026_navigation/INT-002_fail.ttl</x:v>
      </x:c>
      <x:c r="E16" s="25" t="str">
        <x:v>Does not conform</x:v>
      </x:c>
      <x:c r="F16" s="25" t="str">
        <x:v>integrated/INT-002_2026_navigation/INT-002_shapes.ttl</x:v>
      </x:c>
      <x:c r="G16" s="25" t="str">
        <x:v>IMO26-007</x:v>
      </x:c>
      <x:c r="H16" s="25" t="str">
        <x:v>RELEVANT FILES/POLARCODES.pdf</x:v>
      </x:c>
      <x:c r="I16" s="25" t="str">
        <x:v>Polar Code January 2026 Supplement - Resolution MSC.538(107)</x:v>
      </x:c>
      <x:c r="J16" s="25" t="str">
        <x:v>January 2026 Supplement; effective 1 Jan 2026</x:v>
      </x:c>
      <x:c r="K16" s="25" t="str">
        <x:v>9-1.3.2.1.1</x:v>
      </x:c>
      <x:c r="L16" s="25" t="n">
        <x:v>3</x:v>
      </x:c>
      <x:c r="M16" s="25" t="n">
        <x:v>3</x:v>
      </x:c>
      <x:c r="N16" s="25" t="str">
        <x:v>Full deterministic encoding</x:v>
      </x:c>
      <x:c r="O16" s="25" t="str">
        <x:v>Represents both equipment alternatives and the Administration-accepted equivalent path.</x:v>
      </x:c>
      <x:c r="P16" s="25" t="str">
        <x:v>independentTransducerCount changes from 2 to 1 while the one-device alternative remains selected and no approved equivalent is present</x:v>
      </x:c>
      <x:c r="Q16" s="25" t="str">
        <x:v>Pilot - reviewable</x:v>
      </x:c>
      <x:c r="R16" s="25" t="str"/>
    </x:row>
    <x:row r="17">
      <x:c r="A17" s="25" t="str">
        <x:v>INT-002</x:v>
      </x:c>
      <x:c r="B17" s="25" t="str">
        <x:v>integrated</x:v>
      </x:c>
      <x:c r="C17" s="25" t="str">
        <x:v>INT-002-FAIL</x:v>
      </x:c>
      <x:c r="D17" s="25" t="str">
        <x:v>integrated/INT-002_2026_navigation/INT-002_fail.ttl</x:v>
      </x:c>
      <x:c r="E17" s="25" t="str">
        <x:v>Does not conform</x:v>
      </x:c>
      <x:c r="F17" s="25" t="str">
        <x:v>integrated/INT-002_2026_navigation/INT-002_shapes.ttl</x:v>
      </x:c>
      <x:c r="G17" s="25" t="str">
        <x:v>IMO26-011</x:v>
      </x:c>
      <x:c r="H17" s="25" t="str">
        <x:v>RELEVANT FILES/POLARCODES.pdf</x:v>
      </x:c>
      <x:c r="I17" s="25" t="str">
        <x:v>Polar Code January 2026 Supplement - Resolution MSC.538(107)</x:v>
      </x:c>
      <x:c r="J17" s="25" t="str">
        <x:v>January 2026 Supplement; effective 1 Jan 2026</x:v>
      </x:c>
      <x:c r="K17" s="25" t="str">
        <x:v>9-1.3.2.1.4.2</x:v>
      </x:c>
      <x:c r="L17" s="25" t="n">
        <x:v>4</x:v>
      </x:c>
      <x:c r="M17" s="25" t="n">
        <x:v>4</x:v>
      </x:c>
      <x:c r="N17" s="25" t="str">
        <x:v>Full deterministic encoding</x:v>
      </x:c>
      <x:c r="O17" s="25" t="str">
        <x:v>Represents enclosed, protective-design, and Administration-accepted equivalent paths.</x:v>
      </x:c>
      <x:c r="P17" s="25" t="str">
        <x:v>independentTransducerCount changes from 2 to 1 while the one-device alternative remains selected and no approved equivalent is present</x:v>
      </x:c>
      <x:c r="Q17" s="25" t="str">
        <x:v>Pilot - reviewable</x:v>
      </x:c>
      <x:c r="R17" s="25" t="str"/>
    </x:row>
    <x:row r="18">
      <x:c r="A18" s="25" t="str">
        <x:v>INT-002</x:v>
      </x:c>
      <x:c r="B18" s="25" t="str">
        <x:v>integrated</x:v>
      </x:c>
      <x:c r="C18" s="25" t="str">
        <x:v>INT-002-FAIL</x:v>
      </x:c>
      <x:c r="D18" s="25" t="str">
        <x:v>integrated/INT-002_2026_navigation/INT-002_fail.ttl</x:v>
      </x:c>
      <x:c r="E18" s="25" t="str">
        <x:v>Does not conform</x:v>
      </x:c>
      <x:c r="F18" s="25" t="str">
        <x:v>integrated/INT-002_2026_navigation/INT-002_shapes.ttl</x:v>
      </x:c>
      <x:c r="G18" s="25" t="str">
        <x:v>IMO26-014</x:v>
      </x:c>
      <x:c r="H18" s="25" t="str">
        <x:v>RELEVANT FILES/POLARCODES.pdf</x:v>
      </x:c>
      <x:c r="I18" s="25" t="str">
        <x:v>Polar Code January 2026 Supplement - Resolution MSC.538(107)</x:v>
      </x:c>
      <x:c r="J18" s="25" t="str">
        <x:v>January 2026 Supplement; effective 1 Jan 2026</x:v>
      </x:c>
      <x:c r="K18" s="25" t="str">
        <x:v>9-1.3.3</x:v>
      </x:c>
      <x:c r="L18" s="25" t="n">
        <x:v>4</x:v>
      </x:c>
      <x:c r="M18" s="25" t="n">
        <x:v>4</x:v>
      </x:c>
      <x:c r="N18" s="25" t="str">
        <x:v>Full deterministic encoding</x:v>
      </x:c>
      <x:c r="O18" s="25" t="str">
        <x:v>Represents the continuous-daylight exception and minimum count.</x:v>
      </x:c>
      <x:c r="P18" s="25" t="str">
        <x:v>independentTransducerCount changes from 2 to 1 while the one-device alternative remains selected and no approved equivalent is present</x:v>
      </x:c>
      <x:c r="Q18" s="25" t="str">
        <x:v>Pilot - reviewable</x:v>
      </x:c>
      <x:c r="R18" s="25" t="str"/>
    </x:row>
  </x:sheetData>
  <x:mergeCells>
    <x:mergeCell ref="A1:R1"/>
    <x:mergeCell ref="A2:R2"/>
  </x:mergeCells>
  <x:dataValidations count="2">
    <x:dataValidation type="list" sqref="E5:E204">
      <x:formula1>"Conforms,Does not conform"</x:formula1>
    </x:dataValidation>
    <x:dataValidation type="list" sqref="Q5:Q204">
      <x:formula1>"Pilot - reviewable,Approved,Locked,Needs revision"</x:formula1>
    </x:dataValidation>
  </x:dataValidations>
  <x:pageMargins left="0.7" right="0.7" top="0.75" bottom="0.75" header="0.3" footer="0.3"/>
  <x:tableParts count="1">
    <x:tablePart xmlns:r="http://schemas.openxmlformats.org/officeDocument/2006/relationships" r:id="R848b924dac6544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5" max="5" width="16" hidden="0" customWidth="1"/>
    <x:col min="6" max="6" width="16" hidden="0" customWidth="1"/>
    <x:col min="7" max="7" width="16" hidden="0" customWidth="1"/>
    <x:col min="2" max="2" width="38" hidden="0" customWidth="1"/>
    <x:col min="3" max="3" width="38" hidden="0" customWidth="1"/>
    <x:col min="4" max="4" width="38" hidden="0" customWidth="1"/>
    <x:col min="10" max="10" width="38" hidden="0" customWidth="1"/>
    <x:col min="11" max="11" width="38" hidden="0" customWidth="1"/>
    <x:col min="12" max="12" width="38" hidden="0" customWidth="1"/>
    <x:col min="13" max="13" width="38" hidden="0" customWidth="1"/>
    <x:col min="14" max="14" width="38" hidden="0" customWidth="1"/>
    <x:col min="8" max="8" width="58" hidden="0" customWidth="1"/>
    <x:col min="9" max="9" width="58" hidden="0" customWidth="1"/>
    <x:col min="15" max="15" width="56" hidden="0" customWidth="1"/>
  </x:cols>
  <x:sheetData>
    <x:row r="1" ht="30" customHeight="1">
      <x:c r="A1" s="3" t="str">
        <x:v>Locked requirement evidence</x:v>
      </x:c>
      <x:c r="B1" s="3"/>
      <x:c r="C1" s="3"/>
      <x:c r="D1" s="3"/>
      <x:c r="E1" s="3"/>
      <x:c r="F1" s="3"/>
      <x:c r="G1" s="3"/>
      <x:c r="H1" s="3"/>
      <x:c r="I1" s="3"/>
      <x:c r="J1" s="3"/>
      <x:c r="K1" s="3"/>
      <x:c r="L1" s="3"/>
      <x:c r="M1" s="3"/>
      <x:c r="N1" s="3"/>
      <x:c r="O1" s="3"/>
    </x:row>
    <x:row r="2" ht="34" customHeight="1">
      <x:c r="A2" s="7" t="str">
        <x:v>Exact source wording and approved normalized logic for requirements used in this pilot.</x:v>
      </x:c>
      <x:c r="B2" s="7"/>
      <x:c r="C2" s="7"/>
      <x:c r="D2" s="7"/>
      <x:c r="E2" s="7"/>
      <x:c r="F2" s="7"/>
      <x:c r="G2" s="7"/>
      <x:c r="H2" s="7"/>
      <x:c r="I2" s="7"/>
      <x:c r="J2" s="7"/>
      <x:c r="K2" s="7"/>
      <x:c r="L2" s="7"/>
      <x:c r="M2" s="7"/>
      <x:c r="N2" s="7"/>
      <x:c r="O2" s="7"/>
    </x:row>
    <x:row r="4" ht="32" customHeight="1">
      <x:c r="A4" s="16" t="str">
        <x:v>Requirement ID</x:v>
      </x:c>
      <x:c r="B4" s="17" t="str">
        <x:v>Source</x:v>
      </x:c>
      <x:c r="C4" s="17" t="str">
        <x:v>Edition</x:v>
      </x:c>
      <x:c r="D4" s="17" t="str">
        <x:v>Section</x:v>
      </x:c>
      <x:c r="E4" s="17" t="str">
        <x:v>Clause</x:v>
      </x:c>
      <x:c r="F4" s="17" t="str">
        <x:v>PDF Page</x:v>
      </x:c>
      <x:c r="G4" s="17" t="str">
        <x:v>Printed Page</x:v>
      </x:c>
      <x:c r="H4" s="17" t="str">
        <x:v>Exact Source Text</x:v>
      </x:c>
      <x:c r="I4" s="17" t="str">
        <x:v>Approved Normalized Requirement</x:v>
      </x:c>
      <x:c r="J4" s="17" t="str">
        <x:v>Encoding Pattern</x:v>
      </x:c>
      <x:c r="K4" s="17" t="str">
        <x:v>Required Inputs</x:v>
      </x:c>
      <x:c r="L4" s="17" t="str">
        <x:v>Active Status</x:v>
      </x:c>
      <x:c r="M4" s="17" t="str">
        <x:v>Source File</x:v>
      </x:c>
      <x:c r="N4" s="17" t="str">
        <x:v>Source URL</x:v>
      </x:c>
      <x:c r="O4" s="18" t="str">
        <x:v>Pilot Coverage Note</x:v>
      </x:c>
    </x:row>
    <x:row r="5">
      <x:c r="A5" s="24" t="str">
        <x:v>IMO-075</x:v>
      </x:c>
      <x:c r="B5" s="24" t="str">
        <x:v>International Code for Ships Operating in Polar Waters (Polar Code)</x:v>
      </x:c>
      <x:c r="C5" s="24" t="str">
        <x:v>Resolution MSC.385(94), adopted 21 Nov 2014; consolidated with MEPC.264(68), adopted 15 May 2015</x:v>
      </x:c>
      <x:c r="D5" s="24" t="str">
        <x:v>Part I-A Chapter 8 - Survival</x:v>
      </x:c>
      <x:c r="E5" s="24" t="str">
        <x:v>8.3.3.3.3.2</x:v>
      </x:c>
      <x:c r="F5" s="29" t="n">
        <x:v>25</x:v>
      </x:c>
      <x:c r="G5" s="29" t="n">
        <x:v>24</x:v>
      </x:c>
      <x:c r="H5" s="24" t="str">
        <x:v>When required, personal and group survival equipment sufficient for 110% of the persons on board shall be stowed in easily accessible locations, as close as practical to the muster or embarkation stations.</x:v>
      </x:c>
      <x:c r="I5" s="24" t="str">
        <x:v>IF personal_or_group_survival_equipment_required = true, THEN available_survival_equipment_capacity &gt;= ceil(persons_on_board * 1.10) AND storage_accessibility_status = accessible.</x:v>
      </x:c>
      <x:c r="J5" s="24" t="str">
        <x:v>Formula-derived capacity and storage constraint</x:v>
      </x:c>
      <x:c r="K5" s="24" t="str">
        <x:v>Persons-on-board count, equipment capacity, and storage-location evidence</x:v>
      </x:c>
      <x:c r="L5" s="24" t="str">
        <x:v>Stage 2 candidate - direct/deterministic</x:v>
      </x:c>
      <x:c r="M5" s="24" t="str">
        <x:v>RELEVANT FILES/MSC.385(94).pdf</x:v>
      </x:c>
      <x:c r="N5" s="24" t="str">
        <x:v>https://wwwcdn.imo.org/localresources/en/KnowledgeCentre/IndexofIMOResolutions/MSCResolutions/MSC.385%2894%29.pdf</x:v>
      </x:c>
      <x:c r="O5" s="24" t="str">
        <x:v>Deterministic subset: Validates 110 percent capacity and accessible storage. The unquantified phrase 'as close as practical' is not converted into an invented distance threshold. | Deterministic subset: Validates capacity and accessibility; no invented threshold for 'as close as practical'.</x:v>
      </x:c>
    </x:row>
    <x:row r="6">
      <x:c r="A6" s="25" t="str">
        <x:v>IMO-085</x:v>
      </x:c>
      <x:c r="B6" s="25" t="str">
        <x:v>International Code for Ships Operating in Polar Waters (Polar Code)</x:v>
      </x:c>
      <x:c r="C6" s="25" t="str">
        <x:v>Resolution MSC.385(94), adopted 21 Nov 2014; consolidated with MEPC.264(68), adopted 15 May 2015</x:v>
      </x:c>
      <x:c r="D6" s="25" t="str">
        <x:v>Part I-A Chapter 9 - Navigational equipment</x:v>
      </x:c>
      <x:c r="E6" s="25" t="str">
        <x:v>9.3.2.1.4.2</x:v>
      </x:c>
      <x:c r="F6" s="30" t="n">
        <x:v>27</x:v>
      </x:c>
      <x:c r="G6" s="30" t="n">
        <x:v>26</x:v>
      </x:c>
      <x:c r="H6" s="25" t="str">
        <x:v>In category A and B ships constructed on or after 1 January 2017, the bridge wings shall be enclosed or designed to protect navigational equipment and operating personnel.</x:v>
      </x:c>
      <x:c r="I6" s="25" t="str">
        <x:v>IF ship_category IN {'A','B'} AND construction_date &gt;= '2017-01-01', THEN bridge_wings_enclosed = true OR bridge_wing_protection_design_status = approved.</x:v>
      </x:c>
      <x:c r="J6" s="25" t="str">
        <x:v>Conditional alternative-path constraint</x:v>
      </x:c>
      <x:c r="K6" s="25" t="str">
        <x:v>Ship category, construction date, and bridge-wing design evidence</x:v>
      </x:c>
      <x:c r="L6" s="25" t="str">
        <x:v>Stage 2 candidate - direct/deterministic</x:v>
      </x:c>
      <x:c r="M6" s="25" t="str">
        <x:v>RELEVANT FILES/MSC.385(94).pdf</x:v>
      </x:c>
      <x:c r="N6" s="25" t="str">
        <x:v>https://wwwcdn.imo.org/localresources/en/KnowledgeCentre/IndexofIMOResolutions/MSCResolutions/MSC.385%2894%29.pdf</x:v>
      </x:c>
      <x:c r="O6" s="25" t="str">
        <x:v>Full deterministic encoding: Represents category, construction date, and the two permitted bridge-wing paths.</x:v>
      </x:c>
    </x:row>
    <x:row r="7">
      <x:c r="A7" s="25" t="str">
        <x:v>IMO26-007</x:v>
      </x:c>
      <x:c r="B7" s="25" t="str">
        <x:v>Polar Code January 2026 Supplement - Resolution MSC.538(107)</x:v>
      </x:c>
      <x:c r="C7" s="25" t="str">
        <x:v>January 2026 Supplement; effective 1 Jan 2026</x:v>
      </x:c>
      <x:c r="D7" s="25" t="str">
        <x:v>Resolution MSC.538(107) - Chapter 9-1 regulations</x:v>
      </x:c>
      <x:c r="E7" s="25" t="str">
        <x:v>9-1.3.2.1.1</x:v>
      </x:c>
      <x:c r="F7" s="30" t="n">
        <x:v>3</x:v>
      </x:c>
      <x:c r="G7" s="30" t="n">
        <x:v>3</x:v>
      </x:c>
      <x:c r="H7" s="25"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I7" s="25" t="str">
        <x:v>IF ship_ice_strengthened = true AND construction_date &gt;= '2026-01-01', THEN independent_echo_sounding_device_count &gt;= 2 OR (echo_sounding_device_count &gt;= 1 AND independent_transducer_count &gt;= 2) OR administration_approved_equivalent_depth_sounding_device_present = true.</x:v>
      </x:c>
      <x:c r="J7" s="25" t="str">
        <x:v>Conditional alternative-count constraint</x:v>
      </x:c>
      <x:c r="K7" s="25" t="str">
        <x:v>Ice-strengthening status, construction date, equipment topology, and equivalent approval</x:v>
      </x:c>
      <x:c r="L7" s="25" t="str">
        <x:v>Deferred - composite/evidence workflow review</x:v>
      </x:c>
      <x:c r="M7" s="25" t="str">
        <x:v>RELEVANT FILES/POLARCODES.pdf</x:v>
      </x:c>
      <x:c r="N7" s="25" t="str">
        <x:v>https://wwwcdn.imo.org/localresources/en/publications/Documents/Supplements/English/2Q191E_Supplement_January2026_EBK.pdf</x:v>
      </x:c>
      <x:c r="O7" s="25" t="str">
        <x:v>Full deterministic encoding: Represents both equipment alternatives and the Administration-accepted equivalent path.</x:v>
      </x:c>
    </x:row>
    <x:row r="8">
      <x:c r="A8" s="25" t="str">
        <x:v>IMO26-011</x:v>
      </x:c>
      <x:c r="B8" s="25" t="str">
        <x:v>Polar Code January 2026 Supplement - Resolution MSC.538(107)</x:v>
      </x:c>
      <x:c r="C8" s="25" t="str">
        <x:v>January 2026 Supplement; effective 1 Jan 2026</x:v>
      </x:c>
      <x:c r="D8" s="25" t="str">
        <x:v>Resolution MSC.538(107) - Chapter 9-1 regulations</x:v>
      </x:c>
      <x:c r="E8" s="25" t="str">
        <x:v>9-1.3.2.1.4.2</x:v>
      </x:c>
      <x:c r="F8" s="30" t="n">
        <x:v>4</x:v>
      </x:c>
      <x:c r="G8" s="30" t="n">
        <x:v>4</x:v>
      </x:c>
      <x:c r="H8" s="25"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I8" s="25" t="str">
        <x:v>IF ship_category IN {'A','B'} AND construction_date &gt;= '2026-01-01', THEN bridge_wings_enclosed = true OR bridge_wing_protection_design_status = approved OR administration_approved_equivalent_bridge_wing_protection_present = true.</x:v>
      </x:c>
      <x:c r="J8" s="25" t="str">
        <x:v>Conditional alternative-path constraint</x:v>
      </x:c>
      <x:c r="K8" s="25" t="str">
        <x:v>Ship category/date and bridge-wing protection/equivalence evidence</x:v>
      </x:c>
      <x:c r="L8" s="25" t="str">
        <x:v>Deferred - composite/evidence workflow review</x:v>
      </x:c>
      <x:c r="M8" s="25" t="str">
        <x:v>RELEVANT FILES/POLARCODES.pdf</x:v>
      </x:c>
      <x:c r="N8" s="25" t="str">
        <x:v>https://wwwcdn.imo.org/localresources/en/publications/Documents/Supplements/English/2Q191E_Supplement_January2026_EBK.pdf</x:v>
      </x:c>
      <x:c r="O8" s="25" t="str">
        <x:v>Full deterministic encoding: Represents enclosed, protective-design, and Administration-accepted equivalent paths.</x:v>
      </x:c>
    </x:row>
    <x:row r="9">
      <x:c r="A9" s="25" t="str">
        <x:v>IMO26-014</x:v>
      </x:c>
      <x:c r="B9" s="25" t="str">
        <x:v>Polar Code January 2026 Supplement - Resolution MSC.538(107)</x:v>
      </x:c>
      <x:c r="C9" s="25" t="str">
        <x:v>January 2026 Supplement; effective 1 Jan 2026</x:v>
      </x:c>
      <x:c r="D9" s="25" t="str">
        <x:v>Resolution MSC.538(107) - Chapter 9-1 regulations</x:v>
      </x:c>
      <x:c r="E9" s="25" t="str">
        <x:v>9-1.3.3</x:v>
      </x:c>
      <x:c r="F9" s="30" t="n">
        <x:v>4</x:v>
      </x:c>
      <x:c r="G9" s="30" t="n">
        <x:v>4</x:v>
      </x:c>
      <x:c r="H9" s="25" t="str">
        <x:v>Ships, with the exception of those solely operating in areas with 24 hours daylight, shall be equipped with two means of illumination to aid visual detection of ice.</x:v>
      </x:c>
      <x:c r="I9" s="25" t="str">
        <x:v>IF solely_24_hour_daylight_operation = false, THEN visual_ice_detection_illumination_means_count &gt;= 2.</x:v>
      </x:c>
      <x:c r="J9" s="25" t="str">
        <x:v>Conditional minimum-count constraint</x:v>
      </x:c>
      <x:c r="K9" s="25" t="str">
        <x:v>Operating-light profile and illumination-equipment inventory</x:v>
      </x:c>
      <x:c r="L9" s="25" t="str">
        <x:v>Stage 2 candidate - direct/deterministic</x:v>
      </x:c>
      <x:c r="M9" s="25" t="str">
        <x:v>RELEVANT FILES/POLARCODES.pdf</x:v>
      </x:c>
      <x:c r="N9" s="25" t="str">
        <x:v>https://wwwcdn.imo.org/localresources/en/publications/Documents/Supplements/English/2Q191E_Supplement_January2026_EBK.pdf</x:v>
      </x:c>
      <x:c r="O9" s="25" t="str">
        <x:v>Full deterministic encoding: The continuous-daylight exception and minimum equipment count are both represented. | Full deterministic encoding: Represents the continuous-daylight exception and minimum count.</x:v>
      </x:c>
    </x:row>
  </x:sheetData>
  <x:mergeCells>
    <x:mergeCell ref="A1:O1"/>
    <x:mergeCell ref="A2:O2"/>
  </x:mergeCells>
  <x:pageMargins left="0.7" right="0.7" top="0.75" bottom="0.75" header="0.3" footer="0.3"/>
  <x:tableParts count="1">
    <x:tablePart xmlns:r="http://schemas.openxmlformats.org/officeDocument/2006/relationships" r:id="R63f698bff5bd47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58" hidden="0" customWidth="1"/>
    <x:col min="3" max="3" width="38" hidden="0" customWidth="1"/>
    <x:col min="4" max="4" width="16" hidden="0" customWidth="1"/>
    <x:col min="5" max="5" width="38" hidden="0" customWidth="1"/>
    <x:col min="6" max="6" width="30" hidden="0" customWidth="1"/>
    <x:col min="7" max="7" width="30" hidden="0" customWidth="1"/>
    <x:col min="8" max="8" width="30" hidden="0" customWidth="1"/>
    <x:col min="9" max="9" width="30" hidden="0" customWidth="1"/>
    <x:col min="10" max="10" width="34" hidden="0" customWidth="1"/>
    <x:col min="11" max="11" width="34" hidden="0" customWidth="1"/>
    <x:col min="12" max="12" width="34" hidden="0" customWidth="1"/>
    <x:col min="13" max="13" width="34" hidden="0" customWidth="1"/>
  </x:cols>
  <x:sheetData>
    <x:row r="1" ht="30" customHeight="1">
      <x:c r="A1" s="3" t="str">
        <x:v>Vocabulary terms used</x:v>
      </x:c>
      <x:c r="B1" s="3"/>
      <x:c r="C1" s="3"/>
      <x:c r="D1" s="3"/>
      <x:c r="E1" s="3"/>
      <x:c r="F1" s="3"/>
      <x:c r="G1" s="3"/>
      <x:c r="H1" s="3"/>
      <x:c r="I1" s="3"/>
      <x:c r="J1" s="3"/>
      <x:c r="K1" s="3"/>
      <x:c r="L1" s="3"/>
      <x:c r="M1" s="3"/>
    </x:row>
    <x:row r="2" ht="34" customHeight="1">
      <x:c r="A2" s="7" t="str">
        <x:v>Exact NLTL terms present in the pilot RDF or SHACL, with registry or ontology provenance.</x:v>
      </x:c>
      <x:c r="B2" s="7"/>
      <x:c r="C2" s="7"/>
      <x:c r="D2" s="7"/>
      <x:c r="E2" s="7"/>
      <x:c r="F2" s="7"/>
      <x:c r="G2" s="7"/>
      <x:c r="H2" s="7"/>
      <x:c r="I2" s="7"/>
      <x:c r="J2" s="7"/>
      <x:c r="K2" s="7"/>
      <x:c r="L2" s="7"/>
      <x:c r="M2" s="7"/>
    </x:row>
    <x:row r="4" ht="32" customHeight="1">
      <x:c r="A4" s="16" t="str">
        <x:v>Local Name</x:v>
      </x:c>
      <x:c r="B4" s="17" t="str">
        <x:v>Exact IRI</x:v>
      </x:c>
      <x:c r="C4" s="17" t="str">
        <x:v>Authority</x:v>
      </x:c>
      <x:c r="D4" s="17" t="str">
        <x:v>Concept ID</x:v>
      </x:c>
      <x:c r="E4" s="17" t="str">
        <x:v>Human Label</x:v>
      </x:c>
      <x:c r="F4" s="17" t="str">
        <x:v>Kind</x:v>
      </x:c>
      <x:c r="G4" s="17" t="str">
        <x:v>Datatype / Range</x:v>
      </x:c>
      <x:c r="H4" s="17" t="str">
        <x:v>Unit IRI</x:v>
      </x:c>
      <x:c r="I4" s="17" t="str">
        <x:v>Naming Basis</x:v>
      </x:c>
      <x:c r="J4" s="17" t="str">
        <x:v>Used in Cases</x:v>
      </x:c>
      <x:c r="K4" s="17" t="str">
        <x:v>Linked Pilot Requirements</x:v>
      </x:c>
      <x:c r="L4" s="17" t="str">
        <x:v>Automated Check</x:v>
      </x:c>
      <x:c r="M4" s="18" t="str">
        <x:v>Review Notes</x:v>
      </x:c>
    </x:row>
    <x:row r="5">
      <x:c r="A5" s="24" t="str">
        <x:v>administrationApprovedEquivalentBridgeWingProtectionPresent</x:v>
      </x:c>
      <x:c r="B5" s="24" t="str">
        <x:v>https://w3id.org/nltl-benchmark/vocab#administrationApprovedEquivalentBridgeWingProtectionPresent</x:v>
      </x:c>
      <x:c r="C5" s="24" t="str">
        <x:v>Locked term registry</x:v>
      </x:c>
      <x:c r="D5" s="24" t="str">
        <x:v>VOC-0013</x:v>
      </x:c>
      <x:c r="E5" s="24" t="str">
        <x:v>Administration approved equivalent bridge wing protection present</x:v>
      </x:c>
      <x:c r="F5" s="24" t="str">
        <x:v>DatatypeProperty</x:v>
      </x:c>
      <x:c r="G5" s="24" t="str">
        <x:v>xsd:boolean</x:v>
      </x:c>
      <x:c r="H5" s="24" t="str"/>
      <x:c r="I5" s="24" t="str">
        <x:v>Locked-workbook normalized regulatory term</x:v>
      </x:c>
      <x:c r="J5" s="24" t="str">
        <x:v>INT-002</x:v>
      </x:c>
      <x:c r="K5" s="24" t="str">
        <x:v>IMO26-011</x:v>
      </x:c>
      <x:c r="L5" s="24" t="str">
        <x:v>Verified by pilot validator</x:v>
      </x:c>
      <x:c r="M5" s="24" t="str"/>
    </x:row>
    <x:row r="6">
      <x:c r="A6" s="25" t="str">
        <x:v>administrationApprovedEquivalentDepthSoundingDevicePresent</x:v>
      </x:c>
      <x:c r="B6" s="25" t="str">
        <x:v>https://w3id.org/nltl-benchmark/vocab#administrationApprovedEquivalentDepthSoundingDevicePresent</x:v>
      </x:c>
      <x:c r="C6" s="25" t="str">
        <x:v>Locked term registry</x:v>
      </x:c>
      <x:c r="D6" s="25" t="str">
        <x:v>VOC-0014</x:v>
      </x:c>
      <x:c r="E6" s="25" t="str">
        <x:v>Administration approved equivalent depth sounding device present</x:v>
      </x:c>
      <x:c r="F6" s="25" t="str">
        <x:v>DatatypeProperty</x:v>
      </x:c>
      <x:c r="G6" s="25" t="str">
        <x:v>xsd:boolean</x:v>
      </x:c>
      <x:c r="H6" s="25" t="str"/>
      <x:c r="I6" s="25" t="str">
        <x:v>Locked-workbook normalized regulatory term</x:v>
      </x:c>
      <x:c r="J6" s="25" t="str">
        <x:v>INT-002</x:v>
      </x:c>
      <x:c r="K6" s="25" t="str">
        <x:v>IMO26-007</x:v>
      </x:c>
      <x:c r="L6" s="25" t="str">
        <x:v>Verified by pilot validator</x:v>
      </x:c>
      <x:c r="M6" s="25" t="str"/>
    </x:row>
    <x:row r="7">
      <x:c r="A7" s="25" t="str">
        <x:v>availableSurvivalEquipmentCapacity</x:v>
      </x:c>
      <x:c r="B7" s="25" t="str">
        <x:v>https://w3id.org/nltl-benchmark/vocab#availableSurvivalEquipmentCapacity</x:v>
      </x:c>
      <x:c r="C7" s="25" t="str">
        <x:v>Locked term registry</x:v>
      </x:c>
      <x:c r="D7" s="25" t="str">
        <x:v>VOC-0070</x:v>
      </x:c>
      <x:c r="E7" s="25" t="str">
        <x:v>Available survival equipment capacity</x:v>
      </x:c>
      <x:c r="F7" s="25" t="str">
        <x:v>DatatypeProperty</x:v>
      </x:c>
      <x:c r="G7" s="25" t="str">
        <x:v>xsd:integer</x:v>
      </x:c>
      <x:c r="H7" s="25" t="str"/>
      <x:c r="I7" s="25" t="str">
        <x:v>Locked-workbook normalized regulatory term</x:v>
      </x:c>
      <x:c r="J7" s="25" t="str">
        <x:v>RQ-IMO-075; INT-001</x:v>
      </x:c>
      <x:c r="K7" s="25" t="str">
        <x:v>IMO-075</x:v>
      </x:c>
      <x:c r="L7" s="25" t="str">
        <x:v>Verified by pilot validator</x:v>
      </x:c>
      <x:c r="M7" s="25" t="str"/>
    </x:row>
    <x:row r="8">
      <x:c r="A8" s="25" t="str">
        <x:v>bridgeWingProtectionDesignStatus</x:v>
      </x:c>
      <x:c r="B8" s="25" t="str">
        <x:v>https://w3id.org/nltl-benchmark/vocab#bridgeWingProtectionDesignStatus</x:v>
      </x:c>
      <x:c r="C8" s="25" t="str">
        <x:v>Locked term registry</x:v>
      </x:c>
      <x:c r="D8" s="25" t="str">
        <x:v>VOC-0109</x:v>
      </x:c>
      <x:c r="E8" s="25" t="str">
        <x:v>Bridge wing protection design status</x:v>
      </x:c>
      <x:c r="F8" s="25" t="str">
        <x:v>DatatypeProperty</x:v>
      </x:c>
      <x:c r="G8" s="25" t="str">
        <x:v>xsd:boolean</x:v>
      </x:c>
      <x:c r="H8" s="25" t="str"/>
      <x:c r="I8" s="25" t="str">
        <x:v>Locked-workbook normalized regulatory term</x:v>
      </x:c>
      <x:c r="J8" s="25" t="str">
        <x:v>INT-001; INT-002</x:v>
      </x:c>
      <x:c r="K8" s="25" t="str">
        <x:v>IMO-085; IMO26-011</x:v>
      </x:c>
      <x:c r="L8" s="25" t="str">
        <x:v>Verified by pilot validator</x:v>
      </x:c>
      <x:c r="M8" s="25" t="str"/>
    </x:row>
    <x:row r="9">
      <x:c r="A9" s="25" t="str">
        <x:v>bridgeWingsEnclosed</x:v>
      </x:c>
      <x:c r="B9" s="25" t="str">
        <x:v>https://w3id.org/nltl-benchmark/vocab#bridgeWingsEnclosed</x:v>
      </x:c>
      <x:c r="C9" s="25" t="str">
        <x:v>Locked term registry</x:v>
      </x:c>
      <x:c r="D9" s="25" t="str">
        <x:v>VOC-0110</x:v>
      </x:c>
      <x:c r="E9" s="25" t="str">
        <x:v>Bridge wings enclosed</x:v>
      </x:c>
      <x:c r="F9" s="25" t="str">
        <x:v>DatatypeProperty</x:v>
      </x:c>
      <x:c r="G9" s="25" t="str">
        <x:v>xsd:boolean</x:v>
      </x:c>
      <x:c r="H9" s="25" t="str"/>
      <x:c r="I9" s="25" t="str">
        <x:v>Locked-workbook normalized regulatory term</x:v>
      </x:c>
      <x:c r="J9" s="25" t="str">
        <x:v>INT-001; INT-002</x:v>
      </x:c>
      <x:c r="K9" s="25" t="str">
        <x:v>IMO-085; IMO26-011</x:v>
      </x:c>
      <x:c r="L9" s="25" t="str">
        <x:v>Verified by pilot validator</x:v>
      </x:c>
      <x:c r="M9" s="25" t="str"/>
    </x:row>
    <x:row r="10">
      <x:c r="A10" s="25" t="str">
        <x:v>constructionDate</x:v>
      </x:c>
      <x:c r="B10" s="25" t="str">
        <x:v>https://w3id.org/nltl-benchmark/vocab#constructionDate</x:v>
      </x:c>
      <x:c r="C10" s="25" t="str">
        <x:v>Locked term registry</x:v>
      </x:c>
      <x:c r="D10" s="25" t="str">
        <x:v>VOC-0162</x:v>
      </x:c>
      <x:c r="E10" s="25" t="str">
        <x:v>Construction date</x:v>
      </x:c>
      <x:c r="F10" s="25" t="str">
        <x:v>DatatypeProperty</x:v>
      </x:c>
      <x:c r="G10" s="25" t="str">
        <x:v>xsd:date</x:v>
      </x:c>
      <x:c r="H10" s="25" t="str"/>
      <x:c r="I10" s="25" t="str">
        <x:v>Locked-workbook normalized regulatory term</x:v>
      </x:c>
      <x:c r="J10" s="25" t="str">
        <x:v>INT-001; INT-002</x:v>
      </x:c>
      <x:c r="K10" s="25" t="str">
        <x:v>IMO-085; IMO26-007; IMO26-011</x:v>
      </x:c>
      <x:c r="L10" s="25" t="str">
        <x:v>Verified by pilot validator</x:v>
      </x:c>
      <x:c r="M10" s="25" t="str"/>
    </x:row>
    <x:row r="11">
      <x:c r="A11" s="25" t="str">
        <x:v>echoSoundingDeviceCount</x:v>
      </x:c>
      <x:c r="B11" s="25" t="str">
        <x:v>https://w3id.org/nltl-benchmark/vocab#echoSoundingDeviceCount</x:v>
      </x:c>
      <x:c r="C11" s="25" t="str">
        <x:v>Locked term registry</x:v>
      </x:c>
      <x:c r="D11" s="25" t="str">
        <x:v>VOC-0223</x:v>
      </x:c>
      <x:c r="E11" s="25" t="str">
        <x:v>Echo sounding device count</x:v>
      </x:c>
      <x:c r="F11" s="25" t="str">
        <x:v>DatatypeProperty</x:v>
      </x:c>
      <x:c r="G11" s="25" t="str">
        <x:v>xsd:integer</x:v>
      </x:c>
      <x:c r="H11" s="25" t="str"/>
      <x:c r="I11" s="25" t="str">
        <x:v>Locked-workbook normalized regulatory term</x:v>
      </x:c>
      <x:c r="J11" s="25" t="str">
        <x:v>INT-002</x:v>
      </x:c>
      <x:c r="K11" s="25" t="str">
        <x:v>IMO26-007</x:v>
      </x:c>
      <x:c r="L11" s="25" t="str">
        <x:v>Verified by pilot validator</x:v>
      </x:c>
      <x:c r="M11" s="25" t="str"/>
    </x:row>
    <x:row r="12">
      <x:c r="A12" s="25" t="str">
        <x:v>independentEchoSoundingDeviceCount</x:v>
      </x:c>
      <x:c r="B12" s="25" t="str">
        <x:v>https://w3id.org/nltl-benchmark/vocab#independentEchoSoundingDeviceCount</x:v>
      </x:c>
      <x:c r="C12" s="25" t="str">
        <x:v>Locked term registry</x:v>
      </x:c>
      <x:c r="D12" s="25" t="str">
        <x:v>VOC-0387</x:v>
      </x:c>
      <x:c r="E12" s="25" t="str">
        <x:v>Independent echo sounding device count</x:v>
      </x:c>
      <x:c r="F12" s="25" t="str">
        <x:v>DatatypeProperty</x:v>
      </x:c>
      <x:c r="G12" s="25" t="str">
        <x:v>xsd:integer</x:v>
      </x:c>
      <x:c r="H12" s="25" t="str"/>
      <x:c r="I12" s="25" t="str">
        <x:v>Locked-workbook normalized regulatory term</x:v>
      </x:c>
      <x:c r="J12" s="25" t="str">
        <x:v>INT-002</x:v>
      </x:c>
      <x:c r="K12" s="25" t="str">
        <x:v>IMO26-007</x:v>
      </x:c>
      <x:c r="L12" s="25" t="str">
        <x:v>Verified by pilot validator</x:v>
      </x:c>
      <x:c r="M12" s="25" t="str"/>
    </x:row>
    <x:row r="13">
      <x:c r="A13" s="25" t="str">
        <x:v>independentTransducerCount</x:v>
      </x:c>
      <x:c r="B13" s="25" t="str">
        <x:v>https://w3id.org/nltl-benchmark/vocab#independentTransducerCount</x:v>
      </x:c>
      <x:c r="C13" s="25" t="str">
        <x:v>Locked term registry</x:v>
      </x:c>
      <x:c r="D13" s="25" t="str">
        <x:v>VOC-0390</x:v>
      </x:c>
      <x:c r="E13" s="25" t="str">
        <x:v>Independent transducer count</x:v>
      </x:c>
      <x:c r="F13" s="25" t="str">
        <x:v>DatatypeProperty</x:v>
      </x:c>
      <x:c r="G13" s="25" t="str">
        <x:v>xsd:integer</x:v>
      </x:c>
      <x:c r="H13" s="25" t="str"/>
      <x:c r="I13" s="25" t="str">
        <x:v>Locked-workbook normalized regulatory term</x:v>
      </x:c>
      <x:c r="J13" s="25" t="str">
        <x:v>INT-002</x:v>
      </x:c>
      <x:c r="K13" s="25" t="str">
        <x:v>IMO26-007</x:v>
      </x:c>
      <x:c r="L13" s="25" t="str">
        <x:v>Verified by pilot validator</x:v>
      </x:c>
      <x:c r="M13" s="25" t="str"/>
    </x:row>
    <x:row r="14">
      <x:c r="A14" s="25" t="str">
        <x:v>operatesOnlyInContinuousDaylight</x:v>
      </x:c>
      <x:c r="B14" s="25" t="str">
        <x:v>https://w3id.org/nltl-benchmark/vocab#operatesOnlyInContinuousDaylight</x:v>
      </x:c>
      <x:c r="C14" s="25" t="str">
        <x:v>Locked term registry</x:v>
      </x:c>
      <x:c r="D14" s="25" t="str">
        <x:v>VOC-0699</x:v>
      </x:c>
      <x:c r="E14" s="25" t="str">
        <x:v>Operates only in continuous daylight</x:v>
      </x:c>
      <x:c r="F14" s="25" t="str">
        <x:v>DatatypeProperty</x:v>
      </x:c>
      <x:c r="G14" s="25" t="str">
        <x:v>xsd:boolean</x:v>
      </x:c>
      <x:c r="H14" s="25" t="str"/>
      <x:c r="I14" s="25" t="str">
        <x:v>Locked-workbook normalized regulatory term</x:v>
      </x:c>
      <x:c r="J14" s="25" t="str">
        <x:v>RQ-IMO26-014; INT-002</x:v>
      </x:c>
      <x:c r="K14" s="25" t="str">
        <x:v>IMO26-014</x:v>
      </x:c>
      <x:c r="L14" s="25" t="str">
        <x:v>Verified by pilot validator</x:v>
      </x:c>
      <x:c r="M14" s="25" t="str"/>
    </x:row>
    <x:row r="15">
      <x:c r="A15" s="25" t="str">
        <x:v>personalOrGroupSurvivalEquipmentRequired</x:v>
      </x:c>
      <x:c r="B15" s="25" t="str">
        <x:v>https://w3id.org/nltl-benchmark/vocab#personalOrGroupSurvivalEquipmentRequired</x:v>
      </x:c>
      <x:c r="C15" s="25" t="str">
        <x:v>Locked term registry</x:v>
      </x:c>
      <x:c r="D15" s="25" t="str">
        <x:v>VOC-0534</x:v>
      </x:c>
      <x:c r="E15" s="25" t="str">
        <x:v>Personal or group survival equipment required</x:v>
      </x:c>
      <x:c r="F15" s="25" t="str">
        <x:v>DatatypeProperty</x:v>
      </x:c>
      <x:c r="G15" s="25" t="str">
        <x:v>xsd:boolean</x:v>
      </x:c>
      <x:c r="H15" s="25" t="str"/>
      <x:c r="I15" s="25" t="str">
        <x:v>Locked-workbook normalized regulatory term</x:v>
      </x:c>
      <x:c r="J15" s="25" t="str">
        <x:v>RQ-IMO-075; INT-001</x:v>
      </x:c>
      <x:c r="K15" s="25" t="str">
        <x:v>IMO-075</x:v>
      </x:c>
      <x:c r="L15" s="25" t="str">
        <x:v>Verified by pilot validator</x:v>
      </x:c>
      <x:c r="M15" s="25" t="str"/>
    </x:row>
    <x:row r="16">
      <x:c r="A16" s="25" t="str">
        <x:v>personsOnBoard</x:v>
      </x:c>
      <x:c r="B16" s="25" t="str">
        <x:v>https://w3id.org/nltl-benchmark/vocab#personsOnBoard</x:v>
      </x:c>
      <x:c r="C16" s="25" t="str">
        <x:v>Locked term registry</x:v>
      </x:c>
      <x:c r="D16" s="25" t="str">
        <x:v>VOC-0537</x:v>
      </x:c>
      <x:c r="E16" s="25" t="str">
        <x:v>Persons on board</x:v>
      </x:c>
      <x:c r="F16" s="25" t="str">
        <x:v>DatatypeProperty</x:v>
      </x:c>
      <x:c r="G16" s="25" t="str">
        <x:v>xsd:integer</x:v>
      </x:c>
      <x:c r="H16" s="25" t="str"/>
      <x:c r="I16" s="25" t="str">
        <x:v>Locked-workbook normalized regulatory term</x:v>
      </x:c>
      <x:c r="J16" s="25" t="str">
        <x:v>RQ-IMO-075; INT-001</x:v>
      </x:c>
      <x:c r="K16" s="25" t="str">
        <x:v>IMO-075</x:v>
      </x:c>
      <x:c r="L16" s="25" t="str">
        <x:v>Verified by pilot validator</x:v>
      </x:c>
      <x:c r="M16" s="25" t="str"/>
    </x:row>
    <x:row r="17">
      <x:c r="A17" s="25" t="str">
        <x:v>polarShipCategoryA</x:v>
      </x:c>
      <x:c r="B17" s="25" t="str">
        <x:v>https://w3id.org/nltl-benchmark/vocab#polarShipCategoryA</x:v>
      </x:c>
      <x:c r="C17" s="25" t="str">
        <x:v>Locked ontology infrastructure or controlled value</x:v>
      </x:c>
      <x:c r="D17" s="25" t="str"/>
      <x:c r="E17" s="25" t="str">
        <x:v>polarShipCategoryA</x:v>
      </x:c>
      <x:c r="F17" s="25" t="str">
        <x:v>ControlledValue</x:v>
      </x:c>
      <x:c r="G17" s="25" t="str"/>
      <x:c r="H17" s="25" t="str"/>
      <x:c r="I17" s="25" t="str">
        <x:v>Declared in locked ontology</x:v>
      </x:c>
      <x:c r="J17" s="25" t="str">
        <x:v>INT-001; INT-002</x:v>
      </x:c>
      <x:c r="K17" s="25" t="str">
        <x:v>IMO-085; IMO26-011</x:v>
      </x:c>
      <x:c r="L17" s="25" t="str">
        <x:v>Verified by pilot validator</x:v>
      </x:c>
      <x:c r="M17" s="25" t="str"/>
    </x:row>
    <x:row r="18">
      <x:c r="A18" s="25" t="str">
        <x:v>polarShipCategoryB</x:v>
      </x:c>
      <x:c r="B18" s="25" t="str">
        <x:v>https://w3id.org/nltl-benchmark/vocab#polarShipCategoryB</x:v>
      </x:c>
      <x:c r="C18" s="25" t="str">
        <x:v>Locked ontology infrastructure or controlled value</x:v>
      </x:c>
      <x:c r="D18" s="25" t="str"/>
      <x:c r="E18" s="25" t="str">
        <x:v>polarShipCategoryB</x:v>
      </x:c>
      <x:c r="F18" s="25" t="str">
        <x:v>ControlledValue</x:v>
      </x:c>
      <x:c r="G18" s="25" t="str"/>
      <x:c r="H18" s="25" t="str"/>
      <x:c r="I18" s="25" t="str">
        <x:v>Declared in locked ontology</x:v>
      </x:c>
      <x:c r="J18" s="25" t="str">
        <x:v>INT-001; INT-002</x:v>
      </x:c>
      <x:c r="K18" s="25" t="str">
        <x:v>IMO-085; IMO26-011</x:v>
      </x:c>
      <x:c r="L18" s="25" t="str">
        <x:v>Verified by pilot validator</x:v>
      </x:c>
      <x:c r="M18" s="25" t="str"/>
    </x:row>
    <x:row r="19">
      <x:c r="A19" s="25" t="str">
        <x:v>polarShipCategoryC</x:v>
      </x:c>
      <x:c r="B19" s="25" t="str">
        <x:v>https://w3id.org/nltl-benchmark/vocab#polarShipCategoryC</x:v>
      </x:c>
      <x:c r="C19" s="25" t="str">
        <x:v>Locked ontology infrastructure or controlled value</x:v>
      </x:c>
      <x:c r="D19" s="25" t="str"/>
      <x:c r="E19" s="25" t="str">
        <x:v>polarShipCategoryC</x:v>
      </x:c>
      <x:c r="F19" s="25" t="str">
        <x:v>ControlledValue</x:v>
      </x:c>
      <x:c r="G19" s="25" t="str"/>
      <x:c r="H19" s="25" t="str"/>
      <x:c r="I19" s="25" t="str">
        <x:v>Declared in locked ontology</x:v>
      </x:c>
      <x:c r="J19" s="25" t="str">
        <x:v>INT-001; INT-002</x:v>
      </x:c>
      <x:c r="K19" s="25" t="str">
        <x:v>IMO-085; IMO26-011</x:v>
      </x:c>
      <x:c r="L19" s="25" t="str">
        <x:v>Verified by pilot validator</x:v>
      </x:c>
      <x:c r="M19" s="25" t="str"/>
    </x:row>
    <x:row r="20">
      <x:c r="A20" s="25" t="str">
        <x:v>ship</x:v>
      </x:c>
      <x:c r="B20" s="25" t="str">
        <x:v>https://w3id.org/nltl-benchmark/vocab#ship</x:v>
      </x:c>
      <x:c r="C20" s="25" t="str">
        <x:v>Locked ontology infrastructure or controlled value</x:v>
      </x:c>
      <x:c r="D20" s="25" t="str"/>
      <x:c r="E20" s="25" t="str">
        <x:v>Ship</x:v>
      </x:c>
      <x:c r="F20" s="25" t="str">
        <x:v>Class</x:v>
      </x:c>
      <x:c r="G20" s="25" t="str"/>
      <x:c r="H20" s="25" t="str"/>
      <x:c r="I20" s="25" t="str">
        <x:v>Declared in locked ontology</x:v>
      </x:c>
      <x:c r="J20" s="25" t="str">
        <x:v>RQ-IMO-075; RQ-IMO26-014; INT-001; INT-002</x:v>
      </x:c>
      <x:c r="K20" s="25" t="str">
        <x:v>IMO-075; IMO-085; IMO26-007; IMO26-011; IMO26-014</x:v>
      </x:c>
      <x:c r="L20" s="25" t="str">
        <x:v>Verified by pilot validator</x:v>
      </x:c>
      <x:c r="M20" s="25" t="str"/>
    </x:row>
    <x:row r="21">
      <x:c r="A21" s="25" t="str">
        <x:v>shipCategory</x:v>
      </x:c>
      <x:c r="B21" s="25" t="str">
        <x:v>https://w3id.org/nltl-benchmark/vocab#shipCategory</x:v>
      </x:c>
      <x:c r="C21" s="25" t="str">
        <x:v>Locked term registry</x:v>
      </x:c>
      <x:c r="D21" s="25" t="str">
        <x:v>VOC-0676</x:v>
      </x:c>
      <x:c r="E21" s="25" t="str">
        <x:v>Ship category</x:v>
      </x:c>
      <x:c r="F21" s="25" t="str">
        <x:v>ObjectProperty</x:v>
      </x:c>
      <x:c r="G21" s="25" t="str">
        <x:v>https://w3id.org/nltl-benchmark/vocab#polarShipCategoryValue</x:v>
      </x:c>
      <x:c r="H21" s="25" t="str"/>
      <x:c r="I21" s="25" t="str">
        <x:v>Locked-workbook normalized regulatory term</x:v>
      </x:c>
      <x:c r="J21" s="25" t="str">
        <x:v>INT-001; INT-002</x:v>
      </x:c>
      <x:c r="K21" s="25" t="str">
        <x:v>IMO-085; IMO26-011</x:v>
      </x:c>
      <x:c r="L21" s="25" t="str">
        <x:v>Verified by pilot validator</x:v>
      </x:c>
      <x:c r="M21" s="25" t="str"/>
    </x:row>
    <x:row r="22">
      <x:c r="A22" s="25" t="str">
        <x:v>shipIceStrengthened</x:v>
      </x:c>
      <x:c r="B22" s="25" t="str">
        <x:v>https://w3id.org/nltl-benchmark/vocab#shipIceStrengthened</x:v>
      </x:c>
      <x:c r="C22" s="25" t="str">
        <x:v>Locked term registry</x:v>
      </x:c>
      <x:c r="D22" s="25" t="str">
        <x:v>VOC-0679</x:v>
      </x:c>
      <x:c r="E22" s="25" t="str">
        <x:v>Ship ice strengthened</x:v>
      </x:c>
      <x:c r="F22" s="25" t="str">
        <x:v>DatatypeProperty</x:v>
      </x:c>
      <x:c r="G22" s="25" t="str">
        <x:v>xsd:boolean</x:v>
      </x:c>
      <x:c r="H22" s="25" t="str"/>
      <x:c r="I22" s="25" t="str">
        <x:v>Locked-workbook normalized regulatory term</x:v>
      </x:c>
      <x:c r="J22" s="25" t="str">
        <x:v>INT-002</x:v>
      </x:c>
      <x:c r="K22" s="25" t="str">
        <x:v>IMO26-007</x:v>
      </x:c>
      <x:c r="L22" s="25" t="str">
        <x:v>Verified by pilot validator</x:v>
      </x:c>
      <x:c r="M22" s="25" t="str"/>
    </x:row>
    <x:row r="23">
      <x:c r="A23" s="25" t="str">
        <x:v>storageAccessibilityStatus</x:v>
      </x:c>
      <x:c r="B23" s="25" t="str">
        <x:v>https://w3id.org/nltl-benchmark/vocab#storageAccessibilityStatus</x:v>
      </x:c>
      <x:c r="C23" s="25" t="str">
        <x:v>Locked term registry</x:v>
      </x:c>
      <x:c r="D23" s="25" t="str">
        <x:v>VOC-0716</x:v>
      </x:c>
      <x:c r="E23" s="25" t="str">
        <x:v>Storage accessibility status</x:v>
      </x:c>
      <x:c r="F23" s="25" t="str">
        <x:v>DatatypeProperty</x:v>
      </x:c>
      <x:c r="G23" s="25" t="str">
        <x:v>xsd:boolean</x:v>
      </x:c>
      <x:c r="H23" s="25" t="str"/>
      <x:c r="I23" s="25" t="str">
        <x:v>Locked-workbook normalized regulatory term</x:v>
      </x:c>
      <x:c r="J23" s="25" t="str">
        <x:v>RQ-IMO-075; INT-001</x:v>
      </x:c>
      <x:c r="K23" s="25" t="str">
        <x:v>IMO-075</x:v>
      </x:c>
      <x:c r="L23" s="25" t="str">
        <x:v>Verified by pilot validator</x:v>
      </x:c>
      <x:c r="M23" s="25" t="str"/>
    </x:row>
    <x:row r="24">
      <x:c r="A24" s="25" t="str">
        <x:v>visualIceDetectionIlluminationMeansCount</x:v>
      </x:c>
      <x:c r="B24" s="25" t="str">
        <x:v>https://w3id.org/nltl-benchmark/vocab#visualIceDetectionIlluminationMeansCount</x:v>
      </x:c>
      <x:c r="C24" s="25" t="str">
        <x:v>Locked term registry</x:v>
      </x:c>
      <x:c r="D24" s="25" t="str">
        <x:v>VOC-0797</x:v>
      </x:c>
      <x:c r="E24" s="25" t="str">
        <x:v>Visual ice detection illumination means count</x:v>
      </x:c>
      <x:c r="F24" s="25" t="str">
        <x:v>DatatypeProperty</x:v>
      </x:c>
      <x:c r="G24" s="25" t="str">
        <x:v>xsd:integer</x:v>
      </x:c>
      <x:c r="H24" s="25" t="str"/>
      <x:c r="I24" s="25" t="str">
        <x:v>Locked-workbook normalized regulatory term</x:v>
      </x:c>
      <x:c r="J24" s="25" t="str">
        <x:v>RQ-IMO26-014; INT-002</x:v>
      </x:c>
      <x:c r="K24" s="25" t="str">
        <x:v>IMO26-014</x:v>
      </x:c>
      <x:c r="L24" s="25" t="str">
        <x:v>Verified by pilot validator</x:v>
      </x:c>
      <x:c r="M24" s="25" t="str"/>
    </x:row>
  </x:sheetData>
  <x:mergeCells>
    <x:mergeCell ref="A1:M1"/>
    <x:mergeCell ref="A2:M2"/>
  </x:mergeCells>
  <x:pageMargins left="0.7" right="0.7" top="0.75" bottom="0.75" header="0.3" footer="0.3"/>
  <x:tableParts count="1">
    <x:tablePart xmlns:r="http://schemas.openxmlformats.org/officeDocument/2006/relationships" r:id="R98724932f5b4493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5" max="5" width="18" hidden="0" customWidth="1"/>
    <x:col min="6" max="6" width="18" hidden="0" customWidth="1"/>
    <x:col min="7" max="7" width="18" hidden="0" customWidth="1"/>
    <x:col min="11" max="11" width="18" hidden="0" customWidth="1"/>
    <x:col min="12" max="12" width="18" hidden="0" customWidth="1"/>
    <x:col min="13" max="13" width="18" hidden="0" customWidth="1"/>
    <x:col min="3" max="3" width="48" hidden="0" customWidth="1"/>
    <x:col min="4" max="4" width="48" hidden="0" customWidth="1"/>
    <x:col min="8" max="8" width="58" hidden="0" customWidth="1"/>
    <x:col min="9" max="9" width="44" hidden="0" customWidth="1"/>
    <x:col min="10" max="10" width="44" hidden="0" customWidth="1"/>
    <x:col min="14" max="14" width="34" hidden="0" customWidth="1"/>
    <x:col min="15" max="15" width="34" hidden="0" customWidth="1"/>
  </x:cols>
  <x:sheetData>
    <x:row r="1" ht="30" customHeight="1">
      <x:c r="A1" s="3" t="str">
        <x:v>Executable validation runs</x:v>
      </x:c>
      <x:c r="B1" s="3"/>
      <x:c r="C1" s="3"/>
      <x:c r="D1" s="3"/>
      <x:c r="E1" s="3"/>
      <x:c r="F1" s="3"/>
      <x:c r="G1" s="3"/>
      <x:c r="H1" s="3"/>
      <x:c r="I1" s="3"/>
      <x:c r="J1" s="3"/>
      <x:c r="K1" s="3"/>
      <x:c r="L1" s="3"/>
      <x:c r="M1" s="3"/>
      <x:c r="N1" s="3"/>
      <x:c r="O1" s="3"/>
    </x:row>
    <x:row r="2" ht="34" customHeight="1">
      <x:c r="A2" s="7" t="str">
        <x:v>Expected results compared with pySHACL outcomes. Formula-driven QA must be PASS before locking.</x:v>
      </x:c>
      <x:c r="B2" s="7"/>
      <x:c r="C2" s="7"/>
      <x:c r="D2" s="7"/>
      <x:c r="E2" s="7"/>
      <x:c r="F2" s="7"/>
      <x:c r="G2" s="7"/>
      <x:c r="H2" s="7"/>
      <x:c r="I2" s="7"/>
      <x:c r="J2" s="7"/>
      <x:c r="K2" s="7"/>
      <x:c r="L2" s="7"/>
      <x:c r="M2" s="7"/>
      <x:c r="N2" s="7"/>
      <x:c r="O2" s="7"/>
    </x:row>
    <x:row r="4" ht="32" customHeight="1">
      <x:c r="A4" s="16" t="str">
        <x:v>Case ID</x:v>
      </x:c>
      <x:c r="B4" s="17" t="str">
        <x:v>Variant ID</x:v>
      </x:c>
      <x:c r="C4" s="17" t="str">
        <x:v>RDF Data File</x:v>
      </x:c>
      <x:c r="D4" s="17" t="str">
        <x:v>SHACL File</x:v>
      </x:c>
      <x:c r="E4" s="17" t="str">
        <x:v>Expected Result</x:v>
      </x:c>
      <x:c r="F4" s="17" t="str">
        <x:v>Actual Result</x:v>
      </x:c>
      <x:c r="G4" s="17" t="str">
        <x:v>Outcome Match</x:v>
      </x:c>
      <x:c r="H4" s="17" t="str">
        <x:v>Validation Message</x:v>
      </x:c>
      <x:c r="I4" s="17" t="str">
        <x:v>Data SHA-256</x:v>
      </x:c>
      <x:c r="J4" s="17" t="str">
        <x:v>Shape SHA-256</x:v>
      </x:c>
      <x:c r="K4" s="17" t="str">
        <x:v>Validation Date</x:v>
      </x:c>
      <x:c r="L4" s="17" t="str">
        <x:v>pySHACL</x:v>
      </x:c>
      <x:c r="M4" s="17" t="str">
        <x:v>RDFLib</x:v>
      </x:c>
      <x:c r="N4" s="17" t="str">
        <x:v>Errors</x:v>
      </x:c>
      <x:c r="O4" s="18" t="str">
        <x:v>Review Notes</x:v>
      </x:c>
    </x:row>
    <x:row r="5">
      <x:c r="A5" s="24" t="str">
        <x:v>RQ-IMO-075</x:v>
      </x:c>
      <x:c r="B5" s="24" t="str">
        <x:v>RQ-IMO-075-PASS</x:v>
      </x:c>
      <x:c r="C5" s="24" t="str">
        <x:v>requirement_level/RQ-IMO-075_survival_equipment/RQ-IMO-075_pass.ttl</x:v>
      </x:c>
      <x:c r="D5" s="24" t="str">
        <x:v>requirement_level/RQ-IMO-075_survival_equipment/RQ-IMO-075_shapes.ttl</x:v>
      </x:c>
      <x:c r="E5" s="24" t="str">
        <x:v>Conforms</x:v>
      </x:c>
      <x:c r="F5" s="24" t="str">
        <x:v>Conforms</x:v>
      </x:c>
      <x:c r="G5" s="24" t="str">
        <x:f>IF(E5=F5,"PASS","FAIL")</x:f>
        <x:v>PASS</x:v>
      </x:c>
      <x:c r="H5" s="24" t="str"/>
      <x:c r="I5" s="24" t="str">
        <x:v>e01153ee093cf13b5de5f150396c38ba7a060aed883912437342d95500dcf4e3</x:v>
      </x:c>
      <x:c r="J5" s="24" t="str">
        <x:v>cf7b9c05df86ce2e3a58e12fe54617a8d111fae73f354714a7f2bcfa3a992524</x:v>
      </x:c>
      <x:c r="K5" s="24" t="str">
        <x:v>2026-08-12</x:v>
      </x:c>
      <x:c r="L5" s="24" t="str">
        <x:v>0.31.0</x:v>
      </x:c>
      <x:c r="M5" s="24" t="str">
        <x:v>7.6.0</x:v>
      </x:c>
      <x:c r="N5" s="24" t="str"/>
      <x:c r="O5" s="24" t="str"/>
    </x:row>
    <x:row r="6">
      <x:c r="A6" s="25" t="str">
        <x:v>RQ-IMO-075</x:v>
      </x:c>
      <x:c r="B6" s="25" t="str">
        <x:v>RQ-IMO-075-FAIL</x:v>
      </x:c>
      <x:c r="C6" s="25" t="str">
        <x:v>requirement_level/RQ-IMO-075_survival_equipment/RQ-IMO-075_fail.ttl</x:v>
      </x:c>
      <x:c r="D6" s="25" t="str">
        <x:v>requirement_level/RQ-IMO-075_survival_equipment/RQ-IMO-075_shapes.ttl</x:v>
      </x:c>
      <x:c r="E6" s="25" t="str">
        <x:v>Does not conform</x:v>
      </x:c>
      <x:c r="F6" s="25" t="str">
        <x:v>Does not conform</x:v>
      </x:c>
      <x:c r="G6" s="25" t="str">
        <x:f>IF(E6=F6,"PASS","FAIL")</x:f>
        <x:v>PASS</x:v>
      </x:c>
      <x:c r="H6" s="25" t="str">
        <x:v>IMO-075: when survival equipment is required, integer capacity shall be at least 110 percent of persons on board and storage shall be accessible</x:v>
      </x:c>
      <x:c r="I6" s="25" t="str">
        <x:v>e769f6a3f43614ecef9ae71a7f9ce4b8890eb14b9f61d5578459b3b2aff1d202</x:v>
      </x:c>
      <x:c r="J6" s="25" t="str">
        <x:v>cf7b9c05df86ce2e3a58e12fe54617a8d111fae73f354714a7f2bcfa3a992524</x:v>
      </x:c>
      <x:c r="K6" s="25" t="str">
        <x:v>2026-08-12</x:v>
      </x:c>
      <x:c r="L6" s="25" t="str">
        <x:v>0.31.0</x:v>
      </x:c>
      <x:c r="M6" s="25" t="str">
        <x:v>7.6.0</x:v>
      </x:c>
      <x:c r="N6" s="25" t="str"/>
      <x:c r="O6" s="25" t="str"/>
    </x:row>
    <x:row r="7">
      <x:c r="A7" s="25" t="str">
        <x:v>RQ-IMO26-014</x:v>
      </x:c>
      <x:c r="B7" s="25" t="str">
        <x:v>RQ-IMO26-014-PASS</x:v>
      </x:c>
      <x:c r="C7" s="25" t="str">
        <x:v>requirement_level/RQ-IMO26-014_illumination_means/RQ-IMO26-014_pass.ttl</x:v>
      </x:c>
      <x:c r="D7" s="25" t="str">
        <x:v>requirement_level/RQ-IMO26-014_illumination_means/RQ-IMO26-014_shapes.ttl</x:v>
      </x:c>
      <x:c r="E7" s="25" t="str">
        <x:v>Conforms</x:v>
      </x:c>
      <x:c r="F7" s="25" t="str">
        <x:v>Conforms</x:v>
      </x:c>
      <x:c r="G7" s="25" t="str">
        <x:f>IF(E7=F7,"PASS","FAIL")</x:f>
        <x:v>PASS</x:v>
      </x:c>
      <x:c r="H7" s="25" t="str"/>
      <x:c r="I7" s="25" t="str">
        <x:v>90739900bf0e3d543385f33b61bd18cd8fa4f6b5b40b6093dbfad7578a81154d</x:v>
      </x:c>
      <x:c r="J7" s="25" t="str">
        <x:v>e286410c70af3ddad6c33ef4c5a41c13afc5dda1b6a24a2f8e579df318672677</x:v>
      </x:c>
      <x:c r="K7" s="25" t="str">
        <x:v>2026-08-12</x:v>
      </x:c>
      <x:c r="L7" s="25" t="str">
        <x:v>0.31.0</x:v>
      </x:c>
      <x:c r="M7" s="25" t="str">
        <x:v>7.6.0</x:v>
      </x:c>
      <x:c r="N7" s="25" t="str"/>
      <x:c r="O7" s="25" t="str"/>
    </x:row>
    <x:row r="8">
      <x:c r="A8" s="25" t="str">
        <x:v>RQ-IMO26-014</x:v>
      </x:c>
      <x:c r="B8" s="25" t="str">
        <x:v>RQ-IMO26-014-FAIL</x:v>
      </x:c>
      <x:c r="C8" s="25" t="str">
        <x:v>requirement_level/RQ-IMO26-014_illumination_means/RQ-IMO26-014_fail.ttl</x:v>
      </x:c>
      <x:c r="D8" s="25" t="str">
        <x:v>requirement_level/RQ-IMO26-014_illumination_means/RQ-IMO26-014_shapes.ttl</x:v>
      </x:c>
      <x:c r="E8" s="25" t="str">
        <x:v>Does not conform</x:v>
      </x:c>
      <x:c r="F8" s="25" t="str">
        <x:v>Does not conform</x:v>
      </x:c>
      <x:c r="G8" s="25" t="str">
        <x:f>IF(E8=F8,"PASS","FAIL")</x:f>
        <x:v>PASS</x:v>
      </x:c>
      <x:c r="H8" s="25" t="str">
        <x:v>IMO26-014: unless the ship operates only in continuous daylight, at least two visual-ice-detection illumination means are required</x:v>
      </x:c>
      <x:c r="I8" s="25" t="str">
        <x:v>b7e8c3270515fe2f01788da8c983ffb67161be4f96072381b1dfd1163d891079</x:v>
      </x:c>
      <x:c r="J8" s="25" t="str">
        <x:v>e286410c70af3ddad6c33ef4c5a41c13afc5dda1b6a24a2f8e579df318672677</x:v>
      </x:c>
      <x:c r="K8" s="25" t="str">
        <x:v>2026-08-12</x:v>
      </x:c>
      <x:c r="L8" s="25" t="str">
        <x:v>0.31.0</x:v>
      </x:c>
      <x:c r="M8" s="25" t="str">
        <x:v>7.6.0</x:v>
      </x:c>
      <x:c r="N8" s="25" t="str"/>
      <x:c r="O8" s="25" t="str"/>
    </x:row>
    <x:row r="9">
      <x:c r="A9" s="25" t="str">
        <x:v>INT-001</x:v>
      </x:c>
      <x:c r="B9" s="25" t="str">
        <x:v>INT-001-PASS</x:v>
      </x:c>
      <x:c r="C9" s="25" t="str">
        <x:v>integrated/INT-001_polar_survival_bridge/INT-001_pass.ttl</x:v>
      </x:c>
      <x:c r="D9" s="25" t="str">
        <x:v>integrated/INT-001_polar_survival_bridge/INT-001_shapes.ttl</x:v>
      </x:c>
      <x:c r="E9" s="25" t="str">
        <x:v>Conforms</x:v>
      </x:c>
      <x:c r="F9" s="25" t="str">
        <x:v>Conforms</x:v>
      </x:c>
      <x:c r="G9" s="25" t="str">
        <x:f>IF(E9=F9,"PASS","FAIL")</x:f>
        <x:v>PASS</x:v>
      </x:c>
      <x:c r="H9" s="25" t="str"/>
      <x:c r="I9" s="25" t="str">
        <x:v>2835d23f12a2a283ee5cc9a1fa75ce26c1da4560d5cb8f122b9a3ef80a816610</x:v>
      </x:c>
      <x:c r="J9" s="25" t="str">
        <x:v>b31d5367f87f3249bc6e0acb21f62ea7eb165eceb5148f6d8dd6aa3a8bf6f936</x:v>
      </x:c>
      <x:c r="K9" s="25" t="str">
        <x:v>2026-08-12</x:v>
      </x:c>
      <x:c r="L9" s="25" t="str">
        <x:v>0.31.0</x:v>
      </x:c>
      <x:c r="M9" s="25" t="str">
        <x:v>7.6.0</x:v>
      </x:c>
      <x:c r="N9" s="25" t="str"/>
      <x:c r="O9" s="25" t="str"/>
    </x:row>
    <x:row r="10">
      <x:c r="A10" s="25" t="str">
        <x:v>INT-001</x:v>
      </x:c>
      <x:c r="B10" s="25" t="str">
        <x:v>INT-001-FAIL</x:v>
      </x:c>
      <x:c r="C10" s="25" t="str">
        <x:v>integrated/INT-001_polar_survival_bridge/INT-001_fail.ttl</x:v>
      </x:c>
      <x:c r="D10" s="25" t="str">
        <x:v>integrated/INT-001_polar_survival_bridge/INT-001_shapes.ttl</x:v>
      </x:c>
      <x:c r="E10" s="25" t="str">
        <x:v>Does not conform</x:v>
      </x:c>
      <x:c r="F10" s="25" t="str">
        <x:v>Does not conform</x:v>
      </x:c>
      <x:c r="G10" s="25" t="str">
        <x:f>IF(E10=F10,"PASS","FAIL")</x:f>
        <x:v>PASS</x:v>
      </x:c>
      <x:c r="H10" s="25" t="str">
        <x:v>IMO-085: applicable Category A or B ship lacks both enclosed bridge wings and protective bridge-wing design</x:v>
      </x:c>
      <x:c r="I10" s="25" t="str">
        <x:v>389ac9f0560c73d911226447d34f73c0557f189955f92b4c6981f01140343bc7</x:v>
      </x:c>
      <x:c r="J10" s="25" t="str">
        <x:v>b31d5367f87f3249bc6e0acb21f62ea7eb165eceb5148f6d8dd6aa3a8bf6f936</x:v>
      </x:c>
      <x:c r="K10" s="25" t="str">
        <x:v>2026-08-12</x:v>
      </x:c>
      <x:c r="L10" s="25" t="str">
        <x:v>0.31.0</x:v>
      </x:c>
      <x:c r="M10" s="25" t="str">
        <x:v>7.6.0</x:v>
      </x:c>
      <x:c r="N10" s="25" t="str"/>
      <x:c r="O10" s="25" t="str"/>
    </x:row>
    <x:row r="11">
      <x:c r="A11" s="25" t="str">
        <x:v>INT-002</x:v>
      </x:c>
      <x:c r="B11" s="25" t="str">
        <x:v>INT-002-PASS</x:v>
      </x:c>
      <x:c r="C11" s="25" t="str">
        <x:v>integrated/INT-002_2026_navigation/INT-002_pass.ttl</x:v>
      </x:c>
      <x:c r="D11" s="25" t="str">
        <x:v>integrated/INT-002_2026_navigation/INT-002_shapes.ttl</x:v>
      </x:c>
      <x:c r="E11" s="25" t="str">
        <x:v>Conforms</x:v>
      </x:c>
      <x:c r="F11" s="25" t="str">
        <x:v>Conforms</x:v>
      </x:c>
      <x:c r="G11" s="25" t="str">
        <x:f>IF(E11=F11,"PASS","FAIL")</x:f>
        <x:v>PASS</x:v>
      </x:c>
      <x:c r="H11" s="25" t="str"/>
      <x:c r="I11" s="25" t="str">
        <x:v>ace14248ac7779adbf3abf0aa2b3b8faa6db796af30a0de83b8f4fa636df9612</x:v>
      </x:c>
      <x:c r="J11" s="25" t="str">
        <x:v>fddfde3cd64df19b52c9b6cbbb7e35eabe0f389d5449880607e0d35a7dc8ee93</x:v>
      </x:c>
      <x:c r="K11" s="25" t="str">
        <x:v>2026-08-12</x:v>
      </x:c>
      <x:c r="L11" s="25" t="str">
        <x:v>0.31.0</x:v>
      </x:c>
      <x:c r="M11" s="25" t="str">
        <x:v>7.6.0</x:v>
      </x:c>
      <x:c r="N11" s="25" t="str"/>
      <x:c r="O11" s="25" t="str"/>
    </x:row>
    <x:row r="12">
      <x:c r="A12" s="25" t="str">
        <x:v>INT-002</x:v>
      </x:c>
      <x:c r="B12" s="25" t="str">
        <x:v>INT-002-FAIL</x:v>
      </x:c>
      <x:c r="C12" s="25" t="str">
        <x:v>integrated/INT-002_2026_navigation/INT-002_fail.ttl</x:v>
      </x:c>
      <x:c r="D12" s="25" t="str">
        <x:v>integrated/INT-002_2026_navigation/INT-002_shapes.ttl</x:v>
      </x:c>
      <x:c r="E12" s="25" t="str">
        <x:v>Does not conform</x:v>
      </x:c>
      <x:c r="F12" s="25" t="str">
        <x:v>Does not conform</x:v>
      </x:c>
      <x:c r="G12" s="25" t="str">
        <x:f>IF(E12=F12,"PASS","FAIL")</x:f>
        <x:v>PASS</x:v>
      </x:c>
      <x:c r="H12" s="25" t="str">
        <x:v>IMO26-007: applicable ice-strengthened ship lacks a permitted echo-sounding arrangement or approved equivalent</x:v>
      </x:c>
      <x:c r="I12" s="25" t="str">
        <x:v>8e593d06876116ff9b6d5b5c7ccbc9f302a334784002681c12838b677c625e4f</x:v>
      </x:c>
      <x:c r="J12" s="25" t="str">
        <x:v>fddfde3cd64df19b52c9b6cbbb7e35eabe0f389d5449880607e0d35a7dc8ee93</x:v>
      </x:c>
      <x:c r="K12" s="25" t="str">
        <x:v>2026-08-12</x:v>
      </x:c>
      <x:c r="L12" s="25" t="str">
        <x:v>0.31.0</x:v>
      </x:c>
      <x:c r="M12" s="25" t="str">
        <x:v>7.6.0</x:v>
      </x:c>
      <x:c r="N12" s="25" t="str"/>
      <x:c r="O12" s="25" t="str"/>
    </x:row>
  </x:sheetData>
  <x:mergeCells>
    <x:mergeCell ref="A1:O1"/>
    <x:mergeCell ref="A2:O2"/>
  </x:mergeCells>
  <x:conditionalFormatting sqref="G5:G12">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ffc3dab64b67456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4" max="4" width="44" hidden="0" customWidth="1"/>
    <x:col min="12" max="12" width="48" hidden="0" customWidth="1"/>
  </x:cols>
  <x:sheetData>
    <x:row r="1" ht="30" customHeight="1">
      <x:c r="A1" s="3" t="str">
        <x:v>Extension queue</x:v>
      </x:c>
      <x:c r="B1" s="3"/>
      <x:c r="C1" s="3"/>
      <x:c r="D1" s="3"/>
      <x:c r="E1" s="3"/>
      <x:c r="F1" s="3"/>
      <x:c r="G1" s="3"/>
      <x:c r="H1" s="3"/>
      <x:c r="I1" s="3"/>
      <x:c r="J1" s="3"/>
      <x:c r="K1" s="3"/>
      <x:c r="L1" s="3"/>
    </x:row>
    <x:row r="2" ht="34" customHeight="1">
      <x:c r="A2" s="7" t="str">
        <x:v>Editable staging area for adding requirements and RDF graph pairs after the pilot succeeds.</x:v>
      </x:c>
      <x:c r="B2" s="7"/>
      <x:c r="C2" s="7"/>
      <x:c r="D2" s="7"/>
      <x:c r="E2" s="7"/>
      <x:c r="F2" s="7"/>
      <x:c r="G2" s="7"/>
      <x:c r="H2" s="7"/>
      <x:c r="I2" s="7"/>
      <x:c r="J2" s="7"/>
      <x:c r="K2" s="7"/>
      <x:c r="L2" s="7"/>
    </x:row>
    <x:row r="4" ht="32" customHeight="1">
      <x:c r="A4" s="16" t="str">
        <x:v>Candidate Case ID</x:v>
      </x:c>
      <x:c r="B4" s="17" t="str">
        <x:v>Requirement ID</x:v>
      </x:c>
      <x:c r="C4" s="17" t="str">
        <x:v>Proposed Level</x:v>
      </x:c>
      <x:c r="D4" s="17" t="str">
        <x:v>Why Add It</x:v>
      </x:c>
      <x:c r="E4" s="17" t="str">
        <x:v>Source Verified</x:v>
      </x:c>
      <x:c r="F4" s="17" t="str">
        <x:v>Vocabulary Verified</x:v>
      </x:c>
      <x:c r="G4" s="17" t="str">
        <x:v>Shape Status</x:v>
      </x:c>
      <x:c r="H4" s="17" t="str">
        <x:v>Pass Graph Status</x:v>
      </x:c>
      <x:c r="I4" s="17" t="str">
        <x:v>Fail Graph Status</x:v>
      </x:c>
      <x:c r="J4" s="17" t="str">
        <x:v>Human Review</x:v>
      </x:c>
      <x:c r="K4" s="17" t="str">
        <x:v>Priority</x:v>
      </x:c>
      <x:c r="L4" s="18" t="str">
        <x:v>Notes / Vocabulary Gaps</x:v>
      </x:c>
    </x:row>
    <x:row r="5">
      <x:c r="A5" s="24" t="str"/>
      <x:c r="B5" s="24" t="str"/>
      <x:c r="C5" s="24" t="str"/>
      <x:c r="D5" s="24" t="str"/>
      <x:c r="E5" s="24" t="str"/>
      <x:c r="F5" s="24" t="str"/>
      <x:c r="G5" s="24" t="str"/>
      <x:c r="H5" s="24" t="str"/>
      <x:c r="I5" s="24" t="str"/>
      <x:c r="J5" s="24" t="str"/>
      <x:c r="K5" s="24" t="str"/>
      <x:c r="L5" s="24" t="str"/>
    </x:row>
    <x:row r="6">
      <x:c r="A6" s="25" t="str"/>
      <x:c r="B6" s="25" t="str"/>
      <x:c r="C6" s="25" t="str"/>
      <x:c r="D6" s="25" t="str"/>
      <x:c r="E6" s="25" t="str"/>
      <x:c r="F6" s="25" t="str"/>
      <x:c r="G6" s="25" t="str"/>
      <x:c r="H6" s="25" t="str"/>
      <x:c r="I6" s="25" t="str"/>
      <x:c r="J6" s="25" t="str"/>
      <x:c r="K6" s="25" t="str"/>
      <x:c r="L6" s="25" t="str"/>
    </x:row>
    <x:row r="7">
      <x:c r="A7" s="25" t="str"/>
      <x:c r="B7" s="25" t="str"/>
      <x:c r="C7" s="25" t="str"/>
      <x:c r="D7" s="25" t="str"/>
      <x:c r="E7" s="25" t="str"/>
      <x:c r="F7" s="25" t="str"/>
      <x:c r="G7" s="25" t="str"/>
      <x:c r="H7" s="25" t="str"/>
      <x:c r="I7" s="25" t="str"/>
      <x:c r="J7" s="25" t="str"/>
      <x:c r="K7" s="25" t="str"/>
      <x:c r="L7" s="25" t="str"/>
    </x:row>
    <x:row r="8">
      <x:c r="A8" s="25" t="str"/>
      <x:c r="B8" s="25" t="str"/>
      <x:c r="C8" s="25" t="str"/>
      <x:c r="D8" s="25" t="str"/>
      <x:c r="E8" s="25" t="str"/>
      <x:c r="F8" s="25" t="str"/>
      <x:c r="G8" s="25" t="str"/>
      <x:c r="H8" s="25" t="str"/>
      <x:c r="I8" s="25" t="str"/>
      <x:c r="J8" s="25" t="str"/>
      <x:c r="K8" s="25" t="str"/>
      <x:c r="L8" s="25" t="str"/>
    </x:row>
    <x:row r="9">
      <x:c r="A9" s="25" t="str"/>
      <x:c r="B9" s="25" t="str"/>
      <x:c r="C9" s="25" t="str"/>
      <x:c r="D9" s="25" t="str"/>
      <x:c r="E9" s="25" t="str"/>
      <x:c r="F9" s="25" t="str"/>
      <x:c r="G9" s="25" t="str"/>
      <x:c r="H9" s="25" t="str"/>
      <x:c r="I9" s="25" t="str"/>
      <x:c r="J9" s="25" t="str"/>
      <x:c r="K9" s="25" t="str"/>
      <x:c r="L9" s="25" t="str"/>
    </x:row>
    <x:row r="10">
      <x:c r="A10" s="25" t="str"/>
      <x:c r="B10" s="25" t="str"/>
      <x:c r="C10" s="25" t="str"/>
      <x:c r="D10" s="25" t="str"/>
      <x:c r="E10" s="25" t="str"/>
      <x:c r="F10" s="25" t="str"/>
      <x:c r="G10" s="25" t="str"/>
      <x:c r="H10" s="25" t="str"/>
      <x:c r="I10" s="25" t="str"/>
      <x:c r="J10" s="25" t="str"/>
      <x:c r="K10" s="25" t="str"/>
      <x:c r="L10" s="25" t="str"/>
    </x:row>
    <x:row r="11">
      <x:c r="A11" s="25" t="str"/>
      <x:c r="B11" s="25" t="str"/>
      <x:c r="C11" s="25" t="str"/>
      <x:c r="D11" s="25" t="str"/>
      <x:c r="E11" s="25" t="str"/>
      <x:c r="F11" s="25" t="str"/>
      <x:c r="G11" s="25" t="str"/>
      <x:c r="H11" s="25" t="str"/>
      <x:c r="I11" s="25" t="str"/>
      <x:c r="J11" s="25" t="str"/>
      <x:c r="K11" s="25" t="str"/>
      <x:c r="L11" s="25" t="str"/>
    </x:row>
    <x:row r="12">
      <x:c r="A12" s="25" t="str"/>
      <x:c r="B12" s="25" t="str"/>
      <x:c r="C12" s="25" t="str"/>
      <x:c r="D12" s="25" t="str"/>
      <x:c r="E12" s="25" t="str"/>
      <x:c r="F12" s="25" t="str"/>
      <x:c r="G12" s="25" t="str"/>
      <x:c r="H12" s="25" t="str"/>
      <x:c r="I12" s="25" t="str"/>
      <x:c r="J12" s="25" t="str"/>
      <x:c r="K12" s="25" t="str"/>
      <x:c r="L12" s="25" t="str"/>
    </x:row>
    <x:row r="13">
      <x:c r="A13" s="25" t="str"/>
      <x:c r="B13" s="25" t="str"/>
      <x:c r="C13" s="25" t="str"/>
      <x:c r="D13" s="25" t="str"/>
      <x:c r="E13" s="25" t="str"/>
      <x:c r="F13" s="25" t="str"/>
      <x:c r="G13" s="25" t="str"/>
      <x:c r="H13" s="25" t="str"/>
      <x:c r="I13" s="25" t="str"/>
      <x:c r="J13" s="25" t="str"/>
      <x:c r="K13" s="25" t="str"/>
      <x:c r="L13" s="25" t="str"/>
    </x:row>
    <x:row r="14">
      <x:c r="A14" s="25" t="str"/>
      <x:c r="B14" s="25" t="str"/>
      <x:c r="C14" s="25" t="str"/>
      <x:c r="D14" s="25" t="str"/>
      <x:c r="E14" s="25" t="str"/>
      <x:c r="F14" s="25" t="str"/>
      <x:c r="G14" s="25" t="str"/>
      <x:c r="H14" s="25" t="str"/>
      <x:c r="I14" s="25" t="str"/>
      <x:c r="J14" s="25" t="str"/>
      <x:c r="K14" s="25" t="str"/>
      <x:c r="L14" s="25" t="str"/>
    </x:row>
    <x:row r="15">
      <x:c r="A15" s="25" t="str"/>
      <x:c r="B15" s="25" t="str"/>
      <x:c r="C15" s="25" t="str"/>
      <x:c r="D15" s="25" t="str"/>
      <x:c r="E15" s="25" t="str"/>
      <x:c r="F15" s="25" t="str"/>
      <x:c r="G15" s="25" t="str"/>
      <x:c r="H15" s="25" t="str"/>
      <x:c r="I15" s="25" t="str"/>
      <x:c r="J15" s="25" t="str"/>
      <x:c r="K15" s="25" t="str"/>
      <x:c r="L15" s="25" t="str"/>
    </x:row>
    <x:row r="16">
      <x:c r="A16" s="25" t="str"/>
      <x:c r="B16" s="25" t="str"/>
      <x:c r="C16" s="25" t="str"/>
      <x:c r="D16" s="25" t="str"/>
      <x:c r="E16" s="25" t="str"/>
      <x:c r="F16" s="25" t="str"/>
      <x:c r="G16" s="25" t="str"/>
      <x:c r="H16" s="25" t="str"/>
      <x:c r="I16" s="25" t="str"/>
      <x:c r="J16" s="25" t="str"/>
      <x:c r="K16" s="25" t="str"/>
      <x:c r="L16" s="25" t="str"/>
    </x:row>
    <x:row r="17">
      <x:c r="A17" s="25" t="str"/>
      <x:c r="B17" s="25" t="str"/>
      <x:c r="C17" s="25" t="str"/>
      <x:c r="D17" s="25" t="str"/>
      <x:c r="E17" s="25" t="str"/>
      <x:c r="F17" s="25" t="str"/>
      <x:c r="G17" s="25" t="str"/>
      <x:c r="H17" s="25" t="str"/>
      <x:c r="I17" s="25" t="str"/>
      <x:c r="J17" s="25" t="str"/>
      <x:c r="K17" s="25" t="str"/>
      <x:c r="L17" s="25" t="str"/>
    </x:row>
    <x:row r="18">
      <x:c r="A18" s="25" t="str"/>
      <x:c r="B18" s="25" t="str"/>
      <x:c r="C18" s="25" t="str"/>
      <x:c r="D18" s="25" t="str"/>
      <x:c r="E18" s="25" t="str"/>
      <x:c r="F18" s="25" t="str"/>
      <x:c r="G18" s="25" t="str"/>
      <x:c r="H18" s="25" t="str"/>
      <x:c r="I18" s="25" t="str"/>
      <x:c r="J18" s="25" t="str"/>
      <x:c r="K18" s="25" t="str"/>
      <x:c r="L18" s="25" t="str"/>
    </x:row>
    <x:row r="19">
      <x:c r="A19" s="25" t="str"/>
      <x:c r="B19" s="25" t="str"/>
      <x:c r="C19" s="25" t="str"/>
      <x:c r="D19" s="25" t="str"/>
      <x:c r="E19" s="25" t="str"/>
      <x:c r="F19" s="25" t="str"/>
      <x:c r="G19" s="25" t="str"/>
      <x:c r="H19" s="25" t="str"/>
      <x:c r="I19" s="25" t="str"/>
      <x:c r="J19" s="25" t="str"/>
      <x:c r="K19" s="25" t="str"/>
      <x:c r="L19" s="25" t="str"/>
    </x:row>
    <x:row r="20">
      <x:c r="A20" s="25" t="str"/>
      <x:c r="B20" s="25" t="str"/>
      <x:c r="C20" s="25" t="str"/>
      <x:c r="D20" s="25" t="str"/>
      <x:c r="E20" s="25" t="str"/>
      <x:c r="F20" s="25" t="str"/>
      <x:c r="G20" s="25" t="str"/>
      <x:c r="H20" s="25" t="str"/>
      <x:c r="I20" s="25" t="str"/>
      <x:c r="J20" s="25" t="str"/>
      <x:c r="K20" s="25" t="str"/>
      <x:c r="L20" s="25" t="str"/>
    </x:row>
    <x:row r="21">
      <x:c r="A21" s="25" t="str"/>
      <x:c r="B21" s="25" t="str"/>
      <x:c r="C21" s="25" t="str"/>
      <x:c r="D21" s="25" t="str"/>
      <x:c r="E21" s="25" t="str"/>
      <x:c r="F21" s="25" t="str"/>
      <x:c r="G21" s="25" t="str"/>
      <x:c r="H21" s="25" t="str"/>
      <x:c r="I21" s="25" t="str"/>
      <x:c r="J21" s="25" t="str"/>
      <x:c r="K21" s="25" t="str"/>
      <x:c r="L21" s="25" t="str"/>
    </x:row>
    <x:row r="22">
      <x:c r="A22" s="25" t="str"/>
      <x:c r="B22" s="25" t="str"/>
      <x:c r="C22" s="25" t="str"/>
      <x:c r="D22" s="25" t="str"/>
      <x:c r="E22" s="25" t="str"/>
      <x:c r="F22" s="25" t="str"/>
      <x:c r="G22" s="25" t="str"/>
      <x:c r="H22" s="25" t="str"/>
      <x:c r="I22" s="25" t="str"/>
      <x:c r="J22" s="25" t="str"/>
      <x:c r="K22" s="25" t="str"/>
      <x:c r="L22" s="25" t="str"/>
    </x:row>
    <x:row r="23">
      <x:c r="A23" s="25" t="str"/>
      <x:c r="B23" s="25" t="str"/>
      <x:c r="C23" s="25" t="str"/>
      <x:c r="D23" s="25" t="str"/>
      <x:c r="E23" s="25" t="str"/>
      <x:c r="F23" s="25" t="str"/>
      <x:c r="G23" s="25" t="str"/>
      <x:c r="H23" s="25" t="str"/>
      <x:c r="I23" s="25" t="str"/>
      <x:c r="J23" s="25" t="str"/>
      <x:c r="K23" s="25" t="str"/>
      <x:c r="L23" s="25" t="str"/>
    </x:row>
    <x:row r="24">
      <x:c r="A24" s="25" t="str"/>
      <x:c r="B24" s="25" t="str"/>
      <x:c r="C24" s="25" t="str"/>
      <x:c r="D24" s="25" t="str"/>
      <x:c r="E24" s="25" t="str"/>
      <x:c r="F24" s="25" t="str"/>
      <x:c r="G24" s="25" t="str"/>
      <x:c r="H24" s="25" t="str"/>
      <x:c r="I24" s="25" t="str"/>
      <x:c r="J24" s="25" t="str"/>
      <x:c r="K24" s="25" t="str"/>
      <x:c r="L24" s="25" t="str"/>
    </x:row>
  </x:sheetData>
  <x:mergeCells>
    <x:mergeCell ref="A1:L1"/>
    <x:mergeCell ref="A2:L2"/>
  </x:mergeCells>
  <x:dataValidations count="5">
    <x:dataValidation type="list" sqref="C5:C24">
      <x:formula1>"Requirement,Integrated"</x:formula1>
    </x:dataValidation>
    <x:dataValidation type="list" sqref="E5:F24">
      <x:formula1>"No,In review,Yes"</x:formula1>
    </x:dataValidation>
    <x:dataValidation type="list" sqref="G5:I24">
      <x:formula1>"Not started,Draft,Validated,Blocked"</x:formula1>
    </x:dataValidation>
    <x:dataValidation type="list" sqref="J5:J24">
      <x:formula1>"Pending,Approved,Needs revision"</x:formula1>
    </x:dataValidation>
    <x:dataValidation type="list" sqref="K5:K24">
      <x:formula1>"High,Medium,Low"</x:formula1>
    </x:dataValidation>
  </x:dataValidations>
  <x:pageMargins left="0.7" right="0.7" top="0.75" bottom="0.75" header="0.3" footer="0.3"/>
  <x:tableParts count="1">
    <x:tablePart xmlns:r="http://schemas.openxmlformats.org/officeDocument/2006/relationships" r:id="R25df45bc0ed343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8" hidden="0" customWidth="1"/>
    <x:col min="5" max="5" width="48" hidden="0" customWidth="1"/>
    <x:col min="6" max="6" width="48" hidden="0" customWidth="1"/>
    <x:col min="7" max="7" width="24" hidden="0" customWidth="1"/>
    <x:col min="8" max="8" width="48" hidden="0" customWidth="1"/>
  </x:cols>
  <x:sheetData>
    <x:row r="1" ht="30" customHeight="1">
      <x:c r="A1" s="3" t="str">
        <x:v>Change log</x:v>
      </x:c>
      <x:c r="B1" s="3"/>
      <x:c r="C1" s="3"/>
      <x:c r="D1" s="3"/>
      <x:c r="E1" s="3"/>
      <x:c r="F1" s="3"/>
      <x:c r="G1" s="3"/>
      <x:c r="H1" s="3"/>
    </x:row>
    <x:row r="2" ht="34" customHeight="1">
      <x:c r="A2" s="7" t="str">
        <x:v>Append-only record of pilot creation, validation, review decisions, and later extensions.</x:v>
      </x:c>
      <x:c r="B2" s="7"/>
      <x:c r="C2" s="7"/>
      <x:c r="D2" s="7"/>
      <x:c r="E2" s="7"/>
      <x:c r="F2" s="7"/>
      <x:c r="G2" s="7"/>
      <x:c r="H2" s="7"/>
    </x:row>
    <x:row r="4" ht="32" customHeight="1">
      <x:c r="A4" s="16" t="str">
        <x:v>Change ID</x:v>
      </x:c>
      <x:c r="B4" s="17" t="str">
        <x:v>Date</x:v>
      </x:c>
      <x:c r="C4" s="17" t="str">
        <x:v>Area</x:v>
      </x:c>
      <x:c r="D4" s="17" t="str">
        <x:v>Action</x:v>
      </x:c>
      <x:c r="E4" s="17" t="str">
        <x:v>Reason</x:v>
      </x:c>
      <x:c r="F4" s="17" t="str">
        <x:v>Files / Cases</x:v>
      </x:c>
      <x:c r="G4" s="17" t="str">
        <x:v>Author / Reviewer</x:v>
      </x:c>
      <x:c r="H4" s="18" t="str">
        <x:v>Notes</x:v>
      </x:c>
    </x:row>
    <x:row r="5">
      <x:c r="A5" s="24" t="str">
        <x:v>CHG-001</x:v>
      </x:c>
      <x:c r="B5" s="37" t="n">
        <x:v>46246</x:v>
      </x:c>
      <x:c r="C5" s="24" t="str">
        <x:v>Pilot design</x:v>
      </x:c>
      <x:c r="D5" s="24" t="str">
        <x:v>Created four pilot cases and eight RDF variants</x:v>
      </x:c>
      <x:c r="E5" s="24" t="str">
        <x:v>Establish a minimal extensible RDF benchmark</x:v>
      </x:c>
      <x:c r="F5" s="24" t="str">
        <x:v>RQ-IMO-075; RQ-IMO26-014; INT-001; INT-002</x:v>
      </x:c>
      <x:c r="G5" s="24" t="str">
        <x:v>Codex</x:v>
      </x:c>
      <x:c r="H5" s="24" t="str">
        <x:v>Pending user review</x:v>
      </x:c>
    </x:row>
    <x:row r="6">
      <x:c r="A6" s="25" t="str">
        <x:v>CHG-002</x:v>
      </x:c>
      <x:c r="B6" s="38" t="n">
        <x:v>46246</x:v>
      </x:c>
      <x:c r="C6" s="25" t="str">
        <x:v>Validation</x:v>
      </x:c>
      <x:c r="D6" s="25" t="str">
        <x:v>Executed RDF syntax, vocabulary, single-fault delta, and SHACL validation</x:v>
      </x:c>
      <x:c r="E6" s="25" t="str">
        <x:v>Verify runnable expected pass/fail behavior</x:v>
      </x:c>
      <x:c r="F6" s="25" t="str">
        <x:v>All pilot TTL and JSON metadata</x:v>
      </x:c>
      <x:c r="G6" s="25" t="str">
        <x:v>Codex</x:v>
      </x:c>
      <x:c r="H6" s="25" t="str">
        <x:v>4/4 pass variants conformed; 4/4 fail variants did not conform</x:v>
      </x:c>
    </x:row>
    <x:row r="7">
      <x:c r="A7" s="25" t="str">
        <x:v>CHG-003</x:v>
      </x:c>
      <x:c r="B7" s="38" t="n">
        <x:v>46246</x:v>
      </x:c>
      <x:c r="C7" s="25" t="str">
        <x:v>Scope</x:v>
      </x:c>
      <x:c r="D7" s="25" t="str">
        <x:v>Recorded IMO-075 proximity limitation</x:v>
      </x:c>
      <x:c r="E7" s="25" t="str">
        <x:v>Avoid inventing a numerical meaning for 'as close as practical'</x:v>
      </x:c>
      <x:c r="F7" s="25" t="str">
        <x:v>RQ-IMO-075; INT-001</x:v>
      </x:c>
      <x:c r="G7" s="25" t="str">
        <x:v>Codex</x:v>
      </x:c>
      <x:c r="H7" s="25" t="str">
        <x:v>Capacity and accessibility remain active deterministic checks</x:v>
      </x:c>
    </x:row>
  </x:sheetData>
  <x:mergeCells>
    <x:mergeCell ref="A1:H1"/>
    <x:mergeCell ref="A2:H2"/>
  </x:mergeCells>
  <x:pageMargins left="0.7" right="0.7" top="0.75" bottom="0.75" header="0.3" footer="0.3"/>
  <x:tableParts count="1">
    <x:tablePart xmlns:r="http://schemas.openxmlformats.org/officeDocument/2006/relationships" r:id="Rf9159ba66326422a"/>
  </x:tableParts>
</x:worksheet>
</file>