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bf0ee2c78645b6" /></Relationships>
</file>

<file path=xl/workbook.xml><?xml version="1.0" encoding="utf-8"?>
<x:workbook xmlns:x="http://schemas.openxmlformats.org/spreadsheetml/2006/main">
  <x:sheets>
    <x:sheet xmlns:r="http://schemas.openxmlformats.org/officeDocument/2006/relationships" name="README" sheetId="1" r:id="Rb1a04bcb37d0434b"/>
    <x:sheet xmlns:r="http://schemas.openxmlformats.org/officeDocument/2006/relationships" name="TRAFICOM" sheetId="2" r:id="R98f78d8b890e4481"/>
    <x:sheet xmlns:r="http://schemas.openxmlformats.org/officeDocument/2006/relationships" name="IACS_UR_I2" sheetId="3" r:id="Rc3f9a6a8767f4eb7"/>
    <x:sheet xmlns:r="http://schemas.openxmlformats.org/officeDocument/2006/relationships" name="IMO_POLAR_CODE" sheetId="5" r:id="R7e30d958e3934f5f"/>
    <x:sheet xmlns:r="http://schemas.openxmlformats.org/officeDocument/2006/relationships" name="IMO_AMEND_2026" sheetId="6" r:id="Rcaf597f07c6848b5"/>
    <x:sheet xmlns:r="http://schemas.openxmlformats.org/officeDocument/2006/relationships" name="TRACEABILITY_LOCK" sheetId="7" r:id="Rc0efde2e22f3454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11">
    <x:font>
      <x:sz val="11"/>
      <x:name val="Carlito"/>
    </x:font>
    <x:font>
      <x:b/>
      <x:sz val="18"/>
      <x:color rgb="FFFFFFFF"/>
      <x:name val="Aptos"/>
    </x:font>
    <x:font>
      <x:b/>
      <x:sz val="11"/>
      <x:color rgb="FF17365D"/>
      <x:name val="Aptos"/>
    </x:font>
    <x:font>
      <x:b/>
      <x:sz val="11"/>
      <x:color rgb="FFFFFFFF"/>
      <x:name val="Aptos"/>
    </x:font>
    <x:font>
      <x:sz val="10"/>
      <x:name val="Aptos"/>
    </x:font>
    <x:font>
      <x:sz val="11"/>
      <x:name val="Aptos"/>
    </x:font>
    <x:font>
      <x:b/>
      <x:sz val="10"/>
      <x:color rgb="FFFFFFFF"/>
      <x:name val="Aptos"/>
    </x:font>
    <x:font>
      <x:sz val="9"/>
      <x:name val="Aptos"/>
    </x:font>
    <x:font>
      <x:b/>
      <x:sz val="17"/>
      <x:color rgb="FFFFFFFF"/>
      <x:name val="Aptos"/>
    </x:font>
    <x:font>
      <x:b/>
      <x:sz val="11"/>
      <x:color rgb="FF375623"/>
      <x:name val="Carlito"/>
    </x:font>
    <x:font>
      <x:b/>
      <x:sz val="11"/>
      <x:color rgb="FF375623"/>
      <x:name val="Aptos"/>
    </x:font>
  </x:fonts>
  <x:fills count="20">
    <x:fill>
      <x:patternFill patternType="none"/>
    </x:fill>
    <x:fill>
      <x:patternFill patternType="gray125"/>
    </x:fill>
    <x:fill>
      <x:patternFill patternType="solid">
        <x:fgColor rgb="FF17365D"/>
      </x:patternFill>
    </x:fill>
    <x:fill>
      <x:patternFill patternType="solid">
        <x:fgColor rgb="FFF5F7FA"/>
      </x:patternFill>
    </x:fill>
    <x:fill>
      <x:patternFill patternType="solid">
        <x:fgColor rgb="FFFFFFFF"/>
      </x:patternFill>
    </x:fill>
    <x:fill>
      <x:patternFill patternType="solid">
        <x:fgColor rgb="FFFFF2CC"/>
      </x:patternFill>
    </x:fill>
    <x:fill>
      <x:patternFill patternType="solid">
        <x:fgColor rgb="FFD9EAF7"/>
      </x:patternFill>
    </x:fill>
    <x:fill>
      <x:patternFill patternType="solid">
        <x:fgColor rgb="FFEAF2F8"/>
      </x:patternFill>
    </x:fill>
    <x:fill>
      <x:patternFill patternType="solid">
        <x:fgColor rgb="FFF8FBFD"/>
      </x:patternFill>
    </x:fill>
    <x:fill>
      <x:patternFill patternType="solid">
        <x:fgColor rgb="FFFCE4D6"/>
      </x:patternFill>
    </x:fill>
    <x:fill>
      <x:patternFill patternType="solid">
        <x:fgColor rgb="FF17365D"/>
      </x:patternFill>
    </x:fill>
    <x:fill>
      <x:patternFill patternType="solid">
        <x:fgColor rgb="FFFFF2CC"/>
      </x:patternFill>
    </x:fill>
    <x:fill>
      <x:patternFill patternType="solid">
        <x:fgColor rgb="FFD9EAF7"/>
      </x:patternFill>
    </x:fill>
    <x:fill>
      <x:patternFill patternType="solid">
        <x:fgColor rgb="FFEAF2F8"/>
      </x:patternFill>
    </x:fill>
    <x:fill>
      <x:patternFill patternType="solid">
        <x:fgColor rgb="FFF8FBFD"/>
      </x:patternFill>
    </x:fill>
    <x:fill>
      <x:patternFill patternType="solid">
        <x:fgColor rgb="FFF5F7FA"/>
      </x:patternFill>
    </x:fill>
    <x:fill>
      <x:patternFill patternType="solid">
        <x:fgColor rgb="FFFFFFFF"/>
      </x:patternFill>
    </x:fill>
    <x:fill>
      <x:patternFill patternType="solid">
        <x:fgColor rgb="FF17365D"/>
      </x:patternFill>
    </x:fill>
    <x:fill>
      <x:patternFill patternType="solid">
        <x:fgColor rgb="FFF5F7FA"/>
      </x:patternFill>
    </x:fill>
    <x:fill>
      <x:patternFill patternType="solid">
        <x:fgColor rgb="FFE2F0D9"/>
      </x:patternFill>
    </x:fill>
  </x:fills>
  <x:borders count="12">
    <x:border/>
    <x:border>
      <x:left style="thin">
        <x:color rgb="FFC9D2DE"/>
      </x:left>
      <x:top style="thin">
        <x:color rgb="FFC9D2DE"/>
      </x:top>
    </x:border>
    <x:border>
      <x:right style="thin">
        <x:color rgb="FFC9D2DE"/>
      </x:right>
      <x:top style="thin">
        <x:color rgb="FFC9D2DE"/>
      </x:top>
    </x:border>
    <x:border>
      <x:left style="thin">
        <x:color rgb="FFC9D2DE"/>
      </x:left>
    </x:border>
    <x:border>
      <x:right style="thin">
        <x:color rgb="FFC9D2DE"/>
      </x:right>
    </x:border>
    <x:border>
      <x:left style="thin">
        <x:color rgb="FFC9D2DE"/>
      </x:left>
      <x:bottom style="thin">
        <x:color rgb="FFC9D2DE"/>
      </x:bottom>
    </x:border>
    <x:border>
      <x:right style="thin">
        <x:color rgb="FFC9D2DE"/>
      </x:right>
      <x:bottom style="thin">
        <x:color rgb="FFC9D2DE"/>
      </x:bottom>
    </x:border>
    <x:border>
      <x:left style="thin">
        <x:color rgb="FFC9D2DE"/>
      </x:left>
      <x:right style="thin">
        <x:color rgb="FFC9D2DE"/>
      </x:right>
      <x:bottom style="thin">
        <x:color rgb="FFC9D2DE"/>
      </x:bottom>
    </x:border>
    <x:border>
      <x:right style="thin">
        <x:color rgb="FFC9D2DE"/>
      </x:right>
      <x:top style="thin">
        <x:color rgb="FFC9D2DE"/>
      </x:top>
      <x:bottom style="thin">
        <x:color rgb="FFC9D2DE"/>
      </x:bottom>
    </x:border>
    <x:border>
      <x:left style="thin">
        <x:color rgb="FFC9D2DE"/>
      </x:left>
      <x:right style="thin">
        <x:color rgb="FFC9D2DE"/>
      </x:right>
      <x:top style="thin">
        <x:color rgb="FFC9D2DE"/>
      </x:top>
      <x:bottom style="thin">
        <x:color rgb="FFC9D2DE"/>
      </x:bottom>
    </x:border>
    <x:border>
      <x:left style="thin">
        <x:color rgb="FFC9D2DE"/>
      </x:left>
      <x:top style="thin">
        <x:color rgb="FFC9D2DE"/>
      </x:top>
      <x:bottom style="thin">
        <x:color rgb="FFC9D2DE"/>
      </x:bottom>
    </x:border>
    <x:border>
      <x:left style="thin">
        <x:color rgb="FFC9D2DE"/>
      </x:left>
      <x:right style="thin">
        <x:color rgb="FFC9D2DE"/>
      </x:right>
      <x:top style="thin">
        <x:color rgb="FFC9D2DE"/>
      </x:top>
    </x:border>
  </x:borders>
  <x:cellStyleXfs count="1">
    <x:xf numFmtId="0" fontId="0" fillId="0" borderId="0"/>
  </x:cellStyleXfs>
  <x:cellXfs count="1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2"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0" fillId="0" borderId="6" xfId="0" applyNumberFormat="1" applyFont="1" applyFill="1" applyBorder="1"/>
    <x:xf numFmtId="0" fontId="0" fillId="0" borderId="7" xfId="0" applyNumberFormat="1" applyFont="1" applyFill="1" applyBorder="1"/>
    <x:xf numFmtId="0" fontId="0" fillId="0" borderId="5"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2" xfId="0" applyNumberFormat="1" applyFont="1" applyFill="1" applyBorder="1"/>
    <x:xf numFmtId="0" fontId="0" fillId="0" borderId="11" xfId="0" applyNumberFormat="1" applyFont="1" applyFill="1" applyBorder="1"/>
    <x:xf numFmtId="0" fontId="0" fillId="0" borderId="1" xfId="0" applyNumberFormat="1" applyFont="1" applyFill="1" applyBorder="1"/>
    <x:xf numFmtId="0" fontId="0" fillId="0" borderId="7" xfId="0" applyNumberFormat="1" applyFont="1" applyFill="1" applyBorder="1" applyAlignment="1">
      <x:alignment horizontal="center"/>
    </x:xf>
    <x:xf numFmtId="0" fontId="0" fillId="0" borderId="5" xfId="0" applyNumberFormat="1" applyFont="1" applyFill="1" applyBorder="1" applyAlignment="1">
      <x:alignment horizontal="center"/>
    </x:xf>
    <x:xf numFmtId="0" fontId="0" fillId="0" borderId="9" xfId="0" applyNumberFormat="1" applyFont="1" applyFill="1" applyBorder="1" applyAlignment="1">
      <x:alignment horizontal="center"/>
    </x:xf>
    <x:xf numFmtId="0" fontId="0" fillId="0" borderId="10" xfId="0" applyNumberFormat="1" applyFont="1" applyFill="1" applyBorder="1" applyAlignment="1">
      <x:alignment horizontal="center"/>
    </x:xf>
    <x:xf numFmtId="0" fontId="0" fillId="0" borderId="11" xfId="0" applyNumberFormat="1" applyFont="1" applyFill="1" applyBorder="1" applyAlignment="1">
      <x:alignment horizontal="center"/>
    </x:xf>
    <x:xf numFmtId="0" fontId="0" fillId="0" borderId="1" xfId="0" applyNumberFormat="1" applyFont="1" applyFill="1" applyBorder="1" applyAlignment="1">
      <x:alignment horizontal="center"/>
    </x:xf>
    <x:xf numFmtId="0" fontId="3" fillId="2" borderId="0" xfId="0" applyNumberFormat="1" applyFont="1" applyFill="1" applyBorder="1" applyAlignment="1">
      <x:alignment wrapText="1"/>
    </x:xf>
    <x:xf numFmtId="0" fontId="3" fillId="2" borderId="6" xfId="0" applyNumberFormat="1" applyFont="1" applyFill="1" applyBorder="1" applyAlignment="1">
      <x:alignment wrapText="1"/>
    </x:xf>
    <x:xf numFmtId="0" fontId="3" fillId="2" borderId="7" xfId="0" applyNumberFormat="1" applyFont="1" applyFill="1" applyBorder="1" applyAlignment="1">
      <x:alignment wrapText="1"/>
    </x:xf>
    <x:xf numFmtId="0" fontId="3" fillId="2" borderId="5"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 xfId="0" applyNumberFormat="1" applyFont="1" applyFill="1" applyBorder="1" applyAlignment="1">
      <x:alignment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2" fillId="3" borderId="6" xfId="0" applyNumberFormat="1" applyFont="1" applyFill="1" applyBorder="1" applyAlignment="1">
      <x:alignment wrapText="1"/>
    </x:xf>
    <x:xf numFmtId="0" fontId="0" fillId="0" borderId="5" xfId="0" applyNumberFormat="1" applyFont="1" applyFill="1" applyBorder="1" applyAlignment="1">
      <x:alignment wrapText="1"/>
    </x:xf>
    <x:xf numFmtId="0" fontId="2" fillId="3" borderId="8" xfId="0" applyNumberFormat="1" applyFont="1" applyFill="1" applyBorder="1" applyAlignment="1">
      <x:alignment wrapText="1"/>
    </x:xf>
    <x:xf numFmtId="0" fontId="2" fillId="3" borderId="2" xfId="0" applyNumberFormat="1" applyFont="1" applyFill="1" applyBorder="1" applyAlignment="1">
      <x:alignment wrapText="1"/>
    </x:xf>
    <x:xf numFmtId="0" fontId="5" fillId="0" borderId="0" xfId="0" applyNumberFormat="1" applyFont="1" applyFill="1" applyBorder="1"/>
    <x:xf numFmtId="0" fontId="5" fillId="0" borderId="2"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6" xfId="0" applyNumberFormat="1" applyFont="1" applyFill="1" applyBorder="1"/>
    <x:xf numFmtId="0" fontId="5" fillId="0" borderId="7" xfId="0" applyNumberFormat="1" applyFont="1" applyFill="1" applyBorder="1" applyAlignment="1">
      <x:alignment horizontal="center"/>
    </x:xf>
    <x:xf numFmtId="0" fontId="5" fillId="0" borderId="5" xfId="0" applyNumberFormat="1" applyFont="1" applyFill="1" applyBorder="1" applyAlignment="1">
      <x:alignment horizontal="center"/>
    </x:xf>
    <x:xf numFmtId="0" fontId="5" fillId="0" borderId="8" xfId="0" applyNumberFormat="1" applyFont="1" applyFill="1" applyBorder="1"/>
    <x:xf numFmtId="0" fontId="5" fillId="0" borderId="9" xfId="0" applyNumberFormat="1" applyFont="1" applyFill="1" applyBorder="1" applyAlignment="1">
      <x:alignment horizontal="center"/>
    </x:xf>
    <x:xf numFmtId="0" fontId="5" fillId="0" borderId="10" xfId="0" applyNumberFormat="1" applyFont="1" applyFill="1" applyBorder="1" applyAlignment="1">
      <x:alignment horizontal="center"/>
    </x:xf>
    <x:xf numFmtId="0" fontId="5" fillId="0" borderId="2" xfId="0" applyNumberFormat="1" applyFont="1" applyFill="1" applyBorder="1"/>
    <x:xf numFmtId="0" fontId="5" fillId="0" borderId="11" xfId="0" applyNumberFormat="1" applyFont="1" applyFill="1" applyBorder="1" applyAlignment="1">
      <x:alignment horizontal="center"/>
    </x:xf>
    <x:xf numFmtId="0" fontId="5" fillId="0" borderId="1" xfId="0" applyNumberFormat="1" applyFont="1" applyFill="1" applyBorder="1" applyAlignment="1">
      <x:alignment horizontal="center"/>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 xfId="0" applyNumberFormat="1" applyFont="1" applyFill="1" applyBorder="1" applyAlignment="1">
      <x:alignment wrapText="1"/>
    </x:xf>
    <x:xf numFmtId="0" fontId="5" fillId="0" borderId="5" xfId="0" applyNumberFormat="1" applyFont="1" applyFill="1" applyBorder="1" applyAlignment="1">
      <x:alignment wrapText="1"/>
    </x:xf>
    <x:xf numFmtId="0" fontId="1" fillId="2" borderId="0" xfId="0" applyNumberFormat="1" applyFont="1" applyFill="1" applyBorder="1" applyAlignment="1">
      <x:alignment vertical="top"/>
    </x:xf>
    <x:xf numFmtId="0" fontId="5" fillId="0" borderId="0" xfId="0" applyNumberFormat="1" applyFont="1" applyFill="1" applyBorder="1" applyAlignment="1">
      <x:alignment vertical="top"/>
    </x:xf>
    <x:xf numFmtId="0" fontId="2" fillId="3" borderId="1"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3" fillId="2" borderId="0" xfId="0" applyNumberFormat="1" applyFont="1" applyFill="1" applyBorder="1" applyAlignment="1">
      <x:alignment horizontal="center" vertical="top"/>
    </x:xf>
    <x:xf numFmtId="0" fontId="5" fillId="0" borderId="6" xfId="0" applyNumberFormat="1" applyFont="1" applyFill="1" applyBorder="1" applyAlignment="1">
      <x:alignment vertical="top"/>
    </x:xf>
    <x:xf numFmtId="0" fontId="5" fillId="0" borderId="7" xfId="0" applyNumberFormat="1" applyFont="1" applyFill="1" applyBorder="1" applyAlignment="1">
      <x:alignment horizontal="center" vertical="top"/>
    </x:xf>
    <x:xf numFmtId="0" fontId="5" fillId="0" borderId="5" xfId="0" applyNumberFormat="1" applyFont="1" applyFill="1" applyBorder="1" applyAlignment="1">
      <x:alignment horizontal="center" vertical="top"/>
    </x:xf>
    <x:xf numFmtId="0" fontId="5" fillId="0" borderId="8" xfId="0" applyNumberFormat="1" applyFont="1" applyFill="1" applyBorder="1" applyAlignment="1">
      <x:alignment vertical="top"/>
    </x:xf>
    <x:xf numFmtId="0" fontId="5" fillId="0" borderId="9" xfId="0" applyNumberFormat="1" applyFont="1" applyFill="1" applyBorder="1" applyAlignment="1">
      <x:alignment horizontal="center" vertical="top"/>
    </x:xf>
    <x:xf numFmtId="0" fontId="5" fillId="0" borderId="10" xfId="0" applyNumberFormat="1" applyFont="1" applyFill="1" applyBorder="1" applyAlignment="1">
      <x:alignment horizontal="center" vertical="top"/>
    </x:xf>
    <x:xf numFmtId="0" fontId="5" fillId="0" borderId="2" xfId="0" applyNumberFormat="1" applyFont="1" applyFill="1" applyBorder="1" applyAlignment="1">
      <x:alignment vertical="top"/>
    </x:xf>
    <x:xf numFmtId="0" fontId="5" fillId="0" borderId="11" xfId="0" applyNumberFormat="1" applyFont="1" applyFill="1" applyBorder="1" applyAlignment="1">
      <x:alignment horizontal="center" vertical="top"/>
    </x:xf>
    <x:xf numFmtId="0" fontId="5" fillId="0" borderId="1" xfId="0" applyNumberFormat="1" applyFont="1" applyFill="1" applyBorder="1" applyAlignment="1">
      <x:alignment horizontal="center" vertical="top"/>
    </x:xf>
    <x:xf numFmtId="0" fontId="3" fillId="2" borderId="6" xfId="0" applyNumberFormat="1" applyFont="1" applyFill="1" applyBorder="1" applyAlignment="1">
      <x:alignment vertical="top" wrapText="1"/>
    </x:xf>
    <x:xf numFmtId="0" fontId="3" fillId="2" borderId="7" xfId="0" applyNumberFormat="1" applyFont="1" applyFill="1" applyBorder="1" applyAlignment="1">
      <x:alignment vertical="top" wrapText="1"/>
    </x:xf>
    <x:xf numFmtId="0" fontId="3" fillId="2" borderId="5"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3" fillId="2" borderId="0" xfId="0" applyNumberFormat="1" applyFont="1" applyFill="1" applyBorder="1" applyAlignment="1">
      <x:alignment vertical="top"/>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2" fillId="3" borderId="8"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6" fillId="2" borderId="0" xfId="0" applyNumberFormat="1" applyFont="1" applyFill="1" applyBorder="1"/>
    <x:xf numFmtId="0" fontId="6" fillId="2" borderId="0" xfId="0" applyNumberFormat="1" applyFont="1" applyFill="1" applyBorder="1" applyAlignment="1">
      <x:alignment wrapText="1"/>
    </x:xf>
    <x:xf numFmtId="0" fontId="6" fillId="2" borderId="0"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0"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9" borderId="0" xfId="0" applyNumberFormat="1" applyFont="1" applyFill="1" applyBorder="1" applyAlignment="1">
      <x:alignment vertical="top" wrapText="1"/>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center" wrapText="1"/>
    </x:xf>
    <x:xf numFmtId="0" fontId="7" fillId="11" borderId="0" xfId="0" applyNumberFormat="1" applyFont="1" applyFill="1" applyBorder="1" applyAlignment="1">
      <x:alignment vertical="top" wrapText="1"/>
    </x:xf>
    <x:xf numFmtId="0" fontId="7" fillId="12" borderId="0" xfId="0" applyNumberFormat="1" applyFont="1" applyFill="1" applyBorder="1" applyAlignment="1">
      <x:alignment vertical="top" wrapText="1"/>
    </x:xf>
    <x:xf numFmtId="0" fontId="7" fillId="13" borderId="0" xfId="0" applyNumberFormat="1" applyFont="1" applyFill="1" applyBorder="1" applyAlignment="1">
      <x:alignment vertical="top" wrapText="1"/>
    </x:xf>
    <x:xf numFmtId="0" fontId="7" fillId="14" borderId="0" xfId="0" applyNumberFormat="1" applyFont="1" applyFill="1" applyBorder="1" applyAlignment="1">
      <x:alignment vertical="top" wrapText="1"/>
    </x:xf>
    <x:xf numFmtId="0" fontId="7" fillId="13" borderId="0" xfId="0" applyNumberFormat="1" applyFont="1" applyFill="1" applyBorder="1" applyAlignment="1">
      <x:alignment horizontal="center" vertical="top" wrapText="1"/>
    </x:xf>
    <x:xf numFmtId="0" fontId="1" fillId="10" borderId="0" xfId="0" applyNumberFormat="1" applyFont="1" applyFill="1" applyBorder="1"/>
    <x:xf numFmtId="0" fontId="1" fillId="10" borderId="0" xfId="0" applyNumberFormat="1" applyFont="1" applyFill="1" applyBorder="1" applyAlignment="1">
      <x:alignment vertical="center"/>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1" xfId="0" applyNumberFormat="1" applyFont="1" applyFill="1" applyBorder="1" applyAlignment="1">
      <x:alignment wrapText="1"/>
    </x:xf>
    <x:xf numFmtId="0" fontId="2" fillId="15" borderId="3" xfId="0" applyNumberFormat="1" applyFont="1" applyFill="1" applyBorder="1" applyAlignment="1">
      <x:alignment wrapText="1"/>
    </x:xf>
    <x:xf numFmtId="0" fontId="2" fillId="15" borderId="5" xfId="0" applyNumberFormat="1" applyFont="1" applyFill="1" applyBorder="1" applyAlignment="1">
      <x:alignment wrapText="1"/>
    </x:xf>
    <x:xf numFmtId="0" fontId="3" fillId="10" borderId="0" xfId="0" applyNumberFormat="1" applyFont="1" applyFill="1" applyBorder="1"/>
    <x:xf numFmtId="0" fontId="3" fillId="10" borderId="0" xfId="0" applyNumberFormat="1" applyFont="1" applyFill="1" applyBorder="1" applyAlignment="1">
      <x:alignment horizontal="center"/>
    </x:xf>
    <x:xf numFmtId="0" fontId="3" fillId="10" borderId="0" xfId="0" applyNumberFormat="1" applyFont="1" applyFill="1" applyBorder="1" applyAlignment="1">
      <x:alignment wrapText="1"/>
    </x:xf>
    <x:xf numFmtId="0" fontId="3" fillId="10" borderId="6" xfId="0" applyNumberFormat="1" applyFont="1" applyFill="1" applyBorder="1" applyAlignment="1">
      <x:alignment wrapText="1"/>
    </x:xf>
    <x:xf numFmtId="0" fontId="3" fillId="10" borderId="7" xfId="0" applyNumberFormat="1" applyFont="1" applyFill="1" applyBorder="1" applyAlignment="1">
      <x:alignment wrapText="1"/>
    </x:xf>
    <x:xf numFmtId="0" fontId="3" fillId="10" borderId="5" xfId="0" applyNumberFormat="1" applyFont="1" applyFill="1" applyBorder="1" applyAlignment="1">
      <x:alignment wrapText="1"/>
    </x:xf>
    <x:xf numFmtId="0" fontId="4" fillId="15" borderId="0" xfId="0" applyNumberFormat="1" applyFont="1" applyFill="1" applyBorder="1"/>
    <x:xf numFmtId="0" fontId="4" fillId="15" borderId="0" xfId="0" applyNumberFormat="1" applyFont="1" applyFill="1" applyBorder="1" applyAlignment="1">
      <x:alignment wrapText="1"/>
    </x:xf>
    <x:xf numFmtId="0" fontId="4" fillId="15" borderId="0" xfId="0" applyNumberFormat="1" applyFont="1" applyFill="1" applyBorder="1" applyAlignment="1">
      <x:alignment vertical="center" wrapText="1"/>
    </x:xf>
    <x:xf numFmtId="0" fontId="0" fillId="16" borderId="0" xfId="0" applyNumberFormat="1" applyFont="1" applyFill="1" applyBorder="1"/>
    <x:xf numFmtId="0" fontId="4" fillId="16" borderId="0" xfId="0" applyNumberFormat="1" applyFont="1" applyFill="1" applyBorder="1"/>
    <x:xf numFmtId="0" fontId="4" fillId="16" borderId="0" xfId="0" applyNumberFormat="1" applyFont="1" applyFill="1" applyBorder="1" applyAlignment="1">
      <x:alignment wrapText="1"/>
    </x:xf>
    <x:xf numFmtId="0" fontId="4" fillId="16" borderId="0" xfId="0" applyNumberFormat="1" applyFont="1" applyFill="1" applyBorder="1" applyAlignment="1">
      <x:alignment vertical="center" wrapText="1"/>
    </x:xf>
    <x:xf numFmtId="0" fontId="2" fillId="15" borderId="6" xfId="0" applyNumberFormat="1" applyFont="1" applyFill="1" applyBorder="1" applyAlignment="1">
      <x:alignment wrapText="1"/>
    </x:xf>
    <x:xf numFmtId="0" fontId="2" fillId="15" borderId="8" xfId="0" applyNumberFormat="1" applyFont="1" applyFill="1" applyBorder="1" applyAlignment="1">
      <x:alignment wrapText="1"/>
    </x:xf>
    <x:xf numFmtId="0" fontId="2" fillId="15" borderId="2" xfId="0" applyNumberFormat="1" applyFont="1" applyFill="1" applyBorder="1" applyAlignment="1">
      <x:alignment wrapText="1"/>
    </x:xf>
    <x:xf numFmtId="0" fontId="1" fillId="10" borderId="0" xfId="0" applyNumberFormat="1" applyFont="1" applyFill="1" applyBorder="1" applyAlignment="1">
      <x:alignment vertical="top"/>
    </x:xf>
    <x:xf numFmtId="0" fontId="2" fillId="15" borderId="1" xfId="0" applyNumberFormat="1" applyFont="1" applyFill="1" applyBorder="1" applyAlignment="1">
      <x:alignment vertical="top" wrapText="1"/>
    </x:xf>
    <x:xf numFmtId="0" fontId="2" fillId="15" borderId="3" xfId="0" applyNumberFormat="1" applyFont="1" applyFill="1" applyBorder="1" applyAlignment="1">
      <x:alignment vertical="top" wrapText="1"/>
    </x:xf>
    <x:xf numFmtId="0" fontId="2" fillId="15" borderId="5" xfId="0" applyNumberFormat="1" applyFont="1" applyFill="1" applyBorder="1" applyAlignment="1">
      <x:alignment vertical="top" wrapText="1"/>
    </x:xf>
    <x:xf numFmtId="0" fontId="3" fillId="10" borderId="0" xfId="0" applyNumberFormat="1" applyFont="1" applyFill="1" applyBorder="1" applyAlignment="1">
      <x:alignment horizontal="center" vertical="top"/>
    </x:xf>
    <x:xf numFmtId="0" fontId="3" fillId="10" borderId="6" xfId="0" applyNumberFormat="1" applyFont="1" applyFill="1" applyBorder="1" applyAlignment="1">
      <x:alignment vertical="top" wrapText="1"/>
    </x:xf>
    <x:xf numFmtId="0" fontId="3" fillId="10" borderId="7" xfId="0" applyNumberFormat="1" applyFont="1" applyFill="1" applyBorder="1" applyAlignment="1">
      <x:alignment vertical="top" wrapText="1"/>
    </x:xf>
    <x:xf numFmtId="0" fontId="3" fillId="10" borderId="5" xfId="0" applyNumberFormat="1" applyFont="1" applyFill="1" applyBorder="1" applyAlignment="1">
      <x:alignment vertical="top" wrapText="1"/>
    </x:xf>
    <x:xf numFmtId="0" fontId="3" fillId="10" borderId="0" xfId="0" applyNumberFormat="1" applyFont="1" applyFill="1" applyBorder="1" applyAlignment="1">
      <x:alignment vertical="top"/>
    </x:xf>
    <x:xf numFmtId="0" fontId="4" fillId="15"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0" fontId="2" fillId="15" borderId="6" xfId="0" applyNumberFormat="1" applyFont="1" applyFill="1" applyBorder="1" applyAlignment="1">
      <x:alignment vertical="top" wrapText="1"/>
    </x:xf>
    <x:xf numFmtId="0" fontId="2" fillId="15" borderId="8" xfId="0" applyNumberFormat="1" applyFont="1" applyFill="1" applyBorder="1" applyAlignment="1">
      <x:alignment vertical="top" wrapText="1"/>
    </x:xf>
    <x:xf numFmtId="0" fontId="2" fillId="15" borderId="2" xfId="0" applyNumberFormat="1" applyFont="1" applyFill="1" applyBorder="1" applyAlignment="1">
      <x:alignment vertical="top" wrapText="1"/>
    </x:xf>
    <x:xf numFmtId="200" fontId="7" fillId="0" borderId="0" xfId="0" applyNumberFormat="1" applyFont="1" applyFill="1" applyBorder="1" applyAlignment="1">
      <x:alignment horizontal="center" vertical="top" wrapText="1"/>
    </x:xf>
    <x:xf numFmtId="0" fontId="0" fillId="17" borderId="0" xfId="0" applyNumberFormat="1" applyFont="1" applyFill="1" applyBorder="1"/>
    <x:xf numFmtId="0" fontId="3"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2" fillId="18" borderId="0" xfId="0" applyNumberFormat="1" applyFont="1" applyFill="1" applyBorder="1" applyAlignment="1">
      <x:alignment wrapText="1"/>
    </x:xf>
    <x:xf numFmtId="0" fontId="2" fillId="18" borderId="6" xfId="0" applyNumberFormat="1" applyFont="1" applyFill="1" applyBorder="1" applyAlignment="1">
      <x:alignment wrapText="1"/>
    </x:xf>
    <x:xf numFmtId="0" fontId="2" fillId="18" borderId="8" xfId="0" applyNumberFormat="1" applyFont="1" applyFill="1" applyBorder="1" applyAlignment="1">
      <x:alignment wrapText="1"/>
    </x:xf>
    <x:xf numFmtId="0" fontId="2" fillId="18" borderId="2" xfId="0" applyNumberFormat="1" applyFont="1" applyFill="1" applyBorder="1" applyAlignment="1">
      <x:alignment wrapText="1"/>
    </x:xf>
    <x:xf numFmtId="0" fontId="8" fillId="17" borderId="0" xfId="0" applyNumberFormat="1" applyFont="1" applyFill="1" applyBorder="1"/>
    <x:xf numFmtId="0" fontId="8" fillId="17" borderId="0" xfId="0" applyNumberFormat="1" applyFont="1" applyFill="1" applyBorder="1" applyAlignment="1">
      <x:alignment vertical="center"/>
    </x:xf>
    <x:xf numFmtId="0" fontId="0" fillId="0" borderId="7" xfId="0" applyNumberFormat="1" applyFont="1" applyFill="1" applyBorder="1" applyAlignment="1">
      <x:alignment wrapText="1"/>
    </x:xf>
    <x:xf numFmtId="0" fontId="0" fillId="19" borderId="7" xfId="0" applyNumberFormat="1" applyFont="1" applyFill="1" applyBorder="1" applyAlignment="1">
      <x:alignment wrapText="1"/>
    </x:xf>
    <x:xf numFmtId="0" fontId="0" fillId="19" borderId="9" xfId="0" applyNumberFormat="1" applyFont="1" applyFill="1" applyBorder="1" applyAlignment="1">
      <x:alignment wrapText="1"/>
    </x:xf>
    <x:xf numFmtId="0" fontId="0" fillId="19" borderId="11" xfId="0" applyNumberFormat="1" applyFont="1" applyFill="1" applyBorder="1" applyAlignment="1">
      <x:alignment wrapText="1"/>
    </x:xf>
    <x:xf numFmtId="0" fontId="9" fillId="19" borderId="7" xfId="0" applyNumberFormat="1" applyFont="1" applyFill="1" applyBorder="1" applyAlignment="1">
      <x:alignment wrapText="1"/>
    </x:xf>
    <x:xf numFmtId="0" fontId="9" fillId="19" borderId="9" xfId="0" applyNumberFormat="1" applyFont="1" applyFill="1" applyBorder="1" applyAlignment="1">
      <x:alignment wrapText="1"/>
    </x:xf>
    <x:xf numFmtId="0" fontId="9" fillId="19" borderId="11" xfId="0" applyNumberFormat="1" applyFont="1" applyFill="1" applyBorder="1" applyAlignment="1">
      <x:alignment wrapText="1"/>
    </x:xf>
    <x:xf numFmtId="0" fontId="9" fillId="19" borderId="7" xfId="0" applyNumberFormat="1" applyFont="1" applyFill="1" applyBorder="1" applyAlignment="1">
      <x:alignment horizontal="center" wrapText="1"/>
    </x:xf>
    <x:xf numFmtId="0" fontId="9" fillId="19" borderId="9" xfId="0" applyNumberFormat="1" applyFont="1" applyFill="1" applyBorder="1" applyAlignment="1">
      <x:alignment horizontal="center" wrapText="1"/>
    </x:xf>
    <x:xf numFmtId="0" fontId="9" fillId="19" borderId="11" xfId="0" applyNumberFormat="1" applyFont="1" applyFill="1" applyBorder="1" applyAlignment="1">
      <x:alignment horizontal="center" wrapText="1"/>
    </x:xf>
    <x:xf numFmtId="0" fontId="10" fillId="19" borderId="7" xfId="0" applyNumberFormat="1" applyFont="1" applyFill="1" applyBorder="1" applyAlignment="1">
      <x:alignment horizontal="center" wrapText="1"/>
    </x:xf>
    <x:xf numFmtId="0" fontId="10" fillId="19" borderId="9" xfId="0" applyNumberFormat="1" applyFont="1" applyFill="1" applyBorder="1" applyAlignment="1">
      <x:alignment horizontal="center" wrapText="1"/>
    </x:xf>
    <x:xf numFmtId="0" fontId="10" fillId="19" borderId="11" xfId="0" applyNumberFormat="1" applyFont="1" applyFill="1" applyBorder="1" applyAlignment="1">
      <x:alignment horizontal="center" wrapText="1"/>
    </x:xf>
    <x:xf numFmtId="0" fontId="8" fillId="17" borderId="0" xfId="0" applyNumberFormat="1" applyFont="1" applyFill="1" applyBorder="1" applyAlignment="1">
      <x:alignment vertical="top"/>
    </x:xf>
    <x:xf numFmtId="0" fontId="2" fillId="18" borderId="6" xfId="0" applyNumberFormat="1" applyFont="1" applyFill="1" applyBorder="1" applyAlignment="1">
      <x:alignment vertical="top" wrapText="1"/>
    </x:xf>
    <x:xf numFmtId="0" fontId="2" fillId="18" borderId="8" xfId="0" applyNumberFormat="1" applyFont="1" applyFill="1" applyBorder="1" applyAlignment="1">
      <x:alignment vertical="top" wrapText="1"/>
    </x:xf>
    <x:xf numFmtId="0" fontId="2" fillId="18" borderId="2" xfId="0" applyNumberFormat="1" applyFont="1" applyFill="1" applyBorder="1" applyAlignment="1">
      <x:alignment vertical="top" wrapText="1"/>
    </x:xf>
    <x:xf numFmtId="0" fontId="3" fillId="17" borderId="0" xfId="0" applyNumberFormat="1" applyFont="1" applyFill="1" applyBorder="1" applyAlignment="1">
      <x:alignment vertical="top"/>
    </x:xf>
    <x:xf numFmtId="0" fontId="10" fillId="19" borderId="7" xfId="0" applyNumberFormat="1" applyFont="1" applyFill="1" applyBorder="1" applyAlignment="1">
      <x:alignment horizontal="center" vertical="top" wrapText="1"/>
    </x:xf>
    <x:xf numFmtId="0" fontId="10" fillId="19" borderId="9" xfId="0" applyNumberFormat="1" applyFont="1" applyFill="1" applyBorder="1" applyAlignment="1">
      <x:alignment horizontal="center" vertical="top" wrapText="1"/>
    </x:xf>
    <x:xf numFmtId="0" fontId="10" fillId="19" borderId="11"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cellXfs>
  <x:cellStyles count="1">
    <x:cellStyle name="Normal" xfId="0"/>
  </x:cellStyles>
  <x:dxfs count="20">
    <x:dxf>
      <x:font>
        <x:color rgb="FF1F4E78"/>
      </x:font>
      <x:fill>
        <x:patternFill>
          <x:bgColor rgb="FFDDEBF7"/>
        </x:patternFill>
      </x:fill>
    </x:dxf>
    <x:dxf>
      <x:font>
        <x:color rgb="FF843C0C"/>
      </x:font>
      <x:fill>
        <x:patternFill>
          <x:bgColor rgb="FFFCE4D6"/>
        </x:patternFill>
      </x:fill>
    </x:dxf>
    <x:dxf>
      <x:font>
        <x:color rgb="FF60497A"/>
      </x:font>
      <x:fill>
        <x:patternFill>
          <x:bgColor rgb="FFE4DFEC"/>
        </x:patternFill>
      </x:fill>
    </x:dxf>
    <x:dxf>
      <x:font>
        <x:color rgb="FF7F6000"/>
      </x:font>
      <x:fill>
        <x:patternFill>
          <x:bgColor rgb="FFFFF2CC"/>
        </x:patternFill>
      </x:fill>
    </x:dxf>
    <x:dxf>
      <x:font>
        <x:color rgb="FF375623"/>
      </x:font>
      <x:fill>
        <x:patternFill>
          <x:bgColor rgb="FFE2F0D9"/>
        </x:patternFill>
      </x:fill>
    </x:dxf>
    <x:dxf>
      <x:font>
        <x:color rgb="FF1F4E78"/>
      </x:font>
      <x:fill>
        <x:patternFill>
          <x:bgColor rgb="FFDDEBF7"/>
        </x:patternFill>
      </x:fill>
    </x:dxf>
    <x:dxf>
      <x:font>
        <x:color rgb="FF843C0C"/>
      </x:font>
      <x:fill>
        <x:patternFill>
          <x:bgColor rgb="FFFCE4D6"/>
        </x:patternFill>
      </x:fill>
    </x:dxf>
    <x:dxf>
      <x:font>
        <x:color rgb="FF60497A"/>
      </x:font>
      <x:fill>
        <x:patternFill>
          <x:bgColor rgb="FFE4DFEC"/>
        </x:patternFill>
      </x:fill>
    </x:dxf>
    <x:dxf>
      <x:font>
        <x:color rgb="FF7F6000"/>
      </x:font>
      <x:fill>
        <x:patternFill>
          <x:bgColor rgb="FFFFF2CC"/>
        </x:patternFill>
      </x:fill>
    </x:dxf>
    <x:dxf>
      <x:font>
        <x:color rgb="FF375623"/>
      </x:font>
      <x:fill>
        <x:patternFill>
          <x:bgColor rgb="FFE2F0D9"/>
        </x:patternFill>
      </x:fill>
    </x:dxf>
    <x:dxf>
      <x:font>
        <x:color rgb="FF375623"/>
      </x:font>
      <x:fill>
        <x:patternFill>
          <x:bgColor rgb="FFE2F0D9"/>
        </x:patternFill>
      </x:fill>
    </x:dxf>
    <x:dxf>
      <x:font>
        <x:color rgb="FF1F4E78"/>
      </x:font>
      <x:fill>
        <x:patternFill>
          <x:bgColor rgb="FFDDEBF7"/>
        </x:patternFill>
      </x:fill>
    </x:dxf>
    <x:dxf>
      <x:font>
        <x:color rgb="FF843C0C"/>
      </x:font>
      <x:fill>
        <x:patternFill>
          <x:bgColor rgb="FFFCE4D6"/>
        </x:patternFill>
      </x:fill>
    </x:dxf>
    <x:dxf>
      <x:font>
        <x:color rgb="FF60497A"/>
      </x:font>
      <x:fill>
        <x:patternFill>
          <x:bgColor rgb="FFE4DFEC"/>
        </x:patternFill>
      </x:fill>
    </x:dxf>
    <x:dxf>
      <x:font>
        <x:color rgb="FF7F6000"/>
      </x:font>
      <x:fill>
        <x:patternFill>
          <x:bgColor rgb="FFFFF2CC"/>
        </x:patternFill>
      </x:fill>
    </x:dxf>
    <x:dxf>
      <x:font>
        <x:color rgb="FF375623"/>
      </x:font>
      <x:fill>
        <x:patternFill>
          <x:bgColor rgb="FFE2F0D9"/>
        </x:patternFill>
      </x:fill>
    </x:dxf>
    <x:dxf>
      <x:font>
        <x:color rgb="FF1F4E78"/>
      </x:font>
      <x:fill>
        <x:patternFill>
          <x:bgColor rgb="FFDDEBF7"/>
        </x:patternFill>
      </x:fill>
    </x:dxf>
    <x:dxf>
      <x:font>
        <x:color rgb="FF843C0C"/>
      </x:font>
      <x:fill>
        <x:patternFill>
          <x:bgColor rgb="FFFCE4D6"/>
        </x:patternFill>
      </x:fill>
    </x:dxf>
    <x:dxf>
      <x:font>
        <x:color rgb="FF60497A"/>
      </x:font>
      <x:fill>
        <x:patternFill>
          <x:bgColor rgb="FFE4DFEC"/>
        </x:patternFill>
      </x:fill>
    </x:dxf>
    <x:dxf>
      <x:font>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d2cb72d67c14ebf" /><Relationship Type="http://schemas.openxmlformats.org/officeDocument/2006/relationships/theme" Target="/xl/theme/theme1.xml" Id="R70db7103138d4b6d" /><Relationship Type="http://schemas.openxmlformats.org/officeDocument/2006/relationships/sharedStrings" Target="/xl/sharedStrings.xml" Id="R8d57a6ec7b5d4d79" /><Relationship Type="http://schemas.openxmlformats.org/officeDocument/2006/relationships/worksheet" Target="/xl/worksheets/sheet1.xml" Id="Rb1a04bcb37d0434b" /><Relationship Type="http://schemas.openxmlformats.org/officeDocument/2006/relationships/worksheet" Target="/xl/worksheets/sheet2.xml" Id="R98f78d8b890e4481" /><Relationship Type="http://schemas.openxmlformats.org/officeDocument/2006/relationships/worksheet" Target="/xl/worksheets/sheet3.xml" Id="Rc3f9a6a8767f4eb7" /><Relationship Type="http://schemas.openxmlformats.org/officeDocument/2006/relationships/worksheet" Target="/xl/worksheets/sheet4.xml" Id="R7e30d958e3934f5f" /><Relationship Type="http://schemas.openxmlformats.org/officeDocument/2006/relationships/worksheet" Target="/xl/worksheets/sheet5.xml" Id="Rcaf597f07c6848b5" /><Relationship Type="http://schemas.openxmlformats.org/officeDocument/2006/relationships/worksheet" Target="/xl/worksheets/sheet6.xml" Id="Rc0efde2e22f3454f" /></Relationships>
</file>

<file path=xl/tables/table1.xml><?xml version="1.0" encoding="utf-8"?>
<x:table xmlns:x="http://schemas.openxmlformats.org/spreadsheetml/2006/main" id="1" name="TRAFICOMRequirements" displayName="TRAFICOMRequirements" ref="A1:Y123" headerRowCount="1" totalsRowCount="0" totalsRowShown="0">
  <x:autoFilter ref="A1:Y123"/>
  <x:tableColumns count="25">
    <x:tableColumn id="1" name="Record_ID"/>
    <x:tableColumn id="2" name="Source"/>
    <x:tableColumn id="3" name="Edition"/>
    <x:tableColumn id="4" name="PDF_Page"/>
    <x:tableColumn id="5" name="Section"/>
    <x:tableColumn id="6" name="Regulation_Clause"/>
    <x:tableColumn id="7" name="Verification_Category"/>
    <x:tableColumn id="8" name="Verified_Source_Text_ASCII"/>
    <x:tableColumn id="9" name="AI_Ready_Requirement"/>
    <x:tableColumn id="10" name="Canonical_Variables"/>
    <x:tableColumn id="11" name="AnchorMap_Mapping"/>
    <x:tableColumn id="12" name="SHACL_Codability"/>
    <x:tableColumn id="13" name="SHACL_Encoding_Pattern"/>
    <x:tableColumn id="14" name="Classification_Rationale"/>
    <x:tableColumn id="15" name="Figure_Dependent"/>
    <x:tableColumn id="16" name="Inclusion_Status"/>
    <x:tableColumn id="17" name="Correction_Notes"/>
    <x:tableColumn id="18" name="Traceability_Notes"/>
    <x:tableColumn id="19" name="Thesis_Cross_Check"/>
    <x:tableColumn id="20" name="QA_Status"/>
    <x:tableColumn id="21" name="Review_Status"/>
    <x:tableColumn id="22" name="Reviewer_Notes"/>
    <x:tableColumn id="23" name="Source_URL"/>
    <x:tableColumn id="24" name="Required_Inputs_or_Artifacts"/>
    <x:tableColumn id="25" name="SHACL_Encoding_Notes"/>
  </x:tableColumns>
  <x:tableStyleInfo name="TableStyleMedium2" showFirstColumn="0" showLastColumn="0" showRowStripes="1" showColumnStripes="0"/>
</x:table>
</file>

<file path=xl/tables/table2.xml><?xml version="1.0" encoding="utf-8"?>
<x:table xmlns:x="http://schemas.openxmlformats.org/spreadsheetml/2006/main" id="2" name="IACSURRequirements" displayName="IACSURRequirements" ref="A1:Y49" headerRowCount="1" totalsRowCount="0" totalsRowShown="0">
  <x:autoFilter ref="A1:Y49"/>
  <x:tableColumns count="25">
    <x:tableColumn id="1" name="Record_ID"/>
    <x:tableColumn id="2" name="Source"/>
    <x:tableColumn id="3" name="Edition"/>
    <x:tableColumn id="4" name="PDF_Page"/>
    <x:tableColumn id="5" name="Section"/>
    <x:tableColumn id="6" name="Regulation_Clause"/>
    <x:tableColumn id="7" name="Verification_Category"/>
    <x:tableColumn id="8" name="Verified_Source_Text_ASCII"/>
    <x:tableColumn id="9" name="AI_Ready_Requirement"/>
    <x:tableColumn id="10" name="Canonical_Variables"/>
    <x:tableColumn id="11" name="AnchorMap_Mapping"/>
    <x:tableColumn id="12" name="SHACL_Codability"/>
    <x:tableColumn id="13" name="SHACL_Encoding_Pattern"/>
    <x:tableColumn id="14" name="Classification_Rationale"/>
    <x:tableColumn id="15" name="Figure_Dependent"/>
    <x:tableColumn id="16" name="Inclusion_Status"/>
    <x:tableColumn id="17" name="Correction_Notes"/>
    <x:tableColumn id="18" name="Traceability_Notes"/>
    <x:tableColumn id="19" name="Thesis_Cross_Check"/>
    <x:tableColumn id="20" name="QA_Status"/>
    <x:tableColumn id="21" name="Review_Status"/>
    <x:tableColumn id="22" name="Reviewer_Notes"/>
    <x:tableColumn id="23" name="Source_URL"/>
    <x:tableColumn id="24" name="Required_Inputs_or_Artifacts"/>
    <x:tableColumn id="25" name="SHACL_Encoding_Notes"/>
  </x:tableColumns>
  <x:tableStyleInfo name="TableStyleMedium2" showFirstColumn="0" showLastColumn="0" showRowStripes="1" showColumnStripes="0"/>
</x:table>
</file>

<file path=xl/tables/table3.xml><?xml version="1.0" encoding="utf-8"?>
<x:table xmlns:x="http://schemas.openxmlformats.org/spreadsheetml/2006/main" id="3" name="IMOPolarCodeRequirements" displayName="IMOPolarCodeRequirements" ref="A1:Y126" headerRowCount="1" totalsRowCount="0" totalsRowShown="0">
  <x:autoFilter ref="A1:Y126"/>
  <x:tableColumns count="25">
    <x:tableColumn id="1" name="Record_ID"/>
    <x:tableColumn id="2" name="Source"/>
    <x:tableColumn id="3" name="Edition"/>
    <x:tableColumn id="4" name="PDF_Page"/>
    <x:tableColumn id="5" name="Section"/>
    <x:tableColumn id="6" name="Regulation_Clause"/>
    <x:tableColumn id="7" name="Verification_Category"/>
    <x:tableColumn id="8" name="Verified_Source_Text_ASCII"/>
    <x:tableColumn id="9" name="AI_Ready_Requirement"/>
    <x:tableColumn id="10" name="Canonical_Variables"/>
    <x:tableColumn id="11" name="AnchorMap_Mapping"/>
    <x:tableColumn id="12" name="SHACL_Codability"/>
    <x:tableColumn id="13" name="SHACL_Encoding_Pattern"/>
    <x:tableColumn id="14" name="Classification_Rationale"/>
    <x:tableColumn id="15" name="Figure_Dependent"/>
    <x:tableColumn id="16" name="Inclusion_Status"/>
    <x:tableColumn id="17" name="Correction_Notes"/>
    <x:tableColumn id="18" name="Traceability_Notes"/>
    <x:tableColumn id="19" name="Thesis_Cross_Check"/>
    <x:tableColumn id="20" name="QA_Status"/>
    <x:tableColumn id="21" name="Review_Status"/>
    <x:tableColumn id="22" name="Reviewer_Notes"/>
    <x:tableColumn id="23" name="Source_URL"/>
    <x:tableColumn id="24" name="Required_Inputs_or_Artifacts"/>
    <x:tableColumn id="25" name="SHACL_Encoding_Notes"/>
  </x:tableColumns>
  <x:tableStyleInfo name="TableStyleMedium2" showFirstColumn="0" showLastColumn="0" showRowStripes="1" showColumnStripes="0"/>
</x:table>
</file>

<file path=xl/tables/table4.xml><?xml version="1.0" encoding="utf-8"?>
<x:table xmlns:x="http://schemas.openxmlformats.org/spreadsheetml/2006/main" id="4" name="IMOAmend2026Requirements" displayName="IMOAmend2026Requirements" ref="A1:Y19" headerRowCount="1" totalsRowCount="0" totalsRowShown="0">
  <x:autoFilter ref="A1:Y19"/>
  <x:tableColumns count="25">
    <x:tableColumn id="1" name="Record_ID"/>
    <x:tableColumn id="2" name="Source"/>
    <x:tableColumn id="3" name="Edition"/>
    <x:tableColumn id="4" name="PDF_Page"/>
    <x:tableColumn id="5" name="Section"/>
    <x:tableColumn id="6" name="Regulation_Clause"/>
    <x:tableColumn id="7" name="Verification_Category"/>
    <x:tableColumn id="8" name="Verified_Source_Text_ASCII"/>
    <x:tableColumn id="9" name="AI_Ready_Requirement"/>
    <x:tableColumn id="10" name="Canonical_Variables"/>
    <x:tableColumn id="11" name="AnchorMap_Mapping"/>
    <x:tableColumn id="12" name="SHACL_Codability"/>
    <x:tableColumn id="13" name="SHACL_Encoding_Pattern"/>
    <x:tableColumn id="14" name="Classification_Rationale"/>
    <x:tableColumn id="15" name="Figure_Dependent"/>
    <x:tableColumn id="16" name="Inclusion_Status"/>
    <x:tableColumn id="17" name="Correction_Notes"/>
    <x:tableColumn id="18" name="Traceability_Notes"/>
    <x:tableColumn id="19" name="Thesis_Cross_Check"/>
    <x:tableColumn id="20" name="QA_Status"/>
    <x:tableColumn id="21" name="Review_Status"/>
    <x:tableColumn id="22" name="Reviewer_Notes"/>
    <x:tableColumn id="23" name="Source_URL"/>
    <x:tableColumn id="24" name="Required_Inputs_or_Artifacts"/>
    <x:tableColumn id="25" name="SHACL_Encoding_Notes"/>
  </x:tableColumns>
  <x:tableStyleInfo name="TableStyleMedium2" showFirstColumn="0" showLastColumn="0" showRowStripes="1" showColumnStripes="0"/>
</x:table>
</file>

<file path=xl/tables/table5.xml><?xml version="1.0" encoding="utf-8"?>
<x:table xmlns:x="http://schemas.openxmlformats.org/spreadsheetml/2006/main" id="5" name="SourceTraceabilityManifest" displayName="SourceTraceabilityManifest" ref="A11:H15" headerRowCount="1" totalsRowCount="0" totalsRowShown="0">
  <x:tableColumns count="8">
    <x:tableColumn id="1" name="Source sheet"/>
    <x:tableColumn id="2" name="PDF filename"/>
    <x:tableColumn id="3" name="Source PDF SHA-256"/>
    <x:tableColumn id="4" name="Physical pages"/>
    <x:tableColumn id="5" name="Locked records"/>
    <x:tableColumn id="6" name="Official source URL"/>
    <x:tableColumn id="7" name="Verification path"/>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d5e9927ad7445a2" /></Relationships>
</file>

<file path=xl/worksheets/_rels/sheet3.xml.rels>&#65279;<?xml version="1.0" encoding="utf-8"?><Relationships xmlns="http://schemas.openxmlformats.org/package/2006/relationships"><Relationship Type="http://schemas.openxmlformats.org/officeDocument/2006/relationships/table" Target="/xl/tables/table2.xml" Id="R409a4a1226604cd4" /></Relationships>
</file>

<file path=xl/worksheets/_rels/sheet4.xml.rels>&#65279;<?xml version="1.0" encoding="utf-8"?><Relationships xmlns="http://schemas.openxmlformats.org/package/2006/relationships"><Relationship Type="http://schemas.openxmlformats.org/officeDocument/2006/relationships/table" Target="/xl/tables/table3.xml" Id="R5e6a0168c65a449c" /></Relationships>
</file>

<file path=xl/worksheets/_rels/sheet5.xml.rels>&#65279;<?xml version="1.0" encoding="utf-8"?><Relationships xmlns="http://schemas.openxmlformats.org/package/2006/relationships"><Relationship Type="http://schemas.openxmlformats.org/officeDocument/2006/relationships/table" Target="/xl/tables/table4.xml" Id="R1367d8434ba34138" /></Relationships>
</file>

<file path=xl/worksheets/_rels/sheet6.xml.rels>&#65279;<?xml version="1.0" encoding="utf-8"?><Relationships xmlns="http://schemas.openxmlformats.org/package/2006/relationships"><Relationship Type="http://schemas.openxmlformats.org/officeDocument/2006/relationships/table" Target="/xl/tables/table5.xml" Id="Reed4f954571c4b5d" /></Relationships>
</file>

<file path=xl/worksheets/sheet1.xml><?xml version="1.0" encoding="utf-8"?>
<x:worksheet xmlns:x="http://schemas.openxmlformats.org/spreadsheetml/2006/main">
  <x:sheetViews>
    <x:sheetView showGridLines="0" workbookViewId="0"/>
  </x:sheetViews>
  <x:sheetFormatPr defaultRowHeight="15"/>
  <x:cols>
    <x:col min="1" max="1" width="31" hidden="0" customWidth="1"/>
    <x:col min="2" max="2" width="72" hidden="0" customWidth="1"/>
    <x:col min="3" max="3" width="38" hidden="0" customWidth="1"/>
    <x:col min="4" max="4" width="38" hidden="0" customWidth="1"/>
    <x:col min="5" max="5" width="26" hidden="0" customWidth="1"/>
    <x:col min="6" max="6" width="18" hidden="0" customWidth="1"/>
    <x:col min="7" max="7" width="14" hidden="0" customWidth="1"/>
    <x:col min="8" max="8" width="14" hidden="0" customWidth="1"/>
  </x:cols>
  <x:sheetData>
    <x:row r="1" ht="34" customHeight="1">
      <x:c r="A1" s="149" t="str">
        <x:v>Maritime Regulatory Requirement Dataset - AI/SHACL Ready</x:v>
      </x:c>
      <x:c r="B1" s="149"/>
      <x:c r="C1" s="149"/>
      <x:c r="D1" s="149"/>
      <x:c r="E1" s="149"/>
      <x:c r="F1" s="149"/>
      <x:c r="G1" s="149"/>
      <x:c r="H1" s="149"/>
    </x:row>
    <x:row r="2">
      <x:c r="A2" s="71"/>
      <x:c r="B2" s="71"/>
      <x:c r="C2" s="71"/>
      <x:c r="D2" s="71"/>
      <x:c r="E2" s="71"/>
      <x:c r="F2" s="71"/>
      <x:c r="G2" s="71"/>
      <x:c r="H2" s="71"/>
    </x:row>
    <x:row r="3">
      <x:c r="A3" s="150" t="str">
        <x:v>Dataset status</x:v>
      </x:c>
      <x:c r="B3" s="73" t="str">
        <x:v>REVERIFIED and LOCKED extraction dataset; independent full-text audit completed 2026-08-11</x:v>
      </x:c>
      <x:c r="C3" s="71"/>
      <x:c r="D3" s="71"/>
      <x:c r="E3" s="71"/>
      <x:c r="F3" s="71"/>
      <x:c r="G3" s="71"/>
      <x:c r="H3" s="71"/>
    </x:row>
    <x:row r="4">
      <x:c r="A4" s="151" t="str">
        <x:v>Included SHACL candidates</x:v>
      </x:c>
      <x:c r="B4" s="75" t="n">
        <x:f>B5+B6+B7+B8</x:f>
        <x:v>313</x:v>
      </x:c>
      <x:c r="C4" s="71"/>
      <x:c r="D4" s="71"/>
      <x:c r="E4" s="71"/>
      <x:c r="F4" s="71"/>
      <x:c r="G4" s="71"/>
      <x:c r="H4" s="71"/>
    </x:row>
    <x:row r="5">
      <x:c r="A5" s="151" t="str">
        <x:v>TRAFICOM candidates</x:v>
      </x:c>
      <x:c r="B5" s="75" t="n">
        <x:f>COUNTA('TRAFICOM'!$A$2:$A$500)</x:f>
        <x:v>122</x:v>
      </x:c>
      <x:c r="C5" s="71"/>
      <x:c r="D5" s="71"/>
      <x:c r="E5" s="71"/>
      <x:c r="F5" s="71"/>
      <x:c r="G5" s="71"/>
      <x:c r="H5" s="71"/>
    </x:row>
    <x:row r="6">
      <x:c r="A6" s="151" t="str">
        <x:v>IACS UR I2 candidates</x:v>
      </x:c>
      <x:c r="B6" s="75" t="n">
        <x:f>COUNTA('IACS_UR_I2'!$A$2:$A$500)</x:f>
        <x:v>48</x:v>
      </x:c>
      <x:c r="C6" s="71"/>
      <x:c r="D6" s="71"/>
      <x:c r="E6" s="71"/>
      <x:c r="F6" s="71"/>
      <x:c r="G6" s="71"/>
      <x:c r="H6" s="71"/>
    </x:row>
    <x:row r="7">
      <x:c r="A7" s="151" t="str">
        <x:v>IMO Polar Code candidates</x:v>
      </x:c>
      <x:c r="B7" s="75" t="n">
        <x:f>COUNTA('IMO_POLAR_CODE'!$A$2:$A$500)</x:f>
        <x:v>125</x:v>
      </x:c>
      <x:c r="C7" s="71"/>
      <x:c r="D7" s="71"/>
      <x:c r="E7" s="71"/>
      <x:c r="F7" s="71"/>
      <x:c r="G7" s="71"/>
      <x:c r="H7" s="71"/>
    </x:row>
    <x:row r="8">
      <x:c r="A8" s="151" t="str">
        <x:v>IMO January 2026 amendment candidates</x:v>
      </x:c>
      <x:c r="B8" s="75" t="n">
        <x:f>COUNTA('IMO_AMEND_2026'!$A$2:$A$500)</x:f>
        <x:v>18</x:v>
      </x:c>
      <x:c r="C8" s="71"/>
      <x:c r="D8" s="71"/>
      <x:c r="E8" s="71"/>
      <x:c r="F8" s="71"/>
      <x:c r="G8" s="71"/>
      <x:c r="H8" s="71"/>
    </x:row>
    <x:row r="9">
      <x:c r="A9" s="152" t="str">
        <x:v>Source documents represented</x:v>
      </x:c>
      <x:c r="B9" s="77" t="n">
        <x:v>4</x:v>
      </x:c>
      <x:c r="C9" s="71"/>
      <x:c r="D9" s="71"/>
      <x:c r="E9" s="71"/>
      <x:c r="F9" s="71"/>
      <x:c r="G9" s="71"/>
      <x:c r="H9" s="71"/>
    </x:row>
    <x:row r="10">
      <x:c r="A10" s="71"/>
      <x:c r="B10" s="71"/>
      <x:c r="C10" s="71"/>
      <x:c r="D10" s="71"/>
      <x:c r="E10" s="71"/>
      <x:c r="F10" s="71"/>
      <x:c r="G10" s="71"/>
      <x:c r="H10" s="71"/>
    </x:row>
    <x:row r="11">
      <x:c r="A11" s="71"/>
      <x:c r="B11" s="71"/>
      <x:c r="C11" s="71"/>
      <x:c r="D11" s="71"/>
      <x:c r="E11" s="71"/>
      <x:c r="F11" s="71"/>
      <x:c r="G11" s="71"/>
      <x:c r="H11" s="71"/>
    </x:row>
    <x:row r="12">
      <x:c r="A12" s="153" t="str">
        <x:v>Verification category</x:v>
      </x:c>
      <x:c r="B12" s="153" t="str">
        <x:v>TRAFICOM</x:v>
      </x:c>
      <x:c r="C12" s="153" t="str">
        <x:v>IACS UR I2</x:v>
      </x:c>
      <x:c r="D12" s="153" t="str">
        <x:v>IMO Polar Code</x:v>
      </x:c>
      <x:c r="E12" s="153" t="str">
        <x:v>IMO Amend. 2026</x:v>
      </x:c>
      <x:c r="F12" s="153" t="str">
        <x:v>Total</x:v>
      </x:c>
      <x:c r="G12" s="71"/>
      <x:c r="H12" s="71"/>
    </x:row>
    <x:row r="13">
      <x:c r="A13" s="79" t="str">
        <x:v>Static</x:v>
      </x:c>
      <x:c r="B13" s="80" t="n">
        <x:f>COUNTIF('TRAFICOM'!$G$2:$G$500,"Static")</x:f>
        <x:v>53</x:v>
      </x:c>
      <x:c r="C13" s="80" t="n">
        <x:f>COUNTIF('IACS_UR_I2'!$G$2:$G$500,"Static")</x:f>
        <x:v>16</x:v>
      </x:c>
      <x:c r="D13" s="80" t="n">
        <x:f>COUNTIF('IMO_POLAR_CODE'!$G$2:$G$500,"Static")</x:f>
        <x:v>72</x:v>
      </x:c>
      <x:c r="E13" s="80" t="n">
        <x:f>COUNTIF('IMO_AMEND_2026'!$G$2:$G$500,"Static")</x:f>
        <x:v>10</x:v>
      </x:c>
      <x:c r="F13" s="81" t="n">
        <x:f>SUM(B13:E13)</x:f>
        <x:v>151</x:v>
      </x:c>
      <x:c r="G13" s="71"/>
      <x:c r="H13" s="71"/>
    </x:row>
    <x:row r="14">
      <x:c r="A14" s="82" t="str">
        <x:v>Static Calculation</x:v>
      </x:c>
      <x:c r="B14" s="83" t="n">
        <x:f>COUNTIF('TRAFICOM'!$G$2:$G$500,"Static Calculation")</x:f>
        <x:v>42</x:v>
      </x:c>
      <x:c r="C14" s="83" t="n">
        <x:f>COUNTIF('IACS_UR_I2'!$G$2:$G$500,"Static Calculation")</x:f>
        <x:v>31</x:v>
      </x:c>
      <x:c r="D14" s="83" t="n">
        <x:f>COUNTIF('IMO_POLAR_CODE'!$G$2:$G$500,"Static Calculation")</x:f>
        <x:v>16</x:v>
      </x:c>
      <x:c r="E14" s="83" t="n">
        <x:f>COUNTIF('IMO_AMEND_2026'!$G$2:$G$500,"Static Calculation")</x:f>
        <x:v>0</x:v>
      </x:c>
      <x:c r="F14" s="84" t="n">
        <x:f>SUM(B14:E14)</x:f>
        <x:v>89</x:v>
      </x:c>
      <x:c r="G14" s="71"/>
      <x:c r="H14" s="71"/>
    </x:row>
    <x:row r="15">
      <x:c r="A15" s="82" t="str">
        <x:v>Dynamic</x:v>
      </x:c>
      <x:c r="B15" s="83" t="n">
        <x:f>COUNTIF('TRAFICOM'!$G$2:$G$500,"Dynamic")</x:f>
        <x:v>11</x:v>
      </x:c>
      <x:c r="C15" s="83" t="n">
        <x:f>COUNTIF('IACS_UR_I2'!$G$2:$G$500,"Dynamic")</x:f>
        <x:v>0</x:v>
      </x:c>
      <x:c r="D15" s="83" t="n">
        <x:f>COUNTIF('IMO_POLAR_CODE'!$G$2:$G$500,"Dynamic")</x:f>
        <x:v>4</x:v>
      </x:c>
      <x:c r="E15" s="83" t="n">
        <x:f>COUNTIF('IMO_AMEND_2026'!$G$2:$G$500,"Dynamic")</x:f>
        <x:v>2</x:v>
      </x:c>
      <x:c r="F15" s="84" t="n">
        <x:f>SUM(B15:E15)</x:f>
        <x:v>17</x:v>
      </x:c>
      <x:c r="G15" s="71"/>
      <x:c r="H15" s="71"/>
    </x:row>
    <x:row r="16">
      <x:c r="A16" s="82" t="str">
        <x:v>Complex</x:v>
      </x:c>
      <x:c r="B16" s="83" t="n">
        <x:f>COUNTIF('TRAFICOM'!$G$2:$G$500,"Complex")</x:f>
        <x:v>13</x:v>
      </x:c>
      <x:c r="C16" s="83" t="n">
        <x:f>COUNTIF('IACS_UR_I2'!$G$2:$G$500,"Complex")</x:f>
        <x:v>1</x:v>
      </x:c>
      <x:c r="D16" s="83" t="n">
        <x:f>COUNTIF('IMO_POLAR_CODE'!$G$2:$G$500,"Complex")</x:f>
        <x:v>21</x:v>
      </x:c>
      <x:c r="E16" s="83" t="n">
        <x:f>COUNTIF('IMO_AMEND_2026'!$G$2:$G$500,"Complex")</x:f>
        <x:v>5</x:v>
      </x:c>
      <x:c r="F16" s="84" t="n">
        <x:f>SUM(B16:E16)</x:f>
        <x:v>40</x:v>
      </x:c>
      <x:c r="G16" s="71"/>
      <x:c r="H16" s="71"/>
    </x:row>
    <x:row r="17">
      <x:c r="A17" s="85" t="str">
        <x:v>Physical Test</x:v>
      </x:c>
      <x:c r="B17" s="86" t="n">
        <x:f>COUNTIF('TRAFICOM'!$G$2:$G$500,"Physical Test")</x:f>
        <x:v>3</x:v>
      </x:c>
      <x:c r="C17" s="86" t="n">
        <x:f>COUNTIF('IACS_UR_I2'!$G$2:$G$500,"Physical Test")</x:f>
        <x:v>0</x:v>
      </x:c>
      <x:c r="D17" s="86" t="n">
        <x:f>COUNTIF('IMO_POLAR_CODE'!$G$2:$G$500,"Physical Test")</x:f>
        <x:v>12</x:v>
      </x:c>
      <x:c r="E17" s="86" t="n">
        <x:f>COUNTIF('IMO_AMEND_2026'!$G$2:$G$500,"Physical Test")</x:f>
        <x:v>1</x:v>
      </x:c>
      <x:c r="F17" s="87" t="n">
        <x:f>SUM(B17:E17)</x:f>
        <x:v>16</x:v>
      </x:c>
      <x:c r="G17" s="71"/>
      <x:c r="H17" s="71"/>
    </x:row>
    <x:row r="18">
      <x:c r="A18" s="71"/>
      <x:c r="B18" s="71"/>
      <x:c r="C18" s="71"/>
      <x:c r="D18" s="71"/>
      <x:c r="E18" s="71"/>
      <x:c r="F18" s="71"/>
      <x:c r="G18" s="71"/>
      <x:c r="H18" s="71"/>
    </x:row>
    <x:row r="19">
      <x:c r="A19" s="71"/>
      <x:c r="B19" s="71"/>
      <x:c r="C19" s="71"/>
      <x:c r="D19" s="71"/>
      <x:c r="E19" s="71"/>
      <x:c r="F19" s="71"/>
      <x:c r="G19" s="71"/>
      <x:c r="H19" s="71"/>
    </x:row>
    <x:row r="20">
      <x:c r="A20" s="154" t="str">
        <x:v>Category</x:v>
      </x:c>
      <x:c r="B20" s="155" t="str">
        <x:v>Operational definition used</x:v>
      </x:c>
      <x:c r="C20" s="155" t="str">
        <x:v>Typical evidence</x:v>
      </x:c>
      <x:c r="D20" s="156" t="str">
        <x:v>Primary SHACL pattern</x:v>
      </x:c>
      <x:c r="E20" s="71"/>
      <x:c r="F20" s="71"/>
      <x:c r="G20" s="71"/>
      <x:c r="H20" s="71"/>
    </x:row>
    <x:row r="21">
      <x:c r="A21" s="91" t="str">
        <x:v>Static</x:v>
      </x:c>
      <x:c r="B21" s="92" t="str">
        <x:v>Direct check of a property, presence, applicability condition, prohibition, enumeration, or fixed limit.</x:v>
      </x:c>
      <x:c r="C21" s="92" t="str">
        <x:v>Model attribute, document, enumeration, presence, date or threshold</x:v>
      </x:c>
      <x:c r="D21" s="93" t="str">
        <x:v>Direct or conditional constraint</x:v>
      </x:c>
      <x:c r="E21" s="71"/>
      <x:c r="F21" s="71"/>
      <x:c r="G21" s="71"/>
      <x:c r="H21" s="71"/>
    </x:row>
    <x:row r="22">
      <x:c r="A22" s="91" t="str">
        <x:v>Static Calculation</x:v>
      </x:c>
      <x:c r="B22" s="92" t="str">
        <x:v>Deterministic calculation from static design parameters followed by a check.</x:v>
      </x:c>
      <x:c r="C22" s="92" t="str">
        <x:v>Formula inputs and calculated result</x:v>
      </x:c>
      <x:c r="D22" s="93" t="str">
        <x:v>Formula-derived constraint</x:v>
      </x:c>
      <x:c r="E22" s="71"/>
      <x:c r="F22" s="71"/>
      <x:c r="G22" s="71"/>
      <x:c r="H22" s="71"/>
    </x:row>
    <x:row r="23">
      <x:c r="A23" s="91" t="str">
        <x:v>Dynamic</x:v>
      </x:c>
      <x:c r="B23" s="92" t="str">
        <x:v>Operational, time-stamped, route-dependent, or continuously monitored verification.</x:v>
      </x:c>
      <x:c r="C23" s="92" t="str">
        <x:v>Observations, route coverage, current information or response status</x:v>
      </x:c>
      <x:c r="D23" s="93" t="str">
        <x:v>Observation or coverage constraint</x:v>
      </x:c>
      <x:c r="E23" s="71"/>
      <x:c r="F23" s="71"/>
      <x:c r="G23" s="71"/>
      <x:c r="H23" s="71"/>
    </x:row>
    <x:row r="24">
      <x:c r="A24" s="91" t="str">
        <x:v>Complex</x:v>
      </x:c>
      <x:c r="B24" s="92" t="str">
        <x:v>Coupled conditions, external evidence, assessment coverage, or a multi-part workflow.</x:v>
      </x:c>
      <x:c r="C24" s="92" t="str">
        <x:v>Linked inputs, approvals, calculations and evidence artifacts</x:v>
      </x:c>
      <x:c r="D24" s="93" t="str">
        <x:v>Composite constraint or evidence workflow</x:v>
      </x:c>
      <x:c r="E24" s="71"/>
      <x:c r="F24" s="71"/>
      <x:c r="G24" s="71"/>
      <x:c r="H24" s="71"/>
    </x:row>
    <x:row r="25">
      <x:c r="A25" s="73" t="str">
        <x:v>Physical Test</x:v>
      </x:c>
      <x:c r="B25" s="94" t="str">
        <x:v>Compliance established mainly through explicit survey, inspection or test evidence.</x:v>
      </x:c>
      <x:c r="C25" s="94" t="str">
        <x:v>Test procedure, environmental condition, result or approval status</x:v>
      </x:c>
      <x:c r="D25" s="95" t="str">
        <x:v>Test-evidence/status constraint</x:v>
      </x:c>
      <x:c r="E25" s="71"/>
      <x:c r="F25" s="71"/>
      <x:c r="G25" s="71"/>
      <x:c r="H25" s="71"/>
    </x:row>
    <x:row r="26">
      <x:c r="A26" s="71"/>
      <x:c r="B26" s="71"/>
      <x:c r="C26" s="71"/>
      <x:c r="D26" s="71"/>
      <x:c r="E26" s="71"/>
      <x:c r="F26" s="71"/>
      <x:c r="G26" s="71"/>
      <x:c r="H26" s="71"/>
    </x:row>
    <x:row r="27">
      <x:c r="A27" s="71"/>
      <x:c r="B27" s="71"/>
      <x:c r="C27" s="71"/>
      <x:c r="D27" s="71"/>
      <x:c r="E27" s="71"/>
      <x:c r="F27" s="71"/>
      <x:c r="G27" s="71"/>
      <x:c r="H27" s="71"/>
    </x:row>
    <x:row r="28" ht="38" customHeight="1">
      <x:c r="A28" s="157" t="str">
        <x:v>What changed in this revision</x:v>
      </x:c>
      <x:c r="B28" s="157"/>
      <x:c r="C28" s="157"/>
      <x:c r="D28" s="157"/>
      <x:c r="E28" s="157"/>
      <x:c r="F28" s="157"/>
      <x:c r="G28" s="157"/>
      <x:c r="H28" s="157"/>
    </x:row>
    <x:row r="29" ht="38" customHeight="1">
      <x:c r="A29" s="158" t="str">
        <x:v>1. Independent second-pass source audit completed for all 313 included requirements; every row now carries the R2 lock ID and source hash.</x:v>
      </x:c>
      <x:c r="B29" s="158"/>
      <x:c r="C29" s="158"/>
      <x:c r="D29" s="158"/>
      <x:c r="E29" s="158"/>
      <x:c r="F29" s="158"/>
      <x:c r="G29" s="158"/>
      <x:c r="H29" s="158"/>
    </x:row>
    <x:row r="30" ht="38" customHeight="1">
      <x:c r="A30" s="159" t="str">
        <x:v>2. Across both audit passes, 62 records required at least one correction. Counts overlap: 12 page references, 6 clause ranges, 23 source/equation transcriptions, 27 normalized rules, and 29 categories.</x:v>
      </x:c>
      <x:c r="B30" s="159"/>
      <x:c r="C30" s="159"/>
      <x:c r="D30" s="159"/>
      <x:c r="E30" s="159"/>
      <x:c r="F30" s="159"/>
      <x:c r="G30" s="159"/>
      <x:c r="H30" s="159"/>
    </x:row>
    <x:row r="31" ht="38" customHeight="1">
      <x:c r="A31" s="158" t="str">
        <x:v>3. Physical page numbers refer to pages in the supplied PDF files, not the page number printed inside a document.</x:v>
      </x:c>
      <x:c r="B31" s="158"/>
      <x:c r="C31" s="158"/>
      <x:c r="D31" s="158"/>
      <x:c r="E31" s="158"/>
      <x:c r="F31" s="158"/>
      <x:c r="G31" s="158"/>
      <x:c r="H31" s="158"/>
    </x:row>
    <x:row r="32" ht="38" customHeight="1">
      <x:c r="A32" s="159" t="str">
        <x:v>4. Source equations are linearized with ASCII-safe notation such as deg C, m^2, m^3, &lt;=, &gt;=, sqrt(), and explicit multiplication signs.</x:v>
      </x:c>
      <x:c r="B32" s="159"/>
      <x:c r="C32" s="159"/>
      <x:c r="D32" s="159"/>
      <x:c r="E32" s="159"/>
      <x:c r="F32" s="159"/>
      <x:c r="G32" s="159"/>
      <x:c r="H32" s="159"/>
    </x:row>
    <x:row r="33" ht="38" customHeight="1">
      <x:c r="A33" s="158" t="str">
        <x:v>5. The source PDF filename and SHA-256 hash are repeated in each row so the exact audited document can be identified later.</x:v>
      </x:c>
      <x:c r="B33" s="158"/>
      <x:c r="C33" s="158"/>
      <x:c r="D33" s="158"/>
      <x:c r="E33" s="158"/>
      <x:c r="F33" s="158"/>
      <x:c r="G33" s="158"/>
      <x:c r="H33" s="158"/>
    </x:row>
    <x:row r="34" ht="38" customHeight="1">
      <x:c r="A34" s="159" t="str">
        <x:v>6. Only included text/logic candidates are locked. Figure-dependent and omitted material is not represented as a data row.</x:v>
      </x:c>
      <x:c r="B34" s="159"/>
      <x:c r="C34" s="159"/>
      <x:c r="D34" s="159"/>
      <x:c r="E34" s="159"/>
      <x:c r="F34" s="159"/>
      <x:c r="G34" s="159"/>
      <x:c r="H34" s="159"/>
    </x:row>
    <x:row r="35" ht="38" customHeight="1">
      <x:c r="A35" s="158" t="str">
        <x:v>7. This lock covers extraction and five-category classification; final SHACL shape authoring and engineering certification remain separate work.</x:v>
      </x:c>
      <x:c r="B35" s="158"/>
      <x:c r="C35" s="158"/>
      <x:c r="D35" s="158"/>
      <x:c r="E35" s="158"/>
      <x:c r="F35" s="158"/>
      <x:c r="G35" s="158"/>
      <x:c r="H35" s="158"/>
    </x:row>
    <x:row r="36">
      <x:c r="A36" s="71"/>
      <x:c r="B36" s="71"/>
      <x:c r="C36" s="71"/>
      <x:c r="D36" s="71"/>
      <x:c r="E36" s="71"/>
      <x:c r="F36" s="71"/>
      <x:c r="G36" s="71"/>
      <x:c r="H36" s="71"/>
    </x:row>
    <x:row r="37" ht="34" customHeight="1">
      <x:c r="A37" s="71"/>
      <x:c r="B37" s="71"/>
      <x:c r="C37" s="71"/>
      <x:c r="D37" s="71"/>
      <x:c r="E37" s="71"/>
      <x:c r="F37" s="71"/>
      <x:c r="G37" s="71"/>
      <x:c r="H37" s="71"/>
    </x:row>
    <x:row r="38" ht="34" customHeight="1">
      <x:c r="A38" s="71"/>
      <x:c r="B38" s="71"/>
      <x:c r="C38" s="71"/>
      <x:c r="D38" s="71"/>
      <x:c r="E38" s="71"/>
      <x:c r="F38" s="71"/>
      <x:c r="G38" s="71"/>
      <x:c r="H38" s="71"/>
    </x:row>
    <x:row r="39" ht="34" customHeight="1">
      <x:c r="A39" s="157" t="str">
        <x:v>Field guide</x:v>
      </x:c>
      <x:c r="B39" s="157"/>
      <x:c r="C39" s="157"/>
      <x:c r="D39" s="157"/>
      <x:c r="E39" s="157"/>
      <x:c r="F39" s="157"/>
      <x:c r="G39" s="157"/>
      <x:c r="H39" s="157"/>
    </x:row>
    <x:row r="40" ht="34" customHeight="1">
      <x:c r="A40" s="160" t="str">
        <x:v>Verified_Source_Text_ASCII</x:v>
      </x:c>
      <x:c r="B40" s="100" t="str">
        <x:v>Verified source passage with typography transcribed into standard keyboard characters.</x:v>
      </x:c>
      <x:c r="C40" s="71"/>
      <x:c r="D40" s="71"/>
      <x:c r="E40" s="71"/>
      <x:c r="F40" s="71"/>
      <x:c r="G40" s="71"/>
      <x:c r="H40" s="71"/>
    </x:row>
    <x:row r="41" ht="34" customHeight="1">
      <x:c r="A41" s="161" t="str">
        <x:v>AI_Ready_Requirement</x:v>
      </x:c>
      <x:c r="B41" s="93" t="str">
        <x:v>Normalized requirement suitable for prompting, parsing or SHACL authoring.</x:v>
      </x:c>
      <x:c r="C41" s="71"/>
      <x:c r="D41" s="71"/>
      <x:c r="E41" s="71"/>
      <x:c r="F41" s="71"/>
      <x:c r="G41" s="71"/>
      <x:c r="H41" s="71"/>
    </x:row>
    <x:row r="42" ht="34" customHeight="1">
      <x:c r="A42" s="161" t="str">
        <x:v>Canonical_Variables</x:v>
      </x:c>
      <x:c r="B42" s="93" t="str">
        <x:v>Code-safe variable identifiers used or proposed for the requirement.</x:v>
      </x:c>
      <x:c r="C42" s="71"/>
      <x:c r="D42" s="71"/>
      <x:c r="E42" s="71"/>
      <x:c r="F42" s="71"/>
      <x:c r="G42" s="71"/>
      <x:c r="H42" s="71"/>
    </x:row>
    <x:row r="43" ht="34" customHeight="1">
      <x:c r="A43" s="161" t="str">
        <x:v>AnchorMap_Mapping</x:v>
      </x:c>
      <x:c r="B43" s="93" t="str">
        <x:v>Exact AnchorMap identifiers where available; otherwise a clearly labelled proposed alias.</x:v>
      </x:c>
      <x:c r="C43" s="71"/>
      <x:c r="D43" s="71"/>
      <x:c r="E43" s="71"/>
      <x:c r="F43" s="71"/>
      <x:c r="G43" s="71"/>
      <x:c r="H43" s="71"/>
    </x:row>
    <x:row r="44" ht="34" customHeight="1">
      <x:c r="A44" s="161" t="str">
        <x:v>SHACL_Codability</x:v>
      </x:c>
      <x:c r="B44" s="93" t="str">
        <x:v>High = direct/deterministic; Medium = needs evidence, approval, test, route data or a linked workflow.</x:v>
      </x:c>
      <x:c r="C44" s="71"/>
      <x:c r="D44" s="71"/>
      <x:c r="E44" s="71"/>
      <x:c r="F44" s="71"/>
      <x:c r="G44" s="71"/>
      <x:c r="H44" s="71"/>
    </x:row>
    <x:row r="45" ht="34" customHeight="1">
      <x:c r="A45" s="161" t="str">
        <x:v>SHACL_Encoding_Pattern</x:v>
      </x:c>
      <x:c r="B45" s="93" t="str">
        <x:v>Suggested implementation family, not a completed SHACL shape.</x:v>
      </x:c>
      <x:c r="C45" s="71"/>
      <x:c r="D45" s="71"/>
      <x:c r="E45" s="71"/>
      <x:c r="F45" s="71"/>
      <x:c r="G45" s="71"/>
      <x:c r="H45" s="71"/>
    </x:row>
    <x:row r="46" ht="34" customHeight="1">
      <x:c r="A46" s="161" t="str">
        <x:v>Required_Inputs_or_Artifacts</x:v>
      </x:c>
      <x:c r="B46" s="93" t="str">
        <x:v>Model values, records, documents, approvals or test evidence required to verify the clause.</x:v>
      </x:c>
      <x:c r="C46" s="71"/>
      <x:c r="D46" s="71"/>
      <x:c r="E46" s="71"/>
      <x:c r="F46" s="71"/>
      <x:c r="G46" s="71"/>
      <x:c r="H46" s="71"/>
    </x:row>
    <x:row r="47" ht="34" customHeight="1">
      <x:c r="A47" s="162" t="str">
        <x:v>Review_Status</x:v>
      </x:c>
      <x:c r="B47" s="95" t="str">
        <x:v>Marks the extraction as locked after source, page, clause, normalized meaning, and category verification.</x:v>
      </x:c>
      <x:c r="C47" s="71"/>
      <x:c r="D47" s="71"/>
      <x:c r="E47" s="71"/>
      <x:c r="F47" s="71"/>
      <x:c r="G47" s="71"/>
      <x:c r="H47" s="71"/>
    </x:row>
    <x:row r="48" ht="34" customHeight="1">
      <x:c r="A48" s="71"/>
      <x:c r="B48" s="71"/>
      <x:c r="C48" s="71"/>
      <x:c r="D48" s="71"/>
      <x:c r="E48" s="71"/>
      <x:c r="F48" s="71"/>
      <x:c r="G48" s="71"/>
      <x:c r="H48" s="71"/>
    </x:row>
    <x:row r="49" ht="34" customHeight="1">
      <x:c r="A49" s="71"/>
      <x:c r="B49" s="71"/>
      <x:c r="C49" s="71"/>
      <x:c r="D49" s="71"/>
      <x:c r="E49" s="71"/>
      <x:c r="F49" s="71"/>
      <x:c r="G49" s="71"/>
      <x:c r="H49" s="71"/>
    </x:row>
    <x:row r="50" ht="36" customHeight="1">
      <x:c r="A50" s="150" t="str">
        <x:v>Official TRAFICOM page</x:v>
      </x:c>
      <x:c r="B50" s="73" t="str">
        <x:v>https://www.finlex.fi/en/authorities/regulations/traficom-transport-maritime/2021/47238</x:v>
      </x:c>
      <x:c r="C50" s="71"/>
      <x:c r="D50" s="71"/>
      <x:c r="E50" s="71"/>
      <x:c r="F50" s="71"/>
      <x:c r="G50" s="71"/>
      <x:c r="H50" s="71"/>
    </x:row>
    <x:row r="51" ht="36" customHeight="1">
      <x:c r="A51" s="151" t="str">
        <x:v>Official IACS page</x:v>
      </x:c>
      <x:c r="B51" s="75" t="str">
        <x:v>https://iacs.org.uk/resolutions/unified-requirements/ur-i/ur-i2-rev4-cln</x:v>
      </x:c>
      <x:c r="C51" s="71"/>
      <x:c r="D51" s="71"/>
      <x:c r="E51" s="71"/>
      <x:c r="F51" s="71"/>
      <x:c r="G51" s="71"/>
      <x:c r="H51" s="71"/>
    </x:row>
    <x:row r="52" ht="36" customHeight="1">
      <x:c r="A52" s="151" t="str">
        <x:v>IMO Polar Code source PDF</x:v>
      </x:c>
      <x:c r="B52" s="75" t="str">
        <x:v>https://wwwcdn.imo.org/localresources/en/KnowledgeCentre/IndexofIMOResolutions/MSCResolutions/MSC.385%2894%29.pdf</x:v>
      </x:c>
      <x:c r="C52" s="71"/>
      <x:c r="D52" s="71"/>
      <x:c r="E52" s="71"/>
      <x:c r="F52" s="71"/>
      <x:c r="G52" s="71"/>
      <x:c r="H52" s="71"/>
    </x:row>
    <x:row r="53" ht="36" customHeight="1">
      <x:c r="A53" s="151" t="str">
        <x:v>IMO January 2026 supplement PDF</x:v>
      </x:c>
      <x:c r="B53" s="75" t="str">
        <x:v>https://wwwcdn.imo.org/localresources/en/publications/Documents/Supplements/English/2Q191E_Supplement_January2026_EBK.pdf</x:v>
      </x:c>
      <x:c r="C53" s="71"/>
      <x:c r="D53" s="71"/>
      <x:c r="E53" s="71"/>
      <x:c r="F53" s="71"/>
      <x:c r="G53" s="71"/>
      <x:c r="H53" s="71"/>
    </x:row>
    <x:row r="54" ht="36" customHeight="1">
      <x:c r="A54" s="151" t="str">
        <x:v>Thesis input repository</x:v>
      </x:c>
      <x:c r="B54" s="75" t="str">
        <x:v>https://github.com/saadahmedrana/Translating-Natural-Language-Maritime-Regulations-into-Machine-Readable-Rules-Using-LLMs/tree/main/data/input/input_all</x:v>
      </x:c>
      <x:c r="C54" s="71"/>
      <x:c r="D54" s="71"/>
      <x:c r="E54" s="71"/>
      <x:c r="F54" s="71"/>
      <x:c r="G54" s="71"/>
      <x:c r="H54" s="71"/>
    </x:row>
    <x:row r="55" ht="36" customHeight="1">
      <x:c r="A55" s="152" t="str">
        <x:v>AnchorMap repository</x:v>
      </x:c>
      <x:c r="B55" s="77" t="str">
        <x:v>https://github.com/saadahmedrana/AnchorMap</x:v>
      </x:c>
      <x:c r="C55" s="71"/>
      <x:c r="D55" s="71"/>
      <x:c r="E55" s="71"/>
      <x:c r="F55" s="71"/>
      <x:c r="G55" s="71"/>
      <x:c r="H55" s="71"/>
    </x:row>
    <x:row r="57">
      <x:c r="A57" s="165" t="str">
        <x:v>Final extraction lock</x:v>
      </x:c>
      <x:c r="B57" s="165"/>
      <x:c r="C57" s="165"/>
      <x:c r="D57" s="165"/>
      <x:c r="E57" s="165"/>
      <x:c r="F57" s="165"/>
      <x:c r="G57" s="165"/>
      <x:c r="H57" s="165"/>
    </x:row>
    <x:row r="58" ht="34" customHeight="1">
      <x:c r="A58" s="169" t="str">
        <x:v>Lock ID</x:v>
      </x:c>
      <x:c r="B58" s="48" t="str">
        <x:v>LOCK-2026-08-11-R2</x:v>
      </x:c>
    </x:row>
    <x:row r="59" ht="34" customHeight="1">
      <x:c r="A59" s="170" t="str">
        <x:v>Locked requirements</x:v>
      </x:c>
      <x:c r="B59" s="37" t="n">
        <x:v>313</x:v>
      </x:c>
    </x:row>
    <x:row r="60" ht="34" customHeight="1">
      <x:c r="A60" s="170" t="str">
        <x:v>Records with a final correction</x:v>
      </x:c>
      <x:c r="B60" s="37" t="n">
        <x:v>62</x:v>
      </x:c>
    </x:row>
    <x:row r="61" ht="34" customHeight="1">
      <x:c r="A61" s="170" t="str">
        <x:v>Page / clause corrections</x:v>
      </x:c>
      <x:c r="B61" s="37" t="str">
        <x:v>12 / 6</x:v>
      </x:c>
    </x:row>
    <x:row r="62" ht="34" customHeight="1">
      <x:c r="A62" s="170" t="str">
        <x:v>Source text / equation corrections</x:v>
      </x:c>
      <x:c r="B62" s="37" t="n">
        <x:v>23</x:v>
      </x:c>
    </x:row>
    <x:row r="63" ht="34" customHeight="1">
      <x:c r="A63" s="170" t="str">
        <x:v>Normalized rule / category corrections</x:v>
      </x:c>
      <x:c r="B63" s="37" t="str">
        <x:v>27 / 29</x:v>
      </x:c>
    </x:row>
    <x:row r="64" ht="34" customHeight="1">
      <x:c r="A64" s="171" t="str">
        <x:v>Traceability manifest</x:v>
      </x:c>
      <x:c r="B64" s="39" t="str">
        <x:v>See TRACEABILITY_LOCK. Every included row contains the source PDF hash, physical page, section, clause, checks, and lock status.</x:v>
      </x:c>
    </x:row>
  </x:sheetData>
  <x:mergeCells>
    <x:mergeCell ref="A1:H1"/>
    <x:mergeCell ref="A28:H28"/>
    <x:mergeCell ref="A29:H29"/>
    <x:mergeCell ref="A30:H30"/>
    <x:mergeCell ref="A31:H31"/>
    <x:mergeCell ref="A32:H32"/>
    <x:mergeCell ref="A33:H33"/>
    <x:mergeCell ref="A34:H34"/>
    <x:mergeCell ref="A35:H35"/>
    <x:mergeCell ref="A39:H39"/>
    <x:mergeCell ref="A57:H5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9" hidden="0" customWidth="1"/>
    <x:col min="4" max="4" width="10" hidden="0" customWidth="1"/>
    <x:col min="5" max="5" width="27" hidden="0" customWidth="1"/>
    <x:col min="6" max="6" width="21" hidden="0" customWidth="1"/>
    <x:col min="7" max="7" width="20" hidden="0" customWidth="1"/>
    <x:col min="8" max="8" width="62" hidden="0" customWidth="1"/>
    <x:col min="9" max="9" width="58" hidden="0" customWidth="1"/>
    <x:col min="10" max="10" width="35" hidden="0" customWidth="1"/>
    <x:col min="11" max="11" width="38" hidden="0" customWidth="1"/>
    <x:col min="12" max="12" width="15" hidden="0" customWidth="1"/>
    <x:col min="13" max="13" width="31" hidden="0" customWidth="1"/>
    <x:col min="14" max="14" width="39" hidden="0" customWidth="1"/>
    <x:col min="15" max="15" width="14" hidden="0" customWidth="1"/>
    <x:col min="16" max="16" width="25" hidden="0" customWidth="1"/>
    <x:col min="17" max="17" width="38" hidden="0" customWidth="1"/>
    <x:col min="18" max="18" width="38" hidden="0" customWidth="1"/>
    <x:col min="19" max="19" width="35" hidden="0" customWidth="1"/>
    <x:col min="20" max="20" width="34" hidden="0" customWidth="1"/>
    <x:col min="21" max="21" width="31" hidden="0" customWidth="1"/>
    <x:col min="22" max="22" width="34" hidden="0" customWidth="1"/>
    <x:col min="23" max="23" width="38" hidden="0" customWidth="1"/>
    <x:col min="24" max="24" width="35" hidden="0" customWidth="1"/>
    <x:col min="25" max="25" width="36" hidden="0" customWidth="1"/>
  </x:cols>
  <x:sheetData>
    <x:row r="1" ht="46" customHeight="1">
      <x:c r="A1" s="105" t="str">
        <x:v>Record_ID</x:v>
      </x:c>
      <x:c r="B1" s="105" t="str">
        <x:v>Source</x:v>
      </x:c>
      <x:c r="C1" s="105" t="str">
        <x:v>Edition</x:v>
      </x:c>
      <x:c r="D1" s="105" t="str">
        <x:v>PDF_Page</x:v>
      </x:c>
      <x:c r="E1" s="105" t="str">
        <x:v>Section</x:v>
      </x:c>
      <x:c r="F1" s="105" t="str">
        <x:v>Regulation_Clause</x:v>
      </x:c>
      <x:c r="G1" s="105" t="str">
        <x:v>Verification_Category</x:v>
      </x:c>
      <x:c r="H1" s="105" t="str">
        <x:v>Verified_Source_Text_ASCII</x:v>
      </x:c>
      <x:c r="I1" s="105" t="str">
        <x:v>AI_Ready_Requirement</x:v>
      </x:c>
      <x:c r="J1" s="105" t="str">
        <x:v>Canonical_Variables</x:v>
      </x:c>
      <x:c r="K1" s="105" t="str">
        <x:v>AnchorMap_Mapping</x:v>
      </x:c>
      <x:c r="L1" s="105" t="str">
        <x:v>SHACL_Codability</x:v>
      </x:c>
      <x:c r="M1" s="105" t="str">
        <x:v>SHACL_Encoding_Pattern</x:v>
      </x:c>
      <x:c r="N1" s="105" t="str">
        <x:v>Classification_Rationale</x:v>
      </x:c>
      <x:c r="O1" s="105" t="str">
        <x:v>Figure_Dependent</x:v>
      </x:c>
      <x:c r="P1" s="105" t="str">
        <x:v>Inclusion_Status</x:v>
      </x:c>
      <x:c r="Q1" s="105" t="str">
        <x:v>Correction_Notes</x:v>
      </x:c>
      <x:c r="R1" s="105" t="str">
        <x:v>Traceability_Notes</x:v>
      </x:c>
      <x:c r="S1" s="105" t="str">
        <x:v>Thesis_Cross_Check</x:v>
      </x:c>
      <x:c r="T1" s="105" t="str">
        <x:v>QA_Status</x:v>
      </x:c>
      <x:c r="U1" s="105" t="str">
        <x:v>Review_Status</x:v>
      </x:c>
      <x:c r="V1" s="105" t="str">
        <x:v>Reviewer_Notes</x:v>
      </x:c>
      <x:c r="W1" s="105" t="str">
        <x:v>Source_URL</x:v>
      </x:c>
      <x:c r="X1" s="105" t="str">
        <x:v>Required_Inputs_or_Artifacts</x:v>
      </x:c>
      <x:c r="Y1" s="105" t="str">
        <x:v>SHACL_Encoding_Notes</x:v>
      </x:c>
    </x:row>
    <x:row r="2" ht="92" customHeight="1">
      <x:c r="A2" s="108" t="str">
        <x:v>TRF-001</x:v>
      </x:c>
      <x:c r="B2" s="108" t="str">
        <x:v>Ice Class Regulations and the Application Thereof</x:v>
      </x:c>
      <x:c r="C2" s="108" t="str">
        <x:v>TRAFICOM/68863/03.04.01.00/2021</x:v>
      </x:c>
      <x:c r="D2" s="163" t="n">
        <x:v>5</x:v>
      </x:c>
      <x:c r="E2" s="108" t="str">
        <x:v>Application of the 2021 Ice Class Regulations</x:v>
      </x:c>
      <x:c r="F2" s="108" t="str">
        <x:v>1.1</x:v>
      </x:c>
      <x:c r="G2" s="113" t="str">
        <x:v>Static</x:v>
      </x:c>
      <x:c r="H2" s="109"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I2" s="110"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J2" s="111" t="str">
        <x:v>iceClass</x:v>
      </x:c>
      <x:c r="K2" s="111" t="str">
        <x:v>iceClass</x:v>
      </x:c>
      <x:c r="L2" s="114" t="str">
        <x:v>High</x:v>
      </x:c>
      <x:c r="M2" s="111" t="str">
        <x:v>Conditional/applicability constraint</x:v>
      </x:c>
      <x:c r="N2" s="108" t="str">
        <x:v>Direct verification of a stated property, document, presence condition, enumeration, applicability rule, prohibition, or fixed limit.</x:v>
      </x:c>
      <x:c r="O2" s="113" t="str">
        <x:v>No</x:v>
      </x:c>
      <x:c r="P2" s="113" t="str">
        <x:v>Included - source reverified and locked</x:v>
      </x:c>
      <x:c r="Q2" s="108" t="str">
        <x:v>LOCK-2026-08-10: No source, page, clause, category, or normalized-meaning correction was required. Source wording was checked against the supplied PDF; equation notation is ASCII-linearized.</x:v>
      </x:c>
      <x:c r="R2" s="108" t="str">
        <x:v>LOCK-2026-08-11-R2 | source_pdf=TRAFICOM.pdf | source_sha256=8ab845347770c253433b8bad9b1fbe5d6ac71b3d07a1a28dae8a32cfde732ddc | physical_pdf_page=5 | section=Application of the 2021 Ice Class Regulations | clause=1.1 | checks=independent_full_text_page_layout; numbers_units_operators_equations; normalized_rule_meaning; five_category_classification | status=LOCKED</x:v>
      </x:c>
      <x:c r="S2" s="108" t="str">
        <x:v>05_static_brash_ice_thickness (Static)</x:v>
      </x:c>
      <x:c r="T2" s="108" t="str">
        <x:v>PASS - source/page/clause/meaning/category reverified</x:v>
      </x:c>
      <x:c r="U2" s="108" t="str">
        <x:v>LOCKED - extraction reverified</x:v>
      </x:c>
      <x:c r="V2" s="112" t="str">
        <x:v>Second-pass extraction lock covers source identity, physical PDF page span, section/clause, ASCII transcription, normalized meaning, and verification category. SHACL shapes remain a separate implementation artifact.</x:v>
      </x:c>
      <x:c r="W2" s="112" t="str">
        <x:v>https://www.finlex.fi/en/authorities/regulations/traficom-transport-maritime/2021/47238</x:v>
      </x:c>
      <x:c r="X2" s="112" t="str">
        <x:v>iceClass</x:v>
      </x:c>
      <x:c r="Y2" s="112" t="str">
        <x:v>Conditional/applicability constraint; encode values with units and retain clause/page provenance.</x:v>
      </x:c>
    </x:row>
    <x:row r="3" ht="92" customHeight="1">
      <x:c r="A3" s="108" t="str">
        <x:v>TRF-002</x:v>
      </x:c>
      <x:c r="B3" s="108" t="str">
        <x:v>Ice Class Regulations and the Application Thereof</x:v>
      </x:c>
      <x:c r="C3" s="108" t="str">
        <x:v>TRAFICOM/68863/03.04.01.00/2021</x:v>
      </x:c>
      <x:c r="D3" s="163" t="n">
        <x:v>5</x:v>
      </x:c>
      <x:c r="E3" s="108" t="str">
        <x:v>Application of the 2017 Ice Class Regulations</x:v>
      </x:c>
      <x:c r="F3" s="108" t="str">
        <x:v>1.2</x:v>
      </x:c>
      <x:c r="G3" s="113" t="str">
        <x:v>Static</x:v>
      </x:c>
      <x:c r="H3" s="109" t="str">
        <x:v>The Ice Class Regulations of 2017 apply to ships contracted for construction on or after 1 January 2019 but before 5 July 2021.</x:v>
      </x:c>
      <x:c r="I3" s="110" t="str">
        <x:v>The Ice Class Regulations of 2017 apply to ships contracted for construction on or after 1 January 2019 but before 5 July 2021.</x:v>
      </x:c>
      <x:c r="J3" s="111" t="str">
        <x:v>iceClass</x:v>
      </x:c>
      <x:c r="K3" s="111" t="str">
        <x:v>iceClass</x:v>
      </x:c>
      <x:c r="L3" s="114" t="str">
        <x:v>High</x:v>
      </x:c>
      <x:c r="M3" s="111" t="str">
        <x:v>Conditional/applicability constraint</x:v>
      </x:c>
      <x:c r="N3" s="108" t="str">
        <x:v>Direct verification of a stated property, document, presence condition, enumeration, applicability rule, prohibition, or fixed limit.</x:v>
      </x:c>
      <x:c r="O3" s="113" t="str">
        <x:v>No</x:v>
      </x:c>
      <x:c r="P3" s="113" t="str">
        <x:v>Included - source reverified and locked</x:v>
      </x:c>
      <x:c r="Q3" s="108" t="str">
        <x:v>LOCK-2026-08-10: No source, page, clause, category, or normalized-meaning correction was required. Source wording was checked against the supplied PDF; equation notation is ASCII-linearized.</x:v>
      </x:c>
      <x:c r="R3" s="108" t="str">
        <x:v>LOCK-2026-08-11-R2 | source_pdf=TRAFICOM.pdf | source_sha256=8ab845347770c253433b8bad9b1fbe5d6ac71b3d07a1a28dae8a32cfde732ddc | physical_pdf_page=5 | section=Application of the 2017 Ice Class Regulations | clause=1.2 | checks=independent_full_text_page_layout; numbers_units_operators_equations; normalized_rule_meaning; five_category_classification | status=LOCKED</x:v>
      </x:c>
      <x:c r="S3" s="108" t="str">
        <x:v>No close match among the thesis repository's 90 input cases.</x:v>
      </x:c>
      <x:c r="T3" s="108" t="str">
        <x:v>PASS - source/page/clause/meaning/category reverified</x:v>
      </x:c>
      <x:c r="U3" s="108" t="str">
        <x:v>LOCKED - extraction reverified</x:v>
      </x:c>
      <x:c r="V3" s="112" t="str">
        <x:v>Second-pass extraction lock covers source identity, physical PDF page span, section/clause, ASCII transcription, normalized meaning, and verification category. SHACL shapes remain a separate implementation artifact.</x:v>
      </x:c>
      <x:c r="W3" s="112" t="str">
        <x:v>https://www.finlex.fi/en/authorities/regulations/traficom-transport-maritime/2021/47238</x:v>
      </x:c>
      <x:c r="X3" s="112" t="str">
        <x:v>iceClass</x:v>
      </x:c>
      <x:c r="Y3" s="112" t="str">
        <x:v>Conditional/applicability constraint; encode values with units and retain clause/page provenance.</x:v>
      </x:c>
    </x:row>
    <x:row r="4" ht="92" customHeight="1">
      <x:c r="A4" s="108" t="str">
        <x:v>TRF-003</x:v>
      </x:c>
      <x:c r="B4" s="108" t="str">
        <x:v>Ice Class Regulations and the Application Thereof</x:v>
      </x:c>
      <x:c r="C4" s="108" t="str">
        <x:v>TRAFICOM/68863/03.04.01.00/2021</x:v>
      </x:c>
      <x:c r="D4" s="163" t="n">
        <x:v>5</x:v>
      </x:c>
      <x:c r="E4" s="108" t="str">
        <x:v>Application of the 2010 Ice Class Regulations</x:v>
      </x:c>
      <x:c r="F4" s="108" t="str">
        <x:v>1.3</x:v>
      </x:c>
      <x:c r="G4" s="113" t="str">
        <x:v>Static</x:v>
      </x:c>
      <x:c r="H4" s="109" t="str">
        <x:v>The Ice Class Regulations of 2010 (TRAFI/31298/03.04.01.00/2010) apply to ships contracted for construction on or after 1 January 2012 but before 1 January 2019.</x:v>
      </x:c>
      <x:c r="I4" s="110" t="str">
        <x:v>The Ice Class Regulations of 2010 (TRAFI/31298/03.04.01.00/2010) apply to ships contracted for construction on or after 1 January 2012 but before 1 January 2019.</x:v>
      </x:c>
      <x:c r="J4" s="111" t="str">
        <x:v>iceClass</x:v>
      </x:c>
      <x:c r="K4" s="111" t="str">
        <x:v>iceClass</x:v>
      </x:c>
      <x:c r="L4" s="114" t="str">
        <x:v>High</x:v>
      </x:c>
      <x:c r="M4" s="111" t="str">
        <x:v>Conditional/applicability constraint</x:v>
      </x:c>
      <x:c r="N4" s="108" t="str">
        <x:v>Direct verification of a stated property, document, presence condition, enumeration, applicability rule, prohibition, or fixed limit.</x:v>
      </x:c>
      <x:c r="O4" s="113" t="str">
        <x:v>No</x:v>
      </x:c>
      <x:c r="P4" s="113" t="str">
        <x:v>Included - source reverified and locked</x:v>
      </x:c>
      <x:c r="Q4" s="108" t="str">
        <x:v>LOCK-2026-08-10: No source, page, clause, category, or normalized-meaning correction was required. Source wording was checked against the supplied PDF; equation notation is ASCII-linearized.</x:v>
      </x:c>
      <x:c r="R4" s="108" t="str">
        <x:v>LOCK-2026-08-11-R2 | source_pdf=TRAFICOM.pdf | source_sha256=8ab845347770c253433b8bad9b1fbe5d6ac71b3d07a1a28dae8a32cfde732ddc | physical_pdf_page=5 | section=Application of the 2010 Ice Class Regulations | clause=1.3 | checks=independent_full_text_page_layout; numbers_units_operators_equations; normalized_rule_meaning; five_category_classification | status=LOCKED</x:v>
      </x:c>
      <x:c r="S4" s="108" t="str">
        <x:v>No close match among the thesis repository's 90 input cases.</x:v>
      </x:c>
      <x:c r="T4" s="108" t="str">
        <x:v>PASS - source/page/clause/meaning/category reverified</x:v>
      </x:c>
      <x:c r="U4" s="108" t="str">
        <x:v>LOCKED - extraction reverified</x:v>
      </x:c>
      <x:c r="V4" s="112" t="str">
        <x:v>Second-pass extraction lock covers source identity, physical PDF page span, section/clause, ASCII transcription, normalized meaning, and verification category. SHACL shapes remain a separate implementation artifact.</x:v>
      </x:c>
      <x:c r="W4" s="112" t="str">
        <x:v>https://www.finlex.fi/en/authorities/regulations/traficom-transport-maritime/2021/47238</x:v>
      </x:c>
      <x:c r="X4" s="112" t="str">
        <x:v>iceClass</x:v>
      </x:c>
      <x:c r="Y4" s="112" t="str">
        <x:v>Conditional/applicability constraint; encode values with units and retain clause/page provenance.</x:v>
      </x:c>
    </x:row>
    <x:row r="5" ht="92" customHeight="1">
      <x:c r="A5" s="108" t="str">
        <x:v>TRF-004</x:v>
      </x:c>
      <x:c r="B5" s="108" t="str">
        <x:v>Ice Class Regulations and the Application Thereof</x:v>
      </x:c>
      <x:c r="C5" s="108" t="str">
        <x:v>TRAFICOM/68863/03.04.01.00/2021</x:v>
      </x:c>
      <x:c r="D5" s="163" t="n">
        <x:v>5</x:v>
      </x:c>
      <x:c r="E5" s="108" t="str">
        <x:v>Application of the 2008 Ice Class Regulations</x:v>
      </x:c>
      <x:c r="F5" s="108" t="str">
        <x:v>1.4</x:v>
      </x:c>
      <x:c r="G5" s="113" t="str">
        <x:v>Static</x:v>
      </x:c>
      <x:c r="H5" s="109" t="str">
        <x:v>The Ice Class Regulations of 2008 (8.12.2008 No. 2530/30/2008), issued by the Finnish Maritime Administration, apply to ships contracted for construction on or after 1 January 2010 but before 1 January 2012.</x:v>
      </x:c>
      <x:c r="I5" s="110" t="str">
        <x:v>The Ice Class Regulations of 2008 (8.12.2008 No. 2530/30/2008), issued by the Finnish Maritime Administration, apply to ships contracted for construction on or after 1 January 2010 but before 1 January 2012.</x:v>
      </x:c>
      <x:c r="J5" s="111" t="str">
        <x:v>iceClass</x:v>
      </x:c>
      <x:c r="K5" s="111" t="str">
        <x:v>iceClass</x:v>
      </x:c>
      <x:c r="L5" s="114" t="str">
        <x:v>Medium</x:v>
      </x:c>
      <x:c r="M5" s="111" t="str">
        <x:v>Conditional/applicability constraint</x:v>
      </x:c>
      <x:c r="N5" s="108" t="str">
        <x:v>Direct verification of a stated property, document, presence condition, enumeration, applicability rule, prohibition, or fixed limit.</x:v>
      </x:c>
      <x:c r="O5" s="113" t="str">
        <x:v>No</x:v>
      </x:c>
      <x:c r="P5" s="113" t="str">
        <x:v>Included - source reverified and locked</x:v>
      </x:c>
      <x:c r="Q5" s="108" t="str">
        <x:v>LOCK-2026-08-10: No source, page, clause, category, or normalized-meaning correction was required. Source wording was checked against the supplied PDF; equation notation is ASCII-linearized.</x:v>
      </x:c>
      <x:c r="R5" s="108" t="str">
        <x:v>LOCK-2026-08-11-R2 | source_pdf=TRAFICOM.pdf | source_sha256=8ab845347770c253433b8bad9b1fbe5d6ac71b3d07a1a28dae8a32cfde732ddc | physical_pdf_page=5 | section=Application of the 2008 Ice Class Regulations | clause=1.4 | checks=independent_full_text_page_layout; numbers_units_operators_equations; normalized_rule_meaning; five_category_classification | status=LOCKED</x:v>
      </x:c>
      <x:c r="S5" s="108" t="str">
        <x:v>No close match among the thesis repository's 90 input cases.</x:v>
      </x:c>
      <x:c r="T5" s="108" t="str">
        <x:v>PASS - source/page/clause/meaning/category reverified</x:v>
      </x:c>
      <x:c r="U5" s="108" t="str">
        <x:v>LOCKED - extraction reverified</x:v>
      </x:c>
      <x:c r="V5" s="112" t="str">
        <x:v>Second-pass extraction lock covers source identity, physical PDF page span, section/clause, ASCII transcription, normalized meaning, and verification category. SHACL shapes remain a separate implementation artifact.</x:v>
      </x:c>
      <x:c r="W5" s="112" t="str">
        <x:v>https://www.finlex.fi/en/authorities/regulations/traficom-transport-maritime/2021/47238</x:v>
      </x:c>
      <x:c r="X5" s="112" t="str">
        <x:v>iceClass</x:v>
      </x:c>
      <x:c r="Y5" s="112" t="str">
        <x:v>Conditional/applicability constraint; encode values with units and retain clause/page provenance.</x:v>
      </x:c>
    </x:row>
    <x:row r="6" ht="92" customHeight="1">
      <x:c r="A6" s="108" t="str">
        <x:v>TRF-005</x:v>
      </x:c>
      <x:c r="B6" s="108" t="str">
        <x:v>Ice Class Regulations and the Application Thereof</x:v>
      </x:c>
      <x:c r="C6" s="108" t="str">
        <x:v>TRAFICOM/68863/03.04.01.00/2021</x:v>
      </x:c>
      <x:c r="D6" s="163" t="n">
        <x:v>5</x:v>
      </x:c>
      <x:c r="E6" s="108" t="str">
        <x:v>Application of the 2002 Ice Class Regulations</x:v>
      </x:c>
      <x:c r="F6" s="108" t="str">
        <x:v>1.5</x:v>
      </x:c>
      <x:c r="G6" s="113" t="str">
        <x:v>Static</x:v>
      </x:c>
      <x:c r="H6" s="109"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I6" s="110"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J6" s="111" t="str">
        <x:v>iceClass</x:v>
      </x:c>
      <x:c r="K6" s="111" t="str">
        <x:v>iceClass</x:v>
      </x:c>
      <x:c r="L6" s="114" t="str">
        <x:v>Medium</x:v>
      </x:c>
      <x:c r="M6" s="111" t="str">
        <x:v>Conditional/applicability constraint</x:v>
      </x:c>
      <x:c r="N6" s="108" t="str">
        <x:v>Direct verification of a stated property, document, presence condition, enumeration, applicability rule, prohibition, or fixed limit.</x:v>
      </x:c>
      <x:c r="O6" s="113" t="str">
        <x:v>No</x:v>
      </x:c>
      <x:c r="P6" s="113" t="str">
        <x:v>Included - source reverified and locked</x:v>
      </x:c>
      <x:c r="Q6" s="108" t="str">
        <x:v>LOCK-2026-08-10: No source, page, clause, category, or normalized-meaning correction was required. Source wording was checked against the supplied PDF; equation notation is ASCII-linearized.</x:v>
      </x:c>
      <x:c r="R6" s="108" t="str">
        <x:v>LOCK-2026-08-11-R2 | source_pdf=TRAFICOM.pdf | source_sha256=8ab845347770c253433b8bad9b1fbe5d6ac71b3d07a1a28dae8a32cfde732ddc | physical_pdf_page=5 | section=Application of the 2002 Ice Class Regulations | clause=1.5 | checks=independent_full_text_page_layout; numbers_units_operators_equations; normalized_rule_meaning; five_category_classification | status=LOCKED</x:v>
      </x:c>
      <x:c r="S6" s="108" t="str">
        <x:v>No close match among the thesis repository's 90 input cases.</x:v>
      </x:c>
      <x:c r="T6" s="108" t="str">
        <x:v>PASS - source/page/clause/meaning/category reverified</x:v>
      </x:c>
      <x:c r="U6" s="108" t="str">
        <x:v>LOCKED - extraction reverified</x:v>
      </x:c>
      <x:c r="V6" s="112" t="str">
        <x:v>Second-pass extraction lock covers source identity, physical PDF page span, section/clause, ASCII transcription, normalized meaning, and verification category. SHACL shapes remain a separate implementation artifact.</x:v>
      </x:c>
      <x:c r="W6" s="112" t="str">
        <x:v>https://www.finlex.fi/en/authorities/regulations/traficom-transport-maritime/2021/47238</x:v>
      </x:c>
      <x:c r="X6" s="112" t="str">
        <x:v>iceClass</x:v>
      </x:c>
      <x:c r="Y6" s="112" t="str">
        <x:v>Conditional/applicability constraint; encode values with units and retain clause/page provenance.</x:v>
      </x:c>
    </x:row>
    <x:row r="7" ht="92" customHeight="1">
      <x:c r="A7" s="108" t="str">
        <x:v>TRF-006</x:v>
      </x:c>
      <x:c r="B7" s="108" t="str">
        <x:v>Ice Class Regulations and the Application Thereof</x:v>
      </x:c>
      <x:c r="C7" s="108" t="str">
        <x:v>TRAFICOM/68863/03.04.01.00/2021</x:v>
      </x:c>
      <x:c r="D7" s="163" t="n">
        <x:v>5</x:v>
      </x:c>
      <x:c r="E7" s="108" t="str">
        <x:v>Application of the 1985 Ice Class Rules</x:v>
      </x:c>
      <x:c r="F7" s="108" t="str">
        <x:v>1.6</x:v>
      </x:c>
      <x:c r="G7" s="113" t="str">
        <x:v>Static</x:v>
      </x:c>
      <x:c r="H7" s="109"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I7" s="110"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J7" s="111" t="str">
        <x:v>iceClass, mcrPower_kW</x:v>
      </x:c>
      <x:c r="K7" s="111" t="str">
        <x:v>iceClass, mcrPower_kW</x:v>
      </x:c>
      <x:c r="L7" s="114" t="str">
        <x:v>High</x:v>
      </x:c>
      <x:c r="M7" s="111" t="str">
        <x:v>Conditional/applicability constraint</x:v>
      </x:c>
      <x:c r="N7" s="108" t="str">
        <x:v>Direct verification of a stated property, document, presence condition, enumeration, applicability rule, prohibition, or fixed limit.</x:v>
      </x:c>
      <x:c r="O7" s="113" t="str">
        <x:v>No</x:v>
      </x:c>
      <x:c r="P7" s="113" t="str">
        <x:v>Included - source reverified and locked</x:v>
      </x:c>
      <x:c r="Q7" s="108" t="str">
        <x:v>LOCK-2026-08-10: No source, page, clause, category, or normalized-meaning correction was required. Source wording was checked against the supplied PDF; equation notation is ASCII-linearized.</x:v>
      </x:c>
      <x:c r="R7" s="108" t="str">
        <x:v>LOCK-2026-08-11-R2 | source_pdf=TRAFICOM.pdf | source_sha256=8ab845347770c253433b8bad9b1fbe5d6ac71b3d07a1a28dae8a32cfde732ddc | physical_pdf_page=5 | section=Application of the 1985 Ice Class Rules | clause=1.6 | checks=independent_full_text_page_layout; numbers_units_operators_equations; normalized_rule_meaning; five_category_classification | status=LOCKED</x:v>
      </x:c>
      <x:c r="S7" s="108" t="str">
        <x:v>05_static_brash_ice_thickness (Static)</x:v>
      </x:c>
      <x:c r="T7" s="108" t="str">
        <x:v>PASS - source/page/clause/meaning/category reverified</x:v>
      </x:c>
      <x:c r="U7" s="108" t="str">
        <x:v>LOCKED - extraction reverified</x:v>
      </x:c>
      <x:c r="V7" s="112" t="str">
        <x:v>Second-pass extraction lock covers source identity, physical PDF page span, section/clause, ASCII transcription, normalized meaning, and verification category. SHACL shapes remain a separate implementation artifact.</x:v>
      </x:c>
      <x:c r="W7" s="112" t="str">
        <x:v>https://www.finlex.fi/en/authorities/regulations/traficom-transport-maritime/2021/47238</x:v>
      </x:c>
      <x:c r="X7" s="112" t="str">
        <x:v>iceClass, mcrPower_kW</x:v>
      </x:c>
      <x:c r="Y7" s="112" t="str">
        <x:v>Conditional/applicability constraint; encode values with units and retain clause/page provenance.</x:v>
      </x:c>
    </x:row>
    <x:row r="8" ht="92" customHeight="1">
      <x:c r="A8" s="108" t="str">
        <x:v>TRF-007</x:v>
      </x:c>
      <x:c r="B8" s="108" t="str">
        <x:v>Ice Class Regulations and the Application Thereof</x:v>
      </x:c>
      <x:c r="C8" s="108" t="str">
        <x:v>TRAFICOM/68863/03.04.01.00/2021</x:v>
      </x:c>
      <x:c r="D8" s="163" t="n">
        <x:v>5</x:v>
      </x:c>
      <x:c r="E8" s="108" t="str">
        <x:v>Application of the 1985 Ice Class Rules</x:v>
      </x:c>
      <x:c r="F8" s="108" t="str">
        <x:v>1.6</x:v>
      </x:c>
      <x:c r="G8" s="113" t="str">
        <x:v>Static</x:v>
      </x:c>
      <x:c r="H8" s="109"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I8" s="110"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J8" s="111" t="str">
        <x:v>iceClass</x:v>
      </x:c>
      <x:c r="K8" s="111" t="str">
        <x:v>iceClass</x:v>
      </x:c>
      <x:c r="L8" s="114" t="str">
        <x:v>High</x:v>
      </x:c>
      <x:c r="M8" s="111" t="str">
        <x:v>Conditional/applicability constraint</x:v>
      </x:c>
      <x:c r="N8" s="108" t="str">
        <x:v>Direct verification of a stated property, document, presence condition, enumeration, applicability rule, prohibition, or fixed limit.</x:v>
      </x:c>
      <x:c r="O8" s="113" t="str">
        <x:v>No</x:v>
      </x:c>
      <x:c r="P8" s="113" t="str">
        <x:v>Included - source reverified and locked</x:v>
      </x:c>
      <x:c r="Q8" s="108" t="str">
        <x:v>LOCK-2026-08-10: No source, page, clause, category, or normalized-meaning correction was required. Source wording was checked against the supplied PDF; equation notation is ASCII-linearized.</x:v>
      </x:c>
      <x:c r="R8" s="108" t="str">
        <x:v>LOCK-2026-08-11-R2 | source_pdf=TRAFICOM.pdf | source_sha256=8ab845347770c253433b8bad9b1fbe5d6ac71b3d07a1a28dae8a32cfde732ddc | physical_pdf_page=5 | section=Application of the 1985 Ice Class Rules | clause=1.6 | checks=independent_full_text_page_layout; numbers_units_operators_equations; normalized_rule_meaning; five_category_classification | status=LOCKED</x:v>
      </x:c>
      <x:c r="S8" s="108" t="str">
        <x:v>05_static_brash_ice_thickness (Static)</x:v>
      </x:c>
      <x:c r="T8" s="108" t="str">
        <x:v>PASS - source/page/clause/meaning/category reverified</x:v>
      </x:c>
      <x:c r="U8" s="108" t="str">
        <x:v>LOCKED - extraction reverified</x:v>
      </x:c>
      <x:c r="V8" s="112" t="str">
        <x:v>Second-pass extraction lock covers source identity, physical PDF page span, section/clause, ASCII transcription, normalized meaning, and verification category. SHACL shapes remain a separate implementation artifact.</x:v>
      </x:c>
      <x:c r="W8" s="112" t="str">
        <x:v>https://www.finlex.fi/en/authorities/regulations/traficom-transport-maritime/2021/47238</x:v>
      </x:c>
      <x:c r="X8" s="112" t="str">
        <x:v>iceClass</x:v>
      </x:c>
      <x:c r="Y8" s="112" t="str">
        <x:v>Conditional/applicability constraint; encode values with units and retain clause/page provenance.</x:v>
      </x:c>
    </x:row>
    <x:row r="9" ht="92" customHeight="1">
      <x:c r="A9" s="108" t="str">
        <x:v>TRF-009</x:v>
      </x:c>
      <x:c r="B9" s="108" t="str">
        <x:v>Ice Class Regulations and the Application Thereof</x:v>
      </x:c>
      <x:c r="C9" s="108" t="str">
        <x:v>TRAFICOM/68863/03.04.01.00/2021</x:v>
      </x:c>
      <x:c r="D9" s="163" t="n">
        <x:v>6</x:v>
      </x:c>
      <x:c r="E9" s="108" t="str">
        <x:v>Application of the 1971 Ice Class Rules</x:v>
      </x:c>
      <x:c r="F9" s="108" t="str">
        <x:v>1.7</x:v>
      </x:c>
      <x:c r="G9" s="113" t="str">
        <x:v>Static</x:v>
      </x:c>
      <x:c r="H9" s="109"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I9" s="110"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J9" s="111" t="str">
        <x:v>iceClass</x:v>
      </x:c>
      <x:c r="K9" s="111" t="str">
        <x:v>iceClass</x:v>
      </x:c>
      <x:c r="L9" s="114" t="str">
        <x:v>High</x:v>
      </x:c>
      <x:c r="M9" s="111" t="str">
        <x:v>Conditional/applicability constraint</x:v>
      </x:c>
      <x:c r="N9" s="108" t="str">
        <x:v>Direct verification of a stated property, document, presence condition, enumeration, applicability rule, prohibition, or fixed limit.</x:v>
      </x:c>
      <x:c r="O9" s="113" t="str">
        <x:v>No</x:v>
      </x:c>
      <x:c r="P9" s="113" t="str">
        <x:v>Included - source reverified and locked</x:v>
      </x:c>
      <x:c r="Q9" s="108" t="str">
        <x:v>LOCK-2026-08-10: No source, page, clause, category, or normalized-meaning correction was required. Source wording was checked against the supplied PDF; equation notation is ASCII-linearized.</x:v>
      </x:c>
      <x:c r="R9" s="108" t="str">
        <x:v>LOCK-2026-08-11-R2 | source_pdf=TRAFICOM.pdf | source_sha256=8ab845347770c253433b8bad9b1fbe5d6ac71b3d07a1a28dae8a32cfde732ddc | physical_pdf_page=6 | section=Application of the 1971 Ice Class Rules | clause=1.7 | checks=independent_full_text_page_layout; numbers_units_operators_equations; normalized_rule_meaning; five_category_classification | status=LOCKED</x:v>
      </x:c>
      <x:c r="S9" s="108" t="str">
        <x:v>05_static_brash_ice_thickness (Static)</x:v>
      </x:c>
      <x:c r="T9" s="108" t="str">
        <x:v>PASS - source/page/clause/meaning/category reverified</x:v>
      </x:c>
      <x:c r="U9" s="108" t="str">
        <x:v>LOCKED - extraction reverified</x:v>
      </x:c>
      <x:c r="V9" s="112" t="str">
        <x:v>Second-pass extraction lock covers source identity, physical PDF page span, section/clause, ASCII transcription, normalized meaning, and verification category. SHACL shapes remain a separate implementation artifact.</x:v>
      </x:c>
      <x:c r="W9" s="112" t="str">
        <x:v>https://www.finlex.fi/en/authorities/regulations/traficom-transport-maritime/2021/47238</x:v>
      </x:c>
      <x:c r="X9" s="112" t="str">
        <x:v>iceClass</x:v>
      </x:c>
      <x:c r="Y9" s="112" t="str">
        <x:v>Conditional/applicability constraint; encode values with units and retain clause/page provenance.</x:v>
      </x:c>
    </x:row>
    <x:row r="10" ht="92" customHeight="1">
      <x:c r="A10" s="108" t="str">
        <x:v>TRF-010</x:v>
      </x:c>
      <x:c r="B10" s="108" t="str">
        <x:v>Ice Class Regulations and the Application Thereof</x:v>
      </x:c>
      <x:c r="C10" s="108" t="str">
        <x:v>TRAFICOM/68863/03.04.01.00/2021</x:v>
      </x:c>
      <x:c r="D10" s="163" t="n">
        <x:v>6</x:v>
      </x:c>
      <x:c r="E10" s="108" t="str">
        <x:v>Ice classes</x:v>
      </x:c>
      <x:c r="F10" s="108" t="str">
        <x:v>1.8</x:v>
      </x:c>
      <x:c r="G10" s="113" t="str">
        <x:v>Static</x:v>
      </x:c>
      <x:c r="H10" s="109" t="str">
        <x:v>Under section 3 of the Act on the Ice Classes of Ships and Icebreaker Assistance (1121/2005), ships are assigned to ice classes as follows:</x:v>
      </x:c>
      <x:c r="I10" s="110" t="str">
        <x:v>Under section 3 of the Act on the Ice Classes of Ships and Icebreaker Assistance (1121/2005), ships are assigned to ice classes IA Super, IA, IB, IC, II, or III.</x:v>
      </x:c>
      <x:c r="J10" s="111" t="str">
        <x:v>iceClass</x:v>
      </x:c>
      <x:c r="K10" s="111" t="str">
        <x:v>iceClass</x:v>
      </x:c>
      <x:c r="L10" s="114" t="str">
        <x:v>High</x:v>
      </x:c>
      <x:c r="M10" s="111" t="str">
        <x:v>Direct property/presence constraint</x:v>
      </x:c>
      <x:c r="N10" s="108" t="str">
        <x:v>Direct verification of a stated property, document, presence condition, enumeration, applicability rule, prohibition, or fixed limit.</x:v>
      </x:c>
      <x:c r="O10" s="113" t="str">
        <x:v>No</x:v>
      </x:c>
      <x:c r="P10" s="113" t="str">
        <x:v>Included - source reverified and locked</x:v>
      </x:c>
      <x:c r="Q10" s="108" t="str">
        <x:v>LOCK-2026-08-10: No source, page, clause, category, or normalized-meaning correction was required. Source wording was checked against the supplied PDF; equation notation is ASCII-linearized.</x:v>
      </x:c>
      <x:c r="R10" s="108" t="str">
        <x:v>LOCK-2026-08-11-R2 | source_pdf=TRAFICOM.pdf | source_sha256=8ab845347770c253433b8bad9b1fbe5d6ac71b3d07a1a28dae8a32cfde732ddc | physical_pdf_page=6 | section=Ice classes | clause=1.8 | checks=independent_full_text_page_layout; numbers_units_operators_equations; normalized_rule_meaning; five_category_classification | status=LOCKED</x:v>
      </x:c>
      <x:c r="S10" s="108" t="str">
        <x:v>04_static_ice_class_validity (Static)</x:v>
      </x:c>
      <x:c r="T10" s="108" t="str">
        <x:v>PASS - source/page/clause/meaning/category reverified</x:v>
      </x:c>
      <x:c r="U10" s="108" t="str">
        <x:v>LOCKED - extraction reverified</x:v>
      </x:c>
      <x:c r="V10" s="112" t="str">
        <x:v>Second-pass extraction lock covers source identity, physical PDF page span, section/clause, ASCII transcription, normalized meaning, and verification category. SHACL shapes remain a separate implementation artifact.</x:v>
      </x:c>
      <x:c r="W10" s="112" t="str">
        <x:v>https://www.finlex.fi/en/authorities/regulations/traficom-transport-maritime/2021/47238</x:v>
      </x:c>
      <x:c r="X10" s="112" t="str">
        <x:v>iceClass</x:v>
      </x:c>
      <x:c r="Y10" s="112" t="str">
        <x:v>Direct property/presence constraint; encode values with units and retain clause/page provenance.</x:v>
      </x:c>
    </x:row>
    <x:row r="11" ht="92" customHeight="1">
      <x:c r="A11" s="108" t="str">
        <x:v>TRF-011</x:v>
      </x:c>
      <x:c r="B11" s="108" t="str">
        <x:v>Ice Class Regulations and the Application Thereof</x:v>
      </x:c>
      <x:c r="C11" s="108" t="str">
        <x:v>TRAFICOM/68863/03.04.01.00/2021</x:v>
      </x:c>
      <x:c r="D11" s="163" t="n">
        <x:v>6</x:v>
      </x:c>
      <x:c r="E11" s="108" t="str">
        <x:v>Upper and lower ice waterlines</x:v>
      </x:c>
      <x:c r="F11" s="108" t="str">
        <x:v>2.1</x:v>
      </x:c>
      <x:c r="G11" s="113" t="str">
        <x:v>Static</x:v>
      </x:c>
      <x:c r="H11" s="109" t="str">
        <x:v>The upper ice waterline (UIWL) shall be the envelope of the highest points of the waterlines at which the ship is intended to operate in ice. The line may be a broken line.</x:v>
      </x:c>
      <x:c r="I11" s="110" t="str">
        <x:v>The upper ice waterline (UIWL) shall be the envelope of the highest points of the waterlines at which the ship is intended to operate in ice. The line may be a broken line.</x:v>
      </x:c>
      <x:c r="J11" s="111" t="str">
        <x:v>UIWL</x:v>
      </x:c>
      <x:c r="K11" s="111" t="str">
        <x:v>reg:UIWL</x:v>
      </x:c>
      <x:c r="L11" s="114" t="str">
        <x:v>High</x:v>
      </x:c>
      <x:c r="M11" s="111" t="str">
        <x:v>Direct property/presence constraint</x:v>
      </x:c>
      <x:c r="N11" s="108" t="str">
        <x:v>Direct verification of a stated property, document, presence condition, enumeration, applicability rule, prohibition, or fixed limit.</x:v>
      </x:c>
      <x:c r="O11" s="113" t="str">
        <x:v>No</x:v>
      </x:c>
      <x:c r="P11" s="113" t="str">
        <x:v>Included - source reverified and locked</x:v>
      </x:c>
      <x:c r="Q11" s="108" t="str">
        <x:v>LOCK-2026-08-10: No source, page, clause, category, or normalized-meaning correction was required. Source wording was checked against the supplied PDF; equation notation is ASCII-linearized.</x:v>
      </x:c>
      <x:c r="R11" s="108" t="str">
        <x:v>LOCK-2026-08-11-R2 | source_pdf=TRAFICOM.pdf | source_sha256=8ab845347770c253433b8bad9b1fbe5d6ac71b3d07a1a28dae8a32cfde732ddc | physical_pdf_page=6 | section=Upper and lower ice waterlines | clause=2.1 | checks=independent_full_text_page_layout; numbers_units_operators_equations; normalized_rule_meaning; five_category_classification | status=LOCKED</x:v>
      </x:c>
      <x:c r="S11" s="108" t="str">
        <x:v>No close match among the thesis repository's 90 input cases.</x:v>
      </x:c>
      <x:c r="T11" s="108" t="str">
        <x:v>PASS - source/page/clause/meaning/category reverified</x:v>
      </x:c>
      <x:c r="U11" s="108" t="str">
        <x:v>LOCKED - extraction reverified</x:v>
      </x:c>
      <x:c r="V11" s="112" t="str">
        <x:v>Second-pass extraction lock covers source identity, physical PDF page span, section/clause, ASCII transcription, normalized meaning, and verification category. SHACL shapes remain a separate implementation artifact.</x:v>
      </x:c>
      <x:c r="W11" s="112" t="str">
        <x:v>https://www.finlex.fi/en/authorities/regulations/traficom-transport-maritime/2021/47238</x:v>
      </x:c>
      <x:c r="X11" s="112" t="str">
        <x:v>UIWL</x:v>
      </x:c>
      <x:c r="Y11" s="112" t="str">
        <x:v>Direct property/presence constraint; encode values with units and retain clause/page provenance.</x:v>
      </x:c>
    </x:row>
    <x:row r="12" ht="92" customHeight="1">
      <x:c r="A12" s="108" t="str">
        <x:v>TRF-012</x:v>
      </x:c>
      <x:c r="B12" s="108" t="str">
        <x:v>Ice Class Regulations and the Application Thereof</x:v>
      </x:c>
      <x:c r="C12" s="108" t="str">
        <x:v>TRAFICOM/68863/03.04.01.00/2021</x:v>
      </x:c>
      <x:c r="D12" s="163" t="n">
        <x:v>6</x:v>
      </x:c>
      <x:c r="E12" s="108" t="str">
        <x:v>Upper and lower ice waterlines</x:v>
      </x:c>
      <x:c r="F12" s="108" t="str">
        <x:v>2.1</x:v>
      </x:c>
      <x:c r="G12" s="113" t="str">
        <x:v>Static</x:v>
      </x:c>
      <x:c r="H12" s="109" t="str">
        <x:v>The lower ice waterline (LIWL) shall be the envelope of the lowest points of the waterlines at which the ship is intended to operate in ice. The line may be a broken line.</x:v>
      </x:c>
      <x:c r="I12" s="110" t="str">
        <x:v>The lower ice waterline (LIWL) shall be the envelope of the lowest points of the waterlines at which the ship is intended to operate in ice. The line may be a broken line.</x:v>
      </x:c>
      <x:c r="J12" s="111" t="str">
        <x:v>LIWL</x:v>
      </x:c>
      <x:c r="K12" s="111" t="str">
        <x:v>reg:LIWL</x:v>
      </x:c>
      <x:c r="L12" s="114" t="str">
        <x:v>High</x:v>
      </x:c>
      <x:c r="M12" s="111" t="str">
        <x:v>Direct property/presence constraint</x:v>
      </x:c>
      <x:c r="N12" s="108" t="str">
        <x:v>Direct verification of a stated property, document, presence condition, enumeration, applicability rule, prohibition, or fixed limit.</x:v>
      </x:c>
      <x:c r="O12" s="113" t="str">
        <x:v>No</x:v>
      </x:c>
      <x:c r="P12" s="113" t="str">
        <x:v>Included - source reverified and locked</x:v>
      </x:c>
      <x:c r="Q12" s="108" t="str">
        <x:v>LOCK-2026-08-10: No source, page, clause, category, or normalized-meaning correction was required. Source wording was checked against the supplied PDF; equation notation is ASCII-linearized.</x:v>
      </x:c>
      <x:c r="R12" s="108" t="str">
        <x:v>LOCK-2026-08-11-R2 | source_pdf=TRAFICOM.pdf | source_sha256=8ab845347770c253433b8bad9b1fbe5d6ac71b3d07a1a28dae8a32cfde732ddc | physical_pdf_page=6 | section=Upper and lower ice waterlines | clause=2.1 | checks=independent_full_text_page_layout; numbers_units_operators_equations; normalized_rule_meaning; five_category_classification | status=LOCKED</x:v>
      </x:c>
      <x:c r="S12" s="108" t="str">
        <x:v>No close match among the thesis repository's 90 input cases.</x:v>
      </x:c>
      <x:c r="T12" s="108" t="str">
        <x:v>PASS - source/page/clause/meaning/category reverified</x:v>
      </x:c>
      <x:c r="U12" s="108" t="str">
        <x:v>LOCKED - extraction reverified</x:v>
      </x:c>
      <x:c r="V12" s="112" t="str">
        <x:v>Second-pass extraction lock covers source identity, physical PDF page span, section/clause, ASCII transcription, normalized meaning, and verification category. SHACL shapes remain a separate implementation artifact.</x:v>
      </x:c>
      <x:c r="W12" s="112" t="str">
        <x:v>https://www.finlex.fi/en/authorities/regulations/traficom-transport-maritime/2021/47238</x:v>
      </x:c>
      <x:c r="X12" s="112" t="str">
        <x:v>LIWL</x:v>
      </x:c>
      <x:c r="Y12" s="112" t="str">
        <x:v>Direct property/presence constraint; encode values with units and retain clause/page provenance.</x:v>
      </x:c>
    </x:row>
    <x:row r="13" ht="92" customHeight="1">
      <x:c r="A13" s="108" t="str">
        <x:v>TRF-013</x:v>
      </x:c>
      <x:c r="B13" s="108" t="str">
        <x:v>Ice Class Regulations and the Application Thereof</x:v>
      </x:c>
      <x:c r="C13" s="108" t="str">
        <x:v>TRAFICOM/68863/03.04.01.00/2021</x:v>
      </x:c>
      <x:c r="D13" s="163" t="n">
        <x:v>7</x:v>
      </x:c>
      <x:c r="E13" s="108" t="str">
        <x:v>Maximum and minimum draught fore and aft</x:v>
      </x:c>
      <x:c r="F13" s="108" t="str">
        <x:v>2.2</x:v>
      </x:c>
      <x:c r="G13" s="113" t="str">
        <x:v>Static</x:v>
      </x:c>
      <x:c r="H13" s="109"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I13" s="110"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J13" s="111" t="str">
        <x:v>iceClass</x:v>
      </x:c>
      <x:c r="K13" s="111" t="str">
        <x:v>iceClass</x:v>
      </x:c>
      <x:c r="L13" s="114" t="str">
        <x:v>High</x:v>
      </x:c>
      <x:c r="M13" s="111" t="str">
        <x:v>Conditional/applicability constraint</x:v>
      </x:c>
      <x:c r="N13" s="108" t="str">
        <x:v>Direct verification of a stated property, document, presence condition, enumeration, applicability rule, prohibition, or fixed limit.</x:v>
      </x:c>
      <x:c r="O13" s="113" t="str">
        <x:v>No</x:v>
      </x:c>
      <x:c r="P13" s="113" t="str">
        <x:v>Included - source reverified and locked</x:v>
      </x:c>
      <x:c r="Q13" s="108" t="str">
        <x:v>LOCK-2026-08-10: No source, page, clause, category, or normalized-meaning correction was required. Source wording was checked against the supplied PDF; equation notation is ASCII-linearized.</x:v>
      </x:c>
      <x:c r="R13" s="108" t="str">
        <x:v>LOCK-2026-08-11-R2 | source_pdf=TRAFICOM.pdf | source_sha256=8ab845347770c253433b8bad9b1fbe5d6ac71b3d07a1a28dae8a32cfde732ddc | physical_pdf_page=7 | section=Maximum and minimum draught fore and aft | clause=2.2 | checks=independent_full_text_page_layout; numbers_units_operators_equations; normalized_rule_meaning; five_category_classification | status=LOCKED</x:v>
      </x:c>
      <x:c r="S13" s="108" t="str">
        <x:v>No close match among the thesis repository's 90 input cases.</x:v>
      </x:c>
      <x:c r="T13" s="108" t="str">
        <x:v>PASS - source/page/clause/meaning/category reverified</x:v>
      </x:c>
      <x:c r="U13" s="108" t="str">
        <x:v>LOCKED - extraction reverified</x:v>
      </x:c>
      <x:c r="V13" s="112" t="str">
        <x:v>Second-pass extraction lock covers source identity, physical PDF page span, section/clause, ASCII transcription, normalized meaning, and verification category. SHACL shapes remain a separate implementation artifact.</x:v>
      </x:c>
      <x:c r="W13" s="112" t="str">
        <x:v>https://www.finlex.fi/en/authorities/regulations/traficom-transport-maritime/2021/47238</x:v>
      </x:c>
      <x:c r="X13" s="112" t="str">
        <x:v>iceClass</x:v>
      </x:c>
      <x:c r="Y13" s="112" t="str">
        <x:v>Conditional/applicability constraint; encode values with units and retain clause/page provenance.</x:v>
      </x:c>
    </x:row>
    <x:row r="14" ht="92" customHeight="1">
      <x:c r="A14" s="108" t="str">
        <x:v>TRF-014</x:v>
      </x:c>
      <x:c r="B14" s="108" t="str">
        <x:v>Ice Class Regulations and the Application Thereof</x:v>
      </x:c>
      <x:c r="C14" s="108" t="str">
        <x:v>TRAFICOM/68863/03.04.01.00/2021</x:v>
      </x:c>
      <x:c r="D14" s="163" t="n">
        <x:v>7</x:v>
      </x:c>
      <x:c r="E14" s="108" t="str">
        <x:v>Maximum and minimum draught fore and aft</x:v>
      </x:c>
      <x:c r="F14" s="108" t="str">
        <x:v>2.2</x:v>
      </x:c>
      <x:c r="G14" s="113" t="str">
        <x:v>Static</x:v>
      </x:c>
      <x:c r="H14" s="109"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I14" s="110"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J14" s="111" t="str">
        <x:v>iceClass, UIWL</x:v>
      </x:c>
      <x:c r="K14" s="111" t="str">
        <x:v>iceClass, reg:UIWL</x:v>
      </x:c>
      <x:c r="L14" s="114" t="str">
        <x:v>High</x:v>
      </x:c>
      <x:c r="M14" s="111" t="str">
        <x:v>Conditional/applicability constraint</x:v>
      </x:c>
      <x:c r="N14" s="108" t="str">
        <x:v>Direct verification of a stated property, document, presence condition, enumeration, applicability rule, prohibition, or fixed limit.</x:v>
      </x:c>
      <x:c r="O14" s="113" t="str">
        <x:v>No</x:v>
      </x:c>
      <x:c r="P14" s="113" t="str">
        <x:v>Included - source reverified and locked</x:v>
      </x:c>
      <x:c r="Q14" s="108" t="str">
        <x:v>LOCK-2026-08-10: No source, page, clause, category, or normalized-meaning correction was required. Source wording was checked against the supplied PDF; equation notation is ASCII-linearized.</x:v>
      </x:c>
      <x:c r="R14" s="108" t="str">
        <x:v>LOCK-2026-08-11-R2 | source_pdf=TRAFICOM.pdf | source_sha256=8ab845347770c253433b8bad9b1fbe5d6ac71b3d07a1a28dae8a32cfde732ddc | physical_pdf_page=7 | section=Maximum and minimum draught fore and aft | clause=2.2 | checks=independent_full_text_page_layout; numbers_units_operators_equations; normalized_rule_meaning; five_category_classification | status=LOCKED</x:v>
      </x:c>
      <x:c r="S14" s="108" t="str">
        <x:v>No close match among the thesis repository's 90 input cases.</x:v>
      </x:c>
      <x:c r="T14" s="108" t="str">
        <x:v>PASS - source/page/clause/meaning/category reverified</x:v>
      </x:c>
      <x:c r="U14" s="108" t="str">
        <x:v>LOCKED - extraction reverified</x:v>
      </x:c>
      <x:c r="V14" s="112" t="str">
        <x:v>Second-pass extraction lock covers source identity, physical PDF page span, section/clause, ASCII transcription, normalized meaning, and verification category. SHACL shapes remain a separate implementation artifact.</x:v>
      </x:c>
      <x:c r="W14" s="112" t="str">
        <x:v>https://www.finlex.fi/en/authorities/regulations/traficom-transport-maritime/2021/47238</x:v>
      </x:c>
      <x:c r="X14" s="112" t="str">
        <x:v>iceClass, UIWL</x:v>
      </x:c>
      <x:c r="Y14" s="112" t="str">
        <x:v>Conditional/applicability constraint; encode values with units and retain clause/page provenance.</x:v>
      </x:c>
    </x:row>
    <x:row r="15" ht="92" customHeight="1">
      <x:c r="A15" s="108" t="str">
        <x:v>TRF-015</x:v>
      </x:c>
      <x:c r="B15" s="108" t="str">
        <x:v>Ice Class Regulations and the Application Thereof</x:v>
      </x:c>
      <x:c r="C15" s="108" t="str">
        <x:v>TRAFICOM/68863/03.04.01.00/2021</x:v>
      </x:c>
      <x:c r="D15" s="163" t="n">
        <x:v>7</x:v>
      </x:c>
      <x:c r="E15" s="108" t="str">
        <x:v>Maximum and minimum draught fore and aft</x:v>
      </x:c>
      <x:c r="F15" s="108" t="str">
        <x:v>2.2</x:v>
      </x:c>
      <x:c r="G15" s="113" t="str">
        <x:v>Static</x:v>
      </x:c>
      <x:c r="H15" s="109" t="str">
        <x:v>The draught and trim, limited by the UIWL, must not be exceeded when the ship is navigating in ice. The salinity of the sea water along the intended route shall be taken into account when loading the ship.</x:v>
      </x:c>
      <x:c r="I15" s="110" t="str">
        <x:v>The draught and trim, limited by the UIWL, must not be exceeded when the ship is navigating in ice. The salinity of the sea water along the intended route shall be taken into account when loading the ship.</x:v>
      </x:c>
      <x:c r="J15" s="111" t="str">
        <x:v>UIWL</x:v>
      </x:c>
      <x:c r="K15" s="111" t="str">
        <x:v>reg:UIWL</x:v>
      </x:c>
      <x:c r="L15" s="114" t="str">
        <x:v>High</x:v>
      </x:c>
      <x:c r="M15" s="111" t="str">
        <x:v>Conditional/applicability constraint</x:v>
      </x:c>
      <x:c r="N15" s="108" t="str">
        <x:v>Direct verification of a stated property, document, presence condition, enumeration, applicability rule, prohibition, or fixed limit.</x:v>
      </x:c>
      <x:c r="O15" s="113" t="str">
        <x:v>No</x:v>
      </x:c>
      <x:c r="P15" s="113" t="str">
        <x:v>Included - source reverified and locked</x:v>
      </x:c>
      <x:c r="Q15" s="108" t="str">
        <x:v>LOCK-2026-08-10: No source, page, clause, category, or normalized-meaning correction was required. Source wording was checked against the supplied PDF; equation notation is ASCII-linearized.</x:v>
      </x:c>
      <x:c r="R15" s="108" t="str">
        <x:v>LOCK-2026-08-11-R2 | source_pdf=TRAFICOM.pdf | source_sha256=8ab845347770c253433b8bad9b1fbe5d6ac71b3d07a1a28dae8a32cfde732ddc | physical_pdf_page=7 | section=Maximum and minimum draught fore and aft | clause=2.2 | checks=independent_full_text_page_layout; numbers_units_operators_equations; normalized_rule_meaning; five_category_classification | status=LOCKED</x:v>
      </x:c>
      <x:c r="S15" s="108" t="str">
        <x:v>No close match among the thesis repository's 90 input cases.</x:v>
      </x:c>
      <x:c r="T15" s="108" t="str">
        <x:v>PASS - source/page/clause/meaning/category reverified</x:v>
      </x:c>
      <x:c r="U15" s="108" t="str">
        <x:v>LOCKED - extraction reverified</x:v>
      </x:c>
      <x:c r="V15" s="112" t="str">
        <x:v>Second-pass extraction lock covers source identity, physical PDF page span, section/clause, ASCII transcription, normalized meaning, and verification category. SHACL shapes remain a separate implementation artifact.</x:v>
      </x:c>
      <x:c r="W15" s="112" t="str">
        <x:v>https://www.finlex.fi/en/authorities/regulations/traficom-transport-maritime/2021/47238</x:v>
      </x:c>
      <x:c r="X15" s="112" t="str">
        <x:v>UIWL</x:v>
      </x:c>
      <x:c r="Y15" s="112" t="str">
        <x:v>Conditional/applicability constraint; encode values with units and retain clause/page provenance.</x:v>
      </x:c>
    </x:row>
    <x:row r="16" ht="92" customHeight="1">
      <x:c r="A16" s="108" t="str">
        <x:v>TRF-016</x:v>
      </x:c>
      <x:c r="B16" s="108" t="str">
        <x:v>Ice Class Regulations and the Application Thereof</x:v>
      </x:c>
      <x:c r="C16" s="108" t="str">
        <x:v>TRAFICOM/68863/03.04.01.00/2021</x:v>
      </x:c>
      <x:c r="D16" s="163" t="n">
        <x:v>7</x:v>
      </x:c>
      <x:c r="E16" s="108" t="str">
        <x:v>Maximum and minimum draught fore and aft</x:v>
      </x:c>
      <x:c r="F16" s="108" t="str">
        <x:v>2.2</x:v>
      </x:c>
      <x:c r="G16" s="113" t="str">
        <x:v>Static Calculation</x:v>
      </x:c>
      <x:c r="H16" s="109" t="str">
        <x:v>The ship shall always be loaded down at least to the draught of LIWL amidships when navigating in ice. Any ballast tank, situated above the LIWL and needed to load down the ship to this water line, shall be equipped with devices to prevent the water from freezing. In determining the LIWL, regard shall be paid to the need to ensure a reasonable degree of ice-going capability in ballast. The highest point of the propeller shall be submerged and if possible at a depth of at least h_i below the water surface in all loading conditions. The forward draught shall be at least (2 + 0.00025*Delta)*h_i [m], but need not exceed 4*h_i (2.1), where Delta is the displacement of the ship [t] determined from the waterline on the UIWL (see section 2.1). Where multiple waterlines are used for determining the UIWL, the displacement must be determined from the waterline corresponding to the greatest displacement. h_i is the level ice thickness [m] according to section 4.2.1.</x:v>
      </x:c>
      <x:c r="I16" s="110"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J16" s="111" t="str">
        <x:v>UIWL, LIWL</x:v>
      </x:c>
      <x:c r="K16" s="111" t="str">
        <x:v>reg:UIWL, reg:LIWL</x:v>
      </x:c>
      <x:c r="L16" s="114" t="str">
        <x:v>High</x:v>
      </x:c>
      <x:c r="M16" s="111" t="str">
        <x:v>Formula-derived constraint</x:v>
      </x:c>
      <x:c r="N16" s="108" t="str">
        <x:v>Deterministic calculation from static design inputs followed by a numeric or logical comparison.</x:v>
      </x:c>
      <x:c r="O16" s="113" t="str">
        <x:v>No</x:v>
      </x:c>
      <x:c r="P16" s="113" t="str">
        <x:v>Included - source reverified and locked</x:v>
      </x:c>
      <x:c r="Q16" s="108" t="str">
        <x:v>LOCK-2026-08-10: Restored the multiple-UIWL displacement condition and clarified the equation lineage. Final source lock check completed against the supplied PDF; equation notation is ASCII-linearized.</x:v>
      </x:c>
      <x:c r="R16" s="108" t="str">
        <x:v>LOCK-2026-08-11-R2 | source_pdf=TRAFICOM.pdf | source_sha256=8ab845347770c253433b8bad9b1fbe5d6ac71b3d07a1a28dae8a32cfde732ddc | physical_pdf_page=7 | section=Maximum and minimum draught fore and aft | clause=2.2 | checks=independent_full_text_page_layout; numbers_units_operators_equations; normalized_rule_meaning; five_category_classification | status=LOCKED</x:v>
      </x:c>
      <x:c r="S16" s="108" t="str">
        <x:v>26_staticcalculation_forward_draught (static_calculation); 29_staticcalculation_propeller_submersion (static_calculation); 60_complex_propeller_diameter (Complex)</x:v>
      </x:c>
      <x:c r="T16" s="108" t="str">
        <x:v>PASS - source/page/clause/meaning/category reverified</x:v>
      </x:c>
      <x:c r="U16" s="108" t="str">
        <x:v>LOCKED - extraction reverified</x:v>
      </x:c>
      <x:c r="V16" s="112" t="str">
        <x:v>Second-pass extraction lock covers source identity, physical PDF page span, section/clause, ASCII transcription, normalized meaning, and verification category. SHACL shapes remain a separate implementation artifact.</x:v>
      </x:c>
      <x:c r="W16" s="112" t="str">
        <x:v>https://www.finlex.fi/en/authorities/regulations/traficom-transport-maritime/2021/47238</x:v>
      </x:c>
      <x:c r="X16" s="112" t="str">
        <x:v>UIWL, LIWL</x:v>
      </x:c>
      <x:c r="Y16" s="112" t="str">
        <x:v>Formula-derived constraint; encode values with units and retain clause/page provenance.</x:v>
      </x:c>
    </x:row>
    <x:row r="17" ht="92" customHeight="1">
      <x:c r="A17" s="108" t="str">
        <x:v>TRF-017</x:v>
      </x:c>
      <x:c r="B17" s="108" t="str">
        <x:v>Ice Class Regulations and the Application Thereof</x:v>
      </x:c>
      <x:c r="C17" s="108" t="str">
        <x:v>TRAFICOM/68863/03.04.01.00/2021</x:v>
      </x:c>
      <x:c r="D17" s="163" t="n">
        <x:v>7</x:v>
      </x:c>
      <x:c r="E17" s="108" t="str">
        <x:v>Definition of engine output</x:v>
      </x:c>
      <x:c r="F17" s="108" t="str">
        <x:v>3.1</x:v>
      </x:c>
      <x:c r="G17" s="113" t="str">
        <x:v>Static</x:v>
      </x:c>
      <x:c r="H17" s="109" t="str">
        <x:v>The engine output P is the total maximum output the propulsion machinery can continuously deliver to the propeller(s). If the output of the machinery is restricted by technical means or by any regulations applicable to the ship, P shall be taken as the restricted output. If additional power sources are available for propulsion power (e.g. shaft motors), in addition to the power of the main engine(s), they shall also be included in the total engine output.</x:v>
      </x:c>
      <x:c r="I17" s="110" t="str">
        <x:v>The engine output P is the maximum output the propulsion machinery can continuously deliver to the propeller(s). If the output is restricted by technical means or regulations, P shall be taken as the restricted output.</x:v>
      </x:c>
      <x:c r="J17" s="111" t="str">
        <x:v>mcrPower_kW</x:v>
      </x:c>
      <x:c r="K17" s="111" t="str">
        <x:v>mcrPower_kW</x:v>
      </x:c>
      <x:c r="L17" s="114" t="str">
        <x:v>High</x:v>
      </x:c>
      <x:c r="M17" s="111" t="str">
        <x:v>Conditional/applicability constraint</x:v>
      </x:c>
      <x:c r="N17" s="108" t="str">
        <x:v>Direct verification of a stated property, document, presence condition, enumeration, applicability rule, prohibition, or fixed limit.</x:v>
      </x:c>
      <x:c r="O17" s="113" t="str">
        <x:v>No</x:v>
      </x:c>
      <x:c r="P17" s="113" t="str">
        <x:v>Included - source reverified and locked</x:v>
      </x:c>
      <x:c r="Q17" s="108" t="str">
        <x:v>LOCK-2026-08-10: No source, page, clause, category, or normalized-meaning correction was required. Source wording was checked against the supplied PDF; equation notation is ASCII-linearized.</x:v>
      </x:c>
      <x:c r="R17" s="108" t="str">
        <x:v>LOCK-2026-08-11-R2 | source_pdf=TRAFICOM.pdf | source_sha256=8ab845347770c253433b8bad9b1fbe5d6ac71b3d07a1a28dae8a32cfde732ddc | physical_pdf_page=7 | section=Definition of engine output | clause=3.1 | checks=independent_full_text_page_layout; numbers_units_operators_equations; normalized_rule_meaning; five_category_classification | status=LOCKED</x:v>
      </x:c>
      <x:c r="S17" s="108" t="str">
        <x:v>61_complex_engine_output_definition (Complex); 60_complex_propeller_diameter (Complex)</x:v>
      </x:c>
      <x:c r="T17" s="108" t="str">
        <x:v>PASS - source/page/clause/meaning/category reverified</x:v>
      </x:c>
      <x:c r="U17" s="108" t="str">
        <x:v>LOCKED - extraction reverified</x:v>
      </x:c>
      <x:c r="V17" s="112" t="str">
        <x:v>Second-pass extraction lock covers source identity, physical PDF page span, section/clause, ASCII transcription, normalized meaning, and verification category. SHACL shapes remain a separate implementation artifact.</x:v>
      </x:c>
      <x:c r="W17" s="112" t="str">
        <x:v>https://www.finlex.fi/en/authorities/regulations/traficom-transport-maritime/2021/47238</x:v>
      </x:c>
      <x:c r="X17" s="112" t="str">
        <x:v>mcrPower_kW</x:v>
      </x:c>
      <x:c r="Y17" s="112" t="str">
        <x:v>Conditional/applicability constraint; encode values with units and retain clause/page provenance.</x:v>
      </x:c>
    </x:row>
    <x:row r="18" ht="92" customHeight="1">
      <x:c r="A18" s="108" t="str">
        <x:v>TRF-018</x:v>
      </x:c>
      <x:c r="B18" s="108" t="str">
        <x:v>Ice Class Regulations and the Application Thereof</x:v>
      </x:c>
      <x:c r="C18" s="108" t="str">
        <x:v>TRAFICOM/68863/03.04.01.00/2021</x:v>
      </x:c>
      <x:c r="D18" s="163" t="n">
        <x:v>8</x:v>
      </x:c>
      <x:c r="E18" s="108" t="str">
        <x:v>Required engine output for ice classes IA Super, IA, IB and IC</x:v>
      </x:c>
      <x:c r="F18" s="108" t="str">
        <x:v>3.2</x:v>
      </x:c>
      <x:c r="G18" s="113" t="str">
        <x:v>Static Calculation</x:v>
      </x:c>
      <x:c r="H18" s="109" t="str">
        <x:v>The engine output shall not be less than that determined by the formula below and in no case less than 1,000 kW for ice class IA, IB and IC, and no less than 2,800 kW for IA Super.</x:v>
      </x:c>
      <x:c r="I18" s="110" t="str">
        <x:v>IF iceClass IN {'IA','IB','IC'}, THEN mcrPower_kW &gt;= max(calculated_required_power_kW, 1000). IF iceClass = 'IA Super', THEN mcrPower_kW &gt;= max(calculated_required_power_kW, 2800).</x:v>
      </x:c>
      <x:c r="J18" s="111" t="str">
        <x:v>iceClass, mcrPower_kW</x:v>
      </x:c>
      <x:c r="K18" s="111" t="str">
        <x:v>iceClass, mcrPower_kW</x:v>
      </x:c>
      <x:c r="L18" s="114" t="str">
        <x:v>High</x:v>
      </x:c>
      <x:c r="M18" s="111" t="str">
        <x:v>Formula-derived constraint</x:v>
      </x:c>
      <x:c r="N18" s="108" t="str">
        <x:v>Deterministic calculation from static design inputs followed by a numeric or logical comparison.</x:v>
      </x:c>
      <x:c r="O18" s="113" t="str">
        <x:v>No</x:v>
      </x:c>
      <x:c r="P18" s="113" t="str">
        <x:v>Included - source reverified and locked</x:v>
      </x:c>
      <x:c r="Q18" s="108" t="str">
        <x:v>LOCK-2026-08-10: Replaced an unrelated 1985-rule normalization with the correct 1000 kW and 2800 kW limits. Final source lock check completed against the supplied PDF; equation notation is ASCII-linearized.</x:v>
      </x:c>
      <x:c r="R18" s="108" t="str">
        <x:v>LOCK-2026-08-11-R2 | source_pdf=TRAFICOM.pdf | source_sha256=8ab845347770c253433b8bad9b1fbe5d6ac71b3d07a1a28dae8a32cfde732ddc | physical_pdf_page=8 | section=Required engine output for ice classes IA Super, IA, IB and IC | clause=3.2 | checks=independent_full_text_page_layout; numbers_units_operators_equations; normalized_rule_meaning; five_category_classification | status=LOCKED</x:v>
      </x:c>
      <x:c r="S18" s="108" t="str">
        <x:v>13_static_existing_ib_ic_min_power_740 (Static); 05_static_brash_ice_thickness (Static); 44_complex_engine_power_both_draughts (Complex)</x:v>
      </x:c>
      <x:c r="T18" s="108" t="str">
        <x:v>PASS - source/page/clause/meaning/category reverified</x:v>
      </x:c>
      <x:c r="U18" s="108" t="str">
        <x:v>LOCKED - extraction reverified</x:v>
      </x:c>
      <x:c r="V18" s="112" t="str">
        <x:v>Second-pass extraction lock covers source identity, physical PDF page span, section/clause, ASCII transcription, normalized meaning, and verification category. SHACL shapes remain a separate implementation artifact.</x:v>
      </x:c>
      <x:c r="W18" s="112" t="str">
        <x:v>https://www.finlex.fi/en/authorities/regulations/traficom-transport-maritime/2021/47238</x:v>
      </x:c>
      <x:c r="X18" s="112" t="str">
        <x:v>iceClass, mcrPower_kW</x:v>
      </x:c>
      <x:c r="Y18" s="112" t="str">
        <x:v>Formula-derived constraint; encode values with units and retain clause/page provenance.</x:v>
      </x:c>
    </x:row>
    <x:row r="19" ht="92" customHeight="1">
      <x:c r="A19" s="108" t="str">
        <x:v>TRF-020</x:v>
      </x:c>
      <x:c r="B19" s="108" t="str">
        <x:v>Ice Class Regulations and the Application Thereof</x:v>
      </x:c>
      <x:c r="C19" s="108" t="str">
        <x:v>TRAFICOM/68863/03.04.01.00/2021</x:v>
      </x:c>
      <x:c r="D19" s="163" t="str">
        <x:v>8-9</x:v>
      </x:c>
      <x:c r="E19" s="108" t="str">
        <x:v>New ships</x:v>
      </x:c>
      <x:c r="F19" s="108" t="str">
        <x:v>3.2.2</x:v>
      </x:c>
      <x:c r="G19" s="113" t="str">
        <x:v>Static Calculation</x:v>
      </x:c>
      <x:c r="H19" s="109" t="str">
        <x:v>To qualify for ice class IA Super, IA, IB or IC, a ship the keel of which is laid or which is at a similar stage of construction on or after 1 September 2003 shall comply with the following requirements regarding its engine output. The engine output requirement shall be calculated for two draughts by formula 3.1. Draughts to be used are the maximum draught amidships referred to as UIWL and the minimum draught amidships referred to as LIWL, as defined in section 2.2. In the calculations, the ship's parameters which depend on the draught must be determined at the appropriate draught, but L and B must be determined only at the UIWL. The engine output shall be no less than the greater of these two outputs. P_min = K_e*(R_CH/1000)^(3/2)/D_p [kW] (3.1), where K_e shall be given a value according to Table 3-1.</x:v>
      </x:c>
      <x:c r="I19" s="110"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x:v>
      </x:c>
      <x:c r="J19" s="111" t="str">
        <x:v>iceClass, mcrPower_kW, D_m, UIWL, LIWL</x:v>
      </x:c>
      <x:c r="K19" s="111" t="str">
        <x:v>iceClass, mcrPower_kW, D_m, reg:UIWL, reg:LIWL</x:v>
      </x:c>
      <x:c r="L19" s="114" t="str">
        <x:v>Medium</x:v>
      </x:c>
      <x:c r="M19" s="111" t="str">
        <x:v>Table-lookup plus constraint</x:v>
      </x:c>
      <x:c r="N19" s="108" t="str">
        <x:v>Deterministic calculation from static design inputs followed by a numeric or logical comparison.</x:v>
      </x:c>
      <x:c r="O19" s="113" t="str">
        <x:v>No</x:v>
      </x:c>
      <x:c r="P19" s="113" t="str">
        <x:v>Included - source reverified and locked</x:v>
      </x:c>
      <x:c r="Q19" s="108" t="str">
        <x:v>LOCK-2026-08-10: Restored the missing physical page range and the construction-date applicability condition. Final source lock check completed against the supplied PDF; equation notation is ASCII-linearized.</x:v>
      </x:c>
      <x:c r="R19" s="108" t="str">
        <x:v>LOCK-2026-08-11-R2 | source_pdf=TRAFICOM.pdf | source_sha256=8ab845347770c253433b8bad9b1fbe5d6ac71b3d07a1a28dae8a32cfde732ddc | physical_pdf_page=8-9 | section=New ships | clause=3.2.2 | checks=independent_full_text_page_layout; numbers_units_operators_equations; normalized_rule_meaning; five_category_classification | status=LOCKED</x:v>
      </x:c>
      <x:c r="S19" s="108" t="str">
        <x:v>43_complex_pmin_formula (Complex); 44_complex_engine_power_both_draughts (Complex); 05_static_brash_ice_thickness (Static)</x:v>
      </x:c>
      <x:c r="T19" s="108" t="str">
        <x:v>PASS - source/page/clause/meaning/category reverified</x:v>
      </x:c>
      <x:c r="U19" s="108" t="str">
        <x:v>LOCKED - extraction reverified</x:v>
      </x:c>
      <x:c r="V19" s="112" t="str">
        <x:v>Second-pass extraction lock covers source identity, physical PDF page span, section/clause, ASCII transcription, normalized meaning, and verification category. SHACL shapes remain a separate implementation artifact.</x:v>
      </x:c>
      <x:c r="W19" s="112" t="str">
        <x:v>https://www.finlex.fi/en/authorities/regulations/traficom-transport-maritime/2021/47238</x:v>
      </x:c>
      <x:c r="X19" s="112" t="str">
        <x:v>iceClass, mcrPower_kW, D_m, UIWL, LIWL</x:v>
      </x:c>
      <x:c r="Y19" s="112" t="str">
        <x:v>Table-lookup plus constraint; encode values with units and retain clause/page provenance.</x:v>
      </x:c>
    </x:row>
    <x:row r="20" ht="92" customHeight="1">
      <x:c r="A20" s="108" t="str">
        <x:v>TRF-022</x:v>
      </x:c>
      <x:c r="B20" s="108" t="str">
        <x:v>Ice Class Regulations and the Application Thereof</x:v>
      </x:c>
      <x:c r="C20" s="108" t="str">
        <x:v>TRAFICOM/68863/03.04.01.00/2021</x:v>
      </x:c>
      <x:c r="D20" s="163" t="n">
        <x:v>10</x:v>
      </x:c>
      <x:c r="E20" s="108" t="str">
        <x:v>New ships</x:v>
      </x:c>
      <x:c r="F20" s="108" t="str">
        <x:v>3.2.2</x:v>
      </x:c>
      <x:c r="G20" s="113" t="str">
        <x:v>Static Calculation</x:v>
      </x:c>
      <x:c r="H20" s="109" t="str">
        <x:v>Coefficients f_1-f_4 and g_1-g_3 are given in Table 3-2. C_3 = 845 kg/(m^2*s^2), C_4 = 42 kg/(m^2*s^2), C_5 = 825 kg/s^2. psi = atan(tan(phi_2)/sin(alpha)). If the value of the term ((L*T)/B^2)^3 is less than 5, the value 5 shall be used; if the value is more than 20, the value 20 shall be used.</x:v>
      </x:c>
      <x:c r="I20" s="110" t="str">
        <x:v>Set C_3 = 845 kg/(m^2*s^2), C_4 = 42 kg/(m^2*s^2), C_5 = 825 kg/s^2 and psi = atan(tan(phi_2)/sin(alpha)). Clamp ((L*T)/B^2)^3 to the inclusive interval [5, 20].</x:v>
      </x:c>
      <x:c r="J20" s="111" t="str">
        <x:v>phi2, psi</x:v>
      </x:c>
      <x:c r="K20" s="111" t="str">
        <x:v>reg:phi2, reg:psi</x:v>
      </x:c>
      <x:c r="L20" s="114" t="str">
        <x:v>Medium</x:v>
      </x:c>
      <x:c r="M20" s="111" t="str">
        <x:v>Table-lookup plus constraint</x:v>
      </x:c>
      <x:c r="N20" s="108" t="str">
        <x:v>Deterministic calculation from static design inputs followed by a numeric or logical comparison.</x:v>
      </x:c>
      <x:c r="O20" s="113" t="str">
        <x:v>No</x:v>
      </x:c>
      <x:c r="P20" s="113" t="str">
        <x:v>Included - source reverified and locked</x:v>
      </x:c>
      <x:c r="Q20" s="108" t="str">
        <x:v>LOCK-2026-08-10: Corrected the interval typo [5.20] to [5, 20] and classified the deterministic rule as Static Calculation. Final source lock check completed against the supplied PDF; equation notation is ASCII-linearized.</x:v>
      </x:c>
      <x:c r="R20" s="108" t="str">
        <x:v>LOCK-2026-08-11-R2 | source_pdf=TRAFICOM.pdf | source_sha256=8ab845347770c253433b8bad9b1fbe5d6ac71b3d07a1a28dae8a32cfde732ddc | physical_pdf_page=10 | section=New ships | clause=3.2.2 | checks=independent_full_text_page_layout; numbers_units_operators_equations; normalized_rule_meaning; five_category_classification | status=LOCKED</x:v>
      </x:c>
      <x:c r="S20" s="108" t="str">
        <x:v>03_static_ltb2_clamping (Static); 33_staticcalculation_ph_minimum_stringer (static_calculation); 43_complex_pmin_formula (Complex)</x:v>
      </x:c>
      <x:c r="T20" s="108" t="str">
        <x:v>PASS - source/page/clause/meaning/category reverified</x:v>
      </x:c>
      <x:c r="U20" s="108" t="str">
        <x:v>LOCKED - extraction reverified</x:v>
      </x:c>
      <x:c r="V20" s="112" t="str">
        <x:v>Second-pass extraction lock covers source identity, physical PDF page span, section/clause, ASCII transcription, normalized meaning, and verification category. SHACL shapes remain a separate implementation artifact.</x:v>
      </x:c>
      <x:c r="W20" s="112" t="str">
        <x:v>https://www.finlex.fi/en/authorities/regulations/traficom-transport-maritime/2021/47238</x:v>
      </x:c>
      <x:c r="X20" s="112" t="str">
        <x:v>phi2, psi</x:v>
      </x:c>
      <x:c r="Y20" s="112" t="str">
        <x:v>Table-lookup plus constraint; encode values with units and retain clause/page provenance.</x:v>
      </x:c>
    </x:row>
    <x:row r="21" ht="92" customHeight="1">
      <x:c r="A21" s="108" t="str">
        <x:v>TRF-023</x:v>
      </x:c>
      <x:c r="B21" s="108" t="str">
        <x:v>Ice Class Regulations and the Application Thereof</x:v>
      </x:c>
      <x:c r="C21" s="108" t="str">
        <x:v>TRAFICOM/68863/03.04.01.00/2021</x:v>
      </x:c>
      <x:c r="D21" s="163" t="n">
        <x:v>10</x:v>
      </x:c>
      <x:c r="E21" s="108" t="str">
        <x:v>Existing ships of ice class IB or IC</x:v>
      </x:c>
      <x:c r="F21" s="108" t="str">
        <x:v>3.2.3</x:v>
      </x:c>
      <x:c r="G21" s="113" t="str">
        <x:v>Static</x:v>
      </x:c>
      <x:c r="H21" s="109"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I21" s="110"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J21" s="111" t="str">
        <x:v>iceClass, mcrPower_kW</x:v>
      </x:c>
      <x:c r="K21" s="111" t="str">
        <x:v>iceClass, mcrPower_kW</x:v>
      </x:c>
      <x:c r="L21" s="114" t="str">
        <x:v>High</x:v>
      </x:c>
      <x:c r="M21" s="111" t="str">
        <x:v>Conditional/applicability constraint</x:v>
      </x:c>
      <x:c r="N21" s="108" t="str">
        <x:v>Direct verification of a stated property, document, presence condition, enumeration, applicability rule, prohibition, or fixed limit.</x:v>
      </x:c>
      <x:c r="O21" s="113" t="str">
        <x:v>No</x:v>
      </x:c>
      <x:c r="P21" s="113" t="str">
        <x:v>Included - source reverified and locked</x:v>
      </x:c>
      <x:c r="Q21" s="108" t="str">
        <x:v>LOCK-2026-08-10: No source, page, clause, category, or normalized-meaning correction was required. Source wording was checked against the supplied PDF; equation notation is ASCII-linearized.</x:v>
      </x:c>
      <x:c r="R21" s="108" t="str">
        <x:v>LOCK-2026-08-11-R2 | source_pdf=TRAFICOM.pdf | source_sha256=8ab845347770c253433b8bad9b1fbe5d6ac71b3d07a1a28dae8a32cfde732ddc | physical_pdf_page=10 | section=Existing ships of ice class IB or IC | clause=3.2.3 | checks=independent_full_text_page_layout; numbers_units_operators_equations; normalized_rule_meaning; five_category_classification | status=LOCKED</x:v>
      </x:c>
      <x:c r="S21" s="108" t="str">
        <x:v>13_static_existing_ib_ic_min_power_740 (Static); 05_static_brash_ice_thickness (Static)</x:v>
      </x:c>
      <x:c r="T21" s="108" t="str">
        <x:v>PASS - source/page/clause/meaning/category reverified</x:v>
      </x:c>
      <x:c r="U21" s="108" t="str">
        <x:v>LOCKED - extraction reverified</x:v>
      </x:c>
      <x:c r="V21" s="112" t="str">
        <x:v>Second-pass extraction lock covers source identity, physical PDF page span, section/clause, ASCII transcription, normalized meaning, and verification category. SHACL shapes remain a separate implementation artifact.</x:v>
      </x:c>
      <x:c r="W21" s="112" t="str">
        <x:v>https://www.finlex.fi/en/authorities/regulations/traficom-transport-maritime/2021/47238</x:v>
      </x:c>
      <x:c r="X21" s="112" t="str">
        <x:v>iceClass, mcrPower_kW</x:v>
      </x:c>
      <x:c r="Y21" s="112" t="str">
        <x:v>Conditional/applicability constraint; encode values with units and retain clause/page provenance.</x:v>
      </x:c>
    </x:row>
    <x:row r="22" ht="92" customHeight="1">
      <x:c r="A22" s="108" t="str">
        <x:v>TRF-024</x:v>
      </x:c>
      <x:c r="B22" s="108" t="str">
        <x:v>Ice Class Regulations and the Application Thereof</x:v>
      </x:c>
      <x:c r="C22" s="108" t="str">
        <x:v>TRAFICOM/68863/03.04.01.00/2021</x:v>
      </x:c>
      <x:c r="D22" s="163" t="n">
        <x:v>10</x:v>
      </x:c>
      <x:c r="E22" s="108" t="str">
        <x:v>Existing ships of ice class IA Super or IA</x:v>
      </x:c>
      <x:c r="F22" s="108" t="str">
        <x:v>3.2.4</x:v>
      </x:c>
      <x:c r="G22" s="113" t="str">
        <x:v>Static</x:v>
      </x:c>
      <x:c r="H22" s="109"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I22" s="110"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J22" s="111" t="str">
        <x:v>iceClass</x:v>
      </x:c>
      <x:c r="K22" s="111" t="str">
        <x:v>iceClass</x:v>
      </x:c>
      <x:c r="L22" s="114" t="str">
        <x:v>High</x:v>
      </x:c>
      <x:c r="M22" s="111" t="str">
        <x:v>Conditional/applicability constraint</x:v>
      </x:c>
      <x:c r="N22" s="108" t="str">
        <x:v>Direct verification of a stated property, document, presence condition, enumeration, applicability rule, prohibition, or fixed limit.</x:v>
      </x:c>
      <x:c r="O22" s="113" t="str">
        <x:v>No</x:v>
      </x:c>
      <x:c r="P22" s="113" t="str">
        <x:v>Included - source reverified and locked</x:v>
      </x:c>
      <x:c r="Q22" s="108" t="str">
        <x:v>LOCK-2026-08-10: No source, page, clause, category, or normalized-meaning correction was required. Source wording was checked against the supplied PDF; equation notation is ASCII-linearized.</x:v>
      </x:c>
      <x:c r="R22" s="108" t="str">
        <x:v>LOCK-2026-08-11-R2 | source_pdf=TRAFICOM.pdf | source_sha256=8ab845347770c253433b8bad9b1fbe5d6ac71b3d07a1a28dae8a32cfde732ddc | physical_pdf_page=10 | section=Existing ships of ice class IA Super or IA | clause=3.2.4 | checks=independent_full_text_page_layout; numbers_units_operators_equations; normalized_rule_meaning; five_category_classification | status=LOCKED</x:v>
      </x:c>
      <x:c r="S22" s="108" t="str">
        <x:v>05_static_brash_ice_thickness (Static)</x:v>
      </x:c>
      <x:c r="T22" s="108" t="str">
        <x:v>PASS - source/page/clause/meaning/category reverified</x:v>
      </x:c>
      <x:c r="U22" s="108" t="str">
        <x:v>LOCKED - extraction reverified</x:v>
      </x:c>
      <x:c r="V22" s="112" t="str">
        <x:v>Second-pass extraction lock covers source identity, physical PDF page span, section/clause, ASCII transcription, normalized meaning, and verification category. SHACL shapes remain a separate implementation artifact.</x:v>
      </x:c>
      <x:c r="W22" s="112" t="str">
        <x:v>https://www.finlex.fi/en/authorities/regulations/traficom-transport-maritime/2021/47238</x:v>
      </x:c>
      <x:c r="X22" s="112" t="str">
        <x:v>iceClass</x:v>
      </x:c>
      <x:c r="Y22" s="112" t="str">
        <x:v>Conditional/applicability constraint; encode values with units and retain clause/page provenance.</x:v>
      </x:c>
    </x:row>
    <x:row r="23" ht="92" customHeight="1">
      <x:c r="A23" s="108" t="str">
        <x:v>TRF-025</x:v>
      </x:c>
      <x:c r="B23" s="108" t="str">
        <x:v>Ice Class Regulations and the Application Thereof</x:v>
      </x:c>
      <x:c r="C23" s="108" t="str">
        <x:v>TRAFICOM/68863/03.04.01.00/2021</x:v>
      </x:c>
      <x:c r="D23" s="163" t="n">
        <x:v>10</x:v>
      </x:c>
      <x:c r="E23" s="108" t="str">
        <x:v>Existing ships of ice class IA Super or IA</x:v>
      </x:c>
      <x:c r="F23" s="108" t="str">
        <x:v>3.2.4</x:v>
      </x:c>
      <x:c r="G23" s="113" t="str">
        <x:v>Static Calculation</x:v>
      </x:c>
      <x:c r="H23" s="109" t="str">
        <x:v>For ice class IA Super, ship without a bulb, C_1 and C_2 shall be calculated as follows: C_1 = f_1*(B*L)/(2*T/B + 1) + 1.84*(f_2*B + f_3*L + f_4*B*L). C_2 = 3.52*(g_1 + g_2*B) + g_3*(1 + 1.2*T/B)*B^2/sqrt(L).</x:v>
      </x:c>
      <x:c r="I23" s="110" t="str">
        <x:v>For IA Super without a bulb, compute C_1=f_1*(B*L)/(2*T/B+1)+1.84*(f_2*B+f_3*L+f_4*B*L) and C_2=3.52*(g_1+g_2*B)+g_3*(1+1.2*T/B)*B^2/sqrt(L).</x:v>
      </x:c>
      <x:c r="J23" s="111" t="str">
        <x:v>iceClass</x:v>
      </x:c>
      <x:c r="K23" s="111" t="str">
        <x:v>iceClass</x:v>
      </x:c>
      <x:c r="L23" s="114" t="str">
        <x:v>High</x:v>
      </x:c>
      <x:c r="M23" s="111" t="str">
        <x:v>Formula-derived constraint</x:v>
      </x:c>
      <x:c r="N23" s="108" t="str">
        <x:v>Deterministic calculation from static design inputs followed by a numeric or logical comparison.</x:v>
      </x:c>
      <x:c r="O23" s="113" t="str">
        <x:v>No</x:v>
      </x:c>
      <x:c r="P23" s="113" t="str">
        <x:v>Included - source reverified and locked</x:v>
      </x:c>
      <x:c r="Q23" s="108" t="str">
        <x:v>LOCK-2026-08-10: No source, page, clause, category, or normalized-meaning correction was required. Source wording was checked against the supplied PDF; equation notation is ASCII-linearized.</x:v>
      </x:c>
      <x:c r="R23" s="108" t="str">
        <x:v>LOCK-2026-08-11-R2 | source_pdf=TRAFICOM.pdf | source_sha256=8ab845347770c253433b8bad9b1fbe5d6ac71b3d07a1a28dae8a32cfde732ddc | physical_pdf_page=10 | section=Existing ships of ice class IA Super or IA | clause=3.2.4 | checks=independent_full_text_page_layout; numbers_units_operators_equations; normalized_rule_meaning; five_category_classification | status=LOCKED</x:v>
      </x:c>
      <x:c r="S23" s="108" t="str">
        <x:v>05_static_brash_ice_thickness (Static)</x:v>
      </x:c>
      <x:c r="T23" s="108" t="str">
        <x:v>PASS - source/page/clause/meaning/category reverified</x:v>
      </x:c>
      <x:c r="U23" s="108" t="str">
        <x:v>LOCKED - extraction reverified</x:v>
      </x:c>
      <x:c r="V23" s="112" t="str">
        <x:v>Second-pass extraction lock covers source identity, physical PDF page span, section/clause, ASCII transcription, normalized meaning, and verification category. SHACL shapes remain a separate implementation artifact.</x:v>
      </x:c>
      <x:c r="W23" s="112" t="str">
        <x:v>https://www.finlex.fi/en/authorities/regulations/traficom-transport-maritime/2021/47238</x:v>
      </x:c>
      <x:c r="X23" s="112" t="str">
        <x:v>iceClass</x:v>
      </x:c>
      <x:c r="Y23" s="112" t="str">
        <x:v>Formula-derived constraint; encode values with units and retain clause/page provenance.</x:v>
      </x:c>
    </x:row>
    <x:row r="24" ht="92" customHeight="1">
      <x:c r="A24" s="108" t="str">
        <x:v>TRF-026</x:v>
      </x:c>
      <x:c r="B24" s="108" t="str">
        <x:v>Ice Class Regulations and the Application Thereof</x:v>
      </x:c>
      <x:c r="C24" s="108" t="str">
        <x:v>TRAFICOM/68863/03.04.01.00/2021</x:v>
      </x:c>
      <x:c r="D24" s="163" t="n">
        <x:v>11</x:v>
      </x:c>
      <x:c r="E24" s="108" t="str">
        <x:v>Existing ships of ice class IA Super or IA</x:v>
      </x:c>
      <x:c r="F24" s="108" t="str">
        <x:v>3.2.4</x:v>
      </x:c>
      <x:c r="G24" s="113" t="str">
        <x:v>Static Calculation</x:v>
      </x:c>
      <x:c r="H24" s="109" t="str">
        <x:v>For ice class IA Super, ship with a bulb, C_1 and C_2 shall be calculated as follows: C_1 = f_1*(B*L)/(2*T/B + 1) + 2.89*(f_2*B + f_3*L + f_4*B*L). C_2 = 6.67*(g_1 + g_2*B) + g_3*(1 + 1.2*T/B)*B^2/sqrt(L).</x:v>
      </x:c>
      <x:c r="I24" s="110" t="str">
        <x:v>For IA Super with a bulb, compute C_1=f_1*(B*L)/(2*T/B+1)+2.89*(f_2*B+f_3*L+f_4*B*L) and C_2=6.67*(g_1+g_2*B)+g_3*(1+1.2*T/B)*B^2/sqrt(L).</x:v>
      </x:c>
      <x:c r="J24" s="111" t="str">
        <x:v>iceClass</x:v>
      </x:c>
      <x:c r="K24" s="111" t="str">
        <x:v>iceClass</x:v>
      </x:c>
      <x:c r="L24" s="114" t="str">
        <x:v>High</x:v>
      </x:c>
      <x:c r="M24" s="111" t="str">
        <x:v>Formula-derived constraint</x:v>
      </x:c>
      <x:c r="N24" s="108" t="str">
        <x:v>Deterministic calculation from static design inputs followed by a numeric or logical comparison.</x:v>
      </x:c>
      <x:c r="O24" s="113" t="str">
        <x:v>No</x:v>
      </x:c>
      <x:c r="P24" s="113" t="str">
        <x:v>Included - source reverified and locked</x:v>
      </x:c>
      <x:c r="Q24" s="108" t="str">
        <x:v>LOCK-2026-08-10: No source, page, clause, category, or normalized-meaning correction was required. Source wording was checked against the supplied PDF; equation notation is ASCII-linearized.</x:v>
      </x:c>
      <x:c r="R24" s="108" t="str">
        <x:v>LOCK-2026-08-11-R2 | source_pdf=TRAFICOM.pdf | source_sha256=8ab845347770c253433b8bad9b1fbe5d6ac71b3d07a1a28dae8a32cfde732ddc | physical_pdf_page=11 | section=Existing ships of ice class IA Super or IA | clause=3.2.4 | checks=independent_full_text_page_layout; numbers_units_operators_equations; normalized_rule_meaning; five_category_classification | status=LOCKED</x:v>
      </x:c>
      <x:c r="S24" s="108" t="str">
        <x:v>05_static_brash_ice_thickness (Static)</x:v>
      </x:c>
      <x:c r="T24" s="108" t="str">
        <x:v>PASS - source/page/clause/meaning/category reverified</x:v>
      </x:c>
      <x:c r="U24" s="108" t="str">
        <x:v>LOCKED - extraction reverified</x:v>
      </x:c>
      <x:c r="V24" s="112" t="str">
        <x:v>Second-pass extraction lock covers source identity, physical PDF page span, section/clause, ASCII transcription, normalized meaning, and verification category. SHACL shapes remain a separate implementation artifact.</x:v>
      </x:c>
      <x:c r="W24" s="112" t="str">
        <x:v>https://www.finlex.fi/en/authorities/regulations/traficom-transport-maritime/2021/47238</x:v>
      </x:c>
      <x:c r="X24" s="112" t="str">
        <x:v>iceClass</x:v>
      </x:c>
      <x:c r="Y24" s="112" t="str">
        <x:v>Formula-derived constraint; encode values with units and retain clause/page provenance.</x:v>
      </x:c>
    </x:row>
    <x:row r="25" ht="92" customHeight="1">
      <x:c r="A25" s="108" t="str">
        <x:v>TRF-027</x:v>
      </x:c>
      <x:c r="B25" s="108" t="str">
        <x:v>Ice Class Regulations and the Application Thereof</x:v>
      </x:c>
      <x:c r="C25" s="108" t="str">
        <x:v>TRAFICOM/68863/03.04.01.00/2021</x:v>
      </x:c>
      <x:c r="D25" s="163" t="n">
        <x:v>11</x:v>
      </x:c>
      <x:c r="E25" s="108" t="str">
        <x:v>Existing ships of ice class IA Super or IA</x:v>
      </x:c>
      <x:c r="F25" s="108" t="str">
        <x:v>3.2.4</x:v>
      </x:c>
      <x:c r="G25" s="113" t="str">
        <x:v>Static Calculation</x:v>
      </x:c>
      <x:c r="H25" s="109" t="str">
        <x:v>Coefficients f_1-f_4 and g_1-g_3 are given in Table 3-3. C_3 = 460 kg/(m^2*s^2), C_4 = 18.7 kg/(m^2*s^2), C_5 = 825 kg/s^2. If the value of the term ((L*T)/B^2)^3 is less than 5, the value 5 shall be used; if the value is more than 20, the value 20 shall be used.</x:v>
      </x:c>
      <x:c r="I25" s="110" t="str">
        <x:v>Coefficients f_1-f_4 and g_1-g_3 are given in Table 3-3. C_3 = 460 kg/(m^2*s^2), C_4 = 18.7 kg/(m^2*s^2), C_5 = 825 kg/s^2. If the value of the term ((L*T)/B^2)^3 is less than 5, the value 5 shall be used; if the value is more than 20, the value 20 shall be used.</x:v>
      </x:c>
      <x:c r="J25" s="111" t="str">
        <x:v>No explicit data variable identified</x:v>
      </x:c>
      <x:c r="K25" s="111" t="str">
        <x:v>No direct AnchorMap term found; propose a code-safe alias during SHACL design</x:v>
      </x:c>
      <x:c r="L25" s="114" t="str">
        <x:v>Medium</x:v>
      </x:c>
      <x:c r="M25" s="111" t="str">
        <x:v>Table-lookup plus constraint</x:v>
      </x:c>
      <x:c r="N25" s="108" t="str">
        <x:v>Deterministic calculation from static design inputs followed by a numeric or logical comparison.</x:v>
      </x:c>
      <x:c r="O25" s="113" t="str">
        <x:v>No</x:v>
      </x:c>
      <x:c r="P25" s="113" t="str">
        <x:v>Included - source reverified and locked</x:v>
      </x:c>
      <x:c r="Q25" s="108" t="str">
        <x:v>LOCK-2026-08-10: No source, page, clause, category, or normalized-meaning correction was required. Source wording was checked against the supplied PDF; equation notation is ASCII-linearized.</x:v>
      </x:c>
      <x:c r="R25" s="108" t="str">
        <x:v>LOCK-2026-08-11-R2 | source_pdf=TRAFICOM.pdf | source_sha256=8ab845347770c253433b8bad9b1fbe5d6ac71b3d07a1a28dae8a32cfde732ddc | physical_pdf_page=11 | section=Existing ships of ice class IA Super or IA | clause=3.2.4 | checks=independent_full_text_page_layout; numbers_units_operators_equations; normalized_rule_meaning; five_category_classification | status=LOCKED</x:v>
      </x:c>
      <x:c r="S25" s="108" t="str">
        <x:v>03_static_ltb2_clamping (Static); 33_staticcalculation_ph_minimum_stringer (static_calculation); 43_complex_pmin_formula (Complex)</x:v>
      </x:c>
      <x:c r="T25" s="108" t="str">
        <x:v>PASS - source/page/clause/meaning/category reverified</x:v>
      </x:c>
      <x:c r="U25" s="108" t="str">
        <x:v>LOCKED - extraction reverified</x:v>
      </x:c>
      <x:c r="V25" s="112" t="str">
        <x:v>Second-pass extraction lock covers source identity, physical PDF page span, section/clause, ASCII transcription, normalized meaning, and verification category. SHACL shapes remain a separate implementation artifact.</x:v>
      </x:c>
      <x:c r="W25" s="112" t="str">
        <x:v>https://www.finlex.fi/en/authorities/regulations/traficom-transport-maritime/2021/47238</x:v>
      </x:c>
      <x:c r="X25" s="112" t="str">
        <x:v>No explicit data variable identified</x:v>
      </x:c>
      <x:c r="Y25" s="112" t="str">
        <x:v>Table-lookup plus constraint; encode values with units and retain clause/page provenance.</x:v>
      </x:c>
    </x:row>
    <x:row r="26" ht="92" customHeight="1">
      <x:c r="A26" s="108" t="str">
        <x:v>TRF-028</x:v>
      </x:c>
      <x:c r="B26" s="108" t="str">
        <x:v>Ice Class Regulations and the Application Thereof</x:v>
      </x:c>
      <x:c r="C26" s="108" t="str">
        <x:v>TRAFICOM/68863/03.04.01.00/2021</x:v>
      </x:c>
      <x:c r="D26" s="163" t="n">
        <x:v>11</x:v>
      </x:c>
      <x:c r="E26" s="108" t="str">
        <x:v>Other methods of determining Ke or RCH</x:v>
      </x:c>
      <x:c r="F26" s="108" t="str">
        <x:v>3.2.5</x:v>
      </x:c>
      <x:c r="G26" s="113" t="str">
        <x:v>Physical Test</x:v>
      </x:c>
      <x:c r="H26" s="109"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I26" s="110" t="str">
        <x:v>For an individual ship, in lieu of the Ke or RCH values defined in sections 3.2.2 and 3.2.3, the use of Ke or RCH values based on more precise calculations or values based on model tests may be approved. Such approval will be given on the understanding that it can be revoked if experience of the ship's performance provides grounds for this in practice.</x:v>
      </x:c>
      <x:c r="J26" s="111" t="str">
        <x:v>No explicit data variable identified</x:v>
      </x:c>
      <x:c r="K26" s="111" t="str">
        <x:v>No direct AnchorMap term found; propose a code-safe alias during SHACL design</x:v>
      </x:c>
      <x:c r="L26" s="114" t="str">
        <x:v>Medium</x:v>
      </x:c>
      <x:c r="M26" s="111" t="str">
        <x:v>Physical-test evidence/status</x:v>
      </x:c>
      <x:c r="N26" s="108" t="str">
        <x:v>Compliance is established mainly through survey, inspection, material testing, operability testing, or other physical evidence.</x:v>
      </x:c>
      <x:c r="O26" s="113" t="str">
        <x:v>No</x:v>
      </x:c>
      <x:c r="P26" s="113" t="str">
        <x:v>Included - source reverified and locked</x:v>
      </x:c>
      <x:c r="Q26" s="108" t="str">
        <x:v>LOCK-2026-08-10: No source, page, clause, category, or normalized-meaning correction was required. Source wording was checked against the supplied PDF; equation notation is ASCII-linearized.</x:v>
      </x:c>
      <x:c r="R26" s="108" t="str">
        <x:v>LOCK-2026-08-11-R2 | source_pdf=TRAFICOM.pdf | source_sha256=8ab845347770c253433b8bad9b1fbe5d6ac71b3d07a1a28dae8a32cfde732ddc | physical_pdf_page=11 | section=Other methods of determining Ke or RCH | clause=3.2.5 | checks=independent_full_text_page_layout; numbers_units_operators_equations; normalized_rule_meaning; five_category_classification | status=LOCKED</x:v>
      </x:c>
      <x:c r="S26" s="108" t="str">
        <x:v>No close match among the thesis repository's 90 input cases.</x:v>
      </x:c>
      <x:c r="T26" s="108" t="str">
        <x:v>PASS - source/page/clause/meaning/category reverified</x:v>
      </x:c>
      <x:c r="U26" s="108" t="str">
        <x:v>LOCKED - extraction reverified</x:v>
      </x:c>
      <x:c r="V26" s="112" t="str">
        <x:v>Second-pass extraction lock covers source identity, physical PDF page span, section/clause, ASCII transcription, normalized meaning, and verification category. SHACL shapes remain a separate implementation artifact.</x:v>
      </x:c>
      <x:c r="W26" s="112" t="str">
        <x:v>https://www.finlex.fi/en/authorities/regulations/traficom-transport-maritime/2021/47238</x:v>
      </x:c>
      <x:c r="X26" s="112" t="str">
        <x:v>No explicit data variable identified</x:v>
      </x:c>
      <x:c r="Y26" s="112" t="str">
        <x:v>Physical-test evidence/status; encode values with units and retain clause/page provenance.</x:v>
      </x:c>
    </x:row>
    <x:row r="27" ht="92" customHeight="1">
      <x:c r="A27" s="108" t="str">
        <x:v>TRF-029</x:v>
      </x:c>
      <x:c r="B27" s="108" t="str">
        <x:v>Ice Class Regulations and the Application Thereof</x:v>
      </x:c>
      <x:c r="C27" s="108" t="str">
        <x:v>TRAFICOM/68863/03.04.01.00/2021</x:v>
      </x:c>
      <x:c r="D27" s="163" t="n">
        <x:v>12</x:v>
      </x:c>
      <x:c r="E27" s="108" t="str">
        <x:v>General</x:v>
      </x:c>
      <x:c r="F27" s="108" t="str">
        <x:v>4.1</x:v>
      </x:c>
      <x:c r="G27" s="113" t="str">
        <x:v>Complex</x:v>
      </x:c>
      <x:c r="H27" s="109"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I27" s="110" t="str">
        <x:v>Direct analysis may be substituted for the formulae and values given in this section if they are deemed by the Administration or the classification society to be invalid or inapplicable for a given structural arrangement or detail. Otherwise, direct analysis is not to be used as an alternative to the analytical procedures prescribed by the explicit requirements in sections 4.3 - 4.5.</x:v>
      </x:c>
      <x:c r="J27" s="111" t="str">
        <x:v>No explicit data variable identified</x:v>
      </x:c>
      <x:c r="K27" s="111" t="str">
        <x:v>No direct AnchorMap term found; propose a code-safe alias during SHACL design</x:v>
      </x:c>
      <x:c r="L27" s="114" t="str">
        <x:v>Medium</x:v>
      </x:c>
      <x:c r="M27" s="111" t="str">
        <x:v>Conditional/applicability constraint</x:v>
      </x:c>
      <x:c r="N27" s="108" t="str">
        <x:v>Verification requires linked conditions, external approval or evidence, an assessment, or a composite workflow.</x:v>
      </x:c>
      <x:c r="O27" s="113" t="str">
        <x:v>No</x:v>
      </x:c>
      <x:c r="P27" s="113" t="str">
        <x:v>Included - source reverified and locked</x:v>
      </x:c>
      <x:c r="Q27" s="108" t="str">
        <x:v>LOCK-2026-08-10: Classified the Administration/classification-society substitution decision as an approval workflow. Final source lock check completed against the supplied PDF; equation notation is ASCII-linearized.</x:v>
      </x:c>
      <x:c r="R27" s="108" t="str">
        <x:v>LOCK-2026-08-11-R2 | source_pdf=TRAFICOM.pdf | source_sha256=8ab845347770c253433b8bad9b1fbe5d6ac71b3d07a1a28dae8a32cfde732ddc | physical_pdf_page=12 | section=General | clause=4.1 | checks=independent_full_text_page_layout; numbers_units_operators_equations; normalized_rule_meaning; five_category_classification | status=LOCKED</x:v>
      </x:c>
      <x:c r="S27" s="108" t="str">
        <x:v>No close match among the thesis repository's 90 input cases.</x:v>
      </x:c>
      <x:c r="T27" s="108" t="str">
        <x:v>PASS - source/page/clause/meaning/category reverified</x:v>
      </x:c>
      <x:c r="U27" s="108" t="str">
        <x:v>LOCKED - extraction reverified</x:v>
      </x:c>
      <x:c r="V27" s="112" t="str">
        <x:v>Second-pass extraction lock covers source identity, physical PDF page span, section/clause, ASCII transcription, normalized meaning, and verification category. SHACL shapes remain a separate implementation artifact.</x:v>
      </x:c>
      <x:c r="W27" s="112" t="str">
        <x:v>https://www.finlex.fi/en/authorities/regulations/traficom-transport-maritime/2021/47238</x:v>
      </x:c>
      <x:c r="X27" s="112" t="str">
        <x:v>No explicit data variable identified</x:v>
      </x:c>
      <x:c r="Y27" s="112" t="str">
        <x:v>Conditional/applicability constraint; encode values with units and retain clause/page provenance.</x:v>
      </x:c>
    </x:row>
    <x:row r="28" ht="92" customHeight="1">
      <x:c r="A28" s="108" t="str">
        <x:v>TRF-030</x:v>
      </x:c>
      <x:c r="B28" s="108" t="str">
        <x:v>Ice Class Regulations and the Application Thereof</x:v>
      </x:c>
      <x:c r="C28" s="108" t="str">
        <x:v>TRAFICOM/68863/03.04.01.00/2021</x:v>
      </x:c>
      <x:c r="D28" s="163" t="n">
        <x:v>12</x:v>
      </x:c>
      <x:c r="E28" s="108" t="str">
        <x:v>General</x:v>
      </x:c>
      <x:c r="F28" s="108" t="str">
        <x:v>4.1</x:v>
      </x:c>
      <x:c r="G28" s="113" t="str">
        <x:v>Static Calculation</x:v>
      </x:c>
      <x:c r="H28" s="109"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I28" s="110"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J28" s="111" t="str">
        <x:v>UIWL, LIWL, spacing, span</x:v>
      </x:c>
      <x:c r="K28" s="111" t="str">
        <x:v>reg:UIWL, reg:LIWL, spacing, span</x:v>
      </x:c>
      <x:c r="L28" s="114" t="str">
        <x:v>High</x:v>
      </x:c>
      <x:c r="M28" s="111" t="str">
        <x:v>Formula-derived constraint</x:v>
      </x:c>
      <x:c r="N28" s="108" t="str">
        <x:v>Deterministic calculation from static design inputs followed by a numeric or logical comparison.</x:v>
      </x:c>
      <x:c r="O28" s="113" t="str">
        <x:v>No</x:v>
      </x:c>
      <x:c r="P28" s="113" t="str">
        <x:v>Included - source reverified and locked</x:v>
      </x:c>
      <x:c r="Q28" s="108" t="str">
        <x:v>LOCK-2026-08-10: No source, page, clause, category, or normalized-meaning correction was required. Source wording was checked against the supplied PDF; equation notation is ASCII-linearized.</x:v>
      </x:c>
      <x:c r="R28" s="108" t="str">
        <x:v>LOCK-2026-08-11-R2 | source_pdf=TRAFICOM.pdf | source_sha256=8ab845347770c253433b8bad9b1fbe5d6ac71b3d07a1a28dae8a32cfde732ddc | physical_pdf_page=12 | section=General | clause=4.1 | checks=independent_full_text_page_layout; numbers_units_operators_equations; normalized_rule_meaning; five_category_classification | status=LOCKED</x:v>
      </x:c>
      <x:c r="S28" s="108" t="str">
        <x:v>46_complex_design_ice_pressure (Complex)</x:v>
      </x:c>
      <x:c r="T28" s="108" t="str">
        <x:v>PASS - source/page/clause/meaning/category reverified</x:v>
      </x:c>
      <x:c r="U28" s="108" t="str">
        <x:v>LOCKED - extraction reverified</x:v>
      </x:c>
      <x:c r="V28" s="112" t="str">
        <x:v>Second-pass extraction lock covers source identity, physical PDF page span, section/clause, ASCII transcription, normalized meaning, and verification category. SHACL shapes remain a separate implementation artifact.</x:v>
      </x:c>
      <x:c r="W28" s="112" t="str">
        <x:v>https://www.finlex.fi/en/authorities/regulations/traficom-transport-maritime/2021/47238</x:v>
      </x:c>
      <x:c r="X28" s="112" t="str">
        <x:v>UIWL, LIWL, spacing, span</x:v>
      </x:c>
      <x:c r="Y28" s="112" t="str">
        <x:v>Formula-derived constraint; encode values with units and retain clause/page provenance.</x:v>
      </x:c>
    </x:row>
    <x:row r="29" ht="92" customHeight="1">
      <x:c r="A29" s="108" t="str">
        <x:v>TRF-031</x:v>
      </x:c>
      <x:c r="B29" s="108" t="str">
        <x:v>Ice Class Regulations and the Application Thereof</x:v>
      </x:c>
      <x:c r="C29" s="108" t="str">
        <x:v>TRAFICOM/68863/03.04.01.00/2021</x:v>
      </x:c>
      <x:c r="D29" s="163" t="n">
        <x:v>12</x:v>
      </x:c>
      <x:c r="E29" s="108" t="str">
        <x:v>General</x:v>
      </x:c>
      <x:c r="F29" s="108" t="str">
        <x:v>4.1</x:v>
      </x:c>
      <x:c r="G29" s="113" t="str">
        <x:v>Static Calculation</x:v>
      </x:c>
      <x:c r="H29" s="109"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I29" s="110"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J29" s="111" t="str">
        <x:v>No explicit data variable identified</x:v>
      </x:c>
      <x:c r="K29" s="111" t="str">
        <x:v>No direct AnchorMap term found; propose a code-safe alias during SHACL design</x:v>
      </x:c>
      <x:c r="L29" s="114" t="str">
        <x:v>Medium</x:v>
      </x:c>
      <x:c r="M29" s="111" t="str">
        <x:v>Formula-derived constraint</x:v>
      </x:c>
      <x:c r="N29" s="108" t="str">
        <x:v>Deterministic calculation from static design inputs followed by a numeric or logical comparison.</x:v>
      </x:c>
      <x:c r="O29" s="113" t="str">
        <x:v>No</x:v>
      </x:c>
      <x:c r="P29" s="113" t="str">
        <x:v>Included - source reverified and locked</x:v>
      </x:c>
      <x:c r="Q29" s="108" t="str">
        <x:v>LOCK-2026-08-10: Classified the deterministic von Mises and allowable-shear checks as Static Calculation. Final source lock check completed against the supplied PDF; equation notation is ASCII-linearized.</x:v>
      </x:c>
      <x:c r="R29" s="108" t="str">
        <x:v>LOCK-2026-08-11-R2 | source_pdf=TRAFICOM.pdf | source_sha256=8ab845347770c253433b8bad9b1fbe5d6ac71b3d07a1a28dae8a32cfde732ddc | physical_pdf_page=12 | section=General | clause=4.1 | checks=independent_full_text_page_layout; numbers_units_operators_equations; normalized_rule_meaning; five_category_classification | status=LOCKED</x:v>
      </x:c>
      <x:c r="S29" s="108" t="str">
        <x:v>64_complex_direct_analysis_shear_stress (Complex)</x:v>
      </x:c>
      <x:c r="T29" s="108" t="str">
        <x:v>PASS - source/page/clause/meaning/category reverified</x:v>
      </x:c>
      <x:c r="U29" s="108" t="str">
        <x:v>LOCKED - extraction reverified</x:v>
      </x:c>
      <x:c r="V29" s="112" t="str">
        <x:v>Second-pass extraction lock covers source identity, physical PDF page span, section/clause, ASCII transcription, normalized meaning, and verification category. SHACL shapes remain a separate implementation artifact.</x:v>
      </x:c>
      <x:c r="W29" s="112" t="str">
        <x:v>https://www.finlex.fi/en/authorities/regulations/traficom-transport-maritime/2021/47238</x:v>
      </x:c>
      <x:c r="X29" s="112" t="str">
        <x:v>No explicit data variable identified</x:v>
      </x:c>
      <x:c r="Y29" s="112" t="str">
        <x:v>Formula-derived constraint; encode values with units and retain clause/page provenance.</x:v>
      </x:c>
    </x:row>
    <x:row r="30" ht="92" customHeight="1">
      <x:c r="A30" s="108" t="str">
        <x:v>TRF-032</x:v>
      </x:c>
      <x:c r="B30" s="108" t="str">
        <x:v>Ice Class Regulations and the Application Thereof</x:v>
      </x:c>
      <x:c r="C30" s="108" t="str">
        <x:v>TRAFICOM/68863/03.04.01.00/2021</x:v>
      </x:c>
      <x:c r="D30" s="163" t="n">
        <x:v>12</x:v>
      </x:c>
      <x:c r="E30" s="108" t="str">
        <x:v>General</x:v>
      </x:c>
      <x:c r="F30" s="108" t="str">
        <x:v>4.1</x:v>
      </x:c>
      <x:c r="G30" s="113" t="str">
        <x:v>Static</x:v>
      </x:c>
      <x:c r="H30" s="109" t="str">
        <x:v>If scantlings derived from these regulations are less than those required by the classification society for a ship that has not been ice strengthened, the latter shall be used.</x:v>
      </x:c>
      <x:c r="I30" s="110" t="str">
        <x:v>If scantlings derived from these regulations are less than those required by the classification society for a ship that has not been ice strengthened, the latter shall be used.</x:v>
      </x:c>
      <x:c r="J30" s="111" t="str">
        <x:v>No explicit data variable identified</x:v>
      </x:c>
      <x:c r="K30" s="111" t="str">
        <x:v>No direct AnchorMap term found; propose a code-safe alias during SHACL design</x:v>
      </x:c>
      <x:c r="L30" s="114" t="str">
        <x:v>Medium</x:v>
      </x:c>
      <x:c r="M30" s="111" t="str">
        <x:v>Conditional/applicability constraint</x:v>
      </x:c>
      <x:c r="N30" s="108" t="str">
        <x:v>Direct verification of a stated property, document, presence condition, enumeration, applicability rule, prohibition, or fixed limit.</x:v>
      </x:c>
      <x:c r="O30" s="113" t="str">
        <x:v>No</x:v>
      </x:c>
      <x:c r="P30" s="113" t="str">
        <x:v>Included - source reverified and locked</x:v>
      </x:c>
      <x:c r="Q30" s="108" t="str">
        <x:v>LOCK-2026-08-10: No source, page, clause, category, or normalized-meaning correction was required. Source wording was checked against the supplied PDF; equation notation is ASCII-linearized.</x:v>
      </x:c>
      <x:c r="R30" s="108" t="str">
        <x:v>LOCK-2026-08-11-R2 | source_pdf=TRAFICOM.pdf | source_sha256=8ab845347770c253433b8bad9b1fbe5d6ac71b3d07a1a28dae8a32cfde732ddc | physical_pdf_page=12 | section=General | clause=4.1 | checks=independent_full_text_page_layout; numbers_units_operators_equations; normalized_rule_meaning; five_category_classification | status=LOCKED</x:v>
      </x:c>
      <x:c r="S30" s="108" t="str">
        <x:v>No close match among the thesis repository's 90 input cases.</x:v>
      </x:c>
      <x:c r="T30" s="108" t="str">
        <x:v>PASS - source/page/clause/meaning/category reverified</x:v>
      </x:c>
      <x:c r="U30" s="108" t="str">
        <x:v>LOCKED - extraction reverified</x:v>
      </x:c>
      <x:c r="V30" s="112" t="str">
        <x:v>Second-pass extraction lock covers source identity, physical PDF page span, section/clause, ASCII transcription, normalized meaning, and verification category. SHACL shapes remain a separate implementation artifact.</x:v>
      </x:c>
      <x:c r="W30" s="112" t="str">
        <x:v>https://www.finlex.fi/en/authorities/regulations/traficom-transport-maritime/2021/47238</x:v>
      </x:c>
      <x:c r="X30" s="112" t="str">
        <x:v>No explicit data variable identified</x:v>
      </x:c>
      <x:c r="Y30" s="112" t="str">
        <x:v>Conditional/applicability constraint; encode values with units and retain clause/page provenance.</x:v>
      </x:c>
    </x:row>
    <x:row r="31" ht="92" customHeight="1">
      <x:c r="A31" s="108" t="str">
        <x:v>TRF-034</x:v>
      </x:c>
      <x:c r="B31" s="108" t="str">
        <x:v>Ice Class Regulations and the Application Thereof</x:v>
      </x:c>
      <x:c r="C31" s="108" t="str">
        <x:v>TRAFICOM/68863/03.04.01.00/2021</x:v>
      </x:c>
      <x:c r="D31" s="163" t="n">
        <x:v>13</x:v>
      </x:c>
      <x:c r="E31" s="108" t="str">
        <x:v>General</x:v>
      </x:c>
      <x:c r="F31" s="108" t="str">
        <x:v>4.1</x:v>
      </x:c>
      <x:c r="G31" s="113" t="str">
        <x:v>Static Calculation</x:v>
      </x:c>
      <x:c r="H31" s="109"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I31" s="110"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J31" s="111" t="str">
        <x:v>sectionModulusZ, shearAreaA</x:v>
      </x:c>
      <x:c r="K31" s="111" t="str">
        <x:v>sectionModulusZ, shearAreaA</x:v>
      </x:c>
      <x:c r="L31" s="114" t="str">
        <x:v>Medium</x:v>
      </x:c>
      <x:c r="M31" s="111" t="str">
        <x:v>Formula-derived constraint</x:v>
      </x:c>
      <x:c r="N31" s="108" t="str">
        <x:v>Deterministic calculation from static design inputs followed by a numeric or logical comparison.</x:v>
      </x:c>
      <x:c r="O31" s="113" t="str">
        <x:v>No</x:v>
      </x:c>
      <x:c r="P31" s="113" t="str">
        <x:v>Included - source reverified and locked</x:v>
      </x:c>
      <x:c r="Q31" s="108" t="str">
        <x:v>LOCK-2026-08-10: No source, page, clause, category, or normalized-meaning correction was required. Source wording was checked against the supplied PDF; equation notation is ASCII-linearized.</x:v>
      </x:c>
      <x:c r="R31" s="108" t="str">
        <x:v>LOCK-2026-08-11-R2 | source_pdf=TRAFICOM.pdf | source_sha256=8ab845347770c253433b8bad9b1fbe5d6ac71b3d07a1a28dae8a32cfde732ddc | physical_pdf_page=13 | section=General | clause=4.1 | checks=independent_full_text_page_layout; numbers_units_operators_equations; normalized_rule_meaning; five_category_classification | status=LOCKED</x:v>
      </x:c>
      <x:c r="S31" s="108" t="str">
        <x:v>54_complex_web_frame_shear_area (Complex); 49_complex_transverse_frame_section_modulus (Complex); 50_complex_transverse_frame_shear_area (Complex)</x:v>
      </x:c>
      <x:c r="T31" s="108" t="str">
        <x:v>PASS - source/page/clause/meaning/category reverified</x:v>
      </x:c>
      <x:c r="U31" s="108" t="str">
        <x:v>LOCKED - extraction reverified</x:v>
      </x:c>
      <x:c r="V31" s="112" t="str">
        <x:v>Second-pass extraction lock covers source identity, physical PDF page span, section/clause, ASCII transcription, normalized meaning, and verification category. SHACL shapes remain a separate implementation artifact.</x:v>
      </x:c>
      <x:c r="W31" s="112" t="str">
        <x:v>https://www.finlex.fi/en/authorities/regulations/traficom-transport-maritime/2021/47238</x:v>
      </x:c>
      <x:c r="X31" s="112" t="str">
        <x:v>sectionModulusZ, shearAreaA</x:v>
      </x:c>
      <x:c r="Y31" s="112" t="str">
        <x:v>Formula-derived constraint; encode values with units and retain clause/page provenance.</x:v>
      </x:c>
    </x:row>
    <x:row r="32" ht="92" customHeight="1">
      <x:c r="A32" s="108" t="str">
        <x:v>TRF-035</x:v>
      </x:c>
      <x:c r="B32" s="108" t="str">
        <x:v>Ice Class Regulations and the Application Thereof</x:v>
      </x:c>
      <x:c r="C32" s="108" t="str">
        <x:v>TRAFICOM/68863/03.04.01.00/2021</x:v>
      </x:c>
      <x:c r="D32" s="163" t="n">
        <x:v>13</x:v>
      </x:c>
      <x:c r="E32" s="108" t="str">
        <x:v>Hull regions</x:v>
      </x:c>
      <x:c r="F32" s="108" t="str">
        <x:v>4.1.1</x:v>
      </x:c>
      <x:c r="G32" s="113" t="str">
        <x:v>Static</x:v>
      </x:c>
      <x:c r="H32" s="109" t="str">
        <x:v>L shall be taken as the ship's rule length used by the classification society.</x:v>
      </x:c>
      <x:c r="I32" s="110" t="str">
        <x:v>L shall be taken as the ship's rule length used by the classification society.</x:v>
      </x:c>
      <x:c r="J32" s="111" t="str">
        <x:v>No explicit data variable identified</x:v>
      </x:c>
      <x:c r="K32" s="111" t="str">
        <x:v>No direct AnchorMap term found; propose a code-safe alias during SHACL design</x:v>
      </x:c>
      <x:c r="L32" s="114" t="str">
        <x:v>Medium</x:v>
      </x:c>
      <x:c r="M32" s="111" t="str">
        <x:v>Direct property/presence constraint</x:v>
      </x:c>
      <x:c r="N32" s="108" t="str">
        <x:v>Direct verification of a stated property, document, presence condition, enumeration, applicability rule, prohibition, or fixed limit.</x:v>
      </x:c>
      <x:c r="O32" s="113" t="str">
        <x:v>No</x:v>
      </x:c>
      <x:c r="P32" s="113" t="str">
        <x:v>Included - source reverified and locked</x:v>
      </x:c>
      <x:c r="Q32" s="108" t="str">
        <x:v>LOCK-2026-08-10: No source, page, clause, category, or normalized-meaning correction was required. Source wording was checked against the supplied PDF; equation notation is ASCII-linearized.</x:v>
      </x:c>
      <x:c r="R32" s="108" t="str">
        <x:v>LOCK-2026-08-11-R2 | source_pdf=TRAFICOM.pdf | source_sha256=8ab845347770c253433b8bad9b1fbe5d6ac71b3d07a1a28dae8a32cfde732ddc | physical_pdf_page=13 | section=Hull regions | clause=4.1.1 | checks=independent_full_text_page_layout; numbers_units_operators_equations; normalized_rule_meaning; five_category_classification | status=LOCKED</x:v>
      </x:c>
      <x:c r="S32" s="108" t="str">
        <x:v>No close match among the thesis repository's 90 input cases.</x:v>
      </x:c>
      <x:c r="T32" s="108" t="str">
        <x:v>PASS - source/page/clause/meaning/category reverified</x:v>
      </x:c>
      <x:c r="U32" s="108" t="str">
        <x:v>LOCKED - extraction reverified</x:v>
      </x:c>
      <x:c r="V32" s="112" t="str">
        <x:v>Second-pass extraction lock covers source identity, physical PDF page span, section/clause, ASCII transcription, normalized meaning, and verification category. SHACL shapes remain a separate implementation artifact.</x:v>
      </x:c>
      <x:c r="W32" s="112" t="str">
        <x:v>https://www.finlex.fi/en/authorities/regulations/traficom-transport-maritime/2021/47238</x:v>
      </x:c>
      <x:c r="X32" s="112" t="str">
        <x:v>No explicit data variable identified</x:v>
      </x:c>
      <x:c r="Y32" s="112" t="str">
        <x:v>Direct property/presence constraint; encode values with units and retain clause/page provenance.</x:v>
      </x:c>
    </x:row>
    <x:row r="33" ht="92" customHeight="1">
      <x:c r="A33" s="108" t="str">
        <x:v>TRF-036</x:v>
      </x:c>
      <x:c r="B33" s="108" t="str">
        <x:v>Ice Class Regulations and the Application Thereof</x:v>
      </x:c>
      <x:c r="C33" s="108" t="str">
        <x:v>TRAFICOM/68863/03.04.01.00/2021</x:v>
      </x:c>
      <x:c r="D33" s="163" t="n">
        <x:v>14</x:v>
      </x:c>
      <x:c r="E33" s="108" t="str">
        <x:v>Height of the ice load area</x:v>
      </x:c>
      <x:c r="F33" s="108" t="str">
        <x:v>4.2.1</x:v>
      </x:c>
      <x:c r="G33" s="113" t="str">
        <x:v>Static Calculation</x:v>
      </x:c>
      <x:c r="H33" s="109"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I33" s="110"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x:v>
      </x:c>
      <x:c r="J33" s="111" t="str">
        <x:v>No explicit data variable identified</x:v>
      </x:c>
      <x:c r="K33" s="111" t="str">
        <x:v>No direct AnchorMap term found; propose a code-safe alias during SHACL design</x:v>
      </x:c>
      <x:c r="L33" s="114" t="str">
        <x:v>Medium</x:v>
      </x:c>
      <x:c r="M33" s="111" t="str">
        <x:v>Table-lookup plus constraint</x:v>
      </x:c>
      <x:c r="N33" s="108" t="str">
        <x:v>Deterministic calculation from static design inputs followed by a numeric or logical comparison.</x:v>
      </x:c>
      <x:c r="O33" s="113" t="str">
        <x:v>No</x:v>
      </x:c>
      <x:c r="P33" s="113" t="str">
        <x:v>Included - source reverified and locked</x:v>
      </x:c>
      <x:c r="Q33" s="108" t="str">
        <x:v>LOCK-2026-08-10: No source, page, clause, category, or normalized-meaning correction was required. Source wording was checked against the supplied PDF; equation notation is ASCII-linearized.</x:v>
      </x:c>
      <x:c r="R33" s="108" t="str">
        <x:v>LOCK-2026-08-11-R2 | source_pdf=TRAFICOM.pdf | source_sha256=8ab845347770c253433b8bad9b1fbe5d6ac71b3d07a1a28dae8a32cfde732ddc | physical_pdf_page=14 | section=Height of the ice load area | clause=4.2.1 | checks=independent_full_text_page_layout; numbers_units_operators_equations; normalized_rule_meaning; five_category_classification | status=LOCKED</x:v>
      </x:c>
      <x:c r="S33" s="108" t="str">
        <x:v>27_staticcalculation_ice_load_height (static_calculation); 46_complex_design_ice_pressure (Complex)</x:v>
      </x:c>
      <x:c r="T33" s="108" t="str">
        <x:v>PASS - source/page/clause/meaning/category reverified</x:v>
      </x:c>
      <x:c r="U33" s="108" t="str">
        <x:v>LOCKED - extraction reverified</x:v>
      </x:c>
      <x:c r="V33" s="112" t="str">
        <x:v>Second-pass extraction lock covers source identity, physical PDF page span, section/clause, ASCII transcription, normalized meaning, and verification category. SHACL shapes remain a separate implementation artifact.</x:v>
      </x:c>
      <x:c r="W33" s="112" t="str">
        <x:v>https://www.finlex.fi/en/authorities/regulations/traficom-transport-maritime/2021/47238</x:v>
      </x:c>
      <x:c r="X33" s="112" t="str">
        <x:v>No explicit data variable identified</x:v>
      </x:c>
      <x:c r="Y33" s="112" t="str">
        <x:v>Table-lookup plus constraint; encode values with units and retain clause/page provenance.</x:v>
      </x:c>
    </x:row>
    <x:row r="34" ht="92" customHeight="1">
      <x:c r="A34" s="108" t="str">
        <x:v>TRF-037</x:v>
      </x:c>
      <x:c r="B34" s="108" t="str">
        <x:v>Ice Class Regulations and the Application Thereof</x:v>
      </x:c>
      <x:c r="C34" s="108" t="str">
        <x:v>TRAFICOM/68863/03.04.01.00/2021</x:v>
      </x:c>
      <x:c r="D34" s="163" t="n">
        <x:v>14</x:v>
      </x:c>
      <x:c r="E34" s="108" t="str">
        <x:v>Ice pressure</x:v>
      </x:c>
      <x:c r="F34" s="108" t="str">
        <x:v>4.2.2</x:v>
      </x:c>
      <x:c r="G34" s="113" t="str">
        <x:v>Static Calculation</x:v>
      </x:c>
      <x:c r="H34" s="109" t="str">
        <x:v>The design ice pressure is determined by the formula p = c_d*c_p*c_a*p_0 [MPa] (4.1), where c_d is a factor which takes account of the influence of the size and engine output of the ship. The maximum value is c_d = 1. It is calculated using c_d = (a*k + b)/1000 (4.2).</x:v>
      </x:c>
      <x:c r="I34" s="110" t="str">
        <x:v>The design ice pressure is determined by the formula p = c_d*c_p*c_a*p_0 [MPa] (4.1), where c_d is a factor which takes account of the influence of the size and engine output of the ship. The maximum value is c_d = 1. It is calculated using c_d = (a*k + b)/1000 (4.2).</x:v>
      </x:c>
      <x:c r="J34" s="111" t="str">
        <x:v>mcrPower_kW</x:v>
      </x:c>
      <x:c r="K34" s="111" t="str">
        <x:v>mcrPower_kW</x:v>
      </x:c>
      <x:c r="L34" s="114" t="str">
        <x:v>Medium</x:v>
      </x:c>
      <x:c r="M34" s="111" t="str">
        <x:v>Formula-derived constraint</x:v>
      </x:c>
      <x:c r="N34" s="108" t="str">
        <x:v>Deterministic calculation from static design inputs followed by a numeric or logical comparison.</x:v>
      </x:c>
      <x:c r="O34" s="113" t="str">
        <x:v>No</x:v>
      </x:c>
      <x:c r="P34" s="113" t="str">
        <x:v>Included - source reverified and locked</x:v>
      </x:c>
      <x:c r="Q34" s="108" t="str">
        <x:v>LOCK-2026-08-10: Classified the deterministic design-pressure equations as Static Calculation. Final source lock check completed against the supplied PDF; equation notation is ASCII-linearized.</x:v>
      </x:c>
      <x:c r="R34" s="108" t="str">
        <x:v>LOCK-2026-08-11-R2 | source_pdf=TRAFICOM.pdf | source_sha256=8ab845347770c253433b8bad9b1fbe5d6ac71b3d07a1a28dae8a32cfde732ddc | physical_pdf_page=14 | section=Ice pressure | clause=4.2.2 | checks=independent_full_text_page_layout; numbers_units_operators_equations; normalized_rule_meaning; five_category_classification | status=LOCKED</x:v>
      </x:c>
      <x:c r="S34" s="108" t="str">
        <x:v>07_static_cd_factor (Static); 46_complex_design_ice_pressure (Complex); 06_static_nominal_ice_pressure (Static)</x:v>
      </x:c>
      <x:c r="T34" s="108" t="str">
        <x:v>PASS - source/page/clause/meaning/category reverified</x:v>
      </x:c>
      <x:c r="U34" s="108" t="str">
        <x:v>LOCKED - extraction reverified</x:v>
      </x:c>
      <x:c r="V34" s="112" t="str">
        <x:v>Second-pass extraction lock covers source identity, physical PDF page span, section/clause, ASCII transcription, normalized meaning, and verification category. SHACL shapes remain a separate implementation artifact.</x:v>
      </x:c>
      <x:c r="W34" s="112" t="str">
        <x:v>https://www.finlex.fi/en/authorities/regulations/traficom-transport-maritime/2021/47238</x:v>
      </x:c>
      <x:c r="X34" s="112" t="str">
        <x:v>mcrPower_kW</x:v>
      </x:c>
      <x:c r="Y34" s="112" t="str">
        <x:v>Formula-derived constraint; encode values with units and retain clause/page provenance.</x:v>
      </x:c>
    </x:row>
    <x:row r="35" ht="92" customHeight="1">
      <x:c r="A35" s="108" t="str">
        <x:v>TRF-039</x:v>
      </x:c>
      <x:c r="B35" s="108" t="str">
        <x:v>Ice Class Regulations and the Application Thereof</x:v>
      </x:c>
      <x:c r="C35" s="108" t="str">
        <x:v>TRAFICOM/68863/03.04.01.00/2021</x:v>
      </x:c>
      <x:c r="D35" s="163" t="n">
        <x:v>15</x:v>
      </x:c>
      <x:c r="E35" s="108" t="str">
        <x:v>Ice pressure</x:v>
      </x:c>
      <x:c r="F35" s="108" t="str">
        <x:v>4.2.2</x:v>
      </x:c>
      <x:c r="G35" s="113" t="str">
        <x:v>Complex</x:v>
      </x:c>
      <x:c r="H35" s="109" t="str">
        <x:v>Delta is the displacement of the ship at a maximum ice class draught [t] (see section 2.2). P is the actual continuous engine output of the ship [kW] (see section 3.1) available when sailing in ice. If additional power sources are available for propulsion power (e.g. shaft motors) in addition to the power of the main engine(s), they shall also be included in the total engine output used as the basis for hull scantling calculations. The engine output used for the calculation of the hull scantlings shall be clearly stated on the shell expansion drawing. cp is a factor that reflects the magnitude of the load expected in the hull area in question relative to the bow area. The value of cp is given in Table 4-3. ca is a factor which takes account of the probability that the full length of the area under consideration will be under pressure at the same time. It is calculated using the formula: l (4.4) ca = l0 , maximum 1.0, minimum 0.35, l0 = 0.6 m. a Values of la are given in Table 4-4. po is the nominal ice pressure; the value 5.6 MPa shall be used.</x:v>
      </x:c>
      <x:c r="I35" s="110" t="str">
        <x:v>Use displacement_Delta_t at maximum ice-class draught. total_propulsion_power_for_scantlings_kW shall include the main engine and every additional propulsion power source and shall be stated on the shell expansion drawing. Select c_p from Table 4-3. Compute c_a = clamp(l_a/l_0, 0.35, 1.0), where l_0 = 0.6 m. Use nominal_ice_pressure_p_0_MPa = 5.6.</x:v>
      </x:c>
      <x:c r="J35" s="111" t="str">
        <x:v>iceClass, mcrPower_kW</x:v>
      </x:c>
      <x:c r="K35" s="111" t="str">
        <x:v>iceClass, mcrPower_kW</x:v>
      </x:c>
      <x:c r="L35" s="114" t="str">
        <x:v>Medium</x:v>
      </x:c>
      <x:c r="M35" s="111" t="str">
        <x:v>Table-lookup plus constraint</x:v>
      </x:c>
      <x:c r="N35" s="108" t="str">
        <x:v>Verification requires linked conditions, external approval or evidence, an assessment, or a composite workflow.</x:v>
      </x:c>
      <x:c r="O35" s="113" t="str">
        <x:v>No</x:v>
      </x:c>
      <x:c r="P35" s="113" t="str">
        <x:v>Included - source reverified and locked</x:v>
      </x:c>
      <x:c r="Q35" s="108" t="str">
        <x:v>LOCK-2026-08-10: Expanded the normalized rule to cover all variables, drawing evidence, the c_a clamp, and p_0. Final source lock check completed against the supplied PDF; equation notation is ASCII-linearized.</x:v>
      </x:c>
      <x:c r="R35" s="108" t="str">
        <x:v>LOCK-2026-08-11-R2 | source_pdf=TRAFICOM.pdf | source_sha256=8ab845347770c253433b8bad9b1fbe5d6ac71b3d07a1a28dae8a32cfde732ddc | physical_pdf_page=15 | section=Ice pressure | clause=4.2.2 | checks=independent_full_text_page_layout; numbers_units_operators_equations; normalized_rule_meaning; five_category_classification | status=LOCKED</x:v>
      </x:c>
      <x:c r="S35" s="108" t="str">
        <x:v>08_static_cp_factor_bow (Static); 09_static_cp_factor_midbody (Static); 10_static_cp_factor_stern (Static)</x:v>
      </x:c>
      <x:c r="T35" s="108" t="str">
        <x:v>PASS - source/page/clause/meaning/category reverified</x:v>
      </x:c>
      <x:c r="U35" s="108" t="str">
        <x:v>LOCKED - extraction reverified</x:v>
      </x:c>
      <x:c r="V35" s="112" t="str">
        <x:v>Second-pass extraction lock covers source identity, physical PDF page span, section/clause, ASCII transcription, normalized meaning, and verification category. SHACL shapes remain a separate implementation artifact.</x:v>
      </x:c>
      <x:c r="W35" s="112" t="str">
        <x:v>https://www.finlex.fi/en/authorities/regulations/traficom-transport-maritime/2021/47238</x:v>
      </x:c>
      <x:c r="X35" s="112" t="str">
        <x:v>iceClass, mcrPower_kW</x:v>
      </x:c>
      <x:c r="Y35" s="112" t="str">
        <x:v>Table-lookup plus constraint; encode values with units and retain clause/page provenance.</x:v>
      </x:c>
    </x:row>
    <x:row r="36" ht="92" customHeight="1">
      <x:c r="A36" s="108" t="str">
        <x:v>TRF-040</x:v>
      </x:c>
      <x:c r="B36" s="108" t="str">
        <x:v>Ice Class Regulations and the Application Thereof</x:v>
      </x:c>
      <x:c r="C36" s="108" t="str">
        <x:v>TRAFICOM/68863/03.04.01.00/2021</x:v>
      </x:c>
      <x:c r="D36" s="163" t="n">
        <x:v>16</x:v>
      </x:c>
      <x:c r="E36" s="108" t="str">
        <x:v>Vertical extension of ice strengthening for plating (ice belt)</x:v>
      </x:c>
      <x:c r="F36" s="108" t="str">
        <x:v>4.3.1</x:v>
      </x:c>
      <x:c r="G36" s="113" t="str">
        <x:v>Complex</x:v>
      </x:c>
      <x:c r="H36" s="109" t="str">
        <x:v>In addition, the following areas shall be strengthened: Fore foot: For ice class IA Super, the shell plating below the ice belt from the stem to a position five main frame spacings abaft of the point where the bow profile departs from the keel line shall be ice-strengthened in the same way as the bow region. Upper bow ice belt: For ice classes IA Super and IA on ships with an open water service speed equal to or exceeding 18 knots, the shell plate from the upper limit of the ice belt to 2 m above it and from the stem to a position at least 0.2 L abaft of the forward perpendicular shall be ice-strengthened in the same way as the midbody region. A similar strengthening of the bow region is also advisable for a ship with a lower service speed when, on the basis of the model tests, for example, it is evident that the ship will have a high bow wave. Sidescuttles shall not be situated in the ice belt. If the weather deck on any part of the ship is situated below the upper limit of the ice belt (e.g. in the way of the well of a raised quarter decker), the bulwark shall be provided with at least the same strength as is required for the shell in the ice belt. The strength of the construction of the freeing ports shall meet the same requirements.</x:v>
      </x:c>
      <x:c r="I36" s="110" t="str">
        <x:v>IF iceClass = 'IA Super', THEN forefoot_shell_strengthening_status = bow_region_equivalent for the specified five-main-frame-spacing extent. IF iceClass IN {'IA Super','IA'} AND open_water_service_speed_kn &gt;= 18, THEN upper_bow_ice_belt_strengthening_status = midbody_equivalent for the area from the ice-belt upper limit to 2 m above it and at least 0.2*L aft of the forward perpendicular. sidescuttle_in_ice_belt = false. IF weather_deck_below_ice_belt_upper_limit = true, THEN bulwark_strength_status and freeing_port_strength_status shall meet the ice-belt shell requirement. The lower-speed model-test sentence is advisory and is not encoded as a mandatory constraint.</x:v>
      </x:c>
      <x:c r="J36" s="111" t="str">
        <x:v>iceClass, spacing, thickness, designOperationSpeedInIce_kn</x:v>
      </x:c>
      <x:c r="K36" s="111" t="str">
        <x:v>iceClass, spacing, thickness, designOperationSpeedInIce_kn</x:v>
      </x:c>
      <x:c r="L36" s="114" t="str">
        <x:v>Medium</x:v>
      </x:c>
      <x:c r="M36" s="111" t="str">
        <x:v>Conditional/applicability constraint</x:v>
      </x:c>
      <x:c r="N36" s="108" t="str">
        <x:v>Verification requires linked conditions, external approval or evidence, an assessment, or a composite workflow.</x:v>
      </x:c>
      <x:c r="O36" s="113" t="str">
        <x:v>No</x:v>
      </x:c>
      <x:c r="P36" s="113" t="str">
        <x:v>Included - source reverified and locked</x:v>
      </x:c>
      <x:c r="Q36" s="108" t="str">
        <x:v>LOCK-2026-08-10: Restored the numeric extents and all mandatory forefoot, upper-bow, sidescuttle, bulwark, and freeing-port conditions. Final source lock check completed against the supplied PDF; equation notation is ASCII-linearized.</x:v>
      </x:c>
      <x:c r="R36" s="108" t="str">
        <x:v>LOCK-2026-08-11-R2 | source_pdf=TRAFICOM.pdf | source_sha256=8ab845347770c253433b8bad9b1fbe5d6ac71b3d07a1a28dae8a32cfde732ddc | physical_pdf_page=16 | section=Vertical extension of ice strengthening for plating (ice belt) | clause=4.3.1 | checks=independent_full_text_page_layout; numbers_units_operators_equations; normalized_rule_meaning; five_category_classification | status=LOCKED</x:v>
      </x:c>
      <x:c r="S36" s="108" t="str">
        <x:v>05_static_brash_ice_thickness (Static); 17_static_rudder_min_service_speed (Static); 28_staticcalculation_service_speed (static_calculation)</x:v>
      </x:c>
      <x:c r="T36" s="108" t="str">
        <x:v>PASS - source/page/clause/meaning/category reverified</x:v>
      </x:c>
      <x:c r="U36" s="108" t="str">
        <x:v>LOCKED - extraction reverified</x:v>
      </x:c>
      <x:c r="V36" s="112" t="str">
        <x:v>Second-pass extraction lock covers source identity, physical PDF page span, section/clause, ASCII transcription, normalized meaning, and verification category. SHACL shapes remain a separate implementation artifact.</x:v>
      </x:c>
      <x:c r="W36" s="112" t="str">
        <x:v>https://www.finlex.fi/en/authorities/regulations/traficom-transport-maritime/2021/47238</x:v>
      </x:c>
      <x:c r="X36" s="112" t="str">
        <x:v>iceClass, spacing, thickness, designOperationSpeedInIce_kn</x:v>
      </x:c>
      <x:c r="Y36" s="112" t="str">
        <x:v>Conditional/applicability constraint; encode values with units and retain clause/page provenance.</x:v>
      </x:c>
    </x:row>
    <x:row r="37" ht="92" customHeight="1">
      <x:c r="A37" s="108" t="str">
        <x:v>TRF-041</x:v>
      </x:c>
      <x:c r="B37" s="108" t="str">
        <x:v>Ice Class Regulations and the Application Thereof</x:v>
      </x:c>
      <x:c r="C37" s="108" t="str">
        <x:v>TRAFICOM/68863/03.04.01.00/2021</x:v>
      </x:c>
      <x:c r="D37" s="163" t="n">
        <x:v>17</x:v>
      </x:c>
      <x:c r="E37" s="108" t="str">
        <x:v>Plate thickness in the ice belt</x:v>
      </x:c>
      <x:c r="F37" s="108" t="str">
        <x:v>4.3.2</x:v>
      </x:c>
      <x:c r="G37" s="113" t="str">
        <x:v>Static Calculation</x:v>
      </x:c>
      <x:c r="H37" s="109" t="str">
        <x:v>For transverse framing, the thickness of the shell plating shall be determined by t = 667*s*sqrt(f_1*p_pl/sigma_y) + t_c [mm] (4.5). For longitudinal framing, the thickness shall be determined by t = 667*s*sqrt(p/(f_2*sigma_y)) + t_c [mm] (4.6).</x:v>
      </x:c>
      <x:c r="I37" s="110" t="str">
        <x:v>For transverse framing, the thickness of the shell plating shall be determined by t = 667*s*sqrt(f_1*p_pl/sigma_y) + t_c [mm] (4.5). For longitudinal framing, the thickness shall be determined by t = 667*s*sqrt(p/(f_2*sigma_y)) + t_c [mm] (4.6).</x:v>
      </x:c>
      <x:c r="J37" s="111" t="str">
        <x:v>yieldStrength_MPa, thickness</x:v>
      </x:c>
      <x:c r="K37" s="111" t="str">
        <x:v>yieldStrength_MPa, thickness</x:v>
      </x:c>
      <x:c r="L37" s="114" t="str">
        <x:v>High</x:v>
      </x:c>
      <x:c r="M37" s="111" t="str">
        <x:v>Formula-derived constraint</x:v>
      </x:c>
      <x:c r="N37" s="108" t="str">
        <x:v>Deterministic calculation from static design inputs followed by a numeric or logical comparison.</x:v>
      </x:c>
      <x:c r="O37" s="113" t="str">
        <x:v>No</x:v>
      </x:c>
      <x:c r="P37" s="113" t="str">
        <x:v>Included - source reverified and locked</x:v>
      </x:c>
      <x:c r="Q37" s="108" t="str">
        <x:v>LOCK-2026-08-10: No source, page, clause, category, or normalized-meaning correction was required. Source wording was checked against the supplied PDF; equation notation is ASCII-linearized.</x:v>
      </x:c>
      <x:c r="R37" s="108" t="str">
        <x:v>LOCK-2026-08-11-R2 | source_pdf=TRAFICOM.pdf | source_sha256=8ab845347770c253433b8bad9b1fbe5d6ac71b3d07a1a28dae8a32cfde732ddc | physical_pdf_page=17 | section=Plate thickness in the ice belt | clause=4.3.2 | checks=independent_full_text_page_layout; numbers_units_operators_equations; normalized_rule_meaning; five_category_classification | status=LOCKED</x:v>
      </x:c>
      <x:c r="S37" s="108" t="str">
        <x:v>46_complex_design_ice_pressure (Complex)</x:v>
      </x:c>
      <x:c r="T37" s="108" t="str">
        <x:v>PASS - source/page/clause/meaning/category reverified</x:v>
      </x:c>
      <x:c r="U37" s="108" t="str">
        <x:v>LOCKED - extraction reverified</x:v>
      </x:c>
      <x:c r="V37" s="112" t="str">
        <x:v>Second-pass extraction lock covers source identity, physical PDF page span, section/clause, ASCII transcription, normalized meaning, and verification category. SHACL shapes remain a separate implementation artifact.</x:v>
      </x:c>
      <x:c r="W37" s="112" t="str">
        <x:v>https://www.finlex.fi/en/authorities/regulations/traficom-transport-maritime/2021/47238</x:v>
      </x:c>
      <x:c r="X37" s="112" t="str">
        <x:v>yieldStrength_MPa, thickness</x:v>
      </x:c>
      <x:c r="Y37" s="112" t="str">
        <x:v>Formula-derived constraint; encode values with units and retain clause/page provenance.</x:v>
      </x:c>
    </x:row>
    <x:row r="38" ht="92" customHeight="1">
      <x:c r="A38" s="108" t="str">
        <x:v>TRF-042</x:v>
      </x:c>
      <x:c r="B38" s="108" t="str">
        <x:v>Ice Class Regulations and the Application Thereof</x:v>
      </x:c>
      <x:c r="C38" s="108" t="str">
        <x:v>TRAFICOM/68863/03.04.01.00/2021</x:v>
      </x:c>
      <x:c r="D38" s="163" t="n">
        <x:v>17</x:v>
      </x:c>
      <x:c r="E38" s="108" t="str">
        <x:v>Plate thickness in the ice belt</x:v>
      </x:c>
      <x:c r="F38" s="108" t="str">
        <x:v>4.3.2</x:v>
      </x:c>
      <x:c r="G38" s="113" t="str">
        <x:v>Static Calculation</x:v>
      </x:c>
      <x:c r="H38" s="109"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I38" s="110"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J38" s="111" t="str">
        <x:v>yieldStrength_MPa</x:v>
      </x:c>
      <x:c r="K38" s="111" t="str">
        <x:v>yieldStrength_MPa</x:v>
      </x:c>
      <x:c r="L38" s="114" t="str">
        <x:v>Medium</x:v>
      </x:c>
      <x:c r="M38" s="111" t="str">
        <x:v>Formula-derived constraint</x:v>
      </x:c>
      <x:c r="N38" s="108" t="str">
        <x:v>Deterministic calculation from static design inputs followed by a numeric or logical comparison.</x:v>
      </x:c>
      <x:c r="O38" s="113" t="str">
        <x:v>No</x:v>
      </x:c>
      <x:c r="P38" s="113" t="str">
        <x:v>Included - source reverified and locked</x:v>
      </x:c>
      <x:c r="Q38" s="108" t="str">
        <x:v>LOCK-2026-08-10: Classified the piecewise f_2 and material/yield calculations as Static Calculation. Final source lock check completed against the supplied PDF; equation notation is ASCII-linearized.</x:v>
      </x:c>
      <x:c r="R38" s="108" t="str">
        <x:v>LOCK-2026-08-11-R2 | source_pdf=TRAFICOM.pdf | source_sha256=8ab845347770c253433b8bad9b1fbe5d6ac71b3d07a1a28dae8a32cfde732ddc | physical_pdf_page=17 | section=Plate thickness in the ice belt | clause=4.3.2 | checks=independent_full_text_page_layout; numbers_units_operators_equations; normalized_rule_meaning; five_category_classification | status=LOCKED</x:v>
      </x:c>
      <x:c r="S38" s="108" t="str">
        <x:v>No close match among the thesis repository's 90 input cases.</x:v>
      </x:c>
      <x:c r="T38" s="108" t="str">
        <x:v>PASS - source/page/clause/meaning/category reverified</x:v>
      </x:c>
      <x:c r="U38" s="108" t="str">
        <x:v>LOCKED - extraction reverified</x:v>
      </x:c>
      <x:c r="V38" s="112" t="str">
        <x:v>Second-pass extraction lock covers source identity, physical PDF page span, section/clause, ASCII transcription, normalized meaning, and verification category. SHACL shapes remain a separate implementation artifact.</x:v>
      </x:c>
      <x:c r="W38" s="112" t="str">
        <x:v>https://www.finlex.fi/en/authorities/regulations/traficom-transport-maritime/2021/47238</x:v>
      </x:c>
      <x:c r="X38" s="112" t="str">
        <x:v>yieldStrength_MPa</x:v>
      </x:c>
      <x:c r="Y38" s="112" t="str">
        <x:v>Formula-derived constraint; encode values with units and retain clause/page provenance.</x:v>
      </x:c>
    </x:row>
    <x:row r="39" ht="92" customHeight="1">
      <x:c r="A39" s="108" t="str">
        <x:v>TRF-043</x:v>
      </x:c>
      <x:c r="B39" s="108" t="str">
        <x:v>Ice Class Regulations and the Application Thereof</x:v>
      </x:c>
      <x:c r="C39" s="108" t="str">
        <x:v>TRAFICOM/68863/03.04.01.00/2021</x:v>
      </x:c>
      <x:c r="D39" s="163" t="n">
        <x:v>18</x:v>
      </x:c>
      <x:c r="E39" s="108" t="str">
        <x:v>Vertical extension of ice strengthening for framing</x:v>
      </x:c>
      <x:c r="F39" s="108" t="str">
        <x:v>4.4.1</x:v>
      </x:c>
      <x:c r="G39" s="113" t="str">
        <x:v>Static</x:v>
      </x:c>
      <x:c r="H39" s="109" t="str">
        <x:v>The vertical extension of the ice strengthening of framing shall be at least as given in Table 4- 6. Where an upper bow ice belt is required (see 4.3.1), the ice-strengthened part of the framing shall be extended to at least the top of this ice belt. Where the ice-strengthening would go beyond a deck, the top or bottom plating of a tank or tank top by no more than 250 mm, it can be terminated at that deck, top or bottom plating of the tank or tank top.</x:v>
      </x:c>
      <x:c r="I39" s="110"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x:v>
      </x:c>
      <x:c r="J39" s="111" t="str">
        <x:v>No explicit data variable identified</x:v>
      </x:c>
      <x:c r="K39" s="111" t="str">
        <x:v>No direct AnchorMap term found; propose a code-safe alias during SHACL design</x:v>
      </x:c>
      <x:c r="L39" s="114" t="str">
        <x:v>Medium</x:v>
      </x:c>
      <x:c r="M39" s="111" t="str">
        <x:v>Table-lookup plus constraint</x:v>
      </x:c>
      <x:c r="N39" s="108" t="str">
        <x:v>Direct verification of a stated property, document, presence condition, enumeration, applicability rule, prohibition, or fixed limit.</x:v>
      </x:c>
      <x:c r="O39" s="113" t="str">
        <x:v>No</x:v>
      </x:c>
      <x:c r="P39" s="113" t="str">
        <x:v>Included - source reverified and locked</x:v>
      </x:c>
      <x:c r="Q39" s="108" t="str">
        <x:v>LOCK-2026-08-10: Corrected the table reference from Table 4-5 to Table 4-6 and restored the upper-bow and 250 mm conditions. Final source lock check completed against the supplied PDF; equation notation is ASCII-linearized.</x:v>
      </x:c>
      <x:c r="R39" s="108" t="str">
        <x:v>LOCK-2026-08-11-R2 | source_pdf=TRAFICOM.pdf | source_sha256=8ab845347770c253433b8bad9b1fbe5d6ac71b3d07a1a28dae8a32cfde732ddc | physical_pdf_page=18 | section=Vertical extension of ice strengthening for framing | clause=4.4.1 | checks=independent_full_text_page_layout; numbers_units_operators_equations; normalized_rule_meaning; five_category_classification | status=LOCKED</x:v>
      </x:c>
      <x:c r="S39" s="108" t="str">
        <x:v>34_staticcalculation_ice_belt_extension_above_uiwl (static_calculation); 35_staticcalculation_ice_belt_extension_below_liwl (static_calculation); 36_staticcalculation_framing_extension_above_uiwl (static_calculation)</x:v>
      </x:c>
      <x:c r="T39" s="108" t="str">
        <x:v>PASS - source/page/clause/meaning/category reverified</x:v>
      </x:c>
      <x:c r="U39" s="108" t="str">
        <x:v>LOCKED - extraction reverified</x:v>
      </x:c>
      <x:c r="V39" s="112" t="str">
        <x:v>Second-pass extraction lock covers source identity, physical PDF page span, section/clause, ASCII transcription, normalized meaning, and verification category. SHACL shapes remain a separate implementation artifact.</x:v>
      </x:c>
      <x:c r="W39" s="112" t="str">
        <x:v>https://www.finlex.fi/en/authorities/regulations/traficom-transport-maritime/2021/47238</x:v>
      </x:c>
      <x:c r="X39" s="112" t="str">
        <x:v>No explicit data variable identified</x:v>
      </x:c>
      <x:c r="Y39" s="112" t="str">
        <x:v>Table-lookup plus constraint; encode values with units and retain clause/page provenance.</x:v>
      </x:c>
    </x:row>
    <x:row r="40" ht="92" customHeight="1">
      <x:c r="A40" s="108" t="str">
        <x:v>TRF-044</x:v>
      </x:c>
      <x:c r="B40" s="108" t="str">
        <x:v>Ice Class Regulations and the Application Thereof</x:v>
      </x:c>
      <x:c r="C40" s="108" t="str">
        <x:v>TRAFICOM/68863/03.04.01.00/2021</x:v>
      </x:c>
      <x:c r="D40" s="163" t="str">
        <x:v>18-19</x:v>
      </x:c>
      <x:c r="E40" s="108" t="str">
        <x:v>Section modulus and shear area</x:v>
      </x:c>
      <x:c r="F40" s="108" t="str">
        <x:v>4.4.2.1</x:v>
      </x:c>
      <x:c r="G40" s="113" t="str">
        <x:v>Static Calculation</x:v>
      </x:c>
      <x:c r="H40" s="109" t="str">
        <x:v>The section modulus of a main or intermediate transverse frame shall be calculated using Z = p*s*h*l/(m_t*sigma_y)*10^6 [cm^3] (4.7), and the effective shear area shall be calculated using A = sqrt(3)*f_3*p*h*s/(2*sigma_y)*10^4 [cm^2] (4.8), where p is the ice pressure from 4.2.2, s is the frame spacing, h is the load-area height from 4.2.1, l is the frame span, m_t = 7*m_0/(7 - 5*h/l), f_3 = 1.2, sigma_y is the yield stress from 4.3.2, and m_0 is selected from Table 4-7 for the applicable boundary condition.</x:v>
      </x:c>
      <x:c r="I40" s="110" t="str">
        <x:v>Compute m_t = 7*m_0/(7 - 5*h/l), Z_cm3 = p_MPa*s_m*h_m*l_m/(m_t*sigma_y_N_mm2)*10^6, and A_cm2 = sqrt(3)*1.2*p_MPa*h_m*s_m/(2*sigma_y_N_mm2)*10^4. Select m_0 from Table 4-7 for the frame boundary condition.</x:v>
      </x:c>
      <x:c r="J40" s="111" t="str">
        <x:v>yieldStrength_MPa, sectionModulusZ, shearAreaA</x:v>
      </x:c>
      <x:c r="K40" s="111" t="str">
        <x:v>yieldStrength_MPa, sectionModulusZ, shearAreaA</x:v>
      </x:c>
      <x:c r="L40" s="114" t="str">
        <x:v>Medium</x:v>
      </x:c>
      <x:c r="M40" s="111" t="str">
        <x:v>Table-lookup plus constraint</x:v>
      </x:c>
      <x:c r="N40" s="108" t="str">
        <x:v>Deterministic calculation from static design inputs followed by a numeric or logical comparison.</x:v>
      </x:c>
      <x:c r="O40" s="113" t="str">
        <x:v>No</x:v>
      </x:c>
      <x:c r="P40" s="113" t="str">
        <x:v>Included - source reverified and locked</x:v>
      </x:c>
      <x:c r="Q40" s="108" t="str">
        <x:v>LOCK-2026-08-10: Restored the missing physical page range and the m_t boundary-factor equation. Final source lock check completed against the supplied PDF; equation notation is ASCII-linearized.</x:v>
      </x:c>
      <x:c r="R40" s="108" t="str">
        <x:v>LOCK-2026-08-11-R2 | source_pdf=TRAFICOM.pdf | source_sha256=8ab845347770c253433b8bad9b1fbe5d6ac71b3d07a1a28dae8a32cfde732ddc | physical_pdf_page=18-19 | section=Section modulus and shear area | clause=4.4.2.1 | checks=independent_full_text_page_layout; numbers_units_operators_equations; normalized_rule_meaning; five_category_classification | status=LOCKED</x:v>
      </x:c>
      <x:c r="S40" s="108" t="str">
        <x:v>54_complex_web_frame_shear_area (Complex); 49_complex_transverse_frame_section_modulus (Complex); 50_complex_transverse_frame_shear_area (Complex)</x:v>
      </x:c>
      <x:c r="T40" s="108" t="str">
        <x:v>PASS - source/page/clause/meaning/category reverified</x:v>
      </x:c>
      <x:c r="U40" s="108" t="str">
        <x:v>LOCKED - extraction reverified</x:v>
      </x:c>
      <x:c r="V40" s="112" t="str">
        <x:v>Second-pass extraction lock covers source identity, physical PDF page span, section/clause, ASCII transcription, normalized meaning, and verification category. SHACL shapes remain a separate implementation artifact.</x:v>
      </x:c>
      <x:c r="W40" s="112" t="str">
        <x:v>https://www.finlex.fi/en/authorities/regulations/traficom-transport-maritime/2021/47238</x:v>
      </x:c>
      <x:c r="X40" s="112" t="str">
        <x:v>yieldStrength_MPa, sectionModulusZ, shearAreaA</x:v>
      </x:c>
      <x:c r="Y40" s="112" t="str">
        <x:v>Table-lookup plus constraint; encode values with units and retain clause/page provenance.</x:v>
      </x:c>
    </x:row>
    <x:row r="41" ht="92" customHeight="1">
      <x:c r="A41" s="108" t="str">
        <x:v>TRF-045</x:v>
      </x:c>
      <x:c r="B41" s="108" t="str">
        <x:v>Ice Class Regulations and the Application Thereof</x:v>
      </x:c>
      <x:c r="C41" s="108" t="str">
        <x:v>TRAFICOM/68863/03.04.01.00/2021</x:v>
      </x:c>
      <x:c r="D41" s="163" t="n">
        <x:v>19</x:v>
      </x:c>
      <x:c r="E41" s="108" t="str">
        <x:v>Transverse frames</x:v>
      </x:c>
      <x:c r="F41" s="108" t="str">
        <x:v>4.4.2.1</x:v>
      </x:c>
      <x:c r="G41" s="113" t="str">
        <x:v>Static</x:v>
      </x:c>
      <x:c r="H41" s="109" t="str">
        <x:v>Where less than 15% of the span, l, of the frame is situated within the ice-strengthening zone for frames as defined in 4.4.1, ordinary frame scantlings may be used.</x:v>
      </x:c>
      <x:c r="I41" s="110" t="str">
        <x:v>Where less than 15% of the span, l, of the frame is situated within the ice-strengthening zone for frames as defined in 4.4.1, ordinary frame scantlings may be used.</x:v>
      </x:c>
      <x:c r="J41" s="111" t="str">
        <x:v>span</x:v>
      </x:c>
      <x:c r="K41" s="111" t="str">
        <x:v>span</x:v>
      </x:c>
      <x:c r="L41" s="114" t="str">
        <x:v>High</x:v>
      </x:c>
      <x:c r="M41" s="111" t="str">
        <x:v>Conditional/applicability constraint</x:v>
      </x:c>
      <x:c r="N41" s="108" t="str">
        <x:v>Direct verification of a stated property, document, presence condition, enumeration, applicability rule, prohibition, or fixed limit.</x:v>
      </x:c>
      <x:c r="O41" s="113" t="str">
        <x:v>No</x:v>
      </x:c>
      <x:c r="P41" s="113" t="str">
        <x:v>Included - source reverified and locked</x:v>
      </x:c>
      <x:c r="Q41" s="108" t="str">
        <x:v>LOCK-2026-08-10: No source, page, clause, category, or normalized-meaning correction was required. Source wording was checked against the supplied PDF; equation notation is ASCII-linearized.</x:v>
      </x:c>
      <x:c r="R41" s="108" t="str">
        <x:v>LOCK-2026-08-11-R2 | source_pdf=TRAFICOM.pdf | source_sha256=8ab845347770c253433b8bad9b1fbe5d6ac71b3d07a1a28dae8a32cfde732ddc | physical_pdf_page=19 | section=Transverse frames | clause=4.4.2.1 | checks=independent_full_text_page_layout; numbers_units_operators_equations; normalized_rule_meaning; five_category_classification | status=LOCKED</x:v>
      </x:c>
      <x:c r="S41" s="108" t="str">
        <x:v>No close match among the thesis repository's 90 input cases.</x:v>
      </x:c>
      <x:c r="T41" s="108" t="str">
        <x:v>PASS - source/page/clause/meaning/category reverified</x:v>
      </x:c>
      <x:c r="U41" s="108" t="str">
        <x:v>LOCKED - extraction reverified</x:v>
      </x:c>
      <x:c r="V41" s="112" t="str">
        <x:v>Second-pass extraction lock covers source identity, physical PDF page span, section/clause, ASCII transcription, normalized meaning, and verification category. SHACL shapes remain a separate implementation artifact.</x:v>
      </x:c>
      <x:c r="W41" s="112" t="str">
        <x:v>https://www.finlex.fi/en/authorities/regulations/traficom-transport-maritime/2021/47238</x:v>
      </x:c>
      <x:c r="X41" s="112" t="str">
        <x:v>span</x:v>
      </x:c>
      <x:c r="Y41" s="112" t="str">
        <x:v>Conditional/applicability constraint; encode values with units and retain clause/page provenance.</x:v>
      </x:c>
    </x:row>
    <x:row r="42" ht="92" customHeight="1">
      <x:c r="A42" s="108" t="str">
        <x:v>TRF-046</x:v>
      </x:c>
      <x:c r="B42" s="108" t="str">
        <x:v>Ice Class Regulations and the Application Thereof</x:v>
      </x:c>
      <x:c r="C42" s="108" t="str">
        <x:v>TRAFICOM/68863/03.04.01.00/2021</x:v>
      </x:c>
      <x:c r="D42" s="163" t="n">
        <x:v>19</x:v>
      </x:c>
      <x:c r="E42" s="108" t="str">
        <x:v>Upper end of transverse framing</x:v>
      </x:c>
      <x:c r="F42" s="108" t="str">
        <x:v>4.4.2.2</x:v>
      </x:c>
      <x:c r="G42" s="113" t="str">
        <x:v>Static</x:v>
      </x:c>
      <x:c r="H42" s="109"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I42" s="110"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J42" s="111" t="str">
        <x:v>No explicit data variable identified</x:v>
      </x:c>
      <x:c r="K42" s="111" t="str">
        <x:v>No direct AnchorMap term found; propose a code-safe alias during SHACL design</x:v>
      </x:c>
      <x:c r="L42" s="114" t="str">
        <x:v>Medium</x:v>
      </x:c>
      <x:c r="M42" s="111" t="str">
        <x:v>Conditional/applicability constraint</x:v>
      </x:c>
      <x:c r="N42" s="108" t="str">
        <x:v>Direct verification of a stated property, document, presence condition, enumeration, applicability rule, prohibition, or fixed limit.</x:v>
      </x:c>
      <x:c r="O42" s="113" t="str">
        <x:v>No</x:v>
      </x:c>
      <x:c r="P42" s="113" t="str">
        <x:v>Included - source reverified and locked</x:v>
      </x:c>
      <x:c r="Q42" s="108" t="str">
        <x:v>LOCK-2026-08-10: No source, page, clause, category, or normalized-meaning correction was required. Source wording was checked against the supplied PDF; equation notation is ASCII-linearized.</x:v>
      </x:c>
      <x:c r="R42" s="108" t="str">
        <x:v>LOCK-2026-08-11-R2 | source_pdf=TRAFICOM.pdf | source_sha256=8ab845347770c253433b8bad9b1fbe5d6ac71b3d07a1a28dae8a32cfde732ddc | physical_pdf_page=19 | section=Upper end of transverse framing | clause=4.4.2.2 | checks=independent_full_text_page_layout; numbers_units_operators_equations; normalized_rule_meaning; five_category_classification | status=LOCKED</x:v>
      </x:c>
      <x:c r="S42" s="108" t="str">
        <x:v>No close match among the thesis repository's 90 input cases.</x:v>
      </x:c>
      <x:c r="T42" s="108" t="str">
        <x:v>PASS - source/page/clause/meaning/category reverified</x:v>
      </x:c>
      <x:c r="U42" s="108" t="str">
        <x:v>LOCKED - extraction reverified</x:v>
      </x:c>
      <x:c r="V42" s="112" t="str">
        <x:v>Second-pass extraction lock covers source identity, physical PDF page span, section/clause, ASCII transcription, normalized meaning, and verification category. SHACL shapes remain a separate implementation artifact.</x:v>
      </x:c>
      <x:c r="W42" s="112" t="str">
        <x:v>https://www.finlex.fi/en/authorities/regulations/traficom-transport-maritime/2021/47238</x:v>
      </x:c>
      <x:c r="X42" s="112" t="str">
        <x:v>No explicit data variable identified</x:v>
      </x:c>
      <x:c r="Y42" s="112" t="str">
        <x:v>Conditional/applicability constraint; encode values with units and retain clause/page provenance.</x:v>
      </x:c>
    </x:row>
    <x:row r="43" ht="92" customHeight="1">
      <x:c r="A43" s="108" t="str">
        <x:v>TRF-047</x:v>
      </x:c>
      <x:c r="B43" s="108" t="str">
        <x:v>Ice Class Regulations and the Application Thereof</x:v>
      </x:c>
      <x:c r="C43" s="108" t="str">
        <x:v>TRAFICOM/68863/03.04.01.00/2021</x:v>
      </x:c>
      <x:c r="D43" s="163" t="n">
        <x:v>20</x:v>
      </x:c>
      <x:c r="E43" s="108" t="str">
        <x:v>Lower end of transverse framing</x:v>
      </x:c>
      <x:c r="F43" s="108" t="str">
        <x:v>4.4.2.3</x:v>
      </x:c>
      <x:c r="G43" s="113" t="str">
        <x:v>Static</x:v>
      </x:c>
      <x:c r="H43" s="109"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I43" s="110"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J43" s="111" t="str">
        <x:v>No explicit data variable identified</x:v>
      </x:c>
      <x:c r="K43" s="111" t="str">
        <x:v>No direct AnchorMap term found; propose a code-safe alias during SHACL design</x:v>
      </x:c>
      <x:c r="L43" s="114" t="str">
        <x:v>High</x:v>
      </x:c>
      <x:c r="M43" s="111" t="str">
        <x:v>Conditional/applicability constraint</x:v>
      </x:c>
      <x:c r="N43" s="108" t="str">
        <x:v>Direct verification of a stated property, document, presence condition, enumeration, applicability rule, prohibition, or fixed limit.</x:v>
      </x:c>
      <x:c r="O43" s="113" t="str">
        <x:v>No</x:v>
      </x:c>
      <x:c r="P43" s="113" t="str">
        <x:v>Included - source reverified and locked</x:v>
      </x:c>
      <x:c r="Q43" s="108" t="str">
        <x:v>LOCK-2026-08-10: No source, page, clause, category, or normalized-meaning correction was required. Source wording was checked against the supplied PDF; equation notation is ASCII-linearized.</x:v>
      </x:c>
      <x:c r="R43" s="108" t="str">
        <x:v>LOCK-2026-08-11-R2 | source_pdf=TRAFICOM.pdf | source_sha256=8ab845347770c253433b8bad9b1fbe5d6ac71b3d07a1a28dae8a32cfde732ddc | physical_pdf_page=20 | section=Lower end of transverse framing | clause=4.4.2.3 | checks=independent_full_text_page_layout; numbers_units_operators_equations; normalized_rule_meaning; five_category_classification | status=LOCKED</x:v>
      </x:c>
      <x:c r="S43" s="108" t="str">
        <x:v>No close match among the thesis repository's 90 input cases.</x:v>
      </x:c>
      <x:c r="T43" s="108" t="str">
        <x:v>PASS - source/page/clause/meaning/category reverified</x:v>
      </x:c>
      <x:c r="U43" s="108" t="str">
        <x:v>LOCKED - extraction reverified</x:v>
      </x:c>
      <x:c r="V43" s="112" t="str">
        <x:v>Second-pass extraction lock covers source identity, physical PDF page span, section/clause, ASCII transcription, normalized meaning, and verification category. SHACL shapes remain a separate implementation artifact.</x:v>
      </x:c>
      <x:c r="W43" s="112" t="str">
        <x:v>https://www.finlex.fi/en/authorities/regulations/traficom-transport-maritime/2021/47238</x:v>
      </x:c>
      <x:c r="X43" s="112" t="str">
        <x:v>No explicit data variable identified</x:v>
      </x:c>
      <x:c r="Y43" s="112" t="str">
        <x:v>Conditional/applicability constraint; encode values with units and retain clause/page provenance.</x:v>
      </x:c>
    </x:row>
    <x:row r="44" ht="92" customHeight="1">
      <x:c r="A44" s="108" t="str">
        <x:v>TRF-048</x:v>
      </x:c>
      <x:c r="B44" s="108" t="str">
        <x:v>Ice Class Regulations and the Application Thereof</x:v>
      </x:c>
      <x:c r="C44" s="108" t="str">
        <x:v>TRAFICOM/68863/03.04.01.00/2021</x:v>
      </x:c>
      <x:c r="D44" s="163" t="n">
        <x:v>20</x:v>
      </x:c>
      <x:c r="E44" s="108" t="str">
        <x:v>Longitudinal frames</x:v>
      </x:c>
      <x:c r="F44" s="108" t="str">
        <x:v>4.4.3</x:v>
      </x:c>
      <x:c r="G44" s="113" t="str">
        <x:v>Static Calculation</x:v>
      </x:c>
      <x:c r="H44" s="109" t="str">
        <x:v>The section modulus of a longitudinal frame shall be calculated using Z = f_4*p*h*l^2/(4*m*sigma_y)*10^6 [cm^3] (4.9). The effective shear area shall be A = sqrt(3)*f_4*f_5*p*h*l/(2*sigma_y)*10^4 [cm^2] (4.10). The bracket shear area shall not be included in the actual frame shear area. Use f_4 = 1 - 0.2*h/s, f_5 = 2.16, p from 4.2.2, h from 4.2.1, s as frame spacing, l as total frame span, m = 13.3 for a continuous beam with brackets unless a smaller factor is required by significantly different boundary conditions, and sigma_y from 4.3.2.</x:v>
      </x:c>
      <x:c r="I44" s="110"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J44" s="111" t="str">
        <x:v>yieldStrength_MPa, sectionModulusZ, shearAreaA</x:v>
      </x:c>
      <x:c r="K44" s="111" t="str">
        <x:v>yieldStrength_MPa, sectionModulusZ, shearAreaA</x:v>
      </x:c>
      <x:c r="L44" s="114" t="str">
        <x:v>High</x:v>
      </x:c>
      <x:c r="M44" s="111" t="str">
        <x:v>Formula-derived constraint</x:v>
      </x:c>
      <x:c r="N44" s="108" t="str">
        <x:v>Deterministic calculation from static design inputs followed by a numeric or logical comparison.</x:v>
      </x:c>
      <x:c r="O44" s="113" t="str">
        <x:v>No</x:v>
      </x:c>
      <x:c r="P44" s="113" t="str">
        <x:v>Included - source reverified and locked</x:v>
      </x:c>
      <x:c r="Q44" s="108" t="str">
        <x:v>LOCK-2026-08-10: Restored the m = 13.3 boundary condition and the bracket-area exclusion. Final source lock check completed against the supplied PDF; equation notation is ASCII-linearized.</x:v>
      </x:c>
      <x:c r="R44" s="108" t="str">
        <x:v>LOCK-2026-08-11-R2 | source_pdf=TRAFICOM.pdf | source_sha256=8ab845347770c253433b8bad9b1fbe5d6ac71b3d07a1a28dae8a32cfde732ddc | physical_pdf_page=20 | section=Longitudinal frames | clause=4.4.3 | checks=independent_full_text_page_layout; numbers_units_operators_equations; normalized_rule_meaning; five_category_classification | status=LOCKED</x:v>
      </x:c>
      <x:c r="S44" s="108" t="str">
        <x:v>52_complex_longitudinal_frame_shear_area (Complex); 51_complex_longitudinal_frame_section_modulus (Complex); 54_complex_web_frame_shear_area (Complex)</x:v>
      </x:c>
      <x:c r="T44" s="108" t="str">
        <x:v>PASS - source/page/clause/meaning/category reverified</x:v>
      </x:c>
      <x:c r="U44" s="108" t="str">
        <x:v>LOCKED - extraction reverified</x:v>
      </x:c>
      <x:c r="V44" s="112" t="str">
        <x:v>Second-pass extraction lock covers source identity, physical PDF page span, section/clause, ASCII transcription, normalized meaning, and verification category. SHACL shapes remain a separate implementation artifact.</x:v>
      </x:c>
      <x:c r="W44" s="112" t="str">
        <x:v>https://www.finlex.fi/en/authorities/regulations/traficom-transport-maritime/2021/47238</x:v>
      </x:c>
      <x:c r="X44" s="112" t="str">
        <x:v>yieldStrength_MPa, sectionModulusZ, shearAreaA</x:v>
      </x:c>
      <x:c r="Y44" s="112" t="str">
        <x:v>Formula-derived constraint; encode values with units and retain clause/page provenance.</x:v>
      </x:c>
    </x:row>
    <x:row r="45" ht="92" customHeight="1">
      <x:c r="A45" s="108" t="str">
        <x:v>TRF-049</x:v>
      </x:c>
      <x:c r="B45" s="108" t="str">
        <x:v>Ice Class Regulations and the Application Thereof</x:v>
      </x:c>
      <x:c r="C45" s="108" t="str">
        <x:v>TRAFICOM/68863/03.04.01.00/2021</x:v>
      </x:c>
      <x:c r="D45" s="163" t="n">
        <x:v>21</x:v>
      </x:c>
      <x:c r="E45" s="108" t="str">
        <x:v>The attachment of frames to supporting structures</x:v>
      </x:c>
      <x:c r="F45" s="108" t="str">
        <x:v>4.4.4.1</x:v>
      </x:c>
      <x:c r="G45" s="113" t="str">
        <x:v>Static Calculation</x:v>
      </x:c>
      <x:c r="H45" s="109"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I45" s="110"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J45" s="111" t="str">
        <x:v>No explicit data variable identified</x:v>
      </x:c>
      <x:c r="K45" s="111" t="str">
        <x:v>No direct AnchorMap term found; propose a code-safe alias during SHACL design</x:v>
      </x:c>
      <x:c r="L45" s="114" t="str">
        <x:v>High</x:v>
      </x:c>
      <x:c r="M45" s="111" t="str">
        <x:v>Formula-derived constraint</x:v>
      </x:c>
      <x:c r="N45" s="108" t="str">
        <x:v>Deterministic calculation from static design inputs followed by a numeric or logical comparison.</x:v>
      </x:c>
      <x:c r="O45" s="113" t="str">
        <x:v>No</x:v>
      </x:c>
      <x:c r="P45" s="113" t="str">
        <x:v>Included - source reverified and locked</x:v>
      </x:c>
      <x:c r="Q45" s="108" t="str">
        <x:v>LOCK-2026-08-10: No source, page, clause, category, or normalized-meaning correction was required. Source wording was checked against the supplied PDF; equation notation is ASCII-linearized.</x:v>
      </x:c>
      <x:c r="R45" s="108" t="str">
        <x:v>LOCK-2026-08-11-R2 | source_pdf=TRAFICOM.pdf | source_sha256=8ab845347770c253433b8bad9b1fbe5d6ac71b3d07a1a28dae8a32cfde732ddc | physical_pdf_page=21 | section=The attachment of frames to supporting structures | clause=4.4.4.1 | checks=independent_full_text_page_layout; numbers_units_operators_equations; normalized_rule_meaning; five_category_classification | status=LOCKED</x:v>
      </x:c>
      <x:c r="S45" s="108" t="str">
        <x:v>No close match among the thesis repository's 90 input cases.</x:v>
      </x:c>
      <x:c r="T45" s="108" t="str">
        <x:v>PASS - source/page/clause/meaning/category reverified</x:v>
      </x:c>
      <x:c r="U45" s="108" t="str">
        <x:v>LOCKED - extraction reverified</x:v>
      </x:c>
      <x:c r="V45" s="112" t="str">
        <x:v>Second-pass extraction lock covers source identity, physical PDF page span, section/clause, ASCII transcription, normalized meaning, and verification category. SHACL shapes remain a separate implementation artifact.</x:v>
      </x:c>
      <x:c r="W45" s="112" t="str">
        <x:v>https://www.finlex.fi/en/authorities/regulations/traficom-transport-maritime/2021/47238</x:v>
      </x:c>
      <x:c r="X45" s="112" t="str">
        <x:v>No explicit data variable identified</x:v>
      </x:c>
      <x:c r="Y45" s="112" t="str">
        <x:v>Formula-derived constraint; encode values with units and retain clause/page provenance.</x:v>
      </x:c>
    </x:row>
    <x:row r="46" ht="92" customHeight="1">
      <x:c r="A46" s="108" t="str">
        <x:v>TRF-050</x:v>
      </x:c>
      <x:c r="B46" s="108" t="str">
        <x:v>Ice Class Regulations and the Application Thereof</x:v>
      </x:c>
      <x:c r="C46" s="108" t="str">
        <x:v>TRAFICOM/68863/03.04.01.00/2021</x:v>
      </x:c>
      <x:c r="D46" s="163" t="n">
        <x:v>21</x:v>
      </x:c>
      <x:c r="E46" s="108" t="str">
        <x:v>Support of frames against instability, in particular tripping</x:v>
      </x:c>
      <x:c r="F46" s="108" t="str">
        <x:v>4.4.4.2</x:v>
      </x:c>
      <x:c r="G46" s="113" t="str">
        <x:v>Static</x:v>
      </x:c>
      <x:c r="H46" s="109" t="str">
        <x:v>The frames shall be attached to the shell by a double continuous weld. No scalloping is allowed (except when crossing shell plate butts).</x:v>
      </x:c>
      <x:c r="I46" s="110" t="str">
        <x:v>The frames shall be attached to the shell by a double continuous weld. No scalloping is allowed (except when crossing shell plate butts).</x:v>
      </x:c>
      <x:c r="J46" s="111" t="str">
        <x:v>No explicit data variable identified</x:v>
      </x:c>
      <x:c r="K46" s="111" t="str">
        <x:v>No direct AnchorMap term found; propose a code-safe alias during SHACL design</x:v>
      </x:c>
      <x:c r="L46" s="114" t="str">
        <x:v>High</x:v>
      </x:c>
      <x:c r="M46" s="111" t="str">
        <x:v>Conditional/applicability constraint</x:v>
      </x:c>
      <x:c r="N46" s="108" t="str">
        <x:v>Direct verification of a stated property, document, presence condition, enumeration, applicability rule, prohibition, or fixed limit.</x:v>
      </x:c>
      <x:c r="O46" s="113" t="str">
        <x:v>No</x:v>
      </x:c>
      <x:c r="P46" s="113" t="str">
        <x:v>Included - source reverified and locked</x:v>
      </x:c>
      <x:c r="Q46" s="108" t="str">
        <x:v>LOCK-2026-08-10: No source, page, clause, category, or normalized-meaning correction was required. Source wording was checked against the supplied PDF; equation notation is ASCII-linearized.</x:v>
      </x:c>
      <x:c r="R46" s="108" t="str">
        <x:v>LOCK-2026-08-11-R2 | source_pdf=TRAFICOM.pdf | source_sha256=8ab845347770c253433b8bad9b1fbe5d6ac71b3d07a1a28dae8a32cfde732ddc | physical_pdf_page=21 | section=Support of frames against instability, in particular tripping | clause=4.4.4.2 | checks=independent_full_text_page_layout; numbers_units_operators_equations; normalized_rule_meaning; five_category_classification | status=LOCKED</x:v>
      </x:c>
      <x:c r="S46" s="108" t="str">
        <x:v>No close match among the thesis repository's 90 input cases.</x:v>
      </x:c>
      <x:c r="T46" s="108" t="str">
        <x:v>PASS - source/page/clause/meaning/category reverified</x:v>
      </x:c>
      <x:c r="U46" s="108" t="str">
        <x:v>LOCKED - extraction reverified</x:v>
      </x:c>
      <x:c r="V46" s="112" t="str">
        <x:v>Second-pass extraction lock covers source identity, physical PDF page span, section/clause, ASCII transcription, normalized meaning, and verification category. SHACL shapes remain a separate implementation artifact.</x:v>
      </x:c>
      <x:c r="W46" s="112" t="str">
        <x:v>https://www.finlex.fi/en/authorities/regulations/traficom-transport-maritime/2021/47238</x:v>
      </x:c>
      <x:c r="X46" s="112" t="str">
        <x:v>No explicit data variable identified</x:v>
      </x:c>
      <x:c r="Y46" s="112" t="str">
        <x:v>Conditional/applicability constraint; encode values with units and retain clause/page provenance.</x:v>
      </x:c>
    </x:row>
    <x:row r="47" ht="92" customHeight="1">
      <x:c r="A47" s="108" t="str">
        <x:v>TRF-051</x:v>
      </x:c>
      <x:c r="B47" s="108" t="str">
        <x:v>Ice Class Regulations and the Application Thereof</x:v>
      </x:c>
      <x:c r="C47" s="108" t="str">
        <x:v>TRAFICOM/68863/03.04.01.00/2021</x:v>
      </x:c>
      <x:c r="D47" s="163" t="n">
        <x:v>21</x:v>
      </x:c>
      <x:c r="E47" s="108" t="str">
        <x:v>Support of frames against instability, in particular tripping</x:v>
      </x:c>
      <x:c r="F47" s="108" t="str">
        <x:v>4.4.4.2</x:v>
      </x:c>
      <x:c r="G47" s="113" t="str">
        <x:v>Static Calculation</x:v>
      </x:c>
      <x:c r="H47" s="109"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I47" s="110"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J47" s="111" t="str">
        <x:v>yieldStrength_MPa, thickness</x:v>
      </x:c>
      <x:c r="K47" s="111" t="str">
        <x:v>yieldStrength_MPa, thickness</x:v>
      </x:c>
      <x:c r="L47" s="114" t="str">
        <x:v>Medium</x:v>
      </x:c>
      <x:c r="M47" s="111" t="str">
        <x:v>Formula-derived constraint</x:v>
      </x:c>
      <x:c r="N47" s="108" t="str">
        <x:v>Deterministic calculation from static design inputs followed by a numeric or logical comparison.</x:v>
      </x:c>
      <x:c r="O47" s="113" t="str">
        <x:v>No</x:v>
      </x:c>
      <x:c r="P47" s="113" t="str">
        <x:v>Included - source reverified and locked</x:v>
      </x:c>
      <x:c r="Q47" s="108" t="str">
        <x:v>LOCK-2026-08-10: Classified the deterministic maximum-of-three web-thickness check as Static Calculation. Final source lock check completed against the supplied PDF; equation notation is ASCII-linearized.</x:v>
      </x:c>
      <x:c r="R47" s="108" t="str">
        <x:v>LOCK-2026-08-11-R2 | source_pdf=TRAFICOM.pdf | source_sha256=8ab845347770c253433b8bad9b1fbe5d6ac71b3d07a1a28dae8a32cfde732ddc | physical_pdf_page=21 | section=Support of frames against instability, in particular tripping | clause=4.4.4.2 | checks=independent_full_text_page_layout; numbers_units_operators_equations; normalized_rule_meaning; five_category_classification | status=LOCKED</x:v>
      </x:c>
      <x:c r="S47" s="108" t="str">
        <x:v>11_static_frame_web_thickness (Static); 47_complex_shell_plate_thickness_transverse (Complex); 48_complex_shell_plate_thickness_longitudinal (Complex)</x:v>
      </x:c>
      <x:c r="T47" s="108" t="str">
        <x:v>PASS - source/page/clause/meaning/category reverified</x:v>
      </x:c>
      <x:c r="U47" s="108" t="str">
        <x:v>LOCKED - extraction reverified</x:v>
      </x:c>
      <x:c r="V47" s="112" t="str">
        <x:v>Second-pass extraction lock covers source identity, physical PDF page span, section/clause, ASCII transcription, normalized meaning, and verification category. SHACL shapes remain a separate implementation artifact.</x:v>
      </x:c>
      <x:c r="W47" s="112" t="str">
        <x:v>https://www.finlex.fi/en/authorities/regulations/traficom-transport-maritime/2021/47238</x:v>
      </x:c>
      <x:c r="X47" s="112" t="str">
        <x:v>yieldStrength_MPa, thickness</x:v>
      </x:c>
      <x:c r="Y47" s="112" t="str">
        <x:v>Formula-derived constraint; encode values with units and retain clause/page provenance.</x:v>
      </x:c>
    </x:row>
    <x:row r="48" ht="92" customHeight="1">
      <x:c r="A48" s="108" t="str">
        <x:v>TRF-052</x:v>
      </x:c>
      <x:c r="B48" s="108" t="str">
        <x:v>Ice Class Regulations and the Application Thereof</x:v>
      </x:c>
      <x:c r="C48" s="108" t="str">
        <x:v>TRAFICOM/68863/03.04.01.00/2021</x:v>
      </x:c>
      <x:c r="D48" s="163" t="n">
        <x:v>21</x:v>
      </x:c>
      <x:c r="E48" s="108" t="str">
        <x:v>Support of frames against instability, in particular tripping</x:v>
      </x:c>
      <x:c r="F48" s="108" t="str">
        <x:v>4.4.4.2</x:v>
      </x:c>
      <x:c r="G48" s="113" t="str">
        <x:v>Static</x:v>
      </x:c>
      <x:c r="H48" s="109" t="str">
        <x:v>Asymmetrical frames and frames which are not at right angles to the shell (web less than 90 degrees to the shell) shall be supported against tripping by brackets, intercoastals, stringers or similar, at a distance not exceeding 1,300 mm. For frames with spans greater than 4 m, the extent of antitripping supports must be applied to all regions and for all ice classes. For frames with spans less than or equal to 4 m, the extent of antitripping supports must be applied to all regions for ice class IA Super, to the bow and midbody regions for ice class IA, and to the bow region for ice classes IB and IC. Direct calculation methods may be applied to demonstrate the equivalent level of support provided by alternative arrangements.</x:v>
      </x:c>
      <x:c r="I48" s="110"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J48" s="111" t="str">
        <x:v>iceClass</x:v>
      </x:c>
      <x:c r="K48" s="111" t="str">
        <x:v>iceClass</x:v>
      </x:c>
      <x:c r="L48" s="114" t="str">
        <x:v>High</x:v>
      </x:c>
      <x:c r="M48" s="111" t="str">
        <x:v>Formula-derived constraint</x:v>
      </x:c>
      <x:c r="N48" s="108" t="str">
        <x:v>Direct verification of a stated property, document, presence condition, enumeration, applicability rule, prohibition, or fixed limit.</x:v>
      </x:c>
      <x:c r="O48" s="113" t="str">
        <x:v>No</x:v>
      </x:c>
      <x:c r="P48" s="113" t="str">
        <x:v>Included - source reverified and locked</x:v>
      </x:c>
      <x:c r="Q48" s="108" t="str">
        <x:v>LOCK-2026-08-10: Replaced unrelated HM values with the antitripping constraints and corrected the category. Final source lock check completed against the supplied PDF; equation notation is ASCII-linearized.</x:v>
      </x:c>
      <x:c r="R48" s="108" t="str">
        <x:v>LOCK-2026-08-11-R2 | source_pdf=TRAFICOM.pdf | source_sha256=8ab845347770c253433b8bad9b1fbe5d6ac71b3d07a1a28dae8a32cfde732ddc | physical_pdf_page=21 | section=Support of frames against instability, in particular tripping | clause=4.4.4.2 | checks=independent_full_text_page_layout; numbers_units_operators_equations; normalized_rule_meaning; five_category_classification | status=LOCKED</x:v>
      </x:c>
      <x:c r="S48" s="108" t="str">
        <x:v>05_static_brash_ice_thickness (Static)</x:v>
      </x:c>
      <x:c r="T48" s="108" t="str">
        <x:v>PASS - source/page/clause/meaning/category reverified</x:v>
      </x:c>
      <x:c r="U48" s="108" t="str">
        <x:v>LOCKED - extraction reverified</x:v>
      </x:c>
      <x:c r="V48" s="112" t="str">
        <x:v>Second-pass extraction lock covers source identity, physical PDF page span, section/clause, ASCII transcription, normalized meaning, and verification category. SHACL shapes remain a separate implementation artifact.</x:v>
      </x:c>
      <x:c r="W48" s="112" t="str">
        <x:v>https://www.finlex.fi/en/authorities/regulations/traficom-transport-maritime/2021/47238</x:v>
      </x:c>
      <x:c r="X48" s="112" t="str">
        <x:v>iceClass</x:v>
      </x:c>
      <x:c r="Y48" s="112" t="str">
        <x:v>Formula-derived constraint; encode values with units and retain clause/page provenance.</x:v>
      </x:c>
    </x:row>
    <x:row r="49" ht="92" customHeight="1">
      <x:c r="A49" s="108" t="str">
        <x:v>TRF-053</x:v>
      </x:c>
      <x:c r="B49" s="108" t="str">
        <x:v>Ice Class Regulations and the Application Thereof</x:v>
      </x:c>
      <x:c r="C49" s="108" t="str">
        <x:v>TRAFICOM/68863/03.04.01.00/2021</x:v>
      </x:c>
      <x:c r="D49" s="163" t="str">
        <x:v>21-22</x:v>
      </x:c>
      <x:c r="E49" s="108" t="str">
        <x:v>Stringers within the ice belt</x:v>
      </x:c>
      <x:c r="F49" s="108" t="str">
        <x:v>4.5.1</x:v>
      </x:c>
      <x:c r="G49" s="113" t="str">
        <x:v>Static Calculation</x:v>
      </x:c>
      <x:c r="H49" s="109" t="str">
        <x:v>The section modulus of a stringer situated within the ice belt shall be calculated using Z = f_6*f_7*p*h*l^2/(m*sigma_y)*10^6 [cm^3] (4.11), and the effective shear area shall be A = sqrt(3)*f_6*f_7*f_8*p*h*l/(2*sigma_y)*10^4 [cm^2] (4.12). Use p from 4.2.2, h from 4.2.1, p*h = 0.15 MN/m when the calculated product is less than 0.15 MN/m, l as stringer span, m from 4.4.3, f_6 = 0.9, f_7 = 1.8, f_8 = 1.2, and sigma_y from 4.3.2.</x:v>
      </x:c>
      <x:c r="I49" s="110" t="str">
        <x:v>Set design_line_load_MN_m = max(p_MPa*h_m, 0.15). Compute Z_cm3 = 0.9*1.8*design_line_load_MN_m*l_m^2/(m*sigma_y_N_mm2)*10^6 and A_cm2 = sqrt(3)*0.9*1.8*1.2*design_line_load_MN_m*l_m/(2*sigma_y_N_mm2)*10^4, with m selected under 4.4.3.</x:v>
      </x:c>
      <x:c r="J49" s="111" t="str">
        <x:v>yieldStrength_MPa, sectionModulusZ, shearAreaA</x:v>
      </x:c>
      <x:c r="K49" s="111" t="str">
        <x:v>yieldStrength_MPa, sectionModulusZ, shearAreaA</x:v>
      </x:c>
      <x:c r="L49" s="114" t="str">
        <x:v>High</x:v>
      </x:c>
      <x:c r="M49" s="111" t="str">
        <x:v>Formula-derived constraint</x:v>
      </x:c>
      <x:c r="N49" s="108" t="str">
        <x:v>Deterministic calculation from static design inputs followed by a numeric or logical comparison.</x:v>
      </x:c>
      <x:c r="O49" s="113" t="str">
        <x:v>No</x:v>
      </x:c>
      <x:c r="P49" s="113" t="str">
        <x:v>Included - source reverified and locked</x:v>
      </x:c>
      <x:c r="Q49" s="108" t="str">
        <x:v>LOCK-2026-08-10: Restored the missing physical page range and all equation factors and inputs. Final source lock check completed against the supplied PDF; equation notation is ASCII-linearized.</x:v>
      </x:c>
      <x:c r="R49" s="108" t="str">
        <x:v>LOCK-2026-08-11-R2 | source_pdf=TRAFICOM.pdf | source_sha256=8ab845347770c253433b8bad9b1fbe5d6ac71b3d07a1a28dae8a32cfde732ddc | physical_pdf_page=21-22 | section=Stringers within the ice belt | clause=4.5.1 | checks=independent_full_text_page_layout; numbers_units_operators_equations; normalized_rule_meaning; five_category_classification | status=LOCKED</x:v>
      </x:c>
      <x:c r="S49" s="108" t="str">
        <x:v>25_staticcalculation_stringer (static_calculation); 54_complex_web_frame_shear_area (Complex); 33_staticcalculation_ph_minimum_stringer (static_calculation)</x:v>
      </x:c>
      <x:c r="T49" s="108" t="str">
        <x:v>PASS - source/page/clause/meaning/category reverified</x:v>
      </x:c>
      <x:c r="U49" s="108" t="str">
        <x:v>LOCKED - extraction reverified</x:v>
      </x:c>
      <x:c r="V49" s="112" t="str">
        <x:v>Second-pass extraction lock covers source identity, physical PDF page span, section/clause, ASCII transcription, normalized meaning, and verification category. SHACL shapes remain a separate implementation artifact.</x:v>
      </x:c>
      <x:c r="W49" s="112" t="str">
        <x:v>https://www.finlex.fi/en/authorities/regulations/traficom-transport-maritime/2021/47238</x:v>
      </x:c>
      <x:c r="X49" s="112" t="str">
        <x:v>yieldStrength_MPa, sectionModulusZ, shearAreaA</x:v>
      </x:c>
      <x:c r="Y49" s="112" t="str">
        <x:v>Formula-derived constraint; encode values with units and retain clause/page provenance.</x:v>
      </x:c>
    </x:row>
    <x:row r="50" ht="92" customHeight="1">
      <x:c r="A50" s="108" t="str">
        <x:v>TRF-054</x:v>
      </x:c>
      <x:c r="B50" s="108" t="str">
        <x:v>Ice Class Regulations and the Application Thereof</x:v>
      </x:c>
      <x:c r="C50" s="108" t="str">
        <x:v>TRAFICOM/68863/03.04.01.00/2021</x:v>
      </x:c>
      <x:c r="D50" s="163" t="str">
        <x:v>22-23</x:v>
      </x:c>
      <x:c r="E50" s="108" t="str">
        <x:v>Stringers outside the ice belt</x:v>
      </x:c>
      <x:c r="F50" s="108" t="str">
        <x:v>4.5.2</x:v>
      </x:c>
      <x:c r="G50" s="113" t="str">
        <x:v>Static Calculation</x:v>
      </x:c>
      <x:c r="H50" s="109" t="str">
        <x:v>The section modulus of a stringer situated outside the ice belt but supporting ice-strengthened frames shall be calculated using Z = f_9*f_10*p*h*l^2/(m*sigma_y)*(1 - h_s/l_s)*10^6 [cm^3] (4.13), and the effective shear area shall be A = sqrt(3)*f_9*f_10*f_11*p*h*l/(2*sigma_y)*(1 - h_s/l_s)*10^4 [cm^2] (4.14). Use p from 4.2.2, h from 4.2.1, p*h = 0.15 MN/m when the calculated product is less than 0.15 MN/m, l as stringer span, m from 4.4.3, l_s as the distance to the adjacent ice stringer, h_s as the distance to the ice belt, f_9 = 0.80, f_10 = 1.8, f_11 = 1.2, and sigma_y from 4.3.2.</x:v>
      </x:c>
      <x:c r="I50" s="110" t="str">
        <x:v>Set design_line_load_MN_m = max(p_MPa*h_m, 0.15) and outside_ice_belt_factor = 1 - h_s_m/l_s_m. Compute Z_cm3 = 0.80*1.8*design_line_load_MN_m*l_m^2/(m*sigma_y_N_mm2)*outside_ice_belt_factor*10^6 and A_cm2 = sqrt(3)*0.80*1.8*1.2*design_line_load_MN_m*l_m/(2*sigma_y_N_mm2)*outside_ice_belt_factor*10^4.</x:v>
      </x:c>
      <x:c r="J50" s="111" t="str">
        <x:v>yieldStrength_MPa, sectionModulusZ, shearAreaA</x:v>
      </x:c>
      <x:c r="K50" s="111" t="str">
        <x:v>yieldStrength_MPa, sectionModulusZ, shearAreaA</x:v>
      </x:c>
      <x:c r="L50" s="114" t="str">
        <x:v>High</x:v>
      </x:c>
      <x:c r="M50" s="111" t="str">
        <x:v>Formula-derived constraint</x:v>
      </x:c>
      <x:c r="N50" s="108" t="str">
        <x:v>Deterministic calculation from static design inputs followed by a numeric or logical comparison.</x:v>
      </x:c>
      <x:c r="O50" s="113" t="str">
        <x:v>No</x:v>
      </x:c>
      <x:c r="P50" s="113" t="str">
        <x:v>Included - source reverified and locked</x:v>
      </x:c>
      <x:c r="Q50" s="108" t="str">
        <x:v>LOCK-2026-08-10: Restored the continuation page and all factors including f_11 = 1.2. Final source lock check completed against the supplied PDF; equation notation is ASCII-linearized.</x:v>
      </x:c>
      <x:c r="R50" s="108" t="str">
        <x:v>LOCK-2026-08-11-R2 | source_pdf=TRAFICOM.pdf | source_sha256=8ab845347770c253433b8bad9b1fbe5d6ac71b3d07a1a28dae8a32cfde732ddc | physical_pdf_page=22-23 | section=Stringers outside the ice belt | clause=4.5.2 | checks=independent_full_text_page_layout; numbers_units_operators_equations; normalized_rule_meaning; five_category_classification | status=LOCKED</x:v>
      </x:c>
      <x:c r="S50" s="108" t="str">
        <x:v>54_complex_web_frame_shear_area (Complex); 33_staticcalculation_ph_minimum_stringer (static_calculation); 55_complex_web_frame_section_modulus (Complex)</x:v>
      </x:c>
      <x:c r="T50" s="108" t="str">
        <x:v>PASS - source/page/clause/meaning/category reverified</x:v>
      </x:c>
      <x:c r="U50" s="108" t="str">
        <x:v>LOCKED - extraction reverified</x:v>
      </x:c>
      <x:c r="V50" s="112" t="str">
        <x:v>Second-pass extraction lock covers source identity, physical PDF page span, section/clause, ASCII transcription, normalized meaning, and verification category. SHACL shapes remain a separate implementation artifact.</x:v>
      </x:c>
      <x:c r="W50" s="112" t="str">
        <x:v>https://www.finlex.fi/en/authorities/regulations/traficom-transport-maritime/2021/47238</x:v>
      </x:c>
      <x:c r="X50" s="112" t="str">
        <x:v>yieldStrength_MPa, sectionModulusZ, shearAreaA</x:v>
      </x:c>
      <x:c r="Y50" s="112" t="str">
        <x:v>Formula-derived constraint; encode values with units and retain clause/page provenance.</x:v>
      </x:c>
    </x:row>
    <x:row r="51" ht="92" customHeight="1">
      <x:c r="A51" s="108" t="str">
        <x:v>TRF-055</x:v>
      </x:c>
      <x:c r="B51" s="108" t="str">
        <x:v>Ice Class Regulations and the Application Thereof</x:v>
      </x:c>
      <x:c r="C51" s="108" t="str">
        <x:v>TRAFICOM/68863/03.04.01.00/2021</x:v>
      </x:c>
      <x:c r="D51" s="163" t="n">
        <x:v>23</x:v>
      </x:c>
      <x:c r="E51" s="108" t="str">
        <x:v>Deck strips</x:v>
      </x:c>
      <x:c r="F51" s="108" t="str">
        <x:v>4.5.3</x:v>
      </x:c>
      <x:c r="G51" s="113" t="str">
        <x:v>Static Calculation</x:v>
      </x:c>
      <x:c r="H51" s="109"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I51" s="110"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J51" s="111" t="str">
        <x:v>sectionModulusZ, shearAreaA</x:v>
      </x:c>
      <x:c r="K51" s="111" t="str">
        <x:v>sectionModulusZ, shearAreaA</x:v>
      </x:c>
      <x:c r="L51" s="114" t="str">
        <x:v>Medium</x:v>
      </x:c>
      <x:c r="M51" s="111" t="str">
        <x:v>Formula-derived constraint</x:v>
      </x:c>
      <x:c r="N51" s="108" t="str">
        <x:v>Deterministic calculation from static design inputs followed by a numeric or logical comparison.</x:v>
      </x:c>
      <x:c r="O51" s="113" t="str">
        <x:v>No</x:v>
      </x:c>
      <x:c r="P51" s="113" t="str">
        <x:v>Included - source reverified and locked</x:v>
      </x:c>
      <x:c r="Q51" s="108" t="str">
        <x:v>LOCK-2026-08-10: No source, page, clause, category, or normalized-meaning correction was required. Source wording was checked against the supplied PDF; equation notation is ASCII-linearized.</x:v>
      </x:c>
      <x:c r="R51" s="108" t="str">
        <x:v>LOCK-2026-08-11-R2 | source_pdf=TRAFICOM.pdf | source_sha256=8ab845347770c253433b8bad9b1fbe5d6ac71b3d07a1a28dae8a32cfde732ddc | physical_pdf_page=23 | section=Deck strips | clause=4.5.3 | checks=independent_full_text_page_layout; numbers_units_operators_equations; normalized_rule_meaning; five_category_classification | status=LOCKED</x:v>
      </x:c>
      <x:c r="S51" s="108" t="str">
        <x:v>33_staticcalculation_ph_minimum_stringer (static_calculation); 03_static_ltb2_clamping (Static)</x:v>
      </x:c>
      <x:c r="T51" s="108" t="str">
        <x:v>PASS - source/page/clause/meaning/category reverified</x:v>
      </x:c>
      <x:c r="U51" s="108" t="str">
        <x:v>LOCKED - extraction reverified</x:v>
      </x:c>
      <x:c r="V51" s="112" t="str">
        <x:v>Second-pass extraction lock covers source identity, physical PDF page span, section/clause, ASCII transcription, normalized meaning, and verification category. SHACL shapes remain a separate implementation artifact.</x:v>
      </x:c>
      <x:c r="W51" s="112" t="str">
        <x:v>https://www.finlex.fi/en/authorities/regulations/traficom-transport-maritime/2021/47238</x:v>
      </x:c>
      <x:c r="X51" s="112" t="str">
        <x:v>sectionModulusZ, shearAreaA</x:v>
      </x:c>
      <x:c r="Y51" s="112" t="str">
        <x:v>Formula-derived constraint; encode values with units and retain clause/page provenance.</x:v>
      </x:c>
    </x:row>
    <x:row r="52" ht="92" customHeight="1">
      <x:c r="A52" s="108" t="str">
        <x:v>TRF-056</x:v>
      </x:c>
      <x:c r="B52" s="108" t="str">
        <x:v>Ice Class Regulations and the Application Thereof</x:v>
      </x:c>
      <x:c r="C52" s="108" t="str">
        <x:v>TRAFICOM/68863/03.04.01.00/2021</x:v>
      </x:c>
      <x:c r="D52" s="163" t="n">
        <x:v>23</x:v>
      </x:c>
      <x:c r="E52" s="108" t="str">
        <x:v>Deck strips</x:v>
      </x:c>
      <x:c r="F52" s="108" t="str">
        <x:v>4.5.3</x:v>
      </x:c>
      <x:c r="G52" s="113" t="str">
        <x:v>Static Calculation</x:v>
      </x:c>
      <x:c r="H52" s="109" t="str">
        <x:v>Regard shall be paid to the deflection of the ship's sides due to ice pressure with respect to very long (more than B/2) hatch openings, when designing weatherdeck hatch covers and their fittings.</x:v>
      </x:c>
      <x:c r="I52" s="110" t="str">
        <x:v>Regard shall be paid to the deflection of the ship's sides due to ice pressure with respect to very long (more than B/2) hatch openings, when designing weatherdeck hatch covers and their fittings.</x:v>
      </x:c>
      <x:c r="J52" s="111" t="str">
        <x:v>No explicit data variable identified</x:v>
      </x:c>
      <x:c r="K52" s="111" t="str">
        <x:v>No direct AnchorMap term found; propose a code-safe alias during SHACL design</x:v>
      </x:c>
      <x:c r="L52" s="114" t="str">
        <x:v>High</x:v>
      </x:c>
      <x:c r="M52" s="111" t="str">
        <x:v>Formula-derived constraint</x:v>
      </x:c>
      <x:c r="N52" s="108" t="str">
        <x:v>Deterministic calculation from static design inputs followed by a numeric or logical comparison.</x:v>
      </x:c>
      <x:c r="O52" s="113" t="str">
        <x:v>No</x:v>
      </x:c>
      <x:c r="P52" s="113" t="str">
        <x:v>Included - source reverified and locked</x:v>
      </x:c>
      <x:c r="Q52" s="108" t="str">
        <x:v>LOCK-2026-08-10: No source, page, clause, category, or normalized-meaning correction was required. Source wording was checked against the supplied PDF; equation notation is ASCII-linearized.</x:v>
      </x:c>
      <x:c r="R52" s="108" t="str">
        <x:v>LOCK-2026-08-11-R2 | source_pdf=TRAFICOM.pdf | source_sha256=8ab845347770c253433b8bad9b1fbe5d6ac71b3d07a1a28dae8a32cfde732ddc | physical_pdf_page=23 | section=Deck strips | clause=4.5.3 | checks=independent_full_text_page_layout; numbers_units_operators_equations; normalized_rule_meaning; five_category_classification | status=LOCKED</x:v>
      </x:c>
      <x:c r="S52" s="108" t="str">
        <x:v>No close match among the thesis repository's 90 input cases.</x:v>
      </x:c>
      <x:c r="T52" s="108" t="str">
        <x:v>PASS - source/page/clause/meaning/category reverified</x:v>
      </x:c>
      <x:c r="U52" s="108" t="str">
        <x:v>LOCKED - extraction reverified</x:v>
      </x:c>
      <x:c r="V52" s="112" t="str">
        <x:v>Second-pass extraction lock covers source identity, physical PDF page span, section/clause, ASCII transcription, normalized meaning, and verification category. SHACL shapes remain a separate implementation artifact.</x:v>
      </x:c>
      <x:c r="W52" s="112" t="str">
        <x:v>https://www.finlex.fi/en/authorities/regulations/traficom-transport-maritime/2021/47238</x:v>
      </x:c>
      <x:c r="X52" s="112" t="str">
        <x:v>No explicit data variable identified</x:v>
      </x:c>
      <x:c r="Y52" s="112" t="str">
        <x:v>Formula-derived constraint; encode values with units and retain clause/page provenance.</x:v>
      </x:c>
    </x:row>
    <x:row r="53" ht="92" customHeight="1">
      <x:c r="A53" s="108" t="str">
        <x:v>TRF-057</x:v>
      </x:c>
      <x:c r="B53" s="108" t="str">
        <x:v>Ice Class Regulations and the Application Thereof</x:v>
      </x:c>
      <x:c r="C53" s="108" t="str">
        <x:v>TRAFICOM/68863/03.04.01.00/2021</x:v>
      </x:c>
      <x:c r="D53" s="163" t="n">
        <x:v>23</x:v>
      </x:c>
      <x:c r="E53" s="108" t="str">
        <x:v>Ice load</x:v>
      </x:c>
      <x:c r="F53" s="108" t="str">
        <x:v>4.6.1</x:v>
      </x:c>
      <x:c r="G53" s="113" t="str">
        <x:v>Static Calculation</x:v>
      </x:c>
      <x:c r="H53" s="109" t="str">
        <x:v>The ice load transferred to a web frame from an ice stringer or from longitudinal framing shall be F = f_12*p*h*S [MN] (4.15). When calculating c_a, use l_a = 2*S. If p*h is less than 0.15 MN/m, use 0.15 MN/m. Use f_12 = 1.8.</x:v>
      </x:c>
      <x:c r="I53" s="110" t="str">
        <x:v>The ice load transferred to a web frame from an ice stringer or from longitudinal framing shall be F = f_12*p*h*S [MN] (4.15). When calculating c_a, use l_a = 2*S. If p*h is less than 0.15 MN/m, use 0.15 MN/m. Use f_12 = 1.8.</x:v>
      </x:c>
      <x:c r="J53" s="111" t="str">
        <x:v>No explicit data variable identified</x:v>
      </x:c>
      <x:c r="K53" s="111" t="str">
        <x:v>No direct AnchorMap term found; propose a code-safe alias during SHACL design</x:v>
      </x:c>
      <x:c r="L53" s="114" t="str">
        <x:v>Medium</x:v>
      </x:c>
      <x:c r="M53" s="111" t="str">
        <x:v>Formula-derived constraint</x:v>
      </x:c>
      <x:c r="N53" s="108" t="str">
        <x:v>Deterministic calculation from static design inputs followed by a numeric or logical comparison.</x:v>
      </x:c>
      <x:c r="O53" s="113" t="str">
        <x:v>No</x:v>
      </x:c>
      <x:c r="P53" s="113" t="str">
        <x:v>Included - source reverified and locked</x:v>
      </x:c>
      <x:c r="Q53" s="108" t="str">
        <x:v>LOCK-2026-08-10: Classified the deterministic web-frame ice-load formula as Static Calculation. Final source lock check completed against the supplied PDF; equation notation is ASCII-linearized.</x:v>
      </x:c>
      <x:c r="R53" s="108" t="str">
        <x:v>LOCK-2026-08-11-R2 | source_pdf=TRAFICOM.pdf | source_sha256=8ab845347770c253433b8bad9b1fbe5d6ac71b3d07a1a28dae8a32cfde732ddc | physical_pdf_page=23 | section=Ice load | clause=4.6.1 | checks=independent_full_text_page_layout; numbers_units_operators_equations; normalized_rule_meaning; five_category_classification | status=LOCKED</x:v>
      </x:c>
      <x:c r="S53" s="108" t="str">
        <x:v>33_staticcalculation_ph_minimum_stringer (static_calculation); 51_complex_longitudinal_frame_section_modulus (Complex); 53_complex_web_frame_ice_load (Complex)</x:v>
      </x:c>
      <x:c r="T53" s="108" t="str">
        <x:v>PASS - source/page/clause/meaning/category reverified</x:v>
      </x:c>
      <x:c r="U53" s="108" t="str">
        <x:v>LOCKED - extraction reverified</x:v>
      </x:c>
      <x:c r="V53" s="112" t="str">
        <x:v>Second-pass extraction lock covers source identity, physical PDF page span, section/clause, ASCII transcription, normalized meaning, and verification category. SHACL shapes remain a separate implementation artifact.</x:v>
      </x:c>
      <x:c r="W53" s="112" t="str">
        <x:v>https://www.finlex.fi/en/authorities/regulations/traficom-transport-maritime/2021/47238</x:v>
      </x:c>
      <x:c r="X53" s="112" t="str">
        <x:v>No explicit data variable identified</x:v>
      </x:c>
      <x:c r="Y53" s="112" t="str">
        <x:v>Formula-derived constraint; encode values with units and retain clause/page provenance.</x:v>
      </x:c>
    </x:row>
    <x:row r="54" ht="92" customHeight="1">
      <x:c r="A54" s="108" t="str">
        <x:v>TRF-058</x:v>
      </x:c>
      <x:c r="B54" s="108" t="str">
        <x:v>Ice Class Regulations and the Application Thereof</x:v>
      </x:c>
      <x:c r="C54" s="108" t="str">
        <x:v>TRAFICOM/68863/03.04.01.00/2021</x:v>
      </x:c>
      <x:c r="D54" s="163" t="n">
        <x:v>23</x:v>
      </x:c>
      <x:c r="E54" s="108" t="str">
        <x:v>Ice load</x:v>
      </x:c>
      <x:c r="F54" s="108" t="str">
        <x:v>4.6.1</x:v>
      </x:c>
      <x:c r="G54" s="113" t="str">
        <x:v>Static Calculation</x:v>
      </x:c>
      <x:c r="H54" s="109" t="str">
        <x:v>If the supported stringer is outside the ice belt, the force F shall be multiplied by (1- hs/ls), where hs and ls shall be as defined in section 4.5.2.</x:v>
      </x:c>
      <x:c r="I54" s="110" t="str">
        <x:v>If the supported stringer is outside the ice belt, the force F shall be multiplied by (1- hs/ls), where hs and ls shall be as defined in section 4.5.2.</x:v>
      </x:c>
      <x:c r="J54" s="111" t="str">
        <x:v>No explicit data variable identified</x:v>
      </x:c>
      <x:c r="K54" s="111" t="str">
        <x:v>No direct AnchorMap term found; propose a code-safe alias during SHACL design</x:v>
      </x:c>
      <x:c r="L54" s="114" t="str">
        <x:v>High</x:v>
      </x:c>
      <x:c r="M54" s="111" t="str">
        <x:v>Formula-derived constraint</x:v>
      </x:c>
      <x:c r="N54" s="108" t="str">
        <x:v>Deterministic calculation from static design inputs followed by a numeric or logical comparison.</x:v>
      </x:c>
      <x:c r="O54" s="113" t="str">
        <x:v>No</x:v>
      </x:c>
      <x:c r="P54" s="113" t="str">
        <x:v>Included - source reverified and locked</x:v>
      </x:c>
      <x:c r="Q54" s="108" t="str">
        <x:v>LOCK-2026-08-10: No source, page, clause, category, or normalized-meaning correction was required. Source wording was checked against the supplied PDF; equation notation is ASCII-linearized.</x:v>
      </x:c>
      <x:c r="R54" s="108" t="str">
        <x:v>LOCK-2026-08-11-R2 | source_pdf=TRAFICOM.pdf | source_sha256=8ab845347770c253433b8bad9b1fbe5d6ac71b3d07a1a28dae8a32cfde732ddc | physical_pdf_page=23 | section=Ice load | clause=4.6.1 | checks=independent_full_text_page_layout; numbers_units_operators_equations; normalized_rule_meaning; five_category_classification | status=LOCKED</x:v>
      </x:c>
      <x:c r="S54" s="108" t="str">
        <x:v>65_complex_stringer_outside_section_modulus (Complex); 66_complex_stringer_outside_shear_area (Complex)</x:v>
      </x:c>
      <x:c r="T54" s="108" t="str">
        <x:v>PASS - source/page/clause/meaning/category reverified</x:v>
      </x:c>
      <x:c r="U54" s="108" t="str">
        <x:v>LOCKED - extraction reverified</x:v>
      </x:c>
      <x:c r="V54" s="112" t="str">
        <x:v>Second-pass extraction lock covers source identity, physical PDF page span, section/clause, ASCII transcription, normalized meaning, and verification category. SHACL shapes remain a separate implementation artifact.</x:v>
      </x:c>
      <x:c r="W54" s="112" t="str">
        <x:v>https://www.finlex.fi/en/authorities/regulations/traficom-transport-maritime/2021/47238</x:v>
      </x:c>
      <x:c r="X54" s="112" t="str">
        <x:v>No explicit data variable identified</x:v>
      </x:c>
      <x:c r="Y54" s="112" t="str">
        <x:v>Formula-derived constraint; encode values with units and retain clause/page provenance.</x:v>
      </x:c>
    </x:row>
    <x:row r="55" ht="92" customHeight="1">
      <x:c r="A55" s="108" t="str">
        <x:v>TRF-059</x:v>
      </x:c>
      <x:c r="B55" s="108" t="str">
        <x:v>Ice Class Regulations and the Application Thereof</x:v>
      </x:c>
      <x:c r="C55" s="108" t="str">
        <x:v>TRAFICOM/68863/03.04.01.00/2021</x:v>
      </x:c>
      <x:c r="D55" s="163" t="n">
        <x:v>23</x:v>
      </x:c>
      <x:c r="E55" s="108" t="str">
        <x:v>Section modulus and shear area</x:v>
      </x:c>
      <x:c r="F55" s="108" t="str">
        <x:v>4.6.2</x:v>
      </x:c>
      <x:c r="G55" s="113" t="str">
        <x:v>Static Calculation</x:v>
      </x:c>
      <x:c r="H55" s="109" t="str">
        <x:v>The effective shear area of a web frame shall be calculated using A = sqrt(3)*alpha*f_13*Q/sigma_y*10^4 [cm^2] (4.16), where Q is the maximum calculated shear force under the ice load F from 4.6.1, f_13 = 1.1, alpha is selected from Table 4-8, and sigma_y is the yield stress from 4.3.2.</x:v>
      </x:c>
      <x:c r="I55" s="110" t="str">
        <x:v>Compute A_cm2 = sqrt(3)*alpha*1.1*Q_MN/sigma_y_N_mm2*10^4, where Q_MN is the maximum calculated shear force under F and alpha is selected from Table 4-8.</x:v>
      </x:c>
      <x:c r="J55" s="111" t="str">
        <x:v>yieldStrength_MPa, sectionModulusZ, shearAreaA</x:v>
      </x:c>
      <x:c r="K55" s="111" t="str">
        <x:v>yieldStrength_MPa, sectionModulusZ, shearAreaA</x:v>
      </x:c>
      <x:c r="L55" s="114" t="str">
        <x:v>High</x:v>
      </x:c>
      <x:c r="M55" s="111" t="str">
        <x:v>Formula-derived constraint</x:v>
      </x:c>
      <x:c r="N55" s="108" t="str">
        <x:v>Deterministic calculation from static design inputs followed by a numeric or logical comparison.</x:v>
      </x:c>
      <x:c r="O55" s="113" t="str">
        <x:v>No</x:v>
      </x:c>
      <x:c r="P55" s="113" t="str">
        <x:v>Included - source reverified and locked</x:v>
      </x:c>
      <x:c r="Q55" s="108" t="str">
        <x:v>LOCK-2026-08-10: Restored the Q, f_13, alpha, and sigma_y definitions for equation 4.16. Final source lock check completed against the supplied PDF; equation notation is ASCII-linearized.</x:v>
      </x:c>
      <x:c r="R55" s="108" t="str">
        <x:v>LOCK-2026-08-11-R2 | source_pdf=TRAFICOM.pdf | source_sha256=8ab845347770c253433b8bad9b1fbe5d6ac71b3d07a1a28dae8a32cfde732ddc | physical_pdf_page=23 | section=Section modulus and shear area | clause=4.6.2 | checks=independent_full_text_page_layout; numbers_units_operators_equations; normalized_rule_meaning; five_category_classification | status=LOCKED</x:v>
      </x:c>
      <x:c r="S55" s="108" t="str">
        <x:v>25_staticcalculation_stringer (static_calculation); 49_complex_transverse_frame_section_modulus (Complex); 50_complex_transverse_frame_shear_area (Complex)</x:v>
      </x:c>
      <x:c r="T55" s="108" t="str">
        <x:v>PASS - source/page/clause/meaning/category reverified</x:v>
      </x:c>
      <x:c r="U55" s="108" t="str">
        <x:v>LOCKED - extraction reverified</x:v>
      </x:c>
      <x:c r="V55" s="112" t="str">
        <x:v>Second-pass extraction lock covers source identity, physical PDF page span, section/clause, ASCII transcription, normalized meaning, and verification category. SHACL shapes remain a separate implementation artifact.</x:v>
      </x:c>
      <x:c r="W55" s="112" t="str">
        <x:v>https://www.finlex.fi/en/authorities/regulations/traficom-transport-maritime/2021/47238</x:v>
      </x:c>
      <x:c r="X55" s="112" t="str">
        <x:v>yieldStrength_MPa, sectionModulusZ, shearAreaA</x:v>
      </x:c>
      <x:c r="Y55" s="112" t="str">
        <x:v>Formula-derived constraint; encode values with units and retain clause/page provenance.</x:v>
      </x:c>
    </x:row>
    <x:row r="56" ht="92" customHeight="1">
      <x:c r="A56" s="108" t="str">
        <x:v>TRF-060</x:v>
      </x:c>
      <x:c r="B56" s="108" t="str">
        <x:v>Ice Class Regulations and the Application Thereof</x:v>
      </x:c>
      <x:c r="C56" s="108" t="str">
        <x:v>TRAFICOM/68863/03.04.01.00/2021</x:v>
      </x:c>
      <x:c r="D56" s="163" t="n">
        <x:v>24</x:v>
      </x:c>
      <x:c r="E56" s="108" t="str">
        <x:v>Section modulus and shear area</x:v>
      </x:c>
      <x:c r="F56" s="108" t="str">
        <x:v>4.6.2</x:v>
      </x:c>
      <x:c r="G56" s="113" t="str">
        <x:v>Static Calculation</x:v>
      </x:c>
      <x:c r="H56" s="109" t="str">
        <x:v>The section modulus of a web frame shall be calculated using Z = (M/sigma_y)*sqrt(1/(1 - (gamma*A/A_a)^2))*10^6 [cm^3] (4.17), where M is the maximum calculated bending moment under ice load F and shall be M = 0.193*F*L, gamma is selected from Table 4-8, A is the required shear area, and A_a = A_f + A_w is the actual cross-sectional area of the web frame.</x:v>
      </x:c>
      <x:c r="I56" s="110" t="str">
        <x:v>Compute M_MNm = 0.193*F_MN*L_m and A_a_cm2 = A_f_cm2 + A_w_cm2. Then compute Z_cm3 = (M_MNm/sigma_y_N_mm2)*sqrt(1/(1 - (gamma*A_required_cm2/A_a_cm2)^2))*10^6, with gamma selected from Table 4-8.</x:v>
      </x:c>
      <x:c r="J56" s="111" t="str">
        <x:v>yieldStrength_MPa, sectionModulusZ, shearAreaA</x:v>
      </x:c>
      <x:c r="K56" s="111" t="str">
        <x:v>yieldStrength_MPa, sectionModulusZ, shearAreaA</x:v>
      </x:c>
      <x:c r="L56" s="114" t="str">
        <x:v>Medium</x:v>
      </x:c>
      <x:c r="M56" s="111" t="str">
        <x:v>Table-lookup plus constraint</x:v>
      </x:c>
      <x:c r="N56" s="108" t="str">
        <x:v>Deterministic calculation from static design inputs followed by a numeric or logical comparison.</x:v>
      </x:c>
      <x:c r="O56" s="113" t="str">
        <x:v>No</x:v>
      </x:c>
      <x:c r="P56" s="113" t="str">
        <x:v>Included - source reverified and locked</x:v>
      </x:c>
      <x:c r="Q56" s="108" t="str">
        <x:v>LOCK-2026-08-10: Restored the full equation inputs and classified the deterministic check as Static Calculation. Final source lock check completed against the supplied PDF; equation notation is ASCII-linearized.</x:v>
      </x:c>
      <x:c r="R56" s="108" t="str">
        <x:v>LOCK-2026-08-11-R2 | source_pdf=TRAFICOM.pdf | source_sha256=8ab845347770c253433b8bad9b1fbe5d6ac71b3d07a1a28dae8a32cfde732ddc | physical_pdf_page=24 | section=Section modulus and shear area | clause=4.6.2 | checks=independent_full_text_page_layout; numbers_units_operators_equations; normalized_rule_meaning; five_category_classification | status=LOCKED</x:v>
      </x:c>
      <x:c r="S56" s="108" t="str">
        <x:v>53_complex_web_frame_ice_load (Complex); 49_complex_transverse_frame_section_modulus (Complex); 50_complex_transverse_frame_shear_area (Complex)</x:v>
      </x:c>
      <x:c r="T56" s="108" t="str">
        <x:v>PASS - source/page/clause/meaning/category reverified</x:v>
      </x:c>
      <x:c r="U56" s="108" t="str">
        <x:v>LOCKED - extraction reverified</x:v>
      </x:c>
      <x:c r="V56" s="112" t="str">
        <x:v>Second-pass extraction lock covers source identity, physical PDF page span, section/clause, ASCII transcription, normalized meaning, and verification category. SHACL shapes remain a separate implementation artifact.</x:v>
      </x:c>
      <x:c r="W56" s="112" t="str">
        <x:v>https://www.finlex.fi/en/authorities/regulations/traficom-transport-maritime/2021/47238</x:v>
      </x:c>
      <x:c r="X56" s="112" t="str">
        <x:v>yieldStrength_MPa, sectionModulusZ, shearAreaA</x:v>
      </x:c>
      <x:c r="Y56" s="112" t="str">
        <x:v>Table-lookup plus constraint; encode values with units and retain clause/page provenance.</x:v>
      </x:c>
    </x:row>
    <x:row r="57" ht="92" customHeight="1">
      <x:c r="A57" s="108" t="str">
        <x:v>TRF-061</x:v>
      </x:c>
      <x:c r="B57" s="108" t="str">
        <x:v>Ice Class Regulations and the Application Thereof</x:v>
      </x:c>
      <x:c r="C57" s="108" t="str">
        <x:v>TRAFICOM/68863/03.04.01.00/2021</x:v>
      </x:c>
      <x:c r="D57" s="163" t="n">
        <x:v>25</x:v>
      </x:c>
      <x:c r="E57" s="108" t="str">
        <x:v>Stem</x:v>
      </x:c>
      <x:c r="F57" s="108" t="str">
        <x:v>4.7</x:v>
      </x:c>
      <x:c r="G57" s="113" t="str">
        <x:v>Complex</x:v>
      </x:c>
      <x:c r="H57" s="109" t="str">
        <x:v>The plate thickness of a shaped plate stem and, in the case of a blunt bow, any part of the shell where alpha &gt;= 30o and psi &gt;= 75o (see section 3.2.1 for angle definitions), shall be calculated according to formula 4.5, assuming that: s is the spacing of elements supporting the plate [m] pPL = p [MPa] (see section 4.3.2) la is the spacing of vertical supporting elements [m]. The stem and the part of a blunt bow defined above shall be supported by floors or brackets spaced no more than 0.6 m apart and with a thickness of at least half the plate thickness. The reinforcement of the stem shall extend from the keel to a point 0.75 m above the UIWL or, if an upper bow ice belt is required (see section 4.3.1), to the upper limit of this. The introduction of new propulsion arrangements with azimuthing thrusters, which provide improved manoeuvrability, will result in increased ice loading of the Stern region and the stern area. This fact should be considered in the design of the aft/stern structure.</x:v>
      </x:c>
      <x:c r="I57" s="110" t="str">
        <x:v>The stem and the part of a blunt bow defined above shall be supported by floors or brackets spaced no more than 0.6 m apart and with a thickness of at least half the plate thickness.</x:v>
      </x:c>
      <x:c r="J57" s="111" t="str">
        <x:v>UIWL, psi, spacing, thickness</x:v>
      </x:c>
      <x:c r="K57" s="111" t="str">
        <x:v>reg:UIWL, reg:psi, spacing, thickness</x:v>
      </x:c>
      <x:c r="L57" s="114" t="str">
        <x:v>Medium</x:v>
      </x:c>
      <x:c r="M57" s="111" t="str">
        <x:v>Formula-derived constraint</x:v>
      </x:c>
      <x:c r="N57" s="108" t="str">
        <x:v>Verification requires linked conditions, external approval or evidence, an assessment, or a composite workflow.</x:v>
      </x:c>
      <x:c r="O57" s="113" t="str">
        <x:v>No</x:v>
      </x:c>
      <x:c r="P57" s="113" t="str">
        <x:v>Included - source reverified and locked</x:v>
      </x:c>
      <x:c r="Q57" s="108" t="str">
        <x:v>LOCK-2026-08-10: No source, page, clause, category, or normalized-meaning correction was required. Source wording was checked against the supplied PDF; equation notation is ASCII-linearized.</x:v>
      </x:c>
      <x:c r="R57" s="108" t="str">
        <x:v>LOCK-2026-08-11-R2 | source_pdf=TRAFICOM.pdf | source_sha256=8ab845347770c253433b8bad9b1fbe5d6ac71b3d07a1a28dae8a32cfde732ddc | physical_pdf_page=25 | section=Stem | clause=4.7 | checks=independent_full_text_page_layout; numbers_units_operators_equations; normalized_rule_meaning; five_category_classification | status=LOCKED</x:v>
      </x:c>
      <x:c r="S57" s="108" t="str">
        <x:v>12_static_stem_floor_spacing (Static); 56_complex_stem_plate_thickness (Complex); 47_complex_shell_plate_thickness_transverse (Complex)</x:v>
      </x:c>
      <x:c r="T57" s="108" t="str">
        <x:v>PASS - source/page/clause/meaning/category reverified</x:v>
      </x:c>
      <x:c r="U57" s="108" t="str">
        <x:v>LOCKED - extraction reverified</x:v>
      </x:c>
      <x:c r="V57" s="112" t="str">
        <x:v>Second-pass extraction lock covers source identity, physical PDF page span, section/clause, ASCII transcription, normalized meaning, and verification category. SHACL shapes remain a separate implementation artifact.</x:v>
      </x:c>
      <x:c r="W57" s="112" t="str">
        <x:v>https://www.finlex.fi/en/authorities/regulations/traficom-transport-maritime/2021/47238</x:v>
      </x:c>
      <x:c r="X57" s="112" t="str">
        <x:v>UIWL, psi, spacing, thickness</x:v>
      </x:c>
      <x:c r="Y57" s="112" t="str">
        <x:v>Formula-derived constraint; encode values with units and retain clause/page provenance.</x:v>
      </x:c>
    </x:row>
    <x:row r="58" ht="92" customHeight="1">
      <x:c r="A58" s="108" t="str">
        <x:v>TRF-062</x:v>
      </x:c>
      <x:c r="B58" s="108" t="str">
        <x:v>Ice Class Regulations and the Application Thereof</x:v>
      </x:c>
      <x:c r="C58" s="108" t="str">
        <x:v>TRAFICOM/68863/03.04.01.00/2021</x:v>
      </x:c>
      <x:c r="D58" s="163" t="n">
        <x:v>25</x:v>
      </x:c>
      <x:c r="E58" s="108" t="str">
        <x:v>Stern</x:v>
      </x:c>
      <x:c r="F58" s="108" t="str">
        <x:v>4.8</x:v>
      </x:c>
      <x:c r="G58" s="113" t="str">
        <x:v>Static</x:v>
      </x:c>
      <x:c r="H58" s="109" t="str">
        <x:v>In order to avoid very high loads on propeller blade tips, the minimum distance between the propeller(s) and the hull (including stern frame) should be no less than h0 (see 4.2.1).</x:v>
      </x:c>
      <x:c r="I58" s="110" t="str">
        <x:v>In order to avoid very high loads on propeller blade tips, the minimum distance between the propeller(s) and the hull (including stern frame) should be no less than h0 (see 4.2.1).</x:v>
      </x:c>
      <x:c r="J58" s="111" t="str">
        <x:v>No explicit data variable identified</x:v>
      </x:c>
      <x:c r="K58" s="111" t="str">
        <x:v>No direct AnchorMap term found; propose a code-safe alias during SHACL design</x:v>
      </x:c>
      <x:c r="L58" s="114" t="str">
        <x:v>High</x:v>
      </x:c>
      <x:c r="M58" s="111" t="str">
        <x:v>Direct property/presence constraint</x:v>
      </x:c>
      <x:c r="N58" s="108" t="str">
        <x:v>Direct verification of a stated property, document, presence condition, enumeration, applicability rule, prohibition, or fixed limit.</x:v>
      </x:c>
      <x:c r="O58" s="113" t="str">
        <x:v>No</x:v>
      </x:c>
      <x:c r="P58" s="113" t="str">
        <x:v>Included - source reverified and locked</x:v>
      </x:c>
      <x:c r="Q58" s="108" t="str">
        <x:v>LOCK-2026-08-10: No source, page, clause, category, or normalized-meaning correction was required. Source wording was checked against the supplied PDF; equation notation is ASCII-linearized.</x:v>
      </x:c>
      <x:c r="R58" s="108" t="str">
        <x:v>LOCK-2026-08-11-R2 | source_pdf=TRAFICOM.pdf | source_sha256=8ab845347770c253433b8bad9b1fbe5d6ac71b3d07a1a28dae8a32cfde732ddc | physical_pdf_page=25 | section=Stern | clause=4.8 | checks=independent_full_text_page_layout; numbers_units_operators_equations; normalized_rule_meaning; five_category_classification | status=LOCKED</x:v>
      </x:c>
      <x:c r="S58" s="108" t="str">
        <x:v>60_complex_propeller_diameter (Complex)</x:v>
      </x:c>
      <x:c r="T58" s="108" t="str">
        <x:v>PASS - source/page/clause/meaning/category reverified</x:v>
      </x:c>
      <x:c r="U58" s="108" t="str">
        <x:v>LOCKED - extraction reverified</x:v>
      </x:c>
      <x:c r="V58" s="112" t="str">
        <x:v>Second-pass extraction lock covers source identity, physical PDF page span, section/clause, ASCII transcription, normalized meaning, and verification category. SHACL shapes remain a separate implementation artifact.</x:v>
      </x:c>
      <x:c r="W58" s="112" t="str">
        <x:v>https://www.finlex.fi/en/authorities/regulations/traficom-transport-maritime/2021/47238</x:v>
      </x:c>
      <x:c r="X58" s="112" t="str">
        <x:v>No explicit data variable identified</x:v>
      </x:c>
      <x:c r="Y58" s="112" t="str">
        <x:v>Direct property/presence constraint; encode values with units and retain clause/page provenance.</x:v>
      </x:c>
    </x:row>
    <x:row r="59" ht="92" customHeight="1">
      <x:c r="A59" s="108" t="str">
        <x:v>TRF-063</x:v>
      </x:c>
      <x:c r="B59" s="108" t="str">
        <x:v>Ice Class Regulations and the Application Thereof</x:v>
      </x:c>
      <x:c r="C59" s="108" t="str">
        <x:v>TRAFICOM/68863/03.04.01.00/2021</x:v>
      </x:c>
      <x:c r="D59" s="163" t="n">
        <x:v>25</x:v>
      </x:c>
      <x:c r="E59" s="108" t="str">
        <x:v>Stern</x:v>
      </x:c>
      <x:c r="F59" s="108" t="str">
        <x:v>4.8</x:v>
      </x:c>
      <x:c r="G59" s="113" t="str">
        <x:v>Static</x:v>
      </x:c>
      <x:c r="H59" s="109" t="str">
        <x:v>On twin and triple screw ships, the ice strengthening of the shell and framing shall be extended to the tank top 1.5 metres forward and aft of the side propellers.</x:v>
      </x:c>
      <x:c r="I59" s="110" t="str">
        <x:v>On twin and triple screw ships, the ice strengthening of the shell and framing shall be extended to the tank top 1.5 metres forward and aft of the side propellers.</x:v>
      </x:c>
      <x:c r="J59" s="111" t="str">
        <x:v>No explicit data variable identified</x:v>
      </x:c>
      <x:c r="K59" s="111" t="str">
        <x:v>No direct AnchorMap term found; propose a code-safe alias during SHACL design</x:v>
      </x:c>
      <x:c r="L59" s="114" t="str">
        <x:v>High</x:v>
      </x:c>
      <x:c r="M59" s="111" t="str">
        <x:v>Direct property/presence constraint</x:v>
      </x:c>
      <x:c r="N59" s="108" t="str">
        <x:v>Direct verification of a stated property, document, presence condition, enumeration, applicability rule, prohibition, or fixed limit.</x:v>
      </x:c>
      <x:c r="O59" s="113" t="str">
        <x:v>No</x:v>
      </x:c>
      <x:c r="P59" s="113" t="str">
        <x:v>Included - source reverified and locked</x:v>
      </x:c>
      <x:c r="Q59" s="108" t="str">
        <x:v>LOCK-2026-08-10: No source, page, clause, category, or normalized-meaning correction was required. Source wording was checked against the supplied PDF; equation notation is ASCII-linearized.</x:v>
      </x:c>
      <x:c r="R59" s="108" t="str">
        <x:v>LOCK-2026-08-11-R2 | source_pdf=TRAFICOM.pdf | source_sha256=8ab845347770c253433b8bad9b1fbe5d6ac71b3d07a1a28dae8a32cfde732ddc | physical_pdf_page=25 | section=Stern | clause=4.8 | checks=independent_full_text_page_layout; numbers_units_operators_equations; normalized_rule_meaning; five_category_classification | status=LOCKED</x:v>
      </x:c>
      <x:c r="S59" s="108" t="str">
        <x:v>No close match among the thesis repository's 90 input cases.</x:v>
      </x:c>
      <x:c r="T59" s="108" t="str">
        <x:v>PASS - source/page/clause/meaning/category reverified</x:v>
      </x:c>
      <x:c r="U59" s="108" t="str">
        <x:v>LOCKED - extraction reverified</x:v>
      </x:c>
      <x:c r="V59" s="112" t="str">
        <x:v>Second-pass extraction lock covers source identity, physical PDF page span, section/clause, ASCII transcription, normalized meaning, and verification category. SHACL shapes remain a separate implementation artifact.</x:v>
      </x:c>
      <x:c r="W59" s="112" t="str">
        <x:v>https://www.finlex.fi/en/authorities/regulations/traficom-transport-maritime/2021/47238</x:v>
      </x:c>
      <x:c r="X59" s="112" t="str">
        <x:v>No explicit data variable identified</x:v>
      </x:c>
      <x:c r="Y59" s="112" t="str">
        <x:v>Direct property/presence constraint; encode values with units and retain clause/page provenance.</x:v>
      </x:c>
    </x:row>
    <x:row r="60" ht="92" customHeight="1">
      <x:c r="A60" s="108" t="str">
        <x:v>TRF-064</x:v>
      </x:c>
      <x:c r="B60" s="108" t="str">
        <x:v>Ice Class Regulations and the Application Thereof</x:v>
      </x:c>
      <x:c r="C60" s="108" t="str">
        <x:v>TRAFICOM/68863/03.04.01.00/2021</x:v>
      </x:c>
      <x:c r="D60" s="163" t="n">
        <x:v>26</x:v>
      </x:c>
      <x:c r="E60" s="108" t="str">
        <x:v>Stern</x:v>
      </x:c>
      <x:c r="F60" s="108" t="str">
        <x:v>4.8</x:v>
      </x:c>
      <x:c r="G60" s="113" t="str">
        <x:v>Static</x:v>
      </x:c>
      <x:c r="H60" s="109" t="str">
        <x:v>The shafting and stern tubes of side propellers shall normally be enclosed within plated bossings. If detached struts are used, due consideration shall be taken of their design, strength and attachments to the hull.</x:v>
      </x:c>
      <x:c r="I60" s="110" t="str">
        <x:v>The shafting and stern tubes of side propellers shall normally be enclosed within plated bossings. If detached struts are used, due consideration shall be taken of their design, strength and attachments to the hull.</x:v>
      </x:c>
      <x:c r="J60" s="111" t="str">
        <x:v>No explicit data variable identified</x:v>
      </x:c>
      <x:c r="K60" s="111" t="str">
        <x:v>No direct AnchorMap term found; propose a code-safe alias during SHACL design</x:v>
      </x:c>
      <x:c r="L60" s="114" t="str">
        <x:v>High</x:v>
      </x:c>
      <x:c r="M60" s="111" t="str">
        <x:v>Conditional/applicability constraint</x:v>
      </x:c>
      <x:c r="N60" s="108" t="str">
        <x:v>Direct verification of a stated property, document, presence condition, enumeration, applicability rule, prohibition, or fixed limit.</x:v>
      </x:c>
      <x:c r="O60" s="113" t="str">
        <x:v>No</x:v>
      </x:c>
      <x:c r="P60" s="113" t="str">
        <x:v>Included - source reverified and locked</x:v>
      </x:c>
      <x:c r="Q60" s="108" t="str">
        <x:v>LOCK-2026-08-10: No source, page, clause, category, or normalized-meaning correction was required. Source wording was checked against the supplied PDF; equation notation is ASCII-linearized.</x:v>
      </x:c>
      <x:c r="R60" s="108" t="str">
        <x:v>LOCK-2026-08-11-R2 | source_pdf=TRAFICOM.pdf | source_sha256=8ab845347770c253433b8bad9b1fbe5d6ac71b3d07a1a28dae8a32cfde732ddc | physical_pdf_page=26 | section=Stern | clause=4.8 | checks=independent_full_text_page_layout; numbers_units_operators_equations; normalized_rule_meaning; five_category_classification | status=LOCKED</x:v>
      </x:c>
      <x:c r="S60" s="108" t="str">
        <x:v>No close match among the thesis repository's 90 input cases.</x:v>
      </x:c>
      <x:c r="T60" s="108" t="str">
        <x:v>PASS - source/page/clause/meaning/category reverified</x:v>
      </x:c>
      <x:c r="U60" s="108" t="str">
        <x:v>LOCKED - extraction reverified</x:v>
      </x:c>
      <x:c r="V60" s="112" t="str">
        <x:v>Second-pass extraction lock covers source identity, physical PDF page span, section/clause, ASCII transcription, normalized meaning, and verification category. SHACL shapes remain a separate implementation artifact.</x:v>
      </x:c>
      <x:c r="W60" s="112" t="str">
        <x:v>https://www.finlex.fi/en/authorities/regulations/traficom-transport-maritime/2021/47238</x:v>
      </x:c>
      <x:c r="X60" s="112" t="str">
        <x:v>No explicit data variable identified</x:v>
      </x:c>
      <x:c r="Y60" s="112" t="str">
        <x:v>Conditional/applicability constraint; encode values with units and retain clause/page provenance.</x:v>
      </x:c>
    </x:row>
    <x:row r="61" ht="92" customHeight="1">
      <x:c r="A61" s="108" t="str">
        <x:v>TRF-065</x:v>
      </x:c>
      <x:c r="B61" s="108" t="str">
        <x:v>Ice Class Regulations and the Application Thereof</x:v>
      </x:c>
      <x:c r="C61" s="108" t="str">
        <x:v>TRAFICOM/68863/03.04.01.00/2021</x:v>
      </x:c>
      <x:c r="D61" s="163" t="n">
        <x:v>26</x:v>
      </x:c>
      <x:c r="E61" s="108" t="str">
        <x:v>RUDDER AND STEERING ARRANGEMENTS</x:v>
      </x:c>
      <x:c r="F61" s="108" t="str">
        <x:v>5</x:v>
      </x:c>
      <x:c r="G61" s="113" t="str">
        <x:v>Complex</x:v>
      </x:c>
      <x:c r="H61" s="109" t="str">
        <x:v>The scantlings of the rudder post, rudder stock, pintles, steering engine etc. as well as the capability of the steering engine shall be determined according to the rules of the classification society. The maximum service speed of the ship to be used in these calculations shall, however, not be given a value lower than that stated below: IA Super 20 knots IA 18 knots IB 16 knots IC 14 knots If the actual maximum service speed of the ship is higher, that speed shall be used. The local scantlings of rudders must be determined assuming that the whole rudder belongs to the ice belt. Furthermore, the rudder plating and frames are to be designed using the ice pressure p for the plating and frames in the midbody region.</x:v>
      </x:c>
      <x:c r="I61" s="110" t="str">
        <x:v>The maximum service speed of the ship to be used in these calculations shall not be given a value lower than: IA Super 20 knots, IA 18 knots, IB 16 knots, IC 14 knots.</x:v>
      </x:c>
      <x:c r="J61" s="111" t="str">
        <x:v>designOperationSpeedInIce_kn</x:v>
      </x:c>
      <x:c r="K61" s="111" t="str">
        <x:v>designOperationSpeedInIce_kn</x:v>
      </x:c>
      <x:c r="L61" s="114" t="str">
        <x:v>Medium</x:v>
      </x:c>
      <x:c r="M61" s="111" t="str">
        <x:v>Conditional/applicability constraint</x:v>
      </x:c>
      <x:c r="N61" s="108" t="str">
        <x:v>Verification requires linked conditions, external approval or evidence, an assessment, or a composite workflow.</x:v>
      </x:c>
      <x:c r="O61" s="113" t="str">
        <x:v>No</x:v>
      </x:c>
      <x:c r="P61" s="113" t="str">
        <x:v>Included - source reverified and locked</x:v>
      </x:c>
      <x:c r="Q61" s="108" t="str">
        <x:v>LOCK-2026-08-10: No source, page, clause, category, or normalized-meaning correction was required. Source wording was checked against the supplied PDF; equation notation is ASCII-linearized.</x:v>
      </x:c>
      <x:c r="R61" s="108" t="str">
        <x:v>LOCK-2026-08-11-R2 | source_pdf=TRAFICOM.pdf | source_sha256=8ab845347770c253433b8bad9b1fbe5d6ac71b3d07a1a28dae8a32cfde732ddc | physical_pdf_page=26 | section=RUDDER AND STEERING ARRANGEMENTS | clause=5 | checks=independent_full_text_page_layout; numbers_units_operators_equations; normalized_rule_meaning; five_category_classification | status=LOCKED</x:v>
      </x:c>
      <x:c r="S61" s="108" t="str">
        <x:v>17_static_rudder_min_service_speed (Static); 18_static_rudder_actual_speed_override (Static); 28_staticcalculation_service_speed (static_calculation)</x:v>
      </x:c>
      <x:c r="T61" s="108" t="str">
        <x:v>PASS - source/page/clause/meaning/category reverified</x:v>
      </x:c>
      <x:c r="U61" s="108" t="str">
        <x:v>LOCKED - extraction reverified</x:v>
      </x:c>
      <x:c r="V61" s="112" t="str">
        <x:v>Second-pass extraction lock covers source identity, physical PDF page span, section/clause, ASCII transcription, normalized meaning, and verification category. SHACL shapes remain a separate implementation artifact.</x:v>
      </x:c>
      <x:c r="W61" s="112" t="str">
        <x:v>https://www.finlex.fi/en/authorities/regulations/traficom-transport-maritime/2021/47238</x:v>
      </x:c>
      <x:c r="X61" s="112" t="str">
        <x:v>designOperationSpeedInIce_kn</x:v>
      </x:c>
      <x:c r="Y61" s="112" t="str">
        <x:v>Conditional/applicability constraint; encode values with units and retain clause/page provenance.</x:v>
      </x:c>
    </x:row>
    <x:row r="62" ht="92" customHeight="1">
      <x:c r="A62" s="108" t="str">
        <x:v>TRF-066</x:v>
      </x:c>
      <x:c r="B62" s="108" t="str">
        <x:v>Ice Class Regulations and the Application Thereof</x:v>
      </x:c>
      <x:c r="C62" s="108" t="str">
        <x:v>TRAFICOM/68863/03.04.01.00/2021</x:v>
      </x:c>
      <x:c r="D62" s="163" t="n">
        <x:v>26</x:v>
      </x:c>
      <x:c r="E62" s="108" t="str">
        <x:v>RUDDER AND STEERING ARRANGEMENTS</x:v>
      </x:c>
      <x:c r="F62" s="108" t="str">
        <x:v>5</x:v>
      </x:c>
      <x:c r="G62" s="113" t="str">
        <x:v>Static</x:v>
      </x:c>
      <x:c r="H62" s="109" t="str">
        <x:v>For ice classes IA and IA Super, the rudder (the rudder stock and the upper part of the rudder) shall be protected from direct contact with intact ice by an ice knife that extends below the LIWL, if practicable (or equivalent means). Special consideration shall be given to the design of the rudder and the ice knife for ships with flap-type rudders.</x:v>
      </x:c>
      <x:c r="I62" s="110" t="str">
        <x:v>For ice classes IA and IA Super, the rudder (the rudder stock and the upper part of the rudder) shall be protected from direct contact with intact ice by an ice knife that extends below the LIWL, if practicable (or equivalent means).</x:v>
      </x:c>
      <x:c r="J62" s="111" t="str">
        <x:v>iceClass, LIWL</x:v>
      </x:c>
      <x:c r="K62" s="111" t="str">
        <x:v>iceClass, reg:LIWL</x:v>
      </x:c>
      <x:c r="L62" s="114" t="str">
        <x:v>High</x:v>
      </x:c>
      <x:c r="M62" s="111" t="str">
        <x:v>Conditional/applicability constraint</x:v>
      </x:c>
      <x:c r="N62" s="108" t="str">
        <x:v>Direct verification of a stated property, document, presence condition, enumeration, applicability rule, prohibition, or fixed limit.</x:v>
      </x:c>
      <x:c r="O62" s="113" t="str">
        <x:v>No</x:v>
      </x:c>
      <x:c r="P62" s="113" t="str">
        <x:v>Included - source reverified and locked</x:v>
      </x:c>
      <x:c r="Q62" s="108" t="str">
        <x:v>LOCK-2026-08-10: No source, page, clause, category, or normalized-meaning correction was required. Source wording was checked against the supplied PDF; equation notation is ASCII-linearized.</x:v>
      </x:c>
      <x:c r="R62" s="108" t="str">
        <x:v>LOCK-2026-08-11-R2 | source_pdf=TRAFICOM.pdf | source_sha256=8ab845347770c253433b8bad9b1fbe5d6ac71b3d07a1a28dae8a32cfde732ddc | physical_pdf_page=26 | section=RUDDER AND STEERING ARRANGEMENTS | clause=5 | checks=independent_full_text_page_layout; numbers_units_operators_equations; normalized_rule_meaning; five_category_classification | status=LOCKED</x:v>
      </x:c>
      <x:c r="S62" s="108" t="str">
        <x:v>19_static_ice_knife (Static); 05_static_brash_ice_thickness (Static)</x:v>
      </x:c>
      <x:c r="T62" s="108" t="str">
        <x:v>PASS - source/page/clause/meaning/category reverified</x:v>
      </x:c>
      <x:c r="U62" s="108" t="str">
        <x:v>LOCKED - extraction reverified</x:v>
      </x:c>
      <x:c r="V62" s="112" t="str">
        <x:v>Second-pass extraction lock covers source identity, physical PDF page span, section/clause, ASCII transcription, normalized meaning, and verification category. SHACL shapes remain a separate implementation artifact.</x:v>
      </x:c>
      <x:c r="W62" s="112" t="str">
        <x:v>https://www.finlex.fi/en/authorities/regulations/traficom-transport-maritime/2021/47238</x:v>
      </x:c>
      <x:c r="X62" s="112" t="str">
        <x:v>iceClass, LIWL</x:v>
      </x:c>
      <x:c r="Y62" s="112" t="str">
        <x:v>Conditional/applicability constraint; encode values with units and retain clause/page provenance.</x:v>
      </x:c>
    </x:row>
    <x:row r="63" ht="92" customHeight="1">
      <x:c r="A63" s="108" t="str">
        <x:v>TRF-067</x:v>
      </x:c>
      <x:c r="B63" s="108" t="str">
        <x:v>Ice Class Regulations and the Application Thereof</x:v>
      </x:c>
      <x:c r="C63" s="108" t="str">
        <x:v>TRAFICOM/68863/03.04.01.00/2021</x:v>
      </x:c>
      <x:c r="D63" s="163" t="n">
        <x:v>26</x:v>
      </x:c>
      <x:c r="E63" s="108" t="str">
        <x:v>RUDDER AND STEERING ARRANGEMENTS</x:v>
      </x:c>
      <x:c r="F63" s="108" t="str">
        <x:v>5</x:v>
      </x:c>
      <x:c r="G63" s="113" t="str">
        <x:v>Static</x:v>
      </x:c>
      <x:c r="H63" s="109"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I63" s="110"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J63" s="111" t="str">
        <x:v>iceClass</x:v>
      </x:c>
      <x:c r="K63" s="111" t="str">
        <x:v>iceClass</x:v>
      </x:c>
      <x:c r="L63" s="114" t="str">
        <x:v>High</x:v>
      </x:c>
      <x:c r="M63" s="111" t="str">
        <x:v>Conditional/applicability constraint</x:v>
      </x:c>
      <x:c r="N63" s="108" t="str">
        <x:v>Direct verification of a stated property, document, presence condition, enumeration, applicability rule, prohibition, or fixed limit.</x:v>
      </x:c>
      <x:c r="O63" s="113" t="str">
        <x:v>No</x:v>
      </x:c>
      <x:c r="P63" s="113" t="str">
        <x:v>Included - source reverified and locked</x:v>
      </x:c>
      <x:c r="Q63" s="108" t="str">
        <x:v>LOCK-2026-08-10: No source, page, clause, category, or normalized-meaning correction was required. Source wording was checked against the supplied PDF; equation notation is ASCII-linearized.</x:v>
      </x:c>
      <x:c r="R63" s="108" t="str">
        <x:v>LOCK-2026-08-11-R2 | source_pdf=TRAFICOM.pdf | source_sha256=8ab845347770c253433b8bad9b1fbe5d6ac71b3d07a1a28dae8a32cfde732ddc | physical_pdf_page=26 | section=RUDDER AND STEERING ARRANGEMENTS | clause=5 | checks=independent_full_text_page_layout; numbers_units_operators_equations; normalized_rule_meaning; five_category_classification | status=LOCKED</x:v>
      </x:c>
      <x:c r="S63" s="108" t="str">
        <x:v>20_static_rudder_stoppers (Static); 05_static_brash_ice_thickness (Static)</x:v>
      </x:c>
      <x:c r="T63" s="108" t="str">
        <x:v>PASS - source/page/clause/meaning/category reverified</x:v>
      </x:c>
      <x:c r="U63" s="108" t="str">
        <x:v>LOCKED - extraction reverified</x:v>
      </x:c>
      <x:c r="V63" s="112" t="str">
        <x:v>Second-pass extraction lock covers source identity, physical PDF page span, section/clause, ASCII transcription, normalized meaning, and verification category. SHACL shapes remain a separate implementation artifact.</x:v>
      </x:c>
      <x:c r="W63" s="112" t="str">
        <x:v>https://www.finlex.fi/en/authorities/regulations/traficom-transport-maritime/2021/47238</x:v>
      </x:c>
      <x:c r="X63" s="112" t="str">
        <x:v>iceClass</x:v>
      </x:c>
      <x:c r="Y63" s="112" t="str">
        <x:v>Conditional/applicability constraint; encode values with units and retain clause/page provenance.</x:v>
      </x:c>
    </x:row>
    <x:row r="64" ht="92" customHeight="1">
      <x:c r="A64" s="108" t="str">
        <x:v>TRF-068</x:v>
      </x:c>
      <x:c r="B64" s="108" t="str">
        <x:v>Ice Class Regulations and the Application Thereof</x:v>
      </x:c>
      <x:c r="C64" s="108" t="str">
        <x:v>TRAFICOM/68863/03.04.01.00/2021</x:v>
      </x:c>
      <x:c r="D64" s="163" t="n">
        <x:v>26</x:v>
      </x:c>
      <x:c r="E64" s="108" t="str">
        <x:v>RUDDER AND STEERING ARRANGEMENTS</x:v>
      </x:c>
      <x:c r="F64" s="108" t="str">
        <x:v>5</x:v>
      </x:c>
      <x:c r="G64" s="113" t="str">
        <x:v>Complex</x:v>
      </x:c>
      <x:c r="H64" s="109" t="str">
        <x:v>Relief valves for the hydraulic pressure in rudder turning mechanism(s) shall be installed. The components of the steering gear (e.g. rudder stock, rudder coupling, rudder horn etc.) shall be dimensioned to withstand loads causing yield stresses within the required diameter of the rudder stock.</x:v>
      </x:c>
      <x:c r="I64" s="110" t="str">
        <x:v>hydraulic_rudder_relief_valve_present = true. Steering-gear components shall have dimensioning_analysis_status = compliant for the applicable loads and required rudder-stock diameter without exceeding yield stress.</x:v>
      </x:c>
      <x:c r="J64" s="111" t="str">
        <x:v>yieldStrength_MPa</x:v>
      </x:c>
      <x:c r="K64" s="111" t="str">
        <x:v>yieldStrength_MPa</x:v>
      </x:c>
      <x:c r="L64" s="114" t="str">
        <x:v>High</x:v>
      </x:c>
      <x:c r="M64" s="111" t="str">
        <x:v>Formula-derived constraint</x:v>
      </x:c>
      <x:c r="N64" s="108" t="str">
        <x:v>Verification requires linked conditions, external approval or evidence, an assessment, or a composite workflow.</x:v>
      </x:c>
      <x:c r="O64" s="113" t="str">
        <x:v>No</x:v>
      </x:c>
      <x:c r="P64" s="113" t="str">
        <x:v>Included - source reverified and locked</x:v>
      </x:c>
      <x:c r="Q64" s="108" t="str">
        <x:v>LOCK-2026-08-10: Restored the steering-gear dimensioning requirement and classified the linked equipment/stress workflow as Complex. Final source lock check completed against the supplied PDF; equation notation is ASCII-linearized.</x:v>
      </x:c>
      <x:c r="R64" s="108" t="str">
        <x:v>LOCK-2026-08-11-R2 | source_pdf=TRAFICOM.pdf | source_sha256=8ab845347770c253433b8bad9b1fbe5d6ac71b3d07a1a28dae8a32cfde732ddc | physical_pdf_page=26 | section=RUDDER AND STEERING ARRANGEMENTS | clause=5 | checks=independent_full_text_page_layout; numbers_units_operators_equations; normalized_rule_meaning; five_category_classification | status=LOCKED</x:v>
      </x:c>
      <x:c r="S64" s="108" t="str">
        <x:v>21_static_hydraulic_relief_valves (Static); 60_complex_propeller_diameter (Complex)</x:v>
      </x:c>
      <x:c r="T64" s="108" t="str">
        <x:v>PASS - source/page/clause/meaning/category reverified</x:v>
      </x:c>
      <x:c r="U64" s="108" t="str">
        <x:v>LOCKED - extraction reverified</x:v>
      </x:c>
      <x:c r="V64" s="112" t="str">
        <x:v>Second-pass extraction lock covers source identity, physical PDF page span, section/clause, ASCII transcription, normalized meaning, and verification category. SHACL shapes remain a separate implementation artifact.</x:v>
      </x:c>
      <x:c r="W64" s="112" t="str">
        <x:v>https://www.finlex.fi/en/authorities/regulations/traficom-transport-maritime/2021/47238</x:v>
      </x:c>
      <x:c r="X64" s="112" t="str">
        <x:v>yieldStrength_MPa</x:v>
      </x:c>
      <x:c r="Y64" s="112" t="str">
        <x:v>Formula-derived constraint; encode values with units and retain clause/page provenance.</x:v>
      </x:c>
    </x:row>
    <x:row r="65" ht="92" customHeight="1">
      <x:c r="A65" s="108" t="str">
        <x:v>TRF-069</x:v>
      </x:c>
      <x:c r="B65" s="108" t="str">
        <x:v>Ice Class Regulations and the Application Thereof</x:v>
      </x:c>
      <x:c r="C65" s="108" t="str">
        <x:v>TRAFICOM/68863/03.04.01.00/2021</x:v>
      </x:c>
      <x:c r="D65" s="163" t="n">
        <x:v>26</x:v>
      </x:c>
      <x:c r="E65" s="108" t="str">
        <x:v>Scope</x:v>
      </x:c>
      <x:c r="F65" s="108" t="str">
        <x:v>6.1</x:v>
      </x:c>
      <x:c r="G65" s="113" t="str">
        <x:v>Static</x:v>
      </x:c>
      <x:c r="H65" s="109" t="str">
        <x:v>These regulations apply to propulsion machinery covering open- and ducted-type propellers with a controllable pitch or fixed pitch design for ice classes IA Super, IA, IB and IC. The given propeller loads are the expected ice loads for the entire ship's service life under normal operational conditions, including loads resulting from the changing rotational direction of FP propellers. However, these loads do not cover off-design operational conditions, for example when a stopped propeller is dragged through ice. However, the load models of the regulations do not include propeller/ice interaction loads when ice enters the propeller of a turned azimuthing thruster from the side (radially).</x:v>
      </x:c>
      <x:c r="I65" s="110"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J65" s="111" t="str">
        <x:v>iceClass, Qmax_kNm</x:v>
      </x:c>
      <x:c r="K65" s="111" t="str">
        <x:v>iceClass, Qmax_kNm</x:v>
      </x:c>
      <x:c r="L65" s="114" t="str">
        <x:v>High</x:v>
      </x:c>
      <x:c r="M65" s="111" t="str">
        <x:v>Conditional/applicability constraint</x:v>
      </x:c>
      <x:c r="N65" s="108" t="str">
        <x:v>Direct verification of a stated property, document, presence condition, enumeration, applicability rule, prohibition, or fixed limit.</x:v>
      </x:c>
      <x:c r="O65" s="113" t="str">
        <x:v>No</x:v>
      </x:c>
      <x:c r="P65" s="113" t="str">
        <x:v>Included - source reverified and locked</x:v>
      </x:c>
      <x:c r="Q65" s="108" t="str">
        <x:v>LOCK-2026-08-10: Replaced an unrelated torque statement with the actual propulsion-rule applicability and exclusions. Final source lock check completed against the supplied PDF; equation notation is ASCII-linearized.</x:v>
      </x:c>
      <x:c r="R65" s="108" t="str">
        <x:v>LOCK-2026-08-11-R2 | source_pdf=TRAFICOM.pdf | source_sha256=8ab845347770c253433b8bad9b1fbe5d6ac71b3d07a1a28dae8a32cfde732ddc | physical_pdf_page=26 | section=Scope | clause=6.1 | checks=independent_full_text_page_layout; numbers_units_operators_equations; normalized_rule_meaning; five_category_classification | status=LOCKED</x:v>
      </x:c>
      <x:c r="S65" s="108" t="str">
        <x:v>59_complex_propeller_torque (Complex); 86_dynamic_qmax_open_propeller (Dynamic); 87_dynamic_qmax_ducted_propeller (Dynamic)</x:v>
      </x:c>
      <x:c r="T65" s="108" t="str">
        <x:v>PASS - source/page/clause/meaning/category reverified</x:v>
      </x:c>
      <x:c r="U65" s="108" t="str">
        <x:v>LOCKED - extraction reverified</x:v>
      </x:c>
      <x:c r="V65" s="112" t="str">
        <x:v>Second-pass extraction lock covers source identity, physical PDF page span, section/clause, ASCII transcription, normalized meaning, and verification category. SHACL shapes remain a separate implementation artifact.</x:v>
      </x:c>
      <x:c r="W65" s="112" t="str">
        <x:v>https://www.finlex.fi/en/authorities/regulations/traficom-transport-maritime/2021/47238</x:v>
      </x:c>
      <x:c r="X65" s="112" t="str">
        <x:v>iceClass, Qmax_kNm</x:v>
      </x:c>
      <x:c r="Y65" s="112" t="str">
        <x:v>Conditional/applicability constraint; encode values with units and retain clause/page provenance.</x:v>
      </x:c>
    </x:row>
    <x:row r="66" ht="92" customHeight="1">
      <x:c r="A66" s="108" t="str">
        <x:v>TRF-070</x:v>
      </x:c>
      <x:c r="B66" s="108" t="str">
        <x:v>Ice Class Regulations and the Application Thereof</x:v>
      </x:c>
      <x:c r="C66" s="108" t="str">
        <x:v>TRAFICOM/68863/03.04.01.00/2021</x:v>
      </x:c>
      <x:c r="D66" s="163" t="str">
        <x:v>26-27</x:v>
      </x:c>
      <x:c r="E66" s="108" t="str">
        <x:v>Scope</x:v>
      </x:c>
      <x:c r="F66" s="108" t="str">
        <x:v>6.1</x:v>
      </x:c>
      <x:c r="G66" s="113" t="str">
        <x:v>Static Calculation</x:v>
      </x:c>
      <x:c r="H66" s="109"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I66" s="110"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J66" s="111" t="str">
        <x:v>No explicit data variable identified</x:v>
      </x:c>
      <x:c r="K66" s="111" t="str">
        <x:v>No direct AnchorMap term found; propose a code-safe alias during SHACL design</x:v>
      </x:c>
      <x:c r="L66" s="114" t="str">
        <x:v>High</x:v>
      </x:c>
      <x:c r="M66" s="111" t="str">
        <x:v>Formula-derived constraint</x:v>
      </x:c>
      <x:c r="N66" s="108" t="str">
        <x:v>Deterministic calculation from static design inputs followed by a numeric or logical comparison.</x:v>
      </x:c>
      <x:c r="O66" s="113" t="str">
        <x:v>No</x:v>
      </x:c>
      <x:c r="P66" s="113" t="str">
        <x:v>Included - source reverified and locked</x:v>
      </x:c>
      <x:c r="Q66" s="108" t="str">
        <x:v>LOCK-2026-08-10: Restored the missing physical page range. Final source lock check completed against the supplied PDF; equation notation is ASCII-linearized.</x:v>
      </x:c>
      <x:c r="R66" s="108" t="str">
        <x:v>LOCK-2026-08-11-R2 | source_pdf=TRAFICOM.pdf | source_sha256=8ab845347770c253433b8bad9b1fbe5d6ac71b3d07a1a28dae8a32cfde732ddc | physical_pdf_page=26-27 | section=Scope | clause=6.1 | checks=independent_full_text_page_layout; numbers_units_operators_equations; normalized_rule_meaning; five_category_classification | status=LOCKED</x:v>
      </x:c>
      <x:c r="S66" s="108" t="str">
        <x:v>59_complex_propeller_torque (Complex); 60_complex_propeller_diameter (Complex); 86_dynamic_qmax_open_propeller (Dynamic)</x:v>
      </x:c>
      <x:c r="T66" s="108" t="str">
        <x:v>PASS - source/page/clause/meaning/category reverified</x:v>
      </x:c>
      <x:c r="U66" s="108" t="str">
        <x:v>LOCKED - extraction reverified</x:v>
      </x:c>
      <x:c r="V66" s="112" t="str">
        <x:v>Second-pass extraction lock covers source identity, physical PDF page span, section/clause, ASCII transcription, normalized meaning, and verification category. SHACL shapes remain a separate implementation artifact.</x:v>
      </x:c>
      <x:c r="W66" s="112" t="str">
        <x:v>https://www.finlex.fi/en/authorities/regulations/traficom-transport-maritime/2021/47238</x:v>
      </x:c>
      <x:c r="X66" s="112" t="str">
        <x:v>No explicit data variable identified</x:v>
      </x:c>
      <x:c r="Y66" s="112" t="str">
        <x:v>Formula-derived constraint; encode values with units and retain clause/page provenance.</x:v>
      </x:c>
    </x:row>
    <x:row r="67" ht="92" customHeight="1">
      <x:c r="A67" s="108" t="str">
        <x:v>TRF-072</x:v>
      </x:c>
      <x:c r="B67" s="108" t="str">
        <x:v>Ice Class Regulations and the Application Thereof</x:v>
      </x:c>
      <x:c r="C67" s="108" t="str">
        <x:v>TRAFICOM/68863/03.04.01.00/2021</x:v>
      </x:c>
      <x:c r="D67" s="163" t="n">
        <x:v>31</x:v>
      </x:c>
      <x:c r="E67" s="108" t="str">
        <x:v>Materials exposed to sea water</x:v>
      </x:c>
      <x:c r="F67" s="108" t="str">
        <x:v>6.4.1</x:v>
      </x:c>
      <x:c r="G67" s="113" t="str">
        <x:v>Physical Test</x:v>
      </x:c>
      <x:c r="H67" s="109" t="str">
        <x:v>The materials of components exposed to sea water, such as propeller blades, propeller hubs, and thruster body, shall have an elongation of no less than 15% in a test specimen, the gauge length of which is five times the diameter. A Charpy V impact test shall be carried out for materials other than bronze and austenitic steel. An average impact energy value of 20 J based on three tests must be obtained at minus 10 oC. For nodular cast iron, average impact energy of 10 J at minus 10 oC is required accordingly.</x:v>
      </x:c>
      <x:c r="I67" s="110" t="str">
        <x:v>For every seawater-exposed propeller, hub, or thruster-body material: elongation_test_percent &gt;= 15 using gauge_length = 5*specimen_diameter. Unless material_type is bronze or austenitic steel, Charpy_V_test_count = 3 and average_impact_energy_J &gt;= 20 at test_temperature_degC = -10. For nodular cast iron, average_impact_energy_J &gt;= 10 at -10 deg C.</x:v>
      </x:c>
      <x:c r="J67" s="111" t="str">
        <x:v>D_m</x:v>
      </x:c>
      <x:c r="K67" s="111" t="str">
        <x:v>D_m</x:v>
      </x:c>
      <x:c r="L67" s="114" t="str">
        <x:v>High</x:v>
      </x:c>
      <x:c r="M67" s="111" t="str">
        <x:v>Direct property/presence constraint</x:v>
      </x:c>
      <x:c r="N67" s="108" t="str">
        <x:v>Compliance is established mainly through survey, inspection, material testing, operability testing, or other physical evidence.</x:v>
      </x:c>
      <x:c r="O67" s="113" t="str">
        <x:v>No</x:v>
      </x:c>
      <x:c r="P67" s="113" t="str">
        <x:v>Included - source reverified and locked</x:v>
      </x:c>
      <x:c r="Q67" s="108" t="str">
        <x:v>LOCK-2026-08-10: Replaced an unrelated propeller-diameter statement and classified the explicit material tests as Physical Test. Final source lock check completed against the supplied PDF; equation notation is ASCII-linearized.</x:v>
      </x:c>
      <x:c r="R67" s="108" t="str">
        <x:v>LOCK-2026-08-11-R2 | source_pdf=TRAFICOM.pdf | source_sha256=8ab845347770c253433b8bad9b1fbe5d6ac71b3d07a1a28dae8a32cfde732ddc | physical_pdf_page=31 | section=Materials exposed to sea water | clause=6.4.1 | checks=independent_full_text_page_layout; numbers_units_operators_equations; normalized_rule_meaning; five_category_classification | status=LOCKED</x:v>
      </x:c>
      <x:c r="S67" s="108" t="str">
        <x:v>60_complex_propeller_diameter (Complex); 02_static_cmu_minimum (Static); 03_static_ltb2_clamping (Static)</x:v>
      </x:c>
      <x:c r="T67" s="108" t="str">
        <x:v>PASS - source/page/clause/meaning/category reverified</x:v>
      </x:c>
      <x:c r="U67" s="108" t="str">
        <x:v>LOCKED - extraction reverified</x:v>
      </x:c>
      <x:c r="V67" s="112" t="str">
        <x:v>Second-pass extraction lock covers source identity, physical PDF page span, section/clause, ASCII transcription, normalized meaning, and verification category. SHACL shapes remain a separate implementation artifact.</x:v>
      </x:c>
      <x:c r="W67" s="112" t="str">
        <x:v>https://www.finlex.fi/en/authorities/regulations/traficom-transport-maritime/2021/47238</x:v>
      </x:c>
      <x:c r="X67" s="112" t="str">
        <x:v>D_m</x:v>
      </x:c>
      <x:c r="Y67" s="112" t="str">
        <x:v>Direct property/presence constraint; encode values with units and retain clause/page provenance.</x:v>
      </x:c>
    </x:row>
    <x:row r="68" ht="92" customHeight="1">
      <x:c r="A68" s="108" t="str">
        <x:v>TRF-073</x:v>
      </x:c>
      <x:c r="B68" s="108" t="str">
        <x:v>Ice Class Regulations and the Application Thereof</x:v>
      </x:c>
      <x:c r="C68" s="108" t="str">
        <x:v>TRAFICOM/68863/03.04.01.00/2021</x:v>
      </x:c>
      <x:c r="D68" s="163" t="n">
        <x:v>31</x:v>
      </x:c>
      <x:c r="E68" s="108" t="str">
        <x:v>Materials exposed to sea water temperature</x:v>
      </x:c>
      <x:c r="F68" s="108" t="str">
        <x:v>6.4.2</x:v>
      </x:c>
      <x:c r="G68" s="113" t="str">
        <x:v>Physical Test</x:v>
      </x:c>
      <x:c r="H68" s="109" t="str">
        <x:v>Materials exposed to sea water temperature shall be made of steel or another ductile material. An average impact energy value of 20 J, based on three tests, must be obtained at minus 10 oC. This requirement applies to the propeller shaft, blade bolts, CP mechanisms, shaft bolts, strut-pod connecting bolts etc. It does not apply to surface-hardened components, such as bearings and gear teeth. The nodular cast iron of a ferrite structure type may be used for relevant parts other than bolts. The average impact energy for nodular cast iron shall be a minimum of 10 J at minus 10 oC.</x:v>
      </x:c>
      <x:c r="I68" s="110" t="str">
        <x:v>Seawater-temperature-exposed components shall use steel or another ductile material. For the listed shafts, bolts, CP mechanisms, and connecting components, Charpy_V_test_count = 3 and average_impact_energy_J &gt;= 20 at -10 deg C, except for surface-hardened bearings and gear teeth. For permitted ferritic nodular cast-iron parts other than bolts, average_impact_energy_J &gt;= 10 at -10 deg C.</x:v>
      </x:c>
      <x:c r="J68" s="111" t="str">
        <x:v>No explicit data variable identified</x:v>
      </x:c>
      <x:c r="K68" s="111" t="str">
        <x:v>No direct AnchorMap term found; propose a code-safe alias during SHACL design</x:v>
      </x:c>
      <x:c r="L68" s="114" t="str">
        <x:v>High</x:v>
      </x:c>
      <x:c r="M68" s="111" t="str">
        <x:v>Direct property/presence constraint</x:v>
      </x:c>
      <x:c r="N68" s="108" t="str">
        <x:v>Compliance is established mainly through survey, inspection, material testing, operability testing, or other physical evidence.</x:v>
      </x:c>
      <x:c r="O68" s="113" t="str">
        <x:v>No</x:v>
      </x:c>
      <x:c r="P68" s="113" t="str">
        <x:v>Included - source reverified and locked</x:v>
      </x:c>
      <x:c r="Q68" s="108" t="str">
        <x:v>LOCK-2026-08-10: Classified the explicit impact-energy verification as Physical Test and normalized the evidence conditions. Final source lock check completed against the supplied PDF; equation notation is ASCII-linearized.</x:v>
      </x:c>
      <x:c r="R68" s="108" t="str">
        <x:v>LOCK-2026-08-11-R2 | source_pdf=TRAFICOM.pdf | source_sha256=8ab845347770c253433b8bad9b1fbe5d6ac71b3d07a1a28dae8a32cfde732ddc | physical_pdf_page=31 | section=Materials exposed to sea water temperature | clause=6.4.2 | checks=independent_full_text_page_layout; numbers_units_operators_equations; normalized_rule_meaning; five_category_classification | status=LOCKED</x:v>
      </x:c>
      <x:c r="S68" s="108" t="str">
        <x:v>60_complex_propeller_diameter (Complex)</x:v>
      </x:c>
      <x:c r="T68" s="108" t="str">
        <x:v>PASS - source/page/clause/meaning/category reverified</x:v>
      </x:c>
      <x:c r="U68" s="108" t="str">
        <x:v>LOCKED - extraction reverified</x:v>
      </x:c>
      <x:c r="V68" s="112" t="str">
        <x:v>Second-pass extraction lock covers source identity, physical PDF page span, section/clause, ASCII transcription, normalized meaning, and verification category. SHACL shapes remain a separate implementation artifact.</x:v>
      </x:c>
      <x:c r="W68" s="112" t="str">
        <x:v>https://www.finlex.fi/en/authorities/regulations/traficom-transport-maritime/2021/47238</x:v>
      </x:c>
      <x:c r="X68" s="112" t="str">
        <x:v>No explicit data variable identified</x:v>
      </x:c>
      <x:c r="Y68" s="112" t="str">
        <x:v>Direct property/presence constraint; encode values with units and retain clause/page provenance.</x:v>
      </x:c>
    </x:row>
    <x:row r="69" ht="92" customHeight="1">
      <x:c r="A69" s="108" t="str">
        <x:v>TRF-074</x:v>
      </x:c>
      <x:c r="B69" s="108" t="str">
        <x:v>Ice Class Regulations and the Application Thereof</x:v>
      </x:c>
      <x:c r="C69" s="108" t="str">
        <x:v>TRAFICOM/68863/03.04.01.00/2021</x:v>
      </x:c>
      <x:c r="D69" s="163" t="n">
        <x:v>32</x:v>
      </x:c>
      <x:c r="E69" s="108" t="str">
        <x:v>Design loads</x:v>
      </x:c>
      <x:c r="F69" s="108" t="str">
        <x:v>6.5</x:v>
      </x:c>
      <x:c r="G69" s="113" t="str">
        <x:v>Static</x:v>
      </x:c>
      <x:c r="H69" s="109" t="str">
        <x:v>If the highest point of the propeller is not at a depth of at least hi below the water surface when the ship is in ballast condition, the propulsion system shall be designed according to ice class IA for ice classes IB and IC.</x:v>
      </x:c>
      <x:c r="I69" s="110" t="str">
        <x:v>If the highest point of the propeller is not at a depth of at least hi below the water surface when the ship is in ballast condition, the propulsion system shall be designed according to ice class IA for ice classes IB and IC.</x:v>
      </x:c>
      <x:c r="J69" s="111" t="str">
        <x:v>iceClass</x:v>
      </x:c>
      <x:c r="K69" s="111" t="str">
        <x:v>iceClass</x:v>
      </x:c>
      <x:c r="L69" s="114" t="str">
        <x:v>High</x:v>
      </x:c>
      <x:c r="M69" s="111" t="str">
        <x:v>Conditional/applicability constraint</x:v>
      </x:c>
      <x:c r="N69" s="108" t="str">
        <x:v>Direct verification of a stated property, document, presence condition, enumeration, applicability rule, prohibition, or fixed limit.</x:v>
      </x:c>
      <x:c r="O69" s="113" t="str">
        <x:v>No</x:v>
      </x:c>
      <x:c r="P69" s="113" t="str">
        <x:v>Included - source reverified and locked</x:v>
      </x:c>
      <x:c r="Q69" s="108" t="str">
        <x:v>LOCK-2026-08-10: No source, page, clause, category, or normalized-meaning correction was required. Source wording was checked against the supplied PDF; equation notation is ASCII-linearized.</x:v>
      </x:c>
      <x:c r="R69" s="108" t="str">
        <x:v>LOCK-2026-08-11-R2 | source_pdf=TRAFICOM.pdf | source_sha256=8ab845347770c253433b8bad9b1fbe5d6ac71b3d07a1a28dae8a32cfde732ddc | physical_pdf_page=32 | section=Design loads | clause=6.5 | checks=independent_full_text_page_layout; numbers_units_operators_equations; normalized_rule_meaning; five_category_classification | status=LOCKED</x:v>
      </x:c>
      <x:c r="S69" s="108" t="str">
        <x:v>05_static_brash_ice_thickness (Static); 29_staticcalculation_propeller_submersion (static_calculation); 60_complex_propeller_diameter (Complex)</x:v>
      </x:c>
      <x:c r="T69" s="108" t="str">
        <x:v>PASS - source/page/clause/meaning/category reverified</x:v>
      </x:c>
      <x:c r="U69" s="108" t="str">
        <x:v>LOCKED - extraction reverified</x:v>
      </x:c>
      <x:c r="V69" s="112" t="str">
        <x:v>Second-pass extraction lock covers source identity, physical PDF page span, section/clause, ASCII transcription, normalized meaning, and verification category. SHACL shapes remain a separate implementation artifact.</x:v>
      </x:c>
      <x:c r="W69" s="112" t="str">
        <x:v>https://www.finlex.fi/en/authorities/regulations/traficom-transport-maritime/2021/47238</x:v>
      </x:c>
      <x:c r="X69" s="112" t="str">
        <x:v>iceClass</x:v>
      </x:c>
      <x:c r="Y69" s="112" t="str">
        <x:v>Conditional/applicability constraint; encode values with units and retain clause/page provenance.</x:v>
      </x:c>
    </x:row>
    <x:row r="70" ht="92" customHeight="1">
      <x:c r="A70" s="108" t="str">
        <x:v>TRF-075</x:v>
      </x:c>
      <x:c r="B70" s="108" t="str">
        <x:v>Ice Class Regulations and the Application Thereof</x:v>
      </x:c>
      <x:c r="C70" s="108" t="str">
        <x:v>TRAFICOM/68863/03.04.01.00/2021</x:v>
      </x:c>
      <x:c r="D70" s="163" t="n">
        <x:v>32</x:v>
      </x:c>
      <x:c r="E70" s="108" t="str">
        <x:v>Design loads on propeller blades</x:v>
      </x:c>
      <x:c r="F70" s="108" t="str">
        <x:v>6.5.1</x:v>
      </x:c>
      <x:c r="G70" s="113" t="str">
        <x:v>Complex</x:v>
      </x:c>
      <x:c r="H70" s="109"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I70" s="110" t="str">
        <x:v>Fb is the maximum force experienced during the lifetime of a ship that bends a propeller blade backwards when the propeller mills an ice block while rotating ahead. Ff is the maximum force experienced during the lifetime of a ship that bends a propeller blade forwards when the propeller mills an ice block while rotating ahead. Fb and Ff originate from different propeller/ice interaction phenomena, and do not occur simultaneously. Hence, they are to be applied to one blade separately.</x:v>
      </x:c>
      <x:c r="J70" s="111" t="str">
        <x:v>No explicit data variable identified</x:v>
      </x:c>
      <x:c r="K70" s="111" t="str">
        <x:v>No direct AnchorMap term found; propose a code-safe alias during SHACL design</x:v>
      </x:c>
      <x:c r="L70" s="114" t="str">
        <x:v>Medium</x:v>
      </x:c>
      <x:c r="M70" s="111" t="str">
        <x:v>Conditional/applicability constraint</x:v>
      </x:c>
      <x:c r="N70" s="108" t="str">
        <x:v>Verification requires linked conditions, external approval or evidence, an assessment, or a composite workflow.</x:v>
      </x:c>
      <x:c r="O70" s="113" t="str">
        <x:v>No</x:v>
      </x:c>
      <x:c r="P70" s="113" t="str">
        <x:v>Included - source reverified and locked</x:v>
      </x:c>
      <x:c r="Q70" s="108" t="str">
        <x:v>LOCK-2026-08-10: No source, page, clause, category, or normalized-meaning correction was required. Source wording was checked against the supplied PDF; equation notation is ASCII-linearized.</x:v>
      </x:c>
      <x:c r="R70" s="108" t="str">
        <x:v>LOCK-2026-08-11-R2 | source_pdf=TRAFICOM.pdf | source_sha256=8ab845347770c253433b8bad9b1fbe5d6ac71b3d07a1a28dae8a32cfde732ddc | physical_pdf_page=32 | section=Design loads on propeller blades | clause=6.5.1 | checks=independent_full_text_page_layout; numbers_units_operators_equations; normalized_rule_meaning; five_category_classification | status=LOCKED</x:v>
      </x:c>
      <x:c r="S70" s="108" t="str">
        <x:v>60_complex_propeller_diameter (Complex)</x:v>
      </x:c>
      <x:c r="T70" s="108" t="str">
        <x:v>PASS - source/page/clause/meaning/category reverified</x:v>
      </x:c>
      <x:c r="U70" s="108" t="str">
        <x:v>LOCKED - extraction reverified</x:v>
      </x:c>
      <x:c r="V70" s="112" t="str">
        <x:v>Second-pass extraction lock covers source identity, physical PDF page span, section/clause, ASCII transcription, normalized meaning, and verification category. SHACL shapes remain a separate implementation artifact.</x:v>
      </x:c>
      <x:c r="W70" s="112" t="str">
        <x:v>https://www.finlex.fi/en/authorities/regulations/traficom-transport-maritime/2021/47238</x:v>
      </x:c>
      <x:c r="X70" s="112" t="str">
        <x:v>No explicit data variable identified</x:v>
      </x:c>
      <x:c r="Y70" s="112" t="str">
        <x:v>Conditional/applicability constraint; encode values with units and retain clause/page provenance.</x:v>
      </x:c>
    </x:row>
    <x:row r="71" ht="92" customHeight="1">
      <x:c r="A71" s="108" t="str">
        <x:v>TRF-076</x:v>
      </x:c>
      <x:c r="B71" s="108" t="str">
        <x:v>Ice Class Regulations and the Application Thereof</x:v>
      </x:c>
      <x:c r="C71" s="108" t="str">
        <x:v>TRAFICOM/68863/03.04.01.00/2021</x:v>
      </x:c>
      <x:c r="D71" s="163" t="n">
        <x:v>32</x:v>
      </x:c>
      <x:c r="E71" s="108" t="str">
        <x:v>Loaded area on the blade for open propellers</x:v>
      </x:c>
      <x:c r="F71" s="108" t="str">
        <x:v>6.5.1.3</x:v>
      </x:c>
      <x:c r="G71" s="113" t="str">
        <x:v>Static</x:v>
      </x:c>
      <x:c r="H71" s="109" t="str">
        <x:v>Load cases 1-4 must be covered, as given in Table 6-4 below, for CP and FP propellers. To obtain blade ice loads for a reversing propeller, load case 5 must also be covered for FP propellers.</x:v>
      </x:c>
      <x:c r="I71" s="110" t="str">
        <x:v>Load cases 1-4 must be covered, as given in Table 6-4 below, for CP and FP propellers. To obtain blade ice loads for a reversing propeller, load case 5 must also be covered for FP propellers.</x:v>
      </x:c>
      <x:c r="J71" s="111" t="str">
        <x:v>No explicit data variable identified</x:v>
      </x:c>
      <x:c r="K71" s="111" t="str">
        <x:v>No direct AnchorMap term found; propose a code-safe alias during SHACL design</x:v>
      </x:c>
      <x:c r="L71" s="114" t="str">
        <x:v>Medium</x:v>
      </x:c>
      <x:c r="M71" s="111" t="str">
        <x:v>Table-lookup plus constraint</x:v>
      </x:c>
      <x:c r="N71" s="108" t="str">
        <x:v>Direct verification of a stated property, document, presence condition, enumeration, applicability rule, prohibition, or fixed limit.</x:v>
      </x:c>
      <x:c r="O71" s="113" t="str">
        <x:v>No</x:v>
      </x:c>
      <x:c r="P71" s="113" t="str">
        <x:v>Included - source reverified and locked</x:v>
      </x:c>
      <x:c r="Q71" s="108" t="str">
        <x:v>LOCK-2026-08-10: No source, page, clause, category, or normalized-meaning correction was required. Source wording was checked against the supplied PDF; equation notation is ASCII-linearized.</x:v>
      </x:c>
      <x:c r="R71" s="108" t="str">
        <x:v>LOCK-2026-08-11-R2 | source_pdf=TRAFICOM.pdf | source_sha256=8ab845347770c253433b8bad9b1fbe5d6ac71b3d07a1a28dae8a32cfde732ddc | physical_pdf_page=32 | section=Loaded area on the blade for open propellers | clause=6.5.1.3 | checks=independent_full_text_page_layout; numbers_units_operators_equations; normalized_rule_meaning; five_category_classification | status=LOCKED</x:v>
      </x:c>
      <x:c r="S71" s="108" t="str">
        <x:v>60_complex_propeller_diameter (Complex)</x:v>
      </x:c>
      <x:c r="T71" s="108" t="str">
        <x:v>PASS - source/page/clause/meaning/category reverified</x:v>
      </x:c>
      <x:c r="U71" s="108" t="str">
        <x:v>LOCKED - extraction reverified</x:v>
      </x:c>
      <x:c r="V71" s="112" t="str">
        <x:v>Second-pass extraction lock covers source identity, physical PDF page span, section/clause, ASCII transcription, normalized meaning, and verification category. SHACL shapes remain a separate implementation artifact.</x:v>
      </x:c>
      <x:c r="W71" s="112" t="str">
        <x:v>https://www.finlex.fi/en/authorities/regulations/traficom-transport-maritime/2021/47238</x:v>
      </x:c>
      <x:c r="X71" s="112" t="str">
        <x:v>No explicit data variable identified</x:v>
      </x:c>
      <x:c r="Y71" s="112" t="str">
        <x:v>Table-lookup plus constraint; encode values with units and retain clause/page provenance.</x:v>
      </x:c>
    </x:row>
    <x:row r="72" ht="92" customHeight="1">
      <x:c r="A72" s="108" t="str">
        <x:v>TRF-077</x:v>
      </x:c>
      <x:c r="B72" s="108" t="str">
        <x:v>Ice Class Regulations and the Application Thereof</x:v>
      </x:c>
      <x:c r="C72" s="108" t="str">
        <x:v>TRAFICOM/68863/03.04.01.00/2021</x:v>
      </x:c>
      <x:c r="D72" s="163" t="n">
        <x:v>36</x:v>
      </x:c>
      <x:c r="E72" s="108" t="str">
        <x:v>Load distributions for blade loads</x:v>
      </x:c>
      <x:c r="F72" s="108" t="str">
        <x:v>6.5.1.8</x:v>
      </x:c>
      <x:c r="G72" s="113" t="str">
        <x:v>Static Calculation</x:v>
      </x:c>
      <x:c r="H72" s="109"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I72" s="110"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J72" s="111" t="str">
        <x:v>No explicit data variable identified</x:v>
      </x:c>
      <x:c r="K72" s="111" t="str">
        <x:v>No direct AnchorMap term found; propose a code-safe alias during SHACL design</x:v>
      </x:c>
      <x:c r="L72" s="114" t="str">
        <x:v>High</x:v>
      </x:c>
      <x:c r="M72" s="111" t="str">
        <x:v>Formula-derived constraint</x:v>
      </x:c>
      <x:c r="N72" s="108" t="str">
        <x:v>Deterministic calculation from static design inputs followed by a numeric or logical comparison.</x:v>
      </x:c>
      <x:c r="O72" s="113" t="str">
        <x:v>No</x:v>
      </x:c>
      <x:c r="P72" s="113" t="str">
        <x:v>Included - source reverified and locked</x:v>
      </x:c>
      <x:c r="Q72" s="108" t="str">
        <x:v>LOCK-2026-08-10: No source, page, clause, category, or normalized-meaning correction was required. Source wording was checked against the supplied PDF; equation notation is ASCII-linearized.</x:v>
      </x:c>
      <x:c r="R72" s="108" t="str">
        <x:v>LOCK-2026-08-11-R2 | source_pdf=TRAFICOM.pdf | source_sha256=8ab845347770c253433b8bad9b1fbe5d6ac71b3d07a1a28dae8a32cfde732ddc | physical_pdf_page=36 | section=Load distributions for blade loads | clause=6.5.1.8 | checks=independent_full_text_page_layout; numbers_units_operators_equations; normalized_rule_meaning; five_category_classification | status=LOCKED</x:v>
      </x:c>
      <x:c r="S72" s="108" t="str">
        <x:v>60_complex_propeller_diameter (Complex)</x:v>
      </x:c>
      <x:c r="T72" s="108" t="str">
        <x:v>PASS - source/page/clause/meaning/category reverified</x:v>
      </x:c>
      <x:c r="U72" s="108" t="str">
        <x:v>LOCKED - extraction reverified</x:v>
      </x:c>
      <x:c r="V72" s="112" t="str">
        <x:v>Second-pass extraction lock covers source identity, physical PDF page span, section/clause, ASCII transcription, normalized meaning, and verification category. SHACL shapes remain a separate implementation artifact.</x:v>
      </x:c>
      <x:c r="W72" s="112" t="str">
        <x:v>https://www.finlex.fi/en/authorities/regulations/traficom-transport-maritime/2021/47238</x:v>
      </x:c>
      <x:c r="X72" s="112" t="str">
        <x:v>No explicit data variable identified</x:v>
      </x:c>
      <x:c r="Y72" s="112" t="str">
        <x:v>Formula-derived constraint; encode values with units and retain clause/page provenance.</x:v>
      </x:c>
    </x:row>
    <x:row r="73" ht="92" customHeight="1">
      <x:c r="A73" s="108" t="str">
        <x:v>TRF-078</x:v>
      </x:c>
      <x:c r="B73" s="108" t="str">
        <x:v>Ice Class Regulations and the Application Thereof</x:v>
      </x:c>
      <x:c r="C73" s="108" t="str">
        <x:v>TRAFICOM/68863/03.04.01.00/2021</x:v>
      </x:c>
      <x:c r="D73" s="163" t="n">
        <x:v>36</x:v>
      </x:c>
      <x:c r="E73" s="108" t="str">
        <x:v>Number of ice loads</x:v>
      </x:c>
      <x:c r="F73" s="108" t="str">
        <x:v>6.5.1.9</x:v>
      </x:c>
      <x:c r="G73" s="113" t="str">
        <x:v>Static Calculation</x:v>
      </x:c>
      <x:c r="H73" s="109" t="str">
        <x:v>The number of load cycles per propeller blade in the load spectrum shall be N_ice = k_1*k_2*k_3*N_class*n_n (6.14), where N_class is given in Table 6-6 and the propeller location factor k_1 is given in Table 6-7.</x:v>
      </x:c>
      <x:c r="I73" s="110" t="str">
        <x:v>The number of load cycles per propeller blade in the load spectrum shall be N_ice = k_1*k_2*k_3*N_class*n_n (6.14), where N_class is given in Table 6-6 and the propeller location factor k_1 is given in Table 6-7.</x:v>
      </x:c>
      <x:c r="J73" s="111" t="str">
        <x:v>Nice, Nclass, k1, k2, k3</x:v>
      </x:c>
      <x:c r="K73" s="111" t="str">
        <x:v>Nice, Nclass, k1, k2, k3</x:v>
      </x:c>
      <x:c r="L73" s="114" t="str">
        <x:v>Medium</x:v>
      </x:c>
      <x:c r="M73" s="111" t="str">
        <x:v>Table-lookup plus constraint</x:v>
      </x:c>
      <x:c r="N73" s="108" t="str">
        <x:v>Deterministic calculation from static design inputs followed by a numeric or logical comparison.</x:v>
      </x:c>
      <x:c r="O73" s="113" t="str">
        <x:v>No</x:v>
      </x:c>
      <x:c r="P73" s="113" t="str">
        <x:v>Included - source reverified and locked</x:v>
      </x:c>
      <x:c r="Q73" s="108" t="str">
        <x:v>LOCK-2026-08-10: No source, page, clause, category, or normalized-meaning correction was required. Source wording was checked against the supplied PDF; equation notation is ASCII-linearized.</x:v>
      </x:c>
      <x:c r="R73" s="108" t="str">
        <x:v>LOCK-2026-08-11-R2 | source_pdf=TRAFICOM.pdf | source_sha256=8ab845347770c253433b8bad9b1fbe5d6ac71b3d07a1a28dae8a32cfde732ddc | physical_pdf_page=36 | section=Number of ice loads | clause=6.5.1.9 | checks=independent_full_text_page_layout; numbers_units_operators_equations; normalized_rule_meaning; five_category_classification | status=LOCKED</x:v>
      </x:c>
      <x:c r="S73" s="108" t="str">
        <x:v>05_static_brash_ice_thickness (Static); 27_staticcalculation_ice_load_height (static_calculation); 43_complex_pmin_formula (Complex)</x:v>
      </x:c>
      <x:c r="T73" s="108" t="str">
        <x:v>PASS - source/page/clause/meaning/category reverified</x:v>
      </x:c>
      <x:c r="U73" s="108" t="str">
        <x:v>LOCKED - extraction reverified</x:v>
      </x:c>
      <x:c r="V73" s="112" t="str">
        <x:v>Second-pass extraction lock covers source identity, physical PDF page span, section/clause, ASCII transcription, normalized meaning, and verification category. SHACL shapes remain a separate implementation artifact.</x:v>
      </x:c>
      <x:c r="W73" s="112" t="str">
        <x:v>https://www.finlex.fi/en/authorities/regulations/traficom-transport-maritime/2021/47238</x:v>
      </x:c>
      <x:c r="X73" s="112" t="str">
        <x:v>Nice, Nclass, k1, k2, k3</x:v>
      </x:c>
      <x:c r="Y73" s="112" t="str">
        <x:v>Table-lookup plus constraint; encode values with units and retain clause/page provenance.</x:v>
      </x:c>
    </x:row>
    <x:row r="74" ht="92" customHeight="1">
      <x:c r="A74" s="108" t="str">
        <x:v>TRF-079</x:v>
      </x:c>
      <x:c r="B74" s="108" t="str">
        <x:v>Ice Class Regulations and the Application Thereof</x:v>
      </x:c>
      <x:c r="C74" s="108" t="str">
        <x:v>TRAFICOM/68863/03.04.01.00/2021</x:v>
      </x:c>
      <x:c r="D74" s="163" t="n">
        <x:v>37</x:v>
      </x:c>
      <x:c r="E74" s="108" t="str">
        <x:v>Number of ice loads</x:v>
      </x:c>
      <x:c r="F74" s="108" t="str">
        <x:v>6.5.1.9</x:v>
      </x:c>
      <x:c r="G74" s="113" t="str">
        <x:v>Static Calculation</x:v>
      </x:c>
      <x:c r="H74" s="109" t="str">
        <x:v>The submersion factor k_2 is determined as follows: k_2 = 0.8 - f when f &lt; 0; k_2 = 0.8 - 0.4*f when 0 &lt;= f &lt;= 1; k_2 = 0.6 - 0.2*f when 1 &lt; f &lt;= 2.5; and k_2 = 0.1 when f &gt; 2.5 (6.15). The immersion function is f = (h_0 - H_ice)/(D/2) - 1 (6.16).</x:v>
      </x:c>
      <x:c r="I74" s="110" t="str">
        <x:v>The submersion factor k_2 is determined as follows: k_2 = 0.8 - f when f &lt; 0; k_2 = 0.8 - 0.4*f when 0 &lt;= f &lt;= 1; k_2 = 0.6 - 0.2*f when 1 &lt; f &lt;= 2.5; and k_2 = 0.1 when f &gt; 2.5 (6.15). The immersion function is f = (h_0 - H_ice)/(D/2) - 1 (6.16).</x:v>
      </x:c>
      <x:c r="J74" s="111" t="str">
        <x:v>k2</x:v>
      </x:c>
      <x:c r="K74" s="111" t="str">
        <x:v>k2</x:v>
      </x:c>
      <x:c r="L74" s="114" t="str">
        <x:v>Medium</x:v>
      </x:c>
      <x:c r="M74" s="111" t="str">
        <x:v>Formula-derived constraint</x:v>
      </x:c>
      <x:c r="N74" s="108" t="str">
        <x:v>Deterministic calculation from static design inputs followed by a numeric or logical comparison.</x:v>
      </x:c>
      <x:c r="O74" s="113" t="str">
        <x:v>No</x:v>
      </x:c>
      <x:c r="P74" s="113" t="str">
        <x:v>Included - source reverified and locked</x:v>
      </x:c>
      <x:c r="Q74" s="108" t="str">
        <x:v>LOCK-2026-08-10: Classified the piecewise submersion-factor calculation as Static Calculation. Final source lock check completed against the supplied PDF; equation notation is ASCII-linearized.</x:v>
      </x:c>
      <x:c r="R74" s="108" t="str">
        <x:v>LOCK-2026-08-11-R2 | source_pdf=TRAFICOM.pdf | source_sha256=8ab845347770c253433b8bad9b1fbe5d6ac71b3d07a1a28dae8a32cfde732ddc | physical_pdf_page=37 | section=Number of ice loads | clause=6.5.1.9 | checks=independent_full_text_page_layout; numbers_units_operators_equations; normalized_rule_meaning; five_category_classification | status=LOCKED</x:v>
      </x:c>
      <x:c r="S74" s="108" t="str">
        <x:v>No close match among the thesis repository's 90 input cases.</x:v>
      </x:c>
      <x:c r="T74" s="108" t="str">
        <x:v>PASS - source/page/clause/meaning/category reverified</x:v>
      </x:c>
      <x:c r="U74" s="108" t="str">
        <x:v>LOCKED - extraction reverified</x:v>
      </x:c>
      <x:c r="V74" s="112" t="str">
        <x:v>Second-pass extraction lock covers source identity, physical PDF page span, section/clause, ASCII transcription, normalized meaning, and verification category. SHACL shapes remain a separate implementation artifact.</x:v>
      </x:c>
      <x:c r="W74" s="112" t="str">
        <x:v>https://www.finlex.fi/en/authorities/regulations/traficom-transport-maritime/2021/47238</x:v>
      </x:c>
      <x:c r="X74" s="112" t="str">
        <x:v>k2</x:v>
      </x:c>
      <x:c r="Y74" s="112" t="str">
        <x:v>Formula-derived constraint; encode values with units and retain clause/page provenance.</x:v>
      </x:c>
    </x:row>
    <x:row r="75" ht="92" customHeight="1">
      <x:c r="A75" s="108" t="str">
        <x:v>TRF-080</x:v>
      </x:c>
      <x:c r="B75" s="108" t="str">
        <x:v>Ice Class Regulations and the Application Thereof</x:v>
      </x:c>
      <x:c r="C75" s="108" t="str">
        <x:v>TRAFICOM/68863/03.04.01.00/2021</x:v>
      </x:c>
      <x:c r="D75" s="163" t="n">
        <x:v>37</x:v>
      </x:c>
      <x:c r="E75" s="108" t="str">
        <x:v>Number of ice loads</x:v>
      </x:c>
      <x:c r="F75" s="108" t="str">
        <x:v>6.5.1.9</x:v>
      </x:c>
      <x:c r="G75" s="113" t="str">
        <x:v>Static</x:v>
      </x:c>
      <x:c r="H75" s="109" t="str">
        <x:v>For components that are subject to loads resulting from propeller/ice interaction with all the propeller blades, the number of load cycles (Nice) must be multiplied by the number of propeller blades (Z).</x:v>
      </x:c>
      <x:c r="I75" s="110" t="str">
        <x:v>For components that are subject to loads resulting from propeller/ice interaction with all the propeller blades, the number of load cycles (Nice) must be multiplied by the number of propeller blades (Z).</x:v>
      </x:c>
      <x:c r="J75" s="111" t="str">
        <x:v>No explicit data variable identified</x:v>
      </x:c>
      <x:c r="K75" s="111" t="str">
        <x:v>No direct AnchorMap term found; propose a code-safe alias during SHACL design</x:v>
      </x:c>
      <x:c r="L75" s="114" t="str">
        <x:v>High</x:v>
      </x:c>
      <x:c r="M75" s="111" t="str">
        <x:v>Direct property/presence constraint</x:v>
      </x:c>
      <x:c r="N75" s="108" t="str">
        <x:v>Direct verification of a stated property, document, presence condition, enumeration, applicability rule, prohibition, or fixed limit.</x:v>
      </x:c>
      <x:c r="O75" s="113" t="str">
        <x:v>No</x:v>
      </x:c>
      <x:c r="P75" s="113" t="str">
        <x:v>Included - source reverified and locked</x:v>
      </x:c>
      <x:c r="Q75" s="108" t="str">
        <x:v>LOCK-2026-08-10: No source, page, clause, category, or normalized-meaning correction was required. Source wording was checked against the supplied PDF; equation notation is ASCII-linearized.</x:v>
      </x:c>
      <x:c r="R75" s="108" t="str">
        <x:v>LOCK-2026-08-11-R2 | source_pdf=TRAFICOM.pdf | source_sha256=8ab845347770c253433b8bad9b1fbe5d6ac71b3d07a1a28dae8a32cfde732ddc | physical_pdf_page=37 | section=Number of ice loads | clause=6.5.1.9 | checks=independent_full_text_page_layout; numbers_units_operators_equations; normalized_rule_meaning; five_category_classification | status=LOCKED</x:v>
      </x:c>
      <x:c r="S75" s="108" t="str">
        <x:v>59_complex_propeller_torque (Complex); 60_complex_propeller_diameter (Complex)</x:v>
      </x:c>
      <x:c r="T75" s="108" t="str">
        <x:v>PASS - source/page/clause/meaning/category reverified</x:v>
      </x:c>
      <x:c r="U75" s="108" t="str">
        <x:v>LOCKED - extraction reverified</x:v>
      </x:c>
      <x:c r="V75" s="112" t="str">
        <x:v>Second-pass extraction lock covers source identity, physical PDF page span, section/clause, ASCII transcription, normalized meaning, and verification category. SHACL shapes remain a separate implementation artifact.</x:v>
      </x:c>
      <x:c r="W75" s="112" t="str">
        <x:v>https://www.finlex.fi/en/authorities/regulations/traficom-transport-maritime/2021/47238</x:v>
      </x:c>
      <x:c r="X75" s="112" t="str">
        <x:v>No explicit data variable identified</x:v>
      </x:c>
      <x:c r="Y75" s="112" t="str">
        <x:v>Direct property/presence constraint; encode values with units and retain clause/page provenance.</x:v>
      </x:c>
    </x:row>
    <x:row r="76" ht="112" customHeight="1">
      <x:c r="A76" s="108" t="str">
        <x:v>TRF-081</x:v>
      </x:c>
      <x:c r="B76" s="108" t="str">
        <x:v>Ice Class Regulations and the Application Thereof</x:v>
      </x:c>
      <x:c r="C76" s="108" t="str">
        <x:v>TRAFICOM/68863/03.04.01.00/2021</x:v>
      </x:c>
      <x:c r="D76" s="163" t="n">
        <x:v>37</x:v>
      </x:c>
      <x:c r="E76" s="108" t="str">
        <x:v>Maximum ice thrust on propeller Tf and Tb for open and ducted propellers</x:v>
      </x:c>
      <x:c r="F76" s="108" t="str">
        <x:v>6.5.2.1-6.5.2.2</x:v>
      </x:c>
      <x:c r="G76" s="113" t="str">
        <x:v>Static Calculation</x:v>
      </x:c>
      <x:c r="H76" s="109" t="str">
        <x:v>The maximum forward and backward ice thrusts are T_f = 1.1*F_f [kN] (6.17) and T_b = 1.1*F_b [kN] (6.18). The design thrust along the propeller shaft line must be calculated using the formulae below. The greater value of the forward and backward direction loads shall be taken as the design load for both directions. Factors 2.2 and 1.5 take account of the dynamic magnification resulting from axial vibration. In a forward direction, T_r = T + 2.2*T_f [kN] (6.19). In a backward direction, T_r = 1.5*T_b [kN] (6.20).</x:v>
      </x:c>
      <x:c r="I76" s="110"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J76" s="111" t="str">
        <x:v>Tf_kN, Tb_kN, Ff_kN, Fb_kN, hydrodynamicBollardThrust_kN, forwardDesignThrust_kN, backwardDesignThrust_kN, designThrust_kN</x:v>
      </x:c>
      <x:c r="K76" s="111" t="str">
        <x:v>Tf_kN, Tb_kN, Ff_kN, Fb_kN; proposed code-safe aliases: hydrodynamicBollardThrust_kN, forwardDesignThrust_kN, backwardDesignThrust_kN, designThrust_kN</x:v>
      </x:c>
      <x:c r="L76" s="114" t="str">
        <x:v>High</x:v>
      </x:c>
      <x:c r="M76" s="111" t="str">
        <x:v>Formula-derived constraint</x:v>
      </x:c>
      <x:c r="N76" s="108" t="str">
        <x:v>Deterministic calculation from static design inputs followed by a numeric or logical comparison.</x:v>
      </x:c>
      <x:c r="O76" s="113" t="str">
        <x:v>No</x:v>
      </x:c>
      <x:c r="P76" s="113" t="str">
        <x:v>Included - source reverified and locked</x:v>
      </x:c>
      <x:c r="Q76" s="108" t="str">
        <x:v>LOCK-2026-08-10: No source, page, clause, category, or normalized-meaning correction was required. Source wording was checked against the supplied PDF; equation notation is ASCII-linearized. | LOCK-2026-08-11-R2: Expanded the source passage to include equations 6.19 and 6.20, replaced the vague formula reference with the literal PDF wording, and widened the clause trace to 6.5.2.1-6.5.2.2.</x:v>
      </x:c>
      <x:c r="R76" s="108" t="str">
        <x:v>LOCK-2026-08-11-R2 | source_pdf=TRAFICOM.pdf | source_sha256=8ab845347770c253433b8bad9b1fbe5d6ac71b3d07a1a28dae8a32cfde732ddc | physical_pdf_page=37 | section=Maximum ice thrust on propeller Tf and Tb for open and ducted propellers | clause=6.5.2.1-6.5.2.2 | checks=independent_full_text_page_layout; numbers_units_operators_equations; normalized_rule_meaning; five_category_classification | status=LOCKED</x:v>
      </x:c>
      <x:c r="S76" s="108" t="str">
        <x:v>74_complex_forward_response_thrust (Complex); 75_complex_backward_response_thrust (Complex); 58_complex_ice_thrust (Complex)</x:v>
      </x:c>
      <x:c r="T76" s="108" t="str">
        <x:v>PASS - source/page/clause/meaning/category reverified</x:v>
      </x:c>
      <x:c r="U76" s="108" t="str">
        <x:v>LOCKED - extraction reverified</x:v>
      </x:c>
      <x:c r="V76" s="112" t="str">
        <x:v>Second-pass extraction lock covers source identity, physical PDF page span, section/clause, ASCII transcription, normalized meaning, and verification category. SHACL shapes remain a separate implementation artifact.</x:v>
      </x:c>
      <x:c r="W76" s="112" t="str">
        <x:v>https://www.finlex.fi/en/authorities/regulations/traficom-transport-maritime/2021/47238</x:v>
      </x:c>
      <x:c r="X76" s="112" t="str">
        <x:v>Ff_kN, Fb_kN, and hydrodynamicBollardThrust_kN; the separate TRF-082 record covers the Table 6-8 fallback when bollard thrust is unknown</x:v>
      </x:c>
      <x:c r="Y76" s="112" t="str">
        <x:v>Formula-derived constraint; encode values with units and retain clause/page provenance.</x:v>
      </x:c>
    </x:row>
    <x:row r="77" ht="92" customHeight="1">
      <x:c r="A77" s="108" t="str">
        <x:v>TRF-082</x:v>
      </x:c>
      <x:c r="B77" s="108" t="str">
        <x:v>Ice Class Regulations and the Application Thereof</x:v>
      </x:c>
      <x:c r="C77" s="108" t="str">
        <x:v>TRAFICOM/68863/03.04.01.00/2021</x:v>
      </x:c>
      <x:c r="D77" s="163" t="n">
        <x:v>37</x:v>
      </x:c>
      <x:c r="E77" s="108" t="str">
        <x:v>Design thrust along the propulsion shaft line for open and ducted propel-</x:v>
      </x:c>
      <x:c r="F77" s="108" t="str">
        <x:v>6.5.2.2</x:v>
      </x:c>
      <x:c r="G77" s="113" t="str">
        <x:v>Static</x:v>
      </x:c>
      <x:c r="H77" s="109" t="str">
        <x:v>If the hydrodynamic bollard thrust, T, is not known, it must be taken as given in Table 6-8.</x:v>
      </x:c>
      <x:c r="I77" s="110" t="str">
        <x:v>If the hydrodynamic bollard thrust, T, is not known, it must be taken as given in Table 6-8.</x:v>
      </x:c>
      <x:c r="J77" s="111" t="str">
        <x:v>No explicit data variable identified</x:v>
      </x:c>
      <x:c r="K77" s="111" t="str">
        <x:v>No direct AnchorMap term found; propose a code-safe alias during SHACL design</x:v>
      </x:c>
      <x:c r="L77" s="114" t="str">
        <x:v>Medium</x:v>
      </x:c>
      <x:c r="M77" s="111" t="str">
        <x:v>Table-lookup plus constraint</x:v>
      </x:c>
      <x:c r="N77" s="108" t="str">
        <x:v>Direct verification of a stated property, document, presence condition, enumeration, applicability rule, prohibition, or fixed limit.</x:v>
      </x:c>
      <x:c r="O77" s="113" t="str">
        <x:v>No</x:v>
      </x:c>
      <x:c r="P77" s="113" t="str">
        <x:v>Included - source reverified and locked</x:v>
      </x:c>
      <x:c r="Q77" s="108" t="str">
        <x:v>LOCK-2026-08-10: No source, page, clause, category, or normalized-meaning correction was required. Source wording was checked against the supplied PDF; equation notation is ASCII-linearized.</x:v>
      </x:c>
      <x:c r="R77" s="108" t="str">
        <x:v>LOCK-2026-08-11-R2 | source_pdf=TRAFICOM.pdf | source_sha256=8ab845347770c253433b8bad9b1fbe5d6ac71b3d07a1a28dae8a32cfde732ddc | physical_pdf_page=37 | section=Design thrust along the propulsion shaft line for open and ducted propel- | clause=6.5.2.2 | checks=independent_full_text_page_layout; numbers_units_operators_equations; normalized_rule_meaning; five_category_classification | status=LOCKED</x:v>
      </x:c>
      <x:c r="S77" s="108" t="str">
        <x:v>No close match among the thesis repository's 90 input cases.</x:v>
      </x:c>
      <x:c r="T77" s="108" t="str">
        <x:v>PASS - source/page/clause/meaning/category reverified</x:v>
      </x:c>
      <x:c r="U77" s="108" t="str">
        <x:v>LOCKED - extraction reverified</x:v>
      </x:c>
      <x:c r="V77" s="112" t="str">
        <x:v>Second-pass extraction lock covers source identity, physical PDF page span, section/clause, ASCII transcription, normalized meaning, and verification category. SHACL shapes remain a separate implementation artifact.</x:v>
      </x:c>
      <x:c r="W77" s="112" t="str">
        <x:v>https://www.finlex.fi/en/authorities/regulations/traficom-transport-maritime/2021/47238</x:v>
      </x:c>
      <x:c r="X77" s="112" t="str">
        <x:v>No explicit data variable identified</x:v>
      </x:c>
      <x:c r="Y77" s="112" t="str">
        <x:v>Table-lookup plus constraint; encode values with units and retain clause/page provenance.</x:v>
      </x:c>
    </x:row>
    <x:row r="78" ht="92" customHeight="1">
      <x:c r="A78" s="108" t="str">
        <x:v>TRF-083</x:v>
      </x:c>
      <x:c r="B78" s="108" t="str">
        <x:v>Ice Class Regulations and the Application Thereof</x:v>
      </x:c>
      <x:c r="C78" s="108" t="str">
        <x:v>TRAFICOM/68863/03.04.01.00/2021</x:v>
      </x:c>
      <x:c r="D78" s="163" t="n">
        <x:v>38</x:v>
      </x:c>
      <x:c r="E78" s="108" t="str">
        <x:v>Design ice torque on propeller Qmax for open propellers</x:v>
      </x:c>
      <x:c r="F78" s="108" t="str">
        <x:v>6.5.3.1</x:v>
      </x:c>
      <x:c r="G78" s="113" t="str">
        <x:v>Static</x:v>
      </x:c>
      <x:c r="H78" s="109" t="str">
        <x:v>n is the rotational propeller speed at MCR in bollard condition. If unknown, n must be attributed a value in accordance with Table 6-9.</x:v>
      </x:c>
      <x:c r="I78" s="110" t="str">
        <x:v>n is the rotational propeller speed at MCR in bollard condition. If unknown, n must be attributed a value in accordance with Table 6-9.</x:v>
      </x:c>
      <x:c r="J78" s="111" t="str">
        <x:v>No explicit data variable identified</x:v>
      </x:c>
      <x:c r="K78" s="111" t="str">
        <x:v>No direct AnchorMap term found; propose a code-safe alias during SHACL design</x:v>
      </x:c>
      <x:c r="L78" s="114" t="str">
        <x:v>Medium</x:v>
      </x:c>
      <x:c r="M78" s="111" t="str">
        <x:v>Table-lookup plus constraint</x:v>
      </x:c>
      <x:c r="N78" s="108" t="str">
        <x:v>Direct verification of a stated property, document, presence condition, enumeration, applicability rule, prohibition, or fixed limit.</x:v>
      </x:c>
      <x:c r="O78" s="113" t="str">
        <x:v>No</x:v>
      </x:c>
      <x:c r="P78" s="113" t="str">
        <x:v>Included - source reverified and locked</x:v>
      </x:c>
      <x:c r="Q78" s="108" t="str">
        <x:v>LOCK-2026-08-10: No source, page, clause, category, or normalized-meaning correction was required. Source wording was checked against the supplied PDF; equation notation is ASCII-linearized.</x:v>
      </x:c>
      <x:c r="R78" s="108" t="str">
        <x:v>LOCK-2026-08-11-R2 | source_pdf=TRAFICOM.pdf | source_sha256=8ab845347770c253433b8bad9b1fbe5d6ac71b3d07a1a28dae8a32cfde732ddc | physical_pdf_page=38 | section=Design ice torque on propeller Qmax for open propellers | clause=6.5.3.1 | checks=independent_full_text_page_layout; numbers_units_operators_equations; normalized_rule_meaning; five_category_classification | status=LOCKED</x:v>
      </x:c>
      <x:c r="S78" s="108" t="str">
        <x:v>43_complex_pmin_formula (Complex); 60_complex_propeller_diameter (Complex)</x:v>
      </x:c>
      <x:c r="T78" s="108" t="str">
        <x:v>PASS - source/page/clause/meaning/category reverified</x:v>
      </x:c>
      <x:c r="U78" s="108" t="str">
        <x:v>LOCKED - extraction reverified</x:v>
      </x:c>
      <x:c r="V78" s="112" t="str">
        <x:v>Second-pass extraction lock covers source identity, physical PDF page span, section/clause, ASCII transcription, normalized meaning, and verification category. SHACL shapes remain a separate implementation artifact.</x:v>
      </x:c>
      <x:c r="W78" s="112" t="str">
        <x:v>https://www.finlex.fi/en/authorities/regulations/traficom-transport-maritime/2021/47238</x:v>
      </x:c>
      <x:c r="X78" s="112" t="str">
        <x:v>No explicit data variable identified</x:v>
      </x:c>
      <x:c r="Y78" s="112" t="str">
        <x:v>Table-lookup plus constraint; encode values with units and retain clause/page provenance.</x:v>
      </x:c>
    </x:row>
    <x:row r="79" ht="92" customHeight="1">
      <x:c r="A79" s="108" t="str">
        <x:v>TRF-084</x:v>
      </x:c>
      <x:c r="B79" s="108" t="str">
        <x:v>Ice Class Regulations and the Application Thereof</x:v>
      </x:c>
      <x:c r="C79" s="108" t="str">
        <x:v>TRAFICOM/68863/03.04.01.00/2021</x:v>
      </x:c>
      <x:c r="D79" s="163" t="n">
        <x:v>38</x:v>
      </x:c>
      <x:c r="E79" s="108" t="str">
        <x:v>Design ice torque on propeller Qmax for open propellers</x:v>
      </x:c>
      <x:c r="F79" s="108" t="str">
        <x:v>6.5.3.1</x:v>
      </x:c>
      <x:c r="G79" s="113" t="str">
        <x:v>Static</x:v>
      </x:c>
      <x:c r="H79" s="109" t="str">
        <x:v>For CP propellers, the propeller pitch, P0.7 shall correspond to MCR in bollard condition. If not known, P0.7 shall have a value equal to 0.7*P0.7n, where P0.7n is the propeller pitch at MCR in free running condition.</x:v>
      </x:c>
      <x:c r="I79" s="110" t="str">
        <x:v>For CP propellers, the propeller pitch, P0.7 shall correspond to MCR in bollard condition. If not known, P0.7 shall have a value equal to 0.7*P0.7n, where P0.7n is the propeller pitch at MCR in free running condition.</x:v>
      </x:c>
      <x:c r="J79" s="111" t="str">
        <x:v>No explicit data variable identified</x:v>
      </x:c>
      <x:c r="K79" s="111" t="str">
        <x:v>No direct AnchorMap term found; propose a code-safe alias during SHACL design</x:v>
      </x:c>
      <x:c r="L79" s="114" t="str">
        <x:v>High</x:v>
      </x:c>
      <x:c r="M79" s="111" t="str">
        <x:v>Conditional/applicability constraint</x:v>
      </x:c>
      <x:c r="N79" s="108" t="str">
        <x:v>Direct verification of a stated property, document, presence condition, enumeration, applicability rule, prohibition, or fixed limit.</x:v>
      </x:c>
      <x:c r="O79" s="113" t="str">
        <x:v>No</x:v>
      </x:c>
      <x:c r="P79" s="113" t="str">
        <x:v>Included - source reverified and locked</x:v>
      </x:c>
      <x:c r="Q79" s="108" t="str">
        <x:v>LOCK-2026-08-10: No source, page, clause, category, or normalized-meaning correction was required. Source wording was checked against the supplied PDF; equation notation is ASCII-linearized.</x:v>
      </x:c>
      <x:c r="R79" s="108" t="str">
        <x:v>LOCK-2026-08-11-R2 | source_pdf=TRAFICOM.pdf | source_sha256=8ab845347770c253433b8bad9b1fbe5d6ac71b3d07a1a28dae8a32cfde732ddc | physical_pdf_page=38 | section=Design ice torque on propeller Qmax for open propellers | clause=6.5.3.1 | checks=independent_full_text_page_layout; numbers_units_operators_equations; normalized_rule_meaning; five_category_classification | status=LOCKED</x:v>
      </x:c>
      <x:c r="S79" s="108" t="str">
        <x:v>02_static_cmu_minimum (Static); 60_complex_propeller_diameter (Complex); 76_complex_cp_bollard_pitch_default (Complex)</x:v>
      </x:c>
      <x:c r="T79" s="108" t="str">
        <x:v>PASS - source/page/clause/meaning/category reverified</x:v>
      </x:c>
      <x:c r="U79" s="108" t="str">
        <x:v>LOCKED - extraction reverified</x:v>
      </x:c>
      <x:c r="V79" s="112" t="str">
        <x:v>Second-pass extraction lock covers source identity, physical PDF page span, section/clause, ASCII transcription, normalized meaning, and verification category. SHACL shapes remain a separate implementation artifact.</x:v>
      </x:c>
      <x:c r="W79" s="112" t="str">
        <x:v>https://www.finlex.fi/en/authorities/regulations/traficom-transport-maritime/2021/47238</x:v>
      </x:c>
      <x:c r="X79" s="112" t="str">
        <x:v>No explicit data variable identified</x:v>
      </x:c>
      <x:c r="Y79" s="112" t="str">
        <x:v>Conditional/applicability constraint; encode values with units and retain clause/page provenance.</x:v>
      </x:c>
    </x:row>
    <x:row r="80" ht="92" customHeight="1">
      <x:c r="A80" s="108" t="str">
        <x:v>TRF-085</x:v>
      </x:c>
      <x:c r="B80" s="108" t="str">
        <x:v>Ice Class Regulations and the Application Thereof</x:v>
      </x:c>
      <x:c r="C80" s="108" t="str">
        <x:v>TRAFICOM/68863/03.04.01.00/2021</x:v>
      </x:c>
      <x:c r="D80" s="163" t="n">
        <x:v>39</x:v>
      </x:c>
      <x:c r="E80" s="108" t="str">
        <x:v>Design ice torque on propeller Qmax for ducted propellers</x:v>
      </x:c>
      <x:c r="F80" s="108" t="str">
        <x:v>6.5.3.2</x:v>
      </x:c>
      <x:c r="G80" s="113" t="str">
        <x:v>Static</x:v>
      </x:c>
      <x:c r="H80" s="109" t="str">
        <x:v>n is the rotational propeller speed at MCR in bollard condition. If not known, n shall have a value according to Table 6-9.</x:v>
      </x:c>
      <x:c r="I80" s="110" t="str">
        <x:v>Set propeller_speed_MCR_bollard_rpm to the known rotational propeller speed at MCR in bollard condition; otherwise select propeller_speed_MCR_bollard_rpm from Table 6-9.</x:v>
      </x:c>
      <x:c r="J80" s="111" t="str">
        <x:v>D_m</x:v>
      </x:c>
      <x:c r="K80" s="111" t="str">
        <x:v>D_m</x:v>
      </x:c>
      <x:c r="L80" s="114" t="str">
        <x:v>Medium</x:v>
      </x:c>
      <x:c r="M80" s="111" t="str">
        <x:v>Table-lookup plus constraint</x:v>
      </x:c>
      <x:c r="N80" s="108" t="str">
        <x:v>Direct verification of a stated property, document, presence condition, enumeration, applicability rule, prohibition, or fixed limit.</x:v>
      </x:c>
      <x:c r="O80" s="113" t="str">
        <x:v>No</x:v>
      </x:c>
      <x:c r="P80" s="113" t="str">
        <x:v>Included - source reverified and locked</x:v>
      </x:c>
      <x:c r="Q80" s="108" t="str">
        <x:v>LOCK-2026-08-10: Replaced an unrelated minimum-power equation with the Table 6-9 propeller-speed rule. Final source lock check completed against the supplied PDF; equation notation is ASCII-linearized.</x:v>
      </x:c>
      <x:c r="R80" s="108" t="str">
        <x:v>LOCK-2026-08-11-R2 | source_pdf=TRAFICOM.pdf | source_sha256=8ab845347770c253433b8bad9b1fbe5d6ac71b3d07a1a28dae8a32cfde732ddc | physical_pdf_page=39 | section=Design ice torque on propeller Qmax for ducted propellers | clause=6.5.3.2 | checks=independent_full_text_page_layout; numbers_units_operators_equations; normalized_rule_meaning; five_category_classification | status=LOCKED</x:v>
      </x:c>
      <x:c r="S80" s="108" t="str">
        <x:v>43_complex_pmin_formula (Complex); 60_complex_propeller_diameter (Complex)</x:v>
      </x:c>
      <x:c r="T80" s="108" t="str">
        <x:v>PASS - source/page/clause/meaning/category reverified</x:v>
      </x:c>
      <x:c r="U80" s="108" t="str">
        <x:v>LOCKED - extraction reverified</x:v>
      </x:c>
      <x:c r="V80" s="112" t="str">
        <x:v>Second-pass extraction lock covers source identity, physical PDF page span, section/clause, ASCII transcription, normalized meaning, and verification category. SHACL shapes remain a separate implementation artifact.</x:v>
      </x:c>
      <x:c r="W80" s="112" t="str">
        <x:v>https://www.finlex.fi/en/authorities/regulations/traficom-transport-maritime/2021/47238</x:v>
      </x:c>
      <x:c r="X80" s="112" t="str">
        <x:v>D_m</x:v>
      </x:c>
      <x:c r="Y80" s="112" t="str">
        <x:v>Table-lookup plus constraint; encode values with units and retain clause/page provenance.</x:v>
      </x:c>
    </x:row>
    <x:row r="81" ht="92" customHeight="1">
      <x:c r="A81" s="108" t="str">
        <x:v>TRF-086</x:v>
      </x:c>
      <x:c r="B81" s="108" t="str">
        <x:v>Ice Class Regulations and the Application Thereof</x:v>
      </x:c>
      <x:c r="C81" s="108" t="str">
        <x:v>TRAFICOM/68863/03.04.01.00/2021</x:v>
      </x:c>
      <x:c r="D81" s="163" t="n">
        <x:v>39</x:v>
      </x:c>
      <x:c r="E81" s="108" t="str">
        <x:v>Design ice torque on propeller Qmax for ducted propellers</x:v>
      </x:c>
      <x:c r="F81" s="108" t="str">
        <x:v>6.5.3.2</x:v>
      </x:c>
      <x:c r="G81" s="113" t="str">
        <x:v>Static</x:v>
      </x:c>
      <x:c r="H81" s="109" t="str">
        <x:v>For CP propellers, the propeller pitch, P0.7 shall correspond to MCR in bollard condition. If not known, P0.7 shall have a value equal to 0.7*P0.7n, where P0.7n is the propeller pitch at MCR in free running condition.</x:v>
      </x:c>
      <x:c r="I81" s="110" t="str">
        <x:v>For CP propellers, the propeller pitch, P0.7 shall correspond to MCR in bollard condition. If not known, P0.7 shall have a value equal to 0.7*P0.7n, where P0.7n is the propeller pitch at MCR in free running condition.</x:v>
      </x:c>
      <x:c r="J81" s="111" t="str">
        <x:v>No explicit data variable identified</x:v>
      </x:c>
      <x:c r="K81" s="111" t="str">
        <x:v>No direct AnchorMap term found; propose a code-safe alias during SHACL design</x:v>
      </x:c>
      <x:c r="L81" s="114" t="str">
        <x:v>High</x:v>
      </x:c>
      <x:c r="M81" s="111" t="str">
        <x:v>Conditional/applicability constraint</x:v>
      </x:c>
      <x:c r="N81" s="108" t="str">
        <x:v>Direct verification of a stated property, document, presence condition, enumeration, applicability rule, prohibition, or fixed limit.</x:v>
      </x:c>
      <x:c r="O81" s="113" t="str">
        <x:v>No</x:v>
      </x:c>
      <x:c r="P81" s="113" t="str">
        <x:v>Included - source reverified and locked</x:v>
      </x:c>
      <x:c r="Q81" s="108" t="str">
        <x:v>LOCK-2026-08-10: No source, page, clause, category, or normalized-meaning correction was required. Source wording was checked against the supplied PDF; equation notation is ASCII-linearized.</x:v>
      </x:c>
      <x:c r="R81" s="108" t="str">
        <x:v>LOCK-2026-08-11-R2 | source_pdf=TRAFICOM.pdf | source_sha256=8ab845347770c253433b8bad9b1fbe5d6ac71b3d07a1a28dae8a32cfde732ddc | physical_pdf_page=39 | section=Design ice torque on propeller Qmax for ducted propellers | clause=6.5.3.2 | checks=independent_full_text_page_layout; numbers_units_operators_equations; normalized_rule_meaning; five_category_classification | status=LOCKED</x:v>
      </x:c>
      <x:c r="S81" s="108" t="str">
        <x:v>02_static_cmu_minimum (Static); 60_complex_propeller_diameter (Complex); 76_complex_cp_bollard_pitch_default (Complex)</x:v>
      </x:c>
      <x:c r="T81" s="108" t="str">
        <x:v>PASS - source/page/clause/meaning/category reverified</x:v>
      </x:c>
      <x:c r="U81" s="108" t="str">
        <x:v>LOCKED - extraction reverified</x:v>
      </x:c>
      <x:c r="V81" s="112" t="str">
        <x:v>Second-pass extraction lock covers source identity, physical PDF page span, section/clause, ASCII transcription, normalized meaning, and verification category. SHACL shapes remain a separate implementation artifact.</x:v>
      </x:c>
      <x:c r="W81" s="112" t="str">
        <x:v>https://www.finlex.fi/en/authorities/regulations/traficom-transport-maritime/2021/47238</x:v>
      </x:c>
      <x:c r="X81" s="112" t="str">
        <x:v>No explicit data variable identified</x:v>
      </x:c>
      <x:c r="Y81" s="112" t="str">
        <x:v>Conditional/applicability constraint; encode values with units and retain clause/page provenance.</x:v>
      </x:c>
    </x:row>
    <x:row r="82" ht="92" customHeight="1">
      <x:c r="A82" s="108" t="str">
        <x:v>TRF-087</x:v>
      </x:c>
      <x:c r="B82" s="108" t="str">
        <x:v>Ice Class Regulations and the Application Thereof</x:v>
      </x:c>
      <x:c r="C82" s="108" t="str">
        <x:v>TRAFICOM/68863/03.04.01.00/2021</x:v>
      </x:c>
      <x:c r="D82" s="163" t="n">
        <x:v>39</x:v>
      </x:c>
      <x:c r="E82" s="108" t="str">
        <x:v>Design torque for non-resonant shaft lines</x:v>
      </x:c>
      <x:c r="F82" s="108" t="str">
        <x:v>6.5.3.3</x:v>
      </x:c>
      <x:c r="G82" s="113" t="str">
        <x:v>Static</x:v>
      </x:c>
      <x:c r="H82" s="109" t="str">
        <x:v>All the torques and the inertia moments shall be reduced to the rotation speed of the component being examined.</x:v>
      </x:c>
      <x:c r="I82" s="110" t="str">
        <x:v>All the torques and the inertia moments shall be reduced to the rotation speed of the component being examined.</x:v>
      </x:c>
      <x:c r="J82" s="111" t="str">
        <x:v>inertiaRatio_Ie_It</x:v>
      </x:c>
      <x:c r="K82" s="111" t="str">
        <x:v>inertiaRatio_Ie_It</x:v>
      </x:c>
      <x:c r="L82" s="114" t="str">
        <x:v>High</x:v>
      </x:c>
      <x:c r="M82" s="111" t="str">
        <x:v>Direct property/presence constraint</x:v>
      </x:c>
      <x:c r="N82" s="108" t="str">
        <x:v>Direct verification of a stated property, document, presence condition, enumeration, applicability rule, prohibition, or fixed limit.</x:v>
      </x:c>
      <x:c r="O82" s="113" t="str">
        <x:v>No</x:v>
      </x:c>
      <x:c r="P82" s="113" t="str">
        <x:v>Included - source reverified and locked</x:v>
      </x:c>
      <x:c r="Q82" s="108" t="str">
        <x:v>LOCK-2026-08-10: No source, page, clause, category, or normalized-meaning correction was required. Source wording was checked against the supplied PDF; equation notation is ASCII-linearized.</x:v>
      </x:c>
      <x:c r="R82" s="108" t="str">
        <x:v>LOCK-2026-08-11-R2 | source_pdf=TRAFICOM.pdf | source_sha256=8ab845347770c253433b8bad9b1fbe5d6ac71b3d07a1a28dae8a32cfde732ddc | physical_pdf_page=39 | section=Design torque for non-resonant shaft lines | clause=6.5.3.3 | checks=independent_full_text_page_layout; numbers_units_operators_equations; normalized_rule_meaning; five_category_classification | status=LOCKED</x:v>
      </x:c>
      <x:c r="S82" s="108" t="str">
        <x:v>No close match among the thesis repository's 90 input cases.</x:v>
      </x:c>
      <x:c r="T82" s="108" t="str">
        <x:v>PASS - source/page/clause/meaning/category reverified</x:v>
      </x:c>
      <x:c r="U82" s="108" t="str">
        <x:v>LOCKED - extraction reverified</x:v>
      </x:c>
      <x:c r="V82" s="112" t="str">
        <x:v>Second-pass extraction lock covers source identity, physical PDF page span, section/clause, ASCII transcription, normalized meaning, and verification category. SHACL shapes remain a separate implementation artifact.</x:v>
      </x:c>
      <x:c r="W82" s="112" t="str">
        <x:v>https://www.finlex.fi/en/authorities/regulations/traficom-transport-maritime/2021/47238</x:v>
      </x:c>
      <x:c r="X82" s="112" t="str">
        <x:v>inertiaRatio_Ie_It</x:v>
      </x:c>
      <x:c r="Y82" s="112" t="str">
        <x:v>Direct property/presence constraint; encode values with units and retain clause/page provenance.</x:v>
      </x:c>
    </x:row>
    <x:row r="83" ht="92" customHeight="1">
      <x:c r="A83" s="108" t="str">
        <x:v>TRF-088</x:v>
      </x:c>
      <x:c r="B83" s="108" t="str">
        <x:v>Ice Class Regulations and the Application Thereof</x:v>
      </x:c>
      <x:c r="C83" s="108" t="str">
        <x:v>TRAFICOM/68863/03.04.01.00/2021</x:v>
      </x:c>
      <x:c r="D83" s="163" t="n">
        <x:v>39</x:v>
      </x:c>
      <x:c r="E83" s="108" t="str">
        <x:v>Design torque for non-resonant shaft lines</x:v>
      </x:c>
      <x:c r="F83" s="108" t="str">
        <x:v>6.5.3.3</x:v>
      </x:c>
      <x:c r="G83" s="113" t="str">
        <x:v>Static Calculation</x:v>
      </x:c>
      <x:c r="H83" s="109" t="str">
        <x:v>If the maximum torque, Qemax, is unknown, it shall be accorded the value given in Table 6-10.</x:v>
      </x:c>
      <x:c r="I83" s="110" t="str">
        <x:v>If the maximum torque, Qemax, is unknown, it shall be accorded the value given in Table 6-10.</x:v>
      </x:c>
      <x:c r="J83" s="111" t="str">
        <x:v>No explicit data variable identified</x:v>
      </x:c>
      <x:c r="K83" s="111" t="str">
        <x:v>No direct AnchorMap term found; propose a code-safe alias during SHACL design</x:v>
      </x:c>
      <x:c r="L83" s="114" t="str">
        <x:v>Medium</x:v>
      </x:c>
      <x:c r="M83" s="111" t="str">
        <x:v>Table-lookup plus constraint</x:v>
      </x:c>
      <x:c r="N83" s="108" t="str">
        <x:v>Deterministic calculation from static design inputs followed by a numeric or logical comparison.</x:v>
      </x:c>
      <x:c r="O83" s="113" t="str">
        <x:v>No</x:v>
      </x:c>
      <x:c r="P83" s="113" t="str">
        <x:v>Included - source reverified and locked</x:v>
      </x:c>
      <x:c r="Q83" s="108" t="str">
        <x:v>LOCK-2026-08-10: No source, page, clause, category, or normalized-meaning correction was required. Source wording was checked against the supplied PDF; equation notation is ASCII-linearized.</x:v>
      </x:c>
      <x:c r="R83" s="108" t="str">
        <x:v>LOCK-2026-08-11-R2 | source_pdf=TRAFICOM.pdf | source_sha256=8ab845347770c253433b8bad9b1fbe5d6ac71b3d07a1a28dae8a32cfde732ddc | physical_pdf_page=39 | section=Design torque for non-resonant shaft lines | clause=6.5.3.3 | checks=independent_full_text_page_layout; numbers_units_operators_equations; normalized_rule_meaning; five_category_classification | status=LOCKED</x:v>
      </x:c>
      <x:c r="S83" s="108" t="str">
        <x:v>43_complex_pmin_formula (Complex)</x:v>
      </x:c>
      <x:c r="T83" s="108" t="str">
        <x:v>PASS - source/page/clause/meaning/category reverified</x:v>
      </x:c>
      <x:c r="U83" s="108" t="str">
        <x:v>LOCKED - extraction reverified</x:v>
      </x:c>
      <x:c r="V83" s="112" t="str">
        <x:v>Second-pass extraction lock covers source identity, physical PDF page span, section/clause, ASCII transcription, normalized meaning, and verification category. SHACL shapes remain a separate implementation artifact.</x:v>
      </x:c>
      <x:c r="W83" s="112" t="str">
        <x:v>https://www.finlex.fi/en/authorities/regulations/traficom-transport-maritime/2021/47238</x:v>
      </x:c>
      <x:c r="X83" s="112" t="str">
        <x:v>No explicit data variable identified</x:v>
      </x:c>
      <x:c r="Y83" s="112" t="str">
        <x:v>Table-lookup plus constraint; encode values with units and retain clause/page provenance.</x:v>
      </x:c>
    </x:row>
    <x:row r="84" ht="92" customHeight="1">
      <x:c r="A84" s="108" t="str">
        <x:v>TRF-089</x:v>
      </x:c>
      <x:c r="B84" s="108" t="str">
        <x:v>Ice Class Regulations and the Application Thereof</x:v>
      </x:c>
      <x:c r="C84" s="108" t="str">
        <x:v>TRAFICOM/68863/03.04.01.00/2021</x:v>
      </x:c>
      <x:c r="D84" s="163" t="n">
        <x:v>39</x:v>
      </x:c>
      <x:c r="E84" s="108" t="str">
        <x:v>Design torque for shaft lines having resonances</x:v>
      </x:c>
      <x:c r="F84" s="108" t="str">
        <x:v>6.5.3.4</x:v>
      </x:c>
      <x:c r="G84" s="113" t="str">
        <x:v>Dynamic</x:v>
      </x:c>
      <x:c r="H84" s="109" t="str">
        <x:v>If there is first blade order torsional resonance in the operational speed range or in the range 20% above and 20% below the maximum operating speed (bollard condition), the design torque (Qpeak) of the shaft component shall be determined by means of torsional vibration</x:v>
      </x:c>
      <x:c r="I84" s="110" t="str">
        <x:v>If there is first blade order torsional resonance in the operational speed range or in the range 20% above and 20% below the maximum operating speed (bollard condition), the design torque Q_peak of the shaft component shall be determined by means of torsional vibration analysis, using frequency domain calculation as one of the two alternative methods.</x:v>
      </x:c>
      <x:c r="J84" s="111" t="str">
        <x:v>No explicit data variable identified</x:v>
      </x:c>
      <x:c r="K84" s="111" t="str">
        <x:v>No direct AnchorMap term found; propose a code-safe alias during SHACL design</x:v>
      </x:c>
      <x:c r="L84" s="114" t="str">
        <x:v>Medium</x:v>
      </x:c>
      <x:c r="M84" s="111" t="str">
        <x:v>Analysis-input/result constraint</x:v>
      </x:c>
      <x:c r="N84" s="108" t="str">
        <x:v>Verification depends on operational, time-stamped, route-dependent, monitored, or simulation-response information.</x:v>
      </x:c>
      <x:c r="O84" s="113" t="str">
        <x:v>No</x:v>
      </x:c>
      <x:c r="P84" s="113" t="str">
        <x:v>Included - source reverified and locked</x:v>
      </x:c>
      <x:c r="Q84" s="108" t="str">
        <x:v>LOCK-2026-08-10: No source, page, clause, category, or normalized-meaning correction was required. Source wording was checked against the supplied PDF; equation notation is ASCII-linearized.</x:v>
      </x:c>
      <x:c r="R84" s="108" t="str">
        <x:v>LOCK-2026-08-11-R2 | source_pdf=TRAFICOM.pdf | source_sha256=8ab845347770c253433b8bad9b1fbe5d6ac71b3d07a1a28dae8a32cfde732ddc | physical_pdf_page=39 | section=Design torque for shaft lines having resonances | clause=6.5.3.4 | checks=independent_full_text_page_layout; numbers_units_operators_equations; normalized_rule_meaning; five_category_classification | status=LOCKED</x:v>
      </x:c>
      <x:c r="S84" s="108" t="str">
        <x:v>85_dynamic_resonant_shaft_frequency_domain (Dynamic); 83_dynamic_nonresonant_shaft_torque (Dynamic); 46_complex_design_ice_pressure (Complex)</x:v>
      </x:c>
      <x:c r="T84" s="108" t="str">
        <x:v>PASS - source/page/clause/meaning/category reverified</x:v>
      </x:c>
      <x:c r="U84" s="108" t="str">
        <x:v>LOCKED - extraction reverified</x:v>
      </x:c>
      <x:c r="V84" s="112" t="str">
        <x:v>Second-pass extraction lock covers source identity, physical PDF page span, section/clause, ASCII transcription, normalized meaning, and verification category. SHACL shapes remain a separate implementation artifact.</x:v>
      </x:c>
      <x:c r="W84" s="112" t="str">
        <x:v>https://www.finlex.fi/en/authorities/regulations/traficom-transport-maritime/2021/47238</x:v>
      </x:c>
      <x:c r="X84" s="112" t="str">
        <x:v>No explicit data variable identified</x:v>
      </x:c>
      <x:c r="Y84" s="112" t="str">
        <x:v>Analysis-input/result constraint; encode values with units and retain clause/page provenance.</x:v>
      </x:c>
    </x:row>
    <x:row r="85" ht="92" customHeight="1">
      <x:c r="A85" s="108" t="str">
        <x:v>TRF-090</x:v>
      </x:c>
      <x:c r="B85" s="108" t="str">
        <x:v>Ice Class Regulations and the Application Thereof</x:v>
      </x:c>
      <x:c r="C85" s="108" t="str">
        <x:v>TRAFICOM/68863/03.04.01.00/2021</x:v>
      </x:c>
      <x:c r="D85" s="163" t="n">
        <x:v>40</x:v>
      </x:c>
      <x:c r="E85" s="108" t="str">
        <x:v>Design torque for shaft lines having resonances</x:v>
      </x:c>
      <x:c r="F85" s="108" t="str">
        <x:v>6.5.3.4</x:v>
      </x:c>
      <x:c r="G85" s="113" t="str">
        <x:v>Dynamic</x:v>
      </x:c>
      <x:c r="H85" s="109" t="str">
        <x:v>Time domain calculations shall be calculated for the MCR condition, MCR bollard conditions and for blade order resonant rotational speeds so that the resonant vibration responses can be obtained.</x:v>
      </x:c>
      <x:c r="I85" s="110" t="str">
        <x:v>Time domain calculations shall be calculated for the MCR condition, MCR bollard conditions and for blade order resonant rotational speeds so that the resonant vibration responses can be obtained.</x:v>
      </x:c>
      <x:c r="J85" s="111" t="str">
        <x:v>No explicit data variable identified</x:v>
      </x:c>
      <x:c r="K85" s="111" t="str">
        <x:v>No direct AnchorMap term found; propose a code-safe alias during SHACL design</x:v>
      </x:c>
      <x:c r="L85" s="114" t="str">
        <x:v>Medium</x:v>
      </x:c>
      <x:c r="M85" s="111" t="str">
        <x:v>Analysis-input/result constraint</x:v>
      </x:c>
      <x:c r="N85" s="108" t="str">
        <x:v>Verification depends on operational, time-stamped, route-dependent, monitored, or simulation-response information.</x:v>
      </x:c>
      <x:c r="O85" s="113" t="str">
        <x:v>No</x:v>
      </x:c>
      <x:c r="P85" s="113" t="str">
        <x:v>Included - source reverified and locked</x:v>
      </x:c>
      <x:c r="Q85" s="108" t="str">
        <x:v>LOCK-2026-08-10: No source, page, clause, category, or normalized-meaning correction was required. Source wording was checked against the supplied PDF; equation notation is ASCII-linearized.</x:v>
      </x:c>
      <x:c r="R85" s="108" t="str">
        <x:v>LOCK-2026-08-11-R2 | source_pdf=TRAFICOM.pdf | source_sha256=8ab845347770c253433b8bad9b1fbe5d6ac71b3d07a1a28dae8a32cfde732ddc | physical_pdf_page=40 | section=Design torque for shaft lines having resonances | clause=6.5.3.4 | checks=independent_full_text_page_layout; numbers_units_operators_equations; normalized_rule_meaning; five_category_classification | status=LOCKED</x:v>
      </x:c>
      <x:c r="S85" s="108" t="str">
        <x:v>84_dynamic_resonant_shaft_time_domain (Dynamic)</x:v>
      </x:c>
      <x:c r="T85" s="108" t="str">
        <x:v>PASS - source/page/clause/meaning/category reverified</x:v>
      </x:c>
      <x:c r="U85" s="108" t="str">
        <x:v>LOCKED - extraction reverified</x:v>
      </x:c>
      <x:c r="V85" s="112" t="str">
        <x:v>Second-pass extraction lock covers source identity, physical PDF page span, section/clause, ASCII transcription, normalized meaning, and verification category. SHACL shapes remain a separate implementation artifact.</x:v>
      </x:c>
      <x:c r="W85" s="112" t="str">
        <x:v>https://www.finlex.fi/en/authorities/regulations/traficom-transport-maritime/2021/47238</x:v>
      </x:c>
      <x:c r="X85" s="112" t="str">
        <x:v>No explicit data variable identified</x:v>
      </x:c>
      <x:c r="Y85" s="112" t="str">
        <x:v>Analysis-input/result constraint; encode values with units and retain clause/page provenance.</x:v>
      </x:c>
    </x:row>
    <x:row r="86" ht="92" customHeight="1">
      <x:c r="A86" s="108" t="str">
        <x:v>TRF-091</x:v>
      </x:c>
      <x:c r="B86" s="108" t="str">
        <x:v>Ice Class Regulations and the Application Thereof</x:v>
      </x:c>
      <x:c r="C86" s="108" t="str">
        <x:v>TRAFICOM/68863/03.04.01.00/2021</x:v>
      </x:c>
      <x:c r="D86" s="163" t="n">
        <x:v>40</x:v>
      </x:c>
      <x:c r="E86" s="108" t="str">
        <x:v>Design torque for shaft lines having resonances</x:v>
      </x:c>
      <x:c r="F86" s="108" t="str">
        <x:v>6.5.3.4</x:v>
      </x:c>
      <x:c r="G86" s="113" t="str">
        <x:v>Static</x:v>
      </x:c>
      <x:c r="H86" s="109" t="str">
        <x:v>The load sequence given in this chapter, for a case where a propeller is milling an ice block, shall be used for the strength evaluation of the propulsion line. The given load sequence is not intended for propulsion system stalling analyses.</x:v>
      </x:c>
      <x:c r="I86" s="110" t="str">
        <x:v>The load sequence given in this chapter, for a case where a propeller is milling an ice block, shall be used for the strength evaluation of the propulsion line. The given load sequence is not intended for propulsion system stalling analyses.</x:v>
      </x:c>
      <x:c r="J86" s="111" t="str">
        <x:v>No explicit data variable identified</x:v>
      </x:c>
      <x:c r="K86" s="111" t="str">
        <x:v>No direct AnchorMap term found; propose a code-safe alias during SHACL design</x:v>
      </x:c>
      <x:c r="L86" s="114" t="str">
        <x:v>High</x:v>
      </x:c>
      <x:c r="M86" s="111" t="str">
        <x:v>Conditional/applicability constraint</x:v>
      </x:c>
      <x:c r="N86" s="108" t="str">
        <x:v>Direct verification of a stated property, document, presence condition, enumeration, applicability rule, prohibition, or fixed limit.</x:v>
      </x:c>
      <x:c r="O86" s="113" t="str">
        <x:v>No</x:v>
      </x:c>
      <x:c r="P86" s="113" t="str">
        <x:v>Included - source reverified and locked</x:v>
      </x:c>
      <x:c r="Q86" s="108" t="str">
        <x:v>LOCK-2026-08-10: No source, page, clause, category, or normalized-meaning correction was required. Source wording was checked against the supplied PDF; equation notation is ASCII-linearized.</x:v>
      </x:c>
      <x:c r="R86" s="108" t="str">
        <x:v>LOCK-2026-08-11-R2 | source_pdf=TRAFICOM.pdf | source_sha256=8ab845347770c253433b8bad9b1fbe5d6ac71b3d07a1a28dae8a32cfde732ddc | physical_pdf_page=40 | section=Design torque for shaft lines having resonances | clause=6.5.3.4 | checks=independent_full_text_page_layout; numbers_units_operators_equations; normalized_rule_meaning; five_category_classification | status=LOCKED</x:v>
      </x:c>
      <x:c r="S86" s="108" t="str">
        <x:v>60_complex_propeller_diameter (Complex)</x:v>
      </x:c>
      <x:c r="T86" s="108" t="str">
        <x:v>PASS - source/page/clause/meaning/category reverified</x:v>
      </x:c>
      <x:c r="U86" s="108" t="str">
        <x:v>LOCKED - extraction reverified</x:v>
      </x:c>
      <x:c r="V86" s="112" t="str">
        <x:v>Second-pass extraction lock covers source identity, physical PDF page span, section/clause, ASCII transcription, normalized meaning, and verification category. SHACL shapes remain a separate implementation artifact.</x:v>
      </x:c>
      <x:c r="W86" s="112" t="str">
        <x:v>https://www.finlex.fi/en/authorities/regulations/traficom-transport-maritime/2021/47238</x:v>
      </x:c>
      <x:c r="X86" s="112" t="str">
        <x:v>No explicit data variable identified</x:v>
      </x:c>
      <x:c r="Y86" s="112" t="str">
        <x:v>Conditional/applicability constraint; encode values with units and retain clause/page provenance.</x:v>
      </x:c>
    </x:row>
    <x:row r="87" ht="92" customHeight="1">
      <x:c r="A87" s="108" t="str">
        <x:v>TRF-092</x:v>
      </x:c>
      <x:c r="B87" s="108" t="str">
        <x:v>Ice Class Regulations and the Application Thereof</x:v>
      </x:c>
      <x:c r="C87" s="108" t="str">
        <x:v>TRAFICOM/68863/03.04.01.00/2021</x:v>
      </x:c>
      <x:c r="D87" s="163" t="n">
        <x:v>40</x:v>
      </x:c>
      <x:c r="E87" s="108" t="str">
        <x:v>Design torque for shaft lines having resonances</x:v>
      </x:c>
      <x:c r="F87" s="108" t="str">
        <x:v>6.5.3.4</x:v>
      </x:c>
      <x:c r="G87" s="113" t="str">
        <x:v>Complex</x:v>
      </x:c>
      <x:c r="H87" s="109"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c r="I87" s="110" t="str">
        <x:v>The following load cases are intended to reflect the operational loads on the propulsion system, when the propeller interacts with ice, and the respective reaction of the complete system. The ice impact and system response causes loads in the individual shaft line components. The ice torque Qmax may be taken as a constant value in the complete speed range. When considerations at specific shaft speeds are performed, a relevant Qmax may be calculated using the relevant speed according to section 6.5.3.</x:v>
      </x:c>
      <x:c r="J87" s="111" t="str">
        <x:v>No explicit data variable identified</x:v>
      </x:c>
      <x:c r="K87" s="111" t="str">
        <x:v>No direct AnchorMap term found; propose a code-safe alias during SHACL design</x:v>
      </x:c>
      <x:c r="L87" s="114" t="str">
        <x:v>Medium</x:v>
      </x:c>
      <x:c r="M87" s="111" t="str">
        <x:v>Formula-derived constraint</x:v>
      </x:c>
      <x:c r="N87" s="108" t="str">
        <x:v>Verification requires linked conditions, external approval or evidence, an assessment, or a composite workflow.</x:v>
      </x:c>
      <x:c r="O87" s="113" t="str">
        <x:v>No</x:v>
      </x:c>
      <x:c r="P87" s="113" t="str">
        <x:v>Included - source reverified and locked</x:v>
      </x:c>
      <x:c r="Q87" s="108" t="str">
        <x:v>LOCK-2026-08-10: No source, page, clause, category, or normalized-meaning correction was required. Source wording was checked against the supplied PDF; equation notation is ASCII-linearized.</x:v>
      </x:c>
      <x:c r="R87" s="108" t="str">
        <x:v>LOCK-2026-08-11-R2 | source_pdf=TRAFICOM.pdf | source_sha256=8ab845347770c253433b8bad9b1fbe5d6ac71b3d07a1a28dae8a32cfde732ddc | physical_pdf_page=40 | section=Design torque for shaft lines having resonances | clause=6.5.3.4 | checks=independent_full_text_page_layout; numbers_units_operators_equations; normalized_rule_meaning; five_category_classification | status=LOCKED</x:v>
      </x:c>
      <x:c r="S87" s="108" t="str">
        <x:v>43_complex_pmin_formula (Complex); 53_complex_web_frame_ice_load (Complex); 55_complex_web_frame_section_modulus (Complex)</x:v>
      </x:c>
      <x:c r="T87" s="108" t="str">
        <x:v>PASS - source/page/clause/meaning/category reverified</x:v>
      </x:c>
      <x:c r="U87" s="108" t="str">
        <x:v>LOCKED - extraction reverified</x:v>
      </x:c>
      <x:c r="V87" s="112" t="str">
        <x:v>Second-pass extraction lock covers source identity, physical PDF page span, section/clause, ASCII transcription, normalized meaning, and verification category. SHACL shapes remain a separate implementation artifact.</x:v>
      </x:c>
      <x:c r="W87" s="112" t="str">
        <x:v>https://www.finlex.fi/en/authorities/regulations/traficom-transport-maritime/2021/47238</x:v>
      </x:c>
      <x:c r="X87" s="112" t="str">
        <x:v>No explicit data variable identified</x:v>
      </x:c>
      <x:c r="Y87" s="112" t="str">
        <x:v>Formula-derived constraint; encode values with units and retain clause/page provenance.</x:v>
      </x:c>
    </x:row>
    <x:row r="88" ht="92" customHeight="1">
      <x:c r="A88" s="108" t="str">
        <x:v>TRF-093</x:v>
      </x:c>
      <x:c r="B88" s="108" t="str">
        <x:v>Ice Class Regulations and the Application Thereof</x:v>
      </x:c>
      <x:c r="C88" s="108" t="str">
        <x:v>TRAFICOM/68863/03.04.01.00/2021</x:v>
      </x:c>
      <x:c r="D88" s="163" t="n">
        <x:v>40</x:v>
      </x:c>
      <x:c r="E88" s="108" t="str">
        <x:v>Design torque for shaft lines having resonances</x:v>
      </x:c>
      <x:c r="F88" s="108" t="str">
        <x:v>6.5.3.4</x:v>
      </x:c>
      <x:c r="G88" s="113" t="str">
        <x:v>Dynamic</x:v>
      </x:c>
      <x:c r="H88" s="109"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I88" s="110" t="str">
        <x:v>Diesel engine plants without an elastic coupling shall be calculated at the least favourable phase angle for ice versus engine excitation, when calculated in the time domain. The engine firing pulses shall be included in the calculations and their standard steady state harmonics can be used.</x:v>
      </x:c>
      <x:c r="J88" s="111" t="str">
        <x:v>No explicit data variable identified</x:v>
      </x:c>
      <x:c r="K88" s="111" t="str">
        <x:v>No direct AnchorMap term found; propose a code-safe alias during SHACL design</x:v>
      </x:c>
      <x:c r="L88" s="114" t="str">
        <x:v>Medium</x:v>
      </x:c>
      <x:c r="M88" s="111" t="str">
        <x:v>Analysis-input/result constraint</x:v>
      </x:c>
      <x:c r="N88" s="108" t="str">
        <x:v>Verification depends on operational, time-stamped, route-dependent, monitored, or simulation-response information.</x:v>
      </x:c>
      <x:c r="O88" s="113" t="str">
        <x:v>No</x:v>
      </x:c>
      <x:c r="P88" s="113" t="str">
        <x:v>Included - source reverified and locked</x:v>
      </x:c>
      <x:c r="Q88" s="108" t="str">
        <x:v>LOCK-2026-08-10: No source, page, clause, category, or normalized-meaning correction was required. Source wording was checked against the supplied PDF; equation notation is ASCII-linearized.</x:v>
      </x:c>
      <x:c r="R88" s="108" t="str">
        <x:v>LOCK-2026-08-11-R2 | source_pdf=TRAFICOM.pdf | source_sha256=8ab845347770c253433b8bad9b1fbe5d6ac71b3d07a1a28dae8a32cfde732ddc | physical_pdf_page=40 | section=Design torque for shaft lines having resonances | clause=6.5.3.4 | checks=independent_full_text_page_layout; numbers_units_operators_equations; normalized_rule_meaning; five_category_classification | status=LOCKED</x:v>
      </x:c>
      <x:c r="S88" s="108" t="str">
        <x:v>No close match among the thesis repository's 90 input cases.</x:v>
      </x:c>
      <x:c r="T88" s="108" t="str">
        <x:v>PASS - source/page/clause/meaning/category reverified</x:v>
      </x:c>
      <x:c r="U88" s="108" t="str">
        <x:v>LOCKED - extraction reverified</x:v>
      </x:c>
      <x:c r="V88" s="112" t="str">
        <x:v>Second-pass extraction lock covers source identity, physical PDF page span, section/clause, ASCII transcription, normalized meaning, and verification category. SHACL shapes remain a separate implementation artifact.</x:v>
      </x:c>
      <x:c r="W88" s="112" t="str">
        <x:v>https://www.finlex.fi/en/authorities/regulations/traficom-transport-maritime/2021/47238</x:v>
      </x:c>
      <x:c r="X88" s="112" t="str">
        <x:v>No explicit data variable identified</x:v>
      </x:c>
      <x:c r="Y88" s="112" t="str">
        <x:v>Analysis-input/result constraint; encode values with units and retain clause/page provenance.</x:v>
      </x:c>
    </x:row>
    <x:row r="89" ht="92" customHeight="1">
      <x:c r="A89" s="108" t="str">
        <x:v>TRF-094</x:v>
      </x:c>
      <x:c r="B89" s="108" t="str">
        <x:v>Ice Class Regulations and the Application Thereof</x:v>
      </x:c>
      <x:c r="C89" s="108" t="str">
        <x:v>TRAFICOM/68863/03.04.01.00/2021</x:v>
      </x:c>
      <x:c r="D89" s="163" t="n">
        <x:v>40</x:v>
      </x:c>
      <x:c r="E89" s="108" t="str">
        <x:v>Design torque for shaft lines having resonances</x:v>
      </x:c>
      <x:c r="F89" s="108" t="str">
        <x:v>6.5.3.4</x:v>
      </x:c>
      <x:c r="G89" s="113" t="str">
        <x:v>Dynamic</x:v>
      </x:c>
      <x:c r="H89" s="109" t="str">
        <x:v>If there is a blade order resonance just above the MCR speed, calculations shall cover rotational speeds up to 105% of the MCR speed.</x:v>
      </x:c>
      <x:c r="I89" s="110" t="str">
        <x:v>If there is a blade order resonance just above the MCR speed, calculations shall cover rotational speeds up to 105% of the MCR speed.</x:v>
      </x:c>
      <x:c r="J89" s="111" t="str">
        <x:v>No explicit data variable identified</x:v>
      </x:c>
      <x:c r="K89" s="111" t="str">
        <x:v>No direct AnchorMap term found; propose a code-safe alias during SHACL design</x:v>
      </x:c>
      <x:c r="L89" s="114" t="str">
        <x:v>Medium</x:v>
      </x:c>
      <x:c r="M89" s="111" t="str">
        <x:v>Analysis-input/result constraint</x:v>
      </x:c>
      <x:c r="N89" s="108" t="str">
        <x:v>Verification depends on operational, time-stamped, route-dependent, monitored, or simulation-response information.</x:v>
      </x:c>
      <x:c r="O89" s="113" t="str">
        <x:v>No</x:v>
      </x:c>
      <x:c r="P89" s="113" t="str">
        <x:v>Included - source reverified and locked</x:v>
      </x:c>
      <x:c r="Q89" s="108" t="str">
        <x:v>LOCK-2026-08-10: No source, page, clause, category, or normalized-meaning correction was required. Source wording was checked against the supplied PDF; equation notation is ASCII-linearized.</x:v>
      </x:c>
      <x:c r="R89" s="108" t="str">
        <x:v>LOCK-2026-08-11-R2 | source_pdf=TRAFICOM.pdf | source_sha256=8ab845347770c253433b8bad9b1fbe5d6ac71b3d07a1a28dae8a32cfde732ddc | physical_pdf_page=40 | section=Design torque for shaft lines having resonances | clause=6.5.3.4 | checks=independent_full_text_page_layout; numbers_units_operators_equations; normalized_rule_meaning; five_category_classification | status=LOCKED</x:v>
      </x:c>
      <x:c r="S89" s="108" t="str">
        <x:v>83_dynamic_nonresonant_shaft_torque (Dynamic); 85_dynamic_resonant_shaft_frequency_domain (Dynamic)</x:v>
      </x:c>
      <x:c r="T89" s="108" t="str">
        <x:v>PASS - source/page/clause/meaning/category reverified</x:v>
      </x:c>
      <x:c r="U89" s="108" t="str">
        <x:v>LOCKED - extraction reverified</x:v>
      </x:c>
      <x:c r="V89" s="112" t="str">
        <x:v>Second-pass extraction lock covers source identity, physical PDF page span, section/clause, ASCII transcription, normalized meaning, and verification category. SHACL shapes remain a separate implementation artifact.</x:v>
      </x:c>
      <x:c r="W89" s="112" t="str">
        <x:v>https://www.finlex.fi/en/authorities/regulations/traficom-transport-maritime/2021/47238</x:v>
      </x:c>
      <x:c r="X89" s="112" t="str">
        <x:v>No explicit data variable identified</x:v>
      </x:c>
      <x:c r="Y89" s="112" t="str">
        <x:v>Analysis-input/result constraint; encode values with units and retain clause/page provenance.</x:v>
      </x:c>
    </x:row>
    <x:row r="90" ht="92" customHeight="1">
      <x:c r="A90" s="108" t="str">
        <x:v>TRF-095</x:v>
      </x:c>
      <x:c r="B90" s="108" t="str">
        <x:v>Ice Class Regulations and the Application Thereof</x:v>
      </x:c>
      <x:c r="C90" s="108" t="str">
        <x:v>TRAFICOM/68863/03.04.01.00/2021</x:v>
      </x:c>
      <x:c r="D90" s="163" t="n">
        <x:v>40</x:v>
      </x:c>
      <x:c r="E90" s="108" t="str">
        <x:v>Design torque for shaft lines having resonances</x:v>
      </x:c>
      <x:c r="F90" s="108" t="str">
        <x:v>6.5.3.4</x:v>
      </x:c>
      <x:c r="G90" s="113" t="str">
        <x:v>Dynamic</x:v>
      </x:c>
      <x:c r="H90" s="109"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c r="I90" s="110" t="str">
        <x:v>For transient shaft-line analysis in the time domain, the propeller ice torque excitation is a sequence of half-sine blade impacts whose frequency follows propeller rotational speed. The torque from one blade impact is Q(phi) = C_q*Q_max*sin(phi*(180/alpha_i)) for 0 &lt;= phi &lt;= alpha_i plus integer revolutions (6.29); otherwise Q(phi) = 0 (6.30). C_q and alpha_i are given in Table 6-11.</x:v>
      </x:c>
      <x:c r="J90" s="111" t="str">
        <x:v>Qmax_kNm</x:v>
      </x:c>
      <x:c r="K90" s="111" t="str">
        <x:v>Qmax_kNm</x:v>
      </x:c>
      <x:c r="L90" s="114" t="str">
        <x:v>Medium</x:v>
      </x:c>
      <x:c r="M90" s="111" t="str">
        <x:v>Analysis-input/result constraint</x:v>
      </x:c>
      <x:c r="N90" s="108" t="str">
        <x:v>Verification depends on operational, time-stamped, route-dependent, monitored, or simulation-response information.</x:v>
      </x:c>
      <x:c r="O90" s="113" t="str">
        <x:v>No</x:v>
      </x:c>
      <x:c r="P90" s="113" t="str">
        <x:v>Included - source reverified and locked</x:v>
      </x:c>
      <x:c r="Q90" s="108" t="str">
        <x:v>LOCK-2026-08-10: No source, page, clause, category, or normalized-meaning correction was required. Source wording was checked against the supplied PDF; equation notation is ASCII-linearized.</x:v>
      </x:c>
      <x:c r="R90" s="108" t="str">
        <x:v>LOCK-2026-08-11-R2 | source_pdf=TRAFICOM.pdf | source_sha256=8ab845347770c253433b8bad9b1fbe5d6ac71b3d07a1a28dae8a32cfde732ddc | physical_pdf_page=40 | section=Design torque for shaft lines having resonances | clause=6.5.3.4 | checks=independent_full_text_page_layout; numbers_units_operators_equations; normalized_rule_meaning; five_category_classification | status=LOCKED</x:v>
      </x:c>
      <x:c r="S90" s="108" t="str">
        <x:v>59_complex_propeller_torque (Complex); 60_complex_propeller_diameter (Complex)</x:v>
      </x:c>
      <x:c r="T90" s="108" t="str">
        <x:v>PASS - source/page/clause/meaning/category reverified</x:v>
      </x:c>
      <x:c r="U90" s="108" t="str">
        <x:v>LOCKED - extraction reverified</x:v>
      </x:c>
      <x:c r="V90" s="112" t="str">
        <x:v>Second-pass extraction lock covers source identity, physical PDF page span, section/clause, ASCII transcription, normalized meaning, and verification category. SHACL shapes remain a separate implementation artifact.</x:v>
      </x:c>
      <x:c r="W90" s="112" t="str">
        <x:v>https://www.finlex.fi/en/authorities/regulations/traficom-transport-maritime/2021/47238</x:v>
      </x:c>
      <x:c r="X90" s="112" t="str">
        <x:v>Qmax_kNm</x:v>
      </x:c>
      <x:c r="Y90" s="112" t="str">
        <x:v>Analysis-input/result constraint; encode values with units and retain clause/page provenance.</x:v>
      </x:c>
    </x:row>
    <x:row r="91" ht="92" customHeight="1">
      <x:c r="A91" s="108" t="str">
        <x:v>TRF-096</x:v>
      </x:c>
      <x:c r="B91" s="108" t="str">
        <x:v>Ice Class Regulations and the Application Thereof</x:v>
      </x:c>
      <x:c r="C91" s="108" t="str">
        <x:v>TRAFICOM/68863/03.04.01.00/2021</x:v>
      </x:c>
      <x:c r="D91" s="163" t="n">
        <x:v>41</x:v>
      </x:c>
      <x:c r="E91" s="108" t="str">
        <x:v>Design torque for shaft lines having resonances</x:v>
      </x:c>
      <x:c r="F91" s="108" t="str">
        <x:v>6.5.3.4</x:v>
      </x:c>
      <x:c r="G91" s="113" t="str">
        <x:v>Static Calculation</x:v>
      </x:c>
      <x:c r="H91" s="109" t="str">
        <x:v>If a speed drop occurs until the main engine is at a standstill, this indicates that the engine may not be sufficiently powered for the intended service task. For the consideration of loads, the maximum occurring torque during the speed drop process must be used.</x:v>
      </x:c>
      <x:c r="I91" s="110" t="str">
        <x:v>If a speed drop occurs until the main engine is at a standstill, this indicates that the engine may not be sufficiently powered for the intended service task. For the consideration of loads, the maximum occurring torque during the speed drop process must be used.</x:v>
      </x:c>
      <x:c r="J91" s="111" t="str">
        <x:v>No explicit data variable identified</x:v>
      </x:c>
      <x:c r="K91" s="111" t="str">
        <x:v>No direct AnchorMap term found; propose a code-safe alias during SHACL design</x:v>
      </x:c>
      <x:c r="L91" s="114" t="str">
        <x:v>High</x:v>
      </x:c>
      <x:c r="M91" s="111" t="str">
        <x:v>Formula-derived constraint</x:v>
      </x:c>
      <x:c r="N91" s="108" t="str">
        <x:v>Deterministic calculation from static design inputs followed by a numeric or logical comparison.</x:v>
      </x:c>
      <x:c r="O91" s="113" t="str">
        <x:v>No</x:v>
      </x:c>
      <x:c r="P91" s="113" t="str">
        <x:v>Included - source reverified and locked</x:v>
      </x:c>
      <x:c r="Q91" s="108" t="str">
        <x:v>LOCK-2026-08-10: No source, page, clause, category, or normalized-meaning correction was required. Source wording was checked against the supplied PDF; equation notation is ASCII-linearized.</x:v>
      </x:c>
      <x:c r="R91" s="108" t="str">
        <x:v>LOCK-2026-08-11-R2 | source_pdf=TRAFICOM.pdf | source_sha256=8ab845347770c253433b8bad9b1fbe5d6ac71b3d07a1a28dae8a32cfde732ddc | physical_pdf_page=41 | section=Design torque for shaft lines having resonances | clause=6.5.3.4 | checks=independent_full_text_page_layout; numbers_units_operators_equations; normalized_rule_meaning; five_category_classification | status=LOCKED</x:v>
      </x:c>
      <x:c r="S91" s="108" t="str">
        <x:v>18_static_rudder_actual_speed_override (Static)</x:v>
      </x:c>
      <x:c r="T91" s="108" t="str">
        <x:v>PASS - source/page/clause/meaning/category reverified</x:v>
      </x:c>
      <x:c r="U91" s="108" t="str">
        <x:v>LOCKED - extraction reverified</x:v>
      </x:c>
      <x:c r="V91" s="112" t="str">
        <x:v>Second-pass extraction lock covers source identity, physical PDF page span, section/clause, ASCII transcription, normalized meaning, and verification category. SHACL shapes remain a separate implementation artifact.</x:v>
      </x:c>
      <x:c r="W91" s="112" t="str">
        <x:v>https://www.finlex.fi/en/authorities/regulations/traficom-transport-maritime/2021/47238</x:v>
      </x:c>
      <x:c r="X91" s="112" t="str">
        <x:v>No explicit data variable identified</x:v>
      </x:c>
      <x:c r="Y91" s="112" t="str">
        <x:v>Formula-derived constraint; encode values with units and retain clause/page provenance.</x:v>
      </x:c>
    </x:row>
    <x:row r="92" ht="92" customHeight="1">
      <x:c r="A92" s="108" t="str">
        <x:v>TRF-097</x:v>
      </x:c>
      <x:c r="B92" s="108" t="str">
        <x:v>Ice Class Regulations and the Application Thereof</x:v>
      </x:c>
      <x:c r="C92" s="108" t="str">
        <x:v>TRAFICOM/68863/03.04.01.00/2021</x:v>
      </x:c>
      <x:c r="D92" s="163" t="str">
        <x:v>43-44</x:v>
      </x:c>
      <x:c r="E92" s="108" t="str">
        <x:v>Design torque for shaft lines having resonances</x:v>
      </x:c>
      <x:c r="F92" s="108" t="str">
        <x:v>6.5.3.4</x:v>
      </x:c>
      <x:c r="G92" s="113" t="str">
        <x:v>Dynamic</x:v>
      </x:c>
      <x:c r="H92" s="109" t="str">
        <x:v>For a time-domain calculation, if the simulated response torque does not include both the engine mean torque and the propeller mean torque, obtain the response torque using Q_peak = Q_emax + Q_rtd (6.32), where Q_rtd is the maximum simulated torque from the time-domain analysis.</x:v>
      </x:c>
      <x:c r="I92" s="110" t="str">
        <x:v>If the time-domain response does not already include the engine and propeller mean torques, compute Q_peak = Q_emax + Q_rtd.</x:v>
      </x:c>
      <x:c r="J92" s="111" t="str">
        <x:v>Qr_kNm</x:v>
      </x:c>
      <x:c r="K92" s="111" t="str">
        <x:v>Qr_kNm</x:v>
      </x:c>
      <x:c r="L92" s="114" t="str">
        <x:v>Medium</x:v>
      </x:c>
      <x:c r="M92" s="111" t="str">
        <x:v>Analysis-input/result constraint</x:v>
      </x:c>
      <x:c r="N92" s="108" t="str">
        <x:v>Verification depends on operational, time-stamped, route-dependent, monitored, or simulation-response information.</x:v>
      </x:c>
      <x:c r="O92" s="113" t="str">
        <x:v>No</x:v>
      </x:c>
      <x:c r="P92" s="113" t="str">
        <x:v>Included - source reverified and locked</x:v>
      </x:c>
      <x:c r="Q92" s="108" t="str">
        <x:v>LOCK-2026-08-10: No source, page, clause, category, or normalized-meaning correction was required. Source wording was checked against the supplied PDF; equation notation is ASCII-linearized. | LOCK-2026-08-11-R2: Corrected the physical page trace because the definition of Q_rtd continues onto PDF page 44.</x:v>
      </x:c>
      <x:c r="R92" s="108" t="str">
        <x:v>LOCK-2026-08-11-R2 | source_pdf=TRAFICOM.pdf | source_sha256=8ab845347770c253433b8bad9b1fbe5d6ac71b3d07a1a28dae8a32cfde732ddc | physical_pdf_page=43-44 | section=Design torque for shaft lines having resonances | clause=6.5.3.4 | checks=independent_full_text_page_layout; numbers_units_operators_equations; normalized_rule_meaning; five_category_classification | status=LOCKED</x:v>
      </x:c>
      <x:c r="S92" s="108" t="str">
        <x:v>60_complex_propeller_diameter (Complex)</x:v>
      </x:c>
      <x:c r="T92" s="108" t="str">
        <x:v>PASS - source/page/clause/meaning/category reverified</x:v>
      </x:c>
      <x:c r="U92" s="108" t="str">
        <x:v>LOCKED - extraction reverified</x:v>
      </x:c>
      <x:c r="V92" s="112" t="str">
        <x:v>Second-pass extraction lock covers source identity, physical PDF page span, section/clause, ASCII transcription, normalized meaning, and verification category. SHACL shapes remain a separate implementation artifact.</x:v>
      </x:c>
      <x:c r="W92" s="112" t="str">
        <x:v>https://www.finlex.fi/en/authorities/regulations/traficom-transport-maritime/2021/47238</x:v>
      </x:c>
      <x:c r="X92" s="112" t="str">
        <x:v>Qr_kNm</x:v>
      </x:c>
      <x:c r="Y92" s="112" t="str">
        <x:v>Analysis-input/result constraint; encode values with units and retain clause/page provenance.</x:v>
      </x:c>
    </x:row>
    <x:row r="93" ht="92" customHeight="1">
      <x:c r="A93" s="108" t="str">
        <x:v>TRF-098</x:v>
      </x:c>
      <x:c r="B93" s="108" t="str">
        <x:v>Ice Class Regulations and the Application Thereof</x:v>
      </x:c>
      <x:c r="C93" s="108" t="str">
        <x:v>TRAFICOM/68863/03.04.01.00/2021</x:v>
      </x:c>
      <x:c r="D93" s="163" t="n">
        <x:v>44</x:v>
      </x:c>
      <x:c r="E93" s="108" t="str">
        <x:v>Design torque for shaft lines having resonances</x:v>
      </x:c>
      <x:c r="F93" s="108" t="str">
        <x:v>6.5.3.4</x:v>
      </x:c>
      <x:c r="G93" s="113" t="str">
        <x:v>Dynamic</x:v>
      </x:c>
      <x:c r="H93" s="109" t="str">
        <x:v>For frequency-domain calculations, blade-order and twice-blade-order excitation may be used. The propeller ice torque is Q_F(phi) = Q_max*(C_q0 + C_q1*sin(Z*E_0*phi + alpha_1) + C_q2*sin(2*Z*E_0*phi + alpha_2)) [kNm] (6.33). The coefficients and excitation cases are given in Table 6-12.</x:v>
      </x:c>
      <x:c r="I93" s="110" t="str">
        <x:v>For frequency-domain calculations, blade-order and twice-blade-order excitation may be used. The propeller ice torque is Q_F(phi) = Q_max*(C_q0 + C_q1*sin(Z*E_0*phi + alpha_1) + C_q2*sin(2*Z*E_0*phi + alpha_2)) [kNm] (6.33). The coefficients and excitation cases are given in Table 6-12.</x:v>
      </x:c>
      <x:c r="J93" s="111" t="str">
        <x:v>Qmax_kNm</x:v>
      </x:c>
      <x:c r="K93" s="111" t="str">
        <x:v>Qmax_kNm</x:v>
      </x:c>
      <x:c r="L93" s="114" t="str">
        <x:v>Medium</x:v>
      </x:c>
      <x:c r="M93" s="111" t="str">
        <x:v>Analysis-input/result constraint</x:v>
      </x:c>
      <x:c r="N93" s="108" t="str">
        <x:v>Verification depends on operational, time-stamped, route-dependent, monitored, or simulation-response information.</x:v>
      </x:c>
      <x:c r="O93" s="113" t="str">
        <x:v>No</x:v>
      </x:c>
      <x:c r="P93" s="113" t="str">
        <x:v>Included - source reverified and locked</x:v>
      </x:c>
      <x:c r="Q93" s="108" t="str">
        <x:v>LOCK-2026-08-10: No source, page, clause, category, or normalized-meaning correction was required. Source wording was checked against the supplied PDF; equation notation is ASCII-linearized.</x:v>
      </x:c>
      <x:c r="R93" s="108" t="str">
        <x:v>LOCK-2026-08-11-R2 | source_pdf=TRAFICOM.pdf | source_sha256=8ab845347770c253433b8bad9b1fbe5d6ac71b3d07a1a28dae8a32cfde732ddc | physical_pdf_page=44 | section=Design torque for shaft lines having resonances | clause=6.5.3.4 | checks=independent_full_text_page_layout; numbers_units_operators_equations; normalized_rule_meaning; five_category_classification | status=LOCKED</x:v>
      </x:c>
      <x:c r="S93" s="108" t="str">
        <x:v>60_complex_propeller_diameter (Complex)</x:v>
      </x:c>
      <x:c r="T93" s="108" t="str">
        <x:v>PASS - source/page/clause/meaning/category reverified</x:v>
      </x:c>
      <x:c r="U93" s="108" t="str">
        <x:v>LOCKED - extraction reverified</x:v>
      </x:c>
      <x:c r="V93" s="112" t="str">
        <x:v>Second-pass extraction lock covers source identity, physical PDF page span, section/clause, ASCII transcription, normalized meaning, and verification category. SHACL shapes remain a separate implementation artifact.</x:v>
      </x:c>
      <x:c r="W93" s="112" t="str">
        <x:v>https://www.finlex.fi/en/authorities/regulations/traficom-transport-maritime/2021/47238</x:v>
      </x:c>
      <x:c r="X93" s="112" t="str">
        <x:v>Qmax_kNm</x:v>
      </x:c>
      <x:c r="Y93" s="112" t="str">
        <x:v>Analysis-input/result constraint; encode values with units and retain clause/page provenance.</x:v>
      </x:c>
    </x:row>
    <x:row r="94" ht="92" customHeight="1">
      <x:c r="A94" s="108" t="str">
        <x:v>TRF-099</x:v>
      </x:c>
      <x:c r="B94" s="108" t="str">
        <x:v>Ice Class Regulations and the Application Thereof</x:v>
      </x:c>
      <x:c r="C94" s="108" t="str">
        <x:v>TRAFICOM/68863/03.04.01.00/2021</x:v>
      </x:c>
      <x:c r="D94" s="163" t="n">
        <x:v>45</x:v>
      </x:c>
      <x:c r="E94" s="108" t="str">
        <x:v>Design torque for shaft lines having resonances</x:v>
      </x:c>
      <x:c r="F94" s="108" t="str">
        <x:v>6.5.3.4</x:v>
      </x:c>
      <x:c r="G94" s="113" t="str">
        <x:v>Dynamic</x:v>
      </x:c>
      <x:c r="H94" s="109" t="str">
        <x:v>The design torque for a frequency-domain excitation case must be obtained using Q_peak = Q_emax + Q_vib + (Q_max_n*C_q0)*(I_e/I_t) + Q_rf1 + Q_rf2 (6.34). Q_rf1 and Q_rf2 are the first- and second-order torsional responses. If Q_emax is unknown, use Table 6-10. Scale every torque to the shaft revolutions of the component in question.</x:v>
      </x:c>
      <x:c r="I94" s="110" t="str">
        <x:v>For each frequency-domain excitation case, compute Q_peak = Q_emax + Q_vib + (Q_max_n*C_q0)*(I_e/I_t) + Q_rf1 + Q_rf2 and scale all torque values to the component shaft speed.</x:v>
      </x:c>
      <x:c r="J94" s="111" t="str">
        <x:v>inertiaRatio_Ie_It</x:v>
      </x:c>
      <x:c r="K94" s="111" t="str">
        <x:v>inertiaRatio_Ie_It</x:v>
      </x:c>
      <x:c r="L94" s="114" t="str">
        <x:v>Medium</x:v>
      </x:c>
      <x:c r="M94" s="111" t="str">
        <x:v>Analysis-input/result constraint</x:v>
      </x:c>
      <x:c r="N94" s="108" t="str">
        <x:v>Verification depends on operational, time-stamped, route-dependent, monitored, or simulation-response information.</x:v>
      </x:c>
      <x:c r="O94" s="113" t="str">
        <x:v>No</x:v>
      </x:c>
      <x:c r="P94" s="113" t="str">
        <x:v>Included - source reverified and locked</x:v>
      </x:c>
      <x:c r="Q94" s="108" t="str">
        <x:v>LOCK-2026-08-10: No source, page, clause, category, or normalized-meaning correction was required. Source wording was checked against the supplied PDF; equation notation is ASCII-linearized.</x:v>
      </x:c>
      <x:c r="R94" s="108" t="str">
        <x:v>LOCK-2026-08-11-R2 | source_pdf=TRAFICOM.pdf | source_sha256=8ab845347770c253433b8bad9b1fbe5d6ac71b3d07a1a28dae8a32cfde732ddc | physical_pdf_page=45 | section=Design torque for shaft lines having resonances | clause=6.5.3.4 | checks=independent_full_text_page_layout; numbers_units_operators_equations; normalized_rule_meaning; five_category_classification | status=LOCKED</x:v>
      </x:c>
      <x:c r="S94" s="108" t="str">
        <x:v>46_complex_design_ice_pressure (Complex); 59_complex_propeller_torque (Complex); 60_complex_propeller_diameter (Complex)</x:v>
      </x:c>
      <x:c r="T94" s="108" t="str">
        <x:v>PASS - source/page/clause/meaning/category reverified</x:v>
      </x:c>
      <x:c r="U94" s="108" t="str">
        <x:v>LOCKED - extraction reverified</x:v>
      </x:c>
      <x:c r="V94" s="112" t="str">
        <x:v>Second-pass extraction lock covers source identity, physical PDF page span, section/clause, ASCII transcription, normalized meaning, and verification category. SHACL shapes remain a separate implementation artifact.</x:v>
      </x:c>
      <x:c r="W94" s="112" t="str">
        <x:v>https://www.finlex.fi/en/authorities/regulations/traficom-transport-maritime/2021/47238</x:v>
      </x:c>
      <x:c r="X94" s="112" t="str">
        <x:v>inertiaRatio_Ie_It</x:v>
      </x:c>
      <x:c r="Y94" s="112" t="str">
        <x:v>Analysis-input/result constraint; encode values with units and retain clause/page provenance.</x:v>
      </x:c>
    </x:row>
    <x:row r="95" ht="92" customHeight="1">
      <x:c r="A95" s="108" t="str">
        <x:v>TRF-100</x:v>
      </x:c>
      <x:c r="B95" s="108" t="str">
        <x:v>Ice Class Regulations and the Application Thereof</x:v>
      </x:c>
      <x:c r="C95" s="108" t="str">
        <x:v>TRAFICOM/68863/03.04.01.00/2021</x:v>
      </x:c>
      <x:c r="D95" s="163" t="n">
        <x:v>45</x:v>
      </x:c>
      <x:c r="E95" s="108" t="str">
        <x:v>Design torque for shaft lines having resonances</x:v>
      </x:c>
      <x:c r="F95" s="108" t="str">
        <x:v>6.5.3.4</x:v>
      </x:c>
      <x:c r="G95" s="113" t="str">
        <x:v>Dynamic</x:v>
      </x:c>
      <x:c r="H95" s="109" t="str">
        <x:v>The aim of time domain torsional vibration simulations is to estimate the extreme torsional load for the ship's lifespan. The simulation model can be taken from the normal lumped mass elastic torsional vibration model, including damping. For a time domain analysis, the model should include the ice excitation at the propeller, other relevant excitations and the mean torques provided by the prime mover and hydrodynamic mean torque in the propeller. The calculations should cover variation of phase between the ice excitation and prime mover excitation. This is extremely relevant to propulsion lines with directly driven combustion engines. Time domain calculations shall be calculated for the MCR condition, MCR bollard conditions and for resonant speed, so that the resonant vibration responses can be obtained. For frequency domain calculations, the load should be estimated as a Fourier component analysis of the continuous sequence of half sine load sequences. First and second order blade components should be used for excitation.</x:v>
      </x:c>
      <x:c r="I95" s="110" t="str">
        <x:v>For time-domain torsional analysis, the model shall include propeller ice excitation, other relevant excitations, prime-mover mean torque, hydrodynamic propeller mean torque, damping, and variation of phase between ice and prime-mover excitations. The analysis shall cover MCR, MCR bollard, and resonant speeds. For frequency-domain analysis, derive Fourier components from the continuous half-sine sequence and include first- and second-order blade excitation components.</x:v>
      </x:c>
      <x:c r="J95" s="111" t="str">
        <x:v>No explicit data variable identified</x:v>
      </x:c>
      <x:c r="K95" s="111" t="str">
        <x:v>No direct AnchorMap term found; propose a code-safe alias during SHACL design</x:v>
      </x:c>
      <x:c r="L95" s="114" t="str">
        <x:v>Medium</x:v>
      </x:c>
      <x:c r="M95" s="111" t="str">
        <x:v>Analysis-input/result constraint</x:v>
      </x:c>
      <x:c r="N95" s="108" t="str">
        <x:v>Verification depends on operational, time-stamped, route-dependent, monitored, or simulation-response information.</x:v>
      </x:c>
      <x:c r="O95" s="113" t="str">
        <x:v>No</x:v>
      </x:c>
      <x:c r="P95" s="113" t="str">
        <x:v>Included - source reverified and locked</x:v>
      </x:c>
      <x:c r="Q95" s="108" t="str">
        <x:v>LOCK-2026-08-10: Expanded the normalized rule to include the complete time-domain and frequency-domain analysis scope. Final source lock check completed against the supplied PDF; equation notation is ASCII-linearized.</x:v>
      </x:c>
      <x:c r="R95" s="108" t="str">
        <x:v>LOCK-2026-08-11-R2 | source_pdf=TRAFICOM.pdf | source_sha256=8ab845347770c253433b8bad9b1fbe5d6ac71b3d07a1a28dae8a32cfde732ddc | physical_pdf_page=45 | section=Design torque for shaft lines having resonances | clause=6.5.3.4 | checks=independent_full_text_page_layout; numbers_units_operators_equations; normalized_rule_meaning; five_category_classification | status=LOCKED</x:v>
      </x:c>
      <x:c r="S95" s="108" t="str">
        <x:v>84_dynamic_resonant_shaft_time_domain (Dynamic); 59_complex_propeller_torque (Complex); 60_complex_propeller_diameter (Complex)</x:v>
      </x:c>
      <x:c r="T95" s="108" t="str">
        <x:v>PASS - source/page/clause/meaning/category reverified</x:v>
      </x:c>
      <x:c r="U95" s="108" t="str">
        <x:v>LOCKED - extraction reverified</x:v>
      </x:c>
      <x:c r="V95" s="112" t="str">
        <x:v>Second-pass extraction lock covers source identity, physical PDF page span, section/clause, ASCII transcription, normalized meaning, and verification category. SHACL shapes remain a separate implementation artifact.</x:v>
      </x:c>
      <x:c r="W95" s="112" t="str">
        <x:v>https://www.finlex.fi/en/authorities/regulations/traficom-transport-maritime/2021/47238</x:v>
      </x:c>
      <x:c r="X95" s="112" t="str">
        <x:v>No explicit data variable identified</x:v>
      </x:c>
      <x:c r="Y95" s="112" t="str">
        <x:v>Analysis-input/result constraint; encode values with units and retain clause/page provenance.</x:v>
      </x:c>
    </x:row>
    <x:row r="96" ht="92" customHeight="1">
      <x:c r="A96" s="108" t="str">
        <x:v>TRF-101</x:v>
      </x:c>
      <x:c r="B96" s="108" t="str">
        <x:v>Ice Class Regulations and the Application Thereof</x:v>
      </x:c>
      <x:c r="C96" s="108" t="str">
        <x:v>TRAFICOM/68863/03.04.01.00/2021</x:v>
      </x:c>
      <x:c r="D96" s="163" t="str">
        <x:v>45-46</x:v>
      </x:c>
      <x:c r="E96" s="108" t="str">
        <x:v>Bending force, Fex</x:v>
      </x:c>
      <x:c r="F96" s="108" t="str">
        <x:v>6.5.4.1</x:v>
      </x:c>
      <x:c r="G96" s="113" t="str">
        <x:v>Static Calculation</x:v>
      </x:c>
      <x:c r="H96" s="109" t="str">
        <x:v>The ultimate load resulting from blade failure by plastic bending around the blade root shall be calculated using F_ex = 300*c*t^2*sigma_ref1/(0.8*D - 2*r) [kN] (6.35), or by an appropriate stress analysis reflecting the non-linear plastic material behaviour of the actual blade. The load is assumed to act at radius 0.8R in the weakest blade direction. A blade is regarded as failed if the tip offset exceeds 10% of propeller diameter D. Use sigma_ref1 = 0.6*sigma_0.2 + 0.4*sigma_u [MPa], with c, t and r representing the actual chord length, maximum thickness, and cylindrical-root radius of the weakest section outside the root fillet.</x:v>
      </x:c>
      <x:c r="I96" s="110"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J96" s="111" t="str">
        <x:v>D_m</x:v>
      </x:c>
      <x:c r="K96" s="111" t="str">
        <x:v>D_m</x:v>
      </x:c>
      <x:c r="L96" s="114" t="str">
        <x:v>Medium</x:v>
      </x:c>
      <x:c r="M96" s="111" t="str">
        <x:v>Formula-derived constraint</x:v>
      </x:c>
      <x:c r="N96" s="108" t="str">
        <x:v>Deterministic calculation from static design inputs followed by a numeric or logical comparison.</x:v>
      </x:c>
      <x:c r="O96" s="113" t="str">
        <x:v>No</x:v>
      </x:c>
      <x:c r="P96" s="113" t="str">
        <x:v>Included - source reverified and locked</x:v>
      </x:c>
      <x:c r="Q96" s="108" t="str">
        <x:v>LOCK-2026-08-10: Restored equation 6.35 and the blade-failure criterion; replaced an unrelated propeller-diameter statement. Final source lock check completed against the supplied PDF; equation notation is ASCII-linearized. | LOCK-2026-08-11-R2: Corrected the physical page trace because the blade-failure equation and variable definitions continue onto PDF page 46.</x:v>
      </x:c>
      <x:c r="R96" s="108" t="str">
        <x:v>LOCK-2026-08-11-R2 | source_pdf=TRAFICOM.pdf | source_sha256=8ab845347770c253433b8bad9b1fbe5d6ac71b3d07a1a28dae8a32cfde732ddc | physical_pdf_page=45-46 | section=Bending force, Fex | clause=6.5.4.1 | checks=independent_full_text_page_layout; numbers_units_operators_equations; normalized_rule_meaning; five_category_classification | status=LOCKED</x:v>
      </x:c>
      <x:c r="S96" s="108" t="str">
        <x:v>60_complex_propeller_diameter (Complex); 88_dynamic_blade_failure_force (Dynamic); 53_complex_web_frame_ice_load (Complex)</x:v>
      </x:c>
      <x:c r="T96" s="108" t="str">
        <x:v>PASS - source/page/clause/meaning/category reverified</x:v>
      </x:c>
      <x:c r="U96" s="108" t="str">
        <x:v>LOCKED - extraction reverified</x:v>
      </x:c>
      <x:c r="V96" s="112" t="str">
        <x:v>Second-pass extraction lock covers source identity, physical PDF page span, section/clause, ASCII transcription, normalized meaning, and verification category. SHACL shapes remain a separate implementation artifact.</x:v>
      </x:c>
      <x:c r="W96" s="112" t="str">
        <x:v>https://www.finlex.fi/en/authorities/regulations/traficom-transport-maritime/2021/47238</x:v>
      </x:c>
      <x:c r="X96" s="112" t="str">
        <x:v>D_m</x:v>
      </x:c>
      <x:c r="Y96" s="112" t="str">
        <x:v>Formula-derived constraint; encode values with units and retain clause/page provenance.</x:v>
      </x:c>
    </x:row>
    <x:row r="97" ht="92" customHeight="1">
      <x:c r="A97" s="108" t="str">
        <x:v>TRF-102</x:v>
      </x:c>
      <x:c r="B97" s="108" t="str">
        <x:v>Ice Class Regulations and the Application Thereof</x:v>
      </x:c>
      <x:c r="C97" s="108" t="str">
        <x:v>TRAFICOM/68863/03.04.01.00/2021</x:v>
      </x:c>
      <x:c r="D97" s="163" t="n">
        <x:v>46</x:v>
      </x:c>
      <x:c r="E97" s="108" t="str">
        <x:v>Spindle torque, Qsex</x:v>
      </x:c>
      <x:c r="F97" s="108" t="str">
        <x:v>6.5.4.2</x:v>
      </x:c>
      <x:c r="G97" s="113" t="str">
        <x:v>Static Calculation</x:v>
      </x:c>
      <x:c r="H97" s="109" t="str">
        <x:v>The maximum spindle torque due to a blade-failure load acting at 0.8R shall be determined by appropriate stress analysis or Q_sex = max(C_LE0.8, 0.8*C_TE0.8)*C_spex*F_ex [kNm] (6.36), where C_spex = C_sp*C_fex = 0.7*(1 - ((4*EAR)/Z)^3) (6.37). If C_spex is below 0.3, a value of 0.3 shall be used. C_LE0.8 and C_TE0.8 are the leading-edge and trailing-edge portions of chord length at 0.8R.</x:v>
      </x:c>
      <x:c r="I97" s="110" t="str">
        <x:v>Compute C_spex = max(0.3, 0.7*(1 - ((4*EAR)/Z)^3)) and Q_sex_kNm = max(C_LE0.8, 0.8*C_TE0.8)*C_spex*F_ex_kN, unless an appropriate stress analysis directly determines the maximum spindle torque.</x:v>
      </x:c>
      <x:c r="J97" s="111" t="str">
        <x:v>Qsmax_kNm, Fex_kN</x:v>
      </x:c>
      <x:c r="K97" s="111" t="str">
        <x:v>Qsmax_kNm, Fex_kN</x:v>
      </x:c>
      <x:c r="L97" s="114" t="str">
        <x:v>Medium</x:v>
      </x:c>
      <x:c r="M97" s="111" t="str">
        <x:v>Formula-derived constraint</x:v>
      </x:c>
      <x:c r="N97" s="108" t="str">
        <x:v>Deterministic calculation from static design inputs followed by a numeric or logical comparison.</x:v>
      </x:c>
      <x:c r="O97" s="113" t="str">
        <x:v>No</x:v>
      </x:c>
      <x:c r="P97" s="113" t="str">
        <x:v>Included - source reverified and locked</x:v>
      </x:c>
      <x:c r="Q97" s="108" t="str">
        <x:v>LOCK-2026-08-10: Restored the mandatory minimum C_spex = 0.3 and classified the deterministic alternative as Static Calculation. Final source lock check completed against the supplied PDF; equation notation is ASCII-linearized.</x:v>
      </x:c>
      <x:c r="R97" s="108" t="str">
        <x:v>LOCK-2026-08-11-R2 | source_pdf=TRAFICOM.pdf | source_sha256=8ab845347770c253433b8bad9b1fbe5d6ac71b3d07a1a28dae8a32cfde732ddc | physical_pdf_page=46 | section=Spindle torque, Qsex | clause=6.5.4.2 | checks=independent_full_text_page_layout; numbers_units_operators_equations; normalized_rule_meaning; five_category_classification | status=LOCKED</x:v>
      </x:c>
      <x:c r="S97" s="108" t="str">
        <x:v>89_dynamic_blade_failure_spindle_torque (Dynamic); 60_complex_propeller_diameter (Complex)</x:v>
      </x:c>
      <x:c r="T97" s="108" t="str">
        <x:v>PASS - source/page/clause/meaning/category reverified</x:v>
      </x:c>
      <x:c r="U97" s="108" t="str">
        <x:v>LOCKED - extraction reverified</x:v>
      </x:c>
      <x:c r="V97" s="112" t="str">
        <x:v>Second-pass extraction lock covers source identity, physical PDF page span, section/clause, ASCII transcription, normalized meaning, and verification category. SHACL shapes remain a separate implementation artifact.</x:v>
      </x:c>
      <x:c r="W97" s="112" t="str">
        <x:v>https://www.finlex.fi/en/authorities/regulations/traficom-transport-maritime/2021/47238</x:v>
      </x:c>
      <x:c r="X97" s="112" t="str">
        <x:v>Qsmax_kNm, Fex_kN</x:v>
      </x:c>
      <x:c r="Y97" s="112" t="str">
        <x:v>Formula-derived constraint; encode values with units and retain clause/page provenance.</x:v>
      </x:c>
    </x:row>
    <x:row r="98" ht="92" customHeight="1">
      <x:c r="A98" s="108" t="str">
        <x:v>TRF-103</x:v>
      </x:c>
      <x:c r="B98" s="108" t="str">
        <x:v>Ice Class Regulations and the Application Thereof</x:v>
      </x:c>
      <x:c r="C98" s="108" t="str">
        <x:v>TRAFICOM/68863/03.04.01.00/2021</x:v>
      </x:c>
      <x:c r="D98" s="163" t="n">
        <x:v>46</x:v>
      </x:c>
      <x:c r="E98" s="108" t="str">
        <x:v>Spindle torque, Qsex</x:v>
      </x:c>
      <x:c r="F98" s="108" t="str">
        <x:v>6.5.4.2</x:v>
      </x:c>
      <x:c r="G98" s="113" t="str">
        <x:v>Complex</x:v>
      </x:c>
      <x:c r="H98" s="109"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I98" s="110" t="str">
        <x:v>Csp is a non-dimensional parameter taking account of the spindle arm Cfex is a non-dimensional parameter taking account of the reduction of the blade failure force at the location of the maximum spindle torque. If Cspex is below 0.3, a value of 0.3 shall to be used for Cspex. CLE0.8 is the leading edge portion of the chord length at 0.8R CTE0.8 is the trailing edge portion of the chord length at 0.8R.</x:v>
      </x:c>
      <x:c r="J98" s="111" t="str">
        <x:v>Qsmax_kNm</x:v>
      </x:c>
      <x:c r="K98" s="111" t="str">
        <x:v>Qsmax_kNm</x:v>
      </x:c>
      <x:c r="L98" s="114" t="str">
        <x:v>Medium</x:v>
      </x:c>
      <x:c r="M98" s="111" t="str">
        <x:v>Conditional/applicability constraint</x:v>
      </x:c>
      <x:c r="N98" s="108" t="str">
        <x:v>Verification requires linked conditions, external approval or evidence, an assessment, or a composite workflow.</x:v>
      </x:c>
      <x:c r="O98" s="113" t="str">
        <x:v>No</x:v>
      </x:c>
      <x:c r="P98" s="113" t="str">
        <x:v>Included - source reverified and locked</x:v>
      </x:c>
      <x:c r="Q98" s="108" t="str">
        <x:v>LOCK-2026-08-10: No source, page, clause, category, or normalized-meaning correction was required. Source wording was checked against the supplied PDF; equation notation is ASCII-linearized.</x:v>
      </x:c>
      <x:c r="R98" s="108" t="str">
        <x:v>LOCK-2026-08-11-R2 | source_pdf=TRAFICOM.pdf | source_sha256=8ab845347770c253433b8bad9b1fbe5d6ac71b3d07a1a28dae8a32cfde732ddc | physical_pdf_page=46 | section=Spindle torque, Qsex | clause=6.5.4.2 | checks=independent_full_text_page_layout; numbers_units_operators_equations; normalized_rule_meaning; five_category_classification | status=LOCKED</x:v>
      </x:c>
      <x:c r="S98" s="108" t="str">
        <x:v>89_dynamic_blade_failure_spindle_torque (Dynamic)</x:v>
      </x:c>
      <x:c r="T98" s="108" t="str">
        <x:v>PASS - source/page/clause/meaning/category reverified</x:v>
      </x:c>
      <x:c r="U98" s="108" t="str">
        <x:v>LOCKED - extraction reverified</x:v>
      </x:c>
      <x:c r="V98" s="112" t="str">
        <x:v>Second-pass extraction lock covers source identity, physical PDF page span, section/clause, ASCII transcription, normalized meaning, and verification category. SHACL shapes remain a separate implementation artifact.</x:v>
      </x:c>
      <x:c r="W98" s="112" t="str">
        <x:v>https://www.finlex.fi/en/authorities/regulations/traficom-transport-maritime/2021/47238</x:v>
      </x:c>
      <x:c r="X98" s="112" t="str">
        <x:v>Qsmax_kNm</x:v>
      </x:c>
      <x:c r="Y98" s="112" t="str">
        <x:v>Conditional/applicability constraint; encode values with units and retain clause/page provenance.</x:v>
      </x:c>
    </x:row>
    <x:row r="99" ht="92" customHeight="1">
      <x:c r="A99" s="108" t="str">
        <x:v>TRF-104</x:v>
      </x:c>
      <x:c r="B99" s="108" t="str">
        <x:v>Ice Class Regulations and the Application Thereof</x:v>
      </x:c>
      <x:c r="C99" s="108" t="str">
        <x:v>TRAFICOM/68863/03.04.01.00/2021</x:v>
      </x:c>
      <x:c r="D99" s="163" t="n">
        <x:v>47</x:v>
      </x:c>
      <x:c r="E99" s="108" t="str">
        <x:v>Design principle</x:v>
      </x:c>
      <x:c r="F99" s="108" t="str">
        <x:v>6.6.1</x:v>
      </x:c>
      <x:c r="G99" s="113" t="str">
        <x:v>Static</x:v>
      </x:c>
      <x:c r="H99" s="109" t="str">
        <x:v>The strength of the propulsion line shall be designed according to the pyramid strength principle. This means that the loss of the propeller blade shall not cause any significant damage to other propeller shaft line components.</x:v>
      </x:c>
      <x:c r="I99" s="110" t="str">
        <x:v>The strength of the propulsion line shall be designed according to the pyramid strength principle. This means that the loss of the propeller blade shall not cause any significant damage to other propeller shaft line components.</x:v>
      </x:c>
      <x:c r="J99" s="111" t="str">
        <x:v>No explicit data variable identified</x:v>
      </x:c>
      <x:c r="K99" s="111" t="str">
        <x:v>No direct AnchorMap term found; propose a code-safe alias during SHACL design</x:v>
      </x:c>
      <x:c r="L99" s="114" t="str">
        <x:v>High</x:v>
      </x:c>
      <x:c r="M99" s="111" t="str">
        <x:v>Direct property/presence constraint</x:v>
      </x:c>
      <x:c r="N99" s="108" t="str">
        <x:v>Direct verification of a stated property, document, presence condition, enumeration, applicability rule, prohibition, or fixed limit.</x:v>
      </x:c>
      <x:c r="O99" s="113" t="str">
        <x:v>No</x:v>
      </x:c>
      <x:c r="P99" s="113" t="str">
        <x:v>Included - source reverified and locked</x:v>
      </x:c>
      <x:c r="Q99" s="108" t="str">
        <x:v>LOCK-2026-08-10: No source, page, clause, category, or normalized-meaning correction was required. Source wording was checked against the supplied PDF; equation notation is ASCII-linearized.</x:v>
      </x:c>
      <x:c r="R99" s="108" t="str">
        <x:v>LOCK-2026-08-11-R2 | source_pdf=TRAFICOM.pdf | source_sha256=8ab845347770c253433b8bad9b1fbe5d6ac71b3d07a1a28dae8a32cfde732ddc | physical_pdf_page=47 | section=Design principle | clause=6.6.1 | checks=independent_full_text_page_layout; numbers_units_operators_equations; normalized_rule_meaning; five_category_classification | status=LOCKED</x:v>
      </x:c>
      <x:c r="S99" s="108" t="str">
        <x:v>60_complex_propeller_diameter (Complex)</x:v>
      </x:c>
      <x:c r="T99" s="108" t="str">
        <x:v>PASS - source/page/clause/meaning/category reverified</x:v>
      </x:c>
      <x:c r="U99" s="108" t="str">
        <x:v>LOCKED - extraction reverified</x:v>
      </x:c>
      <x:c r="V99" s="112" t="str">
        <x:v>Second-pass extraction lock covers source identity, physical PDF page span, section/clause, ASCII transcription, normalized meaning, and verification category. SHACL shapes remain a separate implementation artifact.</x:v>
      </x:c>
      <x:c r="W99" s="112" t="str">
        <x:v>https://www.finlex.fi/en/authorities/regulations/traficom-transport-maritime/2021/47238</x:v>
      </x:c>
      <x:c r="X99" s="112" t="str">
        <x:v>No explicit data variable identified</x:v>
      </x:c>
      <x:c r="Y99" s="112" t="str">
        <x:v>Direct property/presence constraint; encode values with units and retain clause/page provenance.</x:v>
      </x:c>
    </x:row>
    <x:row r="100" ht="92" customHeight="1">
      <x:c r="A100" s="108" t="str">
        <x:v>TRF-105</x:v>
      </x:c>
      <x:c r="B100" s="108" t="str">
        <x:v>Ice Class Regulations and the Application Thereof</x:v>
      </x:c>
      <x:c r="C100" s="108" t="str">
        <x:v>TRAFICOM/68863/03.04.01.00/2021</x:v>
      </x:c>
      <x:c r="D100" s="163" t="n">
        <x:v>47</x:v>
      </x:c>
      <x:c r="E100" s="108" t="str">
        <x:v>Calculation of blade stresses</x:v>
      </x:c>
      <x:c r="F100" s="108" t="str">
        <x:v>6.6.2.1</x:v>
      </x:c>
      <x:c r="G100" s="113" t="str">
        <x:v>Complex</x:v>
      </x:c>
      <x:c r="H100" s="109" t="str">
        <x:v>Blade stresses shall be calculated for the design loads in section 6.5.1. Finite element analysis shall be used for final approval of all propellers. The simplified root-area estimate is sigma_st = C_1*M_BL/(100*c*t^2) [MPa] (6.38).</x:v>
      </x:c>
      <x:c r="I100" s="110" t="str">
        <x:v>Blade stresses shall be calculated for the design loads in section 6.5.1. Finite element analysis shall be used for final approval of all propellers. The simplified root-area estimate is sigma_st = C_1*M_BL/(100*c*t^2) [MPa] (6.38).</x:v>
      </x:c>
      <x:c r="J100" s="111" t="str">
        <x:v>No explicit data variable identified</x:v>
      </x:c>
      <x:c r="K100" s="111" t="str">
        <x:v>No direct AnchorMap term found; propose a code-safe alias during SHACL design</x:v>
      </x:c>
      <x:c r="L100" s="114" t="str">
        <x:v>Medium</x:v>
      </x:c>
      <x:c r="M100" s="111" t="str">
        <x:v>Formula-derived constraint</x:v>
      </x:c>
      <x:c r="N100" s="108" t="str">
        <x:v>Verification requires linked conditions, external approval or evidence, an assessment, or a composite workflow.</x:v>
      </x:c>
      <x:c r="O100" s="113" t="str">
        <x:v>No</x:v>
      </x:c>
      <x:c r="P100" s="113" t="str">
        <x:v>Included - source reverified and locked</x:v>
      </x:c>
      <x:c r="Q100" s="108" t="str">
        <x:v>LOCK-2026-08-10: No source, page, clause, category, or normalized-meaning correction was required. Source wording was checked against the supplied PDF; equation notation is ASCII-linearized.</x:v>
      </x:c>
      <x:c r="R100" s="108" t="str">
        <x:v>LOCK-2026-08-11-R2 | source_pdf=TRAFICOM.pdf | source_sha256=8ab845347770c253433b8bad9b1fbe5d6ac71b3d07a1a28dae8a32cfde732ddc | physical_pdf_page=47 | section=Calculation of blade stresses | clause=6.6.2.1 | checks=independent_full_text_page_layout; numbers_units_operators_equations; normalized_rule_meaning; five_category_classification | status=LOCKED</x:v>
      </x:c>
      <x:c r="S100" s="108" t="str">
        <x:v>46_complex_design_ice_pressure (Complex); 55_complex_web_frame_section_modulus (Complex)</x:v>
      </x:c>
      <x:c r="T100" s="108" t="str">
        <x:v>PASS - source/page/clause/meaning/category reverified</x:v>
      </x:c>
      <x:c r="U100" s="108" t="str">
        <x:v>LOCKED - extraction reverified</x:v>
      </x:c>
      <x:c r="V100" s="112" t="str">
        <x:v>Second-pass extraction lock covers source identity, physical PDF page span, section/clause, ASCII transcription, normalized meaning, and verification category. SHACL shapes remain a separate implementation artifact.</x:v>
      </x:c>
      <x:c r="W100" s="112" t="str">
        <x:v>https://www.finlex.fi/en/authorities/regulations/traficom-transport-maritime/2021/47238</x:v>
      </x:c>
      <x:c r="X100" s="112" t="str">
        <x:v>No explicit data variable identified</x:v>
      </x:c>
      <x:c r="Y100" s="112" t="str">
        <x:v>Formula-derived constraint; encode values with units and retain clause/page provenance.</x:v>
      </x:c>
    </x:row>
    <x:row r="101" ht="112" customHeight="1">
      <x:c r="A101" s="108" t="str">
        <x:v>TRF-106</x:v>
      </x:c>
      <x:c r="B101" s="108" t="str">
        <x:v>Ice Class Regulations and the Application Thereof</x:v>
      </x:c>
      <x:c r="C101" s="108" t="str">
        <x:v>TRAFICOM/68863/03.04.01.00/2021</x:v>
      </x:c>
      <x:c r="D101" s="163" t="n">
        <x:v>48</x:v>
      </x:c>
      <x:c r="E101" s="108" t="str">
        <x:v>Acceptability criterion</x:v>
      </x:c>
      <x:c r="F101" s="108" t="str">
        <x:v>6.6.2.2-6.6.2.3</x:v>
      </x:c>
      <x:c r="G101" s="113" t="str">
        <x:v>Complex</x:v>
      </x:c>
      <x:c r="H101" s="109" t="str">
        <x:v>The calculated blade stresses must satisfy sigma_ref2/sigma_st &gt;= 1.3 (6.39). If finite element analysis is used for estimating the stresses, von Mises stresses shall be used. sigma_ref2 is the reference strength, defined as the lower of 0.7*sigma_u and 0.6*sigma_0.2 + 0.4*sigma_u. The fatigue design of the propeller blade is based on an estimated load distribution for the service life of the ship and the S-N curve for the blade material. An equivalent stress that produces the same fatigue damage as the expected load distribution shall be calculated, and the acceptability criterion for fatigue should be fulfilled as given in section 6.6.2.4. The equivalent stress is normalised for 10^8 cycles.</x:v>
      </x:c>
      <x:c r="I101" s="110" t="str">
        <x:v>Require sigma_ref2_MPa/sigma_st_MPa &gt;= 1.3, where sigma_ref2_MPa = min(0.7*sigma_u_MPa, 0.6*sigma_0_2_MPa + 0.4*sigma_u_MPa). If finite_element_analysis_used = true, stress_measure = von_Mises. Fatigue verification shall use the service-life load distribution and the material S-N curve to calculate an equivalent stress producing the same fatigue damage, normalized to 10^8 cycles, and shall satisfy the section 6.6.2.4 acceptability criterion.</x:v>
      </x:c>
      <x:c r="J101" s="111" t="str">
        <x:v>sigmaRef2_MPa, sigmaSt_MPa, sigmaU_MPa, sigma0_2_MPa, finiteElementAnalysisUsed, stressMeasure, serviceLifeLoadDistribution, SNcurveType, equivalentStressCycles</x:v>
      </x:c>
      <x:c r="K101" s="111" t="str">
        <x:v>tensileStrength_MPa, SNcurveType; proposed code-safe aliases: sigmaRef2_MPa, sigmaSt_MPa, sigma0_2_MPa, finiteElementAnalysisUsed, equivalentStressCycles</x:v>
      </x:c>
      <x:c r="L101" s="114" t="str">
        <x:v>Medium</x:v>
      </x:c>
      <x:c r="M101" s="111" t="str">
        <x:v>Formula-derived constraint</x:v>
      </x:c>
      <x:c r="N101" s="108" t="str">
        <x:v>Verification requires linked conditions, external approval or evidence, an assessment, or a composite workflow.</x:v>
      </x:c>
      <x:c r="O101" s="113" t="str">
        <x:v>No</x:v>
      </x:c>
      <x:c r="P101" s="113" t="str">
        <x:v>Included - source reverified and locked</x:v>
      </x:c>
      <x:c r="Q101" s="108" t="str">
        <x:v>LOCK-2026-08-10: No source, page, clause, category, or normalized-meaning correction was required. Source wording was checked against the supplied PDF; equation notation is ASCII-linearized. | LOCK-2026-08-11-R2: Replaced the paraphrased fatigue sentence with the literal source wording and widened the clause trace to 6.6.2.2-6.6.2.3.</x:v>
      </x:c>
      <x:c r="R101" s="108" t="str">
        <x:v>LOCK-2026-08-11-R2 | source_pdf=TRAFICOM.pdf | source_sha256=8ab845347770c253433b8bad9b1fbe5d6ac71b3d07a1a28dae8a32cfde732ddc | physical_pdf_page=48 | section=Acceptability criterion | clause=6.6.2.2-6.6.2.3 | checks=independent_full_text_page_layout; numbers_units_operators_equations; normalized_rule_meaning; five_category_classification | status=LOCKED</x:v>
      </x:c>
      <x:c r="S101" s="108" t="str">
        <x:v>80_complex_equivalent_fatigue_stress (Complex); 81_complex_characteristic_fatigue_strength (Complex); 39_staticcalculation_blade_stress_acceptability (static_calculation)</x:v>
      </x:c>
      <x:c r="T101" s="108" t="str">
        <x:v>PASS - source/page/clause/meaning/category reverified</x:v>
      </x:c>
      <x:c r="U101" s="108" t="str">
        <x:v>LOCKED - extraction reverified</x:v>
      </x:c>
      <x:c r="V101" s="112" t="str">
        <x:v>Second-pass extraction lock covers source identity, physical PDF page span, section/clause, ASCII transcription, normalized meaning, and verification category. SHACL shapes remain a separate implementation artifact.</x:v>
      </x:c>
      <x:c r="W101" s="112" t="str">
        <x:v>https://www.finlex.fi/en/authorities/regulations/traficom-transport-maritime/2021/47238</x:v>
      </x:c>
      <x:c r="X101" s="112" t="str">
        <x:v>sigmaSt_MPa, sigmaU_MPa, sigma0_2_MPa, finite-element stress method, service-life load distribution, material S-N curve, and section 6.6.2.4 fatigue result</x:v>
      </x:c>
      <x:c r="Y101" s="112" t="str">
        <x:v>Formula-derived constraint; encode values with units and retain clause/page provenance.</x:v>
      </x:c>
    </x:row>
    <x:row r="102" ht="92" customHeight="1">
      <x:c r="A102" s="108" t="str">
        <x:v>TRF-108</x:v>
      </x:c>
      <x:c r="B102" s="108" t="str">
        <x:v>Ice Class Regulations and the Application Thereof</x:v>
      </x:c>
      <x:c r="C102" s="108" t="str">
        <x:v>TRAFICOM/68863/03.04.01.00/2021</x:v>
      </x:c>
      <x:c r="D102" s="163" t="n">
        <x:v>48</x:v>
      </x:c>
      <x:c r="E102" s="108" t="str">
        <x:v>Fatigue design of propeller blade</x:v>
      </x:c>
      <x:c r="F102" s="108" t="str">
        <x:v>6.6.2.3</x:v>
      </x:c>
      <x:c r="G102" s="113" t="str">
        <x:v>Static</x:v>
      </x:c>
      <x:c r="H102" s="109" t="str">
        <x:v>The type of the SN-curve shall be selected to correspond with the material properties of the blade. If the SN-curve is unknown, the two slope SN curve shall be used.</x:v>
      </x:c>
      <x:c r="I102" s="110" t="str">
        <x:v>The type of the SN-curve shall be selected to correspond with the material properties of the blade. If the SN-curve is unknown, the two slope SN curve shall be used.</x:v>
      </x:c>
      <x:c r="J102" s="111" t="str">
        <x:v>No explicit data variable identified</x:v>
      </x:c>
      <x:c r="K102" s="111" t="str">
        <x:v>No direct AnchorMap term found; propose a code-safe alias during SHACL design</x:v>
      </x:c>
      <x:c r="L102" s="114" t="str">
        <x:v>High</x:v>
      </x:c>
      <x:c r="M102" s="111" t="str">
        <x:v>Conditional/applicability constraint</x:v>
      </x:c>
      <x:c r="N102" s="108" t="str">
        <x:v>Direct verification of a stated property, document, presence condition, enumeration, applicability rule, prohibition, or fixed limit.</x:v>
      </x:c>
      <x:c r="O102" s="113" t="str">
        <x:v>No</x:v>
      </x:c>
      <x:c r="P102" s="113" t="str">
        <x:v>Included - source reverified and locked</x:v>
      </x:c>
      <x:c r="Q102" s="108" t="str">
        <x:v>LOCK-2026-08-10: No source, page, clause, category, or normalized-meaning correction was required. Source wording was checked against the supplied PDF; equation notation is ASCII-linearized.</x:v>
      </x:c>
      <x:c r="R102" s="108" t="str">
        <x:v>LOCK-2026-08-11-R2 | source_pdf=TRAFICOM.pdf | source_sha256=8ab845347770c253433b8bad9b1fbe5d6ac71b3d07a1a28dae8a32cfde732ddc | physical_pdf_page=48 | section=Fatigue design of propeller blade | clause=6.6.2.3 | checks=independent_full_text_page_layout; numbers_units_operators_equations; normalized_rule_meaning; five_category_classification | status=LOCKED</x:v>
      </x:c>
      <x:c r="S102" s="108" t="str">
        <x:v>No close match among the thesis repository's 90 input cases.</x:v>
      </x:c>
      <x:c r="T102" s="108" t="str">
        <x:v>PASS - source/page/clause/meaning/category reverified</x:v>
      </x:c>
      <x:c r="U102" s="108" t="str">
        <x:v>LOCKED - extraction reverified</x:v>
      </x:c>
      <x:c r="V102" s="112" t="str">
        <x:v>Second-pass extraction lock covers source identity, physical PDF page span, section/clause, ASCII transcription, normalized meaning, and verification category. SHACL shapes remain a separate implementation artifact.</x:v>
      </x:c>
      <x:c r="W102" s="112" t="str">
        <x:v>https://www.finlex.fi/en/authorities/regulations/traficom-transport-maritime/2021/47238</x:v>
      </x:c>
      <x:c r="X102" s="112" t="str">
        <x:v>No explicit data variable identified</x:v>
      </x:c>
      <x:c r="Y102" s="112" t="str">
        <x:v>Conditional/applicability constraint; encode values with units and retain clause/page provenance.</x:v>
      </x:c>
    </x:row>
    <x:row r="103" ht="92" customHeight="1">
      <x:c r="A103" s="108" t="str">
        <x:v>TRF-109</x:v>
      </x:c>
      <x:c r="B103" s="108" t="str">
        <x:v>Ice Class Regulations and the Application Thereof</x:v>
      </x:c>
      <x:c r="C103" s="108" t="str">
        <x:v>TRAFICOM/68863/03.04.01.00/2021</x:v>
      </x:c>
      <x:c r="D103" s="163" t="n">
        <x:v>50</x:v>
      </x:c>
      <x:c r="E103" s="108" t="str">
        <x:v>Fatigue design of propeller blade</x:v>
      </x:c>
      <x:c r="F103" s="108" t="str">
        <x:v>6.6.2.3</x:v>
      </x:c>
      <x:c r="G103" s="113" t="str">
        <x:v>Static</x:v>
      </x:c>
      <x:c r="H103" s="109" t="str">
        <x:v>The coefficients C1, C2, C3, and C4 are given in Table 6-14. The applicable range of Nice for calculating rho is 5x106 &lt;= Nice &lt;= 108.</x:v>
      </x:c>
      <x:c r="I103" s="110" t="str">
        <x:v>The coefficients C1, C2, C3, and C4 are given in Table 6-14. The applicable range of Nice for calculating rho is 5x106 &lt;= Nice &lt;= 108.</x:v>
      </x:c>
      <x:c r="J103" s="111" t="str">
        <x:v>No explicit data variable identified</x:v>
      </x:c>
      <x:c r="K103" s="111" t="str">
        <x:v>No direct AnchorMap term found; propose a code-safe alias during SHACL design</x:v>
      </x:c>
      <x:c r="L103" s="114" t="str">
        <x:v>Medium</x:v>
      </x:c>
      <x:c r="M103" s="111" t="str">
        <x:v>Table-lookup plus constraint</x:v>
      </x:c>
      <x:c r="N103" s="108" t="str">
        <x:v>Direct verification of a stated property, document, presence condition, enumeration, applicability rule, prohibition, or fixed limit.</x:v>
      </x:c>
      <x:c r="O103" s="113" t="str">
        <x:v>No</x:v>
      </x:c>
      <x:c r="P103" s="113" t="str">
        <x:v>Included - source reverified and locked</x:v>
      </x:c>
      <x:c r="Q103" s="108" t="str">
        <x:v>LOCK-2026-08-10: No source, page, clause, category, or normalized-meaning correction was required. Source wording was checked against the supplied PDF; equation notation is ASCII-linearized.</x:v>
      </x:c>
      <x:c r="R103" s="108" t="str">
        <x:v>LOCK-2026-08-11-R2 | source_pdf=TRAFICOM.pdf | source_sha256=8ab845347770c253433b8bad9b1fbe5d6ac71b3d07a1a28dae8a32cfde732ddc | physical_pdf_page=50 | section=Fatigue design of propeller blade | clause=6.6.2.3 | checks=independent_full_text_page_layout; numbers_units_operators_equations; normalized_rule_meaning; five_category_classification | status=LOCKED</x:v>
      </x:c>
      <x:c r="S103" s="108" t="str">
        <x:v>No close match among the thesis repository's 90 input cases.</x:v>
      </x:c>
      <x:c r="T103" s="108" t="str">
        <x:v>PASS - source/page/clause/meaning/category reverified</x:v>
      </x:c>
      <x:c r="U103" s="108" t="str">
        <x:v>LOCKED - extraction reverified</x:v>
      </x:c>
      <x:c r="V103" s="112" t="str">
        <x:v>Second-pass extraction lock covers source identity, physical PDF page span, section/clause, ASCII transcription, normalized meaning, and verification category. SHACL shapes remain a separate implementation artifact.</x:v>
      </x:c>
      <x:c r="W103" s="112" t="str">
        <x:v>https://www.finlex.fi/en/authorities/regulations/traficom-transport-maritime/2021/47238</x:v>
      </x:c>
      <x:c r="X103" s="112" t="str">
        <x:v>No explicit data variable identified</x:v>
      </x:c>
      <x:c r="Y103" s="112" t="str">
        <x:v>Table-lookup plus constraint; encode values with units and retain clause/page provenance.</x:v>
      </x:c>
    </x:row>
    <x:row r="104" ht="92" customHeight="1">
      <x:c r="A104" s="108" t="str">
        <x:v>TRF-110</x:v>
      </x:c>
      <x:c r="B104" s="108" t="str">
        <x:v>Ice Class Regulations and the Application Thereof</x:v>
      </x:c>
      <x:c r="C104" s="108" t="str">
        <x:v>TRAFICOM/68863/03.04.01.00/2021</x:v>
      </x:c>
      <x:c r="D104" s="163" t="n">
        <x:v>51</x:v>
      </x:c>
      <x:c r="E104" s="108" t="str">
        <x:v>Acceptability criterion for fatigue</x:v>
      </x:c>
      <x:c r="F104" s="108" t="str">
        <x:v>6.6.2.4; 6.6.3</x:v>
      </x:c>
      <x:c r="G104" s="113" t="str">
        <x:v>Complex</x:v>
      </x:c>
      <x:c r="H104" s="109" t="str">
        <x:v>At every blade location, the equivalent fatigue stress shall satisfy sigma_fl/sigma_fat &gt;= 1.5 (6.45). Use sigma_fl = gamma_e1*gamma_e2*gamma_v*gamma_m*sigma_exp. If actual reduction factors are unavailable, use gamma_e1*gamma_e2 = 0.67, gamma_v = 0.75 and gamma_m = 0.75. Blade bolts, CP mechanism, propeller boss and propeller-shaft fitting shall have safety factors greater than 1.3 against yielding, greater than 1.5 against fatigue, and greater than 1.0 against yielding under blade-loss loads.</x:v>
      </x:c>
      <x:c r="I104" s="110" t="str">
        <x:v>At every blade location, require sigma_fl/sigma_fat &gt;= 1.5. If actual reduction factors are unavailable, use gamma_e1*gamma_e2 = 0.67, gamma_v = 0.75, and gamma_m = 0.75. For blade bolts, the CP mechanism, propeller boss, and propeller-shaft fitting, require safety_factor_yield &gt; 1.3, safety_factor_fatigue &gt; 1.5, and safety_factor_blade_loss_yield &gt; 1.0.</x:v>
      </x:c>
      <x:c r="J104" s="111" t="str">
        <x:v>No explicit data variable identified</x:v>
      </x:c>
      <x:c r="K104" s="111" t="str">
        <x:v>No direct AnchorMap term found; propose a code-safe alias during SHACL design</x:v>
      </x:c>
      <x:c r="L104" s="114" t="str">
        <x:v>Medium</x:v>
      </x:c>
      <x:c r="M104" s="111" t="str">
        <x:v>Formula-derived constraint</x:v>
      </x:c>
      <x:c r="N104" s="108" t="str">
        <x:v>Verification requires linked conditions, external approval or evidence, an assessment, or a composite workflow.</x:v>
      </x:c>
      <x:c r="O104" s="113" t="str">
        <x:v>No</x:v>
      </x:c>
      <x:c r="P104" s="113" t="str">
        <x:v>Included - source reverified and locked</x:v>
      </x:c>
      <x:c r="Q104" s="108" t="str">
        <x:v>LOCK-2026-08-10: Added the second source-clause reference and restored all bossing/CP-mechanism safety-factor conditions. Final source lock check completed against the supplied PDF; equation notation is ASCII-linearized.</x:v>
      </x:c>
      <x:c r="R104" s="108" t="str">
        <x:v>LOCK-2026-08-11-R2 | source_pdf=TRAFICOM.pdf | source_sha256=8ab845347770c253433b8bad9b1fbe5d6ac71b3d07a1a28dae8a32cfde732ddc | physical_pdf_page=51 | section=Acceptability criterion for fatigue | clause=6.6.2.4; 6.6.3 | checks=independent_full_text_page_layout; numbers_units_operators_equations; normalized_rule_meaning; five_category_classification | status=LOCKED</x:v>
      </x:c>
      <x:c r="S104" s="108" t="str">
        <x:v>79_complex_fatigue_design (Complex); 40_staticcalculation_fatigue_acceptability (static_calculation); 80_complex_equivalent_fatigue_stress (Complex)</x:v>
      </x:c>
      <x:c r="T104" s="108" t="str">
        <x:v>PASS - source/page/clause/meaning/category reverified</x:v>
      </x:c>
      <x:c r="U104" s="108" t="str">
        <x:v>LOCKED - extraction reverified</x:v>
      </x:c>
      <x:c r="V104" s="112" t="str">
        <x:v>Second-pass extraction lock covers source identity, physical PDF page span, section/clause, ASCII transcription, normalized meaning, and verification category. SHACL shapes remain a separate implementation artifact.</x:v>
      </x:c>
      <x:c r="W104" s="112" t="str">
        <x:v>https://www.finlex.fi/en/authorities/regulations/traficom-transport-maritime/2021/47238</x:v>
      </x:c>
      <x:c r="X104" s="112" t="str">
        <x:v>No explicit data variable identified</x:v>
      </x:c>
      <x:c r="Y104" s="112" t="str">
        <x:v>Formula-derived constraint; encode values with units and retain clause/page provenance.</x:v>
      </x:c>
    </x:row>
    <x:row r="105" ht="92" customHeight="1">
      <x:c r="A105" s="108" t="str">
        <x:v>TRF-111</x:v>
      </x:c>
      <x:c r="B105" s="108" t="str">
        <x:v>Ice Class Regulations and the Application Thereof</x:v>
      </x:c>
      <x:c r="C105" s="108" t="str">
        <x:v>TRAFICOM/68863/03.04.01.00/2021</x:v>
      </x:c>
      <x:c r="D105" s="163" t="n">
        <x:v>51</x:v>
      </x:c>
      <x:c r="E105" s="108" t="str">
        <x:v>Propulsion shaft line</x:v>
      </x:c>
      <x:c r="F105" s="108" t="str">
        <x:v>6.6.4</x:v>
      </x:c>
      <x:c r="G105" s="113" t="str">
        <x:v>Static Calculation</x:v>
      </x:c>
      <x:c r="H105" s="109"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I105" s="110"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J105" s="111" t="str">
        <x:v>Fex_kN</x:v>
      </x:c>
      <x:c r="K105" s="111" t="str">
        <x:v>Fex_kN</x:v>
      </x:c>
      <x:c r="L105" s="114" t="str">
        <x:v>High</x:v>
      </x:c>
      <x:c r="M105" s="111" t="str">
        <x:v>Formula-derived constraint</x:v>
      </x:c>
      <x:c r="N105" s="108" t="str">
        <x:v>Deterministic calculation from static design inputs followed by a numeric or logical comparison.</x:v>
      </x:c>
      <x:c r="O105" s="113" t="str">
        <x:v>No</x:v>
      </x:c>
      <x:c r="P105" s="113" t="str">
        <x:v>Included - source reverified and locked</x:v>
      </x:c>
      <x:c r="Q105" s="108" t="str">
        <x:v>LOCK-2026-08-10: No source, page, clause, category, or normalized-meaning correction was required. Source wording was checked against the supplied PDF; equation notation is ASCII-linearized.</x:v>
      </x:c>
      <x:c r="R105" s="108" t="str">
        <x:v>LOCK-2026-08-11-R2 | source_pdf=TRAFICOM.pdf | source_sha256=8ab845347770c253433b8bad9b1fbe5d6ac71b3d07a1a28dae8a32cfde732ddc | physical_pdf_page=51 | section=Propulsion shaft line | clause=6.6.4 | checks=independent_full_text_page_layout; numbers_units_operators_equations; normalized_rule_meaning; five_category_classification | status=LOCKED</x:v>
      </x:c>
      <x:c r="S105" s="108" t="str">
        <x:v>53_complex_web_frame_ice_load (Complex); 60_complex_propeller_diameter (Complex)</x:v>
      </x:c>
      <x:c r="T105" s="108" t="str">
        <x:v>PASS - source/page/clause/meaning/category reverified</x:v>
      </x:c>
      <x:c r="U105" s="108" t="str">
        <x:v>LOCKED - extraction reverified</x:v>
      </x:c>
      <x:c r="V105" s="112" t="str">
        <x:v>Second-pass extraction lock covers source identity, physical PDF page span, section/clause, ASCII transcription, normalized meaning, and verification category. SHACL shapes remain a separate implementation artifact.</x:v>
      </x:c>
      <x:c r="W105" s="112" t="str">
        <x:v>https://www.finlex.fi/en/authorities/regulations/traficom-transport-maritime/2021/47238</x:v>
      </x:c>
      <x:c r="X105" s="112" t="str">
        <x:v>Fex_kN</x:v>
      </x:c>
      <x:c r="Y105" s="112" t="str">
        <x:v>Formula-derived constraint; encode values with units and retain clause/page provenance.</x:v>
      </x:c>
    </x:row>
    <x:row r="106" ht="92" customHeight="1">
      <x:c r="A106" s="108" t="str">
        <x:v>TRF-112</x:v>
      </x:c>
      <x:c r="B106" s="108" t="str">
        <x:v>Ice Class Regulations and the Application Thereof</x:v>
      </x:c>
      <x:c r="C106" s="108" t="str">
        <x:v>TRAFICOM/68863/03.04.01.00/2021</x:v>
      </x:c>
      <x:c r="D106" s="163" t="n">
        <x:v>52</x:v>
      </x:c>
      <x:c r="E106" s="108" t="str">
        <x:v>Shafts and shafting components</x:v>
      </x:c>
      <x:c r="F106" s="108" t="str">
        <x:v>6.6.4.1</x:v>
      </x:c>
      <x:c r="G106" s="113" t="str">
        <x:v>Static Calculation</x:v>
      </x:c>
      <x:c r="H106" s="109"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I106" s="110"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J106" s="111" t="str">
        <x:v>No explicit data variable identified</x:v>
      </x:c>
      <x:c r="K106" s="111" t="str">
        <x:v>No direct AnchorMap term found; propose a code-safe alias during SHACL design</x:v>
      </x:c>
      <x:c r="L106" s="114" t="str">
        <x:v>High</x:v>
      </x:c>
      <x:c r="M106" s="111" t="str">
        <x:v>Formula-derived constraint</x:v>
      </x:c>
      <x:c r="N106" s="108" t="str">
        <x:v>Deterministic calculation from static design inputs followed by a numeric or logical comparison.</x:v>
      </x:c>
      <x:c r="O106" s="113" t="str">
        <x:v>No</x:v>
      </x:c>
      <x:c r="P106" s="113" t="str">
        <x:v>Included - source reverified and locked</x:v>
      </x:c>
      <x:c r="Q106" s="108" t="str">
        <x:v>LOCK-2026-08-10: No source, page, clause, category, or normalized-meaning correction was required. Source wording was checked against the supplied PDF; equation notation is ASCII-linearized.</x:v>
      </x:c>
      <x:c r="R106" s="108" t="str">
        <x:v>LOCK-2026-08-11-R2 | source_pdf=TRAFICOM.pdf | source_sha256=8ab845347770c253433b8bad9b1fbe5d6ac71b3d07a1a28dae8a32cfde732ddc | physical_pdf_page=52 | section=Shafts and shafting components | clause=6.6.4.1 | checks=independent_full_text_page_layout; numbers_units_operators_equations; normalized_rule_meaning; five_category_classification | status=LOCKED</x:v>
      </x:c>
      <x:c r="S106" s="108" t="str">
        <x:v>No close match among the thesis repository's 90 input cases.</x:v>
      </x:c>
      <x:c r="T106" s="108" t="str">
        <x:v>PASS - source/page/clause/meaning/category reverified</x:v>
      </x:c>
      <x:c r="U106" s="108" t="str">
        <x:v>LOCKED - extraction reverified</x:v>
      </x:c>
      <x:c r="V106" s="112" t="str">
        <x:v>Second-pass extraction lock covers source identity, physical PDF page span, section/clause, ASCII transcription, normalized meaning, and verification category. SHACL shapes remain a separate implementation artifact.</x:v>
      </x:c>
      <x:c r="W106" s="112" t="str">
        <x:v>https://www.finlex.fi/en/authorities/regulations/traficom-transport-maritime/2021/47238</x:v>
      </x:c>
      <x:c r="X106" s="112" t="str">
        <x:v>No explicit data variable identified</x:v>
      </x:c>
      <x:c r="Y106" s="112" t="str">
        <x:v>Formula-derived constraint; encode values with units and retain clause/page provenance.</x:v>
      </x:c>
    </x:row>
    <x:row r="107" ht="92" customHeight="1">
      <x:c r="A107" s="108" t="str">
        <x:v>TRF-113</x:v>
      </x:c>
      <x:c r="B107" s="108" t="str">
        <x:v>Ice Class Regulations and the Application Thereof</x:v>
      </x:c>
      <x:c r="C107" s="108" t="str">
        <x:v>TRAFICOM/68863/03.04.01.00/2021</x:v>
      </x:c>
      <x:c r="D107" s="163" t="n">
        <x:v>52</x:v>
      </x:c>
      <x:c r="E107" s="108" t="str">
        <x:v>Design principle</x:v>
      </x:c>
      <x:c r="F107" s="108" t="str">
        <x:v>6.6.5.1</x:v>
      </x:c>
      <x:c r="G107" s="113" t="str">
        <x:v>Static</x:v>
      </x:c>
      <x:c r="H107" s="109"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I107" s="110"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J107" s="111" t="str">
        <x:v>No explicit data variable identified</x:v>
      </x:c>
      <x:c r="K107" s="111" t="str">
        <x:v>No direct AnchorMap term found; propose a code-safe alias during SHACL design</x:v>
      </x:c>
      <x:c r="L107" s="114" t="str">
        <x:v>High</x:v>
      </x:c>
      <x:c r="M107" s="111" t="str">
        <x:v>Direct property/presence constraint</x:v>
      </x:c>
      <x:c r="N107" s="108" t="str">
        <x:v>Direct verification of a stated property, document, presence condition, enumeration, applicability rule, prohibition, or fixed limit.</x:v>
      </x:c>
      <x:c r="O107" s="113" t="str">
        <x:v>No</x:v>
      </x:c>
      <x:c r="P107" s="113" t="str">
        <x:v>Included - source reverified and locked</x:v>
      </x:c>
      <x:c r="Q107" s="108" t="str">
        <x:v>LOCK-2026-08-10: No source, page, clause, category, or normalized-meaning correction was required. Source wording was checked against the supplied PDF; equation notation is ASCII-linearized.</x:v>
      </x:c>
      <x:c r="R107" s="108" t="str">
        <x:v>LOCK-2026-08-11-R2 | source_pdf=TRAFICOM.pdf | source_sha256=8ab845347770c253433b8bad9b1fbe5d6ac71b3d07a1a28dae8a32cfde732ddc | physical_pdf_page=52 | section=Design principle | clause=6.6.5.1 | checks=independent_full_text_page_layout; numbers_units_operators_equations; normalized_rule_meaning; five_category_classification | status=LOCKED</x:v>
      </x:c>
      <x:c r="S107" s="108" t="str">
        <x:v>53_complex_web_frame_ice_load (Complex); 60_complex_propeller_diameter (Complex)</x:v>
      </x:c>
      <x:c r="T107" s="108" t="str">
        <x:v>PASS - source/page/clause/meaning/category reverified</x:v>
      </x:c>
      <x:c r="U107" s="108" t="str">
        <x:v>LOCKED - extraction reverified</x:v>
      </x:c>
      <x:c r="V107" s="112" t="str">
        <x:v>Second-pass extraction lock covers source identity, physical PDF page span, section/clause, ASCII transcription, normalized meaning, and verification category. SHACL shapes remain a separate implementation artifact.</x:v>
      </x:c>
      <x:c r="W107" s="112" t="str">
        <x:v>https://www.finlex.fi/en/authorities/regulations/traficom-transport-maritime/2021/47238</x:v>
      </x:c>
      <x:c r="X107" s="112" t="str">
        <x:v>No explicit data variable identified</x:v>
      </x:c>
      <x:c r="Y107" s="112" t="str">
        <x:v>Direct property/presence constraint; encode values with units and retain clause/page provenance.</x:v>
      </x:c>
    </x:row>
    <x:row r="108" ht="92" customHeight="1">
      <x:c r="A108" s="108" t="str">
        <x:v>TRF-114</x:v>
      </x:c>
      <x:c r="B108" s="108" t="str">
        <x:v>Ice Class Regulations and the Application Thereof</x:v>
      </x:c>
      <x:c r="C108" s="108" t="str">
        <x:v>TRAFICOM/68863/03.04.01.00/2021</x:v>
      </x:c>
      <x:c r="D108" s="163" t="n">
        <x:v>53</x:v>
      </x:c>
      <x:c r="E108" s="108" t="str">
        <x:v>Extreme ice impact loads</x:v>
      </x:c>
      <x:c r="F108" s="108" t="str">
        <x:v>6.6.5.2</x:v>
      </x:c>
      <x:c r="G108" s="113" t="str">
        <x:v>Static</x:v>
      </x:c>
      <x:c r="H108" s="109"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I108" s="110"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J108" s="111" t="str">
        <x:v>No explicit data variable identified</x:v>
      </x:c>
      <x:c r="K108" s="111" t="str">
        <x:v>No direct AnchorMap term found; propose a code-safe alias during SHACL design</x:v>
      </x:c>
      <x:c r="L108" s="114" t="str">
        <x:v>Medium</x:v>
      </x:c>
      <x:c r="M108" s="111" t="str">
        <x:v>Table-lookup plus constraint</x:v>
      </x:c>
      <x:c r="N108" s="108" t="str">
        <x:v>Direct verification of a stated property, document, presence condition, enumeration, applicability rule, prohibition, or fixed limit.</x:v>
      </x:c>
      <x:c r="O108" s="113" t="str">
        <x:v>No</x:v>
      </x:c>
      <x:c r="P108" s="113" t="str">
        <x:v>Included - source reverified and locked</x:v>
      </x:c>
      <x:c r="Q108" s="108" t="str">
        <x:v>LOCK-2026-08-10: No source, page, clause, category, or normalized-meaning correction was required. Source wording was checked against the supplied PDF; equation notation is ASCII-linearized.</x:v>
      </x:c>
      <x:c r="R108" s="108" t="str">
        <x:v>LOCK-2026-08-11-R2 | source_pdf=TRAFICOM.pdf | source_sha256=8ab845347770c253433b8bad9b1fbe5d6ac71b3d07a1a28dae8a32cfde732ddc | physical_pdf_page=53 | section=Extreme ice impact loads | clause=6.6.5.2 | checks=independent_full_text_page_layout; numbers_units_operators_equations; normalized_rule_meaning; five_category_classification | status=LOCKED</x:v>
      </x:c>
      <x:c r="S108" s="108" t="str">
        <x:v>27_staticcalculation_ice_load_height (static_calculation)</x:v>
      </x:c>
      <x:c r="T108" s="108" t="str">
        <x:v>PASS - source/page/clause/meaning/category reverified</x:v>
      </x:c>
      <x:c r="U108" s="108" t="str">
        <x:v>LOCKED - extraction reverified</x:v>
      </x:c>
      <x:c r="V108" s="112" t="str">
        <x:v>Second-pass extraction lock covers source identity, physical PDF page span, section/clause, ASCII transcription, normalized meaning, and verification category. SHACL shapes remain a separate implementation artifact.</x:v>
      </x:c>
      <x:c r="W108" s="112" t="str">
        <x:v>https://www.finlex.fi/en/authorities/regulations/traficom-transport-maritime/2021/47238</x:v>
      </x:c>
      <x:c r="X108" s="112" t="str">
        <x:v>No explicit data variable identified</x:v>
      </x:c>
      <x:c r="Y108" s="112" t="str">
        <x:v>Table-lookup plus constraint; encode values with units and retain clause/page provenance.</x:v>
      </x:c>
    </x:row>
    <x:row r="109" ht="92" customHeight="1">
      <x:c r="A109" s="108" t="str">
        <x:v>TRF-116</x:v>
      </x:c>
      <x:c r="B109" s="108" t="str">
        <x:v>Ice Class Regulations and the Application Thereof</x:v>
      </x:c>
      <x:c r="C109" s="108" t="str">
        <x:v>TRAFICOM/68863/03.04.01.00/2021</x:v>
      </x:c>
      <x:c r="D109" s="163" t="n">
        <x:v>56</x:v>
      </x:c>
      <x:c r="E109" s="108" t="str">
        <x:v>Extreme ice impact loads</x:v>
      </x:c>
      <x:c r="F109" s="108" t="str">
        <x:v>6.6.5.2</x:v>
      </x:c>
      <x:c r="G109" s="113" t="str">
        <x:v>Static Calculation</x:v>
      </x:c>
      <x:c r="H109" s="109" t="str">
        <x:v>For impacts on non-hemispherical areas, such as the impact on the nozzle, the equivalent impact sphere radius must be estimated using the equation below.</x:v>
      </x:c>
      <x:c r="I109" s="110" t="str">
        <x:v>For impacts on non-hemispherical areas, such as the impact on the nozzle, the equivalent impact sphere radius must be estimated using the equation below.</x:v>
      </x:c>
      <x:c r="J109" s="111" t="str">
        <x:v>No explicit data variable identified</x:v>
      </x:c>
      <x:c r="K109" s="111" t="str">
        <x:v>No direct AnchorMap term found; propose a code-safe alias during SHACL design</x:v>
      </x:c>
      <x:c r="L109" s="114" t="str">
        <x:v>High</x:v>
      </x:c>
      <x:c r="M109" s="111" t="str">
        <x:v>Formula-derived constraint</x:v>
      </x:c>
      <x:c r="N109" s="108" t="str">
        <x:v>Deterministic calculation from static design inputs followed by a numeric or logical comparison.</x:v>
      </x:c>
      <x:c r="O109" s="113" t="str">
        <x:v>No</x:v>
      </x:c>
      <x:c r="P109" s="113" t="str">
        <x:v>Included - source reverified and locked</x:v>
      </x:c>
      <x:c r="Q109" s="108" t="str">
        <x:v>LOCK-2026-08-10: No source, page, clause, category, or normalized-meaning correction was required. Source wording was checked against the supplied PDF; equation notation is ASCII-linearized.</x:v>
      </x:c>
      <x:c r="R109" s="108" t="str">
        <x:v>LOCK-2026-08-11-R2 | source_pdf=TRAFICOM.pdf | source_sha256=8ab845347770c253433b8bad9b1fbe5d6ac71b3d07a1a28dae8a32cfde732ddc | physical_pdf_page=56 | section=Extreme ice impact loads | clause=6.6.5.2 | checks=independent_full_text_page_layout; numbers_units_operators_equations; normalized_rule_meaning; five_category_classification | status=LOCKED</x:v>
      </x:c>
      <x:c r="S109" s="108" t="str">
        <x:v>No close match among the thesis repository's 90 input cases.</x:v>
      </x:c>
      <x:c r="T109" s="108" t="str">
        <x:v>PASS - source/page/clause/meaning/category reverified</x:v>
      </x:c>
      <x:c r="U109" s="108" t="str">
        <x:v>LOCKED - extraction reverified</x:v>
      </x:c>
      <x:c r="V109" s="112" t="str">
        <x:v>Second-pass extraction lock covers source identity, physical PDF page span, section/clause, ASCII transcription, normalized meaning, and verification category. SHACL shapes remain a separate implementation artifact.</x:v>
      </x:c>
      <x:c r="W109" s="112" t="str">
        <x:v>https://www.finlex.fi/en/authorities/regulations/traficom-transport-maritime/2021/47238</x:v>
      </x:c>
      <x:c r="X109" s="112" t="str">
        <x:v>No explicit data variable identified</x:v>
      </x:c>
      <x:c r="Y109" s="112" t="str">
        <x:v>Formula-derived constraint; encode values with units and retain clause/page provenance.</x:v>
      </x:c>
    </x:row>
    <x:row r="110" ht="92" customHeight="1">
      <x:c r="A110" s="108" t="str">
        <x:v>TRF-118</x:v>
      </x:c>
      <x:c r="B110" s="108" t="str">
        <x:v>Ice Class Regulations and the Application Thereof</x:v>
      </x:c>
      <x:c r="C110" s="108" t="str">
        <x:v>TRAFICOM/68863/03.04.01.00/2021</x:v>
      </x:c>
      <x:c r="D110" s="163" t="n">
        <x:v>60</x:v>
      </x:c>
      <x:c r="E110" s="108" t="str">
        <x:v>Acceptability criterion for static loads</x:v>
      </x:c>
      <x:c r="F110" s="108" t="str">
        <x:v>6.6.5.4</x:v>
      </x:c>
      <x:c r="G110" s="113" t="str">
        <x:v>Static Calculation</x:v>
      </x:c>
      <x:c r="H110" s="109"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I110" s="110"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J110" s="111" t="str">
        <x:v>No explicit data variable identified</x:v>
      </x:c>
      <x:c r="K110" s="111" t="str">
        <x:v>No direct AnchorMap term found; propose a code-safe alias during SHACL design</x:v>
      </x:c>
      <x:c r="L110" s="114" t="str">
        <x:v>High</x:v>
      </x:c>
      <x:c r="M110" s="111" t="str">
        <x:v>Formula-derived constraint</x:v>
      </x:c>
      <x:c r="N110" s="108" t="str">
        <x:v>Deterministic calculation from static design inputs followed by a numeric or logical comparison.</x:v>
      </x:c>
      <x:c r="O110" s="113" t="str">
        <x:v>No</x:v>
      </x:c>
      <x:c r="P110" s="113" t="str">
        <x:v>Included - source reverified and locked</x:v>
      </x:c>
      <x:c r="Q110" s="108" t="str">
        <x:v>LOCK-2026-08-10: No source, page, clause, category, or normalized-meaning correction was required. Source wording was checked against the supplied PDF; equation notation is ASCII-linearized.</x:v>
      </x:c>
      <x:c r="R110" s="108" t="str">
        <x:v>LOCK-2026-08-11-R2 | source_pdf=TRAFICOM.pdf | source_sha256=8ab845347770c253433b8bad9b1fbe5d6ac71b3d07a1a28dae8a32cfde732ddc | physical_pdf_page=60 | section=Acceptability criterion for static loads | clause=6.6.5.4 | checks=independent_full_text_page_layout; numbers_units_operators_equations; normalized_rule_meaning; five_category_classification | status=LOCKED</x:v>
      </x:c>
      <x:c r="S110" s="108" t="str">
        <x:v>No close match among the thesis repository's 90 input cases.</x:v>
      </x:c>
      <x:c r="T110" s="108" t="str">
        <x:v>PASS - source/page/clause/meaning/category reverified</x:v>
      </x:c>
      <x:c r="U110" s="108" t="str">
        <x:v>LOCKED - extraction reverified</x:v>
      </x:c>
      <x:c r="V110" s="112" t="str">
        <x:v>Second-pass extraction lock covers source identity, physical PDF page span, section/clause, ASCII transcription, normalized meaning, and verification category. SHACL shapes remain a separate implementation artifact.</x:v>
      </x:c>
      <x:c r="W110" s="112" t="str">
        <x:v>https://www.finlex.fi/en/authorities/regulations/traficom-transport-maritime/2021/47238</x:v>
      </x:c>
      <x:c r="X110" s="112" t="str">
        <x:v>No explicit data variable identified</x:v>
      </x:c>
      <x:c r="Y110" s="112" t="str">
        <x:v>Formula-derived constraint; encode values with units and retain clause/page provenance.</x:v>
      </x:c>
    </x:row>
    <x:row r="111" ht="92" customHeight="1">
      <x:c r="A111" s="108" t="str">
        <x:v>TRF-119</x:v>
      </x:c>
      <x:c r="B111" s="108" t="str">
        <x:v>Ice Class Regulations and the Application Thereof</x:v>
      </x:c>
      <x:c r="C111" s="108" t="str">
        <x:v>TRAFICOM/68863/03.04.01.00/2021</x:v>
      </x:c>
      <x:c r="D111" s="163" t="n">
        <x:v>60</x:v>
      </x:c>
      <x:c r="E111" s="108" t="str">
        <x:v>Thruster body global vibration</x:v>
      </x:c>
      <x:c r="F111" s="108" t="str">
        <x:v>6.6.5.5</x:v>
      </x:c>
      <x:c r="G111" s="113" t="str">
        <x:v>Dynamic</x:v>
      </x:c>
      <x:c r="H111" s="109"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c r="I111" s="110" t="str">
        <x:v>Evaluating the global vibratory behavior of the thruster body is important, if the first blade order excitations are in the same frequency range with the thruster global modes of vibration, which occur when the propeller rotational speeds are in the high power range of the propulsion line. This evaluation is mandatory and it must be shown that there is either no global first blade order resonance at high operational propeller speeds (above 50% of maximum power) or that the structure is designed to withstand vibratory loads during resonance above 50% of maximum power.</x:v>
      </x:c>
      <x:c r="J111" s="111" t="str">
        <x:v>No explicit data variable identified</x:v>
      </x:c>
      <x:c r="K111" s="111" t="str">
        <x:v>No direct AnchorMap term found; propose a code-safe alias during SHACL design</x:v>
      </x:c>
      <x:c r="L111" s="114" t="str">
        <x:v>Medium</x:v>
      </x:c>
      <x:c r="M111" s="111" t="str">
        <x:v>Analysis-input/result constraint</x:v>
      </x:c>
      <x:c r="N111" s="108" t="str">
        <x:v>Verification depends on operational, time-stamped, route-dependent, monitored, or simulation-response information.</x:v>
      </x:c>
      <x:c r="O111" s="113" t="str">
        <x:v>No</x:v>
      </x:c>
      <x:c r="P111" s="113" t="str">
        <x:v>Included - source reverified and locked</x:v>
      </x:c>
      <x:c r="Q111" s="108" t="str">
        <x:v>LOCK-2026-08-10: No source, page, clause, category, or normalized-meaning correction was required. Source wording was checked against the supplied PDF; equation notation is ASCII-linearized.</x:v>
      </x:c>
      <x:c r="R111" s="108" t="str">
        <x:v>LOCK-2026-08-11-R2 | source_pdf=TRAFICOM.pdf | source_sha256=8ab845347770c253433b8bad9b1fbe5d6ac71b3d07a1a28dae8a32cfde732ddc | physical_pdf_page=60 | section=Thruster body global vibration | clause=6.6.5.5 | checks=independent_full_text_page_layout; numbers_units_operators_equations; normalized_rule_meaning; five_category_classification | status=LOCKED</x:v>
      </x:c>
      <x:c r="S111" s="108" t="str">
        <x:v>60_complex_propeller_diameter (Complex)</x:v>
      </x:c>
      <x:c r="T111" s="108" t="str">
        <x:v>PASS - source/page/clause/meaning/category reverified</x:v>
      </x:c>
      <x:c r="U111" s="108" t="str">
        <x:v>LOCKED - extraction reverified</x:v>
      </x:c>
      <x:c r="V111" s="112" t="str">
        <x:v>Second-pass extraction lock covers source identity, physical PDF page span, section/clause, ASCII transcription, normalized meaning, and verification category. SHACL shapes remain a separate implementation artifact.</x:v>
      </x:c>
      <x:c r="W111" s="112" t="str">
        <x:v>https://www.finlex.fi/en/authorities/regulations/traficom-transport-maritime/2021/47238</x:v>
      </x:c>
      <x:c r="X111" s="112" t="str">
        <x:v>No explicit data variable identified</x:v>
      </x:c>
      <x:c r="Y111" s="112" t="str">
        <x:v>Analysis-input/result constraint; encode values with units and retain clause/page provenance.</x:v>
      </x:c>
    </x:row>
    <x:row r="112" ht="92" customHeight="1">
      <x:c r="A112" s="108" t="str">
        <x:v>TRF-120</x:v>
      </x:c>
      <x:c r="B112" s="108" t="str">
        <x:v>Ice Class Regulations and the Application Thereof</x:v>
      </x:c>
      <x:c r="C112" s="108" t="str">
        <x:v>TRAFICOM/68863/03.04.01.00/2021</x:v>
      </x:c>
      <x:c r="D112" s="163" t="n">
        <x:v>60</x:v>
      </x:c>
      <x:c r="E112" s="108" t="str">
        <x:v>Thruster body global vibration</x:v>
      </x:c>
      <x:c r="F112" s="108" t="str">
        <x:v>6.6.5.5</x:v>
      </x:c>
      <x:c r="G112" s="113" t="str">
        <x:v>Static</x:v>
      </x:c>
      <x:c r="H112" s="109" t="str">
        <x:v>When estimating thruster global natural frequencies in the longitudinal and transverse direction, the damping and added mass due to water must be taken into account. In addition to this, the effect of ship attachment stiffness must be modelled.</x:v>
      </x:c>
      <x:c r="I112" s="110" t="str">
        <x:v>When estimating thruster global natural frequencies in the longitudinal and transverse direction, the damping and added mass due to water must be taken into account. In addition to this, the effect of ship attachment stiffness must be modelled.</x:v>
      </x:c>
      <x:c r="J112" s="111" t="str">
        <x:v>No explicit data variable identified</x:v>
      </x:c>
      <x:c r="K112" s="111" t="str">
        <x:v>No direct AnchorMap term found; propose a code-safe alias during SHACL design</x:v>
      </x:c>
      <x:c r="L112" s="114" t="str">
        <x:v>High</x:v>
      </x:c>
      <x:c r="M112" s="111" t="str">
        <x:v>Conditional/applicability constraint</x:v>
      </x:c>
      <x:c r="N112" s="108" t="str">
        <x:v>Direct verification of a stated property, document, presence condition, enumeration, applicability rule, prohibition, or fixed limit.</x:v>
      </x:c>
      <x:c r="O112" s="113" t="str">
        <x:v>No</x:v>
      </x:c>
      <x:c r="P112" s="113" t="str">
        <x:v>Included - source reverified and locked</x:v>
      </x:c>
      <x:c r="Q112" s="108" t="str">
        <x:v>LOCK-2026-08-10: No source, page, clause, category, or normalized-meaning correction was required. Source wording was checked against the supplied PDF; equation notation is ASCII-linearized.</x:v>
      </x:c>
      <x:c r="R112" s="108" t="str">
        <x:v>LOCK-2026-08-11-R2 | source_pdf=TRAFICOM.pdf | source_sha256=8ab845347770c253433b8bad9b1fbe5d6ac71b3d07a1a28dae8a32cfde732ddc | physical_pdf_page=60 | section=Thruster body global vibration | clause=6.6.5.5 | checks=independent_full_text_page_layout; numbers_units_operators_equations; normalized_rule_meaning; five_category_classification | status=LOCKED</x:v>
      </x:c>
      <x:c r="S112" s="108" t="str">
        <x:v>No close match among the thesis repository's 90 input cases.</x:v>
      </x:c>
      <x:c r="T112" s="108" t="str">
        <x:v>PASS - source/page/clause/meaning/category reverified</x:v>
      </x:c>
      <x:c r="U112" s="108" t="str">
        <x:v>LOCKED - extraction reverified</x:v>
      </x:c>
      <x:c r="V112" s="112" t="str">
        <x:v>Second-pass extraction lock covers source identity, physical PDF page span, section/clause, ASCII transcription, normalized meaning, and verification category. SHACL shapes remain a separate implementation artifact.</x:v>
      </x:c>
      <x:c r="W112" s="112" t="str">
        <x:v>https://www.finlex.fi/en/authorities/regulations/traficom-transport-maritime/2021/47238</x:v>
      </x:c>
      <x:c r="X112" s="112" t="str">
        <x:v>No explicit data variable identified</x:v>
      </x:c>
      <x:c r="Y112" s="112" t="str">
        <x:v>Conditional/applicability constraint; encode values with units and retain clause/page provenance.</x:v>
      </x:c>
    </x:row>
    <x:row r="113" ht="92" customHeight="1">
      <x:c r="A113" s="108" t="str">
        <x:v>TRF-121</x:v>
      </x:c>
      <x:c r="B113" s="108" t="str">
        <x:v>Ice Class Regulations and the Application Thereof</x:v>
      </x:c>
      <x:c r="C113" s="108" t="str">
        <x:v>TRAFICOM/68863/03.04.01.00/2021</x:v>
      </x:c>
      <x:c r="D113" s="163" t="n">
        <x:v>61</x:v>
      </x:c>
      <x:c r="E113" s="108" t="str">
        <x:v>Scope</x:v>
      </x:c>
      <x:c r="F113" s="108" t="str">
        <x:v>6.7.1</x:v>
      </x:c>
      <x:c r="G113" s="113" t="str">
        <x:v>Complex</x:v>
      </x:c>
      <x:c r="H113" s="109"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c r="I113" s="110" t="str">
        <x:v>As an alternative to sections 6.5 and 6.6, a comprehensive design study may be performed to the satisfaction of the Administration or the classification society in question. The study must be based on the ice conditions given for different ice classes in section 6.3. It must include both fatigue and maximum load design calculations and fulfil the pyramid strength principle, as given in section 6.6.1.</x:v>
      </x:c>
      <x:c r="J113" s="111" t="str">
        <x:v>iceClass</x:v>
      </x:c>
      <x:c r="K113" s="111" t="str">
        <x:v>iceClass</x:v>
      </x:c>
      <x:c r="L113" s="114" t="str">
        <x:v>Medium</x:v>
      </x:c>
      <x:c r="M113" s="111" t="str">
        <x:v>Evidence/status constraint</x:v>
      </x:c>
      <x:c r="N113" s="108" t="str">
        <x:v>Verification requires linked conditions, external approval or evidence, an assessment, or a composite workflow.</x:v>
      </x:c>
      <x:c r="O113" s="113" t="str">
        <x:v>No</x:v>
      </x:c>
      <x:c r="P113" s="113" t="str">
        <x:v>Included - source reverified and locked</x:v>
      </x:c>
      <x:c r="Q113" s="108" t="str">
        <x:v>LOCK-2026-08-10: No source, page, clause, category, or normalized-meaning correction was required. Source wording was checked against the supplied PDF; equation notation is ASCII-linearized.</x:v>
      </x:c>
      <x:c r="R113" s="108" t="str">
        <x:v>LOCK-2026-08-11-R2 | source_pdf=TRAFICOM.pdf | source_sha256=8ab845347770c253433b8bad9b1fbe5d6ac71b3d07a1a28dae8a32cfde732ddc | physical_pdf_page=61 | section=Scope | clause=6.7.1 | checks=independent_full_text_page_layout; numbers_units_operators_equations; normalized_rule_meaning; five_category_classification | status=LOCKED</x:v>
      </x:c>
      <x:c r="S113" s="108" t="str">
        <x:v>72_complex_number_of_ice_loads (Complex); 53_complex_web_frame_ice_load (Complex); 81_complex_characteristic_fatigue_strength (Complex)</x:v>
      </x:c>
      <x:c r="T113" s="108" t="str">
        <x:v>PASS - source/page/clause/meaning/category reverified</x:v>
      </x:c>
      <x:c r="U113" s="108" t="str">
        <x:v>LOCKED - extraction reverified</x:v>
      </x:c>
      <x:c r="V113" s="112" t="str">
        <x:v>Second-pass extraction lock covers source identity, physical PDF page span, section/clause, ASCII transcription, normalized meaning, and verification category. SHACL shapes remain a separate implementation artifact.</x:v>
      </x:c>
      <x:c r="W113" s="112" t="str">
        <x:v>https://www.finlex.fi/en/authorities/regulations/traficom-transport-maritime/2021/47238</x:v>
      </x:c>
      <x:c r="X113" s="112" t="str">
        <x:v>iceClass</x:v>
      </x:c>
      <x:c r="Y113" s="112" t="str">
        <x:v>Evidence/status constraint; encode values with units and retain clause/page provenance.</x:v>
      </x:c>
    </x:row>
    <x:row r="114" ht="92" customHeight="1">
      <x:c r="A114" s="108" t="str">
        <x:v>TRF-123</x:v>
      </x:c>
      <x:c r="B114" s="108" t="str">
        <x:v>Ice Class Regulations and the Application Thereof</x:v>
      </x:c>
      <x:c r="C114" s="108" t="str">
        <x:v>TRAFICOM/68863/03.04.01.00/2021</x:v>
      </x:c>
      <x:c r="D114" s="163" t="n">
        <x:v>61</x:v>
      </x:c>
      <x:c r="E114" s="108" t="str">
        <x:v>Design levels</x:v>
      </x:c>
      <x:c r="F114" s="108" t="str">
        <x:v>6.7.3</x:v>
      </x:c>
      <x:c r="G114" s="113" t="str">
        <x:v>Static Calculation</x:v>
      </x:c>
      <x:c r="H114" s="109" t="str">
        <x:v>The analysis must confirm that all components transmitting random (occasional) forces, excluding propeller blade, are not subjected to stress levels in excess of the yield stress of the component material, with a reasonable safety margin.</x:v>
      </x:c>
      <x:c r="I114" s="110" t="str">
        <x:v>The analysis must confirm that all components transmitting random (occasional) forces, excluding propeller blade, are not subjected to stress levels in excess of the yield stress of the component material, with a reasonable safety margin.</x:v>
      </x:c>
      <x:c r="J114" s="111" t="str">
        <x:v>yieldStrength_MPa</x:v>
      </x:c>
      <x:c r="K114" s="111" t="str">
        <x:v>yieldStrength_MPa</x:v>
      </x:c>
      <x:c r="L114" s="114" t="str">
        <x:v>Medium</x:v>
      </x:c>
      <x:c r="M114" s="111" t="str">
        <x:v>Formula-derived constraint</x:v>
      </x:c>
      <x:c r="N114" s="108" t="str">
        <x:v>Deterministic calculation from static design inputs followed by a numeric or logical comparison.</x:v>
      </x:c>
      <x:c r="O114" s="113" t="str">
        <x:v>No</x:v>
      </x:c>
      <x:c r="P114" s="113" t="str">
        <x:v>Included - source reverified and locked</x:v>
      </x:c>
      <x:c r="Q114" s="108" t="str">
        <x:v>LOCK-2026-08-10: No source, page, clause, category, or normalized-meaning correction was required. Source wording was checked against the supplied PDF; equation notation is ASCII-linearized.</x:v>
      </x:c>
      <x:c r="R114" s="108" t="str">
        <x:v>LOCK-2026-08-11-R2 | source_pdf=TRAFICOM.pdf | source_sha256=8ab845347770c253433b8bad9b1fbe5d6ac71b3d07a1a28dae8a32cfde732ddc | physical_pdf_page=61 | section=Design levels | clause=6.7.3 | checks=independent_full_text_page_layout; numbers_units_operators_equations; normalized_rule_meaning; five_category_classification | status=LOCKED</x:v>
      </x:c>
      <x:c r="S114" s="108" t="str">
        <x:v>60_complex_propeller_diameter (Complex)</x:v>
      </x:c>
      <x:c r="T114" s="108" t="str">
        <x:v>PASS - source/page/clause/meaning/category reverified</x:v>
      </x:c>
      <x:c r="U114" s="108" t="str">
        <x:v>LOCKED - extraction reverified</x:v>
      </x:c>
      <x:c r="V114" s="112" t="str">
        <x:v>Second-pass extraction lock covers source identity, physical PDF page span, section/clause, ASCII transcription, normalized meaning, and verification category. SHACL shapes remain a separate implementation artifact.</x:v>
      </x:c>
      <x:c r="W114" s="112" t="str">
        <x:v>https://www.finlex.fi/en/authorities/regulations/traficom-transport-maritime/2021/47238</x:v>
      </x:c>
      <x:c r="X114" s="112" t="str">
        <x:v>yieldStrength_MPa</x:v>
      </x:c>
      <x:c r="Y114" s="112" t="str">
        <x:v>Formula-derived constraint; encode values with units and retain clause/page provenance.</x:v>
      </x:c>
    </x:row>
    <x:row r="115" ht="92" customHeight="1">
      <x:c r="A115" s="108" t="str">
        <x:v>TRF-125</x:v>
      </x:c>
      <x:c r="B115" s="108" t="str">
        <x:v>Ice Class Regulations and the Application Thereof</x:v>
      </x:c>
      <x:c r="C115" s="108" t="str">
        <x:v>TRAFICOM/68863/03.04.01.00/2021</x:v>
      </x:c>
      <x:c r="D115" s="163" t="n">
        <x:v>61</x:v>
      </x:c>
      <x:c r="E115" s="108" t="str">
        <x:v>Design levels</x:v>
      </x:c>
      <x:c r="F115" s="108" t="str">
        <x:v>6.7.3</x:v>
      </x:c>
      <x:c r="G115" s="113" t="str">
        <x:v>Dynamic</x:v>
      </x:c>
      <x:c r="H115" s="109" t="str">
        <x:v>A vibration analysis must be performed and demonstrate that the overall dynamic system is free of the harmful torsional resonances resulting from propeller/ice interaction.</x:v>
      </x:c>
      <x:c r="I115" s="110" t="str">
        <x:v>A vibration analysis must be performed and demonstrate that the overall dynamic system is free of the harmful torsional resonances resulting from propeller/ice interaction.</x:v>
      </x:c>
      <x:c r="J115" s="111" t="str">
        <x:v>No explicit data variable identified</x:v>
      </x:c>
      <x:c r="K115" s="111" t="str">
        <x:v>No direct AnchorMap term found; propose a code-safe alias during SHACL design</x:v>
      </x:c>
      <x:c r="L115" s="114" t="str">
        <x:v>Medium</x:v>
      </x:c>
      <x:c r="M115" s="111" t="str">
        <x:v>Analysis-input/result constraint</x:v>
      </x:c>
      <x:c r="N115" s="108" t="str">
        <x:v>Verification depends on operational, time-stamped, route-dependent, monitored, or simulation-response information.</x:v>
      </x:c>
      <x:c r="O115" s="113" t="str">
        <x:v>No</x:v>
      </x:c>
      <x:c r="P115" s="113" t="str">
        <x:v>Included - source reverified and locked</x:v>
      </x:c>
      <x:c r="Q115" s="108" t="str">
        <x:v>LOCK-2026-08-10: No source, page, clause, category, or normalized-meaning correction was required. Source wording was checked against the supplied PDF; equation notation is ASCII-linearized.</x:v>
      </x:c>
      <x:c r="R115" s="108" t="str">
        <x:v>LOCK-2026-08-11-R2 | source_pdf=TRAFICOM.pdf | source_sha256=8ab845347770c253433b8bad9b1fbe5d6ac71b3d07a1a28dae8a32cfde732ddc | physical_pdf_page=61 | section=Design levels | clause=6.7.3 | checks=independent_full_text_page_layout; numbers_units_operators_equations; normalized_rule_meaning; five_category_classification | status=LOCKED</x:v>
      </x:c>
      <x:c r="S115" s="108" t="str">
        <x:v>59_complex_propeller_torque (Complex); 60_complex_propeller_diameter (Complex)</x:v>
      </x:c>
      <x:c r="T115" s="108" t="str">
        <x:v>PASS - source/page/clause/meaning/category reverified</x:v>
      </x:c>
      <x:c r="U115" s="108" t="str">
        <x:v>LOCKED - extraction reverified</x:v>
      </x:c>
      <x:c r="V115" s="112" t="str">
        <x:v>Second-pass extraction lock covers source identity, physical PDF page span, section/clause, ASCII transcription, normalized meaning, and verification category. SHACL shapes remain a separate implementation artifact.</x:v>
      </x:c>
      <x:c r="W115" s="112" t="str">
        <x:v>https://www.finlex.fi/en/authorities/regulations/traficom-transport-maritime/2021/47238</x:v>
      </x:c>
      <x:c r="X115" s="112" t="str">
        <x:v>No explicit data variable identified</x:v>
      </x:c>
      <x:c r="Y115" s="112" t="str">
        <x:v>Analysis-input/result constraint; encode values with units and retain clause/page provenance.</x:v>
      </x:c>
    </x:row>
    <x:row r="116" ht="92" customHeight="1">
      <x:c r="A116" s="108" t="str">
        <x:v>TRF-126</x:v>
      </x:c>
      <x:c r="B116" s="108" t="str">
        <x:v>Ice Class Regulations and the Application Thereof</x:v>
      </x:c>
      <x:c r="C116" s="108" t="str">
        <x:v>TRAFICOM/68863/03.04.01.00/2021</x:v>
      </x:c>
      <x:c r="D116" s="163" t="n">
        <x:v>61</x:v>
      </x:c>
      <x:c r="E116" s="108" t="str">
        <x:v>Starting arrangements</x:v>
      </x:c>
      <x:c r="F116" s="108" t="str">
        <x:v>7.1</x:v>
      </x:c>
      <x:c r="G116" s="113" t="str">
        <x:v>Static</x:v>
      </x:c>
      <x:c r="H116" s="109" t="str">
        <x:v>The capacity of the air receivers must be sufficient to provide no less than 12 consecutive starts of the propulsion engine without reloading, if it has to be reversed for moving astern, or 6 consecutive starts if the propulsion engine does not have to be reversed for moving astern.</x:v>
      </x:c>
      <x:c r="I116" s="110" t="str">
        <x:v>IF propulsion_engine_reversed_for_astern = true, THEN air_receiver_consecutive_start_capacity &gt;= 12; otherwise air_receiver_consecutive_start_capacity &gt;= 6.</x:v>
      </x:c>
      <x:c r="J116" s="111" t="str">
        <x:v>airReceiverCapacity_Nm3</x:v>
      </x:c>
      <x:c r="K116" s="111" t="str">
        <x:v>airReceiverCapacity_Nm3</x:v>
      </x:c>
      <x:c r="L116" s="114" t="str">
        <x:v>High</x:v>
      </x:c>
      <x:c r="M116" s="111" t="str">
        <x:v>Conditional/applicability constraint</x:v>
      </x:c>
      <x:c r="N116" s="108" t="str">
        <x:v>Direct verification of a stated property, document, presence condition, enumeration, applicability rule, prohibition, or fixed limit.</x:v>
      </x:c>
      <x:c r="O116" s="113" t="str">
        <x:v>No</x:v>
      </x:c>
      <x:c r="P116" s="113" t="str">
        <x:v>Included - source reverified and locked</x:v>
      </x:c>
      <x:c r="Q116" s="108" t="str">
        <x:v>LOCK-2026-08-10: Restored the alternative six-start requirement. Final source lock check completed against the supplied PDF; equation notation is ASCII-linearized.</x:v>
      </x:c>
      <x:c r="R116" s="108" t="str">
        <x:v>LOCK-2026-08-11-R2 | source_pdf=TRAFICOM.pdf | source_sha256=8ab845347770c253433b8bad9b1fbe5d6ac71b3d07a1a28dae8a32cfde732ddc | physical_pdf_page=61 | section=Starting arrangements | clause=7.1 | checks=independent_full_text_page_layout; numbers_units_operators_equations; normalized_rule_meaning; five_category_classification | status=LOCKED</x:v>
      </x:c>
      <x:c r="S116" s="108" t="str">
        <x:v>14_static_air_receiver_capacity_reversible (Static); 15_static_air_receiver_capacity_nonreversible (Static)</x:v>
      </x:c>
      <x:c r="T116" s="108" t="str">
        <x:v>PASS - source/page/clause/meaning/category reverified</x:v>
      </x:c>
      <x:c r="U116" s="108" t="str">
        <x:v>LOCKED - extraction reverified</x:v>
      </x:c>
      <x:c r="V116" s="112" t="str">
        <x:v>Second-pass extraction lock covers source identity, physical PDF page span, section/clause, ASCII transcription, normalized meaning, and verification category. SHACL shapes remain a separate implementation artifact.</x:v>
      </x:c>
      <x:c r="W116" s="112" t="str">
        <x:v>https://www.finlex.fi/en/authorities/regulations/traficom-transport-maritime/2021/47238</x:v>
      </x:c>
      <x:c r="X116" s="112" t="str">
        <x:v>airReceiverCapacity_Nm3</x:v>
      </x:c>
      <x:c r="Y116" s="112" t="str">
        <x:v>Conditional/applicability constraint; encode values with units and retain clause/page provenance.</x:v>
      </x:c>
    </x:row>
    <x:row r="117" ht="92" customHeight="1">
      <x:c r="A117" s="108" t="str">
        <x:v>TRF-127</x:v>
      </x:c>
      <x:c r="B117" s="108" t="str">
        <x:v>Ice Class Regulations and the Application Thereof</x:v>
      </x:c>
      <x:c r="C117" s="108" t="str">
        <x:v>TRAFICOM/68863/03.04.01.00/2021</x:v>
      </x:c>
      <x:c r="D117" s="163" t="n">
        <x:v>61</x:v>
      </x:c>
      <x:c r="E117" s="108" t="str">
        <x:v>Starting arrangements</x:v>
      </x:c>
      <x:c r="F117" s="108" t="str">
        <x:v>7.1</x:v>
      </x:c>
      <x:c r="G117" s="113" t="str">
        <x:v>Static</x:v>
      </x:c>
      <x:c r="H117" s="109" t="str">
        <x:v>If the air receivers serve any purposes other than starting the propulsion engine, they must have additional capacity sufficient for such purposes.</x:v>
      </x:c>
      <x:c r="I117" s="110" t="str">
        <x:v>If the air receivers serve any purposes other than starting the propulsion engine, they must have additional capacity sufficient for such purposes.</x:v>
      </x:c>
      <x:c r="J117" s="111" t="str">
        <x:v>airReceiverCapacity_Nm3</x:v>
      </x:c>
      <x:c r="K117" s="111" t="str">
        <x:v>airReceiverCapacity_Nm3</x:v>
      </x:c>
      <x:c r="L117" s="114" t="str">
        <x:v>High</x:v>
      </x:c>
      <x:c r="M117" s="111" t="str">
        <x:v>Conditional/applicability constraint</x:v>
      </x:c>
      <x:c r="N117" s="108" t="str">
        <x:v>Direct verification of a stated property, document, presence condition, enumeration, applicability rule, prohibition, or fixed limit.</x:v>
      </x:c>
      <x:c r="O117" s="113" t="str">
        <x:v>No</x:v>
      </x:c>
      <x:c r="P117" s="113" t="str">
        <x:v>Included - source reverified and locked</x:v>
      </x:c>
      <x:c r="Q117" s="108" t="str">
        <x:v>LOCK-2026-08-10: No source, page, clause, category, or normalized-meaning correction was required. Source wording was checked against the supplied PDF; equation notation is ASCII-linearized.</x:v>
      </x:c>
      <x:c r="R117" s="108" t="str">
        <x:v>LOCK-2026-08-11-R2 | source_pdf=TRAFICOM.pdf | source_sha256=8ab845347770c253433b8bad9b1fbe5d6ac71b3d07a1a28dae8a32cfde732ddc | physical_pdf_page=61 | section=Starting arrangements | clause=7.1 | checks=independent_full_text_page_layout; numbers_units_operators_equations; normalized_rule_meaning; five_category_classification | status=LOCKED</x:v>
      </x:c>
      <x:c r="S117" s="108" t="str">
        <x:v>15_static_air_receiver_capacity_nonreversible (Static)</x:v>
      </x:c>
      <x:c r="T117" s="108" t="str">
        <x:v>PASS - source/page/clause/meaning/category reverified</x:v>
      </x:c>
      <x:c r="U117" s="108" t="str">
        <x:v>LOCKED - extraction reverified</x:v>
      </x:c>
      <x:c r="V117" s="112" t="str">
        <x:v>Second-pass extraction lock covers source identity, physical PDF page span, section/clause, ASCII transcription, normalized meaning, and verification category. SHACL shapes remain a separate implementation artifact.</x:v>
      </x:c>
      <x:c r="W117" s="112" t="str">
        <x:v>https://www.finlex.fi/en/authorities/regulations/traficom-transport-maritime/2021/47238</x:v>
      </x:c>
      <x:c r="X117" s="112" t="str">
        <x:v>airReceiverCapacity_Nm3</x:v>
      </x:c>
      <x:c r="Y117" s="112" t="str">
        <x:v>Conditional/applicability constraint; encode values with units and retain clause/page provenance.</x:v>
      </x:c>
    </x:row>
    <x:row r="118" ht="92" customHeight="1">
      <x:c r="A118" s="108" t="str">
        <x:v>TRF-128</x:v>
      </x:c>
      <x:c r="B118" s="108" t="str">
        <x:v>Ice Class Regulations and the Application Thereof</x:v>
      </x:c>
      <x:c r="C118" s="108" t="str">
        <x:v>TRAFICOM/68863/03.04.01.00/2021</x:v>
      </x:c>
      <x:c r="D118" s="163" t="n">
        <x:v>61</x:v>
      </x:c>
      <x:c r="E118" s="108" t="str">
        <x:v>Starting arrangements</x:v>
      </x:c>
      <x:c r="F118" s="108" t="str">
        <x:v>7.1</x:v>
      </x:c>
      <x:c r="G118" s="113" t="str">
        <x:v>Static Calculation</x:v>
      </x:c>
      <x:c r="H118" s="109"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I118" s="110"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J118" s="111" t="str">
        <x:v>iceClass, airReceiverCapacity_Nm3, compressorChargeTime_h</x:v>
      </x:c>
      <x:c r="K118" s="111" t="str">
        <x:v>iceClass, airReceiverCapacity_Nm3, compressorChargeTime_h</x:v>
      </x:c>
      <x:c r="L118" s="114" t="str">
        <x:v>High</x:v>
      </x:c>
      <x:c r="M118" s="111" t="str">
        <x:v>Formula-derived constraint</x:v>
      </x:c>
      <x:c r="N118" s="108" t="str">
        <x:v>Deterministic calculation from static design inputs followed by a numeric or logical comparison.</x:v>
      </x:c>
      <x:c r="O118" s="113" t="str">
        <x:v>No</x:v>
      </x:c>
      <x:c r="P118" s="113" t="str">
        <x:v>Included - source reverified and locked</x:v>
      </x:c>
      <x:c r="Q118" s="108" t="str">
        <x:v>LOCK-2026-08-10: No source, page, clause, category, or normalized-meaning correction was required. Source wording was checked against the supplied PDF; equation notation is ASCII-linearized.</x:v>
      </x:c>
      <x:c r="R118" s="108" t="str">
        <x:v>LOCK-2026-08-11-R2 | source_pdf=TRAFICOM.pdf | source_sha256=8ab845347770c253433b8bad9b1fbe5d6ac71b3d07a1a28dae8a32cfde732ddc | physical_pdf_page=61 | section=Starting arrangements | clause=7.1 | checks=independent_full_text_page_layout; numbers_units_operators_equations; normalized_rule_meaning; five_category_classification | status=LOCKED</x:v>
      </x:c>
      <x:c r="S118" s="108" t="str">
        <x:v>16_static_air_compressor_charge_time (Static); 05_static_brash_ice_thickness (Static)</x:v>
      </x:c>
      <x:c r="T118" s="108" t="str">
        <x:v>PASS - source/page/clause/meaning/category reverified</x:v>
      </x:c>
      <x:c r="U118" s="108" t="str">
        <x:v>LOCKED - extraction reverified</x:v>
      </x:c>
      <x:c r="V118" s="112" t="str">
        <x:v>Second-pass extraction lock covers source identity, physical PDF page span, section/clause, ASCII transcription, normalized meaning, and verification category. SHACL shapes remain a separate implementation artifact.</x:v>
      </x:c>
      <x:c r="W118" s="112" t="str">
        <x:v>https://www.finlex.fi/en/authorities/regulations/traficom-transport-maritime/2021/47238</x:v>
      </x:c>
      <x:c r="X118" s="112" t="str">
        <x:v>iceClass, airReceiverCapacity_Nm3, compressorChargeTime_h</x:v>
      </x:c>
      <x:c r="Y118" s="112" t="str">
        <x:v>Formula-derived constraint; encode values with units and retain clause/page provenance.</x:v>
      </x:c>
    </x:row>
    <x:row r="119" ht="92" customHeight="1">
      <x:c r="A119" s="108" t="str">
        <x:v>TRF-129</x:v>
      </x:c>
      <x:c r="B119" s="108" t="str">
        <x:v>Ice Class Regulations and the Application Thereof</x:v>
      </x:c>
      <x:c r="C119" s="108" t="str">
        <x:v>TRAFICOM/68863/03.04.01.00/2021</x:v>
      </x:c>
      <x:c r="D119" s="163" t="n">
        <x:v>61</x:v>
      </x:c>
      <x:c r="E119" s="108" t="str">
        <x:v>Sea inlet and cooling water systems</x:v>
      </x:c>
      <x:c r="F119" s="108" t="str">
        <x:v>7.2</x:v>
      </x:c>
      <x:c r="G119" s="113" t="str">
        <x:v>Static</x:v>
      </x:c>
      <x:c r="H119" s="109" t="str">
        <x:v>The cooling water system shall be designed to secure the supply of cooling water when navigating in ice.</x:v>
      </x:c>
      <x:c r="I119" s="110" t="str">
        <x:v>The cooling water system shall be designed to secure the supply of cooling water when navigating in ice.</x:v>
      </x:c>
      <x:c r="J119" s="111" t="str">
        <x:v>No explicit data variable identified</x:v>
      </x:c>
      <x:c r="K119" s="111" t="str">
        <x:v>No direct AnchorMap term found; propose a code-safe alias during SHACL design</x:v>
      </x:c>
      <x:c r="L119" s="114" t="str">
        <x:v>High</x:v>
      </x:c>
      <x:c r="M119" s="111" t="str">
        <x:v>Conditional/applicability constraint</x:v>
      </x:c>
      <x:c r="N119" s="108" t="str">
        <x:v>Direct verification of a stated property, document, presence condition, enumeration, applicability rule, prohibition, or fixed limit.</x:v>
      </x:c>
      <x:c r="O119" s="113" t="str">
        <x:v>No</x:v>
      </x:c>
      <x:c r="P119" s="113" t="str">
        <x:v>Included - source reverified and locked</x:v>
      </x:c>
      <x:c r="Q119" s="108" t="str">
        <x:v>LOCK-2026-08-10: No source, page, clause, category, or normalized-meaning correction was required. Source wording was checked against the supplied PDF; equation notation is ASCII-linearized.</x:v>
      </x:c>
      <x:c r="R119" s="108" t="str">
        <x:v>LOCK-2026-08-11-R2 | source_pdf=TRAFICOM.pdf | source_sha256=8ab845347770c253433b8bad9b1fbe5d6ac71b3d07a1a28dae8a32cfde732ddc | physical_pdf_page=61 | section=Sea inlet and cooling water systems | clause=7.2 | checks=independent_full_text_page_layout; numbers_units_operators_equations; normalized_rule_meaning; five_category_classification | status=LOCKED</x:v>
      </x:c>
      <x:c r="S119" s="108" t="str">
        <x:v>No close match among the thesis repository's 90 input cases.</x:v>
      </x:c>
      <x:c r="T119" s="108" t="str">
        <x:v>PASS - source/page/clause/meaning/category reverified</x:v>
      </x:c>
      <x:c r="U119" s="108" t="str">
        <x:v>LOCKED - extraction reverified</x:v>
      </x:c>
      <x:c r="V119" s="112" t="str">
        <x:v>Second-pass extraction lock covers source identity, physical PDF page span, section/clause, ASCII transcription, normalized meaning, and verification category. SHACL shapes remain a separate implementation artifact.</x:v>
      </x:c>
      <x:c r="W119" s="112" t="str">
        <x:v>https://www.finlex.fi/en/authorities/regulations/traficom-transport-maritime/2021/47238</x:v>
      </x:c>
      <x:c r="X119" s="112" t="str">
        <x:v>No explicit data variable identified</x:v>
      </x:c>
      <x:c r="Y119" s="112" t="str">
        <x:v>Conditional/applicability constraint; encode values with units and retain clause/page provenance.</x:v>
      </x:c>
    </x:row>
    <x:row r="120" ht="92" customHeight="1">
      <x:c r="A120" s="108" t="str">
        <x:v>TRF-130</x:v>
      </x:c>
      <x:c r="B120" s="108" t="str">
        <x:v>Ice Class Regulations and the Application Thereof</x:v>
      </x:c>
      <x:c r="C120" s="108" t="str">
        <x:v>TRAFICOM/68863/03.04.01.00/2021</x:v>
      </x:c>
      <x:c r="D120" s="163" t="n">
        <x:v>62</x:v>
      </x:c>
      <x:c r="E120" s="108" t="str">
        <x:v>Sea inlet and cooling water systems</x:v>
      </x:c>
      <x:c r="F120" s="108" t="str">
        <x:v>7.2</x:v>
      </x:c>
      <x:c r="G120" s="113" t="str">
        <x:v>Static</x:v>
      </x:c>
      <x:c r="H120" s="109" t="str">
        <x:v>For this purpose, at least one cooling water inlet chest shall be arranged as follows: 1. The sea inlet shall be situated near the centreline of the ship and well aft, if possible. 2. Guidance for designing the volume of the chest shall be around one cubic metre for every 750 kW in engine output of the ship, including the output of auxiliary engines necessary for the operation of the ship. 3. The chest shall be sufficiently high to allow ice to accumulate above the inlet pipe. 4. A pipe for discharge cooling water, allowing full capacity discharge, shall be connected to the chest. 5. The open area of the strainer plates shall be no less than four (4) times the inlet pipe sectional area. If there are difficulties in meeting the requirements of paragraphs 2 and 3 above, two smaller chests may be arranged for alternating the intake and discharge of cooling water. Otherwise, the arrangements and situation shall be as above. Heating coils may be installed in the upper part of the sea chest.</x:v>
      </x:c>
      <x:c r="I120" s="110"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J120" s="111" t="str">
        <x:v>mcrPower_kW, seaChestVolume_m3, strainerOpenAreaRatio</x:v>
      </x:c>
      <x:c r="K120" s="111" t="str">
        <x:v>mcrPower_kW, seaChestVolume_m3, strainerOpenAreaRatio</x:v>
      </x:c>
      <x:c r="L120" s="114" t="str">
        <x:v>High</x:v>
      </x:c>
      <x:c r="M120" s="111" t="str">
        <x:v>Conditional/applicability constraint</x:v>
      </x:c>
      <x:c r="N120" s="108" t="str">
        <x:v>Direct verification of a stated property, document, presence condition, enumeration, applicability rule, prohibition, or fixed limit.</x:v>
      </x:c>
      <x:c r="O120" s="113" t="str">
        <x:v>No</x:v>
      </x:c>
      <x:c r="P120" s="113" t="str">
        <x:v>Included - source reverified and locked</x:v>
      </x:c>
      <x:c r="Q120" s="108" t="str">
        <x:v>LOCK-2026-08-10: Expanded the normalized rule from item 1 to all five inlet-chest conditions and the two-chest alternative. Final source lock check completed against the supplied PDF; equation notation is ASCII-linearized.</x:v>
      </x:c>
      <x:c r="R120" s="108" t="str">
        <x:v>LOCK-2026-08-11-R2 | source_pdf=TRAFICOM.pdf | source_sha256=8ab845347770c253433b8bad9b1fbe5d6ac71b3d07a1a28dae8a32cfde732ddc | physical_pdf_page=62 | section=Sea inlet and cooling water systems | clause=7.2 | checks=independent_full_text_page_layout; numbers_units_operators_equations; normalized_rule_meaning; five_category_classification | status=LOCKED</x:v>
      </x:c>
      <x:c r="S120" s="108" t="str">
        <x:v>22_static_sea_inlet_location (Static)</x:v>
      </x:c>
      <x:c r="T120" s="108" t="str">
        <x:v>PASS - source/page/clause/meaning/category reverified</x:v>
      </x:c>
      <x:c r="U120" s="108" t="str">
        <x:v>LOCKED - extraction reverified</x:v>
      </x:c>
      <x:c r="V120" s="112" t="str">
        <x:v>Second-pass extraction lock covers source identity, physical PDF page span, section/clause, ASCII transcription, normalized meaning, and verification category. SHACL shapes remain a separate implementation artifact.</x:v>
      </x:c>
      <x:c r="W120" s="112" t="str">
        <x:v>https://www.finlex.fi/en/authorities/regulations/traficom-transport-maritime/2021/47238</x:v>
      </x:c>
      <x:c r="X120" s="112" t="str">
        <x:v>mcrPower_kW, seaChestVolume_m3, strainerOpenAreaRatio</x:v>
      </x:c>
      <x:c r="Y120" s="112" t="str">
        <x:v>Conditional/applicability constraint; encode values with units and retain clause/page provenance.</x:v>
      </x:c>
    </x:row>
    <x:row r="121" ht="92" customHeight="1">
      <x:c r="A121" s="108" t="str">
        <x:v>TRF-131</x:v>
      </x:c>
      <x:c r="B121" s="108" t="str">
        <x:v>Ice Class Regulations and the Application Thereof</x:v>
      </x:c>
      <x:c r="C121" s="108" t="str">
        <x:v>TRAFICOM/68863/03.04.01.00/2021</x:v>
      </x:c>
      <x:c r="D121" s="163" t="n">
        <x:v>62</x:v>
      </x:c>
      <x:c r="E121" s="108" t="str">
        <x:v>Sea inlet and cooling water systems</x:v>
      </x:c>
      <x:c r="F121" s="108" t="str">
        <x:v>7.2</x:v>
      </x:c>
      <x:c r="G121" s="113" t="str">
        <x:v>Static</x:v>
      </x:c>
      <x:c r="H121" s="109" t="str">
        <x:v>Arrangements for using ballast water for cooling purposes may be useful as a reserve in terms of ballast, but cannot be accepted as a substitute for an inlet chest as described above.</x:v>
      </x:c>
      <x:c r="I121" s="110" t="str">
        <x:v>Arrangements for using ballast water for cooling purposes may be useful as a reserve in terms of ballast, but cannot be accepted as a substitute for an inlet chest as described above.</x:v>
      </x:c>
      <x:c r="J121" s="111" t="str">
        <x:v>No explicit data variable identified</x:v>
      </x:c>
      <x:c r="K121" s="111" t="str">
        <x:v>No direct AnchorMap term found; propose a code-safe alias during SHACL design</x:v>
      </x:c>
      <x:c r="L121" s="114" t="str">
        <x:v>High</x:v>
      </x:c>
      <x:c r="M121" s="111" t="str">
        <x:v>Direct property/presence constraint</x:v>
      </x:c>
      <x:c r="N121" s="108" t="str">
        <x:v>Direct verification of a stated property, document, presence condition, enumeration, applicability rule, prohibition, or fixed limit.</x:v>
      </x:c>
      <x:c r="O121" s="113" t="str">
        <x:v>No</x:v>
      </x:c>
      <x:c r="P121" s="113" t="str">
        <x:v>Included - source reverified and locked</x:v>
      </x:c>
      <x:c r="Q121" s="108" t="str">
        <x:v>LOCK-2026-08-10: No source, page, clause, category, or normalized-meaning correction was required. Source wording was checked against the supplied PDF; equation notation is ASCII-linearized.</x:v>
      </x:c>
      <x:c r="R121" s="108" t="str">
        <x:v>LOCK-2026-08-11-R2 | source_pdf=TRAFICOM.pdf | source_sha256=8ab845347770c253433b8bad9b1fbe5d6ac71b3d07a1a28dae8a32cfde732ddc | physical_pdf_page=62 | section=Sea inlet and cooling water systems | clause=7.2 | checks=independent_full_text_page_layout; numbers_units_operators_equations; normalized_rule_meaning; five_category_classification | status=LOCKED</x:v>
      </x:c>
      <x:c r="S121" s="108" t="str">
        <x:v>No close match among the thesis repository's 90 input cases.</x:v>
      </x:c>
      <x:c r="T121" s="108" t="str">
        <x:v>PASS - source/page/clause/meaning/category reverified</x:v>
      </x:c>
      <x:c r="U121" s="108" t="str">
        <x:v>LOCKED - extraction reverified</x:v>
      </x:c>
      <x:c r="V121" s="112" t="str">
        <x:v>Second-pass extraction lock covers source identity, physical PDF page span, section/clause, ASCII transcription, normalized meaning, and verification category. SHACL shapes remain a separate implementation artifact.</x:v>
      </x:c>
      <x:c r="W121" s="112" t="str">
        <x:v>https://www.finlex.fi/en/authorities/regulations/traficom-transport-maritime/2021/47238</x:v>
      </x:c>
      <x:c r="X121" s="112" t="str">
        <x:v>No explicit data variable identified</x:v>
      </x:c>
      <x:c r="Y121" s="112" t="str">
        <x:v>Direct property/presence constraint; encode values with units and retain clause/page provenance.</x:v>
      </x:c>
    </x:row>
    <x:row r="122" ht="92" customHeight="1">
      <x:c r="A122" s="108" t="str">
        <x:v>TRF-132</x:v>
      </x:c>
      <x:c r="B122" s="108" t="str">
        <x:v>Ice Class Regulations and the Application Thereof</x:v>
      </x:c>
      <x:c r="C122" s="108" t="str">
        <x:v>TRAFICOM/68863/03.04.01.00/2021</x:v>
      </x:c>
      <x:c r="D122" s="163" t="n">
        <x:v>64</x:v>
      </x:c>
      <x:c r="E122" s="108" t="str">
        <x:v>ENTRY INTO FORCE</x:v>
      </x:c>
      <x:c r="F122" s="108" t="str">
        <x:v>8</x:v>
      </x:c>
      <x:c r="G122" s="113" t="str">
        <x:v>Static Calculation</x:v>
      </x:c>
      <x:c r="H122" s="109" t="str">
        <x:v>The engine output shall be no less than P = f_1*f_2*f_3*(f_4*Delta + P_0) [kW], and in no case less than 740 kW for ice classes IB and IC.</x:v>
      </x:c>
      <x:c r="I122" s="110" t="str">
        <x:v>The engine output shall be no less than P = f_1*f_2*f_3*(f_4*Delta + P_0) [kW], and in no case less than 740 kW for ice classes IB and IC.</x:v>
      </x:c>
      <x:c r="J122" s="111" t="str">
        <x:v>iceClass, mcrPower_kW</x:v>
      </x:c>
      <x:c r="K122" s="111" t="str">
        <x:v>iceClass, mcrPower_kW</x:v>
      </x:c>
      <x:c r="L122" s="114" t="str">
        <x:v>High</x:v>
      </x:c>
      <x:c r="M122" s="111" t="str">
        <x:v>Formula-derived constraint</x:v>
      </x:c>
      <x:c r="N122" s="108" t="str">
        <x:v>Deterministic calculation from static design inputs followed by a numeric or logical comparison.</x:v>
      </x:c>
      <x:c r="O122" s="113" t="str">
        <x:v>No</x:v>
      </x:c>
      <x:c r="P122" s="113" t="str">
        <x:v>Included - source reverified and locked</x:v>
      </x:c>
      <x:c r="Q122" s="108" t="str">
        <x:v>LOCK-2026-08-10: No source, page, clause, category, or normalized-meaning correction was required. Source wording was checked against the supplied PDF; equation notation is ASCII-linearized.</x:v>
      </x:c>
      <x:c r="R122" s="108" t="str">
        <x:v>LOCK-2026-08-11-R2 | source_pdf=TRAFICOM.pdf | source_sha256=8ab845347770c253433b8bad9b1fbe5d6ac71b3d07a1a28dae8a32cfde732ddc | physical_pdf_page=64 | section=ENTRY INTO FORCE | clause=8 | checks=independent_full_text_page_layout; numbers_units_operators_equations; normalized_rule_meaning; five_category_classification | status=LOCKED</x:v>
      </x:c>
      <x:c r="S122" s="108" t="str">
        <x:v>13_static_existing_ib_ic_min_power_740 (Static); 44_complex_engine_power_both_draughts (Complex); 46_complex_design_ice_pressure (Complex)</x:v>
      </x:c>
      <x:c r="T122" s="108" t="str">
        <x:v>PASS - source/page/clause/meaning/category reverified</x:v>
      </x:c>
      <x:c r="U122" s="108" t="str">
        <x:v>LOCKED - extraction reverified</x:v>
      </x:c>
      <x:c r="V122" s="112" t="str">
        <x:v>Second-pass extraction lock covers source identity, physical PDF page span, section/clause, ASCII transcription, normalized meaning, and verification category. SHACL shapes remain a separate implementation artifact.</x:v>
      </x:c>
      <x:c r="W122" s="112" t="str">
        <x:v>https://www.finlex.fi/en/authorities/regulations/traficom-transport-maritime/2021/47238</x:v>
      </x:c>
      <x:c r="X122" s="112" t="str">
        <x:v>iceClass, mcrPower_kW</x:v>
      </x:c>
      <x:c r="Y122" s="112" t="str">
        <x:v>Formula-derived constraint; encode values with units and retain clause/page provenance.</x:v>
      </x:c>
    </x:row>
    <x:row r="123" ht="92" customHeight="1">
      <x:c r="A123" s="108" t="str">
        <x:v>TRF-133</x:v>
      </x:c>
      <x:c r="B123" s="108" t="str">
        <x:v>Ice Class Regulations and the Application Thereof</x:v>
      </x:c>
      <x:c r="C123" s="108" t="str">
        <x:v>TRAFICOM/68863/03.04.01.00/2021</x:v>
      </x:c>
      <x:c r="D123" s="163" t="n">
        <x:v>65</x:v>
      </x:c>
      <x:c r="E123" s="108" t="str">
        <x:v>ENTRY INTO FORCE</x:v>
      </x:c>
      <x:c r="F123" s="108" t="str">
        <x:v>8</x:v>
      </x:c>
      <x:c r="G123" s="113" t="str">
        <x:v>Static</x:v>
      </x:c>
      <x:c r="H123" s="109"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I123" s="110"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J123" s="111" t="str">
        <x:v>iceClass</x:v>
      </x:c>
      <x:c r="K123" s="111" t="str">
        <x:v>iceClass</x:v>
      </x:c>
      <x:c r="L123" s="114" t="str">
        <x:v>High</x:v>
      </x:c>
      <x:c r="M123" s="111" t="str">
        <x:v>Conditional/applicability constraint</x:v>
      </x:c>
      <x:c r="N123" s="108" t="str">
        <x:v>Direct verification of a stated property, document, presence condition, enumeration, applicability rule, prohibition, or fixed limit.</x:v>
      </x:c>
      <x:c r="O123" s="113" t="str">
        <x:v>No</x:v>
      </x:c>
      <x:c r="P123" s="113" t="str">
        <x:v>Included - source reverified and locked</x:v>
      </x:c>
      <x:c r="Q123" s="108" t="str">
        <x:v>LOCK-2026-08-10: No source, page, clause, category, or normalized-meaning correction was required. Source wording was checked against the supplied PDF; equation notation is ASCII-linearized.</x:v>
      </x:c>
      <x:c r="R123" s="108" t="str">
        <x:v>LOCK-2026-08-11-R2 | source_pdf=TRAFICOM.pdf | source_sha256=8ab845347770c253433b8bad9b1fbe5d6ac71b3d07a1a28dae8a32cfde732ddc | physical_pdf_page=65 | section=ENTRY INTO FORCE | clause=8 | checks=independent_full_text_page_layout; numbers_units_operators_equations; normalized_rule_meaning; five_category_classification | status=LOCKED</x:v>
      </x:c>
      <x:c r="S123" s="108" t="str">
        <x:v>No close match among the thesis repository's 90 input cases.</x:v>
      </x:c>
      <x:c r="T123" s="108" t="str">
        <x:v>PASS - source/page/clause/meaning/category reverified</x:v>
      </x:c>
      <x:c r="U123" s="108" t="str">
        <x:v>LOCKED - extraction reverified</x:v>
      </x:c>
      <x:c r="V123" s="112" t="str">
        <x:v>Second-pass extraction lock covers source identity, physical PDF page span, section/clause, ASCII transcription, normalized meaning, and verification category. SHACL shapes remain a separate implementation artifact.</x:v>
      </x:c>
      <x:c r="W123" s="112" t="str">
        <x:v>https://www.finlex.fi/en/authorities/regulations/traficom-transport-maritime/2021/47238</x:v>
      </x:c>
      <x:c r="X123" s="112" t="str">
        <x:v>iceClass</x:v>
      </x:c>
      <x:c r="Y123" s="112" t="str">
        <x:v>Conditional/applicability constraint; encode values with units and retain clause/page provenance.</x:v>
      </x:c>
    </x:row>
  </x:sheetData>
  <x:conditionalFormatting sqref="G2:G123">
    <x:cfRule type="containsText" dxfId="0" priority="1" operator="containsText" text="Static Calculation"/>
    <x:cfRule type="containsText" dxfId="1" priority="2" operator="containsText" text="Physical Test"/>
    <x:cfRule type="containsText" dxfId="2" priority="3" operator="containsText" text="Dynamic"/>
    <x:cfRule type="containsText" dxfId="3" priority="4" operator="containsText" text="Complex"/>
    <x:cfRule type="containsText" dxfId="4" priority="5" operator="containsText" text="Static"/>
  </x:conditionalFormatting>
  <x:dataValidations count="5">
    <x:dataValidation type="list" sqref="G2:G123">
      <x:formula1>"Static,Static Calculation,Dynamic,Complex,Physical Test"</x:formula1>
    </x:dataValidation>
    <x:dataValidation type="list" sqref="L2:L123">
      <x:formula1>"High,Medium"</x:formula1>
    </x:dataValidation>
    <x:dataValidation type="list" sqref="O2:O123">
      <x:formula1>"No,Yes"</x:formula1>
    </x:dataValidation>
    <x:dataValidation type="list" sqref="P2:P123">
      <x:formula1>"Included - source locked"</x:formula1>
    </x:dataValidation>
    <x:dataValidation type="list" sqref="U2:U123">
      <x:formula1>"LOCKED - extraction verified,Needs revision"</x:formula1>
    </x:dataValidation>
  </x:dataValidations>
  <x:pageMargins left="0.7" right="0.7" top="0.75" bottom="0.75" header="0.3" footer="0.3"/>
  <x:tableParts count="1">
    <x:tablePart xmlns:r="http://schemas.openxmlformats.org/officeDocument/2006/relationships" r:id="R5d5e9927ad7445a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19" hidden="0" customWidth="1"/>
    <x:col min="4" max="4" width="10" hidden="0" customWidth="1"/>
    <x:col min="5" max="5" width="27" hidden="0" customWidth="1"/>
    <x:col min="6" max="6" width="21" hidden="0" customWidth="1"/>
    <x:col min="7" max="7" width="20" hidden="0" customWidth="1"/>
    <x:col min="8" max="8" width="62" hidden="0" customWidth="1"/>
    <x:col min="9" max="9" width="58" hidden="0" customWidth="1"/>
    <x:col min="10" max="10" width="35" hidden="0" customWidth="1"/>
    <x:col min="11" max="11" width="38" hidden="0" customWidth="1"/>
    <x:col min="12" max="12" width="15" hidden="0" customWidth="1"/>
    <x:col min="13" max="13" width="31" hidden="0" customWidth="1"/>
    <x:col min="14" max="14" width="39" hidden="0" customWidth="1"/>
    <x:col min="15" max="15" width="14" hidden="0" customWidth="1"/>
    <x:col min="16" max="16" width="25" hidden="0" customWidth="1"/>
    <x:col min="17" max="17" width="38" hidden="0" customWidth="1"/>
    <x:col min="18" max="18" width="38" hidden="0" customWidth="1"/>
    <x:col min="19" max="19" width="35" hidden="0" customWidth="1"/>
    <x:col min="20" max="20" width="34" hidden="0" customWidth="1"/>
    <x:col min="21" max="21" width="31" hidden="0" customWidth="1"/>
    <x:col min="22" max="22" width="34" hidden="0" customWidth="1"/>
    <x:col min="23" max="23" width="38" hidden="0" customWidth="1"/>
    <x:col min="24" max="24" width="35" hidden="0" customWidth="1"/>
    <x:col min="25" max="25" width="36" hidden="0" customWidth="1"/>
  </x:cols>
  <x:sheetData>
    <x:row r="1" ht="46" customHeight="1">
      <x:c r="A1" s="105" t="str">
        <x:v>Record_ID</x:v>
      </x:c>
      <x:c r="B1" s="105" t="str">
        <x:v>Source</x:v>
      </x:c>
      <x:c r="C1" s="105" t="str">
        <x:v>Edition</x:v>
      </x:c>
      <x:c r="D1" s="105" t="str">
        <x:v>PDF_Page</x:v>
      </x:c>
      <x:c r="E1" s="105" t="str">
        <x:v>Section</x:v>
      </x:c>
      <x:c r="F1" s="105" t="str">
        <x:v>Regulation_Clause</x:v>
      </x:c>
      <x:c r="G1" s="105" t="str">
        <x:v>Verification_Category</x:v>
      </x:c>
      <x:c r="H1" s="105" t="str">
        <x:v>Verified_Source_Text_ASCII</x:v>
      </x:c>
      <x:c r="I1" s="105" t="str">
        <x:v>AI_Ready_Requirement</x:v>
      </x:c>
      <x:c r="J1" s="105" t="str">
        <x:v>Canonical_Variables</x:v>
      </x:c>
      <x:c r="K1" s="105" t="str">
        <x:v>AnchorMap_Mapping</x:v>
      </x:c>
      <x:c r="L1" s="105" t="str">
        <x:v>SHACL_Codability</x:v>
      </x:c>
      <x:c r="M1" s="105" t="str">
        <x:v>SHACL_Encoding_Pattern</x:v>
      </x:c>
      <x:c r="N1" s="105" t="str">
        <x:v>Classification_Rationale</x:v>
      </x:c>
      <x:c r="O1" s="105" t="str">
        <x:v>Figure_Dependent</x:v>
      </x:c>
      <x:c r="P1" s="105" t="str">
        <x:v>Inclusion_Status</x:v>
      </x:c>
      <x:c r="Q1" s="105" t="str">
        <x:v>Correction_Notes</x:v>
      </x:c>
      <x:c r="R1" s="105" t="str">
        <x:v>Traceability_Notes</x:v>
      </x:c>
      <x:c r="S1" s="105" t="str">
        <x:v>Thesis_Cross_Check</x:v>
      </x:c>
      <x:c r="T1" s="105" t="str">
        <x:v>QA_Status</x:v>
      </x:c>
      <x:c r="U1" s="105" t="str">
        <x:v>Review_Status</x:v>
      </x:c>
      <x:c r="V1" s="105" t="str">
        <x:v>Reviewer_Notes</x:v>
      </x:c>
      <x:c r="W1" s="105" t="str">
        <x:v>Source_URL</x:v>
      </x:c>
      <x:c r="X1" s="105" t="str">
        <x:v>Required_Inputs_or_Artifacts</x:v>
      </x:c>
      <x:c r="Y1" s="105" t="str">
        <x:v>SHACL_Encoding_Notes</x:v>
      </x:c>
    </x:row>
    <x:row r="2" ht="92" customHeight="1">
      <x:c r="A2" s="108" t="str">
        <x:v>I2-001</x:v>
      </x:c>
      <x:c r="B2" s="108" t="str">
        <x:v>UR I2 Structural Requirements for Polar Class Ships</x:v>
      </x:c>
      <x:c r="C2" s="108" t="str">
        <x:v>Rev.4 Dec 2019</x:v>
      </x:c>
      <x:c r="D2" s="163" t="n">
        <x:v>1</x:v>
      </x:c>
      <x:c r="E2" s="108" t="str">
        <x:v>General - Application note</x:v>
      </x:c>
      <x:c r="F2" s="108" t="str">
        <x:v>I2.1.1 Note 6</x:v>
      </x:c>
      <x:c r="G2" s="113" t="str">
        <x:v>Static</x:v>
      </x:c>
      <x:c r="H2" s="109" t="str">
        <x:v>Rev.4 of this UR is to be uniformly implemented by the IACS Societies on ships contracted for construction on or after 1 Jan 2021.</x:v>
      </x:c>
      <x:c r="I2" s="110" t="str">
        <x:v>Apply UR I2 Rev.4 to ships contracted for construction on or after 1 January 2021.</x:v>
      </x:c>
      <x:c r="J2" s="111" t="str">
        <x:v>No explicit data variable identified</x:v>
      </x:c>
      <x:c r="K2" s="111" t="str">
        <x:v>No direct AnchorMap term found; propose a code-safe alias during SHACL design</x:v>
      </x:c>
      <x:c r="L2" s="114" t="str">
        <x:v>High</x:v>
      </x:c>
      <x:c r="M2" s="111" t="str">
        <x:v>Conditional/applicability constraint</x:v>
      </x:c>
      <x:c r="N2" s="108" t="str">
        <x:v>Direct verification of a stated property, document, presence condition, enumeration, applicability rule, prohibition, or fixed limit.</x:v>
      </x:c>
      <x:c r="O2" s="113" t="str">
        <x:v>No</x:v>
      </x:c>
      <x:c r="P2" s="113" t="str">
        <x:v>Included - source reverified and locked</x:v>
      </x:c>
      <x:c r="Q2" s="108" t="str">
        <x:v>LOCK-2026-08-10: No source, page, clause, category, or normalized-meaning correction was required. Source wording was checked against the supplied PDF; equation notation is ASCII-linearized.</x:v>
      </x:c>
      <x:c r="R2" s="108" t="str">
        <x:v>LOCK-2026-08-11-R2 | source_pdf=ur-i2rev4.pdf | source_sha256=2142453d2965997a772f451982278e622413273048097924173216bd278df9a7 | physical_pdf_page=1 | section=General - Application note | clause=I2.1.1 Note 6 | checks=independent_full_text_page_layout; numbers_units_operators_equations; normalized_rule_meaning; five_category_classification | status=LOCKED</x:v>
      </x:c>
      <x:c r="S2" s="108" t="str"/>
      <x:c r="T2" s="108" t="str">
        <x:v>PASS - source/page/clause/meaning/category reverified</x:v>
      </x:c>
      <x:c r="U2" s="108" t="str">
        <x:v>LOCKED - extraction reverified</x:v>
      </x:c>
      <x:c r="V2" s="112" t="str">
        <x:v>Second-pass extraction lock covers source identity, physical PDF page span, section/clause, ASCII transcription, normalized meaning, and verification category. SHACL shapes remain a separate implementation artifact.</x:v>
      </x:c>
      <x:c r="W2" s="112" t="str">
        <x:v>https://iacs.org.uk/resolutions/unified-requirements/ur-i/ur-i2-rev4-cln</x:v>
      </x:c>
      <x:c r="X2" s="112" t="str">
        <x:v>No explicit data variable identified</x:v>
      </x:c>
      <x:c r="Y2" s="112" t="str">
        <x:v>Conditional/applicability constraint; encode values with units and retain clause/page provenance.</x:v>
      </x:c>
    </x:row>
    <x:row r="3" ht="92" customHeight="1">
      <x:c r="A3" s="108" t="str">
        <x:v>I2-002</x:v>
      </x:c>
      <x:c r="B3" s="108" t="str">
        <x:v>UR I2 Structural Requirements for Polar Class Ships</x:v>
      </x:c>
      <x:c r="C3" s="108" t="str">
        <x:v>Rev.4 Dec 2019</x:v>
      </x:c>
      <x:c r="D3" s="163" t="n">
        <x:v>1</x:v>
      </x:c>
      <x:c r="E3" s="108" t="str">
        <x:v>General - Application</x:v>
      </x:c>
      <x:c r="F3" s="108" t="str">
        <x:v>I2.1.1</x:v>
      </x:c>
      <x:c r="G3" s="113" t="str">
        <x:v>Static</x:v>
      </x:c>
      <x:c r="H3" s="109" t="str">
        <x:v>This UR applies to Polar Class ships according to UR I1.</x:v>
      </x:c>
      <x:c r="I3" s="110" t="str">
        <x:v>This UR applies to Polar Class ships according to UR I1.</x:v>
      </x:c>
      <x:c r="J3" s="111" t="str">
        <x:v>No explicit data variable identified</x:v>
      </x:c>
      <x:c r="K3" s="111" t="str">
        <x:v>No direct AnchorMap term found; propose a code-safe alias during SHACL design</x:v>
      </x:c>
      <x:c r="L3" s="114" t="str">
        <x:v>High</x:v>
      </x:c>
      <x:c r="M3" s="111" t="str">
        <x:v>Direct property/presence constraint</x:v>
      </x:c>
      <x:c r="N3" s="108" t="str">
        <x:v>Direct verification of a stated property, document, presence condition, enumeration, applicability rule, prohibition, or fixed limit.</x:v>
      </x:c>
      <x:c r="O3" s="113" t="str">
        <x:v>No</x:v>
      </x:c>
      <x:c r="P3" s="113" t="str">
        <x:v>Included - source reverified and locked</x:v>
      </x:c>
      <x:c r="Q3" s="108" t="str">
        <x:v>LOCK-2026-08-10: No source, page, clause, category, or normalized-meaning correction was required. Source wording was checked against the supplied PDF; equation notation is ASCII-linearized.</x:v>
      </x:c>
      <x:c r="R3" s="108" t="str">
        <x:v>LOCK-2026-08-11-R2 | source_pdf=ur-i2rev4.pdf | source_sha256=2142453d2965997a772f451982278e622413273048097924173216bd278df9a7 | physical_pdf_page=1 | section=General - Application | clause=I2.1.1 | checks=independent_full_text_page_layout; numbers_units_operators_equations; normalized_rule_meaning; five_category_classification | status=LOCKED</x:v>
      </x:c>
      <x:c r="S3" s="108" t="str"/>
      <x:c r="T3" s="108" t="str">
        <x:v>PASS - source/page/clause/meaning/category reverified</x:v>
      </x:c>
      <x:c r="U3" s="108" t="str">
        <x:v>LOCKED - extraction reverified</x:v>
      </x:c>
      <x:c r="V3" s="112" t="str">
        <x:v>Second-pass extraction lock covers source identity, physical PDF page span, section/clause, ASCII transcription, normalized meaning, and verification category. SHACL shapes remain a separate implementation artifact.</x:v>
      </x:c>
      <x:c r="W3" s="112" t="str">
        <x:v>https://iacs.org.uk/resolutions/unified-requirements/ur-i/ur-i2-rev4-cln</x:v>
      </x:c>
      <x:c r="X3" s="112" t="str">
        <x:v>No explicit data variable identified</x:v>
      </x:c>
      <x:c r="Y3" s="112" t="str">
        <x:v>Direct property/presence constraint; encode values with units and retain clause/page provenance.</x:v>
      </x:c>
    </x:row>
    <x:row r="4" ht="92" customHeight="1">
      <x:c r="A4" s="108" t="str">
        <x:v>I2-003</x:v>
      </x:c>
      <x:c r="B4" s="108" t="str">
        <x:v>UR I2 Structural Requirements for Polar Class Ships</x:v>
      </x:c>
      <x:c r="C4" s="108" t="str">
        <x:v>Rev.4 Dec 2019</x:v>
      </x:c>
      <x:c r="D4" s="163" t="n">
        <x:v>1</x:v>
      </x:c>
      <x:c r="E4" s="108" t="str">
        <x:v>General - Definitions</x:v>
      </x:c>
      <x:c r="F4" s="108" t="str">
        <x:v>I2.1.2.1</x:v>
      </x:c>
      <x:c r="G4" s="113" t="str">
        <x:v>Complex</x:v>
      </x:c>
      <x:c r="H4" s="109"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I4" s="110" t="str">
        <x:v>The length LUI is the distance, in m, measured horizontally from the fore side of the stem at the intersection with the upper ice waterline (UIWL) to the after side of the rudder post, or the centre of the rudder stock if there is no rudder post. LUI is not to be less than 96%, and need not be greater than 97%, of the extreme length of the upper ice waterline (UIWL) measured horizontally from the fore side of the stem. In ships with unusual stern and bow arrangement the length LUI will be specially considered.</x:v>
      </x:c>
      <x:c r="J4" s="111" t="str">
        <x:v>UIWL</x:v>
      </x:c>
      <x:c r="K4" s="111" t="str">
        <x:v>reg:UIWL</x:v>
      </x:c>
      <x:c r="L4" s="114" t="str">
        <x:v>Medium</x:v>
      </x:c>
      <x:c r="M4" s="111" t="str">
        <x:v>Conditional/applicability constraint</x:v>
      </x:c>
      <x:c r="N4" s="108" t="str">
        <x:v>Verification requires linked conditions, external approval or evidence, an assessment, or a composite workflow.</x:v>
      </x:c>
      <x:c r="O4" s="113" t="str">
        <x:v>No</x:v>
      </x:c>
      <x:c r="P4" s="113" t="str">
        <x:v>Included - source reverified and locked</x:v>
      </x:c>
      <x:c r="Q4" s="108" t="str">
        <x:v>LOCK-2026-08-10: No source, page, clause, category, or normalized-meaning correction was required. Source wording was checked against the supplied PDF; equation notation is ASCII-linearized.</x:v>
      </x:c>
      <x:c r="R4" s="108" t="str">
        <x:v>LOCK-2026-08-11-R2 | source_pdf=ur-i2rev4.pdf | source_sha256=2142453d2965997a772f451982278e622413273048097924173216bd278df9a7 | physical_pdf_page=1 | section=General - Definitions | clause=I2.1.2.1 | checks=independent_full_text_page_layout; numbers_units_operators_equations; normalized_rule_meaning; five_category_classification | status=LOCKED</x:v>
      </x:c>
      <x:c r="S4" s="108" t="str"/>
      <x:c r="T4" s="108" t="str">
        <x:v>PASS - source/page/clause/meaning/category reverified</x:v>
      </x:c>
      <x:c r="U4" s="108" t="str">
        <x:v>LOCKED - extraction reverified</x:v>
      </x:c>
      <x:c r="V4" s="112" t="str">
        <x:v>Second-pass extraction lock covers source identity, physical PDF page span, section/clause, ASCII transcription, normalized meaning, and verification category. SHACL shapes remain a separate implementation artifact.</x:v>
      </x:c>
      <x:c r="W4" s="112" t="str">
        <x:v>https://iacs.org.uk/resolutions/unified-requirements/ur-i/ur-i2-rev4-cln</x:v>
      </x:c>
      <x:c r="X4" s="112" t="str">
        <x:v>UIWL</x:v>
      </x:c>
      <x:c r="Y4" s="112" t="str">
        <x:v>Conditional/applicability constraint; encode values with units and retain clause/page provenance.</x:v>
      </x:c>
    </x:row>
    <x:row r="5" ht="92" customHeight="1">
      <x:c r="A5" s="108" t="str">
        <x:v>I2-004</x:v>
      </x:c>
      <x:c r="B5" s="108" t="str">
        <x:v>UR I2 Structural Requirements for Polar Class Ships</x:v>
      </x:c>
      <x:c r="C5" s="108" t="str">
        <x:v>Rev.4 Dec 2019</x:v>
      </x:c>
      <x:c r="D5" s="163" t="n">
        <x:v>1</x:v>
      </x:c>
      <x:c r="E5" s="108" t="str">
        <x:v>General - Definitions</x:v>
      </x:c>
      <x:c r="F5" s="108" t="str">
        <x:v>I2.1.2.2</x:v>
      </x:c>
      <x:c r="G5" s="113" t="str">
        <x:v>Static</x:v>
      </x:c>
      <x:c r="H5" s="109"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I5" s="110"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J5" s="111" t="str">
        <x:v>UIWL</x:v>
      </x:c>
      <x:c r="K5" s="111" t="str">
        <x:v>reg:UIWL</x:v>
      </x:c>
      <x:c r="L5" s="114" t="str">
        <x:v>High</x:v>
      </x:c>
      <x:c r="M5" s="111" t="str">
        <x:v>Conditional/applicability constraint</x:v>
      </x:c>
      <x:c r="N5" s="108" t="str">
        <x:v>Direct verification of a stated property, document, presence condition, enumeration, applicability rule, prohibition, or fixed limit.</x:v>
      </x:c>
      <x:c r="O5" s="113" t="str">
        <x:v>No</x:v>
      </x:c>
      <x:c r="P5" s="113" t="str">
        <x:v>Included - source reverified and locked</x:v>
      </x:c>
      <x:c r="Q5" s="108" t="str">
        <x:v>LOCK-2026-08-10: No source, page, clause, category, or normalized-meaning correction was required. Source wording was checked against the supplied PDF; equation notation is ASCII-linearized.</x:v>
      </x:c>
      <x:c r="R5" s="108" t="str">
        <x:v>LOCK-2026-08-11-R2 | source_pdf=ur-i2rev4.pdf | source_sha256=2142453d2965997a772f451982278e622413273048097924173216bd278df9a7 | physical_pdf_page=1 | section=General - Definitions | clause=I2.1.2.2 | checks=independent_full_text_page_layout; numbers_units_operators_equations; normalized_rule_meaning; five_category_classification | status=LOCKED</x:v>
      </x:c>
      <x:c r="S5" s="108" t="str"/>
      <x:c r="T5" s="108" t="str">
        <x:v>PASS - source/page/clause/meaning/category reverified</x:v>
      </x:c>
      <x:c r="U5" s="108" t="str">
        <x:v>LOCKED - extraction reverified</x:v>
      </x:c>
      <x:c r="V5" s="112" t="str">
        <x:v>Second-pass extraction lock covers source identity, physical PDF page span, section/clause, ASCII transcription, normalized meaning, and verification category. SHACL shapes remain a separate implementation artifact.</x:v>
      </x:c>
      <x:c r="W5" s="112" t="str">
        <x:v>https://iacs.org.uk/resolutions/unified-requirements/ur-i/ur-i2-rev4-cln</x:v>
      </x:c>
      <x:c r="X5" s="112" t="str">
        <x:v>UIWL</x:v>
      </x:c>
      <x:c r="Y5" s="112" t="str">
        <x:v>Conditional/applicability constraint; encode values with units and retain clause/page provenance.</x:v>
      </x:c>
    </x:row>
    <x:row r="6" ht="92" customHeight="1">
      <x:c r="A6" s="108" t="str">
        <x:v>I2-005</x:v>
      </x:c>
      <x:c r="B6" s="108" t="str">
        <x:v>UR I2 Structural Requirements for Polar Class Ships</x:v>
      </x:c>
      <x:c r="C6" s="108" t="str">
        <x:v>Rev.4 Dec 2019</x:v>
      </x:c>
      <x:c r="D6" s="163" t="n">
        <x:v>2</x:v>
      </x:c>
      <x:c r="E6" s="108" t="str">
        <x:v>Hull areas</x:v>
      </x:c>
      <x:c r="F6" s="108" t="str">
        <x:v>I2.2.5</x:v>
      </x:c>
      <x:c r="G6" s="113" t="str">
        <x:v>Static</x:v>
      </x:c>
      <x:c r="H6" s="109" t="str">
        <x:v>The boundary between the bottom and lower regions is to be taken at the point where the shell is inclined 7 deg from horizontal.</x:v>
      </x:c>
      <x:c r="I6" s="110" t="str">
        <x:v>The boundary between the bottom and lower regions is to be taken at the point where the shell is inclined 7 deg from horizontal.</x:v>
      </x:c>
      <x:c r="J6" s="111" t="str">
        <x:v>No explicit data variable identified</x:v>
      </x:c>
      <x:c r="K6" s="111" t="str">
        <x:v>No direct AnchorMap term found; propose a code-safe alias during SHACL design</x:v>
      </x:c>
      <x:c r="L6" s="114" t="str">
        <x:v>High</x:v>
      </x:c>
      <x:c r="M6" s="111" t="str">
        <x:v>Conditional/applicability constraint</x:v>
      </x:c>
      <x:c r="N6" s="108" t="str">
        <x:v>Direct verification of a stated property, document, presence condition, enumeration, applicability rule, prohibition, or fixed limit.</x:v>
      </x:c>
      <x:c r="O6" s="113" t="str">
        <x:v>No</x:v>
      </x:c>
      <x:c r="P6" s="113" t="str">
        <x:v>Included - source reverified and locked</x:v>
      </x:c>
      <x:c r="Q6" s="108" t="str">
        <x:v>LOCK-2026-08-10: No source, page, clause, category, or normalized-meaning correction was required. Source wording was checked against the supplied PDF; equation notation is ASCII-linearized.</x:v>
      </x:c>
      <x:c r="R6" s="108" t="str">
        <x:v>LOCK-2026-08-11-R2 | source_pdf=ur-i2rev4.pdf | source_sha256=2142453d2965997a772f451982278e622413273048097924173216bd278df9a7 | physical_pdf_page=2 | section=Hull areas | clause=I2.2.5 | checks=independent_full_text_page_layout; numbers_units_operators_equations; normalized_rule_meaning; five_category_classification | status=LOCKED</x:v>
      </x:c>
      <x:c r="S6" s="108" t="str"/>
      <x:c r="T6" s="108" t="str">
        <x:v>PASS - source/page/clause/meaning/category reverified</x:v>
      </x:c>
      <x:c r="U6" s="108" t="str">
        <x:v>LOCKED - extraction reverified</x:v>
      </x:c>
      <x:c r="V6" s="112" t="str">
        <x:v>Second-pass extraction lock covers source identity, physical PDF page span, section/clause, ASCII transcription, normalized meaning, and verification category. SHACL shapes remain a separate implementation artifact.</x:v>
      </x:c>
      <x:c r="W6" s="112" t="str">
        <x:v>https://iacs.org.uk/resolutions/unified-requirements/ur-i/ur-i2-rev4-cln</x:v>
      </x:c>
      <x:c r="X6" s="112" t="str">
        <x:v>No explicit data variable identified</x:v>
      </x:c>
      <x:c r="Y6" s="112" t="str">
        <x:v>Conditional/applicability constraint; encode values with units and retain clause/page provenance.</x:v>
      </x:c>
    </x:row>
    <x:row r="7" ht="92" customHeight="1">
      <x:c r="A7" s="108" t="str">
        <x:v>I2-006</x:v>
      </x:c>
      <x:c r="B7" s="108" t="str">
        <x:v>UR I2 Structural Requirements for Polar Class Ships</x:v>
      </x:c>
      <x:c r="C7" s="108" t="str">
        <x:v>Rev.4 Dec 2019</x:v>
      </x:c>
      <x:c r="D7" s="163" t="n">
        <x:v>2</x:v>
      </x:c>
      <x:c r="E7" s="108" t="str">
        <x:v>Hull areas</x:v>
      </x:c>
      <x:c r="F7" s="108" t="str">
        <x:v>I2.2.6</x:v>
      </x:c>
      <x:c r="G7" s="113" t="str">
        <x:v>Static</x:v>
      </x:c>
      <x:c r="H7" s="109" t="str">
        <x:v>If a ship is intended to operate astern in ice regions, the aft section of the ship is to be designed using the Bow and Bow Intermediate hull area requirements.</x:v>
      </x:c>
      <x:c r="I7" s="110" t="str">
        <x:v>If a ship is intended to operate astern in ice regions, the aft section of the ship is to be designed using the Bow and Bow Intermediate hull area requirements.</x:v>
      </x:c>
      <x:c r="J7" s="111" t="str">
        <x:v>No explicit data variable identified</x:v>
      </x:c>
      <x:c r="K7" s="111" t="str">
        <x:v>No direct AnchorMap term found; propose a code-safe alias during SHACL design</x:v>
      </x:c>
      <x:c r="L7" s="114" t="str">
        <x:v>High</x:v>
      </x:c>
      <x:c r="M7" s="111" t="str">
        <x:v>Conditional/applicability constraint</x:v>
      </x:c>
      <x:c r="N7" s="108" t="str">
        <x:v>Direct verification of a stated property, document, presence condition, enumeration, applicability rule, prohibition, or fixed limit.</x:v>
      </x:c>
      <x:c r="O7" s="113" t="str">
        <x:v>No</x:v>
      </x:c>
      <x:c r="P7" s="113" t="str">
        <x:v>Included - source reverified and locked</x:v>
      </x:c>
      <x:c r="Q7" s="108" t="str">
        <x:v>LOCK-2026-08-10: No source, page, clause, category, or normalized-meaning correction was required. Source wording was checked against the supplied PDF; equation notation is ASCII-linearized.</x:v>
      </x:c>
      <x:c r="R7" s="108" t="str">
        <x:v>LOCK-2026-08-11-R2 | source_pdf=ur-i2rev4.pdf | source_sha256=2142453d2965997a772f451982278e622413273048097924173216bd278df9a7 | physical_pdf_page=2 | section=Hull areas | clause=I2.2.6 | checks=independent_full_text_page_layout; numbers_units_operators_equations; normalized_rule_meaning; five_category_classification | status=LOCKED</x:v>
      </x:c>
      <x:c r="S7" s="108" t="str"/>
      <x:c r="T7" s="108" t="str">
        <x:v>PASS - source/page/clause/meaning/category reverified</x:v>
      </x:c>
      <x:c r="U7" s="108" t="str">
        <x:v>LOCKED - extraction reverified</x:v>
      </x:c>
      <x:c r="V7" s="112" t="str">
        <x:v>Second-pass extraction lock covers source identity, physical PDF page span, section/clause, ASCII transcription, normalized meaning, and verification category. SHACL shapes remain a separate implementation artifact.</x:v>
      </x:c>
      <x:c r="W7" s="112" t="str">
        <x:v>https://iacs.org.uk/resolutions/unified-requirements/ur-i/ur-i2-rev4-cln</x:v>
      </x:c>
      <x:c r="X7" s="112" t="str">
        <x:v>No explicit data variable identified</x:v>
      </x:c>
      <x:c r="Y7" s="112" t="str">
        <x:v>Conditional/applicability constraint; encode values with units and retain clause/page provenance.</x:v>
      </x:c>
    </x:row>
    <x:row r="8" ht="92" customHeight="1">
      <x:c r="A8" s="108" t="str">
        <x:v>I2-008</x:v>
      </x:c>
      <x:c r="B8" s="108" t="str">
        <x:v>UR I2 Structural Requirements for Polar Class Ships</x:v>
      </x:c>
      <x:c r="C8" s="108" t="str">
        <x:v>Rev.4 Dec 2019</x:v>
      </x:c>
      <x:c r="D8" s="163" t="n">
        <x:v>3</x:v>
      </x:c>
      <x:c r="E8" s="108" t="str">
        <x:v>Design ice loads</x:v>
      </x:c>
      <x:c r="F8" s="108" t="str">
        <x:v>I2.3.1</x:v>
      </x:c>
      <x:c r="G8" s="113" t="str">
        <x:v>Static Calculation</x:v>
      </x:c>
      <x:c r="H8" s="109"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I8" s="110"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J8" s="111" t="str">
        <x:v>No explicit data variable identified</x:v>
      </x:c>
      <x:c r="K8" s="111" t="str">
        <x:v>No direct AnchorMap term found; propose a code-safe alias during SHACL design</x:v>
      </x:c>
      <x:c r="L8" s="114" t="str">
        <x:v>High</x:v>
      </x:c>
      <x:c r="M8" s="111" t="str">
        <x:v>Formula-derived constraint</x:v>
      </x:c>
      <x:c r="N8" s="108" t="str">
        <x:v>Deterministic calculation from static design inputs followed by a numeric or logical comparison.</x:v>
      </x:c>
      <x:c r="O8" s="113" t="str">
        <x:v>No</x:v>
      </x:c>
      <x:c r="P8" s="113" t="str">
        <x:v>Included - source reverified and locked</x:v>
      </x:c>
      <x:c r="Q8" s="108" t="str">
        <x:v>LOCK-2026-08-10: No source, page, clause, category, or normalized-meaning correction was required. Source wording was checked against the supplied PDF; equation notation is ASCII-linearized.</x:v>
      </x:c>
      <x:c r="R8" s="108" t="str">
        <x:v>LOCK-2026-08-11-R2 | source_pdf=ur-i2rev4.pdf | source_sha256=2142453d2965997a772f451982278e622413273048097924173216bd278df9a7 | physical_pdf_page=3 | section=Design ice loads | clause=I2.3.1 | checks=independent_full_text_page_layout; numbers_units_operators_equations; normalized_rule_meaning; five_category_classification | status=LOCKED</x:v>
      </x:c>
      <x:c r="S8" s="108" t="str"/>
      <x:c r="T8" s="108" t="str">
        <x:v>PASS - source/page/clause/meaning/category reverified</x:v>
      </x:c>
      <x:c r="U8" s="108" t="str">
        <x:v>LOCKED - extraction reverified</x:v>
      </x:c>
      <x:c r="V8" s="112" t="str">
        <x:v>Second-pass extraction lock covers source identity, physical PDF page span, section/clause, ASCII transcription, normalized meaning, and verification category. SHACL shapes remain a separate implementation artifact.</x:v>
      </x:c>
      <x:c r="W8" s="112" t="str">
        <x:v>https://iacs.org.uk/resolutions/unified-requirements/ur-i/ur-i2-rev4-cln</x:v>
      </x:c>
      <x:c r="X8" s="112" t="str">
        <x:v>No explicit data variable identified</x:v>
      </x:c>
      <x:c r="Y8" s="112" t="str">
        <x:v>Formula-derived constraint; encode values with units and retain clause/page provenance.</x:v>
      </x:c>
    </x:row>
    <x:row r="9" ht="92" customHeight="1">
      <x:c r="A9" s="108" t="str">
        <x:v>I2-009</x:v>
      </x:c>
      <x:c r="B9" s="108" t="str">
        <x:v>UR I2 Structural Requirements for Polar Class Ships</x:v>
      </x:c>
      <x:c r="C9" s="108" t="str">
        <x:v>Rev.4 Dec 2019</x:v>
      </x:c>
      <x:c r="D9" s="163" t="n">
        <x:v>3</x:v>
      </x:c>
      <x:c r="E9" s="108" t="str">
        <x:v>Design ice loads</x:v>
      </x:c>
      <x:c r="F9" s="108" t="str">
        <x:v>I2.3.1</x:v>
      </x:c>
      <x:c r="G9" s="113" t="str">
        <x:v>Static Calculation</x:v>
      </x:c>
      <x:c r="H9" s="109"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I9" s="110"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J9" s="111" t="str">
        <x:v>No explicit data variable identified</x:v>
      </x:c>
      <x:c r="K9" s="111" t="str">
        <x:v>No direct AnchorMap term found; propose a code-safe alias during SHACL design</x:v>
      </x:c>
      <x:c r="L9" s="114" t="str">
        <x:v>High</x:v>
      </x:c>
      <x:c r="M9" s="111" t="str">
        <x:v>Formula-derived constraint</x:v>
      </x:c>
      <x:c r="N9" s="108" t="str">
        <x:v>Deterministic calculation from static design inputs followed by a numeric or logical comparison.</x:v>
      </x:c>
      <x:c r="O9" s="113" t="str">
        <x:v>No</x:v>
      </x:c>
      <x:c r="P9" s="113" t="str">
        <x:v>Included - source reverified and locked</x:v>
      </x:c>
      <x:c r="Q9" s="108" t="str">
        <x:v>LOCK-2026-08-10: No source, page, clause, category, or normalized-meaning correction was required. Source wording was checked against the supplied PDF; equation notation is ASCII-linearized.</x:v>
      </x:c>
      <x:c r="R9" s="108" t="str">
        <x:v>LOCK-2026-08-11-R2 | source_pdf=ur-i2rev4.pdf | source_sha256=2142453d2965997a772f451982278e622413273048097924173216bd278df9a7 | physical_pdf_page=3 | section=Design ice loads | clause=I2.3.1 | checks=independent_full_text_page_layout; numbers_units_operators_equations; normalized_rule_meaning; five_category_classification | status=LOCKED</x:v>
      </x:c>
      <x:c r="S9" s="108" t="str"/>
      <x:c r="T9" s="108" t="str">
        <x:v>PASS - source/page/clause/meaning/category reverified</x:v>
      </x:c>
      <x:c r="U9" s="108" t="str">
        <x:v>LOCKED - extraction reverified</x:v>
      </x:c>
      <x:c r="V9" s="112" t="str">
        <x:v>Second-pass extraction lock covers source identity, physical PDF page span, section/clause, ASCII transcription, normalized meaning, and verification category. SHACL shapes remain a separate implementation artifact.</x:v>
      </x:c>
      <x:c r="W9" s="112" t="str">
        <x:v>https://iacs.org.uk/resolutions/unified-requirements/ur-i/ur-i2-rev4-cln</x:v>
      </x:c>
      <x:c r="X9" s="112" t="str">
        <x:v>No explicit data variable identified</x:v>
      </x:c>
      <x:c r="Y9" s="112" t="str">
        <x:v>Formula-derived constraint; encode values with units and retain clause/page provenance.</x:v>
      </x:c>
    </x:row>
    <x:row r="10" ht="92" customHeight="1">
      <x:c r="A10" s="108" t="str">
        <x:v>I2-010</x:v>
      </x:c>
      <x:c r="B10" s="108" t="str">
        <x:v>UR I2 Structural Requirements for Polar Class Ships</x:v>
      </x:c>
      <x:c r="C10" s="108" t="str">
        <x:v>Rev.4 Dec 2019</x:v>
      </x:c>
      <x:c r="D10" s="163" t="n">
        <x:v>3</x:v>
      </x:c>
      <x:c r="E10" s="108" t="str">
        <x:v>Design ice loads</x:v>
      </x:c>
      <x:c r="F10" s="108" t="str">
        <x:v>I2.3.1</x:v>
      </x:c>
      <x:c r="G10" s="113" t="str">
        <x:v>Static Calculation</x:v>
      </x:c>
      <x:c r="H10" s="109"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I10" s="110"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J10" s="111" t="str">
        <x:v>No explicit data variable identified</x:v>
      </x:c>
      <x:c r="K10" s="111" t="str">
        <x:v>No direct AnchorMap term found; propose a code-safe alias during SHACL design</x:v>
      </x:c>
      <x:c r="L10" s="114" t="str">
        <x:v>High</x:v>
      </x:c>
      <x:c r="M10" s="111" t="str">
        <x:v>Formula-derived constraint</x:v>
      </x:c>
      <x:c r="N10" s="108" t="str">
        <x:v>Deterministic calculation from static design inputs followed by a numeric or logical comparison.</x:v>
      </x:c>
      <x:c r="O10" s="113" t="str">
        <x:v>No</x:v>
      </x:c>
      <x:c r="P10" s="113" t="str">
        <x:v>Included - source reverified and locked</x:v>
      </x:c>
      <x:c r="Q10" s="108" t="str">
        <x:v>LOCK-2026-08-10: No source, page, clause, category, or normalized-meaning correction was required. Source wording was checked against the supplied PDF; equation notation is ASCII-linearized.</x:v>
      </x:c>
      <x:c r="R10" s="108" t="str">
        <x:v>LOCK-2026-08-11-R2 | source_pdf=ur-i2rev4.pdf | source_sha256=2142453d2965997a772f451982278e622413273048097924173216bd278df9a7 | physical_pdf_page=3 | section=Design ice loads | clause=I2.3.1 | checks=independent_full_text_page_layout; numbers_units_operators_equations; normalized_rule_meaning; five_category_classification | status=LOCKED</x:v>
      </x:c>
      <x:c r="S10" s="108" t="str"/>
      <x:c r="T10" s="108" t="str">
        <x:v>PASS - source/page/clause/meaning/category reverified</x:v>
      </x:c>
      <x:c r="U10" s="108" t="str">
        <x:v>LOCKED - extraction reverified</x:v>
      </x:c>
      <x:c r="V10" s="112" t="str">
        <x:v>Second-pass extraction lock covers source identity, physical PDF page span, section/clause, ASCII transcription, normalized meaning, and verification category. SHACL shapes remain a separate implementation artifact.</x:v>
      </x:c>
      <x:c r="W10" s="112" t="str">
        <x:v>https://iacs.org.uk/resolutions/unified-requirements/ur-i/ur-i2-rev4-cln</x:v>
      </x:c>
      <x:c r="X10" s="112" t="str">
        <x:v>No explicit data variable identified</x:v>
      </x:c>
      <x:c r="Y10" s="112" t="str">
        <x:v>Formula-derived constraint; encode values with units and retain clause/page provenance.</x:v>
      </x:c>
    </x:row>
    <x:row r="11" ht="92" customHeight="1">
      <x:c r="A11" s="108" t="str">
        <x:v>I2-011</x:v>
      </x:c>
      <x:c r="B11" s="108" t="str">
        <x:v>UR I2 Structural Requirements for Polar Class Ships</x:v>
      </x:c>
      <x:c r="C11" s="108" t="str">
        <x:v>Rev.4 Dec 2019</x:v>
      </x:c>
      <x:c r="D11" s="163" t="n">
        <x:v>3</x:v>
      </x:c>
      <x:c r="E11" s="108" t="str">
        <x:v>Design ice loads</x:v>
      </x:c>
      <x:c r="F11" s="108" t="str">
        <x:v>I2.3.1</x:v>
      </x:c>
      <x:c r="G11" s="113" t="str">
        <x:v>Static Calculation</x:v>
      </x:c>
      <x:c r="H11" s="109"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I11" s="110"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J11" s="111" t="str">
        <x:v>No explicit data variable identified</x:v>
      </x:c>
      <x:c r="K11" s="111" t="str">
        <x:v>No direct AnchorMap term found; propose a code-safe alias during SHACL design</x:v>
      </x:c>
      <x:c r="L11" s="114" t="str">
        <x:v>High</x:v>
      </x:c>
      <x:c r="M11" s="111" t="str">
        <x:v>Formula-derived constraint</x:v>
      </x:c>
      <x:c r="N11" s="108" t="str">
        <x:v>Deterministic calculation from static design inputs followed by a numeric or logical comparison.</x:v>
      </x:c>
      <x:c r="O11" s="113" t="str">
        <x:v>No</x:v>
      </x:c>
      <x:c r="P11" s="113" t="str">
        <x:v>Included - source reverified and locked</x:v>
      </x:c>
      <x:c r="Q11" s="108" t="str">
        <x:v>LOCK-2026-08-10: No source, page, clause, category, or normalized-meaning correction was required. Source wording was checked against the supplied PDF; equation notation is ASCII-linearized.</x:v>
      </x:c>
      <x:c r="R11" s="108" t="str">
        <x:v>LOCK-2026-08-11-R2 | source_pdf=ur-i2rev4.pdf | source_sha256=2142453d2965997a772f451982278e622413273048097924173216bd278df9a7 | physical_pdf_page=3 | section=Design ice loads | clause=I2.3.1 | checks=independent_full_text_page_layout; numbers_units_operators_equations; normalized_rule_meaning; five_category_classification | status=LOCKED</x:v>
      </x:c>
      <x:c r="S11" s="108" t="str"/>
      <x:c r="T11" s="108" t="str">
        <x:v>PASS - source/page/clause/meaning/category reverified</x:v>
      </x:c>
      <x:c r="U11" s="108" t="str">
        <x:v>LOCKED - extraction reverified</x:v>
      </x:c>
      <x:c r="V11" s="112" t="str">
        <x:v>Second-pass extraction lock covers source identity, physical PDF page span, section/clause, ASCII transcription, normalized meaning, and verification category. SHACL shapes remain a separate implementation artifact.</x:v>
      </x:c>
      <x:c r="W11" s="112" t="str">
        <x:v>https://iacs.org.uk/resolutions/unified-requirements/ur-i/ur-i2-rev4-cln</x:v>
      </x:c>
      <x:c r="X11" s="112" t="str">
        <x:v>No explicit data variable identified</x:v>
      </x:c>
      <x:c r="Y11" s="112" t="str">
        <x:v>Formula-derived constraint; encode values with units and retain clause/page provenance.</x:v>
      </x:c>
    </x:row>
    <x:row r="12" ht="92" customHeight="1">
      <x:c r="A12" s="108" t="str">
        <x:v>I2-013</x:v>
      </x:c>
      <x:c r="B12" s="108" t="str">
        <x:v>UR I2 Structural Requirements for Polar Class Ships</x:v>
      </x:c>
      <x:c r="C12" s="108" t="str">
        <x:v>Rev.4 Dec 2019</x:v>
      </x:c>
      <x:c r="D12" s="163" t="n">
        <x:v>3</x:v>
      </x:c>
      <x:c r="E12" s="108" t="str">
        <x:v>Design ice loads</x:v>
      </x:c>
      <x:c r="F12" s="108" t="str">
        <x:v>I2.3.1</x:v>
      </x:c>
      <x:c r="G12" s="113" t="str">
        <x:v>Static</x:v>
      </x:c>
      <x:c r="H12" s="109"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I12" s="110"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J12" s="111" t="str">
        <x:v>inertiaRatio_Ie_It</x:v>
      </x:c>
      <x:c r="K12" s="111" t="str">
        <x:v>inertiaRatio_Ie_It</x:v>
      </x:c>
      <x:c r="L12" s="114" t="str">
        <x:v>Medium</x:v>
      </x:c>
      <x:c r="M12" s="111" t="str">
        <x:v>Table-lookup plus constraint</x:v>
      </x:c>
      <x:c r="N12" s="108" t="str">
        <x:v>Direct verification of a stated property, document, presence condition, enumeration, applicability rule, prohibition, or fixed limit.</x:v>
      </x:c>
      <x:c r="O12" s="113" t="str">
        <x:v>No</x:v>
      </x:c>
      <x:c r="P12" s="113" t="str">
        <x:v>Included - source reverified and locked</x:v>
      </x:c>
      <x:c r="Q12" s="108" t="str">
        <x:v>LOCK-2026-08-10: No source, page, clause, category, or normalized-meaning correction was required. Source wording was checked against the supplied PDF; equation notation is ASCII-linearized.</x:v>
      </x:c>
      <x:c r="R12" s="108" t="str">
        <x:v>LOCK-2026-08-11-R2 | source_pdf=ur-i2rev4.pdf | source_sha256=2142453d2965997a772f451982278e622413273048097924173216bd278df9a7 | physical_pdf_page=3 | section=Design ice loads | clause=I2.3.1 | checks=independent_full_text_page_layout; numbers_units_operators_equations; normalized_rule_meaning; five_category_classification | status=LOCKED</x:v>
      </x:c>
      <x:c r="S12" s="108" t="str"/>
      <x:c r="T12" s="108" t="str">
        <x:v>PASS - source/page/clause/meaning/category reverified</x:v>
      </x:c>
      <x:c r="U12" s="108" t="str">
        <x:v>LOCKED - extraction reverified</x:v>
      </x:c>
      <x:c r="V12" s="112" t="str">
        <x:v>Second-pass extraction lock covers source identity, physical PDF page span, section/clause, ASCII transcription, normalized meaning, and verification category. SHACL shapes remain a separate implementation artifact.</x:v>
      </x:c>
      <x:c r="W12" s="112" t="str">
        <x:v>https://iacs.org.uk/resolutions/unified-requirements/ur-i/ur-i2-rev4-cln</x:v>
      </x:c>
      <x:c r="X12" s="112" t="str">
        <x:v>inertiaRatio_Ie_It</x:v>
      </x:c>
      <x:c r="Y12" s="112" t="str">
        <x:v>Table-lookup plus constraint; encode values with units and retain clause/page provenance.</x:v>
      </x:c>
    </x:row>
    <x:row r="13" ht="92" customHeight="1">
      <x:c r="A13" s="108" t="str">
        <x:v>I2-014</x:v>
      </x:c>
      <x:c r="B13" s="108" t="str">
        <x:v>UR I2 Structural Requirements for Polar Class Ships</x:v>
      </x:c>
      <x:c r="C13" s="108" t="str">
        <x:v>Rev.4 Dec 2019</x:v>
      </x:c>
      <x:c r="D13" s="163" t="n">
        <x:v>5</x:v>
      </x:c>
      <x:c r="E13" s="108" t="str">
        <x:v>Design ice loads - Bow area</x:v>
      </x:c>
      <x:c r="F13" s="108" t="str">
        <x:v>I2.3.2.1</x:v>
      </x:c>
      <x:c r="G13" s="113" t="str">
        <x:v>Static Calculation</x:v>
      </x:c>
      <x:c r="H13" s="109"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I13" s="110"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J13" s="111" t="str">
        <x:v>LBOW</x:v>
      </x:c>
      <x:c r="K13" s="111" t="str">
        <x:v>reg:LBOW</x:v>
      </x:c>
      <x:c r="L13" s="114" t="str">
        <x:v>High</x:v>
      </x:c>
      <x:c r="M13" s="111" t="str">
        <x:v>Formula-derived constraint</x:v>
      </x:c>
      <x:c r="N13" s="108" t="str">
        <x:v>Deterministic calculation from static design inputs followed by a numeric or logical comparison.</x:v>
      </x:c>
      <x:c r="O13" s="113" t="str">
        <x:v>No</x:v>
      </x:c>
      <x:c r="P13" s="113" t="str">
        <x:v>Included - source reverified and locked</x:v>
      </x:c>
      <x:c r="Q13" s="108" t="str">
        <x:v>LOCK-2026-08-10: No source, page, clause, category, or normalized-meaning correction was required. Source wording was checked against the supplied PDF; equation notation is ASCII-linearized.</x:v>
      </x:c>
      <x:c r="R13" s="108" t="str">
        <x:v>LOCK-2026-08-11-R2 | source_pdf=ur-i2rev4.pdf | source_sha256=2142453d2965997a772f451982278e622413273048097924173216bd278df9a7 | physical_pdf_page=5 | section=Design ice loads - Bow area | clause=I2.3.2.1 | checks=independent_full_text_page_layout; numbers_units_operators_equations; normalized_rule_meaning; five_category_classification | status=LOCKED</x:v>
      </x:c>
      <x:c r="S13" s="108" t="str"/>
      <x:c r="T13" s="108" t="str">
        <x:v>PASS - source/page/clause/meaning/category reverified</x:v>
      </x:c>
      <x:c r="U13" s="108" t="str">
        <x:v>LOCKED - extraction reverified</x:v>
      </x:c>
      <x:c r="V13" s="112" t="str">
        <x:v>Second-pass extraction lock covers source identity, physical PDF page span, section/clause, ASCII transcription, normalized meaning, and verification category. SHACL shapes remain a separate implementation artifact.</x:v>
      </x:c>
      <x:c r="W13" s="112" t="str">
        <x:v>https://iacs.org.uk/resolutions/unified-requirements/ur-i/ur-i2-rev4-cln</x:v>
      </x:c>
      <x:c r="X13" s="112" t="str">
        <x:v>LBOW</x:v>
      </x:c>
      <x:c r="Y13" s="112" t="str">
        <x:v>Formula-derived constraint; encode values with units and retain clause/page provenance.</x:v>
      </x:c>
    </x:row>
    <x:row r="14" ht="92" customHeight="1">
      <x:c r="A14" s="108" t="str">
        <x:v>I2-015</x:v>
      </x:c>
      <x:c r="B14" s="108" t="str">
        <x:v>UR I2 Structural Requirements for Polar Class Ships</x:v>
      </x:c>
      <x:c r="C14" s="108" t="str">
        <x:v>Rev.4 Dec 2019</x:v>
      </x:c>
      <x:c r="D14" s="163" t="n">
        <x:v>5</x:v>
      </x:c>
      <x:c r="E14" s="108" t="str">
        <x:v>Design ice loads - Bow area</x:v>
      </x:c>
      <x:c r="F14" s="108" t="str">
        <x:v>I2.3.2.1</x:v>
      </x:c>
      <x:c r="G14" s="113" t="str">
        <x:v>Static Calculation</x:v>
      </x:c>
      <x:c r="H14" s="109" t="str">
        <x:v>For bow forms defined in I2.3.1(v), the shape coefficient f_ai is to be taken as f_ai = minimum(f_ai1, f_ai2, f_ai3), where f_ai1 = (0.097 - 0.68*(x/L_UI - 0.15)^2)*alpha_i/(beta_i_prime)^0.5, f_ai2 = 1.2*C_FF/(sin(beta_i_prime)*C_FC*D_UI^0.64), and f_ai3 = 0.60.</x:v>
      </x:c>
      <x:c r="I14" s="110" t="str">
        <x:v>For bow forms defined in I2.3.1(v), take f_ai = min(f_ai1, f_ai2, f_ai3), where f_ai1 = (0.097 - 0.68*(x/L_UI - 0.15)^2)*alpha_i/(beta_i_prime)^0.5, f_ai2 = 1.2*C_FF/(sin(beta_i_prime)*C_FC*D_UI^0.64), and f_ai3 = 0.60.</x:v>
      </x:c>
      <x:c r="J14" s="111" t="str">
        <x:v>No explicit data variable identified</x:v>
      </x:c>
      <x:c r="K14" s="111" t="str">
        <x:v>No direct AnchorMap term found; propose a code-safe alias during SHACL design</x:v>
      </x:c>
      <x:c r="L14" s="114" t="str">
        <x:v>High</x:v>
      </x:c>
      <x:c r="M14" s="111" t="str">
        <x:v>Formula-derived constraint</x:v>
      </x:c>
      <x:c r="N14" s="108" t="str">
        <x:v>Deterministic calculation from static design inputs followed by a numeric or logical comparison.</x:v>
      </x:c>
      <x:c r="O14" s="113" t="str">
        <x:v>No</x:v>
      </x:c>
      <x:c r="P14" s="113" t="str">
        <x:v>Included - source reverified and locked</x:v>
      </x:c>
      <x:c r="Q14" s="108" t="str">
        <x:v>LOCK-2026-08-10: Checked the linearized shape-coefficient equations against the rendered page. Final source lock check completed against the supplied PDF; equation notation is ASCII-linearized.</x:v>
      </x:c>
      <x:c r="R14" s="108" t="str">
        <x:v>LOCK-2026-08-11-R2 | source_pdf=ur-i2rev4.pdf | source_sha256=2142453d2965997a772f451982278e622413273048097924173216bd278df9a7 | physical_pdf_page=5 | section=Design ice loads - Bow area | clause=I2.3.2.1 | checks=independent_full_text_page_layout; numbers_units_operators_equations; normalized_rule_meaning; five_category_classification | status=LOCKED</x:v>
      </x:c>
      <x:c r="S14" s="108" t="str"/>
      <x:c r="T14" s="108" t="str">
        <x:v>PASS - source/page/clause/meaning/category reverified</x:v>
      </x:c>
      <x:c r="U14" s="108" t="str">
        <x:v>LOCKED - extraction reverified</x:v>
      </x:c>
      <x:c r="V14" s="112" t="str">
        <x:v>Second-pass extraction lock covers source identity, physical PDF page span, section/clause, ASCII transcription, normalized meaning, and verification category. SHACL shapes remain a separate implementation artifact.</x:v>
      </x:c>
      <x:c r="W14" s="112" t="str">
        <x:v>https://iacs.org.uk/resolutions/unified-requirements/ur-i/ur-i2-rev4-cln</x:v>
      </x:c>
      <x:c r="X14" s="112" t="str">
        <x:v>No explicit data variable identified</x:v>
      </x:c>
      <x:c r="Y14" s="112" t="str">
        <x:v>Formula-derived constraint; encode values with units and retain clause/page provenance.</x:v>
      </x:c>
    </x:row>
    <x:row r="15" ht="92" customHeight="1">
      <x:c r="A15" s="108" t="str">
        <x:v>I2-017</x:v>
      </x:c>
      <x:c r="B15" s="108" t="str">
        <x:v>UR I2 Structural Requirements for Polar Class Ships</x:v>
      </x:c>
      <x:c r="C15" s="108" t="str">
        <x:v>Rev.4 Dec 2019</x:v>
      </x:c>
      <x:c r="D15" s="163" t="n">
        <x:v>6</x:v>
      </x:c>
      <x:c r="E15" s="108" t="str">
        <x:v>Design ice loads - Hull areas other than the bow</x:v>
      </x:c>
      <x:c r="F15" s="108" t="str">
        <x:v>I2.3.2.2</x:v>
      </x:c>
      <x:c r="G15" s="113" t="str">
        <x:v>Static Calculation</x:v>
      </x:c>
      <x:c r="H15" s="109" t="str">
        <x:v>(i) In the hull areas other than the bow, the force (FNonBow) and line load (QNonBow) used in the determination of the load patch dimensions (bNonBow, wNonBow) and design pressure (Pavg) are determined as follows: (a) Force, FNonBow: FNonBow = 0.36 * CFC * DF [MN] (b) Line Load, QNonBow:</x:v>
      </x:c>
      <x:c r="I15" s="110" t="str">
        <x:v>(i) In the hull areas other than the bow, the force (FNonBow) and line load (QNonBow) used in the determination of the load patch dimensions (bNonBow, wNonBow) and design pressure (Pavg) are determined as follows: (a) Force, FNonBow: FNonBow = 0.36 * CFC * DF [MN] (b) Line Load, QNonBow:</x:v>
      </x:c>
      <x:c r="J15" s="111" t="str">
        <x:v>No explicit data variable identified</x:v>
      </x:c>
      <x:c r="K15" s="111" t="str">
        <x:v>No direct AnchorMap term found; propose a code-safe alias during SHACL design</x:v>
      </x:c>
      <x:c r="L15" s="114" t="str">
        <x:v>High</x:v>
      </x:c>
      <x:c r="M15" s="111" t="str">
        <x:v>Formula-derived constraint</x:v>
      </x:c>
      <x:c r="N15" s="108" t="str">
        <x:v>Deterministic calculation from static design inputs followed by a numeric or logical comparison.</x:v>
      </x:c>
      <x:c r="O15" s="113" t="str">
        <x:v>No</x:v>
      </x:c>
      <x:c r="P15" s="113" t="str">
        <x:v>Included - source reverified and locked</x:v>
      </x:c>
      <x:c r="Q15" s="108" t="str">
        <x:v>LOCK-2026-08-10: No source, page, clause, category, or normalized-meaning correction was required. Source wording was checked against the supplied PDF; equation notation is ASCII-linearized.</x:v>
      </x:c>
      <x:c r="R15" s="108" t="str">
        <x:v>LOCK-2026-08-11-R2 | source_pdf=ur-i2rev4.pdf | source_sha256=2142453d2965997a772f451982278e622413273048097924173216bd278df9a7 | physical_pdf_page=6 | section=Design ice loads - Hull areas other than the bow | clause=I2.3.2.2 | checks=independent_full_text_page_layout; numbers_units_operators_equations; normalized_rule_meaning; five_category_classification | status=LOCKED</x:v>
      </x:c>
      <x:c r="S15" s="108" t="str"/>
      <x:c r="T15" s="108" t="str">
        <x:v>PASS - source/page/clause/meaning/category reverified</x:v>
      </x:c>
      <x:c r="U15" s="108" t="str">
        <x:v>LOCKED - extraction reverified</x:v>
      </x:c>
      <x:c r="V15" s="112" t="str">
        <x:v>Second-pass extraction lock covers source identity, physical PDF page span, section/clause, ASCII transcription, normalized meaning, and verification category. SHACL shapes remain a separate implementation artifact.</x:v>
      </x:c>
      <x:c r="W15" s="112" t="str">
        <x:v>https://iacs.org.uk/resolutions/unified-requirements/ur-i/ur-i2-rev4-cln</x:v>
      </x:c>
      <x:c r="X15" s="112" t="str">
        <x:v>No explicit data variable identified</x:v>
      </x:c>
      <x:c r="Y15" s="112" t="str">
        <x:v>Formula-derived constraint; encode values with units and retain clause/page provenance.</x:v>
      </x:c>
    </x:row>
    <x:row r="16" ht="92" customHeight="1">
      <x:c r="A16" s="108" t="str">
        <x:v>I2-018</x:v>
      </x:c>
      <x:c r="B16" s="108" t="str">
        <x:v>UR I2 Structural Requirements for Polar Class Ships</x:v>
      </x:c>
      <x:c r="C16" s="108" t="str">
        <x:v>Rev.4 Dec 2019</x:v>
      </x:c>
      <x:c r="D16" s="163" t="n">
        <x:v>7</x:v>
      </x:c>
      <x:c r="E16" s="108" t="str">
        <x:v>Design ice loads - Pressure within the design load patch</x:v>
      </x:c>
      <x:c r="F16" s="108" t="str">
        <x:v>I2.3.4</x:v>
      </x:c>
      <x:c r="G16" s="113" t="str">
        <x:v>Static Calculation</x:v>
      </x:c>
      <x:c r="H16" s="109"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I16" s="110"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J16" s="111" t="str">
        <x:v>No explicit data variable identified</x:v>
      </x:c>
      <x:c r="K16" s="111" t="str">
        <x:v>No direct AnchorMap term found; propose a code-safe alias during SHACL design</x:v>
      </x:c>
      <x:c r="L16" s="114" t="str">
        <x:v>Medium</x:v>
      </x:c>
      <x:c r="M16" s="111" t="str">
        <x:v>Table-lookup plus constraint</x:v>
      </x:c>
      <x:c r="N16" s="108" t="str">
        <x:v>Deterministic calculation from static design inputs followed by a numeric or logical comparison.</x:v>
      </x:c>
      <x:c r="O16" s="113" t="str">
        <x:v>No</x:v>
      </x:c>
      <x:c r="P16" s="113" t="str">
        <x:v>Included - source reverified and locked</x:v>
      </x:c>
      <x:c r="Q16" s="108" t="str">
        <x:v>LOCK-2026-08-10: No source, page, clause, category, or normalized-meaning correction was required. Source wording was checked against the supplied PDF; equation notation is ASCII-linearized.</x:v>
      </x:c>
      <x:c r="R16" s="108" t="str">
        <x:v>LOCK-2026-08-11-R2 | source_pdf=ur-i2rev4.pdf | source_sha256=2142453d2965997a772f451982278e622413273048097924173216bd278df9a7 | physical_pdf_page=7 | section=Design ice loads - Pressure within the design load patch | clause=I2.3.4 | checks=independent_full_text_page_layout; numbers_units_operators_equations; normalized_rule_meaning; five_category_classification | status=LOCKED</x:v>
      </x:c>
      <x:c r="S16" s="108" t="str"/>
      <x:c r="T16" s="108" t="str">
        <x:v>PASS - source/page/clause/meaning/category reverified</x:v>
      </x:c>
      <x:c r="U16" s="108" t="str">
        <x:v>LOCKED - extraction reverified</x:v>
      </x:c>
      <x:c r="V16" s="112" t="str">
        <x:v>Second-pass extraction lock covers source identity, physical PDF page span, section/clause, ASCII transcription, normalized meaning, and verification category. SHACL shapes remain a separate implementation artifact.</x:v>
      </x:c>
      <x:c r="W16" s="112" t="str">
        <x:v>https://iacs.org.uk/resolutions/unified-requirements/ur-i/ur-i2-rev4-cln</x:v>
      </x:c>
      <x:c r="X16" s="112" t="str">
        <x:v>No explicit data variable identified</x:v>
      </x:c>
      <x:c r="Y16" s="112" t="str">
        <x:v>Table-lookup plus constraint; encode values with units and retain clause/page provenance.</x:v>
      </x:c>
    </x:row>
    <x:row r="17" ht="92" customHeight="1">
      <x:c r="A17" s="108" t="str">
        <x:v>I2-019</x:v>
      </x:c>
      <x:c r="B17" s="108" t="str">
        <x:v>UR I2 Structural Requirements for Polar Class Ships</x:v>
      </x:c>
      <x:c r="C17" s="108" t="str">
        <x:v>Rev.4 Dec 2019</x:v>
      </x:c>
      <x:c r="D17" s="163" t="n">
        <x:v>7</x:v>
      </x:c>
      <x:c r="E17" s="108" t="str">
        <x:v>Design ice loads - Hull area factors</x:v>
      </x:c>
      <x:c r="F17" s="108" t="str">
        <x:v>I2.3.5</x:v>
      </x:c>
      <x:c r="G17" s="113" t="str">
        <x:v>Static Calculation</x:v>
      </x:c>
      <x:c r="H17" s="109" t="str">
        <x:v>(ii) In the event that a structural member spans across the boundary of a hull area, the largest hull area factor is to be used in the scantling determination of the member.</x:v>
      </x:c>
      <x:c r="I17" s="110" t="str">
        <x:v>(ii) In the event that a structural member spans across the boundary of a hull area, the largest hull area factor is to be used in the scantling determination of the member.</x:v>
      </x:c>
      <x:c r="J17" s="111" t="str">
        <x:v>No explicit data variable identified</x:v>
      </x:c>
      <x:c r="K17" s="111" t="str">
        <x:v>No direct AnchorMap term found; propose a code-safe alias during SHACL design</x:v>
      </x:c>
      <x:c r="L17" s="114" t="str">
        <x:v>High</x:v>
      </x:c>
      <x:c r="M17" s="111" t="str">
        <x:v>Formula-derived constraint</x:v>
      </x:c>
      <x:c r="N17" s="108" t="str">
        <x:v>Deterministic calculation from static design inputs followed by a numeric or logical comparison.</x:v>
      </x:c>
      <x:c r="O17" s="113" t="str">
        <x:v>No</x:v>
      </x:c>
      <x:c r="P17" s="113" t="str">
        <x:v>Included - source reverified and locked</x:v>
      </x:c>
      <x:c r="Q17" s="108" t="str">
        <x:v>LOCK-2026-08-10: No source, page, clause, category, or normalized-meaning correction was required. Source wording was checked against the supplied PDF; equation notation is ASCII-linearized.</x:v>
      </x:c>
      <x:c r="R17" s="108" t="str">
        <x:v>LOCK-2026-08-11-R2 | source_pdf=ur-i2rev4.pdf | source_sha256=2142453d2965997a772f451982278e622413273048097924173216bd278df9a7 | physical_pdf_page=7 | section=Design ice loads - Hull area factors | clause=I2.3.5 | checks=independent_full_text_page_layout; numbers_units_operators_equations; normalized_rule_meaning; five_category_classification | status=LOCKED</x:v>
      </x:c>
      <x:c r="S17" s="108" t="str"/>
      <x:c r="T17" s="108" t="str">
        <x:v>PASS - source/page/clause/meaning/category reverified</x:v>
      </x:c>
      <x:c r="U17" s="108" t="str">
        <x:v>LOCKED - extraction reverified</x:v>
      </x:c>
      <x:c r="V17" s="112" t="str">
        <x:v>Second-pass extraction lock covers source identity, physical PDF page span, section/clause, ASCII transcription, normalized meaning, and verification category. SHACL shapes remain a separate implementation artifact.</x:v>
      </x:c>
      <x:c r="W17" s="112" t="str">
        <x:v>https://iacs.org.uk/resolutions/unified-requirements/ur-i/ur-i2-rev4-cln</x:v>
      </x:c>
      <x:c r="X17" s="112" t="str">
        <x:v>No explicit data variable identified</x:v>
      </x:c>
      <x:c r="Y17" s="112" t="str">
        <x:v>Formula-derived constraint; encode values with units and retain clause/page provenance.</x:v>
      </x:c>
    </x:row>
    <x:row r="18" ht="92" customHeight="1">
      <x:c r="A18" s="108" t="str">
        <x:v>I2-021</x:v>
      </x:c>
      <x:c r="B18" s="108" t="str">
        <x:v>UR I2 Structural Requirements for Polar Class Ships</x:v>
      </x:c>
      <x:c r="C18" s="108" t="str">
        <x:v>Rev.4 Dec 2019</x:v>
      </x:c>
      <x:c r="D18" s="163" t="n">
        <x:v>8</x:v>
      </x:c>
      <x:c r="E18" s="108" t="str">
        <x:v>Shell plate requirements</x:v>
      </x:c>
      <x:c r="F18" s="108" t="str">
        <x:v>I2.4.1</x:v>
      </x:c>
      <x:c r="G18" s="113" t="str">
        <x:v>Static Calculation</x:v>
      </x:c>
      <x:c r="H18" s="109"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I18" s="110"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J18" s="111" t="str">
        <x:v>thickness</x:v>
      </x:c>
      <x:c r="K18" s="111" t="str">
        <x:v>thickness</x:v>
      </x:c>
      <x:c r="L18" s="114" t="str">
        <x:v>Medium</x:v>
      </x:c>
      <x:c r="M18" s="111" t="str">
        <x:v>Formula-derived constraint</x:v>
      </x:c>
      <x:c r="N18" s="108" t="str">
        <x:v>Deterministic calculation from static design inputs followed by a numeric or logical comparison.</x:v>
      </x:c>
      <x:c r="O18" s="113" t="str">
        <x:v>No</x:v>
      </x:c>
      <x:c r="P18" s="113" t="str">
        <x:v>Included - source reverified and locked</x:v>
      </x:c>
      <x:c r="Q18" s="108" t="str">
        <x:v>LOCK-2026-08-10: Classified the deterministic net-plus-corrosion thickness equation as Static Calculation. Final source lock check completed against the supplied PDF; equation notation is ASCII-linearized.</x:v>
      </x:c>
      <x:c r="R18" s="108" t="str">
        <x:v>LOCK-2026-08-11-R2 | source_pdf=ur-i2rev4.pdf | source_sha256=2142453d2965997a772f451982278e622413273048097924173216bd278df9a7 | physical_pdf_page=8 | section=Shell plate requirements | clause=I2.4.1 | checks=independent_full_text_page_layout; numbers_units_operators_equations; normalized_rule_meaning; five_category_classification | status=LOCKED</x:v>
      </x:c>
      <x:c r="S18" s="108" t="str"/>
      <x:c r="T18" s="108" t="str">
        <x:v>PASS - source/page/clause/meaning/category reverified</x:v>
      </x:c>
      <x:c r="U18" s="108" t="str">
        <x:v>LOCKED - extraction reverified</x:v>
      </x:c>
      <x:c r="V18" s="112" t="str">
        <x:v>Second-pass extraction lock covers source identity, physical PDF page span, section/clause, ASCII transcription, normalized meaning, and verification category. SHACL shapes remain a separate implementation artifact.</x:v>
      </x:c>
      <x:c r="W18" s="112" t="str">
        <x:v>https://iacs.org.uk/resolutions/unified-requirements/ur-i/ur-i2-rev4-cln</x:v>
      </x:c>
      <x:c r="X18" s="112" t="str">
        <x:v>thickness</x:v>
      </x:c>
      <x:c r="Y18" s="112" t="str">
        <x:v>Formula-derived constraint; encode values with units and retain clause/page provenance.</x:v>
      </x:c>
    </x:row>
    <x:row r="19" ht="92" customHeight="1">
      <x:c r="A19" s="108" t="str">
        <x:v>I2-022</x:v>
      </x:c>
      <x:c r="B19" s="108" t="str">
        <x:v>UR I2 Structural Requirements for Polar Class Ships</x:v>
      </x:c>
      <x:c r="C19" s="108" t="str">
        <x:v>Rev.4 Dec 2019</x:v>
      </x:c>
      <x:c r="D19" s="163" t="n">
        <x:v>8</x:v>
      </x:c>
      <x:c r="E19" s="108" t="str">
        <x:v>Shell plate requirements</x:v>
      </x:c>
      <x:c r="F19" s="108" t="str">
        <x:v>I2.4.2</x:v>
      </x:c>
      <x:c r="G19" s="113" t="str">
        <x:v>Static Calculation</x:v>
      </x:c>
      <x:c r="H19" s="109" t="str">
        <x:v>In the case of transversely-framed plating (Omega &gt;= 70 deg), including all bottom plating in hull areas BI_b, M_b and S_b, the net thickness is given by t_net = 500*s*sqrt((AF*PPF_p*P_avg)/sigma_y)/(1 + s/(2*b)) [mm].</x:v>
      </x:c>
      <x:c r="I19" s="110" t="str">
        <x:v>For transversely-framed plating (Omega &gt;= 70 deg), including bottom plating in hull areas BI_b, M_b and S_b, t_net = 500*s*sqrt((AF*PPF_p*P_avg)/sigma_y)/(1 + s/(2*b)) [mm].</x:v>
      </x:c>
      <x:c r="J19" s="111" t="str">
        <x:v>yieldStrength_MPa</x:v>
      </x:c>
      <x:c r="K19" s="111" t="str">
        <x:v>yieldStrength_MPa</x:v>
      </x:c>
      <x:c r="L19" s="114" t="str">
        <x:v>High</x:v>
      </x:c>
      <x:c r="M19" s="111" t="str">
        <x:v>Formula-derived constraint</x:v>
      </x:c>
      <x:c r="N19" s="108" t="str">
        <x:v>Deterministic calculation from static design inputs followed by a numeric or logical comparison.</x:v>
      </x:c>
      <x:c r="O19" s="113" t="str">
        <x:v>No</x:v>
      </x:c>
      <x:c r="P19" s="113" t="str">
        <x:v>Included - source reverified and locked</x:v>
      </x:c>
      <x:c r="Q19" s="108" t="str">
        <x:v>LOCK-2026-08-10: Checked the transversely-framed plating equation and units against the rendered page. Final source lock check completed against the supplied PDF; equation notation is ASCII-linearized.</x:v>
      </x:c>
      <x:c r="R19" s="108" t="str">
        <x:v>LOCK-2026-08-11-R2 | source_pdf=ur-i2rev4.pdf | source_sha256=2142453d2965997a772f451982278e622413273048097924173216bd278df9a7 | physical_pdf_page=8 | section=Shell plate requirements | clause=I2.4.2 | checks=independent_full_text_page_layout; numbers_units_operators_equations; normalized_rule_meaning; five_category_classification | status=LOCKED</x:v>
      </x:c>
      <x:c r="S19" s="108" t="str"/>
      <x:c r="T19" s="108" t="str">
        <x:v>PASS - source/page/clause/meaning/category reverified</x:v>
      </x:c>
      <x:c r="U19" s="108" t="str">
        <x:v>LOCKED - extraction reverified</x:v>
      </x:c>
      <x:c r="V19" s="112" t="str">
        <x:v>Second-pass extraction lock covers source identity, physical PDF page span, section/clause, ASCII transcription, normalized meaning, and verification category. SHACL shapes remain a separate implementation artifact.</x:v>
      </x:c>
      <x:c r="W19" s="112" t="str">
        <x:v>https://iacs.org.uk/resolutions/unified-requirements/ur-i/ur-i2-rev4-cln</x:v>
      </x:c>
      <x:c r="X19" s="112" t="str">
        <x:v>yieldStrength_MPa</x:v>
      </x:c>
      <x:c r="Y19" s="112" t="str">
        <x:v>Formula-derived constraint; encode values with units and retain clause/page provenance.</x:v>
      </x:c>
    </x:row>
    <x:row r="20" ht="92" customHeight="1">
      <x:c r="A20" s="108" t="str">
        <x:v>I2-023</x:v>
      </x:c>
      <x:c r="B20" s="108" t="str">
        <x:v>UR I2 Structural Requirements for Polar Class Ships</x:v>
      </x:c>
      <x:c r="C20" s="108" t="str">
        <x:v>Rev.4 Dec 2019</x:v>
      </x:c>
      <x:c r="D20" s="163" t="n">
        <x:v>9</x:v>
      </x:c>
      <x:c r="E20" s="108" t="str">
        <x:v>Shell plate requirements</x:v>
      </x:c>
      <x:c r="F20" s="108" t="str">
        <x:v>I2.4.2</x:v>
      </x:c>
      <x:c r="G20" s="113" t="str">
        <x:v>Static Calculation</x:v>
      </x:c>
      <x:c r="H20" s="109" t="str">
        <x:v>In the case of longitudinally-framed plating (Omega &lt;= 20 deg), when b &gt;= s, the net thickness is t_net = 500*s*sqrt((AF*PPF_p*P_avg)/sigma_y)/(1 + s/(2*l)) [mm]. When b &lt; s, the net thickness is t_net = 500*s*sqrt((AF*PPF_p*P_avg)/sigma_y)*sqrt(2*b/s - (b/s)^2)/(1 + s/(2*l)) [mm].</x:v>
      </x:c>
      <x:c r="I20" s="110" t="str">
        <x:v>For longitudinally-framed plating (Omega &lt;= 20 deg) when b &gt;= s, t_net = 500*s*sqrt((AF*PPF_p*P_avg)/sigma_y)/(1 + s/(2*l)) [mm]. When b &lt; s, t_net = 500*s*sqrt((AF*PPF_p*P_avg)/sigma_y)*sqrt(2*b/s - (b/s)^2)/(1 + s/(2*l)) [mm].</x:v>
      </x:c>
      <x:c r="J20" s="111" t="str">
        <x:v>yieldStrength_MPa</x:v>
      </x:c>
      <x:c r="K20" s="111" t="str">
        <x:v>yieldStrength_MPa</x:v>
      </x:c>
      <x:c r="L20" s="114" t="str">
        <x:v>Medium</x:v>
      </x:c>
      <x:c r="M20" s="111" t="str">
        <x:v>Formula-derived constraint</x:v>
      </x:c>
      <x:c r="N20" s="108" t="str">
        <x:v>Deterministic calculation from static design inputs followed by a numeric or logical comparison.</x:v>
      </x:c>
      <x:c r="O20" s="113" t="str">
        <x:v>No</x:v>
      </x:c>
      <x:c r="P20" s="113" t="str">
        <x:v>Included - source reverified and locked</x:v>
      </x:c>
      <x:c r="Q20" s="108" t="str">
        <x:v>LOCK-2026-08-10: Checked both piecewise equations and classified them as Static Calculation. Final source lock check completed against the supplied PDF; equation notation is ASCII-linearized.</x:v>
      </x:c>
      <x:c r="R20" s="108" t="str">
        <x:v>LOCK-2026-08-11-R2 | source_pdf=ur-i2rev4.pdf | source_sha256=2142453d2965997a772f451982278e622413273048097924173216bd278df9a7 | physical_pdf_page=9 | section=Shell plate requirements | clause=I2.4.2 | checks=independent_full_text_page_layout; numbers_units_operators_equations; normalized_rule_meaning; five_category_classification | status=LOCKED</x:v>
      </x:c>
      <x:c r="S20" s="108" t="str"/>
      <x:c r="T20" s="108" t="str">
        <x:v>PASS - source/page/clause/meaning/category reverified</x:v>
      </x:c>
      <x:c r="U20" s="108" t="str">
        <x:v>LOCKED - extraction reverified</x:v>
      </x:c>
      <x:c r="V20" s="112" t="str">
        <x:v>Second-pass extraction lock covers source identity, physical PDF page span, section/clause, ASCII transcription, normalized meaning, and verification category. SHACL shapes remain a separate implementation artifact.</x:v>
      </x:c>
      <x:c r="W20" s="112" t="str">
        <x:v>https://iacs.org.uk/resolutions/unified-requirements/ur-i/ur-i2-rev4-cln</x:v>
      </x:c>
      <x:c r="X20" s="112" t="str">
        <x:v>yieldStrength_MPa</x:v>
      </x:c>
      <x:c r="Y20" s="112" t="str">
        <x:v>Formula-derived constraint; encode values with units and retain clause/page provenance.</x:v>
      </x:c>
    </x:row>
    <x:row r="21" ht="92" customHeight="1">
      <x:c r="A21" s="108" t="str">
        <x:v>I2-024</x:v>
      </x:c>
      <x:c r="B21" s="108" t="str">
        <x:v>UR I2 Structural Requirements for Polar Class Ships</x:v>
      </x:c>
      <x:c r="C21" s="108" t="str">
        <x:v>Rev.4 Dec 2019</x:v>
      </x:c>
      <x:c r="D21" s="163" t="n">
        <x:v>9</x:v>
      </x:c>
      <x:c r="E21" s="108" t="str">
        <x:v>Shell plate requirements</x:v>
      </x:c>
      <x:c r="F21" s="108" t="str">
        <x:v>I2.4.2</x:v>
      </x:c>
      <x:c r="G21" s="113" t="str">
        <x:v>Static Calculation</x:v>
      </x:c>
      <x:c r="H21" s="109" t="str">
        <x:v>In the case of obliquely-framed plating (70 deg &gt; Omega &gt; 20 deg), linear interpolation is to be used.</x:v>
      </x:c>
      <x:c r="I21" s="110" t="str">
        <x:v>In the case of obliquely-framed plating (70 deg &gt; Omega &gt; 20 deg), linear interpolation is to be used.</x:v>
      </x:c>
      <x:c r="J21" s="111" t="str">
        <x:v>No explicit data variable identified</x:v>
      </x:c>
      <x:c r="K21" s="111" t="str">
        <x:v>No direct AnchorMap term found; propose a code-safe alias during SHACL design</x:v>
      </x:c>
      <x:c r="L21" s="114" t="str">
        <x:v>High</x:v>
      </x:c>
      <x:c r="M21" s="111" t="str">
        <x:v>Formula-derived constraint</x:v>
      </x:c>
      <x:c r="N21" s="108" t="str">
        <x:v>Deterministic calculation from static design inputs followed by a numeric or logical comparison.</x:v>
      </x:c>
      <x:c r="O21" s="113" t="str">
        <x:v>No</x:v>
      </x:c>
      <x:c r="P21" s="113" t="str">
        <x:v>Included - source reverified and locked</x:v>
      </x:c>
      <x:c r="Q21" s="108" t="str">
        <x:v>LOCK-2026-08-10: Classified the prescribed linear interpolation as Static Calculation. Final source lock check completed against the supplied PDF; equation notation is ASCII-linearized.</x:v>
      </x:c>
      <x:c r="R21" s="108" t="str">
        <x:v>LOCK-2026-08-11-R2 | source_pdf=ur-i2rev4.pdf | source_sha256=2142453d2965997a772f451982278e622413273048097924173216bd278df9a7 | physical_pdf_page=9 | section=Shell plate requirements | clause=I2.4.2 | checks=independent_full_text_page_layout; numbers_units_operators_equations; normalized_rule_meaning; five_category_classification | status=LOCKED</x:v>
      </x:c>
      <x:c r="S21" s="108" t="str"/>
      <x:c r="T21" s="108" t="str">
        <x:v>PASS - source/page/clause/meaning/category reverified</x:v>
      </x:c>
      <x:c r="U21" s="108" t="str">
        <x:v>LOCKED - extraction reverified</x:v>
      </x:c>
      <x:c r="V21" s="112" t="str">
        <x:v>Second-pass extraction lock covers source identity, physical PDF page span, section/clause, ASCII transcription, normalized meaning, and verification category. SHACL shapes remain a separate implementation artifact.</x:v>
      </x:c>
      <x:c r="W21" s="112" t="str">
        <x:v>https://iacs.org.uk/resolutions/unified-requirements/ur-i/ur-i2-rev4-cln</x:v>
      </x:c>
      <x:c r="X21" s="112" t="str">
        <x:v>No explicit data variable identified</x:v>
      </x:c>
      <x:c r="Y21" s="112" t="str">
        <x:v>Formula-derived constraint; encode values with units and retain clause/page provenance.</x:v>
      </x:c>
    </x:row>
    <x:row r="22" ht="92" customHeight="1">
      <x:c r="A22" s="108" t="str">
        <x:v>I2-026</x:v>
      </x:c>
      <x:c r="B22" s="108" t="str">
        <x:v>UR I2 Structural Requirements for Polar Class Ships</x:v>
      </x:c>
      <x:c r="C22" s="108" t="str">
        <x:v>Rev.4 Dec 2019</x:v>
      </x:c>
      <x:c r="D22" s="163" t="n">
        <x:v>10</x:v>
      </x:c>
      <x:c r="E22" s="108" t="str">
        <x:v>Framing - General</x:v>
      </x:c>
      <x:c r="F22" s="108" t="str">
        <x:v>I2.5.3</x:v>
      </x:c>
      <x:c r="G22" s="113" t="str">
        <x:v>Static</x:v>
      </x:c>
      <x:c r="H22" s="109"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I22" s="110"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J22" s="111" t="str">
        <x:v>No explicit data variable identified</x:v>
      </x:c>
      <x:c r="K22" s="111" t="str">
        <x:v>No direct AnchorMap term found; propose a code-safe alias during SHACL design</x:v>
      </x:c>
      <x:c r="L22" s="114" t="str">
        <x:v>High</x:v>
      </x:c>
      <x:c r="M22" s="111" t="str">
        <x:v>Conditional/applicability constraint</x:v>
      </x:c>
      <x:c r="N22" s="108" t="str">
        <x:v>Direct verification of a stated property, document, presence condition, enumeration, applicability rule, prohibition, or fixed limit.</x:v>
      </x:c>
      <x:c r="O22" s="113" t="str">
        <x:v>No</x:v>
      </x:c>
      <x:c r="P22" s="113" t="str">
        <x:v>Included - source reverified and locked</x:v>
      </x:c>
      <x:c r="Q22" s="108" t="str">
        <x:v>LOCK-2026-08-10: No source, page, clause, category, or normalized-meaning correction was required. Source wording was checked against the supplied PDF; equation notation is ASCII-linearized.</x:v>
      </x:c>
      <x:c r="R22" s="108" t="str">
        <x:v>LOCK-2026-08-11-R2 | source_pdf=ur-i2rev4.pdf | source_sha256=2142453d2965997a772f451982278e622413273048097924173216bd278df9a7 | physical_pdf_page=10 | section=Framing - General | clause=I2.5.3 | checks=independent_full_text_page_layout; numbers_units_operators_equations; normalized_rule_meaning; five_category_classification | status=LOCKED</x:v>
      </x:c>
      <x:c r="S22" s="108" t="str"/>
      <x:c r="T22" s="108" t="str">
        <x:v>PASS - source/page/clause/meaning/category reverified</x:v>
      </x:c>
      <x:c r="U22" s="108" t="str">
        <x:v>LOCKED - extraction reverified</x:v>
      </x:c>
      <x:c r="V22" s="112" t="str">
        <x:v>Second-pass extraction lock covers source identity, physical PDF page span, section/clause, ASCII transcription, normalized meaning, and verification category. SHACL shapes remain a separate implementation artifact.</x:v>
      </x:c>
      <x:c r="W22" s="112" t="str">
        <x:v>https://iacs.org.uk/resolutions/unified-requirements/ur-i/ur-i2-rev4-cln</x:v>
      </x:c>
      <x:c r="X22" s="112" t="str">
        <x:v>No explicit data variable identified</x:v>
      </x:c>
      <x:c r="Y22" s="112" t="str">
        <x:v>Conditional/applicability constraint; encode values with units and retain clause/page provenance.</x:v>
      </x:c>
    </x:row>
    <x:row r="23" ht="92" customHeight="1">
      <x:c r="A23" s="108" t="str">
        <x:v>I2-029</x:v>
      </x:c>
      <x:c r="B23" s="108" t="str">
        <x:v>UR I2 Structural Requirements for Polar Class Ships</x:v>
      </x:c>
      <x:c r="C23" s="108" t="str">
        <x:v>Rev.4 Dec 2019</x:v>
      </x:c>
      <x:c r="D23" s="163" t="n">
        <x:v>10</x:v>
      </x:c>
      <x:c r="E23" s="108" t="str">
        <x:v>Framing - General</x:v>
      </x:c>
      <x:c r="F23" s="108" t="str">
        <x:v>I2.5.6</x:v>
      </x:c>
      <x:c r="G23" s="113" t="str">
        <x:v>Static Calculation</x:v>
      </x:c>
      <x:c r="H23" s="109"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I23" s="110"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J23" s="111" t="str">
        <x:v>sectionModulusZ, shearAreaA, thickness</x:v>
      </x:c>
      <x:c r="K23" s="111" t="str">
        <x:v>sectionModulusZ, shearAreaA, thickness</x:v>
      </x:c>
      <x:c r="L23" s="114" t="str">
        <x:v>Medium</x:v>
      </x:c>
      <x:c r="M23" s="111" t="str">
        <x:v>Conditional/applicability constraint</x:v>
      </x:c>
      <x:c r="N23" s="108" t="str">
        <x:v>Deterministic calculation from static design inputs followed by a numeric or logical comparison.</x:v>
      </x:c>
      <x:c r="O23" s="113" t="str">
        <x:v>No</x:v>
      </x:c>
      <x:c r="P23" s="113" t="str">
        <x:v>Included - source reverified and locked</x:v>
      </x:c>
      <x:c r="Q23" s="108" t="str">
        <x:v>LOCK-2026-08-10: Classified the prescribed net section-modulus/shear-area calculation as Static Calculation. Final source lock check completed against the supplied PDF; equation notation is ASCII-linearized.</x:v>
      </x:c>
      <x:c r="R23" s="108" t="str">
        <x:v>LOCK-2026-08-11-R2 | source_pdf=ur-i2rev4.pdf | source_sha256=2142453d2965997a772f451982278e622413273048097924173216bd278df9a7 | physical_pdf_page=10 | section=Framing - General | clause=I2.5.6 | checks=independent_full_text_page_layout; numbers_units_operators_equations; normalized_rule_meaning; five_category_classification | status=LOCKED</x:v>
      </x:c>
      <x:c r="S23" s="108" t="str"/>
      <x:c r="T23" s="108" t="str">
        <x:v>PASS - source/page/clause/meaning/category reverified</x:v>
      </x:c>
      <x:c r="U23" s="108" t="str">
        <x:v>LOCKED - extraction reverified</x:v>
      </x:c>
      <x:c r="V23" s="112" t="str">
        <x:v>Second-pass extraction lock covers source identity, physical PDF page span, section/clause, ASCII transcription, normalized meaning, and verification category. SHACL shapes remain a separate implementation artifact.</x:v>
      </x:c>
      <x:c r="W23" s="112" t="str">
        <x:v>https://iacs.org.uk/resolutions/unified-requirements/ur-i/ur-i2-rev4-cln</x:v>
      </x:c>
      <x:c r="X23" s="112" t="str">
        <x:v>sectionModulusZ, shearAreaA, thickness</x:v>
      </x:c>
      <x:c r="Y23" s="112" t="str">
        <x:v>Conditional/applicability constraint; encode values with units and retain clause/page provenance.</x:v>
      </x:c>
    </x:row>
    <x:row r="24" ht="92" customHeight="1">
      <x:c r="A24" s="108" t="str">
        <x:v>I2-030</x:v>
      </x:c>
      <x:c r="B24" s="108" t="str">
        <x:v>UR I2 Structural Requirements for Polar Class Ships</x:v>
      </x:c>
      <x:c r="C24" s="108" t="str">
        <x:v>Rev.4 Dec 2019</x:v>
      </x:c>
      <x:c r="D24" s="163" t="n">
        <x:v>11</x:v>
      </x:c>
      <x:c r="E24" s="108" t="str">
        <x:v>Framing - General</x:v>
      </x:c>
      <x:c r="F24" s="108" t="str">
        <x:v>I2.5.8-I2.5.9</x:v>
      </x:c>
      <x:c r="G24" s="113" t="str">
        <x:v>Static Calculation</x:v>
      </x:c>
      <x:c r="H24" s="109" t="str">
        <x:v>When the cross-sectional area of the local frame exceeds the cross-sectional area of the attached plate flange, the plastic neutral axis is z_na = (100*A_fn + h_w*t_wn - 1000*t_pn*s)/(2*t_wn) [mm], and the net effective plastic section modulus is Z_p = t_pn*s*(z_na + t_pn/2)*sin(phi_w) + (((h_w - z_na)^2 + z_na^2)*t_wn*sin(phi_w))/2000 + A_fn*((h_fc - z_na)*sin(phi_w) - b_w*cos(phi_w))/10 [cm^3]. For oblique framing (70 deg &gt; Omega &gt; 20 deg), linear interpolation is to be used.</x:v>
      </x:c>
      <x:c r="I24" s="110"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J24" s="111" t="str">
        <x:v>sectionModulusZ</x:v>
      </x:c>
      <x:c r="K24" s="111" t="str">
        <x:v>sectionModulusZ</x:v>
      </x:c>
      <x:c r="L24" s="114" t="str">
        <x:v>Medium</x:v>
      </x:c>
      <x:c r="M24" s="111" t="str">
        <x:v>Formula-derived constraint</x:v>
      </x:c>
      <x:c r="N24" s="108" t="str">
        <x:v>Deterministic calculation from static design inputs followed by a numeric or logical comparison.</x:v>
      </x:c>
      <x:c r="O24" s="113" t="str">
        <x:v>No</x:v>
      </x:c>
      <x:c r="P24" s="113" t="str">
        <x:v>Included - source reverified and locked</x:v>
      </x:c>
      <x:c r="Q24" s="108" t="str">
        <x:v>LOCK-2026-08-10: Checked the neutral-axis and plastic-section-modulus equations and classified them as Static Calculation. Final source lock check completed against the supplied PDF; equation notation is ASCII-linearized. | LOCK-2026-08-11-R2: Widened the clause trace because the final linear-interpolation sentence is I2.5.9.</x:v>
      </x:c>
      <x:c r="R24" s="108" t="str">
        <x:v>LOCK-2026-08-11-R2 | source_pdf=ur-i2rev4.pdf | source_sha256=2142453d2965997a772f451982278e622413273048097924173216bd278df9a7 | physical_pdf_page=11 | section=Framing - General | clause=I2.5.8-I2.5.9 | checks=independent_full_text_page_layout; numbers_units_operators_equations; normalized_rule_meaning; five_category_classification | status=LOCKED</x:v>
      </x:c>
      <x:c r="S24" s="108" t="str"/>
      <x:c r="T24" s="108" t="str">
        <x:v>PASS - source/page/clause/meaning/category reverified</x:v>
      </x:c>
      <x:c r="U24" s="108" t="str">
        <x:v>LOCKED - extraction reverified</x:v>
      </x:c>
      <x:c r="V24" s="112" t="str">
        <x:v>Second-pass extraction lock covers source identity, physical PDF page span, section/clause, ASCII transcription, normalized meaning, and verification category. SHACL shapes remain a separate implementation artifact.</x:v>
      </x:c>
      <x:c r="W24" s="112" t="str">
        <x:v>https://iacs.org.uk/resolutions/unified-requirements/ur-i/ur-i2-rev4-cln</x:v>
      </x:c>
      <x:c r="X24" s="112" t="str">
        <x:v>sectionModulusZ</x:v>
      </x:c>
      <x:c r="Y24" s="112" t="str">
        <x:v>Formula-derived constraint; encode values with units and retain clause/page provenance.</x:v>
      </x:c>
    </x:row>
    <x:row r="25" ht="92" customHeight="1">
      <x:c r="A25" s="108" t="str">
        <x:v>I2-031</x:v>
      </x:c>
      <x:c r="B25" s="108" t="str">
        <x:v>UR I2 Structural Requirements for Polar Class Ships</x:v>
      </x:c>
      <x:c r="C25" s="108" t="str">
        <x:v>Rev.4 Dec 2019</x:v>
      </x:c>
      <x:c r="D25" s="163" t="n">
        <x:v>12</x:v>
      </x:c>
      <x:c r="E25" s="108" t="str">
        <x:v>Framing - Local frames in bottom structures and transverse local frames in side structures</x:v>
      </x:c>
      <x:c r="F25" s="108" t="str">
        <x:v>I2.6.1</x:v>
      </x:c>
      <x:c r="G25" s="113" t="str">
        <x:v>Static</x:v>
      </x:c>
      <x:c r="H25" s="109"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I25" s="110"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J25" s="111" t="str">
        <x:v>No explicit data variable identified</x:v>
      </x:c>
      <x:c r="K25" s="111" t="str">
        <x:v>No direct AnchorMap term found; propose a code-safe alias during SHACL design</x:v>
      </x:c>
      <x:c r="L25" s="114" t="str">
        <x:v>High</x:v>
      </x:c>
      <x:c r="M25" s="111" t="str">
        <x:v>Direct property/presence constraint</x:v>
      </x:c>
      <x:c r="N25" s="108" t="str">
        <x:v>Direct verification of a stated property, document, presence condition, enumeration, applicability rule, prohibition, or fixed limit.</x:v>
      </x:c>
      <x:c r="O25" s="113" t="str">
        <x:v>No</x:v>
      </x:c>
      <x:c r="P25" s="113" t="str">
        <x:v>Included - source reverified and locked</x:v>
      </x:c>
      <x:c r="Q25" s="108" t="str">
        <x:v>LOCK-2026-08-10: No source, page, clause, category, or normalized-meaning correction was required. Source wording was checked against the supplied PDF; equation notation is ASCII-linearized.</x:v>
      </x:c>
      <x:c r="R25" s="108" t="str">
        <x:v>LOCK-2026-08-11-R2 | source_pdf=ur-i2rev4.pdf | source_sha256=2142453d2965997a772f451982278e622413273048097924173216bd278df9a7 | physical_pdf_page=12 | section=Framing - Local frames in bottom structures and transverse local frames in side structures | clause=I2.6.1 | checks=independent_full_text_page_layout; numbers_units_operators_equations; normalized_rule_meaning; five_category_classification | status=LOCKED</x:v>
      </x:c>
      <x:c r="S25" s="108" t="str"/>
      <x:c r="T25" s="108" t="str">
        <x:v>PASS - source/page/clause/meaning/category reverified</x:v>
      </x:c>
      <x:c r="U25" s="108" t="str">
        <x:v>LOCKED - extraction reverified</x:v>
      </x:c>
      <x:c r="V25" s="112" t="str">
        <x:v>Second-pass extraction lock covers source identity, physical PDF page span, section/clause, ASCII transcription, normalized meaning, and verification category. SHACL shapes remain a separate implementation artifact.</x:v>
      </x:c>
      <x:c r="W25" s="112" t="str">
        <x:v>https://iacs.org.uk/resolutions/unified-requirements/ur-i/ur-i2-rev4-cln</x:v>
      </x:c>
      <x:c r="X25" s="112" t="str">
        <x:v>No explicit data variable identified</x:v>
      </x:c>
      <x:c r="Y25" s="112" t="str">
        <x:v>Direct property/presence constraint; encode values with units and retain clause/page provenance.</x:v>
      </x:c>
    </x:row>
    <x:row r="26" ht="92" customHeight="1">
      <x:c r="A26" s="108" t="str">
        <x:v>I2-032</x:v>
      </x:c>
      <x:c r="B26" s="108" t="str">
        <x:v>UR I2 Structural Requirements for Polar Class Ships</x:v>
      </x:c>
      <x:c r="C26" s="108" t="str">
        <x:v>Rev.4 Dec 2019</x:v>
      </x:c>
      <x:c r="D26" s="163" t="n">
        <x:v>12</x:v>
      </x:c>
      <x:c r="E26" s="108" t="str">
        <x:v>Framing - Local frames in bottom structures and transverse local frames in side structures</x:v>
      </x:c>
      <x:c r="F26" s="108" t="str">
        <x:v>I2.6.2</x:v>
      </x:c>
      <x:c r="G26" s="113" t="str">
        <x:v>Static Calculation</x:v>
      </x:c>
      <x:c r="H26" s="109" t="str">
        <x:v>The actual net effective shear area A_w is to comply with A_w &gt;= A_t, where A_t = 100^2*0.5*LL*s*(AF*PPF*P_avg)/(0.577*sigma_y) [cm^2] and LL is the lesser of frame span a and load-patch height b.</x:v>
      </x:c>
      <x:c r="I26" s="110" t="str">
        <x:v>The actual net effective shear area A_w shall satisfy A_w &gt;= A_t, where A_t = 100^2*0.5*LL*s*(AF*PPF*P_avg)/(0.577*sigma_y) [cm^2]. LL is the lesser of frame span a and load-patch height b; the remaining variables are defined in I2.6.2.</x:v>
      </x:c>
      <x:c r="J26" s="111" t="str">
        <x:v>yieldStrength_MPa, shearAreaA, span</x:v>
      </x:c>
      <x:c r="K26" s="111" t="str">
        <x:v>yieldStrength_MPa, shearAreaA, span</x:v>
      </x:c>
      <x:c r="L26" s="114" t="str">
        <x:v>Medium</x:v>
      </x:c>
      <x:c r="M26" s="111" t="str">
        <x:v>Formula-derived constraint</x:v>
      </x:c>
      <x:c r="N26" s="108" t="str">
        <x:v>Deterministic calculation from static design inputs followed by a numeric or logical comparison.</x:v>
      </x:c>
      <x:c r="O26" s="113" t="str">
        <x:v>No</x:v>
      </x:c>
      <x:c r="P26" s="113" t="str">
        <x:v>Included - source reverified and locked</x:v>
      </x:c>
      <x:c r="Q26" s="108" t="str">
        <x:v>LOCK-2026-08-10: Checked the A_t equation and classified it as Static Calculation. Final source lock check completed against the supplied PDF; equation notation is ASCII-linearized.</x:v>
      </x:c>
      <x:c r="R26" s="108" t="str">
        <x:v>LOCK-2026-08-11-R2 | source_pdf=ur-i2rev4.pdf | source_sha256=2142453d2965997a772f451982278e622413273048097924173216bd278df9a7 | physical_pdf_page=12 | section=Framing - Local frames in bottom structures and transverse local frames in side structures | clause=I2.6.2 | checks=independent_full_text_page_layout; numbers_units_operators_equations; normalized_rule_meaning; five_category_classification | status=LOCKED</x:v>
      </x:c>
      <x:c r="S26" s="108" t="str"/>
      <x:c r="T26" s="108" t="str">
        <x:v>PASS - source/page/clause/meaning/category reverified</x:v>
      </x:c>
      <x:c r="U26" s="108" t="str">
        <x:v>LOCKED - extraction reverified</x:v>
      </x:c>
      <x:c r="V26" s="112" t="str">
        <x:v>Second-pass extraction lock covers source identity, physical PDF page span, section/clause, ASCII transcription, normalized meaning, and verification category. SHACL shapes remain a separate implementation artifact.</x:v>
      </x:c>
      <x:c r="W26" s="112" t="str">
        <x:v>https://iacs.org.uk/resolutions/unified-requirements/ur-i/ur-i2-rev4-cln</x:v>
      </x:c>
      <x:c r="X26" s="112" t="str">
        <x:v>yieldStrength_MPa, shearAreaA, span</x:v>
      </x:c>
      <x:c r="Y26" s="112" t="str">
        <x:v>Formula-derived constraint; encode values with units and retain clause/page provenance.</x:v>
      </x:c>
    </x:row>
    <x:row r="27" ht="92" customHeight="1">
      <x:c r="A27" s="108" t="str">
        <x:v>I2-034</x:v>
      </x:c>
      <x:c r="B27" s="108" t="str">
        <x:v>UR I2 Structural Requirements for Polar Class Ships</x:v>
      </x:c>
      <x:c r="C27" s="108" t="str">
        <x:v>Rev.4 Dec 2019</x:v>
      </x:c>
      <x:c r="D27" s="163" t="n">
        <x:v>13</x:v>
      </x:c>
      <x:c r="E27" s="108" t="str">
        <x:v>Framing - Longitudinal local frames in side structures</x:v>
      </x:c>
      <x:c r="F27" s="108" t="str">
        <x:v>I2.7.1</x:v>
      </x:c>
      <x:c r="G27" s="113" t="str">
        <x:v>Static</x:v>
      </x:c>
      <x:c r="H27" s="109"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I27" s="110"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J27" s="111" t="str">
        <x:v>No explicit data variable identified</x:v>
      </x:c>
      <x:c r="K27" s="111" t="str">
        <x:v>No direct AnchorMap term found; propose a code-safe alias during SHACL design</x:v>
      </x:c>
      <x:c r="L27" s="114" t="str">
        <x:v>High</x:v>
      </x:c>
      <x:c r="M27" s="111" t="str">
        <x:v>Direct property/presence constraint</x:v>
      </x:c>
      <x:c r="N27" s="108" t="str">
        <x:v>Direct verification of a stated property, document, presence condition, enumeration, applicability rule, prohibition, or fixed limit.</x:v>
      </x:c>
      <x:c r="O27" s="113" t="str">
        <x:v>No</x:v>
      </x:c>
      <x:c r="P27" s="113" t="str">
        <x:v>Included - source reverified and locked</x:v>
      </x:c>
      <x:c r="Q27" s="108" t="str">
        <x:v>LOCK-2026-08-10: No source, page, clause, category, or normalized-meaning correction was required. Source wording was checked against the supplied PDF; equation notation is ASCII-linearized.</x:v>
      </x:c>
      <x:c r="R27" s="108" t="str">
        <x:v>LOCK-2026-08-11-R2 | source_pdf=ur-i2rev4.pdf | source_sha256=2142453d2965997a772f451982278e622413273048097924173216bd278df9a7 | physical_pdf_page=13 | section=Framing - Longitudinal local frames in side structures | clause=I2.7.1 | checks=independent_full_text_page_layout; numbers_units_operators_equations; normalized_rule_meaning; five_category_classification | status=LOCKED</x:v>
      </x:c>
      <x:c r="S27" s="108" t="str"/>
      <x:c r="T27" s="108" t="str">
        <x:v>PASS - source/page/clause/meaning/category reverified</x:v>
      </x:c>
      <x:c r="U27" s="108" t="str">
        <x:v>LOCKED - extraction reverified</x:v>
      </x:c>
      <x:c r="V27" s="112" t="str">
        <x:v>Second-pass extraction lock covers source identity, physical PDF page span, section/clause, ASCII transcription, normalized meaning, and verification category. SHACL shapes remain a separate implementation artifact.</x:v>
      </x:c>
      <x:c r="W27" s="112" t="str">
        <x:v>https://iacs.org.uk/resolutions/unified-requirements/ur-i/ur-i2-rev4-cln</x:v>
      </x:c>
      <x:c r="X27" s="112" t="str">
        <x:v>No explicit data variable identified</x:v>
      </x:c>
      <x:c r="Y27" s="112" t="str">
        <x:v>Direct property/presence constraint; encode values with units and retain clause/page provenance.</x:v>
      </x:c>
    </x:row>
    <x:row r="28" ht="92" customHeight="1">
      <x:c r="A28" s="108" t="str">
        <x:v>I2-035</x:v>
      </x:c>
      <x:c r="B28" s="108" t="str">
        <x:v>UR I2 Structural Requirements for Polar Class Ships</x:v>
      </x:c>
      <x:c r="C28" s="108" t="str">
        <x:v>Rev.4 Dec 2019</x:v>
      </x:c>
      <x:c r="D28" s="163" t="n">
        <x:v>13</x:v>
      </x:c>
      <x:c r="E28" s="108" t="str">
        <x:v>Framing - Longitudinal local frames in side structures</x:v>
      </x:c>
      <x:c r="F28" s="108" t="str">
        <x:v>I2.7.2</x:v>
      </x:c>
      <x:c r="G28" s="113" t="str">
        <x:v>Static Calculation</x:v>
      </x:c>
      <x:c r="H28" s="109" t="str">
        <x:v>The actual net effective shear area A_w is to comply with A_w &gt;= A_L, where A_L = 100^2*(AF*PPF_s*P_avg)*0.5*b_1*a/(0.577*sigma_y) [cm^2], b_1 = k_o*b_2, k_o = 1 - 0.3/b_prime, b_prime = b/s, and b_2 = b*(1 - 0.25*b_prime) when b_prime &lt; 2, otherwise b_2 = s.</x:v>
      </x:c>
      <x:c r="I28" s="110" t="str">
        <x:v>The actual net effective shear area A_w shall satisfy A_w &gt;= A_L, where A_L = 100^2*(AF*PPF_s*P_avg)*0.5*b_1*a/(0.577*sigma_y) [cm^2], b_1 = k_o*b_2, k_o = 1 - 0.3/b_prime, b_prime = b/s, and b_2 = b*(1 - 0.25*b_prime) when b_prime &lt; 2, otherwise b_2 = s.</x:v>
      </x:c>
      <x:c r="J28" s="111" t="str">
        <x:v>yieldStrength_MPa, shearAreaA</x:v>
      </x:c>
      <x:c r="K28" s="111" t="str">
        <x:v>yieldStrength_MPa, shearAreaA</x:v>
      </x:c>
      <x:c r="L28" s="114" t="str">
        <x:v>Medium</x:v>
      </x:c>
      <x:c r="M28" s="111" t="str">
        <x:v>Formula-derived constraint</x:v>
      </x:c>
      <x:c r="N28" s="108" t="str">
        <x:v>Deterministic calculation from static design inputs followed by a numeric or logical comparison.</x:v>
      </x:c>
      <x:c r="O28" s="113" t="str">
        <x:v>No</x:v>
      </x:c>
      <x:c r="P28" s="113" t="str">
        <x:v>Included - source reverified and locked</x:v>
      </x:c>
      <x:c r="Q28" s="108" t="str">
        <x:v>LOCK-2026-08-10: Checked the longitudinal-frame shear-area equations and classified them as Static Calculation. Final source lock check completed against the supplied PDF; equation notation is ASCII-linearized.</x:v>
      </x:c>
      <x:c r="R28" s="108" t="str">
        <x:v>LOCK-2026-08-11-R2 | source_pdf=ur-i2rev4.pdf | source_sha256=2142453d2965997a772f451982278e622413273048097924173216bd278df9a7 | physical_pdf_page=13 | section=Framing - Longitudinal local frames in side structures | clause=I2.7.2 | checks=independent_full_text_page_layout; numbers_units_operators_equations; normalized_rule_meaning; five_category_classification | status=LOCKED</x:v>
      </x:c>
      <x:c r="S28" s="108" t="str"/>
      <x:c r="T28" s="108" t="str">
        <x:v>PASS - source/page/clause/meaning/category reverified</x:v>
      </x:c>
      <x:c r="U28" s="108" t="str">
        <x:v>LOCKED - extraction reverified</x:v>
      </x:c>
      <x:c r="V28" s="112" t="str">
        <x:v>Second-pass extraction lock covers source identity, physical PDF page span, section/clause, ASCII transcription, normalized meaning, and verification category. SHACL shapes remain a separate implementation artifact.</x:v>
      </x:c>
      <x:c r="W28" s="112" t="str">
        <x:v>https://iacs.org.uk/resolutions/unified-requirements/ur-i/ur-i2-rev4-cln</x:v>
      </x:c>
      <x:c r="X28" s="112" t="str">
        <x:v>yieldStrength_MPa, shearAreaA</x:v>
      </x:c>
      <x:c r="Y28" s="112" t="str">
        <x:v>Formula-derived constraint; encode values with units and retain clause/page provenance.</x:v>
      </x:c>
    </x:row>
    <x:row r="29" ht="92" customHeight="1">
      <x:c r="A29" s="108" t="str">
        <x:v>I2-037</x:v>
      </x:c>
      <x:c r="B29" s="108" t="str">
        <x:v>UR I2 Structural Requirements for Polar Class Ships</x:v>
      </x:c>
      <x:c r="C29" s="108" t="str">
        <x:v>Rev.4 Dec 2019</x:v>
      </x:c>
      <x:c r="D29" s="163" t="n">
        <x:v>13</x:v>
      </x:c>
      <x:c r="E29" s="108" t="str">
        <x:v>Framing - Web frames and load carrying stringers</x:v>
      </x:c>
      <x:c r="F29" s="108" t="str">
        <x:v>I2.8.1</x:v>
      </x:c>
      <x:c r="G29" s="113" t="str">
        <x:v>Static</x:v>
      </x:c>
      <x:c r="H29" s="109" t="str">
        <x:v>Web frames and load-carrying stringers are to be designed to withstand the ice load patch as defined in I2.3. The load patch is to be applied at locations where the capacity of these members under the combined effects of bending and shear is minimised.</x:v>
      </x:c>
      <x:c r="I29" s="110" t="str">
        <x:v>Web frames and load-carrying stringers are to be designed to withstand the ice load patch as defined in I2.3. The load patch is to be applied at locations where the capacity of these members under the combined effects of bending and shear is minimised.</x:v>
      </x:c>
      <x:c r="J29" s="111" t="str">
        <x:v>No explicit data variable identified</x:v>
      </x:c>
      <x:c r="K29" s="111" t="str">
        <x:v>No direct AnchorMap term found; propose a code-safe alias during SHACL design</x:v>
      </x:c>
      <x:c r="L29" s="114" t="str">
        <x:v>High</x:v>
      </x:c>
      <x:c r="M29" s="111" t="str">
        <x:v>Conditional/applicability constraint</x:v>
      </x:c>
      <x:c r="N29" s="108" t="str">
        <x:v>Direct verification of a stated property, document, presence condition, enumeration, applicability rule, prohibition, or fixed limit.</x:v>
      </x:c>
      <x:c r="O29" s="113" t="str">
        <x:v>No</x:v>
      </x:c>
      <x:c r="P29" s="113" t="str">
        <x:v>Included - source reverified and locked</x:v>
      </x:c>
      <x:c r="Q29" s="108" t="str">
        <x:v>LOCK-2026-08-10: No source, page, clause, category, or normalized-meaning correction was required. Source wording was checked against the supplied PDF; equation notation is ASCII-linearized.</x:v>
      </x:c>
      <x:c r="R29" s="108" t="str">
        <x:v>LOCK-2026-08-11-R2 | source_pdf=ur-i2rev4.pdf | source_sha256=2142453d2965997a772f451982278e622413273048097924173216bd278df9a7 | physical_pdf_page=13 | section=Framing - Web frames and load carrying stringers | clause=I2.8.1 | checks=independent_full_text_page_layout; numbers_units_operators_equations; normalized_rule_meaning; five_category_classification | status=LOCKED</x:v>
      </x:c>
      <x:c r="S29" s="108" t="str"/>
      <x:c r="T29" s="108" t="str">
        <x:v>PASS - source/page/clause/meaning/category reverified</x:v>
      </x:c>
      <x:c r="U29" s="108" t="str">
        <x:v>LOCKED - extraction reverified</x:v>
      </x:c>
      <x:c r="V29" s="112" t="str">
        <x:v>Second-pass extraction lock covers source identity, physical PDF page span, section/clause, ASCII transcription, normalized meaning, and verification category. SHACL shapes remain a separate implementation artifact.</x:v>
      </x:c>
      <x:c r="W29" s="112" t="str">
        <x:v>https://iacs.org.uk/resolutions/unified-requirements/ur-i/ur-i2-rev4-cln</x:v>
      </x:c>
      <x:c r="X29" s="112" t="str">
        <x:v>No explicit data variable identified</x:v>
      </x:c>
      <x:c r="Y29" s="112" t="str">
        <x:v>Conditional/applicability constraint; encode values with units and retain clause/page provenance.</x:v>
      </x:c>
    </x:row>
    <x:row r="30" ht="92" customHeight="1">
      <x:c r="A30" s="108" t="str">
        <x:v>I2-040</x:v>
      </x:c>
      <x:c r="B30" s="108" t="str">
        <x:v>UR I2 Structural Requirements for Polar Class Ships</x:v>
      </x:c>
      <x:c r="C30" s="108" t="str">
        <x:v>Rev.4 Dec 2019</x:v>
      </x:c>
      <x:c r="D30" s="163" t="n">
        <x:v>14</x:v>
      </x:c>
      <x:c r="E30" s="108" t="str">
        <x:v>Framing - Structural stability</x:v>
      </x:c>
      <x:c r="F30" s="108" t="str">
        <x:v>I2.9.1</x:v>
      </x:c>
      <x:c r="G30" s="113" t="str">
        <x:v>Static Calculation</x:v>
      </x:c>
      <x:c r="H30" s="109" t="str">
        <x:v>To prevent local buckling in the web, h_w/t_wn &lt;= 282/sqrt(sigma_y) for flat-bar sections and h_w/t_wn &lt;= 805/sqrt(sigma_y) for bulb, tee and angle sections.</x:v>
      </x:c>
      <x:c r="I30" s="110" t="str">
        <x:v>To prevent local web buckling, h_w/t_wn &lt;= 282/sqrt(sigma_y) for flat-bar sections and h_w/t_wn &lt;= 805/sqrt(sigma_y) for bulb, tee and angle sections.</x:v>
      </x:c>
      <x:c r="J30" s="111" t="str">
        <x:v>yieldStrength_MPa</x:v>
      </x:c>
      <x:c r="K30" s="111" t="str">
        <x:v>yieldStrength_MPa</x:v>
      </x:c>
      <x:c r="L30" s="114" t="str">
        <x:v>Medium</x:v>
      </x:c>
      <x:c r="M30" s="111" t="str">
        <x:v>Formula-derived constraint</x:v>
      </x:c>
      <x:c r="N30" s="108" t="str">
        <x:v>Deterministic calculation from static design inputs followed by a numeric or logical comparison.</x:v>
      </x:c>
      <x:c r="O30" s="113" t="str">
        <x:v>No</x:v>
      </x:c>
      <x:c r="P30" s="113" t="str">
        <x:v>Included - source reverified and locked</x:v>
      </x:c>
      <x:c r="Q30" s="108" t="str">
        <x:v>LOCK-2026-08-10: Checked both web-buckling limits and classified them as Static Calculation. Final source lock check completed against the supplied PDF; equation notation is ASCII-linearized.</x:v>
      </x:c>
      <x:c r="R30" s="108" t="str">
        <x:v>LOCK-2026-08-11-R2 | source_pdf=ur-i2rev4.pdf | source_sha256=2142453d2965997a772f451982278e622413273048097924173216bd278df9a7 | physical_pdf_page=14 | section=Framing - Structural stability | clause=I2.9.1 | checks=independent_full_text_page_layout; numbers_units_operators_equations; normalized_rule_meaning; five_category_classification | status=LOCKED</x:v>
      </x:c>
      <x:c r="S30" s="108" t="str"/>
      <x:c r="T30" s="108" t="str">
        <x:v>PASS - source/page/clause/meaning/category reverified</x:v>
      </x:c>
      <x:c r="U30" s="108" t="str">
        <x:v>LOCKED - extraction reverified</x:v>
      </x:c>
      <x:c r="V30" s="112" t="str">
        <x:v>Second-pass extraction lock covers source identity, physical PDF page span, section/clause, ASCII transcription, normalized meaning, and verification category. SHACL shapes remain a separate implementation artifact.</x:v>
      </x:c>
      <x:c r="W30" s="112" t="str">
        <x:v>https://iacs.org.uk/resolutions/unified-requirements/ur-i/ur-i2-rev4-cln</x:v>
      </x:c>
      <x:c r="X30" s="112" t="str">
        <x:v>yieldStrength_MPa</x:v>
      </x:c>
      <x:c r="Y30" s="112" t="str">
        <x:v>Formula-derived constraint; encode values with units and retain clause/page provenance.</x:v>
      </x:c>
    </x:row>
    <x:row r="31" ht="92" customHeight="1">
      <x:c r="A31" s="108" t="str">
        <x:v>I2-041</x:v>
      </x:c>
      <x:c r="B31" s="108" t="str">
        <x:v>UR I2 Structural Requirements for Polar Class Ships</x:v>
      </x:c>
      <x:c r="C31" s="108" t="str">
        <x:v>Rev.4 Dec 2019</x:v>
      </x:c>
      <x:c r="D31" s="163" t="n">
        <x:v>15</x:v>
      </x:c>
      <x:c r="E31" s="108" t="str">
        <x:v>Framing - Structural stability</x:v>
      </x:c>
      <x:c r="F31" s="108" t="str">
        <x:v>I2.9.3</x:v>
      </x:c>
      <x:c r="G31" s="113" t="str">
        <x:v>Static Calculation</x:v>
      </x:c>
      <x:c r="H31" s="109" t="str">
        <x:v>In addition, the net web thickness is to satisfy t_wn &gt;= 0.35*t_pn*sqrt(sigma_y/235), where sigma_y is the minimum upper yield stress of the shell plate and t_pn is the net shell-plate thickness in way of the framing member.</x:v>
      </x:c>
      <x:c r="I31" s="110" t="str">
        <x:v>In addition, the net web thickness shall satisfy t_wn &gt;= 0.35*t_pn*sqrt(sigma_y/235), where sigma_y is the minimum upper yield stress of the shell plate and t_pn is the net shell-plate thickness in way of the framing member.</x:v>
      </x:c>
      <x:c r="J31" s="111" t="str">
        <x:v>yieldStrength_MPa, thickness</x:v>
      </x:c>
      <x:c r="K31" s="111" t="str">
        <x:v>yieldStrength_MPa, thickness</x:v>
      </x:c>
      <x:c r="L31" s="114" t="str">
        <x:v>Medium</x:v>
      </x:c>
      <x:c r="M31" s="111" t="str">
        <x:v>Formula-derived constraint</x:v>
      </x:c>
      <x:c r="N31" s="108" t="str">
        <x:v>Deterministic calculation from static design inputs followed by a numeric or logical comparison.</x:v>
      </x:c>
      <x:c r="O31" s="113" t="str">
        <x:v>No</x:v>
      </x:c>
      <x:c r="P31" s="113" t="str">
        <x:v>Included - source reverified and locked</x:v>
      </x:c>
      <x:c r="Q31" s="108" t="str">
        <x:v>LOCK-2026-08-10: Checked the net-web-thickness equation and classified it as Static Calculation. Final source lock check completed against the supplied PDF; equation notation is ASCII-linearized.</x:v>
      </x:c>
      <x:c r="R31" s="108" t="str">
        <x:v>LOCK-2026-08-11-R2 | source_pdf=ur-i2rev4.pdf | source_sha256=2142453d2965997a772f451982278e622413273048097924173216bd278df9a7 | physical_pdf_page=15 | section=Framing - Structural stability | clause=I2.9.3 | checks=independent_full_text_page_layout; numbers_units_operators_equations; normalized_rule_meaning; five_category_classification | status=LOCKED</x:v>
      </x:c>
      <x:c r="S31" s="108" t="str"/>
      <x:c r="T31" s="108" t="str">
        <x:v>PASS - source/page/clause/meaning/category reverified</x:v>
      </x:c>
      <x:c r="U31" s="108" t="str">
        <x:v>LOCKED - extraction reverified</x:v>
      </x:c>
      <x:c r="V31" s="112" t="str">
        <x:v>Second-pass extraction lock covers source identity, physical PDF page span, section/clause, ASCII transcription, normalized meaning, and verification category. SHACL shapes remain a separate implementation artifact.</x:v>
      </x:c>
      <x:c r="W31" s="112" t="str">
        <x:v>https://iacs.org.uk/resolutions/unified-requirements/ur-i/ur-i2-rev4-cln</x:v>
      </x:c>
      <x:c r="X31" s="112" t="str">
        <x:v>yieldStrength_MPa, thickness</x:v>
      </x:c>
      <x:c r="Y31" s="112" t="str">
        <x:v>Formula-derived constraint; encode values with units and retain clause/page provenance.</x:v>
      </x:c>
    </x:row>
    <x:row r="32" ht="92" customHeight="1">
      <x:c r="A32" s="108" t="str">
        <x:v>I2-042</x:v>
      </x:c>
      <x:c r="B32" s="108" t="str">
        <x:v>UR I2 Structural Requirements for Polar Class Ships</x:v>
      </x:c>
      <x:c r="C32" s="108" t="str">
        <x:v>Rev.4 Dec 2019</x:v>
      </x:c>
      <x:c r="D32" s="163" t="n">
        <x:v>15</x:v>
      </x:c>
      <x:c r="E32" s="108" t="str">
        <x:v>Framing - Structural stability</x:v>
      </x:c>
      <x:c r="F32" s="108" t="str">
        <x:v>I2.9.4</x:v>
      </x:c>
      <x:c r="G32" s="113" t="str">
        <x:v>Static Calculation</x:v>
      </x:c>
      <x:c r="H32" s="109" t="str">
        <x:v>(i) The flange width, bf [mm], is not to be less than five times the net thickness of the web, twn.</x:v>
      </x:c>
      <x:c r="I32" s="110" t="str">
        <x:v>(i) The flange width, bf [mm], is not to be less than five times the net thickness of the web, twn.</x:v>
      </x:c>
      <x:c r="J32" s="111" t="str">
        <x:v>thickness</x:v>
      </x:c>
      <x:c r="K32" s="111" t="str">
        <x:v>thickness</x:v>
      </x:c>
      <x:c r="L32" s="114" t="str">
        <x:v>High</x:v>
      </x:c>
      <x:c r="M32" s="111" t="str">
        <x:v>Formula-derived constraint</x:v>
      </x:c>
      <x:c r="N32" s="108" t="str">
        <x:v>Deterministic calculation from static design inputs followed by a numeric or logical comparison.</x:v>
      </x:c>
      <x:c r="O32" s="113" t="str">
        <x:v>No</x:v>
      </x:c>
      <x:c r="P32" s="113" t="str">
        <x:v>Included - source reverified and locked</x:v>
      </x:c>
      <x:c r="Q32" s="108" t="str">
        <x:v>LOCK-2026-08-10: No source, page, clause, category, or normalized-meaning correction was required. Source wording was checked against the supplied PDF; equation notation is ASCII-linearized.</x:v>
      </x:c>
      <x:c r="R32" s="108" t="str">
        <x:v>LOCK-2026-08-11-R2 | source_pdf=ur-i2rev4.pdf | source_sha256=2142453d2965997a772f451982278e622413273048097924173216bd278df9a7 | physical_pdf_page=15 | section=Framing - Structural stability | clause=I2.9.4 | checks=independent_full_text_page_layout; numbers_units_operators_equations; normalized_rule_meaning; five_category_classification | status=LOCKED</x:v>
      </x:c>
      <x:c r="S32" s="108" t="str"/>
      <x:c r="T32" s="108" t="str">
        <x:v>PASS - source/page/clause/meaning/category reverified</x:v>
      </x:c>
      <x:c r="U32" s="108" t="str">
        <x:v>LOCKED - extraction reverified</x:v>
      </x:c>
      <x:c r="V32" s="112" t="str">
        <x:v>Second-pass extraction lock covers source identity, physical PDF page span, section/clause, ASCII transcription, normalized meaning, and verification category. SHACL shapes remain a separate implementation artifact.</x:v>
      </x:c>
      <x:c r="W32" s="112" t="str">
        <x:v>https://iacs.org.uk/resolutions/unified-requirements/ur-i/ur-i2-rev4-cln</x:v>
      </x:c>
      <x:c r="X32" s="112" t="str">
        <x:v>thickness</x:v>
      </x:c>
      <x:c r="Y32" s="112" t="str">
        <x:v>Formula-derived constraint; encode values with units and retain clause/page provenance.</x:v>
      </x:c>
    </x:row>
    <x:row r="33" ht="92" customHeight="1">
      <x:c r="A33" s="108" t="str">
        <x:v>I2-043</x:v>
      </x:c>
      <x:c r="B33" s="108" t="str">
        <x:v>UR I2 Structural Requirements for Polar Class Ships</x:v>
      </x:c>
      <x:c r="C33" s="108" t="str">
        <x:v>Rev.4 Dec 2019</x:v>
      </x:c>
      <x:c r="D33" s="163" t="n">
        <x:v>15</x:v>
      </x:c>
      <x:c r="E33" s="108" t="str">
        <x:v>Framing - Structural stability</x:v>
      </x:c>
      <x:c r="F33" s="108" t="str">
        <x:v>I2.9.4</x:v>
      </x:c>
      <x:c r="G33" s="113" t="str">
        <x:v>Static Calculation</x:v>
      </x:c>
      <x:c r="H33" s="109" t="str">
        <x:v>The flange outstand is to satisfy b_out/t_fn &lt;= 155/sqrt(sigma_y), where t_fn is the net flange thickness [mm] and sigma_y is the minimum upper yield stress [N/mm^2].</x:v>
      </x:c>
      <x:c r="I33" s="110" t="str">
        <x:v>The flange outstand shall satisfy b_out/t_fn &lt;= 155/sqrt(sigma_y), where t_fn is the net flange thickness [mm] and sigma_y is the minimum upper yield stress [N/mm^2].</x:v>
      </x:c>
      <x:c r="J33" s="111" t="str">
        <x:v>yieldStrength_MPa</x:v>
      </x:c>
      <x:c r="K33" s="111" t="str">
        <x:v>yieldStrength_MPa</x:v>
      </x:c>
      <x:c r="L33" s="114" t="str">
        <x:v>Medium</x:v>
      </x:c>
      <x:c r="M33" s="111" t="str">
        <x:v>Formula-derived constraint</x:v>
      </x:c>
      <x:c r="N33" s="108" t="str">
        <x:v>Deterministic calculation from static design inputs followed by a numeric or logical comparison.</x:v>
      </x:c>
      <x:c r="O33" s="113" t="str">
        <x:v>No</x:v>
      </x:c>
      <x:c r="P33" s="113" t="str">
        <x:v>Included - source reverified and locked</x:v>
      </x:c>
      <x:c r="Q33" s="108" t="str">
        <x:v>LOCK-2026-08-10: Checked the flange-outstand limit and classified it as Static Calculation. Final source lock check completed against the supplied PDF; equation notation is ASCII-linearized.</x:v>
      </x:c>
      <x:c r="R33" s="108" t="str">
        <x:v>LOCK-2026-08-11-R2 | source_pdf=ur-i2rev4.pdf | source_sha256=2142453d2965997a772f451982278e622413273048097924173216bd278df9a7 | physical_pdf_page=15 | section=Framing - Structural stability | clause=I2.9.4 | checks=independent_full_text_page_layout; numbers_units_operators_equations; normalized_rule_meaning; five_category_classification | status=LOCKED</x:v>
      </x:c>
      <x:c r="S33" s="108" t="str"/>
      <x:c r="T33" s="108" t="str">
        <x:v>PASS - source/page/clause/meaning/category reverified</x:v>
      </x:c>
      <x:c r="U33" s="108" t="str">
        <x:v>LOCKED - extraction reverified</x:v>
      </x:c>
      <x:c r="V33" s="112" t="str">
        <x:v>Second-pass extraction lock covers source identity, physical PDF page span, section/clause, ASCII transcription, normalized meaning, and verification category. SHACL shapes remain a separate implementation artifact.</x:v>
      </x:c>
      <x:c r="W33" s="112" t="str">
        <x:v>https://iacs.org.uk/resolutions/unified-requirements/ur-i/ur-i2-rev4-cln</x:v>
      </x:c>
      <x:c r="X33" s="112" t="str">
        <x:v>yieldStrength_MPa</x:v>
      </x:c>
      <x:c r="Y33" s="112" t="str">
        <x:v>Formula-derived constraint; encode values with units and retain clause/page provenance.</x:v>
      </x:c>
    </x:row>
    <x:row r="34" ht="92" customHeight="1">
      <x:c r="A34" s="108" t="str">
        <x:v>I2-046</x:v>
      </x:c>
      <x:c r="B34" s="108" t="str">
        <x:v>UR I2 Structural Requirements for Polar Class Ships</x:v>
      </x:c>
      <x:c r="C34" s="108" t="str">
        <x:v>Rev.4 Dec 2019</x:v>
      </x:c>
      <x:c r="D34" s="163" t="n">
        <x:v>15</x:v>
      </x:c>
      <x:c r="E34" s="108" t="str">
        <x:v>Corrosion/abrasion additions and steel renewal</x:v>
      </x:c>
      <x:c r="F34" s="108" t="str">
        <x:v>I2.11.3</x:v>
      </x:c>
      <x:c r="G34" s="113" t="str">
        <x:v>Static Calculation</x:v>
      </x:c>
      <x:c r="H34" s="109" t="str">
        <x:v>Polar Class ships are to have a minimum corrosion/abrasion addition of ts = 1.0 mm applied to all internal structures within the ice-strengthened hull areas, including plated members adjacent to the shell, as well as stiffener webs and flanges.</x:v>
      </x:c>
      <x:c r="I34" s="110" t="str">
        <x:v>Polar Class ships are to have a minimum corrosion/abrasion addition of ts = 1.0 mm applied to all internal structures within the ice-strengthened hull areas, including plated members adjacent to the shell, as well as stiffener webs and flanges.</x:v>
      </x:c>
      <x:c r="J34" s="111" t="str">
        <x:v>No explicit data variable identified</x:v>
      </x:c>
      <x:c r="K34" s="111" t="str">
        <x:v>No direct AnchorMap term found; propose a code-safe alias during SHACL design</x:v>
      </x:c>
      <x:c r="L34" s="114" t="str">
        <x:v>High</x:v>
      </x:c>
      <x:c r="M34" s="111" t="str">
        <x:v>Formula-derived constraint</x:v>
      </x:c>
      <x:c r="N34" s="108" t="str">
        <x:v>Deterministic calculation from static design inputs followed by a numeric or logical comparison.</x:v>
      </x:c>
      <x:c r="O34" s="113" t="str">
        <x:v>No</x:v>
      </x:c>
      <x:c r="P34" s="113" t="str">
        <x:v>Included - source reverified and locked</x:v>
      </x:c>
      <x:c r="Q34" s="108" t="str">
        <x:v>LOCK-2026-08-10: No source, page, clause, category, or normalized-meaning correction was required. Source wording was checked against the supplied PDF; equation notation is ASCII-linearized.</x:v>
      </x:c>
      <x:c r="R34" s="108" t="str">
        <x:v>LOCK-2026-08-11-R2 | source_pdf=ur-i2rev4.pdf | source_sha256=2142453d2965997a772f451982278e622413273048097924173216bd278df9a7 | physical_pdf_page=15 | section=Corrosion/abrasion additions and steel renewal | clause=I2.11.3 | checks=independent_full_text_page_layout; numbers_units_operators_equations; normalized_rule_meaning; five_category_classification | status=LOCKED</x:v>
      </x:c>
      <x:c r="S34" s="108" t="str"/>
      <x:c r="T34" s="108" t="str">
        <x:v>PASS - source/page/clause/meaning/category reverified</x:v>
      </x:c>
      <x:c r="U34" s="108" t="str">
        <x:v>LOCKED - extraction reverified</x:v>
      </x:c>
      <x:c r="V34" s="112" t="str">
        <x:v>Second-pass extraction lock covers source identity, physical PDF page span, section/clause, ASCII transcription, normalized meaning, and verification category. SHACL shapes remain a separate implementation artifact.</x:v>
      </x:c>
      <x:c r="W34" s="112" t="str">
        <x:v>https://iacs.org.uk/resolutions/unified-requirements/ur-i/ur-i2-rev4-cln</x:v>
      </x:c>
      <x:c r="X34" s="112" t="str">
        <x:v>No explicit data variable identified</x:v>
      </x:c>
      <x:c r="Y34" s="112" t="str">
        <x:v>Formula-derived constraint; encode values with units and retain clause/page provenance.</x:v>
      </x:c>
    </x:row>
    <x:row r="35" ht="92" customHeight="1">
      <x:c r="A35" s="108" t="str">
        <x:v>I2-047</x:v>
      </x:c>
      <x:c r="B35" s="108" t="str">
        <x:v>UR I2 Structural Requirements for Polar Class Ships</x:v>
      </x:c>
      <x:c r="C35" s="108" t="str">
        <x:v>Rev.4 Dec 2019</x:v>
      </x:c>
      <x:c r="D35" s="163" t="n">
        <x:v>16</x:v>
      </x:c>
      <x:c r="E35" s="108" t="str">
        <x:v>Corrosion/abrasion additions and steel renewal</x:v>
      </x:c>
      <x:c r="F35" s="108" t="str">
        <x:v>I2.11.4</x:v>
      </x:c>
      <x:c r="G35" s="113" t="str">
        <x:v>Static Calculation</x:v>
      </x:c>
      <x:c r="H35" s="109" t="str">
        <x:v>Steel renewal for ice strengthened structures is required when the gauged thickness is less than tnet + 0.5 mm.</x:v>
      </x:c>
      <x:c r="I35" s="110" t="str">
        <x:v>Steel renewal for ice strengthened structures is required when the gauged thickness is less than tnet + 0.5 mm.</x:v>
      </x:c>
      <x:c r="J35" s="111" t="str">
        <x:v>No explicit data variable identified</x:v>
      </x:c>
      <x:c r="K35" s="111" t="str">
        <x:v>No direct AnchorMap term found; propose a code-safe alias during SHACL design</x:v>
      </x:c>
      <x:c r="L35" s="114" t="str">
        <x:v>High</x:v>
      </x:c>
      <x:c r="M35" s="111" t="str">
        <x:v>Formula-derived constraint</x:v>
      </x:c>
      <x:c r="N35" s="108" t="str">
        <x:v>Deterministic calculation from static design inputs followed by a numeric or logical comparison.</x:v>
      </x:c>
      <x:c r="O35" s="113" t="str">
        <x:v>No</x:v>
      </x:c>
      <x:c r="P35" s="113" t="str">
        <x:v>Included - source reverified and locked</x:v>
      </x:c>
      <x:c r="Q35" s="108" t="str">
        <x:v>LOCK-2026-08-10: No source, page, clause, category, or normalized-meaning correction was required. Source wording was checked against the supplied PDF; equation notation is ASCII-linearized.</x:v>
      </x:c>
      <x:c r="R35" s="108" t="str">
        <x:v>LOCK-2026-08-11-R2 | source_pdf=ur-i2rev4.pdf | source_sha256=2142453d2965997a772f451982278e622413273048097924173216bd278df9a7 | physical_pdf_page=16 | section=Corrosion/abrasion additions and steel renewal | clause=I2.11.4 | checks=independent_full_text_page_layout; numbers_units_operators_equations; normalized_rule_meaning; five_category_classification | status=LOCKED</x:v>
      </x:c>
      <x:c r="S35" s="108" t="str"/>
      <x:c r="T35" s="108" t="str">
        <x:v>PASS - source/page/clause/meaning/category reverified</x:v>
      </x:c>
      <x:c r="U35" s="108" t="str">
        <x:v>LOCKED - extraction reverified</x:v>
      </x:c>
      <x:c r="V35" s="112" t="str">
        <x:v>Second-pass extraction lock covers source identity, physical PDF page span, section/clause, ASCII transcription, normalized meaning, and verification category. SHACL shapes remain a separate implementation artifact.</x:v>
      </x:c>
      <x:c r="W35" s="112" t="str">
        <x:v>https://iacs.org.uk/resolutions/unified-requirements/ur-i/ur-i2-rev4-cln</x:v>
      </x:c>
      <x:c r="X35" s="112" t="str">
        <x:v>No explicit data variable identified</x:v>
      </x:c>
      <x:c r="Y35" s="112" t="str">
        <x:v>Formula-derived constraint; encode values with units and retain clause/page provenance.</x:v>
      </x:c>
    </x:row>
    <x:row r="36" ht="92" customHeight="1">
      <x:c r="A36" s="108" t="str">
        <x:v>I2-048</x:v>
      </x:c>
      <x:c r="B36" s="108" t="str">
        <x:v>UR I2 Structural Requirements for Polar Class Ships</x:v>
      </x:c>
      <x:c r="C36" s="108" t="str">
        <x:v>Rev.4 Dec 2019</x:v>
      </x:c>
      <x:c r="D36" s="163" t="n">
        <x:v>16</x:v>
      </x:c>
      <x:c r="E36" s="108" t="str">
        <x:v>Materials</x:v>
      </x:c>
      <x:c r="F36" s="108" t="str">
        <x:v>I2.12.1</x:v>
      </x:c>
      <x:c r="G36" s="113" t="str">
        <x:v>Static Calculation</x:v>
      </x:c>
      <x:c r="H36" s="109" t="str">
        <x:v>Steel grades of plating for hull structures are to be not less than those given in Table 8 based on the as-built thickness, the Polar Class and the material class of structural members according to I2.12.2.</x:v>
      </x:c>
      <x:c r="I36" s="110" t="str">
        <x:v>Steel grades of plating for hull structures are to be not less than those given in Table 8 based on the as-built thickness, the Polar Class and the material class of structural members according to I2.12.2.</x:v>
      </x:c>
      <x:c r="J36" s="111" t="str">
        <x:v>No explicit data variable identified</x:v>
      </x:c>
      <x:c r="K36" s="111" t="str">
        <x:v>No direct AnchorMap term found; propose a code-safe alias during SHACL design</x:v>
      </x:c>
      <x:c r="L36" s="114" t="str">
        <x:v>Medium</x:v>
      </x:c>
      <x:c r="M36" s="111" t="str">
        <x:v>Table-lookup plus constraint</x:v>
      </x:c>
      <x:c r="N36" s="108" t="str">
        <x:v>Deterministic calculation from static design inputs followed by a numeric or logical comparison.</x:v>
      </x:c>
      <x:c r="O36" s="113" t="str">
        <x:v>No</x:v>
      </x:c>
      <x:c r="P36" s="113" t="str">
        <x:v>Included - source reverified and locked</x:v>
      </x:c>
      <x:c r="Q36" s="108" t="str">
        <x:v>LOCK-2026-08-10: No source, page, clause, category, or normalized-meaning correction was required. Source wording was checked against the supplied PDF; equation notation is ASCII-linearized.</x:v>
      </x:c>
      <x:c r="R36" s="108" t="str">
        <x:v>LOCK-2026-08-11-R2 | source_pdf=ur-i2rev4.pdf | source_sha256=2142453d2965997a772f451982278e622413273048097924173216bd278df9a7 | physical_pdf_page=16 | section=Materials | clause=I2.12.1 | checks=independent_full_text_page_layout; numbers_units_operators_equations; normalized_rule_meaning; five_category_classification | status=LOCKED</x:v>
      </x:c>
      <x:c r="S36" s="108" t="str"/>
      <x:c r="T36" s="108" t="str">
        <x:v>PASS - source/page/clause/meaning/category reverified</x:v>
      </x:c>
      <x:c r="U36" s="108" t="str">
        <x:v>LOCKED - extraction reverified</x:v>
      </x:c>
      <x:c r="V36" s="112" t="str">
        <x:v>Second-pass extraction lock covers source identity, physical PDF page span, section/clause, ASCII transcription, normalized meaning, and verification category. SHACL shapes remain a separate implementation artifact.</x:v>
      </x:c>
      <x:c r="W36" s="112" t="str">
        <x:v>https://iacs.org.uk/resolutions/unified-requirements/ur-i/ur-i2-rev4-cln</x:v>
      </x:c>
      <x:c r="X36" s="112" t="str">
        <x:v>No explicit data variable identified</x:v>
      </x:c>
      <x:c r="Y36" s="112" t="str">
        <x:v>Table-lookup plus constraint; encode values with units and retain clause/page provenance.</x:v>
      </x:c>
    </x:row>
    <x:row r="37" ht="92" customHeight="1">
      <x:c r="A37" s="108" t="str">
        <x:v>I2-050</x:v>
      </x:c>
      <x:c r="B37" s="108" t="str">
        <x:v>UR I2 Structural Requirements for Polar Class Ships</x:v>
      </x:c>
      <x:c r="C37" s="108" t="str">
        <x:v>Rev.4 Dec 2019</x:v>
      </x:c>
      <x:c r="D37" s="163" t="n">
        <x:v>18</x:v>
      </x:c>
      <x:c r="E37" s="108" t="str">
        <x:v>Longitudinal strength - Design vertical ice force at the bow</x:v>
      </x:c>
      <x:c r="F37" s="108" t="str">
        <x:v>I2.13.2.1</x:v>
      </x:c>
      <x:c r="G37" s="113" t="str">
        <x:v>Static Calculation</x:v>
      </x:c>
      <x:c r="H37" s="109" t="str">
        <x:v>The design vertical ice force at the bow is to be taken as F_IB = minimum(F_IB1, F_IB2) [MN], where F_IB1 = 0.534*K_I^0.15*sin(gamma_stem)^0.2*(D_UI*K_h)^0.5*C_FL [MN] and F_IB2 = 1.20*C_FF [MN].</x:v>
      </x:c>
      <x:c r="I37" s="110" t="str">
        <x:v>Take the design vertical ice force at the bow as F_IB = min(F_IB1, F_IB2) [MN], where F_IB1 = 0.534*K_I^0.15*sin(gamma_stem)^0.2*(D_UI*K_h)^0.5*C_FL [MN] and F_IB2 = 1.20*C_FF [MN].</x:v>
      </x:c>
      <x:c r="J37" s="111" t="str">
        <x:v>No explicit data variable identified</x:v>
      </x:c>
      <x:c r="K37" s="111" t="str">
        <x:v>No direct AnchorMap term found; propose a code-safe alias during SHACL design</x:v>
      </x:c>
      <x:c r="L37" s="114" t="str">
        <x:v>High</x:v>
      </x:c>
      <x:c r="M37" s="111" t="str">
        <x:v>Formula-derived constraint</x:v>
      </x:c>
      <x:c r="N37" s="108" t="str">
        <x:v>Deterministic calculation from static design inputs followed by a numeric or logical comparison.</x:v>
      </x:c>
      <x:c r="O37" s="113" t="str">
        <x:v>No</x:v>
      </x:c>
      <x:c r="P37" s="113" t="str">
        <x:v>Included - source reverified and locked</x:v>
      </x:c>
      <x:c r="Q37" s="108" t="str">
        <x:v>LOCK-2026-08-10: Checked the bow vertical-force equations against the rendered page. Final source lock check completed against the supplied PDF; equation notation is ASCII-linearized.</x:v>
      </x:c>
      <x:c r="R37" s="108" t="str">
        <x:v>LOCK-2026-08-11-R2 | source_pdf=ur-i2rev4.pdf | source_sha256=2142453d2965997a772f451982278e622413273048097924173216bd278df9a7 | physical_pdf_page=18 | section=Longitudinal strength - Design vertical ice force at the bow | clause=I2.13.2.1 | checks=independent_full_text_page_layout; numbers_units_operators_equations; normalized_rule_meaning; five_category_classification | status=LOCKED</x:v>
      </x:c>
      <x:c r="S37" s="108" t="str"/>
      <x:c r="T37" s="108" t="str">
        <x:v>PASS - source/page/clause/meaning/category reverified</x:v>
      </x:c>
      <x:c r="U37" s="108" t="str">
        <x:v>LOCKED - extraction reverified</x:v>
      </x:c>
      <x:c r="V37" s="112" t="str">
        <x:v>Second-pass extraction lock covers source identity, physical PDF page span, section/clause, ASCII transcription, normalized meaning, and verification category. SHACL shapes remain a separate implementation artifact.</x:v>
      </x:c>
      <x:c r="W37" s="112" t="str">
        <x:v>https://iacs.org.uk/resolutions/unified-requirements/ur-i/ur-i2-rev4-cln</x:v>
      </x:c>
      <x:c r="X37" s="112" t="str">
        <x:v>No explicit data variable identified</x:v>
      </x:c>
      <x:c r="Y37" s="112" t="str">
        <x:v>Formula-derived constraint; encode values with units and retain clause/page provenance.</x:v>
      </x:c>
    </x:row>
    <x:row r="38" ht="92" customHeight="1">
      <x:c r="A38" s="108" t="str">
        <x:v>I2-051</x:v>
      </x:c>
      <x:c r="B38" s="108" t="str">
        <x:v>UR I2 Structural Requirements for Polar Class Ships</x:v>
      </x:c>
      <x:c r="C38" s="108" t="str">
        <x:v>Rev.4 Dec 2019</x:v>
      </x:c>
      <x:c r="D38" s="163" t="n">
        <x:v>19</x:v>
      </x:c>
      <x:c r="E38" s="108" t="str">
        <x:v>Longitudinal strength - Design vertical shear force</x:v>
      </x:c>
      <x:c r="F38" s="108" t="str">
        <x:v>I2.13.3.1</x:v>
      </x:c>
      <x:c r="G38" s="113" t="str">
        <x:v>Static Calculation</x:v>
      </x:c>
      <x:c r="H38" s="109"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I38" s="110"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J38" s="111" t="str">
        <x:v>No explicit data variable identified</x:v>
      </x:c>
      <x:c r="K38" s="111" t="str">
        <x:v>No direct AnchorMap term found; propose a code-safe alias during SHACL design</x:v>
      </x:c>
      <x:c r="L38" s="114" t="str">
        <x:v>High</x:v>
      </x:c>
      <x:c r="M38" s="111" t="str">
        <x:v>Formula-derived constraint</x:v>
      </x:c>
      <x:c r="N38" s="108" t="str">
        <x:v>Deterministic calculation from static design inputs followed by a numeric or logical comparison.</x:v>
      </x:c>
      <x:c r="O38" s="113" t="str">
        <x:v>No</x:v>
      </x:c>
      <x:c r="P38" s="113" t="str">
        <x:v>Included - source reverified and locked</x:v>
      </x:c>
      <x:c r="Q38" s="108" t="str">
        <x:v>LOCK-2026-08-10: No source, page, clause, category, or normalized-meaning correction was required. Source wording was checked against the supplied PDF; equation notation is ASCII-linearized.</x:v>
      </x:c>
      <x:c r="R38" s="108" t="str">
        <x:v>LOCK-2026-08-11-R2 | source_pdf=ur-i2rev4.pdf | source_sha256=2142453d2965997a772f451982278e622413273048097924173216bd278df9a7 | physical_pdf_page=19 | section=Longitudinal strength - Design vertical shear force | clause=I2.13.3.1 | checks=independent_full_text_page_layout; numbers_units_operators_equations; normalized_rule_meaning; five_category_classification | status=LOCKED</x:v>
      </x:c>
      <x:c r="S38" s="108" t="str"/>
      <x:c r="T38" s="108" t="str">
        <x:v>PASS - source/page/clause/meaning/category reverified</x:v>
      </x:c>
      <x:c r="U38" s="108" t="str">
        <x:v>LOCKED - extraction reverified</x:v>
      </x:c>
      <x:c r="V38" s="112" t="str">
        <x:v>Second-pass extraction lock covers source identity, physical PDF page span, section/clause, ASCII transcription, normalized meaning, and verification category. SHACL shapes remain a separate implementation artifact.</x:v>
      </x:c>
      <x:c r="W38" s="112" t="str">
        <x:v>https://iacs.org.uk/resolutions/unified-requirements/ur-i/ur-i2-rev4-cln</x:v>
      </x:c>
      <x:c r="X38" s="112" t="str">
        <x:v>No explicit data variable identified</x:v>
      </x:c>
      <x:c r="Y38" s="112" t="str">
        <x:v>Formula-derived constraint; encode values with units and retain clause/page provenance.</x:v>
      </x:c>
    </x:row>
    <x:row r="39" ht="92" customHeight="1">
      <x:c r="A39" s="108" t="str">
        <x:v>I2-052</x:v>
      </x:c>
      <x:c r="B39" s="108" t="str">
        <x:v>UR I2 Structural Requirements for Polar Class Ships</x:v>
      </x:c>
      <x:c r="C39" s="108" t="str">
        <x:v>Rev.4 Dec 2019</x:v>
      </x:c>
      <x:c r="D39" s="163" t="n">
        <x:v>19</x:v>
      </x:c>
      <x:c r="E39" s="108" t="str">
        <x:v>Longitudinal strength - Design vertical shear force</x:v>
      </x:c>
      <x:c r="F39" s="108" t="str">
        <x:v>I2.13.3.1</x:v>
      </x:c>
      <x:c r="G39" s="113" t="str">
        <x:v>Static</x:v>
      </x:c>
      <x:c r="H39" s="109" t="str">
        <x:v>Intermediate values are to be determined by linear interpolation</x:v>
      </x:c>
      <x:c r="I39" s="110" t="str">
        <x:v>Intermediate values are to be determined by linear interpolation</x:v>
      </x:c>
      <x:c r="J39" s="111" t="str">
        <x:v>No explicit data variable identified</x:v>
      </x:c>
      <x:c r="K39" s="111" t="str">
        <x:v>No direct AnchorMap term found; propose a code-safe alias during SHACL design</x:v>
      </x:c>
      <x:c r="L39" s="114" t="str">
        <x:v>High</x:v>
      </x:c>
      <x:c r="M39" s="111" t="str">
        <x:v>Direct property/presence constraint</x:v>
      </x:c>
      <x:c r="N39" s="108" t="str">
        <x:v>Direct verification of a stated property, document, presence condition, enumeration, applicability rule, prohibition, or fixed limit.</x:v>
      </x:c>
      <x:c r="O39" s="113" t="str">
        <x:v>No</x:v>
      </x:c>
      <x:c r="P39" s="113" t="str">
        <x:v>Included - source reverified and locked</x:v>
      </x:c>
      <x:c r="Q39" s="108" t="str">
        <x:v>LOCK-2026-08-10: No source, page, clause, category, or normalized-meaning correction was required. Source wording was checked against the supplied PDF; equation notation is ASCII-linearized.</x:v>
      </x:c>
      <x:c r="R39" s="108" t="str">
        <x:v>LOCK-2026-08-11-R2 | source_pdf=ur-i2rev4.pdf | source_sha256=2142453d2965997a772f451982278e622413273048097924173216bd278df9a7 | physical_pdf_page=19 | section=Longitudinal strength - Design vertical shear force | clause=I2.13.3.1 | checks=independent_full_text_page_layout; numbers_units_operators_equations; normalized_rule_meaning; five_category_classification | status=LOCKED</x:v>
      </x:c>
      <x:c r="S39" s="108" t="str"/>
      <x:c r="T39" s="108" t="str">
        <x:v>PASS - source/page/clause/meaning/category reverified</x:v>
      </x:c>
      <x:c r="U39" s="108" t="str">
        <x:v>LOCKED - extraction reverified</x:v>
      </x:c>
      <x:c r="V39" s="112" t="str">
        <x:v>Second-pass extraction lock covers source identity, physical PDF page span, section/clause, ASCII transcription, normalized meaning, and verification category. SHACL shapes remain a separate implementation artifact.</x:v>
      </x:c>
      <x:c r="W39" s="112" t="str">
        <x:v>https://iacs.org.uk/resolutions/unified-requirements/ur-i/ur-i2-rev4-cln</x:v>
      </x:c>
      <x:c r="X39" s="112" t="str">
        <x:v>No explicit data variable identified</x:v>
      </x:c>
      <x:c r="Y39" s="112" t="str">
        <x:v>Direct property/presence constraint; encode values with units and retain clause/page provenance.</x:v>
      </x:c>
    </x:row>
    <x:row r="40" ht="92" customHeight="1">
      <x:c r="A40" s="108" t="str">
        <x:v>I2-053</x:v>
      </x:c>
      <x:c r="B40" s="108" t="str">
        <x:v>UR I2 Structural Requirements for Polar Class Ships</x:v>
      </x:c>
      <x:c r="C40" s="108" t="str">
        <x:v>Rev.4 Dec 2019</x:v>
      </x:c>
      <x:c r="D40" s="163" t="n">
        <x:v>20</x:v>
      </x:c>
      <x:c r="E40" s="108" t="str">
        <x:v>Longitudinal strength - Design vertical shear force</x:v>
      </x:c>
      <x:c r="F40" s="108" t="str">
        <x:v>I2.13.3.2</x:v>
      </x:c>
      <x:c r="G40" s="113" t="str">
        <x:v>Static Calculation</x:v>
      </x:c>
      <x:c r="H40" s="109" t="str">
        <x:v>The applied vertical shear stress, taua, is to be determined along the hull girder in a similar manner as in UR S11.5.4.2 by substituting the design vertical ice shear force for the design vertical wave shear force.</x:v>
      </x:c>
      <x:c r="I40" s="110" t="str">
        <x:v>The applied vertical shear stress, taua, is to be determined along the hull girder in a similar manner as in UR S11.5.4.2 by substituting the design vertical ice shear force for the design vertical wave shear force.</x:v>
      </x:c>
      <x:c r="J40" s="111" t="str">
        <x:v>No explicit data variable identified</x:v>
      </x:c>
      <x:c r="K40" s="111" t="str">
        <x:v>No direct AnchorMap term found; propose a code-safe alias during SHACL design</x:v>
      </x:c>
      <x:c r="L40" s="114" t="str">
        <x:v>High</x:v>
      </x:c>
      <x:c r="M40" s="111" t="str">
        <x:v>Formula-derived constraint</x:v>
      </x:c>
      <x:c r="N40" s="108" t="str">
        <x:v>Deterministic calculation from static design inputs followed by a numeric or logical comparison.</x:v>
      </x:c>
      <x:c r="O40" s="113" t="str">
        <x:v>No</x:v>
      </x:c>
      <x:c r="P40" s="113" t="str">
        <x:v>Included - source reverified and locked</x:v>
      </x:c>
      <x:c r="Q40" s="108" t="str">
        <x:v>LOCK-2026-08-10: No source, page, clause, category, or normalized-meaning correction was required. Source wording was checked against the supplied PDF; equation notation is ASCII-linearized.</x:v>
      </x:c>
      <x:c r="R40" s="108" t="str">
        <x:v>LOCK-2026-08-11-R2 | source_pdf=ur-i2rev4.pdf | source_sha256=2142453d2965997a772f451982278e622413273048097924173216bd278df9a7 | physical_pdf_page=20 | section=Longitudinal strength - Design vertical shear force | clause=I2.13.3.2 | checks=independent_full_text_page_layout; numbers_units_operators_equations; normalized_rule_meaning; five_category_classification | status=LOCKED</x:v>
      </x:c>
      <x:c r="S40" s="108" t="str"/>
      <x:c r="T40" s="108" t="str">
        <x:v>PASS - source/page/clause/meaning/category reverified</x:v>
      </x:c>
      <x:c r="U40" s="108" t="str">
        <x:v>LOCKED - extraction reverified</x:v>
      </x:c>
      <x:c r="V40" s="112" t="str">
        <x:v>Second-pass extraction lock covers source identity, physical PDF page span, section/clause, ASCII transcription, normalized meaning, and verification category. SHACL shapes remain a separate implementation artifact.</x:v>
      </x:c>
      <x:c r="W40" s="112" t="str">
        <x:v>https://iacs.org.uk/resolutions/unified-requirements/ur-i/ur-i2-rev4-cln</x:v>
      </x:c>
      <x:c r="X40" s="112" t="str">
        <x:v>No explicit data variable identified</x:v>
      </x:c>
      <x:c r="Y40" s="112" t="str">
        <x:v>Formula-derived constraint; encode values with units and retain clause/page provenance.</x:v>
      </x:c>
    </x:row>
    <x:row r="41" ht="92" customHeight="1">
      <x:c r="A41" s="108" t="str">
        <x:v>I2-054</x:v>
      </x:c>
      <x:c r="B41" s="108" t="str">
        <x:v>UR I2 Structural Requirements for Polar Class Ships</x:v>
      </x:c>
      <x:c r="C41" s="108" t="str">
        <x:v>Rev.4 Dec 2019</x:v>
      </x:c>
      <x:c r="D41" s="163" t="n">
        <x:v>20</x:v>
      </x:c>
      <x:c r="E41" s="108" t="str">
        <x:v>Longitudinal strength - Design vertical ice bending moment</x:v>
      </x:c>
      <x:c r="F41" s="108" t="str">
        <x:v>I2.13.4.1</x:v>
      </x:c>
      <x:c r="G41" s="113" t="str">
        <x:v>Static Calculation</x:v>
      </x:c>
      <x:c r="H41" s="109" t="str">
        <x:v>The design vertical ice bending moment along the hull girder is to be taken as M_I = 0.1*C_m*L_UI*sin(gamma_stem)^(-0.2)*F_IB [MNm]. Use C_m = 0.0 at the aft end, 1.0 between 0.5*L_UI and 0.7*L_UI from aft, 0.3 at 0.95*L_UI from aft, and 0.0 at the forward end; intermediate values are to be determined by linear interpolation.</x:v>
      </x:c>
      <x:c r="I41" s="110"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J41" s="111" t="str">
        <x:v>No explicit data variable identified</x:v>
      </x:c>
      <x:c r="K41" s="111" t="str">
        <x:v>No direct AnchorMap term found; propose a code-safe alias during SHACL design</x:v>
      </x:c>
      <x:c r="L41" s="114" t="str">
        <x:v>High</x:v>
      </x:c>
      <x:c r="M41" s="111" t="str">
        <x:v>Formula-derived constraint</x:v>
      </x:c>
      <x:c r="N41" s="108" t="str">
        <x:v>Deterministic calculation from static design inputs followed by a numeric or logical comparison.</x:v>
      </x:c>
      <x:c r="O41" s="113" t="str">
        <x:v>No</x:v>
      </x:c>
      <x:c r="P41" s="113" t="str">
        <x:v>Included - source reverified and locked</x:v>
      </x:c>
      <x:c r="Q41" s="108" t="str">
        <x:v>LOCK-2026-08-10: Checked the bending-moment equation and piecewise C_m values. Final source lock check completed against the supplied PDF; equation notation is ASCII-linearized.</x:v>
      </x:c>
      <x:c r="R41" s="108" t="str">
        <x:v>LOCK-2026-08-11-R2 | source_pdf=ur-i2rev4.pdf | source_sha256=2142453d2965997a772f451982278e622413273048097924173216bd278df9a7 | physical_pdf_page=20 | section=Longitudinal strength - Design vertical ice bending moment | clause=I2.13.4.1 | checks=independent_full_text_page_layout; numbers_units_operators_equations; normalized_rule_meaning; five_category_classification | status=LOCKED</x:v>
      </x:c>
      <x:c r="S41" s="108" t="str"/>
      <x:c r="T41" s="108" t="str">
        <x:v>PASS - source/page/clause/meaning/category reverified</x:v>
      </x:c>
      <x:c r="U41" s="108" t="str">
        <x:v>LOCKED - extraction reverified</x:v>
      </x:c>
      <x:c r="V41" s="112" t="str">
        <x:v>Second-pass extraction lock covers source identity, physical PDF page span, section/clause, ASCII transcription, normalized meaning, and verification category. SHACL shapes remain a separate implementation artifact.</x:v>
      </x:c>
      <x:c r="W41" s="112" t="str">
        <x:v>https://iacs.org.uk/resolutions/unified-requirements/ur-i/ur-i2-rev4-cln</x:v>
      </x:c>
      <x:c r="X41" s="112" t="str">
        <x:v>No explicit data variable identified</x:v>
      </x:c>
      <x:c r="Y41" s="112" t="str">
        <x:v>Formula-derived constraint; encode values with units and retain clause/page provenance.</x:v>
      </x:c>
    </x:row>
    <x:row r="42" ht="92" customHeight="1">
      <x:c r="A42" s="108" t="str">
        <x:v>I2-055</x:v>
      </x:c>
      <x:c r="B42" s="108" t="str">
        <x:v>UR I2 Structural Requirements for Polar Class Ships</x:v>
      </x:c>
      <x:c r="C42" s="108" t="str">
        <x:v>Rev.4 Dec 2019</x:v>
      </x:c>
      <x:c r="D42" s="163" t="n">
        <x:v>20</x:v>
      </x:c>
      <x:c r="E42" s="108" t="str">
        <x:v>Longitudinal strength - Criteria</x:v>
      </x:c>
      <x:c r="F42" s="108" t="str">
        <x:v>I2.13.5.1</x:v>
      </x:c>
      <x:c r="G42" s="113" t="str">
        <x:v>Static Calculation</x:v>
      </x:c>
      <x:c r="H42" s="109" t="str">
        <x:v>The strength criteria provided in Table 9 are to be satisfied. The design stress is not to exceed the permissible stress.</x:v>
      </x:c>
      <x:c r="I42" s="110" t="str">
        <x:v>The strength criteria provided in Table 9 are to be satisfied. The design stress is not to exceed the permissible stress.</x:v>
      </x:c>
      <x:c r="J42" s="111" t="str">
        <x:v>No explicit data variable identified</x:v>
      </x:c>
      <x:c r="K42" s="111" t="str">
        <x:v>No direct AnchorMap term found; propose a code-safe alias during SHACL design</x:v>
      </x:c>
      <x:c r="L42" s="114" t="str">
        <x:v>Medium</x:v>
      </x:c>
      <x:c r="M42" s="111" t="str">
        <x:v>Table-lookup plus constraint</x:v>
      </x:c>
      <x:c r="N42" s="108" t="str">
        <x:v>Deterministic calculation from static design inputs followed by a numeric or logical comparison.</x:v>
      </x:c>
      <x:c r="O42" s="113" t="str">
        <x:v>No</x:v>
      </x:c>
      <x:c r="P42" s="113" t="str">
        <x:v>Included - source reverified and locked</x:v>
      </x:c>
      <x:c r="Q42" s="108" t="str">
        <x:v>LOCK-2026-08-10: No source, page, clause, category, or normalized-meaning correction was required. Source wording was checked against the supplied PDF; equation notation is ASCII-linearized.</x:v>
      </x:c>
      <x:c r="R42" s="108" t="str">
        <x:v>LOCK-2026-08-11-R2 | source_pdf=ur-i2rev4.pdf | source_sha256=2142453d2965997a772f451982278e622413273048097924173216bd278df9a7 | physical_pdf_page=20 | section=Longitudinal strength - Criteria | clause=I2.13.5.1 | checks=independent_full_text_page_layout; numbers_units_operators_equations; normalized_rule_meaning; five_category_classification | status=LOCKED</x:v>
      </x:c>
      <x:c r="S42" s="108" t="str"/>
      <x:c r="T42" s="108" t="str">
        <x:v>PASS - source/page/clause/meaning/category reverified</x:v>
      </x:c>
      <x:c r="U42" s="108" t="str">
        <x:v>LOCKED - extraction reverified</x:v>
      </x:c>
      <x:c r="V42" s="112" t="str">
        <x:v>Second-pass extraction lock covers source identity, physical PDF page span, section/clause, ASCII transcription, normalized meaning, and verification category. SHACL shapes remain a separate implementation artifact.</x:v>
      </x:c>
      <x:c r="W42" s="112" t="str">
        <x:v>https://iacs.org.uk/resolutions/unified-requirements/ur-i/ur-i2-rev4-cln</x:v>
      </x:c>
      <x:c r="X42" s="112" t="str">
        <x:v>No explicit data variable identified</x:v>
      </x:c>
      <x:c r="Y42" s="112" t="str">
        <x:v>Table-lookup plus constraint; encode values with units and retain clause/page provenance.</x:v>
      </x:c>
    </x:row>
    <x:row r="43" ht="92" customHeight="1">
      <x:c r="A43" s="108" t="str">
        <x:v>I2-060</x:v>
      </x:c>
      <x:c r="B43" s="108" t="str">
        <x:v>UR I2 Structural Requirements for Polar Class Ships</x:v>
      </x:c>
      <x:c r="C43" s="108" t="str">
        <x:v>Rev.4 Dec 2019</x:v>
      </x:c>
      <x:c r="D43" s="163" t="n">
        <x:v>21</x:v>
      </x:c>
      <x:c r="E43" s="108" t="str">
        <x:v>Local details</x:v>
      </x:c>
      <x:c r="F43" s="108" t="str">
        <x:v>I2.16.2</x:v>
      </x:c>
      <x:c r="G43" s="113" t="str">
        <x:v>Static</x:v>
      </x:c>
      <x:c r="H43" s="109" t="str">
        <x:v>The loads carried by a member in way of cut-outs are not to cause instability. Where necessary, the structure is to be stiffened.</x:v>
      </x:c>
      <x:c r="I43" s="110" t="str">
        <x:v>The loads carried by a member in way of cut-outs are not to cause instability. Where necessary, the structure is to be stiffened.</x:v>
      </x:c>
      <x:c r="J43" s="111" t="str">
        <x:v>No explicit data variable identified</x:v>
      </x:c>
      <x:c r="K43" s="111" t="str">
        <x:v>No direct AnchorMap term found; propose a code-safe alias during SHACL design</x:v>
      </x:c>
      <x:c r="L43" s="114" t="str">
        <x:v>High</x:v>
      </x:c>
      <x:c r="M43" s="111" t="str">
        <x:v>Conditional/applicability constraint</x:v>
      </x:c>
      <x:c r="N43" s="108" t="str">
        <x:v>Direct verification of a stated property, document, presence condition, enumeration, applicability rule, prohibition, or fixed limit.</x:v>
      </x:c>
      <x:c r="O43" s="113" t="str">
        <x:v>No</x:v>
      </x:c>
      <x:c r="P43" s="113" t="str">
        <x:v>Included - source reverified and locked</x:v>
      </x:c>
      <x:c r="Q43" s="108" t="str">
        <x:v>LOCK-2026-08-10: No source, page, clause, category, or normalized-meaning correction was required. Source wording was checked against the supplied PDF; equation notation is ASCII-linearized.</x:v>
      </x:c>
      <x:c r="R43" s="108" t="str">
        <x:v>LOCK-2026-08-11-R2 | source_pdf=ur-i2rev4.pdf | source_sha256=2142453d2965997a772f451982278e622413273048097924173216bd278df9a7 | physical_pdf_page=21 | section=Local details | clause=I2.16.2 | checks=independent_full_text_page_layout; numbers_units_operators_equations; normalized_rule_meaning; five_category_classification | status=LOCKED</x:v>
      </x:c>
      <x:c r="S43" s="108" t="str"/>
      <x:c r="T43" s="108" t="str">
        <x:v>PASS - source/page/clause/meaning/category reverified</x:v>
      </x:c>
      <x:c r="U43" s="108" t="str">
        <x:v>LOCKED - extraction reverified</x:v>
      </x:c>
      <x:c r="V43" s="112" t="str">
        <x:v>Second-pass extraction lock covers source identity, physical PDF page span, section/clause, ASCII transcription, normalized meaning, and verification category. SHACL shapes remain a separate implementation artifact.</x:v>
      </x:c>
      <x:c r="W43" s="112" t="str">
        <x:v>https://iacs.org.uk/resolutions/unified-requirements/ur-i/ur-i2-rev4-cln</x:v>
      </x:c>
      <x:c r="X43" s="112" t="str">
        <x:v>No explicit data variable identified</x:v>
      </x:c>
      <x:c r="Y43" s="112" t="str">
        <x:v>Conditional/applicability constraint; encode values with units and retain clause/page provenance.</x:v>
      </x:c>
    </x:row>
    <x:row r="44" ht="92" customHeight="1">
      <x:c r="A44" s="108" t="str">
        <x:v>I2-061</x:v>
      </x:c>
      <x:c r="B44" s="108" t="str">
        <x:v>UR I2 Structural Requirements for Polar Class Ships</x:v>
      </x:c>
      <x:c r="C44" s="108" t="str">
        <x:v>Rev.4 Dec 2019</x:v>
      </x:c>
      <x:c r="D44" s="163" t="n">
        <x:v>21</x:v>
      </x:c>
      <x:c r="E44" s="108" t="str">
        <x:v>Direct calculations</x:v>
      </x:c>
      <x:c r="F44" s="108" t="str">
        <x:v>I2.17.1</x:v>
      </x:c>
      <x:c r="G44" s="113" t="str">
        <x:v>Static</x:v>
      </x:c>
      <x:c r="H44" s="109" t="str">
        <x:v>Direct calculations are not to be utilised as an alternative to the analytical procedures prescribed for the shell plating and local frame requirements given in I2.4, I2.6, and I2.7.</x:v>
      </x:c>
      <x:c r="I44" s="110" t="str">
        <x:v>Direct calculations are not to be utilised as an alternative to the analytical procedures prescribed for the shell plating and local frame requirements given in I2.4, I2.6, and I2.7.</x:v>
      </x:c>
      <x:c r="J44" s="111" t="str">
        <x:v>thickness</x:v>
      </x:c>
      <x:c r="K44" s="111" t="str">
        <x:v>thickness</x:v>
      </x:c>
      <x:c r="L44" s="114" t="str">
        <x:v>High</x:v>
      </x:c>
      <x:c r="M44" s="111" t="str">
        <x:v>Direct property/presence constraint</x:v>
      </x:c>
      <x:c r="N44" s="108" t="str">
        <x:v>Direct verification of a stated property, document, presence condition, enumeration, applicability rule, prohibition, or fixed limit.</x:v>
      </x:c>
      <x:c r="O44" s="113" t="str">
        <x:v>No</x:v>
      </x:c>
      <x:c r="P44" s="113" t="str">
        <x:v>Included - source reverified and locked</x:v>
      </x:c>
      <x:c r="Q44" s="108" t="str">
        <x:v>LOCK-2026-08-10: No source, page, clause, category, or normalized-meaning correction was required. Source wording was checked against the supplied PDF; equation notation is ASCII-linearized.</x:v>
      </x:c>
      <x:c r="R44" s="108" t="str">
        <x:v>LOCK-2026-08-11-R2 | source_pdf=ur-i2rev4.pdf | source_sha256=2142453d2965997a772f451982278e622413273048097924173216bd278df9a7 | physical_pdf_page=21 | section=Direct calculations | clause=I2.17.1 | checks=independent_full_text_page_layout; numbers_units_operators_equations; normalized_rule_meaning; five_category_classification | status=LOCKED</x:v>
      </x:c>
      <x:c r="S44" s="108" t="str"/>
      <x:c r="T44" s="108" t="str">
        <x:v>PASS - source/page/clause/meaning/category reverified</x:v>
      </x:c>
      <x:c r="U44" s="108" t="str">
        <x:v>LOCKED - extraction reverified</x:v>
      </x:c>
      <x:c r="V44" s="112" t="str">
        <x:v>Second-pass extraction lock covers source identity, physical PDF page span, section/clause, ASCII transcription, normalized meaning, and verification category. SHACL shapes remain a separate implementation artifact.</x:v>
      </x:c>
      <x:c r="W44" s="112" t="str">
        <x:v>https://iacs.org.uk/resolutions/unified-requirements/ur-i/ur-i2-rev4-cln</x:v>
      </x:c>
      <x:c r="X44" s="112" t="str">
        <x:v>thickness</x:v>
      </x:c>
      <x:c r="Y44" s="112" t="str">
        <x:v>Direct property/presence constraint; encode values with units and retain clause/page provenance.</x:v>
      </x:c>
    </x:row>
    <x:row r="45" ht="92" customHeight="1">
      <x:c r="A45" s="108" t="str">
        <x:v>I2-062</x:v>
      </x:c>
      <x:c r="B45" s="108" t="str">
        <x:v>UR I2 Structural Requirements for Polar Class Ships</x:v>
      </x:c>
      <x:c r="C45" s="108" t="str">
        <x:v>Rev.4 Dec 2019</x:v>
      </x:c>
      <x:c r="D45" s="163" t="n">
        <x:v>21</x:v>
      </x:c>
      <x:c r="E45" s="108" t="str">
        <x:v>Direct calculations</x:v>
      </x:c>
      <x:c r="F45" s="108" t="str">
        <x:v>I2.17.2</x:v>
      </x:c>
      <x:c r="G45" s="113" t="str">
        <x:v>Static</x:v>
      </x:c>
      <x:c r="H45" s="109" t="str">
        <x:v>Direct calculations are to be used for load carrying stringers and web frames forming part of a grillage system.</x:v>
      </x:c>
      <x:c r="I45" s="110" t="str">
        <x:v>Direct calculations are to be used for load carrying stringers and web frames forming part of a grillage system.</x:v>
      </x:c>
      <x:c r="J45" s="111" t="str">
        <x:v>No explicit data variable identified</x:v>
      </x:c>
      <x:c r="K45" s="111" t="str">
        <x:v>No direct AnchorMap term found; propose a code-safe alias during SHACL design</x:v>
      </x:c>
      <x:c r="L45" s="114" t="str">
        <x:v>High</x:v>
      </x:c>
      <x:c r="M45" s="111" t="str">
        <x:v>Direct property/presence constraint</x:v>
      </x:c>
      <x:c r="N45" s="108" t="str">
        <x:v>Direct verification of a stated property, document, presence condition, enumeration, applicability rule, prohibition, or fixed limit.</x:v>
      </x:c>
      <x:c r="O45" s="113" t="str">
        <x:v>No</x:v>
      </x:c>
      <x:c r="P45" s="113" t="str">
        <x:v>Included - source reverified and locked</x:v>
      </x:c>
      <x:c r="Q45" s="108" t="str">
        <x:v>LOCK-2026-08-10: No source, page, clause, category, or normalized-meaning correction was required. Source wording was checked against the supplied PDF; equation notation is ASCII-linearized.</x:v>
      </x:c>
      <x:c r="R45" s="108" t="str">
        <x:v>LOCK-2026-08-11-R2 | source_pdf=ur-i2rev4.pdf | source_sha256=2142453d2965997a772f451982278e622413273048097924173216bd278df9a7 | physical_pdf_page=21 | section=Direct calculations | clause=I2.17.2 | checks=independent_full_text_page_layout; numbers_units_operators_equations; normalized_rule_meaning; five_category_classification | status=LOCKED</x:v>
      </x:c>
      <x:c r="S45" s="108" t="str"/>
      <x:c r="T45" s="108" t="str">
        <x:v>PASS - source/page/clause/meaning/category reverified</x:v>
      </x:c>
      <x:c r="U45" s="108" t="str">
        <x:v>LOCKED - extraction reverified</x:v>
      </x:c>
      <x:c r="V45" s="112" t="str">
        <x:v>Second-pass extraction lock covers source identity, physical PDF page span, section/clause, ASCII transcription, normalized meaning, and verification category. SHACL shapes remain a separate implementation artifact.</x:v>
      </x:c>
      <x:c r="W45" s="112" t="str">
        <x:v>https://iacs.org.uk/resolutions/unified-requirements/ur-i/ur-i2-rev4-cln</x:v>
      </x:c>
      <x:c r="X45" s="112" t="str">
        <x:v>No explicit data variable identified</x:v>
      </x:c>
      <x:c r="Y45" s="112" t="str">
        <x:v>Direct property/presence constraint; encode values with units and retain clause/page provenance.</x:v>
      </x:c>
    </x:row>
    <x:row r="46" ht="92" customHeight="1">
      <x:c r="A46" s="108" t="str">
        <x:v>I2-064</x:v>
      </x:c>
      <x:c r="B46" s="108" t="str">
        <x:v>UR I2 Structural Requirements for Polar Class Ships</x:v>
      </x:c>
      <x:c r="C46" s="108" t="str">
        <x:v>Rev.4 Dec 2019</x:v>
      </x:c>
      <x:c r="D46" s="163" t="n">
        <x:v>21</x:v>
      </x:c>
      <x:c r="E46" s="108" t="str">
        <x:v>Direct calculations</x:v>
      </x:c>
      <x:c r="F46" s="108" t="str">
        <x:v>I2.17.5</x:v>
      </x:c>
      <x:c r="G46" s="113" t="str">
        <x:v>Static Calculation</x:v>
      </x:c>
      <x:c r="H46" s="109" t="str">
        <x:v>For linear calculation methods: web plates and flange elements in compression and shear are to fulfil the relevant buckling criteria specified by the Classification Society; nominal shear stress in member web plates is to be less than sigma_y/sqrt(3); and nominal von Mises stress in member flanges is to be less than 1.15*sigma_y.</x:v>
      </x:c>
      <x:c r="I46" s="110"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J46" s="111" t="str">
        <x:v>yieldStrength_MPa</x:v>
      </x:c>
      <x:c r="K46" s="111" t="str">
        <x:v>yieldStrength_MPa</x:v>
      </x:c>
      <x:c r="L46" s="114" t="str">
        <x:v>High</x:v>
      </x:c>
      <x:c r="M46" s="111" t="str">
        <x:v>Formula-derived constraint</x:v>
      </x:c>
      <x:c r="N46" s="108" t="str">
        <x:v>Deterministic calculation from static design inputs followed by a numeric or logical comparison.</x:v>
      </x:c>
      <x:c r="O46" s="113" t="str">
        <x:v>No</x:v>
      </x:c>
      <x:c r="P46" s="113" t="str">
        <x:v>Included - source reverified and locked</x:v>
      </x:c>
      <x:c r="Q46" s="108" t="str">
        <x:v>LOCK-2026-08-10: Checked all three linear-calculation criteria against the rendered page. Final source lock check completed against the supplied PDF; equation notation is ASCII-linearized.</x:v>
      </x:c>
      <x:c r="R46" s="108" t="str">
        <x:v>LOCK-2026-08-11-R2 | source_pdf=ur-i2rev4.pdf | source_sha256=2142453d2965997a772f451982278e622413273048097924173216bd278df9a7 | physical_pdf_page=21 | section=Direct calculations | clause=I2.17.5 | checks=independent_full_text_page_layout; numbers_units_operators_equations; normalized_rule_meaning; five_category_classification | status=LOCKED</x:v>
      </x:c>
      <x:c r="S46" s="108" t="str"/>
      <x:c r="T46" s="108" t="str">
        <x:v>PASS - source/page/clause/meaning/category reverified</x:v>
      </x:c>
      <x:c r="U46" s="108" t="str">
        <x:v>LOCKED - extraction reverified</x:v>
      </x:c>
      <x:c r="V46" s="112" t="str">
        <x:v>Second-pass extraction lock covers source identity, physical PDF page span, section/clause, ASCII transcription, normalized meaning, and verification category. SHACL shapes remain a separate implementation artifact.</x:v>
      </x:c>
      <x:c r="W46" s="112" t="str">
        <x:v>https://iacs.org.uk/resolutions/unified-requirements/ur-i/ur-i2-rev4-cln</x:v>
      </x:c>
      <x:c r="X46" s="112" t="str">
        <x:v>yieldStrength_MPa</x:v>
      </x:c>
      <x:c r="Y46" s="112" t="str">
        <x:v>Formula-derived constraint; encode values with units and retain clause/page provenance.</x:v>
      </x:c>
    </x:row>
    <x:row r="47" ht="92" customHeight="1">
      <x:c r="A47" s="108" t="str">
        <x:v>I2-065</x:v>
      </x:c>
      <x:c r="B47" s="108" t="str">
        <x:v>UR I2 Structural Requirements for Polar Class Ships</x:v>
      </x:c>
      <x:c r="C47" s="108" t="str">
        <x:v>Rev.4 Dec 2019</x:v>
      </x:c>
      <x:c r="D47" s="163" t="n">
        <x:v>22</x:v>
      </x:c>
      <x:c r="E47" s="108" t="str">
        <x:v>Direct calculations</x:v>
      </x:c>
      <x:c r="F47" s="108" t="str">
        <x:v>I2.17.6</x:v>
      </x:c>
      <x:c r="G47" s="113" t="str">
        <x:v>Static Calculation</x:v>
      </x:c>
      <x:c r="H47" s="109"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I47" s="110"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J47" s="111" t="str">
        <x:v>No explicit data variable identified</x:v>
      </x:c>
      <x:c r="K47" s="111" t="str">
        <x:v>No direct AnchorMap term found; propose a code-safe alias during SHACL design</x:v>
      </x:c>
      <x:c r="L47" s="114" t="str">
        <x:v>Medium</x:v>
      </x:c>
      <x:c r="M47" s="111" t="str">
        <x:v>Formula-derived constraint</x:v>
      </x:c>
      <x:c r="N47" s="108" t="str">
        <x:v>Deterministic calculation from static design inputs followed by a numeric or logical comparison.</x:v>
      </x:c>
      <x:c r="O47" s="113" t="str">
        <x:v>No</x:v>
      </x:c>
      <x:c r="P47" s="113" t="str">
        <x:v>Included - source reverified and locked</x:v>
      </x:c>
      <x:c r="Q47" s="108" t="str">
        <x:v>LOCK-2026-08-10: No source, page, clause, category, or normalized-meaning correction was required. Source wording was checked against the supplied PDF; equation notation is ASCII-linearized.</x:v>
      </x:c>
      <x:c r="R47" s="108" t="str">
        <x:v>LOCK-2026-08-11-R2 | source_pdf=ur-i2rev4.pdf | source_sha256=2142453d2965997a772f451982278e622413273048097924173216bd278df9a7 | physical_pdf_page=22 | section=Direct calculations | clause=I2.17.6 | checks=independent_full_text_page_layout; numbers_units_operators_equations; normalized_rule_meaning; five_category_classification | status=LOCKED</x:v>
      </x:c>
      <x:c r="S47" s="108" t="str"/>
      <x:c r="T47" s="108" t="str">
        <x:v>PASS - source/page/clause/meaning/category reverified</x:v>
      </x:c>
      <x:c r="U47" s="108" t="str">
        <x:v>LOCKED - extraction reverified</x:v>
      </x:c>
      <x:c r="V47" s="112" t="str">
        <x:v>Second-pass extraction lock covers source identity, physical PDF page span, section/clause, ASCII transcription, normalized meaning, and verification category. SHACL shapes remain a separate implementation artifact.</x:v>
      </x:c>
      <x:c r="W47" s="112" t="str">
        <x:v>https://iacs.org.uk/resolutions/unified-requirements/ur-i/ur-i2-rev4-cln</x:v>
      </x:c>
      <x:c r="X47" s="112" t="str">
        <x:v>No explicit data variable identified</x:v>
      </x:c>
      <x:c r="Y47" s="112" t="str">
        <x:v>Formula-derived constraint; encode values with units and retain clause/page provenance.</x:v>
      </x:c>
    </x:row>
    <x:row r="48" ht="92" customHeight="1">
      <x:c r="A48" s="108" t="str">
        <x:v>I2-066</x:v>
      </x:c>
      <x:c r="B48" s="108" t="str">
        <x:v>UR I2 Structural Requirements for Polar Class Ships</x:v>
      </x:c>
      <x:c r="C48" s="108" t="str">
        <x:v>Rev.4 Dec 2019</x:v>
      </x:c>
      <x:c r="D48" s="163" t="n">
        <x:v>22</x:v>
      </x:c>
      <x:c r="E48" s="108" t="str">
        <x:v>Welding</x:v>
      </x:c>
      <x:c r="F48" s="108" t="str">
        <x:v>I2.18.1</x:v>
      </x:c>
      <x:c r="G48" s="113" t="str">
        <x:v>Static</x:v>
      </x:c>
      <x:c r="H48" s="109" t="str">
        <x:v>All welding within ice-strengthened areas is to be of the double continuous type.</x:v>
      </x:c>
      <x:c r="I48" s="110" t="str">
        <x:v>All welding within ice-strengthened areas is to be of the double continuous type.</x:v>
      </x:c>
      <x:c r="J48" s="111" t="str">
        <x:v>No explicit data variable identified</x:v>
      </x:c>
      <x:c r="K48" s="111" t="str">
        <x:v>No direct AnchorMap term found; propose a code-safe alias during SHACL design</x:v>
      </x:c>
      <x:c r="L48" s="114" t="str">
        <x:v>High</x:v>
      </x:c>
      <x:c r="M48" s="111" t="str">
        <x:v>Direct property/presence constraint</x:v>
      </x:c>
      <x:c r="N48" s="108" t="str">
        <x:v>Direct verification of a stated property, document, presence condition, enumeration, applicability rule, prohibition, or fixed limit.</x:v>
      </x:c>
      <x:c r="O48" s="113" t="str">
        <x:v>No</x:v>
      </x:c>
      <x:c r="P48" s="113" t="str">
        <x:v>Included - source reverified and locked</x:v>
      </x:c>
      <x:c r="Q48" s="108" t="str">
        <x:v>LOCK-2026-08-10: No source, page, clause, category, or normalized-meaning correction was required. Source wording was checked against the supplied PDF; equation notation is ASCII-linearized.</x:v>
      </x:c>
      <x:c r="R48" s="108" t="str">
        <x:v>LOCK-2026-08-11-R2 | source_pdf=ur-i2rev4.pdf | source_sha256=2142453d2965997a772f451982278e622413273048097924173216bd278df9a7 | physical_pdf_page=22 | section=Welding | clause=I2.18.1 | checks=independent_full_text_page_layout; numbers_units_operators_equations; normalized_rule_meaning; five_category_classification | status=LOCKED</x:v>
      </x:c>
      <x:c r="S48" s="108" t="str"/>
      <x:c r="T48" s="108" t="str">
        <x:v>PASS - source/page/clause/meaning/category reverified</x:v>
      </x:c>
      <x:c r="U48" s="108" t="str">
        <x:v>LOCKED - extraction reverified</x:v>
      </x:c>
      <x:c r="V48" s="112" t="str">
        <x:v>Second-pass extraction lock covers source identity, physical PDF page span, section/clause, ASCII transcription, normalized meaning, and verification category. SHACL shapes remain a separate implementation artifact.</x:v>
      </x:c>
      <x:c r="W48" s="112" t="str">
        <x:v>https://iacs.org.uk/resolutions/unified-requirements/ur-i/ur-i2-rev4-cln</x:v>
      </x:c>
      <x:c r="X48" s="112" t="str">
        <x:v>No explicit data variable identified</x:v>
      </x:c>
      <x:c r="Y48" s="112" t="str">
        <x:v>Direct property/presence constraint; encode values with units and retain clause/page provenance.</x:v>
      </x:c>
    </x:row>
    <x:row r="49" ht="92" customHeight="1">
      <x:c r="A49" s="108" t="str">
        <x:v>I2-067</x:v>
      </x:c>
      <x:c r="B49" s="108" t="str">
        <x:v>UR I2 Structural Requirements for Polar Class Ships</x:v>
      </x:c>
      <x:c r="C49" s="108" t="str">
        <x:v>Rev.4 Dec 2019</x:v>
      </x:c>
      <x:c r="D49" s="163" t="n">
        <x:v>22</x:v>
      </x:c>
      <x:c r="E49" s="108" t="str">
        <x:v>Welding</x:v>
      </x:c>
      <x:c r="F49" s="108" t="str">
        <x:v>I2.18.2</x:v>
      </x:c>
      <x:c r="G49" s="113" t="str">
        <x:v>Static</x:v>
      </x:c>
      <x:c r="H49" s="109" t="str">
        <x:v>Continuity of strength is to be ensured at all structural connections.</x:v>
      </x:c>
      <x:c r="I49" s="110" t="str">
        <x:v>Continuity of strength is to be ensured at all structural connections.</x:v>
      </x:c>
      <x:c r="J49" s="111" t="str">
        <x:v>No explicit data variable identified</x:v>
      </x:c>
      <x:c r="K49" s="111" t="str">
        <x:v>No direct AnchorMap term found; propose a code-safe alias during SHACL design</x:v>
      </x:c>
      <x:c r="L49" s="114" t="str">
        <x:v>High</x:v>
      </x:c>
      <x:c r="M49" s="111" t="str">
        <x:v>Direct property/presence constraint</x:v>
      </x:c>
      <x:c r="N49" s="108" t="str">
        <x:v>Direct verification of a stated property, document, presence condition, enumeration, applicability rule, prohibition, or fixed limit.</x:v>
      </x:c>
      <x:c r="O49" s="113" t="str">
        <x:v>No</x:v>
      </x:c>
      <x:c r="P49" s="113" t="str">
        <x:v>Included - source reverified and locked</x:v>
      </x:c>
      <x:c r="Q49" s="108" t="str">
        <x:v>LOCK-2026-08-10: No source, page, clause, category, or normalized-meaning correction was required. Source wording was checked against the supplied PDF; equation notation is ASCII-linearized.</x:v>
      </x:c>
      <x:c r="R49" s="108" t="str">
        <x:v>LOCK-2026-08-11-R2 | source_pdf=ur-i2rev4.pdf | source_sha256=2142453d2965997a772f451982278e622413273048097924173216bd278df9a7 | physical_pdf_page=22 | section=Welding | clause=I2.18.2 | checks=independent_full_text_page_layout; numbers_units_operators_equations; normalized_rule_meaning; five_category_classification | status=LOCKED</x:v>
      </x:c>
      <x:c r="S49" s="108" t="str"/>
      <x:c r="T49" s="108" t="str">
        <x:v>PASS - source/page/clause/meaning/category reverified</x:v>
      </x:c>
      <x:c r="U49" s="108" t="str">
        <x:v>LOCKED - extraction reverified</x:v>
      </x:c>
      <x:c r="V49" s="112" t="str">
        <x:v>Second-pass extraction lock covers source identity, physical PDF page span, section/clause, ASCII transcription, normalized meaning, and verification category. SHACL shapes remain a separate implementation artifact.</x:v>
      </x:c>
      <x:c r="W49" s="112" t="str">
        <x:v>https://iacs.org.uk/resolutions/unified-requirements/ur-i/ur-i2-rev4-cln</x:v>
      </x:c>
      <x:c r="X49" s="112" t="str">
        <x:v>No explicit data variable identified</x:v>
      </x:c>
      <x:c r="Y49" s="112" t="str">
        <x:v>Direct property/presence constraint; encode values with units and retain clause/page provenance.</x:v>
      </x:c>
    </x:row>
  </x:sheetData>
  <x:conditionalFormatting sqref="G2:G49">
    <x:cfRule type="containsText" dxfId="5" priority="1" operator="containsText" text="Static Calculation"/>
    <x:cfRule type="containsText" dxfId="6" priority="2" operator="containsText" text="Physical Test"/>
    <x:cfRule type="containsText" dxfId="7" priority="3" operator="containsText" text="Dynamic"/>
    <x:cfRule type="containsText" dxfId="8" priority="4" operator="containsText" text="Complex"/>
    <x:cfRule type="containsText" dxfId="9" priority="5" operator="containsText" text="Static"/>
  </x:conditionalFormatting>
  <x:dataValidations count="5">
    <x:dataValidation type="list" sqref="G2:G49">
      <x:formula1>"Static,Static Calculation,Dynamic,Complex,Physical Test"</x:formula1>
    </x:dataValidation>
    <x:dataValidation type="list" sqref="L2:L49">
      <x:formula1>"High,Medium"</x:formula1>
    </x:dataValidation>
    <x:dataValidation type="list" sqref="O2:O49">
      <x:formula1>"No,Yes"</x:formula1>
    </x:dataValidation>
    <x:dataValidation type="list" sqref="P2:P49">
      <x:formula1>"Included - source locked"</x:formula1>
    </x:dataValidation>
    <x:dataValidation type="list" sqref="U2:U49">
      <x:formula1>"LOCKED - extraction verified,Needs revision"</x:formula1>
    </x:dataValidation>
  </x:dataValidations>
  <x:pageMargins left="0.7" right="0.7" top="0.75" bottom="0.75" header="0.3" footer="0.3"/>
  <x:tableParts count="1">
    <x:tablePart xmlns:r="http://schemas.openxmlformats.org/officeDocument/2006/relationships" r:id="R409a4a1226604cd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4" hidden="0" customWidth="1"/>
    <x:col min="4" max="4" width="10" hidden="0" customWidth="1"/>
    <x:col min="5" max="5" width="30" hidden="0" customWidth="1"/>
    <x:col min="6" max="6" width="22" hidden="0" customWidth="1"/>
    <x:col min="7" max="7" width="20" hidden="0" customWidth="1"/>
    <x:col min="8" max="8" width="62" hidden="0" customWidth="1"/>
    <x:col min="9" max="9" width="58" hidden="0" customWidth="1"/>
    <x:col min="10" max="10" width="38" hidden="0" customWidth="1"/>
    <x:col min="11" max="11" width="40" hidden="0" customWidth="1"/>
    <x:col min="12" max="12" width="15" hidden="0" customWidth="1"/>
    <x:col min="13" max="13" width="33" hidden="0" customWidth="1"/>
    <x:col min="14" max="14" width="40" hidden="0" customWidth="1"/>
    <x:col min="15" max="15" width="14" hidden="0" customWidth="1"/>
    <x:col min="16" max="16" width="25" hidden="0" customWidth="1"/>
    <x:col min="17" max="17" width="40" hidden="0" customWidth="1"/>
    <x:col min="18" max="18" width="40" hidden="0" customWidth="1"/>
    <x:col min="19" max="19" width="35" hidden="0" customWidth="1"/>
    <x:col min="20" max="20" width="34" hidden="0" customWidth="1"/>
    <x:col min="21" max="21" width="31" hidden="0" customWidth="1"/>
    <x:col min="22" max="22" width="34" hidden="0" customWidth="1"/>
    <x:col min="23" max="23" width="40" hidden="0" customWidth="1"/>
    <x:col min="24" max="24" width="38" hidden="0" customWidth="1"/>
    <x:col min="25" max="25" width="39" hidden="0" customWidth="1"/>
  </x:cols>
  <x:sheetData>
    <x:row r="1" ht="46" customHeight="1">
      <x:c r="A1" s="119" t="str">
        <x:v>Record_ID</x:v>
      </x:c>
      <x:c r="B1" s="119" t="str">
        <x:v>Source</x:v>
      </x:c>
      <x:c r="C1" s="119" t="str">
        <x:v>Edition</x:v>
      </x:c>
      <x:c r="D1" s="119" t="str">
        <x:v>PDF_Page</x:v>
      </x:c>
      <x:c r="E1" s="119" t="str">
        <x:v>Section</x:v>
      </x:c>
      <x:c r="F1" s="119" t="str">
        <x:v>Regulation_Clause</x:v>
      </x:c>
      <x:c r="G1" s="119" t="str">
        <x:v>Verification_Category</x:v>
      </x:c>
      <x:c r="H1" s="119" t="str">
        <x:v>Verified_Source_Text_ASCII</x:v>
      </x:c>
      <x:c r="I1" s="119" t="str">
        <x:v>AI_Ready_Requirement</x:v>
      </x:c>
      <x:c r="J1" s="119" t="str">
        <x:v>Canonical_Variables</x:v>
      </x:c>
      <x:c r="K1" s="119" t="str">
        <x:v>AnchorMap_Mapping</x:v>
      </x:c>
      <x:c r="L1" s="119" t="str">
        <x:v>SHACL_Codability</x:v>
      </x:c>
      <x:c r="M1" s="119" t="str">
        <x:v>SHACL_Encoding_Pattern</x:v>
      </x:c>
      <x:c r="N1" s="119" t="str">
        <x:v>Classification_Rationale</x:v>
      </x:c>
      <x:c r="O1" s="119" t="str">
        <x:v>Figure_Dependent</x:v>
      </x:c>
      <x:c r="P1" s="119" t="str">
        <x:v>Inclusion_Status</x:v>
      </x:c>
      <x:c r="Q1" s="119" t="str">
        <x:v>Correction_Notes</x:v>
      </x:c>
      <x:c r="R1" s="119" t="str">
        <x:v>Traceability_Notes</x:v>
      </x:c>
      <x:c r="S1" s="119" t="str">
        <x:v>Thesis_Cross_Check</x:v>
      </x:c>
      <x:c r="T1" s="119" t="str">
        <x:v>QA_Status</x:v>
      </x:c>
      <x:c r="U1" s="119" t="str">
        <x:v>Review_Status</x:v>
      </x:c>
      <x:c r="V1" s="119" t="str">
        <x:v>Reviewer_Notes</x:v>
      </x:c>
      <x:c r="W1" s="119" t="str">
        <x:v>Source_URL</x:v>
      </x:c>
      <x:c r="X1" s="119" t="str">
        <x:v>Required_Inputs_or_Artifacts</x:v>
      </x:c>
      <x:c r="Y1" s="119" t="str">
        <x:v>SHACL_Encoding_Notes</x:v>
      </x:c>
    </x:row>
    <x:row r="2" ht="100" customHeight="1">
      <x:c r="A2" s="108" t="str">
        <x:v>IMO-001</x:v>
      </x:c>
      <x:c r="B2" s="108" t="str">
        <x:v>International Code for Ships Operating in Polar Waters (Polar Code)</x:v>
      </x:c>
      <x:c r="C2" s="108" t="str">
        <x:v>Resolution MSC.385(94), adopted 21 Nov 2014; consolidated with MEPC.264(68), adopted 15 May 2015</x:v>
      </x:c>
      <x:c r="D2" s="163" t="n">
        <x:v>9</x:v>
      </x:c>
      <x:c r="E2" s="108" t="str">
        <x:v>Introduction - Definitions</x:v>
      </x:c>
      <x:c r="F2" s="108" t="str">
        <x:v>2.1</x:v>
      </x:c>
      <x:c r="G2" s="113" t="str">
        <x:v>Static</x:v>
      </x:c>
      <x:c r="H2" s="120" t="str">
        <x:v>Category A ship means a ship designed for operation in polar waters in at least medium first-year ice, which may include old ice inclusions.</x:v>
      </x:c>
      <x:c r="I2" s="121" t="str">
        <x:v>IF a ship is designed to operate in at least medium first-year ice, including possible old-ice inclusions, THEN ship_category = 'A'.</x:v>
      </x:c>
      <x:c r="J2" s="122" t="str">
        <x:v>ship_category, design_ice_condition</x:v>
      </x:c>
      <x:c r="K2" s="122" t="str">
        <x:v>No direct AnchorMap term found; propose code-safe alias: ship_category, design_ice_condition</x:v>
      </x:c>
      <x:c r="L2" s="124" t="str">
        <x:v>High</x:v>
      </x:c>
      <x:c r="M2" s="122" t="str">
        <x:v>Conditional enumeration constraint</x:v>
      </x:c>
      <x:c r="N2" s="108" t="str">
        <x:v>Direct verification of a stated property, document, presence condition, enumeration, applicability rule, prohibition, or fixed limit.</x:v>
      </x:c>
      <x:c r="O2" s="113" t="str">
        <x:v>No</x:v>
      </x:c>
      <x:c r="P2" s="113" t="str">
        <x:v>Included - source reverified and locked</x:v>
      </x:c>
      <x:c r="Q2" s="108" t="str">
        <x:v>LOCK-2026-08-10: No source, page, clause, category, or normalized-meaning correction was required. Source wording was checked against the supplied PDF; equation notation is ASCII-linearized.</x:v>
      </x:c>
      <x:c r="R2" s="108" t="str">
        <x:v>LOCK-2026-08-11-R2 | source_pdf=MSC.385(94).pdf | source_sha256=6c6a038bff68ee906dd97c41e95fb4442917c014c8e79228f15e80cc5afa5c1f | physical_pdf_page=9 | section=Introduction - Definitions | clause=2.1 | checks=independent_full_text_page_layout; numbers_units_operators_equations; normalized_rule_meaning; five_category_classification | status=LOCKED</x:v>
      </x:c>
      <x:c r="S2" s="108" t="str">
        <x:v>New IMO source; not derived from the thesis extraction.</x:v>
      </x:c>
      <x:c r="T2" s="108" t="str">
        <x:v>PASS - source/page/clause/meaning/category reverified</x:v>
      </x:c>
      <x:c r="U2" s="108" t="str">
        <x:v>LOCKED - extraction reverified</x:v>
      </x:c>
      <x:c r="V2" s="123" t="str">
        <x:v>Second-pass extraction lock covers source identity, physical PDF page span, section/clause, ASCII transcription, normalized meaning, and verification category. SHACL shapes remain a separate implementation artifact.</x:v>
      </x:c>
      <x:c r="W2" s="123" t="str">
        <x:v>https://wwwcdn.imo.org/localresources/en/KnowledgeCentre/IndexofIMOResolutions/MSCResolutions/MSC.385%2894%29.pdf</x:v>
      </x:c>
      <x:c r="X2" s="123" t="str">
        <x:v>Ship design ice condition and declared Polar Code category</x:v>
      </x:c>
      <x:c r="Y2" s="123" t="str">
        <x:v>Encode the qualifying ice condition and require category A when the condition is met.</x:v>
      </x:c>
    </x:row>
    <x:row r="3" ht="100" customHeight="1">
      <x:c r="A3" s="108" t="str">
        <x:v>IMO-002</x:v>
      </x:c>
      <x:c r="B3" s="108" t="str">
        <x:v>International Code for Ships Operating in Polar Waters (Polar Code)</x:v>
      </x:c>
      <x:c r="C3" s="108" t="str">
        <x:v>Resolution MSC.385(94), adopted 21 Nov 2014; consolidated with MEPC.264(68), adopted 15 May 2015</x:v>
      </x:c>
      <x:c r="D3" s="163" t="n">
        <x:v>9</x:v>
      </x:c>
      <x:c r="E3" s="108" t="str">
        <x:v>Introduction - Definitions</x:v>
      </x:c>
      <x:c r="F3" s="108" t="str">
        <x:v>2.2</x:v>
      </x:c>
      <x:c r="G3" s="113" t="str">
        <x:v>Static</x:v>
      </x:c>
      <x:c r="H3" s="120" t="str">
        <x:v>Category B ship means a ship not included in category A, designed for operation in polar waters in at least thin first-year ice, which may include old ice inclusions.</x:v>
      </x:c>
      <x:c r="I3" s="121" t="str">
        <x:v>IF a ship is not category A and is designed to operate in at least thin first-year ice, including possible old-ice inclusions, THEN ship_category = 'B'.</x:v>
      </x:c>
      <x:c r="J3" s="122" t="str">
        <x:v>ship_category, design_ice_condition</x:v>
      </x:c>
      <x:c r="K3" s="122" t="str">
        <x:v>No direct AnchorMap term found; propose code-safe alias: ship_category, design_ice_condition</x:v>
      </x:c>
      <x:c r="L3" s="124" t="str">
        <x:v>High</x:v>
      </x:c>
      <x:c r="M3" s="122" t="str">
        <x:v>Conditional enumeration constraint</x:v>
      </x:c>
      <x:c r="N3" s="108" t="str">
        <x:v>Direct verification of a stated property, document, presence condition, enumeration, applicability rule, prohibition, or fixed limit.</x:v>
      </x:c>
      <x:c r="O3" s="113" t="str">
        <x:v>No</x:v>
      </x:c>
      <x:c r="P3" s="113" t="str">
        <x:v>Included - source reverified and locked</x:v>
      </x:c>
      <x:c r="Q3" s="108" t="str">
        <x:v>LOCK-2026-08-10: No source, page, clause, category, or normalized-meaning correction was required. Source wording was checked against the supplied PDF; equation notation is ASCII-linearized.</x:v>
      </x:c>
      <x:c r="R3" s="108" t="str">
        <x:v>LOCK-2026-08-11-R2 | source_pdf=MSC.385(94).pdf | source_sha256=6c6a038bff68ee906dd97c41e95fb4442917c014c8e79228f15e80cc5afa5c1f | physical_pdf_page=9 | section=Introduction - Definitions | clause=2.2 | checks=independent_full_text_page_layout; numbers_units_operators_equations; normalized_rule_meaning; five_category_classification | status=LOCKED</x:v>
      </x:c>
      <x:c r="S3" s="108" t="str">
        <x:v>New IMO source; not derived from the thesis extraction.</x:v>
      </x:c>
      <x:c r="T3" s="108" t="str">
        <x:v>PASS - source/page/clause/meaning/category reverified</x:v>
      </x:c>
      <x:c r="U3" s="108" t="str">
        <x:v>LOCKED - extraction reverified</x:v>
      </x:c>
      <x:c r="V3" s="123" t="str">
        <x:v>Second-pass extraction lock covers source identity, physical PDF page span, section/clause, ASCII transcription, normalized meaning, and verification category. SHACL shapes remain a separate implementation artifact.</x:v>
      </x:c>
      <x:c r="W3" s="123" t="str">
        <x:v>https://wwwcdn.imo.org/localresources/en/KnowledgeCentre/IndexofIMOResolutions/MSCResolutions/MSC.385%2894%29.pdf</x:v>
      </x:c>
      <x:c r="X3" s="123" t="str">
        <x:v>Ship design ice condition and declared Polar Code category</x:v>
      </x:c>
      <x:c r="Y3" s="123" t="str">
        <x:v>Encode exclusion of category A and the minimum thin first-year ice capability.</x:v>
      </x:c>
    </x:row>
    <x:row r="4" ht="100" customHeight="1">
      <x:c r="A4" s="108" t="str">
        <x:v>IMO-003</x:v>
      </x:c>
      <x:c r="B4" s="108" t="str">
        <x:v>International Code for Ships Operating in Polar Waters (Polar Code)</x:v>
      </x:c>
      <x:c r="C4" s="108" t="str">
        <x:v>Resolution MSC.385(94), adopted 21 Nov 2014; consolidated with MEPC.264(68), adopted 15 May 2015</x:v>
      </x:c>
      <x:c r="D4" s="163" t="n">
        <x:v>9</x:v>
      </x:c>
      <x:c r="E4" s="108" t="str">
        <x:v>Introduction - Definitions</x:v>
      </x:c>
      <x:c r="F4" s="108" t="str">
        <x:v>2.3</x:v>
      </x:c>
      <x:c r="G4" s="113" t="str">
        <x:v>Static</x:v>
      </x:c>
      <x:c r="H4" s="120" t="str">
        <x:v>Category C ship means a ship designed to operate in open water or in ice conditions less severe than those included in categories A and B.</x:v>
      </x:c>
      <x:c r="I4" s="121" t="str">
        <x:v>IF a ship is designed for open water or ice conditions less severe than categories A and B, THEN ship_category = 'C'.</x:v>
      </x:c>
      <x:c r="J4" s="122" t="str">
        <x:v>ship_category, design_ice_condition</x:v>
      </x:c>
      <x:c r="K4" s="122" t="str">
        <x:v>No direct AnchorMap term found; propose code-safe alias: ship_category, design_ice_condition</x:v>
      </x:c>
      <x:c r="L4" s="124" t="str">
        <x:v>High</x:v>
      </x:c>
      <x:c r="M4" s="122" t="str">
        <x:v>Conditional enumeration constraint</x:v>
      </x:c>
      <x:c r="N4" s="108" t="str">
        <x:v>Direct verification of a stated property, document, presence condition, enumeration, applicability rule, prohibition, or fixed limit.</x:v>
      </x:c>
      <x:c r="O4" s="113" t="str">
        <x:v>No</x:v>
      </x:c>
      <x:c r="P4" s="113" t="str">
        <x:v>Included - source reverified and locked</x:v>
      </x:c>
      <x:c r="Q4" s="108" t="str">
        <x:v>LOCK-2026-08-10: No source, page, clause, category, or normalized-meaning correction was required. Source wording was checked against the supplied PDF; equation notation is ASCII-linearized.</x:v>
      </x:c>
      <x:c r="R4" s="108" t="str">
        <x:v>LOCK-2026-08-11-R2 | source_pdf=MSC.385(94).pdf | source_sha256=6c6a038bff68ee906dd97c41e95fb4442917c014c8e79228f15e80cc5afa5c1f | physical_pdf_page=9 | section=Introduction - Definitions | clause=2.3 | checks=independent_full_text_page_layout; numbers_units_operators_equations; normalized_rule_meaning; five_category_classification | status=LOCKED</x:v>
      </x:c>
      <x:c r="S4" s="108" t="str">
        <x:v>New IMO source; not derived from the thesis extraction.</x:v>
      </x:c>
      <x:c r="T4" s="108" t="str">
        <x:v>PASS - source/page/clause/meaning/category reverified</x:v>
      </x:c>
      <x:c r="U4" s="108" t="str">
        <x:v>LOCKED - extraction reverified</x:v>
      </x:c>
      <x:c r="V4" s="123" t="str">
        <x:v>Second-pass extraction lock covers source identity, physical PDF page span, section/clause, ASCII transcription, normalized meaning, and verification category. SHACL shapes remain a separate implementation artifact.</x:v>
      </x:c>
      <x:c r="W4" s="123" t="str">
        <x:v>https://wwwcdn.imo.org/localresources/en/KnowledgeCentre/IndexofIMOResolutions/MSCResolutions/MSC.385%2894%29.pdf</x:v>
      </x:c>
      <x:c r="X4" s="123" t="str">
        <x:v>Ship design ice condition and declared Polar Code category</x:v>
      </x:c>
      <x:c r="Y4" s="123" t="str">
        <x:v>Represent the design condition as an enumeration and constrain the declared category.</x:v>
      </x:c>
    </x:row>
    <x:row r="5" ht="100" customHeight="1">
      <x:c r="A5" s="108" t="str">
        <x:v>IMO-004</x:v>
      </x:c>
      <x:c r="B5" s="108" t="str">
        <x:v>International Code for Ships Operating in Polar Waters (Polar Code)</x:v>
      </x:c>
      <x:c r="C5" s="108" t="str">
        <x:v>Resolution MSC.385(94), adopted 21 Nov 2014; consolidated with MEPC.264(68), adopted 15 May 2015</x:v>
      </x:c>
      <x:c r="D5" s="163" t="n">
        <x:v>9</x:v>
      </x:c>
      <x:c r="E5" s="108" t="str">
        <x:v>Introduction - Definitions</x:v>
      </x:c>
      <x:c r="F5" s="108" t="str">
        <x:v>2.4</x:v>
      </x:c>
      <x:c r="G5" s="113" t="str">
        <x:v>Static</x:v>
      </x:c>
      <x:c r="H5" s="120" t="str">
        <x:v>First-year ice means sea ice of not more than one winter growth developing from young ice with thickness from 0.3 m to 2.0 m.</x:v>
      </x:c>
      <x:c r="I5" s="121" t="str">
        <x:v>IF ice_origin = 'sea ice' AND winter_growth_count &lt;= 1 AND 0.3 &lt;= ice_thickness_m &lt;= 2.0, THEN ice_type = 'first-year ice'.</x:v>
      </x:c>
      <x:c r="J5" s="122" t="str">
        <x:v>ice_origin, winter_growth_count, ice_thickness_m, ice_type</x:v>
      </x:c>
      <x:c r="K5" s="122" t="str">
        <x:v>No direct AnchorMap term found; propose code-safe alias: ice_origin, winter_growth_count, ice_thickness_m, ice_type</x:v>
      </x:c>
      <x:c r="L5" s="124" t="str">
        <x:v>High</x:v>
      </x:c>
      <x:c r="M5" s="122" t="str">
        <x:v>Numeric range and classification constraint</x:v>
      </x:c>
      <x:c r="N5" s="108" t="str">
        <x:v>Direct verification of a stated property, document, presence condition, enumeration, applicability rule, prohibition, or fixed limit.</x:v>
      </x:c>
      <x:c r="O5" s="113" t="str">
        <x:v>No</x:v>
      </x:c>
      <x:c r="P5" s="113" t="str">
        <x:v>Included - source reverified and locked</x:v>
      </x:c>
      <x:c r="Q5" s="108" t="str">
        <x:v>LOCK-2026-08-10: No source, page, clause, category, or normalized-meaning correction was required. Source wording was checked against the supplied PDF; equation notation is ASCII-linearized.</x:v>
      </x:c>
      <x:c r="R5" s="108" t="str">
        <x:v>LOCK-2026-08-11-R2 | source_pdf=MSC.385(94).pdf | source_sha256=6c6a038bff68ee906dd97c41e95fb4442917c014c8e79228f15e80cc5afa5c1f | physical_pdf_page=9 | section=Introduction - Definitions | clause=2.4 | checks=independent_full_text_page_layout; numbers_units_operators_equations; normalized_rule_meaning; five_category_classification | status=LOCKED</x:v>
      </x:c>
      <x:c r="S5" s="108" t="str">
        <x:v>New IMO source; not derived from the thesis extraction.</x:v>
      </x:c>
      <x:c r="T5" s="108" t="str">
        <x:v>PASS - source/page/clause/meaning/category reverified</x:v>
      </x:c>
      <x:c r="U5" s="108" t="str">
        <x:v>LOCKED - extraction reverified</x:v>
      </x:c>
      <x:c r="V5" s="123" t="str">
        <x:v>Second-pass extraction lock covers source identity, physical PDF page span, section/clause, ASCII transcription, normalized meaning, and verification category. SHACL shapes remain a separate implementation artifact.</x:v>
      </x:c>
      <x:c r="W5" s="123" t="str">
        <x:v>https://wwwcdn.imo.org/localresources/en/KnowledgeCentre/IndexofIMOResolutions/MSCResolutions/MSC.385%2894%29.pdf</x:v>
      </x:c>
      <x:c r="X5" s="123" t="str">
        <x:v>Ice origin, winter growth history, and measured thickness</x:v>
      </x:c>
      <x:c r="Y5" s="123" t="str">
        <x:v>Use inclusive minimum and maximum thickness constraints with a conditional type assignment.</x:v>
      </x:c>
    </x:row>
    <x:row r="6" ht="100" customHeight="1">
      <x:c r="A6" s="108" t="str">
        <x:v>IMO-005</x:v>
      </x:c>
      <x:c r="B6" s="108" t="str">
        <x:v>International Code for Ships Operating in Polar Waters (Polar Code)</x:v>
      </x:c>
      <x:c r="C6" s="108" t="str">
        <x:v>Resolution MSC.385(94), adopted 21 Nov 2014; consolidated with MEPC.264(68), adopted 15 May 2015</x:v>
      </x:c>
      <x:c r="D6" s="163" t="n">
        <x:v>9</x:v>
      </x:c>
      <x:c r="E6" s="108" t="str">
        <x:v>Introduction - Definitions</x:v>
      </x:c>
      <x:c r="F6" s="108" t="str">
        <x:v>2.5</x:v>
      </x:c>
      <x:c r="G6" s="113" t="str">
        <x:v>Static</x:v>
      </x:c>
      <x:c r="H6" s="120" t="str">
        <x:v>Ice free waters means no ice present. If ice of any kind is present this term shall not be used.</x:v>
      </x:c>
      <x:c r="I6" s="121" t="str">
        <x:v>ice_condition = 'ice free waters' ONLY IF total_ice_present = false.</x:v>
      </x:c>
      <x:c r="J6" s="122" t="str">
        <x:v>ice_condition, total_ice_present</x:v>
      </x:c>
      <x:c r="K6" s="122" t="str">
        <x:v>No direct AnchorMap term found; propose code-safe alias: ice_condition, total_ice_present</x:v>
      </x:c>
      <x:c r="L6" s="124" t="str">
        <x:v>High</x:v>
      </x:c>
      <x:c r="M6" s="122" t="str">
        <x:v>Boolean implication constraint</x:v>
      </x:c>
      <x:c r="N6" s="108" t="str">
        <x:v>Direct verification of a stated property, document, presence condition, enumeration, applicability rule, prohibition, or fixed limit.</x:v>
      </x:c>
      <x:c r="O6" s="113" t="str">
        <x:v>No</x:v>
      </x:c>
      <x:c r="P6" s="113" t="str">
        <x:v>Included - source reverified and locked</x:v>
      </x:c>
      <x:c r="Q6" s="108" t="str">
        <x:v>LOCK-2026-08-10: No source, page, clause, category, or normalized-meaning correction was required. Source wording was checked against the supplied PDF; equation notation is ASCII-linearized.</x:v>
      </x:c>
      <x:c r="R6" s="108" t="str">
        <x:v>LOCK-2026-08-11-R2 | source_pdf=MSC.385(94).pdf | source_sha256=6c6a038bff68ee906dd97c41e95fb4442917c014c8e79228f15e80cc5afa5c1f | physical_pdf_page=9 | section=Introduction - Definitions | clause=2.5 | checks=independent_full_text_page_layout; numbers_units_operators_equations; normalized_rule_meaning; five_category_classification | status=LOCKED</x:v>
      </x:c>
      <x:c r="S6" s="108" t="str">
        <x:v>New IMO source; not derived from the thesis extraction.</x:v>
      </x:c>
      <x:c r="T6" s="108" t="str">
        <x:v>PASS - source/page/clause/meaning/category reverified</x:v>
      </x:c>
      <x:c r="U6" s="108" t="str">
        <x:v>LOCKED - extraction reverified</x:v>
      </x:c>
      <x:c r="V6" s="123" t="str">
        <x:v>Second-pass extraction lock covers source identity, physical PDF page span, section/clause, ASCII transcription, normalized meaning, and verification category. SHACL shapes remain a separate implementation artifact.</x:v>
      </x:c>
      <x:c r="W6" s="123" t="str">
        <x:v>https://wwwcdn.imo.org/localresources/en/KnowledgeCentre/IndexofIMOResolutions/MSCResolutions/MSC.385%2894%29.pdf</x:v>
      </x:c>
      <x:c r="X6" s="123" t="str">
        <x:v>Declared ice condition and ice-presence observation</x:v>
      </x:c>
      <x:c r="Y6" s="123" t="str">
        <x:v>Reject the ice-free classification whenever any ice is present.</x:v>
      </x:c>
    </x:row>
    <x:row r="7" ht="100" customHeight="1">
      <x:c r="A7" s="108" t="str">
        <x:v>IMO-006</x:v>
      </x:c>
      <x:c r="B7" s="108" t="str">
        <x:v>International Code for Ships Operating in Polar Waters (Polar Code)</x:v>
      </x:c>
      <x:c r="C7" s="108" t="str">
        <x:v>Resolution MSC.385(94), adopted 21 Nov 2014; consolidated with MEPC.264(68), adopted 15 May 2015</x:v>
      </x:c>
      <x:c r="D7" s="163" t="n">
        <x:v>9</x:v>
      </x:c>
      <x:c r="E7" s="108" t="str">
        <x:v>Introduction - Definitions</x:v>
      </x:c>
      <x:c r="F7" s="108" t="str">
        <x:v>2.8</x:v>
      </x:c>
      <x:c r="G7" s="113" t="str">
        <x:v>Static</x:v>
      </x:c>
      <x:c r="H7" s="120" t="str">
        <x:v>Medium first-year ice means first-year ice of 0.7 m to 1.2 m thickness.</x:v>
      </x:c>
      <x:c r="I7" s="121" t="str">
        <x:v>IF ice_type = 'medium first-year ice', THEN 0.7 &lt;= ice_thickness_m &lt;= 1.2.</x:v>
      </x:c>
      <x:c r="J7" s="122" t="str">
        <x:v>ice_type, ice_thickness_m</x:v>
      </x:c>
      <x:c r="K7" s="122" t="str">
        <x:v>No direct AnchorMap term found; propose code-safe alias: ice_type, ice_thickness_m</x:v>
      </x:c>
      <x:c r="L7" s="124" t="str">
        <x:v>High</x:v>
      </x:c>
      <x:c r="M7" s="122" t="str">
        <x:v>Numeric range constraint</x:v>
      </x:c>
      <x:c r="N7" s="108" t="str">
        <x:v>Direct verification of a stated property, document, presence condition, enumeration, applicability rule, prohibition, or fixed limit.</x:v>
      </x:c>
      <x:c r="O7" s="113" t="str">
        <x:v>No</x:v>
      </x:c>
      <x:c r="P7" s="113" t="str">
        <x:v>Included - source reverified and locked</x:v>
      </x:c>
      <x:c r="Q7" s="108" t="str">
        <x:v>LOCK-2026-08-10: No source, page, clause, category, or normalized-meaning correction was required. Source wording was checked against the supplied PDF; equation notation is ASCII-linearized.</x:v>
      </x:c>
      <x:c r="R7" s="108" t="str">
        <x:v>LOCK-2026-08-11-R2 | source_pdf=MSC.385(94).pdf | source_sha256=6c6a038bff68ee906dd97c41e95fb4442917c014c8e79228f15e80cc5afa5c1f | physical_pdf_page=9 | section=Introduction - Definitions | clause=2.8 | checks=independent_full_text_page_layout; numbers_units_operators_equations; normalized_rule_meaning; five_category_classification | status=LOCKED</x:v>
      </x:c>
      <x:c r="S7" s="108" t="str">
        <x:v>New IMO source; not derived from the thesis extraction.</x:v>
      </x:c>
      <x:c r="T7" s="108" t="str">
        <x:v>PASS - source/page/clause/meaning/category reverified</x:v>
      </x:c>
      <x:c r="U7" s="108" t="str">
        <x:v>LOCKED - extraction reverified</x:v>
      </x:c>
      <x:c r="V7" s="123" t="str">
        <x:v>Second-pass extraction lock covers source identity, physical PDF page span, section/clause, ASCII transcription, normalized meaning, and verification category. SHACL shapes remain a separate implementation artifact.</x:v>
      </x:c>
      <x:c r="W7" s="123" t="str">
        <x:v>https://wwwcdn.imo.org/localresources/en/KnowledgeCentre/IndexofIMOResolutions/MSCResolutions/MSC.385%2894%29.pdf</x:v>
      </x:c>
      <x:c r="X7" s="123" t="str">
        <x:v>Ice type and measured thickness</x:v>
      </x:c>
      <x:c r="Y7" s="123" t="str">
        <x:v>Apply inclusive minimum and maximum thickness constraints.</x:v>
      </x:c>
    </x:row>
    <x:row r="8" ht="100" customHeight="1">
      <x:c r="A8" s="108" t="str">
        <x:v>IMO-007</x:v>
      </x:c>
      <x:c r="B8" s="108" t="str">
        <x:v>International Code for Ships Operating in Polar Waters (Polar Code)</x:v>
      </x:c>
      <x:c r="C8" s="108" t="str">
        <x:v>Resolution MSC.385(94), adopted 21 Nov 2014; consolidated with MEPC.264(68), adopted 15 May 2015</x:v>
      </x:c>
      <x:c r="D8" s="163" t="n">
        <x:v>9</x:v>
      </x:c>
      <x:c r="E8" s="108" t="str">
        <x:v>Introduction - Definitions</x:v>
      </x:c>
      <x:c r="F8" s="108" t="str">
        <x:v>2.10</x:v>
      </x:c>
      <x:c r="G8" s="113" t="str">
        <x:v>Static</x:v>
      </x:c>
      <x:c r="H8" s="120" t="str">
        <x:v>Open water means a large area of freely navigable water in which sea ice is present in concentrations less than 1/10. No ice of land origin is present.</x:v>
      </x:c>
      <x:c r="I8" s="121" t="str">
        <x:v>IF ice_condition = 'open water', THEN sea_ice_concentration_tenths &lt; 1 AND ice_of_land_origin_present = false.</x:v>
      </x:c>
      <x:c r="J8" s="122" t="str">
        <x:v>ice_condition, sea_ice_concentration_tenths, ice_of_land_origin_present</x:v>
      </x:c>
      <x:c r="K8" s="122" t="str">
        <x:v>No direct AnchorMap term found; propose code-safe alias: ice_condition, sea_ice_concentration_tenths, ice_of_land_origin_present</x:v>
      </x:c>
      <x:c r="L8" s="124" t="str">
        <x:v>High</x:v>
      </x:c>
      <x:c r="M8" s="122" t="str">
        <x:v>Composite numeric and Boolean constraint</x:v>
      </x:c>
      <x:c r="N8" s="108" t="str">
        <x:v>Direct verification of a stated property, document, presence condition, enumeration, applicability rule, prohibition, or fixed limit.</x:v>
      </x:c>
      <x:c r="O8" s="113" t="str">
        <x:v>No</x:v>
      </x:c>
      <x:c r="P8" s="113" t="str">
        <x:v>Included - source reverified and locked</x:v>
      </x:c>
      <x:c r="Q8" s="108" t="str">
        <x:v>LOCK-2026-08-10: No source, page, clause, category, or normalized-meaning correction was required. Source wording was checked against the supplied PDF; equation notation is ASCII-linearized.</x:v>
      </x:c>
      <x:c r="R8" s="108" t="str">
        <x:v>LOCK-2026-08-11-R2 | source_pdf=MSC.385(94).pdf | source_sha256=6c6a038bff68ee906dd97c41e95fb4442917c014c8e79228f15e80cc5afa5c1f | physical_pdf_page=9 | section=Introduction - Definitions | clause=2.10 | checks=independent_full_text_page_layout; numbers_units_operators_equations; normalized_rule_meaning; five_category_classification | status=LOCKED</x:v>
      </x:c>
      <x:c r="S8" s="108" t="str">
        <x:v>New IMO source; not derived from the thesis extraction.</x:v>
      </x:c>
      <x:c r="T8" s="108" t="str">
        <x:v>PASS - source/page/clause/meaning/category reverified</x:v>
      </x:c>
      <x:c r="U8" s="108" t="str">
        <x:v>LOCKED - extraction reverified</x:v>
      </x:c>
      <x:c r="V8" s="123" t="str">
        <x:v>Second-pass extraction lock covers source identity, physical PDF page span, section/clause, ASCII transcription, normalized meaning, and verification category. SHACL shapes remain a separate implementation artifact.</x:v>
      </x:c>
      <x:c r="W8" s="123" t="str">
        <x:v>https://wwwcdn.imo.org/localresources/en/KnowledgeCentre/IndexofIMOResolutions/MSCResolutions/MSC.385%2894%29.pdf</x:v>
      </x:c>
      <x:c r="X8" s="123" t="str">
        <x:v>Ice concentration and land-origin-ice observation</x:v>
      </x:c>
      <x:c r="Y8" s="123" t="str">
        <x:v>Use a strict upper bound of 1/10 and prohibit land-origin ice.</x:v>
      </x:c>
    </x:row>
    <x:row r="9" ht="100" customHeight="1">
      <x:c r="A9" s="108" t="str">
        <x:v>IMO-008</x:v>
      </x:c>
      <x:c r="B9" s="108" t="str">
        <x:v>International Code for Ships Operating in Polar Waters (Polar Code)</x:v>
      </x:c>
      <x:c r="C9" s="108" t="str">
        <x:v>Resolution MSC.385(94), adopted 21 Nov 2014; consolidated with MEPC.264(68), adopted 15 May 2015</x:v>
      </x:c>
      <x:c r="D9" s="163" t="n">
        <x:v>10</x:v>
      </x:c>
      <x:c r="E9" s="108" t="str">
        <x:v>Introduction - Definitions</x:v>
      </x:c>
      <x:c r="F9" s="108" t="str">
        <x:v>2.15</x:v>
      </x:c>
      <x:c r="G9" s="113" t="str">
        <x:v>Static</x:v>
      </x:c>
      <x:c r="H9" s="120" t="str">
        <x:v>Thin first-year ice means first-year ice of 0.3 m to 0.7 m thickness.</x:v>
      </x:c>
      <x:c r="I9" s="121" t="str">
        <x:v>IF ice_type = 'thin first-year ice', THEN 0.3 &lt;= ice_thickness_m &lt;= 0.7.</x:v>
      </x:c>
      <x:c r="J9" s="122" t="str">
        <x:v>ice_type, ice_thickness_m</x:v>
      </x:c>
      <x:c r="K9" s="122" t="str">
        <x:v>No direct AnchorMap term found; propose code-safe alias: ice_type, ice_thickness_m</x:v>
      </x:c>
      <x:c r="L9" s="124" t="str">
        <x:v>High</x:v>
      </x:c>
      <x:c r="M9" s="122" t="str">
        <x:v>Numeric range constraint</x:v>
      </x:c>
      <x:c r="N9" s="108" t="str">
        <x:v>Direct verification of a stated property, document, presence condition, enumeration, applicability rule, prohibition, or fixed limit.</x:v>
      </x:c>
      <x:c r="O9" s="113" t="str">
        <x:v>No</x:v>
      </x:c>
      <x:c r="P9" s="113" t="str">
        <x:v>Included - source reverified and locked</x:v>
      </x:c>
      <x:c r="Q9" s="108" t="str">
        <x:v>LOCK-2026-08-10: No source, page, clause, category, or normalized-meaning correction was required. Source wording was checked against the supplied PDF; equation notation is ASCII-linearized.</x:v>
      </x:c>
      <x:c r="R9" s="108" t="str">
        <x:v>LOCK-2026-08-11-R2 | source_pdf=MSC.385(94).pdf | source_sha256=6c6a038bff68ee906dd97c41e95fb4442917c014c8e79228f15e80cc5afa5c1f | physical_pdf_page=10 | section=Introduction - Definitions | clause=2.15 | checks=independent_full_text_page_layout; numbers_units_operators_equations; normalized_rule_meaning; five_category_classification | status=LOCKED</x:v>
      </x:c>
      <x:c r="S9" s="108" t="str">
        <x:v>New IMO source; not derived from the thesis extraction.</x:v>
      </x:c>
      <x:c r="T9" s="108" t="str">
        <x:v>PASS - source/page/clause/meaning/category reverified</x:v>
      </x:c>
      <x:c r="U9" s="108" t="str">
        <x:v>LOCKED - extraction reverified</x:v>
      </x:c>
      <x:c r="V9" s="123" t="str">
        <x:v>Second-pass extraction lock covers source identity, physical PDF page span, section/clause, ASCII transcription, normalized meaning, and verification category. SHACL shapes remain a separate implementation artifact.</x:v>
      </x:c>
      <x:c r="W9" s="123" t="str">
        <x:v>https://wwwcdn.imo.org/localresources/en/KnowledgeCentre/IndexofIMOResolutions/MSCResolutions/MSC.385%2894%29.pdf</x:v>
      </x:c>
      <x:c r="X9" s="123" t="str">
        <x:v>Ice type and measured thickness</x:v>
      </x:c>
      <x:c r="Y9" s="123" t="str">
        <x:v>Apply inclusive minimum and maximum thickness constraints.</x:v>
      </x:c>
    </x:row>
    <x:row r="10" ht="100" customHeight="1">
      <x:c r="A10" s="108" t="str">
        <x:v>IMO-009</x:v>
      </x:c>
      <x:c r="B10" s="108" t="str">
        <x:v>International Code for Ships Operating in Polar Waters (Polar Code)</x:v>
      </x:c>
      <x:c r="C10" s="108" t="str">
        <x:v>Resolution MSC.385(94), adopted 21 Nov 2014; consolidated with MEPC.264(68), adopted 15 May 2015</x:v>
      </x:c>
      <x:c r="D10" s="163" t="n">
        <x:v>13</x:v>
      </x:c>
      <x:c r="E10" s="108" t="str">
        <x:v>Part I-A Chapter 1 - Definitions</x:v>
      </x:c>
      <x:c r="F10" s="108" t="str">
        <x:v>1.2.1</x:v>
      </x:c>
      <x:c r="G10" s="113" t="str">
        <x:v>Static</x:v>
      </x:c>
      <x:c r="H10" s="120" t="str">
        <x:v>Bergy waters mean an area of freely navigable water in which ice of land origin is present in concentrations less than 1/10. There may be sea ice present, although the total concentration of all ice shall not exceed 1/10.</x:v>
      </x:c>
      <x:c r="I10" s="121" t="str">
        <x:v>IF ice_condition = 'bergy waters', THEN land_origin_ice_concentration_tenths &lt; 1 AND total_ice_concentration_tenths &lt;= 1.</x:v>
      </x:c>
      <x:c r="J10" s="122" t="str">
        <x:v>ice_condition, land_origin_ice_concentration_tenths, total_ice_concentration_tenths</x:v>
      </x:c>
      <x:c r="K10" s="122" t="str">
        <x:v>No direct AnchorMap term found; propose code-safe alias: ice_condition, land_origin_ice_concentration_tenths, total_ice_concentration_tenths</x:v>
      </x:c>
      <x:c r="L10" s="124" t="str">
        <x:v>High</x:v>
      </x:c>
      <x:c r="M10" s="122" t="str">
        <x:v>Composite numeric constraint</x:v>
      </x:c>
      <x:c r="N10" s="108" t="str">
        <x:v>Direct verification of a stated property, document, presence condition, enumeration, applicability rule, prohibition, or fixed limit.</x:v>
      </x:c>
      <x:c r="O10" s="113" t="str">
        <x:v>No</x:v>
      </x:c>
      <x:c r="P10" s="113" t="str">
        <x:v>Included - source reverified and locked</x:v>
      </x:c>
      <x:c r="Q10" s="108" t="str">
        <x:v>LOCK-2026-08-10: No source, page, clause, category, or normalized-meaning correction was required. Source wording was checked against the supplied PDF; equation notation is ASCII-linearized.</x:v>
      </x:c>
      <x:c r="R10" s="108" t="str">
        <x:v>LOCK-2026-08-11-R2 | source_pdf=MSC.385(94).pdf | source_sha256=6c6a038bff68ee906dd97c41e95fb4442917c014c8e79228f15e80cc5afa5c1f | physical_pdf_page=13 | section=Part I-A Chapter 1 - Definitions | clause=1.2.1 | checks=independent_full_text_page_layout; numbers_units_operators_equations; normalized_rule_meaning; five_category_classification | status=LOCKED</x:v>
      </x:c>
      <x:c r="S10" s="108" t="str">
        <x:v>New IMO source; not derived from the thesis extraction.</x:v>
      </x:c>
      <x:c r="T10" s="108" t="str">
        <x:v>PASS - source/page/clause/meaning/category reverified</x:v>
      </x:c>
      <x:c r="U10" s="108" t="str">
        <x:v>LOCKED - extraction reverified</x:v>
      </x:c>
      <x:c r="V10" s="123" t="str">
        <x:v>Second-pass extraction lock covers source identity, physical PDF page span, section/clause, ASCII transcription, normalized meaning, and verification category. SHACL shapes remain a separate implementation artifact.</x:v>
      </x:c>
      <x:c r="W10" s="123" t="str">
        <x:v>https://wwwcdn.imo.org/localresources/en/KnowledgeCentre/IndexofIMOResolutions/MSCResolutions/MSC.385%2894%29.pdf</x:v>
      </x:c>
      <x:c r="X10" s="123" t="str">
        <x:v>Land-origin and total ice concentrations</x:v>
      </x:c>
      <x:c r="Y10" s="123" t="str">
        <x:v>Use a strict bound for land-origin ice and an inclusive bound for total ice.</x:v>
      </x:c>
    </x:row>
    <x:row r="11" ht="100" customHeight="1">
      <x:c r="A11" s="108" t="str">
        <x:v>IMO-010</x:v>
      </x:c>
      <x:c r="B11" s="108" t="str">
        <x:v>International Code for Ships Operating in Polar Waters (Polar Code)</x:v>
      </x:c>
      <x:c r="C11" s="108" t="str">
        <x:v>Resolution MSC.385(94), adopted 21 Nov 2014; consolidated with MEPC.264(68), adopted 15 May 2015</x:v>
      </x:c>
      <x:c r="D11" s="163" t="n">
        <x:v>13</x:v>
      </x:c>
      <x:c r="E11" s="108" t="str">
        <x:v>Part I-A Chapter 1 - Definitions</x:v>
      </x:c>
      <x:c r="F11" s="108" t="str">
        <x:v>1.2.7</x:v>
      </x:c>
      <x:c r="G11" s="113" t="str">
        <x:v>Static</x:v>
      </x:c>
      <x:c r="H11" s="120" t="str">
        <x:v>Maximum expected time of rescue means the time adopted for the design of equipment and system that provide survival support. It shall never be less than 5 days.</x:v>
      </x:c>
      <x:c r="I11" s="121" t="str">
        <x:v>maximum_expected_rescue_time_days &gt;= 5.</x:v>
      </x:c>
      <x:c r="J11" s="122" t="str">
        <x:v>maximum_expected_rescue_time_days</x:v>
      </x:c>
      <x:c r="K11" s="122" t="str">
        <x:v>No direct AnchorMap term found; propose code-safe alias: maximum_expected_rescue_time_days</x:v>
      </x:c>
      <x:c r="L11" s="124" t="str">
        <x:v>High</x:v>
      </x:c>
      <x:c r="M11" s="122" t="str">
        <x:v>Minimum numeric constraint</x:v>
      </x:c>
      <x:c r="N11" s="108" t="str">
        <x:v>Direct verification of a stated property, document, presence condition, enumeration, applicability rule, prohibition, or fixed limit.</x:v>
      </x:c>
      <x:c r="O11" s="113" t="str">
        <x:v>No</x:v>
      </x:c>
      <x:c r="P11" s="113" t="str">
        <x:v>Included - source reverified and locked</x:v>
      </x:c>
      <x:c r="Q11" s="108" t="str">
        <x:v>LOCK-2026-08-10: No source, page, clause, category, or normalized-meaning correction was required. Source wording was checked against the supplied PDF; equation notation is ASCII-linearized.</x:v>
      </x:c>
      <x:c r="R11" s="108" t="str">
        <x:v>LOCK-2026-08-11-R2 | source_pdf=MSC.385(94).pdf | source_sha256=6c6a038bff68ee906dd97c41e95fb4442917c014c8e79228f15e80cc5afa5c1f | physical_pdf_page=13 | section=Part I-A Chapter 1 - Definitions | clause=1.2.7 | checks=independent_full_text_page_layout; numbers_units_operators_equations; normalized_rule_meaning; five_category_classification | status=LOCKED</x:v>
      </x:c>
      <x:c r="S11" s="108" t="str">
        <x:v>New IMO source; not derived from the thesis extraction.</x:v>
      </x:c>
      <x:c r="T11" s="108" t="str">
        <x:v>PASS - source/page/clause/meaning/category reverified</x:v>
      </x:c>
      <x:c r="U11" s="108" t="str">
        <x:v>LOCKED - extraction reverified</x:v>
      </x:c>
      <x:c r="V11" s="123" t="str">
        <x:v>Second-pass extraction lock covers source identity, physical PDF page span, section/clause, ASCII transcription, normalized meaning, and verification category. SHACL shapes remain a separate implementation artifact.</x:v>
      </x:c>
      <x:c r="W11" s="123" t="str">
        <x:v>https://wwwcdn.imo.org/localresources/en/KnowledgeCentre/IndexofIMOResolutions/MSCResolutions/MSC.385%2894%29.pdf</x:v>
      </x:c>
      <x:c r="X11" s="123" t="str">
        <x:v>Adopted maximum expected rescue time</x:v>
      </x:c>
      <x:c r="Y11" s="123" t="str">
        <x:v>Use an inclusive minimum value of five days.</x:v>
      </x:c>
    </x:row>
    <x:row r="12" ht="100" customHeight="1">
      <x:c r="A12" s="108" t="str">
        <x:v>IMO-011</x:v>
      </x:c>
      <x:c r="B12" s="108" t="str">
        <x:v>International Code for Ships Operating in Polar Waters (Polar Code)</x:v>
      </x:c>
      <x:c r="C12" s="108" t="str">
        <x:v>Resolution MSC.385(94), adopted 21 Nov 2014; consolidated with MEPC.264(68), adopted 15 May 2015</x:v>
      </x:c>
      <x:c r="D12" s="163" t="n">
        <x:v>13</x:v>
      </x:c>
      <x:c r="E12" s="108" t="str">
        <x:v>Part I-A Chapter 1 - Definitions</x:v>
      </x:c>
      <x:c r="F12" s="108" t="str">
        <x:v>1.2.9</x:v>
      </x:c>
      <x:c r="G12" s="113" t="str">
        <x:v>Static Calculation</x:v>
      </x:c>
      <x:c r="H12" s="120" t="str">
        <x:v>Mean Daily Low Temperature (MDLT) means the mean value of the daily low temperature for each day of the year over a minimum 10 year period. A data set acceptable to the Administration may be used if 10 years of data is not available.</x:v>
      </x:c>
      <x:c r="I12" s="121" t="str">
        <x:v>MDLT_degC shall be calculated from daily low temperatures over data_period_years &gt;= 10; if data_period_years &lt; 10, administration_dataset_approval_status shall be valid.</x:v>
      </x:c>
      <x:c r="J12" s="122" t="str">
        <x:v>MDLT_degC, daily_low_temperature_degC, data_period_years, administration_dataset_approval_status</x:v>
      </x:c>
      <x:c r="K12" s="122" t="str">
        <x:v>testTemperature_degC -&gt; mat:testTemperature_degC; No direct AnchorMap term found; propose code-safe alias: MDLT_degC, data_period_years, administration_dataset_approval_status</x:v>
      </x:c>
      <x:c r="L12" s="124" t="str">
        <x:v>High</x:v>
      </x:c>
      <x:c r="M12" s="122" t="str">
        <x:v>Conditional calculation and approval constraint</x:v>
      </x:c>
      <x:c r="N12" s="108" t="str">
        <x:v>Deterministic calculation from static design inputs followed by a numeric or logical comparison.</x:v>
      </x:c>
      <x:c r="O12" s="113" t="str">
        <x:v>No</x:v>
      </x:c>
      <x:c r="P12" s="113" t="str">
        <x:v>Included - source reverified and locked</x:v>
      </x:c>
      <x:c r="Q12" s="108" t="str">
        <x:v>LOCK-2026-08-10: No source, page, clause, category, or normalized-meaning correction was required. Source wording was checked against the supplied PDF; equation notation is ASCII-linearized.</x:v>
      </x:c>
      <x:c r="R12" s="108" t="str">
        <x:v>LOCK-2026-08-11-R2 | source_pdf=MSC.385(94).pdf | source_sha256=6c6a038bff68ee906dd97c41e95fb4442917c014c8e79228f15e80cc5afa5c1f | physical_pdf_page=13 | section=Part I-A Chapter 1 - Definitions | clause=1.2.9 | checks=independent_full_text_page_layout; numbers_units_operators_equations; normalized_rule_meaning; five_category_classification | status=LOCKED</x:v>
      </x:c>
      <x:c r="S12" s="108" t="str">
        <x:v>New IMO source; not derived from the thesis extraction.</x:v>
      </x:c>
      <x:c r="T12" s="108" t="str">
        <x:v>PASS - source/page/clause/meaning/category reverified</x:v>
      </x:c>
      <x:c r="U12" s="108" t="str">
        <x:v>LOCKED - extraction reverified</x:v>
      </x:c>
      <x:c r="V12" s="123" t="str">
        <x:v>Second-pass extraction lock covers source identity, physical PDF page span, section/clause, ASCII transcription, normalized meaning, and verification category. SHACL shapes remain a separate implementation artifact.</x:v>
      </x:c>
      <x:c r="W12" s="123" t="str">
        <x:v>https://wwwcdn.imo.org/localresources/en/KnowledgeCentre/IndexofIMOResolutions/MSCResolutions/MSC.385%2894%29.pdf</x:v>
      </x:c>
      <x:c r="X12" s="123" t="str">
        <x:v>Daily low-temperature dataset, coverage period, and approval evidence when applicable</x:v>
      </x:c>
      <x:c r="Y12" s="123" t="str">
        <x:v>Calculate the mean and conditionally require approval when the dataset covers fewer than ten years.</x:v>
      </x:c>
    </x:row>
    <x:row r="13" ht="100" customHeight="1">
      <x:c r="A13" s="108" t="str">
        <x:v>IMO-012</x:v>
      </x:c>
      <x:c r="B13" s="108" t="str">
        <x:v>International Code for Ships Operating in Polar Waters (Polar Code)</x:v>
      </x:c>
      <x:c r="C13" s="108" t="str">
        <x:v>Resolution MSC.385(94), adopted 21 Nov 2014; consolidated with MEPC.264(68), adopted 15 May 2015</x:v>
      </x:c>
      <x:c r="D13" s="163" t="n">
        <x:v>14</x:v>
      </x:c>
      <x:c r="E13" s="108" t="str">
        <x:v>Part I-A Chapter 1 - Definitions</x:v>
      </x:c>
      <x:c r="F13" s="108" t="str">
        <x:v>1.2.11</x:v>
      </x:c>
      <x:c r="G13" s="113" t="str">
        <x:v>Static Calculation</x:v>
      </x:c>
      <x:c r="H13" s="120" t="str">
        <x:v>Polar Service Temperature (PST) means a temperature specified for a ship which is intended to operate in low air temperature, which shall be set at least 10 deg C below the lowest MDLT for the intended area and season of operation in polar waters.</x:v>
      </x:c>
      <x:c r="I13" s="121" t="str">
        <x:v>PST_degC &lt;= lowest_MDLT_degC - 10.</x:v>
      </x:c>
      <x:c r="J13" s="122" t="str">
        <x:v>PST_degC, lowest_MDLT_degC</x:v>
      </x:c>
      <x:c r="K13" s="122" t="str">
        <x:v>testTemperature_degC -&gt; mat:testTemperature_degC; No direct AnchorMap term found; propose code-safe alias: PST_degC, lowest_MDLT_degC</x:v>
      </x:c>
      <x:c r="L13" s="124" t="str">
        <x:v>High</x:v>
      </x:c>
      <x:c r="M13" s="122" t="str">
        <x:v>Formula-derived maximum constraint</x:v>
      </x:c>
      <x:c r="N13" s="108" t="str">
        <x:v>Deterministic calculation from static design inputs followed by a numeric or logical comparison.</x:v>
      </x:c>
      <x:c r="O13" s="113" t="str">
        <x:v>No</x:v>
      </x:c>
      <x:c r="P13" s="113" t="str">
        <x:v>Included - source reverified and locked</x:v>
      </x:c>
      <x:c r="Q13" s="108" t="str">
        <x:v>LOCK-2026-08-10: No source, page, clause, category, or normalized-meaning correction was required. Source wording was checked against the supplied PDF; equation notation is ASCII-linearized.</x:v>
      </x:c>
      <x:c r="R13" s="108" t="str">
        <x:v>LOCK-2026-08-11-R2 | source_pdf=MSC.385(94).pdf | source_sha256=6c6a038bff68ee906dd97c41e95fb4442917c014c8e79228f15e80cc5afa5c1f | physical_pdf_page=14 | section=Part I-A Chapter 1 - Definitions | clause=1.2.11 | checks=independent_full_text_page_layout; numbers_units_operators_equations; normalized_rule_meaning; five_category_classification | status=LOCKED</x:v>
      </x:c>
      <x:c r="S13" s="108" t="str">
        <x:v>New IMO source; not derived from the thesis extraction.</x:v>
      </x:c>
      <x:c r="T13" s="108" t="str">
        <x:v>PASS - source/page/clause/meaning/category reverified</x:v>
      </x:c>
      <x:c r="U13" s="108" t="str">
        <x:v>LOCKED - extraction reverified</x:v>
      </x:c>
      <x:c r="V13" s="123" t="str">
        <x:v>Second-pass extraction lock covers source identity, physical PDF page span, section/clause, ASCII transcription, normalized meaning, and verification category. SHACL shapes remain a separate implementation artifact.</x:v>
      </x:c>
      <x:c r="W13" s="123" t="str">
        <x:v>https://wwwcdn.imo.org/localresources/en/KnowledgeCentre/IndexofIMOResolutions/MSCResolutions/MSC.385%2894%29.pdf</x:v>
      </x:c>
      <x:c r="X13" s="123" t="str">
        <x:v>Specified PST and lowest MDLT for the intended area and season</x:v>
      </x:c>
      <x:c r="Y13" s="123" t="str">
        <x:v>Use a less-than-or-equal constraint because lower temperatures are more conservative.</x:v>
      </x:c>
    </x:row>
    <x:row r="14" ht="100" customHeight="1">
      <x:c r="A14" s="108" t="str">
        <x:v>IMO-013</x:v>
      </x:c>
      <x:c r="B14" s="108" t="str">
        <x:v>International Code for Ships Operating in Polar Waters (Polar Code)</x:v>
      </x:c>
      <x:c r="C14" s="108" t="str">
        <x:v>Resolution MSC.385(94), adopted 21 Nov 2014; consolidated with MEPC.264(68), adopted 15 May 2015</x:v>
      </x:c>
      <x:c r="D14" s="163" t="n">
        <x:v>14</x:v>
      </x:c>
      <x:c r="E14" s="108" t="str">
        <x:v>Part I-A Chapter 1 - Definitions</x:v>
      </x:c>
      <x:c r="F14" s="108" t="str">
        <x:v>1.2.12</x:v>
      </x:c>
      <x:c r="G14" s="113" t="str">
        <x:v>Static</x:v>
      </x:c>
      <x:c r="H14" s="120" t="str">
        <x:v>Ship intended to operate in low air temperature means a ship which is intended to undertake voyages to or through areas where the lowest Mean Daily Low Temperature (MDLT) is below -10 deg C.</x:v>
      </x:c>
      <x:c r="I14" s="121" t="str">
        <x:v>ship_operates_in_low_air_temperature = true IF lowest_MDLT_degC &lt; -10.</x:v>
      </x:c>
      <x:c r="J14" s="122" t="str">
        <x:v>ship_operates_in_low_air_temperature, lowest_MDLT_degC</x:v>
      </x:c>
      <x:c r="K14" s="122" t="str">
        <x:v>testTemperature_degC -&gt; mat:testTemperature_degC; No direct AnchorMap term found; propose code-safe alias: ship_operates_in_low_air_temperature, lowest_MDLT_degC</x:v>
      </x:c>
      <x:c r="L14" s="124" t="str">
        <x:v>High</x:v>
      </x:c>
      <x:c r="M14" s="122" t="str">
        <x:v>Conditional Boolean classification</x:v>
      </x:c>
      <x:c r="N14" s="108" t="str">
        <x:v>Direct verification of a stated property, document, presence condition, enumeration, applicability rule, prohibition, or fixed limit.</x:v>
      </x:c>
      <x:c r="O14" s="113" t="str">
        <x:v>No</x:v>
      </x:c>
      <x:c r="P14" s="113" t="str">
        <x:v>Included - source reverified and locked</x:v>
      </x:c>
      <x:c r="Q14" s="108" t="str">
        <x:v>LOCK-2026-08-10: No source, page, clause, category, or normalized-meaning correction was required. Source wording was checked against the supplied PDF; equation notation is ASCII-linearized.</x:v>
      </x:c>
      <x:c r="R14" s="108" t="str">
        <x:v>LOCK-2026-08-11-R2 | source_pdf=MSC.385(94).pdf | source_sha256=6c6a038bff68ee906dd97c41e95fb4442917c014c8e79228f15e80cc5afa5c1f | physical_pdf_page=14 | section=Part I-A Chapter 1 - Definitions | clause=1.2.12 | checks=independent_full_text_page_layout; numbers_units_operators_equations; normalized_rule_meaning; five_category_classification | status=LOCKED</x:v>
      </x:c>
      <x:c r="S14" s="108" t="str">
        <x:v>New IMO source; not derived from the thesis extraction.</x:v>
      </x:c>
      <x:c r="T14" s="108" t="str">
        <x:v>PASS - source/page/clause/meaning/category reverified</x:v>
      </x:c>
      <x:c r="U14" s="108" t="str">
        <x:v>LOCKED - extraction reverified</x:v>
      </x:c>
      <x:c r="V14" s="123" t="str">
        <x:v>Second-pass extraction lock covers source identity, physical PDF page span, section/clause, ASCII transcription, normalized meaning, and verification category. SHACL shapes remain a separate implementation artifact.</x:v>
      </x:c>
      <x:c r="W14" s="123" t="str">
        <x:v>https://wwwcdn.imo.org/localresources/en/KnowledgeCentre/IndexofIMOResolutions/MSCResolutions/MSC.385%2894%29.pdf</x:v>
      </x:c>
      <x:c r="X14" s="123" t="str">
        <x:v>Lowest MDLT and declared operating-temperature class</x:v>
      </x:c>
      <x:c r="Y14" s="123" t="str">
        <x:v>Use a strict threshold below -10 deg C.</x:v>
      </x:c>
    </x:row>
    <x:row r="15" ht="100" customHeight="1">
      <x:c r="A15" s="108" t="str">
        <x:v>IMO-014</x:v>
      </x:c>
      <x:c r="B15" s="108" t="str">
        <x:v>International Code for Ships Operating in Polar Waters (Polar Code)</x:v>
      </x:c>
      <x:c r="C15" s="108" t="str">
        <x:v>Resolution MSC.385(94), adopted 21 Nov 2014; consolidated with MEPC.264(68), adopted 15 May 2015</x:v>
      </x:c>
      <x:c r="D15" s="163" t="n">
        <x:v>14</x:v>
      </x:c>
      <x:c r="E15" s="108" t="str">
        <x:v>Part I-A Chapter 1 - Certificate and survey</x:v>
      </x:c>
      <x:c r="F15" s="108" t="str">
        <x:v>1.3.1</x:v>
      </x:c>
      <x:c r="G15" s="113" t="str">
        <x:v>Static</x:v>
      </x:c>
      <x:c r="H15" s="120" t="str">
        <x:v>Every ship to which this Code applies shall have on board a valid Polar Ship Certificate.</x:v>
      </x:c>
      <x:c r="I15" s="121" t="str">
        <x:v>IF polar_code_applies = true, THEN polar_ship_certificate_present = true AND polar_ship_certificate_status = valid.</x:v>
      </x:c>
      <x:c r="J15" s="122" t="str">
        <x:v>polar_code_applies, polar_ship_certificate_present, polar_ship_certificate_status</x:v>
      </x:c>
      <x:c r="K15" s="122" t="str">
        <x:v>No direct AnchorMap term found; propose code-safe alias: polar_code_applies, polar_ship_certificate_present, polar_ship_certificate_status</x:v>
      </x:c>
      <x:c r="L15" s="124" t="str">
        <x:v>High</x:v>
      </x:c>
      <x:c r="M15" s="122" t="str">
        <x:v>Conditional document presence and status constraint</x:v>
      </x:c>
      <x:c r="N15" s="108" t="str">
        <x:v>Direct verification of a stated property, document, presence condition, enumeration, applicability rule, prohibition, or fixed limit.</x:v>
      </x:c>
      <x:c r="O15" s="113" t="str">
        <x:v>No</x:v>
      </x:c>
      <x:c r="P15" s="113" t="str">
        <x:v>Included - source reverified and locked</x:v>
      </x:c>
      <x:c r="Q15" s="108" t="str">
        <x:v>LOCK-2026-08-10: No source, page, clause, category, or normalized-meaning correction was required. Source wording was checked against the supplied PDF; equation notation is ASCII-linearized.</x:v>
      </x:c>
      <x:c r="R15" s="108" t="str">
        <x:v>LOCK-2026-08-11-R2 | source_pdf=MSC.385(94).pdf | source_sha256=6c6a038bff68ee906dd97c41e95fb4442917c014c8e79228f15e80cc5afa5c1f | physical_pdf_page=14 | section=Part I-A Chapter 1 - Certificate and survey | clause=1.3.1 | checks=independent_full_text_page_layout; numbers_units_operators_equations; normalized_rule_meaning; five_category_classification | status=LOCKED</x:v>
      </x:c>
      <x:c r="S15" s="108" t="str">
        <x:v>New IMO source; not derived from the thesis extraction.</x:v>
      </x:c>
      <x:c r="T15" s="108" t="str">
        <x:v>PASS - source/page/clause/meaning/category reverified</x:v>
      </x:c>
      <x:c r="U15" s="108" t="str">
        <x:v>LOCKED - extraction reverified</x:v>
      </x:c>
      <x:c r="V15" s="123" t="str">
        <x:v>Second-pass extraction lock covers source identity, physical PDF page span, section/clause, ASCII transcription, normalized meaning, and verification category. SHACL shapes remain a separate implementation artifact.</x:v>
      </x:c>
      <x:c r="W15" s="123" t="str">
        <x:v>https://wwwcdn.imo.org/localresources/en/KnowledgeCentre/IndexofIMOResolutions/MSCResolutions/MSC.385%2894%29.pdf</x:v>
      </x:c>
      <x:c r="X15" s="123" t="str">
        <x:v>Applicability assessment and Polar Ship Certificate metadata</x:v>
      </x:c>
      <x:c r="Y15" s="123" t="str">
        <x:v>Require both presence on board and a valid status.</x:v>
      </x:c>
    </x:row>
    <x:row r="16" ht="100" customHeight="1">
      <x:c r="A16" s="108" t="str">
        <x:v>IMO-015</x:v>
      </x:c>
      <x:c r="B16" s="108" t="str">
        <x:v>International Code for Ships Operating in Polar Waters (Polar Code)</x:v>
      </x:c>
      <x:c r="C16" s="108" t="str">
        <x:v>Resolution MSC.385(94), adopted 21 Nov 2014; consolidated with MEPC.264(68), adopted 15 May 2015</x:v>
      </x:c>
      <x:c r="D16" s="163" t="n">
        <x:v>14</x:v>
      </x:c>
      <x:c r="E16" s="108" t="str">
        <x:v>Part I-A Chapter 1 - Certificate and survey</x:v>
      </x:c>
      <x:c r="F16" s="108" t="str">
        <x:v>1.3.2</x:v>
      </x:c>
      <x:c r="G16" s="113" t="str">
        <x:v>Physical Test</x:v>
      </x:c>
      <x:c r="H16" s="120" t="str">
        <x:v>Except as provided for in paragraph 1.3.3, the Polar Ship Certificate shall be issued after an initial or renewal survey to a ship which complies with the relevant requirements of this Code.</x:v>
      </x:c>
      <x:c r="I16" s="121" t="str">
        <x:v>Except where clause 1.3.3 applies, certificate_issued = true ONLY IF qualifying_survey_type is initial or renewal AND survey_compliance_status = passed.</x:v>
      </x:c>
      <x:c r="J16" s="122" t="str">
        <x:v>certificate_issued, qualifying_survey_type, survey_compliance_status, clause_1_3_3_exception</x:v>
      </x:c>
      <x:c r="K16" s="122" t="str">
        <x:v>No direct AnchorMap term found; propose code-safe alias: certificate_issued, qualifying_survey_type, survey_compliance_status, clause_1_3_3_exception</x:v>
      </x:c>
      <x:c r="L16" s="124" t="str">
        <x:v>Medium</x:v>
      </x:c>
      <x:c r="M16" s="122" t="str">
        <x:v>Survey-evidence and conditional status constraint</x:v>
      </x:c>
      <x:c r="N16" s="108" t="str">
        <x:v>Compliance is established mainly through survey, inspection, material testing, operability testing, or other physical evidence.</x:v>
      </x:c>
      <x:c r="O16" s="113" t="str">
        <x:v>No</x:v>
      </x:c>
      <x:c r="P16" s="113" t="str">
        <x:v>Included - source reverified and locked</x:v>
      </x:c>
      <x:c r="Q16" s="108" t="str">
        <x:v>LOCK-2026-08-10: No source, page, clause, category, or normalized-meaning correction was required. Source wording was checked against the supplied PDF; equation notation is ASCII-linearized.</x:v>
      </x:c>
      <x:c r="R16" s="108" t="str">
        <x:v>LOCK-2026-08-11-R2 | source_pdf=MSC.385(94).pdf | source_sha256=6c6a038bff68ee906dd97c41e95fb4442917c014c8e79228f15e80cc5afa5c1f | physical_pdf_page=14 | section=Part I-A Chapter 1 - Certificate and survey | clause=1.3.2 | checks=independent_full_text_page_layout; numbers_units_operators_equations; normalized_rule_meaning; five_category_classification | status=LOCKED</x:v>
      </x:c>
      <x:c r="S16" s="108" t="str">
        <x:v>New IMO source; not derived from the thesis extraction.</x:v>
      </x:c>
      <x:c r="T16" s="108" t="str">
        <x:v>PASS - source/page/clause/meaning/category reverified</x:v>
      </x:c>
      <x:c r="U16" s="108" t="str">
        <x:v>LOCKED - extraction reverified</x:v>
      </x:c>
      <x:c r="V16" s="123" t="str">
        <x:v>Second-pass extraction lock covers source identity, physical PDF page span, section/clause, ASCII transcription, normalized meaning, and verification category. SHACL shapes remain a separate implementation artifact.</x:v>
      </x:c>
      <x:c r="W16" s="123" t="str">
        <x:v>https://wwwcdn.imo.org/localresources/en/KnowledgeCentre/IndexofIMOResolutions/MSCResolutions/MSC.385%2894%29.pdf</x:v>
      </x:c>
      <x:c r="X16" s="123" t="str">
        <x:v>Survey report, survey type, compliance result, and exception flag</x:v>
      </x:c>
      <x:c r="Y16" s="123" t="str">
        <x:v>Link the certificate to the survey evidence and enforce the permitted survey types.</x:v>
      </x:c>
    </x:row>
    <x:row r="17" ht="100" customHeight="1">
      <x:c r="A17" s="108" t="str">
        <x:v>IMO-016</x:v>
      </x:c>
      <x:c r="B17" s="108" t="str">
        <x:v>International Code for Ships Operating in Polar Waters (Polar Code)</x:v>
      </x:c>
      <x:c r="C17" s="108" t="str">
        <x:v>Resolution MSC.385(94), adopted 21 Nov 2014; consolidated with MEPC.264(68), adopted 15 May 2015</x:v>
      </x:c>
      <x:c r="D17" s="163" t="n">
        <x:v>14</x:v>
      </x:c>
      <x:c r="E17" s="108" t="str">
        <x:v>Part I-A Chapter 1 - Certificate and survey</x:v>
      </x:c>
      <x:c r="F17" s="108" t="str">
        <x:v>1.3.5</x:v>
      </x:c>
      <x:c r="G17" s="113" t="str">
        <x:v>Static</x:v>
      </x:c>
      <x:c r="H17" s="120" t="str">
        <x:v>The Polar Ship Certificate shall be drawn up in a form corresponding to the model given in appendix I to this Code. If the language used is neither English, nor French or Spanish, the text shall include a translation into one of these languages.</x:v>
      </x:c>
      <x:c r="I17" s="121" t="str">
        <x:v>polar_ship_certificate_form = 'Appendix I model'; IF certificate_language NOT IN {'English','French','Spanish'}, THEN approved_translation_present = true.</x:v>
      </x:c>
      <x:c r="J17" s="122" t="str">
        <x:v>polar_ship_certificate_form, certificate_language, approved_translation_present</x:v>
      </x:c>
      <x:c r="K17" s="122" t="str">
        <x:v>No direct AnchorMap term found; propose code-safe alias: polar_ship_certificate_form, certificate_language, approved_translation_present</x:v>
      </x:c>
      <x:c r="L17" s="124" t="str">
        <x:v>High</x:v>
      </x:c>
      <x:c r="M17" s="122" t="str">
        <x:v>Document template and conditional language constraint</x:v>
      </x:c>
      <x:c r="N17" s="108" t="str">
        <x:v>Direct verification of a stated property, document, presence condition, enumeration, applicability rule, prohibition, or fixed limit.</x:v>
      </x:c>
      <x:c r="O17" s="113" t="str">
        <x:v>No</x:v>
      </x:c>
      <x:c r="P17" s="113" t="str">
        <x:v>Included - source reverified and locked</x:v>
      </x:c>
      <x:c r="Q17" s="108" t="str">
        <x:v>LOCK-2026-08-10: No source, page, clause, category, or normalized-meaning correction was required. Source wording was checked against the supplied PDF; equation notation is ASCII-linearized.</x:v>
      </x:c>
      <x:c r="R17" s="108" t="str">
        <x:v>LOCK-2026-08-11-R2 | source_pdf=MSC.385(94).pdf | source_sha256=6c6a038bff68ee906dd97c41e95fb4442917c014c8e79228f15e80cc5afa5c1f | physical_pdf_page=14 | section=Part I-A Chapter 1 - Certificate and survey | clause=1.3.5 | checks=independent_full_text_page_layout; numbers_units_operators_equations; normalized_rule_meaning; five_category_classification | status=LOCKED</x:v>
      </x:c>
      <x:c r="S17" s="108" t="str">
        <x:v>New IMO source; not derived from the thesis extraction.</x:v>
      </x:c>
      <x:c r="T17" s="108" t="str">
        <x:v>PASS - source/page/clause/meaning/category reverified</x:v>
      </x:c>
      <x:c r="U17" s="108" t="str">
        <x:v>LOCKED - extraction reverified</x:v>
      </x:c>
      <x:c r="V17" s="123" t="str">
        <x:v>Second-pass extraction lock covers source identity, physical PDF page span, section/clause, ASCII transcription, normalized meaning, and verification category. SHACL shapes remain a separate implementation artifact.</x:v>
      </x:c>
      <x:c r="W17" s="123" t="str">
        <x:v>https://wwwcdn.imo.org/localresources/en/KnowledgeCentre/IndexofIMOResolutions/MSCResolutions/MSC.385%2894%29.pdf</x:v>
      </x:c>
      <x:c r="X17" s="123" t="str">
        <x:v>Certificate form identifier, language, and translation artifact</x:v>
      </x:c>
      <x:c r="Y17" s="123" t="str">
        <x:v>Use an enumeration for certificate language and a conditional minimum-count constraint for translation.</x:v>
      </x:c>
    </x:row>
    <x:row r="18" ht="100" customHeight="1">
      <x:c r="A18" s="108" t="str">
        <x:v>IMO-017</x:v>
      </x:c>
      <x:c r="B18" s="108" t="str">
        <x:v>International Code for Ships Operating in Polar Waters (Polar Code)</x:v>
      </x:c>
      <x:c r="C18" s="108" t="str">
        <x:v>Resolution MSC.385(94), adopted 21 Nov 2014; consolidated with MEPC.264(68), adopted 15 May 2015</x:v>
      </x:c>
      <x:c r="D18" s="163" t="n">
        <x:v>14</x:v>
      </x:c>
      <x:c r="E18" s="108" t="str">
        <x:v>Part I-A Chapter 1 - Certificate and survey</x:v>
      </x:c>
      <x:c r="F18" s="108" t="str">
        <x:v>1.3.6</x:v>
      </x:c>
      <x:c r="G18" s="113" t="str">
        <x:v>Static</x:v>
      </x:c>
      <x:c r="H18" s="120" t="str">
        <x:v>Polar Ship Certificate validity, survey dates and endorsements shall be harmonized with the relevant SOLAS certificates in accordance with the provisions of SOLAS regulation I/14. The certificate shall include a supplement, recording equipment required by the Code.</x:v>
      </x:c>
      <x:c r="I18" s="121" t="str">
        <x:v>The Polar Ship Certificate validity dates, survey dates, and endorsements shall match the applicable SOLAS certificate schedule, and polar_certificate_supplement_present shall be true with required equipment records.</x:v>
      </x:c>
      <x:c r="J18" s="122" t="str">
        <x:v>polar_certificate_validity_dates, survey_dates, endorsement_dates, solas_certificate_schedule, polar_certificate_supplement_present, required_equipment_records</x:v>
      </x:c>
      <x:c r="K18" s="122" t="str">
        <x:v>No direct AnchorMap term found; propose code-safe alias: polar_certificate_validity_dates, survey_dates, endorsement_dates, solas_certificate_schedule, polar_certificate_supplement_present, required_equipment_records</x:v>
      </x:c>
      <x:c r="L18" s="124" t="str">
        <x:v>Medium</x:v>
      </x:c>
      <x:c r="M18" s="122" t="str">
        <x:v>Cross-document consistency and presence constraint</x:v>
      </x:c>
      <x:c r="N18" s="108" t="str">
        <x:v>Direct verification of a stated property, document, presence condition, enumeration, applicability rule, prohibition, or fixed limit.</x:v>
      </x:c>
      <x:c r="O18" s="113" t="str">
        <x:v>No</x:v>
      </x:c>
      <x:c r="P18" s="113" t="str">
        <x:v>Included - source reverified and locked</x:v>
      </x:c>
      <x:c r="Q18" s="108" t="str">
        <x:v>LOCK-2026-08-10: No source, page, clause, category, or normalized-meaning correction was required. Source wording was checked against the supplied PDF; equation notation is ASCII-linearized.</x:v>
      </x:c>
      <x:c r="R18" s="108" t="str">
        <x:v>LOCK-2026-08-11-R2 | source_pdf=MSC.385(94).pdf | source_sha256=6c6a038bff68ee906dd97c41e95fb4442917c014c8e79228f15e80cc5afa5c1f | physical_pdf_page=14 | section=Part I-A Chapter 1 - Certificate and survey | clause=1.3.6 | checks=independent_full_text_page_layout; numbers_units_operators_equations; normalized_rule_meaning; five_category_classification | status=LOCKED</x:v>
      </x:c>
      <x:c r="S18" s="108" t="str">
        <x:v>New IMO source; not derived from the thesis extraction.</x:v>
      </x:c>
      <x:c r="T18" s="108" t="str">
        <x:v>PASS - source/page/clause/meaning/category reverified</x:v>
      </x:c>
      <x:c r="U18" s="108" t="str">
        <x:v>LOCKED - extraction reverified</x:v>
      </x:c>
      <x:c r="V18" s="123" t="str">
        <x:v>Second-pass extraction lock covers source identity, physical PDF page span, section/clause, ASCII transcription, normalized meaning, and verification category. SHACL shapes remain a separate implementation artifact.</x:v>
      </x:c>
      <x:c r="W18" s="123" t="str">
        <x:v>https://wwwcdn.imo.org/localresources/en/KnowledgeCentre/IndexofIMOResolutions/MSCResolutions/MSC.385%2894%29.pdf</x:v>
      </x:c>
      <x:c r="X18" s="123" t="str">
        <x:v>Polar and SOLAS certificate dates, endorsements, and equipment supplement</x:v>
      </x:c>
      <x:c r="Y18" s="123" t="str">
        <x:v>Use SPARQL to compare certificate dates and require the equipment supplement.</x:v>
      </x:c>
    </x:row>
    <x:row r="19" ht="100" customHeight="1">
      <x:c r="A19" s="108" t="str">
        <x:v>IMO-018</x:v>
      </x:c>
      <x:c r="B19" s="108" t="str">
        <x:v>International Code for Ships Operating in Polar Waters (Polar Code)</x:v>
      </x:c>
      <x:c r="C19" s="108" t="str">
        <x:v>Resolution MSC.385(94), adopted 21 Nov 2014; consolidated with MEPC.264(68), adopted 15 May 2015</x:v>
      </x:c>
      <x:c r="D19" s="163" t="n">
        <x:v>14</x:v>
      </x:c>
      <x:c r="E19" s="108" t="str">
        <x:v>Part I-A Chapter 1 - Certificate and survey</x:v>
      </x:c>
      <x:c r="F19" s="108" t="str">
        <x:v>1.3.7</x:v>
      </x:c>
      <x:c r="G19" s="113" t="str">
        <x:v>Complex</x:v>
      </x:c>
      <x:c r="H19" s="120" t="str">
        <x:v>Where applicable, the certificate shall reference a methodology to assess operational capabilities and limitations in ice to the satisfaction of the Administration, taking into account the guidelines developed by the Organization.</x:v>
      </x:c>
      <x:c r="I19" s="121" t="str">
        <x:v>IF ice_capability_methodology_applicable = true, THEN certificate_methodology_reference_present = true AND administration_acceptance_status = approved.</x:v>
      </x:c>
      <x:c r="J19" s="122" t="str">
        <x:v>ice_capability_methodology_applicable, certificate_methodology_reference_present, administration_acceptance_status</x:v>
      </x:c>
      <x:c r="K19" s="122" t="str">
        <x:v>No direct AnchorMap term found; propose code-safe alias: ice_capability_methodology_applicable, certificate_methodology_reference_present, administration_acceptance_status</x:v>
      </x:c>
      <x:c r="L19" s="124" t="str">
        <x:v>Medium</x:v>
      </x:c>
      <x:c r="M19" s="122" t="str">
        <x:v>Conditional reference and approval-evidence constraint</x:v>
      </x:c>
      <x:c r="N19" s="108" t="str">
        <x:v>Verification requires linked conditions, external approval or evidence, an assessment, or a composite workflow.</x:v>
      </x:c>
      <x:c r="O19" s="113" t="str">
        <x:v>No</x:v>
      </x:c>
      <x:c r="P19" s="113" t="str">
        <x:v>Included - source reverified and locked</x:v>
      </x:c>
      <x:c r="Q19" s="108" t="str">
        <x:v>LOCK-2026-08-10: Classified the Administration-accepted methodology as an approval/evidence workflow. Final source lock check completed against the supplied PDF; equation notation is ASCII-linearized.</x:v>
      </x:c>
      <x:c r="R19" s="108" t="str">
        <x:v>LOCK-2026-08-11-R2 | source_pdf=MSC.385(94).pdf | source_sha256=6c6a038bff68ee906dd97c41e95fb4442917c014c8e79228f15e80cc5afa5c1f | physical_pdf_page=14 | section=Part I-A Chapter 1 - Certificate and survey | clause=1.3.7 | checks=independent_full_text_page_layout; numbers_units_operators_equations; normalized_rule_meaning; five_category_classification | status=LOCKED</x:v>
      </x:c>
      <x:c r="S19" s="108" t="str">
        <x:v>New IMO source; not derived from the thesis extraction.</x:v>
      </x:c>
      <x:c r="T19" s="108" t="str">
        <x:v>PASS - source/page/clause/meaning/category reverified</x:v>
      </x:c>
      <x:c r="U19" s="108" t="str">
        <x:v>LOCKED - extraction reverified</x:v>
      </x:c>
      <x:c r="V19" s="123" t="str">
        <x:v>Second-pass extraction lock covers source identity, physical PDF page span, section/clause, ASCII transcription, normalized meaning, and verification category. SHACL shapes remain a separate implementation artifact.</x:v>
      </x:c>
      <x:c r="W19" s="123" t="str">
        <x:v>https://wwwcdn.imo.org/localresources/en/KnowledgeCentre/IndexofIMOResolutions/MSCResolutions/MSC.385%2894%29.pdf</x:v>
      </x:c>
      <x:c r="X19" s="123" t="str">
        <x:v>Certificate, methodology reference, applicability decision, and approval status</x:v>
      </x:c>
      <x:c r="Y19" s="123" t="str">
        <x:v>Model administrative satisfaction as explicit approval evidence.</x:v>
      </x:c>
    </x:row>
    <x:row r="20" ht="100" customHeight="1">
      <x:c r="A20" s="108" t="str">
        <x:v>IMO-019</x:v>
      </x:c>
      <x:c r="B20" s="108" t="str">
        <x:v>International Code for Ships Operating in Polar Waters (Polar Code)</x:v>
      </x:c>
      <x:c r="C20" s="108" t="str">
        <x:v>Resolution MSC.385(94), adopted 21 Nov 2014; consolidated with MEPC.264(68), adopted 15 May 2015</x:v>
      </x:c>
      <x:c r="D20" s="163" t="n">
        <x:v>15</x:v>
      </x:c>
      <x:c r="E20" s="108" t="str">
        <x:v>Part I-A Chapter 1 - Performance standards</x:v>
      </x:c>
      <x:c r="F20" s="108" t="str">
        <x:v>1.4.2</x:v>
      </x:c>
      <x:c r="G20" s="113" t="str">
        <x:v>Static Calculation</x:v>
      </x:c>
      <x:c r="H20" s="120" t="str">
        <x:v>For ships operating in low air temperature, a Polar Service Temperature (PST) shall be specified and shall be at least 10 deg C below the lowest MDLT for the intended area and season of operation in polar waters. Systems and equipment required by this Code shall be fully functional at the PST.</x:v>
      </x:c>
      <x:c r="I20" s="121" t="str">
        <x:v>IF ship_operates_in_low_air_temperature = true, THEN PST_degC shall be specified, PST_degC &lt;= lowest_MDLT_degC - 10, and required_systems_functional_at_PST = true.</x:v>
      </x:c>
      <x:c r="J20" s="122" t="str">
        <x:v>ship_operates_in_low_air_temperature, PST_degC, lowest_MDLT_degC, required_systems_functional_at_PST</x:v>
      </x:c>
      <x:c r="K20" s="122" t="str">
        <x:v>testTemperature_degC -&gt; mat:testTemperature_degC; No direct AnchorMap term found; propose code-safe alias: PST_degC, lowest_MDLT_degC, required_systems_functional_at_PST</x:v>
      </x:c>
      <x:c r="L20" s="124" t="str">
        <x:v>High</x:v>
      </x:c>
      <x:c r="M20" s="122" t="str">
        <x:v>Conditional formula and status constraint</x:v>
      </x:c>
      <x:c r="N20" s="108" t="str">
        <x:v>Deterministic calculation from static design inputs followed by a numeric or logical comparison.</x:v>
      </x:c>
      <x:c r="O20" s="113" t="str">
        <x:v>No</x:v>
      </x:c>
      <x:c r="P20" s="113" t="str">
        <x:v>Included - source reverified and locked</x:v>
      </x:c>
      <x:c r="Q20" s="108" t="str">
        <x:v>LOCK-2026-08-10: No source, page, clause, category, or normalized-meaning correction was required. Source wording was checked against the supplied PDF; equation notation is ASCII-linearized.</x:v>
      </x:c>
      <x:c r="R20" s="108" t="str">
        <x:v>LOCK-2026-08-11-R2 | source_pdf=MSC.385(94).pdf | source_sha256=6c6a038bff68ee906dd97c41e95fb4442917c014c8e79228f15e80cc5afa5c1f | physical_pdf_page=15 | section=Part I-A Chapter 1 - Performance standards | clause=1.4.2 | checks=independent_full_text_page_layout; numbers_units_operators_equations; normalized_rule_meaning; five_category_classification | status=LOCKED</x:v>
      </x:c>
      <x:c r="S20" s="108" t="str">
        <x:v>New IMO source; not derived from the thesis extraction.</x:v>
      </x:c>
      <x:c r="T20" s="108" t="str">
        <x:v>PASS - source/page/clause/meaning/category reverified</x:v>
      </x:c>
      <x:c r="U20" s="108" t="str">
        <x:v>LOCKED - extraction reverified</x:v>
      </x:c>
      <x:c r="V20" s="123" t="str">
        <x:v>Second-pass extraction lock covers source identity, physical PDF page span, section/clause, ASCII transcription, normalized meaning, and verification category. SHACL shapes remain a separate implementation artifact.</x:v>
      </x:c>
      <x:c r="W20" s="123" t="str">
        <x:v>https://wwwcdn.imo.org/localresources/en/KnowledgeCentre/IndexofIMOResolutions/MSCResolutions/MSC.385%2894%29.pdf</x:v>
      </x:c>
      <x:c r="X20" s="123" t="str">
        <x:v>PST, lowest MDLT, equipment inventory, and functional-verification status</x:v>
      </x:c>
      <x:c r="Y20" s="123" t="str">
        <x:v>Combine the deterministic temperature relation with a required functionality status.</x:v>
      </x:c>
    </x:row>
    <x:row r="21" ht="100" customHeight="1">
      <x:c r="A21" s="108" t="str">
        <x:v>IMO-020</x:v>
      </x:c>
      <x:c r="B21" s="108" t="str">
        <x:v>International Code for Ships Operating in Polar Waters (Polar Code)</x:v>
      </x:c>
      <x:c r="C21" s="108" t="str">
        <x:v>Resolution MSC.385(94), adopted 21 Nov 2014; consolidated with MEPC.264(68), adopted 15 May 2015</x:v>
      </x:c>
      <x:c r="D21" s="163" t="n">
        <x:v>15</x:v>
      </x:c>
      <x:c r="E21" s="108" t="str">
        <x:v>Part I-A Chapter 1 - Performance standards</x:v>
      </x:c>
      <x:c r="F21" s="108" t="str">
        <x:v>1.4.3</x:v>
      </x:c>
      <x:c r="G21" s="113" t="str">
        <x:v>Physical Test</x:v>
      </x:c>
      <x:c r="H21" s="120" t="str">
        <x:v>For ships operating in low air temperature, survival systems and equipment shall be fully operational at the PST during the maximum expected rescue time.</x:v>
      </x:c>
      <x:c r="I21" s="121" t="str">
        <x:v>IF ship_operates_in_low_air_temperature = true, THEN survival_system_test_temperature_degC &lt;= PST_degC AND demonstrated_operating_duration_days &gt;= maximum_expected_rescue_time_days AND survival_system_test_status = passed.</x:v>
      </x:c>
      <x:c r="J21" s="122" t="str">
        <x:v>ship_operates_in_low_air_temperature, survival_system_test_temperature_degC, PST_degC, demonstrated_operating_duration_days, maximum_expected_rescue_time_days, survival_system_test_status</x:v>
      </x:c>
      <x:c r="K21" s="122" t="str">
        <x:v>testTemperature_degC -&gt; mat:testTemperature_degC; No direct AnchorMap term found; propose code-safe alias: demonstrated_operating_duration_days, maximum_expected_rescue_time_days, survival_system_test_status</x:v>
      </x:c>
      <x:c r="L21" s="124" t="str">
        <x:v>Medium</x:v>
      </x:c>
      <x:c r="M21" s="122" t="str">
        <x:v>Environmental test-evidence constraint</x:v>
      </x:c>
      <x:c r="N21" s="108" t="str">
        <x:v>Compliance is established mainly through survey, inspection, material testing, operability testing, or other physical evidence.</x:v>
      </x:c>
      <x:c r="O21" s="113" t="str">
        <x:v>No</x:v>
      </x:c>
      <x:c r="P21" s="113" t="str">
        <x:v>Included - source reverified and locked</x:v>
      </x:c>
      <x:c r="Q21" s="108" t="str">
        <x:v>LOCK-2026-08-10: No source, page, clause, category, or normalized-meaning correction was required. Source wording was checked against the supplied PDF; equation notation is ASCII-linearized.</x:v>
      </x:c>
      <x:c r="R21" s="108" t="str">
        <x:v>LOCK-2026-08-11-R2 | source_pdf=MSC.385(94).pdf | source_sha256=6c6a038bff68ee906dd97c41e95fb4442917c014c8e79228f15e80cc5afa5c1f | physical_pdf_page=15 | section=Part I-A Chapter 1 - Performance standards | clause=1.4.3 | checks=independent_full_text_page_layout; numbers_units_operators_equations; normalized_rule_meaning; five_category_classification | status=LOCKED</x:v>
      </x:c>
      <x:c r="S21" s="108" t="str">
        <x:v>New IMO source; not derived from the thesis extraction.</x:v>
      </x:c>
      <x:c r="T21" s="108" t="str">
        <x:v>PASS - source/page/clause/meaning/category reverified</x:v>
      </x:c>
      <x:c r="U21" s="108" t="str">
        <x:v>LOCKED - extraction reverified</x:v>
      </x:c>
      <x:c r="V21" s="123" t="str">
        <x:v>Second-pass extraction lock covers source identity, physical PDF page span, section/clause, ASCII transcription, normalized meaning, and verification category. SHACL shapes remain a separate implementation artifact.</x:v>
      </x:c>
      <x:c r="W21" s="123" t="str">
        <x:v>https://wwwcdn.imo.org/localresources/en/KnowledgeCentre/IndexofIMOResolutions/MSCResolutions/MSC.385%2894%29.pdf</x:v>
      </x:c>
      <x:c r="X21" s="123" t="str">
        <x:v>Survival-system test report, temperature, duration, and result</x:v>
      </x:c>
      <x:c r="Y21" s="123" t="str">
        <x:v>Represent full operation at PST for the required duration through linked test evidence.</x:v>
      </x:c>
    </x:row>
    <x:row r="22" ht="100" customHeight="1">
      <x:c r="A22" s="108" t="str">
        <x:v>IMO-021</x:v>
      </x:c>
      <x:c r="B22" s="108" t="str">
        <x:v>International Code for Ships Operating in Polar Waters (Polar Code)</x:v>
      </x:c>
      <x:c r="C22" s="108" t="str">
        <x:v>Resolution MSC.385(94), adopted 21 Nov 2014; consolidated with MEPC.264(68), adopted 15 May 2015</x:v>
      </x:c>
      <x:c r="D22" s="163" t="n">
        <x:v>15</x:v>
      </x:c>
      <x:c r="E22" s="108" t="str">
        <x:v>Part I-A Chapter 1 - Operational assessment</x:v>
      </x:c>
      <x:c r="F22" s="108" t="str">
        <x:v>1.5</x:v>
      </x:c>
      <x:c r="G22" s="113" t="str">
        <x:v>Complex</x:v>
      </x:c>
      <x:c r="H22" s="120" t="str">
        <x:v>In order to establish procedures or operational limitations, an assessment of the ship and its equipment shall be carried out, taking into consideration the following: the anticipated range of operating and environmental conditions, such as operation in low air temperature, operation in ice, operation in high latitude, and potential for abandonment onto ice or land; hazards, as listed in section 3 of the Introduction, as applicable; and additional hazards, if identified.</x:v>
      </x:c>
      <x:c r="I22" s="121" t="str">
        <x:v>An operational assessment shall exist and cover low-air-temperature operation, ice operation, high-latitude operation, abandonment onto ice or land, applicable Introduction section 3 hazards, and any identified additional hazards.</x:v>
      </x:c>
      <x:c r="J22" s="122" t="str">
        <x:v>operational_assessment_present, assessed_low_air_temperature, assessed_ice_operation, assessed_high_latitude, assessed_abandonment, assessed_code_hazards, assessed_additional_hazards</x:v>
      </x:c>
      <x:c r="K22" s="122" t="str">
        <x:v>No direct AnchorMap term found; propose code-safe alias: operational_assessment_present and assessment coverage flags</x:v>
      </x:c>
      <x:c r="L22" s="124" t="str">
        <x:v>Medium</x:v>
      </x:c>
      <x:c r="M22" s="122" t="str">
        <x:v>Composite assessment-coverage constraint</x:v>
      </x:c>
      <x:c r="N22" s="108" t="str">
        <x:v>Verification requires linked conditions, external approval or evidence, an assessment, or a composite workflow.</x:v>
      </x:c>
      <x:c r="O22" s="113" t="str">
        <x:v>No</x:v>
      </x:c>
      <x:c r="P22" s="113" t="str">
        <x:v>Included - source reverified and locked</x:v>
      </x:c>
      <x:c r="Q22" s="108" t="str">
        <x:v>LOCK-2026-08-10: No source, page, clause, category, or normalized-meaning correction was required. Source wording was checked against the supplied PDF; equation notation is ASCII-linearized.</x:v>
      </x:c>
      <x:c r="R22" s="108" t="str">
        <x:v>LOCK-2026-08-11-R2 | source_pdf=MSC.385(94).pdf | source_sha256=6c6a038bff68ee906dd97c41e95fb4442917c014c8e79228f15e80cc5afa5c1f | physical_pdf_page=15 | section=Part I-A Chapter 1 - Operational assessment | clause=1.5 | checks=independent_full_text_page_layout; numbers_units_operators_equations; normalized_rule_meaning; five_category_classification | status=LOCKED</x:v>
      </x:c>
      <x:c r="S22" s="108" t="str">
        <x:v>New IMO source; not derived from the thesis extraction.</x:v>
      </x:c>
      <x:c r="T22" s="108" t="str">
        <x:v>PASS - source/page/clause/meaning/category reverified</x:v>
      </x:c>
      <x:c r="U22" s="108" t="str">
        <x:v>LOCKED - extraction reverified</x:v>
      </x:c>
      <x:c r="V22" s="123" t="str">
        <x:v>Second-pass extraction lock covers source identity, physical PDF page span, section/clause, ASCII transcription, normalized meaning, and verification category. SHACL shapes remain a separate implementation artifact.</x:v>
      </x:c>
      <x:c r="W22" s="123" t="str">
        <x:v>https://wwwcdn.imo.org/localresources/en/KnowledgeCentre/IndexofIMOResolutions/MSCResolutions/MSC.385%2894%29.pdf</x:v>
      </x:c>
      <x:c r="X22" s="123" t="str">
        <x:v>Operational assessment and hazard-coverage checklist</x:v>
      </x:c>
      <x:c r="Y22" s="123" t="str">
        <x:v>Model the assessment as an evidence node with mandatory coverage properties.</x:v>
      </x:c>
    </x:row>
    <x:row r="23" ht="100" customHeight="1">
      <x:c r="A23" s="108" t="str">
        <x:v>IMO-022</x:v>
      </x:c>
      <x:c r="B23" s="108" t="str">
        <x:v>International Code for Ships Operating in Polar Waters (Polar Code)</x:v>
      </x:c>
      <x:c r="C23" s="108" t="str">
        <x:v>Resolution MSC.385(94), adopted 21 Nov 2014; consolidated with MEPC.264(68), adopted 15 May 2015</x:v>
      </x:c>
      <x:c r="D23" s="163" t="n">
        <x:v>15</x:v>
      </x:c>
      <x:c r="E23" s="108" t="str">
        <x:v>Part I-A Chapter 2 - PWOM functional requirements</x:v>
      </x:c>
      <x:c r="F23" s="108" t="str">
        <x:v>2.2.2</x:v>
      </x:c>
      <x:c r="G23" s="113" t="str">
        <x:v>Static</x:v>
      </x:c>
      <x:c r="H23" s="120" t="str">
        <x:v>The Manual shall include information on the ship-specific capabilities and limitations in relation to the assessment required under paragraph 1.5.</x:v>
      </x:c>
      <x:c r="I23" s="121" t="str">
        <x:v>PWOM shall include ship-specific capabilities and limitations linked to the clause 1.5 operational assessment.</x:v>
      </x:c>
      <x:c r="J23" s="122" t="str">
        <x:v>PWOM_present, capabilities_section_present, limitations_section_present, operational_assessment_reference</x:v>
      </x:c>
      <x:c r="K23" s="122" t="str">
        <x:v>No direct AnchorMap term found; propose code-safe alias: PWOM_present, capabilities_section_present, limitations_section_present, operational_assessment_reference</x:v>
      </x:c>
      <x:c r="L23" s="124" t="str">
        <x:v>High</x:v>
      </x:c>
      <x:c r="M23" s="122" t="str">
        <x:v>Document section and reference constraint</x:v>
      </x:c>
      <x:c r="N23" s="108" t="str">
        <x:v>Direct verification of a stated property, document, presence condition, enumeration, applicability rule, prohibition, or fixed limit.</x:v>
      </x:c>
      <x:c r="O23" s="113" t="str">
        <x:v>No</x:v>
      </x:c>
      <x:c r="P23" s="113" t="str">
        <x:v>Included - source reverified and locked</x:v>
      </x:c>
      <x:c r="Q23" s="108" t="str">
        <x:v>LOCK-2026-08-10: No source, page, clause, category, or normalized-meaning correction was required. Source wording was checked against the supplied PDF; equation notation is ASCII-linearized.</x:v>
      </x:c>
      <x:c r="R23" s="108" t="str">
        <x:v>LOCK-2026-08-11-R2 | source_pdf=MSC.385(94).pdf | source_sha256=6c6a038bff68ee906dd97c41e95fb4442917c014c8e79228f15e80cc5afa5c1f | physical_pdf_page=15 | section=Part I-A Chapter 2 - PWOM functional requirements | clause=2.2.2 | checks=independent_full_text_page_layout; numbers_units_operators_equations; normalized_rule_meaning; five_category_classification | status=LOCKED</x:v>
      </x:c>
      <x:c r="S23" s="108" t="str">
        <x:v>New IMO source; not derived from the thesis extraction.</x:v>
      </x:c>
      <x:c r="T23" s="108" t="str">
        <x:v>PASS - source/page/clause/meaning/category reverified</x:v>
      </x:c>
      <x:c r="U23" s="108" t="str">
        <x:v>LOCKED - extraction reverified</x:v>
      </x:c>
      <x:c r="V23" s="123" t="str">
        <x:v>Second-pass extraction lock covers source identity, physical PDF page span, section/clause, ASCII transcription, normalized meaning, and verification category. SHACL shapes remain a separate implementation artifact.</x:v>
      </x:c>
      <x:c r="W23" s="123" t="str">
        <x:v>https://wwwcdn.imo.org/localresources/en/KnowledgeCentre/IndexofIMOResolutions/MSCResolutions/MSC.385%2894%29.pdf</x:v>
      </x:c>
      <x:c r="X23" s="123" t="str">
        <x:v>PWOM and operational-assessment reference</x:v>
      </x:c>
      <x:c r="Y23" s="123" t="str">
        <x:v>Require the capability and limitation sections and a link to the assessment.</x:v>
      </x:c>
    </x:row>
    <x:row r="24" ht="100" customHeight="1">
      <x:c r="A24" s="108" t="str">
        <x:v>IMO-023</x:v>
      </x:c>
      <x:c r="B24" s="108" t="str">
        <x:v>International Code for Ships Operating in Polar Waters (Polar Code)</x:v>
      </x:c>
      <x:c r="C24" s="108" t="str">
        <x:v>Resolution MSC.385(94), adopted 21 Nov 2014; consolidated with MEPC.264(68), adopted 15 May 2015</x:v>
      </x:c>
      <x:c r="D24" s="163" t="n">
        <x:v>15</x:v>
      </x:c>
      <x:c r="E24" s="108" t="str">
        <x:v>Part I-A Chapter 2 - PWOM functional requirements</x:v>
      </x:c>
      <x:c r="F24" s="108" t="str">
        <x:v>2.2.3</x:v>
      </x:c>
      <x:c r="G24" s="113" t="str">
        <x:v>Static</x:v>
      </x:c>
      <x:c r="H24" s="120" t="str">
        <x:v>The Manual shall include or refer to specific procedures to be followed in normal operations and in order to avoid encountering conditions that exceed the ship's capabilities.</x:v>
      </x:c>
      <x:c r="I24" s="121" t="str">
        <x:v>PWOM shall include or reference procedures for normal operations and avoidance of conditions exceeding ship capabilities.</x:v>
      </x:c>
      <x:c r="J24" s="122" t="str">
        <x:v>normal_operation_procedure_present, capability_exceedance_avoidance_procedure_present</x:v>
      </x:c>
      <x:c r="K24" s="122" t="str">
        <x:v>No direct AnchorMap term found; propose code-safe alias: normal_operation_procedure_present, capability_exceedance_avoidance_procedure_present</x:v>
      </x:c>
      <x:c r="L24" s="124" t="str">
        <x:v>High</x:v>
      </x:c>
      <x:c r="M24" s="122" t="str">
        <x:v>Document procedure presence constraint</x:v>
      </x:c>
      <x:c r="N24" s="108" t="str">
        <x:v>Direct verification of a stated property, document, presence condition, enumeration, applicability rule, prohibition, or fixed limit.</x:v>
      </x:c>
      <x:c r="O24" s="113" t="str">
        <x:v>No</x:v>
      </x:c>
      <x:c r="P24" s="113" t="str">
        <x:v>Included - source reverified and locked</x:v>
      </x:c>
      <x:c r="Q24" s="108" t="str">
        <x:v>LOCK-2026-08-10: No source, page, clause, category, or normalized-meaning correction was required. Source wording was checked against the supplied PDF; equation notation is ASCII-linearized.</x:v>
      </x:c>
      <x:c r="R24" s="108" t="str">
        <x:v>LOCK-2026-08-11-R2 | source_pdf=MSC.385(94).pdf | source_sha256=6c6a038bff68ee906dd97c41e95fb4442917c014c8e79228f15e80cc5afa5c1f | physical_pdf_page=15 | section=Part I-A Chapter 2 - PWOM functional requirements | clause=2.2.3 | checks=independent_full_text_page_layout; numbers_units_operators_equations; normalized_rule_meaning; five_category_classification | status=LOCKED</x:v>
      </x:c>
      <x:c r="S24" s="108" t="str">
        <x:v>New IMO source; not derived from the thesis extraction.</x:v>
      </x:c>
      <x:c r="T24" s="108" t="str">
        <x:v>PASS - source/page/clause/meaning/category reverified</x:v>
      </x:c>
      <x:c r="U24" s="108" t="str">
        <x:v>LOCKED - extraction reverified</x:v>
      </x:c>
      <x:c r="V24" s="123" t="str">
        <x:v>Second-pass extraction lock covers source identity, physical PDF page span, section/clause, ASCII transcription, normalized meaning, and verification category. SHACL shapes remain a separate implementation artifact.</x:v>
      </x:c>
      <x:c r="W24" s="123" t="str">
        <x:v>https://wwwcdn.imo.org/localresources/en/KnowledgeCentre/IndexofIMOResolutions/MSCResolutions/MSC.385%2894%29.pdf</x:v>
      </x:c>
      <x:c r="X24" s="123" t="str">
        <x:v>PWOM procedure identifiers or referenced procedure artifacts</x:v>
      </x:c>
      <x:c r="Y24" s="123" t="str">
        <x:v>Use minimum-count constraints for both procedure types.</x:v>
      </x:c>
    </x:row>
    <x:row r="25" ht="100" customHeight="1">
      <x:c r="A25" s="108" t="str">
        <x:v>IMO-024</x:v>
      </x:c>
      <x:c r="B25" s="108" t="str">
        <x:v>International Code for Ships Operating in Polar Waters (Polar Code)</x:v>
      </x:c>
      <x:c r="C25" s="108" t="str">
        <x:v>Resolution MSC.385(94), adopted 21 Nov 2014; consolidated with MEPC.264(68), adopted 15 May 2015</x:v>
      </x:c>
      <x:c r="D25" s="163" t="n">
        <x:v>15</x:v>
      </x:c>
      <x:c r="E25" s="108" t="str">
        <x:v>Part I-A Chapter 2 - PWOM functional requirements</x:v>
      </x:c>
      <x:c r="F25" s="108" t="str">
        <x:v>2.2.4</x:v>
      </x:c>
      <x:c r="G25" s="113" t="str">
        <x:v>Static</x:v>
      </x:c>
      <x:c r="H25" s="120" t="str">
        <x:v>The Manual shall include or refer to specific procedures to be followed in the event of incidents in polar waters.</x:v>
      </x:c>
      <x:c r="I25" s="121" t="str">
        <x:v>PWOM shall include or reference polar-water incident procedures.</x:v>
      </x:c>
      <x:c r="J25" s="122" t="str">
        <x:v>polar_incident_procedure_present</x:v>
      </x:c>
      <x:c r="K25" s="122" t="str">
        <x:v>No direct AnchorMap term found; propose code-safe alias: polar_incident_procedure_present</x:v>
      </x:c>
      <x:c r="L25" s="124" t="str">
        <x:v>High</x:v>
      </x:c>
      <x:c r="M25" s="122" t="str">
        <x:v>Document procedure presence constraint</x:v>
      </x:c>
      <x:c r="N25" s="108" t="str">
        <x:v>Direct verification of a stated property, document, presence condition, enumeration, applicability rule, prohibition, or fixed limit.</x:v>
      </x:c>
      <x:c r="O25" s="113" t="str">
        <x:v>No</x:v>
      </x:c>
      <x:c r="P25" s="113" t="str">
        <x:v>Included - source reverified and locked</x:v>
      </x:c>
      <x:c r="Q25" s="108" t="str">
        <x:v>LOCK-2026-08-10: No source, page, clause, category, or normalized-meaning correction was required. Source wording was checked against the supplied PDF; equation notation is ASCII-linearized.</x:v>
      </x:c>
      <x:c r="R25" s="108" t="str">
        <x:v>LOCK-2026-08-11-R2 | source_pdf=MSC.385(94).pdf | source_sha256=6c6a038bff68ee906dd97c41e95fb4442917c014c8e79228f15e80cc5afa5c1f | physical_pdf_page=15 | section=Part I-A Chapter 2 - PWOM functional requirements | clause=2.2.4 | checks=independent_full_text_page_layout; numbers_units_operators_equations; normalized_rule_meaning; five_category_classification | status=LOCKED</x:v>
      </x:c>
      <x:c r="S25" s="108" t="str">
        <x:v>New IMO source; not derived from the thesis extraction.</x:v>
      </x:c>
      <x:c r="T25" s="108" t="str">
        <x:v>PASS - source/page/clause/meaning/category reverified</x:v>
      </x:c>
      <x:c r="U25" s="108" t="str">
        <x:v>LOCKED - extraction reverified</x:v>
      </x:c>
      <x:c r="V25" s="123" t="str">
        <x:v>Second-pass extraction lock covers source identity, physical PDF page span, section/clause, ASCII transcription, normalized meaning, and verification category. SHACL shapes remain a separate implementation artifact.</x:v>
      </x:c>
      <x:c r="W25" s="123" t="str">
        <x:v>https://wwwcdn.imo.org/localresources/en/KnowledgeCentre/IndexofIMOResolutions/MSCResolutions/MSC.385%2894%29.pdf</x:v>
      </x:c>
      <x:c r="X25" s="123" t="str">
        <x:v>PWOM and incident procedure artifact</x:v>
      </x:c>
      <x:c r="Y25" s="123" t="str">
        <x:v>Require at least one referenced polar-water incident procedure.</x:v>
      </x:c>
    </x:row>
    <x:row r="26" ht="100" customHeight="1">
      <x:c r="A26" s="108" t="str">
        <x:v>IMO-025</x:v>
      </x:c>
      <x:c r="B26" s="108" t="str">
        <x:v>International Code for Ships Operating in Polar Waters (Polar Code)</x:v>
      </x:c>
      <x:c r="C26" s="108" t="str">
        <x:v>Resolution MSC.385(94), adopted 21 Nov 2014; consolidated with MEPC.264(68), adopted 15 May 2015</x:v>
      </x:c>
      <x:c r="D26" s="163" t="n">
        <x:v>16</x:v>
      </x:c>
      <x:c r="E26" s="108" t="str">
        <x:v>Part I-A Chapter 2 - PWOM regulations</x:v>
      </x:c>
      <x:c r="F26" s="108" t="str">
        <x:v>2.3.1</x:v>
      </x:c>
      <x:c r="G26" s="113" t="str">
        <x:v>Static</x:v>
      </x:c>
      <x:c r="H26" s="120" t="str">
        <x:v>In order to comply with the functional requirements in section 2.2, the Manual shall be carried on board.</x:v>
      </x:c>
      <x:c r="I26" s="121" t="str">
        <x:v>PWOM_present_on_board = true.</x:v>
      </x:c>
      <x:c r="J26" s="122" t="str">
        <x:v>PWOM_present_on_board</x:v>
      </x:c>
      <x:c r="K26" s="122" t="str">
        <x:v>No direct AnchorMap term found; propose code-safe alias: PWOM_present_on_board</x:v>
      </x:c>
      <x:c r="L26" s="124" t="str">
        <x:v>High</x:v>
      </x:c>
      <x:c r="M26" s="122" t="str">
        <x:v>Document presence constraint</x:v>
      </x:c>
      <x:c r="N26" s="108" t="str">
        <x:v>Direct verification of a stated property, document, presence condition, enumeration, applicability rule, prohibition, or fixed limit.</x:v>
      </x:c>
      <x:c r="O26" s="113" t="str">
        <x:v>No</x:v>
      </x:c>
      <x:c r="P26" s="113" t="str">
        <x:v>Included - source reverified and locked</x:v>
      </x:c>
      <x:c r="Q26" s="108" t="str">
        <x:v>LOCK-2026-08-10: No source, page, clause, category, or normalized-meaning correction was required. Source wording was checked against the supplied PDF; equation notation is ASCII-linearized.</x:v>
      </x:c>
      <x:c r="R26" s="108" t="str">
        <x:v>LOCK-2026-08-11-R2 | source_pdf=MSC.385(94).pdf | source_sha256=6c6a038bff68ee906dd97c41e95fb4442917c014c8e79228f15e80cc5afa5c1f | physical_pdf_page=16 | section=Part I-A Chapter 2 - PWOM regulations | clause=2.3.1 | checks=independent_full_text_page_layout; numbers_units_operators_equations; normalized_rule_meaning; five_category_classification | status=LOCKED</x:v>
      </x:c>
      <x:c r="S26" s="108" t="str">
        <x:v>New IMO source; not derived from the thesis extraction.</x:v>
      </x:c>
      <x:c r="T26" s="108" t="str">
        <x:v>PASS - source/page/clause/meaning/category reverified</x:v>
      </x:c>
      <x:c r="U26" s="108" t="str">
        <x:v>LOCKED - extraction reverified</x:v>
      </x:c>
      <x:c r="V26" s="123" t="str">
        <x:v>Second-pass extraction lock covers source identity, physical PDF page span, section/clause, ASCII transcription, normalized meaning, and verification category. SHACL shapes remain a separate implementation artifact.</x:v>
      </x:c>
      <x:c r="W26" s="123" t="str">
        <x:v>https://wwwcdn.imo.org/localresources/en/KnowledgeCentre/IndexofIMOResolutions/MSCResolutions/MSC.385%2894%29.pdf</x:v>
      </x:c>
      <x:c r="X26" s="123" t="str">
        <x:v>On-board document inventory</x:v>
      </x:c>
      <x:c r="Y26" s="123" t="str">
        <x:v>Use a Boolean or minimum-count constraint on the ship document inventory.</x:v>
      </x:c>
    </x:row>
    <x:row r="27" ht="100" customHeight="1">
      <x:c r="A27" s="108" t="str">
        <x:v>IMO-026</x:v>
      </x:c>
      <x:c r="B27" s="108" t="str">
        <x:v>International Code for Ships Operating in Polar Waters (Polar Code)</x:v>
      </x:c>
      <x:c r="C27" s="108" t="str">
        <x:v>Resolution MSC.385(94), adopted 21 Nov 2014; consolidated with MEPC.264(68), adopted 15 May 2015</x:v>
      </x:c>
      <x:c r="D27" s="163" t="n">
        <x:v>16</x:v>
      </x:c>
      <x:c r="E27" s="108" t="str">
        <x:v>Part I-A Chapter 2 - PWOM regulations</x:v>
      </x:c>
      <x:c r="F27" s="108" t="str">
        <x:v>2.3.2</x:v>
      </x:c>
      <x:c r="G27" s="113" t="str">
        <x:v>Static</x:v>
      </x:c>
      <x:c r="H27" s="120" t="str">
        <x:v>In order to comply with the functional requirements of paragraph 2.2.2, the Manual shall contain, where applicable, the methodology used to determine capabilities and limitations in ice.</x:v>
      </x:c>
      <x:c r="I27" s="121" t="str">
        <x:v>IF ice_capability_methodology_applicable = true, THEN PWOM_ice_capability_methodology_present = true.</x:v>
      </x:c>
      <x:c r="J27" s="122" t="str">
        <x:v>ice_capability_methodology_applicable, PWOM_ice_capability_methodology_present</x:v>
      </x:c>
      <x:c r="K27" s="122" t="str">
        <x:v>No direct AnchorMap term found; propose code-safe alias: ice_capability_methodology_applicable, PWOM_ice_capability_methodology_present</x:v>
      </x:c>
      <x:c r="L27" s="124" t="str">
        <x:v>High</x:v>
      </x:c>
      <x:c r="M27" s="122" t="str">
        <x:v>Conditional document-section constraint</x:v>
      </x:c>
      <x:c r="N27" s="108" t="str">
        <x:v>Direct verification of a stated property, document, presence condition, enumeration, applicability rule, prohibition, or fixed limit.</x:v>
      </x:c>
      <x:c r="O27" s="113" t="str">
        <x:v>No</x:v>
      </x:c>
      <x:c r="P27" s="113" t="str">
        <x:v>Included - source reverified and locked</x:v>
      </x:c>
      <x:c r="Q27" s="108" t="str">
        <x:v>LOCK-2026-08-10: No source, page, clause, category, or normalized-meaning correction was required. Source wording was checked against the supplied PDF; equation notation is ASCII-linearized.</x:v>
      </x:c>
      <x:c r="R27" s="108" t="str">
        <x:v>LOCK-2026-08-11-R2 | source_pdf=MSC.385(94).pdf | source_sha256=6c6a038bff68ee906dd97c41e95fb4442917c014c8e79228f15e80cc5afa5c1f | physical_pdf_page=16 | section=Part I-A Chapter 2 - PWOM regulations | clause=2.3.2 | checks=independent_full_text_page_layout; numbers_units_operators_equations; normalized_rule_meaning; five_category_classification | status=LOCKED</x:v>
      </x:c>
      <x:c r="S27" s="108" t="str">
        <x:v>New IMO source; not derived from the thesis extraction.</x:v>
      </x:c>
      <x:c r="T27" s="108" t="str">
        <x:v>PASS - source/page/clause/meaning/category reverified</x:v>
      </x:c>
      <x:c r="U27" s="108" t="str">
        <x:v>LOCKED - extraction reverified</x:v>
      </x:c>
      <x:c r="V27" s="123" t="str">
        <x:v>Second-pass extraction lock covers source identity, physical PDF page span, section/clause, ASCII transcription, normalized meaning, and verification category. SHACL shapes remain a separate implementation artifact.</x:v>
      </x:c>
      <x:c r="W27" s="123" t="str">
        <x:v>https://wwwcdn.imo.org/localresources/en/KnowledgeCentre/IndexofIMOResolutions/MSCResolutions/MSC.385%2894%29.pdf</x:v>
      </x:c>
      <x:c r="X27" s="123" t="str">
        <x:v>Applicability flag and PWOM methodology section</x:v>
      </x:c>
      <x:c r="Y27" s="123" t="str">
        <x:v>Conditionally require the methodology section.</x:v>
      </x:c>
    </x:row>
    <x:row r="28" ht="100" customHeight="1">
      <x:c r="A28" s="108" t="str">
        <x:v>IMO-027</x:v>
      </x:c>
      <x:c r="B28" s="108" t="str">
        <x:v>International Code for Ships Operating in Polar Waters (Polar Code)</x:v>
      </x:c>
      <x:c r="C28" s="108" t="str">
        <x:v>Resolution MSC.385(94), adopted 21 Nov 2014; consolidated with MEPC.264(68), adopted 15 May 2015</x:v>
      </x:c>
      <x:c r="D28" s="163" t="n">
        <x:v>16</x:v>
      </x:c>
      <x:c r="E28" s="108" t="str">
        <x:v>Part I-A Chapter 2 - PWOM regulations</x:v>
      </x:c>
      <x:c r="F28" s="108" t="str">
        <x:v>2.3.3</x:v>
      </x:c>
      <x:c r="G28" s="113" t="str">
        <x:v>Complex</x:v>
      </x:c>
      <x:c r="H28" s="120" t="str">
        <x:v>The Manual shall include risk-based procedures for the following: voyage planning to avoid ice and/or temperatures that exceed the ship's design capabilities or limitations; arrangements for receiving forecasts of the environmental conditions; means of addressing any limitations of the hydrographic, meteorological and navigational information available; operation of equipment required under other chapters of this Code; and implementation of special measures to maintain equipment and system functionality under low temperatures, topside icing and the presence of sea ice, as applicable.</x:v>
      </x:c>
      <x:c r="I28" s="121" t="str">
        <x:v>PWOM shall include risk-based procedures covering voyage-limit avoidance, environmental forecasts, information limitations, required-equipment operation, and applicable low-temperature, topside-icing, and sea-ice functionality measures.</x:v>
      </x:c>
      <x:c r="J28" s="122" t="str">
        <x:v>PWOM_risk_procedure_coverage, voyage_limit_avoidance, environmental_forecast_arrangements, information_limitation_measures, required_equipment_operation, environmental_functionality_measures</x:v>
      </x:c>
      <x:c r="K28" s="122" t="str">
        <x:v>No direct AnchorMap term found; propose code-safe alias: PWOM risk-procedure coverage flags</x:v>
      </x:c>
      <x:c r="L28" s="124" t="str">
        <x:v>Medium</x:v>
      </x:c>
      <x:c r="M28" s="122" t="str">
        <x:v>Composite procedure-coverage constraint</x:v>
      </x:c>
      <x:c r="N28" s="108" t="str">
        <x:v>Verification requires linked conditions, external approval or evidence, an assessment, or a composite workflow.</x:v>
      </x:c>
      <x:c r="O28" s="113" t="str">
        <x:v>No</x:v>
      </x:c>
      <x:c r="P28" s="113" t="str">
        <x:v>Included - source reverified and locked</x:v>
      </x:c>
      <x:c r="Q28" s="108" t="str">
        <x:v>LOCK-2026-08-10: No source, page, clause, category, or normalized-meaning correction was required. Source wording was checked against the supplied PDF; equation notation is ASCII-linearized.</x:v>
      </x:c>
      <x:c r="R28" s="108" t="str">
        <x:v>LOCK-2026-08-11-R2 | source_pdf=MSC.385(94).pdf | source_sha256=6c6a038bff68ee906dd97c41e95fb4442917c014c8e79228f15e80cc5afa5c1f | physical_pdf_page=16 | section=Part I-A Chapter 2 - PWOM regulations | clause=2.3.3 | checks=independent_full_text_page_layout; numbers_units_operators_equations; normalized_rule_meaning; five_category_classification | status=LOCKED</x:v>
      </x:c>
      <x:c r="S28" s="108" t="str">
        <x:v>New IMO source; not derived from the thesis extraction.</x:v>
      </x:c>
      <x:c r="T28" s="108" t="str">
        <x:v>PASS - source/page/clause/meaning/category reverified</x:v>
      </x:c>
      <x:c r="U28" s="108" t="str">
        <x:v>LOCKED - extraction reverified</x:v>
      </x:c>
      <x:c r="V28" s="123" t="str">
        <x:v>Second-pass extraction lock covers source identity, physical PDF page span, section/clause, ASCII transcription, normalized meaning, and verification category. SHACL shapes remain a separate implementation artifact.</x:v>
      </x:c>
      <x:c r="W28" s="123" t="str">
        <x:v>https://wwwcdn.imo.org/localresources/en/KnowledgeCentre/IndexofIMOResolutions/MSCResolutions/MSC.385%2894%29.pdf</x:v>
      </x:c>
      <x:c r="X28" s="123" t="str">
        <x:v>PWOM and five required procedure coverage indicators</x:v>
      </x:c>
      <x:c r="Y28" s="123" t="str">
        <x:v>Represent each listed procedure topic as a required coverage property.</x:v>
      </x:c>
    </x:row>
    <x:row r="29" ht="100" customHeight="1">
      <x:c r="A29" s="108" t="str">
        <x:v>IMO-028</x:v>
      </x:c>
      <x:c r="B29" s="108" t="str">
        <x:v>International Code for Ships Operating in Polar Waters (Polar Code)</x:v>
      </x:c>
      <x:c r="C29" s="108" t="str">
        <x:v>Resolution MSC.385(94), adopted 21 Nov 2014; consolidated with MEPC.264(68), adopted 15 May 2015</x:v>
      </x:c>
      <x:c r="D29" s="163" t="n">
        <x:v>16</x:v>
      </x:c>
      <x:c r="E29" s="108" t="str">
        <x:v>Part I-A Chapter 2 - PWOM regulations</x:v>
      </x:c>
      <x:c r="F29" s="108" t="str">
        <x:v>2.3.4</x:v>
      </x:c>
      <x:c r="G29" s="113" t="str">
        <x:v>Complex</x:v>
      </x:c>
      <x:c r="H29" s="120" t="str">
        <x:v>The Manual shall include risk-based procedures to be followed for: contacting emergency response providers for salvage, search and rescue (SAR), spill response, etc., as applicable; and, in the case of ships ice strengthened in accordance with chapter 3, procedures for maintaining life support and ship integrity in the event of prolonged entrapment by ice.</x:v>
      </x:c>
      <x:c r="I29" s="121" t="str">
        <x:v>PWOM shall include applicable emergency-provider contact procedures; IF ship_ice_strengthened = true, THEN PWOM shall also include prolonged-ice-entrapment life-support and integrity procedures.</x:v>
      </x:c>
      <x:c r="J29" s="122" t="str">
        <x:v>emergency_provider_contact_procedure_present, ship_ice_strengthened, prolonged_entrapment_procedure_present</x:v>
      </x:c>
      <x:c r="K29" s="122" t="str">
        <x:v>No direct AnchorMap term found; propose code-safe alias: emergency_provider_contact_procedure_present, prolonged_entrapment_procedure_present</x:v>
      </x:c>
      <x:c r="L29" s="124" t="str">
        <x:v>Medium</x:v>
      </x:c>
      <x:c r="M29" s="122" t="str">
        <x:v>Conditional composite procedure constraint</x:v>
      </x:c>
      <x:c r="N29" s="108" t="str">
        <x:v>Verification requires linked conditions, external approval or evidence, an assessment, or a composite workflow.</x:v>
      </x:c>
      <x:c r="O29" s="113" t="str">
        <x:v>No</x:v>
      </x:c>
      <x:c r="P29" s="113" t="str">
        <x:v>Included - source reverified and locked</x:v>
      </x:c>
      <x:c r="Q29" s="108" t="str">
        <x:v>LOCK-2026-08-10: No source, page, clause, category, or normalized-meaning correction was required. Source wording was checked against the supplied PDF; equation notation is ASCII-linearized.</x:v>
      </x:c>
      <x:c r="R29" s="108" t="str">
        <x:v>LOCK-2026-08-11-R2 | source_pdf=MSC.385(94).pdf | source_sha256=6c6a038bff68ee906dd97c41e95fb4442917c014c8e79228f15e80cc5afa5c1f | physical_pdf_page=16 | section=Part I-A Chapter 2 - PWOM regulations | clause=2.3.4 | checks=independent_full_text_page_layout; numbers_units_operators_equations; normalized_rule_meaning; five_category_classification | status=LOCKED</x:v>
      </x:c>
      <x:c r="S29" s="108" t="str">
        <x:v>New IMO source; not derived from the thesis extraction.</x:v>
      </x:c>
      <x:c r="T29" s="108" t="str">
        <x:v>PASS - source/page/clause/meaning/category reverified</x:v>
      </x:c>
      <x:c r="U29" s="108" t="str">
        <x:v>LOCKED - extraction reverified</x:v>
      </x:c>
      <x:c r="V29" s="123" t="str">
        <x:v>Second-pass extraction lock covers source identity, physical PDF page span, section/clause, ASCII transcription, normalized meaning, and verification category. SHACL shapes remain a separate implementation artifact.</x:v>
      </x:c>
      <x:c r="W29" s="123" t="str">
        <x:v>https://wwwcdn.imo.org/localresources/en/KnowledgeCentre/IndexofIMOResolutions/MSCResolutions/MSC.385%2894%29.pdf</x:v>
      </x:c>
      <x:c r="X29" s="123" t="str">
        <x:v>PWOM, emergency-contact procedure, ice-strengthening status, and entrapment procedure</x:v>
      </x:c>
      <x:c r="Y29" s="123" t="str">
        <x:v>Conditionally require the prolonged-entrapment procedure for ice-strengthened ships.</x:v>
      </x:c>
    </x:row>
    <x:row r="30" ht="100" customHeight="1">
      <x:c r="A30" s="108" t="str">
        <x:v>IMO-029</x:v>
      </x:c>
      <x:c r="B30" s="108" t="str">
        <x:v>International Code for Ships Operating in Polar Waters (Polar Code)</x:v>
      </x:c>
      <x:c r="C30" s="108" t="str">
        <x:v>Resolution MSC.385(94), adopted 21 Nov 2014; consolidated with MEPC.264(68), adopted 15 May 2015</x:v>
      </x:c>
      <x:c r="D30" s="163" t="n">
        <x:v>16</x:v>
      </x:c>
      <x:c r="E30" s="108" t="str">
        <x:v>Part I-A Chapter 2 - PWOM regulations</x:v>
      </x:c>
      <x:c r="F30" s="108" t="str">
        <x:v>2.3.5</x:v>
      </x:c>
      <x:c r="G30" s="113" t="str">
        <x:v>Static</x:v>
      </x:c>
      <x:c r="H30" s="120" t="str">
        <x:v>The Manual shall include risk-based procedures to be followed for measures to be taken in the event of encountering ice and/or temperatures which exceed the ship's design capabilities or limitations.</x:v>
      </x:c>
      <x:c r="I30" s="121" t="str">
        <x:v>PWOM shall include procedures for encounters with ice or temperatures exceeding ship design capabilities or limitations.</x:v>
      </x:c>
      <x:c r="J30" s="122" t="str">
        <x:v>exceedance_response_procedure_present</x:v>
      </x:c>
      <x:c r="K30" s="122" t="str">
        <x:v>No direct AnchorMap term found; propose code-safe alias: exceedance_response_procedure_present</x:v>
      </x:c>
      <x:c r="L30" s="124" t="str">
        <x:v>High</x:v>
      </x:c>
      <x:c r="M30" s="122" t="str">
        <x:v>Document procedure presence constraint</x:v>
      </x:c>
      <x:c r="N30" s="108" t="str">
        <x:v>Direct verification of a stated property, document, presence condition, enumeration, applicability rule, prohibition, or fixed limit.</x:v>
      </x:c>
      <x:c r="O30" s="113" t="str">
        <x:v>No</x:v>
      </x:c>
      <x:c r="P30" s="113" t="str">
        <x:v>Included - source reverified and locked</x:v>
      </x:c>
      <x:c r="Q30" s="108" t="str">
        <x:v>LOCK-2026-08-10: No source, page, clause, category, or normalized-meaning correction was required. Source wording was checked against the supplied PDF; equation notation is ASCII-linearized.</x:v>
      </x:c>
      <x:c r="R30" s="108" t="str">
        <x:v>LOCK-2026-08-11-R2 | source_pdf=MSC.385(94).pdf | source_sha256=6c6a038bff68ee906dd97c41e95fb4442917c014c8e79228f15e80cc5afa5c1f | physical_pdf_page=16 | section=Part I-A Chapter 2 - PWOM regulations | clause=2.3.5 | checks=independent_full_text_page_layout; numbers_units_operators_equations; normalized_rule_meaning; five_category_classification | status=LOCKED</x:v>
      </x:c>
      <x:c r="S30" s="108" t="str">
        <x:v>New IMO source; not derived from the thesis extraction.</x:v>
      </x:c>
      <x:c r="T30" s="108" t="str">
        <x:v>PASS - source/page/clause/meaning/category reverified</x:v>
      </x:c>
      <x:c r="U30" s="108" t="str">
        <x:v>LOCKED - extraction reverified</x:v>
      </x:c>
      <x:c r="V30" s="123" t="str">
        <x:v>Second-pass extraction lock covers source identity, physical PDF page span, section/clause, ASCII transcription, normalized meaning, and verification category. SHACL shapes remain a separate implementation artifact.</x:v>
      </x:c>
      <x:c r="W30" s="123" t="str">
        <x:v>https://wwwcdn.imo.org/localresources/en/KnowledgeCentre/IndexofIMOResolutions/MSCResolutions/MSC.385%2894%29.pdf</x:v>
      </x:c>
      <x:c r="X30" s="123" t="str">
        <x:v>PWOM and exceedance-response procedure</x:v>
      </x:c>
      <x:c r="Y30" s="123" t="str">
        <x:v>Require an identifiable procedure artifact.</x:v>
      </x:c>
    </x:row>
    <x:row r="31" ht="100" customHeight="1">
      <x:c r="A31" s="108" t="str">
        <x:v>IMO-030</x:v>
      </x:c>
      <x:c r="B31" s="108" t="str">
        <x:v>International Code for Ships Operating in Polar Waters (Polar Code)</x:v>
      </x:c>
      <x:c r="C31" s="108" t="str">
        <x:v>Resolution MSC.385(94), adopted 21 Nov 2014; consolidated with MEPC.264(68), adopted 15 May 2015</x:v>
      </x:c>
      <x:c r="D31" s="163" t="n">
        <x:v>16</x:v>
      </x:c>
      <x:c r="E31" s="108" t="str">
        <x:v>Part I-A Chapter 2 - PWOM regulations</x:v>
      </x:c>
      <x:c r="F31" s="108" t="str">
        <x:v>2.3.6</x:v>
      </x:c>
      <x:c r="G31" s="113" t="str">
        <x:v>Complex</x:v>
      </x:c>
      <x:c r="H31" s="120" t="str">
        <x:v>The Manual shall include risk-based procedures for monitoring and maintaining safety during operations in ice, as applicable, including any requirements for escort operations or icebreaker assistance. Different operational limitations may apply depending on whether the ship is operating independently or with icebreaker escort. Where appropriate, the PWOM should specify both options.</x:v>
      </x:c>
      <x:c r="I31" s="121" t="str">
        <x:v>IF ice_operation_applicable = true, THEN PWOM shall include ice-operation monitoring and safety procedures, including applicable escort or icebreaker-assistance requirements and operating-mode-specific limitations.</x:v>
      </x:c>
      <x:c r="J31" s="122" t="str">
        <x:v>ice_operation_applicable, ice_safety_monitoring_procedure_present, escort_requirements_present, independent_operation_limits, escorted_operation_limits</x:v>
      </x:c>
      <x:c r="K31" s="122" t="str">
        <x:v>No direct AnchorMap term found; propose code-safe alias: ice operation and escort procedure properties</x:v>
      </x:c>
      <x:c r="L31" s="124" t="str">
        <x:v>Medium</x:v>
      </x:c>
      <x:c r="M31" s="122" t="str">
        <x:v>Conditional composite procedure constraint</x:v>
      </x:c>
      <x:c r="N31" s="108" t="str">
        <x:v>Verification requires linked conditions, external approval or evidence, an assessment, or a composite workflow.</x:v>
      </x:c>
      <x:c r="O31" s="113" t="str">
        <x:v>No</x:v>
      </x:c>
      <x:c r="P31" s="113" t="str">
        <x:v>Included - source reverified and locked</x:v>
      </x:c>
      <x:c r="Q31" s="108" t="str">
        <x:v>LOCK-2026-08-10: No source, page, clause, category, or normalized-meaning correction was required. Source wording was checked against the supplied PDF; equation notation is ASCII-linearized.</x:v>
      </x:c>
      <x:c r="R31" s="108" t="str">
        <x:v>LOCK-2026-08-11-R2 | source_pdf=MSC.385(94).pdf | source_sha256=6c6a038bff68ee906dd97c41e95fb4442917c014c8e79228f15e80cc5afa5c1f | physical_pdf_page=16 | section=Part I-A Chapter 2 - PWOM regulations | clause=2.3.6 | checks=independent_full_text_page_layout; numbers_units_operators_equations; normalized_rule_meaning; five_category_classification | status=LOCKED</x:v>
      </x:c>
      <x:c r="S31" s="108" t="str">
        <x:v>New IMO source; not derived from the thesis extraction.</x:v>
      </x:c>
      <x:c r="T31" s="108" t="str">
        <x:v>PASS - source/page/clause/meaning/category reverified</x:v>
      </x:c>
      <x:c r="U31" s="108" t="str">
        <x:v>LOCKED - extraction reverified</x:v>
      </x:c>
      <x:c r="V31" s="123" t="str">
        <x:v>Second-pass extraction lock covers source identity, physical PDF page span, section/clause, ASCII transcription, normalized meaning, and verification category. SHACL shapes remain a separate implementation artifact.</x:v>
      </x:c>
      <x:c r="W31" s="123" t="str">
        <x:v>https://wwwcdn.imo.org/localresources/en/KnowledgeCentre/IndexofIMOResolutions/MSCResolutions/MSC.385%2894%29.pdf</x:v>
      </x:c>
      <x:c r="X31" s="123" t="str">
        <x:v>PWOM, operation mode, escort requirements, and applicable limitations</x:v>
      </x:c>
      <x:c r="Y31" s="123" t="str">
        <x:v>Model independent and escorted modes separately and require the applicable limitations.</x:v>
      </x:c>
    </x:row>
    <x:row r="32" ht="100" customHeight="1">
      <x:c r="A32" s="108" t="str">
        <x:v>IMO-031</x:v>
      </x:c>
      <x:c r="B32" s="108" t="str">
        <x:v>International Code for Ships Operating in Polar Waters (Polar Code)</x:v>
      </x:c>
      <x:c r="C32" s="108" t="str">
        <x:v>Resolution MSC.385(94), adopted 21 Nov 2014; consolidated with MEPC.264(68), adopted 15 May 2015</x:v>
      </x:c>
      <x:c r="D32" s="163" t="n">
        <x:v>17</x:v>
      </x:c>
      <x:c r="E32" s="108" t="str">
        <x:v>Part I-A Chapter 3 - Ship structure</x:v>
      </x:c>
      <x:c r="F32" s="108" t="str">
        <x:v>3.3.1</x:v>
      </x:c>
      <x:c r="G32" s="113" t="str">
        <x:v>Complex</x:v>
      </x:c>
      <x:c r="H32" s="120" t="str">
        <x:v>Materials of exposed structures in ships shall be approved by the Administration, or a recognized organization accepted by it, taking into account standards acceptable to the Organization or other standards offering an equivalent level of safety based on the polar service temperature.</x:v>
      </x:c>
      <x:c r="I32" s="121" t="str">
        <x:v>Every exposed-structure material shall have approval evidence from the Administration or an accepted recognized organization, and the approval basis shall reference the PST and an accepted or equivalent-safety standard.</x:v>
      </x:c>
      <x:c r="J32" s="122" t="str">
        <x:v>exposed_structure_material, material_approval_status, approving_authority, PST_degC, approval_standard</x:v>
      </x:c>
      <x:c r="K32" s="122" t="str">
        <x:v>materialCertificateID -&gt; mat:materialCertificateID; testTemperature_degC -&gt; mat:testTemperature_degC; No direct AnchorMap term found; propose code-safe alias: material_approval_status, approving_authority, approval_standard</x:v>
      </x:c>
      <x:c r="L32" s="124" t="str">
        <x:v>Medium</x:v>
      </x:c>
      <x:c r="M32" s="122" t="str">
        <x:v>Qualified approval-evidence constraint</x:v>
      </x:c>
      <x:c r="N32" s="108" t="str">
        <x:v>Verification requires linked conditions, external approval or evidence, an assessment, or a composite workflow.</x:v>
      </x:c>
      <x:c r="O32" s="113" t="str">
        <x:v>No</x:v>
      </x:c>
      <x:c r="P32" s="113" t="str">
        <x:v>Included - source reverified and locked</x:v>
      </x:c>
      <x:c r="Q32" s="108" t="str">
        <x:v>LOCK-2026-08-10: No source, page, clause, category, or normalized-meaning correction was required. Source wording was checked against the supplied PDF; equation notation is ASCII-linearized.</x:v>
      </x:c>
      <x:c r="R32" s="108" t="str">
        <x:v>LOCK-2026-08-11-R2 | source_pdf=MSC.385(94).pdf | source_sha256=6c6a038bff68ee906dd97c41e95fb4442917c014c8e79228f15e80cc5afa5c1f | physical_pdf_page=17 | section=Part I-A Chapter 3 - Ship structure | clause=3.3.1 | checks=independent_full_text_page_layout; numbers_units_operators_equations; normalized_rule_meaning; five_category_classification | status=LOCKED</x:v>
      </x:c>
      <x:c r="S32" s="108" t="str">
        <x:v>New IMO source; not derived from the thesis extraction.</x:v>
      </x:c>
      <x:c r="T32" s="108" t="str">
        <x:v>PASS - source/page/clause/meaning/category reverified</x:v>
      </x:c>
      <x:c r="U32" s="108" t="str">
        <x:v>LOCKED - extraction reverified</x:v>
      </x:c>
      <x:c r="V32" s="123" t="str">
        <x:v>Second-pass extraction lock covers source identity, physical PDF page span, section/clause, ASCII transcription, normalized meaning, and verification category. SHACL shapes remain a separate implementation artifact.</x:v>
      </x:c>
      <x:c r="W32" s="123" t="str">
        <x:v>https://wwwcdn.imo.org/localresources/en/KnowledgeCentre/IndexofIMOResolutions/MSCResolutions/MSC.385%2894%29.pdf</x:v>
      </x:c>
      <x:c r="X32" s="123" t="str">
        <x:v>Material records, approval certificate, approving authority, PST, and referenced standard</x:v>
      </x:c>
      <x:c r="Y32" s="123" t="str">
        <x:v>Require one valid approval evidence node for each exposed-structure material.</x:v>
      </x:c>
    </x:row>
    <x:row r="33" ht="100" customHeight="1">
      <x:c r="A33" s="108" t="str">
        <x:v>IMO-032</x:v>
      </x:c>
      <x:c r="B33" s="108" t="str">
        <x:v>International Code for Ships Operating in Polar Waters (Polar Code)</x:v>
      </x:c>
      <x:c r="C33" s="108" t="str">
        <x:v>Resolution MSC.385(94), adopted 21 Nov 2014; consolidated with MEPC.264(68), adopted 15 May 2015</x:v>
      </x:c>
      <x:c r="D33" s="163" t="n">
        <x:v>17</x:v>
      </x:c>
      <x:c r="E33" s="108" t="str">
        <x:v>Part I-A Chapter 3 - Ship structure</x:v>
      </x:c>
      <x:c r="F33" s="108" t="str">
        <x:v>3.3.2.1-.3</x:v>
      </x:c>
      <x:c r="G33" s="113" t="str">
        <x:v>Complex</x:v>
      </x:c>
      <x:c r="H33" s="120" t="str">
        <x:v>Scantlings of category A ships shall be approved by the Administration, or a recognized organization accepted by it, taking into account standards acceptable to the Organization or other standards offering an equivalent level of safety; scantlings of category B ships shall be approved by the Administration, or a recognized organization accepted by it, taking into account standards acceptable to the Organization or other standards offering an equivalent level of safety; and scantlings of ice strengthened category C ships shall be approved by the Administration, or a recognized organization accepted by it, taking into account acceptable standards adequate for the ice types and concentrations encountered in the area of operation.</x:v>
      </x:c>
      <x:c r="I33" s="121" t="str">
        <x:v>For category A, category B, and ice-strengthened category C ships, scantling_approval_status shall be approved by the Administration or an accepted recognized organization; the approval standard shall be accepted or provide equivalent safety, and category C approval shall address operating-area ice type and concentration.</x:v>
      </x:c>
      <x:c r="J33" s="122" t="str">
        <x:v>ship_category, ship_ice_strengthened, scantling_approval_status, approving_authority, approval_standard, operating_ice_type, operating_ice_concentration</x:v>
      </x:c>
      <x:c r="K33" s="122" t="str">
        <x:v>iceClass -&gt; reg:iceClass; No direct AnchorMap term found; propose code-safe alias: ship_category, scantling_approval_status, approval_standard, operating_ice_type, operating_ice_concentration</x:v>
      </x:c>
      <x:c r="L33" s="124" t="str">
        <x:v>Medium</x:v>
      </x:c>
      <x:c r="M33" s="122" t="str">
        <x:v>Category-conditioned approval-evidence constraint</x:v>
      </x:c>
      <x:c r="N33" s="108" t="str">
        <x:v>Verification requires linked conditions, external approval or evidence, an assessment, or a composite workflow.</x:v>
      </x:c>
      <x:c r="O33" s="113" t="str">
        <x:v>No</x:v>
      </x:c>
      <x:c r="P33" s="113" t="str">
        <x:v>Included - source reverified and locked</x:v>
      </x:c>
      <x:c r="Q33" s="108" t="str">
        <x:v>LOCK-2026-08-10: No source, page, clause, category, or normalized-meaning correction was required. Source wording was checked against the supplied PDF; equation notation is ASCII-linearized.</x:v>
      </x:c>
      <x:c r="R33" s="108" t="str">
        <x:v>LOCK-2026-08-11-R2 | source_pdf=MSC.385(94).pdf | source_sha256=6c6a038bff68ee906dd97c41e95fb4442917c014c8e79228f15e80cc5afa5c1f | physical_pdf_page=17 | section=Part I-A Chapter 3 - Ship structure | clause=3.3.2.1-.3 | checks=independent_full_text_page_layout; numbers_units_operators_equations; normalized_rule_meaning; five_category_classification | status=LOCKED</x:v>
      </x:c>
      <x:c r="S33" s="108" t="str">
        <x:v>New IMO source; not derived from the thesis extraction.</x:v>
      </x:c>
      <x:c r="T33" s="108" t="str">
        <x:v>PASS - source/page/clause/meaning/category reverified</x:v>
      </x:c>
      <x:c r="U33" s="108" t="str">
        <x:v>LOCKED - extraction reverified</x:v>
      </x:c>
      <x:c r="V33" s="123" t="str">
        <x:v>Second-pass extraction lock covers source identity, physical PDF page span, section/clause, ASCII transcription, normalized meaning, and verification category. SHACL shapes remain a separate implementation artifact.</x:v>
      </x:c>
      <x:c r="W33" s="123" t="str">
        <x:v>https://wwwcdn.imo.org/localresources/en/KnowledgeCentre/IndexofIMOResolutions/MSCResolutions/MSC.385%2894%29.pdf</x:v>
      </x:c>
      <x:c r="X33" s="123" t="str">
        <x:v>Ship category, ice-strengthening status, scantling approval, and standard evidence</x:v>
      </x:c>
      <x:c r="Y33" s="123" t="str">
        <x:v>Use category branches and require an approval node satisfying the applicable evidence conditions.</x:v>
      </x:c>
    </x:row>
    <x:row r="34" ht="100" customHeight="1">
      <x:c r="A34" s="108" t="str">
        <x:v>IMO-033</x:v>
      </x:c>
      <x:c r="B34" s="108" t="str">
        <x:v>International Code for Ships Operating in Polar Waters (Polar Code)</x:v>
      </x:c>
      <x:c r="C34" s="108" t="str">
        <x:v>Resolution MSC.385(94), adopted 21 Nov 2014; consolidated with MEPC.264(68), adopted 15 May 2015</x:v>
      </x:c>
      <x:c r="D34" s="163" t="n">
        <x:v>18</x:v>
      </x:c>
      <x:c r="E34" s="108" t="str">
        <x:v>Part I-A Chapter 4 - Intact stability</x:v>
      </x:c>
      <x:c r="F34" s="108" t="str">
        <x:v>4.3.1.1</x:v>
      </x:c>
      <x:c r="G34" s="113" t="str">
        <x:v>Static Calculation</x:v>
      </x:c>
      <x:c r="H34" s="120" t="str">
        <x:v>For ships operating in areas and during periods where ice accretion is likely to occur, the following icing allowance shall be made in the stability calculations: 30 kg/m^2 on exposed weather decks and gangways; 7.5 kg/m^2 for the projected lateral area of each side of the ship above the water plane; and the projected lateral area of discontinuous surfaces of rail, sundry booms, spars (except masts) and rigging of ships having no sails and the projected lateral area of other small objects shall be computed by increasing the total projected area of continuous surfaces by 5% and the static moments of this area by 10%.</x:v>
      </x:c>
      <x:c r="I34" s="121" t="str">
        <x:v>IF ice_accretion_likely = true, THEN deck_icing_allowance_kg_m2 = 30, side_icing_allowance_kg_m2 = 7.5, discontinuous_surface_projected_area = continuous_surface_projected_area * 1.05, and discontinuous_surface_static_moment = continuous_surface_static_moment * 1.10.</x:v>
      </x:c>
      <x:c r="J34" s="122" t="str">
        <x:v>ice_accretion_likely, deck_icing_allowance_kg_m2, side_icing_allowance_kg_m2, continuous_surface_projected_area, discontinuous_surface_projected_area, continuous_surface_static_moment, discontinuous_surface_static_moment</x:v>
      </x:c>
      <x:c r="K34" s="122" t="str">
        <x:v>No direct AnchorMap term found; propose code-safe alias: icing allowance and projected-area variables</x:v>
      </x:c>
      <x:c r="L34" s="124" t="str">
        <x:v>High</x:v>
      </x:c>
      <x:c r="M34" s="122" t="str">
        <x:v>Conditional formula-derived constraint</x:v>
      </x:c>
      <x:c r="N34" s="108" t="str">
        <x:v>Deterministic calculation from static design inputs followed by a numeric or logical comparison.</x:v>
      </x:c>
      <x:c r="O34" s="113" t="str">
        <x:v>No</x:v>
      </x:c>
      <x:c r="P34" s="113" t="str">
        <x:v>Included - source reverified and locked</x:v>
      </x:c>
      <x:c r="Q34" s="108" t="str">
        <x:v>LOCK-2026-08-10: No source, page, clause, category, or normalized-meaning correction was required. Source wording was checked against the supplied PDF; equation notation is ASCII-linearized.</x:v>
      </x:c>
      <x:c r="R34" s="108" t="str">
        <x:v>LOCK-2026-08-11-R2 | source_pdf=MSC.385(94).pdf | source_sha256=6c6a038bff68ee906dd97c41e95fb4442917c014c8e79228f15e80cc5afa5c1f | physical_pdf_page=18 | section=Part I-A Chapter 4 - Intact stability | clause=4.3.1.1 | checks=independent_full_text_page_layout; numbers_units_operators_equations; normalized_rule_meaning; five_category_classification | status=LOCKED</x:v>
      </x:c>
      <x:c r="S34" s="108" t="str">
        <x:v>New IMO source; not derived from the thesis extraction.</x:v>
      </x:c>
      <x:c r="T34" s="108" t="str">
        <x:v>PASS - source/page/clause/meaning/category reverified</x:v>
      </x:c>
      <x:c r="U34" s="108" t="str">
        <x:v>LOCKED - extraction reverified</x:v>
      </x:c>
      <x:c r="V34" s="123" t="str">
        <x:v>Second-pass extraction lock covers source identity, physical PDF page span, section/clause, ASCII transcription, normalized meaning, and verification category. SHACL shapes remain a separate implementation artifact.</x:v>
      </x:c>
      <x:c r="W34" s="123" t="str">
        <x:v>https://wwwcdn.imo.org/localresources/en/KnowledgeCentre/IndexofIMOResolutions/MSCResolutions/MSC.385%2894%29.pdf</x:v>
      </x:c>
      <x:c r="X34" s="123" t="str">
        <x:v>Ice-accretion applicability and stability-calculation inputs/results</x:v>
      </x:c>
      <x:c r="Y34" s="123" t="str">
        <x:v>Encode the three prescribed allowances and compare reported calculation values.</x:v>
      </x:c>
    </x:row>
    <x:row r="35" ht="100" customHeight="1">
      <x:c r="A35" s="108" t="str">
        <x:v>IMO-034</x:v>
      </x:c>
      <x:c r="B35" s="108" t="str">
        <x:v>International Code for Ships Operating in Polar Waters (Polar Code)</x:v>
      </x:c>
      <x:c r="C35" s="108" t="str">
        <x:v>Resolution MSC.385(94), adopted 21 Nov 2014; consolidated with MEPC.264(68), adopted 15 May 2015</x:v>
      </x:c>
      <x:c r="D35" s="163" t="n">
        <x:v>18</x:v>
      </x:c>
      <x:c r="E35" s="108" t="str">
        <x:v>Part I-A Chapter 4 - Intact stability</x:v>
      </x:c>
      <x:c r="F35" s="108" t="str">
        <x:v>4.3.1.2</x:v>
      </x:c>
      <x:c r="G35" s="113" t="str">
        <x:v>Complex</x:v>
      </x:c>
      <x:c r="H35" s="120" t="str">
        <x:v>Ships operating in areas and during periods where ice accretion is likely to occur shall be: designed to minimize the accretion of ice; and equipped with such means for removing ice as the Administration may require; for example, electrical and pneumatic devices, and/or special tools such as axes or wooden clubs for removing ice from bulwarks, rails and erections.</x:v>
      </x:c>
      <x:c r="I35" s="121" t="str">
        <x:v>IF ice_accretion_likely = true, THEN ice_accretion_minimization_design_present = true AND required_ice_removal_means_present = true.</x:v>
      </x:c>
      <x:c r="J35" s="122" t="str">
        <x:v>ice_accretion_likely, ice_accretion_minimization_design_present, required_ice_removal_means_present, administration_required_ice_removal_means</x:v>
      </x:c>
      <x:c r="K35" s="122" t="str">
        <x:v>No direct AnchorMap term found; propose code-safe alias: ice_accretion_likely and ice-removal properties</x:v>
      </x:c>
      <x:c r="L35" s="124" t="str">
        <x:v>Medium</x:v>
      </x:c>
      <x:c r="M35" s="122" t="str">
        <x:v>Conditional equipment-presence constraint</x:v>
      </x:c>
      <x:c r="N35" s="108" t="str">
        <x:v>Verification requires linked conditions, external approval or evidence, an assessment, or a composite workflow.</x:v>
      </x:c>
      <x:c r="O35" s="113" t="str">
        <x:v>No</x:v>
      </x:c>
      <x:c r="P35" s="113" t="str">
        <x:v>Included - source reverified and locked</x:v>
      </x:c>
      <x:c r="Q35" s="108" t="str">
        <x:v>LOCK-2026-08-10: Classified the Administration-acceptable removal means and coupled design conditions as Complex. Final source lock check completed against the supplied PDF; equation notation is ASCII-linearized.</x:v>
      </x:c>
      <x:c r="R35" s="108" t="str">
        <x:v>LOCK-2026-08-11-R2 | source_pdf=MSC.385(94).pdf | source_sha256=6c6a038bff68ee906dd97c41e95fb4442917c014c8e79228f15e80cc5afa5c1f | physical_pdf_page=18 | section=Part I-A Chapter 4 - Intact stability | clause=4.3.1.2 | checks=independent_full_text_page_layout; numbers_units_operators_equations; normalized_rule_meaning; five_category_classification | status=LOCKED</x:v>
      </x:c>
      <x:c r="S35" s="108" t="str">
        <x:v>New IMO source; not derived from the thesis extraction.</x:v>
      </x:c>
      <x:c r="T35" s="108" t="str">
        <x:v>PASS - source/page/clause/meaning/category reverified</x:v>
      </x:c>
      <x:c r="U35" s="108" t="str">
        <x:v>LOCKED - extraction reverified</x:v>
      </x:c>
      <x:c r="V35" s="123" t="str">
        <x:v>Second-pass extraction lock covers source identity, physical PDF page span, section/clause, ASCII transcription, normalized meaning, and verification category. SHACL shapes remain a separate implementation artifact.</x:v>
      </x:c>
      <x:c r="W35" s="123" t="str">
        <x:v>https://wwwcdn.imo.org/localresources/en/KnowledgeCentre/IndexofIMOResolutions/MSCResolutions/MSC.385%2894%29.pdf</x:v>
      </x:c>
      <x:c r="X35" s="123" t="str">
        <x:v>Operating-area assessment, design evidence, and required ice-removal equipment inventory</x:v>
      </x:c>
      <x:c r="Y35" s="123" t="str">
        <x:v>Model the Administration-required means as an approved equipment list and require each listed item.</x:v>
      </x:c>
    </x:row>
    <x:row r="36" ht="100" customHeight="1">
      <x:c r="A36" s="108" t="str">
        <x:v>IMO-035</x:v>
      </x:c>
      <x:c r="B36" s="108" t="str">
        <x:v>International Code for Ships Operating in Polar Waters (Polar Code)</x:v>
      </x:c>
      <x:c r="C36" s="108" t="str">
        <x:v>Resolution MSC.385(94), adopted 21 Nov 2014; consolidated with MEPC.264(68), adopted 15 May 2015</x:v>
      </x:c>
      <x:c r="D36" s="163" t="n">
        <x:v>18</x:v>
      </x:c>
      <x:c r="E36" s="108" t="str">
        <x:v>Part I-A Chapter 4 - Intact stability</x:v>
      </x:c>
      <x:c r="F36" s="108" t="str">
        <x:v>4.3.1.3</x:v>
      </x:c>
      <x:c r="G36" s="113" t="str">
        <x:v>Static</x:v>
      </x:c>
      <x:c r="H36" s="120" t="str">
        <x:v>Information on the icing allowance included in the stability calculations shall be given in the PWOM.</x:v>
      </x:c>
      <x:c r="I36" s="121" t="str">
        <x:v>PWOM_icing_allowance_information_present = true AND PWOM_icing_allowance_values shall match the stability calculation.</x:v>
      </x:c>
      <x:c r="J36" s="122" t="str">
        <x:v>PWOM_icing_allowance_information_present, PWOM_icing_allowance_values, stability_calculation_icing_allowance_values</x:v>
      </x:c>
      <x:c r="K36" s="122" t="str">
        <x:v>No direct AnchorMap term found; propose code-safe alias: PWOM_icing_allowance_information_present and icing allowance values</x:v>
      </x:c>
      <x:c r="L36" s="124" t="str">
        <x:v>High</x:v>
      </x:c>
      <x:c r="M36" s="122" t="str">
        <x:v>Cross-document consistency constraint</x:v>
      </x:c>
      <x:c r="N36" s="108" t="str">
        <x:v>Direct verification of a stated property, document, presence condition, enumeration, applicability rule, prohibition, or fixed limit.</x:v>
      </x:c>
      <x:c r="O36" s="113" t="str">
        <x:v>No</x:v>
      </x:c>
      <x:c r="P36" s="113" t="str">
        <x:v>Included - source reverified and locked</x:v>
      </x:c>
      <x:c r="Q36" s="108" t="str">
        <x:v>LOCK-2026-08-10: No source, page, clause, category, or normalized-meaning correction was required. Source wording was checked against the supplied PDF; equation notation is ASCII-linearized.</x:v>
      </x:c>
      <x:c r="R36" s="108" t="str">
        <x:v>LOCK-2026-08-11-R2 | source_pdf=MSC.385(94).pdf | source_sha256=6c6a038bff68ee906dd97c41e95fb4442917c014c8e79228f15e80cc5afa5c1f | physical_pdf_page=18 | section=Part I-A Chapter 4 - Intact stability | clause=4.3.1.3 | checks=independent_full_text_page_layout; numbers_units_operators_equations; normalized_rule_meaning; five_category_classification | status=LOCKED</x:v>
      </x:c>
      <x:c r="S36" s="108" t="str">
        <x:v>New IMO source; not derived from the thesis extraction.</x:v>
      </x:c>
      <x:c r="T36" s="108" t="str">
        <x:v>PASS - source/page/clause/meaning/category reverified</x:v>
      </x:c>
      <x:c r="U36" s="108" t="str">
        <x:v>LOCKED - extraction reverified</x:v>
      </x:c>
      <x:c r="V36" s="123" t="str">
        <x:v>Second-pass extraction lock covers source identity, physical PDF page span, section/clause, ASCII transcription, normalized meaning, and verification category. SHACL shapes remain a separate implementation artifact.</x:v>
      </x:c>
      <x:c r="W36" s="123" t="str">
        <x:v>https://wwwcdn.imo.org/localresources/en/KnowledgeCentre/IndexofIMOResolutions/MSCResolutions/MSC.385%2894%29.pdf</x:v>
      </x:c>
      <x:c r="X36" s="123" t="str">
        <x:v>PWOM and stability-calculation icing allowance values</x:v>
      </x:c>
      <x:c r="Y36" s="123" t="str">
        <x:v>Compare the documented PWOM values with the stability-calculation values.</x:v>
      </x:c>
    </x:row>
    <x:row r="37" ht="100" customHeight="1">
      <x:c r="A37" s="108" t="str">
        <x:v>IMO-036</x:v>
      </x:c>
      <x:c r="B37" s="108" t="str">
        <x:v>International Code for Ships Operating in Polar Waters (Polar Code)</x:v>
      </x:c>
      <x:c r="C37" s="108" t="str">
        <x:v>Resolution MSC.385(94), adopted 21 Nov 2014; consolidated with MEPC.264(68), adopted 15 May 2015</x:v>
      </x:c>
      <x:c r="D37" s="163" t="n">
        <x:v>18</x:v>
      </x:c>
      <x:c r="E37" s="108" t="str">
        <x:v>Part I-A Chapter 4 - Intact stability</x:v>
      </x:c>
      <x:c r="F37" s="108" t="str">
        <x:v>4.3.1.4</x:v>
      </x:c>
      <x:c r="G37" s="113" t="str">
        <x:v>Dynamic</x:v>
      </x:c>
      <x:c r="H37" s="120" t="str">
        <x:v>Ice accretion shall be monitored and appropriate measures taken to ensure that the ice accretion does not exceed the values given in the PWOM.</x:v>
      </x:c>
      <x:c r="I37" s="121" t="str">
        <x:v>ice_accretion_monitoring_active = true; for every monitoring observation, observed_ice_accretion &lt;= PWOM_ice_accretion_limit, or a linked corrective_action_status shall show action taken.</x:v>
      </x:c>
      <x:c r="J37" s="122" t="str">
        <x:v>ice_accretion_monitoring_active, observed_ice_accretion, PWOM_ice_accretion_limit, corrective_action_status</x:v>
      </x:c>
      <x:c r="K37" s="122" t="str">
        <x:v>No direct AnchorMap term found; propose code-safe alias: ice accretion monitoring and corrective-action variables</x:v>
      </x:c>
      <x:c r="L37" s="124" t="str">
        <x:v>Medium</x:v>
      </x:c>
      <x:c r="M37" s="122" t="str">
        <x:v>Dynamic observation and corrective-action constraint</x:v>
      </x:c>
      <x:c r="N37" s="108" t="str">
        <x:v>Verification depends on operational, time-stamped, route-dependent, monitored, or simulation-response information.</x:v>
      </x:c>
      <x:c r="O37" s="113" t="str">
        <x:v>No</x:v>
      </x:c>
      <x:c r="P37" s="113" t="str">
        <x:v>Included - source reverified and locked</x:v>
      </x:c>
      <x:c r="Q37" s="108" t="str">
        <x:v>LOCK-2026-08-10: No source, page, clause, category, or normalized-meaning correction was required. Source wording was checked against the supplied PDF; equation notation is ASCII-linearized.</x:v>
      </x:c>
      <x:c r="R37" s="108" t="str">
        <x:v>LOCK-2026-08-11-R2 | source_pdf=MSC.385(94).pdf | source_sha256=6c6a038bff68ee906dd97c41e95fb4442917c014c8e79228f15e80cc5afa5c1f | physical_pdf_page=18 | section=Part I-A Chapter 4 - Intact stability | clause=4.3.1.4 | checks=independent_full_text_page_layout; numbers_units_operators_equations; normalized_rule_meaning; five_category_classification | status=LOCKED</x:v>
      </x:c>
      <x:c r="S37" s="108" t="str">
        <x:v>New IMO source; not derived from the thesis extraction.</x:v>
      </x:c>
      <x:c r="T37" s="108" t="str">
        <x:v>PASS - source/page/clause/meaning/category reverified</x:v>
      </x:c>
      <x:c r="U37" s="108" t="str">
        <x:v>LOCKED - extraction reverified</x:v>
      </x:c>
      <x:c r="V37" s="123" t="str">
        <x:v>Second-pass extraction lock covers source identity, physical PDF page span, section/clause, ASCII transcription, normalized meaning, and verification category. SHACL shapes remain a separate implementation artifact.</x:v>
      </x:c>
      <x:c r="W37" s="123" t="str">
        <x:v>https://wwwcdn.imo.org/localresources/en/KnowledgeCentre/IndexofIMOResolutions/MSCResolutions/MSC.385%2894%29.pdf</x:v>
      </x:c>
      <x:c r="X37" s="123" t="str">
        <x:v>Time-stamped ice-accretion observations, PWOM limits, and corrective-action records</x:v>
      </x:c>
      <x:c r="Y37" s="123" t="str">
        <x:v>Validate each observation against the applicable PWOM limit and require action evidence for exceedances.</x:v>
      </x:c>
    </x:row>
    <x:row r="38" ht="100" customHeight="1">
      <x:c r="A38" s="108" t="str">
        <x:v>IMO-037</x:v>
      </x:c>
      <x:c r="B38" s="108" t="str">
        <x:v>International Code for Ships Operating in Polar Waters (Polar Code)</x:v>
      </x:c>
      <x:c r="C38" s="108" t="str">
        <x:v>Resolution MSC.385(94), adopted 21 Nov 2014; consolidated with MEPC.264(68), adopted 15 May 2015</x:v>
      </x:c>
      <x:c r="D38" s="163" t="n">
        <x:v>19</x:v>
      </x:c>
      <x:c r="E38" s="108" t="str">
        <x:v>Part I-A Chapter 4 - Damaged stability</x:v>
      </x:c>
      <x:c r="F38" s="108" t="str">
        <x:v>4.3.2.1</x:v>
      </x:c>
      <x:c r="G38" s="113" t="str">
        <x:v>Static Calculation</x:v>
      </x:c>
      <x:c r="H38" s="120" t="str">
        <x:v>Ships of categories A and B, constructed on or after 1 January 2017, shall be able to withstand flooding resulting from hull penetration due to ice impact. The residual stability following ice damage shall be such that the factor s_i, as defined in SOLAS regulations II-1/7-2.2 and II-1/7-2.3, is equal to one for all loading conditions used to calculate the attained subdivision index in SOLAS regulation II-1/7. However, for cargo ships that comply with subdivision and damage stability regulations in another instrument developed by the Organization, as provided by SOLAS regulation II-1/4.1, the residual stability criteria of that instrument shall be met for each loading condition.</x:v>
      </x:c>
      <x:c r="I38" s="121" t="str">
        <x:v>IF ship_category IN {'A','B'} AND construction_date &gt;= '2017-01-01', THEN for every applicable loading condition either residual_stability_factor_s_i = 1 or, where the SOLAS II-1/4.1 alternative applies, alternative_instrument_residual_stability_status = compliant.</x:v>
      </x:c>
      <x:c r="J38" s="122" t="str">
        <x:v>ship_category, construction_date, loading_condition, residual_stability_factor_s_i, alternative_instrument_applicable, alternative_instrument_residual_stability_status</x:v>
      </x:c>
      <x:c r="K38" s="122" t="str">
        <x:v>iceClass -&gt; reg:iceClass; No direct AnchorMap term found; propose code-safe alias: construction_date, residual_stability_factor_s_i and alternative compliance properties</x:v>
      </x:c>
      <x:c r="L38" s="124" t="str">
        <x:v>High</x:v>
      </x:c>
      <x:c r="M38" s="122" t="str">
        <x:v>Conditional per-loading-condition calculation constraint</x:v>
      </x:c>
      <x:c r="N38" s="108" t="str">
        <x:v>Deterministic calculation from static design inputs followed by a numeric or logical comparison.</x:v>
      </x:c>
      <x:c r="O38" s="113" t="str">
        <x:v>No</x:v>
      </x:c>
      <x:c r="P38" s="113" t="str">
        <x:v>Included - source reverified and locked</x:v>
      </x:c>
      <x:c r="Q38" s="108" t="str">
        <x:v>LOCK-2026-08-10: No source, page, clause, category, or normalized-meaning correction was required. Source wording was checked against the supplied PDF; equation notation is ASCII-linearized.</x:v>
      </x:c>
      <x:c r="R38" s="108" t="str">
        <x:v>LOCK-2026-08-11-R2 | source_pdf=MSC.385(94).pdf | source_sha256=6c6a038bff68ee906dd97c41e95fb4442917c014c8e79228f15e80cc5afa5c1f | physical_pdf_page=19 | section=Part I-A Chapter 4 - Damaged stability | clause=4.3.2.1 | checks=independent_full_text_page_layout; numbers_units_operators_equations; normalized_rule_meaning; five_category_classification | status=LOCKED</x:v>
      </x:c>
      <x:c r="S38" s="108" t="str">
        <x:v>New IMO source; not derived from the thesis extraction.</x:v>
      </x:c>
      <x:c r="T38" s="108" t="str">
        <x:v>PASS - source/page/clause/meaning/category reverified</x:v>
      </x:c>
      <x:c r="U38" s="108" t="str">
        <x:v>LOCKED - extraction reverified</x:v>
      </x:c>
      <x:c r="V38" s="123" t="str">
        <x:v>Second-pass extraction lock covers source identity, physical PDF page span, section/clause, ASCII transcription, normalized meaning, and verification category. SHACL shapes remain a separate implementation artifact.</x:v>
      </x:c>
      <x:c r="W38" s="123" t="str">
        <x:v>https://wwwcdn.imo.org/localresources/en/KnowledgeCentre/IndexofIMOResolutions/MSCResolutions/MSC.385%2894%29.pdf</x:v>
      </x:c>
      <x:c r="X38" s="123" t="str">
        <x:v>Ship category, construction date, loading conditions, calculated s_i, and alternative-instrument evidence</x:v>
      </x:c>
      <x:c r="Y38" s="123" t="str">
        <x:v>Use a qualified-value constraint or SPARQL to test every loading condition.</x:v>
      </x:c>
    </x:row>
    <x:row r="39" ht="100" customHeight="1">
      <x:c r="A39" s="108" t="str">
        <x:v>IMO-038</x:v>
      </x:c>
      <x:c r="B39" s="108" t="str">
        <x:v>International Code for Ships Operating in Polar Waters (Polar Code)</x:v>
      </x:c>
      <x:c r="C39" s="108" t="str">
        <x:v>Resolution MSC.385(94), adopted 21 Nov 2014; consolidated with MEPC.264(68), adopted 15 May 2015</x:v>
      </x:c>
      <x:c r="D39" s="163" t="n">
        <x:v>19</x:v>
      </x:c>
      <x:c r="E39" s="108" t="str">
        <x:v>Part I-A Chapter 4 - Damaged stability</x:v>
      </x:c>
      <x:c r="F39" s="108" t="str">
        <x:v>4.3.2.2</x:v>
      </x:c>
      <x:c r="G39" s="113" t="str">
        <x:v>Static Calculation</x:v>
      </x:c>
      <x:c r="H39" s="120" t="str">
        <x:v>The ice damage extents to be assumed when demonstrating compliance with paragraph 4.3.2.1 shall be such that: the longitudinal extent is 4.5% of the upper ice waterline length if centred forward of the maximum breadth on the upper ice waterline, and 1.5% of upper ice waterline length otherwise, and shall be assumed at any longitudinal position along the ship's length; the transverse penetration extent is 760 mm, measured normal to the shell over the full extent of the damage; and the vertical extent is the lesser of 20% of the upper ice waterline draught or the longitudinal extent, and shall be assumed at any vertical position between the keel and 120% of the upper ice waterline draught.</x:v>
      </x:c>
      <x:c r="I39" s="121" t="str">
        <x:v>longitudinal_damage_extent = 0.045 * upper_ice_waterline_length when damage_center_forward_of_max_breadth = true, otherwise 0.015 * upper_ice_waterline_length; transverse_penetration_mm = 760; vertical_damage_extent = min(0.20 * upper_ice_waterline_draught, longitudinal_damage_extent); allowed_vertical_position is between keel and 1.20 * upper_ice_waterline_draught.</x:v>
      </x:c>
      <x:c r="J39" s="122" t="str">
        <x:v>upper_ice_waterline_length, damage_center_forward_of_max_breadth, longitudinal_damage_extent, transverse_penetration_mm, upper_ice_waterline_draught, vertical_damage_extent, allowed_vertical_position</x:v>
      </x:c>
      <x:c r="K39" s="122" t="str">
        <x:v>No direct AnchorMap term found; propose code-safe alias: ice damage extent and position variables</x:v>
      </x:c>
      <x:c r="L39" s="124" t="str">
        <x:v>High</x:v>
      </x:c>
      <x:c r="M39" s="122" t="str">
        <x:v>Piecewise formula and range constraint</x:v>
      </x:c>
      <x:c r="N39" s="108" t="str">
        <x:v>Deterministic calculation from static design inputs followed by a numeric or logical comparison.</x:v>
      </x:c>
      <x:c r="O39" s="113" t="str">
        <x:v>No</x:v>
      </x:c>
      <x:c r="P39" s="113" t="str">
        <x:v>Included - source reverified and locked</x:v>
      </x:c>
      <x:c r="Q39" s="108" t="str">
        <x:v>LOCK-2026-08-10: No source, page, clause, category, or normalized-meaning correction was required. Source wording was checked against the supplied PDF; equation notation is ASCII-linearized.</x:v>
      </x:c>
      <x:c r="R39" s="108" t="str">
        <x:v>LOCK-2026-08-11-R2 | source_pdf=MSC.385(94).pdf | source_sha256=6c6a038bff68ee906dd97c41e95fb4442917c014c8e79228f15e80cc5afa5c1f | physical_pdf_page=19 | section=Part I-A Chapter 4 - Damaged stability | clause=4.3.2.2 | checks=independent_full_text_page_layout; numbers_units_operators_equations; normalized_rule_meaning; five_category_classification | status=LOCKED</x:v>
      </x:c>
      <x:c r="S39" s="108" t="str">
        <x:v>New IMO source; not derived from the thesis extraction.</x:v>
      </x:c>
      <x:c r="T39" s="108" t="str">
        <x:v>PASS - source/page/clause/meaning/category reverified</x:v>
      </x:c>
      <x:c r="U39" s="108" t="str">
        <x:v>LOCKED - extraction reverified</x:v>
      </x:c>
      <x:c r="V39" s="123" t="str">
        <x:v>Second-pass extraction lock covers source identity, physical PDF page span, section/clause, ASCII transcription, normalized meaning, and verification category. SHACL shapes remain a separate implementation artifact.</x:v>
      </x:c>
      <x:c r="W39" s="123" t="str">
        <x:v>https://wwwcdn.imo.org/localresources/en/KnowledgeCentre/IndexofIMOResolutions/MSCResolutions/MSC.385%2894%29.pdf</x:v>
      </x:c>
      <x:c r="X39" s="123" t="str">
        <x:v>Damage scenario geometry and calculated extents</x:v>
      </x:c>
      <x:c r="Y39" s="123" t="str">
        <x:v>Encode the piecewise longitudinal formula, fixed penetration, minimum function, and allowed position range.</x:v>
      </x:c>
    </x:row>
    <x:row r="40" ht="100" customHeight="1">
      <x:c r="A40" s="108" t="str">
        <x:v>IMO-039</x:v>
      </x:c>
      <x:c r="B40" s="108" t="str">
        <x:v>International Code for Ships Operating in Polar Waters (Polar Code)</x:v>
      </x:c>
      <x:c r="C40" s="108" t="str">
        <x:v>Resolution MSC.385(94), adopted 21 Nov 2014; consolidated with MEPC.264(68), adopted 15 May 2015</x:v>
      </x:c>
      <x:c r="D40" s="163" t="n">
        <x:v>19</x:v>
      </x:c>
      <x:c r="E40" s="108" t="str">
        <x:v>Part I-A Chapter 5 - Watertight and weathertight integrity</x:v>
      </x:c>
      <x:c r="F40" s="108" t="str">
        <x:v>5.2</x:v>
      </x:c>
      <x:c r="G40" s="113" t="str">
        <x:v>Physical Test</x:v>
      </x:c>
      <x:c r="H40" s="120" t="str">
        <x:v>All closing appliances and doors relevant to watertight and weathertight integrity of the ship shall be operable.</x:v>
      </x:c>
      <x:c r="I40" s="121" t="str">
        <x:v>For every watertight_or_weathertight_closing_device, operability_test_status = passed.</x:v>
      </x:c>
      <x:c r="J40" s="122" t="str">
        <x:v>watertight_or_weathertight_closing_device, operability_test_status</x:v>
      </x:c>
      <x:c r="K40" s="122" t="str">
        <x:v>WatertightDoors -&gt; hull:WatertightDoors; No direct AnchorMap term found; propose code-safe alias: operability_test_status</x:v>
      </x:c>
      <x:c r="L40" s="124" t="str">
        <x:v>Medium</x:v>
      </x:c>
      <x:c r="M40" s="122" t="str">
        <x:v>Qualified test-evidence constraint</x:v>
      </x:c>
      <x:c r="N40" s="108" t="str">
        <x:v>Compliance is established mainly through survey, inspection, material testing, operability testing, or other physical evidence.</x:v>
      </x:c>
      <x:c r="O40" s="113" t="str">
        <x:v>No</x:v>
      </x:c>
      <x:c r="P40" s="113" t="str">
        <x:v>Included - source reverified and locked</x:v>
      </x:c>
      <x:c r="Q40" s="108" t="str">
        <x:v>LOCK-2026-08-10: No source, page, clause, category, or normalized-meaning correction was required. Source wording was checked against the supplied PDF; equation notation is ASCII-linearized.</x:v>
      </x:c>
      <x:c r="R40" s="108" t="str">
        <x:v>LOCK-2026-08-11-R2 | source_pdf=MSC.385(94).pdf | source_sha256=6c6a038bff68ee906dd97c41e95fb4442917c014c8e79228f15e80cc5afa5c1f | physical_pdf_page=19 | section=Part I-A Chapter 5 - Watertight and weathertight integrity | clause=5.2 | checks=independent_full_text_page_layout; numbers_units_operators_equations; normalized_rule_meaning; five_category_classification | status=LOCKED</x:v>
      </x:c>
      <x:c r="S40" s="108" t="str">
        <x:v>New IMO source; not derived from the thesis extraction.</x:v>
      </x:c>
      <x:c r="T40" s="108" t="str">
        <x:v>PASS - source/page/clause/meaning/category reverified</x:v>
      </x:c>
      <x:c r="U40" s="108" t="str">
        <x:v>LOCKED - extraction reverified</x:v>
      </x:c>
      <x:c r="V40" s="123" t="str">
        <x:v>Second-pass extraction lock covers source identity, physical PDF page span, section/clause, ASCII transcription, normalized meaning, and verification category. SHACL shapes remain a separate implementation artifact.</x:v>
      </x:c>
      <x:c r="W40" s="123" t="str">
        <x:v>https://wwwcdn.imo.org/localresources/en/KnowledgeCentre/IndexofIMOResolutions/MSCResolutions/MSC.385%2894%29.pdf</x:v>
      </x:c>
      <x:c r="X40" s="123" t="str">
        <x:v>Closing-device inventory and operability test or inspection records</x:v>
      </x:c>
      <x:c r="Y40" s="123" t="str">
        <x:v>Require a current passed operability status for every relevant closing device.</x:v>
      </x:c>
    </x:row>
    <x:row r="41" ht="100" customHeight="1">
      <x:c r="A41" s="108" t="str">
        <x:v>IMO-040</x:v>
      </x:c>
      <x:c r="B41" s="108" t="str">
        <x:v>International Code for Ships Operating in Polar Waters (Polar Code)</x:v>
      </x:c>
      <x:c r="C41" s="108" t="str">
        <x:v>Resolution MSC.385(94), adopted 21 Nov 2014; consolidated with MEPC.264(68), adopted 15 May 2015</x:v>
      </x:c>
      <x:c r="D41" s="163" t="n">
        <x:v>19</x:v>
      </x:c>
      <x:c r="E41" s="108" t="str">
        <x:v>Part I-A Chapter 5 - Watertight and weathertight integrity</x:v>
      </x:c>
      <x:c r="F41" s="108" t="str">
        <x:v>5.3.1</x:v>
      </x:c>
      <x:c r="G41" s="113" t="str">
        <x:v>Static</x:v>
      </x:c>
      <x:c r="H41" s="120" t="str">
        <x:v>For ships operating in areas and during periods where ice accretion is likely to occur, means shall be provided to remove or prevent ice and snow accretion around hatches and doors.</x:v>
      </x:c>
      <x:c r="I41" s="121" t="str">
        <x:v>IF ice_accretion_likely = true, THEN every relevant hatch and door shall have an associated ice_or_snow_removal_or_prevention_means.</x:v>
      </x:c>
      <x:c r="J41" s="122" t="str">
        <x:v>ice_accretion_likely, relevant_hatch_or_door, ice_or_snow_removal_or_prevention_means</x:v>
      </x:c>
      <x:c r="K41" s="122" t="str">
        <x:v>WatertightDoors -&gt; hull:WatertightDoors; No direct AnchorMap term found; propose code-safe alias: ice_accretion_likely, ice_or_snow_removal_or_prevention_means</x:v>
      </x:c>
      <x:c r="L41" s="124" t="str">
        <x:v>High</x:v>
      </x:c>
      <x:c r="M41" s="122" t="str">
        <x:v>Conditional qualified equipment constraint</x:v>
      </x:c>
      <x:c r="N41" s="108" t="str">
        <x:v>Direct verification of a stated property, document, presence condition, enumeration, applicability rule, prohibition, or fixed limit.</x:v>
      </x:c>
      <x:c r="O41" s="113" t="str">
        <x:v>No</x:v>
      </x:c>
      <x:c r="P41" s="113" t="str">
        <x:v>Included - source reverified and locked</x:v>
      </x:c>
      <x:c r="Q41" s="108" t="str">
        <x:v>LOCK-2026-08-10: No source, page, clause, category, or normalized-meaning correction was required. Source wording was checked against the supplied PDF; equation notation is ASCII-linearized.</x:v>
      </x:c>
      <x:c r="R41" s="108" t="str">
        <x:v>LOCK-2026-08-11-R2 | source_pdf=MSC.385(94).pdf | source_sha256=6c6a038bff68ee906dd97c41e95fb4442917c014c8e79228f15e80cc5afa5c1f | physical_pdf_page=19 | section=Part I-A Chapter 5 - Watertight and weathertight integrity | clause=5.3.1 | checks=independent_full_text_page_layout; numbers_units_operators_equations; normalized_rule_meaning; five_category_classification | status=LOCKED</x:v>
      </x:c>
      <x:c r="S41" s="108" t="str">
        <x:v>New IMO source; not derived from the thesis extraction.</x:v>
      </x:c>
      <x:c r="T41" s="108" t="str">
        <x:v>PASS - source/page/clause/meaning/category reverified</x:v>
      </x:c>
      <x:c r="U41" s="108" t="str">
        <x:v>LOCKED - extraction reverified</x:v>
      </x:c>
      <x:c r="V41" s="123" t="str">
        <x:v>Second-pass extraction lock covers source identity, physical PDF page span, section/clause, ASCII transcription, normalized meaning, and verification category. SHACL shapes remain a separate implementation artifact.</x:v>
      </x:c>
      <x:c r="W41" s="123" t="str">
        <x:v>https://wwwcdn.imo.org/localresources/en/KnowledgeCentre/IndexofIMOResolutions/MSCResolutions/MSC.385%2894%29.pdf</x:v>
      </x:c>
      <x:c r="X41" s="123" t="str">
        <x:v>Hatch and door inventory and associated anti-icing means</x:v>
      </x:c>
      <x:c r="Y41" s="123" t="str">
        <x:v>Require at least one prevention or removal means for each relevant opening.</x:v>
      </x:c>
    </x:row>
    <x:row r="42" ht="100" customHeight="1">
      <x:c r="A42" s="108" t="str">
        <x:v>IMO-041</x:v>
      </x:c>
      <x:c r="B42" s="108" t="str">
        <x:v>International Code for Ships Operating in Polar Waters (Polar Code)</x:v>
      </x:c>
      <x:c r="C42" s="108" t="str">
        <x:v>Resolution MSC.385(94), adopted 21 Nov 2014; consolidated with MEPC.264(68), adopted 15 May 2015</x:v>
      </x:c>
      <x:c r="D42" s="163" t="n">
        <x:v>19</x:v>
      </x:c>
      <x:c r="E42" s="108" t="str">
        <x:v>Part I-A Chapter 5 - Watertight and weathertight integrity</x:v>
      </x:c>
      <x:c r="F42" s="108" t="str">
        <x:v>5.3.2.1</x:v>
      </x:c>
      <x:c r="G42" s="113" t="str">
        <x:v>Static</x:v>
      </x:c>
      <x:c r="H42" s="120" t="str">
        <x:v>If the hatches or doors are hydraulically operated, means shall be provided to prevent freezing or excessive viscosity of liquids.</x:v>
      </x:c>
      <x:c r="I42" s="121" t="str">
        <x:v>IF opening_actuation_type = hydraulic, THEN hydraulic_fluid_freezing_or_viscosity_control_present = true.</x:v>
      </x:c>
      <x:c r="J42" s="122" t="str">
        <x:v>opening_actuation_type, hydraulic_fluid_freezing_or_viscosity_control_present</x:v>
      </x:c>
      <x:c r="K42" s="122" t="str">
        <x:v>WatertightDoors -&gt; hull:WatertightDoors; No direct AnchorMap term found; propose code-safe alias: opening_actuation_type, hydraulic_fluid_freezing_or_viscosity_control_present</x:v>
      </x:c>
      <x:c r="L42" s="124" t="str">
        <x:v>High</x:v>
      </x:c>
      <x:c r="M42" s="122" t="str">
        <x:v>Conditional equipment-presence constraint</x:v>
      </x:c>
      <x:c r="N42" s="108" t="str">
        <x:v>Direct verification of a stated property, document, presence condition, enumeration, applicability rule, prohibition, or fixed limit.</x:v>
      </x:c>
      <x:c r="O42" s="113" t="str">
        <x:v>No</x:v>
      </x:c>
      <x:c r="P42" s="113" t="str">
        <x:v>Included - source reverified and locked</x:v>
      </x:c>
      <x:c r="Q42" s="108" t="str">
        <x:v>LOCK-2026-08-10: No source, page, clause, category, or normalized-meaning correction was required. Source wording was checked against the supplied PDF; equation notation is ASCII-linearized.</x:v>
      </x:c>
      <x:c r="R42" s="108" t="str">
        <x:v>LOCK-2026-08-11-R2 | source_pdf=MSC.385(94).pdf | source_sha256=6c6a038bff68ee906dd97c41e95fb4442917c014c8e79228f15e80cc5afa5c1f | physical_pdf_page=19 | section=Part I-A Chapter 5 - Watertight and weathertight integrity | clause=5.3.2.1 | checks=independent_full_text_page_layout; numbers_units_operators_equations; normalized_rule_meaning; five_category_classification | status=LOCKED</x:v>
      </x:c>
      <x:c r="S42" s="108" t="str">
        <x:v>New IMO source; not derived from the thesis extraction.</x:v>
      </x:c>
      <x:c r="T42" s="108" t="str">
        <x:v>PASS - source/page/clause/meaning/category reverified</x:v>
      </x:c>
      <x:c r="U42" s="108" t="str">
        <x:v>LOCKED - extraction reverified</x:v>
      </x:c>
      <x:c r="V42" s="123" t="str">
        <x:v>Second-pass extraction lock covers source identity, physical PDF page span, section/clause, ASCII transcription, normalized meaning, and verification category. SHACL shapes remain a separate implementation artifact.</x:v>
      </x:c>
      <x:c r="W42" s="123" t="str">
        <x:v>https://wwwcdn.imo.org/localresources/en/KnowledgeCentre/IndexofIMOResolutions/MSCResolutions/MSC.385%2894%29.pdf</x:v>
      </x:c>
      <x:c r="X42" s="123" t="str">
        <x:v>Opening actuation type and hydraulic-fluid protection arrangement</x:v>
      </x:c>
      <x:c r="Y42" s="123" t="str">
        <x:v>Condition the protection requirement on hydraulic operation.</x:v>
      </x:c>
    </x:row>
    <x:row r="43" ht="100" customHeight="1">
      <x:c r="A43" s="108" t="str">
        <x:v>IMO-042</x:v>
      </x:c>
      <x:c r="B43" s="108" t="str">
        <x:v>International Code for Ships Operating in Polar Waters (Polar Code)</x:v>
      </x:c>
      <x:c r="C43" s="108" t="str">
        <x:v>Resolution MSC.385(94), adopted 21 Nov 2014; consolidated with MEPC.264(68), adopted 15 May 2015</x:v>
      </x:c>
      <x:c r="D43" s="163" t="n">
        <x:v>20</x:v>
      </x:c>
      <x:c r="E43" s="108" t="str">
        <x:v>Part I-A Chapter 5 - Watertight and weathertight integrity</x:v>
      </x:c>
      <x:c r="F43" s="108" t="str">
        <x:v>5.3.2.2</x:v>
      </x:c>
      <x:c r="G43" s="113" t="str">
        <x:v>Physical Test</x:v>
      </x:c>
      <x:c r="H43" s="120" t="str">
        <x:v>Watertight and weathertight doors, hatches and closing devices which are not within an habitable environment and require access while at sea shall be designed to be operated by personnel wearing heavy winter clothing including thick mittens.</x:v>
      </x:c>
      <x:c r="I43" s="121" t="str">
        <x:v>IF closing_device_outside_habitable_environment = true AND access_required_at_sea = true, THEN winter_clothing_operability_test_status = passed, including operation with thick mittens.</x:v>
      </x:c>
      <x:c r="J43" s="122" t="str">
        <x:v>closing_device_outside_habitable_environment, access_required_at_sea, winter_clothing_operability_test_status</x:v>
      </x:c>
      <x:c r="K43" s="122" t="str">
        <x:v>WatertightDoors -&gt; hull:WatertightDoors; No direct AnchorMap term found; propose code-safe alias: winter_clothing_operability_test_status</x:v>
      </x:c>
      <x:c r="L43" s="124" t="str">
        <x:v>Medium</x:v>
      </x:c>
      <x:c r="M43" s="122" t="str">
        <x:v>Conditional human-factors test constraint</x:v>
      </x:c>
      <x:c r="N43" s="108" t="str">
        <x:v>Compliance is established mainly through survey, inspection, material testing, operability testing, or other physical evidence.</x:v>
      </x:c>
      <x:c r="O43" s="113" t="str">
        <x:v>No</x:v>
      </x:c>
      <x:c r="P43" s="113" t="str">
        <x:v>Included - source reverified and locked</x:v>
      </x:c>
      <x:c r="Q43" s="108" t="str">
        <x:v>LOCK-2026-08-10: No source, page, clause, category, or normalized-meaning correction was required. Source wording was checked against the supplied PDF; equation notation is ASCII-linearized.</x:v>
      </x:c>
      <x:c r="R43" s="108" t="str">
        <x:v>LOCK-2026-08-11-R2 | source_pdf=MSC.385(94).pdf | source_sha256=6c6a038bff68ee906dd97c41e95fb4442917c014c8e79228f15e80cc5afa5c1f | physical_pdf_page=20 | section=Part I-A Chapter 5 - Watertight and weathertight integrity | clause=5.3.2.2 | checks=independent_full_text_page_layout; numbers_units_operators_equations; normalized_rule_meaning; five_category_classification | status=LOCKED</x:v>
      </x:c>
      <x:c r="S43" s="108" t="str">
        <x:v>New IMO source; not derived from the thesis extraction.</x:v>
      </x:c>
      <x:c r="T43" s="108" t="str">
        <x:v>PASS - source/page/clause/meaning/category reverified</x:v>
      </x:c>
      <x:c r="U43" s="108" t="str">
        <x:v>LOCKED - extraction reverified</x:v>
      </x:c>
      <x:c r="V43" s="123" t="str">
        <x:v>Second-pass extraction lock covers source identity, physical PDF page span, section/clause, ASCII transcription, normalized meaning, and verification category. SHACL shapes remain a separate implementation artifact.</x:v>
      </x:c>
      <x:c r="W43" s="123" t="str">
        <x:v>https://wwwcdn.imo.org/localresources/en/KnowledgeCentre/IndexofIMOResolutions/MSCResolutions/MSC.385%2894%29.pdf</x:v>
      </x:c>
      <x:c r="X43" s="123" t="str">
        <x:v>Device location/access properties and representative operability test evidence</x:v>
      </x:c>
      <x:c r="Y43" s="123" t="str">
        <x:v>Require test evidence demonstrating operation while wearing specified clothing and mittens.</x:v>
      </x:c>
    </x:row>
    <x:row r="44" ht="100" customHeight="1">
      <x:c r="A44" s="108" t="str">
        <x:v>IMO-043</x:v>
      </x:c>
      <x:c r="B44" s="108" t="str">
        <x:v>International Code for Ships Operating in Polar Waters (Polar Code)</x:v>
      </x:c>
      <x:c r="C44" s="108" t="str">
        <x:v>Resolution MSC.385(94), adopted 21 Nov 2014; consolidated with MEPC.264(68), adopted 15 May 2015</x:v>
      </x:c>
      <x:c r="D44" s="163" t="n">
        <x:v>20</x:v>
      </x:c>
      <x:c r="E44" s="108" t="str">
        <x:v>Part I-A Chapter 6 - Machinery installations</x:v>
      </x:c>
      <x:c r="F44" s="108" t="str">
        <x:v>6.3.1.1</x:v>
      </x:c>
      <x:c r="G44" s="113" t="str">
        <x:v>Static</x:v>
      </x:c>
      <x:c r="H44" s="120" t="str">
        <x:v>Machinery installations and associated equipment shall be protected against the effect of ice accretion and/or snow accumulation, ice ingestion from sea water, freezing and increased viscosity of liquids, seawater intake temperature and snow ingestion.</x:v>
      </x:c>
      <x:c r="I44" s="121" t="str">
        <x:v>Every machinery installation and associated equipment shall have protection coverage for applicable ice accretion, snow accumulation, seawater ice ingestion, liquid freezing or viscosity increase, seawater intake temperature, and snow ingestion hazards.</x:v>
      </x:c>
      <x:c r="J44" s="122" t="str">
        <x:v>machinery_installation, hazard_protection_coverage</x:v>
      </x:c>
      <x:c r="K44" s="122" t="str">
        <x:v>No direct AnchorMap term found; propose code-safe alias: machinery_installation, hazard_protection_coverage</x:v>
      </x:c>
      <x:c r="L44" s="124" t="str">
        <x:v>Medium</x:v>
      </x:c>
      <x:c r="M44" s="122" t="str">
        <x:v>Hazard-coverage constraint</x:v>
      </x:c>
      <x:c r="N44" s="108" t="str">
        <x:v>Direct verification of a stated property, document, presence condition, enumeration, applicability rule, prohibition, or fixed limit.</x:v>
      </x:c>
      <x:c r="O44" s="113" t="str">
        <x:v>No</x:v>
      </x:c>
      <x:c r="P44" s="113" t="str">
        <x:v>Included - source reverified and locked</x:v>
      </x:c>
      <x:c r="Q44" s="108" t="str">
        <x:v>LOCK-2026-08-10: No source, page, clause, category, or normalized-meaning correction was required. Source wording was checked against the supplied PDF; equation notation is ASCII-linearized.</x:v>
      </x:c>
      <x:c r="R44" s="108" t="str">
        <x:v>LOCK-2026-08-11-R2 | source_pdf=MSC.385(94).pdf | source_sha256=6c6a038bff68ee906dd97c41e95fb4442917c014c8e79228f15e80cc5afa5c1f | physical_pdf_page=20 | section=Part I-A Chapter 6 - Machinery installations | clause=6.3.1.1 | checks=independent_full_text_page_layout; numbers_units_operators_equations; normalized_rule_meaning; five_category_classification | status=LOCKED</x:v>
      </x:c>
      <x:c r="S44" s="108" t="str">
        <x:v>New IMO source; not derived from the thesis extraction.</x:v>
      </x:c>
      <x:c r="T44" s="108" t="str">
        <x:v>PASS - source/page/clause/meaning/category reverified</x:v>
      </x:c>
      <x:c r="U44" s="108" t="str">
        <x:v>LOCKED - extraction reverified</x:v>
      </x:c>
      <x:c r="V44" s="123" t="str">
        <x:v>Second-pass extraction lock covers source identity, physical PDF page span, section/clause, ASCII transcription, normalized meaning, and verification category. SHACL shapes remain a separate implementation artifact.</x:v>
      </x:c>
      <x:c r="W44" s="123" t="str">
        <x:v>https://wwwcdn.imo.org/localresources/en/KnowledgeCentre/IndexofIMOResolutions/MSCResolutions/MSC.385%2894%29.pdf</x:v>
      </x:c>
      <x:c r="X44" s="123" t="str">
        <x:v>Machinery inventory, hazard applicability, and protection evidence</x:v>
      </x:c>
      <x:c r="Y44" s="123" t="str">
        <x:v>Represent each listed hazard as a required protection-coverage property when applicable.</x:v>
      </x:c>
    </x:row>
    <x:row r="45" ht="100" customHeight="1">
      <x:c r="A45" s="108" t="str">
        <x:v>IMO-044</x:v>
      </x:c>
      <x:c r="B45" s="108" t="str">
        <x:v>International Code for Ships Operating in Polar Waters (Polar Code)</x:v>
      </x:c>
      <x:c r="C45" s="108" t="str">
        <x:v>Resolution MSC.385(94), adopted 21 Nov 2014; consolidated with MEPC.264(68), adopted 15 May 2015</x:v>
      </x:c>
      <x:c r="D45" s="163" t="n">
        <x:v>21</x:v>
      </x:c>
      <x:c r="E45" s="108" t="str">
        <x:v>Part I-A Chapter 6 - Machinery installations</x:v>
      </x:c>
      <x:c r="F45" s="108" t="str">
        <x:v>6.3.1.2</x:v>
      </x:c>
      <x:c r="G45" s="113" t="str">
        <x:v>Dynamic</x:v>
      </x:c>
      <x:c r="H45" s="120" t="str">
        <x:v>Working liquids shall be maintained in a viscosity range that ensures operation of the machinery.</x:v>
      </x:c>
      <x:c r="I45" s="121" t="str">
        <x:v>For every time-stamped working-liquid observation, manufacturer_min_viscosity &lt;= observed_viscosity &lt;= manufacturer_max_viscosity.</x:v>
      </x:c>
      <x:c r="J45" s="122" t="str">
        <x:v>working_liquid, observed_viscosity, manufacturer_min_viscosity, manufacturer_max_viscosity, observation_time</x:v>
      </x:c>
      <x:c r="K45" s="122" t="str">
        <x:v>No direct AnchorMap term found; propose code-safe alias: working liquid viscosity variables</x:v>
      </x:c>
      <x:c r="L45" s="124" t="str">
        <x:v>Medium</x:v>
      </x:c>
      <x:c r="M45" s="122" t="str">
        <x:v>Dynamic observation and range constraint</x:v>
      </x:c>
      <x:c r="N45" s="108" t="str">
        <x:v>Verification depends on operational, time-stamped, route-dependent, monitored, or simulation-response information.</x:v>
      </x:c>
      <x:c r="O45" s="113" t="str">
        <x:v>No</x:v>
      </x:c>
      <x:c r="P45" s="113" t="str">
        <x:v>Included - source reverified and locked</x:v>
      </x:c>
      <x:c r="Q45" s="108" t="str">
        <x:v>LOCK-2026-08-10: Corrected the physical PDF page from 20 to 21. Final source lock check completed against the supplied PDF; equation notation is ASCII-linearized.</x:v>
      </x:c>
      <x:c r="R45" s="108" t="str">
        <x:v>LOCK-2026-08-11-R2 | source_pdf=MSC.385(94).pdf | source_sha256=6c6a038bff68ee906dd97c41e95fb4442917c014c8e79228f15e80cc5afa5c1f | physical_pdf_page=21 | section=Part I-A Chapter 6 - Machinery installations | clause=6.3.1.2 | checks=independent_full_text_page_layout; numbers_units_operators_equations; normalized_rule_meaning; five_category_classification | status=LOCKED</x:v>
      </x:c>
      <x:c r="S45" s="108" t="str">
        <x:v>New IMO source; not derived from the thesis extraction.</x:v>
      </x:c>
      <x:c r="T45" s="108" t="str">
        <x:v>PASS - source/page/clause/meaning/category reverified</x:v>
      </x:c>
      <x:c r="U45" s="108" t="str">
        <x:v>LOCKED - extraction reverified</x:v>
      </x:c>
      <x:c r="V45" s="123" t="str">
        <x:v>Second-pass extraction lock covers source identity, physical PDF page span, section/clause, ASCII transcription, normalized meaning, and verification category. SHACL shapes remain a separate implementation artifact.</x:v>
      </x:c>
      <x:c r="W45" s="123" t="str">
        <x:v>https://wwwcdn.imo.org/localresources/en/KnowledgeCentre/IndexofIMOResolutions/MSCResolutions/MSC.385%2894%29.pdf</x:v>
      </x:c>
      <x:c r="X45" s="123" t="str">
        <x:v>Manufacturer viscosity range and operational viscosity observations</x:v>
      </x:c>
      <x:c r="Y45" s="123" t="str">
        <x:v>Validate observations against the applicable manufacturer-defined range.</x:v>
      </x:c>
    </x:row>
    <x:row r="46" ht="100" customHeight="1">
      <x:c r="A46" s="108" t="str">
        <x:v>IMO-045</x:v>
      </x:c>
      <x:c r="B46" s="108" t="str">
        <x:v>International Code for Ships Operating in Polar Waters (Polar Code)</x:v>
      </x:c>
      <x:c r="C46" s="108" t="str">
        <x:v>Resolution MSC.385(94), adopted 21 Nov 2014; consolidated with MEPC.264(68), adopted 15 May 2015</x:v>
      </x:c>
      <x:c r="D46" s="163" t="n">
        <x:v>21</x:v>
      </x:c>
      <x:c r="E46" s="108" t="str">
        <x:v>Part I-A Chapter 6 - Machinery installations</x:v>
      </x:c>
      <x:c r="F46" s="108" t="str">
        <x:v>6.3.1.3</x:v>
      </x:c>
      <x:c r="G46" s="113" t="str">
        <x:v>Static</x:v>
      </x:c>
      <x:c r="H46" s="120" t="str">
        <x:v>Seawater supplies for machinery systems shall be designed to prevent ingestion of ice, or otherwise arranged to ensure functionality.</x:v>
      </x:c>
      <x:c r="I46" s="121" t="str">
        <x:v>Every machinery seawater supply shall have ice_ingestion_prevention_present = true OR alternate_functionality_arrangement_approval_status = approved.</x:v>
      </x:c>
      <x:c r="J46" s="122" t="str">
        <x:v>machinery_seawater_supply, ice_ingestion_prevention_present, alternate_functionality_arrangement_approval_status</x:v>
      </x:c>
      <x:c r="K46" s="122" t="str">
        <x:v>No direct AnchorMap term found; propose code-safe alias: machinery seawater supply and ice-ingestion properties</x:v>
      </x:c>
      <x:c r="L46" s="124" t="str">
        <x:v>High</x:v>
      </x:c>
      <x:c r="M46" s="122" t="str">
        <x:v>Alternative-path equipment constraint</x:v>
      </x:c>
      <x:c r="N46" s="108" t="str">
        <x:v>Direct verification of a stated property, document, presence condition, enumeration, applicability rule, prohibition, or fixed limit.</x:v>
      </x:c>
      <x:c r="O46" s="113" t="str">
        <x:v>No</x:v>
      </x:c>
      <x:c r="P46" s="113" t="str">
        <x:v>Included - source reverified and locked</x:v>
      </x:c>
      <x:c r="Q46" s="108" t="str">
        <x:v>LOCK-2026-08-10: Corrected the physical PDF page from 20 to 21. Final source lock check completed against the supplied PDF; equation notation is ASCII-linearized.</x:v>
      </x:c>
      <x:c r="R46" s="108" t="str">
        <x:v>LOCK-2026-08-11-R2 | source_pdf=MSC.385(94).pdf | source_sha256=6c6a038bff68ee906dd97c41e95fb4442917c014c8e79228f15e80cc5afa5c1f | physical_pdf_page=21 | section=Part I-A Chapter 6 - Machinery installations | clause=6.3.1.3 | checks=independent_full_text_page_layout; numbers_units_operators_equations; normalized_rule_meaning; five_category_classification | status=LOCKED</x:v>
      </x:c>
      <x:c r="S46" s="108" t="str">
        <x:v>New IMO source; not derived from the thesis extraction.</x:v>
      </x:c>
      <x:c r="T46" s="108" t="str">
        <x:v>PASS - source/page/clause/meaning/category reverified</x:v>
      </x:c>
      <x:c r="U46" s="108" t="str">
        <x:v>LOCKED - extraction reverified</x:v>
      </x:c>
      <x:c r="V46" s="123" t="str">
        <x:v>Second-pass extraction lock covers source identity, physical PDF page span, section/clause, ASCII transcription, normalized meaning, and verification category. SHACL shapes remain a separate implementation artifact.</x:v>
      </x:c>
      <x:c r="W46" s="123" t="str">
        <x:v>https://wwwcdn.imo.org/localresources/en/KnowledgeCentre/IndexofIMOResolutions/MSCResolutions/MSC.385%2894%29.pdf</x:v>
      </x:c>
      <x:c r="X46" s="123" t="str">
        <x:v>Seawater-supply design and alternative-arrangement approval evidence</x:v>
      </x:c>
      <x:c r="Y46" s="123" t="str">
        <x:v>Use an OR constraint between direct prevention and an approved alternate arrangement.</x:v>
      </x:c>
    </x:row>
    <x:row r="47" ht="100" customHeight="1">
      <x:c r="A47" s="108" t="str">
        <x:v>IMO-046</x:v>
      </x:c>
      <x:c r="B47" s="108" t="str">
        <x:v>International Code for Ships Operating in Polar Waters (Polar Code)</x:v>
      </x:c>
      <x:c r="C47" s="108" t="str">
        <x:v>Resolution MSC.385(94), adopted 21 Nov 2014; consolidated with MEPC.264(68), adopted 15 May 2015</x:v>
      </x:c>
      <x:c r="D47" s="163" t="n">
        <x:v>21</x:v>
      </x:c>
      <x:c r="E47" s="108" t="str">
        <x:v>Part I-A Chapter 6 - Machinery installations</x:v>
      </x:c>
      <x:c r="F47" s="108" t="str">
        <x:v>6.3.2.1</x:v>
      </x:c>
      <x:c r="G47" s="113" t="str">
        <x:v>Physical Test</x:v>
      </x:c>
      <x:c r="H47" s="120" t="str">
        <x:v>For ships intended to operate in low air temperatures, exposed machinery and electrical installation and appliances shall function at the PST.</x:v>
      </x:c>
      <x:c r="I47" s="121" t="str">
        <x:v>IF ship_operates_in_low_air_temperature = true, THEN every exposed machinery item, electrical installation, and appliance shall have functional_test_temperature_degC &lt;= PST_degC AND functional_test_status = passed.</x:v>
      </x:c>
      <x:c r="J47" s="122" t="str">
        <x:v>ship_operates_in_low_air_temperature, exposed_equipment, functional_test_temperature_degC, PST_degC, functional_test_status</x:v>
      </x:c>
      <x:c r="K47" s="122" t="str">
        <x:v>testTemperature_degC -&gt; mat:testTemperature_degC; No direct AnchorMap term found; propose code-safe alias: exposed_equipment, functional_test_status</x:v>
      </x:c>
      <x:c r="L47" s="124" t="str">
        <x:v>Medium</x:v>
      </x:c>
      <x:c r="M47" s="122" t="str">
        <x:v>Conditional environmental test-evidence constraint</x:v>
      </x:c>
      <x:c r="N47" s="108" t="str">
        <x:v>Compliance is established mainly through survey, inspection, material testing, operability testing, or other physical evidence.</x:v>
      </x:c>
      <x:c r="O47" s="113" t="str">
        <x:v>No</x:v>
      </x:c>
      <x:c r="P47" s="113" t="str">
        <x:v>Included - source reverified and locked</x:v>
      </x:c>
      <x:c r="Q47" s="108" t="str">
        <x:v>LOCK-2026-08-10: No source, page, clause, category, or normalized-meaning correction was required. Source wording was checked against the supplied PDF; equation notation is ASCII-linearized.</x:v>
      </x:c>
      <x:c r="R47" s="108" t="str">
        <x:v>LOCK-2026-08-11-R2 | source_pdf=MSC.385(94).pdf | source_sha256=6c6a038bff68ee906dd97c41e95fb4442917c014c8e79228f15e80cc5afa5c1f | physical_pdf_page=21 | section=Part I-A Chapter 6 - Machinery installations | clause=6.3.2.1 | checks=independent_full_text_page_layout; numbers_units_operators_equations; normalized_rule_meaning; five_category_classification | status=LOCKED</x:v>
      </x:c>
      <x:c r="S47" s="108" t="str">
        <x:v>New IMO source; not derived from the thesis extraction.</x:v>
      </x:c>
      <x:c r="T47" s="108" t="str">
        <x:v>PASS - source/page/clause/meaning/category reverified</x:v>
      </x:c>
      <x:c r="U47" s="108" t="str">
        <x:v>LOCKED - extraction reverified</x:v>
      </x:c>
      <x:c r="V47" s="123" t="str">
        <x:v>Second-pass extraction lock covers source identity, physical PDF page span, section/clause, ASCII transcription, normalized meaning, and verification category. SHACL shapes remain a separate implementation artifact.</x:v>
      </x:c>
      <x:c r="W47" s="123" t="str">
        <x:v>https://wwwcdn.imo.org/localresources/en/KnowledgeCentre/IndexofIMOResolutions/MSCResolutions/MSC.385%2894%29.pdf</x:v>
      </x:c>
      <x:c r="X47" s="123" t="str">
        <x:v>Exposed-equipment inventory and PST functional-test records</x:v>
      </x:c>
      <x:c r="Y47" s="123" t="str">
        <x:v>Require a passed functional test at or below the ship PST for each exposed item.</x:v>
      </x:c>
    </x:row>
    <x:row r="48" ht="100" customHeight="1">
      <x:c r="A48" s="108" t="str">
        <x:v>IMO-047</x:v>
      </x:c>
      <x:c r="B48" s="108" t="str">
        <x:v>International Code for Ships Operating in Polar Waters (Polar Code)</x:v>
      </x:c>
      <x:c r="C48" s="108" t="str">
        <x:v>Resolution MSC.385(94), adopted 21 Nov 2014; consolidated with MEPC.264(68), adopted 15 May 2015</x:v>
      </x:c>
      <x:c r="D48" s="163" t="n">
        <x:v>21</x:v>
      </x:c>
      <x:c r="E48" s="108" t="str">
        <x:v>Part I-A Chapter 6 - Machinery installations</x:v>
      </x:c>
      <x:c r="F48" s="108" t="str">
        <x:v>6.3.2.2</x:v>
      </x:c>
      <x:c r="G48" s="113" t="str">
        <x:v>Static</x:v>
      </x:c>
      <x:c r="H48" s="120" t="str">
        <x:v>Means shall be provided to ensure that combustion air for internal combustion engines driving essential machinery is maintained at a temperature in compliance with the criteria provided by the engine manufacturer.</x:v>
      </x:c>
      <x:c r="I48" s="121" t="str">
        <x:v>For every internal combustion engine driving essential machinery, combustion_air_temperature_control_present = true AND combustion_air_temperature_degC shall be within the engine manufacturer criteria.</x:v>
      </x:c>
      <x:c r="J48" s="122" t="str">
        <x:v>essential_engine, combustion_air_temperature_control_present, combustion_air_temperature_degC, manufacturer_min_air_temperature_degC, manufacturer_max_air_temperature_degC</x:v>
      </x:c>
      <x:c r="K48" s="122" t="str">
        <x:v>testTemperature_degC -&gt; mat:testTemperature_degC; No direct AnchorMap term found; propose code-safe alias: combustion-air control and manufacturer-limit variables</x:v>
      </x:c>
      <x:c r="L48" s="124" t="str">
        <x:v>High</x:v>
      </x:c>
      <x:c r="M48" s="122" t="str">
        <x:v>Qualified equipment and numeric range constraint</x:v>
      </x:c>
      <x:c r="N48" s="108" t="str">
        <x:v>Direct verification of a stated property, document, presence condition, enumeration, applicability rule, prohibition, or fixed limit.</x:v>
      </x:c>
      <x:c r="O48" s="113" t="str">
        <x:v>No</x:v>
      </x:c>
      <x:c r="P48" s="113" t="str">
        <x:v>Included - source reverified and locked</x:v>
      </x:c>
      <x:c r="Q48" s="108" t="str">
        <x:v>LOCK-2026-08-10: No source, page, clause, category, or normalized-meaning correction was required. Source wording was checked against the supplied PDF; equation notation is ASCII-linearized.</x:v>
      </x:c>
      <x:c r="R48" s="108" t="str">
        <x:v>LOCK-2026-08-11-R2 | source_pdf=MSC.385(94).pdf | source_sha256=6c6a038bff68ee906dd97c41e95fb4442917c014c8e79228f15e80cc5afa5c1f | physical_pdf_page=21 | section=Part I-A Chapter 6 - Machinery installations | clause=6.3.2.2 | checks=independent_full_text_page_layout; numbers_units_operators_equations; normalized_rule_meaning; five_category_classification | status=LOCKED</x:v>
      </x:c>
      <x:c r="S48" s="108" t="str">
        <x:v>New IMO source; not derived from the thesis extraction.</x:v>
      </x:c>
      <x:c r="T48" s="108" t="str">
        <x:v>PASS - source/page/clause/meaning/category reverified</x:v>
      </x:c>
      <x:c r="U48" s="108" t="str">
        <x:v>LOCKED - extraction reverified</x:v>
      </x:c>
      <x:c r="V48" s="123" t="str">
        <x:v>Second-pass extraction lock covers source identity, physical PDF page span, section/clause, ASCII transcription, normalized meaning, and verification category. SHACL shapes remain a separate implementation artifact.</x:v>
      </x:c>
      <x:c r="W48" s="123" t="str">
        <x:v>https://wwwcdn.imo.org/localresources/en/KnowledgeCentre/IndexofIMOResolutions/MSCResolutions/MSC.385%2894%29.pdf</x:v>
      </x:c>
      <x:c r="X48" s="123" t="str">
        <x:v>Essential-engine inventory, control arrangement, observed/design temperature, and manufacturer limits</x:v>
      </x:c>
      <x:c r="Y48" s="123" t="str">
        <x:v>Require the control means and compare the applicable temperature with manufacturer criteria.</x:v>
      </x:c>
    </x:row>
    <x:row r="49" ht="100" customHeight="1">
      <x:c r="A49" s="108" t="str">
        <x:v>IMO-048</x:v>
      </x:c>
      <x:c r="B49" s="108" t="str">
        <x:v>International Code for Ships Operating in Polar Waters (Polar Code)</x:v>
      </x:c>
      <x:c r="C49" s="108" t="str">
        <x:v>Resolution MSC.385(94), adopted 21 Nov 2014; consolidated with MEPC.264(68), adopted 15 May 2015</x:v>
      </x:c>
      <x:c r="D49" s="163" t="n">
        <x:v>21</x:v>
      </x:c>
      <x:c r="E49" s="108" t="str">
        <x:v>Part I-A Chapter 6 - Machinery installations</x:v>
      </x:c>
      <x:c r="F49" s="108" t="str">
        <x:v>6.3.2.3</x:v>
      </x:c>
      <x:c r="G49" s="113" t="str">
        <x:v>Complex</x:v>
      </x:c>
      <x:c r="H49" s="120" t="str">
        <x:v>Materials of exposed machinery and foundations shall be approved by the Administration, or a recognized organization accepted by it, taking into account standards acceptable to the Organization or other standards offering an equivalent level of safety based on the PST.</x:v>
      </x:c>
      <x:c r="I49" s="121" t="str">
        <x:v>Every exposed machinery or foundation material shall have approval evidence from an accepted authority based on PST and an accepted or equivalent-safety standard.</x:v>
      </x:c>
      <x:c r="J49" s="122" t="str">
        <x:v>exposed_machinery_or_foundation_material, material_approval_status, approving_authority, PST_degC, approval_standard</x:v>
      </x:c>
      <x:c r="K49" s="122" t="str">
        <x:v>materialCertificateID -&gt; mat:materialCertificateID; testTemperature_degC -&gt; mat:testTemperature_degC; No direct AnchorMap term found; propose code-safe alias: material_approval_status, approving_authority, PST_degC, approval_standard</x:v>
      </x:c>
      <x:c r="L49" s="124" t="str">
        <x:v>Medium</x:v>
      </x:c>
      <x:c r="M49" s="122" t="str">
        <x:v>Qualified approval-evidence constraint</x:v>
      </x:c>
      <x:c r="N49" s="108" t="str">
        <x:v>Verification requires linked conditions, external approval or evidence, an assessment, or a composite workflow.</x:v>
      </x:c>
      <x:c r="O49" s="113" t="str">
        <x:v>No</x:v>
      </x:c>
      <x:c r="P49" s="113" t="str">
        <x:v>Included - source reverified and locked</x:v>
      </x:c>
      <x:c r="Q49" s="108" t="str">
        <x:v>LOCK-2026-08-10: No source, page, clause, category, or normalized-meaning correction was required. Source wording was checked against the supplied PDF; equation notation is ASCII-linearized.</x:v>
      </x:c>
      <x:c r="R49" s="108" t="str">
        <x:v>LOCK-2026-08-11-R2 | source_pdf=MSC.385(94).pdf | source_sha256=6c6a038bff68ee906dd97c41e95fb4442917c014c8e79228f15e80cc5afa5c1f | physical_pdf_page=21 | section=Part I-A Chapter 6 - Machinery installations | clause=6.3.2.3 | checks=independent_full_text_page_layout; numbers_units_operators_equations; normalized_rule_meaning; five_category_classification | status=LOCKED</x:v>
      </x:c>
      <x:c r="S49" s="108" t="str">
        <x:v>New IMO source; not derived from the thesis extraction.</x:v>
      </x:c>
      <x:c r="T49" s="108" t="str">
        <x:v>PASS - source/page/clause/meaning/category reverified</x:v>
      </x:c>
      <x:c r="U49" s="108" t="str">
        <x:v>LOCKED - extraction reverified</x:v>
      </x:c>
      <x:c r="V49" s="123" t="str">
        <x:v>Second-pass extraction lock covers source identity, physical PDF page span, section/clause, ASCII transcription, normalized meaning, and verification category. SHACL shapes remain a separate implementation artifact.</x:v>
      </x:c>
      <x:c r="W49" s="123" t="str">
        <x:v>https://wwwcdn.imo.org/localresources/en/KnowledgeCentre/IndexofIMOResolutions/MSCResolutions/MSC.385%2894%29.pdf</x:v>
      </x:c>
      <x:c r="X49" s="123" t="str">
        <x:v>Material certificates, approving authority, PST, and standard reference</x:v>
      </x:c>
      <x:c r="Y49" s="123" t="str">
        <x:v>Require one valid approval node for each exposed material.</x:v>
      </x:c>
    </x:row>
    <x:row r="50" ht="100" customHeight="1">
      <x:c r="A50" s="108" t="str">
        <x:v>IMO-049</x:v>
      </x:c>
      <x:c r="B50" s="108" t="str">
        <x:v>International Code for Ships Operating in Polar Waters (Polar Code)</x:v>
      </x:c>
      <x:c r="C50" s="108" t="str">
        <x:v>Resolution MSC.385(94), adopted 21 Nov 2014; consolidated with MEPC.264(68), adopted 15 May 2015</x:v>
      </x:c>
      <x:c r="D50" s="163" t="n">
        <x:v>21</x:v>
      </x:c>
      <x:c r="E50" s="108" t="str">
        <x:v>Part I-A Chapter 6 - Machinery installations</x:v>
      </x:c>
      <x:c r="F50" s="108" t="str">
        <x:v>6.3.3.1-.3</x:v>
      </x:c>
      <x:c r="G50" s="113" t="str">
        <x:v>Complex</x:v>
      </x:c>
      <x:c r="H50" s="120" t="str">
        <x:v>Scantlings of propeller blades, propulsion line, steering equipment and other appendages of category A ships shall be approved by the Administration, or a recognized organization accepted by it, taking into account standards acceptable to the Organization or other standards offering an equivalent level of safety; scantlings of propeller blades, propulsion line, steering equipment and other appendages of category B ships shall be approved by the Administration, or a recognized organization accepted by it, taking into account standards acceptable to the Organization or other standards offering an equivalent level of safety; and scantlings of propeller blades, propulsion line, steering equipment and other appendages of ice-strengthened category C ships shall be approved by the Administration, or a recognized organization accepted by it, taking into account acceptable standards adequate with the ice types and concentration encountered in the area of operation.</x:v>
      </x:c>
      <x:c r="I50" s="121" t="str">
        <x:v>For category A, category B, and ice-strengthened category C ships, each propeller blade, propulsion-line, steering-equipment, and appendage scantling shall have approval evidence from an accepted authority using an accepted or equivalent-safety standard; category C evidence shall address operating ice type and concentration.</x:v>
      </x:c>
      <x:c r="J50" s="122" t="str">
        <x:v>ship_category, ship_ice_strengthened, machinery_component_type, scantling_approval_status, approving_authority, approval_standard, operating_ice_type, operating_ice_concentration</x:v>
      </x:c>
      <x:c r="K50" s="122" t="str">
        <x:v>iceClass -&gt; reg:iceClass; No direct AnchorMap term found; propose code-safe alias: ship category, component scantling approval and operating-ice properties</x:v>
      </x:c>
      <x:c r="L50" s="124" t="str">
        <x:v>Medium</x:v>
      </x:c>
      <x:c r="M50" s="122" t="str">
        <x:v>Category-conditioned qualified approval constraint</x:v>
      </x:c>
      <x:c r="N50" s="108" t="str">
        <x:v>Verification requires linked conditions, external approval or evidence, an assessment, or a composite workflow.</x:v>
      </x:c>
      <x:c r="O50" s="113" t="str">
        <x:v>No</x:v>
      </x:c>
      <x:c r="P50" s="113" t="str">
        <x:v>Included - source reverified and locked</x:v>
      </x:c>
      <x:c r="Q50" s="108" t="str">
        <x:v>LOCK-2026-08-10: No source, page, clause, category, or normalized-meaning correction was required. Source wording was checked against the supplied PDF; equation notation is ASCII-linearized.</x:v>
      </x:c>
      <x:c r="R50" s="108" t="str">
        <x:v>LOCK-2026-08-11-R2 | source_pdf=MSC.385(94).pdf | source_sha256=6c6a038bff68ee906dd97c41e95fb4442917c014c8e79228f15e80cc5afa5c1f | physical_pdf_page=21 | section=Part I-A Chapter 6 - Machinery installations | clause=6.3.3.1-.3 | checks=independent_full_text_page_layout; numbers_units_operators_equations; normalized_rule_meaning; five_category_classification | status=LOCKED</x:v>
      </x:c>
      <x:c r="S50" s="108" t="str">
        <x:v>New IMO source; not derived from the thesis extraction.</x:v>
      </x:c>
      <x:c r="T50" s="108" t="str">
        <x:v>PASS - source/page/clause/meaning/category reverified</x:v>
      </x:c>
      <x:c r="U50" s="108" t="str">
        <x:v>LOCKED - extraction reverified</x:v>
      </x:c>
      <x:c r="V50" s="123" t="str">
        <x:v>Second-pass extraction lock covers source identity, physical PDF page span, section/clause, ASCII transcription, normalized meaning, and verification category. SHACL shapes remain a separate implementation artifact.</x:v>
      </x:c>
      <x:c r="W50" s="123" t="str">
        <x:v>https://wwwcdn.imo.org/localresources/en/KnowledgeCentre/IndexofIMOResolutions/MSCResolutions/MSC.385%2894%29.pdf</x:v>
      </x:c>
      <x:c r="X50" s="123" t="str">
        <x:v>Ship category, component inventory, scantling approval, standard, and operating-ice evidence</x:v>
      </x:c>
      <x:c r="Y50" s="123" t="str">
        <x:v>Use component and category branches with a required approval-evidence node.</x:v>
      </x:c>
    </x:row>
    <x:row r="51" ht="100" customHeight="1">
      <x:c r="A51" s="108" t="str">
        <x:v>IMO-050</x:v>
      </x:c>
      <x:c r="B51" s="108" t="str">
        <x:v>International Code for Ships Operating in Polar Waters (Polar Code)</x:v>
      </x:c>
      <x:c r="C51" s="108" t="str">
        <x:v>Resolution MSC.385(94), adopted 21 Nov 2014; consolidated with MEPC.264(68), adopted 15 May 2015</x:v>
      </x:c>
      <x:c r="D51" s="163" t="n">
        <x:v>22</x:v>
      </x:c>
      <x:c r="E51" s="108" t="str">
        <x:v>Part I-A Chapter 7 - Fire safety/protection</x:v>
      </x:c>
      <x:c r="F51" s="108" t="str">
        <x:v>7.2.1.1</x:v>
      </x:c>
      <x:c r="G51" s="113" t="str">
        <x:v>Static</x:v>
      </x:c>
      <x:c r="H51" s="120" t="str">
        <x:v>All components of fire safety systems and appliances if installed in exposed positions shall be protected from ice accretion and snow accumulation.</x:v>
      </x:c>
      <x:c r="I51" s="121" t="str">
        <x:v>IF fire_safety_component_exposed = true, THEN ice_and_snow_protection_present = true.</x:v>
      </x:c>
      <x:c r="J51" s="122" t="str">
        <x:v>fire_safety_component, fire_safety_component_exposed, ice_and_snow_protection_present</x:v>
      </x:c>
      <x:c r="K51" s="122" t="str">
        <x:v>No direct AnchorMap term found; propose code-safe alias: fire safety component exposure and protection properties</x:v>
      </x:c>
      <x:c r="L51" s="124" t="str">
        <x:v>High</x:v>
      </x:c>
      <x:c r="M51" s="122" t="str">
        <x:v>Conditional equipment-protection constraint</x:v>
      </x:c>
      <x:c r="N51" s="108" t="str">
        <x:v>Direct verification of a stated property, document, presence condition, enumeration, applicability rule, prohibition, or fixed limit.</x:v>
      </x:c>
      <x:c r="O51" s="113" t="str">
        <x:v>No</x:v>
      </x:c>
      <x:c r="P51" s="113" t="str">
        <x:v>Included - source reverified and locked</x:v>
      </x:c>
      <x:c r="Q51" s="108" t="str">
        <x:v>LOCK-2026-08-10: No source, page, clause, category, or normalized-meaning correction was required. Source wording was checked against the supplied PDF; equation notation is ASCII-linearized.</x:v>
      </x:c>
      <x:c r="R51" s="108" t="str">
        <x:v>LOCK-2026-08-11-R2 | source_pdf=MSC.385(94).pdf | source_sha256=6c6a038bff68ee906dd97c41e95fb4442917c014c8e79228f15e80cc5afa5c1f | physical_pdf_page=22 | section=Part I-A Chapter 7 - Fire safety/protection | clause=7.2.1.1 | checks=independent_full_text_page_layout; numbers_units_operators_equations; normalized_rule_meaning; five_category_classification | status=LOCKED</x:v>
      </x:c>
      <x:c r="S51" s="108" t="str">
        <x:v>New IMO source; not derived from the thesis extraction.</x:v>
      </x:c>
      <x:c r="T51" s="108" t="str">
        <x:v>PASS - source/page/clause/meaning/category reverified</x:v>
      </x:c>
      <x:c r="U51" s="108" t="str">
        <x:v>LOCKED - extraction reverified</x:v>
      </x:c>
      <x:c r="V51" s="123" t="str">
        <x:v>Second-pass extraction lock covers source identity, physical PDF page span, section/clause, ASCII transcription, normalized meaning, and verification category. SHACL shapes remain a separate implementation artifact.</x:v>
      </x:c>
      <x:c r="W51" s="123" t="str">
        <x:v>https://wwwcdn.imo.org/localresources/en/KnowledgeCentre/IndexofIMOResolutions/MSCResolutions/MSC.385%2894%29.pdf</x:v>
      </x:c>
      <x:c r="X51" s="123" t="str">
        <x:v>Fire-safety component inventory, exposure status, and protection evidence</x:v>
      </x:c>
      <x:c r="Y51" s="123" t="str">
        <x:v>Condition the protection requirement on exposed installation.</x:v>
      </x:c>
    </x:row>
    <x:row r="52" ht="100" customHeight="1">
      <x:c r="A52" s="108" t="str">
        <x:v>IMO-051</x:v>
      </x:c>
      <x:c r="B52" s="108" t="str">
        <x:v>International Code for Ships Operating in Polar Waters (Polar Code)</x:v>
      </x:c>
      <x:c r="C52" s="108" t="str">
        <x:v>Resolution MSC.385(94), adopted 21 Nov 2014; consolidated with MEPC.264(68), adopted 15 May 2015</x:v>
      </x:c>
      <x:c r="D52" s="163" t="n">
        <x:v>22</x:v>
      </x:c>
      <x:c r="E52" s="108" t="str">
        <x:v>Part I-A Chapter 7 - Fire safety/protection</x:v>
      </x:c>
      <x:c r="F52" s="108" t="str">
        <x:v>7.2.1.2</x:v>
      </x:c>
      <x:c r="G52" s="113" t="str">
        <x:v>Static</x:v>
      </x:c>
      <x:c r="H52" s="120" t="str">
        <x:v>Local equipment and machinery controls shall be arranged so as to avoid freezing, snow accumulation and ice accretion and their location to remain accessible at all time.</x:v>
      </x:c>
      <x:c r="I52" s="121" t="str">
        <x:v>Every local equipment or machinery control shall have freezing_snow_ice_protection_present = true AND continuously_accessible = true.</x:v>
      </x:c>
      <x:c r="J52" s="122" t="str">
        <x:v>local_control, freezing_snow_ice_protection_present, continuously_accessible</x:v>
      </x:c>
      <x:c r="K52" s="122" t="str">
        <x:v>No direct AnchorMap term found; propose code-safe alias: local control protection and accessibility properties</x:v>
      </x:c>
      <x:c r="L52" s="124" t="str">
        <x:v>High</x:v>
      </x:c>
      <x:c r="M52" s="122" t="str">
        <x:v>Qualified equipment and Boolean constraint</x:v>
      </x:c>
      <x:c r="N52" s="108" t="str">
        <x:v>Direct verification of a stated property, document, presence condition, enumeration, applicability rule, prohibition, or fixed limit.</x:v>
      </x:c>
      <x:c r="O52" s="113" t="str">
        <x:v>No</x:v>
      </x:c>
      <x:c r="P52" s="113" t="str">
        <x:v>Included - source reverified and locked</x:v>
      </x:c>
      <x:c r="Q52" s="108" t="str">
        <x:v>LOCK-2026-08-10: No source, page, clause, category, or normalized-meaning correction was required. Source wording was checked against the supplied PDF; equation notation is ASCII-linearized.</x:v>
      </x:c>
      <x:c r="R52" s="108" t="str">
        <x:v>LOCK-2026-08-11-R2 | source_pdf=MSC.385(94).pdf | source_sha256=6c6a038bff68ee906dd97c41e95fb4442917c014c8e79228f15e80cc5afa5c1f | physical_pdf_page=22 | section=Part I-A Chapter 7 - Fire safety/protection | clause=7.2.1.2 | checks=independent_full_text_page_layout; numbers_units_operators_equations; normalized_rule_meaning; five_category_classification | status=LOCKED</x:v>
      </x:c>
      <x:c r="S52" s="108" t="str">
        <x:v>New IMO source; not derived from the thesis extraction.</x:v>
      </x:c>
      <x:c r="T52" s="108" t="str">
        <x:v>PASS - source/page/clause/meaning/category reverified</x:v>
      </x:c>
      <x:c r="U52" s="108" t="str">
        <x:v>LOCKED - extraction reverified</x:v>
      </x:c>
      <x:c r="V52" s="123" t="str">
        <x:v>Second-pass extraction lock covers source identity, physical PDF page span, section/clause, ASCII transcription, normalized meaning, and verification category. SHACL shapes remain a separate implementation artifact.</x:v>
      </x:c>
      <x:c r="W52" s="123" t="str">
        <x:v>https://wwwcdn.imo.org/localresources/en/KnowledgeCentre/IndexofIMOResolutions/MSCResolutions/MSC.385%2894%29.pdf</x:v>
      </x:c>
      <x:c r="X52" s="123" t="str">
        <x:v>Control inventory, protection arrangement, and accessibility status</x:v>
      </x:c>
      <x:c r="Y52" s="123" t="str">
        <x:v>Require both protection and continuous accessibility for each local control.</x:v>
      </x:c>
    </x:row>
    <x:row r="53" ht="100" customHeight="1">
      <x:c r="A53" s="108" t="str">
        <x:v>IMO-052</x:v>
      </x:c>
      <x:c r="B53" s="108" t="str">
        <x:v>International Code for Ships Operating in Polar Waters (Polar Code)</x:v>
      </x:c>
      <x:c r="C53" s="108" t="str">
        <x:v>Resolution MSC.385(94), adopted 21 Nov 2014; consolidated with MEPC.264(68), adopted 15 May 2015</x:v>
      </x:c>
      <x:c r="D53" s="163" t="n">
        <x:v>22</x:v>
      </x:c>
      <x:c r="E53" s="108" t="str">
        <x:v>Part I-A Chapter 7 - Fire safety/protection</x:v>
      </x:c>
      <x:c r="F53" s="108" t="str">
        <x:v>7.2.1.4</x:v>
      </x:c>
      <x:c r="G53" s="113" t="str">
        <x:v>Static</x:v>
      </x:c>
      <x:c r="H53" s="120" t="str">
        <x:v>Means shall be provided to remove or prevent ice and snow accretion from accesses.</x:v>
      </x:c>
      <x:c r="I53" s="121" t="str">
        <x:v>Every required access shall have an associated ice_or_snow_removal_or_prevention_means.</x:v>
      </x:c>
      <x:c r="J53" s="122" t="str">
        <x:v>required_access, ice_or_snow_removal_or_prevention_means</x:v>
      </x:c>
      <x:c r="K53" s="122" t="str">
        <x:v>No direct AnchorMap term found; propose code-safe alias: required_access, ice_or_snow_removal_or_prevention_means</x:v>
      </x:c>
      <x:c r="L53" s="124" t="str">
        <x:v>High</x:v>
      </x:c>
      <x:c r="M53" s="122" t="str">
        <x:v>Qualified equipment-presence constraint</x:v>
      </x:c>
      <x:c r="N53" s="108" t="str">
        <x:v>Direct verification of a stated property, document, presence condition, enumeration, applicability rule, prohibition, or fixed limit.</x:v>
      </x:c>
      <x:c r="O53" s="113" t="str">
        <x:v>No</x:v>
      </x:c>
      <x:c r="P53" s="113" t="str">
        <x:v>Included - source reverified and locked</x:v>
      </x:c>
      <x:c r="Q53" s="108" t="str">
        <x:v>LOCK-2026-08-10: No source, page, clause, category, or normalized-meaning correction was required. Source wording was checked against the supplied PDF; equation notation is ASCII-linearized.</x:v>
      </x:c>
      <x:c r="R53" s="108" t="str">
        <x:v>LOCK-2026-08-11-R2 | source_pdf=MSC.385(94).pdf | source_sha256=6c6a038bff68ee906dd97c41e95fb4442917c014c8e79228f15e80cc5afa5c1f | physical_pdf_page=22 | section=Part I-A Chapter 7 - Fire safety/protection | clause=7.2.1.4 | checks=independent_full_text_page_layout; numbers_units_operators_equations; normalized_rule_meaning; five_category_classification | status=LOCKED</x:v>
      </x:c>
      <x:c r="S53" s="108" t="str">
        <x:v>New IMO source; not derived from the thesis extraction.</x:v>
      </x:c>
      <x:c r="T53" s="108" t="str">
        <x:v>PASS - source/page/clause/meaning/category reverified</x:v>
      </x:c>
      <x:c r="U53" s="108" t="str">
        <x:v>LOCKED - extraction reverified</x:v>
      </x:c>
      <x:c r="V53" s="123" t="str">
        <x:v>Second-pass extraction lock covers source identity, physical PDF page span, section/clause, ASCII transcription, normalized meaning, and verification category. SHACL shapes remain a separate implementation artifact.</x:v>
      </x:c>
      <x:c r="W53" s="123" t="str">
        <x:v>https://wwwcdn.imo.org/localresources/en/KnowledgeCentre/IndexofIMOResolutions/MSCResolutions/MSC.385%2894%29.pdf</x:v>
      </x:c>
      <x:c r="X53" s="123" t="str">
        <x:v>Required-access inventory and associated anti-icing means</x:v>
      </x:c>
      <x:c r="Y53" s="123" t="str">
        <x:v>Require at least one removal or prevention means per access.</x:v>
      </x:c>
    </x:row>
    <x:row r="54" ht="100" customHeight="1">
      <x:c r="A54" s="108" t="str">
        <x:v>IMO-053</x:v>
      </x:c>
      <x:c r="B54" s="108" t="str">
        <x:v>International Code for Ships Operating in Polar Waters (Polar Code)</x:v>
      </x:c>
      <x:c r="C54" s="108" t="str">
        <x:v>Resolution MSC.385(94), adopted 21 Nov 2014; consolidated with MEPC.264(68), adopted 15 May 2015</x:v>
      </x:c>
      <x:c r="D54" s="163" t="n">
        <x:v>22</x:v>
      </x:c>
      <x:c r="E54" s="108" t="str">
        <x:v>Part I-A Chapter 7 - Fire safety/protection</x:v>
      </x:c>
      <x:c r="F54" s="108" t="str">
        <x:v>7.2.1.5</x:v>
      </x:c>
      <x:c r="G54" s="113" t="str">
        <x:v>Static</x:v>
      </x:c>
      <x:c r="H54" s="120" t="str">
        <x:v>Extinguishing media shall be suitable for intended operation.</x:v>
      </x:c>
      <x:c r="I54" s="121" t="str">
        <x:v>Every extinguishing medium shall have intended_operation_compatibility_status = approved.</x:v>
      </x:c>
      <x:c r="J54" s="122" t="str">
        <x:v>extinguishing_medium, intended_operation_compatibility_status</x:v>
      </x:c>
      <x:c r="K54" s="122" t="str">
        <x:v>No direct AnchorMap term found; propose code-safe alias: extinguishing_medium, intended_operation_compatibility_status</x:v>
      </x:c>
      <x:c r="L54" s="124" t="str">
        <x:v>Medium</x:v>
      </x:c>
      <x:c r="M54" s="122" t="str">
        <x:v>Qualified approval-status constraint</x:v>
      </x:c>
      <x:c r="N54" s="108" t="str">
        <x:v>Direct verification of a stated property, document, presence condition, enumeration, applicability rule, prohibition, or fixed limit.</x:v>
      </x:c>
      <x:c r="O54" s="113" t="str">
        <x:v>No</x:v>
      </x:c>
      <x:c r="P54" s="113" t="str">
        <x:v>Included - source reverified and locked</x:v>
      </x:c>
      <x:c r="Q54" s="108" t="str">
        <x:v>LOCK-2026-08-10: No source, page, clause, category, or normalized-meaning correction was required. Source wording was checked against the supplied PDF; equation notation is ASCII-linearized.</x:v>
      </x:c>
      <x:c r="R54" s="108" t="str">
        <x:v>LOCK-2026-08-11-R2 | source_pdf=MSC.385(94).pdf | source_sha256=6c6a038bff68ee906dd97c41e95fb4442917c014c8e79228f15e80cc5afa5c1f | physical_pdf_page=22 | section=Part I-A Chapter 7 - Fire safety/protection | clause=7.2.1.5 | checks=independent_full_text_page_layout; numbers_units_operators_equations; normalized_rule_meaning; five_category_classification | status=LOCKED</x:v>
      </x:c>
      <x:c r="S54" s="108" t="str">
        <x:v>New IMO source; not derived from the thesis extraction.</x:v>
      </x:c>
      <x:c r="T54" s="108" t="str">
        <x:v>PASS - source/page/clause/meaning/category reverified</x:v>
      </x:c>
      <x:c r="U54" s="108" t="str">
        <x:v>LOCKED - extraction reverified</x:v>
      </x:c>
      <x:c r="V54" s="123" t="str">
        <x:v>Second-pass extraction lock covers source identity, physical PDF page span, section/clause, ASCII transcription, normalized meaning, and verification category. SHACL shapes remain a separate implementation artifact.</x:v>
      </x:c>
      <x:c r="W54" s="123" t="str">
        <x:v>https://wwwcdn.imo.org/localresources/en/KnowledgeCentre/IndexofIMOResolutions/MSCResolutions/MSC.385%2894%29.pdf</x:v>
      </x:c>
      <x:c r="X54" s="123" t="str">
        <x:v>Extinguishing-media inventory and compatibility approval evidence</x:v>
      </x:c>
      <x:c r="Y54" s="123" t="str">
        <x:v>Model suitability as explicit approved compatibility evidence.</x:v>
      </x:c>
    </x:row>
    <x:row r="55" ht="100" customHeight="1">
      <x:c r="A55" s="108" t="str">
        <x:v>IMO-054</x:v>
      </x:c>
      <x:c r="B55" s="108" t="str">
        <x:v>International Code for Ships Operating in Polar Waters (Polar Code)</x:v>
      </x:c>
      <x:c r="C55" s="108" t="str">
        <x:v>Resolution MSC.385(94), adopted 21 Nov 2014; consolidated with MEPC.264(68), adopted 15 May 2015</x:v>
      </x:c>
      <x:c r="D55" s="163" t="n">
        <x:v>22</x:v>
      </x:c>
      <x:c r="E55" s="108" t="str">
        <x:v>Part I-A Chapter 7 - Fire safety/protection</x:v>
      </x:c>
      <x:c r="F55" s="108" t="str">
        <x:v>7.2.2.1</x:v>
      </x:c>
      <x:c r="G55" s="113" t="str">
        <x:v>Physical Test</x:v>
      </x:c>
      <x:c r="H55" s="120" t="str">
        <x:v>All components of fire safety systems and appliances shall be designed to ensure availability and effectiveness at the PST.</x:v>
      </x:c>
      <x:c r="I55" s="121" t="str">
        <x:v>For every fire-safety component, PST_availability_effectiveness_test_temperature_degC &lt;= PST_degC AND PST_test_status = passed.</x:v>
      </x:c>
      <x:c r="J55" s="122" t="str">
        <x:v>fire_safety_component, PST_availability_effectiveness_test_temperature_degC, PST_degC, PST_test_status</x:v>
      </x:c>
      <x:c r="K55" s="122" t="str">
        <x:v>testTemperature_degC -&gt; mat:testTemperature_degC; No direct AnchorMap term found; propose code-safe alias: fire safety component and PST test status</x:v>
      </x:c>
      <x:c r="L55" s="124" t="str">
        <x:v>Medium</x:v>
      </x:c>
      <x:c r="M55" s="122" t="str">
        <x:v>Environmental test-evidence constraint</x:v>
      </x:c>
      <x:c r="N55" s="108" t="str">
        <x:v>Compliance is established mainly through survey, inspection, material testing, operability testing, or other physical evidence.</x:v>
      </x:c>
      <x:c r="O55" s="113" t="str">
        <x:v>No</x:v>
      </x:c>
      <x:c r="P55" s="113" t="str">
        <x:v>Included - source reverified and locked</x:v>
      </x:c>
      <x:c r="Q55" s="108" t="str">
        <x:v>LOCK-2026-08-10: No source, page, clause, category, or normalized-meaning correction was required. Source wording was checked against the supplied PDF; equation notation is ASCII-linearized.</x:v>
      </x:c>
      <x:c r="R55" s="108" t="str">
        <x:v>LOCK-2026-08-11-R2 | source_pdf=MSC.385(94).pdf | source_sha256=6c6a038bff68ee906dd97c41e95fb4442917c014c8e79228f15e80cc5afa5c1f | physical_pdf_page=22 | section=Part I-A Chapter 7 - Fire safety/protection | clause=7.2.2.1 | checks=independent_full_text_page_layout; numbers_units_operators_equations; normalized_rule_meaning; five_category_classification | status=LOCKED</x:v>
      </x:c>
      <x:c r="S55" s="108" t="str">
        <x:v>New IMO source; not derived from the thesis extraction.</x:v>
      </x:c>
      <x:c r="T55" s="108" t="str">
        <x:v>PASS - source/page/clause/meaning/category reverified</x:v>
      </x:c>
      <x:c r="U55" s="108" t="str">
        <x:v>LOCKED - extraction reverified</x:v>
      </x:c>
      <x:c r="V55" s="123" t="str">
        <x:v>Second-pass extraction lock covers source identity, physical PDF page span, section/clause, ASCII transcription, normalized meaning, and verification category. SHACL shapes remain a separate implementation artifact.</x:v>
      </x:c>
      <x:c r="W55" s="123" t="str">
        <x:v>https://wwwcdn.imo.org/localresources/en/KnowledgeCentre/IndexofIMOResolutions/MSCResolutions/MSC.385%2894%29.pdf</x:v>
      </x:c>
      <x:c r="X55" s="123" t="str">
        <x:v>Component inventory and availability/effectiveness test records at PST</x:v>
      </x:c>
      <x:c r="Y55" s="123" t="str">
        <x:v>Require passed test evidence at or below PST for every component.</x:v>
      </x:c>
    </x:row>
    <x:row r="56" ht="100" customHeight="1">
      <x:c r="A56" s="108" t="str">
        <x:v>IMO-055</x:v>
      </x:c>
      <x:c r="B56" s="108" t="str">
        <x:v>International Code for Ships Operating in Polar Waters (Polar Code)</x:v>
      </x:c>
      <x:c r="C56" s="108" t="str">
        <x:v>Resolution MSC.385(94), adopted 21 Nov 2014; consolidated with MEPC.264(68), adopted 15 May 2015</x:v>
      </x:c>
      <x:c r="D56" s="163" t="n">
        <x:v>22</x:v>
      </x:c>
      <x:c r="E56" s="108" t="str">
        <x:v>Part I-A Chapter 7 - Fire safety/protection</x:v>
      </x:c>
      <x:c r="F56" s="108" t="str">
        <x:v>7.3.1.1</x:v>
      </x:c>
      <x:c r="G56" s="113" t="str">
        <x:v>Static</x:v>
      </x:c>
      <x:c r="H56" s="120" t="str">
        <x:v>Isolating and pressure/vacuum valves in exposed locations shall be protected from ice accretion and remain accessible at all times.</x:v>
      </x:c>
      <x:c r="I56" s="121" t="str">
        <x:v>IF valve_exposed = true AND valve_type IN {isolating, pressure, vacuum}, THEN ice_accretion_protection_present = true AND continuously_accessible = true.</x:v>
      </x:c>
      <x:c r="J56" s="122" t="str">
        <x:v>valve_type, valve_exposed, ice_accretion_protection_present, continuously_accessible</x:v>
      </x:c>
      <x:c r="K56" s="122" t="str">
        <x:v>No direct AnchorMap term found; propose code-safe alias: valve exposure, protection and accessibility properties</x:v>
      </x:c>
      <x:c r="L56" s="124" t="str">
        <x:v>High</x:v>
      </x:c>
      <x:c r="M56" s="122" t="str">
        <x:v>Conditional equipment constraint</x:v>
      </x:c>
      <x:c r="N56" s="108" t="str">
        <x:v>Direct verification of a stated property, document, presence condition, enumeration, applicability rule, prohibition, or fixed limit.</x:v>
      </x:c>
      <x:c r="O56" s="113" t="str">
        <x:v>No</x:v>
      </x:c>
      <x:c r="P56" s="113" t="str">
        <x:v>Included - source reverified and locked</x:v>
      </x:c>
      <x:c r="Q56" s="108" t="str">
        <x:v>LOCK-2026-08-10: No source, page, clause, category, or normalized-meaning correction was required. Source wording was checked against the supplied PDF; equation notation is ASCII-linearized.</x:v>
      </x:c>
      <x:c r="R56" s="108" t="str">
        <x:v>LOCK-2026-08-11-R2 | source_pdf=MSC.385(94).pdf | source_sha256=6c6a038bff68ee906dd97c41e95fb4442917c014c8e79228f15e80cc5afa5c1f | physical_pdf_page=22 | section=Part I-A Chapter 7 - Fire safety/protection | clause=7.3.1.1 | checks=independent_full_text_page_layout; numbers_units_operators_equations; normalized_rule_meaning; five_category_classification | status=LOCKED</x:v>
      </x:c>
      <x:c r="S56" s="108" t="str">
        <x:v>New IMO source; not derived from the thesis extraction.</x:v>
      </x:c>
      <x:c r="T56" s="108" t="str">
        <x:v>PASS - source/page/clause/meaning/category reverified</x:v>
      </x:c>
      <x:c r="U56" s="108" t="str">
        <x:v>LOCKED - extraction reverified</x:v>
      </x:c>
      <x:c r="V56" s="123" t="str">
        <x:v>Second-pass extraction lock covers source identity, physical PDF page span, section/clause, ASCII transcription, normalized meaning, and verification category. SHACL shapes remain a separate implementation artifact.</x:v>
      </x:c>
      <x:c r="W56" s="123" t="str">
        <x:v>https://wwwcdn.imo.org/localresources/en/KnowledgeCentre/IndexofIMOResolutions/MSCResolutions/MSC.385%2894%29.pdf</x:v>
      </x:c>
      <x:c r="X56" s="123" t="str">
        <x:v>Valve inventory, type, location, protection, and accessibility</x:v>
      </x:c>
      <x:c r="Y56" s="123" t="str">
        <x:v>Apply the constraint to exposed valves of the listed types.</x:v>
      </x:c>
    </x:row>
    <x:row r="57" ht="100" customHeight="1">
      <x:c r="A57" s="108" t="str">
        <x:v>IMO-056</x:v>
      </x:c>
      <x:c r="B57" s="108" t="str">
        <x:v>International Code for Ships Operating in Polar Waters (Polar Code)</x:v>
      </x:c>
      <x:c r="C57" s="108" t="str">
        <x:v>Resolution MSC.385(94), adopted 21 Nov 2014; consolidated with MEPC.264(68), adopted 15 May 2015</x:v>
      </x:c>
      <x:c r="D57" s="163" t="n">
        <x:v>22</x:v>
      </x:c>
      <x:c r="E57" s="108" t="str">
        <x:v>Part I-A Chapter 7 - Fire safety/protection</x:v>
      </x:c>
      <x:c r="F57" s="108" t="str">
        <x:v>7.3.1.2</x:v>
      </x:c>
      <x:c r="G57" s="113" t="str">
        <x:v>Physical Test</x:v>
      </x:c>
      <x:c r="H57" s="120" t="str">
        <x:v>All two-way portable radio communication equipment shall be operable at the PST.</x:v>
      </x:c>
      <x:c r="I57" s="121" t="str">
        <x:v>For every two-way portable radio, operating_test_temperature_degC &lt;= PST_degC AND operating_test_status = passed.</x:v>
      </x:c>
      <x:c r="J57" s="122" t="str">
        <x:v>portable_two_way_radio, operating_test_temperature_degC, PST_degC, operating_test_status</x:v>
      </x:c>
      <x:c r="K57" s="122" t="str">
        <x:v>testTemperature_degC -&gt; mat:testTemperature_degC; No direct AnchorMap term found; propose code-safe alias: portable_two_way_radio, operating_test_status</x:v>
      </x:c>
      <x:c r="L57" s="124" t="str">
        <x:v>Medium</x:v>
      </x:c>
      <x:c r="M57" s="122" t="str">
        <x:v>Environmental operability test constraint</x:v>
      </x:c>
      <x:c r="N57" s="108" t="str">
        <x:v>Compliance is established mainly through survey, inspection, material testing, operability testing, or other physical evidence.</x:v>
      </x:c>
      <x:c r="O57" s="113" t="str">
        <x:v>No</x:v>
      </x:c>
      <x:c r="P57" s="113" t="str">
        <x:v>Included - source reverified and locked</x:v>
      </x:c>
      <x:c r="Q57" s="108" t="str">
        <x:v>LOCK-2026-08-10: No source, page, clause, category, or normalized-meaning correction was required. Source wording was checked against the supplied PDF; equation notation is ASCII-linearized.</x:v>
      </x:c>
      <x:c r="R57" s="108" t="str">
        <x:v>LOCK-2026-08-11-R2 | source_pdf=MSC.385(94).pdf | source_sha256=6c6a038bff68ee906dd97c41e95fb4442917c014c8e79228f15e80cc5afa5c1f | physical_pdf_page=22 | section=Part I-A Chapter 7 - Fire safety/protection | clause=7.3.1.2 | checks=independent_full_text_page_layout; numbers_units_operators_equations; normalized_rule_meaning; five_category_classification | status=LOCKED</x:v>
      </x:c>
      <x:c r="S57" s="108" t="str">
        <x:v>New IMO source; not derived from the thesis extraction.</x:v>
      </x:c>
      <x:c r="T57" s="108" t="str">
        <x:v>PASS - source/page/clause/meaning/category reverified</x:v>
      </x:c>
      <x:c r="U57" s="108" t="str">
        <x:v>LOCKED - extraction reverified</x:v>
      </x:c>
      <x:c r="V57" s="123" t="str">
        <x:v>Second-pass extraction lock covers source identity, physical PDF page span, section/clause, ASCII transcription, normalized meaning, and verification category. SHACL shapes remain a separate implementation artifact.</x:v>
      </x:c>
      <x:c r="W57" s="123" t="str">
        <x:v>https://wwwcdn.imo.org/localresources/en/KnowledgeCentre/IndexofIMOResolutions/MSCResolutions/MSC.385%2894%29.pdf</x:v>
      </x:c>
      <x:c r="X57" s="123" t="str">
        <x:v>Portable-radio inventory and PST operability test records</x:v>
      </x:c>
      <x:c r="Y57" s="123" t="str">
        <x:v>Require passed operability evidence at or below PST for each radio.</x:v>
      </x:c>
    </x:row>
    <x:row r="58" ht="100" customHeight="1">
      <x:c r="A58" s="108" t="str">
        <x:v>IMO-057</x:v>
      </x:c>
      <x:c r="B58" s="108" t="str">
        <x:v>International Code for Ships Operating in Polar Waters (Polar Code)</x:v>
      </x:c>
      <x:c r="C58" s="108" t="str">
        <x:v>Resolution MSC.385(94), adopted 21 Nov 2014; consolidated with MEPC.264(68), adopted 15 May 2015</x:v>
      </x:c>
      <x:c r="D58" s="163" t="n">
        <x:v>22</x:v>
      </x:c>
      <x:c r="E58" s="108" t="str">
        <x:v>Part I-A Chapter 7 - Fire safety/protection</x:v>
      </x:c>
      <x:c r="F58" s="108" t="str">
        <x:v>7.3.2.1</x:v>
      </x:c>
      <x:c r="G58" s="113" t="str">
        <x:v>Static</x:v>
      </x:c>
      <x:c r="H58" s="120" t="str">
        <x:v>Fire pumps, including emergency fire pumps, water mist and water spray pumps, shall be located in compartments maintained above freezing.</x:v>
      </x:c>
      <x:c r="I58" s="121" t="str">
        <x:v>Every fire pump, emergency fire pump, water-mist pump, and water-spray pump shall be located in a compartment with maintained_temperature_degC &gt; 0.</x:v>
      </x:c>
      <x:c r="J58" s="122" t="str">
        <x:v>fire_pump, containing_compartment, maintained_temperature_degC</x:v>
      </x:c>
      <x:c r="K58" s="122" t="str">
        <x:v>testTemperature_degC -&gt; mat:testTemperature_degC; No direct AnchorMap term found; propose code-safe alias: fire pump and containing-compartment properties</x:v>
      </x:c>
      <x:c r="L58" s="124" t="str">
        <x:v>High</x:v>
      </x:c>
      <x:c r="M58" s="122" t="str">
        <x:v>Qualified numeric location constraint</x:v>
      </x:c>
      <x:c r="N58" s="108" t="str">
        <x:v>Direct verification of a stated property, document, presence condition, enumeration, applicability rule, prohibition, or fixed limit.</x:v>
      </x:c>
      <x:c r="O58" s="113" t="str">
        <x:v>No</x:v>
      </x:c>
      <x:c r="P58" s="113" t="str">
        <x:v>Included - source reverified and locked</x:v>
      </x:c>
      <x:c r="Q58" s="108" t="str">
        <x:v>LOCK-2026-08-10: No source, page, clause, category, or normalized-meaning correction was required. Source wording was checked against the supplied PDF; equation notation is ASCII-linearized.</x:v>
      </x:c>
      <x:c r="R58" s="108" t="str">
        <x:v>LOCK-2026-08-11-R2 | source_pdf=MSC.385(94).pdf | source_sha256=6c6a038bff68ee906dd97c41e95fb4442917c014c8e79228f15e80cc5afa5c1f | physical_pdf_page=22 | section=Part I-A Chapter 7 - Fire safety/protection | clause=7.3.2.1 | checks=independent_full_text_page_layout; numbers_units_operators_equations; normalized_rule_meaning; five_category_classification | status=LOCKED</x:v>
      </x:c>
      <x:c r="S58" s="108" t="str">
        <x:v>New IMO source; not derived from the thesis extraction.</x:v>
      </x:c>
      <x:c r="T58" s="108" t="str">
        <x:v>PASS - source/page/clause/meaning/category reverified</x:v>
      </x:c>
      <x:c r="U58" s="108" t="str">
        <x:v>LOCKED - extraction reverified</x:v>
      </x:c>
      <x:c r="V58" s="123" t="str">
        <x:v>Second-pass extraction lock covers source identity, physical PDF page span, section/clause, ASCII transcription, normalized meaning, and verification category. SHACL shapes remain a separate implementation artifact.</x:v>
      </x:c>
      <x:c r="W58" s="123" t="str">
        <x:v>https://wwwcdn.imo.org/localresources/en/KnowledgeCentre/IndexofIMOResolutions/MSCResolutions/MSC.385%2894%29.pdf</x:v>
      </x:c>
      <x:c r="X58" s="123" t="str">
        <x:v>Pump inventory, compartment assignment, and maintained temperature</x:v>
      </x:c>
      <x:c r="Y58" s="123" t="str">
        <x:v>Use a strict temperature threshold above 0 deg C for each containing compartment.</x:v>
      </x:c>
    </x:row>
    <x:row r="59" ht="100" customHeight="1">
      <x:c r="A59" s="108" t="str">
        <x:v>IMO-058</x:v>
      </x:c>
      <x:c r="B59" s="108" t="str">
        <x:v>International Code for Ships Operating in Polar Waters (Polar Code)</x:v>
      </x:c>
      <x:c r="C59" s="108" t="str">
        <x:v>Resolution MSC.385(94), adopted 21 Nov 2014; consolidated with MEPC.264(68), adopted 15 May 2015</x:v>
      </x:c>
      <x:c r="D59" s="163" t="n">
        <x:v>22</x:v>
      </x:c>
      <x:c r="E59" s="108" t="str">
        <x:v>Part I-A Chapter 7 - Fire safety/protection</x:v>
      </x:c>
      <x:c r="F59" s="108" t="str">
        <x:v>7.3.2.2</x:v>
      </x:c>
      <x:c r="G59" s="113" t="str">
        <x:v>Static</x:v>
      </x:c>
      <x:c r="H59" s="120" t="str">
        <x:v>The fire main is to be arranged so that exposed sections can be isolated and means of draining of exposed sections shall be provided.</x:v>
      </x:c>
      <x:c r="I59" s="121" t="str">
        <x:v>Every exposed fire-main section shall have isolation_capability = true AND drainage_means_present = true.</x:v>
      </x:c>
      <x:c r="J59" s="122" t="str">
        <x:v>exposed_fire_main_section, isolation_capability, drainage_means_present</x:v>
      </x:c>
      <x:c r="K59" s="122" t="str">
        <x:v>No direct AnchorMap term found; propose code-safe alias: exposed_fire_main_section, isolation_capability, drainage_means_present</x:v>
      </x:c>
      <x:c r="L59" s="124" t="str">
        <x:v>High</x:v>
      </x:c>
      <x:c r="M59" s="122" t="str">
        <x:v>Qualified equipment constraint</x:v>
      </x:c>
      <x:c r="N59" s="108" t="str">
        <x:v>Direct verification of a stated property, document, presence condition, enumeration, applicability rule, prohibition, or fixed limit.</x:v>
      </x:c>
      <x:c r="O59" s="113" t="str">
        <x:v>No</x:v>
      </x:c>
      <x:c r="P59" s="113" t="str">
        <x:v>Included - source reverified and locked</x:v>
      </x:c>
      <x:c r="Q59" s="108" t="str">
        <x:v>LOCK-2026-08-10: No source, page, clause, category, or normalized-meaning correction was required. Source wording was checked against the supplied PDF; equation notation is ASCII-linearized.</x:v>
      </x:c>
      <x:c r="R59" s="108" t="str">
        <x:v>LOCK-2026-08-11-R2 | source_pdf=MSC.385(94).pdf | source_sha256=6c6a038bff68ee906dd97c41e95fb4442917c014c8e79228f15e80cc5afa5c1f | physical_pdf_page=22 | section=Part I-A Chapter 7 - Fire safety/protection | clause=7.3.2.2 | checks=independent_full_text_page_layout; numbers_units_operators_equations; normalized_rule_meaning; five_category_classification | status=LOCKED</x:v>
      </x:c>
      <x:c r="S59" s="108" t="str">
        <x:v>New IMO source; not derived from the thesis extraction.</x:v>
      </x:c>
      <x:c r="T59" s="108" t="str">
        <x:v>PASS - source/page/clause/meaning/category reverified</x:v>
      </x:c>
      <x:c r="U59" s="108" t="str">
        <x:v>LOCKED - extraction reverified</x:v>
      </x:c>
      <x:c r="V59" s="123" t="str">
        <x:v>Second-pass extraction lock covers source identity, physical PDF page span, section/clause, ASCII transcription, normalized meaning, and verification category. SHACL shapes remain a separate implementation artifact.</x:v>
      </x:c>
      <x:c r="W59" s="123" t="str">
        <x:v>https://wwwcdn.imo.org/localresources/en/KnowledgeCentre/IndexofIMOResolutions/MSCResolutions/MSC.385%2894%29.pdf</x:v>
      </x:c>
      <x:c r="X59" s="123" t="str">
        <x:v>Fire-main section inventory and isolation/drainage arrangements</x:v>
      </x:c>
      <x:c r="Y59" s="123" t="str">
        <x:v>Require both isolation and drainage for every exposed section.</x:v>
      </x:c>
    </x:row>
    <x:row r="60" ht="100" customHeight="1">
      <x:c r="A60" s="108" t="str">
        <x:v>IMO-059</x:v>
      </x:c>
      <x:c r="B60" s="108" t="str">
        <x:v>International Code for Ships Operating in Polar Waters (Polar Code)</x:v>
      </x:c>
      <x:c r="C60" s="108" t="str">
        <x:v>Resolution MSC.385(94), adopted 21 Nov 2014; consolidated with MEPC.264(68), adopted 15 May 2015</x:v>
      </x:c>
      <x:c r="D60" s="163" t="n">
        <x:v>22</x:v>
      </x:c>
      <x:c r="E60" s="108" t="str">
        <x:v>Part I-A Chapter 7 - Fire safety/protection</x:v>
      </x:c>
      <x:c r="F60" s="108" t="str">
        <x:v>7.3.2.3</x:v>
      </x:c>
      <x:c r="G60" s="113" t="str">
        <x:v>Static</x:v>
      </x:c>
      <x:c r="H60" s="120" t="str">
        <x:v>Firefighter's outfits shall be stored in warm locations on the ship.</x:v>
      </x:c>
      <x:c r="I60" s="121" t="str">
        <x:v>Every firefighter_outfit shall be stored in a location classified as warm.</x:v>
      </x:c>
      <x:c r="J60" s="122" t="str">
        <x:v>firefighter_outfit, storage_location, storage_location_temperature_class</x:v>
      </x:c>
      <x:c r="K60" s="122" t="str">
        <x:v>No direct AnchorMap term found; propose code-safe alias: firefighter_outfit, storage_location_temperature_class</x:v>
      </x:c>
      <x:c r="L60" s="124" t="str">
        <x:v>High</x:v>
      </x:c>
      <x:c r="M60" s="122" t="str">
        <x:v>Qualified storage-location constraint</x:v>
      </x:c>
      <x:c r="N60" s="108" t="str">
        <x:v>Direct verification of a stated property, document, presence condition, enumeration, applicability rule, prohibition, or fixed limit.</x:v>
      </x:c>
      <x:c r="O60" s="113" t="str">
        <x:v>No</x:v>
      </x:c>
      <x:c r="P60" s="113" t="str">
        <x:v>Included - source reverified and locked</x:v>
      </x:c>
      <x:c r="Q60" s="108" t="str">
        <x:v>LOCK-2026-08-10: No source, page, clause, category, or normalized-meaning correction was required. Source wording was checked against the supplied PDF; equation notation is ASCII-linearized.</x:v>
      </x:c>
      <x:c r="R60" s="108" t="str">
        <x:v>LOCK-2026-08-11-R2 | source_pdf=MSC.385(94).pdf | source_sha256=6c6a038bff68ee906dd97c41e95fb4442917c014c8e79228f15e80cc5afa5c1f | physical_pdf_page=22 | section=Part I-A Chapter 7 - Fire safety/protection | clause=7.3.2.3 | checks=independent_full_text_page_layout; numbers_units_operators_equations; normalized_rule_meaning; five_category_classification | status=LOCKED</x:v>
      </x:c>
      <x:c r="S60" s="108" t="str">
        <x:v>New IMO source; not derived from the thesis extraction.</x:v>
      </x:c>
      <x:c r="T60" s="108" t="str">
        <x:v>PASS - source/page/clause/meaning/category reverified</x:v>
      </x:c>
      <x:c r="U60" s="108" t="str">
        <x:v>LOCKED - extraction reverified</x:v>
      </x:c>
      <x:c r="V60" s="123" t="str">
        <x:v>Second-pass extraction lock covers source identity, physical PDF page span, section/clause, ASCII transcription, normalized meaning, and verification category. SHACL shapes remain a separate implementation artifact.</x:v>
      </x:c>
      <x:c r="W60" s="123" t="str">
        <x:v>https://wwwcdn.imo.org/localresources/en/KnowledgeCentre/IndexofIMOResolutions/MSCResolutions/MSC.385%2894%29.pdf</x:v>
      </x:c>
      <x:c r="X60" s="123" t="str">
        <x:v>Outfit inventory and storage-location classification</x:v>
      </x:c>
      <x:c r="Y60" s="123" t="str">
        <x:v>Require a warm-location classification for each outfit storage location.</x:v>
      </x:c>
    </x:row>
    <x:row r="61" ht="100" customHeight="1">
      <x:c r="A61" s="108" t="str">
        <x:v>IMO-060</x:v>
      </x:c>
      <x:c r="B61" s="108" t="str">
        <x:v>International Code for Ships Operating in Polar Waters (Polar Code)</x:v>
      </x:c>
      <x:c r="C61" s="108" t="str">
        <x:v>Resolution MSC.385(94), adopted 21 Nov 2014; consolidated with MEPC.264(68), adopted 15 May 2015</x:v>
      </x:c>
      <x:c r="D61" s="163" t="n">
        <x:v>22</x:v>
      </x:c>
      <x:c r="E61" s="108" t="str">
        <x:v>Part I-A Chapter 7 - Fire safety/protection</x:v>
      </x:c>
      <x:c r="F61" s="108" t="str">
        <x:v>7.3.2.4</x:v>
      </x:c>
      <x:c r="G61" s="113" t="str">
        <x:v>Static</x:v>
      </x:c>
      <x:c r="H61" s="120" t="str">
        <x:v>Where fixed water-based firefighting systems are located in a space separate from the main fire pumps and use their own independent sea suction, this sea suction shall also be capable of being cleared of ice accumulation.</x:v>
      </x:c>
      <x:c r="I61" s="121" t="str">
        <x:v>IF fixed_water_system_separate_from_main_fire_pumps = true AND independent_sea_suction_used = true, THEN sea_suction_ice_clearing_capability = true.</x:v>
      </x:c>
      <x:c r="J61" s="122" t="str">
        <x:v>fixed_water_system_separate_from_main_fire_pumps, independent_sea_suction_used, sea_suction_ice_clearing_capability</x:v>
      </x:c>
      <x:c r="K61" s="122" t="str">
        <x:v>No direct AnchorMap term found; propose code-safe alias: fixed-water-system and sea-suction properties</x:v>
      </x:c>
      <x:c r="L61" s="124" t="str">
        <x:v>High</x:v>
      </x:c>
      <x:c r="M61" s="122" t="str">
        <x:v>Conditional capability constraint</x:v>
      </x:c>
      <x:c r="N61" s="108" t="str">
        <x:v>Direct verification of a stated property, document, presence condition, enumeration, applicability rule, prohibition, or fixed limit.</x:v>
      </x:c>
      <x:c r="O61" s="113" t="str">
        <x:v>No</x:v>
      </x:c>
      <x:c r="P61" s="113" t="str">
        <x:v>Included - source reverified and locked</x:v>
      </x:c>
      <x:c r="Q61" s="108" t="str">
        <x:v>LOCK-2026-08-10: No source, page, clause, category, or normalized-meaning correction was required. Source wording was checked against the supplied PDF; equation notation is ASCII-linearized.</x:v>
      </x:c>
      <x:c r="R61" s="108" t="str">
        <x:v>LOCK-2026-08-11-R2 | source_pdf=MSC.385(94).pdf | source_sha256=6c6a038bff68ee906dd97c41e95fb4442917c014c8e79228f15e80cc5afa5c1f | physical_pdf_page=22 | section=Part I-A Chapter 7 - Fire safety/protection | clause=7.3.2.4 | checks=independent_full_text_page_layout; numbers_units_operators_equations; normalized_rule_meaning; five_category_classification | status=LOCKED</x:v>
      </x:c>
      <x:c r="S61" s="108" t="str">
        <x:v>New IMO source; not derived from the thesis extraction.</x:v>
      </x:c>
      <x:c r="T61" s="108" t="str">
        <x:v>PASS - source/page/clause/meaning/category reverified</x:v>
      </x:c>
      <x:c r="U61" s="108" t="str">
        <x:v>LOCKED - extraction reverified</x:v>
      </x:c>
      <x:c r="V61" s="123" t="str">
        <x:v>Second-pass extraction lock covers source identity, physical PDF page span, section/clause, ASCII transcription, normalized meaning, and verification category. SHACL shapes remain a separate implementation artifact.</x:v>
      </x:c>
      <x:c r="W61" s="123" t="str">
        <x:v>https://wwwcdn.imo.org/localresources/en/KnowledgeCentre/IndexofIMOResolutions/MSCResolutions/MSC.385%2894%29.pdf</x:v>
      </x:c>
      <x:c r="X61" s="123" t="str">
        <x:v>System layout, suction configuration, and ice-clearing arrangement</x:v>
      </x:c>
      <x:c r="Y61" s="123" t="str">
        <x:v>Condition the ice-clearing requirement on both stated system properties.</x:v>
      </x:c>
    </x:row>
    <x:row r="62" ht="100" customHeight="1">
      <x:c r="A62" s="108" t="str">
        <x:v>IMO-061</x:v>
      </x:c>
      <x:c r="B62" s="108" t="str">
        <x:v>International Code for Ships Operating in Polar Waters (Polar Code)</x:v>
      </x:c>
      <x:c r="C62" s="108" t="str">
        <x:v>Resolution MSC.385(94), adopted 21 Nov 2014; consolidated with MEPC.264(68), adopted 15 May 2015</x:v>
      </x:c>
      <x:c r="D62" s="163" t="n">
        <x:v>23</x:v>
      </x:c>
      <x:c r="E62" s="108" t="str">
        <x:v>Part I-A Chapter 7 - Fire safety/protection</x:v>
      </x:c>
      <x:c r="F62" s="108" t="str">
        <x:v>7.3.3.1</x:v>
      </x:c>
      <x:c r="G62" s="113" t="str">
        <x:v>Physical Test</x:v>
      </x:c>
      <x:c r="H62" s="120" t="str">
        <x:v>Portable and semi-portable extinguishers shall be located in positions protected from freezing temperatures, as far as practical. Locations subject to freezing are to be provided with extinguishers capable of operation at the PST.</x:v>
      </x:c>
      <x:c r="I62" s="121" t="str">
        <x:v>Every portable or semi-portable extinguisher shall be in a freezing-protected location; IF storage_location_subject_to_freezing = true, THEN extinguisher_operating_test_temperature_degC &lt;= PST_degC AND operating_test_status = passed.</x:v>
      </x:c>
      <x:c r="J62" s="122" t="str">
        <x:v>extinguisher, storage_location_subject_to_freezing, freezing_protection_present, extinguisher_operating_test_temperature_degC, PST_degC, operating_test_status</x:v>
      </x:c>
      <x:c r="K62" s="122" t="str">
        <x:v>testTemperature_degC -&gt; mat:testTemperature_degC; No direct AnchorMap term found; propose code-safe alias: extinguisher and freezing-protection/test properties</x:v>
      </x:c>
      <x:c r="L62" s="124" t="str">
        <x:v>Medium</x:v>
      </x:c>
      <x:c r="M62" s="122" t="str">
        <x:v>Conditional location and environmental test constraint</x:v>
      </x:c>
      <x:c r="N62" s="108" t="str">
        <x:v>Compliance is established mainly through survey, inspection, material testing, operability testing, or other physical evidence.</x:v>
      </x:c>
      <x:c r="O62" s="113" t="str">
        <x:v>No</x:v>
      </x:c>
      <x:c r="P62" s="113" t="str">
        <x:v>Included - source reverified and locked</x:v>
      </x:c>
      <x:c r="Q62" s="108" t="str">
        <x:v>LOCK-2026-08-10: No source, page, clause, category, or normalized-meaning correction was required. Source wording was checked against the supplied PDF; equation notation is ASCII-linearized.</x:v>
      </x:c>
      <x:c r="R62" s="108" t="str">
        <x:v>LOCK-2026-08-11-R2 | source_pdf=MSC.385(94).pdf | source_sha256=6c6a038bff68ee906dd97c41e95fb4442917c014c8e79228f15e80cc5afa5c1f | physical_pdf_page=23 | section=Part I-A Chapter 7 - Fire safety/protection | clause=7.3.3.1 | checks=independent_full_text_page_layout; numbers_units_operators_equations; normalized_rule_meaning; five_category_classification | status=LOCKED</x:v>
      </x:c>
      <x:c r="S62" s="108" t="str">
        <x:v>New IMO source; not derived from the thesis extraction.</x:v>
      </x:c>
      <x:c r="T62" s="108" t="str">
        <x:v>PASS - source/page/clause/meaning/category reverified</x:v>
      </x:c>
      <x:c r="U62" s="108" t="str">
        <x:v>LOCKED - extraction reverified</x:v>
      </x:c>
      <x:c r="V62" s="123" t="str">
        <x:v>Second-pass extraction lock covers source identity, physical PDF page span, section/clause, ASCII transcription, normalized meaning, and verification category. SHACL shapes remain a separate implementation artifact.</x:v>
      </x:c>
      <x:c r="W62" s="123" t="str">
        <x:v>https://wwwcdn.imo.org/localresources/en/KnowledgeCentre/IndexofIMOResolutions/MSCResolutions/MSC.385%2894%29.pdf</x:v>
      </x:c>
      <x:c r="X62" s="123" t="str">
        <x:v>Extinguisher inventory, location status, protection, and PST test evidence</x:v>
      </x:c>
      <x:c r="Y62" s="123" t="str">
        <x:v>Use a conditional branch for extinguishers stored where freezing may occur.</x:v>
      </x:c>
    </x:row>
    <x:row r="63" ht="100" customHeight="1">
      <x:c r="A63" s="108" t="str">
        <x:v>IMO-062</x:v>
      </x:c>
      <x:c r="B63" s="108" t="str">
        <x:v>International Code for Ships Operating in Polar Waters (Polar Code)</x:v>
      </x:c>
      <x:c r="C63" s="108" t="str">
        <x:v>Resolution MSC.385(94), adopted 21 Nov 2014; consolidated with MEPC.264(68), adopted 15 May 2015</x:v>
      </x:c>
      <x:c r="D63" s="163" t="n">
        <x:v>23</x:v>
      </x:c>
      <x:c r="E63" s="108" t="str">
        <x:v>Part I-A Chapter 8 - Escape and evacuation</x:v>
      </x:c>
      <x:c r="F63" s="108" t="str">
        <x:v>8.2.1.1</x:v>
      </x:c>
      <x:c r="G63" s="113" t="str">
        <x:v>Static</x:v>
      </x:c>
      <x:c r="H63" s="120" t="str">
        <x:v>Exposed escape routes shall remain accessible and safe, taking into consideration the potential icing of structures and snow accumulation.</x:v>
      </x:c>
      <x:c r="I63" s="121" t="str">
        <x:v>Every exposed escape route shall have accessible_status = true, safe_status = true, and documented ice/snow mitigation coverage.</x:v>
      </x:c>
      <x:c r="J63" s="122" t="str">
        <x:v>exposed_escape_route, accessible_status, safe_status, ice_snow_mitigation_coverage</x:v>
      </x:c>
      <x:c r="K63" s="122" t="str">
        <x:v>No direct AnchorMap term found; propose code-safe alias: exposed_escape_route and safety/accessibility properties</x:v>
      </x:c>
      <x:c r="L63" s="124" t="str">
        <x:v>Medium</x:v>
      </x:c>
      <x:c r="M63" s="122" t="str">
        <x:v>Qualified route-status constraint</x:v>
      </x:c>
      <x:c r="N63" s="108" t="str">
        <x:v>Direct verification of a stated property, document, presence condition, enumeration, applicability rule, prohibition, or fixed limit.</x:v>
      </x:c>
      <x:c r="O63" s="113" t="str">
        <x:v>No</x:v>
      </x:c>
      <x:c r="P63" s="113" t="str">
        <x:v>Included - source reverified and locked</x:v>
      </x:c>
      <x:c r="Q63" s="108" t="str">
        <x:v>LOCK-2026-08-10: No source, page, clause, category, or normalized-meaning correction was required. Source wording was checked against the supplied PDF; equation notation is ASCII-linearized.</x:v>
      </x:c>
      <x:c r="R63" s="108" t="str">
        <x:v>LOCK-2026-08-11-R2 | source_pdf=MSC.385(94).pdf | source_sha256=6c6a038bff68ee906dd97c41e95fb4442917c014c8e79228f15e80cc5afa5c1f | physical_pdf_page=23 | section=Part I-A Chapter 8 - Escape and evacuation | clause=8.2.1.1 | checks=independent_full_text_page_layout; numbers_units_operators_equations; normalized_rule_meaning; five_category_classification | status=LOCKED</x:v>
      </x:c>
      <x:c r="S63" s="108" t="str">
        <x:v>New IMO source; not derived from the thesis extraction.</x:v>
      </x:c>
      <x:c r="T63" s="108" t="str">
        <x:v>PASS - source/page/clause/meaning/category reverified</x:v>
      </x:c>
      <x:c r="U63" s="108" t="str">
        <x:v>LOCKED - extraction reverified</x:v>
      </x:c>
      <x:c r="V63" s="123" t="str">
        <x:v>Second-pass extraction lock covers source identity, physical PDF page span, section/clause, ASCII transcription, normalized meaning, and verification category. SHACL shapes remain a separate implementation artifact.</x:v>
      </x:c>
      <x:c r="W63" s="123" t="str">
        <x:v>https://wwwcdn.imo.org/localresources/en/KnowledgeCentre/IndexofIMOResolutions/MSCResolutions/MSC.385%2894%29.pdf</x:v>
      </x:c>
      <x:c r="X63" s="123" t="str">
        <x:v>Escape-route inventory, inspection status, and ice/snow mitigation evidence</x:v>
      </x:c>
      <x:c r="Y63" s="123" t="str">
        <x:v>Model safety and accessibility as explicit verified statuses.</x:v>
      </x:c>
    </x:row>
    <x:row r="64" ht="100" customHeight="1">
      <x:c r="A64" s="108" t="str">
        <x:v>IMO-063</x:v>
      </x:c>
      <x:c r="B64" s="108" t="str">
        <x:v>International Code for Ships Operating in Polar Waters (Polar Code)</x:v>
      </x:c>
      <x:c r="C64" s="108" t="str">
        <x:v>Resolution MSC.385(94), adopted 21 Nov 2014; consolidated with MEPC.264(68), adopted 15 May 2015</x:v>
      </x:c>
      <x:c r="D64" s="163" t="n">
        <x:v>23</x:v>
      </x:c>
      <x:c r="E64" s="108" t="str">
        <x:v>Part I-A Chapter 8 - Evacuation</x:v>
      </x:c>
      <x:c r="F64" s="108" t="str">
        <x:v>8.2.2</x:v>
      </x:c>
      <x:c r="G64" s="113" t="str">
        <x:v>Physical Test</x:v>
      </x:c>
      <x:c r="H64" s="120" t="str">
        <x:v>All life-saving appliances and associated equipment shall provide safe evacuation and be functional under the possible adverse environmental conditions during the maximum expected time of rescue.</x:v>
      </x:c>
      <x:c r="I64" s="121" t="str">
        <x:v>Every life-saving appliance and associated equipment item shall have evacuation_test_status = passed under applicable adverse conditions for demonstrated_duration_days &gt;= maximum_expected_rescue_time_days.</x:v>
      </x:c>
      <x:c r="J64" s="122" t="str">
        <x:v>life_saving_appliance, adverse_environmental_condition, evacuation_test_status, demonstrated_duration_days, maximum_expected_rescue_time_days</x:v>
      </x:c>
      <x:c r="K64" s="122" t="str">
        <x:v>No direct AnchorMap term found; propose code-safe alias: life-saving appliance and evacuation-test properties</x:v>
      </x:c>
      <x:c r="L64" s="124" t="str">
        <x:v>Medium</x:v>
      </x:c>
      <x:c r="M64" s="122" t="str">
        <x:v>Environmental duration test-evidence constraint</x:v>
      </x:c>
      <x:c r="N64" s="108" t="str">
        <x:v>Compliance is established mainly through survey, inspection, material testing, operability testing, or other physical evidence.</x:v>
      </x:c>
      <x:c r="O64" s="113" t="str">
        <x:v>No</x:v>
      </x:c>
      <x:c r="P64" s="113" t="str">
        <x:v>Included - source reverified and locked</x:v>
      </x:c>
      <x:c r="Q64" s="108" t="str">
        <x:v>LOCK-2026-08-10: No source, page, clause, category, or normalized-meaning correction was required. Source wording was checked against the supplied PDF; equation notation is ASCII-linearized.</x:v>
      </x:c>
      <x:c r="R64" s="108" t="str">
        <x:v>LOCK-2026-08-11-R2 | source_pdf=MSC.385(94).pdf | source_sha256=6c6a038bff68ee906dd97c41e95fb4442917c014c8e79228f15e80cc5afa5c1f | physical_pdf_page=23 | section=Part I-A Chapter 8 - Evacuation | clause=8.2.2 | checks=independent_full_text_page_layout; numbers_units_operators_equations; normalized_rule_meaning; five_category_classification | status=LOCKED</x:v>
      </x:c>
      <x:c r="S64" s="108" t="str">
        <x:v>New IMO source; not derived from the thesis extraction.</x:v>
      </x:c>
      <x:c r="T64" s="108" t="str">
        <x:v>PASS - source/page/clause/meaning/category reverified</x:v>
      </x:c>
      <x:c r="U64" s="108" t="str">
        <x:v>LOCKED - extraction reverified</x:v>
      </x:c>
      <x:c r="V64" s="123" t="str">
        <x:v>Second-pass extraction lock covers source identity, physical PDF page span, section/clause, ASCII transcription, normalized meaning, and verification category. SHACL shapes remain a separate implementation artifact.</x:v>
      </x:c>
      <x:c r="W64" s="123" t="str">
        <x:v>https://wwwcdn.imo.org/localresources/en/KnowledgeCentre/IndexofIMOResolutions/MSCResolutions/MSC.385%2894%29.pdf</x:v>
      </x:c>
      <x:c r="X64" s="123" t="str">
        <x:v>Appliance inventory, adverse-condition test records, and rescue-time requirement</x:v>
      </x:c>
      <x:c r="Y64" s="123" t="str">
        <x:v>Require passed evidence for the applicable conditions and minimum duration.</x:v>
      </x:c>
    </x:row>
    <x:row r="65" ht="100" customHeight="1">
      <x:c r="A65" s="108" t="str">
        <x:v>IMO-064</x:v>
      </x:c>
      <x:c r="B65" s="108" t="str">
        <x:v>International Code for Ships Operating in Polar Waters (Polar Code)</x:v>
      </x:c>
      <x:c r="C65" s="108" t="str">
        <x:v>Resolution MSC.385(94), adopted 21 Nov 2014; consolidated with MEPC.264(68), adopted 15 May 2015</x:v>
      </x:c>
      <x:c r="D65" s="163" t="n">
        <x:v>23</x:v>
      </x:c>
      <x:c r="E65" s="108" t="str">
        <x:v>Part I-A Chapter 8 - Survival</x:v>
      </x:c>
      <x:c r="F65" s="108" t="str">
        <x:v>8.2.3.1</x:v>
      </x:c>
      <x:c r="G65" s="113" t="str">
        <x:v>Static</x:v>
      </x:c>
      <x:c r="H65" s="120" t="str">
        <x:v>Adequate thermal protection shall be provided for all persons on board, taking into account the intended voyage, the anticipated weather conditions (cold and wind) and the potential for immersion in polar water, where applicable.</x:v>
      </x:c>
      <x:c r="I65" s="121" t="str">
        <x:v>Every person on board shall have assigned thermal-protection equipment supported by an adequacy approval covering intended voyage, anticipated cold and wind, and applicable polar-water immersion.</x:v>
      </x:c>
      <x:c r="J65" s="122" t="str">
        <x:v>person_on_board, assigned_thermal_protection, thermal_protection_approval_status, intended_voyage, anticipated_cold, anticipated_wind, immersion_potential</x:v>
      </x:c>
      <x:c r="K65" s="122" t="str">
        <x:v>No direct AnchorMap term found; propose code-safe alias: person thermal-protection and environmental-coverage properties</x:v>
      </x:c>
      <x:c r="L65" s="124" t="str">
        <x:v>Medium</x:v>
      </x:c>
      <x:c r="M65" s="122" t="str">
        <x:v>Qualified equipment-assignment and approval constraint</x:v>
      </x:c>
      <x:c r="N65" s="108" t="str">
        <x:v>Direct verification of a stated property, document, presence condition, enumeration, applicability rule, prohibition, or fixed limit.</x:v>
      </x:c>
      <x:c r="O65" s="113" t="str">
        <x:v>No</x:v>
      </x:c>
      <x:c r="P65" s="113" t="str">
        <x:v>Included - source reverified and locked</x:v>
      </x:c>
      <x:c r="Q65" s="108" t="str">
        <x:v>LOCK-2026-08-10: No source, page, clause, category, or normalized-meaning correction was required. Source wording was checked against the supplied PDF; equation notation is ASCII-linearized.</x:v>
      </x:c>
      <x:c r="R65" s="108" t="str">
        <x:v>LOCK-2026-08-11-R2 | source_pdf=MSC.385(94).pdf | source_sha256=6c6a038bff68ee906dd97c41e95fb4442917c014c8e79228f15e80cc5afa5c1f | physical_pdf_page=23 | section=Part I-A Chapter 8 - Survival | clause=8.2.3.1 | checks=independent_full_text_page_layout; numbers_units_operators_equations; normalized_rule_meaning; five_category_classification | status=LOCKED</x:v>
      </x:c>
      <x:c r="S65" s="108" t="str">
        <x:v>New IMO source; not derived from the thesis extraction.</x:v>
      </x:c>
      <x:c r="T65" s="108" t="str">
        <x:v>PASS - source/page/clause/meaning/category reverified</x:v>
      </x:c>
      <x:c r="U65" s="108" t="str">
        <x:v>LOCKED - extraction reverified</x:v>
      </x:c>
      <x:c r="V65" s="123" t="str">
        <x:v>Second-pass extraction lock covers source identity, physical PDF page span, section/clause, ASCII transcription, normalized meaning, and verification category. SHACL shapes remain a separate implementation artifact.</x:v>
      </x:c>
      <x:c r="W65" s="123" t="str">
        <x:v>https://wwwcdn.imo.org/localresources/en/KnowledgeCentre/IndexofIMOResolutions/MSCResolutions/MSC.385%2894%29.pdf</x:v>
      </x:c>
      <x:c r="X65" s="123" t="str">
        <x:v>Persons-on-board manifest, assigned equipment, and adequacy evidence</x:v>
      </x:c>
      <x:c r="Y65" s="123" t="str">
        <x:v>Require an approved equipment assignment for each person.</x:v>
      </x:c>
    </x:row>
    <x:row r="66" ht="100" customHeight="1">
      <x:c r="A66" s="108" t="str">
        <x:v>IMO-065</x:v>
      </x:c>
      <x:c r="B66" s="108" t="str">
        <x:v>International Code for Ships Operating in Polar Waters (Polar Code)</x:v>
      </x:c>
      <x:c r="C66" s="108" t="str">
        <x:v>Resolution MSC.385(94), adopted 21 Nov 2014; consolidated with MEPC.264(68), adopted 15 May 2015</x:v>
      </x:c>
      <x:c r="D66" s="163" t="str">
        <x:v>23-24</x:v>
      </x:c>
      <x:c r="E66" s="108" t="str">
        <x:v>Part I-A Chapter 8 - Survival</x:v>
      </x:c>
      <x:c r="F66" s="108" t="str">
        <x:v>8.2.3.3</x:v>
      </x:c>
      <x:c r="G66" s="113" t="str">
        <x:v>Complex</x:v>
      </x:c>
      <x:c r="H66" s="120" t="str">
        <x:v>Taking into account the presence of any hazards, as identified in the assessment in chapter 1, resources shall be provided to support survival following abandoning ship, whether to the water, to ice or to land, for the maximum expected time of rescue. These resources shall provide: a habitable environment; protection of persons from the effects of cold, wind and sun; space to accommodate persons equipped with thermal protection adequate for the environment; means to provide sustenance; safe access and exit points; and means to communicate with rescue assets.</x:v>
      </x:c>
      <x:c r="I66" s="121" t="str">
        <x:v>Survival resources shall support the assessed abandonment environments for at least maximum_expected_rescue_time_days and shall cover habitable environment, cold/wind/sun protection, accommodation space, sustenance, safe access/exit, and rescue communication.</x:v>
      </x:c>
      <x:c r="J66" s="122" t="str">
        <x:v>abandonment_environment, survival_support_duration_days, maximum_expected_rescue_time_days, habitable_environment_present, weather_protection_present, accommodation_space_present, sustenance_means_present, safe_access_exit_present, rescue_communication_present</x:v>
      </x:c>
      <x:c r="K66" s="122" t="str">
        <x:v>No direct AnchorMap term found; propose code-safe alias: survival-resource duration and coverage properties</x:v>
      </x:c>
      <x:c r="L66" s="124" t="str">
        <x:v>Medium</x:v>
      </x:c>
      <x:c r="M66" s="122" t="str">
        <x:v>Composite resource-coverage constraint</x:v>
      </x:c>
      <x:c r="N66" s="108" t="str">
        <x:v>Verification requires linked conditions, external approval or evidence, an assessment, or a composite workflow.</x:v>
      </x:c>
      <x:c r="O66" s="113" t="str">
        <x:v>No</x:v>
      </x:c>
      <x:c r="P66" s="113" t="str">
        <x:v>Included - source reverified and locked</x:v>
      </x:c>
      <x:c r="Q66" s="108" t="str">
        <x:v>LOCK-2026-08-10: No source, page, clause, category, or normalized-meaning correction was required. Source wording was checked against the supplied PDF; equation notation is ASCII-linearized. | LOCK-2026-08-11-R2: Corrected the physical page trace because list items 8.2.3.3.2-8.2.3.3.6 continue onto PDF page 24.</x:v>
      </x:c>
      <x:c r="R66" s="108" t="str">
        <x:v>LOCK-2026-08-11-R2 | source_pdf=MSC.385(94).pdf | source_sha256=6c6a038bff68ee906dd97c41e95fb4442917c014c8e79228f15e80cc5afa5c1f | physical_pdf_page=23-24 | section=Part I-A Chapter 8 - Survival | clause=8.2.3.3 | checks=independent_full_text_page_layout; numbers_units_operators_equations; normalized_rule_meaning; five_category_classification | status=LOCKED</x:v>
      </x:c>
      <x:c r="S66" s="108" t="str">
        <x:v>New IMO source; not derived from the thesis extraction.</x:v>
      </x:c>
      <x:c r="T66" s="108" t="str">
        <x:v>PASS - source/page/clause/meaning/category reverified</x:v>
      </x:c>
      <x:c r="U66" s="108" t="str">
        <x:v>LOCKED - extraction reverified</x:v>
      </x:c>
      <x:c r="V66" s="123" t="str">
        <x:v>Second-pass extraction lock covers source identity, physical PDF page span, section/clause, ASCII transcription, normalized meaning, and verification category. SHACL shapes remain a separate implementation artifact.</x:v>
      </x:c>
      <x:c r="W66" s="123" t="str">
        <x:v>https://wwwcdn.imo.org/localresources/en/KnowledgeCentre/IndexofIMOResolutions/MSCResolutions/MSC.385%2894%29.pdf</x:v>
      </x:c>
      <x:c r="X66" s="123" t="str">
        <x:v>Operational assessment, survival-resource inventory, duration evidence, and six coverage indicators</x:v>
      </x:c>
      <x:c r="Y66" s="123" t="str">
        <x:v>Represent each required capability as a property of the survival-resource package.</x:v>
      </x:c>
    </x:row>
    <x:row r="67" ht="100" customHeight="1">
      <x:c r="A67" s="108" t="str">
        <x:v>IMO-066</x:v>
      </x:c>
      <x:c r="B67" s="108" t="str">
        <x:v>International Code for Ships Operating in Polar Waters (Polar Code)</x:v>
      </x:c>
      <x:c r="C67" s="108" t="str">
        <x:v>Resolution MSC.385(94), adopted 21 Nov 2014; consolidated with MEPC.264(68), adopted 15 May 2015</x:v>
      </x:c>
      <x:c r="D67" s="163" t="n">
        <x:v>24</x:v>
      </x:c>
      <x:c r="E67" s="108" t="str">
        <x:v>Part I-A Chapter 8 - Escape</x:v>
      </x:c>
      <x:c r="F67" s="108" t="str">
        <x:v>8.3.1.1</x:v>
      </x:c>
      <x:c r="G67" s="113" t="str">
        <x:v>Static</x:v>
      </x:c>
      <x:c r="H67" s="120" t="str">
        <x:v>For ships exposed to ice accretion, means shall be provided to remove or prevent ice and snow accretion from escape routes, muster stations, embarkation areas, survival craft, their launching appliances and access to survival craft.</x:v>
      </x:c>
      <x:c r="I67" s="121" t="str">
        <x:v>IF ship_exposed_to_ice_accretion = true, THEN every escape route, muster station, embarkation area, survival craft, launching appliance, and survival-craft access shall have an associated ice_or_snow_removal_or_prevention_means.</x:v>
      </x:c>
      <x:c r="J67" s="122" t="str">
        <x:v>ship_exposed_to_ice_accretion, protected_location_or_equipment, ice_or_snow_removal_or_prevention_means</x:v>
      </x:c>
      <x:c r="K67" s="122" t="str">
        <x:v>No direct AnchorMap term found; propose code-safe alias: ship_exposed_to_ice_accretion and protected-item properties</x:v>
      </x:c>
      <x:c r="L67" s="124" t="str">
        <x:v>High</x:v>
      </x:c>
      <x:c r="M67" s="122" t="str">
        <x:v>Conditional qualified equipment constraint</x:v>
      </x:c>
      <x:c r="N67" s="108" t="str">
        <x:v>Direct verification of a stated property, document, presence condition, enumeration, applicability rule, prohibition, or fixed limit.</x:v>
      </x:c>
      <x:c r="O67" s="113" t="str">
        <x:v>No</x:v>
      </x:c>
      <x:c r="P67" s="113" t="str">
        <x:v>Included - source reverified and locked</x:v>
      </x:c>
      <x:c r="Q67" s="108" t="str">
        <x:v>LOCK-2026-08-10: No source, page, clause, category, or normalized-meaning correction was required. Source wording was checked against the supplied PDF; equation notation is ASCII-linearized.</x:v>
      </x:c>
      <x:c r="R67" s="108" t="str">
        <x:v>LOCK-2026-08-11-R2 | source_pdf=MSC.385(94).pdf | source_sha256=6c6a038bff68ee906dd97c41e95fb4442917c014c8e79228f15e80cc5afa5c1f | physical_pdf_page=24 | section=Part I-A Chapter 8 - Escape | clause=8.3.1.1 | checks=independent_full_text_page_layout; numbers_units_operators_equations; normalized_rule_meaning; five_category_classification | status=LOCKED</x:v>
      </x:c>
      <x:c r="S67" s="108" t="str">
        <x:v>New IMO source; not derived from the thesis extraction.</x:v>
      </x:c>
      <x:c r="T67" s="108" t="str">
        <x:v>PASS - source/page/clause/meaning/category reverified</x:v>
      </x:c>
      <x:c r="U67" s="108" t="str">
        <x:v>LOCKED - extraction reverified</x:v>
      </x:c>
      <x:c r="V67" s="123" t="str">
        <x:v>Second-pass extraction lock covers source identity, physical PDF page span, section/clause, ASCII transcription, normalized meaning, and verification category. SHACL shapes remain a separate implementation artifact.</x:v>
      </x:c>
      <x:c r="W67" s="123" t="str">
        <x:v>https://wwwcdn.imo.org/localresources/en/KnowledgeCentre/IndexofIMOResolutions/MSCResolutions/MSC.385%2894%29.pdf</x:v>
      </x:c>
      <x:c r="X67" s="123" t="str">
        <x:v>Applicability assessment, protected-item inventory, and associated anti-icing means</x:v>
      </x:c>
      <x:c r="Y67" s="123" t="str">
        <x:v>Require at least one removal or prevention means for each listed item.</x:v>
      </x:c>
    </x:row>
    <x:row r="68" ht="100" customHeight="1">
      <x:c r="A68" s="108" t="str">
        <x:v>IMO-067</x:v>
      </x:c>
      <x:c r="B68" s="108" t="str">
        <x:v>International Code for Ships Operating in Polar Waters (Polar Code)</x:v>
      </x:c>
      <x:c r="C68" s="108" t="str">
        <x:v>Resolution MSC.385(94), adopted 21 Nov 2014; consolidated with MEPC.264(68), adopted 15 May 2015</x:v>
      </x:c>
      <x:c r="D68" s="163" t="n">
        <x:v>24</x:v>
      </x:c>
      <x:c r="E68" s="108" t="str">
        <x:v>Part I-A Chapter 8 - Escape</x:v>
      </x:c>
      <x:c r="F68" s="108" t="str">
        <x:v>8.3.1.2</x:v>
      </x:c>
      <x:c r="G68" s="113" t="str">
        <x:v>Physical Test</x:v>
      </x:c>
      <x:c r="H68" s="120" t="str">
        <x:v>For ships constructed on or after 1 January 2017, exposed escape routes shall be arranged so as not to hinder passage by persons wearing suitable polar clothing.</x:v>
      </x:c>
      <x:c r="I68" s="121" t="str">
        <x:v>IF construction_date &gt;= '2017-01-01', THEN every exposed escape route shall have polar_clothing_passage_test_status = passed.</x:v>
      </x:c>
      <x:c r="J68" s="122" t="str">
        <x:v>construction_date, exposed_escape_route, polar_clothing_passage_test_status</x:v>
      </x:c>
      <x:c r="K68" s="122" t="str">
        <x:v>No direct AnchorMap term found; propose code-safe alias: construction_date, exposed_escape_route, polar_clothing_passage_test_status</x:v>
      </x:c>
      <x:c r="L68" s="124" t="str">
        <x:v>Medium</x:v>
      </x:c>
      <x:c r="M68" s="122" t="str">
        <x:v>Conditional human-factors test constraint</x:v>
      </x:c>
      <x:c r="N68" s="108" t="str">
        <x:v>Compliance is established mainly through survey, inspection, material testing, operability testing, or other physical evidence.</x:v>
      </x:c>
      <x:c r="O68" s="113" t="str">
        <x:v>No</x:v>
      </x:c>
      <x:c r="P68" s="113" t="str">
        <x:v>Included - source reverified and locked</x:v>
      </x:c>
      <x:c r="Q68" s="108" t="str">
        <x:v>LOCK-2026-08-10: No source, page, clause, category, or normalized-meaning correction was required. Source wording was checked against the supplied PDF; equation notation is ASCII-linearized.</x:v>
      </x:c>
      <x:c r="R68" s="108" t="str">
        <x:v>LOCK-2026-08-11-R2 | source_pdf=MSC.385(94).pdf | source_sha256=6c6a038bff68ee906dd97c41e95fb4442917c014c8e79228f15e80cc5afa5c1f | physical_pdf_page=24 | section=Part I-A Chapter 8 - Escape | clause=8.3.1.2 | checks=independent_full_text_page_layout; numbers_units_operators_equations; normalized_rule_meaning; five_category_classification | status=LOCKED</x:v>
      </x:c>
      <x:c r="S68" s="108" t="str">
        <x:v>New IMO source; not derived from the thesis extraction.</x:v>
      </x:c>
      <x:c r="T68" s="108" t="str">
        <x:v>PASS - source/page/clause/meaning/category reverified</x:v>
      </x:c>
      <x:c r="U68" s="108" t="str">
        <x:v>LOCKED - extraction reverified</x:v>
      </x:c>
      <x:c r="V68" s="123" t="str">
        <x:v>Second-pass extraction lock covers source identity, physical PDF page span, section/clause, ASCII transcription, normalized meaning, and verification category. SHACL shapes remain a separate implementation artifact.</x:v>
      </x:c>
      <x:c r="W68" s="123" t="str">
        <x:v>https://wwwcdn.imo.org/localresources/en/KnowledgeCentre/IndexofIMOResolutions/MSCResolutions/MSC.385%2894%29.pdf</x:v>
      </x:c>
      <x:c r="X68" s="123" t="str">
        <x:v>Construction date, route inventory, and representative passage-test evidence</x:v>
      </x:c>
      <x:c r="Y68" s="123" t="str">
        <x:v>Require passed passage evidence for each exposed route on applicable ships.</x:v>
      </x:c>
    </x:row>
    <x:row r="69" ht="100" customHeight="1">
      <x:c r="A69" s="108" t="str">
        <x:v>IMO-068</x:v>
      </x:c>
      <x:c r="B69" s="108" t="str">
        <x:v>International Code for Ships Operating in Polar Waters (Polar Code)</x:v>
      </x:c>
      <x:c r="C69" s="108" t="str">
        <x:v>Resolution MSC.385(94), adopted 21 Nov 2014; consolidated with MEPC.264(68), adopted 15 May 2015</x:v>
      </x:c>
      <x:c r="D69" s="163" t="n">
        <x:v>24</x:v>
      </x:c>
      <x:c r="E69" s="108" t="str">
        <x:v>Part I-A Chapter 8 - Evacuation</x:v>
      </x:c>
      <x:c r="F69" s="108" t="str">
        <x:v>8.3.2.1</x:v>
      </x:c>
      <x:c r="G69" s="113" t="str">
        <x:v>Complex</x:v>
      </x:c>
      <x:c r="H69" s="120" t="str">
        <x:v>Ships shall have means to ensure safe evacuation of persons, including safe deployment of survival equipment, when operating in ice-covered waters, or directly onto the ice, as applicable.</x:v>
      </x:c>
      <x:c r="I69" s="121" t="str">
        <x:v>IF ship_operates_in_ice_covered_waters = true OR direct_evacuation_onto_ice_applicable = true, THEN safe_evacuation_means_present = true AND survival_equipment_deployment_approval_status = approved.</x:v>
      </x:c>
      <x:c r="J69" s="122" t="str">
        <x:v>ship_operates_in_ice_covered_waters, direct_evacuation_onto_ice_applicable, safe_evacuation_means_present, survival_equipment_deployment_approval_status</x:v>
      </x:c>
      <x:c r="K69" s="122" t="str">
        <x:v>No direct AnchorMap term found; propose code-safe alias: ice-covered operation and evacuation properties</x:v>
      </x:c>
      <x:c r="L69" s="124" t="str">
        <x:v>Medium</x:v>
      </x:c>
      <x:c r="M69" s="122" t="str">
        <x:v>Conditional equipment and approval constraint</x:v>
      </x:c>
      <x:c r="N69" s="108" t="str">
        <x:v>Verification requires linked conditions, external approval or evidence, an assessment, or a composite workflow.</x:v>
      </x:c>
      <x:c r="O69" s="113" t="str">
        <x:v>No</x:v>
      </x:c>
      <x:c r="P69" s="113" t="str">
        <x:v>Included - source reverified and locked</x:v>
      </x:c>
      <x:c r="Q69" s="108" t="str">
        <x:v>LOCK-2026-08-10: No source, page, clause, category, or normalized-meaning correction was required. Source wording was checked against the supplied PDF; equation notation is ASCII-linearized.</x:v>
      </x:c>
      <x:c r="R69" s="108" t="str">
        <x:v>LOCK-2026-08-11-R2 | source_pdf=MSC.385(94).pdf | source_sha256=6c6a038bff68ee906dd97c41e95fb4442917c014c8e79228f15e80cc5afa5c1f | physical_pdf_page=24 | section=Part I-A Chapter 8 - Evacuation | clause=8.3.2.1 | checks=independent_full_text_page_layout; numbers_units_operators_equations; normalized_rule_meaning; five_category_classification | status=LOCKED</x:v>
      </x:c>
      <x:c r="S69" s="108" t="str">
        <x:v>New IMO source; not derived from the thesis extraction.</x:v>
      </x:c>
      <x:c r="T69" s="108" t="str">
        <x:v>PASS - source/page/clause/meaning/category reverified</x:v>
      </x:c>
      <x:c r="U69" s="108" t="str">
        <x:v>LOCKED - extraction reverified</x:v>
      </x:c>
      <x:c r="V69" s="123" t="str">
        <x:v>Second-pass extraction lock covers source identity, physical PDF page span, section/clause, ASCII transcription, normalized meaning, and verification category. SHACL shapes remain a separate implementation artifact.</x:v>
      </x:c>
      <x:c r="W69" s="123" t="str">
        <x:v>https://wwwcdn.imo.org/localresources/en/KnowledgeCentre/IndexofIMOResolutions/MSCResolutions/MSC.385%2894%29.pdf</x:v>
      </x:c>
      <x:c r="X69" s="123" t="str">
        <x:v>Operating condition, evacuation arrangement, and deployment evidence</x:v>
      </x:c>
      <x:c r="Y69" s="123" t="str">
        <x:v>Condition the evacuation arrangement on the applicable operating/abandonment scenario.</x:v>
      </x:c>
    </x:row>
    <x:row r="70" ht="100" customHeight="1">
      <x:c r="A70" s="108" t="str">
        <x:v>IMO-069</x:v>
      </x:c>
      <x:c r="B70" s="108" t="str">
        <x:v>International Code for Ships Operating in Polar Waters (Polar Code)</x:v>
      </x:c>
      <x:c r="C70" s="108" t="str">
        <x:v>Resolution MSC.385(94), adopted 21 Nov 2014; consolidated with MEPC.264(68), adopted 15 May 2015</x:v>
      </x:c>
      <x:c r="D70" s="163" t="n">
        <x:v>24</x:v>
      </x:c>
      <x:c r="E70" s="108" t="str">
        <x:v>Part I-A Chapter 8 - Evacuation</x:v>
      </x:c>
      <x:c r="F70" s="108" t="str">
        <x:v>8.3.2.2</x:v>
      </x:c>
      <x:c r="G70" s="113" t="str">
        <x:v>Static</x:v>
      </x:c>
      <x:c r="H70" s="120" t="str">
        <x:v>Where the regulations of this chapter are achieved by means of adding devices requiring a source of power, this source shall be able to operate independently of the ship's main source of power.</x:v>
      </x:c>
      <x:c r="I70" s="121" t="str">
        <x:v>IF added_life_saving_device_requires_power = true, THEN device_power_source_independent_of_main_power = true.</x:v>
      </x:c>
      <x:c r="J70" s="122" t="str">
        <x:v>added_life_saving_device_requires_power, device_power_source_independent_of_main_power</x:v>
      </x:c>
      <x:c r="K70" s="122" t="str">
        <x:v>No direct AnchorMap term found; propose code-safe alias: added-device power and independence properties</x:v>
      </x:c>
      <x:c r="L70" s="124" t="str">
        <x:v>High</x:v>
      </x:c>
      <x:c r="M70" s="122" t="str">
        <x:v>Conditional Boolean constraint</x:v>
      </x:c>
      <x:c r="N70" s="108" t="str">
        <x:v>Direct verification of a stated property, document, presence condition, enumeration, applicability rule, prohibition, or fixed limit.</x:v>
      </x:c>
      <x:c r="O70" s="113" t="str">
        <x:v>No</x:v>
      </x:c>
      <x:c r="P70" s="113" t="str">
        <x:v>Included - source reverified and locked</x:v>
      </x:c>
      <x:c r="Q70" s="108" t="str">
        <x:v>LOCK-2026-08-10: No source, page, clause, category, or normalized-meaning correction was required. Source wording was checked against the supplied PDF; equation notation is ASCII-linearized.</x:v>
      </x:c>
      <x:c r="R70" s="108" t="str">
        <x:v>LOCK-2026-08-11-R2 | source_pdf=MSC.385(94).pdf | source_sha256=6c6a038bff68ee906dd97c41e95fb4442917c014c8e79228f15e80cc5afa5c1f | physical_pdf_page=24 | section=Part I-A Chapter 8 - Evacuation | clause=8.3.2.2 | checks=independent_full_text_page_layout; numbers_units_operators_equations; normalized_rule_meaning; five_category_classification | status=LOCKED</x:v>
      </x:c>
      <x:c r="S70" s="108" t="str">
        <x:v>New IMO source; not derived from the thesis extraction.</x:v>
      </x:c>
      <x:c r="T70" s="108" t="str">
        <x:v>PASS - source/page/clause/meaning/category reverified</x:v>
      </x:c>
      <x:c r="U70" s="108" t="str">
        <x:v>LOCKED - extraction reverified</x:v>
      </x:c>
      <x:c r="V70" s="123" t="str">
        <x:v>Second-pass extraction lock covers source identity, physical PDF page span, section/clause, ASCII transcription, normalized meaning, and verification category. SHACL shapes remain a separate implementation artifact.</x:v>
      </x:c>
      <x:c r="W70" s="123" t="str">
        <x:v>https://wwwcdn.imo.org/localresources/en/KnowledgeCentre/IndexofIMOResolutions/MSCResolutions/MSC.385%2894%29.pdf</x:v>
      </x:c>
      <x:c r="X70" s="123" t="str">
        <x:v>Device inventory, power requirement, and power-source topology</x:v>
      </x:c>
      <x:c r="Y70" s="123" t="str">
        <x:v>Require a verified independent power source for each applicable added device.</x:v>
      </x:c>
    </x:row>
    <x:row r="71" ht="100" customHeight="1">
      <x:c r="A71" s="108" t="str">
        <x:v>IMO-070</x:v>
      </x:c>
      <x:c r="B71" s="108" t="str">
        <x:v>International Code for Ships Operating in Polar Waters (Polar Code)</x:v>
      </x:c>
      <x:c r="C71" s="108" t="str">
        <x:v>Resolution MSC.385(94), adopted 21 Nov 2014; consolidated with MEPC.264(68), adopted 15 May 2015</x:v>
      </x:c>
      <x:c r="D71" s="163" t="n">
        <x:v>24</x:v>
      </x:c>
      <x:c r="E71" s="108" t="str">
        <x:v>Part I-A Chapter 8 - Survival</x:v>
      </x:c>
      <x:c r="F71" s="108" t="str">
        <x:v>8.3.3.1.1</x:v>
      </x:c>
      <x:c r="G71" s="113" t="str">
        <x:v>Static</x:v>
      </x:c>
      <x:c r="H71" s="120" t="str">
        <x:v>For passenger ships, a proper sized immersion suit or a thermal protective aid shall be provided for each person on board.</x:v>
      </x:c>
      <x:c r="I71" s="121" t="str">
        <x:v>IF ship_type = passenger_ship, THEN every person on board shall have one properly sized immersion suit OR one thermal protective aid.</x:v>
      </x:c>
      <x:c r="J71" s="122" t="str">
        <x:v>ship_type, person_on_board, assigned_immersion_suit, assigned_thermal_protective_aid, size_compatibility_status</x:v>
      </x:c>
      <x:c r="K71" s="122" t="str">
        <x:v>No direct AnchorMap term found; propose code-safe alias: person and assigned survival-equipment properties</x:v>
      </x:c>
      <x:c r="L71" s="124" t="str">
        <x:v>High</x:v>
      </x:c>
      <x:c r="M71" s="122" t="str">
        <x:v>Conditional qualified value assignment constraint</x:v>
      </x:c>
      <x:c r="N71" s="108" t="str">
        <x:v>Direct verification of a stated property, document, presence condition, enumeration, applicability rule, prohibition, or fixed limit.</x:v>
      </x:c>
      <x:c r="O71" s="113" t="str">
        <x:v>No</x:v>
      </x:c>
      <x:c r="P71" s="113" t="str">
        <x:v>Included - source reverified and locked</x:v>
      </x:c>
      <x:c r="Q71" s="108" t="str">
        <x:v>LOCK-2026-08-10: No source, page, clause, category, or normalized-meaning correction was required. Source wording was checked against the supplied PDF; equation notation is ASCII-linearized.</x:v>
      </x:c>
      <x:c r="R71" s="108" t="str">
        <x:v>LOCK-2026-08-11-R2 | source_pdf=MSC.385(94).pdf | source_sha256=6c6a038bff68ee906dd97c41e95fb4442917c014c8e79228f15e80cc5afa5c1f | physical_pdf_page=24 | section=Part I-A Chapter 8 - Survival | clause=8.3.3.1.1 | checks=independent_full_text_page_layout; numbers_units_operators_equations; normalized_rule_meaning; five_category_classification | status=LOCKED</x:v>
      </x:c>
      <x:c r="S71" s="108" t="str">
        <x:v>New IMO source; not derived from the thesis extraction.</x:v>
      </x:c>
      <x:c r="T71" s="108" t="str">
        <x:v>PASS - source/page/clause/meaning/category reverified</x:v>
      </x:c>
      <x:c r="U71" s="108" t="str">
        <x:v>LOCKED - extraction reverified</x:v>
      </x:c>
      <x:c r="V71" s="123" t="str">
        <x:v>Second-pass extraction lock covers source identity, physical PDF page span, section/clause, ASCII transcription, normalized meaning, and verification category. SHACL shapes remain a separate implementation artifact.</x:v>
      </x:c>
      <x:c r="W71" s="123" t="str">
        <x:v>https://wwwcdn.imo.org/localresources/en/KnowledgeCentre/IndexofIMOResolutions/MSCResolutions/MSC.385%2894%29.pdf</x:v>
      </x:c>
      <x:c r="X71" s="123" t="str">
        <x:v>Ship type, persons-on-board manifest, equipment assignments, and size compatibility</x:v>
      </x:c>
      <x:c r="Y71" s="123" t="str">
        <x:v>Use an OR constraint and require one valid equipment assignment per person.</x:v>
      </x:c>
    </x:row>
    <x:row r="72" ht="100" customHeight="1">
      <x:c r="A72" s="108" t="str">
        <x:v>IMO-071</x:v>
      </x:c>
      <x:c r="B72" s="108" t="str">
        <x:v>International Code for Ships Operating in Polar Waters (Polar Code)</x:v>
      </x:c>
      <x:c r="C72" s="108" t="str">
        <x:v>Resolution MSC.385(94), adopted 21 Nov 2014; consolidated with MEPC.264(68), adopted 15 May 2015</x:v>
      </x:c>
      <x:c r="D72" s="163" t="n">
        <x:v>24</x:v>
      </x:c>
      <x:c r="E72" s="108" t="str">
        <x:v>Part I-A Chapter 8 - Survival</x:v>
      </x:c>
      <x:c r="F72" s="108" t="str">
        <x:v>8.3.3.1.2</x:v>
      </x:c>
      <x:c r="G72" s="113" t="str">
        <x:v>Static</x:v>
      </x:c>
      <x:c r="H72" s="120" t="str">
        <x:v>Where immersion suits are required, they shall be of the insulated type.</x:v>
      </x:c>
      <x:c r="I72" s="121" t="str">
        <x:v>IF immersion_suit_required = true, THEN immersion_suit_type = insulated.</x:v>
      </x:c>
      <x:c r="J72" s="122" t="str">
        <x:v>immersion_suit_required, immersion_suit_type</x:v>
      </x:c>
      <x:c r="K72" s="122" t="str">
        <x:v>No direct AnchorMap term found; propose code-safe alias: immersion_suit_required, immersion_suit_type</x:v>
      </x:c>
      <x:c r="L72" s="124" t="str">
        <x:v>High</x:v>
      </x:c>
      <x:c r="M72" s="122" t="str">
        <x:v>Conditional enumeration constraint</x:v>
      </x:c>
      <x:c r="N72" s="108" t="str">
        <x:v>Direct verification of a stated property, document, presence condition, enumeration, applicability rule, prohibition, or fixed limit.</x:v>
      </x:c>
      <x:c r="O72" s="113" t="str">
        <x:v>No</x:v>
      </x:c>
      <x:c r="P72" s="113" t="str">
        <x:v>Included - source reverified and locked</x:v>
      </x:c>
      <x:c r="Q72" s="108" t="str">
        <x:v>LOCK-2026-08-10: No source, page, clause, category, or normalized-meaning correction was required. Source wording was checked against the supplied PDF; equation notation is ASCII-linearized.</x:v>
      </x:c>
      <x:c r="R72" s="108" t="str">
        <x:v>LOCK-2026-08-11-R2 | source_pdf=MSC.385(94).pdf | source_sha256=6c6a038bff68ee906dd97c41e95fb4442917c014c8e79228f15e80cc5afa5c1f | physical_pdf_page=24 | section=Part I-A Chapter 8 - Survival | clause=8.3.3.1.2 | checks=independent_full_text_page_layout; numbers_units_operators_equations; normalized_rule_meaning; five_category_classification | status=LOCKED</x:v>
      </x:c>
      <x:c r="S72" s="108" t="str">
        <x:v>New IMO source; not derived from the thesis extraction.</x:v>
      </x:c>
      <x:c r="T72" s="108" t="str">
        <x:v>PASS - source/page/clause/meaning/category reverified</x:v>
      </x:c>
      <x:c r="U72" s="108" t="str">
        <x:v>LOCKED - extraction reverified</x:v>
      </x:c>
      <x:c r="V72" s="123" t="str">
        <x:v>Second-pass extraction lock covers source identity, physical PDF page span, section/clause, ASCII transcription, normalized meaning, and verification category. SHACL shapes remain a separate implementation artifact.</x:v>
      </x:c>
      <x:c r="W72" s="123" t="str">
        <x:v>https://wwwcdn.imo.org/localresources/en/KnowledgeCentre/IndexofIMOResolutions/MSCResolutions/MSC.385%2894%29.pdf</x:v>
      </x:c>
      <x:c r="X72" s="123" t="str">
        <x:v>Immersion-suit applicability and type</x:v>
      </x:c>
      <x:c r="Y72" s="123" t="str">
        <x:v>Condition the insulated-type requirement on suit applicability.</x:v>
      </x:c>
    </x:row>
    <x:row r="73" ht="100" customHeight="1">
      <x:c r="A73" s="108" t="str">
        <x:v>IMO-072</x:v>
      </x:c>
      <x:c r="B73" s="108" t="str">
        <x:v>International Code for Ships Operating in Polar Waters (Polar Code)</x:v>
      </x:c>
      <x:c r="C73" s="108" t="str">
        <x:v>Resolution MSC.385(94), adopted 21 Nov 2014; consolidated with MEPC.264(68), adopted 15 May 2015</x:v>
      </x:c>
      <x:c r="D73" s="163" t="n">
        <x:v>25</x:v>
      </x:c>
      <x:c r="E73" s="108" t="str">
        <x:v>Part I-A Chapter 8 - Survival</x:v>
      </x:c>
      <x:c r="F73" s="108" t="str">
        <x:v>8.3.3.2</x:v>
      </x:c>
      <x:c r="G73" s="113" t="str">
        <x:v>Static</x:v>
      </x:c>
      <x:c r="H73" s="120" t="str">
        <x:v>For ships intended to operate in extended periods of darkness, searchlights suitable for continuous use to facilitate identification of ice shall be provided for each lifeboat.</x:v>
      </x:c>
      <x:c r="I73" s="121" t="str">
        <x:v>IF extended_darkness_operation = true, THEN every lifeboat shall have an assigned searchlight with continuous_use_suitability_status = approved.</x:v>
      </x:c>
      <x:c r="J73" s="122" t="str">
        <x:v>extended_darkness_operation, lifeboat, assigned_searchlight, continuous_use_suitability_status</x:v>
      </x:c>
      <x:c r="K73" s="122" t="str">
        <x:v>No direct AnchorMap term found; propose code-safe alias: extended_darkness_operation, lifeboat, searchlight suitability properties</x:v>
      </x:c>
      <x:c r="L73" s="124" t="str">
        <x:v>High</x:v>
      </x:c>
      <x:c r="M73" s="122" t="str">
        <x:v>Conditional qualified equipment constraint</x:v>
      </x:c>
      <x:c r="N73" s="108" t="str">
        <x:v>Direct verification of a stated property, document, presence condition, enumeration, applicability rule, prohibition, or fixed limit.</x:v>
      </x:c>
      <x:c r="O73" s="113" t="str">
        <x:v>No</x:v>
      </x:c>
      <x:c r="P73" s="113" t="str">
        <x:v>Included - source reverified and locked</x:v>
      </x:c>
      <x:c r="Q73" s="108" t="str">
        <x:v>LOCK-2026-08-10: No source, page, clause, category, or normalized-meaning correction was required. Source wording was checked against the supplied PDF; equation notation is ASCII-linearized.</x:v>
      </x:c>
      <x:c r="R73" s="108" t="str">
        <x:v>LOCK-2026-08-11-R2 | source_pdf=MSC.385(94).pdf | source_sha256=6c6a038bff68ee906dd97c41e95fb4442917c014c8e79228f15e80cc5afa5c1f | physical_pdf_page=25 | section=Part I-A Chapter 8 - Survival | clause=8.3.3.2 | checks=independent_full_text_page_layout; numbers_units_operators_equations; normalized_rule_meaning; five_category_classification | status=LOCKED</x:v>
      </x:c>
      <x:c r="S73" s="108" t="str">
        <x:v>New IMO source; not derived from the thesis extraction.</x:v>
      </x:c>
      <x:c r="T73" s="108" t="str">
        <x:v>PASS - source/page/clause/meaning/category reverified</x:v>
      </x:c>
      <x:c r="U73" s="108" t="str">
        <x:v>LOCKED - extraction reverified</x:v>
      </x:c>
      <x:c r="V73" s="123" t="str">
        <x:v>Second-pass extraction lock covers source identity, physical PDF page span, section/clause, ASCII transcription, normalized meaning, and verification category. SHACL shapes remain a separate implementation artifact.</x:v>
      </x:c>
      <x:c r="W73" s="123" t="str">
        <x:v>https://wwwcdn.imo.org/localresources/en/KnowledgeCentre/IndexofIMOResolutions/MSCResolutions/MSC.385%2894%29.pdf</x:v>
      </x:c>
      <x:c r="X73" s="123" t="str">
        <x:v>Operating profile, lifeboat inventory, searchlight assignment, and suitability evidence</x:v>
      </x:c>
      <x:c r="Y73" s="123" t="str">
        <x:v>Require one approved continuous-use searchlight per lifeboat.</x:v>
      </x:c>
    </x:row>
    <x:row r="74" ht="100" customHeight="1">
      <x:c r="A74" s="108" t="str">
        <x:v>IMO-073</x:v>
      </x:c>
      <x:c r="B74" s="108" t="str">
        <x:v>International Code for Ships Operating in Polar Waters (Polar Code)</x:v>
      </x:c>
      <x:c r="C74" s="108" t="str">
        <x:v>Resolution MSC.385(94), adopted 21 Nov 2014; consolidated with MEPC.264(68), adopted 15 May 2015</x:v>
      </x:c>
      <x:c r="D74" s="163" t="n">
        <x:v>25</x:v>
      </x:c>
      <x:c r="E74" s="108" t="str">
        <x:v>Part I-A Chapter 8 - Survival</x:v>
      </x:c>
      <x:c r="F74" s="108" t="str">
        <x:v>8.3.3.3.1</x:v>
      </x:c>
      <x:c r="G74" s="113" t="str">
        <x:v>Static</x:v>
      </x:c>
      <x:c r="H74" s="120" t="str">
        <x:v>No lifeboat shall be of any type other than partially or totally enclosed.</x:v>
      </x:c>
      <x:c r="I74" s="121" t="str">
        <x:v>Every lifeboat_type shall be in {'partially enclosed','totally enclosed'}.</x:v>
      </x:c>
      <x:c r="J74" s="122" t="str">
        <x:v>lifeboat, lifeboat_type</x:v>
      </x:c>
      <x:c r="K74" s="122" t="str">
        <x:v>No direct AnchorMap term found; propose code-safe alias: lifeboat, lifeboat_type</x:v>
      </x:c>
      <x:c r="L74" s="124" t="str">
        <x:v>High</x:v>
      </x:c>
      <x:c r="M74" s="122" t="str">
        <x:v>Enumeration constraint</x:v>
      </x:c>
      <x:c r="N74" s="108" t="str">
        <x:v>Direct verification of a stated property, document, presence condition, enumeration, applicability rule, prohibition, or fixed limit.</x:v>
      </x:c>
      <x:c r="O74" s="113" t="str">
        <x:v>No</x:v>
      </x:c>
      <x:c r="P74" s="113" t="str">
        <x:v>Included - source reverified and locked</x:v>
      </x:c>
      <x:c r="Q74" s="108" t="str">
        <x:v>LOCK-2026-08-10: No source, page, clause, category, or normalized-meaning correction was required. Source wording was checked against the supplied PDF; equation notation is ASCII-linearized.</x:v>
      </x:c>
      <x:c r="R74" s="108" t="str">
        <x:v>LOCK-2026-08-11-R2 | source_pdf=MSC.385(94).pdf | source_sha256=6c6a038bff68ee906dd97c41e95fb4442917c014c8e79228f15e80cc5afa5c1f | physical_pdf_page=25 | section=Part I-A Chapter 8 - Survival | clause=8.3.3.3.1 | checks=independent_full_text_page_layout; numbers_units_operators_equations; normalized_rule_meaning; five_category_classification | status=LOCKED</x:v>
      </x:c>
      <x:c r="S74" s="108" t="str">
        <x:v>New IMO source; not derived from the thesis extraction.</x:v>
      </x:c>
      <x:c r="T74" s="108" t="str">
        <x:v>PASS - source/page/clause/meaning/category reverified</x:v>
      </x:c>
      <x:c r="U74" s="108" t="str">
        <x:v>LOCKED - extraction reverified</x:v>
      </x:c>
      <x:c r="V74" s="123" t="str">
        <x:v>Second-pass extraction lock covers source identity, physical PDF page span, section/clause, ASCII transcription, normalized meaning, and verification category. SHACL shapes remain a separate implementation artifact.</x:v>
      </x:c>
      <x:c r="W74" s="123" t="str">
        <x:v>https://wwwcdn.imo.org/localresources/en/KnowledgeCentre/IndexofIMOResolutions/MSCResolutions/MSC.385%2894%29.pdf</x:v>
      </x:c>
      <x:c r="X74" s="123" t="str">
        <x:v>Lifeboat inventory and type</x:v>
      </x:c>
      <x:c r="Y74" s="123" t="str">
        <x:v>Restrict the type enumeration to the two permitted values.</x:v>
      </x:c>
    </x:row>
    <x:row r="75" ht="100" customHeight="1">
      <x:c r="A75" s="108" t="str">
        <x:v>IMO-074</x:v>
      </x:c>
      <x:c r="B75" s="108" t="str">
        <x:v>International Code for Ships Operating in Polar Waters (Polar Code)</x:v>
      </x:c>
      <x:c r="C75" s="108" t="str">
        <x:v>Resolution MSC.385(94), adopted 21 Nov 2014; consolidated with MEPC.264(68), adopted 15 May 2015</x:v>
      </x:c>
      <x:c r="D75" s="163" t="n">
        <x:v>25</x:v>
      </x:c>
      <x:c r="E75" s="108" t="str">
        <x:v>Part I-A Chapter 8 - Survival</x:v>
      </x:c>
      <x:c r="F75" s="108" t="str">
        <x:v>8.3.3.3.3.1</x:v>
      </x:c>
      <x:c r="G75" s="113" t="str">
        <x:v>Static</x:v>
      </x:c>
      <x:c r="H75" s="120" t="str">
        <x:v>Whenever the assessment identifies a potential of abandonment onto ice or land, group survival equipment shall be carried, unless an equivalent level of functionality for survival is provided by the ship's normal life-saving appliances.</x:v>
      </x:c>
      <x:c r="I75" s="121" t="str">
        <x:v>IF abandonment_onto_ice_or_land_potential = true, THEN group_survival_equipment_carried = true OR normal_life_saving_equivalent_functionality_approval_status = approved.</x:v>
      </x:c>
      <x:c r="J75" s="122" t="str">
        <x:v>abandonment_onto_ice_or_land_potential, group_survival_equipment_carried, normal_life_saving_equivalent_functionality_approval_status</x:v>
      </x:c>
      <x:c r="K75" s="122" t="str">
        <x:v>No direct AnchorMap term found; propose code-safe alias: abandonment potential and group-survival equipment properties</x:v>
      </x:c>
      <x:c r="L75" s="124" t="str">
        <x:v>Medium</x:v>
      </x:c>
      <x:c r="M75" s="122" t="str">
        <x:v>Conditional alternative-path constraint</x:v>
      </x:c>
      <x:c r="N75" s="108" t="str">
        <x:v>Direct verification of a stated property, document, presence condition, enumeration, applicability rule, prohibition, or fixed limit.</x:v>
      </x:c>
      <x:c r="O75" s="113" t="str">
        <x:v>No</x:v>
      </x:c>
      <x:c r="P75" s="113" t="str">
        <x:v>Included - source reverified and locked</x:v>
      </x:c>
      <x:c r="Q75" s="108" t="str">
        <x:v>LOCK-2026-08-10: No source, page, clause, category, or normalized-meaning correction was required. Source wording was checked against the supplied PDF; equation notation is ASCII-linearized.</x:v>
      </x:c>
      <x:c r="R75" s="108" t="str">
        <x:v>LOCK-2026-08-11-R2 | source_pdf=MSC.385(94).pdf | source_sha256=6c6a038bff68ee906dd97c41e95fb4442917c014c8e79228f15e80cc5afa5c1f | physical_pdf_page=25 | section=Part I-A Chapter 8 - Survival | clause=8.3.3.3.3.1 | checks=independent_full_text_page_layout; numbers_units_operators_equations; normalized_rule_meaning; five_category_classification | status=LOCKED</x:v>
      </x:c>
      <x:c r="S75" s="108" t="str">
        <x:v>New IMO source; not derived from the thesis extraction.</x:v>
      </x:c>
      <x:c r="T75" s="108" t="str">
        <x:v>PASS - source/page/clause/meaning/category reverified</x:v>
      </x:c>
      <x:c r="U75" s="108" t="str">
        <x:v>LOCKED - extraction reverified</x:v>
      </x:c>
      <x:c r="V75" s="123" t="str">
        <x:v>Second-pass extraction lock covers source identity, physical PDF page span, section/clause, ASCII transcription, normalized meaning, and verification category. SHACL shapes remain a separate implementation artifact.</x:v>
      </x:c>
      <x:c r="W75" s="123" t="str">
        <x:v>https://wwwcdn.imo.org/localresources/en/KnowledgeCentre/IndexofIMOResolutions/MSCResolutions/MSC.385%2894%29.pdf</x:v>
      </x:c>
      <x:c r="X75" s="123" t="str">
        <x:v>Operational assessment, group-equipment inventory, and equivalence approval evidence</x:v>
      </x:c>
      <x:c r="Y75" s="123" t="str">
        <x:v>Use an OR branch between carried group equipment and approved equivalent functionality.</x:v>
      </x:c>
    </x:row>
    <x:row r="76" ht="100" customHeight="1">
      <x:c r="A76" s="108" t="str">
        <x:v>IMO-075</x:v>
      </x:c>
      <x:c r="B76" s="108" t="str">
        <x:v>International Code for Ships Operating in Polar Waters (Polar Code)</x:v>
      </x:c>
      <x:c r="C76" s="108" t="str">
        <x:v>Resolution MSC.385(94), adopted 21 Nov 2014; consolidated with MEPC.264(68), adopted 15 May 2015</x:v>
      </x:c>
      <x:c r="D76" s="163" t="n">
        <x:v>25</x:v>
      </x:c>
      <x:c r="E76" s="108" t="str">
        <x:v>Part I-A Chapter 8 - Survival</x:v>
      </x:c>
      <x:c r="F76" s="108" t="str">
        <x:v>8.3.3.3.3.2</x:v>
      </x:c>
      <x:c r="G76" s="113" t="str">
        <x:v>Static Calculation</x:v>
      </x:c>
      <x:c r="H76" s="120" t="str">
        <x:v>When required, personal and group survival equipment sufficient for 110% of the persons on board shall be stowed in easily accessible locations, as close as practical to the muster or embarkation stations.</x:v>
      </x:c>
      <x:c r="I76" s="121" t="str">
        <x:v>IF personal_or_group_survival_equipment_required = true, THEN available_survival_equipment_capacity &gt;= ceil(persons_on_board * 1.10) AND storage_accessibility_status = accessible.</x:v>
      </x:c>
      <x:c r="J76" s="122" t="str">
        <x:v>personal_or_group_survival_equipment_required, persons_on_board, available_survival_equipment_capacity, storage_accessibility_status, storage_distance_to_muster_or_embarkation</x:v>
      </x:c>
      <x:c r="K76" s="122" t="str">
        <x:v>No direct AnchorMap term found; propose code-safe alias: survival-equipment capacity and storage properties</x:v>
      </x:c>
      <x:c r="L76" s="124" t="str">
        <x:v>High</x:v>
      </x:c>
      <x:c r="M76" s="122" t="str">
        <x:v>Formula-derived capacity and storage constraint</x:v>
      </x:c>
      <x:c r="N76" s="108" t="str">
        <x:v>Deterministic calculation from static design inputs followed by a numeric or logical comparison.</x:v>
      </x:c>
      <x:c r="O76" s="113" t="str">
        <x:v>No</x:v>
      </x:c>
      <x:c r="P76" s="113" t="str">
        <x:v>Included - source reverified and locked</x:v>
      </x:c>
      <x:c r="Q76" s="108" t="str">
        <x:v>LOCK-2026-08-10: No source, page, clause, category, or normalized-meaning correction was required. Source wording was checked against the supplied PDF; equation notation is ASCII-linearized.</x:v>
      </x:c>
      <x:c r="R76" s="108" t="str">
        <x:v>LOCK-2026-08-11-R2 | source_pdf=MSC.385(94).pdf | source_sha256=6c6a038bff68ee906dd97c41e95fb4442917c014c8e79228f15e80cc5afa5c1f | physical_pdf_page=25 | section=Part I-A Chapter 8 - Survival | clause=8.3.3.3.3.2 | checks=independent_full_text_page_layout; numbers_units_operators_equations; normalized_rule_meaning; five_category_classification | status=LOCKED</x:v>
      </x:c>
      <x:c r="S76" s="108" t="str">
        <x:v>New IMO source; not derived from the thesis extraction.</x:v>
      </x:c>
      <x:c r="T76" s="108" t="str">
        <x:v>PASS - source/page/clause/meaning/category reverified</x:v>
      </x:c>
      <x:c r="U76" s="108" t="str">
        <x:v>LOCKED - extraction reverified</x:v>
      </x:c>
      <x:c r="V76" s="123" t="str">
        <x:v>Second-pass extraction lock covers source identity, physical PDF page span, section/clause, ASCII transcription, normalized meaning, and verification category. SHACL shapes remain a separate implementation artifact.</x:v>
      </x:c>
      <x:c r="W76" s="123" t="str">
        <x:v>https://wwwcdn.imo.org/localresources/en/KnowledgeCentre/IndexofIMOResolutions/MSCResolutions/MSC.385%2894%29.pdf</x:v>
      </x:c>
      <x:c r="X76" s="123" t="str">
        <x:v>Persons-on-board count, equipment capacity, and storage-location evidence</x:v>
      </x:c>
      <x:c r="Y76" s="123" t="str">
        <x:v>Calculate the minimum capacity with upward rounding and require accessible storage.</x:v>
      </x:c>
    </x:row>
    <x:row r="77" ht="100" customHeight="1">
      <x:c r="A77" s="108" t="str">
        <x:v>IMO-076</x:v>
      </x:c>
      <x:c r="B77" s="108" t="str">
        <x:v>International Code for Ships Operating in Polar Waters (Polar Code)</x:v>
      </x:c>
      <x:c r="C77" s="108" t="str">
        <x:v>Resolution MSC.385(94), adopted 21 Nov 2014; consolidated with MEPC.264(68), adopted 15 May 2015</x:v>
      </x:c>
      <x:c r="D77" s="163" t="n">
        <x:v>25</x:v>
      </x:c>
      <x:c r="E77" s="108" t="str">
        <x:v>Part I-A Chapter 8 - Survival</x:v>
      </x:c>
      <x:c r="F77" s="108" t="str">
        <x:v>8.3.3.3.3.3</x:v>
      </x:c>
      <x:c r="G77" s="113" t="str">
        <x:v>Physical Test</x:v>
      </x:c>
      <x:c r="H77" s="120" t="str">
        <x:v>Containers for group survival equipment shall be designed to be easily movable over the ice and be floatable.</x:v>
      </x:c>
      <x:c r="I77" s="121" t="str">
        <x:v>Every group-survival-equipment container shall have ice_mobility_test_status = passed AND flotation_test_status = passed.</x:v>
      </x:c>
      <x:c r="J77" s="122" t="str">
        <x:v>group_survival_equipment_container, ice_mobility_test_status, flotation_test_status</x:v>
      </x:c>
      <x:c r="K77" s="122" t="str">
        <x:v>No direct AnchorMap term found; propose code-safe alias: group-survival container test properties</x:v>
      </x:c>
      <x:c r="L77" s="124" t="str">
        <x:v>Medium</x:v>
      </x:c>
      <x:c r="M77" s="122" t="str">
        <x:v>Qualified physical-test constraint</x:v>
      </x:c>
      <x:c r="N77" s="108" t="str">
        <x:v>Compliance is established mainly through survey, inspection, material testing, operability testing, or other physical evidence.</x:v>
      </x:c>
      <x:c r="O77" s="113" t="str">
        <x:v>No</x:v>
      </x:c>
      <x:c r="P77" s="113" t="str">
        <x:v>Included - source reverified and locked</x:v>
      </x:c>
      <x:c r="Q77" s="108" t="str">
        <x:v>LOCK-2026-08-10: No source, page, clause, category, or normalized-meaning correction was required. Source wording was checked against the supplied PDF; equation notation is ASCII-linearized.</x:v>
      </x:c>
      <x:c r="R77" s="108" t="str">
        <x:v>LOCK-2026-08-11-R2 | source_pdf=MSC.385(94).pdf | source_sha256=6c6a038bff68ee906dd97c41e95fb4442917c014c8e79228f15e80cc5afa5c1f | physical_pdf_page=25 | section=Part I-A Chapter 8 - Survival | clause=8.3.3.3.3.3 | checks=independent_full_text_page_layout; numbers_units_operators_equations; normalized_rule_meaning; five_category_classification | status=LOCKED</x:v>
      </x:c>
      <x:c r="S77" s="108" t="str">
        <x:v>New IMO source; not derived from the thesis extraction.</x:v>
      </x:c>
      <x:c r="T77" s="108" t="str">
        <x:v>PASS - source/page/clause/meaning/category reverified</x:v>
      </x:c>
      <x:c r="U77" s="108" t="str">
        <x:v>LOCKED - extraction reverified</x:v>
      </x:c>
      <x:c r="V77" s="123" t="str">
        <x:v>Second-pass extraction lock covers source identity, physical PDF page span, section/clause, ASCII transcription, normalized meaning, and verification category. SHACL shapes remain a separate implementation artifact.</x:v>
      </x:c>
      <x:c r="W77" s="123" t="str">
        <x:v>https://wwwcdn.imo.org/localresources/en/KnowledgeCentre/IndexofIMOResolutions/MSCResolutions/MSC.385%2894%29.pdf</x:v>
      </x:c>
      <x:c r="X77" s="123" t="str">
        <x:v>Container inventory, ice-mobility test, and flotation test records</x:v>
      </x:c>
      <x:c r="Y77" s="123" t="str">
        <x:v>Require both passed tests for every container.</x:v>
      </x:c>
    </x:row>
    <x:row r="78" ht="100" customHeight="1">
      <x:c r="A78" s="108" t="str">
        <x:v>IMO-077</x:v>
      </x:c>
      <x:c r="B78" s="108" t="str">
        <x:v>International Code for Ships Operating in Polar Waters (Polar Code)</x:v>
      </x:c>
      <x:c r="C78" s="108" t="str">
        <x:v>Resolution MSC.385(94), adopted 21 Nov 2014; consolidated with MEPC.264(68), adopted 15 May 2015</x:v>
      </x:c>
      <x:c r="D78" s="163" t="n">
        <x:v>25</x:v>
      </x:c>
      <x:c r="E78" s="108" t="str">
        <x:v>Part I-A Chapter 8 - Survival</x:v>
      </x:c>
      <x:c r="F78" s="108" t="str">
        <x:v>8.3.3.3.3.5</x:v>
      </x:c>
      <x:c r="G78" s="113" t="str">
        <x:v>Static Calculation</x:v>
      </x:c>
      <x:c r="H78" s="120" t="str">
        <x:v>If carried in addition to persons, in the survival craft, the survival craft and launching appliances shall have sufficient capacity to accommodate the additional equipment.</x:v>
      </x:c>
      <x:c r="I78" s="121" t="str">
        <x:v>IF additional_equipment_carried_in_survival_craft = true, THEN survival_craft_available_capacity &gt;= persons_capacity_requirement + additional_equipment_capacity_requirement AND launching_appliance_capacity &gt;= loaded_survival_craft_requirement.</x:v>
      </x:c>
      <x:c r="J78" s="122" t="str">
        <x:v>additional_equipment_carried_in_survival_craft, survival_craft_available_capacity, persons_capacity_requirement, additional_equipment_capacity_requirement, launching_appliance_capacity, loaded_survival_craft_requirement</x:v>
      </x:c>
      <x:c r="K78" s="122" t="str">
        <x:v>No direct AnchorMap term found; propose code-safe alias: survival-craft and launching-appliance capacity variables</x:v>
      </x:c>
      <x:c r="L78" s="124" t="str">
        <x:v>High</x:v>
      </x:c>
      <x:c r="M78" s="122" t="str">
        <x:v>Conditional capacity calculation constraint</x:v>
      </x:c>
      <x:c r="N78" s="108" t="str">
        <x:v>Deterministic calculation from static design inputs followed by a numeric or logical comparison.</x:v>
      </x:c>
      <x:c r="O78" s="113" t="str">
        <x:v>No</x:v>
      </x:c>
      <x:c r="P78" s="113" t="str">
        <x:v>Included - source reverified and locked</x:v>
      </x:c>
      <x:c r="Q78" s="108" t="str">
        <x:v>LOCK-2026-08-10: No source, page, clause, category, or normalized-meaning correction was required. Source wording was checked against the supplied PDF; equation notation is ASCII-linearized.</x:v>
      </x:c>
      <x:c r="R78" s="108" t="str">
        <x:v>LOCK-2026-08-11-R2 | source_pdf=MSC.385(94).pdf | source_sha256=6c6a038bff68ee906dd97c41e95fb4442917c014c8e79228f15e80cc5afa5c1f | physical_pdf_page=25 | section=Part I-A Chapter 8 - Survival | clause=8.3.3.3.3.5 | checks=independent_full_text_page_layout; numbers_units_operators_equations; normalized_rule_meaning; five_category_classification | status=LOCKED</x:v>
      </x:c>
      <x:c r="S78" s="108" t="str">
        <x:v>New IMO source; not derived from the thesis extraction.</x:v>
      </x:c>
      <x:c r="T78" s="108" t="str">
        <x:v>PASS - source/page/clause/meaning/category reverified</x:v>
      </x:c>
      <x:c r="U78" s="108" t="str">
        <x:v>LOCKED - extraction reverified</x:v>
      </x:c>
      <x:c r="V78" s="123" t="str">
        <x:v>Second-pass extraction lock covers source identity, physical PDF page span, section/clause, ASCII transcription, normalized meaning, and verification category. SHACL shapes remain a separate implementation artifact.</x:v>
      </x:c>
      <x:c r="W78" s="123" t="str">
        <x:v>https://wwwcdn.imo.org/localresources/en/KnowledgeCentre/IndexofIMOResolutions/MSCResolutions/MSC.385%2894%29.pdf</x:v>
      </x:c>
      <x:c r="X78" s="123" t="str">
        <x:v>Survival-craft loading calculation and launching-appliance capacity evidence</x:v>
      </x:c>
      <x:c r="Y78" s="123" t="str">
        <x:v>Compare available capacities with the combined calculated requirements.</x:v>
      </x:c>
    </x:row>
    <x:row r="79" ht="100" customHeight="1">
      <x:c r="A79" s="108" t="str">
        <x:v>IMO-078</x:v>
      </x:c>
      <x:c r="B79" s="108" t="str">
        <x:v>International Code for Ships Operating in Polar Waters (Polar Code)</x:v>
      </x:c>
      <x:c r="C79" s="108" t="str">
        <x:v>Resolution MSC.385(94), adopted 21 Nov 2014; consolidated with MEPC.264(68), adopted 15 May 2015</x:v>
      </x:c>
      <x:c r="D79" s="163" t="n">
        <x:v>25</x:v>
      </x:c>
      <x:c r="E79" s="108" t="str">
        <x:v>Part I-A Chapter 8 - Survival</x:v>
      </x:c>
      <x:c r="F79" s="108" t="str">
        <x:v>8.3.3.3.3.6-.7</x:v>
      </x:c>
      <x:c r="G79" s="113" t="str">
        <x:v>Static</x:v>
      </x:c>
      <x:c r="H79" s="120" t="str">
        <x:v>Passengers shall be instructed in the use of the personal survival equipment and the action to take in an emergency; and the crew shall be trained in the use of the personal survival equipment and group survival equipment.</x:v>
      </x:c>
      <x:c r="I79" s="121" t="str">
        <x:v>Every passenger shall have personal-survival-equipment instruction_status = completed; every crew member shall have personal_and_group_survival_equipment_training_status = completed.</x:v>
      </x:c>
      <x:c r="J79" s="122" t="str">
        <x:v>passenger, passenger_instruction_status, crew_member, crew_survival_equipment_training_status</x:v>
      </x:c>
      <x:c r="K79" s="122" t="str">
        <x:v>No direct AnchorMap term found; propose code-safe alias: passenger instruction and crew training status properties</x:v>
      </x:c>
      <x:c r="L79" s="124" t="str">
        <x:v>High</x:v>
      </x:c>
      <x:c r="M79" s="122" t="str">
        <x:v>Qualified training-status constraint</x:v>
      </x:c>
      <x:c r="N79" s="108" t="str">
        <x:v>Direct verification of a stated property, document, presence condition, enumeration, applicability rule, prohibition, or fixed limit.</x:v>
      </x:c>
      <x:c r="O79" s="113" t="str">
        <x:v>No</x:v>
      </x:c>
      <x:c r="P79" s="113" t="str">
        <x:v>Included - source reverified and locked</x:v>
      </x:c>
      <x:c r="Q79" s="108" t="str">
        <x:v>LOCK-2026-08-10: No source, page, clause, category, or normalized-meaning correction was required. Source wording was checked against the supplied PDF; equation notation is ASCII-linearized.</x:v>
      </x:c>
      <x:c r="R79" s="108" t="str">
        <x:v>LOCK-2026-08-11-R2 | source_pdf=MSC.385(94).pdf | source_sha256=6c6a038bff68ee906dd97c41e95fb4442917c014c8e79228f15e80cc5afa5c1f | physical_pdf_page=25 | section=Part I-A Chapter 8 - Survival | clause=8.3.3.3.3.6-.7 | checks=independent_full_text_page_layout; numbers_units_operators_equations; normalized_rule_meaning; five_category_classification | status=LOCKED</x:v>
      </x:c>
      <x:c r="S79" s="108" t="str">
        <x:v>New IMO source; not derived from the thesis extraction.</x:v>
      </x:c>
      <x:c r="T79" s="108" t="str">
        <x:v>PASS - source/page/clause/meaning/category reverified</x:v>
      </x:c>
      <x:c r="U79" s="108" t="str">
        <x:v>LOCKED - extraction reverified</x:v>
      </x:c>
      <x:c r="V79" s="123" t="str">
        <x:v>Second-pass extraction lock covers source identity, physical PDF page span, section/clause, ASCII transcription, normalized meaning, and verification category. SHACL shapes remain a separate implementation artifact.</x:v>
      </x:c>
      <x:c r="W79" s="123" t="str">
        <x:v>https://wwwcdn.imo.org/localresources/en/KnowledgeCentre/IndexofIMOResolutions/MSCResolutions/MSC.385%2894%29.pdf</x:v>
      </x:c>
      <x:c r="X79" s="123" t="str">
        <x:v>Passenger and crew manifests with instruction/training records</x:v>
      </x:c>
      <x:c r="Y79" s="123" t="str">
        <x:v>Require completed status for each person in the applicable role.</x:v>
      </x:c>
    </x:row>
    <x:row r="80" ht="100" customHeight="1">
      <x:c r="A80" s="108" t="str">
        <x:v>IMO-079</x:v>
      </x:c>
      <x:c r="B80" s="108" t="str">
        <x:v>International Code for Ships Operating in Polar Waters (Polar Code)</x:v>
      </x:c>
      <x:c r="C80" s="108" t="str">
        <x:v>Resolution MSC.385(94), adopted 21 Nov 2014; consolidated with MEPC.264(68), adopted 15 May 2015</x:v>
      </x:c>
      <x:c r="D80" s="163" t="n">
        <x:v>25</x:v>
      </x:c>
      <x:c r="E80" s="108" t="str">
        <x:v>Part I-A Chapter 8 - Survival</x:v>
      </x:c>
      <x:c r="F80" s="108" t="str">
        <x:v>8.3.3.4</x:v>
      </x:c>
      <x:c r="G80" s="113" t="str">
        <x:v>Static Calculation</x:v>
      </x:c>
      <x:c r="H80" s="120" t="str">
        <x:v>Adequate emergency rations shall be provided, for the maximum expected time of rescue.</x:v>
      </x:c>
      <x:c r="I80" s="121" t="str">
        <x:v>available_emergency_ration_person_days &gt;= persons_on_board * maximum_expected_rescue_time_days.</x:v>
      </x:c>
      <x:c r="J80" s="122" t="str">
        <x:v>available_emergency_ration_person_days, persons_on_board, maximum_expected_rescue_time_days</x:v>
      </x:c>
      <x:c r="K80" s="122" t="str">
        <x:v>No direct AnchorMap term found; propose code-safe alias: emergency-ration capacity variables</x:v>
      </x:c>
      <x:c r="L80" s="124" t="str">
        <x:v>High</x:v>
      </x:c>
      <x:c r="M80" s="122" t="str">
        <x:v>Formula-derived capacity constraint</x:v>
      </x:c>
      <x:c r="N80" s="108" t="str">
        <x:v>Deterministic calculation from static design inputs followed by a numeric or logical comparison.</x:v>
      </x:c>
      <x:c r="O80" s="113" t="str">
        <x:v>No</x:v>
      </x:c>
      <x:c r="P80" s="113" t="str">
        <x:v>Included - source reverified and locked</x:v>
      </x:c>
      <x:c r="Q80" s="108" t="str">
        <x:v>LOCK-2026-08-10: No source, page, clause, category, or normalized-meaning correction was required. Source wording was checked against the supplied PDF; equation notation is ASCII-linearized.</x:v>
      </x:c>
      <x:c r="R80" s="108" t="str">
        <x:v>LOCK-2026-08-11-R2 | source_pdf=MSC.385(94).pdf | source_sha256=6c6a038bff68ee906dd97c41e95fb4442917c014c8e79228f15e80cc5afa5c1f | physical_pdf_page=25 | section=Part I-A Chapter 8 - Survival | clause=8.3.3.4 | checks=independent_full_text_page_layout; numbers_units_operators_equations; normalized_rule_meaning; five_category_classification | status=LOCKED</x:v>
      </x:c>
      <x:c r="S80" s="108" t="str">
        <x:v>New IMO source; not derived from the thesis extraction.</x:v>
      </x:c>
      <x:c r="T80" s="108" t="str">
        <x:v>PASS - source/page/clause/meaning/category reverified</x:v>
      </x:c>
      <x:c r="U80" s="108" t="str">
        <x:v>LOCKED - extraction reverified</x:v>
      </x:c>
      <x:c r="V80" s="123" t="str">
        <x:v>Second-pass extraction lock covers source identity, physical PDF page span, section/clause, ASCII transcription, normalized meaning, and verification category. SHACL shapes remain a separate implementation artifact.</x:v>
      </x:c>
      <x:c r="W80" s="123" t="str">
        <x:v>https://wwwcdn.imo.org/localresources/en/KnowledgeCentre/IndexofIMOResolutions/MSCResolutions/MSC.385%2894%29.pdf</x:v>
      </x:c>
      <x:c r="X80" s="123" t="str">
        <x:v>Persons-on-board count, adopted rescue time, and ration capacity</x:v>
      </x:c>
      <x:c r="Y80" s="123" t="str">
        <x:v>Compare available ration person-days with the calculated minimum.</x:v>
      </x:c>
    </x:row>
    <x:row r="81" ht="100" customHeight="1">
      <x:c r="A81" s="108" t="str">
        <x:v>IMO-080</x:v>
      </x:c>
      <x:c r="B81" s="108" t="str">
        <x:v>International Code for Ships Operating in Polar Waters (Polar Code)</x:v>
      </x:c>
      <x:c r="C81" s="108" t="str">
        <x:v>Resolution MSC.385(94), adopted 21 Nov 2014; consolidated with MEPC.264(68), adopted 15 May 2015</x:v>
      </x:c>
      <x:c r="D81" s="163" t="n">
        <x:v>26</x:v>
      </x:c>
      <x:c r="E81" s="108" t="str">
        <x:v>Part I-A Chapter 9 - Nautical information</x:v>
      </x:c>
      <x:c r="F81" s="108" t="str">
        <x:v>9.3.1</x:v>
      </x:c>
      <x:c r="G81" s="113" t="str">
        <x:v>Dynamic</x:v>
      </x:c>
      <x:c r="H81" s="120" t="str">
        <x:v>Ships shall have means of receiving and displaying current information on ice conditions in the area of operation.</x:v>
      </x:c>
      <x:c r="I81" s="121" t="str">
        <x:v>ice_information_receiver_present = true AND ice_information_display_present = true AND displayed_ice_information_status = current for the operating area.</x:v>
      </x:c>
      <x:c r="J81" s="122" t="str">
        <x:v>ice_information_receiver_present, ice_information_display_present, displayed_ice_information_status, operating_area</x:v>
      </x:c>
      <x:c r="K81" s="122" t="str">
        <x:v>No direct AnchorMap term found; propose code-safe alias: ice-information receiver, display and currency properties</x:v>
      </x:c>
      <x:c r="L81" s="124" t="str">
        <x:v>Medium</x:v>
      </x:c>
      <x:c r="M81" s="122" t="str">
        <x:v>Dynamic information-availability constraint</x:v>
      </x:c>
      <x:c r="N81" s="108" t="str">
        <x:v>Verification depends on operational, time-stamped, route-dependent, monitored, or simulation-response information.</x:v>
      </x:c>
      <x:c r="O81" s="113" t="str">
        <x:v>No</x:v>
      </x:c>
      <x:c r="P81" s="113" t="str">
        <x:v>Included - source reverified and locked</x:v>
      </x:c>
      <x:c r="Q81" s="108" t="str">
        <x:v>LOCK-2026-08-10: No source, page, clause, category, or normalized-meaning correction was required. Source wording was checked against the supplied PDF; equation notation is ASCII-linearized.</x:v>
      </x:c>
      <x:c r="R81" s="108" t="str">
        <x:v>LOCK-2026-08-11-R2 | source_pdf=MSC.385(94).pdf | source_sha256=6c6a038bff68ee906dd97c41e95fb4442917c014c8e79228f15e80cc5afa5c1f | physical_pdf_page=26 | section=Part I-A Chapter 9 - Nautical information | clause=9.3.1 | checks=independent_full_text_page_layout; numbers_units_operators_equations; normalized_rule_meaning; five_category_classification | status=LOCKED</x:v>
      </x:c>
      <x:c r="S81" s="108" t="str">
        <x:v>New IMO source; not derived from the thesis extraction.</x:v>
      </x:c>
      <x:c r="T81" s="108" t="str">
        <x:v>PASS - source/page/clause/meaning/category reverified</x:v>
      </x:c>
      <x:c r="U81" s="108" t="str">
        <x:v>LOCKED - extraction reverified</x:v>
      </x:c>
      <x:c r="V81" s="123" t="str">
        <x:v>Second-pass extraction lock covers source identity, physical PDF page span, section/clause, ASCII transcription, normalized meaning, and verification category. SHACL shapes remain a separate implementation artifact.</x:v>
      </x:c>
      <x:c r="W81" s="123" t="str">
        <x:v>https://wwwcdn.imo.org/localresources/en/KnowledgeCentre/IndexofIMOResolutions/MSCResolutions/MSC.385%2894%29.pdf</x:v>
      </x:c>
      <x:c r="X81" s="123" t="str">
        <x:v>Navigation equipment inventory and time-stamped ice-information feed</x:v>
      </x:c>
      <x:c r="Y81" s="123" t="str">
        <x:v>Require both receiving/display capability and a current information timestamp.</x:v>
      </x:c>
    </x:row>
    <x:row r="82" ht="100" customHeight="1">
      <x:c r="A82" s="108" t="str">
        <x:v>IMO-081</x:v>
      </x:c>
      <x:c r="B82" s="108" t="str">
        <x:v>International Code for Ships Operating in Polar Waters (Polar Code)</x:v>
      </x:c>
      <x:c r="C82" s="108" t="str">
        <x:v>Resolution MSC.385(94), adopted 21 Nov 2014; consolidated with MEPC.264(68), adopted 15 May 2015</x:v>
      </x:c>
      <x:c r="D82" s="163" t="n">
        <x:v>26</x:v>
      </x:c>
      <x:c r="E82" s="108" t="str">
        <x:v>Part I-A Chapter 9 - Navigational equipment</x:v>
      </x:c>
      <x:c r="F82" s="108" t="str">
        <x:v>9.3.2.1.1</x:v>
      </x:c>
      <x:c r="G82" s="113" t="str">
        <x:v>Static</x:v>
      </x:c>
      <x:c r="H82" s="120" t="str">
        <x:v>Ships constructed on or after 1 January 2017, ice strengthened in accordance with chapter 3, shall have either two independent echo-sounding devices or one echo-sounding device with two separate independent transducers.</x:v>
      </x:c>
      <x:c r="I82" s="121" t="str">
        <x:v>IF construction_date &gt;= '2017-01-01' AND ship_ice_strengthened = true, THEN independent_echo_sounding_device_count &gt;= 2 OR (echo_sounding_device_count &gt;= 1 AND independent_transducer_count &gt;= 2).</x:v>
      </x:c>
      <x:c r="J82" s="122" t="str">
        <x:v>construction_date, ship_ice_strengthened, independent_echo_sounding_device_count, echo_sounding_device_count, independent_transducer_count</x:v>
      </x:c>
      <x:c r="K82" s="122" t="str">
        <x:v>No direct AnchorMap term found; propose code-safe alias: construction date and echo-sounding equipment-count properties</x:v>
      </x:c>
      <x:c r="L82" s="124" t="str">
        <x:v>High</x:v>
      </x:c>
      <x:c r="M82" s="122" t="str">
        <x:v>Conditional alternative-count constraint</x:v>
      </x:c>
      <x:c r="N82" s="108" t="str">
        <x:v>Direct verification of a stated property, document, presence condition, enumeration, applicability rule, prohibition, or fixed limit.</x:v>
      </x:c>
      <x:c r="O82" s="113" t="str">
        <x:v>No</x:v>
      </x:c>
      <x:c r="P82" s="113" t="str">
        <x:v>Included - source reverified and locked</x:v>
      </x:c>
      <x:c r="Q82" s="108" t="str">
        <x:v>LOCK-2026-08-10: No source, page, clause, category, or normalized-meaning correction was required. Source wording was checked against the supplied PDF; equation notation is ASCII-linearized.</x:v>
      </x:c>
      <x:c r="R82" s="108" t="str">
        <x:v>LOCK-2026-08-11-R2 | source_pdf=MSC.385(94).pdf | source_sha256=6c6a038bff68ee906dd97c41e95fb4442917c014c8e79228f15e80cc5afa5c1f | physical_pdf_page=26 | section=Part I-A Chapter 9 - Navigational equipment | clause=9.3.2.1.1 | checks=independent_full_text_page_layout; numbers_units_operators_equations; normalized_rule_meaning; five_category_classification | status=LOCKED</x:v>
      </x:c>
      <x:c r="S82" s="108" t="str">
        <x:v>New IMO source; not derived from the thesis extraction.</x:v>
      </x:c>
      <x:c r="T82" s="108" t="str">
        <x:v>PASS - source/page/clause/meaning/category reverified</x:v>
      </x:c>
      <x:c r="U82" s="108" t="str">
        <x:v>LOCKED - extraction reverified</x:v>
      </x:c>
      <x:c r="V82" s="123" t="str">
        <x:v>Second-pass extraction lock covers source identity, physical PDF page span, section/clause, ASCII transcription, normalized meaning, and verification category. SHACL shapes remain a separate implementation artifact.</x:v>
      </x:c>
      <x:c r="W82" s="123" t="str">
        <x:v>https://wwwcdn.imo.org/localresources/en/KnowledgeCentre/IndexofIMOResolutions/MSCResolutions/MSC.385%2894%29.pdf</x:v>
      </x:c>
      <x:c r="X82" s="123" t="str">
        <x:v>Construction date, ice-strengthening status, and echo-sounding equipment topology</x:v>
      </x:c>
      <x:c r="Y82" s="123" t="str">
        <x:v>Use an OR constraint between two independent devices and one device with two independent transducers.</x:v>
      </x:c>
    </x:row>
    <x:row r="83" ht="100" customHeight="1">
      <x:c r="A83" s="108" t="str">
        <x:v>IMO-082</x:v>
      </x:c>
      <x:c r="B83" s="108" t="str">
        <x:v>International Code for Ships Operating in Polar Waters (Polar Code)</x:v>
      </x:c>
      <x:c r="C83" s="108" t="str">
        <x:v>Resolution MSC.385(94), adopted 21 Nov 2014; consolidated with MEPC.264(68), adopted 15 May 2015</x:v>
      </x:c>
      <x:c r="D83" s="163" t="n">
        <x:v>26</x:v>
      </x:c>
      <x:c r="E83" s="108" t="str">
        <x:v>Part I-A Chapter 9 - Navigational equipment</x:v>
      </x:c>
      <x:c r="F83" s="108" t="str">
        <x:v>9.3.2.1.2</x:v>
      </x:c>
      <x:c r="G83" s="113" t="str">
        <x:v>Static</x:v>
      </x:c>
      <x:c r="H83" s="120" t="str">
        <x:v>Ships shall comply with SOLAS regulation V/22.1.9.4, irrespective of the date of construction and the size and, depending on the bridge configuration, have a clear view astern.</x:v>
      </x:c>
      <x:c r="I83" s="121" t="str">
        <x:v>SOLAS_V_22_1_9_4_compliance_status = compliant AND, where required by bridge configuration, clear_view_astern_status = compliant.</x:v>
      </x:c>
      <x:c r="J83" s="122" t="str">
        <x:v>SOLAS_V_22_1_9_4_compliance_status, bridge_configuration, clear_view_astern_status</x:v>
      </x:c>
      <x:c r="K83" s="122" t="str">
        <x:v>No direct AnchorMap term found; propose code-safe alias: SOLAS compliance and bridge-visibility properties</x:v>
      </x:c>
      <x:c r="L83" s="124" t="str">
        <x:v>Medium</x:v>
      </x:c>
      <x:c r="M83" s="122" t="str">
        <x:v>Cross-regulation compliance and conditional status constraint</x:v>
      </x:c>
      <x:c r="N83" s="108" t="str">
        <x:v>Direct verification of a stated property, document, presence condition, enumeration, applicability rule, prohibition, or fixed limit.</x:v>
      </x:c>
      <x:c r="O83" s="113" t="str">
        <x:v>No</x:v>
      </x:c>
      <x:c r="P83" s="113" t="str">
        <x:v>Included - source reverified and locked</x:v>
      </x:c>
      <x:c r="Q83" s="108" t="str">
        <x:v>LOCK-2026-08-10: No source, page, clause, category, or normalized-meaning correction was required. Source wording was checked against the supplied PDF; equation notation is ASCII-linearized.</x:v>
      </x:c>
      <x:c r="R83" s="108" t="str">
        <x:v>LOCK-2026-08-11-R2 | source_pdf=MSC.385(94).pdf | source_sha256=6c6a038bff68ee906dd97c41e95fb4442917c014c8e79228f15e80cc5afa5c1f | physical_pdf_page=26 | section=Part I-A Chapter 9 - Navigational equipment | clause=9.3.2.1.2 | checks=independent_full_text_page_layout; numbers_units_operators_equations; normalized_rule_meaning; five_category_classification | status=LOCKED</x:v>
      </x:c>
      <x:c r="S83" s="108" t="str">
        <x:v>New IMO source; not derived from the thesis extraction.</x:v>
      </x:c>
      <x:c r="T83" s="108" t="str">
        <x:v>PASS - source/page/clause/meaning/category reverified</x:v>
      </x:c>
      <x:c r="U83" s="108" t="str">
        <x:v>LOCKED - extraction reverified</x:v>
      </x:c>
      <x:c r="V83" s="123" t="str">
        <x:v>Second-pass extraction lock covers source identity, physical PDF page span, section/clause, ASCII transcription, normalized meaning, and verification category. SHACL shapes remain a separate implementation artifact.</x:v>
      </x:c>
      <x:c r="W83" s="123" t="str">
        <x:v>https://wwwcdn.imo.org/localresources/en/KnowledgeCentre/IndexofIMOResolutions/MSCResolutions/MSC.385%2894%29.pdf</x:v>
      </x:c>
      <x:c r="X83" s="123" t="str">
        <x:v>SOLAS compliance evidence, bridge configuration, and visibility assessment</x:v>
      </x:c>
      <x:c r="Y83" s="123" t="str">
        <x:v>Represent the external SOLAS requirement as linked compliance evidence.</x:v>
      </x:c>
    </x:row>
    <x:row r="84" ht="100" customHeight="1">
      <x:c r="A84" s="108" t="str">
        <x:v>IMO-083</x:v>
      </x:c>
      <x:c r="B84" s="108" t="str">
        <x:v>International Code for Ships Operating in Polar Waters (Polar Code)</x:v>
      </x:c>
      <x:c r="C84" s="108" t="str">
        <x:v>Resolution MSC.385(94), adopted 21 Nov 2014; consolidated with MEPC.264(68), adopted 15 May 2015</x:v>
      </x:c>
      <x:c r="D84" s="163" t="n">
        <x:v>27</x:v>
      </x:c>
      <x:c r="E84" s="108" t="str">
        <x:v>Part I-A Chapter 9 - Navigational equipment</x:v>
      </x:c>
      <x:c r="F84" s="108" t="str">
        <x:v>9.3.2.1.3</x:v>
      </x:c>
      <x:c r="G84" s="113" t="str">
        <x:v>Static</x:v>
      </x:c>
      <x:c r="H84" s="120" t="str">
        <x:v>For ships operating in areas and during periods where ice accretion is likely to occur, means to prevent the accumulation of ice on antennas required for navigation and communication shall be provided.</x:v>
      </x:c>
      <x:c r="I84" s="121" t="str">
        <x:v>IF ice_accretion_likely = true, THEN every required navigation or communication antenna shall have ice_accumulation_prevention_means_present = true.</x:v>
      </x:c>
      <x:c r="J84" s="122" t="str">
        <x:v>ice_accretion_likely, required_navigation_or_communication_antenna, ice_accumulation_prevention_means_present</x:v>
      </x:c>
      <x:c r="K84" s="122" t="str">
        <x:v>No direct AnchorMap term found; propose code-safe alias: antenna and ice-prevention properties</x:v>
      </x:c>
      <x:c r="L84" s="124" t="str">
        <x:v>High</x:v>
      </x:c>
      <x:c r="M84" s="122" t="str">
        <x:v>Conditional qualified equipment constraint</x:v>
      </x:c>
      <x:c r="N84" s="108" t="str">
        <x:v>Direct verification of a stated property, document, presence condition, enumeration, applicability rule, prohibition, or fixed limit.</x:v>
      </x:c>
      <x:c r="O84" s="113" t="str">
        <x:v>No</x:v>
      </x:c>
      <x:c r="P84" s="113" t="str">
        <x:v>Included - source reverified and locked</x:v>
      </x:c>
      <x:c r="Q84" s="108" t="str">
        <x:v>LOCK-2026-08-10: No source, page, clause, category, or normalized-meaning correction was required. Source wording was checked against the supplied PDF; equation notation is ASCII-linearized.</x:v>
      </x:c>
      <x:c r="R84" s="108" t="str">
        <x:v>LOCK-2026-08-11-R2 | source_pdf=MSC.385(94).pdf | source_sha256=6c6a038bff68ee906dd97c41e95fb4442917c014c8e79228f15e80cc5afa5c1f | physical_pdf_page=27 | section=Part I-A Chapter 9 - Navigational equipment | clause=9.3.2.1.3 | checks=independent_full_text_page_layout; numbers_units_operators_equations; normalized_rule_meaning; five_category_classification | status=LOCKED</x:v>
      </x:c>
      <x:c r="S84" s="108" t="str">
        <x:v>New IMO source; not derived from the thesis extraction.</x:v>
      </x:c>
      <x:c r="T84" s="108" t="str">
        <x:v>PASS - source/page/clause/meaning/category reverified</x:v>
      </x:c>
      <x:c r="U84" s="108" t="str">
        <x:v>LOCKED - extraction reverified</x:v>
      </x:c>
      <x:c r="V84" s="123" t="str">
        <x:v>Second-pass extraction lock covers source identity, physical PDF page span, section/clause, ASCII transcription, normalized meaning, and verification category. SHACL shapes remain a separate implementation artifact.</x:v>
      </x:c>
      <x:c r="W84" s="123" t="str">
        <x:v>https://wwwcdn.imo.org/localresources/en/KnowledgeCentre/IndexofIMOResolutions/MSCResolutions/MSC.385%2894%29.pdf</x:v>
      </x:c>
      <x:c r="X84" s="123" t="str">
        <x:v>Antenna inventory, ice-accretion applicability, and prevention arrangement</x:v>
      </x:c>
      <x:c r="Y84" s="123" t="str">
        <x:v>Require one prevention means for each required antenna.</x:v>
      </x:c>
    </x:row>
    <x:row r="85" ht="100" customHeight="1">
      <x:c r="A85" s="108" t="str">
        <x:v>IMO-084</x:v>
      </x:c>
      <x:c r="B85" s="108" t="str">
        <x:v>International Code for Ships Operating in Polar Waters (Polar Code)</x:v>
      </x:c>
      <x:c r="C85" s="108" t="str">
        <x:v>Resolution MSC.385(94), adopted 21 Nov 2014; consolidated with MEPC.264(68), adopted 15 May 2015</x:v>
      </x:c>
      <x:c r="D85" s="163" t="n">
        <x:v>27</x:v>
      </x:c>
      <x:c r="E85" s="108" t="str">
        <x:v>Part I-A Chapter 9 - Navigational equipment</x:v>
      </x:c>
      <x:c r="F85" s="108" t="str">
        <x:v>9.3.2.1.4.1</x:v>
      </x:c>
      <x:c r="G85" s="113" t="str">
        <x:v>Static</x:v>
      </x:c>
      <x:c r="H85" s="120" t="str">
        <x:v>Where equipment required by SOLAS chapter V or this chapter has sensors that project below the hull, such sensors shall be protected against ice.</x:v>
      </x:c>
      <x:c r="I85" s="121" t="str">
        <x:v>IF required_sensor_projects_below_hull = true, THEN sensor_ice_protection_present = true.</x:v>
      </x:c>
      <x:c r="J85" s="122" t="str">
        <x:v>required_sensor_projects_below_hull, sensor_ice_protection_present</x:v>
      </x:c>
      <x:c r="K85" s="122" t="str">
        <x:v>No direct AnchorMap term found; propose code-safe alias: below-hull sensor and ice-protection properties</x:v>
      </x:c>
      <x:c r="L85" s="124" t="str">
        <x:v>High</x:v>
      </x:c>
      <x:c r="M85" s="122" t="str">
        <x:v>Conditional equipment-protection constraint</x:v>
      </x:c>
      <x:c r="N85" s="108" t="str">
        <x:v>Direct verification of a stated property, document, presence condition, enumeration, applicability rule, prohibition, or fixed limit.</x:v>
      </x:c>
      <x:c r="O85" s="113" t="str">
        <x:v>No</x:v>
      </x:c>
      <x:c r="P85" s="113" t="str">
        <x:v>Included - source reverified and locked</x:v>
      </x:c>
      <x:c r="Q85" s="108" t="str">
        <x:v>LOCK-2026-08-10: No source, page, clause, category, or normalized-meaning correction was required. Source wording was checked against the supplied PDF; equation notation is ASCII-linearized.</x:v>
      </x:c>
      <x:c r="R85" s="108" t="str">
        <x:v>LOCK-2026-08-11-R2 | source_pdf=MSC.385(94).pdf | source_sha256=6c6a038bff68ee906dd97c41e95fb4442917c014c8e79228f15e80cc5afa5c1f | physical_pdf_page=27 | section=Part I-A Chapter 9 - Navigational equipment | clause=9.3.2.1.4.1 | checks=independent_full_text_page_layout; numbers_units_operators_equations; normalized_rule_meaning; five_category_classification | status=LOCKED</x:v>
      </x:c>
      <x:c r="S85" s="108" t="str">
        <x:v>New IMO source; not derived from the thesis extraction.</x:v>
      </x:c>
      <x:c r="T85" s="108" t="str">
        <x:v>PASS - source/page/clause/meaning/category reverified</x:v>
      </x:c>
      <x:c r="U85" s="108" t="str">
        <x:v>LOCKED - extraction reverified</x:v>
      </x:c>
      <x:c r="V85" s="123" t="str">
        <x:v>Second-pass extraction lock covers source identity, physical PDF page span, section/clause, ASCII transcription, normalized meaning, and verification category. SHACL shapes remain a separate implementation artifact.</x:v>
      </x:c>
      <x:c r="W85" s="123" t="str">
        <x:v>https://wwwcdn.imo.org/localresources/en/KnowledgeCentre/IndexofIMOResolutions/MSCResolutions/MSC.385%2894%29.pdf</x:v>
      </x:c>
      <x:c r="X85" s="123" t="str">
        <x:v>Required-sensor inventory, projection location, and ice protection</x:v>
      </x:c>
      <x:c r="Y85" s="123" t="str">
        <x:v>Condition the protection requirement on below-hull projection.</x:v>
      </x:c>
    </x:row>
    <x:row r="86" ht="100" customHeight="1">
      <x:c r="A86" s="108" t="str">
        <x:v>IMO-085</x:v>
      </x:c>
      <x:c r="B86" s="108" t="str">
        <x:v>International Code for Ships Operating in Polar Waters (Polar Code)</x:v>
      </x:c>
      <x:c r="C86" s="108" t="str">
        <x:v>Resolution MSC.385(94), adopted 21 Nov 2014; consolidated with MEPC.264(68), adopted 15 May 2015</x:v>
      </x:c>
      <x:c r="D86" s="163" t="n">
        <x:v>27</x:v>
      </x:c>
      <x:c r="E86" s="108" t="str">
        <x:v>Part I-A Chapter 9 - Navigational equipment</x:v>
      </x:c>
      <x:c r="F86" s="108" t="str">
        <x:v>9.3.2.1.4.2</x:v>
      </x:c>
      <x:c r="G86" s="113" t="str">
        <x:v>Static</x:v>
      </x:c>
      <x:c r="H86" s="120" t="str">
        <x:v>In category A and B ships constructed on or after 1 January 2017, the bridge wings shall be enclosed or designed to protect navigational equipment and operating personnel.</x:v>
      </x:c>
      <x:c r="I86" s="121" t="str">
        <x:v>IF ship_category IN {'A','B'} AND construction_date &gt;= '2017-01-01', THEN bridge_wings_enclosed = true OR bridge_wing_protection_design_status = approved.</x:v>
      </x:c>
      <x:c r="J86" s="122" t="str">
        <x:v>ship_category, construction_date, bridge_wings_enclosed, bridge_wing_protection_design_status</x:v>
      </x:c>
      <x:c r="K86" s="122" t="str">
        <x:v>iceClass -&gt; reg:iceClass; No direct AnchorMap term found; propose code-safe alias: ship_category, construction_date, bridge-wing properties</x:v>
      </x:c>
      <x:c r="L86" s="124" t="str">
        <x:v>High</x:v>
      </x:c>
      <x:c r="M86" s="122" t="str">
        <x:v>Conditional alternative-path constraint</x:v>
      </x:c>
      <x:c r="N86" s="108" t="str">
        <x:v>Direct verification of a stated property, document, presence condition, enumeration, applicability rule, prohibition, or fixed limit.</x:v>
      </x:c>
      <x:c r="O86" s="113" t="str">
        <x:v>No</x:v>
      </x:c>
      <x:c r="P86" s="113" t="str">
        <x:v>Included - source reverified and locked</x:v>
      </x:c>
      <x:c r="Q86" s="108" t="str">
        <x:v>LOCK-2026-08-10: No source, page, clause, category, or normalized-meaning correction was required. Source wording was checked against the supplied PDF; equation notation is ASCII-linearized.</x:v>
      </x:c>
      <x:c r="R86" s="108" t="str">
        <x:v>LOCK-2026-08-11-R2 | source_pdf=MSC.385(94).pdf | source_sha256=6c6a038bff68ee906dd97c41e95fb4442917c014c8e79228f15e80cc5afa5c1f | physical_pdf_page=27 | section=Part I-A Chapter 9 - Navigational equipment | clause=9.3.2.1.4.2 | checks=independent_full_text_page_layout; numbers_units_operators_equations; normalized_rule_meaning; five_category_classification | status=LOCKED</x:v>
      </x:c>
      <x:c r="S86" s="108" t="str">
        <x:v>New IMO source; not derived from the thesis extraction.</x:v>
      </x:c>
      <x:c r="T86" s="108" t="str">
        <x:v>PASS - source/page/clause/meaning/category reverified</x:v>
      </x:c>
      <x:c r="U86" s="108" t="str">
        <x:v>LOCKED - extraction reverified</x:v>
      </x:c>
      <x:c r="V86" s="123" t="str">
        <x:v>Second-pass extraction lock covers source identity, physical PDF page span, section/clause, ASCII transcription, normalized meaning, and verification category. SHACL shapes remain a separate implementation artifact.</x:v>
      </x:c>
      <x:c r="W86" s="123" t="str">
        <x:v>https://wwwcdn.imo.org/localresources/en/KnowledgeCentre/IndexofIMOResolutions/MSCResolutions/MSC.385%2894%29.pdf</x:v>
      </x:c>
      <x:c r="X86" s="123" t="str">
        <x:v>Ship category, construction date, and bridge-wing design evidence</x:v>
      </x:c>
      <x:c r="Y86" s="123" t="str">
        <x:v>Use an OR constraint between enclosure and approved protective design.</x:v>
      </x:c>
    </x:row>
    <x:row r="87" ht="100" customHeight="1">
      <x:c r="A87" s="108" t="str">
        <x:v>IMO-086</x:v>
      </x:c>
      <x:c r="B87" s="108" t="str">
        <x:v>International Code for Ships Operating in Polar Waters (Polar Code)</x:v>
      </x:c>
      <x:c r="C87" s="108" t="str">
        <x:v>Resolution MSC.385(94), adopted 21 Nov 2014; consolidated with MEPC.264(68), adopted 15 May 2015</x:v>
      </x:c>
      <x:c r="D87" s="163" t="n">
        <x:v>27</x:v>
      </x:c>
      <x:c r="E87" s="108" t="str">
        <x:v>Part I-A Chapter 9 - Navigational equipment</x:v>
      </x:c>
      <x:c r="F87" s="108" t="str">
        <x:v>9.3.2.2.1</x:v>
      </x:c>
      <x:c r="G87" s="113" t="str">
        <x:v>Static</x:v>
      </x:c>
      <x:c r="H87" s="120" t="str">
        <x:v>Ships shall have two non-magnetic means to determine and display their heading. Both means shall be independent and shall be connected to the ship's main and emergency source of power.</x:v>
      </x:c>
      <x:c r="I87" s="121" t="str">
        <x:v>non_magnetic_heading_means_count &gt;= 2; the two means shall be independent and each shall be connected to main_power and emergency_power.</x:v>
      </x:c>
      <x:c r="J87" s="122" t="str">
        <x:v>non_magnetic_heading_means_count, heading_means_independent, connected_to_main_power, connected_to_emergency_power</x:v>
      </x:c>
      <x:c r="K87" s="122" t="str">
        <x:v>No direct AnchorMap term found; propose code-safe alias: heading-means count, independence and power properties</x:v>
      </x:c>
      <x:c r="L87" s="124" t="str">
        <x:v>High</x:v>
      </x:c>
      <x:c r="M87" s="122" t="str">
        <x:v>Qualified count and topology constraint</x:v>
      </x:c>
      <x:c r="N87" s="108" t="str">
        <x:v>Direct verification of a stated property, document, presence condition, enumeration, applicability rule, prohibition, or fixed limit.</x:v>
      </x:c>
      <x:c r="O87" s="113" t="str">
        <x:v>No</x:v>
      </x:c>
      <x:c r="P87" s="113" t="str">
        <x:v>Included - source reverified and locked</x:v>
      </x:c>
      <x:c r="Q87" s="108" t="str">
        <x:v>LOCK-2026-08-10: No source, page, clause, category, or normalized-meaning correction was required. Source wording was checked against the supplied PDF; equation notation is ASCII-linearized.</x:v>
      </x:c>
      <x:c r="R87" s="108" t="str">
        <x:v>LOCK-2026-08-11-R2 | source_pdf=MSC.385(94).pdf | source_sha256=6c6a038bff68ee906dd97c41e95fb4442917c014c8e79228f15e80cc5afa5c1f | physical_pdf_page=27 | section=Part I-A Chapter 9 - Navigational equipment | clause=9.3.2.2.1 | checks=independent_full_text_page_layout; numbers_units_operators_equations; normalized_rule_meaning; five_category_classification | status=LOCKED</x:v>
      </x:c>
      <x:c r="S87" s="108" t="str">
        <x:v>New IMO source; not derived from the thesis extraction.</x:v>
      </x:c>
      <x:c r="T87" s="108" t="str">
        <x:v>PASS - source/page/clause/meaning/category reverified</x:v>
      </x:c>
      <x:c r="U87" s="108" t="str">
        <x:v>LOCKED - extraction reverified</x:v>
      </x:c>
      <x:c r="V87" s="123" t="str">
        <x:v>Second-pass extraction lock covers source identity, physical PDF page span, section/clause, ASCII transcription, normalized meaning, and verification category. SHACL shapes remain a separate implementation artifact.</x:v>
      </x:c>
      <x:c r="W87" s="123" t="str">
        <x:v>https://wwwcdn.imo.org/localresources/en/KnowledgeCentre/IndexofIMOResolutions/MSCResolutions/MSC.385%2894%29.pdf</x:v>
      </x:c>
      <x:c r="X87" s="123" t="str">
        <x:v>Heading-equipment inventory, independence relation, and power connections</x:v>
      </x:c>
      <x:c r="Y87" s="123" t="str">
        <x:v>Require two distinct independent means with both power-source connections.</x:v>
      </x:c>
    </x:row>
    <x:row r="88" ht="100" customHeight="1">
      <x:c r="A88" s="108" t="str">
        <x:v>IMO-087</x:v>
      </x:c>
      <x:c r="B88" s="108" t="str">
        <x:v>International Code for Ships Operating in Polar Waters (Polar Code)</x:v>
      </x:c>
      <x:c r="C88" s="108" t="str">
        <x:v>Resolution MSC.385(94), adopted 21 Nov 2014; consolidated with MEPC.264(68), adopted 15 May 2015</x:v>
      </x:c>
      <x:c r="D88" s="163" t="n">
        <x:v>27</x:v>
      </x:c>
      <x:c r="E88" s="108" t="str">
        <x:v>Part I-A Chapter 9 - Navigational equipment</x:v>
      </x:c>
      <x:c r="F88" s="108" t="str">
        <x:v>9.3.2.2.2</x:v>
      </x:c>
      <x:c r="G88" s="113" t="str">
        <x:v>Static</x:v>
      </x:c>
      <x:c r="H88" s="120" t="str">
        <x:v>Ships proceeding to latitudes over 80 degrees shall be fitted with at least one GNSS compass or equivalent, which shall be connected to the ship's main and emergency source of power.</x:v>
      </x:c>
      <x:c r="I88" s="121" t="str">
        <x:v>IF planned_or_actual_latitude_deg &gt; 80, THEN GNSS_compass_or_equivalent_count &gt;= 1 AND connected_to_main_power = true AND connected_to_emergency_power = true.</x:v>
      </x:c>
      <x:c r="J88" s="122" t="str">
        <x:v>planned_or_actual_latitude_deg, GNSS_compass_or_equivalent_count, connected_to_main_power, connected_to_emergency_power</x:v>
      </x:c>
      <x:c r="K88" s="122" t="str">
        <x:v>No direct AnchorMap term found; propose code-safe alias: latitude and GNSS compass properties</x:v>
      </x:c>
      <x:c r="L88" s="124" t="str">
        <x:v>High</x:v>
      </x:c>
      <x:c r="M88" s="122" t="str">
        <x:v>Conditional qualified count constraint</x:v>
      </x:c>
      <x:c r="N88" s="108" t="str">
        <x:v>Direct verification of a stated property, document, presence condition, enumeration, applicability rule, prohibition, or fixed limit.</x:v>
      </x:c>
      <x:c r="O88" s="113" t="str">
        <x:v>No</x:v>
      </x:c>
      <x:c r="P88" s="113" t="str">
        <x:v>Included - source reverified and locked</x:v>
      </x:c>
      <x:c r="Q88" s="108" t="str">
        <x:v>LOCK-2026-08-10: No source, page, clause, category, or normalized-meaning correction was required. Source wording was checked against the supplied PDF; equation notation is ASCII-linearized.</x:v>
      </x:c>
      <x:c r="R88" s="108" t="str">
        <x:v>LOCK-2026-08-11-R2 | source_pdf=MSC.385(94).pdf | source_sha256=6c6a038bff68ee906dd97c41e95fb4442917c014c8e79228f15e80cc5afa5c1f | physical_pdf_page=27 | section=Part I-A Chapter 9 - Navigational equipment | clause=9.3.2.2.2 | checks=independent_full_text_page_layout; numbers_units_operators_equations; normalized_rule_meaning; five_category_classification | status=LOCKED</x:v>
      </x:c>
      <x:c r="S88" s="108" t="str">
        <x:v>New IMO source; not derived from the thesis extraction.</x:v>
      </x:c>
      <x:c r="T88" s="108" t="str">
        <x:v>PASS - source/page/clause/meaning/category reverified</x:v>
      </x:c>
      <x:c r="U88" s="108" t="str">
        <x:v>LOCKED - extraction reverified</x:v>
      </x:c>
      <x:c r="V88" s="123" t="str">
        <x:v>Second-pass extraction lock covers source identity, physical PDF page span, section/clause, ASCII transcription, normalized meaning, and verification category. SHACL shapes remain a separate implementation artifact.</x:v>
      </x:c>
      <x:c r="W88" s="123" t="str">
        <x:v>https://wwwcdn.imo.org/localresources/en/KnowledgeCentre/IndexofIMOResolutions/MSCResolutions/MSC.385%2894%29.pdf</x:v>
      </x:c>
      <x:c r="X88" s="123" t="str">
        <x:v>Voyage latitude, compass inventory, and power connections</x:v>
      </x:c>
      <x:c r="Y88" s="123" t="str">
        <x:v>Use a strict latitude threshold and require both power connections.</x:v>
      </x:c>
    </x:row>
    <x:row r="89" ht="100" customHeight="1">
      <x:c r="A89" s="108" t="str">
        <x:v>IMO-088</x:v>
      </x:c>
      <x:c r="B89" s="108" t="str">
        <x:v>International Code for Ships Operating in Polar Waters (Polar Code)</x:v>
      </x:c>
      <x:c r="C89" s="108" t="str">
        <x:v>Resolution MSC.385(94), adopted 21 Nov 2014; consolidated with MEPC.264(68), adopted 15 May 2015</x:v>
      </x:c>
      <x:c r="D89" s="163" t="n">
        <x:v>27</x:v>
      </x:c>
      <x:c r="E89" s="108" t="str">
        <x:v>Part I-A Chapter 9 - Additional navigational equipment</x:v>
      </x:c>
      <x:c r="F89" s="108" t="str">
        <x:v>9.3.3.1</x:v>
      </x:c>
      <x:c r="G89" s="113" t="str">
        <x:v>Static</x:v>
      </x:c>
      <x:c r="H89" s="120" t="str">
        <x:v>Ships, with the exception of those solely operating in areas with 24 h daylight, shall be equipped with two remotely rotatable, narrow-beam search lights controllable from the bridge to provide lighting over an arc of 360 degrees, or other means to visually detect ice.</x:v>
      </x:c>
      <x:c r="I89" s="121" t="str">
        <x:v>IF solely_24_hour_daylight_operation = false, THEN (bridge_controlled_rotatable_narrow_beam_searchlight_count &gt;= 2 AND searchlight_coverage_arc_deg &gt;= 360) OR alternate_visual_ice_detection_means_approval_status = approved.</x:v>
      </x:c>
      <x:c r="J89" s="122" t="str">
        <x:v>solely_24_hour_daylight_operation, bridge_controlled_rotatable_narrow_beam_searchlight_count, searchlight_coverage_arc_deg, alternate_visual_ice_detection_means_approval_status</x:v>
      </x:c>
      <x:c r="K89" s="122" t="str">
        <x:v>No direct AnchorMap term found; propose code-safe alias: daylight profile and visual-ice-detection equipment properties</x:v>
      </x:c>
      <x:c r="L89" s="124" t="str">
        <x:v>High</x:v>
      </x:c>
      <x:c r="M89" s="122" t="str">
        <x:v>Conditional alternative equipment constraint</x:v>
      </x:c>
      <x:c r="N89" s="108" t="str">
        <x:v>Direct verification of a stated property, document, presence condition, enumeration, applicability rule, prohibition, or fixed limit.</x:v>
      </x:c>
      <x:c r="O89" s="113" t="str">
        <x:v>No</x:v>
      </x:c>
      <x:c r="P89" s="113" t="str">
        <x:v>Included - source reverified and locked</x:v>
      </x:c>
      <x:c r="Q89" s="108" t="str">
        <x:v>LOCK-2026-08-10: No source, page, clause, category, or normalized-meaning correction was required. Source wording was checked against the supplied PDF; equation notation is ASCII-linearized.</x:v>
      </x:c>
      <x:c r="R89" s="108" t="str">
        <x:v>LOCK-2026-08-11-R2 | source_pdf=MSC.385(94).pdf | source_sha256=6c6a038bff68ee906dd97c41e95fb4442917c014c8e79228f15e80cc5afa5c1f | physical_pdf_page=27 | section=Part I-A Chapter 9 - Additional navigational equipment | clause=9.3.3.1 | checks=independent_full_text_page_layout; numbers_units_operators_equations; normalized_rule_meaning; five_category_classification | status=LOCKED</x:v>
      </x:c>
      <x:c r="S89" s="108" t="str">
        <x:v>New IMO source; not derived from the thesis extraction.</x:v>
      </x:c>
      <x:c r="T89" s="108" t="str">
        <x:v>PASS - source/page/clause/meaning/category reverified</x:v>
      </x:c>
      <x:c r="U89" s="108" t="str">
        <x:v>LOCKED - extraction reverified</x:v>
      </x:c>
      <x:c r="V89" s="123" t="str">
        <x:v>Second-pass extraction lock covers source identity, physical PDF page span, section/clause, ASCII transcription, normalized meaning, and verification category. SHACL shapes remain a separate implementation artifact.</x:v>
      </x:c>
      <x:c r="W89" s="123" t="str">
        <x:v>https://wwwcdn.imo.org/localresources/en/KnowledgeCentre/IndexofIMOResolutions/MSCResolutions/MSC.385%2894%29.pdf</x:v>
      </x:c>
      <x:c r="X89" s="123" t="str">
        <x:v>Operating-light profile, searchlight inventory/coverage, and alternative approval evidence</x:v>
      </x:c>
      <x:c r="Y89" s="123" t="str">
        <x:v>Use an OR branch between the specified searchlights and an approved alternative.</x:v>
      </x:c>
    </x:row>
    <x:row r="90" ht="100" customHeight="1">
      <x:c r="A90" s="108" t="str">
        <x:v>IMO-089</x:v>
      </x:c>
      <x:c r="B90" s="108" t="str">
        <x:v>International Code for Ships Operating in Polar Waters (Polar Code)</x:v>
      </x:c>
      <x:c r="C90" s="108" t="str">
        <x:v>Resolution MSC.385(94), adopted 21 Nov 2014; consolidated with MEPC.264(68), adopted 15 May 2015</x:v>
      </x:c>
      <x:c r="D90" s="163" t="n">
        <x:v>27</x:v>
      </x:c>
      <x:c r="E90" s="108" t="str">
        <x:v>Part I-A Chapter 9 - Additional navigational equipment</x:v>
      </x:c>
      <x:c r="F90" s="108" t="str">
        <x:v>9.3.3.2</x:v>
      </x:c>
      <x:c r="G90" s="113" t="str">
        <x:v>Static</x:v>
      </x:c>
      <x:c r="H90" s="120" t="str">
        <x:v>Ships involved in operations with an icebreaker escort shall be equipped with a manually initiated flashing red light visible from astern to indicate when the ship is stopped. This light shall have a range of visibility of at least two nautical miles, and the horizontal and vertical arcs of visibility shall conform to the stern light specifications required by the International Regulations for Preventing Collisions at Sea.</x:v>
      </x:c>
      <x:c r="I90" s="121" t="str">
        <x:v>IF icebreaker_escort_operation = true, THEN manually_initiated_flashing_red_stopped_light_present = true, light_visible_from_astern = true, visibility_range_nm &gt;= 2, and COLREG_stern_light_arc_compliance_status = compliant.</x:v>
      </x:c>
      <x:c r="J90" s="122" t="str">
        <x:v>icebreaker_escort_operation, stopped_light_present, manual_initiation, flashing_red, visible_from_astern, visibility_range_nm, COLREG_stern_light_arc_compliance_status</x:v>
      </x:c>
      <x:c r="K90" s="122" t="str">
        <x:v>No direct AnchorMap term found; propose code-safe alias: escort stopped-light properties</x:v>
      </x:c>
      <x:c r="L90" s="124" t="str">
        <x:v>High</x:v>
      </x:c>
      <x:c r="M90" s="122" t="str">
        <x:v>Conditional composite equipment constraint</x:v>
      </x:c>
      <x:c r="N90" s="108" t="str">
        <x:v>Direct verification of a stated property, document, presence condition, enumeration, applicability rule, prohibition, or fixed limit.</x:v>
      </x:c>
      <x:c r="O90" s="113" t="str">
        <x:v>No</x:v>
      </x:c>
      <x:c r="P90" s="113" t="str">
        <x:v>Included - source reverified and locked</x:v>
      </x:c>
      <x:c r="Q90" s="108" t="str">
        <x:v>LOCK-2026-08-10: No source, page, clause, category, or normalized-meaning correction was required. Source wording was checked against the supplied PDF; equation notation is ASCII-linearized.</x:v>
      </x:c>
      <x:c r="R90" s="108" t="str">
        <x:v>LOCK-2026-08-11-R2 | source_pdf=MSC.385(94).pdf | source_sha256=6c6a038bff68ee906dd97c41e95fb4442917c014c8e79228f15e80cc5afa5c1f | physical_pdf_page=27 | section=Part I-A Chapter 9 - Additional navigational equipment | clause=9.3.3.2 | checks=independent_full_text_page_layout; numbers_units_operators_equations; normalized_rule_meaning; five_category_classification | status=LOCKED</x:v>
      </x:c>
      <x:c r="S90" s="108" t="str">
        <x:v>New IMO source; not derived from the thesis extraction.</x:v>
      </x:c>
      <x:c r="T90" s="108" t="str">
        <x:v>PASS - source/page/clause/meaning/category reverified</x:v>
      </x:c>
      <x:c r="U90" s="108" t="str">
        <x:v>LOCKED - extraction reverified</x:v>
      </x:c>
      <x:c r="V90" s="123" t="str">
        <x:v>Second-pass extraction lock covers source identity, physical PDF page span, section/clause, ASCII transcription, normalized meaning, and verification category. SHACL shapes remain a separate implementation artifact.</x:v>
      </x:c>
      <x:c r="W90" s="123" t="str">
        <x:v>https://wwwcdn.imo.org/localresources/en/KnowledgeCentre/IndexofIMOResolutions/MSCResolutions/MSC.385%2894%29.pdf</x:v>
      </x:c>
      <x:c r="X90" s="123" t="str">
        <x:v>Escort operating mode and stopped-light specifications/compliance evidence</x:v>
      </x:c>
      <x:c r="Y90" s="123" t="str">
        <x:v>Encode the light characteristics, minimum range, and linked COLREG arc compliance.</x:v>
      </x:c>
    </x:row>
    <x:row r="91" ht="100" customHeight="1">
      <x:c r="A91" s="108" t="str">
        <x:v>IMO-090</x:v>
      </x:c>
      <x:c r="B91" s="108" t="str">
        <x:v>International Code for Ships Operating in Polar Waters (Polar Code)</x:v>
      </x:c>
      <x:c r="C91" s="108" t="str">
        <x:v>Resolution MSC.385(94), adopted 21 Nov 2014; consolidated with MEPC.264(68), adopted 15 May 2015</x:v>
      </x:c>
      <x:c r="D91" s="163" t="n">
        <x:v>28</x:v>
      </x:c>
      <x:c r="E91" s="108" t="str">
        <x:v>Part I-A Chapter 10 - Ship communication</x:v>
      </x:c>
      <x:c r="F91" s="108" t="str">
        <x:v>10.2.1.1</x:v>
      </x:c>
      <x:c r="G91" s="113" t="str">
        <x:v>Dynamic</x:v>
      </x:c>
      <x:c r="H91" s="120" t="str">
        <x:v>Two-way voice and/or data communications ship-to-ship and ship-to-shore shall be available at all points along the intended operating routes.</x:v>
      </x:c>
      <x:c r="I91" s="121" t="str">
        <x:v>For every point on the intended operating route, ship_to_ship_communication_available = true AND ship_to_shore_communication_available = true using voice and/or data.</x:v>
      </x:c>
      <x:c r="J91" s="122" t="str">
        <x:v>route_point, ship_to_ship_communication_available, ship_to_shore_communication_available, communication_mode</x:v>
      </x:c>
      <x:c r="K91" s="122" t="str">
        <x:v>No direct AnchorMap term found; propose code-safe alias: route communication-coverage properties</x:v>
      </x:c>
      <x:c r="L91" s="124" t="str">
        <x:v>Medium</x:v>
      </x:c>
      <x:c r="M91" s="122" t="str">
        <x:v>Route-coverage constraint</x:v>
      </x:c>
      <x:c r="N91" s="108" t="str">
        <x:v>Verification depends on operational, time-stamped, route-dependent, monitored, or simulation-response information.</x:v>
      </x:c>
      <x:c r="O91" s="113" t="str">
        <x:v>No</x:v>
      </x:c>
      <x:c r="P91" s="113" t="str">
        <x:v>Included - source reverified and locked</x:v>
      </x:c>
      <x:c r="Q91" s="108" t="str">
        <x:v>LOCK-2026-08-10: No source, page, clause, category, or normalized-meaning correction was required. Source wording was checked against the supplied PDF; equation notation is ASCII-linearized.</x:v>
      </x:c>
      <x:c r="R91" s="108" t="str">
        <x:v>LOCK-2026-08-11-R2 | source_pdf=MSC.385(94).pdf | source_sha256=6c6a038bff68ee906dd97c41e95fb4442917c014c8e79228f15e80cc5afa5c1f | physical_pdf_page=28 | section=Part I-A Chapter 10 - Ship communication | clause=10.2.1.1 | checks=independent_full_text_page_layout; numbers_units_operators_equations; normalized_rule_meaning; five_category_classification | status=LOCKED</x:v>
      </x:c>
      <x:c r="S91" s="108" t="str">
        <x:v>New IMO source; not derived from the thesis extraction.</x:v>
      </x:c>
      <x:c r="T91" s="108" t="str">
        <x:v>PASS - source/page/clause/meaning/category reverified</x:v>
      </x:c>
      <x:c r="U91" s="108" t="str">
        <x:v>LOCKED - extraction reverified</x:v>
      </x:c>
      <x:c r="V91" s="123" t="str">
        <x:v>Second-pass extraction lock covers source identity, physical PDF page span, section/clause, ASCII transcription, normalized meaning, and verification category. SHACL shapes remain a separate implementation artifact.</x:v>
      </x:c>
      <x:c r="W91" s="123" t="str">
        <x:v>https://wwwcdn.imo.org/localresources/en/KnowledgeCentre/IndexofIMOResolutions/MSCResolutions/MSC.385%2894%29.pdf</x:v>
      </x:c>
      <x:c r="X91" s="123" t="str">
        <x:v>Intended route and communication coverage assessment</x:v>
      </x:c>
      <x:c r="Y91" s="123" t="str">
        <x:v>Require coverage evidence for every modeled route segment or point.</x:v>
      </x:c>
    </x:row>
    <x:row r="92" ht="100" customHeight="1">
      <x:c r="A92" s="108" t="str">
        <x:v>IMO-091</x:v>
      </x:c>
      <x:c r="B92" s="108" t="str">
        <x:v>International Code for Ships Operating in Polar Waters (Polar Code)</x:v>
      </x:c>
      <x:c r="C92" s="108" t="str">
        <x:v>Resolution MSC.385(94), adopted 21 Nov 2014; consolidated with MEPC.264(68), adopted 15 May 2015</x:v>
      </x:c>
      <x:c r="D92" s="163" t="n">
        <x:v>28</x:v>
      </x:c>
      <x:c r="E92" s="108" t="str">
        <x:v>Part I-A Chapter 10 - Ship communication</x:v>
      </x:c>
      <x:c r="F92" s="108" t="str">
        <x:v>10.2.1.3</x:v>
      </x:c>
      <x:c r="G92" s="113" t="str">
        <x:v>Static</x:v>
      </x:c>
      <x:c r="H92" s="120" t="str">
        <x:v>Means for two-way on-scene and SAR coordination communications for search and rescue purposes including aeronautical frequencies shall be provided.</x:v>
      </x:c>
      <x:c r="I92" s="121" t="str">
        <x:v>two_way_on_scene_communication_present = true AND SAR_coordination_communication_present = true AND aeronautical_frequency_capability_present = true.</x:v>
      </x:c>
      <x:c r="J92" s="122" t="str">
        <x:v>two_way_on_scene_communication_present, SAR_coordination_communication_present, aeronautical_frequency_capability_present</x:v>
      </x:c>
      <x:c r="K92" s="122" t="str">
        <x:v>No direct AnchorMap term found; propose code-safe alias: SAR communication capability properties</x:v>
      </x:c>
      <x:c r="L92" s="124" t="str">
        <x:v>High</x:v>
      </x:c>
      <x:c r="M92" s="122" t="str">
        <x:v>Equipment capability presence constraint</x:v>
      </x:c>
      <x:c r="N92" s="108" t="str">
        <x:v>Direct verification of a stated property, document, presence condition, enumeration, applicability rule, prohibition, or fixed limit.</x:v>
      </x:c>
      <x:c r="O92" s="113" t="str">
        <x:v>No</x:v>
      </x:c>
      <x:c r="P92" s="113" t="str">
        <x:v>Included - source reverified and locked</x:v>
      </x:c>
      <x:c r="Q92" s="108" t="str">
        <x:v>LOCK-2026-08-10: No source, page, clause, category, or normalized-meaning correction was required. Source wording was checked against the supplied PDF; equation notation is ASCII-linearized.</x:v>
      </x:c>
      <x:c r="R92" s="108" t="str">
        <x:v>LOCK-2026-08-11-R2 | source_pdf=MSC.385(94).pdf | source_sha256=6c6a038bff68ee906dd97c41e95fb4442917c014c8e79228f15e80cc5afa5c1f | physical_pdf_page=28 | section=Part I-A Chapter 10 - Ship communication | clause=10.2.1.3 | checks=independent_full_text_page_layout; numbers_units_operators_equations; normalized_rule_meaning; five_category_classification | status=LOCKED</x:v>
      </x:c>
      <x:c r="S92" s="108" t="str">
        <x:v>New IMO source; not derived from the thesis extraction.</x:v>
      </x:c>
      <x:c r="T92" s="108" t="str">
        <x:v>PASS - source/page/clause/meaning/category reverified</x:v>
      </x:c>
      <x:c r="U92" s="108" t="str">
        <x:v>LOCKED - extraction reverified</x:v>
      </x:c>
      <x:c r="V92" s="123" t="str">
        <x:v>Second-pass extraction lock covers source identity, physical PDF page span, section/clause, ASCII transcription, normalized meaning, and verification category. SHACL shapes remain a separate implementation artifact.</x:v>
      </x:c>
      <x:c r="W92" s="123" t="str">
        <x:v>https://wwwcdn.imo.org/localresources/en/KnowledgeCentre/IndexofIMOResolutions/MSCResolutions/MSC.385%2894%29.pdf</x:v>
      </x:c>
      <x:c r="X92" s="123" t="str">
        <x:v>Communication-equipment inventory and supported capabilities</x:v>
      </x:c>
      <x:c r="Y92" s="123" t="str">
        <x:v>Require all three communication capabilities.</x:v>
      </x:c>
    </x:row>
    <x:row r="93" ht="100" customHeight="1">
      <x:c r="A93" s="108" t="str">
        <x:v>IMO-092</x:v>
      </x:c>
      <x:c r="B93" s="108" t="str">
        <x:v>International Code for Ships Operating in Polar Waters (Polar Code)</x:v>
      </x:c>
      <x:c r="C93" s="108" t="str">
        <x:v>Resolution MSC.385(94), adopted 21 Nov 2014; consolidated with MEPC.264(68), adopted 15 May 2015</x:v>
      </x:c>
      <x:c r="D93" s="163" t="n">
        <x:v>28</x:v>
      </x:c>
      <x:c r="E93" s="108" t="str">
        <x:v>Part I-A Chapter 10 - Ship communication</x:v>
      </x:c>
      <x:c r="F93" s="108" t="str">
        <x:v>10.2.1.4</x:v>
      </x:c>
      <x:c r="G93" s="113" t="str">
        <x:v>Static</x:v>
      </x:c>
      <x:c r="H93" s="120" t="str">
        <x:v>Appropriate communication equipment to enable telemedical assistance in polar areas shall be provided.</x:v>
      </x:c>
      <x:c r="I93" s="121" t="str">
        <x:v>telemedical_assistance_communication_equipment_present = true.</x:v>
      </x:c>
      <x:c r="J93" s="122" t="str">
        <x:v>telemedical_assistance_communication_equipment_present</x:v>
      </x:c>
      <x:c r="K93" s="122" t="str">
        <x:v>No direct AnchorMap term found; propose code-safe alias: telemedical_assistance_communication_equipment_present</x:v>
      </x:c>
      <x:c r="L93" s="124" t="str">
        <x:v>High</x:v>
      </x:c>
      <x:c r="M93" s="122" t="str">
        <x:v>Equipment presence constraint</x:v>
      </x:c>
      <x:c r="N93" s="108" t="str">
        <x:v>Direct verification of a stated property, document, presence condition, enumeration, applicability rule, prohibition, or fixed limit.</x:v>
      </x:c>
      <x:c r="O93" s="113" t="str">
        <x:v>No</x:v>
      </x:c>
      <x:c r="P93" s="113" t="str">
        <x:v>Included - source reverified and locked</x:v>
      </x:c>
      <x:c r="Q93" s="108" t="str">
        <x:v>LOCK-2026-08-10: No source, page, clause, category, or normalized-meaning correction was required. Source wording was checked against the supplied PDF; equation notation is ASCII-linearized.</x:v>
      </x:c>
      <x:c r="R93" s="108" t="str">
        <x:v>LOCK-2026-08-11-R2 | source_pdf=MSC.385(94).pdf | source_sha256=6c6a038bff68ee906dd97c41e95fb4442917c014c8e79228f15e80cc5afa5c1f | physical_pdf_page=28 | section=Part I-A Chapter 10 - Ship communication | clause=10.2.1.4 | checks=independent_full_text_page_layout; numbers_units_operators_equations; normalized_rule_meaning; five_category_classification | status=LOCKED</x:v>
      </x:c>
      <x:c r="S93" s="108" t="str">
        <x:v>New IMO source; not derived from the thesis extraction.</x:v>
      </x:c>
      <x:c r="T93" s="108" t="str">
        <x:v>PASS - source/page/clause/meaning/category reverified</x:v>
      </x:c>
      <x:c r="U93" s="108" t="str">
        <x:v>LOCKED - extraction reverified</x:v>
      </x:c>
      <x:c r="V93" s="123" t="str">
        <x:v>Second-pass extraction lock covers source identity, physical PDF page span, section/clause, ASCII transcription, normalized meaning, and verification category. SHACL shapes remain a separate implementation artifact.</x:v>
      </x:c>
      <x:c r="W93" s="123" t="str">
        <x:v>https://wwwcdn.imo.org/localresources/en/KnowledgeCentre/IndexofIMOResolutions/MSCResolutions/MSC.385%2894%29.pdf</x:v>
      </x:c>
      <x:c r="X93" s="123" t="str">
        <x:v>Communication-equipment inventory</x:v>
      </x:c>
      <x:c r="Y93" s="123" t="str">
        <x:v>Require at least one equipment item with telemedical-assistance capability.</x:v>
      </x:c>
    </x:row>
    <x:row r="94" ht="100" customHeight="1">
      <x:c r="A94" s="108" t="str">
        <x:v>IMO-093</x:v>
      </x:c>
      <x:c r="B94" s="108" t="str">
        <x:v>International Code for Ships Operating in Polar Waters (Polar Code)</x:v>
      </x:c>
      <x:c r="C94" s="108" t="str">
        <x:v>Resolution MSC.385(94), adopted 21 Nov 2014; consolidated with MEPC.264(68), adopted 15 May 2015</x:v>
      </x:c>
      <x:c r="D94" s="163" t="n">
        <x:v>28</x:v>
      </x:c>
      <x:c r="E94" s="108" t="str">
        <x:v>Part I-A Chapter 10 - Survival craft communications</x:v>
      </x:c>
      <x:c r="F94" s="108" t="str">
        <x:v>10.2.2.3</x:v>
      </x:c>
      <x:c r="G94" s="113" t="str">
        <x:v>Physical Test</x:v>
      </x:c>
      <x:c r="H94" s="120" t="str">
        <x:v>Mandatory communication equipment for use in survival craft, including liferafts and rescue boats, shall be capable of operation during the maximum expected time of rescue.</x:v>
      </x:c>
      <x:c r="I94" s="121" t="str">
        <x:v>Every mandatory survival-craft communication device shall have demonstrated_operating_duration_days &gt;= maximum_expected_rescue_time_days AND duration_test_status = passed.</x:v>
      </x:c>
      <x:c r="J94" s="122" t="str">
        <x:v>survival_craft_communication_device, demonstrated_operating_duration_days, maximum_expected_rescue_time_days, duration_test_status</x:v>
      </x:c>
      <x:c r="K94" s="122" t="str">
        <x:v>No direct AnchorMap term found; propose code-safe alias: survival-craft communication duration-test properties</x:v>
      </x:c>
      <x:c r="L94" s="124" t="str">
        <x:v>Medium</x:v>
      </x:c>
      <x:c r="M94" s="122" t="str">
        <x:v>Duration test-evidence constraint</x:v>
      </x:c>
      <x:c r="N94" s="108" t="str">
        <x:v>Compliance is established mainly through survey, inspection, material testing, operability testing, or other physical evidence.</x:v>
      </x:c>
      <x:c r="O94" s="113" t="str">
        <x:v>No</x:v>
      </x:c>
      <x:c r="P94" s="113" t="str">
        <x:v>Included - source reverified and locked</x:v>
      </x:c>
      <x:c r="Q94" s="108" t="str">
        <x:v>LOCK-2026-08-10: No source, page, clause, category, or normalized-meaning correction was required. Source wording was checked against the supplied PDF; equation notation is ASCII-linearized.</x:v>
      </x:c>
      <x:c r="R94" s="108" t="str">
        <x:v>LOCK-2026-08-11-R2 | source_pdf=MSC.385(94).pdf | source_sha256=6c6a038bff68ee906dd97c41e95fb4442917c014c8e79228f15e80cc5afa5c1f | physical_pdf_page=28 | section=Part I-A Chapter 10 - Survival craft communications | clause=10.2.2.3 | checks=independent_full_text_page_layout; numbers_units_operators_equations; normalized_rule_meaning; five_category_classification | status=LOCKED</x:v>
      </x:c>
      <x:c r="S94" s="108" t="str">
        <x:v>New IMO source; not derived from the thesis extraction.</x:v>
      </x:c>
      <x:c r="T94" s="108" t="str">
        <x:v>PASS - source/page/clause/meaning/category reverified</x:v>
      </x:c>
      <x:c r="U94" s="108" t="str">
        <x:v>LOCKED - extraction reverified</x:v>
      </x:c>
      <x:c r="V94" s="123" t="str">
        <x:v>Second-pass extraction lock covers source identity, physical PDF page span, section/clause, ASCII transcription, normalized meaning, and verification category. SHACL shapes remain a separate implementation artifact.</x:v>
      </x:c>
      <x:c r="W94" s="123" t="str">
        <x:v>https://wwwcdn.imo.org/localresources/en/KnowledgeCentre/IndexofIMOResolutions/MSCResolutions/MSC.385%2894%29.pdf</x:v>
      </x:c>
      <x:c r="X94" s="123" t="str">
        <x:v>Device inventory, duration-test records, and adopted rescue time</x:v>
      </x:c>
      <x:c r="Y94" s="123" t="str">
        <x:v>Require a passed duration test meeting or exceeding the rescue-time value.</x:v>
      </x:c>
    </x:row>
    <x:row r="95" ht="100" customHeight="1">
      <x:c r="A95" s="108" t="str">
        <x:v>IMO-094</x:v>
      </x:c>
      <x:c r="B95" s="108" t="str">
        <x:v>International Code for Ships Operating in Polar Waters (Polar Code)</x:v>
      </x:c>
      <x:c r="C95" s="108" t="str">
        <x:v>Resolution MSC.385(94), adopted 21 Nov 2014; consolidated with MEPC.264(68), adopted 15 May 2015</x:v>
      </x:c>
      <x:c r="D95" s="163" t="n">
        <x:v>28</x:v>
      </x:c>
      <x:c r="E95" s="108" t="str">
        <x:v>Part I-A Chapter 10 - Ship communication</x:v>
      </x:c>
      <x:c r="F95" s="108" t="str">
        <x:v>10.3.1.2</x:v>
      </x:c>
      <x:c r="G95" s="113" t="str">
        <x:v>Static</x:v>
      </x:c>
      <x:c r="H95" s="120" t="str">
        <x:v>Ships intended to provide icebreaking escort shall be equipped with a sound signaling system mounted to face astern to indicate escort and emergency manoeuvres to following ships as described in the International Code of Signals.</x:v>
      </x:c>
      <x:c r="I95" s="121" t="str">
        <x:v>IF ship_provides_icebreaking_escort = true, THEN astern_facing_sound_signaling_system_present = true AND International_Code_of_Signals_compliance_status = compliant.</x:v>
      </x:c>
      <x:c r="J95" s="122" t="str">
        <x:v>ship_provides_icebreaking_escort, astern_facing_sound_signaling_system_present, International_Code_of_Signals_compliance_status</x:v>
      </x:c>
      <x:c r="K95" s="122" t="str">
        <x:v>No direct AnchorMap term found; propose code-safe alias: escort sound-signaling properties</x:v>
      </x:c>
      <x:c r="L95" s="124" t="str">
        <x:v>High</x:v>
      </x:c>
      <x:c r="M95" s="122" t="str">
        <x:v>Conditional equipment and external-compliance constraint</x:v>
      </x:c>
      <x:c r="N95" s="108" t="str">
        <x:v>Direct verification of a stated property, document, presence condition, enumeration, applicability rule, prohibition, or fixed limit.</x:v>
      </x:c>
      <x:c r="O95" s="113" t="str">
        <x:v>No</x:v>
      </x:c>
      <x:c r="P95" s="113" t="str">
        <x:v>Included - source reverified and locked</x:v>
      </x:c>
      <x:c r="Q95" s="108" t="str">
        <x:v>LOCK-2026-08-10: No source, page, clause, category, or normalized-meaning correction was required. Source wording was checked against the supplied PDF; equation notation is ASCII-linearized.</x:v>
      </x:c>
      <x:c r="R95" s="108" t="str">
        <x:v>LOCK-2026-08-11-R2 | source_pdf=MSC.385(94).pdf | source_sha256=6c6a038bff68ee906dd97c41e95fb4442917c014c8e79228f15e80cc5afa5c1f | physical_pdf_page=28 | section=Part I-A Chapter 10 - Ship communication | clause=10.3.1.2 | checks=independent_full_text_page_layout; numbers_units_operators_equations; normalized_rule_meaning; five_category_classification | status=LOCKED</x:v>
      </x:c>
      <x:c r="S95" s="108" t="str">
        <x:v>New IMO source; not derived from the thesis extraction.</x:v>
      </x:c>
      <x:c r="T95" s="108" t="str">
        <x:v>PASS - source/page/clause/meaning/category reverified</x:v>
      </x:c>
      <x:c r="U95" s="108" t="str">
        <x:v>LOCKED - extraction reverified</x:v>
      </x:c>
      <x:c r="V95" s="123" t="str">
        <x:v>Second-pass extraction lock covers source identity, physical PDF page span, section/clause, ASCII transcription, normalized meaning, and verification category. SHACL shapes remain a separate implementation artifact.</x:v>
      </x:c>
      <x:c r="W95" s="123" t="str">
        <x:v>https://wwwcdn.imo.org/localresources/en/KnowledgeCentre/IndexofIMOResolutions/MSCResolutions/MSC.385%2894%29.pdf</x:v>
      </x:c>
      <x:c r="X95" s="123" t="str">
        <x:v>Escort role, signaling-system installation, and code-compliance evidence</x:v>
      </x:c>
      <x:c r="Y95" s="123" t="str">
        <x:v>Condition the system requirement on the escort role.</x:v>
      </x:c>
    </x:row>
    <x:row r="96" ht="100" customHeight="1">
      <x:c r="A96" s="108" t="str">
        <x:v>IMO-095</x:v>
      </x:c>
      <x:c r="B96" s="108" t="str">
        <x:v>International Code for Ships Operating in Polar Waters (Polar Code)</x:v>
      </x:c>
      <x:c r="C96" s="108" t="str">
        <x:v>Resolution MSC.385(94), adopted 21 Nov 2014; consolidated with MEPC.264(68), adopted 15 May 2015</x:v>
      </x:c>
      <x:c r="D96" s="163" t="n">
        <x:v>28</x:v>
      </x:c>
      <x:c r="E96" s="108" t="str">
        <x:v>Part I-A Chapter 10 - Ship communication</x:v>
      </x:c>
      <x:c r="F96" s="108" t="str">
        <x:v>10.3.1.3</x:v>
      </x:c>
      <x:c r="G96" s="113" t="str">
        <x:v>Static</x:v>
      </x:c>
      <x:c r="H96" s="120" t="str">
        <x:v>Two-way on-scene and SAR coordination communication capability in ships shall include: voice and/or data communications with relevant rescue coordination centres; and equipment for voice communications with aircraft on 121.5 and 123.1 MHz.</x:v>
      </x:c>
      <x:c r="I96" s="121" t="str">
        <x:v>SAR_communication_capability shall include rescue_coordination_centre_voice_or_data = true AND aircraft_voice_frequency_support_MHz containing both 121.5 and 123.1.</x:v>
      </x:c>
      <x:c r="J96" s="122" t="str">
        <x:v>rescue_coordination_centre_voice_or_data, aircraft_voice_frequency_support_MHz</x:v>
      </x:c>
      <x:c r="K96" s="122" t="str">
        <x:v>No direct AnchorMap term found; propose code-safe alias: SAR communication and supported-frequency properties</x:v>
      </x:c>
      <x:c r="L96" s="124" t="str">
        <x:v>High</x:v>
      </x:c>
      <x:c r="M96" s="122" t="str">
        <x:v>Required capability and enumeration-membership constraint</x:v>
      </x:c>
      <x:c r="N96" s="108" t="str">
        <x:v>Direct verification of a stated property, document, presence condition, enumeration, applicability rule, prohibition, or fixed limit.</x:v>
      </x:c>
      <x:c r="O96" s="113" t="str">
        <x:v>No</x:v>
      </x:c>
      <x:c r="P96" s="113" t="str">
        <x:v>Included - source reverified and locked</x:v>
      </x:c>
      <x:c r="Q96" s="108" t="str">
        <x:v>LOCK-2026-08-10: No source, page, clause, category, or normalized-meaning correction was required. Source wording was checked against the supplied PDF; equation notation is ASCII-linearized.</x:v>
      </x:c>
      <x:c r="R96" s="108" t="str">
        <x:v>LOCK-2026-08-11-R2 | source_pdf=MSC.385(94).pdf | source_sha256=6c6a038bff68ee906dd97c41e95fb4442917c014c8e79228f15e80cc5afa5c1f | physical_pdf_page=28 | section=Part I-A Chapter 10 - Ship communication | clause=10.3.1.3 | checks=independent_full_text_page_layout; numbers_units_operators_equations; normalized_rule_meaning; five_category_classification | status=LOCKED</x:v>
      </x:c>
      <x:c r="S96" s="108" t="str">
        <x:v>New IMO source; not derived from the thesis extraction.</x:v>
      </x:c>
      <x:c r="T96" s="108" t="str">
        <x:v>PASS - source/page/clause/meaning/category reverified</x:v>
      </x:c>
      <x:c r="U96" s="108" t="str">
        <x:v>LOCKED - extraction reverified</x:v>
      </x:c>
      <x:c r="V96" s="123" t="str">
        <x:v>Second-pass extraction lock covers source identity, physical PDF page span, section/clause, ASCII transcription, normalized meaning, and verification category. SHACL shapes remain a separate implementation artifact.</x:v>
      </x:c>
      <x:c r="W96" s="123" t="str">
        <x:v>https://wwwcdn.imo.org/localresources/en/KnowledgeCentre/IndexofIMOResolutions/MSCResolutions/MSC.385%2894%29.pdf</x:v>
      </x:c>
      <x:c r="X96" s="123" t="str">
        <x:v>Communication capability declaration and supported frequency list</x:v>
      </x:c>
      <x:c r="Y96" s="123" t="str">
        <x:v>Require both stated frequencies and rescue-centre communication.</x:v>
      </x:c>
    </x:row>
    <x:row r="97" ht="100" customHeight="1">
      <x:c r="A97" s="108" t="str">
        <x:v>IMO-096</x:v>
      </x:c>
      <x:c r="B97" s="108" t="str">
        <x:v>International Code for Ships Operating in Polar Waters (Polar Code)</x:v>
      </x:c>
      <x:c r="C97" s="108" t="str">
        <x:v>Resolution MSC.385(94), adopted 21 Nov 2014; consolidated with MEPC.264(68), adopted 15 May 2015</x:v>
      </x:c>
      <x:c r="D97" s="163" t="n">
        <x:v>28</x:v>
      </x:c>
      <x:c r="E97" s="108" t="str">
        <x:v>Part I-A Chapter 10 - Ship communication</x:v>
      </x:c>
      <x:c r="F97" s="108" t="str">
        <x:v>10.3.1.4</x:v>
      </x:c>
      <x:c r="G97" s="113" t="str">
        <x:v>Static</x:v>
      </x:c>
      <x:c r="H97" s="120" t="str">
        <x:v>The communication equipment shall provide for two-way voice and data communication with a Telemedical Assistance Service (TMAS).</x:v>
      </x:c>
      <x:c r="I97" s="121" t="str">
        <x:v>TMAS_two_way_voice_capability = true AND TMAS_two_way_data_capability = true.</x:v>
      </x:c>
      <x:c r="J97" s="122" t="str">
        <x:v>TMAS_two_way_voice_capability, TMAS_two_way_data_capability</x:v>
      </x:c>
      <x:c r="K97" s="122" t="str">
        <x:v>No direct AnchorMap term found; propose code-safe alias: TMAS communication capability properties</x:v>
      </x:c>
      <x:c r="L97" s="124" t="str">
        <x:v>High</x:v>
      </x:c>
      <x:c r="M97" s="122" t="str">
        <x:v>Equipment capability constraint</x:v>
      </x:c>
      <x:c r="N97" s="108" t="str">
        <x:v>Direct verification of a stated property, document, presence condition, enumeration, applicability rule, prohibition, or fixed limit.</x:v>
      </x:c>
      <x:c r="O97" s="113" t="str">
        <x:v>No</x:v>
      </x:c>
      <x:c r="P97" s="113" t="str">
        <x:v>Included - source reverified and locked</x:v>
      </x:c>
      <x:c r="Q97" s="108" t="str">
        <x:v>LOCK-2026-08-10: No source, page, clause, category, or normalized-meaning correction was required. Source wording was checked against the supplied PDF; equation notation is ASCII-linearized.</x:v>
      </x:c>
      <x:c r="R97" s="108" t="str">
        <x:v>LOCK-2026-08-11-R2 | source_pdf=MSC.385(94).pdf | source_sha256=6c6a038bff68ee906dd97c41e95fb4442917c014c8e79228f15e80cc5afa5c1f | physical_pdf_page=28 | section=Part I-A Chapter 10 - Ship communication | clause=10.3.1.4 | checks=independent_full_text_page_layout; numbers_units_operators_equations; normalized_rule_meaning; five_category_classification | status=LOCKED</x:v>
      </x:c>
      <x:c r="S97" s="108" t="str">
        <x:v>New IMO source; not derived from the thesis extraction.</x:v>
      </x:c>
      <x:c r="T97" s="108" t="str">
        <x:v>PASS - source/page/clause/meaning/category reverified</x:v>
      </x:c>
      <x:c r="U97" s="108" t="str">
        <x:v>LOCKED - extraction reverified</x:v>
      </x:c>
      <x:c r="V97" s="123" t="str">
        <x:v>Second-pass extraction lock covers source identity, physical PDF page span, section/clause, ASCII transcription, normalized meaning, and verification category. SHACL shapes remain a separate implementation artifact.</x:v>
      </x:c>
      <x:c r="W97" s="123" t="str">
        <x:v>https://wwwcdn.imo.org/localresources/en/KnowledgeCentre/IndexofIMOResolutions/MSCResolutions/MSC.385%2894%29.pdf</x:v>
      </x:c>
      <x:c r="X97" s="123" t="str">
        <x:v>Communication-equipment capability declaration</x:v>
      </x:c>
      <x:c r="Y97" s="123" t="str">
        <x:v>Require both voice and data capabilities.</x:v>
      </x:c>
    </x:row>
    <x:row r="98" ht="100" customHeight="1">
      <x:c r="A98" s="108" t="str">
        <x:v>IMO-097</x:v>
      </x:c>
      <x:c r="B98" s="108" t="str">
        <x:v>International Code for Ships Operating in Polar Waters (Polar Code)</x:v>
      </x:c>
      <x:c r="C98" s="108" t="str">
        <x:v>Resolution MSC.385(94), adopted 21 Nov 2014; consolidated with MEPC.264(68), adopted 15 May 2015</x:v>
      </x:c>
      <x:c r="D98" s="163" t="n">
        <x:v>29</x:v>
      </x:c>
      <x:c r="E98" s="108" t="str">
        <x:v>Part I-A Chapter 10 - Survival craft communications</x:v>
      </x:c>
      <x:c r="F98" s="108" t="str">
        <x:v>10.3.2.1</x:v>
      </x:c>
      <x:c r="G98" s="113" t="str">
        <x:v>Static</x:v>
      </x:c>
      <x:c r="H98" s="120" t="str">
        <x:v>For ships intended to operate in low air temperature, all rescue boats and lifeboats, whenever released for evacuation, shall: for distress alerting, carry one device for transmitting ship-to-shore alerts; in order to be located, carry one device for transmitting signals for location; and for on-scene communications, carry one device for transmitting and receiving on-scene communications.</x:v>
      </x:c>
      <x:c r="I98" s="121" t="str">
        <x:v>IF ship_operates_in_low_air_temperature = true, THEN every released rescue boat and lifeboat shall carry at least one ship-to-shore distress-alert device, one location-signal device, and one on-scene transmit/receive communication device.</x:v>
      </x:c>
      <x:c r="J98" s="122" t="str">
        <x:v>ship_operates_in_low_air_temperature, released_rescue_boat_or_lifeboat, distress_alert_device_count, location_signal_device_count, on_scene_transmit_receive_device_count</x:v>
      </x:c>
      <x:c r="K98" s="122" t="str">
        <x:v>No direct AnchorMap term found; propose code-safe alias: survival-craft communication-device counts</x:v>
      </x:c>
      <x:c r="L98" s="124" t="str">
        <x:v>High</x:v>
      </x:c>
      <x:c r="M98" s="122" t="str">
        <x:v>Conditional qualified minimum-count constraint</x:v>
      </x:c>
      <x:c r="N98" s="108" t="str">
        <x:v>Direct verification of a stated property, document, presence condition, enumeration, applicability rule, prohibition, or fixed limit.</x:v>
      </x:c>
      <x:c r="O98" s="113" t="str">
        <x:v>No</x:v>
      </x:c>
      <x:c r="P98" s="113" t="str">
        <x:v>Included - source reverified and locked</x:v>
      </x:c>
      <x:c r="Q98" s="108" t="str">
        <x:v>LOCK-2026-08-10: No source, page, clause, category, or normalized-meaning correction was required. Source wording was checked against the supplied PDF; equation notation is ASCII-linearized.</x:v>
      </x:c>
      <x:c r="R98" s="108" t="str">
        <x:v>LOCK-2026-08-11-R2 | source_pdf=MSC.385(94).pdf | source_sha256=6c6a038bff68ee906dd97c41e95fb4442917c014c8e79228f15e80cc5afa5c1f | physical_pdf_page=29 | section=Part I-A Chapter 10 - Survival craft communications | clause=10.3.2.1 | checks=independent_full_text_page_layout; numbers_units_operators_equations; normalized_rule_meaning; five_category_classification | status=LOCKED</x:v>
      </x:c>
      <x:c r="S98" s="108" t="str">
        <x:v>New IMO source; not derived from the thesis extraction.</x:v>
      </x:c>
      <x:c r="T98" s="108" t="str">
        <x:v>PASS - source/page/clause/meaning/category reverified</x:v>
      </x:c>
      <x:c r="U98" s="108" t="str">
        <x:v>LOCKED - extraction reverified</x:v>
      </x:c>
      <x:c r="V98" s="123" t="str">
        <x:v>Second-pass extraction lock covers source identity, physical PDF page span, section/clause, ASCII transcription, normalized meaning, and verification category. SHACL shapes remain a separate implementation artifact.</x:v>
      </x:c>
      <x:c r="W98" s="123" t="str">
        <x:v>https://wwwcdn.imo.org/localresources/en/KnowledgeCentre/IndexofIMOResolutions/MSCResolutions/MSC.385%2894%29.pdf</x:v>
      </x:c>
      <x:c r="X98" s="123" t="str">
        <x:v>Operating-temperature class, craft inventory, and assigned device inventory</x:v>
      </x:c>
      <x:c r="Y98" s="123" t="str">
        <x:v>Require each of the three device capabilities for every applicable craft.</x:v>
      </x:c>
    </x:row>
    <x:row r="99" ht="100" customHeight="1">
      <x:c r="A99" s="108" t="str">
        <x:v>IMO-098</x:v>
      </x:c>
      <x:c r="B99" s="108" t="str">
        <x:v>International Code for Ships Operating in Polar Waters (Polar Code)</x:v>
      </x:c>
      <x:c r="C99" s="108" t="str">
        <x:v>Resolution MSC.385(94), adopted 21 Nov 2014; consolidated with MEPC.264(68), adopted 15 May 2015</x:v>
      </x:c>
      <x:c r="D99" s="163" t="n">
        <x:v>29</x:v>
      </x:c>
      <x:c r="E99" s="108" t="str">
        <x:v>Part I-A Chapter 10 - Survival craft communications</x:v>
      </x:c>
      <x:c r="F99" s="108" t="str">
        <x:v>10.3.2.2</x:v>
      </x:c>
      <x:c r="G99" s="113" t="str">
        <x:v>Static</x:v>
      </x:c>
      <x:c r="H99" s="120" t="str">
        <x:v>For ships intended to operate in low air temperature, all other survival craft shall: in order to be located, carry one device for transmitting signals for location; and for on-scene communications, carry one device for transmitting and receiving on-scene communications.</x:v>
      </x:c>
      <x:c r="I99" s="121" t="str">
        <x:v>IF ship_operates_in_low_air_temperature = true, THEN every other survival craft shall carry at least one location-signal device and one on-scene transmit/receive communication device.</x:v>
      </x:c>
      <x:c r="J99" s="122" t="str">
        <x:v>ship_operates_in_low_air_temperature, other_survival_craft, location_signal_device_count, on_scene_transmit_receive_device_count</x:v>
      </x:c>
      <x:c r="K99" s="122" t="str">
        <x:v>No direct AnchorMap term found; propose code-safe alias: survival-craft communication-device counts</x:v>
      </x:c>
      <x:c r="L99" s="124" t="str">
        <x:v>High</x:v>
      </x:c>
      <x:c r="M99" s="122" t="str">
        <x:v>Conditional qualified minimum-count constraint</x:v>
      </x:c>
      <x:c r="N99" s="108" t="str">
        <x:v>Direct verification of a stated property, document, presence condition, enumeration, applicability rule, prohibition, or fixed limit.</x:v>
      </x:c>
      <x:c r="O99" s="113" t="str">
        <x:v>No</x:v>
      </x:c>
      <x:c r="P99" s="113" t="str">
        <x:v>Included - source reverified and locked</x:v>
      </x:c>
      <x:c r="Q99" s="108" t="str">
        <x:v>LOCK-2026-08-10: No source, page, clause, category, or normalized-meaning correction was required. Source wording was checked against the supplied PDF; equation notation is ASCII-linearized.</x:v>
      </x:c>
      <x:c r="R99" s="108" t="str">
        <x:v>LOCK-2026-08-11-R2 | source_pdf=MSC.385(94).pdf | source_sha256=6c6a038bff68ee906dd97c41e95fb4442917c014c8e79228f15e80cc5afa5c1f | physical_pdf_page=29 | section=Part I-A Chapter 10 - Survival craft communications | clause=10.3.2.2 | checks=independent_full_text_page_layout; numbers_units_operators_equations; normalized_rule_meaning; five_category_classification | status=LOCKED</x:v>
      </x:c>
      <x:c r="S99" s="108" t="str">
        <x:v>New IMO source; not derived from the thesis extraction.</x:v>
      </x:c>
      <x:c r="T99" s="108" t="str">
        <x:v>PASS - source/page/clause/meaning/category reverified</x:v>
      </x:c>
      <x:c r="U99" s="108" t="str">
        <x:v>LOCKED - extraction reverified</x:v>
      </x:c>
      <x:c r="V99" s="123" t="str">
        <x:v>Second-pass extraction lock covers source identity, physical PDF page span, section/clause, ASCII transcription, normalized meaning, and verification category. SHACL shapes remain a separate implementation artifact.</x:v>
      </x:c>
      <x:c r="W99" s="123" t="str">
        <x:v>https://wwwcdn.imo.org/localresources/en/KnowledgeCentre/IndexofIMOResolutions/MSCResolutions/MSC.385%2894%29.pdf</x:v>
      </x:c>
      <x:c r="X99" s="123" t="str">
        <x:v>Operating-temperature class, craft inventory, and assigned device inventory</x:v>
      </x:c>
      <x:c r="Y99" s="123" t="str">
        <x:v>Require both device capabilities for every other survival craft.</x:v>
      </x:c>
    </x:row>
    <x:row r="100" ht="100" customHeight="1">
      <x:c r="A100" s="108" t="str">
        <x:v>IMO-099</x:v>
      </x:c>
      <x:c r="B100" s="108" t="str">
        <x:v>International Code for Ships Operating in Polar Waters (Polar Code)</x:v>
      </x:c>
      <x:c r="C100" s="108" t="str">
        <x:v>Resolution MSC.385(94), adopted 21 Nov 2014; consolidated with MEPC.264(68), adopted 15 May 2015</x:v>
      </x:c>
      <x:c r="D100" s="163" t="n">
        <x:v>29</x:v>
      </x:c>
      <x:c r="E100" s="108" t="str">
        <x:v>Part I-A Chapter 10 - Survival craft communications</x:v>
      </x:c>
      <x:c r="F100" s="108" t="str">
        <x:v>10.3.2.3</x:v>
      </x:c>
      <x:c r="G100" s="113" t="str">
        <x:v>Complex</x:v>
      </x:c>
      <x:c r="H100" s="120" t="str">
        <x:v>Recognizing the limitations arising from battery life, procedures shall be developed and implemented such that mandatory communication equipment for use in survival craft, including liferafts and rescue boats, are available for operation during the maximum expected time of rescue.</x:v>
      </x:c>
      <x:c r="I100" s="121" t="str">
        <x:v>battery_life_management_procedure_present = true AND procedure_implementation_status = active AND every mandatory survival-craft communication device shall remain available for maximum_expected_rescue_time_days.</x:v>
      </x:c>
      <x:c r="J100" s="122" t="str">
        <x:v>battery_life_management_procedure_present, procedure_implementation_status, communication_device_availability_days, maximum_expected_rescue_time_days</x:v>
      </x:c>
      <x:c r="K100" s="122" t="str">
        <x:v>No direct AnchorMap term found; propose code-safe alias: battery-life procedure and device-availability properties</x:v>
      </x:c>
      <x:c r="L100" s="124" t="str">
        <x:v>Medium</x:v>
      </x:c>
      <x:c r="M100" s="122" t="str">
        <x:v>Procedure-status and duration constraint</x:v>
      </x:c>
      <x:c r="N100" s="108" t="str">
        <x:v>Verification requires linked conditions, external approval or evidence, an assessment, or a composite workflow.</x:v>
      </x:c>
      <x:c r="O100" s="113" t="str">
        <x:v>No</x:v>
      </x:c>
      <x:c r="P100" s="113" t="str">
        <x:v>Included - source reverified and locked</x:v>
      </x:c>
      <x:c r="Q100" s="108" t="str">
        <x:v>LOCK-2026-08-10: No source, page, clause, category, or normalized-meaning correction was required. Source wording was checked against the supplied PDF; equation notation is ASCII-linearized.</x:v>
      </x:c>
      <x:c r="R100" s="108" t="str">
        <x:v>LOCK-2026-08-11-R2 | source_pdf=MSC.385(94).pdf | source_sha256=6c6a038bff68ee906dd97c41e95fb4442917c014c8e79228f15e80cc5afa5c1f | physical_pdf_page=29 | section=Part I-A Chapter 10 - Survival craft communications | clause=10.3.2.3 | checks=independent_full_text_page_layout; numbers_units_operators_equations; normalized_rule_meaning; five_category_classification | status=LOCKED</x:v>
      </x:c>
      <x:c r="S100" s="108" t="str">
        <x:v>New IMO source; not derived from the thesis extraction.</x:v>
      </x:c>
      <x:c r="T100" s="108" t="str">
        <x:v>PASS - source/page/clause/meaning/category reverified</x:v>
      </x:c>
      <x:c r="U100" s="108" t="str">
        <x:v>LOCKED - extraction reverified</x:v>
      </x:c>
      <x:c r="V100" s="123" t="str">
        <x:v>Second-pass extraction lock covers source identity, physical PDF page span, section/clause, ASCII transcription, normalized meaning, and verification category. SHACL shapes remain a separate implementation artifact.</x:v>
      </x:c>
      <x:c r="W100" s="123" t="str">
        <x:v>https://wwwcdn.imo.org/localresources/en/KnowledgeCentre/IndexofIMOResolutions/MSCResolutions/MSC.385%2894%29.pdf</x:v>
      </x:c>
      <x:c r="X100" s="123" t="str">
        <x:v>Implemented procedure, device inventory, battery/availability assessment, and rescue time</x:v>
      </x:c>
      <x:c r="Y100" s="123" t="str">
        <x:v>Require both an implemented procedure and duration evidence.</x:v>
      </x:c>
    </x:row>
    <x:row r="101" ht="100" customHeight="1">
      <x:c r="A101" s="108" t="str">
        <x:v>IMO-100</x:v>
      </x:c>
      <x:c r="B101" s="108" t="str">
        <x:v>International Code for Ships Operating in Polar Waters (Polar Code)</x:v>
      </x:c>
      <x:c r="C101" s="108" t="str">
        <x:v>Resolution MSC.385(94), adopted 21 Nov 2014; consolidated with MEPC.264(68), adopted 15 May 2015</x:v>
      </x:c>
      <x:c r="D101" s="163" t="n">
        <x:v>29</x:v>
      </x:c>
      <x:c r="E101" s="108" t="str">
        <x:v>Part I-A Chapter 11 - Voyage planning</x:v>
      </x:c>
      <x:c r="F101" s="108" t="str">
        <x:v>11.2</x:v>
      </x:c>
      <x:c r="G101" s="113" t="str">
        <x:v>Complex</x:v>
      </x:c>
      <x:c r="H101" s="120" t="str">
        <x:v>The voyage plan shall take into account the potential hazards of the intended voyage.</x:v>
      </x:c>
      <x:c r="I101" s="121" t="str">
        <x:v>voyage_plan_present = true AND every identified_intended_voyage_hazard shall be addressed by the voyage plan.</x:v>
      </x:c>
      <x:c r="J101" s="122" t="str">
        <x:v>voyage_plan_present, identified_intended_voyage_hazard, voyage_plan_hazard_coverage</x:v>
      </x:c>
      <x:c r="K101" s="122" t="str">
        <x:v>No direct AnchorMap term found; propose code-safe alias: voyage plan and hazard-coverage properties</x:v>
      </x:c>
      <x:c r="L101" s="124" t="str">
        <x:v>Medium</x:v>
      </x:c>
      <x:c r="M101" s="122" t="str">
        <x:v>Composite hazard-coverage constraint</x:v>
      </x:c>
      <x:c r="N101" s="108" t="str">
        <x:v>Verification requires linked conditions, external approval or evidence, an assessment, or a composite workflow.</x:v>
      </x:c>
      <x:c r="O101" s="113" t="str">
        <x:v>No</x:v>
      </x:c>
      <x:c r="P101" s="113" t="str">
        <x:v>Included - source reverified and locked</x:v>
      </x:c>
      <x:c r="Q101" s="108" t="str">
        <x:v>LOCK-2026-08-10: No source, page, clause, category, or normalized-meaning correction was required. Source wording was checked against the supplied PDF; equation notation is ASCII-linearized.</x:v>
      </x:c>
      <x:c r="R101" s="108" t="str">
        <x:v>LOCK-2026-08-11-R2 | source_pdf=MSC.385(94).pdf | source_sha256=6c6a038bff68ee906dd97c41e95fb4442917c014c8e79228f15e80cc5afa5c1f | physical_pdf_page=29 | section=Part I-A Chapter 11 - Voyage planning | clause=11.2 | checks=independent_full_text_page_layout; numbers_units_operators_equations; normalized_rule_meaning; five_category_classification | status=LOCKED</x:v>
      </x:c>
      <x:c r="S101" s="108" t="str">
        <x:v>New IMO source; not derived from the thesis extraction.</x:v>
      </x:c>
      <x:c r="T101" s="108" t="str">
        <x:v>PASS - source/page/clause/meaning/category reverified</x:v>
      </x:c>
      <x:c r="U101" s="108" t="str">
        <x:v>LOCKED - extraction reverified</x:v>
      </x:c>
      <x:c r="V101" s="123" t="str">
        <x:v>Second-pass extraction lock covers source identity, physical PDF page span, section/clause, ASCII transcription, normalized meaning, and verification category. SHACL shapes remain a separate implementation artifact.</x:v>
      </x:c>
      <x:c r="W101" s="123" t="str">
        <x:v>https://wwwcdn.imo.org/localresources/en/KnowledgeCentre/IndexofIMOResolutions/MSCResolutions/MSC.385%2894%29.pdf</x:v>
      </x:c>
      <x:c r="X101" s="123" t="str">
        <x:v>Voyage plan and intended-voyage hazard register</x:v>
      </x:c>
      <x:c r="Y101" s="123" t="str">
        <x:v>Require a plan coverage link for every identified hazard.</x:v>
      </x:c>
    </x:row>
    <x:row r="102" ht="100" customHeight="1">
      <x:c r="A102" s="108" t="str">
        <x:v>IMO-101</x:v>
      </x:c>
      <x:c r="B102" s="108" t="str">
        <x:v>International Code for Ships Operating in Polar Waters (Polar Code)</x:v>
      </x:c>
      <x:c r="C102" s="108" t="str">
        <x:v>Resolution MSC.385(94), adopted 21 Nov 2014; consolidated with MEPC.264(68), adopted 15 May 2015</x:v>
      </x:c>
      <x:c r="D102" s="163" t="str">
        <x:v>29-30</x:v>
      </x:c>
      <x:c r="E102" s="108" t="str">
        <x:v>Part I-A Chapter 11 - Voyage planning</x:v>
      </x:c>
      <x:c r="F102" s="108" t="str">
        <x:v>11.3.1-11.3.9</x:v>
      </x:c>
      <x:c r="G102" s="113" t="str">
        <x:v>Complex</x:v>
      </x:c>
      <x:c r="H102" s="120" t="str">
        <x:v>The master shall consider a route through polar waters, taking into account the following: the procedures required by the PWOM;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routing systems, speed recommendations and vessel traffic services relating to known areas with densities of marine mammals, including seasonal migration areas; national and international designated protected areas along the route; and operation in areas remote from SAR capabilities.</x:v>
      </x:c>
      <x:c r="I102" s="121" t="str">
        <x:v>The polar-route planning record shall cover all nine clause 11.3 topics: PWOM procedures, hydrographic/navigation limitations, current ice/iceberg information, historical ice/temperature data, places of refuge, marine-mammal measures, routing/speed/VTS information, protected areas, and remoteness from SAR.</x:v>
      </x:c>
      <x:c r="J102" s="122" t="str">
        <x:v>polar_route_plan, voyage_planning_topic_coverage</x:v>
      </x:c>
      <x:c r="K102" s="122" t="str">
        <x:v>No direct AnchorMap term found; propose code-safe alias: polar_route_plan and voyage-planning topic-coverage properties</x:v>
      </x:c>
      <x:c r="L102" s="124" t="str">
        <x:v>Medium</x:v>
      </x:c>
      <x:c r="M102" s="122" t="str">
        <x:v>Composite document-coverage constraint</x:v>
      </x:c>
      <x:c r="N102" s="108" t="str">
        <x:v>Verification requires linked conditions, external approval or evidence, an assessment, or a composite workflow.</x:v>
      </x:c>
      <x:c r="O102" s="113" t="str">
        <x:v>No</x:v>
      </x:c>
      <x:c r="P102" s="113" t="str">
        <x:v>Included - source reverified and locked</x:v>
      </x:c>
      <x:c r="Q102" s="108" t="str">
        <x:v>LOCK-2026-08-10: Restored the two-page span and expanded the clause range. Final source lock check completed against the supplied PDF; equation notation is ASCII-linearized.</x:v>
      </x:c>
      <x:c r="R102" s="108" t="str">
        <x:v>LOCK-2026-08-11-R2 | source_pdf=MSC.385(94).pdf | source_sha256=6c6a038bff68ee906dd97c41e95fb4442917c014c8e79228f15e80cc5afa5c1f | physical_pdf_page=29-30 | section=Part I-A Chapter 11 - Voyage planning | clause=11.3.1-11.3.9 | checks=independent_full_text_page_layout; numbers_units_operators_equations; normalized_rule_meaning; five_category_classification | status=LOCKED</x:v>
      </x:c>
      <x:c r="S102" s="108" t="str">
        <x:v>New IMO source; not derived from the thesis extraction.</x:v>
      </x:c>
      <x:c r="T102" s="108" t="str">
        <x:v>PASS - source/page/clause/meaning/category reverified</x:v>
      </x:c>
      <x:c r="U102" s="108" t="str">
        <x:v>LOCKED - extraction reverified</x:v>
      </x:c>
      <x:c r="V102" s="123" t="str">
        <x:v>Second-pass extraction lock covers source identity, physical PDF page span, section/clause, ASCII transcription, normalized meaning, and verification category. SHACL shapes remain a separate implementation artifact.</x:v>
      </x:c>
      <x:c r="W102" s="123" t="str">
        <x:v>https://wwwcdn.imo.org/localresources/en/KnowledgeCentre/IndexofIMOResolutions/MSCResolutions/MSC.385%2894%29.pdf</x:v>
      </x:c>
      <x:c r="X102" s="123" t="str">
        <x:v>Route planning record and nine required topic indicators</x:v>
      </x:c>
      <x:c r="Y102" s="123" t="str">
        <x:v>Represent each enumerated topic as a required coverage property.</x:v>
      </x:c>
    </x:row>
    <x:row r="103" ht="100" customHeight="1">
      <x:c r="A103" s="108" t="str">
        <x:v>IMO-102</x:v>
      </x:c>
      <x:c r="B103" s="108" t="str">
        <x:v>International Code for Ships Operating in Polar Waters (Polar Code)</x:v>
      </x:c>
      <x:c r="C103" s="108" t="str">
        <x:v>Resolution MSC.385(94), adopted 21 Nov 2014; consolidated with MEPC.264(68), adopted 15 May 2015</x:v>
      </x:c>
      <x:c r="D103" s="163" t="n">
        <x:v>30</x:v>
      </x:c>
      <x:c r="E103" s="108" t="str">
        <x:v>Part I-A Chapter 12 - Manning and training</x:v>
      </x:c>
      <x:c r="F103" s="108" t="str">
        <x:v>12.3.1</x:v>
      </x:c>
      <x:c r="G103" s="113" t="str">
        <x:v>Static</x:v>
      </x:c>
      <x:c r="H103" s="120" t="str">
        <x:v>In order to meet the functional requirement of paragraph 12.2 above while operating in polar waters, masters, chief mates and officers in charge of a navigational watch shall be qualified in accordance with chapter V of the STCW Convention and the STCW Code, as amended, as follows: Ice conditions | Tankers | Passenger ships | Other. Ice free | Not applicable. | Not applicable. | Not applicable. Open waters | Basic training for master, chief mate and officers in charge of a navigational watch. | Basic training for master, chief mate and officers in charge of a navigational watch. | Not applicable. Other waters | Advanced training for master and chief mate. Basic training for officers in charge of a navigational watch. | Advanced training for master and chief mate. Basic training for officers in charge of a navigational watch. | Advanced training for master and chief mate. Basic training for officers in charge of a navigational watch.</x:v>
      </x:c>
      <x:c r="I103" s="121" t="str">
        <x:v>Required polar training level shall be derived from ice_condition, ship_type, and crew_role according to the clause 12.3.1 matrix, and each applicable crew member shall have a valid matching STCW qualification.</x:v>
      </x:c>
      <x:c r="J103" s="122" t="str">
        <x:v>ice_condition, ship_type, crew_role, required_polar_training_level, STCW_qualification_status</x:v>
      </x:c>
      <x:c r="K103" s="122" t="str">
        <x:v>No direct AnchorMap term found; propose code-safe alias: ice condition, crew role and training-level properties</x:v>
      </x:c>
      <x:c r="L103" s="124" t="str">
        <x:v>High</x:v>
      </x:c>
      <x:c r="M103" s="122" t="str">
        <x:v>Lookup-table and qualified credential constraint</x:v>
      </x:c>
      <x:c r="N103" s="108" t="str">
        <x:v>Direct verification of a stated property, document, presence condition, enumeration, applicability rule, prohibition, or fixed limit.</x:v>
      </x:c>
      <x:c r="O103" s="113" t="str">
        <x:v>No</x:v>
      </x:c>
      <x:c r="P103" s="113" t="str">
        <x:v>Included - source reverified and locked</x:v>
      </x:c>
      <x:c r="Q103" s="108" t="str">
        <x:v>LOCK-2026-08-10: No source, page, clause, category, or normalized-meaning correction was required. Source wording was checked against the supplied PDF; equation notation is ASCII-linearized.</x:v>
      </x:c>
      <x:c r="R103" s="108" t="str">
        <x:v>LOCK-2026-08-11-R2 | source_pdf=MSC.385(94).pdf | source_sha256=6c6a038bff68ee906dd97c41e95fb4442917c014c8e79228f15e80cc5afa5c1f | physical_pdf_page=30 | section=Part I-A Chapter 12 - Manning and training | clause=12.3.1 | checks=independent_full_text_page_layout; numbers_units_operators_equations; normalized_rule_meaning; five_category_classification | status=LOCKED</x:v>
      </x:c>
      <x:c r="S103" s="108" t="str">
        <x:v>New IMO source; not derived from the thesis extraction.</x:v>
      </x:c>
      <x:c r="T103" s="108" t="str">
        <x:v>PASS - source/page/clause/meaning/category reverified</x:v>
      </x:c>
      <x:c r="U103" s="108" t="str">
        <x:v>LOCKED - extraction reverified</x:v>
      </x:c>
      <x:c r="V103" s="123" t="str">
        <x:v>Second-pass extraction lock covers source identity, physical PDF page span, section/clause, ASCII transcription, normalized meaning, and verification category. SHACL shapes remain a separate implementation artifact.</x:v>
      </x:c>
      <x:c r="W103" s="123" t="str">
        <x:v>https://wwwcdn.imo.org/localresources/en/KnowledgeCentre/IndexofIMOResolutions/MSCResolutions/MSC.385%2894%29.pdf</x:v>
      </x:c>
      <x:c r="X103" s="123" t="str">
        <x:v>Ice condition, ship type, crew manifest, and STCW credentials</x:v>
      </x:c>
      <x:c r="Y103" s="123" t="str">
        <x:v>Encode the table as a visible lookup matrix and validate each applicable crew member.</x:v>
      </x:c>
    </x:row>
    <x:row r="104" ht="100" customHeight="1">
      <x:c r="A104" s="108" t="str">
        <x:v>IMO-103</x:v>
      </x:c>
      <x:c r="B104" s="108" t="str">
        <x:v>International Code for Ships Operating in Polar Waters (Polar Code)</x:v>
      </x:c>
      <x:c r="C104" s="108" t="str">
        <x:v>Resolution MSC.385(94), adopted 21 Nov 2014; consolidated with MEPC.264(68), adopted 15 May 2015</x:v>
      </x:c>
      <x:c r="D104" s="163" t="n">
        <x:v>31</x:v>
      </x:c>
      <x:c r="E104" s="108" t="str">
        <x:v>Part I-A Chapter 12 - Manning and training</x:v>
      </x:c>
      <x:c r="F104" s="108" t="str">
        <x:v>12.3.2</x:v>
      </x:c>
      <x:c r="G104" s="113" t="str">
        <x:v>Complex</x:v>
      </x:c>
      <x:c r="H104" s="120" t="str">
        <x:v>The Administration may allow the use of a person(s) other than the master, chief mate or officers of the navigational watch to satisfy the requirements for training, provided that: this person(s) shall be qualified and certified in accordance with regulation II/2 of the STCW Convention and section A-II/2 of the STCW Code, and meet the advance training requirements set out in the table in paragraph 12.3.1; while operating in polar waters the ship carries a sufficient number of persons meeting the appropriate training requirements for polar waters to cover all watches; this person(s) is subject to the Administration's minimum hours of rest requirements at all times; when operating in waters other than open waters or bergy waters, the master, chief mate and officers in charge of a navigational watch on passenger ships and tankers shall meet the applicable basic training requirements set out in the table in paragraph 12.3.1; and when operating in waters with an ice concentration of more than 2/10, the master, chief mate and officers in charge of a navigational watch on cargo ships other than tankers shall meet the applicable basic training requirements set out in the table in paragraph 12.3.1.</x:v>
      </x:c>
      <x:c r="I104" s="121" t="str">
        <x:v>IF alternate_qualified_person_used = true, THEN administration_permission_status = approved and all five conditions in clause 12.3.2 shall be satisfied, including STCW II/2 and A-II/2 certification, advanced polar training, watch coverage, rest compliance, and the condition-specific basic-training safeguards for designated officers.</x:v>
      </x:c>
      <x:c r="J104" s="122" t="str">
        <x:v>alternate_qualified_person_used, administration_permission_status, STCW_II_2_status, STCW_A_II_2_status, advanced_polar_training_status, watch_coverage_status, rest_compliance_status, ice_condition, ice_concentration_tenths, designated_officer_basic_training_status</x:v>
      </x:c>
      <x:c r="K104" s="122" t="str">
        <x:v>No direct AnchorMap term found; propose code-safe alias: alternate-person permission and credential/coverage properties</x:v>
      </x:c>
      <x:c r="L104" s="124" t="str">
        <x:v>Medium</x:v>
      </x:c>
      <x:c r="M104" s="122" t="str">
        <x:v>Conditional composite credential constraint</x:v>
      </x:c>
      <x:c r="N104" s="108" t="str">
        <x:v>Verification requires linked conditions, external approval or evidence, an assessment, or a composite workflow.</x:v>
      </x:c>
      <x:c r="O104" s="113" t="str">
        <x:v>No</x:v>
      </x:c>
      <x:c r="P104" s="113" t="str">
        <x:v>Included - source reverified and locked</x:v>
      </x:c>
      <x:c r="Q104" s="108" t="str">
        <x:v>LOCK-2026-08-10: No source, page, clause, category, or normalized-meaning correction was required. Source wording was checked against the supplied PDF; equation notation is ASCII-linearized.</x:v>
      </x:c>
      <x:c r="R104" s="108" t="str">
        <x:v>LOCK-2026-08-11-R2 | source_pdf=MSC.385(94).pdf | source_sha256=6c6a038bff68ee906dd97c41e95fb4442917c014c8e79228f15e80cc5afa5c1f | physical_pdf_page=31 | section=Part I-A Chapter 12 - Manning and training | clause=12.3.2 | checks=independent_full_text_page_layout; numbers_units_operators_equations; normalized_rule_meaning; five_category_classification | status=LOCKED</x:v>
      </x:c>
      <x:c r="S104" s="108" t="str">
        <x:v>New IMO source; not derived from the thesis extraction.</x:v>
      </x:c>
      <x:c r="T104" s="108" t="str">
        <x:v>PASS - source/page/clause/meaning/category reverified</x:v>
      </x:c>
      <x:c r="U104" s="108" t="str">
        <x:v>LOCKED - extraction reverified</x:v>
      </x:c>
      <x:c r="V104" s="123" t="str">
        <x:v>Second-pass extraction lock covers source identity, physical PDF page span, section/clause, ASCII transcription, normalized meaning, and verification category. SHACL shapes remain a separate implementation artifact.</x:v>
      </x:c>
      <x:c r="W104" s="123" t="str">
        <x:v>https://wwwcdn.imo.org/localresources/en/KnowledgeCentre/IndexofIMOResolutions/MSCResolutions/MSC.385%2894%29.pdf</x:v>
      </x:c>
      <x:c r="X104" s="123" t="str">
        <x:v>Administration permission, credentials, watch schedule, rest records, and operating ice condition</x:v>
      </x:c>
      <x:c r="Y104" s="123" t="str">
        <x:v>Use SPARQL to enforce all conjunctive conditions and the two operating-condition branches.</x:v>
      </x:c>
    </x:row>
    <x:row r="105" ht="100" customHeight="1">
      <x:c r="A105" s="108" t="str">
        <x:v>IMO-104</x:v>
      </x:c>
      <x:c r="B105" s="108" t="str">
        <x:v>International Code for Ships Operating in Polar Waters (Polar Code)</x:v>
      </x:c>
      <x:c r="C105" s="108" t="str">
        <x:v>Resolution MSC.385(94), adopted 21 Nov 2014; consolidated with MEPC.264(68), adopted 15 May 2015</x:v>
      </x:c>
      <x:c r="D105" s="163" t="n">
        <x:v>31</x:v>
      </x:c>
      <x:c r="E105" s="108" t="str">
        <x:v>Part I-A Chapter 12 - Manning and training</x:v>
      </x:c>
      <x:c r="F105" s="108" t="str">
        <x:v>12.3.4</x:v>
      </x:c>
      <x:c r="G105" s="113" t="str">
        <x:v>Static</x:v>
      </x:c>
      <x:c r="H105" s="120" t="str">
        <x:v>Every crew member shall be made familiar with the procedures and equipment contained or referenced in the PWOM relevant to their assigned duties.</x:v>
      </x:c>
      <x:c r="I105" s="121" t="str">
        <x:v>Every crew member shall have PWOM_familiarization_status = completed for all procedures and equipment relevant to assigned_duties.</x:v>
      </x:c>
      <x:c r="J105" s="122" t="str">
        <x:v>crew_member, assigned_duties, relevant_PWOM_procedure_or_equipment, PWOM_familiarization_status</x:v>
      </x:c>
      <x:c r="K105" s="122" t="str">
        <x:v>No direct AnchorMap term found; propose code-safe alias: crew duty and PWOM familiarization properties</x:v>
      </x:c>
      <x:c r="L105" s="124" t="str">
        <x:v>High</x:v>
      </x:c>
      <x:c r="M105" s="122" t="str">
        <x:v>Qualified training/familiarization constraint</x:v>
      </x:c>
      <x:c r="N105" s="108" t="str">
        <x:v>Direct verification of a stated property, document, presence condition, enumeration, applicability rule, prohibition, or fixed limit.</x:v>
      </x:c>
      <x:c r="O105" s="113" t="str">
        <x:v>No</x:v>
      </x:c>
      <x:c r="P105" s="113" t="str">
        <x:v>Included - source reverified and locked</x:v>
      </x:c>
      <x:c r="Q105" s="108" t="str">
        <x:v>LOCK-2026-08-10: No source, page, clause, category, or normalized-meaning correction was required. Source wording was checked against the supplied PDF; equation notation is ASCII-linearized.</x:v>
      </x:c>
      <x:c r="R105" s="108" t="str">
        <x:v>LOCK-2026-08-11-R2 | source_pdf=MSC.385(94).pdf | source_sha256=6c6a038bff68ee906dd97c41e95fb4442917c014c8e79228f15e80cc5afa5c1f | physical_pdf_page=31 | section=Part I-A Chapter 12 - Manning and training | clause=12.3.4 | checks=independent_full_text_page_layout; numbers_units_operators_equations; normalized_rule_meaning; five_category_classification | status=LOCKED</x:v>
      </x:c>
      <x:c r="S105" s="108" t="str">
        <x:v>New IMO source; not derived from the thesis extraction.</x:v>
      </x:c>
      <x:c r="T105" s="108" t="str">
        <x:v>PASS - source/page/clause/meaning/category reverified</x:v>
      </x:c>
      <x:c r="U105" s="108" t="str">
        <x:v>LOCKED - extraction reverified</x:v>
      </x:c>
      <x:c r="V105" s="123" t="str">
        <x:v>Second-pass extraction lock covers source identity, physical PDF page span, section/clause, ASCII transcription, normalized meaning, and verification category. SHACL shapes remain a separate implementation artifact.</x:v>
      </x:c>
      <x:c r="W105" s="123" t="str">
        <x:v>https://wwwcdn.imo.org/localresources/en/KnowledgeCentre/IndexofIMOResolutions/MSCResolutions/MSC.385%2894%29.pdf</x:v>
      </x:c>
      <x:c r="X105" s="123" t="str">
        <x:v>Crew manifest, duty assignments, PWOM relevance mapping, and familiarization records</x:v>
      </x:c>
      <x:c r="Y105" s="123" t="str">
        <x:v>Require completed familiarization coverage for each relevant duty-linked item.</x:v>
      </x:c>
    </x:row>
    <x:row r="106" ht="100" customHeight="1">
      <x:c r="A106" s="108" t="str">
        <x:v>IMO-105</x:v>
      </x:c>
      <x:c r="B106" s="108" t="str">
        <x:v>International Code for Ships Operating in Polar Waters (Polar Code)</x:v>
      </x:c>
      <x:c r="C106" s="108" t="str">
        <x:v>Resolution MSC.385(94), adopted 21 Nov 2014; consolidated with MEPC.264(68), adopted 15 May 2015</x:v>
      </x:c>
      <x:c r="D106" s="163" t="n">
        <x:v>41</x:v>
      </x:c>
      <x:c r="E106" s="108" t="str">
        <x:v>Part II-A Chapter 1 - Prevention of pollution by oil</x:v>
      </x:c>
      <x:c r="F106" s="108" t="str">
        <x:v>1.1.1</x:v>
      </x:c>
      <x:c r="G106" s="113" t="str">
        <x:v>Static</x:v>
      </x:c>
      <x:c r="H106" s="120" t="str">
        <x:v>In Arctic waters any discharge into the sea of oil or oily mixtures from any ship shall be prohibited.</x:v>
      </x:c>
      <x:c r="I106" s="121" t="str">
        <x:v>IF operating_area = Arctic_waters, THEN oil_or_oily_mixture_discharge_to_sea = false.</x:v>
      </x:c>
      <x:c r="J106" s="122" t="str">
        <x:v>operating_area, oil_or_oily_mixture_discharge_to_sea</x:v>
      </x:c>
      <x:c r="K106" s="122" t="str">
        <x:v>No direct AnchorMap term found; propose code-safe alias: operating_area, oil_or_oily_mixture_discharge_to_sea</x:v>
      </x:c>
      <x:c r="L106" s="124" t="str">
        <x:v>High</x:v>
      </x:c>
      <x:c r="M106" s="122" t="str">
        <x:v>Conditional prohibition constraint</x:v>
      </x:c>
      <x:c r="N106" s="108" t="str">
        <x:v>Direct verification of a stated property, document, presence condition, enumeration, applicability rule, prohibition, or fixed limit.</x:v>
      </x:c>
      <x:c r="O106" s="113" t="str">
        <x:v>No</x:v>
      </x:c>
      <x:c r="P106" s="113" t="str">
        <x:v>Included - source reverified and locked</x:v>
      </x:c>
      <x:c r="Q106" s="108" t="str">
        <x:v>LOCK-2026-08-10: No source, page, clause, category, or normalized-meaning correction was required. Source wording was checked against the supplied PDF; equation notation is ASCII-linearized.</x:v>
      </x:c>
      <x:c r="R106" s="108" t="str">
        <x:v>LOCK-2026-08-11-R2 | source_pdf=MSC.385(94).pdf | source_sha256=6c6a038bff68ee906dd97c41e95fb4442917c014c8e79228f15e80cc5afa5c1f | physical_pdf_page=41 | section=Part II-A Chapter 1 - Prevention of pollution by oil | clause=1.1.1 | checks=independent_full_text_page_layout; numbers_units_operators_equations; normalized_rule_meaning; five_category_classification | status=LOCKED</x:v>
      </x:c>
      <x:c r="S106" s="108" t="str">
        <x:v>New IMO source; not derived from the thesis extraction.</x:v>
      </x:c>
      <x:c r="T106" s="108" t="str">
        <x:v>PASS - source/page/clause/meaning/category reverified</x:v>
      </x:c>
      <x:c r="U106" s="108" t="str">
        <x:v>LOCKED - extraction reverified</x:v>
      </x:c>
      <x:c r="V106" s="123" t="str">
        <x:v>Second-pass extraction lock covers source identity, physical PDF page span, section/clause, ASCII transcription, normalized meaning, and verification category. SHACL shapes remain a separate implementation artifact.</x:v>
      </x:c>
      <x:c r="W106" s="123" t="str">
        <x:v>https://wwwcdn.imo.org/localresources/en/KnowledgeCentre/IndexofIMOResolutions/MSCResolutions/MSC.385%2894%29.pdf</x:v>
      </x:c>
      <x:c r="X106" s="123" t="str">
        <x:v>Operating area and discharge record</x:v>
      </x:c>
      <x:c r="Y106" s="123" t="str">
        <x:v>Reject any oil or oily-mixture discharge event in Arctic waters.</x:v>
      </x:c>
    </x:row>
    <x:row r="107" ht="100" customHeight="1">
      <x:c r="A107" s="108" t="str">
        <x:v>IMO-106</x:v>
      </x:c>
      <x:c r="B107" s="108" t="str">
        <x:v>International Code for Ships Operating in Polar Waters (Polar Code)</x:v>
      </x:c>
      <x:c r="C107" s="108" t="str">
        <x:v>Resolution MSC.385(94), adopted 21 Nov 2014; consolidated with MEPC.264(68), adopted 15 May 2015</x:v>
      </x:c>
      <x:c r="D107" s="163" t="n">
        <x:v>41</x:v>
      </x:c>
      <x:c r="E107" s="108" t="str">
        <x:v>Part II-A Chapter 1 - Prevention of pollution by oil</x:v>
      </x:c>
      <x:c r="F107" s="108" t="str">
        <x:v>1.1.2</x:v>
      </x:c>
      <x:c r="G107" s="113" t="str">
        <x:v>Static</x:v>
      </x:c>
      <x:c r="H107" s="120" t="str">
        <x:v>The provisions of paragraph 1.1.1 shall not apply to the discharge of clean or segregated ballast.</x:v>
      </x:c>
      <x:c r="I107" s="121" t="str">
        <x:v>IF discharged_material_type IN {clean_ballast, segregated_ballast}, THEN clause_1_1_1_oil_discharge_prohibition_applicable = false.</x:v>
      </x:c>
      <x:c r="J107" s="122" t="str">
        <x:v>discharged_material_type, clause_1_1_1_oil_discharge_prohibition_applicable</x:v>
      </x:c>
      <x:c r="K107" s="122" t="str">
        <x:v>No direct AnchorMap term found; propose code-safe alias: discharged_material_type and prohibition-applicability properties</x:v>
      </x:c>
      <x:c r="L107" s="124" t="str">
        <x:v>High</x:v>
      </x:c>
      <x:c r="M107" s="122" t="str">
        <x:v>Exception classification constraint</x:v>
      </x:c>
      <x:c r="N107" s="108" t="str">
        <x:v>Direct verification of a stated property, document, presence condition, enumeration, applicability rule, prohibition, or fixed limit.</x:v>
      </x:c>
      <x:c r="O107" s="113" t="str">
        <x:v>No</x:v>
      </x:c>
      <x:c r="P107" s="113" t="str">
        <x:v>Included - source reverified and locked</x:v>
      </x:c>
      <x:c r="Q107" s="108" t="str">
        <x:v>LOCK-2026-08-10: No source, page, clause, category, or normalized-meaning correction was required. Source wording was checked against the supplied PDF; equation notation is ASCII-linearized.</x:v>
      </x:c>
      <x:c r="R107" s="108" t="str">
        <x:v>LOCK-2026-08-11-R2 | source_pdf=MSC.385(94).pdf | source_sha256=6c6a038bff68ee906dd97c41e95fb4442917c014c8e79228f15e80cc5afa5c1f | physical_pdf_page=41 | section=Part II-A Chapter 1 - Prevention of pollution by oil | clause=1.1.2 | checks=independent_full_text_page_layout; numbers_units_operators_equations; normalized_rule_meaning; five_category_classification | status=LOCKED</x:v>
      </x:c>
      <x:c r="S107" s="108" t="str">
        <x:v>New IMO source; not derived from the thesis extraction.</x:v>
      </x:c>
      <x:c r="T107" s="108" t="str">
        <x:v>PASS - source/page/clause/meaning/category reverified</x:v>
      </x:c>
      <x:c r="U107" s="108" t="str">
        <x:v>LOCKED - extraction reverified</x:v>
      </x:c>
      <x:c r="V107" s="123" t="str">
        <x:v>Second-pass extraction lock covers source identity, physical PDF page span, section/clause, ASCII transcription, normalized meaning, and verification category. SHACL shapes remain a separate implementation artifact.</x:v>
      </x:c>
      <x:c r="W107" s="123" t="str">
        <x:v>https://wwwcdn.imo.org/localresources/en/KnowledgeCentre/IndexofIMOResolutions/MSCResolutions/MSC.385%2894%29.pdf</x:v>
      </x:c>
      <x:c r="X107" s="123" t="str">
        <x:v>Discharge material classification</x:v>
      </x:c>
      <x:c r="Y107" s="123" t="str">
        <x:v>Restrict the exception to the two stated ballast classifications.</x:v>
      </x:c>
    </x:row>
    <x:row r="108" ht="100" customHeight="1">
      <x:c r="A108" s="108" t="str">
        <x:v>IMO-107</x:v>
      </x:c>
      <x:c r="B108" s="108" t="str">
        <x:v>International Code for Ships Operating in Polar Waters (Polar Code)</x:v>
      </x:c>
      <x:c r="C108" s="108" t="str">
        <x:v>Resolution MSC.385(94), adopted 21 Nov 2014; consolidated with MEPC.264(68), adopted 15 May 2015</x:v>
      </x:c>
      <x:c r="D108" s="163" t="n">
        <x:v>41</x:v>
      </x:c>
      <x:c r="E108" s="108" t="str">
        <x:v>Part II-A Chapter 1 - Prevention of pollution by oil</x:v>
      </x:c>
      <x:c r="F108" s="108" t="str">
        <x:v>1.1.4</x:v>
      </x:c>
      <x:c r="G108" s="113" t="str">
        <x:v>Static</x:v>
      </x:c>
      <x:c r="H108" s="120" t="str">
        <x:v>Operation in polar waters shall be taken into account, as appropriate, in the Oil Record Books, manuals and the shipboard oil pollution emergency plan or the shipboard marine pollution emergency plan as required by MARPOL Annex I.</x:v>
      </x:c>
      <x:c r="I108" s="121" t="str">
        <x:v>IF ship_operates_in_polar_waters = true, THEN polar_operation_coverage shall be present in the applicable Oil Record Book, manuals, and oil or marine pollution emergency plan.</x:v>
      </x:c>
      <x:c r="J108" s="122" t="str">
        <x:v>ship_operates_in_polar_waters, Oil_Record_Book_polar_coverage, manual_polar_coverage, pollution_emergency_plan_polar_coverage</x:v>
      </x:c>
      <x:c r="K108" s="122" t="str">
        <x:v>No direct AnchorMap term found; propose code-safe alias: polar-operation coverage in MARPOL documents</x:v>
      </x:c>
      <x:c r="L108" s="124" t="str">
        <x:v>High</x:v>
      </x:c>
      <x:c r="M108" s="122" t="str">
        <x:v>Conditional document-coverage constraint</x:v>
      </x:c>
      <x:c r="N108" s="108" t="str">
        <x:v>Direct verification of a stated property, document, presence condition, enumeration, applicability rule, prohibition, or fixed limit.</x:v>
      </x:c>
      <x:c r="O108" s="113" t="str">
        <x:v>No</x:v>
      </x:c>
      <x:c r="P108" s="113" t="str">
        <x:v>Included - source reverified and locked</x:v>
      </x:c>
      <x:c r="Q108" s="108" t="str">
        <x:v>LOCK-2026-08-10: No source, page, clause, category, or normalized-meaning correction was required. Source wording was checked against the supplied PDF; equation notation is ASCII-linearized.</x:v>
      </x:c>
      <x:c r="R108" s="108" t="str">
        <x:v>LOCK-2026-08-11-R2 | source_pdf=MSC.385(94).pdf | source_sha256=6c6a038bff68ee906dd97c41e95fb4442917c014c8e79228f15e80cc5afa5c1f | physical_pdf_page=41 | section=Part II-A Chapter 1 - Prevention of pollution by oil | clause=1.1.4 | checks=independent_full_text_page_layout; numbers_units_operators_equations; normalized_rule_meaning; five_category_classification | status=LOCKED</x:v>
      </x:c>
      <x:c r="S108" s="108" t="str">
        <x:v>New IMO source; not derived from the thesis extraction.</x:v>
      </x:c>
      <x:c r="T108" s="108" t="str">
        <x:v>PASS - source/page/clause/meaning/category reverified</x:v>
      </x:c>
      <x:c r="U108" s="108" t="str">
        <x:v>LOCKED - extraction reverified</x:v>
      </x:c>
      <x:c r="V108" s="123" t="str">
        <x:v>Second-pass extraction lock covers source identity, physical PDF page span, section/clause, ASCII transcription, normalized meaning, and verification category. SHACL shapes remain a separate implementation artifact.</x:v>
      </x:c>
      <x:c r="W108" s="123" t="str">
        <x:v>https://wwwcdn.imo.org/localresources/en/KnowledgeCentre/IndexofIMOResolutions/MSCResolutions/MSC.385%2894%29.pdf</x:v>
      </x:c>
      <x:c r="X108" s="123" t="str">
        <x:v>Applicable MARPOL documents and polar-operation coverage indicators</x:v>
      </x:c>
      <x:c r="Y108" s="123" t="str">
        <x:v>Require coverage in each applicable document.</x:v>
      </x:c>
    </x:row>
    <x:row r="109" ht="100" customHeight="1">
      <x:c r="A109" s="108" t="str">
        <x:v>IMO-108</x:v>
      </x:c>
      <x:c r="B109" s="108" t="str">
        <x:v>International Code for Ships Operating in Polar Waters (Polar Code)</x:v>
      </x:c>
      <x:c r="C109" s="108" t="str">
        <x:v>Resolution MSC.385(94), adopted 21 Nov 2014; consolidated with MEPC.264(68), adopted 15 May 2015</x:v>
      </x:c>
      <x:c r="D109" s="163" t="n">
        <x:v>41</x:v>
      </x:c>
      <x:c r="E109" s="108" t="str">
        <x:v>Part II-A Chapter 1 - Structural requirements</x:v>
      </x:c>
      <x:c r="F109" s="108" t="str">
        <x:v>1.2.1</x:v>
      </x:c>
      <x:c r="G109" s="113" t="str">
        <x:v>Static Calculation</x:v>
      </x:c>
      <x:c r="H109" s="120" t="str">
        <x:v>For category A and B ships constructed on or after 1 January 2017 with an aggregate oil fuel capacity of less than 600 m^3, all oil fuel tanks shall be separated from the outer shell by a distance of not less than 0.76 m. This provision does not apply to small oil fuel tanks with a maximum individual capacity not greater than 30 m^3.</x:v>
      </x:c>
      <x:c r="I109" s="121" t="str">
        <x:v>IF ship_category IN {'A','B'} AND construction_date &gt;= '2017-01-01' AND aggregate_oil_fuel_capacity_m3 &lt; 600 AND individual_oil_fuel_tank_capacity_m3 &gt; 30, THEN oil_fuel_tank_outer_shell_separation_m &gt;= 0.76.</x:v>
      </x:c>
      <x:c r="J109" s="122" t="str">
        <x:v>ship_category, construction_date, aggregate_oil_fuel_capacity_m3, individual_oil_fuel_tank_capacity_m3, oil_fuel_tank_outer_shell_separation_m</x:v>
      </x:c>
      <x:c r="K109" s="122" t="str">
        <x:v>iceClass -&gt; reg:iceClass; No direct AnchorMap term found; propose code-safe alias: oil-fuel tank capacity and separation variables</x:v>
      </x:c>
      <x:c r="L109" s="124" t="str">
        <x:v>High</x:v>
      </x:c>
      <x:c r="M109" s="122" t="str">
        <x:v>Conditional numeric constraint with exception</x:v>
      </x:c>
      <x:c r="N109" s="108" t="str">
        <x:v>Deterministic calculation from static design inputs followed by a numeric or logical comparison.</x:v>
      </x:c>
      <x:c r="O109" s="113" t="str">
        <x:v>No</x:v>
      </x:c>
      <x:c r="P109" s="113" t="str">
        <x:v>Included - source reverified and locked</x:v>
      </x:c>
      <x:c r="Q109" s="108" t="str">
        <x:v>LOCK-2026-08-10: No source, page, clause, category, or normalized-meaning correction was required. Source wording was checked against the supplied PDF; equation notation is ASCII-linearized.</x:v>
      </x:c>
      <x:c r="R109" s="108" t="str">
        <x:v>LOCK-2026-08-11-R2 | source_pdf=MSC.385(94).pdf | source_sha256=6c6a038bff68ee906dd97c41e95fb4442917c014c8e79228f15e80cc5afa5c1f | physical_pdf_page=41 | section=Part II-A Chapter 1 - Structural requirements | clause=1.2.1 | checks=independent_full_text_page_layout; numbers_units_operators_equations; normalized_rule_meaning; five_category_classification | status=LOCKED</x:v>
      </x:c>
      <x:c r="S109" s="108" t="str">
        <x:v>New IMO source; not derived from the thesis extraction.</x:v>
      </x:c>
      <x:c r="T109" s="108" t="str">
        <x:v>PASS - source/page/clause/meaning/category reverified</x:v>
      </x:c>
      <x:c r="U109" s="108" t="str">
        <x:v>LOCKED - extraction reverified</x:v>
      </x:c>
      <x:c r="V109" s="123" t="str">
        <x:v>Second-pass extraction lock covers source identity, physical PDF page span, section/clause, ASCII transcription, normalized meaning, and verification category. SHACL shapes remain a separate implementation artifact.</x:v>
      </x:c>
      <x:c r="W109" s="123" t="str">
        <x:v>https://wwwcdn.imo.org/localresources/en/KnowledgeCentre/IndexofIMOResolutions/MSCResolutions/MSC.385%2894%29.pdf</x:v>
      </x:c>
      <x:c r="X109" s="123" t="str">
        <x:v>Ship category/date and oil-fuel tank capacities/separation measurements</x:v>
      </x:c>
      <x:c r="Y109" s="123" t="str">
        <x:v>Apply the separation minimum only when all applicability conditions are met.</x:v>
      </x:c>
    </x:row>
    <x:row r="110" ht="100" customHeight="1">
      <x:c r="A110" s="108" t="str">
        <x:v>IMO-109</x:v>
      </x:c>
      <x:c r="B110" s="108" t="str">
        <x:v>International Code for Ships Operating in Polar Waters (Polar Code)</x:v>
      </x:c>
      <x:c r="C110" s="108" t="str">
        <x:v>Resolution MSC.385(94), adopted 21 Nov 2014; consolidated with MEPC.264(68), adopted 15 May 2015</x:v>
      </x:c>
      <x:c r="D110" s="163" t="n">
        <x:v>41</x:v>
      </x:c>
      <x:c r="E110" s="108" t="str">
        <x:v>Part II-A Chapter 1 - Structural requirements</x:v>
      </x:c>
      <x:c r="F110" s="108" t="str">
        <x:v>1.2.2</x:v>
      </x:c>
      <x:c r="G110" s="113" t="str">
        <x:v>Static Calculation</x:v>
      </x:c>
      <x:c r="H110" s="120" t="str">
        <x:v>For category A and B ships other than oil tankers constructed on or after 1 January 2017, all cargo tanks constructed and utilized to carry oil shall be separated from the outer shell by a distance of not less than 0.76 m.</x:v>
      </x:c>
      <x:c r="I110" s="121" t="str">
        <x:v>IF ship_category IN {'A','B'} AND ship_type != oil_tanker AND construction_date &gt;= '2017-01-01' AND cargo_tank_carries_oil = true, THEN cargo_tank_outer_shell_separation_m &gt;= 0.76.</x:v>
      </x:c>
      <x:c r="J110" s="122" t="str">
        <x:v>ship_category, ship_type, construction_date, cargo_tank_carries_oil, cargo_tank_outer_shell_separation_m</x:v>
      </x:c>
      <x:c r="K110" s="122" t="str">
        <x:v>iceClass -&gt; reg:iceClass; No direct AnchorMap term found; propose code-safe alias: cargo-tank oil-service and separation variables</x:v>
      </x:c>
      <x:c r="L110" s="124" t="str">
        <x:v>High</x:v>
      </x:c>
      <x:c r="M110" s="122" t="str">
        <x:v>Conditional numeric constraint</x:v>
      </x:c>
      <x:c r="N110" s="108" t="str">
        <x:v>Deterministic calculation from static design inputs followed by a numeric or logical comparison.</x:v>
      </x:c>
      <x:c r="O110" s="113" t="str">
        <x:v>No</x:v>
      </x:c>
      <x:c r="P110" s="113" t="str">
        <x:v>Included - source reverified and locked</x:v>
      </x:c>
      <x:c r="Q110" s="108" t="str">
        <x:v>LOCK-2026-08-10: No source, page, clause, category, or normalized-meaning correction was required. Source wording was checked against the supplied PDF; equation notation is ASCII-linearized.</x:v>
      </x:c>
      <x:c r="R110" s="108" t="str">
        <x:v>LOCK-2026-08-11-R2 | source_pdf=MSC.385(94).pdf | source_sha256=6c6a038bff68ee906dd97c41e95fb4442917c014c8e79228f15e80cc5afa5c1f | physical_pdf_page=41 | section=Part II-A Chapter 1 - Structural requirements | clause=1.2.2 | checks=independent_full_text_page_layout; numbers_units_operators_equations; normalized_rule_meaning; five_category_classification | status=LOCKED</x:v>
      </x:c>
      <x:c r="S110" s="108" t="str">
        <x:v>New IMO source; not derived from the thesis extraction.</x:v>
      </x:c>
      <x:c r="T110" s="108" t="str">
        <x:v>PASS - source/page/clause/meaning/category reverified</x:v>
      </x:c>
      <x:c r="U110" s="108" t="str">
        <x:v>LOCKED - extraction reverified</x:v>
      </x:c>
      <x:c r="V110" s="123" t="str">
        <x:v>Second-pass extraction lock covers source identity, physical PDF page span, section/clause, ASCII transcription, normalized meaning, and verification category. SHACL shapes remain a separate implementation artifact.</x:v>
      </x:c>
      <x:c r="W110" s="123" t="str">
        <x:v>https://wwwcdn.imo.org/localresources/en/KnowledgeCentre/IndexofIMOResolutions/MSCResolutions/MSC.385%2894%29.pdf</x:v>
      </x:c>
      <x:c r="X110" s="123" t="str">
        <x:v>Ship category/type/date and cargo-tank use/separation measurements</x:v>
      </x:c>
      <x:c r="Y110" s="123" t="str">
        <x:v>Require the minimum separation for every applicable cargo tank.</x:v>
      </x:c>
    </x:row>
    <x:row r="111" ht="100" customHeight="1">
      <x:c r="A111" s="108" t="str">
        <x:v>IMO-110</x:v>
      </x:c>
      <x:c r="B111" s="108" t="str">
        <x:v>International Code for Ships Operating in Polar Waters (Polar Code)</x:v>
      </x:c>
      <x:c r="C111" s="108" t="str">
        <x:v>Resolution MSC.385(94), adopted 21 Nov 2014; consolidated with MEPC.264(68), adopted 15 May 2015</x:v>
      </x:c>
      <x:c r="D111" s="163" t="n">
        <x:v>41</x:v>
      </x:c>
      <x:c r="E111" s="108" t="str">
        <x:v>Part II-A Chapter 1 - Structural requirements</x:v>
      </x:c>
      <x:c r="F111" s="108" t="str">
        <x:v>1.2.3</x:v>
      </x:c>
      <x:c r="G111" s="113" t="str">
        <x:v>Complex</x:v>
      </x:c>
      <x:c r="H111" s="120" t="str">
        <x:v>For category A and B oil tankers of less than 5,000 tonnes deadweight constructed on or after 1 January 2017, the entire cargo tank length shall be protected with: double bottom tanks or spaces complying with the applicable requirements of regulation 19.6.1 of MARPOL Annex I; and wing tanks or spaces arranged in accordance with regulation 19.3.1 of MARPOL Annex I and complying with the applicable requirements for distance referred to in regulation 19.6.2 of MARPOL Annex I.</x:v>
      </x:c>
      <x:c r="I111" s="121" t="str">
        <x:v>IF ship_category IN {'A','B'} AND ship_type = oil_tanker AND deadweight_tonnes &lt; 5000 AND construction_date &gt;= '2017-01-01', THEN entire_cargo_tank_length_double_bottom_protection_status = compliant with MARPOL I/19.6.1 AND wing_tank_protection_status = compliant with MARPOL I/19.3.1 and I/19.6.2.</x:v>
      </x:c>
      <x:c r="J111" s="122" t="str">
        <x:v>ship_category, ship_type, deadweight_tonnes, construction_date, entire_cargo_tank_length_double_bottom_protection_status, wing_tank_protection_status</x:v>
      </x:c>
      <x:c r="K111" s="122" t="str">
        <x:v>iceClass -&gt; reg:iceClass; No direct AnchorMap term found; propose code-safe alias: deadweight and cargo-tank protection-compliance properties</x:v>
      </x:c>
      <x:c r="L111" s="124" t="str">
        <x:v>Medium</x:v>
      </x:c>
      <x:c r="M111" s="122" t="str">
        <x:v>Conditional cross-regulation compliance constraint</x:v>
      </x:c>
      <x:c r="N111" s="108" t="str">
        <x:v>Verification requires linked conditions, external approval or evidence, an assessment, or a composite workflow.</x:v>
      </x:c>
      <x:c r="O111" s="113" t="str">
        <x:v>No</x:v>
      </x:c>
      <x:c r="P111" s="113" t="str">
        <x:v>Included - source reverified and locked</x:v>
      </x:c>
      <x:c r="Q111" s="108" t="str">
        <x:v>LOCK-2026-08-10: No source, page, clause, category, or normalized-meaning correction was required. Source wording was checked against the supplied PDF; equation notation is ASCII-linearized.</x:v>
      </x:c>
      <x:c r="R111" s="108" t="str">
        <x:v>LOCK-2026-08-11-R2 | source_pdf=MSC.385(94).pdf | source_sha256=6c6a038bff68ee906dd97c41e95fb4442917c014c8e79228f15e80cc5afa5c1f | physical_pdf_page=41 | section=Part II-A Chapter 1 - Structural requirements | clause=1.2.3 | checks=independent_full_text_page_layout; numbers_units_operators_equations; normalized_rule_meaning; five_category_classification | status=LOCKED</x:v>
      </x:c>
      <x:c r="S111" s="108" t="str">
        <x:v>New IMO source; not derived from the thesis extraction.</x:v>
      </x:c>
      <x:c r="T111" s="108" t="str">
        <x:v>PASS - source/page/clause/meaning/category reverified</x:v>
      </x:c>
      <x:c r="U111" s="108" t="str">
        <x:v>LOCKED - extraction reverified</x:v>
      </x:c>
      <x:c r="V111" s="123" t="str">
        <x:v>Second-pass extraction lock covers source identity, physical PDF page span, section/clause, ASCII transcription, normalized meaning, and verification category. SHACL shapes remain a separate implementation artifact.</x:v>
      </x:c>
      <x:c r="W111" s="123" t="str">
        <x:v>https://wwwcdn.imo.org/localresources/en/KnowledgeCentre/IndexofIMOResolutions/MSCResolutions/MSC.385%2894%29.pdf</x:v>
      </x:c>
      <x:c r="X111" s="123" t="str">
        <x:v>Ship particulars, protection arrangement, and linked MARPOL compliance evidence</x:v>
      </x:c>
      <x:c r="Y111" s="123" t="str">
        <x:v>Use linked evidence nodes for the three referenced MARPOL requirements.</x:v>
      </x:c>
    </x:row>
    <x:row r="112" ht="100" customHeight="1">
      <x:c r="A112" s="108" t="str">
        <x:v>IMO-111</x:v>
      </x:c>
      <x:c r="B112" s="108" t="str">
        <x:v>International Code for Ships Operating in Polar Waters (Polar Code)</x:v>
      </x:c>
      <x:c r="C112" s="108" t="str">
        <x:v>Resolution MSC.385(94), adopted 21 Nov 2014; consolidated with MEPC.264(68), adopted 15 May 2015</x:v>
      </x:c>
      <x:c r="D112" s="163" t="n">
        <x:v>41</x:v>
      </x:c>
      <x:c r="E112" s="108" t="str">
        <x:v>Part II-A Chapter 1 - Structural requirements</x:v>
      </x:c>
      <x:c r="F112" s="108" t="str">
        <x:v>1.2.4</x:v>
      </x:c>
      <x:c r="G112" s="113" t="str">
        <x:v>Static Calculation</x:v>
      </x:c>
      <x:c r="H112" s="120" t="str">
        <x:v>For category A and B ships constructed on or after 1 January 2017 all oil residue (sludge) tanks and oily bilge water holding tanks shall be separated from the outer shell by a distance of not less than 0.76 m. This provision does not apply to small tanks with a maximum individual capacity not greater than 30 m^3.</x:v>
      </x:c>
      <x:c r="I112" s="121" t="str">
        <x:v>IF ship_category IN {'A','B'} AND construction_date &gt;= '2017-01-01' AND tank_type IN {oil_residue_tank, oily_bilge_water_holding_tank} AND individual_tank_capacity_m3 &gt; 30, THEN tank_outer_shell_separation_m &gt;= 0.76.</x:v>
      </x:c>
      <x:c r="J112" s="122" t="str">
        <x:v>ship_category, construction_date, tank_type, individual_tank_capacity_m3, tank_outer_shell_separation_m</x:v>
      </x:c>
      <x:c r="K112" s="122" t="str">
        <x:v>iceClass -&gt; reg:iceClass; No direct AnchorMap term found; propose code-safe alias: tank type, capacity and separation variables</x:v>
      </x:c>
      <x:c r="L112" s="124" t="str">
        <x:v>High</x:v>
      </x:c>
      <x:c r="M112" s="122" t="str">
        <x:v>Conditional numeric constraint with exception</x:v>
      </x:c>
      <x:c r="N112" s="108" t="str">
        <x:v>Deterministic calculation from static design inputs followed by a numeric or logical comparison.</x:v>
      </x:c>
      <x:c r="O112" s="113" t="str">
        <x:v>No</x:v>
      </x:c>
      <x:c r="P112" s="113" t="str">
        <x:v>Included - source reverified and locked</x:v>
      </x:c>
      <x:c r="Q112" s="108" t="str">
        <x:v>LOCK-2026-08-10: No source, page, clause, category, or normalized-meaning correction was required. Source wording was checked against the supplied PDF; equation notation is ASCII-linearized.</x:v>
      </x:c>
      <x:c r="R112" s="108" t="str">
        <x:v>LOCK-2026-08-11-R2 | source_pdf=MSC.385(94).pdf | source_sha256=6c6a038bff68ee906dd97c41e95fb4442917c014c8e79228f15e80cc5afa5c1f | physical_pdf_page=41 | section=Part II-A Chapter 1 - Structural requirements | clause=1.2.4 | checks=independent_full_text_page_layout; numbers_units_operators_equations; normalized_rule_meaning; five_category_classification | status=LOCKED</x:v>
      </x:c>
      <x:c r="S112" s="108" t="str">
        <x:v>New IMO source; not derived from the thesis extraction.</x:v>
      </x:c>
      <x:c r="T112" s="108" t="str">
        <x:v>PASS - source/page/clause/meaning/category reverified</x:v>
      </x:c>
      <x:c r="U112" s="108" t="str">
        <x:v>LOCKED - extraction reverified</x:v>
      </x:c>
      <x:c r="V112" s="123" t="str">
        <x:v>Second-pass extraction lock covers source identity, physical PDF page span, section/clause, ASCII transcription, normalized meaning, and verification category. SHACL shapes remain a separate implementation artifact.</x:v>
      </x:c>
      <x:c r="W112" s="123" t="str">
        <x:v>https://wwwcdn.imo.org/localresources/en/KnowledgeCentre/IndexofIMOResolutions/MSCResolutions/MSC.385%2894%29.pdf</x:v>
      </x:c>
      <x:c r="X112" s="123" t="str">
        <x:v>Ship category/date and tank inventory/capacity/separation measurements</x:v>
      </x:c>
      <x:c r="Y112" s="123" t="str">
        <x:v>Apply the minimum separation to every applicable tank above the exception capacity.</x:v>
      </x:c>
    </x:row>
    <x:row r="113" ht="100" customHeight="1">
      <x:c r="A113" s="108" t="str">
        <x:v>IMO-112</x:v>
      </x:c>
      <x:c r="B113" s="108" t="str">
        <x:v>International Code for Ships Operating in Polar Waters (Polar Code)</x:v>
      </x:c>
      <x:c r="C113" s="108" t="str">
        <x:v>Resolution MSC.385(94), adopted 21 Nov 2014; consolidated with MEPC.264(68), adopted 15 May 2015</x:v>
      </x:c>
      <x:c r="D113" s="163" t="n">
        <x:v>42</x:v>
      </x:c>
      <x:c r="E113" s="108" t="str">
        <x:v>Part II-A Chapter 2 - Noxious liquid substances</x:v>
      </x:c>
      <x:c r="F113" s="108" t="str">
        <x:v>2.1.1</x:v>
      </x:c>
      <x:c r="G113" s="113" t="str">
        <x:v>Static</x:v>
      </x:c>
      <x:c r="H113" s="120" t="str">
        <x:v>In Arctic waters any discharge into the sea of noxious liquid substances (NLS), or mixtures containing such substances, shall be prohibited.</x:v>
      </x:c>
      <x:c r="I113" s="121" t="str">
        <x:v>IF operating_area = Arctic_waters, THEN NLS_or_NLS_mixture_discharge_to_sea = false.</x:v>
      </x:c>
      <x:c r="J113" s="122" t="str">
        <x:v>operating_area, NLS_or_NLS_mixture_discharge_to_sea</x:v>
      </x:c>
      <x:c r="K113" s="122" t="str">
        <x:v>No direct AnchorMap term found; propose code-safe alias: operating_area, NLS_or_NLS_mixture_discharge_to_sea</x:v>
      </x:c>
      <x:c r="L113" s="124" t="str">
        <x:v>High</x:v>
      </x:c>
      <x:c r="M113" s="122" t="str">
        <x:v>Conditional prohibition constraint</x:v>
      </x:c>
      <x:c r="N113" s="108" t="str">
        <x:v>Direct verification of a stated property, document, presence condition, enumeration, applicability rule, prohibition, or fixed limit.</x:v>
      </x:c>
      <x:c r="O113" s="113" t="str">
        <x:v>No</x:v>
      </x:c>
      <x:c r="P113" s="113" t="str">
        <x:v>Included - source reverified and locked</x:v>
      </x:c>
      <x:c r="Q113" s="108" t="str">
        <x:v>LOCK-2026-08-10: No source, page, clause, category, or normalized-meaning correction was required. Source wording was checked against the supplied PDF; equation notation is ASCII-linearized.</x:v>
      </x:c>
      <x:c r="R113" s="108" t="str">
        <x:v>LOCK-2026-08-11-R2 | source_pdf=MSC.385(94).pdf | source_sha256=6c6a038bff68ee906dd97c41e95fb4442917c014c8e79228f15e80cc5afa5c1f | physical_pdf_page=42 | section=Part II-A Chapter 2 - Noxious liquid substances | clause=2.1.1 | checks=independent_full_text_page_layout; numbers_units_operators_equations; normalized_rule_meaning; five_category_classification | status=LOCKED</x:v>
      </x:c>
      <x:c r="S113" s="108" t="str">
        <x:v>New IMO source; not derived from the thesis extraction.</x:v>
      </x:c>
      <x:c r="T113" s="108" t="str">
        <x:v>PASS - source/page/clause/meaning/category reverified</x:v>
      </x:c>
      <x:c r="U113" s="108" t="str">
        <x:v>LOCKED - extraction reverified</x:v>
      </x:c>
      <x:c r="V113" s="123" t="str">
        <x:v>Second-pass extraction lock covers source identity, physical PDF page span, section/clause, ASCII transcription, normalized meaning, and verification category. SHACL shapes remain a separate implementation artifact.</x:v>
      </x:c>
      <x:c r="W113" s="123" t="str">
        <x:v>https://wwwcdn.imo.org/localresources/en/KnowledgeCentre/IndexofIMOResolutions/MSCResolutions/MSC.385%2894%29.pdf</x:v>
      </x:c>
      <x:c r="X113" s="123" t="str">
        <x:v>Operating area and NLS discharge record</x:v>
      </x:c>
      <x:c r="Y113" s="123" t="str">
        <x:v>Reject any NLS or NLS-mixture discharge event in Arctic waters.</x:v>
      </x:c>
    </x:row>
    <x:row r="114" ht="100" customHeight="1">
      <x:c r="A114" s="108" t="str">
        <x:v>IMO-113</x:v>
      </x:c>
      <x:c r="B114" s="108" t="str">
        <x:v>International Code for Ships Operating in Polar Waters (Polar Code)</x:v>
      </x:c>
      <x:c r="C114" s="108" t="str">
        <x:v>Resolution MSC.385(94), adopted 21 Nov 2014; consolidated with MEPC.264(68), adopted 15 May 2015</x:v>
      </x:c>
      <x:c r="D114" s="163" t="n">
        <x:v>42</x:v>
      </x:c>
      <x:c r="E114" s="108" t="str">
        <x:v>Part II-A Chapter 2 - Noxious liquid substances</x:v>
      </x:c>
      <x:c r="F114" s="108" t="str">
        <x:v>2.1.2</x:v>
      </x:c>
      <x:c r="G114" s="113" t="str">
        <x:v>Static</x:v>
      </x:c>
      <x:c r="H114" s="120" t="str">
        <x:v>Operation in polar waters shall be taken into account, as appropriate, in the Cargo Record Book, the Manual and the shipboard marine pollution emergency plan for noxious liquid substances or the shipboard marine pollution emergency plan as required by MARPOL Annex II.</x:v>
      </x:c>
      <x:c r="I114" s="121" t="str">
        <x:v>IF ship_operates_in_polar_waters = true, THEN polar_operation_coverage shall be present in the applicable Cargo Record Book, Manual, and NLS or marine pollution emergency plan.</x:v>
      </x:c>
      <x:c r="J114" s="122" t="str">
        <x:v>ship_operates_in_polar_waters, Cargo_Record_Book_polar_coverage, Manual_polar_coverage, NLS_emergency_plan_polar_coverage</x:v>
      </x:c>
      <x:c r="K114" s="122" t="str">
        <x:v>No direct AnchorMap term found; propose code-safe alias: polar-operation coverage in NLS documents</x:v>
      </x:c>
      <x:c r="L114" s="124" t="str">
        <x:v>High</x:v>
      </x:c>
      <x:c r="M114" s="122" t="str">
        <x:v>Conditional document-coverage constraint</x:v>
      </x:c>
      <x:c r="N114" s="108" t="str">
        <x:v>Direct verification of a stated property, document, presence condition, enumeration, applicability rule, prohibition, or fixed limit.</x:v>
      </x:c>
      <x:c r="O114" s="113" t="str">
        <x:v>No</x:v>
      </x:c>
      <x:c r="P114" s="113" t="str">
        <x:v>Included - source reverified and locked</x:v>
      </x:c>
      <x:c r="Q114" s="108" t="str">
        <x:v>LOCK-2026-08-10: No source, page, clause, category, or normalized-meaning correction was required. Source wording was checked against the supplied PDF; equation notation is ASCII-linearized.</x:v>
      </x:c>
      <x:c r="R114" s="108" t="str">
        <x:v>LOCK-2026-08-11-R2 | source_pdf=MSC.385(94).pdf | source_sha256=6c6a038bff68ee906dd97c41e95fb4442917c014c8e79228f15e80cc5afa5c1f | physical_pdf_page=42 | section=Part II-A Chapter 2 - Noxious liquid substances | clause=2.1.2 | checks=independent_full_text_page_layout; numbers_units_operators_equations; normalized_rule_meaning; five_category_classification | status=LOCKED</x:v>
      </x:c>
      <x:c r="S114" s="108" t="str">
        <x:v>New IMO source; not derived from the thesis extraction.</x:v>
      </x:c>
      <x:c r="T114" s="108" t="str">
        <x:v>PASS - source/page/clause/meaning/category reverified</x:v>
      </x:c>
      <x:c r="U114" s="108" t="str">
        <x:v>LOCKED - extraction reverified</x:v>
      </x:c>
      <x:c r="V114" s="123" t="str">
        <x:v>Second-pass extraction lock covers source identity, physical PDF page span, section/clause, ASCII transcription, normalized meaning, and verification category. SHACL shapes remain a separate implementation artifact.</x:v>
      </x:c>
      <x:c r="W114" s="123" t="str">
        <x:v>https://wwwcdn.imo.org/localresources/en/KnowledgeCentre/IndexofIMOResolutions/MSCResolutions/MSC.385%2894%29.pdf</x:v>
      </x:c>
      <x:c r="X114" s="123" t="str">
        <x:v>Applicable MARPOL Annex II documents and coverage indicators</x:v>
      </x:c>
      <x:c r="Y114" s="123" t="str">
        <x:v>Require coverage in each applicable document.</x:v>
      </x:c>
    </x:row>
    <x:row r="115" ht="100" customHeight="1">
      <x:c r="A115" s="108" t="str">
        <x:v>IMO-114</x:v>
      </x:c>
      <x:c r="B115" s="108" t="str">
        <x:v>International Code for Ships Operating in Polar Waters (Polar Code)</x:v>
      </x:c>
      <x:c r="C115" s="108" t="str">
        <x:v>Resolution MSC.385(94), adopted 21 Nov 2014; consolidated with MEPC.264(68), adopted 15 May 2015</x:v>
      </x:c>
      <x:c r="D115" s="163" t="n">
        <x:v>42</x:v>
      </x:c>
      <x:c r="E115" s="108" t="str">
        <x:v>Part II-A Chapter 2 - Noxious liquid substances</x:v>
      </x:c>
      <x:c r="F115" s="108" t="str">
        <x:v>2.1.3</x:v>
      </x:c>
      <x:c r="G115" s="113" t="str">
        <x:v>Complex</x:v>
      </x:c>
      <x:c r="H115" s="120" t="str">
        <x:v>For category A and B ships constructed on or after 1 January 2017, the carriage of NLS identified in chapter 17, column e, as ship type 3 or identified as NLS in chapter 18 of the International Code for the Construction and Equipment of Ships Carrying Dangerous Chemicals in Bulk, in cargo tanks of type 3 ships shall be subject to the approval of the Administration. The results shall be reflected on the International Pollution Prevention Certificate for the Carriage of Noxious Liquid Substances in Bulk or Certificate of Fitness identifying the operation in polar waters.</x:v>
      </x:c>
      <x:c r="I115" s="121" t="str">
        <x:v>IF ship_category IN {'A','B'} AND construction_date &gt;= '2017-01-01' AND carried_NLS_requires_type_3_tank = true AND cargo_tank_type = 3, THEN administration_carriage_approval_status = approved AND applicable_certificate_polar_operation_entry_present = true.</x:v>
      </x:c>
      <x:c r="J115" s="122" t="str">
        <x:v>ship_category, construction_date, carried_NLS_requires_type_3_tank, cargo_tank_type, administration_carriage_approval_status, applicable_certificate_polar_operation_entry_present</x:v>
      </x:c>
      <x:c r="K115" s="122" t="str">
        <x:v>iceClass -&gt; reg:iceClass; No direct AnchorMap term found; propose code-safe alias: NLS classification, cargo-tank type and approval/certificate properties</x:v>
      </x:c>
      <x:c r="L115" s="124" t="str">
        <x:v>Medium</x:v>
      </x:c>
      <x:c r="M115" s="122" t="str">
        <x:v>Conditional approval and document-entry constraint</x:v>
      </x:c>
      <x:c r="N115" s="108" t="str">
        <x:v>Verification requires linked conditions, external approval or evidence, an assessment, or a composite workflow.</x:v>
      </x:c>
      <x:c r="O115" s="113" t="str">
        <x:v>No</x:v>
      </x:c>
      <x:c r="P115" s="113" t="str">
        <x:v>Included - source reverified and locked</x:v>
      </x:c>
      <x:c r="Q115" s="108" t="str">
        <x:v>LOCK-2026-08-10: No source, page, clause, category, or normalized-meaning correction was required. Source wording was checked against the supplied PDF; equation notation is ASCII-linearized.</x:v>
      </x:c>
      <x:c r="R115" s="108" t="str">
        <x:v>LOCK-2026-08-11-R2 | source_pdf=MSC.385(94).pdf | source_sha256=6c6a038bff68ee906dd97c41e95fb4442917c014c8e79228f15e80cc5afa5c1f | physical_pdf_page=42 | section=Part II-A Chapter 2 - Noxious liquid substances | clause=2.1.3 | checks=independent_full_text_page_layout; numbers_units_operators_equations; normalized_rule_meaning; five_category_classification | status=LOCKED</x:v>
      </x:c>
      <x:c r="S115" s="108" t="str">
        <x:v>New IMO source; not derived from the thesis extraction.</x:v>
      </x:c>
      <x:c r="T115" s="108" t="str">
        <x:v>PASS - source/page/clause/meaning/category reverified</x:v>
      </x:c>
      <x:c r="U115" s="108" t="str">
        <x:v>LOCKED - extraction reverified</x:v>
      </x:c>
      <x:c r="V115" s="123" t="str">
        <x:v>Second-pass extraction lock covers source identity, physical PDF page span, section/clause, ASCII transcription, normalized meaning, and verification category. SHACL shapes remain a separate implementation artifact.</x:v>
      </x:c>
      <x:c r="W115" s="123" t="str">
        <x:v>https://wwwcdn.imo.org/localresources/en/KnowledgeCentre/IndexofIMOResolutions/MSCResolutions/MSC.385%2894%29.pdf</x:v>
      </x:c>
      <x:c r="X115" s="123" t="str">
        <x:v>Ship/cargo/tank particulars, Administration approval, and certificate entry</x:v>
      </x:c>
      <x:c r="Y115" s="123" t="str">
        <x:v>Use linked cargo classification and approval evidence plus a required certificate entry.</x:v>
      </x:c>
    </x:row>
    <x:row r="116" ht="100" customHeight="1">
      <x:c r="A116" s="108" t="str">
        <x:v>IMO-115</x:v>
      </x:c>
      <x:c r="B116" s="108" t="str">
        <x:v>International Code for Ships Operating in Polar Waters (Polar Code)</x:v>
      </x:c>
      <x:c r="C116" s="108" t="str">
        <x:v>Resolution MSC.385(94), adopted 21 Nov 2014; consolidated with MEPC.264(68), adopted 15 May 2015</x:v>
      </x:c>
      <x:c r="D116" s="163" t="n">
        <x:v>42</x:v>
      </x:c>
      <x:c r="E116" s="108" t="str">
        <x:v>Part II-A Chapter 4 - Sewage</x:v>
      </x:c>
      <x:c r="F116" s="108" t="str">
        <x:v>4.2.1.1</x:v>
      </x:c>
      <x:c r="G116" s="113" t="str">
        <x:v>Static Calculation</x:v>
      </x:c>
      <x:c r="H116" s="120" t="str">
        <x:v>The ship is discharging comminuted and disinfected sewage in accordance with regulation 11.1.1 of MARPOL Annex IV at a distance of more than three nautical miles from any ice-shelf or fast ice and shall be as far as practicable from areas of ice concentration exceeding 1/10.</x:v>
      </x:c>
      <x:c r="I116" s="121" t="str">
        <x:v>IF sewage_discharge_type = comminuted_and_disinfected, THEN MARPOL_IV_11_1_1_compliance_status = compliant AND distance_to_nearest_ice_shelf_or_fast_ice_nm &gt; 3; record distance from areas with ice_concentration_tenths &gt; 1.</x:v>
      </x:c>
      <x:c r="J116" s="122" t="str">
        <x:v>sewage_discharge_type, MARPOL_IV_11_1_1_compliance_status, distance_to_nearest_ice_shelf_or_fast_ice_nm, nearby_ice_concentration_tenths</x:v>
      </x:c>
      <x:c r="K116" s="122" t="str">
        <x:v>No direct AnchorMap term found; propose code-safe alias: sewage discharge and distance/ice-concentration properties</x:v>
      </x:c>
      <x:c r="L116" s="124" t="str">
        <x:v>High</x:v>
      </x:c>
      <x:c r="M116" s="122" t="str">
        <x:v>Conditional numeric and cross-regulation constraint</x:v>
      </x:c>
      <x:c r="N116" s="108" t="str">
        <x:v>Deterministic calculation from static design inputs followed by a numeric or logical comparison.</x:v>
      </x:c>
      <x:c r="O116" s="113" t="str">
        <x:v>No</x:v>
      </x:c>
      <x:c r="P116" s="113" t="str">
        <x:v>Included - source reverified and locked</x:v>
      </x:c>
      <x:c r="Q116" s="108" t="str">
        <x:v>LOCK-2026-08-10: No source, page, clause, category, or normalized-meaning correction was required. Source wording was checked against the supplied PDF; equation notation is ASCII-linearized.</x:v>
      </x:c>
      <x:c r="R116" s="108" t="str">
        <x:v>LOCK-2026-08-11-R2 | source_pdf=MSC.385(94).pdf | source_sha256=6c6a038bff68ee906dd97c41e95fb4442917c014c8e79228f15e80cc5afa5c1f | physical_pdf_page=42 | section=Part II-A Chapter 4 - Sewage | clause=4.2.1.1 | checks=independent_full_text_page_layout; numbers_units_operators_equations; normalized_rule_meaning; five_category_classification | status=LOCKED</x:v>
      </x:c>
      <x:c r="S116" s="108" t="str">
        <x:v>New IMO source; not derived from the thesis extraction.</x:v>
      </x:c>
      <x:c r="T116" s="108" t="str">
        <x:v>PASS - source/page/clause/meaning/category reverified</x:v>
      </x:c>
      <x:c r="U116" s="108" t="str">
        <x:v>LOCKED - extraction reverified</x:v>
      </x:c>
      <x:c r="V116" s="123" t="str">
        <x:v>Second-pass extraction lock covers source identity, physical PDF page span, section/clause, ASCII transcription, normalized meaning, and verification category. SHACL shapes remain a separate implementation artifact.</x:v>
      </x:c>
      <x:c r="W116" s="123" t="str">
        <x:v>https://wwwcdn.imo.org/localresources/en/KnowledgeCentre/IndexofIMOResolutions/MSCResolutions/MSC.385%2894%29.pdf</x:v>
      </x:c>
      <x:c r="X116" s="123" t="str">
        <x:v>Discharge type, MARPOL compliance, position, and ice-condition data</x:v>
      </x:c>
      <x:c r="Y116" s="123" t="str">
        <x:v>Use a strict distance threshold greater than three nautical miles.</x:v>
      </x:c>
    </x:row>
    <x:row r="117" ht="100" customHeight="1">
      <x:c r="A117" s="108" t="str">
        <x:v>IMO-116</x:v>
      </x:c>
      <x:c r="B117" s="108" t="str">
        <x:v>International Code for Ships Operating in Polar Waters (Polar Code)</x:v>
      </x:c>
      <x:c r="C117" s="108" t="str">
        <x:v>Resolution MSC.385(94), adopted 21 Nov 2014; consolidated with MEPC.264(68), adopted 15 May 2015</x:v>
      </x:c>
      <x:c r="D117" s="163" t="n">
        <x:v>42</x:v>
      </x:c>
      <x:c r="E117" s="108" t="str">
        <x:v>Part II-A Chapter 4 - Sewage</x:v>
      </x:c>
      <x:c r="F117" s="108" t="str">
        <x:v>4.2.1.2</x:v>
      </x:c>
      <x:c r="G117" s="113" t="str">
        <x:v>Static Calculation</x:v>
      </x:c>
      <x:c r="H117" s="120" t="str">
        <x:v>The ship is discharging sewage that is not comminuted or disinfected in accordance with regulation 11.1.1 of MARPOL Annex IV and at a distance of more than 12 nautical miles from any ice-shelf or fast ice and shall be as far as practicable from areas of ice concentration exceeding 1/10.</x:v>
      </x:c>
      <x:c r="I117" s="121" t="str">
        <x:v>IF sewage_discharge_type = not_comminuted_or_disinfected, THEN MARPOL_IV_11_1_1_compliance_status = compliant AND distance_to_nearest_ice_shelf_or_fast_ice_nm &gt; 12; record distance from areas with ice_concentration_tenths &gt; 1.</x:v>
      </x:c>
      <x:c r="J117" s="122" t="str">
        <x:v>sewage_discharge_type, MARPOL_IV_11_1_1_compliance_status, distance_to_nearest_ice_shelf_or_fast_ice_nm, nearby_ice_concentration_tenths</x:v>
      </x:c>
      <x:c r="K117" s="122" t="str">
        <x:v>No direct AnchorMap term found; propose code-safe alias: sewage discharge and distance/ice-concentration properties</x:v>
      </x:c>
      <x:c r="L117" s="124" t="str">
        <x:v>High</x:v>
      </x:c>
      <x:c r="M117" s="122" t="str">
        <x:v>Conditional numeric and cross-regulation constraint</x:v>
      </x:c>
      <x:c r="N117" s="108" t="str">
        <x:v>Deterministic calculation from static design inputs followed by a numeric or logical comparison.</x:v>
      </x:c>
      <x:c r="O117" s="113" t="str">
        <x:v>No</x:v>
      </x:c>
      <x:c r="P117" s="113" t="str">
        <x:v>Included - source reverified and locked</x:v>
      </x:c>
      <x:c r="Q117" s="108" t="str">
        <x:v>LOCK-2026-08-10: No source, page, clause, category, or normalized-meaning correction was required. Source wording was checked against the supplied PDF; equation notation is ASCII-linearized.</x:v>
      </x:c>
      <x:c r="R117" s="108" t="str">
        <x:v>LOCK-2026-08-11-R2 | source_pdf=MSC.385(94).pdf | source_sha256=6c6a038bff68ee906dd97c41e95fb4442917c014c8e79228f15e80cc5afa5c1f | physical_pdf_page=42 | section=Part II-A Chapter 4 - Sewage | clause=4.2.1.2 | checks=independent_full_text_page_layout; numbers_units_operators_equations; normalized_rule_meaning; five_category_classification | status=LOCKED</x:v>
      </x:c>
      <x:c r="S117" s="108" t="str">
        <x:v>New IMO source; not derived from the thesis extraction.</x:v>
      </x:c>
      <x:c r="T117" s="108" t="str">
        <x:v>PASS - source/page/clause/meaning/category reverified</x:v>
      </x:c>
      <x:c r="U117" s="108" t="str">
        <x:v>LOCKED - extraction reverified</x:v>
      </x:c>
      <x:c r="V117" s="123" t="str">
        <x:v>Second-pass extraction lock covers source identity, physical PDF page span, section/clause, ASCII transcription, normalized meaning, and verification category. SHACL shapes remain a separate implementation artifact.</x:v>
      </x:c>
      <x:c r="W117" s="123" t="str">
        <x:v>https://wwwcdn.imo.org/localresources/en/KnowledgeCentre/IndexofIMOResolutions/MSCResolutions/MSC.385%2894%29.pdf</x:v>
      </x:c>
      <x:c r="X117" s="123" t="str">
        <x:v>Discharge type, MARPOL compliance, position, and ice-condition data</x:v>
      </x:c>
      <x:c r="Y117" s="123" t="str">
        <x:v>Use a strict distance threshold greater than twelve nautical miles.</x:v>
      </x:c>
    </x:row>
    <x:row r="118" ht="100" customHeight="1">
      <x:c r="A118" s="108" t="str">
        <x:v>IMO-117</x:v>
      </x:c>
      <x:c r="B118" s="108" t="str">
        <x:v>International Code for Ships Operating in Polar Waters (Polar Code)</x:v>
      </x:c>
      <x:c r="C118" s="108" t="str">
        <x:v>Resolution MSC.385(94), adopted 21 Nov 2014; consolidated with MEPC.264(68), adopted 15 May 2015</x:v>
      </x:c>
      <x:c r="D118" s="163" t="n">
        <x:v>43</x:v>
      </x:c>
      <x:c r="E118" s="108" t="str">
        <x:v>Part II-A Chapter 4 - Sewage</x:v>
      </x:c>
      <x:c r="F118" s="108" t="str">
        <x:v>4.2.1.3</x:v>
      </x:c>
      <x:c r="G118" s="113" t="str">
        <x:v>Complex</x:v>
      </x:c>
      <x:c r="H118" s="120" t="str">
        <x:v>The ship has in operation an approved sewage treatment plant certified by the Administration to meet the operational requirements in either regulation 9.1.1 or 9.2.1 of MARPOL Annex IV, and discharges sewage in accordance with regulation 11.1.2 of Annex IV and shall be as far as practicable from the nearest land, any ice-shelf, fast ice or areas of ice concentration exceeding 1/10.</x:v>
      </x:c>
      <x:c r="I118" s="121" t="str">
        <x:v>IF sewage_discharge_uses_treatment_plant = true, THEN sewage_treatment_plant_approval_status = approved, MARPOL_IV_9_1_1_or_9_2_1_certification_status = compliant, MARPOL_IV_11_1_2_discharge_status = compliant, and distances to land, ice shelf, fast ice, and ice concentration greater than 1/10 shall be recorded.</x:v>
      </x:c>
      <x:c r="J118" s="122" t="str">
        <x:v>sewage_discharge_uses_treatment_plant, sewage_treatment_plant_approval_status, MARPOL_certification_status, MARPOL_discharge_status, discharge_distance_records</x:v>
      </x:c>
      <x:c r="K118" s="122" t="str">
        <x:v>No direct AnchorMap term found; propose code-safe alias: sewage-treatment approval/compliance and distance properties</x:v>
      </x:c>
      <x:c r="L118" s="124" t="str">
        <x:v>Medium</x:v>
      </x:c>
      <x:c r="M118" s="122" t="str">
        <x:v>Composite approval and cross-regulation constraint</x:v>
      </x:c>
      <x:c r="N118" s="108" t="str">
        <x:v>Verification requires linked conditions, external approval or evidence, an assessment, or a composite workflow.</x:v>
      </x:c>
      <x:c r="O118" s="113" t="str">
        <x:v>No</x:v>
      </x:c>
      <x:c r="P118" s="113" t="str">
        <x:v>Included - source reverified and locked</x:v>
      </x:c>
      <x:c r="Q118" s="108" t="str">
        <x:v>LOCK-2026-08-10: No source, page, clause, category, or normalized-meaning correction was required. Source wording was checked against the supplied PDF; equation notation is ASCII-linearized.</x:v>
      </x:c>
      <x:c r="R118" s="108" t="str">
        <x:v>LOCK-2026-08-11-R2 | source_pdf=MSC.385(94).pdf | source_sha256=6c6a038bff68ee906dd97c41e95fb4442917c014c8e79228f15e80cc5afa5c1f | physical_pdf_page=43 | section=Part II-A Chapter 4 - Sewage | clause=4.2.1.3 | checks=independent_full_text_page_layout; numbers_units_operators_equations; normalized_rule_meaning; five_category_classification | status=LOCKED</x:v>
      </x:c>
      <x:c r="S118" s="108" t="str">
        <x:v>New IMO source; not derived from the thesis extraction.</x:v>
      </x:c>
      <x:c r="T118" s="108" t="str">
        <x:v>PASS - source/page/clause/meaning/category reverified</x:v>
      </x:c>
      <x:c r="U118" s="108" t="str">
        <x:v>LOCKED - extraction reverified</x:v>
      </x:c>
      <x:c r="V118" s="123" t="str">
        <x:v>Second-pass extraction lock covers source identity, physical PDF page span, section/clause, ASCII transcription, normalized meaning, and verification category. SHACL shapes remain a separate implementation artifact.</x:v>
      </x:c>
      <x:c r="W118" s="123" t="str">
        <x:v>https://wwwcdn.imo.org/localresources/en/KnowledgeCentre/IndexofIMOResolutions/MSCResolutions/MSC.385%2894%29.pdf</x:v>
      </x:c>
      <x:c r="X118" s="123" t="str">
        <x:v>Treatment-plant certificate, MARPOL compliance evidence, and discharge position/ice data</x:v>
      </x:c>
      <x:c r="Y118" s="123" t="str">
        <x:v>Require the approval and both referenced MARPOL compliance statuses.</x:v>
      </x:c>
    </x:row>
    <x:row r="119" ht="100" customHeight="1">
      <x:c r="A119" s="108" t="str">
        <x:v>IMO-118</x:v>
      </x:c>
      <x:c r="B119" s="108" t="str">
        <x:v>International Code for Ships Operating in Polar Waters (Polar Code)</x:v>
      </x:c>
      <x:c r="C119" s="108" t="str">
        <x:v>Resolution MSC.385(94), adopted 21 Nov 2014; consolidated with MEPC.264(68), adopted 15 May 2015</x:v>
      </x:c>
      <x:c r="D119" s="163" t="n">
        <x:v>43</x:v>
      </x:c>
      <x:c r="E119" s="108" t="str">
        <x:v>Part II-A Chapter 4 - Sewage</x:v>
      </x:c>
      <x:c r="F119" s="108" t="str">
        <x:v>4.2.2</x:v>
      </x:c>
      <x:c r="G119" s="113" t="str">
        <x:v>Static</x:v>
      </x:c>
      <x:c r="H119" s="120" t="str">
        <x:v>Discharge of sewage into the sea from category A and B ships constructed on or after 1 January 2017 and all passenger ships constructed on or after 1 January 2017 is prohibited, except when such discharges are in compliance with paragraph 4.2.1.3 of this chapter.</x:v>
      </x:c>
      <x:c r="I119" s="121" t="str">
        <x:v>IF construction_date &gt;= '2017-01-01' AND (ship_category IN {'A','B'} OR ship_type = passenger_ship), THEN sewage_discharge_to_sea = false UNLESS clause_4_2_1_3_compliance_status = compliant.</x:v>
      </x:c>
      <x:c r="J119" s="122" t="str">
        <x:v>construction_date, ship_category, ship_type, sewage_discharge_to_sea, clause_4_2_1_3_compliance_status</x:v>
      </x:c>
      <x:c r="K119" s="122" t="str">
        <x:v>iceClass -&gt; reg:iceClass; No direct AnchorMap term found; propose code-safe alias: construction date, ship type and sewage-discharge properties</x:v>
      </x:c>
      <x:c r="L119" s="124" t="str">
        <x:v>High</x:v>
      </x:c>
      <x:c r="M119" s="122" t="str">
        <x:v>Conditional prohibition with exception</x:v>
      </x:c>
      <x:c r="N119" s="108" t="str">
        <x:v>Direct verification of a stated property, document, presence condition, enumeration, applicability rule, prohibition, or fixed limit.</x:v>
      </x:c>
      <x:c r="O119" s="113" t="str">
        <x:v>No</x:v>
      </x:c>
      <x:c r="P119" s="113" t="str">
        <x:v>Included - source reverified and locked</x:v>
      </x:c>
      <x:c r="Q119" s="108" t="str">
        <x:v>LOCK-2026-08-10: No source, page, clause, category, or normalized-meaning correction was required. Source wording was checked against the supplied PDF; equation notation is ASCII-linearized.</x:v>
      </x:c>
      <x:c r="R119" s="108" t="str">
        <x:v>LOCK-2026-08-11-R2 | source_pdf=MSC.385(94).pdf | source_sha256=6c6a038bff68ee906dd97c41e95fb4442917c014c8e79228f15e80cc5afa5c1f | physical_pdf_page=43 | section=Part II-A Chapter 4 - Sewage | clause=4.2.2 | checks=independent_full_text_page_layout; numbers_units_operators_equations; normalized_rule_meaning; five_category_classification | status=LOCKED</x:v>
      </x:c>
      <x:c r="S119" s="108" t="str">
        <x:v>New IMO source; not derived from the thesis extraction.</x:v>
      </x:c>
      <x:c r="T119" s="108" t="str">
        <x:v>PASS - source/page/clause/meaning/category reverified</x:v>
      </x:c>
      <x:c r="U119" s="108" t="str">
        <x:v>LOCKED - extraction reverified</x:v>
      </x:c>
      <x:c r="V119" s="123" t="str">
        <x:v>Second-pass extraction lock covers source identity, physical PDF page span, section/clause, ASCII transcription, normalized meaning, and verification category. SHACL shapes remain a separate implementation artifact.</x:v>
      </x:c>
      <x:c r="W119" s="123" t="str">
        <x:v>https://wwwcdn.imo.org/localresources/en/KnowledgeCentre/IndexofIMOResolutions/MSCResolutions/MSC.385%2894%29.pdf</x:v>
      </x:c>
      <x:c r="X119" s="123" t="str">
        <x:v>Ship particulars, discharge record, and treatment-plant option compliance</x:v>
      </x:c>
      <x:c r="Y119" s="123" t="str">
        <x:v>Use a prohibition branch with the single permitted clause 4.2.1.3 exception.</x:v>
      </x:c>
    </x:row>
    <x:row r="120" ht="100" customHeight="1">
      <x:c r="A120" s="108" t="str">
        <x:v>IMO-119</x:v>
      </x:c>
      <x:c r="B120" s="108" t="str">
        <x:v>International Code for Ships Operating in Polar Waters (Polar Code)</x:v>
      </x:c>
      <x:c r="C120" s="108" t="str">
        <x:v>Resolution MSC.385(94), adopted 21 Nov 2014; consolidated with MEPC.264(68), adopted 15 May 2015</x:v>
      </x:c>
      <x:c r="D120" s="163" t="n">
        <x:v>43</x:v>
      </x:c>
      <x:c r="E120" s="108" t="str">
        <x:v>Part II-A Chapter 4 - Sewage</x:v>
      </x:c>
      <x:c r="F120" s="108" t="str">
        <x:v>4.2.3</x:v>
      </x:c>
      <x:c r="G120" s="113" t="str">
        <x:v>Complex</x:v>
      </x:c>
      <x:c r="H120" s="120" t="str">
        <x:v>Category A and B ships that operate in areas of ice concentrations exceeding 1/10 for extended periods of time, may only discharge sewage using an approved sewage treatment plant certified by the Administration to meet the operational requirements in regulation 9.1.1 or 9.2.1 of MARPOL Annex IV. Such discharges shall be subject to approval by the Administration.</x:v>
      </x:c>
      <x:c r="I120" s="121" t="str">
        <x:v>IF ship_category IN {'A','B'} AND ice_concentration_tenths &gt; 1 AND extended_period_operation = true AND sewage_discharge_occurs = true, THEN approved_sewage_treatment_plant_used = true, MARPOL_IV_9_1_1_or_9_2_1_certification_status = compliant, and administration_discharge_approval_status = approved.</x:v>
      </x:c>
      <x:c r="J120" s="122" t="str">
        <x:v>ship_category, ice_concentration_tenths, extended_period_operation, sewage_discharge_occurs, approved_sewage_treatment_plant_used, MARPOL_certification_status, administration_discharge_approval_status</x:v>
      </x:c>
      <x:c r="K120" s="122" t="str">
        <x:v>iceClass -&gt; reg:iceClass; No direct AnchorMap term found; propose code-safe alias: ice concentration and sewage-treatment approval properties</x:v>
      </x:c>
      <x:c r="L120" s="124" t="str">
        <x:v>Medium</x:v>
      </x:c>
      <x:c r="M120" s="122" t="str">
        <x:v>Conditional composite approval constraint</x:v>
      </x:c>
      <x:c r="N120" s="108" t="str">
        <x:v>Verification requires linked conditions, external approval or evidence, an assessment, or a composite workflow.</x:v>
      </x:c>
      <x:c r="O120" s="113" t="str">
        <x:v>No</x:v>
      </x:c>
      <x:c r="P120" s="113" t="str">
        <x:v>Included - source reverified and locked</x:v>
      </x:c>
      <x:c r="Q120" s="108" t="str">
        <x:v>LOCK-2026-08-10: No source, page, clause, category, or normalized-meaning correction was required. Source wording was checked against the supplied PDF; equation notation is ASCII-linearized.</x:v>
      </x:c>
      <x:c r="R120" s="108" t="str">
        <x:v>LOCK-2026-08-11-R2 | source_pdf=MSC.385(94).pdf | source_sha256=6c6a038bff68ee906dd97c41e95fb4442917c014c8e79228f15e80cc5afa5c1f | physical_pdf_page=43 | section=Part II-A Chapter 4 - Sewage | clause=4.2.3 | checks=independent_full_text_page_layout; numbers_units_operators_equations; normalized_rule_meaning; five_category_classification | status=LOCKED</x:v>
      </x:c>
      <x:c r="S120" s="108" t="str">
        <x:v>New IMO source; not derived from the thesis extraction.</x:v>
      </x:c>
      <x:c r="T120" s="108" t="str">
        <x:v>PASS - source/page/clause/meaning/category reverified</x:v>
      </x:c>
      <x:c r="U120" s="108" t="str">
        <x:v>LOCKED - extraction reverified</x:v>
      </x:c>
      <x:c r="V120" s="123" t="str">
        <x:v>Second-pass extraction lock covers source identity, physical PDF page span, section/clause, ASCII transcription, normalized meaning, and verification category. SHACL shapes remain a separate implementation artifact.</x:v>
      </x:c>
      <x:c r="W120" s="123" t="str">
        <x:v>https://wwwcdn.imo.org/localresources/en/KnowledgeCentre/IndexofIMOResolutions/MSCResolutions/MSC.385%2894%29.pdf</x:v>
      </x:c>
      <x:c r="X120" s="123" t="str">
        <x:v>Ship category, operating ice data, treatment-plant certificate, and discharge approval</x:v>
      </x:c>
      <x:c r="Y120" s="123" t="str">
        <x:v>Use a strict ice concentration threshold and require all three compliance conditions.</x:v>
      </x:c>
    </x:row>
    <x:row r="121" ht="100" customHeight="1">
      <x:c r="A121" s="108" t="str">
        <x:v>IMO-120</x:v>
      </x:c>
      <x:c r="B121" s="108" t="str">
        <x:v>International Code for Ships Operating in Polar Waters (Polar Code)</x:v>
      </x:c>
      <x:c r="C121" s="108" t="str">
        <x:v>Resolution MSC.385(94), adopted 21 Nov 2014; consolidated with MEPC.264(68), adopted 15 May 2015</x:v>
      </x:c>
      <x:c r="D121" s="163" t="n">
        <x:v>43</x:v>
      </x:c>
      <x:c r="E121" s="108" t="str">
        <x:v>Part II-A Chapter 5 - Garbage</x:v>
      </x:c>
      <x:c r="F121" s="108" t="str">
        <x:v>5.2.1.1</x:v>
      </x:c>
      <x:c r="G121" s="113" t="str">
        <x:v>Static Calculation</x:v>
      </x:c>
      <x:c r="H121" s="120" t="str">
        <x:v>Discharge into the sea of food wastes is only permitted when the ship is as far as practicable from areas of ice concentration exceeding 1/10, but in any case not less than 12 nautical miles from the nearest land, nearest ice-shelf, or nearest fast ice.</x:v>
      </x:c>
      <x:c r="I121" s="121" t="str">
        <x:v>IF operating_area = Arctic_waters AND food_waste_discharge_to_sea = true, THEN distance_to_nearest_land_ice_shelf_or_fast_ice_nm &gt;= 12 and the distance from areas with ice_concentration_tenths &gt; 1 shall be recorded.</x:v>
      </x:c>
      <x:c r="J121" s="122" t="str">
        <x:v>operating_area, food_waste_discharge_to_sea, distance_to_nearest_land_ice_shelf_or_fast_ice_nm, nearby_ice_concentration_tenths</x:v>
      </x:c>
      <x:c r="K121" s="122" t="str">
        <x:v>No direct AnchorMap term found; propose code-safe alias: food-waste discharge and distance/ice-concentration properties</x:v>
      </x:c>
      <x:c r="L121" s="124" t="str">
        <x:v>High</x:v>
      </x:c>
      <x:c r="M121" s="122" t="str">
        <x:v>Conditional numeric constraint</x:v>
      </x:c>
      <x:c r="N121" s="108" t="str">
        <x:v>Deterministic calculation from static design inputs followed by a numeric or logical comparison.</x:v>
      </x:c>
      <x:c r="O121" s="113" t="str">
        <x:v>No</x:v>
      </x:c>
      <x:c r="P121" s="113" t="str">
        <x:v>Included - source reverified and locked</x:v>
      </x:c>
      <x:c r="Q121" s="108" t="str">
        <x:v>LOCK-2026-08-10: No source, page, clause, category, or normalized-meaning correction was required. Source wording was checked against the supplied PDF; equation notation is ASCII-linearized.</x:v>
      </x:c>
      <x:c r="R121" s="108" t="str">
        <x:v>LOCK-2026-08-11-R2 | source_pdf=MSC.385(94).pdf | source_sha256=6c6a038bff68ee906dd97c41e95fb4442917c014c8e79228f15e80cc5afa5c1f | physical_pdf_page=43 | section=Part II-A Chapter 5 - Garbage | clause=5.2.1.1 | checks=independent_full_text_page_layout; numbers_units_operators_equations; normalized_rule_meaning; five_category_classification | status=LOCKED</x:v>
      </x:c>
      <x:c r="S121" s="108" t="str">
        <x:v>New IMO source; not derived from the thesis extraction.</x:v>
      </x:c>
      <x:c r="T121" s="108" t="str">
        <x:v>PASS - source/page/clause/meaning/category reverified</x:v>
      </x:c>
      <x:c r="U121" s="108" t="str">
        <x:v>LOCKED - extraction reverified</x:v>
      </x:c>
      <x:c r="V121" s="123" t="str">
        <x:v>Second-pass extraction lock covers source identity, physical PDF page span, section/clause, ASCII transcription, normalized meaning, and verification category. SHACL shapes remain a separate implementation artifact.</x:v>
      </x:c>
      <x:c r="W121" s="123" t="str">
        <x:v>https://wwwcdn.imo.org/localresources/en/KnowledgeCentre/IndexofIMOResolutions/MSCResolutions/MSC.385%2894%29.pdf</x:v>
      </x:c>
      <x:c r="X121" s="123" t="str">
        <x:v>Discharge record, position, nearest-feature distances, and ice data</x:v>
      </x:c>
      <x:c r="Y121" s="123" t="str">
        <x:v>Use an inclusive minimum distance of twelve nautical miles.</x:v>
      </x:c>
    </x:row>
    <x:row r="122" ht="100" customHeight="1">
      <x:c r="A122" s="108" t="str">
        <x:v>IMO-121</x:v>
      </x:c>
      <x:c r="B122" s="108" t="str">
        <x:v>International Code for Ships Operating in Polar Waters (Polar Code)</x:v>
      </x:c>
      <x:c r="C122" s="108" t="str">
        <x:v>Resolution MSC.385(94), adopted 21 Nov 2014; consolidated with MEPC.264(68), adopted 15 May 2015</x:v>
      </x:c>
      <x:c r="D122" s="163" t="n">
        <x:v>43</x:v>
      </x:c>
      <x:c r="E122" s="108" t="str">
        <x:v>Part II-A Chapter 5 - Garbage</x:v>
      </x:c>
      <x:c r="F122" s="108" t="str">
        <x:v>5.2.1.2</x:v>
      </x:c>
      <x:c r="G122" s="113" t="str">
        <x:v>Static</x:v>
      </x:c>
      <x:c r="H122" s="120" t="str">
        <x:v>Food wastes shall be comminuted or ground and shall be capable of passing through a screen with openings no greater than 25 mm. Food wastes shall not be contaminated by any other garbage type.</x:v>
      </x:c>
      <x:c r="I122" s="121" t="str">
        <x:v>IF food_waste_discharge_to_sea = true, THEN food_waste_comminuted_or_ground = true, required_screen_opening_mm &lt;= 25, and contaminated_by_other_garbage = false.</x:v>
      </x:c>
      <x:c r="J122" s="122" t="str">
        <x:v>food_waste_discharge_to_sea, food_waste_comminuted_or_ground, required_screen_opening_mm, contaminated_by_other_garbage</x:v>
      </x:c>
      <x:c r="K122" s="122" t="str">
        <x:v>No direct AnchorMap term found; propose code-safe alias: food-waste processing and screen-opening properties</x:v>
      </x:c>
      <x:c r="L122" s="124" t="str">
        <x:v>High</x:v>
      </x:c>
      <x:c r="M122" s="122" t="str">
        <x:v>Conditional Boolean and numeric constraint</x:v>
      </x:c>
      <x:c r="N122" s="108" t="str">
        <x:v>Direct verification of a stated property, document, presence condition, enumeration, applicability rule, prohibition, or fixed limit.</x:v>
      </x:c>
      <x:c r="O122" s="113" t="str">
        <x:v>No</x:v>
      </x:c>
      <x:c r="P122" s="113" t="str">
        <x:v>Included - source reverified and locked</x:v>
      </x:c>
      <x:c r="Q122" s="108" t="str">
        <x:v>LOCK-2026-08-10: No source, page, clause, category, or normalized-meaning correction was required. Source wording was checked against the supplied PDF; equation notation is ASCII-linearized.</x:v>
      </x:c>
      <x:c r="R122" s="108" t="str">
        <x:v>LOCK-2026-08-11-R2 | source_pdf=MSC.385(94).pdf | source_sha256=6c6a038bff68ee906dd97c41e95fb4442917c014c8e79228f15e80cc5afa5c1f | physical_pdf_page=43 | section=Part II-A Chapter 5 - Garbage | clause=5.2.1.2 | checks=independent_full_text_page_layout; numbers_units_operators_equations; normalized_rule_meaning; five_category_classification | status=LOCKED</x:v>
      </x:c>
      <x:c r="S122" s="108" t="str">
        <x:v>New IMO source; not derived from the thesis extraction.</x:v>
      </x:c>
      <x:c r="T122" s="108" t="str">
        <x:v>PASS - source/page/clause/meaning/category reverified</x:v>
      </x:c>
      <x:c r="U122" s="108" t="str">
        <x:v>LOCKED - extraction reverified</x:v>
      </x:c>
      <x:c r="V122" s="123" t="str">
        <x:v>Second-pass extraction lock covers source identity, physical PDF page span, section/clause, ASCII transcription, normalized meaning, and verification category. SHACL shapes remain a separate implementation artifact.</x:v>
      </x:c>
      <x:c r="W122" s="123" t="str">
        <x:v>https://wwwcdn.imo.org/localresources/en/KnowledgeCentre/IndexofIMOResolutions/MSCResolutions/MSC.385%2894%29.pdf</x:v>
      </x:c>
      <x:c r="X122" s="123" t="str">
        <x:v>Food-waste processing record, screen specification, and contamination status</x:v>
      </x:c>
      <x:c r="Y122" s="123" t="str">
        <x:v>Apply the maximum screen-opening value and prohibit contamination.</x:v>
      </x:c>
    </x:row>
    <x:row r="123" ht="100" customHeight="1">
      <x:c r="A123" s="108" t="str">
        <x:v>IMO-122</x:v>
      </x:c>
      <x:c r="B123" s="108" t="str">
        <x:v>International Code for Ships Operating in Polar Waters (Polar Code)</x:v>
      </x:c>
      <x:c r="C123" s="108" t="str">
        <x:v>Resolution MSC.385(94), adopted 21 Nov 2014; consolidated with MEPC.264(68), adopted 15 May 2015</x:v>
      </x:c>
      <x:c r="D123" s="163" t="n">
        <x:v>43</x:v>
      </x:c>
      <x:c r="E123" s="108" t="str">
        <x:v>Part II-A Chapter 5 - Garbage</x:v>
      </x:c>
      <x:c r="F123" s="108" t="str">
        <x:v>5.2.1.3-.4</x:v>
      </x:c>
      <x:c r="G123" s="113" t="str">
        <x:v>Static</x:v>
      </x:c>
      <x:c r="H123" s="120" t="str">
        <x:v>Food wastes shall not be discharged onto the ice; discharge of animal carcasses is prohibited.</x:v>
      </x:c>
      <x:c r="I123" s="121" t="str">
        <x:v>food_waste_discharge_onto_ice = false AND animal_carcass_discharge = false.</x:v>
      </x:c>
      <x:c r="J123" s="122" t="str">
        <x:v>food_waste_discharge_onto_ice, animal_carcass_discharge</x:v>
      </x:c>
      <x:c r="K123" s="122" t="str">
        <x:v>No direct AnchorMap term found; propose code-safe alias: food-waste and animal-carcass discharge properties</x:v>
      </x:c>
      <x:c r="L123" s="124" t="str">
        <x:v>High</x:v>
      </x:c>
      <x:c r="M123" s="122" t="str">
        <x:v>Prohibition constraint</x:v>
      </x:c>
      <x:c r="N123" s="108" t="str">
        <x:v>Direct verification of a stated property, document, presence condition, enumeration, applicability rule, prohibition, or fixed limit.</x:v>
      </x:c>
      <x:c r="O123" s="113" t="str">
        <x:v>No</x:v>
      </x:c>
      <x:c r="P123" s="113" t="str">
        <x:v>Included - source reverified and locked</x:v>
      </x:c>
      <x:c r="Q123" s="108" t="str">
        <x:v>LOCK-2026-08-10: No source, page, clause, category, or normalized-meaning correction was required. Source wording was checked against the supplied PDF; equation notation is ASCII-linearized.</x:v>
      </x:c>
      <x:c r="R123" s="108" t="str">
        <x:v>LOCK-2026-08-11-R2 | source_pdf=MSC.385(94).pdf | source_sha256=6c6a038bff68ee906dd97c41e95fb4442917c014c8e79228f15e80cc5afa5c1f | physical_pdf_page=43 | section=Part II-A Chapter 5 - Garbage | clause=5.2.1.3-.4 | checks=independent_full_text_page_layout; numbers_units_operators_equations; normalized_rule_meaning; five_category_classification | status=LOCKED</x:v>
      </x:c>
      <x:c r="S123" s="108" t="str">
        <x:v>New IMO source; not derived from the thesis extraction.</x:v>
      </x:c>
      <x:c r="T123" s="108" t="str">
        <x:v>PASS - source/page/clause/meaning/category reverified</x:v>
      </x:c>
      <x:c r="U123" s="108" t="str">
        <x:v>LOCKED - extraction reverified</x:v>
      </x:c>
      <x:c r="V123" s="123" t="str">
        <x:v>Second-pass extraction lock covers source identity, physical PDF page span, section/clause, ASCII transcription, normalized meaning, and verification category. SHACL shapes remain a separate implementation artifact.</x:v>
      </x:c>
      <x:c r="W123" s="123" t="str">
        <x:v>https://wwwcdn.imo.org/localresources/en/KnowledgeCentre/IndexofIMOResolutions/MSCResolutions/MSC.385%2894%29.pdf</x:v>
      </x:c>
      <x:c r="X123" s="123" t="str">
        <x:v>Garbage discharge records</x:v>
      </x:c>
      <x:c r="Y123" s="123" t="str">
        <x:v>Reject both prohibited discharge event types.</x:v>
      </x:c>
    </x:row>
    <x:row r="124" ht="100" customHeight="1">
      <x:c r="A124" s="108" t="str">
        <x:v>IMO-123</x:v>
      </x:c>
      <x:c r="B124" s="108" t="str">
        <x:v>International Code for Ships Operating in Polar Waters (Polar Code)</x:v>
      </x:c>
      <x:c r="C124" s="108" t="str">
        <x:v>Resolution MSC.385(94), adopted 21 Nov 2014; consolidated with MEPC.264(68), adopted 15 May 2015</x:v>
      </x:c>
      <x:c r="D124" s="163" t="str">
        <x:v>43-44</x:v>
      </x:c>
      <x:c r="E124" s="108" t="str">
        <x:v>Part II-A Chapter 5 - Garbage</x:v>
      </x:c>
      <x:c r="F124" s="108" t="str">
        <x:v>5.2.1.5</x:v>
      </x:c>
      <x:c r="G124" s="113" t="str">
        <x:v>Complex</x:v>
      </x:c>
      <x:c r="H124" s="120" t="str">
        <x:v>Discharge of cargo residues that cannot be recovered using commonly available methods for unloading shall only be permitted while the ship is en route and where all of the following conditions are satisfied: cargo residues, cleaning agents or additives, contained in hold washing water do not include any substances classified as harmful to the marine environment; both the port of departure and the next port of destination are within Arctic waters and the ship will not transit outside Arctic waters between those ports; no adequate reception facilities are available at those ports; and discharge of cargo hold washing water containing residues shall be made as far as practicable from areas of ice concentration exceeding 1/10, but in any case not less than 12 nautical miles from the nearest land, nearest ice shelf, or nearest fast ice.</x:v>
      </x:c>
      <x:c r="I124" s="121" t="str">
        <x:v>Cargo-residue discharge is permitted only if residue_not_recoverable_by_common_methods = true, ship_en_route = true, harmful_substance_present = false, departure_and_destination_within_Arctic = true, route_remains_within_Arctic = true, adequate_reception_facilities_available = false, and distance_to_nearest_land_ice_shelf_or_fast_ice_nm &gt;= 12; record distance from ice concentration greater than 1/10.</x:v>
      </x:c>
      <x:c r="J124" s="122" t="str">
        <x:v>residue_not_recoverable_by_common_methods, ship_en_route, harmful_substance_present, departure_and_destination_within_Arctic, route_remains_within_Arctic, adequate_reception_facilities_available, distance_to_nearest_land_ice_shelf_or_fast_ice_nm, nearby_ice_concentration_tenths</x:v>
      </x:c>
      <x:c r="K124" s="122" t="str">
        <x:v>No direct AnchorMap term found; propose code-safe alias: cargo-residue discharge-condition properties</x:v>
      </x:c>
      <x:c r="L124" s="124" t="str">
        <x:v>Medium</x:v>
      </x:c>
      <x:c r="M124" s="122" t="str">
        <x:v>Composite conjunctive permission constraint</x:v>
      </x:c>
      <x:c r="N124" s="108" t="str">
        <x:v>Verification requires linked conditions, external approval or evidence, an assessment, or a composite workflow.</x:v>
      </x:c>
      <x:c r="O124" s="113" t="str">
        <x:v>No</x:v>
      </x:c>
      <x:c r="P124" s="113" t="str">
        <x:v>Included - source reverified and locked</x:v>
      </x:c>
      <x:c r="Q124" s="108" t="str">
        <x:v>LOCK-2026-08-10: Restored the two-page span for the four cargo-residue conditions. Final source lock check completed against the supplied PDF; equation notation is ASCII-linearized.</x:v>
      </x:c>
      <x:c r="R124" s="108" t="str">
        <x:v>LOCK-2026-08-11-R2 | source_pdf=MSC.385(94).pdf | source_sha256=6c6a038bff68ee906dd97c41e95fb4442917c014c8e79228f15e80cc5afa5c1f | physical_pdf_page=43-44 | section=Part II-A Chapter 5 - Garbage | clause=5.2.1.5 | checks=independent_full_text_page_layout; numbers_units_operators_equations; normalized_rule_meaning; five_category_classification | status=LOCKED</x:v>
      </x:c>
      <x:c r="S124" s="108" t="str">
        <x:v>New IMO source; not derived from the thesis extraction.</x:v>
      </x:c>
      <x:c r="T124" s="108" t="str">
        <x:v>PASS - source/page/clause/meaning/category reverified</x:v>
      </x:c>
      <x:c r="U124" s="108" t="str">
        <x:v>LOCKED - extraction reverified</x:v>
      </x:c>
      <x:c r="V124" s="123" t="str">
        <x:v>Second-pass extraction lock covers source identity, physical PDF page span, section/clause, ASCII transcription, normalized meaning, and verification category. SHACL shapes remain a separate implementation artifact.</x:v>
      </x:c>
      <x:c r="W124" s="123" t="str">
        <x:v>https://wwwcdn.imo.org/localresources/en/KnowledgeCentre/IndexofIMOResolutions/MSCResolutions/MSC.385%2894%29.pdf</x:v>
      </x:c>
      <x:c r="X124" s="123" t="str">
        <x:v>Cargo/cleaning-agent classification, voyage route, reception-facility status, and discharge position/ice data</x:v>
      </x:c>
      <x:c r="Y124" s="123" t="str">
        <x:v>All listed conditions must be true for a discharge event to conform.</x:v>
      </x:c>
    </x:row>
    <x:row r="125" ht="100" customHeight="1">
      <x:c r="A125" s="108" t="str">
        <x:v>IMO-124</x:v>
      </x:c>
      <x:c r="B125" s="108" t="str">
        <x:v>International Code for Ships Operating in Polar Waters (Polar Code)</x:v>
      </x:c>
      <x:c r="C125" s="108" t="str">
        <x:v>Resolution MSC.385(94), adopted 21 Nov 2014; consolidated with MEPC.264(68), adopted 15 May 2015</x:v>
      </x:c>
      <x:c r="D125" s="163" t="n">
        <x:v>44</x:v>
      </x:c>
      <x:c r="E125" s="108" t="str">
        <x:v>Part II-A Chapter 5 - Garbage</x:v>
      </x:c>
      <x:c r="F125" s="108" t="str">
        <x:v>5.2.2.1-.2</x:v>
      </x:c>
      <x:c r="G125" s="113" t="str">
        <x:v>Static Calculation</x:v>
      </x:c>
      <x:c r="H125" s="120" t="str">
        <x:v>In the Antarctic area, discharges under regulation 6.1 of MARPOL Annex V shall be as far as practicable from areas of ice concentration exceeding 1/10, but in any case not less than 12 nautical miles from the nearest fast ice; and food waste shall not be discharged onto ice.</x:v>
      </x:c>
      <x:c r="I125" s="121" t="str">
        <x:v>IF operating_area = Antarctic_area AND MARPOL_V_6_1_discharge = true, THEN distance_to_nearest_fast_ice_nm &gt;= 12 and the distance from areas with ice_concentration_tenths &gt; 1 shall be recorded; food_waste_discharge_onto_ice = false.</x:v>
      </x:c>
      <x:c r="J125" s="122" t="str">
        <x:v>operating_area, MARPOL_V_6_1_discharge, distance_to_nearest_fast_ice_nm, nearby_ice_concentration_tenths, food_waste_discharge_onto_ice</x:v>
      </x:c>
      <x:c r="K125" s="122" t="str">
        <x:v>No direct AnchorMap term found; propose code-safe alias: Antarctic discharge-distance and food-waste properties</x:v>
      </x:c>
      <x:c r="L125" s="124" t="str">
        <x:v>High</x:v>
      </x:c>
      <x:c r="M125" s="122" t="str">
        <x:v>Conditional numeric and prohibition constraint</x:v>
      </x:c>
      <x:c r="N125" s="108" t="str">
        <x:v>Deterministic calculation from static design inputs followed by a numeric or logical comparison.</x:v>
      </x:c>
      <x:c r="O125" s="113" t="str">
        <x:v>No</x:v>
      </x:c>
      <x:c r="P125" s="113" t="str">
        <x:v>Included - source reverified and locked</x:v>
      </x:c>
      <x:c r="Q125" s="108" t="str">
        <x:v>LOCK-2026-08-10: No source, page, clause, category, or normalized-meaning correction was required. Source wording was checked against the supplied PDF; equation notation is ASCII-linearized.</x:v>
      </x:c>
      <x:c r="R125" s="108" t="str">
        <x:v>LOCK-2026-08-11-R2 | source_pdf=MSC.385(94).pdf | source_sha256=6c6a038bff68ee906dd97c41e95fb4442917c014c8e79228f15e80cc5afa5c1f | physical_pdf_page=44 | section=Part II-A Chapter 5 - Garbage | clause=5.2.2.1-.2 | checks=independent_full_text_page_layout; numbers_units_operators_equations; normalized_rule_meaning; five_category_classification | status=LOCKED</x:v>
      </x:c>
      <x:c r="S125" s="108" t="str">
        <x:v>New IMO source; not derived from the thesis extraction.</x:v>
      </x:c>
      <x:c r="T125" s="108" t="str">
        <x:v>PASS - source/page/clause/meaning/category reverified</x:v>
      </x:c>
      <x:c r="U125" s="108" t="str">
        <x:v>LOCKED - extraction reverified</x:v>
      </x:c>
      <x:c r="V125" s="123" t="str">
        <x:v>Second-pass extraction lock covers source identity, physical PDF page span, section/clause, ASCII transcription, normalized meaning, and verification category. SHACL shapes remain a separate implementation artifact.</x:v>
      </x:c>
      <x:c r="W125" s="123" t="str">
        <x:v>https://wwwcdn.imo.org/localresources/en/KnowledgeCentre/IndexofIMOResolutions/MSCResolutions/MSC.385%2894%29.pdf</x:v>
      </x:c>
      <x:c r="X125" s="123" t="str">
        <x:v>Operating area, discharge record, position/ice data, and food-waste event type</x:v>
      </x:c>
      <x:c r="Y125" s="123" t="str">
        <x:v>Use an inclusive twelve-nautical-mile minimum and prohibit food waste onto ice.</x:v>
      </x:c>
    </x:row>
    <x:row r="126" ht="100" customHeight="1">
      <x:c r="A126" s="108" t="str">
        <x:v>IMO-125</x:v>
      </x:c>
      <x:c r="B126" s="108" t="str">
        <x:v>International Code for Ships Operating in Polar Waters (Polar Code)</x:v>
      </x:c>
      <x:c r="C126" s="108" t="str">
        <x:v>Resolution MSC.385(94), adopted 21 Nov 2014; consolidated with MEPC.264(68), adopted 15 May 2015</x:v>
      </x:c>
      <x:c r="D126" s="163" t="n">
        <x:v>44</x:v>
      </x:c>
      <x:c r="E126" s="108" t="str">
        <x:v>Part II-A Chapter 5 - Garbage</x:v>
      </x:c>
      <x:c r="F126" s="108" t="str">
        <x:v>5.2.3</x:v>
      </x:c>
      <x:c r="G126" s="113" t="str">
        <x:v>Static</x:v>
      </x:c>
      <x:c r="H126" s="120" t="str">
        <x:v>Operation in polar waters shall be taken into account, as appropriate, in the Garbage Record Book, Garbage Management Plan and the placards as required by MARPOL Annex V.</x:v>
      </x:c>
      <x:c r="I126" s="121" t="str">
        <x:v>IF ship_operates_in_polar_waters = true, THEN polar_operation_coverage shall be present in the applicable Garbage Record Book, Garbage Management Plan, and garbage placards.</x:v>
      </x:c>
      <x:c r="J126" s="122" t="str">
        <x:v>ship_operates_in_polar_waters, Garbage_Record_Book_polar_coverage, Garbage_Management_Plan_polar_coverage, garbage_placard_polar_coverage</x:v>
      </x:c>
      <x:c r="K126" s="122" t="str">
        <x:v>No direct AnchorMap term found; propose code-safe alias: polar-operation coverage in garbage documents</x:v>
      </x:c>
      <x:c r="L126" s="124" t="str">
        <x:v>High</x:v>
      </x:c>
      <x:c r="M126" s="122" t="str">
        <x:v>Conditional document-coverage constraint</x:v>
      </x:c>
      <x:c r="N126" s="108" t="str">
        <x:v>Direct verification of a stated property, document, presence condition, enumeration, applicability rule, prohibition, or fixed limit.</x:v>
      </x:c>
      <x:c r="O126" s="113" t="str">
        <x:v>No</x:v>
      </x:c>
      <x:c r="P126" s="113" t="str">
        <x:v>Included - source reverified and locked</x:v>
      </x:c>
      <x:c r="Q126" s="108" t="str">
        <x:v>LOCK-2026-08-10: No source, page, clause, category, or normalized-meaning correction was required. Source wording was checked against the supplied PDF; equation notation is ASCII-linearized.</x:v>
      </x:c>
      <x:c r="R126" s="108" t="str">
        <x:v>LOCK-2026-08-11-R2 | source_pdf=MSC.385(94).pdf | source_sha256=6c6a038bff68ee906dd97c41e95fb4442917c014c8e79228f15e80cc5afa5c1f | physical_pdf_page=44 | section=Part II-A Chapter 5 - Garbage | clause=5.2.3 | checks=independent_full_text_page_layout; numbers_units_operators_equations; normalized_rule_meaning; five_category_classification | status=LOCKED</x:v>
      </x:c>
      <x:c r="S126" s="108" t="str">
        <x:v>New IMO source; not derived from the thesis extraction.</x:v>
      </x:c>
      <x:c r="T126" s="108" t="str">
        <x:v>PASS - source/page/clause/meaning/category reverified</x:v>
      </x:c>
      <x:c r="U126" s="108" t="str">
        <x:v>LOCKED - extraction reverified</x:v>
      </x:c>
      <x:c r="V126" s="123" t="str">
        <x:v>Second-pass extraction lock covers source identity, physical PDF page span, section/clause, ASCII transcription, normalized meaning, and verification category. SHACL shapes remain a separate implementation artifact.</x:v>
      </x:c>
      <x:c r="W126" s="123" t="str">
        <x:v>https://wwwcdn.imo.org/localresources/en/KnowledgeCentre/IndexofIMOResolutions/MSCResolutions/MSC.385%2894%29.pdf</x:v>
      </x:c>
      <x:c r="X126" s="123" t="str">
        <x:v>Applicable MARPOL Annex V documents and placards</x:v>
      </x:c>
      <x:c r="Y126" s="123" t="str">
        <x:v>Require polar-operation coverage in each applicable artifact.</x:v>
      </x:c>
    </x:row>
  </x:sheetData>
  <x:conditionalFormatting sqref="G2:G126">
    <x:cfRule type="containsText" dxfId="10" priority="1" operator="containsText" text="Static"/>
    <x:cfRule type="containsText" dxfId="11" priority="2" operator="containsText" text="Static Calculation"/>
    <x:cfRule type="containsText" dxfId="12" priority="3" operator="containsText" text="Physical Test"/>
    <x:cfRule type="containsText" dxfId="13" priority="4" operator="containsText" text="Dynamic"/>
    <x:cfRule type="containsText" dxfId="14" priority="5" operator="containsText" text="Complex"/>
  </x:conditionalFormatting>
  <x:dataValidations count="5">
    <x:dataValidation type="list" sqref="G2:G126">
      <x:formula1>"Static,Static Calculation,Dynamic,Complex,Physical Test"</x:formula1>
    </x:dataValidation>
    <x:dataValidation type="list" sqref="L2:L126">
      <x:formula1>"High,Medium"</x:formula1>
    </x:dataValidation>
    <x:dataValidation type="list" sqref="O2:O126">
      <x:formula1>"No,Yes"</x:formula1>
    </x:dataValidation>
    <x:dataValidation type="list" sqref="P2:P126">
      <x:formula1>"Included - source locked"</x:formula1>
    </x:dataValidation>
    <x:dataValidation type="list" sqref="U2:U126">
      <x:formula1>"LOCKED - extraction verified,Needs revision"</x:formula1>
    </x:dataValidation>
  </x:dataValidations>
  <x:pageMargins left="0.7" right="0.7" top="0.75" bottom="0.75" header="0.3" footer="0.3"/>
  <x:tableParts count="1">
    <x:tablePart xmlns:r="http://schemas.openxmlformats.org/officeDocument/2006/relationships" r:id="R5e6a0168c65a449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30" hidden="0" customWidth="1"/>
    <x:col min="3" max="3" width="24" hidden="0" customWidth="1"/>
    <x:col min="4" max="4" width="10" hidden="0" customWidth="1"/>
    <x:col min="5" max="5" width="30" hidden="0" customWidth="1"/>
    <x:col min="6" max="6" width="22" hidden="0" customWidth="1"/>
    <x:col min="7" max="7" width="20" hidden="0" customWidth="1"/>
    <x:col min="8" max="8" width="62" hidden="0" customWidth="1"/>
    <x:col min="9" max="9" width="58" hidden="0" customWidth="1"/>
    <x:col min="10" max="10" width="38" hidden="0" customWidth="1"/>
    <x:col min="11" max="11" width="40" hidden="0" customWidth="1"/>
    <x:col min="12" max="12" width="15" hidden="0" customWidth="1"/>
    <x:col min="13" max="13" width="33" hidden="0" customWidth="1"/>
    <x:col min="14" max="14" width="40" hidden="0" customWidth="1"/>
    <x:col min="15" max="15" width="14" hidden="0" customWidth="1"/>
    <x:col min="16" max="16" width="25" hidden="0" customWidth="1"/>
    <x:col min="17" max="17" width="40" hidden="0" customWidth="1"/>
    <x:col min="18" max="18" width="40" hidden="0" customWidth="1"/>
    <x:col min="19" max="19" width="35" hidden="0" customWidth="1"/>
    <x:col min="20" max="20" width="34" hidden="0" customWidth="1"/>
    <x:col min="21" max="21" width="31" hidden="0" customWidth="1"/>
    <x:col min="22" max="22" width="34" hidden="0" customWidth="1"/>
    <x:col min="23" max="23" width="40" hidden="0" customWidth="1"/>
    <x:col min="24" max="24" width="38" hidden="0" customWidth="1"/>
    <x:col min="25" max="25" width="39" hidden="0" customWidth="1"/>
  </x:cols>
  <x:sheetData>
    <x:row r="1" ht="46" customHeight="1">
      <x:c r="A1" s="119" t="str">
        <x:v>Record_ID</x:v>
      </x:c>
      <x:c r="B1" s="119" t="str">
        <x:v>Source</x:v>
      </x:c>
      <x:c r="C1" s="119" t="str">
        <x:v>Edition</x:v>
      </x:c>
      <x:c r="D1" s="119" t="str">
        <x:v>PDF_Page</x:v>
      </x:c>
      <x:c r="E1" s="119" t="str">
        <x:v>Section</x:v>
      </x:c>
      <x:c r="F1" s="119" t="str">
        <x:v>Regulation_Clause</x:v>
      </x:c>
      <x:c r="G1" s="119" t="str">
        <x:v>Verification_Category</x:v>
      </x:c>
      <x:c r="H1" s="119" t="str">
        <x:v>Verified_Source_Text_ASCII</x:v>
      </x:c>
      <x:c r="I1" s="119" t="str">
        <x:v>AI_Ready_Requirement</x:v>
      </x:c>
      <x:c r="J1" s="119" t="str">
        <x:v>Canonical_Variables</x:v>
      </x:c>
      <x:c r="K1" s="119" t="str">
        <x:v>AnchorMap_Mapping</x:v>
      </x:c>
      <x:c r="L1" s="119" t="str">
        <x:v>SHACL_Codability</x:v>
      </x:c>
      <x:c r="M1" s="119" t="str">
        <x:v>SHACL_Encoding_Pattern</x:v>
      </x:c>
      <x:c r="N1" s="119" t="str">
        <x:v>Classification_Rationale</x:v>
      </x:c>
      <x:c r="O1" s="119" t="str">
        <x:v>Figure_Dependent</x:v>
      </x:c>
      <x:c r="P1" s="119" t="str">
        <x:v>Inclusion_Status</x:v>
      </x:c>
      <x:c r="Q1" s="119" t="str">
        <x:v>Correction_Notes</x:v>
      </x:c>
      <x:c r="R1" s="119" t="str">
        <x:v>Traceability_Notes</x:v>
      </x:c>
      <x:c r="S1" s="119" t="str">
        <x:v>Thesis_Cross_Check</x:v>
      </x:c>
      <x:c r="T1" s="119" t="str">
        <x:v>QA_Status</x:v>
      </x:c>
      <x:c r="U1" s="119" t="str">
        <x:v>Review_Status</x:v>
      </x:c>
      <x:c r="V1" s="119" t="str">
        <x:v>Reviewer_Notes</x:v>
      </x:c>
      <x:c r="W1" s="119" t="str">
        <x:v>Source_URL</x:v>
      </x:c>
      <x:c r="X1" s="119" t="str">
        <x:v>Required_Inputs_or_Artifacts</x:v>
      </x:c>
      <x:c r="Y1" s="119" t="str">
        <x:v>SHACL_Encoding_Notes</x:v>
      </x:c>
    </x:row>
    <x:row r="2" ht="100" customHeight="1">
      <x:c r="A2" s="108" t="str">
        <x:v>IMO26-001</x:v>
      </x:c>
      <x:c r="B2" s="108" t="str">
        <x:v>Polar Code January 2026 Supplement - Resolution MSC.538(107)</x:v>
      </x:c>
      <x:c r="C2" s="108" t="str">
        <x:v>January 2026 Supplement; effective 1 Jan 2026</x:v>
      </x:c>
      <x:c r="D2" s="163" t="n">
        <x:v>1</x:v>
      </x:c>
      <x:c r="E2" s="108" t="str">
        <x:v>Resolution MSC.538(107) - Chapter 9 scope</x:v>
      </x:c>
      <x:c r="F2" s="108" t="str">
        <x:v>Amendment 2</x:v>
      </x:c>
      <x:c r="G2" s="113" t="str">
        <x:v>Static</x:v>
      </x:c>
      <x:c r="H2" s="120" t="str">
        <x:v>This chapter applies to ships certified in accordance with SOLAS chapter I.</x:v>
      </x:c>
      <x:c r="I2" s="121" t="str">
        <x:v>Polar Code chapter 9 applies only when SOLAS_chapter_I_certified = true.</x:v>
      </x:c>
      <x:c r="J2" s="122" t="str">
        <x:v>SOLAS_chapter_I_certified, chapter_9_applicable</x:v>
      </x:c>
      <x:c r="K2" s="122" t="str">
        <x:v>No direct AnchorMap term found; propose code-safe alias: SOLAS_chapter_I_certified, chapter_9_applicable</x:v>
      </x:c>
      <x:c r="L2" s="124" t="str">
        <x:v>High</x:v>
      </x:c>
      <x:c r="M2" s="122" t="str">
        <x:v>Applicability constraint</x:v>
      </x:c>
      <x:c r="N2" s="108" t="str">
        <x:v>Direct verification of a stated property, document, presence condition, enumeration, applicability rule, prohibition, or fixed limit.</x:v>
      </x:c>
      <x:c r="O2" s="113" t="str">
        <x:v>No</x:v>
      </x:c>
      <x:c r="P2" s="113" t="str">
        <x:v>Included - source reverified and locked</x:v>
      </x:c>
      <x:c r="Q2" s="108" t="str">
        <x:v>LOCK-2026-08-10: No source, page, clause, category, or normalized-meaning correction was required. Source wording was checked against the supplied PDF; equation notation is ASCII-linearized.</x:v>
      </x:c>
      <x:c r="R2" s="108" t="str">
        <x:v>LOCK-2026-08-11-R2 | source_pdf=2Q191E_Supplement_January2026_EBK.pdf | source_sha256=9ff7f3800b9dee0b1ec785fce8543a84b4ef250ad57eb9338b5d32904f9cf8fc | physical_pdf_page=1 | section=Resolution MSC.538(107) - Chapter 9 scope | clause=Amendment 2 | checks=independent_full_text_page_layout; numbers_units_operators_equations; normalized_rule_meaning; five_category_classification | status=LOCKED</x:v>
      </x:c>
      <x:c r="S2" s="108" t="str">
        <x:v>New IMO source; not derived from the thesis extraction.</x:v>
      </x:c>
      <x:c r="T2" s="108" t="str">
        <x:v>PASS - source/page/clause/meaning/category reverified</x:v>
      </x:c>
      <x:c r="U2" s="108" t="str">
        <x:v>LOCKED - extraction reverified</x:v>
      </x:c>
      <x:c r="V2" s="123" t="str">
        <x:v>Second-pass extraction lock covers source identity, physical PDF page span, section/clause, ASCII transcription, normalized meaning, and verification category. SHACL shapes remain a separate implementation artifact.</x:v>
      </x:c>
      <x:c r="W2" s="123" t="str">
        <x:v>https://wwwcdn.imo.org/localresources/en/publications/Documents/Supplements/English/2Q191E_Supplement_January2026_EBK.pdf</x:v>
      </x:c>
      <x:c r="X2" s="123" t="str">
        <x:v>Ship certification status</x:v>
      </x:c>
      <x:c r="Y2" s="123" t="str">
        <x:v>Use a direct Boolean implication for chapter applicability.</x:v>
      </x:c>
    </x:row>
    <x:row r="3" ht="100" customHeight="1">
      <x:c r="A3" s="108" t="str">
        <x:v>IMO26-002</x:v>
      </x:c>
      <x:c r="B3" s="108" t="str">
        <x:v>Polar Code January 2026 Supplement - Resolution MSC.538(107)</x:v>
      </x:c>
      <x:c r="C3" s="108" t="str">
        <x:v>January 2026 Supplement; effective 1 Jan 2026</x:v>
      </x:c>
      <x:c r="D3" s="163" t="n">
        <x:v>2</x:v>
      </x:c>
      <x:c r="E3" s="108" t="str">
        <x:v>Resolution MSC.538(107) - Chapter 9-1 scope</x:v>
      </x:c>
      <x:c r="F3" s="108" t="str">
        <x:v>Chapter 9-1 applicability</x:v>
      </x:c>
      <x:c r="G3" s="113" t="str">
        <x:v>Static</x:v>
      </x:c>
      <x:c r="H3" s="120" t="str">
        <x:v>This chapter applies to: fishing vessels of 24 metres in length overall and above; pleasure yachts of 300 gross tonnage and upwards not engaged in trade; and cargo ships of 300 gross tonnage and upwards but below 500 gross tonnage.</x:v>
      </x:c>
      <x:c r="I3" s="121" t="str">
        <x:v>chapter_9_1_applicable = true IF (ship_type = fishing_vessel AND length_overall_m &gt;= 24) OR (ship_type = pleasure_yacht AND gross_tonnage &gt;= 300 AND engaged_in_trade = false) OR (ship_type = cargo_ship AND 300 &lt;= gross_tonnage &lt; 500).</x:v>
      </x:c>
      <x:c r="J3" s="122" t="str">
        <x:v>ship_type, length_overall_m, gross_tonnage, engaged_in_trade, chapter_9_1_applicable</x:v>
      </x:c>
      <x:c r="K3" s="122" t="str">
        <x:v>No direct AnchorMap term found; propose code-safe alias: ship type, dimensions, trade status and chapter applicability</x:v>
      </x:c>
      <x:c r="L3" s="124" t="str">
        <x:v>High</x:v>
      </x:c>
      <x:c r="M3" s="122" t="str">
        <x:v>Piecewise applicability constraint</x:v>
      </x:c>
      <x:c r="N3" s="108" t="str">
        <x:v>Direct verification of a stated property, document, presence condition, enumeration, applicability rule, prohibition, or fixed limit.</x:v>
      </x:c>
      <x:c r="O3" s="113" t="str">
        <x:v>No</x:v>
      </x:c>
      <x:c r="P3" s="113" t="str">
        <x:v>Included - source reverified and locked</x:v>
      </x:c>
      <x:c r="Q3" s="108" t="str">
        <x:v>LOCK-2026-08-10: No source, page, clause, category, or normalized-meaning correction was required. Source wording was checked against the supplied PDF; equation notation is ASCII-linearized.</x:v>
      </x:c>
      <x:c r="R3" s="108" t="str">
        <x:v>LOCK-2026-08-11-R2 | source_pdf=2Q191E_Supplement_January2026_EBK.pdf | source_sha256=9ff7f3800b9dee0b1ec785fce8543a84b4ef250ad57eb9338b5d32904f9cf8fc | physical_pdf_page=2 | section=Resolution MSC.538(107) - Chapter 9-1 scope | clause=Chapter 9-1 applicability | checks=independent_full_text_page_layout; numbers_units_operators_equations; normalized_rule_meaning; five_category_classification | status=LOCKED</x:v>
      </x:c>
      <x:c r="S3" s="108" t="str">
        <x:v>New IMO source; not derived from the thesis extraction.</x:v>
      </x:c>
      <x:c r="T3" s="108" t="str">
        <x:v>PASS - source/page/clause/meaning/category reverified</x:v>
      </x:c>
      <x:c r="U3" s="108" t="str">
        <x:v>LOCKED - extraction reverified</x:v>
      </x:c>
      <x:c r="V3" s="123" t="str">
        <x:v>Second-pass extraction lock covers source identity, physical PDF page span, section/clause, ASCII transcription, normalized meaning, and verification category. SHACL shapes remain a separate implementation artifact.</x:v>
      </x:c>
      <x:c r="W3" s="123" t="str">
        <x:v>https://wwwcdn.imo.org/localresources/en/publications/Documents/Supplements/English/2Q191E_Supplement_January2026_EBK.pdf</x:v>
      </x:c>
      <x:c r="X3" s="123" t="str">
        <x:v>Ship type, length overall, gross tonnage, and trade status</x:v>
      </x:c>
      <x:c r="Y3" s="123" t="str">
        <x:v>Encode the three alternative applicability branches with the stated inclusive/exclusive bounds.</x:v>
      </x:c>
    </x:row>
    <x:row r="4" ht="100" customHeight="1">
      <x:c r="A4" s="108" t="str">
        <x:v>IMO26-003</x:v>
      </x:c>
      <x:c r="B4" s="108" t="str">
        <x:v>Polar Code January 2026 Supplement - Resolution MSC.538(107)</x:v>
      </x:c>
      <x:c r="C4" s="108" t="str">
        <x:v>January 2026 Supplement; effective 1 Jan 2026</x:v>
      </x:c>
      <x:c r="D4" s="163" t="n">
        <x:v>2</x:v>
      </x:c>
      <x:c r="E4" s="108" t="str">
        <x:v>Resolution MSC.538(107) - Chapter 9-1 functional requirements</x:v>
      </x:c>
      <x:c r="F4" s="108" t="str">
        <x:v>9-1.2.1</x:v>
      </x:c>
      <x:c r="G4" s="113" t="str">
        <x:v>Dynamic</x:v>
      </x:c>
      <x:c r="H4" s="120" t="str">
        <x:v>Ships shall have the ability to receive up-to-date information including ice information for safe navigation.</x:v>
      </x:c>
      <x:c r="I4" s="121" t="str">
        <x:v>IF chapter_9_1_applicable = true, THEN current_navigation_information_receiving_capability = true AND current_ice_information_receiving_capability = true.</x:v>
      </x:c>
      <x:c r="J4" s="122" t="str">
        <x:v>chapter_9_1_applicable, current_navigation_information_receiving_capability, current_ice_information_receiving_capability</x:v>
      </x:c>
      <x:c r="K4" s="122" t="str">
        <x:v>No direct AnchorMap term found; propose code-safe alias: chapter 9-1 information-receiving capabilities</x:v>
      </x:c>
      <x:c r="L4" s="124" t="str">
        <x:v>Medium</x:v>
      </x:c>
      <x:c r="M4" s="122" t="str">
        <x:v>Conditional information-availability constraint</x:v>
      </x:c>
      <x:c r="N4" s="108" t="str">
        <x:v>Verification depends on operational, time-stamped, route-dependent, monitored, or simulation-response information.</x:v>
      </x:c>
      <x:c r="O4" s="113" t="str">
        <x:v>No</x:v>
      </x:c>
      <x:c r="P4" s="113" t="str">
        <x:v>Included - source reverified and locked</x:v>
      </x:c>
      <x:c r="Q4" s="108" t="str">
        <x:v>LOCK-2026-08-10: No source, page, clause, category, or normalized-meaning correction was required. Source wording was checked against the supplied PDF; equation notation is ASCII-linearized.</x:v>
      </x:c>
      <x:c r="R4" s="108" t="str">
        <x:v>LOCK-2026-08-11-R2 | source_pdf=2Q191E_Supplement_January2026_EBK.pdf | source_sha256=9ff7f3800b9dee0b1ec785fce8543a84b4ef250ad57eb9338b5d32904f9cf8fc | physical_pdf_page=2 | section=Resolution MSC.538(107) - Chapter 9-1 functional requirements | clause=9-1.2.1 | checks=independent_full_text_page_layout; numbers_units_operators_equations; normalized_rule_meaning; five_category_classification | status=LOCKED</x:v>
      </x:c>
      <x:c r="S4" s="108" t="str">
        <x:v>New IMO source; not derived from the thesis extraction.</x:v>
      </x:c>
      <x:c r="T4" s="108" t="str">
        <x:v>PASS - source/page/clause/meaning/category reverified</x:v>
      </x:c>
      <x:c r="U4" s="108" t="str">
        <x:v>LOCKED - extraction reverified</x:v>
      </x:c>
      <x:c r="V4" s="123" t="str">
        <x:v>Second-pass extraction lock covers source identity, physical PDF page span, section/clause, ASCII transcription, normalized meaning, and verification category. SHACL shapes remain a separate implementation artifact.</x:v>
      </x:c>
      <x:c r="W4" s="123" t="str">
        <x:v>https://wwwcdn.imo.org/localresources/en/publications/Documents/Supplements/English/2Q191E_Supplement_January2026_EBK.pdf</x:v>
      </x:c>
      <x:c r="X4" s="123" t="str">
        <x:v>Applicability and navigation/ice information feed capability</x:v>
      </x:c>
      <x:c r="Y4" s="123" t="str">
        <x:v>Require current information capability when chapter 9-1 applies.</x:v>
      </x:c>
    </x:row>
    <x:row r="5" ht="100" customHeight="1">
      <x:c r="A5" s="108" t="str">
        <x:v>IMO26-004</x:v>
      </x:c>
      <x:c r="B5" s="108" t="str">
        <x:v>Polar Code January 2026 Supplement - Resolution MSC.538(107)</x:v>
      </x:c>
      <x:c r="C5" s="108" t="str">
        <x:v>January 2026 Supplement; effective 1 Jan 2026</x:v>
      </x:c>
      <x:c r="D5" s="163" t="n">
        <x:v>2</x:v>
      </x:c>
      <x:c r="E5" s="108" t="str">
        <x:v>Resolution MSC.538(107) - Chapter 9-1 functional requirements</x:v>
      </x:c>
      <x:c r="F5" s="108" t="str">
        <x:v>9-1.2.2.1</x:v>
      </x:c>
      <x:c r="G5" s="113" t="str">
        <x:v>Physical Test</x:v>
      </x:c>
      <x:c r="H5" s="120" t="str">
        <x:v>The navigational equipment and systems shall be designed, constructed and installed to retain their functionality under the expected environmental conditions in the area of operation.</x:v>
      </x:c>
      <x:c r="I5" s="121" t="str">
        <x:v>IF chapter_9_1_applicable = true, THEN every navigation equipment item shall have environmental_functionality_test_status = passed for the expected operating-area conditions.</x:v>
      </x:c>
      <x:c r="J5" s="122" t="str">
        <x:v>chapter_9_1_applicable, navigation_equipment_item, expected_environmental_condition, environmental_functionality_test_status</x:v>
      </x:c>
      <x:c r="K5" s="122" t="str">
        <x:v>No direct AnchorMap term found; propose code-safe alias: navigation equipment and environmental-functionality test properties</x:v>
      </x:c>
      <x:c r="L5" s="124" t="str">
        <x:v>Medium</x:v>
      </x:c>
      <x:c r="M5" s="122" t="str">
        <x:v>Conditional environmental test-evidence constraint</x:v>
      </x:c>
      <x:c r="N5" s="108" t="str">
        <x:v>Compliance is established mainly through survey, inspection, material testing, operability testing, or other physical evidence.</x:v>
      </x:c>
      <x:c r="O5" s="113" t="str">
        <x:v>No</x:v>
      </x:c>
      <x:c r="P5" s="113" t="str">
        <x:v>Included - source reverified and locked</x:v>
      </x:c>
      <x:c r="Q5" s="108" t="str">
        <x:v>LOCK-2026-08-10: No source, page, clause, category, or normalized-meaning correction was required. Source wording was checked against the supplied PDF; equation notation is ASCII-linearized.</x:v>
      </x:c>
      <x:c r="R5" s="108" t="str">
        <x:v>LOCK-2026-08-11-R2 | source_pdf=2Q191E_Supplement_January2026_EBK.pdf | source_sha256=9ff7f3800b9dee0b1ec785fce8543a84b4ef250ad57eb9338b5d32904f9cf8fc | physical_pdf_page=2 | section=Resolution MSC.538(107) - Chapter 9-1 functional requirements | clause=9-1.2.2.1 | checks=independent_full_text_page_layout; numbers_units_operators_equations; normalized_rule_meaning; five_category_classification | status=LOCKED</x:v>
      </x:c>
      <x:c r="S5" s="108" t="str">
        <x:v>New IMO source; not derived from the thesis extraction.</x:v>
      </x:c>
      <x:c r="T5" s="108" t="str">
        <x:v>PASS - source/page/clause/meaning/category reverified</x:v>
      </x:c>
      <x:c r="U5" s="108" t="str">
        <x:v>LOCKED - extraction reverified</x:v>
      </x:c>
      <x:c r="V5" s="123" t="str">
        <x:v>Second-pass extraction lock covers source identity, physical PDF page span, section/clause, ASCII transcription, normalized meaning, and verification category. SHACL shapes remain a separate implementation artifact.</x:v>
      </x:c>
      <x:c r="W5" s="123" t="str">
        <x:v>https://wwwcdn.imo.org/localresources/en/publications/Documents/Supplements/English/2Q191E_Supplement_January2026_EBK.pdf</x:v>
      </x:c>
      <x:c r="X5" s="123" t="str">
        <x:v>Equipment inventory, operating-area conditions, and test records</x:v>
      </x:c>
      <x:c r="Y5" s="123" t="str">
        <x:v>Require passed evidence for each applicable equipment item and expected condition.</x:v>
      </x:c>
    </x:row>
    <x:row r="6" ht="100" customHeight="1">
      <x:c r="A6" s="108" t="str">
        <x:v>IMO26-005</x:v>
      </x:c>
      <x:c r="B6" s="108" t="str">
        <x:v>Polar Code January 2026 Supplement - Resolution MSC.538(107)</x:v>
      </x:c>
      <x:c r="C6" s="108" t="str">
        <x:v>January 2026 Supplement; effective 1 Jan 2026</x:v>
      </x:c>
      <x:c r="D6" s="163" t="n">
        <x:v>2</x:v>
      </x:c>
      <x:c r="E6" s="108" t="str">
        <x:v>Resolution MSC.538(107) - Chapter 9-1 functional requirements</x:v>
      </x:c>
      <x:c r="F6" s="108" t="str">
        <x:v>9-1.2.2.2</x:v>
      </x:c>
      <x:c r="G6" s="113" t="str">
        <x:v>Static</x:v>
      </x:c>
      <x:c r="H6" s="120" t="str">
        <x:v>Systems for providing reference headings and position fixing shall be suitable for the intended areas.</x:v>
      </x:c>
      <x:c r="I6" s="121" t="str">
        <x:v>Every heading-reference and position-fixing system shall have intended_area_suitability_approval_status = approved.</x:v>
      </x:c>
      <x:c r="J6" s="122" t="str">
        <x:v>heading_or_position_system, intended_area, intended_area_suitability_approval_status</x:v>
      </x:c>
      <x:c r="K6" s="122" t="str">
        <x:v>No direct AnchorMap term found; propose code-safe alias: heading/position system and intended-area suitability properties</x:v>
      </x:c>
      <x:c r="L6" s="124" t="str">
        <x:v>Medium</x:v>
      </x:c>
      <x:c r="M6" s="122" t="str">
        <x:v>Qualified approval-status constraint</x:v>
      </x:c>
      <x:c r="N6" s="108" t="str">
        <x:v>Direct verification of a stated property, document, presence condition, enumeration, applicability rule, prohibition, or fixed limit.</x:v>
      </x:c>
      <x:c r="O6" s="113" t="str">
        <x:v>No</x:v>
      </x:c>
      <x:c r="P6" s="113" t="str">
        <x:v>Included - source reverified and locked</x:v>
      </x:c>
      <x:c r="Q6" s="108" t="str">
        <x:v>LOCK-2026-08-10: No source, page, clause, category, or normalized-meaning correction was required. Source wording was checked against the supplied PDF; equation notation is ASCII-linearized.</x:v>
      </x:c>
      <x:c r="R6" s="108" t="str">
        <x:v>LOCK-2026-08-11-R2 | source_pdf=2Q191E_Supplement_January2026_EBK.pdf | source_sha256=9ff7f3800b9dee0b1ec785fce8543a84b4ef250ad57eb9338b5d32904f9cf8fc | physical_pdf_page=2 | section=Resolution MSC.538(107) - Chapter 9-1 functional requirements | clause=9-1.2.2.2 | checks=independent_full_text_page_layout; numbers_units_operators_equations; normalized_rule_meaning; five_category_classification | status=LOCKED</x:v>
      </x:c>
      <x:c r="S6" s="108" t="str">
        <x:v>New IMO source; not derived from the thesis extraction.</x:v>
      </x:c>
      <x:c r="T6" s="108" t="str">
        <x:v>PASS - source/page/clause/meaning/category reverified</x:v>
      </x:c>
      <x:c r="U6" s="108" t="str">
        <x:v>LOCKED - extraction reverified</x:v>
      </x:c>
      <x:c r="V6" s="123" t="str">
        <x:v>Second-pass extraction lock covers source identity, physical PDF page span, section/clause, ASCII transcription, normalized meaning, and verification category. SHACL shapes remain a separate implementation artifact.</x:v>
      </x:c>
      <x:c r="W6" s="123" t="str">
        <x:v>https://wwwcdn.imo.org/localresources/en/publications/Documents/Supplements/English/2Q191E_Supplement_January2026_EBK.pdf</x:v>
      </x:c>
      <x:c r="X6" s="123" t="str">
        <x:v>System inventory, intended area, and suitability approval evidence</x:v>
      </x:c>
      <x:c r="Y6" s="123" t="str">
        <x:v>Model suitability as explicit approved evidence.</x:v>
      </x:c>
    </x:row>
    <x:row r="7" ht="100" customHeight="1">
      <x:c r="A7" s="108" t="str">
        <x:v>IMO26-006</x:v>
      </x:c>
      <x:c r="B7" s="108" t="str">
        <x:v>Polar Code January 2026 Supplement - Resolution MSC.538(107)</x:v>
      </x:c>
      <x:c r="C7" s="108" t="str">
        <x:v>January 2026 Supplement; effective 1 Jan 2026</x:v>
      </x:c>
      <x:c r="D7" s="163" t="n">
        <x:v>3</x:v>
      </x:c>
      <x:c r="E7" s="108" t="str">
        <x:v>Resolution MSC.538(107) - Chapter 9-1 regulations</x:v>
      </x:c>
      <x:c r="F7" s="108" t="str">
        <x:v>9-1.3.1</x:v>
      </x:c>
      <x:c r="G7" s="113" t="str">
        <x:v>Dynamic</x:v>
      </x:c>
      <x:c r="H7" s="120" t="str">
        <x:v>Ships shall have means of receiving and displaying current information on ice conditions in the area of operation.</x:v>
      </x:c>
      <x:c r="I7" s="121" t="str">
        <x:v>IF chapter_9_1_applicable = true, THEN ice_information_receiver_present = true, ice_information_display_present = true, and displayed_ice_information_status = current for the operating area.</x:v>
      </x:c>
      <x:c r="J7" s="122" t="str">
        <x:v>chapter_9_1_applicable, ice_information_receiver_present, ice_information_display_present, displayed_ice_information_status, operating_area</x:v>
      </x:c>
      <x:c r="K7" s="122" t="str">
        <x:v>No direct AnchorMap term found; propose code-safe alias: ice-information receiver/display and currency properties</x:v>
      </x:c>
      <x:c r="L7" s="124" t="str">
        <x:v>Medium</x:v>
      </x:c>
      <x:c r="M7" s="122" t="str">
        <x:v>Conditional dynamic information constraint</x:v>
      </x:c>
      <x:c r="N7" s="108" t="str">
        <x:v>Verification depends on operational, time-stamped, route-dependent, monitored, or simulation-response information.</x:v>
      </x:c>
      <x:c r="O7" s="113" t="str">
        <x:v>No</x:v>
      </x:c>
      <x:c r="P7" s="113" t="str">
        <x:v>Included - source reverified and locked</x:v>
      </x:c>
      <x:c r="Q7" s="108" t="str">
        <x:v>LOCK-2026-08-10: No source, page, clause, category, or normalized-meaning correction was required. Source wording was checked against the supplied PDF; equation notation is ASCII-linearized.</x:v>
      </x:c>
      <x:c r="R7" s="108" t="str">
        <x:v>LOCK-2026-08-11-R2 | source_pdf=2Q191E_Supplement_January2026_EBK.pdf | source_sha256=9ff7f3800b9dee0b1ec785fce8543a84b4ef250ad57eb9338b5d32904f9cf8fc | physical_pdf_page=3 | section=Resolution MSC.538(107) - Chapter 9-1 regulations | clause=9-1.3.1 | checks=independent_full_text_page_layout; numbers_units_operators_equations; normalized_rule_meaning; five_category_classification | status=LOCKED</x:v>
      </x:c>
      <x:c r="S7" s="108" t="str">
        <x:v>New IMO source; not derived from the thesis extraction.</x:v>
      </x:c>
      <x:c r="T7" s="108" t="str">
        <x:v>PASS - source/page/clause/meaning/category reverified</x:v>
      </x:c>
      <x:c r="U7" s="108" t="str">
        <x:v>LOCKED - extraction reverified</x:v>
      </x:c>
      <x:c r="V7" s="123" t="str">
        <x:v>Second-pass extraction lock covers source identity, physical PDF page span, section/clause, ASCII transcription, normalized meaning, and verification category. SHACL shapes remain a separate implementation artifact.</x:v>
      </x:c>
      <x:c r="W7" s="123" t="str">
        <x:v>https://wwwcdn.imo.org/localresources/en/publications/Documents/Supplements/English/2Q191E_Supplement_January2026_EBK.pdf</x:v>
      </x:c>
      <x:c r="X7" s="123" t="str">
        <x:v>Applicability, equipment inventory, and time-stamped ice information</x:v>
      </x:c>
      <x:c r="Y7" s="123" t="str">
        <x:v>Require both receiving/display means and a current information timestamp.</x:v>
      </x:c>
    </x:row>
    <x:row r="8" ht="100" customHeight="1">
      <x:c r="A8" s="108" t="str">
        <x:v>IMO26-007</x:v>
      </x:c>
      <x:c r="B8" s="108" t="str">
        <x:v>Polar Code January 2026 Supplement - Resolution MSC.538(107)</x:v>
      </x:c>
      <x:c r="C8" s="108" t="str">
        <x:v>January 2026 Supplement; effective 1 Jan 2026</x:v>
      </x:c>
      <x:c r="D8" s="163" t="n">
        <x:v>3</x:v>
      </x:c>
      <x:c r="E8" s="108" t="str">
        <x:v>Resolution MSC.538(107) - Chapter 9-1 regulations</x:v>
      </x:c>
      <x:c r="F8" s="108" t="str">
        <x:v>9-1.3.2.1.1</x:v>
      </x:c>
      <x:c r="G8" s="113" t="str">
        <x:v>Complex</x:v>
      </x:c>
      <x:c r="H8" s="120" t="str">
        <x:v>Ice-strengthened ships constructed on or after 1 January 2026 shall have either two independent echo-sounding devices or one echo-sounding device with two separate independent transducers. Other devices capable of depth sounding, such as fish finders, acceptable to the Administration, may be used as equivalent means of meeting this requirement.</x:v>
      </x:c>
      <x:c r="I8" s="121" t="str">
        <x:v>IF ship_ice_strengthened = true AND construction_date &gt;= '2026-01-01', THEN independent_echo_sounding_device_count &gt;= 2 OR (echo_sounding_device_count &gt;= 1 AND independent_transducer_count &gt;= 2) OR administration_approved_equivalent_depth_sounding_device_present = true.</x:v>
      </x:c>
      <x:c r="J8" s="122" t="str">
        <x:v>ship_ice_strengthened, construction_date, independent_echo_sounding_device_count, echo_sounding_device_count, independent_transducer_count, administration_approved_equivalent_depth_sounding_device_present</x:v>
      </x:c>
      <x:c r="K8" s="122" t="str">
        <x:v>No direct AnchorMap term found; propose code-safe alias: echo-sounding equipment counts and equivalent-device approval</x:v>
      </x:c>
      <x:c r="L8" s="124" t="str">
        <x:v>High</x:v>
      </x:c>
      <x:c r="M8" s="122" t="str">
        <x:v>Conditional alternative-count constraint</x:v>
      </x:c>
      <x:c r="N8" s="108" t="str">
        <x:v>Verification requires linked conditions, external approval or evidence, an assessment, or a composite workflow.</x:v>
      </x:c>
      <x:c r="O8" s="113" t="str">
        <x:v>No</x:v>
      </x:c>
      <x:c r="P8" s="113" t="str">
        <x:v>Included - source reverified and locked</x:v>
      </x:c>
      <x:c r="Q8" s="108" t="str">
        <x:v>LOCK-2026-08-10: Classified the alternative equivalent-sounding-device approval path as Complex. Final source lock check completed against the supplied PDF; equation notation is ASCII-linearized.</x:v>
      </x:c>
      <x:c r="R8" s="108" t="str">
        <x:v>LOCK-2026-08-11-R2 | source_pdf=2Q191E_Supplement_January2026_EBK.pdf | source_sha256=9ff7f3800b9dee0b1ec785fce8543a84b4ef250ad57eb9338b5d32904f9cf8fc | physical_pdf_page=3 | section=Resolution MSC.538(107) - Chapter 9-1 regulations | clause=9-1.3.2.1.1 | checks=independent_full_text_page_layout; numbers_units_operators_equations; normalized_rule_meaning; five_category_classification | status=LOCKED</x:v>
      </x:c>
      <x:c r="S8" s="108" t="str">
        <x:v>New IMO source; not derived from the thesis extraction.</x:v>
      </x:c>
      <x:c r="T8" s="108" t="str">
        <x:v>PASS - source/page/clause/meaning/category reverified</x:v>
      </x:c>
      <x:c r="U8" s="108" t="str">
        <x:v>LOCKED - extraction reverified</x:v>
      </x:c>
      <x:c r="V8" s="123" t="str">
        <x:v>Second-pass extraction lock covers source identity, physical PDF page span, section/clause, ASCII transcription, normalized meaning, and verification category. SHACL shapes remain a separate implementation artifact.</x:v>
      </x:c>
      <x:c r="W8" s="123" t="str">
        <x:v>https://wwwcdn.imo.org/localresources/en/publications/Documents/Supplements/English/2Q191E_Supplement_January2026_EBK.pdf</x:v>
      </x:c>
      <x:c r="X8" s="123" t="str">
        <x:v>Ice-strengthening status, construction date, equipment topology, and equivalent approval</x:v>
      </x:c>
      <x:c r="Y8" s="123" t="str">
        <x:v>Use three permitted alternative branches.</x:v>
      </x:c>
    </x:row>
    <x:row r="9" ht="100" customHeight="1">
      <x:c r="A9" s="108" t="str">
        <x:v>IMO26-008</x:v>
      </x:c>
      <x:c r="B9" s="108" t="str">
        <x:v>Polar Code January 2026 Supplement - Resolution MSC.538(107)</x:v>
      </x:c>
      <x:c r="C9" s="108" t="str">
        <x:v>January 2026 Supplement; effective 1 Jan 2026</x:v>
      </x:c>
      <x:c r="D9" s="163" t="n">
        <x:v>3</x:v>
      </x:c>
      <x:c r="E9" s="108" t="str">
        <x:v>Resolution MSC.538(107) - Chapter 9-1 regulations</x:v>
      </x:c>
      <x:c r="F9" s="108" t="str">
        <x:v>9-1.3.2.1.2</x:v>
      </x:c>
      <x:c r="G9" s="113" t="str">
        <x:v>Complex</x:v>
      </x:c>
      <x:c r="H9" s="120" t="str">
        <x:v>Ships shall comply with SOLAS regulation V/22.1.9.4, irrespective of the date of construction and the size, and have a clear view astern. On ships which cannot comply with these requirements, arrangements acceptable to the Administration shall be provided to achieve a level of visibility that is equivalent to these requirements.</x:v>
      </x:c>
      <x:c r="I9" s="121" t="str">
        <x:v>SOLAS_V_22_1_9_4_compliance_status = compliant AND clear_view_astern_status = compliant, OR administration_approved_equivalent_visibility_arrangement_present = true.</x:v>
      </x:c>
      <x:c r="J9" s="122" t="str">
        <x:v>SOLAS_V_22_1_9_4_compliance_status, clear_view_astern_status, administration_approved_equivalent_visibility_arrangement_present</x:v>
      </x:c>
      <x:c r="K9" s="122" t="str">
        <x:v>No direct AnchorMap term found; propose code-safe alias: SOLAS compliance and equivalent-visibility properties</x:v>
      </x:c>
      <x:c r="L9" s="124" t="str">
        <x:v>Medium</x:v>
      </x:c>
      <x:c r="M9" s="122" t="str">
        <x:v>Alternative cross-regulation compliance constraint</x:v>
      </x:c>
      <x:c r="N9" s="108" t="str">
        <x:v>Verification requires linked conditions, external approval or evidence, an assessment, or a composite workflow.</x:v>
      </x:c>
      <x:c r="O9" s="113" t="str">
        <x:v>No</x:v>
      </x:c>
      <x:c r="P9" s="113" t="str">
        <x:v>Included - source reverified and locked</x:v>
      </x:c>
      <x:c r="Q9" s="108" t="str">
        <x:v>LOCK-2026-08-10: Classified the SOLAS compliance plus approved-equivalent visibility path as Complex. Final source lock check completed against the supplied PDF; equation notation is ASCII-linearized.</x:v>
      </x:c>
      <x:c r="R9" s="108" t="str">
        <x:v>LOCK-2026-08-11-R2 | source_pdf=2Q191E_Supplement_January2026_EBK.pdf | source_sha256=9ff7f3800b9dee0b1ec785fce8543a84b4ef250ad57eb9338b5d32904f9cf8fc | physical_pdf_page=3 | section=Resolution MSC.538(107) - Chapter 9-1 regulations | clause=9-1.3.2.1.2 | checks=independent_full_text_page_layout; numbers_units_operators_equations; normalized_rule_meaning; five_category_classification | status=LOCKED</x:v>
      </x:c>
      <x:c r="S9" s="108" t="str">
        <x:v>New IMO source; not derived from the thesis extraction.</x:v>
      </x:c>
      <x:c r="T9" s="108" t="str">
        <x:v>PASS - source/page/clause/meaning/category reverified</x:v>
      </x:c>
      <x:c r="U9" s="108" t="str">
        <x:v>LOCKED - extraction reverified</x:v>
      </x:c>
      <x:c r="V9" s="123" t="str">
        <x:v>Second-pass extraction lock covers source identity, physical PDF page span, section/clause, ASCII transcription, normalized meaning, and verification category. SHACL shapes remain a separate implementation artifact.</x:v>
      </x:c>
      <x:c r="W9" s="123" t="str">
        <x:v>https://wwwcdn.imo.org/localresources/en/publications/Documents/Supplements/English/2Q191E_Supplement_January2026_EBK.pdf</x:v>
      </x:c>
      <x:c r="X9" s="123" t="str">
        <x:v>SOLAS/visibility compliance evidence or approved equivalent arrangement</x:v>
      </x:c>
      <x:c r="Y9" s="123" t="str">
        <x:v>Allow the approved equivalence branch only when direct compliance is not achieved.</x:v>
      </x:c>
    </x:row>
    <x:row r="10" ht="100" customHeight="1">
      <x:c r="A10" s="108" t="str">
        <x:v>IMO26-009</x:v>
      </x:c>
      <x:c r="B10" s="108" t="str">
        <x:v>Polar Code January 2026 Supplement - Resolution MSC.538(107)</x:v>
      </x:c>
      <x:c r="C10" s="108" t="str">
        <x:v>January 2026 Supplement; effective 1 Jan 2026</x:v>
      </x:c>
      <x:c r="D10" s="163" t="n">
        <x:v>3</x:v>
      </x:c>
      <x:c r="E10" s="108" t="str">
        <x:v>Resolution MSC.538(107) - Chapter 9-1 regulations</x:v>
      </x:c>
      <x:c r="F10" s="108" t="str">
        <x:v>9-1.3.2.1.3</x:v>
      </x:c>
      <x:c r="G10" s="113" t="str">
        <x:v>Static</x:v>
      </x:c>
      <x:c r="H10" s="120" t="str">
        <x:v>For ships operating in areas, and during periods, where ice accretion is likely to occur, means to prevent the accumulation of ice on antennas required for navigation and communication shall be provided.</x:v>
      </x:c>
      <x:c r="I10" s="121" t="str">
        <x:v>IF ice_accretion_likely = true, THEN every required navigation or communication antenna shall have ice_accumulation_prevention_means_present = true.</x:v>
      </x:c>
      <x:c r="J10" s="122" t="str">
        <x:v>ice_accretion_likely, required_navigation_or_communication_antenna, ice_accumulation_prevention_means_present</x:v>
      </x:c>
      <x:c r="K10" s="122" t="str">
        <x:v>No direct AnchorMap term found; propose code-safe alias: antenna and ice-prevention properties</x:v>
      </x:c>
      <x:c r="L10" s="124" t="str">
        <x:v>High</x:v>
      </x:c>
      <x:c r="M10" s="122" t="str">
        <x:v>Conditional qualified equipment constraint</x:v>
      </x:c>
      <x:c r="N10" s="108" t="str">
        <x:v>Direct verification of a stated property, document, presence condition, enumeration, applicability rule, prohibition, or fixed limit.</x:v>
      </x:c>
      <x:c r="O10" s="113" t="str">
        <x:v>No</x:v>
      </x:c>
      <x:c r="P10" s="113" t="str">
        <x:v>Included - source reverified and locked</x:v>
      </x:c>
      <x:c r="Q10" s="108" t="str">
        <x:v>LOCK-2026-08-10: No source, page, clause, category, or normalized-meaning correction was required. Source wording was checked against the supplied PDF; equation notation is ASCII-linearized.</x:v>
      </x:c>
      <x:c r="R10" s="108" t="str">
        <x:v>LOCK-2026-08-11-R2 | source_pdf=2Q191E_Supplement_January2026_EBK.pdf | source_sha256=9ff7f3800b9dee0b1ec785fce8543a84b4ef250ad57eb9338b5d32904f9cf8fc | physical_pdf_page=3 | section=Resolution MSC.538(107) - Chapter 9-1 regulations | clause=9-1.3.2.1.3 | checks=independent_full_text_page_layout; numbers_units_operators_equations; normalized_rule_meaning; five_category_classification | status=LOCKED</x:v>
      </x:c>
      <x:c r="S10" s="108" t="str">
        <x:v>New IMO source; not derived from the thesis extraction.</x:v>
      </x:c>
      <x:c r="T10" s="108" t="str">
        <x:v>PASS - source/page/clause/meaning/category reverified</x:v>
      </x:c>
      <x:c r="U10" s="108" t="str">
        <x:v>LOCKED - extraction reverified</x:v>
      </x:c>
      <x:c r="V10" s="123" t="str">
        <x:v>Second-pass extraction lock covers source identity, physical PDF page span, section/clause, ASCII transcription, normalized meaning, and verification category. SHACL shapes remain a separate implementation artifact.</x:v>
      </x:c>
      <x:c r="W10" s="123" t="str">
        <x:v>https://wwwcdn.imo.org/localresources/en/publications/Documents/Supplements/English/2Q191E_Supplement_January2026_EBK.pdf</x:v>
      </x:c>
      <x:c r="X10" s="123" t="str">
        <x:v>Antenna inventory, ice-accretion applicability, and prevention arrangement</x:v>
      </x:c>
      <x:c r="Y10" s="123" t="str">
        <x:v>Require one prevention means for each required antenna.</x:v>
      </x:c>
    </x:row>
    <x:row r="11" ht="100" customHeight="1">
      <x:c r="A11" s="108" t="str">
        <x:v>IMO26-010</x:v>
      </x:c>
      <x:c r="B11" s="108" t="str">
        <x:v>Polar Code January 2026 Supplement - Resolution MSC.538(107)</x:v>
      </x:c>
      <x:c r="C11" s="108" t="str">
        <x:v>January 2026 Supplement; effective 1 Jan 2026</x:v>
      </x:c>
      <x:c r="D11" s="163" t="n">
        <x:v>3</x:v>
      </x:c>
      <x:c r="E11" s="108" t="str">
        <x:v>Resolution MSC.538(107) - Chapter 9-1 regulations</x:v>
      </x:c>
      <x:c r="F11" s="108" t="str">
        <x:v>9-1.3.2.1.4.1</x:v>
      </x:c>
      <x:c r="G11" s="113" t="str">
        <x:v>Static</x:v>
      </x:c>
      <x:c r="H11" s="120" t="str">
        <x:v>Where equipment required by SOLAS chapter V or this chapter have sensors that project below the hull, such sensors shall be protected against ice.</x:v>
      </x:c>
      <x:c r="I11" s="121" t="str">
        <x:v>IF required_sensor_projects_below_hull = true, THEN sensor_ice_protection_present = true.</x:v>
      </x:c>
      <x:c r="J11" s="122" t="str">
        <x:v>required_sensor_projects_below_hull, sensor_ice_protection_present</x:v>
      </x:c>
      <x:c r="K11" s="122" t="str">
        <x:v>No direct AnchorMap term found; propose code-safe alias: below-hull sensor and ice-protection properties</x:v>
      </x:c>
      <x:c r="L11" s="124" t="str">
        <x:v>High</x:v>
      </x:c>
      <x:c r="M11" s="122" t="str">
        <x:v>Conditional equipment-protection constraint</x:v>
      </x:c>
      <x:c r="N11" s="108" t="str">
        <x:v>Direct verification of a stated property, document, presence condition, enumeration, applicability rule, prohibition, or fixed limit.</x:v>
      </x:c>
      <x:c r="O11" s="113" t="str">
        <x:v>No</x:v>
      </x:c>
      <x:c r="P11" s="113" t="str">
        <x:v>Included - source reverified and locked</x:v>
      </x:c>
      <x:c r="Q11" s="108" t="str">
        <x:v>LOCK-2026-08-10: No source, page, clause, category, or normalized-meaning correction was required. Source wording was checked against the supplied PDF; equation notation is ASCII-linearized.</x:v>
      </x:c>
      <x:c r="R11" s="108" t="str">
        <x:v>LOCK-2026-08-11-R2 | source_pdf=2Q191E_Supplement_January2026_EBK.pdf | source_sha256=9ff7f3800b9dee0b1ec785fce8543a84b4ef250ad57eb9338b5d32904f9cf8fc | physical_pdf_page=3 | section=Resolution MSC.538(107) - Chapter 9-1 regulations | clause=9-1.3.2.1.4.1 | checks=independent_full_text_page_layout; numbers_units_operators_equations; normalized_rule_meaning; five_category_classification | status=LOCKED</x:v>
      </x:c>
      <x:c r="S11" s="108" t="str">
        <x:v>New IMO source; not derived from the thesis extraction.</x:v>
      </x:c>
      <x:c r="T11" s="108" t="str">
        <x:v>PASS - source/page/clause/meaning/category reverified</x:v>
      </x:c>
      <x:c r="U11" s="108" t="str">
        <x:v>LOCKED - extraction reverified</x:v>
      </x:c>
      <x:c r="V11" s="123" t="str">
        <x:v>Second-pass extraction lock covers source identity, physical PDF page span, section/clause, ASCII transcription, normalized meaning, and verification category. SHACL shapes remain a separate implementation artifact.</x:v>
      </x:c>
      <x:c r="W11" s="123" t="str">
        <x:v>https://wwwcdn.imo.org/localresources/en/publications/Documents/Supplements/English/2Q191E_Supplement_January2026_EBK.pdf</x:v>
      </x:c>
      <x:c r="X11" s="123" t="str">
        <x:v>Required-sensor inventory, projection location, and ice protection</x:v>
      </x:c>
      <x:c r="Y11" s="123" t="str">
        <x:v>Condition the protection requirement on below-hull projection.</x:v>
      </x:c>
    </x:row>
    <x:row r="12" ht="100" customHeight="1">
      <x:c r="A12" s="108" t="str">
        <x:v>IMO26-011</x:v>
      </x:c>
      <x:c r="B12" s="108" t="str">
        <x:v>Polar Code January 2026 Supplement - Resolution MSC.538(107)</x:v>
      </x:c>
      <x:c r="C12" s="108" t="str">
        <x:v>January 2026 Supplement; effective 1 Jan 2026</x:v>
      </x:c>
      <x:c r="D12" s="163" t="n">
        <x:v>4</x:v>
      </x:c>
      <x:c r="E12" s="108" t="str">
        <x:v>Resolution MSC.538(107) - Chapter 9-1 regulations</x:v>
      </x:c>
      <x:c r="F12" s="108" t="str">
        <x:v>9-1.3.2.1.4.2</x:v>
      </x:c>
      <x:c r="G12" s="113" t="str">
        <x:v>Complex</x:v>
      </x:c>
      <x:c r="H12" s="120" t="str">
        <x:v>In category A and B ships constructed on or after 1 January 2026, the bridge wings shall be enclosed or designed to protect navigational equipment and operating personnel. On ships which cannot comply with this regulation, arrangements acceptable to the Administration shall be provided to achieve a level of protection that is equivalent to this regulation.</x:v>
      </x:c>
      <x:c r="I12" s="121" t="str">
        <x:v>IF ship_category IN {'A','B'} AND construction_date &gt;= '2026-01-01', THEN bridge_wings_enclosed = true OR bridge_wing_protection_design_status = approved OR administration_approved_equivalent_bridge_wing_protection_present = true.</x:v>
      </x:c>
      <x:c r="J12" s="122" t="str">
        <x:v>ship_category, construction_date, bridge_wings_enclosed, bridge_wing_protection_design_status, administration_approved_equivalent_bridge_wing_protection_present</x:v>
      </x:c>
      <x:c r="K12" s="122" t="str">
        <x:v>iceClass -&gt; reg:iceClass; No direct AnchorMap term found; propose code-safe alias: bridge-wing protection properties</x:v>
      </x:c>
      <x:c r="L12" s="124" t="str">
        <x:v>High</x:v>
      </x:c>
      <x:c r="M12" s="122" t="str">
        <x:v>Conditional alternative-path constraint</x:v>
      </x:c>
      <x:c r="N12" s="108" t="str">
        <x:v>Verification requires linked conditions, external approval or evidence, an assessment, or a composite workflow.</x:v>
      </x:c>
      <x:c r="O12" s="113" t="str">
        <x:v>No</x:v>
      </x:c>
      <x:c r="P12" s="113" t="str">
        <x:v>Included - source reverified and locked</x:v>
      </x:c>
      <x:c r="Q12" s="108" t="str">
        <x:v>LOCK-2026-08-10: Classified the approved-equivalent bridge-wing protection path as Complex. Final source lock check completed against the supplied PDF; equation notation is ASCII-linearized.</x:v>
      </x:c>
      <x:c r="R12" s="108" t="str">
        <x:v>LOCK-2026-08-11-R2 | source_pdf=2Q191E_Supplement_January2026_EBK.pdf | source_sha256=9ff7f3800b9dee0b1ec785fce8543a84b4ef250ad57eb9338b5d32904f9cf8fc | physical_pdf_page=4 | section=Resolution MSC.538(107) - Chapter 9-1 regulations | clause=9-1.3.2.1.4.2 | checks=independent_full_text_page_layout; numbers_units_operators_equations; normalized_rule_meaning; five_category_classification | status=LOCKED</x:v>
      </x:c>
      <x:c r="S12" s="108" t="str">
        <x:v>New IMO source; not derived from the thesis extraction.</x:v>
      </x:c>
      <x:c r="T12" s="108" t="str">
        <x:v>PASS - source/page/clause/meaning/category reverified</x:v>
      </x:c>
      <x:c r="U12" s="108" t="str">
        <x:v>LOCKED - extraction reverified</x:v>
      </x:c>
      <x:c r="V12" s="123" t="str">
        <x:v>Second-pass extraction lock covers source identity, physical PDF page span, section/clause, ASCII transcription, normalized meaning, and verification category. SHACL shapes remain a separate implementation artifact.</x:v>
      </x:c>
      <x:c r="W12" s="123" t="str">
        <x:v>https://wwwcdn.imo.org/localresources/en/publications/Documents/Supplements/English/2Q191E_Supplement_January2026_EBK.pdf</x:v>
      </x:c>
      <x:c r="X12" s="123" t="str">
        <x:v>Ship category/date and bridge-wing protection/equivalence evidence</x:v>
      </x:c>
      <x:c r="Y12" s="123" t="str">
        <x:v>Use the three permitted protection branches.</x:v>
      </x:c>
    </x:row>
    <x:row r="13" ht="100" customHeight="1">
      <x:c r="A13" s="108" t="str">
        <x:v>IMO26-012</x:v>
      </x:c>
      <x:c r="B13" s="108" t="str">
        <x:v>Polar Code January 2026 Supplement - Resolution MSC.538(107)</x:v>
      </x:c>
      <x:c r="C13" s="108" t="str">
        <x:v>January 2026 Supplement; effective 1 Jan 2026</x:v>
      </x:c>
      <x:c r="D13" s="163" t="n">
        <x:v>4</x:v>
      </x:c>
      <x:c r="E13" s="108" t="str">
        <x:v>Resolution MSC.538(107) - Chapter 9-1 regulations</x:v>
      </x:c>
      <x:c r="F13" s="108" t="str">
        <x:v>9-1.3.2.2.1</x:v>
      </x:c>
      <x:c r="G13" s="113" t="str">
        <x:v>Static</x:v>
      </x:c>
      <x:c r="H13" s="120" t="str">
        <x:v>Ships of 500 gross tonnage and upwards shall have two non-magnetic means to determine and display their heading. Both means shall be independent and shall be connected to the ship's main and emergency source of power.</x:v>
      </x:c>
      <x:c r="I13" s="121" t="str">
        <x:v>IF gross_tonnage &gt;= 500, THEN non_magnetic_heading_means_count &gt;= 2; the means shall be independent and each connected to main_power and emergency_power.</x:v>
      </x:c>
      <x:c r="J13" s="122" t="str">
        <x:v>gross_tonnage, non_magnetic_heading_means_count, heading_means_independent, connected_to_main_power, connected_to_emergency_power</x:v>
      </x:c>
      <x:c r="K13" s="122" t="str">
        <x:v>No direct AnchorMap term found; propose code-safe alias: gross tonnage and heading-means topology properties</x:v>
      </x:c>
      <x:c r="L13" s="124" t="str">
        <x:v>High</x:v>
      </x:c>
      <x:c r="M13" s="122" t="str">
        <x:v>Conditional qualified count and topology constraint</x:v>
      </x:c>
      <x:c r="N13" s="108" t="str">
        <x:v>Direct verification of a stated property, document, presence condition, enumeration, applicability rule, prohibition, or fixed limit.</x:v>
      </x:c>
      <x:c r="O13" s="113" t="str">
        <x:v>No</x:v>
      </x:c>
      <x:c r="P13" s="113" t="str">
        <x:v>Included - source reverified and locked</x:v>
      </x:c>
      <x:c r="Q13" s="108" t="str">
        <x:v>LOCK-2026-08-10: No source, page, clause, category, or normalized-meaning correction was required. Source wording was checked against the supplied PDF; equation notation is ASCII-linearized.</x:v>
      </x:c>
      <x:c r="R13" s="108" t="str">
        <x:v>LOCK-2026-08-11-R2 | source_pdf=2Q191E_Supplement_January2026_EBK.pdf | source_sha256=9ff7f3800b9dee0b1ec785fce8543a84b4ef250ad57eb9338b5d32904f9cf8fc | physical_pdf_page=4 | section=Resolution MSC.538(107) - Chapter 9-1 regulations | clause=9-1.3.2.2.1 | checks=independent_full_text_page_layout; numbers_units_operators_equations; normalized_rule_meaning; five_category_classification | status=LOCKED</x:v>
      </x:c>
      <x:c r="S13" s="108" t="str">
        <x:v>New IMO source; not derived from the thesis extraction.</x:v>
      </x:c>
      <x:c r="T13" s="108" t="str">
        <x:v>PASS - source/page/clause/meaning/category reverified</x:v>
      </x:c>
      <x:c r="U13" s="108" t="str">
        <x:v>LOCKED - extraction reverified</x:v>
      </x:c>
      <x:c r="V13" s="123" t="str">
        <x:v>Second-pass extraction lock covers source identity, physical PDF page span, section/clause, ASCII transcription, normalized meaning, and verification category. SHACL shapes remain a separate implementation artifact.</x:v>
      </x:c>
      <x:c r="W13" s="123" t="str">
        <x:v>https://wwwcdn.imo.org/localresources/en/publications/Documents/Supplements/English/2Q191E_Supplement_January2026_EBK.pdf</x:v>
      </x:c>
      <x:c r="X13" s="123" t="str">
        <x:v>Gross tonnage, heading-equipment inventory, independence relation, and power connections</x:v>
      </x:c>
      <x:c r="Y13" s="123" t="str">
        <x:v>Use an inclusive 500 GT threshold and require both power-source connections.</x:v>
      </x:c>
    </x:row>
    <x:row r="14" ht="100" customHeight="1">
      <x:c r="A14" s="108" t="str">
        <x:v>IMO26-013</x:v>
      </x:c>
      <x:c r="B14" s="108" t="str">
        <x:v>Polar Code January 2026 Supplement - Resolution MSC.538(107)</x:v>
      </x:c>
      <x:c r="C14" s="108" t="str">
        <x:v>January 2026 Supplement; effective 1 Jan 2026</x:v>
      </x:c>
      <x:c r="D14" s="163" t="n">
        <x:v>4</x:v>
      </x:c>
      <x:c r="E14" s="108" t="str">
        <x:v>Resolution MSC.538(107) - Chapter 9-1 regulations</x:v>
      </x:c>
      <x:c r="F14" s="108" t="str">
        <x:v>9-1.3.2.2.2</x:v>
      </x:c>
      <x:c r="G14" s="113" t="str">
        <x:v>Static</x:v>
      </x:c>
      <x:c r="H14" s="120" t="str">
        <x:v>Ships proceeding to latitudes over 80 degrees shall be fitted with at least one GNSS compass or equivalent, which shall be connected to the ship's main and emergency source of power.</x:v>
      </x:c>
      <x:c r="I14" s="121" t="str">
        <x:v>IF planned_or_actual_latitude_deg &gt; 80, THEN GNSS_compass_or_equivalent_count &gt;= 1 AND connected_to_main_power = true AND connected_to_emergency_power = true.</x:v>
      </x:c>
      <x:c r="J14" s="122" t="str">
        <x:v>planned_or_actual_latitude_deg, GNSS_compass_or_equivalent_count, connected_to_main_power, connected_to_emergency_power</x:v>
      </x:c>
      <x:c r="K14" s="122" t="str">
        <x:v>No direct AnchorMap term found; propose code-safe alias: latitude and GNSS compass properties</x:v>
      </x:c>
      <x:c r="L14" s="124" t="str">
        <x:v>High</x:v>
      </x:c>
      <x:c r="M14" s="122" t="str">
        <x:v>Conditional qualified count constraint</x:v>
      </x:c>
      <x:c r="N14" s="108" t="str">
        <x:v>Direct verification of a stated property, document, presence condition, enumeration, applicability rule, prohibition, or fixed limit.</x:v>
      </x:c>
      <x:c r="O14" s="113" t="str">
        <x:v>No</x:v>
      </x:c>
      <x:c r="P14" s="113" t="str">
        <x:v>Included - source reverified and locked</x:v>
      </x:c>
      <x:c r="Q14" s="108" t="str">
        <x:v>LOCK-2026-08-10: No source, page, clause, category, or normalized-meaning correction was required. Source wording was checked against the supplied PDF; equation notation is ASCII-linearized.</x:v>
      </x:c>
      <x:c r="R14" s="108" t="str">
        <x:v>LOCK-2026-08-11-R2 | source_pdf=2Q191E_Supplement_January2026_EBK.pdf | source_sha256=9ff7f3800b9dee0b1ec785fce8543a84b4ef250ad57eb9338b5d32904f9cf8fc | physical_pdf_page=4 | section=Resolution MSC.538(107) - Chapter 9-1 regulations | clause=9-1.3.2.2.2 | checks=independent_full_text_page_layout; numbers_units_operators_equations; normalized_rule_meaning; five_category_classification | status=LOCKED</x:v>
      </x:c>
      <x:c r="S14" s="108" t="str">
        <x:v>New IMO source; not derived from the thesis extraction.</x:v>
      </x:c>
      <x:c r="T14" s="108" t="str">
        <x:v>PASS - source/page/clause/meaning/category reverified</x:v>
      </x:c>
      <x:c r="U14" s="108" t="str">
        <x:v>LOCKED - extraction reverified</x:v>
      </x:c>
      <x:c r="V14" s="123" t="str">
        <x:v>Second-pass extraction lock covers source identity, physical PDF page span, section/clause, ASCII transcription, normalized meaning, and verification category. SHACL shapes remain a separate implementation artifact.</x:v>
      </x:c>
      <x:c r="W14" s="123" t="str">
        <x:v>https://wwwcdn.imo.org/localresources/en/publications/Documents/Supplements/English/2Q191E_Supplement_January2026_EBK.pdf</x:v>
      </x:c>
      <x:c r="X14" s="123" t="str">
        <x:v>Voyage latitude, compass inventory, and power connections</x:v>
      </x:c>
      <x:c r="Y14" s="123" t="str">
        <x:v>Use a strict latitude threshold and require both power connections.</x:v>
      </x:c>
    </x:row>
    <x:row r="15" ht="100" customHeight="1">
      <x:c r="A15" s="108" t="str">
        <x:v>IMO26-014</x:v>
      </x:c>
      <x:c r="B15" s="108" t="str">
        <x:v>Polar Code January 2026 Supplement - Resolution MSC.538(107)</x:v>
      </x:c>
      <x:c r="C15" s="108" t="str">
        <x:v>January 2026 Supplement; effective 1 Jan 2026</x:v>
      </x:c>
      <x:c r="D15" s="163" t="n">
        <x:v>4</x:v>
      </x:c>
      <x:c r="E15" s="108" t="str">
        <x:v>Resolution MSC.538(107) - Chapter 9-1 regulations</x:v>
      </x:c>
      <x:c r="F15" s="108" t="str">
        <x:v>9-1.3.3</x:v>
      </x:c>
      <x:c r="G15" s="113" t="str">
        <x:v>Static</x:v>
      </x:c>
      <x:c r="H15" s="120" t="str">
        <x:v>Ships, with the exception of those solely operating in areas with 24 hours daylight, shall be equipped with two means of illumination to aid visual detection of ice.</x:v>
      </x:c>
      <x:c r="I15" s="121" t="str">
        <x:v>IF solely_24_hour_daylight_operation = false, THEN visual_ice_detection_illumination_means_count &gt;= 2.</x:v>
      </x:c>
      <x:c r="J15" s="122" t="str">
        <x:v>solely_24_hour_daylight_operation, visual_ice_detection_illumination_means_count</x:v>
      </x:c>
      <x:c r="K15" s="122" t="str">
        <x:v>No direct AnchorMap term found; propose code-safe alias: daylight profile and illumination-means count</x:v>
      </x:c>
      <x:c r="L15" s="124" t="str">
        <x:v>High</x:v>
      </x:c>
      <x:c r="M15" s="122" t="str">
        <x:v>Conditional minimum-count constraint</x:v>
      </x:c>
      <x:c r="N15" s="108" t="str">
        <x:v>Direct verification of a stated property, document, presence condition, enumeration, applicability rule, prohibition, or fixed limit.</x:v>
      </x:c>
      <x:c r="O15" s="113" t="str">
        <x:v>No</x:v>
      </x:c>
      <x:c r="P15" s="113" t="str">
        <x:v>Included - source reverified and locked</x:v>
      </x:c>
      <x:c r="Q15" s="108" t="str">
        <x:v>LOCK-2026-08-10: No source, page, clause, category, or normalized-meaning correction was required. Source wording was checked against the supplied PDF; equation notation is ASCII-linearized.</x:v>
      </x:c>
      <x:c r="R15" s="108" t="str">
        <x:v>LOCK-2026-08-11-R2 | source_pdf=2Q191E_Supplement_January2026_EBK.pdf | source_sha256=9ff7f3800b9dee0b1ec785fce8543a84b4ef250ad57eb9338b5d32904f9cf8fc | physical_pdf_page=4 | section=Resolution MSC.538(107) - Chapter 9-1 regulations | clause=9-1.3.3 | checks=independent_full_text_page_layout; numbers_units_operators_equations; normalized_rule_meaning; five_category_classification | status=LOCKED</x:v>
      </x:c>
      <x:c r="S15" s="108" t="str">
        <x:v>New IMO source; not derived from the thesis extraction.</x:v>
      </x:c>
      <x:c r="T15" s="108" t="str">
        <x:v>PASS - source/page/clause/meaning/category reverified</x:v>
      </x:c>
      <x:c r="U15" s="108" t="str">
        <x:v>LOCKED - extraction reverified</x:v>
      </x:c>
      <x:c r="V15" s="123" t="str">
        <x:v>Second-pass extraction lock covers source identity, physical PDF page span, section/clause, ASCII transcription, normalized meaning, and verification category. SHACL shapes remain a separate implementation artifact.</x:v>
      </x:c>
      <x:c r="W15" s="123" t="str">
        <x:v>https://wwwcdn.imo.org/localresources/en/publications/Documents/Supplements/English/2Q191E_Supplement_January2026_EBK.pdf</x:v>
      </x:c>
      <x:c r="X15" s="123" t="str">
        <x:v>Operating-light profile and illumination-equipment inventory</x:v>
      </x:c>
      <x:c r="Y15" s="123" t="str">
        <x:v>Require at least two illumination means unless the daylight exception applies.</x:v>
      </x:c>
    </x:row>
    <x:row r="16" ht="100" customHeight="1">
      <x:c r="A16" s="108" t="str">
        <x:v>IMO26-015</x:v>
      </x:c>
      <x:c r="B16" s="108" t="str">
        <x:v>Polar Code January 2026 Supplement - Resolution MSC.538(107)</x:v>
      </x:c>
      <x:c r="C16" s="108" t="str">
        <x:v>January 2026 Supplement; effective 1 Jan 2026</x:v>
      </x:c>
      <x:c r="D16" s="163" t="n">
        <x:v>5</x:v>
      </x:c>
      <x:c r="E16" s="108" t="str">
        <x:v>Resolution MSC.538(107) - Chapter 11 scope</x:v>
      </x:c>
      <x:c r="F16" s="108" t="str">
        <x:v>Amendment 5</x:v>
      </x:c>
      <x:c r="G16" s="113" t="str">
        <x:v>Static</x:v>
      </x:c>
      <x:c r="H16" s="120" t="str">
        <x:v>This chapter applies to ships certified in accordance with SOLAS chapter I.</x:v>
      </x:c>
      <x:c r="I16" s="121" t="str">
        <x:v>Polar Code chapter 11 applies only when SOLAS_chapter_I_certified = true.</x:v>
      </x:c>
      <x:c r="J16" s="122" t="str">
        <x:v>SOLAS_chapter_I_certified, chapter_11_applicable</x:v>
      </x:c>
      <x:c r="K16" s="122" t="str">
        <x:v>No direct AnchorMap term found; propose code-safe alias: SOLAS_chapter_I_certified, chapter_11_applicable</x:v>
      </x:c>
      <x:c r="L16" s="124" t="str">
        <x:v>High</x:v>
      </x:c>
      <x:c r="M16" s="122" t="str">
        <x:v>Applicability constraint</x:v>
      </x:c>
      <x:c r="N16" s="108" t="str">
        <x:v>Direct verification of a stated property, document, presence condition, enumeration, applicability rule, prohibition, or fixed limit.</x:v>
      </x:c>
      <x:c r="O16" s="113" t="str">
        <x:v>No</x:v>
      </x:c>
      <x:c r="P16" s="113" t="str">
        <x:v>Included - source reverified and locked</x:v>
      </x:c>
      <x:c r="Q16" s="108" t="str">
        <x:v>LOCK-2026-08-10: No source, page, clause, category, or normalized-meaning correction was required. Source wording was checked against the supplied PDF; equation notation is ASCII-linearized.</x:v>
      </x:c>
      <x:c r="R16" s="108" t="str">
        <x:v>LOCK-2026-08-11-R2 | source_pdf=2Q191E_Supplement_January2026_EBK.pdf | source_sha256=9ff7f3800b9dee0b1ec785fce8543a84b4ef250ad57eb9338b5d32904f9cf8fc | physical_pdf_page=5 | section=Resolution MSC.538(107) - Chapter 11 scope | clause=Amendment 5 | checks=independent_full_text_page_layout; numbers_units_operators_equations; normalized_rule_meaning; five_category_classification | status=LOCKED</x:v>
      </x:c>
      <x:c r="S16" s="108" t="str">
        <x:v>New IMO source; not derived from the thesis extraction.</x:v>
      </x:c>
      <x:c r="T16" s="108" t="str">
        <x:v>PASS - source/page/clause/meaning/category reverified</x:v>
      </x:c>
      <x:c r="U16" s="108" t="str">
        <x:v>LOCKED - extraction reverified</x:v>
      </x:c>
      <x:c r="V16" s="123" t="str">
        <x:v>Second-pass extraction lock covers source identity, physical PDF page span, section/clause, ASCII transcription, normalized meaning, and verification category. SHACL shapes remain a separate implementation artifact.</x:v>
      </x:c>
      <x:c r="W16" s="123" t="str">
        <x:v>https://wwwcdn.imo.org/localresources/en/publications/Documents/Supplements/English/2Q191E_Supplement_January2026_EBK.pdf</x:v>
      </x:c>
      <x:c r="X16" s="123" t="str">
        <x:v>Ship certification status</x:v>
      </x:c>
      <x:c r="Y16" s="123" t="str">
        <x:v>Use a direct Boolean implication for chapter applicability.</x:v>
      </x:c>
    </x:row>
    <x:row r="17" ht="100" customHeight="1">
      <x:c r="A17" s="108" t="str">
        <x:v>IMO26-016</x:v>
      </x:c>
      <x:c r="B17" s="108" t="str">
        <x:v>Polar Code January 2026 Supplement - Resolution MSC.538(107)</x:v>
      </x:c>
      <x:c r="C17" s="108" t="str">
        <x:v>January 2026 Supplement; effective 1 Jan 2026</x:v>
      </x:c>
      <x:c r="D17" s="163" t="n">
        <x:v>5</x:v>
      </x:c>
      <x:c r="E17" s="108" t="str">
        <x:v>Resolution MSC.538(107) - Chapter 11-1 scope</x:v>
      </x:c>
      <x:c r="F17" s="108" t="str">
        <x:v>Chapter 11-1 applicability</x:v>
      </x:c>
      <x:c r="G17" s="113" t="str">
        <x:v>Static</x:v>
      </x:c>
      <x:c r="H17" s="120" t="str">
        <x:v>This chapter applies to the following ships operating in polar waters: fishing vessels of 24 metres in length overall and above; pleasure yachts of 300 gross tonnage and upwards not engaged in trade; and cargo ships of 300 gross tonnage and upwards but below 500 gross tonnage.</x:v>
      </x:c>
      <x:c r="I17" s="121"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J17" s="122" t="str">
        <x:v>ship_operates_in_polar_waters, ship_type, length_overall_m, gross_tonnage, engaged_in_trade, chapter_11_1_applicable</x:v>
      </x:c>
      <x:c r="K17" s="122" t="str">
        <x:v>No direct AnchorMap term found; propose code-safe alias: ship particulars and chapter 11-1 applicability</x:v>
      </x:c>
      <x:c r="L17" s="124" t="str">
        <x:v>High</x:v>
      </x:c>
      <x:c r="M17" s="122" t="str">
        <x:v>Piecewise applicability constraint</x:v>
      </x:c>
      <x:c r="N17" s="108" t="str">
        <x:v>Direct verification of a stated property, document, presence condition, enumeration, applicability rule, prohibition, or fixed limit.</x:v>
      </x:c>
      <x:c r="O17" s="113" t="str">
        <x:v>No</x:v>
      </x:c>
      <x:c r="P17" s="113" t="str">
        <x:v>Included - source reverified and locked</x:v>
      </x:c>
      <x:c r="Q17" s="108" t="str">
        <x:v>LOCK-2026-08-10: No source, page, clause, category, or normalized-meaning correction was required. Source wording was checked against the supplied PDF; equation notation is ASCII-linearized.</x:v>
      </x:c>
      <x:c r="R17" s="108" t="str">
        <x:v>LOCK-2026-08-11-R2 | source_pdf=2Q191E_Supplement_January2026_EBK.pdf | source_sha256=9ff7f3800b9dee0b1ec785fce8543a84b4ef250ad57eb9338b5d32904f9cf8fc | physical_pdf_page=5 | section=Resolution MSC.538(107) - Chapter 11-1 scope | clause=Chapter 11-1 applicability | checks=independent_full_text_page_layout; numbers_units_operators_equations; normalized_rule_meaning; five_category_classification | status=LOCKED</x:v>
      </x:c>
      <x:c r="S17" s="108" t="str">
        <x:v>New IMO source; not derived from the thesis extraction.</x:v>
      </x:c>
      <x:c r="T17" s="108" t="str">
        <x:v>PASS - source/page/clause/meaning/category reverified</x:v>
      </x:c>
      <x:c r="U17" s="108" t="str">
        <x:v>LOCKED - extraction reverified</x:v>
      </x:c>
      <x:c r="V17" s="123" t="str">
        <x:v>Second-pass extraction lock covers source identity, physical PDF page span, section/clause, ASCII transcription, normalized meaning, and verification category. SHACL shapes remain a separate implementation artifact.</x:v>
      </x:c>
      <x:c r="W17" s="123" t="str">
        <x:v>https://wwwcdn.imo.org/localresources/en/publications/Documents/Supplements/English/2Q191E_Supplement_January2026_EBK.pdf</x:v>
      </x:c>
      <x:c r="X17" s="123" t="str">
        <x:v>Operating area, ship type, length, gross tonnage, and trade status</x:v>
      </x:c>
      <x:c r="Y17" s="123" t="str">
        <x:v>Encode the polar-area precondition and the three alternative ship branches.</x:v>
      </x:c>
    </x:row>
    <x:row r="18" ht="100" customHeight="1">
      <x:c r="A18" s="108" t="str">
        <x:v>IMO26-017</x:v>
      </x:c>
      <x:c r="B18" s="108" t="str">
        <x:v>Polar Code January 2026 Supplement - Resolution MSC.538(107)</x:v>
      </x:c>
      <x:c r="C18" s="108" t="str">
        <x:v>January 2026 Supplement; effective 1 Jan 2026</x:v>
      </x:c>
      <x:c r="D18" s="163" t="n">
        <x:v>5</x:v>
      </x:c>
      <x:c r="E18" s="108" t="str">
        <x:v>Resolution MSC.538(107) - Chapter 11-1</x:v>
      </x:c>
      <x:c r="F18" s="108" t="str">
        <x:v>11-1.2</x:v>
      </x:c>
      <x:c r="G18" s="113" t="str">
        <x:v>Complex</x:v>
      </x:c>
      <x:c r="H18" s="120" t="str">
        <x:v>The voyage plan shall take into account the potential hazards of the intended voyage.</x:v>
      </x:c>
      <x:c r="I18" s="121" t="str">
        <x:v>IF chapter_11_1_applicable = true, THEN voyage_plan_present = true and every intended_voyage_hazard shall have voyage_plan_coverage = true.</x:v>
      </x:c>
      <x:c r="J18" s="122" t="str">
        <x:v>chapter_11_1_applicable, voyage_plan_present, intended_voyage_hazard, voyage_plan_coverage</x:v>
      </x:c>
      <x:c r="K18" s="122" t="str">
        <x:v>No direct AnchorMap term found; propose code-safe alias: chapter 11-1 voyage-plan and hazard-coverage properties</x:v>
      </x:c>
      <x:c r="L18" s="124" t="str">
        <x:v>Medium</x:v>
      </x:c>
      <x:c r="M18" s="122" t="str">
        <x:v>Conditional hazard-coverage constraint</x:v>
      </x:c>
      <x:c r="N18" s="108" t="str">
        <x:v>Verification requires linked conditions, external approval or evidence, an assessment, or a composite workflow.</x:v>
      </x:c>
      <x:c r="O18" s="113" t="str">
        <x:v>No</x:v>
      </x:c>
      <x:c r="P18" s="113" t="str">
        <x:v>Included - source reverified and locked</x:v>
      </x:c>
      <x:c r="Q18" s="108" t="str">
        <x:v>LOCK-2026-08-10: No source, page, clause, category, or normalized-meaning correction was required. Source wording was checked against the supplied PDF; equation notation is ASCII-linearized.</x:v>
      </x:c>
      <x:c r="R18" s="108" t="str">
        <x:v>LOCK-2026-08-11-R2 | source_pdf=2Q191E_Supplement_January2026_EBK.pdf | source_sha256=9ff7f3800b9dee0b1ec785fce8543a84b4ef250ad57eb9338b5d32904f9cf8fc | physical_pdf_page=5 | section=Resolution MSC.538(107) - Chapter 11-1 | clause=11-1.2 | checks=independent_full_text_page_layout; numbers_units_operators_equations; normalized_rule_meaning; five_category_classification | status=LOCKED</x:v>
      </x:c>
      <x:c r="S18" s="108" t="str">
        <x:v>New IMO source; not derived from the thesis extraction.</x:v>
      </x:c>
      <x:c r="T18" s="108" t="str">
        <x:v>PASS - source/page/clause/meaning/category reverified</x:v>
      </x:c>
      <x:c r="U18" s="108" t="str">
        <x:v>LOCKED - extraction reverified</x:v>
      </x:c>
      <x:c r="V18" s="123" t="str">
        <x:v>Second-pass extraction lock covers source identity, physical PDF page span, section/clause, ASCII transcription, normalized meaning, and verification category. SHACL shapes remain a separate implementation artifact.</x:v>
      </x:c>
      <x:c r="W18" s="123" t="str">
        <x:v>https://wwwcdn.imo.org/localresources/en/publications/Documents/Supplements/English/2Q191E_Supplement_January2026_EBK.pdf</x:v>
      </x:c>
      <x:c r="X18" s="123" t="str">
        <x:v>Applicability, voyage plan, and intended-voyage hazard register</x:v>
      </x:c>
      <x:c r="Y18" s="123" t="str">
        <x:v>Require plan coverage for every identified hazard.</x:v>
      </x:c>
    </x:row>
    <x:row r="19" ht="100" customHeight="1">
      <x:c r="A19" s="108" t="str">
        <x:v>IMO26-018</x:v>
      </x:c>
      <x:c r="B19" s="108" t="str">
        <x:v>Polar Code January 2026 Supplement - Resolution MSC.538(107)</x:v>
      </x:c>
      <x:c r="C19" s="108" t="str">
        <x:v>January 2026 Supplement; effective 1 Jan 2026</x:v>
      </x:c>
      <x:c r="D19" s="163" t="n">
        <x:v>6</x:v>
      </x:c>
      <x:c r="E19" s="108" t="str">
        <x:v>Resolution MSC.538(107) - Chapter 11-1</x:v>
      </x:c>
      <x:c r="F19" s="108" t="str">
        <x:v>11-1.3.1-11-1.3.9</x:v>
      </x:c>
      <x:c r="G19" s="113" t="str">
        <x:v>Complex</x:v>
      </x:c>
      <x:c r="H19" s="120" t="str">
        <x:v>The master shall consider a route through polar waters, taking into account the following: the procedures required by the safety management system on board; if no safety management system is implemented there shall be a documented procedure for operation in polar waters; any limitations of the hydrographic information and aids to navigation available; current information on the extent and type of ice and icebergs in the vicinity of the intended route; statistical information on ice and temperatures from former years; places of refuge; current information and measures to be taken when marine mammals are encountered relating to known areas with densities of marine mammals, including seasonal migration areas; current information on relevant ships' routeing systems, speed recommendations and vessel traffic services relating to known areas with densities of marine mammals, including seasonal migration areas; national and international designated protected areas along the route; and operation in areas remote from search and rescue (SAR) capabilities.</x:v>
      </x:c>
      <x:c r="I19" s="121" t="str">
        <x:v>IF chapter_11_1_applicable = true, THEN the route planning record shall cover all nine clause 11-1.3 topics; if safety_management_system_implemented = false, documented_polar_operation_procedure_present shall be true.</x:v>
      </x:c>
      <x:c r="J19" s="122" t="str">
        <x:v>chapter_11_1_applicable, safety_management_system_implemented, documented_polar_operation_procedure_present, voyage_planning_topic_coverage</x:v>
      </x:c>
      <x:c r="K19" s="122" t="str">
        <x:v>No direct AnchorMap term found; propose code-safe alias: chapter 11-1 planning coverage and documented-procedure properties</x:v>
      </x:c>
      <x:c r="L19" s="124" t="str">
        <x:v>Medium</x:v>
      </x:c>
      <x:c r="M19" s="122" t="str">
        <x:v>Conditional composite document-coverage constraint</x:v>
      </x:c>
      <x:c r="N19" s="108" t="str">
        <x:v>Verification requires linked conditions, external approval or evidence, an assessment, or a composite workflow.</x:v>
      </x:c>
      <x:c r="O19" s="113" t="str">
        <x:v>No</x:v>
      </x:c>
      <x:c r="P19" s="113" t="str">
        <x:v>Included - source reverified and locked</x:v>
      </x:c>
      <x:c r="Q19" s="108" t="str">
        <x:v>LOCK-2026-08-10: Expanded the abbreviated clause range for unambiguous tracing. Final source lock check completed against the supplied PDF; equation notation is ASCII-linearized.</x:v>
      </x:c>
      <x:c r="R19" s="108" t="str">
        <x:v>LOCK-2026-08-11-R2 | source_pdf=2Q191E_Supplement_January2026_EBK.pdf | source_sha256=9ff7f3800b9dee0b1ec785fce8543a84b4ef250ad57eb9338b5d32904f9cf8fc | physical_pdf_page=6 | section=Resolution MSC.538(107) - Chapter 11-1 | clause=11-1.3.1-11-1.3.9 | checks=independent_full_text_page_layout; numbers_units_operators_equations; normalized_rule_meaning; five_category_classification | status=LOCKED</x:v>
      </x:c>
      <x:c r="S19" s="108" t="str">
        <x:v>New IMO source; not derived from the thesis extraction.</x:v>
      </x:c>
      <x:c r="T19" s="108" t="str">
        <x:v>PASS - source/page/clause/meaning/category reverified</x:v>
      </x:c>
      <x:c r="U19" s="108" t="str">
        <x:v>LOCKED - extraction reverified</x:v>
      </x:c>
      <x:c r="V19" s="123" t="str">
        <x:v>Second-pass extraction lock covers source identity, physical PDF page span, section/clause, ASCII transcription, normalized meaning, and verification category. SHACL shapes remain a separate implementation artifact.</x:v>
      </x:c>
      <x:c r="W19" s="123" t="str">
        <x:v>https://wwwcdn.imo.org/localresources/en/publications/Documents/Supplements/English/2Q191E_Supplement_January2026_EBK.pdf</x:v>
      </x:c>
      <x:c r="X19" s="123" t="str">
        <x:v>Applicability, safety-management status, procedure artifact, and nine topic indicators</x:v>
      </x:c>
      <x:c r="Y19" s="123" t="str">
        <x:v>Require all topic indicators and conditionally require the standalone procedure.</x:v>
      </x:c>
    </x:row>
  </x:sheetData>
  <x:conditionalFormatting sqref="G2:G19">
    <x:cfRule type="containsText" dxfId="15" priority="1" operator="containsText" text="Static"/>
    <x:cfRule type="containsText" dxfId="16" priority="2" operator="containsText" text="Static Calculation"/>
    <x:cfRule type="containsText" dxfId="17" priority="3" operator="containsText" text="Physical Test"/>
    <x:cfRule type="containsText" dxfId="18" priority="4" operator="containsText" text="Dynamic"/>
    <x:cfRule type="containsText" dxfId="19" priority="5" operator="containsText" text="Complex"/>
  </x:conditionalFormatting>
  <x:dataValidations count="5">
    <x:dataValidation type="list" sqref="G2:G19">
      <x:formula1>"Static,Static Calculation,Dynamic,Complex,Physical Test"</x:formula1>
    </x:dataValidation>
    <x:dataValidation type="list" sqref="L2:L19">
      <x:formula1>"High,Medium"</x:formula1>
    </x:dataValidation>
    <x:dataValidation type="list" sqref="O2:O19">
      <x:formula1>"No,Yes"</x:formula1>
    </x:dataValidation>
    <x:dataValidation type="list" sqref="P2:P19">
      <x:formula1>"Included - source locked"</x:formula1>
    </x:dataValidation>
    <x:dataValidation type="list" sqref="U2:U19">
      <x:formula1>"LOCKED - extraction verified,Needs revision"</x:formula1>
    </x:dataValidation>
  </x:dataValidations>
  <x:pageMargins left="0.7" right="0.7" top="0.75" bottom="0.75" header="0.3" footer="0.3"/>
  <x:tableParts count="1">
    <x:tablePart xmlns:r="http://schemas.openxmlformats.org/officeDocument/2006/relationships" r:id="R1367d8434ba3413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7" hidden="0" customWidth="1"/>
    <x:col min="2" max="2" width="46" hidden="0" customWidth="1"/>
    <x:col min="3" max="3" width="72" hidden="0" customWidth="1"/>
    <x:col min="4" max="4" width="18" hidden="0" customWidth="1"/>
    <x:col min="5" max="5" width="18" hidden="0" customWidth="1"/>
    <x:col min="6" max="6" width="68" hidden="0" customWidth="1"/>
    <x:col min="7" max="7" width="72" hidden="0" customWidth="1"/>
    <x:col min="8" max="8" width="16" hidden="0" customWidth="1"/>
  </x:cols>
  <x:sheetData>
    <x:row r="1" ht="34" customHeight="1">
      <x:c r="A1" s="187" t="str">
        <x:v>Final Source Traceability and Extraction Lock - Second-Pass Reverified</x:v>
      </x:c>
      <x:c r="B1" s="187"/>
      <x:c r="C1" s="187"/>
      <x:c r="D1" s="187"/>
      <x:c r="E1" s="187"/>
      <x:c r="F1" s="187"/>
      <x:c r="G1" s="187"/>
      <x:c r="H1" s="187"/>
    </x:row>
    <x:row r="2">
      <x:c r="A2" s="71"/>
      <x:c r="B2" s="71"/>
      <x:c r="C2" s="71"/>
      <x:c r="D2" s="71"/>
      <x:c r="E2" s="71"/>
      <x:c r="F2" s="71"/>
      <x:c r="G2" s="71"/>
      <x:c r="H2" s="71"/>
    </x:row>
    <x:row r="3" ht="40" customHeight="1">
      <x:c r="A3" s="188" t="str">
        <x:v>Lock ID</x:v>
      </x:c>
      <x:c r="B3" s="100" t="str">
        <x:v>LOCK-2026-08-11-R2</x:v>
      </x:c>
      <x:c r="C3" s="71"/>
      <x:c r="D3" s="71"/>
      <x:c r="E3" s="71"/>
      <x:c r="F3" s="71"/>
      <x:c r="G3" s="71"/>
      <x:c r="H3" s="71"/>
    </x:row>
    <x:row r="4" ht="40" customHeight="1">
      <x:c r="A4" s="189" t="str">
        <x:v>Lock date</x:v>
      </x:c>
      <x:c r="B4" s="93" t="str">
        <x:v>2026-08-11</x:v>
      </x:c>
      <x:c r="C4" s="71"/>
      <x:c r="D4" s="71"/>
      <x:c r="E4" s="71"/>
      <x:c r="F4" s="71"/>
      <x:c r="G4" s="71"/>
      <x:c r="H4" s="71"/>
    </x:row>
    <x:row r="5" ht="40" customHeight="1">
      <x:c r="A5" s="189" t="str">
        <x:v>Reverified input SHA-256</x:v>
      </x:c>
      <x:c r="B5" s="93" t="str">
        <x:v>2168852377d5305917daf2d28d736e92386256def77bfc1a3cd2be8ce0f5d59a</x:v>
      </x:c>
      <x:c r="C5" s="71"/>
      <x:c r="D5" s="71"/>
      <x:c r="E5" s="71"/>
      <x:c r="F5" s="71"/>
      <x:c r="G5" s="71"/>
      <x:c r="H5" s="71"/>
    </x:row>
    <x:row r="6" ht="40" customHeight="1">
      <x:c r="A6" s="189" t="str">
        <x:v>Locked records</x:v>
      </x:c>
      <x:c r="B6" s="93" t="n">
        <x:v>313</x:v>
      </x:c>
      <x:c r="C6" s="71"/>
      <x:c r="D6" s="71"/>
      <x:c r="E6" s="71"/>
      <x:c r="F6" s="71"/>
      <x:c r="G6" s="71"/>
      <x:c r="H6" s="71"/>
    </x:row>
    <x:row r="7" ht="42" customHeight="1">
      <x:c r="A7" s="189" t="str">
        <x:v>Lock result</x:v>
      </x:c>
      <x:c r="B7" s="93" t="str">
        <x:v>PASS - all 313 rows independently rechecked; six records received residual page, clause, or source-text corrections.</x:v>
      </x:c>
      <x:c r="C7" s="71"/>
      <x:c r="D7" s="71"/>
      <x:c r="E7" s="71"/>
      <x:c r="F7" s="71"/>
      <x:c r="G7" s="71"/>
      <x:c r="H7" s="71"/>
    </x:row>
    <x:row r="8" ht="40" customHeight="1">
      <x:c r="A8" s="190" t="str">
        <x:v>Scope boundary</x:v>
      </x:c>
      <x:c r="B8" s="95" t="str">
        <x:v>This lock verifies extraction and classification. It does not claim that final SHACL shapes have been authored or engineering-certified.</x:v>
      </x:c>
      <x:c r="C8" s="71"/>
      <x:c r="D8" s="71"/>
      <x:c r="E8" s="71"/>
      <x:c r="F8" s="71"/>
      <x:c r="G8" s="71"/>
      <x:c r="H8" s="71"/>
    </x:row>
    <x:row r="9">
      <x:c r="A9" s="71"/>
      <x:c r="B9" s="71"/>
      <x:c r="C9" s="71"/>
      <x:c r="D9" s="71"/>
      <x:c r="E9" s="71"/>
      <x:c r="F9" s="71"/>
      <x:c r="G9" s="71"/>
      <x:c r="H9" s="71"/>
    </x:row>
    <x:row r="10">
      <x:c r="A10" s="71"/>
      <x:c r="B10" s="71"/>
      <x:c r="C10" s="71"/>
      <x:c r="D10" s="71"/>
      <x:c r="E10" s="71"/>
      <x:c r="F10" s="71"/>
      <x:c r="G10" s="71"/>
      <x:c r="H10" s="71"/>
    </x:row>
    <x:row r="11">
      <x:c r="A11" s="195" t="str">
        <x:v>Source sheet</x:v>
      </x:c>
      <x:c r="B11" s="195" t="str">
        <x:v>PDF filename</x:v>
      </x:c>
      <x:c r="C11" s="195" t="str">
        <x:v>Source PDF SHA-256</x:v>
      </x:c>
      <x:c r="D11" s="195" t="str">
        <x:v>Physical pages</x:v>
      </x:c>
      <x:c r="E11" s="195" t="str">
        <x:v>Locked records</x:v>
      </x:c>
      <x:c r="F11" s="195" t="str">
        <x:v>Official source URL</x:v>
      </x:c>
      <x:c r="G11" s="195" t="str">
        <x:v>Verification path</x:v>
      </x:c>
      <x:c r="H11" s="195" t="str">
        <x:v>Status</x:v>
      </x:c>
    </x:row>
    <x:row r="12" ht="76" customHeight="1">
      <x:c r="A12" s="195" t="str">
        <x:v>TRAFICOM</x:v>
      </x:c>
      <x:c r="B12" s="195" t="str">
        <x:v>TRAFICOM.pdf</x:v>
      </x:c>
      <x:c r="C12" s="195" t="str">
        <x:v>8ab845347770c253433b8bad9b1fbe5d6ac71b3d07a1a28dae8a32cfde732ddc</x:v>
      </x:c>
      <x:c r="D12" s="195" t="n">
        <x:v>65</x:v>
      </x:c>
      <x:c r="E12" s="195" t="n">
        <x:v>122</x:v>
      </x:c>
      <x:c r="F12" s="195" t="str">
        <x:v>https://www.finlex.fi/en/authorities/regulations/traficom-transport-maritime/2021/47238</x:v>
      </x:c>
      <x:c r="G12" s="195" t="str">
        <x:v>Record_ID -&gt; Source/Edition -&gt; PDF page -&gt; Section -&gt; Clause -&gt; ASCII source text -&gt; Normalized rule -&gt; Variables/SHACL metadata -&gt; Lock fields</x:v>
      </x:c>
      <x:c r="H12" s="195" t="str">
        <x:v>LOCKED</x:v>
      </x:c>
    </x:row>
    <x:row r="13" ht="76" customHeight="1">
      <x:c r="A13" s="195" t="str">
        <x:v>IACS_UR_I2</x:v>
      </x:c>
      <x:c r="B13" s="195" t="str">
        <x:v>ur-i2rev4.pdf</x:v>
      </x:c>
      <x:c r="C13" s="195" t="str">
        <x:v>2142453d2965997a772f451982278e622413273048097924173216bd278df9a7</x:v>
      </x:c>
      <x:c r="D13" s="195" t="n">
        <x:v>22</x:v>
      </x:c>
      <x:c r="E13" s="195" t="n">
        <x:v>48</x:v>
      </x:c>
      <x:c r="F13" s="195" t="str">
        <x:v>https://iacs.org.uk/resolutions/unified-requirements/ur-i/ur-i2-rev4-cln</x:v>
      </x:c>
      <x:c r="G13" s="195" t="str">
        <x:v>Record_ID -&gt; Source/Edition -&gt; PDF page -&gt; Section -&gt; Clause -&gt; ASCII source text -&gt; Normalized rule -&gt; Variables/SHACL metadata -&gt; Lock fields</x:v>
      </x:c>
      <x:c r="H13" s="195" t="str">
        <x:v>LOCKED</x:v>
      </x:c>
    </x:row>
    <x:row r="14" ht="76" customHeight="1">
      <x:c r="A14" s="195" t="str">
        <x:v>IMO_POLAR_CODE</x:v>
      </x:c>
      <x:c r="B14" s="195" t="str">
        <x:v>MSC.385(94).pdf</x:v>
      </x:c>
      <x:c r="C14" s="195" t="str">
        <x:v>6c6a038bff68ee906dd97c41e95fb4442917c014c8e79228f15e80cc5afa5c1f</x:v>
      </x:c>
      <x:c r="D14" s="195" t="n">
        <x:v>59</x:v>
      </x:c>
      <x:c r="E14" s="195" t="n">
        <x:v>125</x:v>
      </x:c>
      <x:c r="F14" s="195" t="str">
        <x:v>https://wwwcdn.imo.org/localresources/en/KnowledgeCentre/IndexofIMOResolutions/MSCResolutions/MSC.385%2894%29.pdf</x:v>
      </x:c>
      <x:c r="G14" s="195" t="str">
        <x:v>Record_ID -&gt; Source/Edition -&gt; PDF page -&gt; Section -&gt; Clause -&gt; ASCII source text -&gt; Normalized rule -&gt; Variables/SHACL metadata -&gt; Lock fields</x:v>
      </x:c>
      <x:c r="H14" s="195" t="str">
        <x:v>LOCKED</x:v>
      </x:c>
    </x:row>
    <x:row r="15" ht="76" customHeight="1">
      <x:c r="A15" s="195" t="str">
        <x:v>IMO_AMEND_2026</x:v>
      </x:c>
      <x:c r="B15" s="195" t="str">
        <x:v>2Q191E_Supplement_January2026_EBK.pdf</x:v>
      </x:c>
      <x:c r="C15" s="195" t="str">
        <x:v>9ff7f3800b9dee0b1ec785fce8543a84b4ef250ad57eb9338b5d32904f9cf8fc</x:v>
      </x:c>
      <x:c r="D15" s="195" t="n">
        <x:v>7</x:v>
      </x:c>
      <x:c r="E15" s="195" t="n">
        <x:v>18</x:v>
      </x:c>
      <x:c r="F15" s="195" t="str">
        <x:v>https://wwwcdn.imo.org/localresources/en/publications/Documents/Supplements/English/2Q191E_Supplement_January2026_EBK.pdf</x:v>
      </x:c>
      <x:c r="G15" s="195" t="str">
        <x:v>Record_ID -&gt; Source/Edition -&gt; PDF page -&gt; Section -&gt; Clause -&gt; ASCII source text -&gt; Normalized rule -&gt; Variables/SHACL metadata -&gt; Lock fields</x:v>
      </x:c>
      <x:c r="H15" s="195" t="str">
        <x:v>LOCKED</x:v>
      </x:c>
    </x:row>
    <x:row r="16">
      <x:c r="A16" s="71"/>
      <x:c r="B16" s="71"/>
      <x:c r="C16" s="71"/>
      <x:c r="D16" s="71"/>
      <x:c r="E16" s="71"/>
      <x:c r="F16" s="71"/>
      <x:c r="G16" s="71"/>
      <x:c r="H16" s="71"/>
    </x:row>
    <x:row r="17">
      <x:c r="A17" s="71"/>
      <x:c r="B17" s="71"/>
      <x:c r="C17" s="71"/>
      <x:c r="D17" s="71"/>
      <x:c r="E17" s="71"/>
      <x:c r="F17" s="71"/>
      <x:c r="G17" s="71"/>
      <x:c r="H17" s="71"/>
    </x:row>
    <x:row r="18">
      <x:c r="A18" s="191" t="str">
        <x:v>Audit control</x:v>
      </x:c>
      <x:c r="B18" s="191" t="str">
        <x:v>Result</x:v>
      </x:c>
      <x:c r="C18" s="191" t="str">
        <x:v>Evidence written to workbook</x:v>
      </x:c>
      <x:c r="D18" s="71"/>
      <x:c r="E18" s="71"/>
      <x:c r="F18" s="71"/>
      <x:c r="G18" s="71"/>
      <x:c r="H18" s="71"/>
    </x:row>
    <x:row r="19" ht="34" customHeight="1">
      <x:c r="A19" s="77" t="str">
        <x:v>Included record count</x:v>
      </x:c>
      <x:c r="B19" s="192" t="str">
        <x:v>PASS</x:v>
      </x:c>
      <x:c r="C19" s="100" t="str">
        <x:v>313 row-level lock records</x:v>
      </x:c>
      <x:c r="D19" s="71"/>
      <x:c r="E19" s="71"/>
      <x:c r="F19" s="71"/>
      <x:c r="G19" s="71"/>
      <x:c r="H19" s="71"/>
    </x:row>
    <x:row r="20" ht="34" customHeight="1">
      <x:c r="A20" s="91" t="str">
        <x:v>Source PDFs identified by SHA-256</x:v>
      </x:c>
      <x:c r="B20" s="193" t="str">
        <x:v>PASS</x:v>
      </x:c>
      <x:c r="C20" s="93" t="str">
        <x:v>Four immutable source hashes in this sheet and every data row</x:v>
      </x:c>
      <x:c r="D20" s="71"/>
      <x:c r="E20" s="71"/>
      <x:c r="F20" s="71"/>
      <x:c r="G20" s="71"/>
      <x:c r="H20" s="71"/>
    </x:row>
    <x:row r="21" ht="34" customHeight="1">
      <x:c r="A21" s="91" t="str">
        <x:v>Physical PDF page present</x:v>
      </x:c>
      <x:c r="B21" s="193" t="str">
        <x:v>PASS</x:v>
      </x:c>
      <x:c r="C21" s="93" t="str">
        <x:v>PDF_Page plus per-row Traceability_Notes</x:v>
      </x:c>
      <x:c r="D21" s="71"/>
      <x:c r="E21" s="71"/>
      <x:c r="F21" s="71"/>
      <x:c r="G21" s="71"/>
      <x:c r="H21" s="71"/>
    </x:row>
    <x:row r="22" ht="34" customHeight="1">
      <x:c r="A22" s="91" t="str">
        <x:v>Section and clause present</x:v>
      </x:c>
      <x:c r="B22" s="193" t="str">
        <x:v>PASS</x:v>
      </x:c>
      <x:c r="C22" s="93" t="str">
        <x:v>Section, Regulation_Clause, and per-row Traceability_Notes</x:v>
      </x:c>
      <x:c r="D22" s="71"/>
      <x:c r="E22" s="71"/>
      <x:c r="F22" s="71"/>
      <x:c r="G22" s="71"/>
      <x:c r="H22" s="71"/>
    </x:row>
    <x:row r="23" ht="34" customHeight="1">
      <x:c r="A23" s="91" t="str">
        <x:v>Source transcription review</x:v>
      </x:c>
      <x:c r="B23" s="193" t="str">
        <x:v>PASS</x:v>
      </x:c>
      <x:c r="C23" s="93" t="str">
        <x:v>Page text/layout comparison; equations linearized to ASCII</x:v>
      </x:c>
      <x:c r="D23" s="71"/>
      <x:c r="E23" s="71"/>
      <x:c r="F23" s="71"/>
      <x:c r="G23" s="71"/>
      <x:c r="H23" s="71"/>
    </x:row>
    <x:row r="24" ht="34" customHeight="1">
      <x:c r="A24" s="91" t="str">
        <x:v>Normalized meaning review</x:v>
      </x:c>
      <x:c r="B24" s="193" t="str">
        <x:v>PASS</x:v>
      </x:c>
      <x:c r="C24" s="93" t="str">
        <x:v>Values, units, operators, applicability, and alternatives checked</x:v>
      </x:c>
      <x:c r="D24" s="71"/>
      <x:c r="E24" s="71"/>
      <x:c r="F24" s="71"/>
      <x:c r="G24" s="71"/>
      <x:c r="H24" s="71"/>
    </x:row>
    <x:row r="25" ht="34" customHeight="1">
      <x:c r="A25" s="91" t="str">
        <x:v>Five-category review</x:v>
      </x:c>
      <x:c r="B25" s="193" t="str">
        <x:v>PASS</x:v>
      </x:c>
      <x:c r="C25" s="93" t="str">
        <x:v>Static, Static Calculation, Dynamic, Complex, or Physical Test</x:v>
      </x:c>
      <x:c r="D25" s="71"/>
      <x:c r="E25" s="71"/>
      <x:c r="F25" s="71"/>
      <x:c r="G25" s="71"/>
      <x:c r="H25" s="71"/>
    </x:row>
    <x:row r="26" ht="34" customHeight="1">
      <x:c r="A26" s="91" t="str">
        <x:v>Figure-dependent candidates</x:v>
      </x:c>
      <x:c r="B26" s="193" t="str">
        <x:v>PASS</x:v>
      </x:c>
      <x:c r="C26" s="93" t="str">
        <x:v>All included records retain Figure_Dependent = No</x:v>
      </x:c>
      <x:c r="D26" s="71"/>
      <x:c r="E26" s="71"/>
      <x:c r="F26" s="71"/>
      <x:c r="G26" s="71"/>
      <x:c r="H26" s="71"/>
    </x:row>
    <x:row r="27" ht="34" customHeight="1">
      <x:c r="A27" s="91" t="str">
        <x:v>Source-lock status</x:v>
      </x:c>
      <x:c r="B27" s="193" t="str">
        <x:v>PASS</x:v>
      </x:c>
      <x:c r="C27" s="93" t="str">
        <x:v>QA_Status and Review_Status completed on all 313 records</x:v>
      </x:c>
      <x:c r="D27" s="71"/>
      <x:c r="E27" s="71"/>
      <x:c r="F27" s="71"/>
      <x:c r="G27" s="71"/>
      <x:c r="H27" s="71"/>
    </x:row>
    <x:row r="28" ht="34" customHeight="1">
      <x:c r="A28" s="91" t="str">
        <x:v>Formula error scan</x:v>
      </x:c>
      <x:c r="B28" s="193" t="str">
        <x:v>PASS</x:v>
      </x:c>
      <x:c r="C28" s="93" t="str">
        <x:v>Final automated workbook scan</x:v>
      </x:c>
      <x:c r="D28" s="71"/>
      <x:c r="E28" s="71"/>
      <x:c r="F28" s="71"/>
      <x:c r="G28" s="71"/>
      <x:c r="H28" s="71"/>
    </x:row>
    <x:row r="29" ht="34" customHeight="1">
      <x:c r="A29" s="73" t="str">
        <x:v>Non-ASCII scan</x:v>
      </x:c>
      <x:c r="B29" s="194" t="str">
        <x:v>PASS</x:v>
      </x:c>
      <x:c r="C29" s="95" t="str">
        <x:v>Final automated workbook scan</x:v>
      </x:c>
      <x:c r="D29" s="71"/>
      <x:c r="E29" s="71"/>
      <x:c r="F29" s="71"/>
      <x:c r="G29" s="71"/>
      <x:c r="H29" s="71"/>
    </x:row>
    <x:row r="30">
      <x:c r="A30" s="71"/>
      <x:c r="B30" s="71"/>
      <x:c r="C30" s="71"/>
      <x:c r="D30" s="71"/>
      <x:c r="E30" s="71"/>
      <x:c r="F30" s="71"/>
      <x:c r="G30" s="71"/>
      <x:c r="H30" s="71"/>
    </x:row>
    <x:row r="31">
      <x:c r="A31" s="71"/>
      <x:c r="B31" s="71"/>
      <x:c r="C31" s="71"/>
      <x:c r="D31" s="71"/>
      <x:c r="E31" s="71"/>
      <x:c r="F31" s="71"/>
      <x:c r="G31" s="71"/>
      <x:c r="H31" s="71"/>
    </x:row>
    <x:row r="32">
      <x:c r="A32" s="191" t="str">
        <x:v>Lock field</x:v>
      </x:c>
      <x:c r="B32" s="191" t="str">
        <x:v>Meaning</x:v>
      </x:c>
      <x:c r="C32" s="71"/>
      <x:c r="D32" s="71"/>
      <x:c r="E32" s="71"/>
      <x:c r="F32" s="71"/>
      <x:c r="G32" s="71"/>
      <x:c r="H32" s="71"/>
    </x:row>
    <x:row r="33" ht="38" customHeight="1">
      <x:c r="A33" s="77" t="str">
        <x:v>Correction_Notes</x:v>
      </x:c>
      <x:c r="B33" s="100" t="str">
        <x:v>Explains whether the final audit changed the row and why.</x:v>
      </x:c>
      <x:c r="C33" s="71"/>
      <x:c r="D33" s="71"/>
      <x:c r="E33" s="71"/>
      <x:c r="F33" s="71"/>
      <x:c r="G33" s="71"/>
      <x:c r="H33" s="71"/>
    </x:row>
    <x:row r="34" ht="38" customHeight="1">
      <x:c r="A34" s="91" t="str">
        <x:v>Traceability_Notes</x:v>
      </x:c>
      <x:c r="B34" s="93" t="str">
        <x:v>Contains lock ID, PDF filename, PDF SHA-256, physical page, section, clause, checks, and status.</x:v>
      </x:c>
      <x:c r="C34" s="71"/>
      <x:c r="D34" s="71"/>
      <x:c r="E34" s="71"/>
      <x:c r="F34" s="71"/>
      <x:c r="G34" s="71"/>
      <x:c r="H34" s="71"/>
    </x:row>
    <x:row r="35" ht="38" customHeight="1">
      <x:c r="A35" s="91" t="str">
        <x:v>QA_Status</x:v>
      </x:c>
      <x:c r="B35" s="93" t="str">
        <x:v>Records the completed source/page/clause/meaning/category check.</x:v>
      </x:c>
      <x:c r="C35" s="71"/>
      <x:c r="D35" s="71"/>
      <x:c r="E35" s="71"/>
      <x:c r="F35" s="71"/>
      <x:c r="G35" s="71"/>
      <x:c r="H35" s="71"/>
    </x:row>
    <x:row r="36" ht="38" customHeight="1">
      <x:c r="A36" s="91" t="str">
        <x:v>Review_Status</x:v>
      </x:c>
      <x:c r="B36" s="93" t="str">
        <x:v>Marks extraction as locked.</x:v>
      </x:c>
      <x:c r="C36" s="71"/>
      <x:c r="D36" s="71"/>
      <x:c r="E36" s="71"/>
      <x:c r="F36" s="71"/>
      <x:c r="G36" s="71"/>
      <x:c r="H36" s="71"/>
    </x:row>
    <x:row r="37" ht="38" customHeight="1">
      <x:c r="A37" s="91" t="str">
        <x:v>Reviewer_Notes</x:v>
      </x:c>
      <x:c r="B37" s="93" t="str">
        <x:v>Defines what is and is not covered by the lock.</x:v>
      </x:c>
      <x:c r="C37" s="71"/>
      <x:c r="D37" s="71"/>
      <x:c r="E37" s="71"/>
      <x:c r="F37" s="71"/>
      <x:c r="G37" s="71"/>
      <x:c r="H37" s="71"/>
    </x:row>
    <x:row r="38" ht="38" customHeight="1">
      <x:c r="A38" s="91" t="str">
        <x:v>Verified_Source_Text_ASCII</x:v>
      </x:c>
      <x:c r="B38" s="93" t="str">
        <x:v>Source wording with only typography/equation layout converted to standard keyboard notation.</x:v>
      </x:c>
      <x:c r="C38" s="71"/>
      <x:c r="D38" s="71"/>
      <x:c r="E38" s="71"/>
      <x:c r="F38" s="71"/>
      <x:c r="G38" s="71"/>
      <x:c r="H38" s="71"/>
    </x:row>
    <x:row r="39" ht="38" customHeight="1">
      <x:c r="A39" s="73" t="str">
        <x:v>AI_Ready_Requirement</x:v>
      </x:c>
      <x:c r="B39" s="95" t="str">
        <x:v>Normalized rule that preserves applicability, values, units, operators, alternatives, and required evidence.</x:v>
      </x:c>
      <x:c r="C39" s="71"/>
      <x:c r="D39" s="71"/>
      <x:c r="E39" s="71"/>
      <x:c r="F39" s="71"/>
      <x:c r="G39" s="71"/>
      <x:c r="H39" s="71"/>
    </x:row>
  </x:sheetData>
  <x:mergeCells>
    <x:mergeCell ref="A1:H1"/>
  </x:mergeCells>
  <x:pageMargins left="0.7" right="0.7" top="0.75" bottom="0.75" header="0.3" footer="0.3"/>
  <x:tableParts count="1">
    <x:tablePart xmlns:r="http://schemas.openxmlformats.org/officeDocument/2006/relationships" r:id="Reed4f954571c4b5d"/>
  </x:tableParts>
</x:worksheet>
</file>