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8e70a9528924a12" /></Relationships>
</file>

<file path=xl/workbook.xml><?xml version="1.0" encoding="utf-8"?>
<x:workbook xmlns:x="http://schemas.openxmlformats.org/spreadsheetml/2006/main">
  <x:sheets>
    <x:sheet xmlns:r="http://schemas.openxmlformats.org/officeDocument/2006/relationships" name="README_PROTOCOL" sheetId="1" r:id="R5fdadce37d364a3c"/>
    <x:sheet xmlns:r="http://schemas.openxmlformats.org/officeDocument/2006/relationships" name="IACS_TEST_PLAN" sheetId="2" r:id="R6a29643459db490c"/>
    <x:sheet xmlns:r="http://schemas.openxmlformats.org/officeDocument/2006/relationships" name="MANUAL_REVIEW_TEMPLATE" sheetId="3" r:id="Raf54db9f95a3405b"/>
    <x:sheet xmlns:r="http://schemas.openxmlformats.org/officeDocument/2006/relationships" name="SOURCE_LIBRARY" sheetId="4" r:id="R68706a50c4ff4e5b"/>
    <x:sheet xmlns:r="http://schemas.openxmlformats.org/officeDocument/2006/relationships" name="TRF_TEST_PLAN" sheetId="5" r:id="R2a58841d281b438a"/>
    <x:sheet xmlns:r="http://schemas.openxmlformats.org/officeDocument/2006/relationships" name="IMO_TEST_PLAN" sheetId="6" r:id="Rbf5f6577c48c4c45"/>
    <x:sheet xmlns:r="http://schemas.openxmlformats.org/officeDocument/2006/relationships" name="IMO26_TEST_PLAN" sheetId="7" r:id="R783281716d8b42d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FFFFFF"/>
      <x:name val="Carlito"/>
    </x:font>
    <x:font>
      <x:b/>
      <x:sz val="11"/>
      <x:color rgb="FF17365D"/>
      <x:name val="Carlito"/>
    </x:font>
    <x:font>
      <x:b/>
      <x:sz val="11"/>
      <x:name val="Carlito"/>
    </x:font>
  </x:fonts>
  <x:fills count="10">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3F6FA"/>
      </x:patternFill>
    </x:fill>
    <x:fill>
      <x:patternFill patternType="solid">
        <x:fgColor rgb="FFEDF3F8"/>
      </x:patternFill>
    </x:fill>
    <x:fill>
      <x:patternFill patternType="solid">
        <x:fgColor rgb="FF17365D"/>
      </x:patternFill>
    </x:fill>
    <x:fill>
      <x:patternFill patternType="solid">
        <x:fgColor rgb="FFEDF3F8"/>
      </x:patternFill>
    </x:fill>
    <x:fill>
      <x:patternFill patternType="solid">
        <x:fgColor rgb="FF17365D"/>
      </x:patternFill>
    </x:fill>
    <x:fill>
      <x:patternFill patternType="solid">
        <x:fgColor rgb="FFEDF3F8"/>
      </x:patternFill>
    </x:fill>
  </x:fills>
  <x:borders count="2">
    <x:border/>
    <x:border/>
  </x:borders>
  <x:cellStyleXfs count="1">
    <x:xf numFmtId="0" fontId="0" fillId="0" borderId="0"/>
  </x:cellStyleXfs>
  <x:cellXfs count="4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vertical="center"/>
    </x:xf>
    <x:xf numFmtId="0" fontId="0" fillId="4" borderId="0" xfId="0" applyNumberFormat="1" applyFont="1" applyFill="1" applyBorder="1"/>
    <x:xf numFmtId="0" fontId="0" fillId="4" borderId="1" xfId="0" applyNumberFormat="1" applyFont="1" applyFill="1" applyBorder="1"/>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4" fillId="5" borderId="1" xfId="0" applyNumberFormat="1" applyFont="1" applyFill="1" applyBorder="1" applyAlignment="1">
      <x:alignment wrapText="1"/>
    </x:xf>
    <x:xf numFmtId="0" fontId="0" fillId="0" borderId="0"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0" fontId="0" fillId="7" borderId="0" xfId="0" applyNumberFormat="1" applyFont="1" applyFill="1" applyBorder="1" applyAlignment="1">
      <x:alignment wrapText="1"/>
    </x:xf>
    <x:xf numFmtId="0" fontId="4" fillId="7" borderId="0" xfId="0" applyNumberFormat="1" applyFont="1" applyFill="1" applyBorder="1" applyAlignment="1">
      <x:alignment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horizontal="center" wrapText="1"/>
    </x:xf>
    <x:xf numFmtId="0" fontId="2" fillId="8" borderId="0" xfId="0" applyNumberFormat="1" applyFont="1" applyFill="1" applyBorder="1" applyAlignment="1">
      <x:alignment horizontal="center" vertical="center" wrapText="1"/>
    </x:xf>
    <x:xf numFmtId="0" fontId="0" fillId="9" borderId="0" xfId="0" applyNumberFormat="1" applyFont="1" applyFill="1" applyBorder="1" applyAlignment="1">
      <x:alignment wrapText="1"/>
    </x:xf>
    <x:xf numFmtId="0" fontId="4" fillId="9" borderId="0" xfId="0" applyNumberFormat="1" applyFont="1" applyFill="1" applyBorder="1" applyAlignment="1">
      <x:alignment wrapText="1"/>
    </x:xf>
  </x:cellXfs>
  <x:cellStyles count="1">
    <x:cellStyle name="Normal" xfId="0"/>
  </x:cellStyles>
  <x:dxfs count="19">
    <x:dxf>
      <x:fill>
        <x:patternFill>
          <x:bgColor rgb="FFFFF2CC"/>
        </x:patternFill>
      </x:fill>
    </x:dxf>
    <x:dxf>
      <x:fill>
        <x:patternFill>
          <x:bgColor rgb="FFE2F0D9"/>
        </x:patternFill>
      </x:fill>
    </x:dxf>
    <x:dxf>
      <x:fill>
        <x:patternFill>
          <x:bgColor rgb="FFD9EAF7"/>
        </x:patternFill>
      </x:fill>
    </x:dxf>
    <x:dxf>
      <x:font>
        <x:b/>
      </x:font>
      <x:fill>
        <x:patternFill>
          <x:bgColor rgb="FFE2F0D9"/>
        </x:patternFill>
      </x:fill>
    </x:dxf>
    <x:dxf>
      <x:fill>
        <x:patternFill>
          <x:bgColor rgb="FFFFF2CC"/>
        </x:patternFill>
      </x:fill>
    </x:dxf>
    <x:dxf>
      <x:fill>
        <x:patternFill>
          <x:bgColor rgb="FFE2F0D9"/>
        </x:patternFill>
      </x:fill>
    </x:dxf>
    <x:dxf>
      <x:fill>
        <x:patternFill>
          <x:bgColor rgb="FFE2F0D9"/>
        </x:patternFill>
      </x:fill>
    </x:dxf>
    <x:dxf>
      <x:fill>
        <x:patternFill>
          <x:bgColor rgb="FFDDEBF7"/>
        </x:patternFill>
      </x:fill>
    </x:dxf>
    <x:dxf>
      <x:font>
        <x:b/>
      </x:font>
      <x:fill>
        <x:patternFill>
          <x:bgColor rgb="FFE2F0D9"/>
        </x:patternFill>
      </x:fill>
    </x:dxf>
    <x:dxf>
      <x:fill>
        <x:patternFill patternType="solid">
          <x:bgColor rgb="FFFFF2CC"/>
        </x:patternFill>
      </x:fill>
    </x:dxf>
    <x:dxf>
      <x:fill>
        <x:patternFill patternType="solid">
          <x:bgColor rgb="FFC6E0B4"/>
        </x:patternFill>
      </x:fill>
    </x:dxf>
    <x:dxf>
      <x:fill>
        <x:patternFill patternType="solid">
          <x:bgColor rgb="FFE2F0D9"/>
        </x:patternFill>
      </x:fill>
    </x:dxf>
    <x:dxf>
      <x:fill>
        <x:patternFill patternType="solid">
          <x:bgColor rgb="FFDDEBF7"/>
        </x:patternFill>
      </x:fill>
    </x:dxf>
    <x:dxf>
      <x:font>
        <x:b/>
      </x:font>
      <x:fill>
        <x:patternFill patternType="solid">
          <x:bgColor rgb="FFE2F0D9"/>
        </x:patternFill>
      </x:fill>
    </x:dxf>
    <x:dxf>
      <x:fill>
        <x:patternFill patternType="solid">
          <x:bgColor rgb="FFFFF2CC"/>
        </x:patternFill>
      </x:fill>
    </x:dxf>
    <x:dxf>
      <x:fill>
        <x:patternFill patternType="solid">
          <x:bgColor rgb="FFC6E0B4"/>
        </x:patternFill>
      </x:fill>
    </x:dxf>
    <x:dxf>
      <x:fill>
        <x:patternFill patternType="solid">
          <x:bgColor rgb="FFE2F0D9"/>
        </x:patternFill>
      </x:fill>
    </x:dxf>
    <x:dxf>
      <x:fill>
        <x:patternFill patternType="solid">
          <x:bgColor rgb="FFDDEBF7"/>
        </x:patternFill>
      </x:fill>
    </x:dxf>
    <x:dxf>
      <x:font>
        <x:b/>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e04d05675354e01" /><Relationship Type="http://schemas.openxmlformats.org/officeDocument/2006/relationships/theme" Target="/xl/theme/theme1.xml" Id="R2c88632557414733" /><Relationship Type="http://schemas.openxmlformats.org/officeDocument/2006/relationships/sharedStrings" Target="/xl/sharedStrings.xml" Id="R19c4a0e5fcb0487e" /><Relationship Type="http://schemas.openxmlformats.org/officeDocument/2006/relationships/worksheet" Target="/xl/worksheets/sheet1.xml" Id="R5fdadce37d364a3c" /><Relationship Type="http://schemas.openxmlformats.org/officeDocument/2006/relationships/worksheet" Target="/xl/worksheets/sheet2.xml" Id="R6a29643459db490c" /><Relationship Type="http://schemas.openxmlformats.org/officeDocument/2006/relationships/worksheet" Target="/xl/worksheets/sheet3.xml" Id="Raf54db9f95a3405b" /><Relationship Type="http://schemas.openxmlformats.org/officeDocument/2006/relationships/worksheet" Target="/xl/worksheets/sheet4.xml" Id="R68706a50c4ff4e5b" /><Relationship Type="http://schemas.openxmlformats.org/officeDocument/2006/relationships/worksheet" Target="/xl/worksheets/sheet5.xml" Id="R2a58841d281b438a" /><Relationship Type="http://schemas.openxmlformats.org/officeDocument/2006/relationships/worksheet" Target="/xl/worksheets/sheet6.xml" Id="Rbf5f6577c48c4c45" /><Relationship Type="http://schemas.openxmlformats.org/officeDocument/2006/relationships/worksheet" Target="/xl/worksheets/sheet7.xml" Id="R783281716d8b42d5" /></Relationships>
</file>

<file path=xl/tables/table1.xml><?xml version="1.0" encoding="utf-8"?>
<x:table xmlns:x="http://schemas.openxmlformats.org/spreadsheetml/2006/main" id="1" name="IACSTestPlan" displayName="IACSTestPlan" ref="A1:U46" headerRowCount="1" totalsRowCount="0" totalsRowShown="0">
  <x:tableColumns count="21">
    <x:tableColumn id="1" name="Requirement ID"/>
    <x:tableColumn id="2" name="Regulatory document"/>
    <x:tableColumn id="3" name="Clause"/>
    <x:tableColumn id="4" name="PDF page"/>
    <x:tableColumn id="5" name="Verification mode"/>
    <x:tableColumn id="6" name="Logic pattern"/>
    <x:tableColumn id="7" name="Provenance class"/>
    <x:tableColumn id="8" name="R13 normalized regulatory meaning"/>
    <x:tableColumn id="9" name="Owner classes"/>
    <x:tableColumn id="10" name="Applicability terms"/>
    <x:tableColumn id="11" name="Relationship terms"/>
    <x:tableColumn id="12" name="Operand terms"/>
    <x:tableColumn id="13" name="Result terms"/>
    <x:tableColumn id="14" name="Evidence terms"/>
    <x:tableColumn id="15" name="Formula expression (if any)"/>
    <x:tableColumn id="16" name="Table model?"/>
    <x:tableColumn id="17" name="Source IDs"/>
    <x:tableColumn id="18" name="Test data / graph design"/>
    <x:tableColumn id="19" name="Planned behavioral cases"/>
    <x:tableColumn id="20" name="Status"/>
    <x:tableColumn id="21" name="Notes / interpretation boundary"/>
  </x:tableColumns>
  <x:tableStyleInfo name="TableStyleMedium2" showFirstColumn="0" showLastColumn="0" showRowStripes="1" showColumnStripes="0"/>
</x:table>
</file>

<file path=xl/tables/table2.xml><?xml version="1.0" encoding="utf-8"?>
<x:table xmlns:x="http://schemas.openxmlformats.org/spreadsheetml/2006/main" id="2" name="SourceLibrary" displayName="SourceLibrary" ref="A1:E7" headerRowCount="1" totalsRowCount="0" totalsRowShown="0">
  <x:tableColumns count="5">
    <x:tableColumn id="1" name="Source ID"/>
    <x:tableColumn id="2" name="Source / document"/>
    <x:tableColumn id="3" name="Path or URL"/>
    <x:tableColumn id="4" name="Source type"/>
    <x:tableColumn id="5" name="Use in benchmark"/>
  </x:tableColumns>
  <x:tableStyleInfo name="TableStyleMedium2" showFirstColumn="0" showLastColumn="0" showRowStripes="1" showColumnStripes="0"/>
</x:table>
</file>

<file path=xl/tables/table3.xml><?xml version="1.0" encoding="utf-8"?>
<x:table xmlns:x="http://schemas.openxmlformats.org/spreadsheetml/2006/main" id="3" name="TRFTestPlan" displayName="TRFTestPlan" ref="A1:U100" headerRowCount="1" totalsRowCount="0" totalsRowShown="0">
  <x:tableColumns count="21">
    <x:tableColumn id="1" name="Requirement ID"/>
    <x:tableColumn id="2" name="Regulatory document"/>
    <x:tableColumn id="3" name="Clause"/>
    <x:tableColumn id="4" name="PDF page"/>
    <x:tableColumn id="5" name="Verification mode"/>
    <x:tableColumn id="6" name="Logic pattern"/>
    <x:tableColumn id="7" name="Provenance class"/>
    <x:tableColumn id="8" name="R13 normalized regulatory meaning"/>
    <x:tableColumn id="9" name="Owner classes"/>
    <x:tableColumn id="10" name="Applicability terms"/>
    <x:tableColumn id="11" name="Relationship terms"/>
    <x:tableColumn id="12" name="Operand terms"/>
    <x:tableColumn id="13" name="Result terms"/>
    <x:tableColumn id="14" name="Evidence terms"/>
    <x:tableColumn id="15" name="Formula expression (if any)"/>
    <x:tableColumn id="16" name="Table model?"/>
    <x:tableColumn id="17" name="Source IDs"/>
    <x:tableColumn id="18" name="Test data / graph design"/>
    <x:tableColumn id="19" name="Planned behavioral cases"/>
    <x:tableColumn id="20" name="Status"/>
    <x:tableColumn id="21" name="Notes / interpretation boundary"/>
  </x:tableColumns>
  <x:tableStyleInfo name="TableStyleMedium2" showFirstColumn="0" showLastColumn="0" showRowStripes="1" showColumnStripes="0"/>
</x:table>
</file>

<file path=xl/tables/table4.xml><?xml version="1.0" encoding="utf-8"?>
<x:table xmlns:x="http://schemas.openxmlformats.org/spreadsheetml/2006/main" id="4" name="IMOTestPlan" displayName="IMOTestPlan" ref="A1:U110" headerRowCount="1" totalsRowCount="0" totalsRowShown="0">
  <x:tableColumns count="21">
    <x:tableColumn id="1" name="Requirement ID"/>
    <x:tableColumn id="2" name="Regulatory document"/>
    <x:tableColumn id="3" name="Clause"/>
    <x:tableColumn id="4" name="PDF page"/>
    <x:tableColumn id="5" name="Verification mode"/>
    <x:tableColumn id="6" name="Logic pattern"/>
    <x:tableColumn id="7" name="Provenance class"/>
    <x:tableColumn id="8" name="R13 normalized regulatory meaning"/>
    <x:tableColumn id="9" name="Owner classes"/>
    <x:tableColumn id="10" name="Applicability terms"/>
    <x:tableColumn id="11" name="Relationship terms"/>
    <x:tableColumn id="12" name="Operand terms"/>
    <x:tableColumn id="13" name="Result terms"/>
    <x:tableColumn id="14" name="Evidence terms"/>
    <x:tableColumn id="15" name="Formula expression (if any)"/>
    <x:tableColumn id="16" name="Table model?"/>
    <x:tableColumn id="17" name="Source IDs"/>
    <x:tableColumn id="18" name="Test data / graph design"/>
    <x:tableColumn id="19" name="Planned behavioral cases"/>
    <x:tableColumn id="20" name="Status"/>
    <x:tableColumn id="21" name="Notes / interpretation boundary"/>
  </x:tableColumns>
  <x:tableStyleInfo name="TableStyleMedium2" showFirstColumn="0" showLastColumn="0" showRowStripes="1" showColumnStripes="0"/>
</x:table>
</file>

<file path=xl/tables/table5.xml><?xml version="1.0" encoding="utf-8"?>
<x:table xmlns:x="http://schemas.openxmlformats.org/spreadsheetml/2006/main" id="5" name="IMO26TestPlan" displayName="IMO26TestPlan" ref="A1:U16" headerRowCount="1" totalsRowCount="0" totalsRowShown="0">
  <x:tableColumns count="21">
    <x:tableColumn id="1" name="Requirement ID"/>
    <x:tableColumn id="2" name="Regulatory document"/>
    <x:tableColumn id="3" name="Clause"/>
    <x:tableColumn id="4" name="PDF page"/>
    <x:tableColumn id="5" name="Verification mode"/>
    <x:tableColumn id="6" name="Logic pattern"/>
    <x:tableColumn id="7" name="Provenance class"/>
    <x:tableColumn id="8" name="R13 normalized regulatory meaning"/>
    <x:tableColumn id="9" name="Owner classes"/>
    <x:tableColumn id="10" name="Applicability terms"/>
    <x:tableColumn id="11" name="Relationship terms"/>
    <x:tableColumn id="12" name="Operand terms"/>
    <x:tableColumn id="13" name="Result terms"/>
    <x:tableColumn id="14" name="Evidence terms"/>
    <x:tableColumn id="15" name="Formula expression (if any)"/>
    <x:tableColumn id="16" name="Table model?"/>
    <x:tableColumn id="17" name="Source IDs"/>
    <x:tableColumn id="18" name="Test data / graph design"/>
    <x:tableColumn id="19" name="Planned behavioral cases"/>
    <x:tableColumn id="20" name="Status"/>
    <x:tableColumn id="21" name="Notes / interpretation bound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e03c7da2f23442c" /></Relationships>
</file>

<file path=xl/worksheets/_rels/sheet4.xml.rels>&#65279;<?xml version="1.0" encoding="utf-8"?><Relationships xmlns="http://schemas.openxmlformats.org/package/2006/relationships"><Relationship Type="http://schemas.openxmlformats.org/officeDocument/2006/relationships/table" Target="/xl/tables/table2.xml" Id="R2963115fa1cf4a5a" /></Relationships>
</file>

<file path=xl/worksheets/_rels/sheet5.xml.rels>&#65279;<?xml version="1.0" encoding="utf-8"?><Relationships xmlns="http://schemas.openxmlformats.org/package/2006/relationships"><Relationship Type="http://schemas.openxmlformats.org/officeDocument/2006/relationships/table" Target="/xl/tables/table3.xml" Id="Re50c707460da4fde" /></Relationships>
</file>

<file path=xl/worksheets/_rels/sheet6.xml.rels>&#65279;<?xml version="1.0" encoding="utf-8"?><Relationships xmlns="http://schemas.openxmlformats.org/package/2006/relationships"><Relationship Type="http://schemas.openxmlformats.org/officeDocument/2006/relationships/table" Target="/xl/tables/table4.xml" Id="R159419d162444678" /></Relationships>
</file>

<file path=xl/worksheets/_rels/sheet7.xml.rels>&#65279;<?xml version="1.0" encoding="utf-8"?><Relationships xmlns="http://schemas.openxmlformats.org/package/2006/relationships"><Relationship Type="http://schemas.openxmlformats.org/officeDocument/2006/relationships/table" Target="/xl/tables/table5.xml" Id="Rd3f7775f863d4ba1" /></Relationships>
</file>

<file path=xl/worksheets/sheet1.xml><?xml version="1.0" encoding="utf-8"?>
<x:worksheet xmlns:x="http://schemas.openxmlformats.org/spreadsheetml/2006/main">
  <x:sheetFormatPr defaultRowHeight="15"/>
  <x:cols>
    <x:col min="1" max="1" width="26" hidden="0" customWidth="1"/>
    <x:col min="2" max="2" width="95" hidden="0" customWidth="1"/>
    <x:col min="4" max="4" width="34" hidden="0" customWidth="1"/>
    <x:col min="5" max="5" width="55" hidden="0" customWidth="1"/>
    <x:col min="6" max="6" width="24" hidden="0" customWidth="1"/>
  </x:cols>
  <x:sheetData>
    <x:row r="1">
      <x:c r="A1" s="5" t="str">
        <x:v>R13 Behavioral Evaluation Mapping — Frozen Execution Protocol (IACS batch started)</x:v>
      </x:c>
    </x:row>
    <x:row r="3">
      <x:c r="A3" s="13" t="str">
        <x:v>Rule</x:v>
      </x:c>
      <x:c r="B3" s="13" t="str">
        <x:v>Frozen decision</x:v>
      </x:c>
      <x:c r="D3" s="22" t="str">
        <x:v>IACS batch summary</x:v>
      </x:c>
      <x:c r="E3" t="str"/>
      <x:c r="F3" t="str"/>
      <x:c r="G3" t="str"/>
    </x:row>
    <x:row r="4">
      <x:c r="A4" s="18" t="str">
        <x:v>Evaluation scope</x:v>
      </x:c>
      <x:c r="B4" s="18" t="str">
        <x:v>Only R13 status=COMPLETE requirements. Current sheet maps all 45 COMPLETE I2-* requirements.</x:v>
      </x:c>
      <x:c r="D4" s="26" t="str">
        <x:v>Mapped COMPLETE I2 requirements</x:v>
      </x:c>
      <x:c r="E4" s="26" t="n">
        <x:v>45</x:v>
      </x:c>
    </x:row>
    <x:row r="5">
      <x:c r="A5" s="18" t="str">
        <x:v>Graph vocabulary</x:v>
      </x:c>
      <x:c r="B5" s="18" t="str">
        <x:v>Every RDF graph must use exact R13 classes, properties, paths, controlled values, datatypes and QUDT units. Never adapt the graph to generated SHACL.</x:v>
      </x:c>
      <x:c r="D5" s="26" t="str">
        <x:v>DIRECT_STATIC</x:v>
      </x:c>
      <x:c r="E5" s="26" t="n">
        <x:v>17</x:v>
      </x:c>
    </x:row>
    <x:row r="6">
      <x:c r="A6" s="18" t="str">
        <x:v>Minimum-subgraph principle</x:v>
      </x:c>
      <x:c r="B6" s="18" t="str">
        <x:v>Build only the smallest relevant ship/design subgraph needed to exercise the requirement.</x:v>
      </x:c>
      <x:c r="D6" s="26" t="str">
        <x:v>DIRECT_CALCULATION</x:v>
      </x:c>
      <x:c r="E6" s="26" t="n">
        <x:v>11</x:v>
      </x:c>
    </x:row>
    <x:row r="7">
      <x:c r="A7" s="18" t="str">
        <x:v>Provenance A</x:v>
      </x:c>
      <x:c r="B7" s="18" t="str">
        <x:v>A_REAL_DIRECT — exact published real-ship fact.</x:v>
      </x:c>
      <x:c r="D7" s="26" t="str">
        <x:v>COMPLEX_READINESS</x:v>
      </x:c>
      <x:c r="E7" s="26" t="n">
        <x:v>17</x:v>
      </x:c>
    </x:row>
    <x:row r="8">
      <x:c r="A8" s="18" t="str">
        <x:v>Provenance B</x:v>
      </x:c>
      <x:c r="B8" s="18" t="str">
        <x:v>B_REAL_DERIVED — calculated from published real inputs.</x:v>
      </x:c>
      <x:c r="D8" s="26" t="str">
        <x:v>Manual-only planned</x:v>
      </x:c>
      <x:c r="E8" s="26" t="n">
        <x:v>0</x:v>
      </x:c>
    </x:row>
    <x:row r="9">
      <x:c r="A9" s="18" t="str">
        <x:v>Provenance C</x:v>
      </x:c>
      <x:c r="B9" s="18" t="str">
        <x:v>C_REAL_CONTEXT_CONTROLLED — real ship context + deliberately controlled/mutated test values.</x:v>
      </x:c>
    </x:row>
    <x:row r="10">
      <x:c r="A10" s="18" t="str">
        <x:v>Provenance D</x:v>
      </x:c>
      <x:c r="B10" s="18" t="str">
        <x:v>D_REGULATION_SYNTHETIC — realistic test graph derived directly from authoritative regulation.</x:v>
      </x:c>
    </x:row>
    <x:row r="11">
      <x:c r="A11" s="18" t="str">
        <x:v>Provenance E</x:v>
      </x:c>
      <x:c r="B11" s="18" t="str">
        <x:v>E_MANUAL_ONLY — no defensible executable behavioral oracle; exclude from RDF denominator and review manually.</x:v>
      </x:c>
      <x:c r="D11" s="13" t="str">
        <x:v>Provenance</x:v>
      </x:c>
      <x:c r="E11" s="13" t="str">
        <x:v>Meaning</x:v>
      </x:c>
      <x:c r="F11" s="13" t="str">
        <x:v>Included in RDF accuracy?</x:v>
      </x:c>
    </x:row>
    <x:row r="12">
      <x:c r="A12" s="18" t="str">
        <x:v>Complex readiness</x:v>
      </x:c>
      <x:c r="B12" s="18" t="str">
        <x:v>Test required applicability, owners, paths, operands, results, evidence and units. Do not claim to execute advanced engineering analysis when R13 formulaExecutionRequired=false.</x:v>
      </x:c>
      <x:c r="D12" s="18" t="str">
        <x:v>A_REAL_DIRECT</x:v>
      </x:c>
      <x:c r="E12" s="18" t="str">
        <x:v>Exact published real-ship fact</x:v>
      </x:c>
      <x:c r="F12" s="18" t="str">
        <x:v>YES</x:v>
      </x:c>
    </x:row>
    <x:row r="13">
      <x:c r="A13" s="18" t="str">
        <x:v>OR alternatives</x:v>
      </x:c>
      <x:c r="B13" s="18" t="str">
        <x:v>Test each permitted compliance route independently plus FAIL_NONE. Do not collapse OR to AND.</x:v>
      </x:c>
      <x:c r="D13" s="18" t="str">
        <x:v>B_REAL_DERIVED</x:v>
      </x:c>
      <x:c r="E13" s="18" t="str">
        <x:v>Derived from published real inputs</x:v>
      </x:c>
      <x:c r="F13" s="18" t="str">
        <x:v>YES</x:v>
      </x:c>
    </x:row>
    <x:row r="14">
      <x:c r="A14" s="18" t="str">
        <x:v>Conditional rules</x:v>
      </x:c>
      <x:c r="B14" s="18" t="str">
        <x:v>Include applicable PASS, applicable FAIL and non-applicable PASS to catch over-constraint.</x:v>
      </x:c>
      <x:c r="D14" s="18" t="str">
        <x:v>C_REAL_CONTEXT_CONTROLLED</x:v>
      </x:c>
      <x:c r="E14" s="18" t="str">
        <x:v>Real context + controlled/mutated test values</x:v>
      </x:c>
      <x:c r="F14" s="18" t="str">
        <x:v>YES</x:v>
      </x:c>
    </x:row>
    <x:row r="15">
      <x:c r="A15" s="18" t="str">
        <x:v>Universal rules</x:v>
      </x:c>
      <x:c r="B15" s="18" t="str">
        <x:v>Test all-valid, one-invalid/mixed and zero-instances when the source does not impose existence.</x:v>
      </x:c>
      <x:c r="D15" s="18" t="str">
        <x:v>D_REGULATION_SYNTHETIC</x:v>
      </x:c>
      <x:c r="E15" s="18" t="str">
        <x:v>Regulation-grounded synthetic engineering graph</x:v>
      </x:c>
      <x:c r="F15" s="18" t="str">
        <x:v>YES</x:v>
      </x:c>
    </x:row>
    <x:row r="16">
      <x:c r="A16" s="18" t="str">
        <x:v>Tables</x:v>
      </x:c>
      <x:c r="B16" s="18" t="str">
        <x:v>Exercise decision branches/bands/selectors; include missing selector and wrong result. Large deterministic tables may use exhaustive generated combinations.</x:v>
      </x:c>
      <x:c r="D16" s="18" t="str">
        <x:v>E_MANUAL_ONLY</x:v>
      </x:c>
      <x:c r="E16" s="18" t="str">
        <x:v>No defensible executable oracle</x:v>
      </x:c>
      <x:c r="F16" s="18" t="str">
        <x:v>NO</x:v>
      </x:c>
    </x:row>
    <x:row r="17">
      <x:c r="A17" s="18" t="str">
        <x:v>Freeze rule</x:v>
      </x:c>
      <x:c r="B17" s="18" t="str">
        <x:v>Expected outcomes and benchmark graphs are finalized and hashed before model outputs are inspected.</x:v>
      </x:c>
    </x:row>
    <x:row r="18">
      <x:c r="A18" s="18" t="str">
        <x:v>Primary behavioral metric</x:v>
      </x:c>
      <x:c r="B18" s="18" t="str">
        <x:v>Requirement-level exact behavioral success: 1 only if every assigned test case for that requirement has the expected verdict.</x:v>
      </x:c>
      <x:c r="D18" s="34" t="str">
        <x:v>TRAFICOM batch summary</x:v>
      </x:c>
      <x:c r="G18" s="41" t="str">
        <x:v>IMO + IMO26 batch summary</x:v>
      </x:c>
    </x:row>
    <x:row r="19">
      <x:c r="A19" s="18" t="str">
        <x:v>Manual audit</x:v>
      </x:c>
      <x:c r="B19" s="18" t="str">
        <x:v>Use one fixed atomic semantic review template; compare original regulation + frozen R13 meaning against generated SHACL.</x:v>
      </x:c>
      <x:c r="D19" t="str">
        <x:v>Mapped COMPLETE TRF requirements</x:v>
      </x:c>
      <x:c r="E19" t="n">
        <x:v>99</x:v>
      </x:c>
      <x:c r="G19" s="18" t="str">
        <x:v>Mapped COMPLETE IMO requirements</x:v>
      </x:c>
      <x:c r="H19" s="18" t="n">
        <x:v>109</x:v>
      </x:c>
    </x:row>
    <x:row r="20">
      <x:c r="D20" t="str">
        <x:v>DIRECT_STATIC</x:v>
      </x:c>
      <x:c r="E20" t="n">
        <x:v>58</x:v>
      </x:c>
      <x:c r="G20" s="18" t="str">
        <x:v>Mapped COMPLETE IMO26 requirements</x:v>
      </x:c>
      <x:c r="H20" s="18" t="n">
        <x:v>15</x:v>
      </x:c>
    </x:row>
    <x:row r="21">
      <x:c r="D21" t="str">
        <x:v>DIRECT_CALCULATION</x:v>
      </x:c>
      <x:c r="E21" t="n">
        <x:v>23</x:v>
      </x:c>
      <x:c r="G21" s="18" t="str">
        <x:v>IMO DIRECT_STATIC</x:v>
      </x:c>
      <x:c r="H21" s="18" t="n">
        <x:v>100</x:v>
      </x:c>
    </x:row>
    <x:row r="22">
      <x:c r="D22" t="str">
        <x:v>COMPLEX_READINESS</x:v>
      </x:c>
      <x:c r="E22" t="n">
        <x:v>18</x:v>
      </x:c>
      <x:c r="G22" s="18" t="str">
        <x:v>IMO DIRECT_CALCULATION</x:v>
      </x:c>
      <x:c r="H22" s="18" t="n">
        <x:v>7</x:v>
      </x:c>
    </x:row>
    <x:row r="23">
      <x:c r="D23" t="str">
        <x:v>Real-derived planned</x:v>
      </x:c>
      <x:c r="E23" t="n">
        <x:v>4</x:v>
      </x:c>
      <x:c r="G23" s="18" t="str">
        <x:v>IMO COMPLEX_READINESS</x:v>
      </x:c>
      <x:c r="H23" s="18" t="n">
        <x:v>2</x:v>
      </x:c>
    </x:row>
    <x:row r="24">
      <x:c r="D24" t="str">
        <x:v>Manual-only planned</x:v>
      </x:c>
      <x:c r="E24" t="n">
        <x:v>0</x:v>
      </x:c>
      <x:c r="G24" s="18" t="str">
        <x:v>IMO A_REAL_DIRECT</x:v>
      </x:c>
      <x:c r="H24" s="18" t="n">
        <x:v>25</x:v>
      </x:c>
    </x:row>
    <x:row r="25">
      <x:c r="G25" s="18" t="str">
        <x:v>IMO26 COMPLETE</x:v>
      </x:c>
      <x:c r="H25" s="18" t="n">
        <x:v>15</x:v>
      </x:c>
    </x:row>
    <x:row r="26">
      <x:c r="G26" s="18" t="str">
        <x:v>Manual-only planned</x:v>
      </x:c>
      <x:c r="H26" s="18" t="n">
        <x:v>0</x:v>
      </x:c>
    </x:row>
  </x:sheetData>
  <x:mergeCells>
    <x:mergeCell ref="A1:H1"/>
    <x:mergeCell ref="D3:G3"/>
    <x:mergeCell ref="D18:G18"/>
    <x:mergeCell ref="G18:J18"/>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24" hidden="0" customWidth="1"/>
    <x:col min="3" max="3" width="18" hidden="0" customWidth="1"/>
    <x:col min="4" max="4" width="10" hidden="0" customWidth="1"/>
    <x:col min="5" max="5" width="20" hidden="0" customWidth="1"/>
    <x:col min="6" max="6" width="26" hidden="0" customWidth="1"/>
    <x:col min="7" max="7" width="28" hidden="0" customWidth="1"/>
    <x:col min="8" max="8" width="58" hidden="0" customWidth="1"/>
    <x:col min="9" max="9" width="24" hidden="0" customWidth="1"/>
    <x:col min="10" max="10" width="34" hidden="0" customWidth="1"/>
    <x:col min="11" max="11" width="34" hidden="0" customWidth="1"/>
    <x:col min="12" max="12" width="45" hidden="0" customWidth="1"/>
    <x:col min="13" max="13" width="42" hidden="0" customWidth="1"/>
    <x:col min="14" max="14" width="38" hidden="0" customWidth="1"/>
    <x:col min="15" max="15" width="55" hidden="0" customWidth="1"/>
    <x:col min="16" max="16" width="13" hidden="0" customWidth="1"/>
    <x:col min="17" max="17" width="48" hidden="0" customWidth="1"/>
    <x:col min="18" max="18" width="70" hidden="0" customWidth="1"/>
    <x:col min="19" max="19" width="78" hidden="0" customWidth="1"/>
    <x:col min="20" max="20" width="20" hidden="0" customWidth="1"/>
    <x:col min="21" max="21" width="58" hidden="0" customWidth="1"/>
  </x:cols>
  <x:sheetData>
    <x:row r="1">
      <x:c r="A1" s="13" t="str">
        <x:v>Requirement ID</x:v>
      </x:c>
      <x:c r="B1" s="13" t="str">
        <x:v>Regulatory document</x:v>
      </x:c>
      <x:c r="C1" s="13" t="str">
        <x:v>Clause</x:v>
      </x:c>
      <x:c r="D1" s="13" t="str">
        <x:v>PDF page</x:v>
      </x:c>
      <x:c r="E1" s="13" t="str">
        <x:v>Verification mode</x:v>
      </x:c>
      <x:c r="F1" s="13" t="str">
        <x:v>Logic pattern</x:v>
      </x:c>
      <x:c r="G1" s="13" t="str">
        <x:v>Provenance class</x:v>
      </x:c>
      <x:c r="H1" s="13" t="str">
        <x:v>R13 normalized regulatory meaning</x:v>
      </x:c>
      <x:c r="I1" s="13" t="str">
        <x:v>Owner classes</x:v>
      </x:c>
      <x:c r="J1" s="13" t="str">
        <x:v>Applicability terms</x:v>
      </x:c>
      <x:c r="K1" s="13" t="str">
        <x:v>Relationship terms</x:v>
      </x:c>
      <x:c r="L1" s="13" t="str">
        <x:v>Operand terms</x:v>
      </x:c>
      <x:c r="M1" s="13" t="str">
        <x:v>Result terms</x:v>
      </x:c>
      <x:c r="N1" s="13" t="str">
        <x:v>Evidence terms</x:v>
      </x:c>
      <x:c r="O1" s="13" t="str">
        <x:v>Formula expression (if any)</x:v>
      </x:c>
      <x:c r="P1" s="13" t="str">
        <x:v>Table model?</x:v>
      </x:c>
      <x:c r="Q1" s="13" t="str">
        <x:v>Source IDs</x:v>
      </x:c>
      <x:c r="R1" s="13" t="str">
        <x:v>Test data / graph design</x:v>
      </x:c>
      <x:c r="S1" s="13" t="str">
        <x:v>Planned behavioral cases</x:v>
      </x:c>
      <x:c r="T1" s="13" t="str">
        <x:v>Status</x:v>
      </x:c>
      <x:c r="U1" s="13" t="str">
        <x:v>Notes / interpretation boundary</x:v>
      </x:c>
    </x:row>
    <x:row r="2">
      <x:c r="A2" s="29" t="str">
        <x:v>I2-001</x:v>
      </x:c>
      <x:c r="B2" s="18" t="str">
        <x:v>IACS UR I2 Rev.4</x:v>
      </x:c>
      <x:c r="C2" s="18" t="str">
        <x:v>I2.1.1 Note 6</x:v>
      </x:c>
      <x:c r="D2" s="18" t="str">
        <x:v>1</x:v>
      </x:c>
      <x:c r="E2" s="18" t="str">
        <x:v>DIRECT_STATIC</x:v>
      </x:c>
      <x:c r="F2" s="18" t="str">
        <x:v>IF_THEN / APPLICABILITY</x:v>
      </x:c>
      <x:c r="G2" s="18" t="str">
        <x:v>C_REAL_CONTEXT_CONTROLLED</x:v>
      </x:c>
      <x:c r="H2" s="18" t="str">
        <x:v>Apply UR I2 Rev.4 to ships contracted for construction on or after 1 January 2021.</x:v>
      </x:c>
      <x:c r="I2" s="18" t="str">
        <x:v>ship</x:v>
      </x:c>
      <x:c r="J2" s="18" t="str"/>
      <x:c r="K2" s="18" t="str"/>
      <x:c r="L2" s="18" t="str"/>
      <x:c r="M2" s="18" t="str"/>
      <x:c r="N2" s="18" t="str"/>
      <x:c r="O2" s="18" t="str"/>
      <x:c r="P2" s="18" t="str">
        <x:v>NO</x:v>
      </x:c>
      <x:c r="Q2" s="18" t="str">
        <x:v>SRC-IACS-I2-R4; SRC-R13-CONTRACT; SRC-R13-REGISTRY; SRC-NUYINA-KEH / SRC-KPH-HI (context only)</x:v>
      </x:c>
      <x:c r="R2" s="18" t="str">
        <x:v>Use real Nuyina contract date 28-Apr-2016 as a genuine pre-cutoff non-applicable example; construct a post-01-Jan-2021 Polar-Class ship context for the applicable branch.</x:v>
      </x:c>
      <x:c r="S2" s="18" t="str">
        <x:v>PASS_NOT_APPLICABLE: contract date before 2021-01-01; PASS_APPLICABLE: contract date on/after 2021-01-01 with UR I2 Rev4 applicability represented; FAIL_APPLICABLE: post-cutoff ship with applicability absent/false; BOUNDARY: exactly 2021-01-01.</x:v>
      </x:c>
      <x:c r="T2" s="18" t="str">
        <x:v>READY_FOR_RDF_DESIGN</x:v>
      </x:c>
      <x:c r="U2" s="18" t="str">
        <x:v>Real Nuyina date from KNUD E. HANSEN; synthetic applicable date is regulation-grounded.</x:v>
      </x:c>
    </x:row>
    <x:row r="3">
      <x:c r="A3" s="29" t="str">
        <x:v>I2-004</x:v>
      </x:c>
      <x:c r="B3" s="18" t="str">
        <x:v>IACS UR I2 Rev.4</x:v>
      </x:c>
      <x:c r="C3" s="18" t="str">
        <x:v>I2.1.2.2</x:v>
      </x:c>
      <x:c r="D3" s="18" t="str">
        <x:v>1</x:v>
      </x:c>
      <x:c r="E3" s="18" t="str">
        <x:v>DIRECT_STATIC</x:v>
      </x:c>
      <x:c r="F3" s="18" t="str">
        <x:v>MAX_SELECTION / PRESENCE</x:v>
      </x:c>
      <x:c r="G3" s="18" t="str">
        <x:v>D_REGULATION_SYNTHETIC</x:v>
      </x:c>
      <x:c r="H3" s="18"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c r="I3" s="18" t="str">
        <x:v>ship</x:v>
      </x:c>
      <x:c r="J3" s="18" t="str"/>
      <x:c r="K3" s="18" t="str">
        <x:v>hasUpperIceWaterlineCase</x:v>
      </x:c>
      <x:c r="L3" s="18" t="str">
        <x:v>upperIceWaterlineDisplacement, waterlineCaseDisplacement</x:v>
      </x:c>
      <x:c r="M3" s="18" t="str"/>
      <x:c r="N3" s="18" t="str"/>
      <x:c r="O3" s="18" t="str"/>
      <x:c r="P3" s="18" t="str">
        <x:v>NO</x:v>
      </x:c>
      <x:c r="Q3" s="18" t="str">
        <x:v>SRC-IACS-I2-R4; SRC-R13-CONTRACT; SRC-R13-REGISTRY</x:v>
      </x:c>
      <x:c r="R3" s="18" t="str">
        <x:v>Construct 2-3 UIWL cases with explicit waterlineCaseDisplacement values in kt; upperIceWaterlineDisplacement must equal greatest represented displacement.</x:v>
      </x:c>
      <x:c r="S3" s="18" t="str">
        <x:v>PASS_UNIQUE_MAX; PASS_REORDERED_CASES; FAIL_NOT_MAX; FAIL_MISSING_SELECTED_DISPLACEMENT; optional PASS_SINGLE_CASE.</x:v>
      </x:c>
      <x:c r="T3" s="18" t="str">
        <x:v>READY_FOR_RDF_DESIGN</x:v>
      </x:c>
      <x:c r="U3" s="18" t="str">
        <x:v>No real ship needed; source rule itself fully determines oracle.</x:v>
      </x:c>
    </x:row>
    <x:row r="4">
      <x:c r="A4" s="29" t="str">
        <x:v>I2-005</x:v>
      </x:c>
      <x:c r="B4" s="18" t="str">
        <x:v>IACS UR I2 Rev.4</x:v>
      </x:c>
      <x:c r="C4" s="18" t="str">
        <x:v>I2.2.5</x:v>
      </x:c>
      <x:c r="D4" s="18" t="str">
        <x:v>2</x:v>
      </x:c>
      <x:c r="E4" s="18" t="str">
        <x:v>DIRECT_STATIC</x:v>
      </x:c>
      <x:c r="F4" s="18" t="str">
        <x:v>EQUALITY / QUANTITY</x:v>
      </x:c>
      <x:c r="G4" s="18" t="str">
        <x:v>D_REGULATION_SYNTHETIC</x:v>
      </x:c>
      <x:c r="H4" s="18" t="str">
        <x:v>Each ship has a bottom/lower-region boundary point whose shellInclinationAngle QuantityValue is exactly 7 degrees from horizontal.</x:v>
      </x:c>
      <x:c r="I4" s="18" t="str">
        <x:v>ship, hullBoundaryPoint</x:v>
      </x:c>
      <x:c r="J4" s="18" t="str"/>
      <x:c r="K4" s="18" t="str">
        <x:v>hasBottomRegionLowerRegionBoundaryPoint</x:v>
      </x:c>
      <x:c r="L4" s="18" t="str">
        <x:v>shellInclinationAngle</x:v>
      </x:c>
      <x:c r="M4" s="18" t="str"/>
      <x:c r="N4" s="18" t="str"/>
      <x:c r="O4" s="18" t="str"/>
      <x:c r="P4" s="18" t="str">
        <x:v>NO</x:v>
      </x:c>
      <x:c r="Q4" s="18" t="str">
        <x:v>SRC-IACS-I2-R4; SRC-R13-CONTRACT; SRC-R13-REGISTRY</x:v>
      </x:c>
      <x:c r="R4" s="18" t="str">
        <x:v>Create hullBoundaryPoint via hasBottomRegionLowerRegionBoundaryPoint and shellInclinationAngle QUDT QuantityValue in degrees.</x:v>
      </x:c>
      <x:c r="S4" s="18" t="str">
        <x:v>PASS_EQUAL=7 deg; FAIL_BELOW=6.9 deg; FAIL_ABOVE=7.1 deg; FAIL_WRONG_UNIT if unit enforcement is in R13.</x:v>
      </x:c>
      <x:c r="T4" s="18" t="str">
        <x:v>READY_FOR_RDF_DESIGN</x:v>
      </x:c>
      <x:c r="U4" s="18" t="str">
        <x:v>Minimal graph directly tests exact boundary semantics.</x:v>
      </x:c>
    </x:row>
    <x:row r="5">
      <x:c r="A5" s="29" t="str">
        <x:v>I2-006</x:v>
      </x:c>
      <x:c r="B5" s="18" t="str">
        <x:v>IACS UR I2 Rev.4</x:v>
      </x:c>
      <x:c r="C5" s="18" t="str">
        <x:v>I2.2.6</x:v>
      </x:c>
      <x:c r="D5" s="18" t="str">
        <x:v>2</x:v>
      </x:c>
      <x:c r="E5" s="18" t="str">
        <x:v>DIRECT_STATIC</x:v>
      </x:c>
      <x:c r="F5" s="18" t="str">
        <x:v>IF_THEN</x:v>
      </x:c>
      <x:c r="G5" s="18" t="str">
        <x:v>D_REGULATION_SYNTHETIC</x:v>
      </x:c>
      <x:c r="H5" s="18" t="str">
        <x:v>If a ship is intended to operate astern in ice regions, the aft section of the ship is to be designed using the Bow and Bow Intermediate hull area requirements.</x:v>
      </x:c>
      <x:c r="I5" s="18" t="str">
        <x:v>ship</x:v>
      </x:c>
      <x:c r="J5" s="18" t="str"/>
      <x:c r="K5" s="18" t="str"/>
      <x:c r="L5" s="18" t="str"/>
      <x:c r="M5" s="18" t="str"/>
      <x:c r="N5" s="18" t="str"/>
      <x:c r="O5" s="18" t="str"/>
      <x:c r="P5" s="18" t="str">
        <x:v>NO</x:v>
      </x:c>
      <x:c r="Q5" s="18" t="str">
        <x:v>SRC-IACS-I2-R4; SRC-R13-CONTRACT; SRC-R13-REGISTRY</x:v>
      </x:c>
      <x:c r="R5" s="18" t="str">
        <x:v>Represent asternIceOperationIntent and aftSectionDesignBasis/hullAreaRequirementSet using exact R13 terms.</x:v>
      </x:c>
      <x:c r="S5" s="18" t="str">
        <x:v>PASS_APPLICABLE: intent true + Bow/Bow Intermediate basis; FAIL_APPLICABLE: intent true + wrong basis; PASS_NOT_APPLICABLE: intent false with no imposed aft basis.</x:v>
      </x:c>
      <x:c r="T5" s="18" t="str">
        <x:v>READY_FOR_RDF_DESIGN</x:v>
      </x:c>
      <x:c r="U5" s="18" t="str">
        <x:v>Tests over-constraint and conditional semantics.</x:v>
      </x:c>
    </x:row>
    <x:row r="6">
      <x:c r="A6" s="29" t="str">
        <x:v>I2-008</x:v>
      </x:c>
      <x:c r="B6" s="18" t="str">
        <x:v>IACS UR I2 Rev.4</x:v>
      </x:c>
      <x:c r="C6" s="18" t="str">
        <x:v>I2.3.1</x:v>
      </x:c>
      <x:c r="D6" s="18" t="str">
        <x:v>3</x:v>
      </x:c>
      <x:c r="E6" s="18" t="str">
        <x:v>COMPLEX_READINESS</x:v>
      </x:c>
      <x:c r="F6" s="18" t="str">
        <x:v>COMPLEX_READINESS / APPLICABILITY</x:v>
      </x:c>
      <x:c r="G6" s="18" t="str">
        <x:v>D_REGULATION_SYNTHETIC</x:v>
      </x:c>
      <x:c r="H6" s="18"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c r="I6" s="18" t="str">
        <x:v>ship</x:v>
      </x:c>
      <x:c r="J6" s="18" t="str">
        <x:v>polarClass</x:v>
      </x:c>
      <x:c r="K6" s="18" t="str">
        <x:v>hasBowSubregionCalculationCase, polarClass</x:v>
      </x:c>
      <x:c r="L6" s="18" t="str">
        <x:v>averageIcePressure, bowShapeCoefficient, glancingImpactLineLoad, glancingImpactPressure, lineLoad, loadPatchHeight, loadPatchLength, localIcePressure, shapeCoefficient, totalGlancingImpactForce</x:v>
      </x:c>
      <x:c r="M6" s="18" t="str">
        <x:v>glancingImpactLineLoad, glancingImpactPressure, totalGlancingImpactForce</x:v>
      </x:c>
      <x:c r="N6" s="18" t="str"/>
      <x:c r="O6" s="18" t="str"/>
      <x:c r="P6" s="18" t="str">
        <x:v>NO</x:v>
      </x:c>
      <x:c r="Q6" s="18" t="str">
        <x:v>SRC-IACS-I2-R4; SRC-R13-CONTRACT; SRC-R13-REGISTRY</x:v>
      </x:c>
      <x:c r="R6" s="18" t="str">
        <x:v>Build minimal Polar-Class bow/subregion calculation structure with exact R13 operands/results and hasBowSubregionCalculationCase path.</x:v>
      </x:c>
      <x:c r="S6" s="18" t="str">
        <x:v>PASS_READY; FAIL_MISSING_OPERAND; FAIL_MISSING_RESULT; FAIL_WRONG_PATH; applicability branch PC6/7 Bow Intermediate Icebelt where relevant.</x:v>
      </x:c>
      <x:c r="T6" s="18" t="str">
        <x:v>READY_FOR_RDF_DESIGN</x:v>
      </x:c>
      <x:c r="U6" s="18" t="str">
        <x:v>Do not execute full ice-load physics; readiness/interface only.</x:v>
      </x:c>
    </x:row>
    <x:row r="7">
      <x:c r="A7" s="29" t="str">
        <x:v>I2-009</x:v>
      </x:c>
      <x:c r="B7" s="18" t="str">
        <x:v>IACS UR I2 Rev.4</x:v>
      </x:c>
      <x:c r="C7" s="18" t="str">
        <x:v>I2.3.1</x:v>
      </x:c>
      <x:c r="D7" s="18" t="str">
        <x:v>3</x:v>
      </x:c>
      <x:c r="E7" s="18" t="str">
        <x:v>DIRECT_STATIC</x:v>
      </x:c>
      <x:c r="F7" s="18" t="str">
        <x:v>AND / APPLICABILITY</x:v>
      </x:c>
      <x:c r="G7" s="18" t="str">
        <x:v>D_REGULATION_SYNTHETIC</x:v>
      </x:c>
      <x:c r="H7" s="18"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c r="I7" s="18" t="str">
        <x:v>ship</x:v>
      </x:c>
      <x:c r="J7" s="18" t="str"/>
      <x:c r="K7" s="18" t="str">
        <x:v>assignedHullArea, hasHullAreaAssignment</x:v>
      </x:c>
      <x:c r="L7" s="18" t="str">
        <x:v>averageIcePressure, buttockAngle, loadPatchAspectRatio, nonBowLoadPatchHeight, nonBowLoadPatchLength, normalFrameAngle</x:v>
      </x:c>
      <x:c r="M7" s="18" t="str"/>
      <x:c r="N7" s="18" t="str"/>
      <x:c r="O7" s="18" t="str"/>
      <x:c r="P7" s="18" t="str">
        <x:v>NO</x:v>
      </x:c>
      <x:c r="Q7" s="18" t="str">
        <x:v>SRC-IACS-I2-R4; SRC-R13-CONTRACT; SRC-R13-REGISTRY</x:v>
      </x:c>
      <x:c r="R7" s="18" t="str">
        <x:v>Construct non-bow hull area case with AR=3.6 plus bow-form applicability angles and exact assignment paths.</x:v>
      </x:c>
      <x:c r="S7" s="18" t="str">
        <x:v>PASS_NONBOW_AR; FAIL_WRONG_AR; PASS_BOW_APPLICABLE (gamma positive &lt;80, beta prime &gt;10); FAIL_BOW_ANGLE_BRANCH; FAIL_WRONG_AREA_ASSIGNMENT.</x:v>
      </x:c>
      <x:c r="T7" s="18" t="str">
        <x:v>READY_FOR_RDF_DESIGN</x:v>
      </x:c>
      <x:c r="U7" s="18" t="str">
        <x:v>Direct static logic, not formula execution.</x:v>
      </x:c>
    </x:row>
    <x:row r="8">
      <x:c r="A8" s="29" t="str">
        <x:v>I2-010</x:v>
      </x:c>
      <x:c r="B8" s="18" t="str">
        <x:v>IACS UR I2 Rev.4</x:v>
      </x:c>
      <x:c r="C8" s="18" t="str">
        <x:v>I2.3.1</x:v>
      </x:c>
      <x:c r="D8" s="18" t="str">
        <x:v>3</x:v>
      </x:c>
      <x:c r="E8" s="18" t="str">
        <x:v>DIRECT_STATIC</x:v>
      </x:c>
      <x:c r="F8" s="18" t="str">
        <x:v>IF_THEN / RANGE</x:v>
      </x:c>
      <x:c r="G8" s="18" t="str">
        <x:v>D_REGULATION_SYNTHETIC</x:v>
      </x:c>
      <x:c r="H8" s="18"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I8" s="18" t="str">
        <x:v>ship</x:v>
      </x:c>
      <x:c r="J8" s="18" t="str">
        <x:v>polarClass</x:v>
      </x:c>
      <x:c r="K8" s="18" t="str"/>
      <x:c r="L8" s="18" t="str"/>
      <x:c r="M8" s="18" t="str"/>
      <x:c r="N8" s="18" t="str"/>
      <x:c r="O8" s="18" t="str"/>
      <x:c r="P8" s="18" t="str">
        <x:v>NO</x:v>
      </x:c>
      <x:c r="Q8" s="18" t="str">
        <x:v>SRC-IACS-I2-R4; SRC-R13-CONTRACT; SRC-R13-REGISTRY</x:v>
      </x:c>
      <x:c r="R8" s="18" t="str">
        <x:v>Synthetic PC6 and PC7 vertical-sided bow contexts; normalFrameAngle beta prime in 0-10 deg; exact controlled values.</x:v>
      </x:c>
      <x:c r="S8" s="18" t="str">
        <x:v>PASS_PC6_VERTICAL_0_10; PASS_PC7_VERTICAL_BOUNDARY_10; FAIL_PC5; FAIL_ANGLE_GT10; PASS_NOT_APPLICABLE non-PC6/7.</x:v>
      </x:c>
      <x:c r="T8" s="18" t="str">
        <x:v>READY_FOR_RDF_DESIGN</x:v>
      </x:c>
      <x:c r="U8" s="18" t="str">
        <x:v>Requires PC6/7, so PC3 real ships are not suitable as primary baseline.</x:v>
      </x:c>
    </x:row>
    <x:row r="9">
      <x:c r="A9" s="29" t="str">
        <x:v>I2-011</x:v>
      </x:c>
      <x:c r="B9" s="18" t="str">
        <x:v>IACS UR I2 Rev.4</x:v>
      </x:c>
      <x:c r="C9" s="18" t="str">
        <x:v>I2.3.1</x:v>
      </x:c>
      <x:c r="D9" s="18" t="str">
        <x:v>3</x:v>
      </x:c>
      <x:c r="E9" s="18" t="str">
        <x:v>DIRECT_CALCULATION</x:v>
      </x:c>
      <x:c r="F9" s="18" t="str">
        <x:v>IF_THEN / MINIMUM / ALTERNATIVE_METHOD</x:v>
      </x:c>
      <x:c r="G9" s="18" t="str">
        <x:v>D_REGULATION_SYNTHETIC</x:v>
      </x:c>
      <x:c r="H9" s="18"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I9" s="18" t="str">
        <x:v>ship</x:v>
      </x:c>
      <x:c r="J9" s="18" t="str">
        <x:v>bulbousBowPresent, polarClass</x:v>
      </x:c>
      <x:c r="K9" s="18" t="str"/>
      <x:c r="L9" s="18" t="str">
        <x:v>bowDesignForceMethodI2Point3Point2Point1PartIii, bowDesignForceMethodI2Point3Point2Point1PartIv, shapeCoefficient, loadPatchAspectRatio</x:v>
      </x:c>
      <x:c r="M9" s="18" t="str">
        <x:v>bowDesignForce</x:v>
      </x:c>
      <x:c r="N9" s="18" t="str"/>
      <x:c r="O9" s="18" t="str"/>
      <x:c r="P9" s="18" t="str">
        <x:v>NO</x:v>
      </x:c>
      <x:c r="Q9" s="18" t="str">
        <x:v>SRC-IACS-I2-R4; SRC-R13-CONTRACT; SRC-R13-REGISTRY</x:v>
      </x:c>
      <x:c r="R9" s="18" t="str">
        <x:v>Synthetic PC6/7 bulbous-bow case with both I2.3.2.1(iv) and floor from (iii), fa=0.6 and AR=1.3 terms/results.</x:v>
      </x:c>
      <x:c r="S9" s="18" t="str">
        <x:v>PASS_PC6; PASS_PC7; FAIL_WRONG_METHOD; FAIL_FORCE_BELOW_FLOOR; PASS_NOT_APPLICABLE non-PC6/7 or no bulbous bow.</x:v>
      </x:c>
      <x:c r="T9" s="18" t="str">
        <x:v>READY_FOR_RDF_DESIGN</x:v>
      </x:c>
      <x:c r="U9" s="18" t="str">
        <x:v>Direct calculation contract; use exact R13 operands/results.</x:v>
      </x:c>
    </x:row>
    <x:row r="10">
      <x:c r="A10" s="29" t="str">
        <x:v>I2-013</x:v>
      </x:c>
      <x:c r="B10" s="18" t="str">
        <x:v>IACS UR I2 Rev.4</x:v>
      </x:c>
      <x:c r="C10" s="18" t="str">
        <x:v>I2.3.1</x:v>
      </x:c>
      <x:c r="D10" s="18" t="str">
        <x:v>3</x:v>
      </x:c>
      <x:c r="E10" s="18" t="str">
        <x:v>COMPLEX_READINESS</x:v>
      </x:c>
      <x:c r="F10" s="18" t="str">
        <x:v>COMPLEX_READINESS / EVIDENCE</x:v>
      </x:c>
      <x:c r="G10" s="18" t="str">
        <x:v>C_REAL_CONTEXT_CONTROLLED</x:v>
      </x:c>
      <x:c r="H10" s="18" t="str">
        <x:v>For structures not directly subjected to ice loads, Classification-Society-determined acceleration evidence and evidence that resulting inertial loads were considered in design are required.</x:v>
      </x:c>
      <x:c r="I10" s="18" t="str">
        <x:v>ship</x:v>
      </x:c>
      <x:c r="J10" s="18" t="str"/>
      <x:c r="K10" s="18" t="str">
        <x:v>classificationSocietyAccelerationEvidence, inertialLoadDesignConsiderationEvidence</x:v>
      </x:c>
      <x:c r="L10" s="18" t="str">
        <x:v>classificationSocietyAccelerationEvidence</x:v>
      </x:c>
      <x:c r="M10" s="18" t="str">
        <x:v>inertialLoadDesignConsiderationEvidence</x:v>
      </x:c>
      <x:c r="N10" s="18" t="str">
        <x:v>classificationSocietyAccelerationEvidence, inertialLoadDesignConsiderationEvidence</x:v>
      </x:c>
      <x:c r="O10" s="18" t="str"/>
      <x:c r="P10" s="18" t="str">
        <x:v>NO</x:v>
      </x:c>
      <x:c r="Q10" s="18" t="str">
        <x:v>SRC-IACS-I2-R4; SRC-R13-CONTRACT; SRC-R13-REGISTRY; SRC-NUYINA-KEH / SRC-KPH-HI (context only)</x:v>
      </x:c>
      <x:c r="R10" s="18" t="str">
        <x:v>Use real PC3 vessel context where useful; instantiate classificationSocietyAccelerationEvidence and inertialLoadDesignConsiderationEvidence as controlled evidence artifacts.</x:v>
      </x:c>
      <x:c r="S10" s="18" t="str">
        <x:v>PASS_BOTH_EVIDENCE; FAIL_MISSING_ACCELERATION_EVIDENCE; FAIL_MISSING_INERTIAL_DESIGN_EVIDENCE; FAIL_WRONG_OWNER/PATH.</x:v>
      </x:c>
      <x:c r="T10" s="18" t="str">
        <x:v>READY_FOR_RDF_DESIGN</x:v>
      </x:c>
      <x:c r="U10" s="18" t="str">
        <x:v>This tests evidence/readiness representation, not adequacy of the engineering analysis.</x:v>
      </x:c>
    </x:row>
    <x:row r="11">
      <x:c r="A11" s="29" t="str">
        <x:v>I2-014</x:v>
      </x:c>
      <x:c r="B11" s="18" t="str">
        <x:v>IACS UR I2 Rev.4</x:v>
      </x:c>
      <x:c r="C11" s="18" t="str">
        <x:v>I2.3.2.1</x:v>
      </x:c>
      <x:c r="D11" s="18" t="str">
        <x:v>5</x:v>
      </x:c>
      <x:c r="E11" s="18" t="str">
        <x:v>DIRECT_CALCULATION</x:v>
      </x:c>
      <x:c r="F11" s="18" t="str">
        <x:v>CARDINALITY_4 / MAX_SELECTION / EVIDENCE</x:v>
      </x:c>
      <x:c r="G11" s="18" t="str">
        <x:v>D_REGULATION_SYNTHETIC</x:v>
      </x:c>
      <x:c r="H11" s="18" t="str">
        <x:v>Each of four equal-length bow subregions must carry midpoint calculation evidence and reported F, Q, P and AR values. Select the maxima of F, Q and P for downstream Pavg, b and w calculations. I2-014 does not itself supply arithmetic equations equating or deriving these quantities.</x:v>
      </x:c>
      <x:c r="I11" s="18" t="str">
        <x:v>ship</x:v>
      </x:c>
      <x:c r="J11" s="18" t="str"/>
      <x:c r="K11" s="18" t="str">
        <x:v>bowSubregionCalculationEvidence, hasBowSubregionCalculationCase</x:v>
      </x:c>
      <x:c r="L11" s="18" t="str">
        <x:v>bowSubregionMidLengthPosition, bowSubregionAspectRatio</x:v>
      </x:c>
      <x:c r="M11" s="18" t="str">
        <x:v>bowSubregionCalculatedForce, bowSubregionCalculatedLineLoad, bowSubregionCalculatedPressure, selectedMaximumBowForce, selectedMaximumBowLineLoad, selectedMaximumBowPressure</x:v>
      </x:c>
      <x:c r="N11" s="18" t="str">
        <x:v>bowSubregionCalculationEvidence</x:v>
      </x:c>
      <x:c r="O11" s="18" t="str"/>
      <x:c r="P11" s="18" t="str">
        <x:v>NO</x:v>
      </x:c>
      <x:c r="Q11" s="18" t="str">
        <x:v>SRC-IACS-I2-R4; SRC-R13-CONTRACT; SRC-R13-REGISTRY</x:v>
      </x:c>
      <x:c r="R11" s="18" t="str">
        <x:v>Create exactly four equal-length bowSubregionCalculationCase nodes with midpoint evidence, F/Q/P/AR results, then selected maxima.</x:v>
      </x:c>
      <x:c r="S11" s="18" t="str">
        <x:v>PASS_4_CASES_CORRECT_MAX; FAIL_3_CASES; FAIL_MISSING_EVIDENCE_ONE_CASE; FAIL_WRONG_SELECTED_MAX_F; FAIL_WRONG_SELECTED_MAX_Q/P; PASS_REORDERED_CASES.</x:v>
      </x:c>
      <x:c r="T11" s="18" t="str">
        <x:v>READY_FOR_RDF_DESIGN</x:v>
      </x:c>
      <x:c r="U11" s="18" t="str">
        <x:v>Strong structured calculation test without reconstructing downstream formulas.</x:v>
      </x:c>
    </x:row>
    <x:row r="12">
      <x:c r="A12" s="29" t="str">
        <x:v>I2-015</x:v>
      </x:c>
      <x:c r="B12" s="18" t="str">
        <x:v>IACS UR I2 Rev.4</x:v>
      </x:c>
      <x:c r="C12" s="18" t="str">
        <x:v>I2.3.2.1</x:v>
      </x:c>
      <x:c r="D12" s="18" t="str">
        <x:v>5</x:v>
      </x:c>
      <x:c r="E12" s="18" t="str">
        <x:v>COMPLEX_READINESS</x:v>
      </x:c>
      <x:c r="F12" s="18" t="str">
        <x:v>COMPLEX_READINESS / MIN_FORMULA_INTERFACE</x:v>
      </x:c>
      <x:c r="G12" s="18" t="str">
        <x:v>D_REGULATION_SYNTHETIC</x:v>
      </x:c>
      <x:c r="H12" s="18" t="str">
        <x:v>For bow forms defined in I2.3.1(v), take f_ai = min(f_ai1, f_ai2, f_ai3), where f_ai1 = (0.097 - 0.68*(x/L_UI - 0.15)^2)*alpha_i/(beta_i_prime)^0.5, f_ai2 = 1.2*C_FF/(sin(beta_i_prime)*C_FC*D_UI^0.64), and f_ai3 = 0.60.</x:v>
      </x:c>
      <x:c r="I12" s="18" t="str">
        <x:v>ship</x:v>
      </x:c>
      <x:c r="J12" s="18" t="str">
        <x:v>bowFormApplicabilityClassification, i231vBowFormApplicability</x:v>
      </x:c>
      <x:c r="K12" s="18" t="str">
        <x:v>bowFormApplicabilityClassification, hasBowSubregionCalculationCase, hasFailureClassFactorLookupCase</x:v>
      </x:c>
      <x:c r="L12" s="18" t="str">
        <x:v>bowSubregionMidLengthPosition, upperIceWaterlineLengthLUI, bowSubregionWaterlineAngle, betaIPrime, flexuralFailureClassFactor, crushingFailureClassFactor</x:v>
      </x:c>
      <x:c r="M12" s="18" t="str">
        <x:v>bowShapeCoefficient</x:v>
      </x:c>
      <x:c r="N12" s="18" t="str"/>
      <x:c r="O12" s="18" t="str">
        <x:v>f_ai=min(f_ai1,f_ai2,f_ai3); f_ai1=(0.097-0.68*(x/L_UI-0.15)^2)*alpha_i/sqrt(beta_i_prime); f_ai2=1.2*C_FF/(sin(beta_i_prime)*C_FC*D_UI^0.64); f_ai3=0.60</x:v>
      </x:c>
      <x:c r="P12" s="18" t="str">
        <x:v>NO</x:v>
      </x:c>
      <x:c r="Q12" s="18" t="str">
        <x:v>SRC-IACS-I2-R4; SRC-R13-CONTRACT; SRC-R13-REGISTRY</x:v>
      </x:c>
      <x:c r="R12" s="18" t="str">
        <x:v>Create applicable bowSubregionCalculationCase with x/LUI, alpha, beta prime, CFF, CFC and bowShapeCoefficient result using R13 paths.</x:v>
      </x:c>
      <x:c r="S12" s="18" t="str">
        <x:v>PASS_READY; FAIL_MISSING_X; FAIL_MISSING_LUI; FAIL_MISSING_ANGLE; FAIL_MISSING_CLASS_FACTOR; FAIL_MISSING_RESULT; FAIL_WRONG_PATH.</x:v>
      </x:c>
      <x:c r="T12" s="18" t="str">
        <x:v>READY_FOR_RDF_DESIGN</x:v>
      </x:c>
      <x:c r="U12" s="18" t="str">
        <x:v>formulaExecutionRequired=false in R13; do not numerically evaluate nonlinear formula.</x:v>
      </x:c>
    </x:row>
    <x:row r="13">
      <x:c r="A13" s="29" t="str">
        <x:v>I2-017</x:v>
      </x:c>
      <x:c r="B13" s="18" t="str">
        <x:v>IACS UR I2 Rev.4</x:v>
      </x:c>
      <x:c r="C13" s="18" t="str">
        <x:v>I2.3.2.2</x:v>
      </x:c>
      <x:c r="D13" s="18" t="str">
        <x:v>6</x:v>
      </x:c>
      <x:c r="E13" s="18" t="str">
        <x:v>COMPLEX_READINESS</x:v>
      </x:c>
      <x:c r="F13" s="18" t="str">
        <x:v>COMPLEX_READINESS / PIECEWISE_INTERFACE</x:v>
      </x:c>
      <x:c r="G13" s="18" t="str">
        <x:v>D_REGULATION_SYNTHETIC</x:v>
      </x:c>
      <x:c r="H13" s="18" t="str">
        <x:v>(i) In the hull areas other than the bow, the force (FNonBow) and line load (QNonBow) used in the determination of the load patch dimensions (bNonBow, wNonBow) and design pressure (Pavg) are determined as follows: (a) Force, FNonBow: FNonBow = 0.36 * CFC * DF [MN] (b) Line Load, QNonBow:</x:v>
      </x:c>
      <x:c r="I13" s="18" t="str">
        <x:v>ship</x:v>
      </x:c>
      <x:c r="J13" s="18" t="str"/>
      <x:c r="K13" s="18" t="str">
        <x:v>hasNonBowIceLoadCalculationCase</x:v>
      </x:c>
      <x:c r="L13" s="18" t="str">
        <x:v>crushingFailureClassFactor, loadPatchDimensionClassFactor, upperIceWaterlineDraughtDUI, displacementFactorThreshold</x:v>
      </x:c>
      <x:c r="M13" s="18" t="str">
        <x:v>shipDisplacementFactor, nonBowIceForce, nonBowIceLineLoad</x:v>
      </x:c>
      <x:c r="N13" s="18" t="str"/>
      <x:c r="O13" s="18" t="str">
        <x:v>DF=D_UI^0.64 when D_UI&lt;=CF_DIS, otherwise DF=CF_DIS^0.64+0.10*(D_UI-CF_DIS); F_NonBow=0.36*C_FC*DF; Q_NonBow=0.639*F_NonBow^0.61*C_FD</x:v>
      </x:c>
      <x:c r="P13" s="18" t="str">
        <x:v>NO</x:v>
      </x:c>
      <x:c r="Q13" s="18" t="str">
        <x:v>SRC-IACS-I2-R4; SRC-R13-CONTRACT; SRC-R13-REGISTRY</x:v>
      </x:c>
      <x:c r="R13" s="18" t="str">
        <x:v>Create nonBowIceLoadCalculationCase with CFC, CFD, DUI, displacement threshold and DF/F/Q results.</x:v>
      </x:c>
      <x:c r="S13" s="18" t="str">
        <x:v>PASS_READY; FAIL_MISSING_DUI; FAIL_MISSING_FACTOR; FAIL_MISSING_RESULT; FAIL_WRONG_CASE_PATH; optionally exercise below/above threshold data presence.</x:v>
      </x:c>
      <x:c r="T13" s="18" t="str">
        <x:v>READY_FOR_RDF_DESIGN</x:v>
      </x:c>
      <x:c r="U13" s="18" t="str">
        <x:v>Readiness only; nonlinear exponentiation is not re-executed.</x:v>
      </x:c>
    </x:row>
    <x:row r="14">
      <x:c r="A14" s="29" t="str">
        <x:v>I2-018</x:v>
      </x:c>
      <x:c r="B14" s="18" t="str">
        <x:v>IACS UR I2 Rev.4</x:v>
      </x:c>
      <x:c r="C14" s="18" t="str">
        <x:v>I2.3.4</x:v>
      </x:c>
      <x:c r="D14" s="18" t="str">
        <x:v>7</x:v>
      </x:c>
      <x:c r="E14" s="18" t="str">
        <x:v>DIRECT_CALCULATION</x:v>
      </x:c>
      <x:c r="F14" s="18" t="str">
        <x:v>FORMULA + TABLE_LOOKUP</x:v>
      </x:c>
      <x:c r="G14" s="18" t="str">
        <x:v>D_REGULATION_SYNTHETIC</x:v>
      </x:c>
      <x:c r="H14" s="18"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c r="I14" s="18" t="str">
        <x:v>ship</x:v>
      </x:c>
      <x:c r="J14" s="18" t="str"/>
      <x:c r="K14" s="18" t="str">
        <x:v>hasIceLoadPatch, hasPeakPressureFactorLookupCase, hasTableLookupCase, localizedStructuralMemberCategory, lookupSelectionEvidence, tableReference</x:v>
      </x:c>
      <x:c r="L14" s="18" t="str">
        <x:v>averageIcePressure, iceForce, loadPatchHeight, loadPatchLength, peakPressureFactor, selectedPeakPressureFactor</x:v>
      </x:c>
      <x:c r="M14" s="18" t="str">
        <x:v>peakPressureFactor</x:v>
      </x:c>
      <x:c r="N14" s="18" t="str"/>
      <x:c r="O14" s="18" t="str"/>
      <x:c r="P14" s="18" t="str">
        <x:v>YES</x:v>
      </x:c>
      <x:c r="Q14" s="18" t="str">
        <x:v>SRC-IACS-I2-R4; SRC-R13-CONTRACT; SRC-R13-REGISTRY</x:v>
      </x:c>
      <x:c r="R14" s="18" t="str">
        <x:v>Construct ice load patch with F,b,w,Pavg and table-lookup case for structural member category and peak pressure factor.</x:v>
      </x:c>
      <x:c r="S14" s="18" t="str">
        <x:v>PASS_FORMULA/TABLE_SELECTION; FAIL_WRONG_PAVG; FAIL_WRONG_PPF; FAIL_MISSING_TABLE_REFERENCE; FAIL_MISSING_SELECTOR; boundary/select representative member categories.</x:v>
      </x:c>
      <x:c r="T14" s="18" t="str">
        <x:v>READY_FOR_RDF_DESIGN</x:v>
      </x:c>
      <x:c r="U14" s="18" t="str">
        <x:v>Use official I2 Table 3 as table oracle.</x:v>
      </x:c>
    </x:row>
    <x:row r="15">
      <x:c r="A15" s="29" t="str">
        <x:v>I2-019</x:v>
      </x:c>
      <x:c r="B15" s="18" t="str">
        <x:v>IACS UR I2 Rev.4</x:v>
      </x:c>
      <x:c r="C15" s="18" t="str">
        <x:v>I2.3.5</x:v>
      </x:c>
      <x:c r="D15" s="18" t="str">
        <x:v>7</x:v>
      </x:c>
      <x:c r="E15" s="18" t="str">
        <x:v>DIRECT_CALCULATION</x:v>
      </x:c>
      <x:c r="F15" s="18" t="str">
        <x:v>MAX_SELECTION / UNIVERSAL</x:v>
      </x:c>
      <x:c r="G15" s="18" t="str">
        <x:v>D_REGULATION_SYNTHETIC</x:v>
      </x:c>
      <x:c r="H15" s="18" t="str">
        <x:v>(ii) In the event that a structural member spans across the boundary of a hull area, the largest hull area factor is to be used in the scantling determination of the member.</x:v>
      </x:c>
      <x:c r="I15" s="18" t="str">
        <x:v>ship, structuralMember, hullAreaValue</x:v>
      </x:c>
      <x:c r="J15" s="18" t="str"/>
      <x:c r="K15" s="18" t="str">
        <x:v>hasStructuralMember, hasSpannedHullArea</x:v>
      </x:c>
      <x:c r="L15" s="18" t="str">
        <x:v>hullAreaFactor</x:v>
      </x:c>
      <x:c r="M15" s="18" t="str">
        <x:v>selectedHullAreaFactor</x:v>
      </x:c>
      <x:c r="N15" s="18" t="str"/>
      <x:c r="O15" s="18" t="str">
        <x:v>For each structuralMember, selectedHullAreaFactor equals the maximum hullAreaFactor over every hullAreaValue reached by hasSpannedHullArea.</x:v>
      </x:c>
      <x:c r="P15" s="18" t="str">
        <x:v>NO</x:v>
      </x:c>
      <x:c r="Q15" s="18" t="str">
        <x:v>SRC-IACS-I2-R4; SRC-R13-CONTRACT; SRC-R13-REGISTRY</x:v>
      </x:c>
      <x:c r="R15" s="18" t="str">
        <x:v>Structural member spans 2-3 hull areas with hullAreaFactor values; selectedHullAreaFactor must be maximum.</x:v>
      </x:c>
      <x:c r="S15" s="18" t="str">
        <x:v>PASS_UNIQUE_MAX; PASS_TIE_MAX; FAIL_NONMAX; PASS_REORDERED; PASS_ZERO_INSTANCES if source/R13 universal does not require member existence.</x:v>
      </x:c>
      <x:c r="T15" s="18" t="str">
        <x:v>READY_FOR_RDF_DESIGN</x:v>
      </x:c>
      <x:c r="U15" s="18" t="str">
        <x:v>Tests graph traversal hasStructuralMember -&gt; hasSpannedHullArea.</x:v>
      </x:c>
    </x:row>
    <x:row r="16">
      <x:c r="A16" s="29" t="str">
        <x:v>I2-021</x:v>
      </x:c>
      <x:c r="B16" s="18" t="str">
        <x:v>IACS UR I2 Rev.4</x:v>
      </x:c>
      <x:c r="C16" s="18" t="str">
        <x:v>I2.4.1</x:v>
      </x:c>
      <x:c r="D16" s="18" t="str">
        <x:v>8</x:v>
      </x:c>
      <x:c r="E16" s="18" t="str">
        <x:v>DIRECT_CALCULATION</x:v>
      </x:c>
      <x:c r="F16" s="18" t="str">
        <x:v>FORMULA_EQUALITY</x:v>
      </x:c>
      <x:c r="G16" s="18" t="str">
        <x:v>D_REGULATION_SYNTHETIC</x:v>
      </x:c>
      <x:c r="H16" s="18"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c r="I16" s="18" t="str">
        <x:v>ship, plating</x:v>
      </x:c>
      <x:c r="J16" s="18" t="str"/>
      <x:c r="K16" s="18" t="str">
        <x:v>hasPlating</x:v>
      </x:c>
      <x:c r="L16" s="18" t="str">
        <x:v>iceLoadRequiredNetPlateThickness, corrosionAbrasionAllowance</x:v>
      </x:c>
      <x:c r="M16" s="18" t="str">
        <x:v>thickness</x:v>
      </x:c>
      <x:c r="N16" s="18" t="str"/>
      <x:c r="O16" s="18" t="str">
        <x:v>For each plating item: thickness = iceLoadRequiredNetPlateThickness + corrosionAbrasionAllowance.</x:v>
      </x:c>
      <x:c r="P16" s="18" t="str">
        <x:v>NO</x:v>
      </x:c>
      <x:c r="Q16" s="18" t="str">
        <x:v>SRC-IACS-I2-R4; SRC-R13-CONTRACT; SRC-R13-REGISTRY</x:v>
      </x:c>
      <x:c r="R16" s="18" t="str">
        <x:v>Plating with tnet and corrosion allowance ts in mm; thickness t must equal sum.</x:v>
      </x:c>
      <x:c r="S16" s="18" t="str">
        <x:v>PASS_EXACT_SUM; FAIL_LOW; FAIL_HIGH; FAIL_MISSING_OPERAND; optional unit mismatch.</x:v>
      </x:c>
      <x:c r="T16" s="18" t="str">
        <x:v>READY_FOR_RDF_DESIGN</x:v>
      </x:c>
      <x:c r="U16" s="18" t="str">
        <x:v>Simple arithmetic oracle from regulation.</x:v>
      </x:c>
    </x:row>
    <x:row r="17">
      <x:c r="A17" s="29" t="str">
        <x:v>I2-022</x:v>
      </x:c>
      <x:c r="B17" s="18" t="str">
        <x:v>IACS UR I2 Rev.4</x:v>
      </x:c>
      <x:c r="C17" s="18" t="str">
        <x:v>I2.4.2</x:v>
      </x:c>
      <x:c r="D17" s="18" t="str">
        <x:v>8</x:v>
      </x:c>
      <x:c r="E17" s="18" t="str">
        <x:v>COMPLEX_READINESS</x:v>
      </x:c>
      <x:c r="F17" s="18" t="str">
        <x:v>COMPLEX_READINESS / CONDITIONAL</x:v>
      </x:c>
      <x:c r="G17" s="18" t="str">
        <x:v>D_REGULATION_SYNTHETIC</x:v>
      </x:c>
      <x:c r="H17" s="18" t="str">
        <x:v>For transversely-framed plating (Omega &gt;= 70 deg), including bottom plating in hull areas BI_b, M_b and S_b, t_net = 500*s*sqrt((AF*PPF_p*P_avg)/sigma_y)/(1 + s/(2*b)) [mm].</x:v>
      </x:c>
      <x:c r="I17" s="18" t="str">
        <x:v>ship</x:v>
      </x:c>
      <x:c r="J17" s="18" t="str">
        <x:v>platingHullAreaClassification, bowIntermediateBottomHullArea, midbodyBottomHullArea, sternBottomHullArea, framingAngleOmega</x:v>
      </x:c>
      <x:c r="K17" s="18" t="str">
        <x:v>hasPlating, platingHullAreaClassification, platingSupportedByStructuralMember</x:v>
      </x:c>
      <x:c r="L17" s="18" t="str">
        <x:v>frameSpacing, selectedHullAreaFactor, peakPressureFactor, averageIcePressure, yieldStrength, loadPatchHeight</x:v>
      </x:c>
      <x:c r="M17" s="18" t="str">
        <x:v>iceLoadRequiredNetPlateThickness</x:v>
      </x:c>
      <x:c r="N17" s="18" t="str"/>
      <x:c r="O17" s="18" t="str">
        <x:v>t_net=500*s*sqrt((AF*PPF_p*P_avg)/sigma_y)/(1+s/(2*b)); applicable when Omega&gt;=70 degrees, including BI_b, M_b and S_b.</x:v>
      </x:c>
      <x:c r="P17" s="18" t="str">
        <x:v>NO</x:v>
      </x:c>
      <x:c r="Q17" s="18" t="str">
        <x:v>SRC-IACS-I2-R4; SRC-R13-CONTRACT; SRC-R13-REGISTRY</x:v>
      </x:c>
      <x:c r="R17" s="18" t="str">
        <x:v>Transversely framed plating Omega&gt;=70 with required hull-area applicability and operands s, AF, PPF, Pavg, yield strength, b; result tnet.</x:v>
      </x:c>
      <x:c r="S17" s="18" t="str">
        <x:v>PASS_READY; FAIL_MISSING_OPERAND; FAIL_MISSING_RESULT; FAIL_WRONG_PLATING_PATH; PASS_NOT_APPLICABLE Omega&lt;70 unless another branch applies.</x:v>
      </x:c>
      <x:c r="T17" s="18" t="str">
        <x:v>READY_FOR_RDF_DESIGN</x:v>
      </x:c>
      <x:c r="U17" s="18" t="str">
        <x:v>Do not solve sqrt formula; verify readiness and applicability.</x:v>
      </x:c>
    </x:row>
    <x:row r="18">
      <x:c r="A18" s="29" t="str">
        <x:v>I2-023</x:v>
      </x:c>
      <x:c r="B18" s="18" t="str">
        <x:v>IACS UR I2 Rev.4</x:v>
      </x:c>
      <x:c r="C18" s="18" t="str">
        <x:v>I2.4.2</x:v>
      </x:c>
      <x:c r="D18" s="18" t="str">
        <x:v>9</x:v>
      </x:c>
      <x:c r="E18" s="18" t="str">
        <x:v>COMPLEX_READINESS</x:v>
      </x:c>
      <x:c r="F18" s="18" t="str">
        <x:v>COMPLEX_READINESS / PIECEWISE</x:v>
      </x:c>
      <x:c r="G18" s="18" t="str">
        <x:v>D_REGULATION_SYNTHETIC</x:v>
      </x:c>
      <x:c r="H18" s="18" t="str">
        <x:v>For longitudinally-framed plating (Omega &lt;= 20 deg) when b &gt;= s, t_net = 500*s*sqrt((AF*PPF_p*P_avg)/sigma_y)/(1 + s/(2*l)) [mm]. When b &lt; s, t_net = 500*s*sqrt((AF*PPF_p*P_avg)/sigma_y)*sqrt(2*b/s - (b/s)^2)/(1 + s/(2*l)) [mm].</x:v>
      </x:c>
      <x:c r="I18" s="18" t="str">
        <x:v>ship</x:v>
      </x:c>
      <x:c r="J18" s="18" t="str"/>
      <x:c r="K18" s="18" t="str">
        <x:v>hasPlating, platingSupportedByStructuralMember</x:v>
      </x:c>
      <x:c r="L18" s="18" t="str">
        <x:v>averageIcePressure, frameSpacing, frameSpan, framingAngleOmega, loadPatchHeight, peakPressureFactor, selectedHullAreaFactor, yieldStrength</x:v>
      </x:c>
      <x:c r="M18" s="18" t="str">
        <x:v>iceLoadRequiredNetPlateThickness</x:v>
      </x:c>
      <x:c r="N18" s="18" t="str"/>
      <x:c r="O18" s="18" t="str">
        <x:v>For longitudinally-framed plating (Omega &lt;= 20 deg) when b &gt;= s, t_net = 500*s*sqrt((AF*PPF_p*P_avg)/sigma_y)/(1 + s/(2*l)) [mm]. When b &lt; s, t_net = 500*s*sqrt((AF*PPF_p*P_avg)/sigma_y)*sqrt(2*b/s - (b/s)^2)/(1 + s/(2*l)) [mm].</x:v>
      </x:c>
      <x:c r="P18" s="18" t="str">
        <x:v>NO</x:v>
      </x:c>
      <x:c r="Q18" s="18" t="str">
        <x:v>SRC-IACS-I2-R4; SRC-R13-CONTRACT; SRC-R13-REGISTRY</x:v>
      </x:c>
      <x:c r="R18" s="18" t="str">
        <x:v>Longitudinal framing Omega&lt;=20 with operands; represent both b&gt;=s and b&lt;s contexts and tnet result.</x:v>
      </x:c>
      <x:c r="S18" s="18" t="str">
        <x:v>PASS_READY_B_GE_S; PASS_READY_B_LT_S; FAIL_MISSING_B/S; FAIL_MISSING_RESULT; FAIL_WRONG_PATH; PASS_NOT_APPLICABLE Omega&gt;20.</x:v>
      </x:c>
      <x:c r="T18" s="18" t="str">
        <x:v>READY_FOR_RDF_DESIGN</x:v>
      </x:c>
      <x:c r="U18" s="18" t="str">
        <x:v>Readiness/interface for two formula branches.</x:v>
      </x:c>
    </x:row>
    <x:row r="19">
      <x:c r="A19" s="29" t="str">
        <x:v>I2-024</x:v>
      </x:c>
      <x:c r="B19" s="18" t="str">
        <x:v>IACS UR I2 Rev.4</x:v>
      </x:c>
      <x:c r="C19" s="18" t="str">
        <x:v>I2.4.2</x:v>
      </x:c>
      <x:c r="D19" s="18" t="str">
        <x:v>9</x:v>
      </x:c>
      <x:c r="E19" s="18" t="str">
        <x:v>COMPLEX_READINESS</x:v>
      </x:c>
      <x:c r="F19" s="18" t="str">
        <x:v>COMPLEX_READINESS / INTERPOLATION</x:v>
      </x:c>
      <x:c r="G19" s="18" t="str">
        <x:v>D_REGULATION_SYNTHETIC</x:v>
      </x:c>
      <x:c r="H19" s="18" t="str">
        <x:v>In the case of obliquely-framed plating (70 deg &gt; Omega &gt; 20 deg), linear interpolation is to be used.</x:v>
      </x:c>
      <x:c r="I19" s="18" t="str">
        <x:v>ship, obliquePlatingInterpolationCase, interpolationPoint</x:v>
      </x:c>
      <x:c r="J19" s="18" t="str"/>
      <x:c r="K19" s="18" t="str">
        <x:v>hasObliquePlatingInterpolationCase, interpolationLowerEndpoint, interpolationUpperEndpoint</x:v>
      </x:c>
      <x:c r="L19" s="18" t="str">
        <x:v>framingAngle, interpolationPointCoordinate, interpolationPointResult, longitudinalFramingNetPlateThickness, transverseFramingNetPlateThickness</x:v>
      </x:c>
      <x:c r="M19" s="18" t="str">
        <x:v>interpolatedNetPlateThickness</x:v>
      </x:c>
      <x:c r="N19" s="18" t="str"/>
      <x:c r="O19" s="18" t="str">
        <x:v>For 20 deg &lt; framingAngle &lt; 70 deg, interpolatedNetPlateThickness is the linear interpolation of interpolationPointResult between the lower and upper interpolationPointCoordinate endpoints.</x:v>
      </x:c>
      <x:c r="P19" s="18" t="str">
        <x:v>NO</x:v>
      </x:c>
      <x:c r="Q19" s="18" t="str">
        <x:v>SRC-IACS-I2-R4; SRC-R13-CONTRACT; SRC-R13-REGISTRY</x:v>
      </x:c>
      <x:c r="R19" s="18" t="str">
        <x:v>Oblique framing 20&lt;Omega&lt;70 with lower/upper interpolationPoint nodes, coordinates/results, and interpolatedNetPlateThickness.</x:v>
      </x:c>
      <x:c r="S19" s="18" t="str">
        <x:v>PASS_READY_INTERPOLATION; FAIL_MISSING_LOWER_POINT; FAIL_MISSING_UPPER_POINT; FAIL_MISSING_RESULT; FAIL_WRONG_ENDPOINT_PATH; PASS_NOT_APPLICABLE at/outside range.</x:v>
      </x:c>
      <x:c r="T19" s="18" t="str">
        <x:v>READY_FOR_RDF_DESIGN</x:v>
      </x:c>
      <x:c r="U19" s="18" t="str">
        <x:v>Readiness only under R13 policy.</x:v>
      </x:c>
    </x:row>
    <x:row r="20">
      <x:c r="A20" s="29" t="str">
        <x:v>I2-026</x:v>
      </x:c>
      <x:c r="B20" s="18" t="str">
        <x:v>IACS UR I2 Rev.4</x:v>
      </x:c>
      <x:c r="C20" s="18" t="str">
        <x:v>I2.5.3</x:v>
      </x:c>
      <x:c r="D20" s="18" t="str">
        <x:v>10</x:v>
      </x:c>
      <x:c r="E20" s="18" t="str">
        <x:v>DIRECT_STATIC</x:v>
      </x:c>
      <x:c r="F20" s="18" t="str">
        <x:v>IF_THEN_OR / EVIDENCE</x:v>
      </x:c>
      <x:c r="G20" s="18" t="str">
        <x:v>D_REGULATION_SYNTHETIC</x:v>
      </x:c>
      <x:c r="H20" s="18"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c r="I20" s="18" t="str">
        <x:v>ship</x:v>
      </x:c>
      <x:c r="J20" s="18" t="str">
        <x:v>frameSupportCondition, frameSupportConditionValue</x:v>
      </x:c>
      <x:c r="K20" s="18" t="str">
        <x:v>frameSupportCondition, hasMemberSupport, hasStructuralMember, significantRotationalRestraintEvidence</x:v>
      </x:c>
      <x:c r="L20" s="18" t="str"/>
      <x:c r="M20" s="18" t="str"/>
      <x:c r="N20" s="18" t="str">
        <x:v>significantRotationalRestraintEvidence</x:v>
      </x:c>
      <x:c r="O20" s="18" t="str"/>
      <x:c r="P20" s="18" t="str">
        <x:v>NO</x:v>
      </x:c>
      <x:c r="Q20" s="18" t="str">
        <x:v>SRC-IACS-I2-R4; SRC-R13-CONTRACT; SRC-R13-REGISTRY</x:v>
      </x:c>
      <x:c r="R20" s="18" t="str">
        <x:v>Create framing member supports covering continuity-through-support, connection-bracket, simple support, and demonstrated rotational restraint routes.</x:v>
      </x:c>
      <x:c r="S20" s="18" t="str">
        <x:v>PASS_FIXED_CONTINUOUS; PASS_FIXED_BRACKET; PASS_SIMPLE_DEFAULT; PASS_OTHER_WITH_RESTRAINT_EVIDENCE; FAIL_CLAIMED_FIXITY_WITHOUT_BASIS; FAIL_TERMINATING_IN_ICE_AREA_NOT_FIXED.</x:v>
      </x:c>
      <x:c r="T20" s="18" t="str">
        <x:v>READY_FOR_RDF_DESIGN</x:v>
      </x:c>
      <x:c r="U20" s="18" t="str">
        <x:v>Important alternative-route logic test.</x:v>
      </x:c>
    </x:row>
    <x:row r="21">
      <x:c r="A21" s="29" t="str">
        <x:v>I2-029</x:v>
      </x:c>
      <x:c r="B21" s="18" t="str">
        <x:v>IACS UR I2 Rev.4</x:v>
      </x:c>
      <x:c r="C21" s="18" t="str">
        <x:v>I2.5.6</x:v>
      </x:c>
      <x:c r="D21" s="18" t="str">
        <x:v>10</x:v>
      </x:c>
      <x:c r="E21" s="18" t="str">
        <x:v>DIRECT_STATIC</x:v>
      </x:c>
      <x:c r="F21" s="18" t="str">
        <x:v>AND + CONDITIONAL</x:v>
      </x:c>
      <x:c r="G21" s="18" t="str">
        <x:v>D_REGULATION_SYNTHETIC</x:v>
      </x:c>
      <x:c r="H21" s="18" t="str">
        <x:v>For each applicable calculationCase: attachedShellPlatingIncludedInSectionModulus is true; attachedShellPlatingExcludedFromShearArea is true; flangeMaterialIncludedInShearArea is explicitly represented; and if flangeMaterialIncludedInShearArea is true, the structuralMember linked through sectionCalculationCaseStructuralMember has flangeFitted true.</x:v>
      </x:c>
      <x:c r="I21" s="18" t="str">
        <x:v>ship, calculationCase, structuralMember</x:v>
      </x:c>
      <x:c r="J21" s="18" t="str"/>
      <x:c r="K21" s="18" t="str">
        <x:v>hasCalculationCase, sectionCalculationCaseStructuralMember</x:v>
      </x:c>
      <x:c r="L21" s="18" t="str"/>
      <x:c r="M21" s="18" t="str"/>
      <x:c r="N21" s="18" t="str"/>
      <x:c r="O21" s="18" t="str"/>
      <x:c r="P21" s="18" t="str">
        <x:v>NO</x:v>
      </x:c>
      <x:c r="Q21" s="18" t="str">
        <x:v>SRC-IACS-I2-R4; SRC-R13-CONTRACT; SRC-R13-REGISTRY</x:v>
      </x:c>
      <x:c r="R21" s="18" t="str">
        <x:v>CalculationCase with shell plating included in section modulus, excluded from shear area, explicit flange-material flag; if flange material included, linked member flangeFitted=true.</x:v>
      </x:c>
      <x:c r="S21" s="18" t="str">
        <x:v>PASS_NO_FLANGE_MATERIAL; PASS_WITH_FLANGE_AND_FITTED; FAIL_SHELL_NOT_INCLUDED; FAIL_SHELL_NOT_EXCLUDED; FAIL_FLANGE_INCLUDED_BUT_NOT_FITTED.</x:v>
      </x:c>
      <x:c r="T21" s="18" t="str">
        <x:v>READY_FOR_RDF_DESIGN</x:v>
      </x:c>
      <x:c r="U21" s="18" t="str">
        <x:v>Tests conditional dependency across case-to-member path.</x:v>
      </x:c>
    </x:row>
    <x:row r="22">
      <x:c r="A22" s="29" t="str">
        <x:v>I2-030</x:v>
      </x:c>
      <x:c r="B22" s="18" t="str">
        <x:v>IACS UR I2 Rev.4</x:v>
      </x:c>
      <x:c r="C22" s="18" t="str">
        <x:v>I2.5.8-I2.5.9</x:v>
      </x:c>
      <x:c r="D22" s="18" t="str">
        <x:v>11</x:v>
      </x:c>
      <x:c r="E22" s="18" t="str">
        <x:v>COMPLEX_READINESS</x:v>
      </x:c>
      <x:c r="F22" s="18" t="str">
        <x:v>COMPLEX_READINESS / BRANCH + INTERPOLATION</x:v>
      </x:c>
      <x:c r="G22" s="18" t="str">
        <x:v>D_REGULATION_SYNTHETIC</x:v>
      </x:c>
      <x:c r="H22" s="18" t="str">
        <x:v>When the local-frame area exceeds the attached-plate-flange area, z_na = (100*A_fn + h_w*t_wn - 1000*t_pn*s)/(2*t_wn) [mm]. The net effective plastic section modulus is Z_p = t_pn*s*(z_na + t_pn/2)*sin(phi_w) + (((h_w - z_na)^2 + z_na^2)*t_wn*sin(phi_w))/2000 + A_fn*((h_fc - z_na)*sin(phi_w) - b_w*cos(phi_w))/10 [cm^3]. For oblique framing (70 deg &gt; Omega &gt; 20 deg), use linear interpolation.</x:v>
      </x:c>
      <x:c r="I22" s="18" t="str">
        <x:v>ship</x:v>
      </x:c>
      <x:c r="J22" s="18" t="str">
        <x:v>netLocalFrameFlangeArea, netAttachedShellPlateThickness, frameSpacing, framingAngleOmega</x:v>
      </x:c>
      <x:c r="K22" s="18" t="str">
        <x:v>hasCalculationCase, hasLocalFrameSectionCalculationCase, interpolationLowerEndpoint, interpolationUpperEndpoint, sectionCalculationCasePlating, sectionCalculationCaseStructuralMember</x:v>
      </x:c>
      <x:c r="L22" s="18" t="str">
        <x:v>netLocalFrameFlangeArea, webHeight, netWebThickness, netAttachedShellPlateThickness, frameSpacing, localFrameFlangeCentreHeight, webAngleToShellPlate, webToFlangeCentreDistance, interpolationPointCoordinate, interpolationPointResult</x:v>
      </x:c>
      <x:c r="M22" s="18" t="str">
        <x:v>plasticNeutralAxisHeight, netEffectivePlasticSectionModulus</x:v>
      </x:c>
      <x:c r="N22" s="18" t="str"/>
      <x:c r="O22" s="18" t="str">
        <x:v>Use the z_na branch exactly when 100*netLocalFrameFlangeArea &gt; 1000*netAttachedShellPlateThickness*frameSpacing after expressing A_fn in cm2, t_pn in mm, and s in m; then apply the source z_na and Z_p equations. For 20&lt;framingAngleOmega&lt;70 degrees use linear interpolation.</x:v>
      </x:c>
      <x:c r="P22" s="18" t="str">
        <x:v>NO</x:v>
      </x:c>
      <x:c r="Q22" s="18" t="str">
        <x:v>SRC-IACS-I2-R4; SRC-R13-CONTRACT; SRC-R13-REGISTRY</x:v>
      </x:c>
      <x:c r="R22" s="18" t="str">
        <x:v>Build localFrameSectionCalculationCase with Afn,tpn,s,hw,twn,hfc,phi,bw plus interpolation endpoints when 20&lt;Omega&lt;70, and z_na/Zp results.</x:v>
      </x:c>
      <x:c r="S22" s="18" t="str">
        <x:v>PASS_READY_BRANCH; FAIL_MISSING_SELECTOR; FAIL_MISSING_OPERAND; FAIL_MISSING_RESULT; FAIL_WRONG_PLATING/MEMBER_PATH; FAIL_MISSING_INTERPOLATION_ENDPOINT when oblique.</x:v>
      </x:c>
      <x:c r="T22" s="18" t="str">
        <x:v>READY_FOR_RDF_DESIGN</x:v>
      </x:c>
      <x:c r="U22" s="18" t="str">
        <x:v>No nonlinear arithmetic execution; branch/readiness semantics only.</x:v>
      </x:c>
    </x:row>
    <x:row r="23">
      <x:c r="A23" s="29" t="str">
        <x:v>I2-031</x:v>
      </x:c>
      <x:c r="B23" s="18" t="str">
        <x:v>IACS UR I2 Rev.4</x:v>
      </x:c>
      <x:c r="C23" s="18" t="str">
        <x:v>I2.6.1</x:v>
      </x:c>
      <x:c r="D23" s="18" t="str">
        <x:v>12</x:v>
      </x:c>
      <x:c r="E23" s="18" t="str">
        <x:v>DIRECT_STATIC</x:v>
      </x:c>
      <x:c r="F23" s="18" t="str">
        <x:v>UNIVERSAL / COMPARISON</x:v>
      </x:c>
      <x:c r="G23" s="18" t="str">
        <x:v>D_REGULATION_SYNTHETIC</x:v>
      </x:c>
      <x:c r="H23" s="18"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c r="I23" s="18" t="str">
        <x:v>ship, structuralMember, loadCase</x:v>
      </x:c>
      <x:c r="J23" s="18" t="str"/>
      <x:c r="K23" s="18" t="str">
        <x:v>frameProfileType, hasStructuralMember, hasStructuralMemberLoadCase, loadPatchOrientation, structuralLocation</x:v>
      </x:c>
      <x:c r="L23" s="18" t="str">
        <x:v>combinedShearAndBendingDemand, midspanPlasticCollapseLoad, patchLoad, plasticStrength</x:v>
      </x:c>
      <x:c r="M23" s="18" t="str">
        <x:v>plasticStrength</x:v>
      </x:c>
      <x:c r="N23" s="18" t="str"/>
      <x:c r="O23" s="18" t="str">
        <x:v>For every applicable structural member, combinedShearAndBendingDemand &lt;= plasticStrength; plasticStrength is the midspan load producing the plasticCollapseMechanism.</x:v>
      </x:c>
      <x:c r="P23" s="18" t="str">
        <x:v>NO</x:v>
      </x:c>
      <x:c r="Q23" s="18" t="str">
        <x:v>SRC-IACS-I2-R4; SRC-R13-CONTRACT; SRC-R13-REGISTRY</x:v>
      </x:c>
      <x:c r="R23" s="18" t="str">
        <x:v>Applicable local frame/loadCase with combinedShearAndBendingDemand and plasticStrength/midspan collapse load; bottom patch orientation represented.</x:v>
      </x:c>
      <x:c r="S23" s="18" t="str">
        <x:v>PASS_DEMAND_EQ_CAPACITY; PASS_BELOW; FAIL_ABOVE; FAIL_WRONG_BOTTOM_PATCH_ORIENTATION; PASS_ZERO_INSTANCES if no existence obligation.</x:v>
      </x:c>
      <x:c r="T23" s="18" t="str">
        <x:v>READY_FOR_RDF_DESIGN</x:v>
      </x:c>
      <x:c r="U23" s="18" t="str">
        <x:v>Direct static engineering comparison.</x:v>
      </x:c>
    </x:row>
    <x:row r="24">
      <x:c r="A24" s="29" t="str">
        <x:v>I2-032</x:v>
      </x:c>
      <x:c r="B24" s="18" t="str">
        <x:v>IACS UR I2 Rev.4</x:v>
      </x:c>
      <x:c r="C24" s="18" t="str">
        <x:v>I2.6.2</x:v>
      </x:c>
      <x:c r="D24" s="18" t="str">
        <x:v>12</x:v>
      </x:c>
      <x:c r="E24" s="18" t="str">
        <x:v>DIRECT_CALCULATION</x:v>
      </x:c>
      <x:c r="F24" s="18" t="str">
        <x:v>FORMULA + COMPARISON</x:v>
      </x:c>
      <x:c r="G24" s="18" t="str">
        <x:v>D_REGULATION_SYNTHETIC</x:v>
      </x:c>
      <x:c r="H24" s="18" t="str">
        <x:v>The actual net effective shear area A_w shall satisfy A_w &gt;= A_t, where A_t = 100^2*0.5*LL*s*(AF*PPF*P_avg)/(0.577*sigma_y) [cm^2]. LL is the lesser of frame span a and load-patch height b; the remaining variables are defined in I2.6.2.</x:v>
      </x:c>
      <x:c r="I24" s="18" t="str">
        <x:v>ship</x:v>
      </x:c>
      <x:c r="J24" s="18" t="str"/>
      <x:c r="K24" s="18" t="str"/>
      <x:c r="L24" s="18" t="str">
        <x:v>averageIcePressure, frameSpacing, frameSpan, hullAreaFactor, loadPatchHeight, peakPressureFactor, requiredTransverseFrameShearArea, selectedHullAreaFactor, shearArea, span, yieldStrength</x:v>
      </x:c>
      <x:c r="M24" s="18" t="str">
        <x:v>peakPressureFactor, requiredTransverseFrameShearArea</x:v>
      </x:c>
      <x:c r="N24" s="18" t="str"/>
      <x:c r="O24" s="18" t="str">
        <x:v>The actual net effective shear area A_w shall satisfy A_w &gt;= A_t, where A_t = 100^2*0.5*LL*s*(AF*PPF*P_avg)/(0.577*sigma_y) [cm^2]. LL is the lesser of frame span a and load-patch height b; the remaining variables are defined in I2.6.2.</x:v>
      </x:c>
      <x:c r="P24" s="18" t="str">
        <x:v>NO</x:v>
      </x:c>
      <x:c r="Q24" s="18" t="str">
        <x:v>SRC-IACS-I2-R4; SRC-R13-CONTRACT; SRC-R13-REGISTRY</x:v>
      </x:c>
      <x:c r="R24" s="18" t="str">
        <x:v>Create transverse-frame case with a,b,s,AF,PPF,Pavg,yield strength; LL=min(a,b); calculate At; actual shearArea Aw.</x:v>
      </x:c>
      <x:c r="S24" s="18" t="str">
        <x:v>PASS_AW_EQ_AT; PASS_AW_GT_AT; FAIL_AW_LT_AT; branch where a&lt;b; branch where b&lt;a; FAIL_WRONG_LL-derived result.</x:v>
      </x:c>
      <x:c r="T24" s="18" t="str">
        <x:v>READY_FOR_RDF_DESIGN</x:v>
      </x:c>
      <x:c r="U24" s="18" t="str">
        <x:v>Regulation gives complete deterministic oracle.</x:v>
      </x:c>
    </x:row>
    <x:row r="25">
      <x:c r="A25" s="29" t="str">
        <x:v>I2-034</x:v>
      </x:c>
      <x:c r="B25" s="18" t="str">
        <x:v>IACS UR I2 Rev.4</x:v>
      </x:c>
      <x:c r="C25" s="18" t="str">
        <x:v>I2.7.1</x:v>
      </x:c>
      <x:c r="D25" s="18" t="str">
        <x:v>13</x:v>
      </x:c>
      <x:c r="E25" s="18" t="str">
        <x:v>DIRECT_STATIC</x:v>
      </x:c>
      <x:c r="F25" s="18" t="str">
        <x:v>UNIVERSAL / IF_THEN</x:v>
      </x:c>
      <x:c r="G25" s="18" t="str">
        <x:v>D_REGULATION_SYNTHETIC</x:v>
      </x:c>
      <x:c r="H25" s="18" t="str">
        <x:v>For each longitudinal local frame whose structuralLocation is sideStructureLocation, every represented load-case combined shear-and-bending demand must not exceed the member plastic strength/midspan plastic-collapse load. The clause is universal and does not require inventing a member or load case when none is represented.</x:v>
      </x:c>
      <x:c r="I25" s="18" t="str">
        <x:v>ship</x:v>
      </x:c>
      <x:c r="J25" s="18" t="str">
        <x:v>longitudinalFrameOrientation, structuralLocation, sideStructureLocation</x:v>
      </x:c>
      <x:c r="K25" s="18" t="str">
        <x:v>frameProfileType, hasStructuralMember, hasStructuralMemberLoadCase, structuralLocation</x:v>
      </x:c>
      <x:c r="L25" s="18" t="str">
        <x:v>combinedShearAndBendingDemand, midspanPlasticCollapseLoad, plasticStrength</x:v>
      </x:c>
      <x:c r="M25" s="18" t="str"/>
      <x:c r="N25" s="18" t="str"/>
      <x:c r="O25" s="18" t="str"/>
      <x:c r="P25" s="18" t="str">
        <x:v>NO</x:v>
      </x:c>
      <x:c r="Q25" s="18" t="str">
        <x:v>SRC-IACS-I2-R4; SRC-R13-CONTRACT; SRC-R13-REGISTRY</x:v>
      </x:c>
      <x:c r="R25" s="18" t="str">
        <x:v>Longitudinal local frame at sideStructureLocation with one or multiple load cases and demand vs plastic strength.</x:v>
      </x:c>
      <x:c r="S25" s="18" t="str">
        <x:v>PASS_ALL_VALID; FAIL_ONE_INVALID; FAIL_MIXED; PASS_ZERO_INSTANCES; PASS_NOT_APPLICABLE non-side or non-longitudinal member.</x:v>
      </x:c>
      <x:c r="T25" s="18" t="str">
        <x:v>READY_FOR_RDF_DESIGN</x:v>
      </x:c>
      <x:c r="U25" s="18" t="str">
        <x:v>Tests universal quantification and no invented existence.</x:v>
      </x:c>
    </x:row>
    <x:row r="26">
      <x:c r="A26" s="29" t="str">
        <x:v>I2-035</x:v>
      </x:c>
      <x:c r="B26" s="18" t="str">
        <x:v>IACS UR I2 Rev.4</x:v>
      </x:c>
      <x:c r="C26" s="18" t="str">
        <x:v>I2.7.2</x:v>
      </x:c>
      <x:c r="D26" s="18" t="str">
        <x:v>13</x:v>
      </x:c>
      <x:c r="E26" s="18" t="str">
        <x:v>DIRECT_CALCULATION</x:v>
      </x:c>
      <x:c r="F26" s="18" t="str">
        <x:v>PIECEWISE_FORMULA + COMPARISON</x:v>
      </x:c>
      <x:c r="G26" s="18" t="str">
        <x:v>D_REGULATION_SYNTHETIC</x:v>
      </x:c>
      <x:c r="H26" s="18" t="str">
        <x:v>The actual net effective shear area A_w shall satisfy A_w &gt;= A_L, where A_L = 100^2*(AF*PPF_s*P_avg)*0.5*b_1*a/(0.577*sigma_y) [cm^2], b_1 = k_o*b_2, k_o = 1 - 0.3/b_prime, b_prime = b/s, and b_2 = b*(1 - 0.25*b_prime) when b_prime &lt; 2, otherwise b_2 = s.</x:v>
      </x:c>
      <x:c r="I26" s="18" t="str">
        <x:v>ship</x:v>
      </x:c>
      <x:c r="J26" s="18" t="str"/>
      <x:c r="K26" s="18" t="str"/>
      <x:c r="L26" s="18" t="str">
        <x:v>averageIcePressure, frameSpacing, frameSpan, peakPressureFactor, selectedHullAreaFactor, yieldStrength, shearArea</x:v>
      </x:c>
      <x:c r="M26" s="18" t="str">
        <x:v>requiredLongitudinalFrameShearArea</x:v>
      </x:c>
      <x:c r="N26" s="18" t="str"/>
      <x:c r="O26" s="18" t="str">
        <x:v>The actual net effective shear area A_w shall satisfy A_w &gt;= A_L, where A_L = 100^2*(AF*PPF_s*P_avg)*0.5*b_1*a/(0.577*sigma_y) [cm^2], b_1 = k_o*b_2, k_o = 1 - 0.3/b_prime, b_prime = b/s, and b_2 = b*(1 - 0.25*b_prime) when b_prime &lt; 2, otherwise b_2 = s.</x:v>
      </x:c>
      <x:c r="P26" s="18" t="str">
        <x:v>NO</x:v>
      </x:c>
      <x:c r="Q26" s="18" t="str">
        <x:v>SRC-IACS-I2-R4; SRC-R13-CONTRACT; SRC-R13-REGISTRY</x:v>
      </x:c>
      <x:c r="R26" s="18" t="str">
        <x:v>Longitudinal frame with b,s,a,AF,PPFs,Pavg,yield strength; exercise b_prime&lt;2 and &gt;=2 branches; derive AL and compare actual Aw.</x:v>
      </x:c>
      <x:c r="S26" s="18" t="str">
        <x:v>PASS_BRANCH_LT2; FAIL_BRANCH_LT2; PASS_BRANCH_GE2; FAIL_BRANCH_GE2; BOUNDARY b_prime=2; FAIL_AW_BELOW_REQUIRED.</x:v>
      </x:c>
      <x:c r="T26" s="18" t="str">
        <x:v>READY_FOR_RDF_DESIGN</x:v>
      </x:c>
      <x:c r="U26" s="18" t="str">
        <x:v>Complete deterministic formula oracle.</x:v>
      </x:c>
    </x:row>
    <x:row r="27">
      <x:c r="A27" s="29" t="str">
        <x:v>I2-037</x:v>
      </x:c>
      <x:c r="B27" s="18" t="str">
        <x:v>IACS UR I2 Rev.4</x:v>
      </x:c>
      <x:c r="C27" s="18" t="str">
        <x:v>I2.8.1</x:v>
      </x:c>
      <x:c r="D27" s="18" t="str">
        <x:v>13</x:v>
      </x:c>
      <x:c r="E27" s="18" t="str">
        <x:v>DIRECT_STATIC</x:v>
      </x:c>
      <x:c r="F27" s="18" t="str">
        <x:v>EVIDENCE / UNIVERSAL</x:v>
      </x:c>
      <x:c r="G27" s="18" t="str">
        <x:v>D_REGULATION_SYNTHETIC</x:v>
      </x:c>
      <x:c r="H27" s="18" t="str">
        <x:v>Web frames and load-carrying stringers are to be designed to withstand the ice load patch as defined in I2.3. The load patch is to be applied at locations where the capacity of these members under the combined effects of bending and shear is minimised.</x:v>
      </x:c>
      <x:c r="I27" s="18" t="str">
        <x:v>ship, structuralMember, loadCase, iceLoadPatchDesignCase</x:v>
      </x:c>
      <x:c r="J27" s="18" t="str"/>
      <x:c r="K27" s="18" t="str">
        <x:v>hasStructuralMember, hasStructuralMemberLoadCase, hasIceLoadPatchDesignCase</x:v>
      </x:c>
      <x:c r="L27" s="18" t="str">
        <x:v>combinedShearBendingEffect, memberCapacity, loadPatchApplicationLocation</x:v>
      </x:c>
      <x:c r="M27" s="18" t="str">
        <x:v>memberCapacityMinimizationConfirmed</x:v>
      </x:c>
      <x:c r="N27" s="18" t="str">
        <x:v>memberCapacityMinimizationConfirmed</x:v>
      </x:c>
      <x:c r="O27" s="18" t="str"/>
      <x:c r="P27" s="18" t="str">
        <x:v>NO</x:v>
      </x:c>
      <x:c r="Q27" s="18" t="str">
        <x:v>SRC-IACS-I2-R4; SRC-R13-CONTRACT; SRC-R13-REGISTRY</x:v>
      </x:c>
      <x:c r="R27" s="18" t="str">
        <x:v>Web frame/load-carrying stringer with load case and iceLoadPatchDesignCase; memberCapacityMinimizationConfirmed evidence at application location.</x:v>
      </x:c>
      <x:c r="S27" s="18" t="str">
        <x:v>PASS_WEB_FRAME; PASS_STRINGER; FAIL_MISSING_MINIMIZATION_EVIDENCE; FAIL_WRONG_LOAD_CASE_PATH; PASS_ZERO_INSTANCES if no member exists.</x:v>
      </x:c>
      <x:c r="T27" s="18" t="str">
        <x:v>READY_FOR_RDF_DESIGN</x:v>
      </x:c>
      <x:c r="U27" s="18" t="str">
        <x:v>Tests evidence and graph-path semantics.</x:v>
      </x:c>
    </x:row>
    <x:row r="28">
      <x:c r="A28" s="29" t="str">
        <x:v>I2-040</x:v>
      </x:c>
      <x:c r="B28" s="18" t="str">
        <x:v>IACS UR I2 Rev.4</x:v>
      </x:c>
      <x:c r="C28" s="18" t="str">
        <x:v>I2.9.1</x:v>
      </x:c>
      <x:c r="D28" s="18" t="str">
        <x:v>14</x:v>
      </x:c>
      <x:c r="E28" s="18" t="str">
        <x:v>COMPLEX_READINESS</x:v>
      </x:c>
      <x:c r="F28" s="18" t="str">
        <x:v>COMPLEX_READINESS / ALTERNATIVE_SECTION_TYPES</x:v>
      </x:c>
      <x:c r="G28" s="18" t="str">
        <x:v>D_REGULATION_SYNTHETIC</x:v>
      </x:c>
      <x:c r="H28" s="18" t="str">
        <x:v>To prevent local web buckling, h_w/t_wn &lt;= 282/sqrt(sigma_y) for flat-bar sections and h_w/t_wn &lt;= 805/sqrt(sigma_y) for bulb, tee and angle sections.</x:v>
      </x:c>
      <x:c r="I28" s="18" t="str">
        <x:v>ship</x:v>
      </x:c>
      <x:c r="J28" s="18" t="str"/>
      <x:c r="K28" s="18" t="str">
        <x:v>structuralSectionType</x:v>
      </x:c>
      <x:c r="L28" s="18" t="str">
        <x:v>netWebThickness, webHeight, yieldStrength</x:v>
      </x:c>
      <x:c r="M28" s="18" t="str">
        <x:v>netWebThickness</x:v>
      </x:c>
      <x:c r="N28" s="18" t="str"/>
      <x:c r="O28" s="18" t="str"/>
      <x:c r="P28" s="18" t="str">
        <x:v>NO</x:v>
      </x:c>
      <x:c r="Q28" s="18" t="str">
        <x:v>SRC-IACS-I2-R4; SRC-R13-CONTRACT; SRC-R13-REGISTRY</x:v>
      </x:c>
      <x:c r="R28" s="18" t="str">
        <x:v>Structural member with section type flatBar OR bulb/tee/angle plus webHeight, netWebThickness, yieldStrength.</x:v>
      </x:c>
      <x:c r="S28" s="18" t="str">
        <x:v>PASS_READY_FLATBAR; PASS_READY_BULB; PASS_READY_TEE; PASS_READY_ANGLE; FAIL_MISSING_SECTION_TYPE; FAIL_MISSING_HW/TWN/SIGMAY; FAIL_MISSING_RESULT/interface.</x:v>
      </x:c>
      <x:c r="T28" s="18" t="str">
        <x:v>READY_FOR_RDF_DESIGN</x:v>
      </x:c>
      <x:c r="U28" s="18" t="str">
        <x:v>R13 marks complex readiness despite explicit formula; do not execute sqrt.</x:v>
      </x:c>
    </x:row>
    <x:row r="29">
      <x:c r="A29" s="29" t="str">
        <x:v>I2-041</x:v>
      </x:c>
      <x:c r="B29" s="18" t="str">
        <x:v>IACS UR I2 Rev.4</x:v>
      </x:c>
      <x:c r="C29" s="18" t="str">
        <x:v>I2.9.3</x:v>
      </x:c>
      <x:c r="D29" s="18" t="str">
        <x:v>15</x:v>
      </x:c>
      <x:c r="E29" s="18" t="str">
        <x:v>COMPLEX_READINESS</x:v>
      </x:c>
      <x:c r="F29" s="18" t="str">
        <x:v>COMPLEX_READINESS</x:v>
      </x:c>
      <x:c r="G29" s="18" t="str">
        <x:v>D_REGULATION_SYNTHETIC</x:v>
      </x:c>
      <x:c r="H29" s="18" t="str">
        <x:v>In addition, the net web thickness shall satisfy t_wn &gt;= 0.35*t_pn*sqrt(sigma_y/235), where sigma_y is the minimum upper yield stress of the shell plate and t_pn is the net shell-plate thickness in way of the framing member.</x:v>
      </x:c>
      <x:c r="I29" s="18" t="str">
        <x:v>ship, structuralMember</x:v>
      </x:c>
      <x:c r="J29" s="18" t="str"/>
      <x:c r="K29" s="18" t="str">
        <x:v>hasStructuralMember</x:v>
      </x:c>
      <x:c r="L29" s="18" t="str">
        <x:v>netAttachedShellPlateThickness, yieldStrength</x:v>
      </x:c>
      <x:c r="M29" s="18" t="str">
        <x:v>netWebThickness</x:v>
      </x:c>
      <x:c r="N29" s="18" t="str"/>
      <x:c r="O29" s="18" t="str">
        <x:v>For each structural member: netWebThickness &gt;= 0.35*netAttachedShellPlateThickness*sqrt(yieldStrength/235).</x:v>
      </x:c>
      <x:c r="P29" s="18" t="str">
        <x:v>NO</x:v>
      </x:c>
      <x:c r="Q29" s="18" t="str">
        <x:v>SRC-IACS-I2-R4; SRC-R13-CONTRACT; SRC-R13-REGISTRY</x:v>
      </x:c>
      <x:c r="R29" s="18" t="str">
        <x:v>Structural member with netAttachedShellPlateThickness, yieldStrength and netWebThickness through hasStructuralMember.</x:v>
      </x:c>
      <x:c r="S29" s="18" t="str">
        <x:v>PASS_READY; FAIL_MISSING_TPN; FAIL_MISSING_YIELD; FAIL_MISSING_TWN; FAIL_WRONG_OWNER/PATH.</x:v>
      </x:c>
      <x:c r="T29" s="18" t="str">
        <x:v>READY_FOR_RDF_DESIGN</x:v>
      </x:c>
      <x:c r="U29" s="18" t="str">
        <x:v>Readiness only per R13.</x:v>
      </x:c>
    </x:row>
    <x:row r="30">
      <x:c r="A30" s="29" t="str">
        <x:v>I2-042</x:v>
      </x:c>
      <x:c r="B30" s="18" t="str">
        <x:v>IACS UR I2 Rev.4</x:v>
      </x:c>
      <x:c r="C30" s="18" t="str">
        <x:v>I2.9.4</x:v>
      </x:c>
      <x:c r="D30" s="18" t="str">
        <x:v>15</x:v>
      </x:c>
      <x:c r="E30" s="18" t="str">
        <x:v>DIRECT_CALCULATION</x:v>
      </x:c>
      <x:c r="F30" s="18" t="str">
        <x:v>FORMULA_INEQUALITY / BOUNDARY</x:v>
      </x:c>
      <x:c r="G30" s="18" t="str">
        <x:v>D_REGULATION_SYNTHETIC</x:v>
      </x:c>
      <x:c r="H30" s="18" t="str">
        <x:v>(i) The flange width, bf [mm], is not to be less than five times the net thickness of the web, twn.</x:v>
      </x:c>
      <x:c r="I30" s="18" t="str">
        <x:v>ship, structuralMember</x:v>
      </x:c>
      <x:c r="J30" s="18" t="str"/>
      <x:c r="K30" s="18" t="str">
        <x:v>hasStructuralMember</x:v>
      </x:c>
      <x:c r="L30" s="18" t="str">
        <x:v>netWebThickness</x:v>
      </x:c>
      <x:c r="M30" s="18" t="str">
        <x:v>flangeWidth</x:v>
      </x:c>
      <x:c r="N30" s="18" t="str"/>
      <x:c r="O30" s="18" t="str">
        <x:v>For each structural member: flangeWidth &gt;= 5*netWebThickness.</x:v>
      </x:c>
      <x:c r="P30" s="18" t="str">
        <x:v>NO</x:v>
      </x:c>
      <x:c r="Q30" s="18" t="str">
        <x:v>SRC-IACS-I2-R4; SRC-R13-CONTRACT; SRC-R13-REGISTRY</x:v>
      </x:c>
      <x:c r="R30" s="18" t="str">
        <x:v>Structural member with netWebThickness and flangeWidth in mm.</x:v>
      </x:c>
      <x:c r="S30" s="18" t="str">
        <x:v>PASS_BOUNDARY bf=5*twn; PASS_ABOVE; FAIL_BELOW; FAIL_MISSING_TWN; optional wrong unit.</x:v>
      </x:c>
      <x:c r="T30" s="18" t="str">
        <x:v>READY_FOR_RDF_DESIGN</x:v>
      </x:c>
      <x:c r="U30" s="18" t="str">
        <x:v>Very clean deterministic unit test.</x:v>
      </x:c>
    </x:row>
    <x:row r="31">
      <x:c r="A31" s="29" t="str">
        <x:v>I2-043</x:v>
      </x:c>
      <x:c r="B31" s="18" t="str">
        <x:v>IACS UR I2 Rev.4</x:v>
      </x:c>
      <x:c r="C31" s="18" t="str">
        <x:v>I2.9.4</x:v>
      </x:c>
      <x:c r="D31" s="18" t="str">
        <x:v>15</x:v>
      </x:c>
      <x:c r="E31" s="18" t="str">
        <x:v>COMPLEX_READINESS</x:v>
      </x:c>
      <x:c r="F31" s="18" t="str">
        <x:v>COMPLEX_READINESS</x:v>
      </x:c>
      <x:c r="G31" s="18" t="str">
        <x:v>D_REGULATION_SYNTHETIC</x:v>
      </x:c>
      <x:c r="H31" s="18" t="str">
        <x:v>The flange outstand shall satisfy b_out/t_fn &lt;= 155/sqrt(sigma_y), where t_fn is the net flange thickness [mm] and sigma_y is the minimum upper yield stress [N/mm^2].</x:v>
      </x:c>
      <x:c r="I31" s="18" t="str">
        <x:v>ship, structuralMember</x:v>
      </x:c>
      <x:c r="J31" s="18" t="str"/>
      <x:c r="K31" s="18" t="str">
        <x:v>hasStructuralMember</x:v>
      </x:c>
      <x:c r="L31" s="18" t="str">
        <x:v>netFlangeThickness, yieldStrength</x:v>
      </x:c>
      <x:c r="M31" s="18" t="str">
        <x:v>flangeOutstand</x:v>
      </x:c>
      <x:c r="N31" s="18" t="str"/>
      <x:c r="O31" s="18" t="str">
        <x:v>For each structural member: flangeOutstand/netFlangeThickness &lt;= 155/sqrt(yieldStrength).</x:v>
      </x:c>
      <x:c r="P31" s="18" t="str">
        <x:v>NO</x:v>
      </x:c>
      <x:c r="Q31" s="18" t="str">
        <x:v>SRC-IACS-I2-R4; SRC-R13-CONTRACT; SRC-R13-REGISTRY</x:v>
      </x:c>
      <x:c r="R31" s="18" t="str">
        <x:v>Structural member with netFlangeThickness, yieldStrength and flangeOutstand.</x:v>
      </x:c>
      <x:c r="S31" s="18" t="str">
        <x:v>PASS_READY; FAIL_MISSING_TFN; FAIL_MISSING_YIELD; FAIL_MISSING_BOUT; FAIL_WRONG_PATH.</x:v>
      </x:c>
      <x:c r="T31" s="18" t="str">
        <x:v>READY_FOR_RDF_DESIGN</x:v>
      </x:c>
      <x:c r="U31" s="18" t="str">
        <x:v>Readiness only per R13.</x:v>
      </x:c>
    </x:row>
    <x:row r="32">
      <x:c r="A32" s="29" t="str">
        <x:v>I2-046</x:v>
      </x:c>
      <x:c r="B32" s="18" t="str">
        <x:v>IACS UR I2 Rev.4</x:v>
      </x:c>
      <x:c r="C32" s="18" t="str">
        <x:v>I2.11.3</x:v>
      </x:c>
      <x:c r="D32" s="18" t="str">
        <x:v>15</x:v>
      </x:c>
      <x:c r="E32" s="18" t="str">
        <x:v>DIRECT_CALCULATION</x:v>
      </x:c>
      <x:c r="F32" s="18" t="str">
        <x:v>IF_THEN / EXACT_CARDINALITY / UNIVERSAL</x:v>
      </x:c>
      <x:c r="G32" s="18" t="str">
        <x:v>C_REAL_CONTEXT_CONTROLLED</x:v>
      </x:c>
      <x:c r="H32" s="18" t="str">
        <x:v>Require exactly one polarClassRequirementsApplicable boolean. If true, require valid polarClass evidence and constrain every linked internalIceStrengthenedStructure to have one QuantityValue internalStructureCorrosionAbrasionAddition with decimal numericValue &gt;= 1.0 and exactly one unit:MilliM. If false, the I2.11.3 obligation is non-applicable. The universal rule does not require a structure instance.</x:v>
      </x:c>
      <x:c r="I32" s="18" t="str">
        <x:v>ship</x:v>
      </x:c>
      <x:c r="J32" s="18" t="str">
        <x:v>polarClassRequirementsApplicable, polarClass</x:v>
      </x:c>
      <x:c r="K32" s="18" t="str">
        <x:v>hasInternalIceStrengthenedStructure, polarClass</x:v>
      </x:c>
      <x:c r="L32" s="18" t="str">
        <x:v>internalStructureCorrosionAbrasionAddition</x:v>
      </x:c>
      <x:c r="M32" s="18" t="str">
        <x:v>internalStructureCorrosionAbrasionAddition</x:v>
      </x:c>
      <x:c r="N32" s="18" t="str"/>
      <x:c r="O32" s="18" t="str"/>
      <x:c r="P32" s="18" t="str">
        <x:v>NO</x:v>
      </x:c>
      <x:c r="Q32" s="18" t="str">
        <x:v>SRC-IACS-I2-R4; SRC-R13-CONTRACT; SRC-R13-REGISTRY; SRC-NUYINA-KEH / SRC-KPH-HI (context only)</x:v>
      </x:c>
      <x:c r="R32" s="18" t="str">
        <x:v>Use real PC3 vessel as context for polarClass; controlled polarClassRequirementsApplicable boolean and linked internal ice-strengthened structures with corrosion addition QUDT values.</x:v>
      </x:c>
      <x:c r="S32" s="18" t="str">
        <x:v>PASS_APPLICABLE_1MM; PASS_ABOVE_1MM; FAIL_BELOW_1MM; FAIL_MISSING_EXACTLY_ONE_APPLICABILITY_BOOL; PASS_FALSE_NONAPPLICABLE; PASS_ZERO_STRUCTURES when applicable if universal does not require instance.</x:v>
      </x:c>
      <x:c r="T32" s="18" t="str">
        <x:v>READY_FOR_RDF_DESIGN</x:v>
      </x:c>
      <x:c r="U32" s="18" t="str">
        <x:v>Real PC3 can ground class only; structure/addition values remain controlled.</x:v>
      </x:c>
    </x:row>
    <x:row r="33">
      <x:c r="A33" s="29" t="str">
        <x:v>I2-047</x:v>
      </x:c>
      <x:c r="B33" s="18" t="str">
        <x:v>IACS UR I2 Rev.4</x:v>
      </x:c>
      <x:c r="C33" s="18" t="str">
        <x:v>I2.11.4</x:v>
      </x:c>
      <x:c r="D33" s="18" t="str">
        <x:v>16</x:v>
      </x:c>
      <x:c r="E33" s="18" t="str">
        <x:v>DIRECT_CALCULATION</x:v>
      </x:c>
      <x:c r="F33" s="18" t="str">
        <x:v>IF_THEN / THRESHOLD</x:v>
      </x:c>
      <x:c r="G33" s="18" t="str">
        <x:v>D_REGULATION_SYNTHETIC</x:v>
      </x:c>
      <x:c r="H33" s="18" t="str">
        <x:v>Steel renewal for ice strengthened structures is required when the gauged thickness is less than tnet + 0.5 mm.</x:v>
      </x:c>
      <x:c r="I33" s="18" t="str">
        <x:v>ship</x:v>
      </x:c>
      <x:c r="J33" s="18" t="str"/>
      <x:c r="K33" s="18" t="str"/>
      <x:c r="L33" s="18" t="str">
        <x:v>gaugedThickness, netThickness</x:v>
      </x:c>
      <x:c r="M33" s="18" t="str">
        <x:v>steelRenewalRequired</x:v>
      </x:c>
      <x:c r="N33" s="18" t="str"/>
      <x:c r="O33" s="18" t="str"/>
      <x:c r="P33" s="18" t="str">
        <x:v>NO</x:v>
      </x:c>
      <x:c r="Q33" s="18" t="str">
        <x:v>SRC-IACS-I2-R4; SRC-R13-CONTRACT; SRC-R13-REGISTRY</x:v>
      </x:c>
      <x:c r="R33" s="18" t="str">
        <x:v>Ice-strengthened structure with gaugedThickness and netThickness; steelRenewalRequired boolean determined by gauged &lt; tnet+0.5mm.</x:v>
      </x:c>
      <x:c r="S33" s="18" t="str">
        <x:v>PASS_RENEWAL_REQUIRED below threshold; PASS_NO_RENEWAL at/above threshold; BOUNDARY exactly tnet+0.5; FAIL_WRONG_BOOLEAN each side.</x:v>
      </x:c>
      <x:c r="T33" s="18" t="str">
        <x:v>READY_FOR_RDF_DESIGN</x:v>
      </x:c>
      <x:c r="U33" s="18" t="str">
        <x:v>Deterministic threshold oracle.</x:v>
      </x:c>
    </x:row>
    <x:row r="34">
      <x:c r="A34" s="29" t="str">
        <x:v>I2-048</x:v>
      </x:c>
      <x:c r="B34" s="18" t="str">
        <x:v>IACS UR I2 Rev.4</x:v>
      </x:c>
      <x:c r="C34" s="18" t="str">
        <x:v>I2.12.1</x:v>
      </x:c>
      <x:c r="D34" s="18" t="str">
        <x:v>16</x:v>
      </x:c>
      <x:c r="E34" s="18" t="str">
        <x:v>DIRECT_STATIC</x:v>
      </x:c>
      <x:c r="F34" s="18" t="str">
        <x:v>TABLE_LOOKUP + RANK_COMPARISON + CARDINALITY</x:v>
      </x:c>
      <x:c r="G34" s="18" t="str">
        <x:v>C_REAL_CONTEXT_CONTROLLED</x:v>
      </x:c>
      <x:c r="H34" s="18" t="str">
        <x:v>For every represented steelGradeRequirementCase, select the exact required grade from iacsUrI2Table8 using ship polarClass plus case asBuiltPlateThickness, steelMaterialClass and steelStrengthCategory. Missing selectors or an applicable selection without a required grade fail. The actual grade must have rank greater than or equal to the required grade only within the same steelStrengthCategory; NOT_APPLICABLE combinations impose no grade result.</x:v>
      </x:c>
      <x:c r="I34" s="18" t="str">
        <x:v>ship, steelGradeRequirementCase, plating, steelGradeValue</x:v>
      </x:c>
      <x:c r="J34" s="18" t="str">
        <x:v>polarClass, asBuiltPlateThickness, steelMaterialClass, steelStrengthCategory</x:v>
      </x:c>
      <x:c r="K34" s="18" t="str">
        <x:v>hasSteelGradeRequirementCase, steelGradeRequirementCasePlating, tableReference, polarClass, steelMaterialClass, steelStrengthCategory, actualHullStructuralSteelGrade, requiredHullStructuralSteelGrade</x:v>
      </x:c>
      <x:c r="L34" s="18" t="str">
        <x:v>polarClass, asBuiltPlateThickness, steelMaterialClass, steelStrengthCategory</x:v>
      </x:c>
      <x:c r="M34" s="18" t="str">
        <x:v>requiredHullStructuralSteelGrade</x:v>
      </x:c>
      <x:c r="N34" s="18" t="str"/>
      <x:c r="O34" s="18" t="str"/>
      <x:c r="P34" s="18" t="str">
        <x:v>YES</x:v>
      </x:c>
      <x:c r="Q34" s="18" t="str">
        <x:v>SRC-IACS-I2-R4; SRC-R13-CONTRACT; SRC-R13-REGISTRY; SRC-NUYINA-KEH / SRC-KPH-HI (context only)</x:v>
      </x:c>
      <x:c r="R34" s="18" t="str">
        <x:v>Use real PC3 vessel context (Nuyina or Kronprins Haakon) for polarClass; create controlled plating cases spanning official Table 8 thickness bands, material classes and strength families; actual/required grades use exact R13 individuals.</x:v>
      </x:c>
      <x:c r="S34" s="18" t="str">
        <x:v>Generate all valid selector combinations or a coverage-complete set across every thickness band/class/family; PASS exact/higher grade in same family; FAIL lower grade; FAIL cross-family rank comparison; FAIL missing selector; test NOT_APPLICABLE combinations and exact tableReference.</x:v>
      </x:c>
      <x:c r="T34" s="18" t="str">
        <x:v>READY_FOR_RDF_DESIGN</x:v>
      </x:c>
      <x:c r="U34" s="18" t="str">
        <x:v>Primary source is IACS Table 8; PC3 identity is real, plate selectors are controlled unless a public drawing gives exact values.</x:v>
      </x:c>
    </x:row>
    <x:row r="35">
      <x:c r="A35" s="29" t="str">
        <x:v>I2-050</x:v>
      </x:c>
      <x:c r="B35" s="18" t="str">
        <x:v>IACS UR I2 Rev.4</x:v>
      </x:c>
      <x:c r="C35" s="18" t="str">
        <x:v>I2.13.2.1</x:v>
      </x:c>
      <x:c r="D35" s="18" t="str">
        <x:v>18</x:v>
      </x:c>
      <x:c r="E35" s="18" t="str">
        <x:v>COMPLEX_READINESS</x:v>
      </x:c>
      <x:c r="F35" s="18" t="str">
        <x:v>COMPLEX_READINESS / MIN_CANDIDATES</x:v>
      </x:c>
      <x:c r="G35" s="18" t="str">
        <x:v>D_REGULATION_SYNTHETIC</x:v>
      </x:c>
      <x:c r="H35" s="18" t="str">
        <x:v>Take the design vertical ice force at the bow as F_IB = min(F_IB1, F_IB2) [MN], where F_IB1 = 0.534*K_I^0.15*sin(gamma_stem)^0.2*(D_UI*K_h)^0.5*C_FL [MN] and F_IB2 = 1.20*C_FF [MN].</x:v>
      </x:c>
      <x:c r="I35" s="18" t="str">
        <x:v>ship</x:v>
      </x:c>
      <x:c r="J35" s="18" t="str"/>
      <x:c r="K35" s="18" t="str"/>
      <x:c r="L35" s="18" t="str">
        <x:v>crushingFailureClassFactor, flexuralFailureClassFactor, hullFormCoefficientKh, iceStrengthCoefficientKI, longitudinalStrengthClassFactor, stemAngle, upperIceWaterlineDraughtDUI</x:v>
      </x:c>
      <x:c r="M35" s="18" t="str">
        <x:v>designVerticalIceForceAtBow, designVerticalIceForceAtBowCandidateOne, designVerticalIceForceAtBowCandidateTwo</x:v>
      </x:c>
      <x:c r="N35" s="18" t="str"/>
      <x:c r="O35" s="18" t="str">
        <x:v>Take the design vertical ice force at the bow as F_IB = min(F_IB1, F_IB2) [MN], where F_IB1 = 0.534*K_I^0.15*sin(gamma_stem)^0.2*(D_UI*K_h)^0.5*C_FL [MN] and F_IB2 = 1.20*C_FF [MN].</x:v>
      </x:c>
      <x:c r="P35" s="18" t="str">
        <x:v>NO</x:v>
      </x:c>
      <x:c r="Q35" s="18" t="str">
        <x:v>SRC-IACS-I2-R4; SRC-R13-CONTRACT; SRC-R13-REGISTRY</x:v>
      </x:c>
      <x:c r="R35" s="18" t="str">
        <x:v>Create hull-girder calculation case with KI, gammaStem, DUI, Kh, CFL, CFF/CFC and both FIB candidate results plus selected designVerticalIceForceAtBow.</x:v>
      </x:c>
      <x:c r="S35" s="18" t="str">
        <x:v>PASS_READY; FAIL_MISSING_CANDIDATE1; FAIL_MISSING_CANDIDATE2; FAIL_MISSING_SELECTED_RESULT; FAIL_MISSING_OPERAND; FAIL_WRONG_PATH.</x:v>
      </x:c>
      <x:c r="T35" s="18" t="str">
        <x:v>READY_FOR_RDF_DESIGN</x:v>
      </x:c>
      <x:c r="U35" s="18" t="str">
        <x:v>Do not execute fractional-power/trig formula.</x:v>
      </x:c>
    </x:row>
    <x:row r="36">
      <x:c r="A36" s="29" t="str">
        <x:v>I2-051</x:v>
      </x:c>
      <x:c r="B36" s="18" t="str">
        <x:v>IACS UR I2 Rev.4</x:v>
      </x:c>
      <x:c r="C36" s="18" t="str">
        <x:v>I2.13.3.1</x:v>
      </x:c>
      <x:c r="D36" s="18" t="str">
        <x:v>19</x:v>
      </x:c>
      <x:c r="E36" s="18" t="str">
        <x:v>DIRECT_CALCULATION</x:v>
      </x:c>
      <x:c r="F36" s="18" t="str">
        <x:v>PIECEWISE_FORMULA / DISTRIBUTION</x:v>
      </x:c>
      <x:c r="G36" s="18" t="str">
        <x:v>D_REGULATION_SYNTHETIC</x:v>
      </x:c>
      <x:c r="H36" s="18"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I36" s="18" t="str">
        <x:v>ship</x:v>
      </x:c>
      <x:c r="J36" s="18" t="str"/>
      <x:c r="K36" s="18" t="str">
        <x:v>hasCalculationCase, shearForceDirection</x:v>
      </x:c>
      <x:c r="L36" s="18" t="str">
        <x:v>designVerticalIceForceAtBow, designVerticalIceShearForce, hullGirderLongitudinalPositionFromAft, longitudinalDistributionFactor, upperIceWaterlineLengthLUI</x:v>
      </x:c>
      <x:c r="M36" s="18" t="str">
        <x:v>designVerticalIceForceAtBow</x:v>
      </x:c>
      <x:c r="N36" s="18" t="str"/>
      <x:c r="O36" s="18"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P36" s="18" t="str">
        <x:v>NO</x:v>
      </x:c>
      <x:c r="Q36" s="18" t="str">
        <x:v>SRC-IACS-I2-R4; SRC-R13-CONTRACT; SRC-R13-REGISTRY</x:v>
      </x:c>
      <x:c r="R36" s="18" t="str">
        <x:v>Create hull-girder positions x/LUI across all Cf regions and designVerticalIceForceAtBow; derive Cf/FI.</x:v>
      </x:c>
      <x:c r="S36" s="18" t="str">
        <x:v>PASS each piecewise region; test boundaries between regions; FAIL_WRONG_CF; FAIL_WRONG_FI; FAIL_MISSING_POSITION/LUI.</x:v>
      </x:c>
      <x:c r="T36" s="18" t="str">
        <x:v>READY_FOR_RDF_DESIGN</x:v>
      </x:c>
      <x:c r="U36" s="18" t="str">
        <x:v>Deterministic piecewise oracle; use exact source breakpoints from clause/table.</x:v>
      </x:c>
    </x:row>
    <x:row r="37">
      <x:c r="A37" s="29" t="str">
        <x:v>I2-052</x:v>
      </x:c>
      <x:c r="B37" s="18" t="str">
        <x:v>IACS UR I2 Rev.4</x:v>
      </x:c>
      <x:c r="C37" s="18" t="str">
        <x:v>I2.13.3.1</x:v>
      </x:c>
      <x:c r="D37" s="18" t="str">
        <x:v>19</x:v>
      </x:c>
      <x:c r="E37" s="18" t="str">
        <x:v>COMPLEX_READINESS</x:v>
      </x:c>
      <x:c r="F37" s="18" t="str">
        <x:v>COMPLEX_READINESS / INTERPOLATION</x:v>
      </x:c>
      <x:c r="G37" s="18" t="str">
        <x:v>D_REGULATION_SYNTHETIC</x:v>
      </x:c>
      <x:c r="H37" s="18" t="str">
        <x:v>Intermediate values are to be determined by linear interpolation</x:v>
      </x:c>
      <x:c r="I37" s="18" t="str">
        <x:v>ship</x:v>
      </x:c>
      <x:c r="J37" s="18" t="str"/>
      <x:c r="K37" s="18" t="str">
        <x:v>hasCalculationCase, hasInterpolationPoint, interpolationLowerEndpoint, interpolationUpperEndpoint</x:v>
      </x:c>
      <x:c r="L37" s="18" t="str">
        <x:v>hullGirderLongitudinalPositionFromAft, interpolatedLongitudinalDistributionFactor, interpolationCoordinate, interpolationPointValue</x:v>
      </x:c>
      <x:c r="M37" s="18" t="str">
        <x:v>interpolatedLongitudinalDistributionFactor, interpolatedValue</x:v>
      </x:c>
      <x:c r="N37" s="18" t="str"/>
      <x:c r="O37" s="18" t="str"/>
      <x:c r="P37" s="18" t="str">
        <x:v>NO</x:v>
      </x:c>
      <x:c r="Q37" s="18" t="str">
        <x:v>SRC-IACS-I2-R4; SRC-R13-CONTRACT; SRC-R13-REGISTRY</x:v>
      </x:c>
      <x:c r="R37" s="18" t="str">
        <x:v>Interpolation case with position, two interpolation points/values, and interpolated factor/result.</x:v>
      </x:c>
      <x:c r="S37" s="18" t="str">
        <x:v>PASS_READY; FAIL_MISSING_LOWER; FAIL_MISSING_UPPER; FAIL_MISSING_RESULT; FAIL_WRONG_PATH.</x:v>
      </x:c>
      <x:c r="T37" s="18" t="str">
        <x:v>READY_FOR_RDF_DESIGN</x:v>
      </x:c>
      <x:c r="U37" s="18" t="str">
        <x:v>R13 complex readiness for interpolation interface.</x:v>
      </x:c>
    </x:row>
    <x:row r="38">
      <x:c r="A38" s="29" t="str">
        <x:v>I2-054</x:v>
      </x:c>
      <x:c r="B38" s="18" t="str">
        <x:v>IACS UR I2 Rev.4</x:v>
      </x:c>
      <x:c r="C38" s="18" t="str">
        <x:v>I2.13.4.1</x:v>
      </x:c>
      <x:c r="D38" s="18" t="str">
        <x:v>20</x:v>
      </x:c>
      <x:c r="E38" s="18" t="str">
        <x:v>COMPLEX_READINESS</x:v>
      </x:c>
      <x:c r="F38" s="18" t="str">
        <x:v>COMPLEX_READINESS / PIECEWISE_INTERFACE</x:v>
      </x:c>
      <x:c r="G38" s="18" t="str">
        <x:v>D_REGULATION_SYNTHETIC</x:v>
      </x:c>
      <x:c r="H38" s="18" t="str">
        <x:v>Take the design vertical ice bending moment along the hull girder as M_I = 0.1*C_m*L_UI*sin(gamma_stem)^(-0.2)*F_IB [MNm]. Use C_m = 0.0 at the aft end, 1.0 from 0.5*L_UI to 0.7*L_UI from aft, 0.3 at 0.95*L_UI from aft, and 0.0 at the forward end; determine intermediate values by linear interpolation.</x:v>
      </x:c>
      <x:c r="I38" s="18" t="str">
        <x:v>ship</x:v>
      </x:c>
      <x:c r="J38" s="18" t="str"/>
      <x:c r="K38" s="18" t="str">
        <x:v>hasCalculationCase, hasHullGirderBendingMomentCalculationCase, hasInterpolationPoint</x:v>
      </x:c>
      <x:c r="L38" s="18" t="str">
        <x:v>caseHullGirderLongitudinalPositionFromAft, caseBendingMomentDistributionFactor, upperIceWaterlineLengthLUI, stemAngle, designVerticalIceForceAtBow</x:v>
      </x:c>
      <x:c r="M38" s="18" t="str">
        <x:v>caseDesignVerticalIceBendingMoment</x:v>
      </x:c>
      <x:c r="N38" s="18" t="str"/>
      <x:c r="O38" s="18" t="str">
        <x:v>For each linked case M_I=0.1*C_m*L_UI*sin(gamma_stem)^(-0.2)*F_IB; C_m follows the stated points and linear interpolation.</x:v>
      </x:c>
      <x:c r="P38" s="18" t="str">
        <x:v>NO</x:v>
      </x:c>
      <x:c r="Q38" s="18" t="str">
        <x:v>SRC-IACS-I2-R4; SRC-R13-CONTRACT; SRC-R13-REGISTRY</x:v>
      </x:c>
      <x:c r="R38" s="18" t="str">
        <x:v>Hull-girder bending-moment case with x, Cm, LUI, stem angle, FIB and MI result.</x:v>
      </x:c>
      <x:c r="S38" s="18" t="str">
        <x:v>PASS_READY across representative Cm regions; FAIL_MISSING_CM; FAIL_MISSING_FIB; FAIL_MISSING_RESULT; FAIL_WRONG_CASE_PATH.</x:v>
      </x:c>
      <x:c r="T38" s="18" t="str">
        <x:v>READY_FOR_RDF_DESIGN</x:v>
      </x:c>
      <x:c r="U38" s="18" t="str">
        <x:v>Do not execute nonlinear formula; verify complete interface.</x:v>
      </x:c>
    </x:row>
    <x:row r="39">
      <x:c r="A39" s="29" t="str">
        <x:v>I2-055</x:v>
      </x:c>
      <x:c r="B39" s="18" t="str">
        <x:v>IACS UR I2 Rev.4</x:v>
      </x:c>
      <x:c r="C39" s="18" t="str">
        <x:v>I2.13.5.1</x:v>
      </x:c>
      <x:c r="D39" s="18" t="str">
        <x:v>20</x:v>
      </x:c>
      <x:c r="E39" s="18" t="str">
        <x:v>DIRECT_STATIC</x:v>
      </x:c>
      <x:c r="F39" s="18" t="str">
        <x:v>TABLE / COMPARISON</x:v>
      </x:c>
      <x:c r="G39" s="18" t="str">
        <x:v>D_REGULATION_SYNTHETIC</x:v>
      </x:c>
      <x:c r="H39" s="18" t="str">
        <x:v>The strength criteria provided in Table 9 are to be satisfied. The design stress is not to exceed the permissible stress.</x:v>
      </x:c>
      <x:c r="I39" s="18" t="str">
        <x:v>ship</x:v>
      </x:c>
      <x:c r="J39" s="18" t="str"/>
      <x:c r="K39" s="18" t="str"/>
      <x:c r="L39" s="18" t="str"/>
      <x:c r="M39" s="18" t="str"/>
      <x:c r="N39" s="18" t="str"/>
      <x:c r="O39" s="18" t="str"/>
      <x:c r="P39" s="18" t="str">
        <x:v>NO</x:v>
      </x:c>
      <x:c r="Q39" s="18" t="str">
        <x:v>SRC-IACS-I2-R4; SRC-R13-CONTRACT; SRC-R13-REGISTRY</x:v>
      </x:c>
      <x:c r="R39" s="18" t="str">
        <x:v>Create design stress and permissible stress cases corresponding to Table 9 criteria using exact R13 table/controlled terms if present.</x:v>
      </x:c>
      <x:c r="S39" s="18" t="str">
        <x:v>PASS_EQUAL_OR_BELOW; FAIL_ABOVE; test each material/stress criterion branch represented by R13; FAIL_MISSING_TABLE/criterion selector.</x:v>
      </x:c>
      <x:c r="T39" s="18" t="str">
        <x:v>READY_FOR_RDF_DESIGN</x:v>
      </x:c>
      <x:c r="U39" s="18" t="str">
        <x:v>Use IACS Table 9 as authoritative oracle.</x:v>
      </x:c>
    </x:row>
    <x:row r="40">
      <x:c r="A40" s="29" t="str">
        <x:v>I2-060</x:v>
      </x:c>
      <x:c r="B40" s="18" t="str">
        <x:v>IACS UR I2 Rev.4</x:v>
      </x:c>
      <x:c r="C40" s="18" t="str">
        <x:v>I2.16.2</x:v>
      </x:c>
      <x:c r="D40" s="18" t="str">
        <x:v>21</x:v>
      </x:c>
      <x:c r="E40" s="18" t="str">
        <x:v>DIRECT_STATIC</x:v>
      </x:c>
      <x:c r="F40" s="18" t="str">
        <x:v>IF_THEN / EVIDENCE_OR_STATE</x:v>
      </x:c>
      <x:c r="G40" s="18" t="str">
        <x:v>D_REGULATION_SYNTHETIC</x:v>
      </x:c>
      <x:c r="H40" s="18" t="str">
        <x:v>The loads carried by a member in way of cut-outs are not to cause instability. Where necessary, the structure is to be stiffened.</x:v>
      </x:c>
      <x:c r="I40" s="18" t="str">
        <x:v>ship</x:v>
      </x:c>
      <x:c r="J40" s="18" t="str"/>
      <x:c r="K40" s="18" t="str">
        <x:v>hasCutout, hasStructuralMember</x:v>
      </x:c>
      <x:c r="L40" s="18" t="str"/>
      <x:c r="M40" s="18" t="str"/>
      <x:c r="N40" s="18" t="str"/>
      <x:c r="O40" s="18" t="str"/>
      <x:c r="P40" s="18" t="str">
        <x:v>NO</x:v>
      </x:c>
      <x:c r="Q40" s="18" t="str">
        <x:v>SRC-IACS-I2-R4; SRC-R13-CONTRACT; SRC-R13-REGISTRY</x:v>
      </x:c>
      <x:c r="R40" s="18" t="str">
        <x:v>Structural member with cut-out and carried-load/stability state; stiffening represented where necessary.</x:v>
      </x:c>
      <x:c r="S40" s="18" t="str">
        <x:v>PASS_STABLE_NO_STIFFENING; PASS_UNSTABLE_RISK_WITH_STIFFENING if R13 models necessity condition; FAIL_INSTABILITY_NOT_ADDRESSED; PASS_NOT_APPLICABLE no cut-out.</x:v>
      </x:c>
      <x:c r="T40" s="18" t="str">
        <x:v>READY_FOR_RDF_DESIGN</x:v>
      </x:c>
      <x:c r="U40" s="18" t="str">
        <x:v>Keep within exact R13 model; do not invent buckling calculation.</x:v>
      </x:c>
    </x:row>
    <x:row r="41">
      <x:c r="A41" s="29" t="str">
        <x:v>I2-061</x:v>
      </x:c>
      <x:c r="B41" s="18" t="str">
        <x:v>IACS UR I2 Rev.4</x:v>
      </x:c>
      <x:c r="C41" s="18" t="str">
        <x:v>I2.17.2</x:v>
      </x:c>
      <x:c r="D41" s="18" t="str">
        <x:v>21</x:v>
      </x:c>
      <x:c r="E41" s="18" t="str">
        <x:v>DIRECT_STATIC</x:v>
      </x:c>
      <x:c r="F41" s="18" t="str">
        <x:v>PROHIBITION / APPLICABILITY</x:v>
      </x:c>
      <x:c r="G41" s="18" t="str">
        <x:v>D_REGULATION_SYNTHETIC</x:v>
      </x:c>
      <x:c r="H41" s="18" t="str">
        <x:v>For shell-plating or local-frame hullStructure nodes governed by I2.4, I2.6 or I2.7, directCalculationMethodValue shall not replace prescribedAnalyticalProcedure.</x:v>
      </x:c>
      <x:c r="I41" s="18" t="str">
        <x:v>ship, calculationCase, hullStructure</x:v>
      </x:c>
      <x:c r="J41" s="18" t="str">
        <x:v>calculationMethod</x:v>
      </x:c>
      <x:c r="K41" s="18" t="str">
        <x:v>hasCalculationCase, calculationMethod, calculationCaseAssessedHullStructure</x:v>
      </x:c>
      <x:c r="L41" s="18" t="str">
        <x:v>thickness</x:v>
      </x:c>
      <x:c r="M41" s="18" t="str"/>
      <x:c r="N41" s="18" t="str"/>
      <x:c r="O41" s="18" t="str"/>
      <x:c r="P41" s="18" t="str">
        <x:v>NO</x:v>
      </x:c>
      <x:c r="Q41" s="18" t="str">
        <x:v>SRC-IACS-I2-R4; SRC-R13-CONTRACT; SRC-R13-REGISTRY</x:v>
      </x:c>
      <x:c r="R41" s="18" t="str">
        <x:v>Shell plating/local frame governed by I2.4/I2.6/I2.7 with calculationMethod; ensure directCalculationMethodValue does not replace prescribedAnalyticalProcedure.</x:v>
      </x:c>
      <x:c r="S41" s="18" t="str">
        <x:v>PASS_PRESCRIBED_METHOD; FAIL_DIRECT_REPLACEMENT; PASS_NOT_APPLICABLE other structure; test both shell plating and local frame owners if represented.</x:v>
      </x:c>
      <x:c r="T41" s="18" t="str">
        <x:v>READY_FOR_RDF_DESIGN</x:v>
      </x:c>
      <x:c r="U41" s="18" t="str">
        <x:v>Tests prohibited substitution.</x:v>
      </x:c>
    </x:row>
    <x:row r="42">
      <x:c r="A42" s="29" t="str">
        <x:v>I2-062</x:v>
      </x:c>
      <x:c r="B42" s="18" t="str">
        <x:v>IACS UR I2 Rev.4</x:v>
      </x:c>
      <x:c r="C42" s="18" t="str">
        <x:v>I2.17.2</x:v>
      </x:c>
      <x:c r="D42" s="18" t="str">
        <x:v>21</x:v>
      </x:c>
      <x:c r="E42" s="18" t="str">
        <x:v>COMPLEX_READINESS</x:v>
      </x:c>
      <x:c r="F42" s="18" t="str">
        <x:v>COMPLEX_READINESS / IF_THEN</x:v>
      </x:c>
      <x:c r="G42" s="18" t="str">
        <x:v>D_REGULATION_SYNTHETIC</x:v>
      </x:c>
      <x:c r="H42" s="18" t="str">
        <x:v>Direct calculations are to be used for load carrying stringers and web frames forming part of a grillage system.</x:v>
      </x:c>
      <x:c r="I42" s="18" t="str">
        <x:v>ship</x:v>
      </x:c>
      <x:c r="J42" s="18" t="str"/>
      <x:c r="K42" s="18" t="str">
        <x:v>partOfGrillageSystem</x:v>
      </x:c>
      <x:c r="L42" s="18" t="str">
        <x:v>loadCarryingStringer, webFrame, grillageSystem</x:v>
      </x:c>
      <x:c r="M42" s="18" t="str">
        <x:v>directCalculationUsed</x:v>
      </x:c>
      <x:c r="N42" s="18" t="str"/>
      <x:c r="O42" s="18" t="str"/>
      <x:c r="P42" s="18" t="str">
        <x:v>NO</x:v>
      </x:c>
      <x:c r="Q42" s="18" t="str">
        <x:v>SRC-IACS-I2-R4; SRC-R13-CONTRACT; SRC-R13-REGISTRY</x:v>
      </x:c>
      <x:c r="R42" s="18" t="str">
        <x:v>Load-carrying stringer/web frame that forms part of grillageSystem with directCalculationUsed result/state.</x:v>
      </x:c>
      <x:c r="S42" s="18" t="str">
        <x:v>PASS_STRINGER_GRILLAGE; PASS_WEBFRAME_GRILLAGE; FAIL_GRILLAGE_WITHOUT_DIRECT_CALC; PASS_NOT_APPLICABLE member not in grillage; FAIL_WRONG_PATH.</x:v>
      </x:c>
      <x:c r="T42" s="18" t="str">
        <x:v>READY_FOR_RDF_DESIGN</x:v>
      </x:c>
      <x:c r="U42" s="18" t="str">
        <x:v>Readiness/state, not full direct calculation.</x:v>
      </x:c>
    </x:row>
    <x:row r="43">
      <x:c r="A43" s="29" t="str">
        <x:v>I2-064</x:v>
      </x:c>
      <x:c r="B43" s="18" t="str">
        <x:v>IACS UR I2 Rev.4</x:v>
      </x:c>
      <x:c r="C43" s="18" t="str">
        <x:v>I2.17.5</x:v>
      </x:c>
      <x:c r="D43" s="18" t="str">
        <x:v>21</x:v>
      </x:c>
      <x:c r="E43" s="18" t="str">
        <x:v>COMPLEX_READINESS</x:v>
      </x:c>
      <x:c r="F43" s="18" t="str">
        <x:v>COMPLEX_READINESS / AND</x:v>
      </x:c>
      <x:c r="G43" s="18" t="str">
        <x:v>D_REGULATION_SYNTHETIC</x:v>
      </x:c>
      <x:c r="H43" s="18" t="str">
        <x:v>For linear structural calculations: web plates and flange elements in compression and shear shall meet the applicable buckling criteria; nominal shear stress in member webs shall be less than sigma_y/sqrt(3); and nominal von Mises stress in member flanges shall be less than 1.15*sigma_y.</x:v>
      </x:c>
      <x:c r="I43" s="18" t="str">
        <x:v>ship</x:v>
      </x:c>
      <x:c r="J43" s="18" t="str">
        <x:v>calculationMethod, linearCalculationMethodValue</x:v>
      </x:c>
      <x:c r="K43" s="18" t="str">
        <x:v>hasCalculationCase, calculationMethod, hasStructuralMember, hasStructuralMemberFlange, hasStructuralMemberWeb</x:v>
      </x:c>
      <x:c r="L43" s="18" t="str">
        <x:v>nominalFlangeVonMisesStress, nominalShearStress, yieldStrength</x:v>
      </x:c>
      <x:c r="M43" s="18" t="str">
        <x:v>nominalFlangeVonMisesStress, nominalShearStress</x:v>
      </x:c>
      <x:c r="N43" s="18" t="str">
        <x:v>bucklingCriteriaSatisfied</x:v>
      </x:c>
      <x:c r="O43" s="18" t="str"/>
      <x:c r="P43" s="18" t="str">
        <x:v>NO</x:v>
      </x:c>
      <x:c r="Q43" s="18" t="str">
        <x:v>SRC-IACS-I2-R4; SRC-R13-CONTRACT; SRC-R13-REGISTRY</x:v>
      </x:c>
      <x:c r="R43" s="18" t="str">
        <x:v>Linear calculation case with compressed/sheared web/flange elements, bucklingCriteriaSatisfied evidence, nominal shear/von-Mises stress, yieldStrength.</x:v>
      </x:c>
      <x:c r="S43" s="18" t="str">
        <x:v>PASS_READY; FAIL_MISSING_BUCKLING_EVIDENCE; FAIL_MISSING_SHEAR_STRESS; FAIL_MISSING_FLANGE_STRESS; FAIL_MISSING_YIELD; PASS_NOT_APPLICABLE nonlinear method.</x:v>
      </x:c>
      <x:c r="T43" s="18" t="str">
        <x:v>READY_FOR_RDF_DESIGN</x:v>
      </x:c>
      <x:c r="U43" s="18" t="str">
        <x:v>Readiness/interface only.</x:v>
      </x:c>
    </x:row>
    <x:row r="44">
      <x:c r="A44" s="29" t="str">
        <x:v>I2-065</x:v>
      </x:c>
      <x:c r="B44" s="18" t="str">
        <x:v>IACS UR I2 Rev.4</x:v>
      </x:c>
      <x:c r="C44" s="18" t="str">
        <x:v>I2.17.6</x:v>
      </x:c>
      <x:c r="D44" s="18" t="str">
        <x:v>22</x:v>
      </x:c>
      <x:c r="E44" s="18" t="str">
        <x:v>COMPLEX_READINESS</x:v>
      </x:c>
      <x:c r="F44" s="18" t="str">
        <x:v>COMPLEX_READINESS / EVIDENCE + MULTI_CRITERIA</x:v>
      </x:c>
      <x:c r="G44" s="18" t="str">
        <x:v>D_REGULATION_SYNTHETIC</x:v>
      </x:c>
      <x:c r="H44" s="18"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 No numerical minor-deformation ratio is supplied; require the explicit assessment result and evidence, not an invented threshold.</x:v>
      </x:c>
      <x:c r="I44" s="18" t="str">
        <x:v>ship</x:v>
      </x:c>
      <x:c r="J44" s="18" t="str"/>
      <x:c r="K44" s="18" t="str">
        <x:v>calculationMethod, hasCalculationCase, nonlinearAnalysisAcceptanceEvidence</x:v>
      </x:c>
      <x:c r="L44" s="18" t="str">
        <x:v>fractureMargin, majorBucklingMargin, permanentLateralDeformation, permanentOutOfPlaneDeformation, relevantStructuralDimension, yieldingMargin</x:v>
      </x:c>
      <x:c r="M44" s="18" t="str">
        <x:v>minorPermanentDeformationAssessmentSatisfied</x:v>
      </x:c>
      <x:c r="N44" s="18" t="str">
        <x:v>nonlinearAnalysisAcceptanceEvidence</x:v>
      </x:c>
      <x:c r="O44" s="18" t="str"/>
      <x:c r="P44" s="18" t="str">
        <x:v>NO</x:v>
      </x:c>
      <x:c r="Q44" s="18" t="str">
        <x:v>SRC-IACS-I2-R4; SRC-R13-CONTRACT; SRC-R13-REGISTRY</x:v>
      </x:c>
      <x:c r="R44" s="18" t="str">
        <x:v>Nonlinear analysis case with buckling/plastic deformation/fracture/deformation margins and nonlinearAnalysisAcceptanceEvidence.</x:v>
      </x:c>
      <x:c r="S44" s="18" t="str">
        <x:v>PASS_READY; one FAIL case per required criterion/evidence; FAIL_MISSING_ACCEPTANCE_EVIDENCE; FAIL_WRONG_METHOD_PATH.</x:v>
      </x:c>
      <x:c r="T44" s="18" t="str">
        <x:v>READY_FOR_RDF_DESIGN</x:v>
      </x:c>
      <x:c r="U44" s="18" t="str">
        <x:v>Do not reproduce nonlinear finite-element analysis.</x:v>
      </x:c>
    </x:row>
    <x:row r="45">
      <x:c r="A45" s="29" t="str">
        <x:v>I2-066</x:v>
      </x:c>
      <x:c r="B45" s="18" t="str">
        <x:v>IACS UR I2 Rev.4</x:v>
      </x:c>
      <x:c r="C45" s="18" t="str">
        <x:v>I2.18.1</x:v>
      </x:c>
      <x:c r="D45" s="18" t="str">
        <x:v>22</x:v>
      </x:c>
      <x:c r="E45" s="18" t="str">
        <x:v>DIRECT_STATIC</x:v>
      </x:c>
      <x:c r="F45" s="18" t="str">
        <x:v>UNIVERSAL / IF_THEN / CONTROLLED_VALUE</x:v>
      </x:c>
      <x:c r="G45" s="18" t="str">
        <x:v>D_REGULATION_SYNTHETIC</x:v>
      </x:c>
      <x:c r="H45" s="18" t="str">
        <x:v>Every weld with withinIceStrengthenedArea true shall have weldType doubleContinuousWeld.</x:v>
      </x:c>
      <x:c r="I45" s="18" t="str">
        <x:v>ship, weld</x:v>
      </x:c>
      <x:c r="J45" s="18" t="str">
        <x:v>withinIceStrengthenedArea</x:v>
      </x:c>
      <x:c r="K45" s="18" t="str">
        <x:v>hasWeld, weldType</x:v>
      </x:c>
      <x:c r="L45" s="18" t="str"/>
      <x:c r="M45" s="18" t="str"/>
      <x:c r="N45" s="18" t="str"/>
      <x:c r="O45" s="18" t="str"/>
      <x:c r="P45" s="18" t="str">
        <x:v>NO</x:v>
      </x:c>
      <x:c r="Q45" s="18" t="str">
        <x:v>SRC-IACS-I2-R4; SRC-R13-CONTRACT; SRC-R13-REGISTRY</x:v>
      </x:c>
      <x:c r="R45" s="18" t="str">
        <x:v>Represent weld nodes with withinIceStrengthenedArea boolean and weldType controlled value.</x:v>
      </x:c>
      <x:c r="S45" s="18" t="str">
        <x:v>PASS_INSIDE_DOUBLE_CONTINUOUS; FAIL_INSIDE_WRONG_WELD_TYPE; PASS_OUTSIDE_ANY_ALLOWED_TYPE; FAIL_MISSING_TYPE when inside; PASS_ZERO_WELDS if no existence requirement.</x:v>
      </x:c>
      <x:c r="T45" s="18" t="str">
        <x:v>READY_FOR_RDF_DESIGN</x:v>
      </x:c>
      <x:c r="U45" s="18" t="str">
        <x:v>Clean universal conditional test.</x:v>
      </x:c>
    </x:row>
    <x:row r="46">
      <x:c r="A46" s="29" t="str">
        <x:v>I2-067</x:v>
      </x:c>
      <x:c r="B46" s="18" t="str">
        <x:v>IACS UR I2 Rev.4</x:v>
      </x:c>
      <x:c r="C46" s="18" t="str">
        <x:v>I2.18.2</x:v>
      </x:c>
      <x:c r="D46" s="18" t="str">
        <x:v>22</x:v>
      </x:c>
      <x:c r="E46" s="18" t="str">
        <x:v>DIRECT_STATIC</x:v>
      </x:c>
      <x:c r="F46" s="18" t="str">
        <x:v>UNIVERSAL / EVIDENCE_OR_STATE</x:v>
      </x:c>
      <x:c r="G46" s="18" t="str">
        <x:v>D_REGULATION_SYNTHETIC</x:v>
      </x:c>
      <x:c r="H46" s="18" t="str">
        <x:v>Continuity of strength is to be ensured at all structural connections.</x:v>
      </x:c>
      <x:c r="I46" s="18" t="str">
        <x:v>ship</x:v>
      </x:c>
      <x:c r="J46" s="18" t="str"/>
      <x:c r="K46" s="18" t="str"/>
      <x:c r="L46" s="18" t="str"/>
      <x:c r="M46" s="18" t="str"/>
      <x:c r="N46" s="18" t="str"/>
      <x:c r="O46" s="18" t="str"/>
      <x:c r="P46" s="18" t="str">
        <x:v>NO</x:v>
      </x:c>
      <x:c r="Q46" s="18" t="str">
        <x:v>SRC-IACS-I2-R4; SRC-R13-CONTRACT; SRC-R13-REGISTRY</x:v>
      </x:c>
      <x:c r="R46" s="18" t="str">
        <x:v>Represent structuralConnection nodes with continuity-of-strength state/evidence using exact R13 terms.</x:v>
      </x:c>
      <x:c r="S46" s="18" t="str">
        <x:v>PASS_ONE_CONTINUOUS; PASS_MULTIPLE_ALL_CONTINUOUS; FAIL_ONE_NONCONTINUOUS; FAIL_MIXED; PASS_ZERO_CONNECTIONS if no existence obligation.</x:v>
      </x:c>
      <x:c r="T46" s="18" t="str">
        <x:v>READY_FOR_RDF_DESIGN</x:v>
      </x:c>
      <x:c r="U46" s="18" t="str">
        <x:v>Test only what R13 explicitly models for continuity.</x:v>
      </x:c>
    </x:row>
  </x:sheetData>
  <x:conditionalFormatting sqref="E2:E46">
    <x:cfRule type="expression" dxfId="0" priority="1">
      <x:formula>E2="COMPLEX_READINESS"</x:formula>
    </x:cfRule>
  </x:conditionalFormatting>
  <x:conditionalFormatting sqref="G2:G46">
    <x:cfRule type="expression" dxfId="1" priority="2">
      <x:formula>LEFT(G2,2)="C_"</x:formula>
    </x:cfRule>
    <x:cfRule type="expression" dxfId="2" priority="3">
      <x:formula>LEFT(G2,2)="D_"</x:formula>
    </x:cfRule>
  </x:conditionalFormatting>
  <x:conditionalFormatting sqref="T2:T46">
    <x:cfRule type="expression" dxfId="3" priority="4">
      <x:formula>T2="READY_FOR_RDF_DESIGN"</x:formula>
    </x:cfRule>
  </x:conditionalFormatting>
  <x:pageMargins left="0.7" right="0.7" top="0.75" bottom="0.75" header="0.3" footer="0.3"/>
  <x:tableParts count="1">
    <x:tablePart xmlns:r="http://schemas.openxmlformats.org/officeDocument/2006/relationships" r:id="Rae03c7da2f23442c"/>
  </x:tableParts>
</x:worksheet>
</file>

<file path=xl/worksheets/sheet3.xml><?xml version="1.0" encoding="utf-8"?>
<x:worksheet xmlns:x="http://schemas.openxmlformats.org/spreadsheetml/2006/main">
  <x:sheetFormatPr defaultRowHeight="15"/>
  <x:cols>
    <x:col min="1" max="1" width="30" hidden="0" customWidth="1"/>
    <x:col min="2" max="2" width="42" hidden="0" customWidth="1"/>
    <x:col min="3" max="3" width="78" hidden="0" customWidth="1"/>
    <x:col min="4" max="4" width="60" hidden="0" customWidth="1"/>
  </x:cols>
  <x:sheetData>
    <x:row r="1">
      <x:c r="A1" s="3" t="str">
        <x:v>Frozen Manual Semantic Review Template</x:v>
      </x:c>
    </x:row>
    <x:row r="3">
      <x:c r="A3" s="22" t="str">
        <x:v>Requirement ID</x:v>
      </x:c>
      <x:c r="B3" t="str"/>
    </x:row>
    <x:row r="4">
      <x:c r="A4" s="22" t="str">
        <x:v>Regulatory source / clause</x:v>
      </x:c>
      <x:c r="B4" t="str"/>
    </x:row>
    <x:row r="5">
      <x:c r="A5" s="22" t="str">
        <x:v>Architecture</x:v>
      </x:c>
      <x:c r="B5" t="str">
        <x:v>FULL / NO_SEMANTIC / SINGLE_SHOT</x:v>
      </x:c>
    </x:row>
    <x:row r="6">
      <x:c r="A6" s="22" t="str">
        <x:v>Run</x:v>
      </x:c>
      <x:c r="B6" t="str"/>
    </x:row>
    <x:row r="7">
      <x:c r="A7" s="22" t="str">
        <x:v>Generated SHACL file</x:v>
      </x:c>
      <x:c r="B7" t="str"/>
    </x:row>
    <x:row r="8">
      <x:c r="A8" s="22" t="str">
        <x:v>Reviewer</x:v>
      </x:c>
      <x:c r="B8" t="str"/>
    </x:row>
    <x:row r="9">
      <x:c r="A9" s="22" t="str">
        <x:v>Review date</x:v>
      </x:c>
      <x:c r="B9" t="str"/>
    </x:row>
    <x:row r="11">
      <x:c r="A11" s="13" t="str">
        <x:v>Dimension</x:v>
      </x:c>
      <x:c r="B11" s="13" t="str">
        <x:v>Allowed label</x:v>
      </x:c>
      <x:c r="C11" s="13" t="str">
        <x:v>What to check</x:v>
      </x:c>
      <x:c r="D11" s="13" t="str">
        <x:v>Reviewer notes</x:v>
      </x:c>
    </x:row>
    <x:row r="12">
      <x:c r="A12" s="18" t="str">
        <x:v>1. Applicability</x:v>
      </x:c>
      <x:c r="B12" s="18" t="str">
        <x:v>CORRECT / MISSING / INCORRECT / N/A</x:v>
      </x:c>
      <x:c r="C12" s="18" t="str">
        <x:v>Correct triggering conditions, exclusions and non-applicable behavior; no invented applicability.</x:v>
      </x:c>
      <x:c r="D12" s="18" t="str"/>
    </x:row>
    <x:row r="13">
      <x:c r="A13" s="18" t="str">
        <x:v>2. Target / owner</x:v>
      </x:c>
      <x:c r="B13" s="18" t="str">
        <x:v>CORRECT / MISSING / INCORRECT</x:v>
      </x:c>
      <x:c r="C13" s="18" t="str">
        <x:v>Constraint targets correct R13 owner/class.</x:v>
      </x:c>
      <x:c r="D13" s="18" t="str"/>
    </x:row>
    <x:row r="14">
      <x:c r="A14" s="18" t="str">
        <x:v>3. Relationships / paths</x:v>
      </x:c>
      <x:c r="B14" s="18" t="str">
        <x:v>CORRECT / MISSING / INCORRECT</x:v>
      </x:c>
      <x:c r="C14" s="18" t="str">
        <x:v>Correct R13 relationships and graph paths; value on correct node.</x:v>
      </x:c>
      <x:c r="D14" s="18" t="str"/>
    </x:row>
    <x:row r="15">
      <x:c r="A15" s="18" t="str">
        <x:v>4. Required properties</x:v>
      </x:c>
      <x:c r="B15" s="18" t="str">
        <x:v>CORRECT / MISSING / INCORRECT</x:v>
      </x:c>
      <x:c r="C15" s="18" t="str">
        <x:v>All material properties/operands/results required by source and R13 are represented.</x:v>
      </x:c>
      <x:c r="D15" s="18" t="str"/>
    </x:row>
    <x:row r="16">
      <x:c r="A16" s="18" t="str">
        <x:v>5. Operators / logic</x:v>
      </x:c>
      <x:c r="B16" s="18" t="str">
        <x:v>CORRECT / MISSING / INCORRECT / N/A</x:v>
      </x:c>
      <x:c r="C16" s="18" t="str">
        <x:v>AND/OR/IF-THEN, equality/inequality, min/max and branch logic are correct.</x:v>
      </x:c>
      <x:c r="D16" s="18" t="str"/>
    </x:row>
    <x:row r="17">
      <x:c r="A17" s="18" t="str">
        <x:v>6. Thresholds / constants</x:v>
      </x:c>
      <x:c r="B17" s="18" t="str">
        <x:v>CORRECT / MISSING / INCORRECT / N/A</x:v>
      </x:c>
      <x:c r="C17" s="18" t="str">
        <x:v>Numeric thresholds, constants and inclusive/exclusive boundaries are correct.</x:v>
      </x:c>
      <x:c r="D17" s="18" t="str"/>
    </x:row>
    <x:row r="18">
      <x:c r="A18" s="18" t="str">
        <x:v>7. Units / datatypes</x:v>
      </x:c>
      <x:c r="B18" s="18" t="str">
        <x:v>CORRECT / MISSING / INCORRECT / N/A</x:v>
      </x:c>
      <x:c r="C18" s="18" t="str">
        <x:v>Exact R13 datatype/QUDT QuantityValue pattern and unit semantics.</x:v>
      </x:c>
      <x:c r="D18" s="18" t="str"/>
    </x:row>
    <x:row r="19">
      <x:c r="A19" s="18" t="str">
        <x:v>8. Cardinality</x:v>
      </x:c>
      <x:c r="B19" s="18" t="str">
        <x:v>CORRECT / MISSING / INCORRECT / N/A</x:v>
      </x:c>
      <x:c r="C19" s="18" t="str">
        <x:v>minCount/maxCount/existence semantics match source; no invented existence.</x:v>
      </x:c>
      <x:c r="D19" s="18" t="str"/>
    </x:row>
    <x:row r="20">
      <x:c r="A20" s="18" t="str">
        <x:v>9. Formula / table logic</x:v>
      </x:c>
      <x:c r="B20" s="18" t="str">
        <x:v>CORRECT / MISSING / INCORRECT / N/A</x:v>
      </x:c>
      <x:c r="C20" s="18" t="str">
        <x:v>Formula operands/results or table selectors/results correspond to frozen source logic.</x:v>
      </x:c>
      <x:c r="D20" s="18" t="str"/>
    </x:row>
    <x:row r="21">
      <x:c r="A21" s="18" t="str">
        <x:v>10. Alternative routes</x:v>
      </x:c>
      <x:c r="B21" s="18" t="str">
        <x:v>CORRECT / MISSING / INCORRECT / N/A</x:v>
      </x:c>
      <x:c r="C21" s="18" t="str">
        <x:v>Every permitted OR/equivalent compliance route is retained; no OR-to-AND error.</x:v>
      </x:c>
      <x:c r="D21" s="18" t="str"/>
    </x:row>
    <x:row r="22">
      <x:c r="A22" s="18" t="str">
        <x:v>11. Exceptions / non-applicability</x:v>
      </x:c>
      <x:c r="B22" s="18" t="str">
        <x:v>CORRECT / MISSING / INCORRECT / N/A</x:v>
      </x:c>
      <x:c r="C22" s="18" t="str">
        <x:v>Exceptions and non-applicable states are handled without over-constraint.</x:v>
      </x:c>
      <x:c r="D22" s="18" t="str"/>
    </x:row>
    <x:row r="23">
      <x:c r="A23" s="18" t="str">
        <x:v>12. Evidence / approval</x:v>
      </x:c>
      <x:c r="B23" s="18" t="str">
        <x:v>CORRECT / MISSING / INCORRECT / N/A</x:v>
      </x:c>
      <x:c r="C23" s="18" t="str">
        <x:v>Required evidence/approval artifacts and states are correct, with correct ownership/path.</x:v>
      </x:c>
      <x:c r="D23" s="18" t="str"/>
    </x:row>
    <x:row r="24">
      <x:c r="A24" s="18" t="str">
        <x:v>13. Complex readiness</x:v>
      </x:c>
      <x:c r="B24" s="18" t="str">
        <x:v>CORRECT / MISSING / INCORRECT / N/A</x:v>
      </x:c>
      <x:c r="C24" s="18" t="str">
        <x:v>For COMPLEX_READINESS: required inputs, outputs, evidence and paths; do not score full physics not required by R13.</x:v>
      </x:c>
      <x:c r="D24" s="18" t="str"/>
    </x:row>
    <x:row r="25">
      <x:c r="A25" s="18" t="str">
        <x:v>14. Unsupported constraints</x:v>
      </x:c>
      <x:c r="B25" s="18" t="str">
        <x:v>NONE / PRESENT</x:v>
      </x:c>
      <x:c r="C25" s="18" t="str">
        <x:v>Any material requirement added by generated SHACL without source support.</x:v>
      </x:c>
      <x:c r="D25" s="18" t="str"/>
    </x:row>
    <x:row r="27">
      <x:c r="A27" s="22" t="str">
        <x:v>Overall exact semantic success</x:v>
      </x:c>
      <x:c r="B27" t="str">
        <x:v>PASS / FAIL</x:v>
      </x:c>
    </x:row>
    <x:row r="28">
      <x:c r="A28" s="22" t="str">
        <x:v>Primary failure category</x:v>
      </x:c>
      <x:c r="B28" t="str">
        <x:v>None / Applicability / Missing obligation / Wrong operator / Wrong threshold / Wrong path-owner / Wrong unit-datatype / Wrong cardinality / Wrong OR-AND / Wrong formula / Wrong table / Unsupported / Other</x:v>
      </x:c>
    </x:row>
    <x:row r="29">
      <x:c r="A29" s="22" t="str">
        <x:v>Reviewer confidence</x:v>
      </x:c>
      <x:c r="B29" t="str">
        <x:v>HIGH / MEDIUM / LOW</x:v>
      </x:c>
    </x:row>
    <x:row r="30">
      <x:c r="A30" s="22" t="str">
        <x:v>Atomic semantic precision/recall notes</x:v>
      </x:c>
      <x:c r="B30" t="str">
        <x:v>Record required atoms correct/missing and unsupported/incorrect atoms for later P/R/F1 calculation.</x:v>
      </x:c>
    </x:row>
    <x:row r="31">
      <x:c r="A31" s="22" t="str">
        <x:v>Final comment</x:v>
      </x:c>
      <x:c r="B31" t="str"/>
    </x:row>
  </x:sheetData>
  <x:mergeCells>
    <x:mergeCell ref="A1:D1"/>
  </x:mergeCell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42" hidden="0" customWidth="1"/>
    <x:col min="3" max="3" width="78" hidden="0" customWidth="1"/>
    <x:col min="4" max="4" width="28" hidden="0" customWidth="1"/>
    <x:col min="5" max="5" width="70" hidden="0" customWidth="1"/>
  </x:cols>
  <x:sheetData>
    <x:row r="1">
      <x:c r="A1" s="13" t="str">
        <x:v>Source ID</x:v>
      </x:c>
      <x:c r="B1" s="13" t="str">
        <x:v>Source / document</x:v>
      </x:c>
      <x:c r="C1" s="13" t="str">
        <x:v>Path or URL</x:v>
      </x:c>
      <x:c r="D1" s="13" t="str">
        <x:v>Source type</x:v>
      </x:c>
      <x:c r="E1" s="13" t="str">
        <x:v>Use in benchmark</x:v>
      </x:c>
    </x:row>
    <x:row r="2">
      <x:c r="A2" s="18" t="str">
        <x:v>SRC-IACS-I2-R4</x:v>
      </x:c>
      <x:c r="B2" s="18" t="str">
        <x:v>IACS UR I2 Rev.4 (Dec 2019)</x:v>
      </x:c>
      <x:c r="C2" s="18" t="str">
        <x:v>/mnt/data/ur-i2rev4.pdf</x:v>
      </x:c>
      <x:c r="D2" s="18" t="str">
        <x:v>Uploaded authoritative PDF</x:v>
      </x:c>
      <x:c r="E2" s="18" t="str">
        <x:v>All I2-* regulatory clauses, formulas, tables and conditions.</x:v>
      </x:c>
    </x:row>
    <x:row r="3">
      <x:c r="A3" s="18" t="str">
        <x:v>SRC-IACS-I1-R2</x:v>
      </x:c>
      <x:c r="B3" s="18" t="str">
        <x:v>IACS UR I1 Rev.2 (Apr 2016)</x:v>
      </x:c>
      <x:c r="C3" s="18" t="str">
        <x:v>/mnt/data/ur-i1rev2-1.pdf</x:v>
      </x:c>
      <x:c r="D3" s="18" t="str">
        <x:v>Uploaded authoritative PDF</x:v>
      </x:c>
      <x:c r="E3" s="18" t="str">
        <x:v>Polar Class definitions and waterline definitions referenced by I2.</x:v>
      </x:c>
    </x:row>
    <x:row r="4">
      <x:c r="A4" s="18" t="str">
        <x:v>SRC-NUYINA-KEH</x:v>
      </x:c>
      <x:c r="B4" s="18" t="str">
        <x:v>RSV Nuyina – KNUD E. HANSEN article</x:v>
      </x:c>
      <x:c r="C4" s="18" t="str">
        <x:v>https://www.knudehansen.com/news/rsv-nuyina/</x:v>
      </x:c>
      <x:c r="D4" s="18" t="str">
        <x:v>Web, vessel designer</x:v>
      </x:c>
      <x:c r="E4" s="18" t="str">
        <x:v>Real context: construction contract 28-Apr-2016; Ice Class PC3; classification details.</x:v>
      </x:c>
    </x:row>
    <x:row r="5">
      <x:c r="A5" s="18" t="str">
        <x:v>SRC-KPH-HI</x:v>
      </x:c>
      <x:c r="B5" s="18" t="str">
        <x:v>RV Kronprins Haakon – Institute of Marine Research</x:v>
      </x:c>
      <x:c r="C5" s="18" t="str">
        <x:v>https://kronprinshaakon.hi.no/en/havforskningsinstituttet/projects/kronprins-haakon/about-the-vessel/world-class-vessel</x:v>
      </x:c>
      <x:c r="D5" s="18" t="str">
        <x:v>Web, operator/research institute</x:v>
      </x:c>
      <x:c r="E5" s="18" t="str">
        <x:v>Real context: Polar Class 3, dimensions, propulsion and ice capability.</x:v>
      </x:c>
    </x:row>
    <x:row r="6">
      <x:c r="A6" s="18" t="str">
        <x:v>SRC-R13-CONTRACT</x:v>
      </x:c>
      <x:c r="B6" s="18" t="str">
        <x:v>R13 requirement_term_index.json</x:v>
      </x:c>
      <x:c r="C6" s="18" t="str">
        <x:v>/mnt/data/requirement_term_index.json</x:v>
      </x:c>
      <x:c r="D6" s="18" t="str">
        <x:v>Frozen benchmark artifact</x:v>
      </x:c>
      <x:c r="E6" s="18" t="str">
        <x:v>Exact R13 verification mode, owners, paths, applicability, operands/results/evidence.</x:v>
      </x:c>
    </x:row>
    <x:row r="7">
      <x:c r="A7" s="18" t="str">
        <x:v>SRC-R13-REGISTRY</x:v>
      </x:c>
      <x:c r="B7" s="18" t="str">
        <x:v>R13 term_registry.json</x:v>
      </x:c>
      <x:c r="C7" s="18" t="str">
        <x:v>/mnt/data/term_registry.json</x:v>
      </x:c>
      <x:c r="D7" s="18" t="str">
        <x:v>Frozen benchmark artifact</x:v>
      </x:c>
      <x:c r="E7" s="18" t="str">
        <x:v>Exact canonical R13 URIs, datatypes, QUDT units and source references.</x:v>
      </x:c>
    </x:row>
    <x:row r="8">
      <x:c r="A8" s="18" t="str">
        <x:v>SRC-TRAFICOM-2021</x:v>
      </x:c>
      <x:c r="B8" s="18" t="str">
        <x:v>TRAFICOM Ice Class Regulations and the Application Thereof 2021</x:v>
      </x:c>
      <x:c r="C8" s="18" t="str">
        <x:v>https://www.traficom.fi/en/transport/maritime/ice-classes-ships</x:v>
      </x:c>
      <x:c r="D8" s="18" t="str">
        <x:v>Authoritative regulation</x:v>
      </x:c>
      <x:c r="E8" s="18" t="str">
        <x:v>Primary oracle for all TRF-* requirements; exact uploaded edition TRAFICOM/68863/03.04.01.00/2021.</x:v>
      </x:c>
    </x:row>
    <x:row r="9">
      <x:c r="A9" s="18" t="str">
        <x:v>SRC-TRAFICOM-ANNEX-I</x:v>
      </x:c>
      <x:c r="B9" s="18" t="str">
        <x:v>TRAFICOM Annex I — Parameters and calculated minimum engine power of sample ships</x:v>
      </x:c>
      <x:c r="C9" s="18" t="str">
        <x:v>TRAFICOM.pdf, Annex I, p.63</x:v>
      </x:c>
      <x:c r="D9" s="18" t="str">
        <x:v>Authoritative sample-ship dataset</x:v>
      </x:c>
      <x:c r="E9" s="18" t="str">
        <x:v>Published sample-ship geometry/propulsion inputs and calculated minimum engine powers for real-derived engine-output cases.</x:v>
      </x:c>
    </x:row>
    <x:row r="10">
      <x:c r="A10" s="18" t="str">
        <x:v>SRC-IMO-POLAR-CODE</x:v>
      </x:c>
      <x:c r="B10" s="18" t="str">
        <x:v>IMO Polar Code, MSC.385(94) safety provisions + MEPC.264(68) environmental provisions</x:v>
      </x:c>
      <x:c r="C10" s="18" t="str">
        <x:v>MSC.385(94).pdf</x:v>
      </x:c>
      <x:c r="D10" s="18" t="str">
        <x:v>Authoritative regulation</x:v>
      </x:c>
      <x:c r="E10" s="18" t="str">
        <x:v>Primary oracle for IMO-* requirements; use the uploaded benchmark source and exact clause/page.</x:v>
      </x:c>
    </x:row>
    <x:row r="11">
      <x:c r="A11" s="18" t="str">
        <x:v>SRC-IMO26-SUPPLEMENT</x:v>
      </x:c>
      <x:c r="B11" s="18" t="str">
        <x:v>IMO Polar Code 2016 Edition — January 2026 Supplement, MSC.538(107)</x:v>
      </x:c>
      <x:c r="C11" s="18" t="str">
        <x:v>POLARCODES.pdf</x:v>
      </x:c>
      <x:c r="D11" s="18" t="str">
        <x:v>Authoritative amendment</x:v>
      </x:c>
      <x:c r="E11" s="18" t="str">
        <x:v>Primary oracle for IMO26-* requirements; amendments enter into force 2026-01-01.</x:v>
      </x:c>
    </x:row>
    <x:row r="12">
      <x:c r="A12" s="18" t="str">
        <x:v>SRC-PAME-PSC</x:v>
      </x:c>
      <x:c r="B12" s="18" t="str">
        <x:v>Arctic Council PAME Polar Ship Certificate dataset</x:v>
      </x:c>
      <x:c r="C12" s="18" t="str">
        <x:v>https://pame.is/ourwork/arctic-shipping/current-shipping-projects/forum/certificates/</x:v>
      </x:c>
      <x:c r="D12" s="18" t="str">
        <x:v>Real-vessel/certificate context</x:v>
      </x:c>
      <x:c r="E12" s="18" t="str">
        <x:v>Use vessel identity, IMO, type, dimensions/class/certificate metadata when relevant; do not infer equipment not published.</x:v>
      </x:c>
    </x:row>
    <x:row r="13">
      <x:c r="A13" s="18" t="str">
        <x:v>SRC-SKAGERAK-PSC</x:v>
      </x:c>
      <x:c r="B13" s="18" t="str">
        <x:v>R/V Skagerak Polar Ship Certificate / Record of Equipment</x:v>
      </x:c>
      <x:c r="C13" s="18" t="str">
        <x:v>https://www.gu.se/en/skagerak</x:v>
      </x:c>
      <x:c r="D13" s="18" t="str">
        <x:v>Real direct equipment/certificate source</x:v>
      </x:c>
      <x:c r="E13" s="18" t="str">
        <x:v>Preferred when the certificate/equipment record directly supports an R13 property; exact PDF/page to be recorded during graph construction.</x:v>
      </x:c>
    </x:row>
    <x:row r="14">
      <x:c r="A14" s="18" t="str">
        <x:v>SRC-NUYINA</x:v>
      </x:c>
      <x:c r="B14" s="18" t="str">
        <x:v>RSV Nuyina official/designer public technical data</x:v>
      </x:c>
      <x:c r="C14" s="18" t="str">
        <x:v>https://www.antarctica.gov.au/about-antarctica/history/transportation/shipping/rsv-nuyina/</x:v>
      </x:c>
      <x:c r="D14" s="18" t="str">
        <x:v>Real-vessel context</x:v>
      </x:c>
      <x:c r="E14" s="18" t="str">
        <x:v>Use only published facts such as PC3/classification/principal particulars; synthetic engineering values must be separately labelled.</x:v>
      </x:c>
    </x:row>
    <x:row r="15">
      <x:c r="A15" s="18" t="str">
        <x:v>SRC-IACS-I1</x:v>
      </x:c>
      <x:c r="B15" s="18" t="str">
        <x:v>IACS UR I1 Rev.2 — Polar Class descriptions and application</x:v>
      </x:c>
      <x:c r="C15" s="18" t="str">
        <x:v>ur-i1rev2-1.pdf</x:v>
      </x:c>
      <x:c r="D15" s="18" t="str">
        <x:v>Authoritative supporting definition</x:v>
      </x:c>
      <x:c r="E15" s="18" t="str">
        <x:v>Use for Polar Class meaning/applicability when an IMO or I2 test requires class context.</x:v>
      </x:c>
    </x:row>
  </x:sheetData>
  <x:pageMargins left="0.7" right="0.7" top="0.75" bottom="0.75" header="0.3" footer="0.3"/>
  <x:tableParts count="1">
    <x:tablePart xmlns:r="http://schemas.openxmlformats.org/officeDocument/2006/relationships" r:id="R2963115fa1cf4a5a"/>
  </x:tableParts>
</x:worksheet>
</file>

<file path=xl/worksheets/sheet5.xml><?xml version="1.0" encoding="utf-8"?>
<x:worksheet xmlns:x="http://schemas.openxmlformats.org/spreadsheetml/2006/main">
  <x:sheetFormatPr defaultRowHeight="15"/>
  <x:cols>
    <x:col min="1" max="1" width="16" hidden="0" customWidth="1"/>
    <x:col min="2" max="2" width="32" hidden="0" customWidth="1"/>
    <x:col min="3" max="3" width="18" hidden="0" customWidth="1"/>
    <x:col min="4" max="4" width="10" hidden="0" customWidth="1"/>
    <x:col min="5" max="5" width="20" hidden="0" customWidth="1"/>
    <x:col min="6" max="6" width="27" hidden="0" customWidth="1"/>
    <x:col min="7" max="7" width="28" hidden="0" customWidth="1"/>
    <x:col min="8" max="8" width="64" hidden="0" customWidth="1"/>
    <x:col min="9" max="9" width="24" hidden="0" customWidth="1"/>
    <x:col min="10" max="10" width="36" hidden="0" customWidth="1"/>
    <x:col min="11" max="11" width="38" hidden="0" customWidth="1"/>
    <x:col min="12" max="12" width="48" hidden="0" customWidth="1"/>
    <x:col min="13" max="13" width="45" hidden="0" customWidth="1"/>
    <x:col min="14" max="14" width="42" hidden="0" customWidth="1"/>
    <x:col min="15" max="15" width="58" hidden="0" customWidth="1"/>
    <x:col min="16" max="16" width="13" hidden="0" customWidth="1"/>
    <x:col min="17" max="17" width="40" hidden="0" customWidth="1"/>
    <x:col min="18" max="18" width="76" hidden="0" customWidth="1"/>
    <x:col min="19" max="19" width="82" hidden="0" customWidth="1"/>
    <x:col min="20" max="20" width="22" hidden="0" customWidth="1"/>
    <x:col min="21" max="21" width="62" hidden="0" customWidth="1"/>
  </x:cols>
  <x:sheetData>
    <x:row r="1">
      <x:c r="A1" s="37" t="str">
        <x:v>Requirement ID</x:v>
      </x:c>
      <x:c r="B1" s="37" t="str">
        <x:v>Regulatory document</x:v>
      </x:c>
      <x:c r="C1" s="37" t="str">
        <x:v>Clause</x:v>
      </x:c>
      <x:c r="D1" s="37" t="str">
        <x:v>PDF page</x:v>
      </x:c>
      <x:c r="E1" s="37" t="str">
        <x:v>Verification mode</x:v>
      </x:c>
      <x:c r="F1" s="37" t="str">
        <x:v>Logic pattern</x:v>
      </x:c>
      <x:c r="G1" s="37" t="str">
        <x:v>Provenance class</x:v>
      </x:c>
      <x:c r="H1" s="37" t="str">
        <x:v>R13 normalized regulatory meaning</x:v>
      </x:c>
      <x:c r="I1" s="37" t="str">
        <x:v>Owner classes</x:v>
      </x:c>
      <x:c r="J1" s="37" t="str">
        <x:v>Applicability terms</x:v>
      </x:c>
      <x:c r="K1" s="37" t="str">
        <x:v>Relationship terms</x:v>
      </x:c>
      <x:c r="L1" s="37" t="str">
        <x:v>Operand terms</x:v>
      </x:c>
      <x:c r="M1" s="37" t="str">
        <x:v>Result terms</x:v>
      </x:c>
      <x:c r="N1" s="37" t="str">
        <x:v>Evidence terms</x:v>
      </x:c>
      <x:c r="O1" s="37" t="str">
        <x:v>Formula expression (if any)</x:v>
      </x:c>
      <x:c r="P1" s="37" t="str">
        <x:v>Table model?</x:v>
      </x:c>
      <x:c r="Q1" s="37" t="str">
        <x:v>Source IDs</x:v>
      </x:c>
      <x:c r="R1" s="37" t="str">
        <x:v>Test data / graph design</x:v>
      </x:c>
      <x:c r="S1" s="37" t="str">
        <x:v>Planned behavioral cases</x:v>
      </x:c>
      <x:c r="T1" s="37" t="str">
        <x:v>Status</x:v>
      </x:c>
      <x:c r="U1" s="37" t="str">
        <x:v>Notes / interpretation boundary</x:v>
      </x:c>
    </x:row>
    <x:row r="2">
      <x:c r="A2" s="39" t="str">
        <x:v>TRF-001</x:v>
      </x:c>
      <x:c r="B2" s="18" t="str">
        <x:v>TRAFICOM/68863/03.04.01.00/2021</x:v>
      </x:c>
      <x:c r="C2" s="18" t="str">
        <x:v>1.1</x:v>
      </x:c>
      <x:c r="D2" s="18" t="str">
        <x:v>5</x:v>
      </x:c>
      <x:c r="E2" s="18" t="str">
        <x:v>DIRECT_STATIC</x:v>
      </x:c>
      <x:c r="F2" s="18" t="str">
        <x:v>IF_THEN / DATE_APPLICABILITY</x:v>
      </x:c>
      <x:c r="G2" s="18" t="str">
        <x:v>C_REAL_CONTEXT_CONTROLLED</x:v>
      </x:c>
      <x:c r="H2" s="18" t="str">
        <x:v>The Ice Class Regulations of 2021 apply to ships contracted for construction on or after 5 July 2021. The provisions in section 1.8 (Ice classes) and chapter 2 (Ice Class Draught) in the 2021 Ice Class Regulations apply to all ships irrespective of their year of build.</x:v>
      </x:c>
      <x:c r="I2" s="18" t="str">
        <x:v>ship</x:v>
      </x:c>
      <x:c r="J2" s="18" t="str"/>
      <x:c r="K2" s="18" t="str"/>
      <x:c r="L2" s="18" t="str"/>
      <x:c r="M2" s="18" t="str"/>
      <x:c r="N2" s="18" t="str"/>
      <x:c r="O2" s="18" t="str"/>
      <x:c r="P2" s="18" t="str">
        <x:v>NO</x:v>
      </x:c>
      <x:c r="Q2" s="18" t="str">
        <x:v>SRC-TRAFICOM-2021</x:v>
      </x:c>
      <x:c r="R2" s="18" t="str">
        <x:v>Minimum R13 subgraph rooted at ship. Use published ship/sample-ship facts where available for context; record any manipulated value as CONTROLLED_MUTATION.</x:v>
      </x:c>
      <x:c r="S2" s="18" t="str">
        <x:v>PASS_POST_CUTOFF; PASS_BOUNDARY_2021-07-05; FAIL_WRONG_EDITION_POST_CUTOFF; test universal section-1.8/chapter-2 obligations separately.</x:v>
      </x:c>
      <x:c r="T2" s="18" t="str">
        <x:v>READY_FOR_RDF_DESIGN</x:v>
      </x:c>
      <x:c r="U2" s="18" t="str">
        <x:v>Freeze expected outcomes before generated SHACL is inspected.</x:v>
      </x:c>
    </x:row>
    <x:row r="3">
      <x:c r="A3" s="39" t="str">
        <x:v>TRF-002</x:v>
      </x:c>
      <x:c r="B3" s="18" t="str">
        <x:v>TRAFICOM/68863/03.04.01.00/2021</x:v>
      </x:c>
      <x:c r="C3" s="18" t="str">
        <x:v>1.2</x:v>
      </x:c>
      <x:c r="D3" s="18" t="str">
        <x:v>5</x:v>
      </x:c>
      <x:c r="E3" s="18" t="str">
        <x:v>DIRECT_STATIC</x:v>
      </x:c>
      <x:c r="F3" s="18" t="str">
        <x:v>IF_THEN / DATE_RANGE_APPLICABILITY</x:v>
      </x:c>
      <x:c r="G3" s="18" t="str">
        <x:v>C_REAL_CONTEXT_CONTROLLED</x:v>
      </x:c>
      <x:c r="H3" s="18" t="str">
        <x:v>The Ice Class Regulations of 2017 apply to ships contracted for construction on or after 1 January 2019 but before 5 July 2021.</x:v>
      </x:c>
      <x:c r="I3" s="18" t="str">
        <x:v>ship</x:v>
      </x:c>
      <x:c r="J3" s="18" t="str"/>
      <x:c r="K3" s="18" t="str"/>
      <x:c r="L3" s="18" t="str"/>
      <x:c r="M3" s="18" t="str"/>
      <x:c r="N3" s="18" t="str"/>
      <x:c r="O3" s="18" t="str"/>
      <x:c r="P3" s="18" t="str">
        <x:v>NO</x:v>
      </x:c>
      <x:c r="Q3" s="18" t="str">
        <x:v>SRC-TRAFICOM-2021</x:v>
      </x:c>
      <x:c r="R3" s="18" t="str">
        <x:v>Minimum R13 subgraph rooted at ship. Use published ship/sample-ship facts where available for context; record any manipulated value as CONTROLLED_MUTATION.</x:v>
      </x:c>
      <x:c r="S3" s="18" t="str">
        <x:v>PASS_INSIDE_2019_TO_2021_RANGE; PASS_LOWER_BOUNDARY; FAIL_BEFORE_RANGE; FAIL_AT/AFTER_2021-07-05.</x:v>
      </x:c>
      <x:c r="T3" s="18" t="str">
        <x:v>READY_FOR_RDF_DESIGN</x:v>
      </x:c>
      <x:c r="U3" s="18" t="str">
        <x:v>Freeze expected outcomes before generated SHACL is inspected.</x:v>
      </x:c>
    </x:row>
    <x:row r="4">
      <x:c r="A4" s="39" t="str">
        <x:v>TRF-003</x:v>
      </x:c>
      <x:c r="B4" s="18" t="str">
        <x:v>TRAFICOM/68863/03.04.01.00/2021</x:v>
      </x:c>
      <x:c r="C4" s="18" t="str">
        <x:v>1.3</x:v>
      </x:c>
      <x:c r="D4" s="18" t="str">
        <x:v>5</x:v>
      </x:c>
      <x:c r="E4" s="18" t="str">
        <x:v>DIRECT_STATIC</x:v>
      </x:c>
      <x:c r="F4" s="18" t="str">
        <x:v>IF_THEN / DATE_RANGE_APPLICABILITY</x:v>
      </x:c>
      <x:c r="G4" s="18" t="str">
        <x:v>C_REAL_CONTEXT_CONTROLLED</x:v>
      </x:c>
      <x:c r="H4" s="18" t="str">
        <x:v>The Ice Class Regulations of 2010 (TRAFI/31298/03.04.01.00/2010) apply to ships contracted for construction on or after 1 January 2012 but before 1 January 2019.</x:v>
      </x:c>
      <x:c r="I4" s="18" t="str">
        <x:v>ship</x:v>
      </x:c>
      <x:c r="J4" s="18" t="str"/>
      <x:c r="K4" s="18" t="str"/>
      <x:c r="L4" s="18" t="str"/>
      <x:c r="M4" s="18" t="str"/>
      <x:c r="N4" s="18" t="str"/>
      <x:c r="O4" s="18" t="str"/>
      <x:c r="P4" s="18" t="str">
        <x:v>NO</x:v>
      </x:c>
      <x:c r="Q4" s="18" t="str">
        <x:v>SRC-TRAFICOM-2021</x:v>
      </x:c>
      <x:c r="R4" s="18" t="str">
        <x:v>Minimum R13 subgraph rooted at ship. Use published ship/sample-ship facts where available for context; record any manipulated value as CONTROLLED_MUTATION.</x:v>
      </x:c>
      <x:c r="S4" s="18" t="str">
        <x:v>PASS_INSIDE_2012_TO_2019_RANGE; PASS_LOWER_BOUNDARY; FAIL_BEFORE_RANGE; FAIL_AT/AFTER_2019-01-01.</x:v>
      </x:c>
      <x:c r="T4" s="18" t="str">
        <x:v>READY_FOR_RDF_DESIGN</x:v>
      </x:c>
      <x:c r="U4" s="18" t="str">
        <x:v>Freeze expected outcomes before generated SHACL is inspected.</x:v>
      </x:c>
    </x:row>
    <x:row r="5">
      <x:c r="A5" s="39" t="str">
        <x:v>TRF-004</x:v>
      </x:c>
      <x:c r="B5" s="18" t="str">
        <x:v>TRAFICOM/68863/03.04.01.00/2021</x:v>
      </x:c>
      <x:c r="C5" s="18" t="str">
        <x:v>1.4</x:v>
      </x:c>
      <x:c r="D5" s="18" t="str">
        <x:v>5</x:v>
      </x:c>
      <x:c r="E5" s="18" t="str">
        <x:v>DIRECT_STATIC</x:v>
      </x:c>
      <x:c r="F5" s="18" t="str">
        <x:v>IF_THEN / DATE_RANGE_APPLICABILITY</x:v>
      </x:c>
      <x:c r="G5" s="18" t="str">
        <x:v>C_REAL_CONTEXT_CONTROLLED</x:v>
      </x:c>
      <x:c r="H5" s="18" t="str">
        <x:v>The Ice Class Regulations of 2008 (8.12.2008 No. 2530/30/2008), issued by the Finnish Maritime Administration, apply to ships contracted for construction on or after 1 January 2010 but before 1 January 2012.</x:v>
      </x:c>
      <x:c r="I5" s="18" t="str">
        <x:v>ship</x:v>
      </x:c>
      <x:c r="J5" s="18" t="str"/>
      <x:c r="K5" s="18" t="str"/>
      <x:c r="L5" s="18" t="str"/>
      <x:c r="M5" s="18" t="str"/>
      <x:c r="N5" s="18" t="str"/>
      <x:c r="O5" s="18" t="str"/>
      <x:c r="P5" s="18" t="str">
        <x:v>NO</x:v>
      </x:c>
      <x:c r="Q5" s="18" t="str">
        <x:v>SRC-TRAFICOM-2021</x:v>
      </x:c>
      <x:c r="R5" s="18" t="str">
        <x:v>Minimum R13 subgraph rooted at ship. Use published ship/sample-ship facts where available for context; record any manipulated value as CONTROLLED_MUTATION.</x:v>
      </x:c>
      <x:c r="S5" s="18" t="str">
        <x:v>PASS_INSIDE_2010_TO_2012_RANGE; PASS_LOWER_BOUNDARY; FAIL_BEFORE_RANGE; FAIL_AT/AFTER_2012-01-01.</x:v>
      </x:c>
      <x:c r="T5" s="18" t="str">
        <x:v>READY_FOR_RDF_DESIGN</x:v>
      </x:c>
      <x:c r="U5" s="18" t="str">
        <x:v>Freeze expected outcomes before generated SHACL is inspected.</x:v>
      </x:c>
    </x:row>
    <x:row r="6">
      <x:c r="A6" s="39" t="str">
        <x:v>TRF-005</x:v>
      </x:c>
      <x:c r="B6" s="18" t="str">
        <x:v>TRAFICOM/68863/03.04.01.00/2021</x:v>
      </x:c>
      <x:c r="C6" s="18" t="str">
        <x:v>1.5</x:v>
      </x:c>
      <x:c r="D6" s="18" t="str">
        <x:v>5</x:v>
      </x:c>
      <x:c r="E6" s="18" t="str">
        <x:v>DIRECT_STATIC</x:v>
      </x:c>
      <x:c r="F6" s="18" t="str">
        <x:v>IF_THEN / CONSTRUCTION_STAGE_APPLICABILITY</x:v>
      </x:c>
      <x:c r="G6" s="18" t="str">
        <x:v>C_REAL_CONTEXT_CONTROLLED</x:v>
      </x:c>
      <x:c r="H6" s="18"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c r="I6" s="18" t="str">
        <x:v>ship</x:v>
      </x:c>
      <x:c r="J6" s="18" t="str"/>
      <x:c r="K6" s="18" t="str"/>
      <x:c r="L6" s="18" t="str"/>
      <x:c r="M6" s="18" t="str"/>
      <x:c r="N6" s="18" t="str"/>
      <x:c r="O6" s="18" t="str"/>
      <x:c r="P6" s="18" t="str">
        <x:v>NO</x:v>
      </x:c>
      <x:c r="Q6" s="18" t="str">
        <x:v>SRC-TRAFICOM-2021</x:v>
      </x:c>
      <x:c r="R6" s="18" t="str">
        <x:v>Minimum R13 subgraph rooted at ship. Use published ship/sample-ship facts where available for context; record any manipulated value as CONTROLLED_MUTATION.</x:v>
      </x:c>
      <x:c r="S6" s="18" t="str">
        <x:v>PASS_APPLICABLE_COHORT; FAIL_WRONG_EDITION_FOR_COHORT; PASS_OUTSIDE_COHORT/NOT_APPLICABLE; test construction-stage boundary dates.</x:v>
      </x:c>
      <x:c r="T6" s="18" t="str">
        <x:v>READY_FOR_RDF_DESIGN</x:v>
      </x:c>
      <x:c r="U6" s="18" t="str">
        <x:v>Freeze expected outcomes before generated SHACL is inspected.</x:v>
      </x:c>
    </x:row>
    <x:row r="7">
      <x:c r="A7" s="39" t="str">
        <x:v>TRF-006</x:v>
      </x:c>
      <x:c r="B7" s="18" t="str">
        <x:v>TRAFICOM/68863/03.04.01.00/2021</x:v>
      </x:c>
      <x:c r="C7" s="18" t="str">
        <x:v>1.6</x:v>
      </x:c>
      <x:c r="D7" s="18" t="str">
        <x:v>5</x:v>
      </x:c>
      <x:c r="E7" s="18" t="str">
        <x:v>DIRECT_STATIC</x:v>
      </x:c>
      <x:c r="F7" s="18" t="str">
        <x:v>IF_THEN / APPLICABILITY</x:v>
      </x:c>
      <x:c r="G7" s="18" t="str">
        <x:v>C_REAL_CONTEXT_CONTROLLED</x:v>
      </x:c>
      <x:c r="H7" s="18" t="str">
        <x:v>For the stated 1986-11-01 to 2003-09-01 construction-stage cohort, applicableIceClassRegulationEdition remains iceClassRuleEdition1985; engineOutputRegulationEdition may be iceClassRegulationEdition2008 only when ownerRequested2008EngineOutputRequirements is true.</x:v>
      </x:c>
      <x:c r="I7" s="18" t="str">
        <x:v>ship</x:v>
      </x:c>
      <x:c r="J7" s="18" t="str">
        <x:v>constructionStageDate, ownerRequested2008EngineOutputRequirements</x:v>
      </x:c>
      <x:c r="K7" s="18" t="str">
        <x:v>applicableIceClassRegulationEdition, engineOutputRegulationEdition, iceClass</x:v>
      </x:c>
      <x:c r="L7" s="18" t="str"/>
      <x:c r="M7" s="18" t="str"/>
      <x:c r="N7" s="18" t="str"/>
      <x:c r="O7" s="18" t="str"/>
      <x:c r="P7" s="18" t="str">
        <x:v>NO</x:v>
      </x:c>
      <x:c r="Q7" s="18" t="str">
        <x:v>SRC-TRAFICOM-2021</x:v>
      </x:c>
      <x:c r="R7" s="18" t="str">
        <x:v>Minimum R13 subgraph rooted at ship. Applicability: constructionStageDate, ownerRequested2008EngineOutputRequirements. Paths: applicableIceClassRegulationEdition, engineOutputRegulationEdition, iceClass. Use published ship/sample-ship facts where available for context; record any manipulated value as CONTROLLED_MUTATION.</x:v>
      </x:c>
      <x:c r="S7" s="18" t="str">
        <x:v>PASS_APPLICABLE; FAIL_APPLICABLE; PASS_NOT_APPLICABLE; BOUNDARY trigger case where meaningful.</x:v>
      </x:c>
      <x:c r="T7" s="18" t="str">
        <x:v>READY_FOR_RDF_DESIGN</x:v>
      </x:c>
      <x:c r="U7" s="18" t="str">
        <x:v>Freeze expected outcomes before generated SHACL is inspected.</x:v>
      </x:c>
    </x:row>
    <x:row r="8">
      <x:c r="A8" s="39" t="str">
        <x:v>TRF-007</x:v>
      </x:c>
      <x:c r="B8" s="18" t="str">
        <x:v>TRAFICOM/68863/03.04.01.00/2021</x:v>
      </x:c>
      <x:c r="C8" s="18" t="str">
        <x:v>1.6</x:v>
      </x:c>
      <x:c r="D8" s="18" t="str">
        <x:v>5</x:v>
      </x:c>
      <x:c r="E8" s="18" t="str">
        <x:v>DIRECT_STATIC</x:v>
      </x:c>
      <x:c r="F8" s="18" t="str">
        <x:v>IF_THEN_OR / EDITION_ROUTE</x:v>
      </x:c>
      <x:c r="G8" s="18" t="str">
        <x:v>C_REAL_CONTEXT_CONTROLLED</x:v>
      </x:c>
      <x:c r="H8" s="18"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I8" s="18" t="str">
        <x:v>ship</x:v>
      </x:c>
      <x:c r="J8" s="18" t="str"/>
      <x:c r="K8" s="18" t="str"/>
      <x:c r="L8" s="18" t="str"/>
      <x:c r="M8" s="18" t="str"/>
      <x:c r="N8" s="18" t="str"/>
      <x:c r="O8" s="18" t="str"/>
      <x:c r="P8" s="18" t="str">
        <x:v>NO</x:v>
      </x:c>
      <x:c r="Q8" s="18" t="str">
        <x:v>SRC-TRAFICOM-2021</x:v>
      </x:c>
      <x:c r="R8" s="18" t="str">
        <x:v>Minimum R13 subgraph rooted at ship. Use published ship/sample-ship facts where available for context; record any manipulated value as CONTROLLED_MUTATION.</x:v>
      </x:c>
      <x:c r="S8" s="18" t="str">
        <x:v>PASS each applicable IA Super/IA route; PASS each permitted referenced engine-output regulation route; FAIL_NONE; PASS_NOT_APPLICABLE outside cohort.</x:v>
      </x:c>
      <x:c r="T8" s="18" t="str">
        <x:v>READY_FOR_RDF_DESIGN</x:v>
      </x:c>
      <x:c r="U8" s="18" t="str">
        <x:v>Freeze expected outcomes before generated SHACL is inspected.</x:v>
      </x:c>
    </x:row>
    <x:row r="9">
      <x:c r="A9" s="39" t="str">
        <x:v>TRF-009</x:v>
      </x:c>
      <x:c r="B9" s="18" t="str">
        <x:v>TRAFICOM/68863/03.04.01.00/2021</x:v>
      </x:c>
      <x:c r="C9" s="18" t="str">
        <x:v>1.7</x:v>
      </x:c>
      <x:c r="D9" s="18" t="str">
        <x:v>6</x:v>
      </x:c>
      <x:c r="E9" s="18" t="str">
        <x:v>DIRECT_STATIC</x:v>
      </x:c>
      <x:c r="F9" s="18" t="str">
        <x:v>IF_THEN_OR / EDITION_ROUTE</x:v>
      </x:c>
      <x:c r="G9" s="18" t="str">
        <x:v>C_REAL_CONTEXT_CONTROLLED</x:v>
      </x:c>
      <x:c r="H9" s="18"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I9" s="18" t="str">
        <x:v>ship</x:v>
      </x:c>
      <x:c r="J9" s="18" t="str"/>
      <x:c r="K9" s="18" t="str"/>
      <x:c r="L9" s="18" t="str"/>
      <x:c r="M9" s="18" t="str"/>
      <x:c r="N9" s="18" t="str"/>
      <x:c r="O9" s="18" t="str"/>
      <x:c r="P9" s="18" t="str">
        <x:v>NO</x:v>
      </x:c>
      <x:c r="Q9" s="18" t="str">
        <x:v>SRC-TRAFICOM-2021</x:v>
      </x:c>
      <x:c r="R9" s="18" t="str">
        <x:v>Minimum R13 subgraph rooted at ship. Use published ship/sample-ship facts where available for context; record any manipulated value as CONTROLLED_MUTATION.</x:v>
      </x:c>
      <x:c r="S9" s="18" t="str">
        <x:v>PASS each applicable IA Super/IA route and permitted referenced regulation route; FAIL_NONE; PASS_NOT_APPLICABLE outside cohort.</x:v>
      </x:c>
      <x:c r="T9" s="18" t="str">
        <x:v>READY_FOR_RDF_DESIGN</x:v>
      </x:c>
      <x:c r="U9" s="18" t="str">
        <x:v>Freeze expected outcomes before generated SHACL is inspected.</x:v>
      </x:c>
    </x:row>
    <x:row r="10">
      <x:c r="A10" s="39" t="str">
        <x:v>TRF-010</x:v>
      </x:c>
      <x:c r="B10" s="18" t="str">
        <x:v>TRAFICOM/68863/03.04.01.00/2021</x:v>
      </x:c>
      <x:c r="C10" s="18" t="str">
        <x:v>1.8</x:v>
      </x:c>
      <x:c r="D10" s="18" t="str">
        <x:v>6</x:v>
      </x:c>
      <x:c r="E10" s="18" t="str">
        <x:v>DIRECT_STATIC</x:v>
      </x:c>
      <x:c r="F10" s="18" t="str">
        <x:v>CONTROLLED_ENUMERATION / MEMBERSHIP</x:v>
      </x:c>
      <x:c r="G10" s="18" t="str">
        <x:v>C_REAL_CONTEXT_CONTROLLED</x:v>
      </x:c>
      <x:c r="H10" s="18" t="str">
        <x:v>Under section 3 of the Act on the Ice Classes of Ships and Icebreaker Assistance (1121/2005), ships are assigned to ice classes IA Super, IA, IB, IC, II, or III.</x:v>
      </x:c>
      <x:c r="I10" s="18" t="str">
        <x:v>ship</x:v>
      </x:c>
      <x:c r="J10" s="18" t="str"/>
      <x:c r="K10" s="18" t="str"/>
      <x:c r="L10" s="18" t="str"/>
      <x:c r="M10" s="18" t="str"/>
      <x:c r="N10" s="18" t="str"/>
      <x:c r="O10" s="18" t="str"/>
      <x:c r="P10" s="18" t="str">
        <x:v>NO</x:v>
      </x:c>
      <x:c r="Q10" s="18" t="str">
        <x:v>SRC-TRAFICOM-2021</x:v>
      </x:c>
      <x:c r="R10" s="18" t="str">
        <x:v>Minimum R13 subgraph rooted at ship. Use published ship/sample-ship facts where available for context; record any manipulated value as CONTROLLED_MUTATION.</x:v>
      </x:c>
      <x:c r="S10" s="18" t="str">
        <x:v>PASS each allowed ice class IA Super/IA/IB/IC/II/III; FAIL unlisted value; FAIL missing class when assignment is required.</x:v>
      </x:c>
      <x:c r="T10" s="18" t="str">
        <x:v>READY_FOR_RDF_DESIGN</x:v>
      </x:c>
      <x:c r="U10" s="18" t="str">
        <x:v>Freeze expected outcomes before generated SHACL is inspected.</x:v>
      </x:c>
    </x:row>
    <x:row r="11">
      <x:c r="A11" s="39" t="str">
        <x:v>TRF-011</x:v>
      </x:c>
      <x:c r="B11" s="18" t="str">
        <x:v>TRAFICOM/68863/03.04.01.00/2021</x:v>
      </x:c>
      <x:c r="C11" s="18" t="str">
        <x:v>2.1</x:v>
      </x:c>
      <x:c r="D11" s="18" t="str">
        <x:v>6</x:v>
      </x:c>
      <x:c r="E11" s="18" t="str">
        <x:v>DIRECT_STATIC</x:v>
      </x:c>
      <x:c r="F11" s="18" t="str">
        <x:v>UNIVERSAL / DIRECT</x:v>
      </x:c>
      <x:c r="G11" s="18" t="str">
        <x:v>C_REAL_CONTEXT_CONTROLLED</x:v>
      </x:c>
      <x:c r="H11" s="18" t="str">
        <x:v>The upper ice waterline (UIWL) shall be the envelope of the highest points of the waterlines at which the ship is intended to operate in ice. The line may be a broken line.</x:v>
      </x:c>
      <x:c r="I11" s="18" t="str">
        <x:v>ship</x:v>
      </x:c>
      <x:c r="J11" s="18" t="str"/>
      <x:c r="K11" s="18" t="str"/>
      <x:c r="L11" s="18" t="str"/>
      <x:c r="M11" s="18" t="str"/>
      <x:c r="N11" s="18" t="str"/>
      <x:c r="O11" s="18" t="str"/>
      <x:c r="P11" s="18" t="str">
        <x:v>NO</x:v>
      </x:c>
      <x:c r="Q11" s="18" t="str">
        <x:v>SRC-TRAFICOM-2021</x:v>
      </x:c>
      <x:c r="R11" s="18" t="str">
        <x:v>Minimum R13 subgraph rooted at ship. Use published ship/sample-ship facts where available for context; record any manipulated value as CONTROLLED_MUTATION.</x:v>
      </x:c>
      <x:c r="S11" s="18" t="str">
        <x:v>PASS_ONE_VALID; PASS_MULTIPLE_VALID; FAIL_ONE_INVALID; FAIL_MIXED; PASS_ZERO if source imposes no existence.</x:v>
      </x:c>
      <x:c r="T11" s="18" t="str">
        <x:v>READY_FOR_RDF_DESIGN</x:v>
      </x:c>
      <x:c r="U11" s="18" t="str">
        <x:v>Freeze expected outcomes before generated SHACL is inspected.</x:v>
      </x:c>
    </x:row>
    <x:row r="12">
      <x:c r="A12" s="39" t="str">
        <x:v>TRF-012</x:v>
      </x:c>
      <x:c r="B12" s="18" t="str">
        <x:v>TRAFICOM/68863/03.04.01.00/2021</x:v>
      </x:c>
      <x:c r="C12" s="18" t="str">
        <x:v>2.1</x:v>
      </x:c>
      <x:c r="D12" s="18" t="str">
        <x:v>6</x:v>
      </x:c>
      <x:c r="E12" s="18" t="str">
        <x:v>COMPLEX_READINESS</x:v>
      </x:c>
      <x:c r="F12" s="18" t="str">
        <x:v>COMPLEX_READINESS</x:v>
      </x:c>
      <x:c r="G12" s="18" t="str">
        <x:v>D_REGULATION_SYNTHETIC</x:v>
      </x:c>
      <x:c r="H12" s="18" t="str">
        <x:v>Verify structural readiness only: intended ice-operating waterlines and the externally determined lower ice waterline are represented with profile points carrying longitudinalPosition and verticalCoordinate. Do not reconstruct or prove the defining geometric calculation.</x:v>
      </x:c>
      <x:c r="I12" s="18" t="str">
        <x:v>ship, iceWaterline, waterlineProfilePoint</x:v>
      </x:c>
      <x:c r="J12" s="18" t="str"/>
      <x:c r="K12" s="18" t="str">
        <x:v>hasIntendedIceOperatingWaterline, hasLowerIceWaterline, hasWaterlineProfilePoint</x:v>
      </x:c>
      <x:c r="L12" s="18" t="str">
        <x:v>hasIntendedIceOperatingWaterline, hasWaterlineProfilePoint, longitudinalPosition, verticalCoordinate</x:v>
      </x:c>
      <x:c r="M12" s="18" t="str">
        <x:v>hasLowerIceWaterline, hasWaterlineProfilePoint, longitudinalPosition, verticalCoordinate</x:v>
      </x:c>
      <x:c r="N12" s="18" t="str"/>
      <x:c r="O12" s="18" t="str"/>
      <x:c r="P12" s="18" t="str">
        <x:v>NO</x:v>
      </x:c>
      <x:c r="Q12" s="18" t="str">
        <x:v>SRC-TRAFICOM-2021</x:v>
      </x:c>
      <x:c r="R12" s="18" t="str">
        <x:v>Minimum R13 subgraph rooted at ship, iceWaterline, waterlineProfilePoint. Paths: hasIntendedIceOperatingWaterline, hasLowerIceWaterline, hasWaterlineProfilePoint. Operands: hasIntendedIceOperatingWaterline, hasWaterlineProfilePoint, longitudinalPosition, verticalCoordinate. Results/interface: hasLowerIceWaterline, hasWaterlineProfilePoint, longitudinalPosition, verticalCoordinate. Use realistic regulation-grounded synthetic values and record them as REGULATION_SYNTHETIC.</x:v>
      </x:c>
      <x:c r="S12" s="18" t="str">
        <x:v>PASS_READY; FAIL_MISSING_OPERAND; FAIL_MISSING_RESULT; FAIL_WRONG_PATH_OR_OWNER</x:v>
      </x:c>
      <x:c r="T12" s="18" t="str">
        <x:v>READY_FOR_RDF_DESIGN</x:v>
      </x:c>
      <x:c r="U12" s="18" t="str">
        <x:v>Readiness/interface semantics only; do not claim independent execution of advanced engineering analysis.</x:v>
      </x:c>
    </x:row>
    <x:row r="13">
      <x:c r="A13" s="39" t="str">
        <x:v>TRF-013</x:v>
      </x:c>
      <x:c r="B13" s="18" t="str">
        <x:v>TRAFICOM/68863/03.04.01.00/2021</x:v>
      </x:c>
      <x:c r="C13" s="18" t="str">
        <x:v>2.2</x:v>
      </x:c>
      <x:c r="D13" s="18" t="str">
        <x:v>7</x:v>
      </x:c>
      <x:c r="E13" s="18" t="str">
        <x:v>DIRECT_STATIC</x:v>
      </x:c>
      <x:c r="F13" s="18" t="str">
        <x:v>IF_THEN / APPLICABILITY</x:v>
      </x:c>
      <x:c r="G13" s="18" t="str">
        <x:v>C_REAL_CONTEXT_CONTROLLED</x:v>
      </x:c>
      <x:c r="H13" s="18"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c r="I13" s="18" t="str">
        <x:v>ship</x:v>
      </x:c>
      <x:c r="J13" s="18" t="str">
        <x:v>shipIceStrengthened, iceClass</x:v>
      </x:c>
      <x:c r="K13" s="18" t="str">
        <x:v>hasUpperIceWaterline, hasLowerIceWaterline, iceClass</x:v>
      </x:c>
      <x:c r="L13" s="18" t="str">
        <x:v>operatingForeDraught, operatingAftDraught, maximumIceClassDraughtFore, maximumIceClassDraughtAft, minimumIceClassDraughtFore, minimumIceClassDraughtAft</x:v>
      </x:c>
      <x:c r="M13" s="18" t="str"/>
      <x:c r="N13" s="18" t="str"/>
      <x:c r="O13" s="18" t="str">
        <x:v>minimumIceClassDraughtFore &lt;= operatingForeDraught &lt;= maximumIceClassDraughtFore and minimumIceClassDraughtAft &lt;= operatingAftDraught &lt;= maximumIceClassDraughtAft.</x:v>
      </x:c>
      <x:c r="P13" s="18" t="str">
        <x:v>NO</x:v>
      </x:c>
      <x:c r="Q13" s="18" t="str">
        <x:v>SRC-TRAFICOM-2021</x:v>
      </x:c>
      <x:c r="R13" s="18" t="str">
        <x:v>Minimum R13 subgraph rooted at ship. Applicability: shipIceStrengthened, iceClass. Paths: hasUpperIceWaterline, hasLowerIceWaterline, iceClass. Operands: operatingForeDraught, operatingAftDraught, maximumIceClassDraughtFore, maximumIceClassDraughtAft, minimumIceClassDraughtFore, minimumIceClassDraughtAft. Use published ship/sample-ship facts where available for context; record any manipulated value as CONTROLLED_MUTATION.</x:v>
      </x:c>
      <x:c r="S13" s="18" t="str">
        <x:v>PASS_APPLICABLE; FAIL_APPLICABLE; PASS_NOT_APPLICABLE; BOUNDARY trigger case where meaningful.</x:v>
      </x:c>
      <x:c r="T13" s="18" t="str">
        <x:v>READY_FOR_RDF_DESIGN</x:v>
      </x:c>
      <x:c r="U13" s="18" t="str">
        <x:v>Freeze expected outcomes before generated SHACL is inspected.</x:v>
      </x:c>
    </x:row>
    <x:row r="14">
      <x:c r="A14" s="39" t="str">
        <x:v>TRF-014</x:v>
      </x:c>
      <x:c r="B14" s="18" t="str">
        <x:v>TRAFICOM/68863/03.04.01.00/2021</x:v>
      </x:c>
      <x:c r="C14" s="18" t="str"/>
      <x:c r="D14" s="18" t="str"/>
      <x:c r="E14" s="18" t="str">
        <x:v>DIRECT_STATIC</x:v>
      </x:c>
      <x:c r="F14" s="18" t="str">
        <x:v>IF_THEN / DATE_APPLICABILITY</x:v>
      </x:c>
      <x:c r="G14" s="18" t="str">
        <x:v>C_REAL_CONTEXT_CONTROLLED</x:v>
      </x:c>
      <x:c r="H14" s="18" t="str">
        <x:v>Use supplied assessmentDate, never execution time. Preserve certificate/document and draught-direction obligations. Apply the fixed xsd:date cutoff 2007-07-01; pre-cutoff ships with complete marking evidence pass without firstScheduledDryDockingDate, otherwise require that date and enforce markings when it is on or before assessmentDate.</x:v>
      </x:c>
      <x:c r="I14" s="18" t="str">
        <x:v>ship, classCertificate</x:v>
      </x:c>
      <x:c r="J14" s="18" t="str">
        <x:v>assessmentDate, constructionDate, firstScheduledDryDockingDate, summerLoadLineFreshWaterDraught, upperIceWaterlineDraught</x:v>
      </x:c>
      <x:c r="K14" s="18" t="str">
        <x:v>hasClassCertificate, hasIceDraughtRestrictionDocument, iceClass</x:v>
      </x:c>
      <x:c r="L14" s="18" t="str">
        <x:v>maximumIceClassDraughtFore, maximumIceClassDraughtAmidships, maximumIceClassDraughtAft, minimumIceClassDraughtFore, minimumIceClassDraughtAmidships, minimumIceClassDraughtAft</x:v>
      </x:c>
      <x:c r="M14" s="18" t="str"/>
      <x:c r="N14" s="18" t="str">
        <x:v>hasClassCertificate, hasIceDraughtRestrictionDocument, retainedOnBoard, readilyAvailableToMaster</x:v>
      </x:c>
      <x:c r="O14" s="18" t="str"/>
      <x:c r="P14" s="18" t="str">
        <x:v>NO</x:v>
      </x:c>
      <x:c r="Q14" s="18" t="str">
        <x:v>SRC-TRAFICOM-2021</x:v>
      </x:c>
      <x:c r="R14" s="18" t="str">
        <x:v>Minimum R13 subgraph rooted at ship, classCertificate. Applicability: assessmentDate, constructionDate, firstScheduledDryDockingDate, summerLoadLineFreshWaterDraught, upperIceWaterlineDraught. Paths: hasClassCertificate, hasIceDraughtRestrictionDocument, iceClass. Operands: maximumIceClassDraughtFore, maximumIceClassDraughtAmidships, maximumIceClassDraughtAft, minimumIceClassDraughtFore, minimumIceClassDraughtAmidships, minimumIceClassDraughtAft. Evidence: hasClassCertificate, hasIceDraughtRestrictionDocument, retainedOnBoard, readilyAvailableToMaster. Use published ship/sample-ship facts where available for context; record any manipulated value as CONTROLLED_MUTATION.</x:v>
      </x:c>
      <x:c r="S14" s="18" t="str">
        <x:v>PASS_PRE_CUTOFF_WITH_COMPLETE_MARKING_EVIDENCE; PASS_POST_CUTOFF_WITH_REQUIRED_OBLIGATIONS; FAIL_PRE_CUTOFF_MISSING_REQUIRED_EVIDENCE; BOUNDARY 2007-07-01; never use execution time.</x:v>
      </x:c>
      <x:c r="T14" s="18" t="str">
        <x:v>READY_FOR_RDF_DESIGN</x:v>
      </x:c>
      <x:c r="U14" s="18" t="str">
        <x:v>Freeze expected outcomes before generated SHACL is inspected.</x:v>
      </x:c>
    </x:row>
    <x:row r="15">
      <x:c r="A15" s="39" t="str">
        <x:v>TRF-015</x:v>
      </x:c>
      <x:c r="B15" s="18" t="str">
        <x:v>TRAFICOM/68863/03.04.01.00/2021</x:v>
      </x:c>
      <x:c r="C15" s="18" t="str">
        <x:v>2.2</x:v>
      </x:c>
      <x:c r="D15" s="18" t="str">
        <x:v>7</x:v>
      </x:c>
      <x:c r="E15" s="18" t="str">
        <x:v>DIRECT_STATIC</x:v>
      </x:c>
      <x:c r="F15" s="18" t="str">
        <x:v>UNIVERSAL / DIRECT</x:v>
      </x:c>
      <x:c r="G15" s="18" t="str">
        <x:v>C_REAL_CONTEXT_CONTROLLED</x:v>
      </x:c>
      <x:c r="H15" s="18" t="str">
        <x:v>The draught and trim, limited by the UIWL, must not be exceeded when the ship is navigating in ice. The salinity of the sea water along the intended route shall be taken into account when loading the ship.</x:v>
      </x:c>
      <x:c r="I15" s="18" t="str">
        <x:v>ship</x:v>
      </x:c>
      <x:c r="J15" s="18" t="str"/>
      <x:c r="K15" s="18" t="str"/>
      <x:c r="L15" s="18" t="str"/>
      <x:c r="M15" s="18" t="str"/>
      <x:c r="N15" s="18" t="str"/>
      <x:c r="O15" s="18" t="str"/>
      <x:c r="P15" s="18" t="str">
        <x:v>NO</x:v>
      </x:c>
      <x:c r="Q15" s="18" t="str">
        <x:v>SRC-TRAFICOM-2021</x:v>
      </x:c>
      <x:c r="R15" s="18" t="str">
        <x:v>Minimum R13 subgraph rooted at ship. Use published ship/sample-ship facts where available for context; record any manipulated value as CONTROLLED_MUTATION.</x:v>
      </x:c>
      <x:c r="S15" s="18" t="str">
        <x:v>PASS_ONE_VALID; PASS_MULTIPLE_VALID; FAIL_ONE_INVALID; FAIL_MIXED; PASS_ZERO if source imposes no existence.</x:v>
      </x:c>
      <x:c r="T15" s="18" t="str">
        <x:v>READY_FOR_RDF_DESIGN</x:v>
      </x:c>
      <x:c r="U15" s="18" t="str">
        <x:v>Freeze expected outcomes before generated SHACL is inspected.</x:v>
      </x:c>
    </x:row>
    <x:row r="16">
      <x:c r="A16" s="39" t="str">
        <x:v>TRF-016</x:v>
      </x:c>
      <x:c r="B16" s="18" t="str">
        <x:v>TRAFICOM/68863/03.04.01.00/2021</x:v>
      </x:c>
      <x:c r="C16" s="18" t="str">
        <x:v>2.2</x:v>
      </x:c>
      <x:c r="D16" s="18" t="str">
        <x:v>7</x:v>
      </x:c>
      <x:c r="E16" s="18" t="str">
        <x:v>DIRECT_CALCULATION</x:v>
      </x:c>
      <x:c r="F16" s="18" t="str">
        <x:v>FORMULA / MIN_MAX</x:v>
      </x:c>
      <x:c r="G16" s="18" t="str">
        <x:v>C_REAL_CONTEXT_CONTROLLED</x:v>
      </x:c>
      <x:c r="H16" s="18" t="str">
        <x:v>When navigating in ice, draught_amidships_m &gt;= LIWL_draught_amidships_m. Any ballast tank above LIWL that is needed to reach LIWL shall have freezing_prevention_present = true. propeller_highest_point_submerged = true. forward_draught_m &gt;= min((2 + 0.00025*displacement_UIWL_t)*level_ice_thickness_m, 4*level_ice_thickness_m). If multiple UIWL waterlines exist, use the displacement at the greatest-displacement UIWL.</x:v>
      </x:c>
      <x:c r="I16" s="18" t="str">
        <x:v>ship</x:v>
      </x:c>
      <x:c r="J16" s="18" t="str"/>
      <x:c r="K16" s="18" t="str"/>
      <x:c r="L16" s="18" t="str">
        <x:v>displacementAtUpperIceWaterline, levelIceThickness</x:v>
      </x:c>
      <x:c r="M16" s="18" t="str">
        <x:v>forwardDraught</x:v>
      </x:c>
      <x:c r="N16" s="18" t="str"/>
      <x:c r="O16" s="18" t="str"/>
      <x:c r="P16" s="18" t="str">
        <x:v>NO</x:v>
      </x:c>
      <x:c r="Q16" s="18" t="str">
        <x:v>SRC-TRAFICOM-2021</x:v>
      </x:c>
      <x:c r="R16" s="18" t="str">
        <x:v>Minimum R13 subgraph rooted at ship. Operands: displacementAtUpperIceWaterline, levelIceThickness. Results/interface: forwardDraught. Use published ship/sample-ship facts where available for context; record any manipulated value as CONTROLLED_MUTATION.</x:v>
      </x:c>
      <x:c r="S16" s="18" t="str">
        <x:v>PASS each permitted route independently; FAIL_NONE; PASS_BOTH only if allowed; PASS_NOT_APPLICABLE if conditional.</x:v>
      </x:c>
      <x:c r="T16" s="18" t="str">
        <x:v>READY_FOR_RDF_DESIGN</x:v>
      </x:c>
      <x:c r="U16" s="18" t="str">
        <x:v>Freeze expected outcomes before generated SHACL is inspected.</x:v>
      </x:c>
    </x:row>
    <x:row r="17">
      <x:c r="A17" s="39" t="str">
        <x:v>TRF-017</x:v>
      </x:c>
      <x:c r="B17" s="18" t="str">
        <x:v>TRAFICOM/68863/03.04.01.00/2021</x:v>
      </x:c>
      <x:c r="C17" s="18" t="str">
        <x:v>3.1</x:v>
      </x:c>
      <x:c r="D17" s="18" t="str">
        <x:v>7</x:v>
      </x:c>
      <x:c r="E17" s="18" t="str">
        <x:v>DIRECT_STATIC</x:v>
      </x:c>
      <x:c r="F17" s="18" t="str">
        <x:v>DEFINITION + CONDITIONAL</x:v>
      </x:c>
      <x:c r="G17" s="18" t="str">
        <x:v>C_REAL_CONTEXT_CONTROLLED</x:v>
      </x:c>
      <x:c r="H17" s="18" t="str">
        <x:v>The engine output P is the maximum output the propulsion machinery can continuously deliver to the propeller(s). If the output is restricted by technical means or regulations, P shall be taken as the restricted output.</x:v>
      </x:c>
      <x:c r="I17" s="18" t="str">
        <x:v>ship</x:v>
      </x:c>
      <x:c r="J17" s="18" t="str"/>
      <x:c r="K17" s="18" t="str"/>
      <x:c r="L17" s="18" t="str"/>
      <x:c r="M17" s="18" t="str"/>
      <x:c r="N17" s="18" t="str"/>
      <x:c r="O17" s="18" t="str"/>
      <x:c r="P17" s="18" t="str">
        <x:v>NO</x:v>
      </x:c>
      <x:c r="Q17" s="18" t="str">
        <x:v>SRC-TRAFICOM-2021</x:v>
      </x:c>
      <x:c r="R17" s="18" t="str">
        <x:v>Minimum R13 subgraph rooted at ship. Use published ship/sample-ship facts where available for context; record any manipulated value as CONTROLLED_MUTATION.</x:v>
      </x:c>
      <x:c r="S17" s="18" t="str">
        <x:v>PASS unrestricted propulsion output; PASS restricted-output branch; PASS additional propulsion power included; FAIL omitting applicable additional power; FAIL using unrestricted value when restriction applies.</x:v>
      </x:c>
      <x:c r="T17" s="18" t="str">
        <x:v>READY_FOR_RDF_DESIGN</x:v>
      </x:c>
      <x:c r="U17" s="18" t="str">
        <x:v>Freeze expected outcomes before generated SHACL is inspected.</x:v>
      </x:c>
    </x:row>
    <x:row r="18">
      <x:c r="A18" s="39" t="str">
        <x:v>TRF-018</x:v>
      </x:c>
      <x:c r="B18" s="18" t="str">
        <x:v>TRAFICOM/68863/03.04.01.00/2021</x:v>
      </x:c>
      <x:c r="C18" s="18" t="str">
        <x:v>3.2</x:v>
      </x:c>
      <x:c r="D18" s="18" t="str">
        <x:v>8</x:v>
      </x:c>
      <x:c r="E18" s="18" t="str">
        <x:v>DIRECT_CALCULATION</x:v>
      </x:c>
      <x:c r="F18" s="18" t="str">
        <x:v>FORMULA / MIN_MAX</x:v>
      </x:c>
      <x:c r="G18" s="18" t="str">
        <x:v>B_REAL_DERIVED</x:v>
      </x:c>
      <x:c r="H18" s="18" t="str">
        <x:v>IF iceClass IN {'IA','IB','IC'}, THEN mcrPower_kW &gt;= max(calculated_required_power_kW, 1000). IF iceClass = 'IA Super', THEN mcrPower_kW &gt;= max(calculated_required_power_kW, 2800).</x:v>
      </x:c>
      <x:c r="I18" s="18" t="str">
        <x:v>ship</x:v>
      </x:c>
      <x:c r="J18" s="18" t="str"/>
      <x:c r="K18" s="18" t="str"/>
      <x:c r="L18" s="18" t="str">
        <x:v>calculatedRequiredPower</x:v>
      </x:c>
      <x:c r="M18" s="18" t="str">
        <x:v>maximumContinuousRatingPower</x:v>
      </x:c>
      <x:c r="N18" s="18" t="str"/>
      <x:c r="O18" s="18" t="str"/>
      <x:c r="P18" s="18" t="str">
        <x:v>NO</x:v>
      </x:c>
      <x:c r="Q18" s="18" t="str">
        <x:v>SRC-TRAFICOM-2021; SRC-TRAFICOM-ANNEX-I</x:v>
      </x:c>
      <x:c r="R18" s="18" t="str">
        <x:v>Minimum R13 subgraph rooted at ship. Operands: calculatedRequiredPower. Results/interface: maximumContinuousRatingPower. Prefer TRAFICOM Annex I published sample-ship inputs; derive the source result and then create controlled counterexamples.</x:v>
      </x:c>
      <x:c r="S18" s="18" t="str">
        <x:v>PASS each permitted route independently; FAIL_NONE; PASS_BOTH only if allowed; PASS_NOT_APPLICABLE if conditional.</x:v>
      </x:c>
      <x:c r="T18" s="18" t="str">
        <x:v>READY_FOR_RDF_DESIGN</x:v>
      </x:c>
      <x:c r="U18" s="18" t="str">
        <x:v>Prefer Annex I sample-ship inputs before synthetic values.</x:v>
      </x:c>
    </x:row>
    <x:row r="19">
      <x:c r="A19" s="39" t="str">
        <x:v>TRF-020</x:v>
      </x:c>
      <x:c r="B19" s="18" t="str">
        <x:v>TRAFICOM/68863/03.04.01.00/2021</x:v>
      </x:c>
      <x:c r="C19" s="18" t="str">
        <x:v>3.2.2</x:v>
      </x:c>
      <x:c r="D19" s="18" t="str">
        <x:v>8-9</x:v>
      </x:c>
      <x:c r="E19" s="18" t="str">
        <x:v>COMPLEX_READINESS</x:v>
      </x:c>
      <x:c r="F19" s="18" t="str">
        <x:v>COMPLEX_READINESS / TABLE_INTERFACE</x:v>
      </x:c>
      <x:c r="G19" s="18" t="str">
        <x:v>B_REAL_DERIVED</x:v>
      </x:c>
      <x:c r="H19" s="18" t="str">
        <x:v>IF construction_stage_date &gt;= '2003-09-01' AND iceClass IN {'IA Super','IA','IB','IC'}, THEN compute P_min = K_e*(R_CH/1000)^(3/2)/D_p at UIWL and LIWL; use draught-dependent inputs at the corresponding draught, use L and B at UIWL for both calculations, and require mcrPower_kW &gt;= max(P_min_UIWL_kW, P_min_LIWL_kW). K_e shall be selected from Table 3-1. Table 3-1 values for conventional propulsion systems: 1 propeller: CP propeller or electric or hydraulic propulsion machinery 2.03, FP propeller 2.26; 2 propellers: 1.44 and 1.60; 3 propellers: 1.18 and 1.31.</x:v>
      </x:c>
      <x:c r="I19" s="18" t="str">
        <x:v>ship</x:v>
      </x:c>
      <x:c r="J19" s="18" t="str"/>
      <x:c r="K19" s="18" t="str">
        <x:v>hasLowerIceWaterline, hasUpperIceWaterline</x:v>
      </x:c>
      <x:c r="L19" s="18" t="str">
        <x:v>constructionStageDate, iceClass, engineOutputCoefficientKe, brashIceChannelResistanceAtLowerIceWaterline, brashIceChannelResistanceAtUpperIceWaterline, propellerDiameter, propellerCount, propellerPitchControlType, propulsionSystemType, upperIceWaterlineBreadth, upperIceWaterlineLength</x:v>
      </x:c>
      <x:c r="M19" s="18" t="str">
        <x:v>minimumRequiredPowerAtLowerIceWaterline, minimumRequiredPowerAtUpperIceWaterline</x:v>
      </x:c>
      <x:c r="N19" s="18" t="str"/>
      <x:c r="O19" s="18" t="str">
        <x:v>IF construction_stage_date &gt;= '2003-09-01' AND iceClass IN {'IA Super','IA','IB','IC'}, THEN compute P_min = K_e*(R_CH/1000)^(3/2)/D_p at UIWL and LIWL; use draught-dependent inputs at the corresponding draught, use L and B at UIWL for both calculations, and require mcrPower_kW &gt;= max(P_min_UIWL_kW, P_min_LIWL_kW). K_e shall be selected from Table 3-1. Table 3-1 values for conventional propulsion systems: 1 propeller: CP propeller or electric or hydraulic propulsion machinery 2.03, FP propeller 2.26; 2 propellers: 1.44 and 1.60; 3 propellers: 1.18 and 1.31.</x:v>
      </x:c>
      <x:c r="P19" s="18" t="str">
        <x:v>NO</x:v>
      </x:c>
      <x:c r="Q19" s="18" t="str">
        <x:v>SRC-TRAFICOM-2021; SRC-TRAFICOM-ANNEX-I</x:v>
      </x:c>
      <x:c r="R19" s="18" t="str">
        <x:v>Minimum R13 subgraph rooted at ship. Paths: hasLowerIceWaterline, hasUpperIceWaterline. Operands: constructionStageDate, iceClass, engineOutputCoefficientKe, brashIceChannelResistanceAtLowerIceWaterline, brashIceChannelResistanceAtUpperIceWaterline, propellerDiameter, propellerCount, propellerPitchControlType, propulsionSystemType, upperIceWaterlineBreadth, upperIceWaterlineLength. Results/interface: minimumRequiredPowerAtLowerIceWaterline, minimumRequiredPowerAtUpperIceWaterline. Prefer TRAFICOM Annex I published sample-ship inputs; derive the source result and then create controlled counterexamples.</x:v>
      </x:c>
      <x:c r="S19" s="18" t="str">
        <x:v>PASS_READY; FAIL_MISSING_OPERAND; FAIL_MISSING_RESULT; FAIL_WRONG_PATH_OR_OWNER</x:v>
      </x:c>
      <x:c r="T19" s="18" t="str">
        <x:v>READY_FOR_RDF_DESIGN</x:v>
      </x:c>
      <x:c r="U19" s="18" t="str">
        <x:v>Readiness/interface semantics only; do not claim independent execution of advanced engineering analysis. Prefer Annex I sample-ship inputs before synthetic values.</x:v>
      </x:c>
    </x:row>
    <x:row r="20">
      <x:c r="A20" s="39" t="str">
        <x:v>TRF-022</x:v>
      </x:c>
      <x:c r="B20" s="18" t="str">
        <x:v>TRAFICOM/68863/03.04.01.00/2021</x:v>
      </x:c>
      <x:c r="C20" s="18" t="str">
        <x:v>3.2.2</x:v>
      </x:c>
      <x:c r="D20" s="18" t="str">
        <x:v>10</x:v>
      </x:c>
      <x:c r="E20" s="18" t="str">
        <x:v>COMPLEX_READINESS</x:v>
      </x:c>
      <x:c r="F20" s="18" t="str">
        <x:v>COMPLEX_READINESS / TABLE_INTERFACE</x:v>
      </x:c>
      <x:c r="G20" s="18" t="str">
        <x:v>B_REAL_DERIVED</x:v>
      </x:c>
      <x:c r="H20" s="18" t="str">
        <x:v>Set C_3 = 845 kg/(m^2*s^2), C_4 = 42 kg/(m^2*s^2), C_5 = 825 kg/s^2 and psi = atan(tan(phi_2)/sin(alpha)). Clamp ((L*T)/B^2)^3 to the inclusive interval [5, 20]. Table 3-2 values: f1=23 N/m2, f2=45.8 N/m, f3=14.7 N/m, f4=29 N/m2, g1=1530 N, g2=170 N/m, g3=400 N/m1.5.</x:v>
      </x:c>
      <x:c r="I20" s="18" t="str">
        <x:v>ship</x:v>
      </x:c>
      <x:c r="J20" s="18" t="str"/>
      <x:c r="K20" s="18" t="str"/>
      <x:c r="L20" s="18" t="str">
        <x:v>bowRakeAtQuarterBreadth, waterlineAngleAtQuarterBreadth, shipLength, iceClassDraught, shipBreadth, coefficientC3, coefficientC4, coefficientC5, coefficientF1, coefficientF2, coefficientF3, coefficientF4, coefficientG1, coefficientG2, coefficientG3</x:v>
      </x:c>
      <x:c r="M20" s="18" t="str">
        <x:v>flareAngle, clampedHullGeometryTerm</x:v>
      </x:c>
      <x:c r="N20" s="18" t="str"/>
      <x:c r="O20" s="18" t="str">
        <x:v>Set C_3 = 845 kg/(m^2*s^2), C_4 = 42 kg/(m^2*s^2), C_5 = 825 kg/s^2 and psi = atan(tan(phi_2)/sin(alpha)). Clamp ((L*T)/B^2)^3 to the inclusive interval [5, 20]. Table 3-2 values: f1=23 N/m2, f2=45.8 N/m, f3=14.7 N/m, f4=29 N/m2, g1=1530 N, g2=170 N/m, g3=400 N/m1.5.</x:v>
      </x:c>
      <x:c r="P20" s="18" t="str">
        <x:v>NO</x:v>
      </x:c>
      <x:c r="Q20" s="18" t="str">
        <x:v>SRC-TRAFICOM-2021; SRC-TRAFICOM-ANNEX-I</x:v>
      </x:c>
      <x:c r="R20" s="18" t="str">
        <x:v>Minimum R13 subgraph rooted at ship. Operands: bowRakeAtQuarterBreadth, waterlineAngleAtQuarterBreadth, shipLength, iceClassDraught, shipBreadth, coefficientC3, coefficientC4, coefficientC5, coefficientF1, coefficientF2, coefficientF3, coefficientF4, coefficientG1, coefficientG2, coefficientG3. Results/interface: flareAngle, clampedHullGeometryTerm. Prefer TRAFICOM Annex I published sample-ship inputs; derive the source result and then create controlled counterexamples.</x:v>
      </x:c>
      <x:c r="S20" s="18" t="str">
        <x:v>PASS_READY; FAIL_MISSING_OPERAND; FAIL_MISSING_RESULT</x:v>
      </x:c>
      <x:c r="T20" s="18" t="str">
        <x:v>READY_FOR_RDF_DESIGN</x:v>
      </x:c>
      <x:c r="U20" s="18" t="str">
        <x:v>Readiness/interface semantics only; do not claim independent execution of advanced engineering analysis. Prefer Annex I sample-ship inputs before synthetic values.</x:v>
      </x:c>
    </x:row>
    <x:row r="21">
      <x:c r="A21" s="39" t="str">
        <x:v>TRF-023</x:v>
      </x:c>
      <x:c r="B21" s="18" t="str">
        <x:v>TRAFICOM/68863/03.04.01.00/2021</x:v>
      </x:c>
      <x:c r="C21" s="18" t="str">
        <x:v>3.2.3</x:v>
      </x:c>
      <x:c r="D21" s="18" t="str">
        <x:v>10</x:v>
      </x:c>
      <x:c r="E21" s="18" t="str">
        <x:v>DIRECT_STATIC</x:v>
      </x:c>
      <x:c r="F21" s="18" t="str">
        <x:v>IF_THEN / LEGACY_APPLICABILITY</x:v>
      </x:c>
      <x:c r="G21" s="18" t="str">
        <x:v>C_REAL_CONTEXT_CONTROLLED</x:v>
      </x:c>
      <x:c r="H21" s="18"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c r="I21" s="18" t="str">
        <x:v>ship</x:v>
      </x:c>
      <x:c r="J21" s="18" t="str"/>
      <x:c r="K21" s="18" t="str"/>
      <x:c r="L21" s="18" t="str"/>
      <x:c r="M21" s="18" t="str"/>
      <x:c r="N21" s="18" t="str"/>
      <x:c r="O21" s="18" t="str"/>
      <x:c r="P21" s="18" t="str">
        <x:v>NO</x:v>
      </x:c>
      <x:c r="Q21" s="18" t="str">
        <x:v>SRC-TRAFICOM-2021</x:v>
      </x:c>
      <x:c r="R21" s="18" t="str">
        <x:v>Minimum R13 subgraph rooted at ship. Use published ship/sample-ship facts where available for context; record any manipulated value as CONTROLLED_MUTATION.</x:v>
      </x:c>
      <x:c r="S21" s="18" t="str">
        <x:v>PASS applicable IB; PASS applicable IC; FAIL applicable ship below required legacy minimum power; PASS_NOT_APPLICABLE outside class/edition cohort.</x:v>
      </x:c>
      <x:c r="T21" s="18" t="str">
        <x:v>READY_FOR_RDF_DESIGN</x:v>
      </x:c>
      <x:c r="U21" s="18" t="str">
        <x:v>Freeze expected outcomes before generated SHACL is inspected.</x:v>
      </x:c>
    </x:row>
    <x:row r="22">
      <x:c r="A22" s="39" t="str">
        <x:v>TRF-024</x:v>
      </x:c>
      <x:c r="B22" s="18" t="str">
        <x:v>TRAFICOM/68863/03.04.01.00/2021</x:v>
      </x:c>
      <x:c r="C22" s="18" t="str">
        <x:v>3.2.4</x:v>
      </x:c>
      <x:c r="D22" s="18" t="str">
        <x:v>10</x:v>
      </x:c>
      <x:c r="E22" s="18" t="str">
        <x:v>DIRECT_STATIC</x:v>
      </x:c>
      <x:c r="F22" s="18" t="str">
        <x:v>IF_THEN / LEGACY_APPLICABILITY</x:v>
      </x:c>
      <x:c r="G22" s="18" t="str">
        <x:v>C_REAL_CONTEXT_CONTROLLED</x:v>
      </x:c>
      <x:c r="H22" s="18"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c r="I22" s="18" t="str">
        <x:v>ship</x:v>
      </x:c>
      <x:c r="J22" s="18" t="str"/>
      <x:c r="K22" s="18" t="str"/>
      <x:c r="L22" s="18" t="str"/>
      <x:c r="M22" s="18" t="str"/>
      <x:c r="N22" s="18" t="str"/>
      <x:c r="O22" s="18" t="str"/>
      <x:c r="P22" s="18" t="str">
        <x:v>NO</x:v>
      </x:c>
      <x:c r="Q22" s="18" t="str">
        <x:v>SRC-TRAFICOM-2021</x:v>
      </x:c>
      <x:c r="R22" s="18" t="str">
        <x:v>Minimum R13 subgraph rooted at ship. Use published ship/sample-ship facts where available for context; record any manipulated value as CONTROLLED_MUTATION.</x:v>
      </x:c>
      <x:c r="S22" s="18" t="str">
        <x:v>PASS applicable IA Super; PASS applicable IA; FAIL applicable ship not meeting retained-class power rule; PASS_NOT_APPLICABLE outside cohort.</x:v>
      </x:c>
      <x:c r="T22" s="18" t="str">
        <x:v>READY_FOR_RDF_DESIGN</x:v>
      </x:c>
      <x:c r="U22" s="18" t="str">
        <x:v>Freeze expected outcomes before generated SHACL is inspected.</x:v>
      </x:c>
    </x:row>
    <x:row r="23">
      <x:c r="A23" s="39" t="str">
        <x:v>TRF-025</x:v>
      </x:c>
      <x:c r="B23" s="18" t="str">
        <x:v>TRAFICOM/68863/03.04.01.00/2021</x:v>
      </x:c>
      <x:c r="C23" s="18" t="str">
        <x:v>3.2.4</x:v>
      </x:c>
      <x:c r="D23" s="18" t="str">
        <x:v>10</x:v>
      </x:c>
      <x:c r="E23" s="18" t="str">
        <x:v>COMPLEX_READINESS</x:v>
      </x:c>
      <x:c r="F23" s="18" t="str">
        <x:v>COMPLEX_READINESS</x:v>
      </x:c>
      <x:c r="G23" s="18" t="str">
        <x:v>D_REGULATION_SYNTHETIC</x:v>
      </x:c>
      <x:c r="H23" s="18" t="str">
        <x:v>For IA Super without a bulb, compute C_1=f_1*(B*L)/(2*T/B+1)+1.84*(f_2*B+f_3*L+f_4*B*L) and C_2=3.52*(g_1+g_2*B)+g_3*(1+1.2*T/B)*B^2/sqrt(L).</x:v>
      </x:c>
      <x:c r="I23" s="18" t="str">
        <x:v>ship</x:v>
      </x:c>
      <x:c r="J23" s="18" t="str"/>
      <x:c r="K23" s="18" t="str"/>
      <x:c r="L23" s="18" t="str">
        <x:v>coefficientF1, coefficientF2, coefficientF3, coefficientF4, coefficientG1, coefficientG2, coefficientG3, shipBreadth, shipLength, iceClassDraught, iceClass, bulbousBowPresent</x:v>
      </x:c>
      <x:c r="M23" s="18" t="str">
        <x:v>brashIceResistanceCoefficientC1, brashIceResistanceCoefficientC2</x:v>
      </x:c>
      <x:c r="N23" s="18" t="str"/>
      <x:c r="O23" s="18" t="str">
        <x:v>For IA Super without a bulb, compute C_1=f_1*(B*L)/(2*T/B+1)+1.84*(f_2*B+f_3*L+f_4*B*L) and C_2=3.52*(g_1+g_2*B)+g_3*(1+1.2*T/B)*B^2/sqrt(L).</x:v>
      </x:c>
      <x:c r="P23" s="18" t="str">
        <x:v>NO</x:v>
      </x:c>
      <x:c r="Q23" s="18" t="str">
        <x:v>SRC-TRAFICOM-2021</x:v>
      </x:c>
      <x:c r="R23" s="18" t="str">
        <x:v>Minimum R13 subgraph rooted at ship. Operands: coefficientF1, coefficientF2, coefficientF3, coefficientF4, coefficientG1, coefficientG2, coefficientG3, shipBreadth, shipLength, iceClassDraught, iceClass, bulbousBowPresent. Results/interface: brashIceResistanceCoefficientC1, brashIceResistanceCoefficientC2. Use realistic regulation-grounded synthetic values and record them as REGULATION_SYNTHETIC.</x:v>
      </x:c>
      <x:c r="S23" s="18" t="str">
        <x:v>PASS_READY; FAIL_MISSING_OPERAND; FAIL_MISSING_RESULT</x:v>
      </x:c>
      <x:c r="T23" s="18" t="str">
        <x:v>READY_FOR_RDF_DESIGN</x:v>
      </x:c>
      <x:c r="U23" s="18" t="str">
        <x:v>Readiness/interface semantics only; do not claim independent execution of advanced engineering analysis.</x:v>
      </x:c>
    </x:row>
    <x:row r="24">
      <x:c r="A24" s="39" t="str">
        <x:v>TRF-026</x:v>
      </x:c>
      <x:c r="B24" s="18" t="str">
        <x:v>TRAFICOM/68863/03.04.01.00/2021</x:v>
      </x:c>
      <x:c r="C24" s="18" t="str">
        <x:v>3.2.4</x:v>
      </x:c>
      <x:c r="D24" s="18" t="str">
        <x:v>11</x:v>
      </x:c>
      <x:c r="E24" s="18" t="str">
        <x:v>COMPLEX_READINESS</x:v>
      </x:c>
      <x:c r="F24" s="18" t="str">
        <x:v>COMPLEX_READINESS</x:v>
      </x:c>
      <x:c r="G24" s="18" t="str">
        <x:v>D_REGULATION_SYNTHETIC</x:v>
      </x:c>
      <x:c r="H24" s="18" t="str">
        <x:v>For IA Super with a bulb, compute C_1=f_1*(B*L)/(2*T/B+1)+2.89*(f_2*B+f_3*L+f_4*B*L) and C_2=6.67*(g_1+g_2*B)+g_3*(1+1.2*T/B)*B^2/sqrt(L).</x:v>
      </x:c>
      <x:c r="I24" s="18" t="str">
        <x:v>ship</x:v>
      </x:c>
      <x:c r="J24" s="18" t="str"/>
      <x:c r="K24" s="18" t="str"/>
      <x:c r="L24" s="18" t="str">
        <x:v>coefficientF1, coefficientF2, coefficientF3, coefficientF4, coefficientG1, coefficientG2, coefficientG3, shipBreadth, shipLength, iceClassDraught, iceClass, bulbousBowPresent</x:v>
      </x:c>
      <x:c r="M24" s="18" t="str">
        <x:v>brashIceResistanceCoefficientC1, brashIceResistanceCoefficientC2</x:v>
      </x:c>
      <x:c r="N24" s="18" t="str"/>
      <x:c r="O24" s="18" t="str">
        <x:v>For IA Super with a bulb, compute C_1=f_1*(B*L)/(2*T/B+1)+2.89*(f_2*B+f_3*L+f_4*B*L) and C_2=6.67*(g_1+g_2*B)+g_3*(1+1.2*T/B)*B^2/sqrt(L).</x:v>
      </x:c>
      <x:c r="P24" s="18" t="str">
        <x:v>NO</x:v>
      </x:c>
      <x:c r="Q24" s="18" t="str">
        <x:v>SRC-TRAFICOM-2021</x:v>
      </x:c>
      <x:c r="R24" s="18" t="str">
        <x:v>Minimum R13 subgraph rooted at ship. Operands: coefficientF1, coefficientF2, coefficientF3, coefficientF4, coefficientG1, coefficientG2, coefficientG3, shipBreadth, shipLength, iceClassDraught, iceClass, bulbousBowPresent. Results/interface: brashIceResistanceCoefficientC1, brashIceResistanceCoefficientC2. Use realistic regulation-grounded synthetic values and record them as REGULATION_SYNTHETIC.</x:v>
      </x:c>
      <x:c r="S24" s="18" t="str">
        <x:v>PASS_READY; FAIL_MISSING_OPERAND; FAIL_MISSING_RESULT</x:v>
      </x:c>
      <x:c r="T24" s="18" t="str">
        <x:v>READY_FOR_RDF_DESIGN</x:v>
      </x:c>
      <x:c r="U24" s="18" t="str">
        <x:v>Readiness/interface semantics only; do not claim independent execution of advanced engineering analysis.</x:v>
      </x:c>
    </x:row>
    <x:row r="25">
      <x:c r="A25" s="39" t="str">
        <x:v>TRF-027</x:v>
      </x:c>
      <x:c r="B25" s="18" t="str">
        <x:v>TRAFICOM/68863/03.04.01.00/2021</x:v>
      </x:c>
      <x:c r="C25" s="18" t="str">
        <x:v>3.2.4</x:v>
      </x:c>
      <x:c r="D25" s="18" t="str">
        <x:v>11</x:v>
      </x:c>
      <x:c r="E25" s="18" t="str">
        <x:v>DIRECT_CALCULATION</x:v>
      </x:c>
      <x:c r="F25" s="18" t="str">
        <x:v>PIECEWISE_FORMULA</x:v>
      </x:c>
      <x:c r="G25" s="18" t="str">
        <x:v>B_REAL_DERIVED</x:v>
      </x:c>
      <x:c r="H25" s="18" t="str">
        <x:v>Coefficients f_1-f_4 and g_1-g_3 are given in Table 3-3. C_3 = 460 kg/(m^2*s^2), C_4 = 18.7 kg/(m^2*s^2), C_5 = 825 kg/s^2. If the value of the term ((L*T)/B^2)^3 is less than 5, the value 5 shall be used; if the value is more than 20, the value 20 shall be used. Section 3.2.4 applies to IA Super or IA ships whose keel was laid or which were at a similar stage of construction before 1 September 2003. Table 3-3 values: f1=10.3 N/m2, f2=45.8 N/m, f3=2.94 N/m, f4=5.8 N/m2, g1=1530 N, g2=170 N/m, g3=400 N/m1.5.</x:v>
      </x:c>
      <x:c r="I25" s="18" t="str">
        <x:v>ship</x:v>
      </x:c>
      <x:c r="J25" s="18" t="str"/>
      <x:c r="K25" s="18" t="str"/>
      <x:c r="L25" s="18" t="str">
        <x:v>shipLength, iceClassDraught, shipBreadth</x:v>
      </x:c>
      <x:c r="M25" s="18" t="str">
        <x:v>clampedHullGeometryTerm</x:v>
      </x:c>
      <x:c r="N25" s="18" t="str"/>
      <x:c r="O25" s="18" t="str"/>
      <x:c r="P25" s="18" t="str">
        <x:v>NO</x:v>
      </x:c>
      <x:c r="Q25" s="18" t="str">
        <x:v>SRC-TRAFICOM-2021; SRC-TRAFICOM-ANNEX-I</x:v>
      </x:c>
      <x:c r="R25" s="18" t="str">
        <x:v>Minimum R13 subgraph rooted at ship. Operands: shipLength, iceClassDraught, shipBreadth. Results/interface: clampedHullGeometryTerm. Prefer TRAFICOM Annex I published sample-ship inputs; derive the source result and then create controlled counterexamples.</x:v>
      </x:c>
      <x:c r="S25" s="18" t="str">
        <x:v>PASS each permitted route independently; FAIL_NONE; PASS_BOTH only if allowed; PASS_NOT_APPLICABLE if conditional.</x:v>
      </x:c>
      <x:c r="T25" s="18" t="str">
        <x:v>READY_FOR_RDF_DESIGN</x:v>
      </x:c>
      <x:c r="U25" s="18" t="str">
        <x:v>Prefer Annex I sample-ship inputs before synthetic values.</x:v>
      </x:c>
    </x:row>
    <x:row r="26">
      <x:c r="A26" s="39" t="str">
        <x:v>TRF-028</x:v>
      </x:c>
      <x:c r="B26" s="18" t="str">
        <x:v>TRAFICOM/68863/03.04.01.00/2021</x:v>
      </x:c>
      <x:c r="C26" s="18" t="str">
        <x:v>3.2.5</x:v>
      </x:c>
      <x:c r="D26" s="18" t="str">
        <x:v>11</x:v>
      </x:c>
      <x:c r="E26" s="18" t="str">
        <x:v>COMPLEX_READINESS</x:v>
      </x:c>
      <x:c r="F26" s="18" t="str">
        <x:v>COMPLEX_READINESS / EVIDENCE</x:v>
      </x:c>
      <x:c r="G26" s="18" t="str">
        <x:v>D_REGULATION_SYNTHETIC</x:v>
      </x:c>
      <x:c r="H26" s="18" t="str"/>
      <x:c r="I26" s="18" t="str">
        <x:v>ship</x:v>
      </x:c>
      <x:c r="J26" s="18" t="str"/>
      <x:c r="K26" s="18" t="str"/>
      <x:c r="L26" s="18" t="str"/>
      <x:c r="M26" s="18" t="str">
        <x:v>engineOutputCoefficientKe, brashIceChannelResistanceRch</x:v>
      </x:c>
      <x:c r="N26" s="18" t="str">
        <x:v>alternativeCalculationEvidence, modelTestEvidence, approvalStatus, approvalRevocationStatus</x:v>
      </x:c>
      <x:c r="O26" s="18"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P26" s="18" t="str">
        <x:v>NO</x:v>
      </x:c>
      <x:c r="Q26" s="18" t="str">
        <x:v>SRC-TRAFICOM-2021</x:v>
      </x:c>
      <x:c r="R26" s="18" t="str">
        <x:v>Minimum R13 subgraph rooted at ship. Results/interface: engineOutputCoefficientKe, brashIceChannelResistanceRch. Evidence: alternativeCalculationEvidence, modelTestEvidence, approvalStatus, approvalRevocationStatus. Use realistic regulation-grounded synthetic values and record them as REGULATION_SYNTHETIC.</x:v>
      </x:c>
      <x:c r="S26" s="18" t="str">
        <x:v>PASS_READY; FAIL_MISSING_RESULT; FAIL_MISSING_EVIDENCE</x:v>
      </x:c>
      <x:c r="T26" s="18" t="str">
        <x:v>READY_FOR_RDF_DESIGN</x:v>
      </x:c>
      <x:c r="U26" s="18" t="str">
        <x:v>Readiness/interface semantics only; do not claim independent execution of advanced engineering analysis.</x:v>
      </x:c>
    </x:row>
    <x:row r="27">
      <x:c r="A27" s="39" t="str">
        <x:v>TRF-029</x:v>
      </x:c>
      <x:c r="B27" s="18" t="str">
        <x:v>TRAFICOM/68863/03.04.01.00/2021</x:v>
      </x:c>
      <x:c r="C27" s="18" t="str">
        <x:v>4.1</x:v>
      </x:c>
      <x:c r="D27" s="18" t="str">
        <x:v>12</x:v>
      </x:c>
      <x:c r="E27" s="18" t="str">
        <x:v>DIRECT_STATIC</x:v>
      </x:c>
      <x:c r="F27" s="18" t="str">
        <x:v>IF_THEN / APPLICABILITY</x:v>
      </x:c>
      <x:c r="G27" s="18" t="str">
        <x:v>D_REGULATION_SYNTHETIC</x:v>
      </x:c>
      <x:c r="H27" s="18" t="str">
        <x:v>IF directAnalysisUsed = true, THEN prescribedProcedureApplicability = false, directAnalysisApprovalStatus = evidenceStateApproved, and structuralArrangement exists.</x:v>
      </x:c>
      <x:c r="I27" s="18" t="str">
        <x:v>ship</x:v>
      </x:c>
      <x:c r="J27" s="18" t="str">
        <x:v>directAnalysisUsed</x:v>
      </x:c>
      <x:c r="K27" s="18" t="str"/>
      <x:c r="L27" s="18" t="str"/>
      <x:c r="M27" s="18" t="str"/>
      <x:c r="N27" s="18" t="str"/>
      <x:c r="O27" s="18" t="str"/>
      <x:c r="P27" s="18" t="str">
        <x:v>NO</x:v>
      </x:c>
      <x:c r="Q27" s="18" t="str">
        <x:v>SRC-TRAFICOM-2021</x:v>
      </x:c>
      <x:c r="R27" s="18" t="str">
        <x:v>Minimum R13 subgraph rooted at ship. Applicability: directAnalysisUsed. Use realistic regulation-grounded synthetic values and record them as REGULATION_SYNTHETIC.</x:v>
      </x:c>
      <x:c r="S27" s="18" t="str">
        <x:v>PASS_APPLICABLE; FAIL_APPLICABLE; PASS_NOT_APPLICABLE; BOUNDARY trigger case where meaningful.</x:v>
      </x:c>
      <x:c r="T27" s="18" t="str">
        <x:v>READY_FOR_RDF_DESIGN</x:v>
      </x:c>
      <x:c r="U27" s="18" t="str">
        <x:v>Freeze expected outcomes before generated SHACL is inspected.</x:v>
      </x:c>
    </x:row>
    <x:row r="28">
      <x:c r="A28" s="39" t="str">
        <x:v>TRF-030</x:v>
      </x:c>
      <x:c r="B28" s="18" t="str">
        <x:v>TRAFICOM/68863/03.04.01.00/2021</x:v>
      </x:c>
      <x:c r="C28" s="18" t="str">
        <x:v>4.1</x:v>
      </x:c>
      <x:c r="D28" s="18" t="str">
        <x:v>12</x:v>
      </x:c>
      <x:c r="E28" s="18" t="str">
        <x:v>COMPLEX_READINESS</x:v>
      </x:c>
      <x:c r="F28" s="18" t="str">
        <x:v>COMPLEX_READINESS / CONDITIONAL</x:v>
      </x:c>
      <x:c r="G28" s="18" t="str">
        <x:v>D_REGULATION_SYNTHETIC</x:v>
      </x:c>
      <x:c r="H28" s="18"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c r="I28" s="18" t="str">
        <x:v>ship</x:v>
      </x:c>
      <x:c r="J28" s="18" t="str"/>
      <x:c r="K28" s="18" t="str">
        <x:v>hasDirectAnalysisCase</x:v>
      </x:c>
      <x:c r="L28" s="18" t="str">
        <x:v>icePressure, loadPatchHeight, loadPatchLength, iceLoadAreaFactorCa, loadLengthDeterminedFromArrangement, verticalLoadPosition, horizontalLoadPosition</x:v>
      </x:c>
      <x:c r="M28" s="18" t="str">
        <x:v>appliedIcePressure, capacityMinimizingLoadPositionConfirmed, combinedBendingAndShearEvaluated</x:v>
      </x:c>
      <x:c r="N28" s="18" t="str"/>
      <x:c r="O28" s="18"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c r="P28" s="18" t="str">
        <x:v>NO</x:v>
      </x:c>
      <x:c r="Q28" s="18" t="str">
        <x:v>SRC-TRAFICOM-2021</x:v>
      </x:c>
      <x:c r="R28" s="18" t="str">
        <x:v>Minimum R13 subgraph rooted at ship. Paths: hasDirectAnalysisCase. Operands: icePressure, loadPatchHeight, loadPatchLength, iceLoadAreaFactorCa, loadLengthDeterminedFromArrangement, verticalLoadPosition, horizontalLoadPosition. Results/interface: appliedIcePressure, capacityMinimizingLoadPositionConfirmed, combinedBendingAndShearEvaluated. Use realistic regulation-grounded synthetic values and record them as REGULATION_SYNTHETIC.</x:v>
      </x:c>
      <x:c r="S28" s="18" t="str">
        <x:v>PASS_READY; FAIL_MISSING_OPERAND; FAIL_MISSING_RESULT; FAIL_WRONG_PATH_OR_OWNER</x:v>
      </x:c>
      <x:c r="T28" s="18" t="str">
        <x:v>READY_FOR_RDF_DESIGN</x:v>
      </x:c>
      <x:c r="U28" s="18" t="str">
        <x:v>Readiness/interface semantics only; do not claim independent execution of advanced engineering analysis.</x:v>
      </x:c>
    </x:row>
    <x:row r="29">
      <x:c r="A29" s="39" t="str">
        <x:v>TRF-031</x:v>
      </x:c>
      <x:c r="B29" s="18" t="str">
        <x:v>TRAFICOM/68863/03.04.01.00/2021</x:v>
      </x:c>
      <x:c r="C29" s="18" t="str">
        <x:v>4.1</x:v>
      </x:c>
      <x:c r="D29" s="18" t="str">
        <x:v>12</x:v>
      </x:c>
      <x:c r="E29" s="18" t="str">
        <x:v>DIRECT_CALCULATION</x:v>
      </x:c>
      <x:c r="F29" s="18" t="str">
        <x:v>FORMULA / COMPARISON</x:v>
      </x:c>
      <x:c r="G29" s="18" t="str">
        <x:v>D_REGULATION_SYNTHETIC</x:v>
      </x:c>
      <x:c r="H29" s="18"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I29" s="18" t="str">
        <x:v>ship</x:v>
      </x:c>
      <x:c r="J29" s="18" t="str"/>
      <x:c r="K29" s="18" t="str"/>
      <x:c r="L29" s="18" t="str">
        <x:v>yieldPoint, combinedBendingShearStress</x:v>
      </x:c>
      <x:c r="M29" s="18" t="str">
        <x:v>yieldShearStress</x:v>
      </x:c>
      <x:c r="N29" s="18" t="str"/>
      <x:c r="O29" s="18" t="str"/>
      <x:c r="P29" s="18" t="str">
        <x:v>NO</x:v>
      </x:c>
      <x:c r="Q29" s="18" t="str">
        <x:v>SRC-TRAFICOM-2021</x:v>
      </x:c>
      <x:c r="R29" s="18" t="str">
        <x:v>Minimum R13 subgraph rooted at ship. Operands: yieldPoint, combinedBendingShearStress. Results/interface: yieldShearStress. Use realistic regulation-grounded synthetic values and record them as REGULATION_SYNTHETIC.</x:v>
      </x:c>
      <x:c r="S29" s="18" t="str">
        <x:v>PASS each permitted route independently; FAIL_NONE; PASS_BOTH only if allowed; PASS_NOT_APPLICABLE if conditional.</x:v>
      </x:c>
      <x:c r="T29" s="18" t="str">
        <x:v>READY_FOR_RDF_DESIGN</x:v>
      </x:c>
      <x:c r="U29" s="18" t="str">
        <x:v>Freeze expected outcomes before generated SHACL is inspected.</x:v>
      </x:c>
    </x:row>
    <x:row r="30">
      <x:c r="A30" s="39" t="str">
        <x:v>TRF-032</x:v>
      </x:c>
      <x:c r="B30" s="18" t="str">
        <x:v>TRAFICOM/68863/03.04.01.00/2021</x:v>
      </x:c>
      <x:c r="C30" s="18" t="str">
        <x:v>4.1</x:v>
      </x:c>
      <x:c r="D30" s="18" t="str">
        <x:v>12</x:v>
      </x:c>
      <x:c r="E30" s="18" t="str">
        <x:v>DIRECT_STATIC</x:v>
      </x:c>
      <x:c r="F30" s="18" t="str">
        <x:v>IF_THEN / APPLICABILITY</x:v>
      </x:c>
      <x:c r="G30" s="18" t="str">
        <x:v>D_REGULATION_SYNTHETIC</x:v>
      </x:c>
      <x:c r="H30" s="18" t="str">
        <x:v>If scantlings derived from these regulations are less than those required by the classification society for a ship that has not been ice strengthened, the latter shall be used.</x:v>
      </x:c>
      <x:c r="I30" s="18" t="str">
        <x:v>ship</x:v>
      </x:c>
      <x:c r="J30" s="18" t="str"/>
      <x:c r="K30" s="18" t="str"/>
      <x:c r="L30" s="18" t="str"/>
      <x:c r="M30" s="18" t="str"/>
      <x:c r="N30" s="18" t="str"/>
      <x:c r="O30" s="18" t="str"/>
      <x:c r="P30" s="18" t="str">
        <x:v>NO</x:v>
      </x:c>
      <x:c r="Q30" s="18" t="str">
        <x:v>SRC-TRAFICOM-2021</x:v>
      </x:c>
      <x:c r="R30" s="18" t="str">
        <x:v>Minimum R13 subgraph rooted at ship. Use realistic regulation-grounded synthetic values and record them as REGULATION_SYNTHETIC.</x:v>
      </x:c>
      <x:c r="S30" s="18" t="str">
        <x:v>PASS_APPLICABLE; FAIL_APPLICABLE; PASS_NOT_APPLICABLE; BOUNDARY trigger case where meaningful.</x:v>
      </x:c>
      <x:c r="T30" s="18" t="str">
        <x:v>READY_FOR_RDF_DESIGN</x:v>
      </x:c>
      <x:c r="U30" s="18" t="str">
        <x:v>Freeze expected outcomes before generated SHACL is inspected.</x:v>
      </x:c>
    </x:row>
    <x:row r="31">
      <x:c r="A31" s="39" t="str">
        <x:v>TRF-034</x:v>
      </x:c>
      <x:c r="B31" s="18" t="str">
        <x:v>TRAFICOM/68863/03.04.01.00/2021</x:v>
      </x:c>
      <x:c r="C31" s="18" t="str">
        <x:v>4.1</x:v>
      </x:c>
      <x:c r="D31" s="18" t="str">
        <x:v>13</x:v>
      </x:c>
      <x:c r="E31" s="18" t="str">
        <x:v>COMPLEX_READINESS</x:v>
      </x:c>
      <x:c r="F31" s="18" t="str">
        <x:v>COMPLEX_READINESS / EVIDENCE</x:v>
      </x:c>
      <x:c r="G31" s="18" t="str">
        <x:v>D_REGULATION_SYNTHETIC</x:v>
      </x:c>
      <x:c r="H31" s="18"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c r="I31" s="18" t="str">
        <x:v>effectiveMemberCrossSection</x:v>
      </x:c>
      <x:c r="J31" s="18" t="str"/>
      <x:c r="K31" s="18" t="str">
        <x:v>hasEffectiveMemberCrossSection, hasClassificationSocietySectionPropertyCalculationEvidence</x:v>
      </x:c>
      <x:c r="L31" s="18" t="str">
        <x:v>sectionModulus, shearArea, memberNormalToPlating</x:v>
      </x:c>
      <x:c r="M31" s="18" t="str">
        <x:v>effectiveMemberCrossSection</x:v>
      </x:c>
      <x:c r="N31" s="18" t="str">
        <x:v>hasClassificationSocietySectionPropertyCalculationEvidence</x:v>
      </x:c>
      <x:c r="O31" s="18"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c r="P31" s="18" t="str">
        <x:v>NO</x:v>
      </x:c>
      <x:c r="Q31" s="18" t="str">
        <x:v>SRC-TRAFICOM-2021</x:v>
      </x:c>
      <x:c r="R31" s="18" t="str">
        <x:v>Minimum R13 subgraph rooted at effectiveMemberCrossSection. Paths: hasEffectiveMemberCrossSection, hasClassificationSocietySectionPropertyCalculationEvidence. Operands: sectionModulus, shearArea, memberNormalToPlating. Results/interface: effectiveMemberCrossSection. Evidence: hasClassificationSocietySectionPropertyCalculationEvidence. Use realistic regulation-grounded synthetic values and record them as REGULATION_SYNTHETIC.</x:v>
      </x:c>
      <x:c r="S31" s="18" t="str">
        <x:v>PASS_READY; FAIL_MISSING_OPERAND; FAIL_MISSING_RESULT; FAIL_MISSING_EVIDENCE; FAIL_WRONG_PATH_OR_OWNER</x:v>
      </x:c>
      <x:c r="T31" s="18" t="str">
        <x:v>READY_FOR_RDF_DESIGN</x:v>
      </x:c>
      <x:c r="U31" s="18" t="str">
        <x:v>Readiness/interface semantics only; do not claim independent execution of advanced engineering analysis.</x:v>
      </x:c>
    </x:row>
    <x:row r="32">
      <x:c r="A32" s="39" t="str">
        <x:v>TRF-035</x:v>
      </x:c>
      <x:c r="B32" s="18" t="str">
        <x:v>TRAFICOM/68863/03.04.01.00/2021</x:v>
      </x:c>
      <x:c r="C32" s="18" t="str">
        <x:v>4.1.1</x:v>
      </x:c>
      <x:c r="D32" s="18" t="str">
        <x:v>13</x:v>
      </x:c>
      <x:c r="E32" s="18" t="str">
        <x:v>DIRECT_STATIC</x:v>
      </x:c>
      <x:c r="F32" s="18" t="str">
        <x:v>UNIVERSAL / DIRECT</x:v>
      </x:c>
      <x:c r="G32" s="18" t="str">
        <x:v>C_REAL_CONTEXT_CONTROLLED</x:v>
      </x:c>
      <x:c r="H32" s="18" t="str">
        <x:v>L shall be taken as the ship's rule length used by the classification society.</x:v>
      </x:c>
      <x:c r="I32" s="18" t="str">
        <x:v>ship</x:v>
      </x:c>
      <x:c r="J32" s="18" t="str"/>
      <x:c r="K32" s="18" t="str"/>
      <x:c r="L32" s="18" t="str"/>
      <x:c r="M32" s="18" t="str"/>
      <x:c r="N32" s="18" t="str"/>
      <x:c r="O32" s="18" t="str"/>
      <x:c r="P32" s="18" t="str">
        <x:v>NO</x:v>
      </x:c>
      <x:c r="Q32" s="18" t="str">
        <x:v>SRC-TRAFICOM-2021</x:v>
      </x:c>
      <x:c r="R32" s="18" t="str">
        <x:v>Minimum R13 subgraph rooted at ship. Use published ship/sample-ship facts where available for context; record any manipulated value as CONTROLLED_MUTATION.</x:v>
      </x:c>
      <x:c r="S32" s="18" t="str">
        <x:v>PASS_ONE_VALID; PASS_MULTIPLE_VALID; FAIL_ONE_INVALID; FAIL_MIXED; PASS_ZERO if source imposes no existence.</x:v>
      </x:c>
      <x:c r="T32" s="18" t="str">
        <x:v>READY_FOR_RDF_DESIGN</x:v>
      </x:c>
      <x:c r="U32" s="18" t="str">
        <x:v>Freeze expected outcomes before generated SHACL is inspected.</x:v>
      </x:c>
    </x:row>
    <x:row r="33">
      <x:c r="A33" s="39" t="str">
        <x:v>TRF-036</x:v>
      </x:c>
      <x:c r="B33" s="18" t="str">
        <x:v>TRAFICOM/68863/03.04.01.00/2021</x:v>
      </x:c>
      <x:c r="C33" s="18" t="str">
        <x:v>4.2.1</x:v>
      </x:c>
      <x:c r="D33" s="18" t="str">
        <x:v>14</x:v>
      </x:c>
      <x:c r="E33" s="18" t="str">
        <x:v>DIRECT_STATIC</x:v>
      </x:c>
      <x:c r="F33" s="18" t="str">
        <x:v>TABLE_LOOKUP / STATIC</x:v>
      </x:c>
      <x:c r="G33" s="18" t="str">
        <x:v>D_REGULATION_SYNTHETIC</x:v>
      </x:c>
      <x:c r="H33" s="18"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 Table 4-1 values (ice class: hi, h in metres): IA Super: 1.0, 0.35; IA: 0.8, 0.30; IB: 0.6, 0.25; IC: 0.4, 0.22.</x:v>
      </x:c>
      <x:c r="I33" s="18" t="str">
        <x:v>iceClassDesignParameterSet</x:v>
      </x:c>
      <x:c r="J33" s="18" t="str"/>
      <x:c r="K33" s="18" t="str"/>
      <x:c r="L33" s="18" t="str"/>
      <x:c r="M33" s="18" t="str"/>
      <x:c r="N33" s="18" t="str"/>
      <x:c r="O33" s="18" t="str"/>
      <x:c r="P33" s="18" t="str">
        <x:v>NO</x:v>
      </x:c>
      <x:c r="Q33" s="18" t="str">
        <x:v>SRC-TRAFICOM-2021</x:v>
      </x:c>
      <x:c r="R33" s="18" t="str">
        <x:v>Minimum R13 subgraph rooted at iceClassDesignParameterSet. Use realistic regulation-grounded synthetic values and record them as REGULATION_SYNTHETIC.</x:v>
      </x:c>
      <x:c r="S33" s="18" t="str">
        <x:v>PASS_VALID_SELECTION; FAIL_WRONG_RESULT; FAIL_MISSING_SELECTOR; FAIL_WRONG_TABLE_REFERENCE; BOUNDARY_BAND_CASES; PASS_NOT_APPLICABLE for explicit N/A branches.</x:v>
      </x:c>
      <x:c r="T33" s="18" t="str">
        <x:v>READY_FOR_RDF_DESIGN</x:v>
      </x:c>
      <x:c r="U33" s="18" t="str">
        <x:v>Freeze expected outcomes before generated SHACL is inspected.</x:v>
      </x:c>
    </x:row>
    <x:row r="34">
      <x:c r="A34" s="39" t="str">
        <x:v>TRF-037</x:v>
      </x:c>
      <x:c r="B34" s="18" t="str">
        <x:v>TRAFICOM/68863/03.04.01.00/2021</x:v>
      </x:c>
      <x:c r="C34" s="18" t="str">
        <x:v>4.2.2</x:v>
      </x:c>
      <x:c r="D34" s="18" t="str">
        <x:v>14</x:v>
      </x:c>
      <x:c r="E34" s="18" t="str">
        <x:v>DIRECT_CALCULATION</x:v>
      </x:c>
      <x:c r="F34" s="18" t="str">
        <x:v>FORMULA / MIN_MAX</x:v>
      </x:c>
      <x:c r="G34" s="18" t="str">
        <x:v>D_REGULATION_SYNTHETIC</x:v>
      </x:c>
      <x:c r="H34" s="18" t="str">
        <x:v>The design ice pressure is determined by the formula p = c_d*c_p*c_a*p_0 [MPa] (4.1), where c_d is a factor which takes account of the influence of the size and engine output of the ship. The maximum value is c_d = 1. It is calculated using c_d = (a*k + b)/1000 (4.2).</x:v>
      </x:c>
      <x:c r="I34" s="18" t="str">
        <x:v>ship</x:v>
      </x:c>
      <x:c r="J34" s="18" t="str"/>
      <x:c r="K34" s="18" t="str"/>
      <x:c r="L34" s="18" t="str">
        <x:v>shipSizeEngineOutputCoefficientA, shipSizeEngineOutputCoefficientK, shipSizeEngineOutputCoefficientB, iceClassFactorCp, iceLoadAreaFactorCa, nominalIcePressureP0</x:v>
      </x:c>
      <x:c r="M34" s="18" t="str">
        <x:v>shipSizeEngineOutputFactorCd, icePressure</x:v>
      </x:c>
      <x:c r="N34" s="18" t="str"/>
      <x:c r="O34" s="18" t="str"/>
      <x:c r="P34" s="18" t="str">
        <x:v>NO</x:v>
      </x:c>
      <x:c r="Q34" s="18" t="str">
        <x:v>SRC-TRAFICOM-2021</x:v>
      </x:c>
      <x:c r="R34" s="18" t="str">
        <x:v>Minimum R13 subgraph rooted at ship. Operands: shipSizeEngineOutputCoefficientA, shipSizeEngineOutputCoefficientK, shipSizeEngineOutputCoefficientB, iceClassFactorCp, iceLoadAreaFactorCa, nominalIcePressureP0. Results/interface: shipSizeEngineOutputFactorCd, icePressure. Use realistic regulation-grounded synthetic values and record them as REGULATION_SYNTHETIC.</x:v>
      </x:c>
      <x:c r="S34" s="18" t="str">
        <x:v>PASS each permitted route independently; FAIL_NONE; PASS_BOTH only if allowed; PASS_NOT_APPLICABLE if conditional.</x:v>
      </x:c>
      <x:c r="T34" s="18" t="str">
        <x:v>READY_FOR_RDF_DESIGN</x:v>
      </x:c>
      <x:c r="U34" s="18" t="str">
        <x:v>Freeze expected outcomes before generated SHACL is inspected.</x:v>
      </x:c>
    </x:row>
    <x:row r="35">
      <x:c r="A35" s="39" t="str">
        <x:v>TRF-040</x:v>
      </x:c>
      <x:c r="B35" s="18" t="str">
        <x:v>TRAFICOM/68863/03.04.01.00/2021</x:v>
      </x:c>
      <x:c r="C35" s="18" t="str">
        <x:v>4.3.1</x:v>
      </x:c>
      <x:c r="D35" s="18" t="str">
        <x:v>16</x:v>
      </x:c>
      <x:c r="E35" s="18" t="str">
        <x:v>DIRECT_STATIC</x:v>
      </x:c>
      <x:c r="F35" s="18" t="str">
        <x:v>IF_THEN / APPLICABILITY</x:v>
      </x:c>
      <x:c r="G35" s="18" t="str">
        <x:v>D_REGULATION_SYNTHETIC</x:v>
      </x:c>
      <x:c r="H35" s="18" t="str">
        <x:v>IF iceClass = 'IA Super', THEN forefoot_shell_strengthening_status = bow_region_equivalent for the specified five-main-frame-spacing extent. IF iceClass IN {'IA Super','IA'} AND open_water_service_speed_kn &gt;= 18, THEN upper_bow_ice_belt_strengthening_status = midbody_equivalent for the area from the ice-belt upper limit to 2 m above it and at least 0.2*L aft of the forward perpendicular. sidescuttle_in_ice_belt = false. IF weather_deck_below_ice_belt_upper_limit = true, THEN bulwark_strength_status and freeing_port_strength_status shall meet the ice-belt shell requirement. The lower-speed model-test sentence is advisory and is not encoded as a mandatory constraint.</x:v>
      </x:c>
      <x:c r="I35" s="18" t="str">
        <x:v>ship</x:v>
      </x:c>
      <x:c r="J35" s="18" t="str"/>
      <x:c r="K35" s="18" t="str"/>
      <x:c r="L35" s="18" t="str"/>
      <x:c r="M35" s="18" t="str"/>
      <x:c r="N35" s="18" t="str"/>
      <x:c r="O35" s="18" t="str"/>
      <x:c r="P35" s="18" t="str">
        <x:v>NO</x:v>
      </x:c>
      <x:c r="Q35" s="18" t="str">
        <x:v>SRC-TRAFICOM-2021</x:v>
      </x:c>
      <x:c r="R35" s="18" t="str">
        <x:v>Minimum R13 subgraph rooted at ship. Use realistic regulation-grounded synthetic values and record them as REGULATION_SYNTHETIC.</x:v>
      </x:c>
      <x:c r="S35" s="18" t="str">
        <x:v>PASS_APPLICABLE; FAIL_APPLICABLE; PASS_NOT_APPLICABLE; BOUNDARY trigger case where meaningful.</x:v>
      </x:c>
      <x:c r="T35" s="18" t="str">
        <x:v>READY_FOR_RDF_DESIGN</x:v>
      </x:c>
      <x:c r="U35" s="18" t="str">
        <x:v>Freeze expected outcomes before generated SHACL is inspected.</x:v>
      </x:c>
    </x:row>
    <x:row r="36">
      <x:c r="A36" s="39" t="str">
        <x:v>TRF-041</x:v>
      </x:c>
      <x:c r="B36" s="18" t="str">
        <x:v>TRAFICOM/68863/03.04.01.00/2021</x:v>
      </x:c>
      <x:c r="C36" s="18" t="str">
        <x:v>4.3.2</x:v>
      </x:c>
      <x:c r="D36" s="18" t="str">
        <x:v>17</x:v>
      </x:c>
      <x:c r="E36" s="18" t="str">
        <x:v>COMPLEX_READINESS</x:v>
      </x:c>
      <x:c r="F36" s="18" t="str">
        <x:v>COMPLEX_READINESS</x:v>
      </x:c>
      <x:c r="G36" s="18" t="str">
        <x:v>D_REGULATION_SYNTHETIC</x:v>
      </x:c>
      <x:c r="H36" s="18" t="str">
        <x:v>For transverse framing, the thickness of the shell plating shall be determined by t = 667*s*sqrt(f_1*p_pl/sigma_y) + t_c [mm] (4.5). For longitudinal framing, the thickness shall be determined by t = 667*s*sqrt(p/(f_2*sigma_y)) + t_c [mm] (4.6).</x:v>
      </x:c>
      <x:c r="I36" s="18" t="str">
        <x:v>plating</x:v>
      </x:c>
      <x:c r="J36" s="18" t="str"/>
      <x:c r="K36" s="18" t="str"/>
      <x:c r="L36" s="18" t="str">
        <x:v>spacing, icePressure, platingPressure, yieldStrength, transversePlatingFactorF1, longitudinalPlatingFactorF2, corrosionAbrasionAddition, platingFramingOrientation</x:v>
      </x:c>
      <x:c r="M36" s="18" t="str">
        <x:v>requiredShellPlatingThickness</x:v>
      </x:c>
      <x:c r="N36" s="18" t="str"/>
      <x:c r="O36" s="18" t="str">
        <x:v>For transverse framing, the thickness of the shell plating shall be determined by t = 667*s*sqrt(f_1*p_pl/sigma_y) + t_c [mm] (4.5). For longitudinal framing, the thickness shall be determined by t = 667*s*sqrt(p/(f_2*sigma_y)) + t_c [mm] (4.6).</x:v>
      </x:c>
      <x:c r="P36" s="18" t="str">
        <x:v>NO</x:v>
      </x:c>
      <x:c r="Q36" s="18" t="str">
        <x:v>SRC-TRAFICOM-2021</x:v>
      </x:c>
      <x:c r="R36" s="18" t="str">
        <x:v>Minimum R13 subgraph rooted at plating. Operands: spacing, icePressure, platingPressure, yieldStrength, transversePlatingFactorF1, longitudinalPlatingFactorF2, corrosionAbrasionAddition, platingFramingOrientation. Results/interface: requiredShellPlatingThickness. Use realistic regulation-grounded synthetic values and record them as REGULATION_SYNTHETIC.</x:v>
      </x:c>
      <x:c r="S36" s="18" t="str">
        <x:v>PASS_READY; FAIL_MISSING_OPERAND; FAIL_MISSING_RESULT</x:v>
      </x:c>
      <x:c r="T36" s="18" t="str">
        <x:v>READY_FOR_RDF_DESIGN</x:v>
      </x:c>
      <x:c r="U36" s="18" t="str">
        <x:v>Readiness/interface semantics only; do not claim independent execution of advanced engineering analysis.</x:v>
      </x:c>
    </x:row>
    <x:row r="37">
      <x:c r="A37" s="39" t="str">
        <x:v>TRF-042</x:v>
      </x:c>
      <x:c r="B37" s="18" t="str">
        <x:v>TRAFICOM/68863/03.04.01.00/2021</x:v>
      </x:c>
      <x:c r="C37" s="18" t="str">
        <x:v>4.3.2</x:v>
      </x:c>
      <x:c r="D37" s="18" t="str">
        <x:v>17</x:v>
      </x:c>
      <x:c r="E37" s="18" t="str">
        <x:v>DIRECT_CALCULATION</x:v>
      </x:c>
      <x:c r="F37" s="18" t="str">
        <x:v>PIECEWISE_FORMULA</x:v>
      </x:c>
      <x:c r="G37" s="18" t="str">
        <x:v>D_REGULATION_SYNTHETIC</x:v>
      </x:c>
      <x:c r="H37" s="18"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c r="I37" s="18" t="str">
        <x:v>plating</x:v>
      </x:c>
      <x:c r="J37" s="18" t="str"/>
      <x:c r="K37" s="18" t="str"/>
      <x:c r="L37" s="18" t="str">
        <x:v>designIceLoadHeight, spacing</x:v>
      </x:c>
      <x:c r="M37" s="18" t="str">
        <x:v>longitudinalPlatingFactorF2</x:v>
      </x:c>
      <x:c r="N37" s="18" t="str"/>
      <x:c r="O37" s="18" t="str"/>
      <x:c r="P37" s="18" t="str">
        <x:v>NO</x:v>
      </x:c>
      <x:c r="Q37" s="18" t="str">
        <x:v>SRC-TRAFICOM-2021</x:v>
      </x:c>
      <x:c r="R37" s="18" t="str">
        <x:v>Minimum R13 subgraph rooted at plating. Operands: designIceLoadHeight, spacing. Results/interface: longitudinalPlatingFactorF2. Use realistic regulation-grounded synthetic values and record them as REGULATION_SYNTHETIC.</x:v>
      </x:c>
      <x:c r="S37" s="18" t="str">
        <x:v>PASS each permitted route independently; FAIL_NONE; PASS_BOTH only if allowed; PASS_NOT_APPLICABLE if conditional.</x:v>
      </x:c>
      <x:c r="T37" s="18" t="str">
        <x:v>READY_FOR_RDF_DESIGN</x:v>
      </x:c>
      <x:c r="U37" s="18" t="str">
        <x:v>Freeze expected outcomes before generated SHACL is inspected.</x:v>
      </x:c>
    </x:row>
    <x:row r="38">
      <x:c r="A38" s="39" t="str">
        <x:v>TRF-043</x:v>
      </x:c>
      <x:c r="B38" s="18" t="str">
        <x:v>TRAFICOM/68863/03.04.01.00/2021</x:v>
      </x:c>
      <x:c r="C38" s="18" t="str">
        <x:v>4.4.1</x:v>
      </x:c>
      <x:c r="D38" s="18" t="str">
        <x:v>18</x:v>
      </x:c>
      <x:c r="E38" s="18" t="str">
        <x:v>DIRECT_STATIC</x:v>
      </x:c>
      <x:c r="F38" s="18" t="str">
        <x:v>IF_THEN_OR</x:v>
      </x:c>
      <x:c r="G38" s="18" t="str">
        <x:v>D_REGULATION_SYNTHETIC</x:v>
      </x:c>
      <x:c r="H38" s="18" t="str">
        <x:v>For each applicable framingIceStrengtheningTerminationCase, if extensionBeyondAdjacentDeckOrTankBoundary &lt;= 250 mm, iceStrengtheningTerminationAtAdjacentBoundaryPermitted is true; terminationAdjacentBoundary is a deckStructure, tankBoundaryPlating, or tankTop.</x:v>
      </x:c>
      <x:c r="I38" s="18" t="str">
        <x:v>ship, framingIceStrengtheningTerminationCase</x:v>
      </x:c>
      <x:c r="J38" s="18" t="str">
        <x:v>extensionBeyondAdjacentDeckOrTankBoundary</x:v>
      </x:c>
      <x:c r="K38" s="18" t="str">
        <x:v>hasFramingIceStrengtheningTerminationCase, terminationAdjacentBoundary</x:v>
      </x:c>
      <x:c r="L38" s="18" t="str"/>
      <x:c r="M38" s="18" t="str"/>
      <x:c r="N38" s="18" t="str"/>
      <x:c r="O38" s="18" t="str"/>
      <x:c r="P38" s="18" t="str">
        <x:v>NO</x:v>
      </x:c>
      <x:c r="Q38" s="18" t="str">
        <x:v>SRC-TRAFICOM-2021</x:v>
      </x:c>
      <x:c r="R38" s="18" t="str">
        <x:v>Minimum R13 subgraph rooted at ship, framingIceStrengtheningTerminationCase. Applicability: extensionBeyondAdjacentDeckOrTankBoundary. Paths: hasFramingIceStrengtheningTerminationCase, terminationAdjacentBoundary. Use realistic regulation-grounded synthetic values and record them as REGULATION_SYNTHETIC.</x:v>
      </x:c>
      <x:c r="S38" s="18" t="str">
        <x:v>PASS each permitted route independently; FAIL_NONE; PASS_BOTH only if allowed; PASS_NOT_APPLICABLE if conditional.</x:v>
      </x:c>
      <x:c r="T38" s="18" t="str">
        <x:v>READY_FOR_RDF_DESIGN</x:v>
      </x:c>
      <x:c r="U38" s="18" t="str">
        <x:v>Freeze expected outcomes before generated SHACL is inspected.</x:v>
      </x:c>
    </x:row>
    <x:row r="39">
      <x:c r="A39" s="39" t="str">
        <x:v>TRF-044</x:v>
      </x:c>
      <x:c r="B39" s="18" t="str">
        <x:v>TRAFICOM/68863/03.04.01.00/2021</x:v>
      </x:c>
      <x:c r="C39" s="18" t="str">
        <x:v>4.4.2.1</x:v>
      </x:c>
      <x:c r="D39" s="18" t="str">
        <x:v>18-19</x:v>
      </x:c>
      <x:c r="E39" s="18" t="str">
        <x:v>DIRECT_CALCULATION</x:v>
      </x:c>
      <x:c r="F39" s="18" t="str">
        <x:v>FORMULA / COMPARISON</x:v>
      </x:c>
      <x:c r="G39" s="18" t="str">
        <x:v>D_REGULATION_SYNTHETIC</x:v>
      </x:c>
      <x:c r="H39" s="18" t="str">
        <x:v>Compute m_t = 7*m_0/(7 - 5*h/l), Z_cm3 = p_MPa*s_m*h_m*l_m/(m_t*sigma_y_N_mm2)*10^6, and A_cm2 = sqrt(3)*1.2*p_MPa*h_m*s_m/(2*sigma_y_N_mm2)*10^4. Select m_0 from Table 4-7 for the frame boundary condition. Table 4-7 m0 values: bulk carrier frames with top wing tanks 7; frames from tank top to main deck of a single-decked vessel 6; continuous frames between several decks or stringers 5.7; frames between two decks only 5.</x:v>
      </x:c>
      <x:c r="I39" s="18" t="str">
        <x:v>transverseFrame</x:v>
      </x:c>
      <x:c r="J39" s="18" t="str"/>
      <x:c r="K39" s="18" t="str"/>
      <x:c r="L39" s="18" t="str">
        <x:v>icePressure, spacing, designIceLoadHeight, span, frameBoundaryConditionFactorM0, yieldStrength</x:v>
      </x:c>
      <x:c r="M39" s="18" t="str">
        <x:v>frameMomentFactorMt, sectionModulus, requiredShearArea</x:v>
      </x:c>
      <x:c r="N39" s="18" t="str"/>
      <x:c r="O39" s="18" t="str"/>
      <x:c r="P39" s="18" t="str">
        <x:v>NO</x:v>
      </x:c>
      <x:c r="Q39" s="18" t="str">
        <x:v>SRC-TRAFICOM-2021</x:v>
      </x:c>
      <x:c r="R39" s="18" t="str">
        <x:v>Minimum R13 subgraph rooted at transverseFrame. Operands: icePressure, spacing, designIceLoadHeight, span, frameBoundaryConditionFactorM0, yieldStrength. Results/interface: frameMomentFactorMt, sectionModulus, requiredShearArea. Use realistic regulation-grounded synthetic values and record them as REGULATION_SYNTHETIC.</x:v>
      </x:c>
      <x:c r="S39" s="18" t="str">
        <x:v>PASS each permitted route independently; FAIL_NONE; PASS_BOTH only if allowed; PASS_NOT_APPLICABLE if conditional.</x:v>
      </x:c>
      <x:c r="T39" s="18" t="str">
        <x:v>READY_FOR_RDF_DESIGN</x:v>
      </x:c>
      <x:c r="U39" s="18" t="str">
        <x:v>Freeze expected outcomes before generated SHACL is inspected.</x:v>
      </x:c>
    </x:row>
    <x:row r="40">
      <x:c r="A40" s="39" t="str">
        <x:v>TRF-045</x:v>
      </x:c>
      <x:c r="B40" s="18" t="str">
        <x:v>TRAFICOM/68863/03.04.01.00/2021</x:v>
      </x:c>
      <x:c r="C40" s="18" t="str">
        <x:v>4.4.2.1</x:v>
      </x:c>
      <x:c r="D40" s="18" t="str">
        <x:v>19</x:v>
      </x:c>
      <x:c r="E40" s="18" t="str">
        <x:v>DIRECT_STATIC</x:v>
      </x:c>
      <x:c r="F40" s="18" t="str">
        <x:v>THRESHOLD / COMPARISON</x:v>
      </x:c>
      <x:c r="G40" s="18" t="str">
        <x:v>D_REGULATION_SYNTHETIC</x:v>
      </x:c>
      <x:c r="H40" s="18" t="str">
        <x:v>Where less than 15% of the span, l, of the frame is situated within the ice-strengthening zone for frames as defined in 4.4.1, ordinary frame scantlings may be used.</x:v>
      </x:c>
      <x:c r="I40" s="18" t="str">
        <x:v>frame</x:v>
      </x:c>
      <x:c r="J40" s="18" t="str"/>
      <x:c r="K40" s="18" t="str"/>
      <x:c r="L40" s="18" t="str"/>
      <x:c r="M40" s="18" t="str"/>
      <x:c r="N40" s="18" t="str"/>
      <x:c r="O40" s="18" t="str"/>
      <x:c r="P40" s="18" t="str">
        <x:v>NO</x:v>
      </x:c>
      <x:c r="Q40" s="18" t="str">
        <x:v>SRC-TRAFICOM-2021</x:v>
      </x:c>
      <x:c r="R40" s="18" t="str">
        <x:v>Minimum R13 subgraph rooted at frame. Use realistic regulation-grounded synthetic values and record them as REGULATION_SYNTHETIC.</x:v>
      </x:c>
      <x:c r="S40" s="18" t="str">
        <x:v>PASS_BOUNDARY; PASS_COMPLIANT_SIDE; FAIL_NONCOMPLIANT_SIDE; FAIL_MISSING_VALUE; FAIL_WRONG_UNIT when constrained.</x:v>
      </x:c>
      <x:c r="T40" s="18" t="str">
        <x:v>READY_FOR_RDF_DESIGN</x:v>
      </x:c>
      <x:c r="U40" s="18" t="str">
        <x:v>Freeze expected outcomes before generated SHACL is inspected.</x:v>
      </x:c>
    </x:row>
    <x:row r="41">
      <x:c r="A41" s="39" t="str">
        <x:v>TRF-046</x:v>
      </x:c>
      <x:c r="B41" s="18" t="str">
        <x:v>TRAFICOM/68863/03.04.01.00/2021</x:v>
      </x:c>
      <x:c r="C41" s="18" t="str">
        <x:v>4.4.2.2</x:v>
      </x:c>
      <x:c r="D41" s="18" t="str">
        <x:v>19</x:v>
      </x:c>
      <x:c r="E41" s="18" t="str">
        <x:v>DIRECT_STATIC</x:v>
      </x:c>
      <x:c r="F41" s="18" t="str">
        <x:v>OR / ALTERNATIVE_ATTACHMENT_ROUTE</x:v>
      </x:c>
      <x:c r="G41" s="18" t="str">
        <x:v>D_REGULATION_SYNTHETIC</x:v>
      </x:c>
      <x:c r="H41" s="18"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c r="I41" s="18" t="str">
        <x:v>frame</x:v>
      </x:c>
      <x:c r="J41" s="18" t="str"/>
      <x:c r="K41" s="18" t="str"/>
      <x:c r="L41" s="18" t="str"/>
      <x:c r="M41" s="18" t="str"/>
      <x:c r="N41" s="18" t="str"/>
      <x:c r="O41" s="18" t="str"/>
      <x:c r="P41" s="18" t="str">
        <x:v>NO</x:v>
      </x:c>
      <x:c r="Q41" s="18" t="str">
        <x:v>SRC-TRAFICOM-2021</x:v>
      </x:c>
      <x:c r="R41" s="18" t="str">
        <x:v>Minimum R13 subgraph rooted at frame. Use realistic regulation-grounded synthetic values and record them as REGULATION_SYNTHETIC.</x:v>
      </x:c>
      <x:c r="S41" s="18" t="str">
        <x:v>PASS deck attachment; PASS tank-plating attachment; PASS ice-stringer attachment; FAIL no permitted attachment; exercise terminating-frame branch.</x:v>
      </x:c>
      <x:c r="T41" s="18" t="str">
        <x:v>READY_FOR_RDF_DESIGN</x:v>
      </x:c>
      <x:c r="U41" s="18" t="str">
        <x:v>Freeze expected outcomes before generated SHACL is inspected.</x:v>
      </x:c>
    </x:row>
    <x:row r="42">
      <x:c r="A42" s="39" t="str">
        <x:v>TRF-047</x:v>
      </x:c>
      <x:c r="B42" s="18" t="str">
        <x:v>TRAFICOM/68863/03.04.01.00/2021</x:v>
      </x:c>
      <x:c r="C42" s="18" t="str">
        <x:v>4.4.2.3</x:v>
      </x:c>
      <x:c r="D42" s="18" t="str">
        <x:v>20</x:v>
      </x:c>
      <x:c r="E42" s="18" t="str">
        <x:v>DIRECT_STATIC</x:v>
      </x:c>
      <x:c r="F42" s="18" t="str">
        <x:v>OR / ALTERNATIVE_ATTACHMENT_ROUTE</x:v>
      </x:c>
      <x:c r="G42" s="18" t="str">
        <x:v>D_REGULATION_SYNTHETIC</x:v>
      </x:c>
      <x:c r="H42" s="18"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c r="I42" s="18" t="str">
        <x:v>frame</x:v>
      </x:c>
      <x:c r="J42" s="18" t="str"/>
      <x:c r="K42" s="18" t="str"/>
      <x:c r="L42" s="18" t="str"/>
      <x:c r="M42" s="18" t="str"/>
      <x:c r="N42" s="18" t="str"/>
      <x:c r="O42" s="18" t="str"/>
      <x:c r="P42" s="18" t="str">
        <x:v>NO</x:v>
      </x:c>
      <x:c r="Q42" s="18" t="str">
        <x:v>SRC-TRAFICOM-2021</x:v>
      </x:c>
      <x:c r="R42" s="18" t="str">
        <x:v>Minimum R13 subgraph rooted at frame. Use realistic regulation-grounded synthetic values and record them as REGULATION_SYNTHETIC.</x:v>
      </x:c>
      <x:c r="S42" s="18" t="str">
        <x:v>PASS deck attachment; PASS tank-top/bottom attachment; PASS ice-stringer attachment; FAIL no permitted lower-end attachment; exercise intermediate-frame branch.</x:v>
      </x:c>
      <x:c r="T42" s="18" t="str">
        <x:v>READY_FOR_RDF_DESIGN</x:v>
      </x:c>
      <x:c r="U42" s="18" t="str">
        <x:v>Freeze expected outcomes before generated SHACL is inspected.</x:v>
      </x:c>
    </x:row>
    <x:row r="43">
      <x:c r="A43" s="39" t="str">
        <x:v>TRF-048</x:v>
      </x:c>
      <x:c r="B43" s="18" t="str">
        <x:v>TRAFICOM/68863/03.04.01.00/2021</x:v>
      </x:c>
      <x:c r="C43" s="18" t="str">
        <x:v>4.4.3</x:v>
      </x:c>
      <x:c r="D43" s="18" t="str">
        <x:v>20</x:v>
      </x:c>
      <x:c r="E43" s="18" t="str">
        <x:v>DIRECT_CALCULATION</x:v>
      </x:c>
      <x:c r="F43" s="18" t="str">
        <x:v>PIECEWISE_FORMULA</x:v>
      </x:c>
      <x:c r="G43" s="18" t="str">
        <x:v>D_REGULATION_SYNTHETIC</x:v>
      </x:c>
      <x:c r="H43" s="18" t="str">
        <x:v>Compute f_4 = 1 - 0.2*h/s, Z_cm3 = f_4*p_MPa*h_m*l_m^2/(4*m*sigma_y_N_mm2)*10^6, and A_cm2 = sqrt(3)*f_4*2.16*p_MPa*h_m*l_m/(2*sigma_y_N_mm2)*10^4. Use m = 13.3 for a continuous beam with brackets unless the actual end field requires a smaller factor. Exclude bracket area from actual_frame_shear_area. IF frameBoundaryConditionType = continuousBeamWithBracketsFrameCondition AND significantlyDifferentBoundaryConditions = false, THEN frameMomentFactorM = 13.3.</x:v>
      </x:c>
      <x:c r="I43" s="18" t="str">
        <x:v>longitudinalFrame</x:v>
      </x:c>
      <x:c r="J43" s="18" t="str">
        <x:v>frameBoundaryConditionType, significantlyDifferentBoundaryConditions</x:v>
      </x:c>
      <x:c r="K43" s="18" t="str"/>
      <x:c r="L43" s="18" t="str">
        <x:v>icePressure, designIceLoadHeight, spacing, span, frameMomentFactorM, yieldStrength</x:v>
      </x:c>
      <x:c r="M43" s="18" t="str">
        <x:v>longitudinalFrameLoadDistributionFactorF4, sectionModulus, requiredShearArea</x:v>
      </x:c>
      <x:c r="N43" s="18" t="str"/>
      <x:c r="O43" s="18" t="str"/>
      <x:c r="P43" s="18" t="str">
        <x:v>NO</x:v>
      </x:c>
      <x:c r="Q43" s="18" t="str">
        <x:v>SRC-TRAFICOM-2021</x:v>
      </x:c>
      <x:c r="R43" s="18" t="str">
        <x:v>Minimum R13 subgraph rooted at longitudinalFrame. Applicability: frameBoundaryConditionType, significantlyDifferentBoundaryConditions. Operands: icePressure, designIceLoadHeight, spacing, span, frameMomentFactorM, yieldStrength. Results/interface: longitudinalFrameLoadDistributionFactorF4, sectionModulus, requiredShearArea. Use realistic regulation-grounded synthetic values and record them as REGULATION_SYNTHETIC.</x:v>
      </x:c>
      <x:c r="S43" s="18" t="str">
        <x:v>PASS each permitted route independently; FAIL_NONE; PASS_BOTH only if allowed; PASS_NOT_APPLICABLE if conditional.</x:v>
      </x:c>
      <x:c r="T43" s="18" t="str">
        <x:v>READY_FOR_RDF_DESIGN</x:v>
      </x:c>
      <x:c r="U43" s="18" t="str">
        <x:v>Freeze expected outcomes before generated SHACL is inspected.</x:v>
      </x:c>
    </x:row>
    <x:row r="44">
      <x:c r="A44" s="39" t="str">
        <x:v>TRF-049</x:v>
      </x:c>
      <x:c r="B44" s="18" t="str">
        <x:v>TRAFICOM/68863/03.04.01.00/2021</x:v>
      </x:c>
      <x:c r="C44" s="18" t="str">
        <x:v>4.4.4.1</x:v>
      </x:c>
      <x:c r="D44" s="18" t="str">
        <x:v>21</x:v>
      </x:c>
      <x:c r="E44" s="18" t="str">
        <x:v>DIRECT_STATIC</x:v>
      </x:c>
      <x:c r="F44" s="18" t="str">
        <x:v>UNIVERSAL / ATTACHMENT</x:v>
      </x:c>
      <x:c r="G44" s="18" t="str">
        <x:v>D_REGULATION_SYNTHETIC</x:v>
      </x:c>
      <x:c r="H44" s="18"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c r="I44" s="18" t="str">
        <x:v>frame</x:v>
      </x:c>
      <x:c r="J44" s="18" t="str"/>
      <x:c r="K44" s="18" t="str"/>
      <x:c r="L44" s="18" t="str"/>
      <x:c r="M44" s="18" t="str"/>
      <x:c r="N44" s="18" t="str"/>
      <x:c r="O44" s="18" t="str"/>
      <x:c r="P44" s="18" t="str">
        <x:v>NO</x:v>
      </x:c>
      <x:c r="Q44" s="18" t="str">
        <x:v>SRC-TRAFICOM-2021</x:v>
      </x:c>
      <x:c r="R44" s="18" t="str">
        <x:v>Minimum R13 subgraph rooted at frame. Use realistic regulation-grounded synthetic values and record them as REGULATION_SYNTHETIC.</x:v>
      </x:c>
      <x:c r="S44" s="18" t="str">
        <x:v>PASS every frame attached to all required supports; FAIL one missing support; exercise longitudinal bracket and transverse-frame branches separately.</x:v>
      </x:c>
      <x:c r="T44" s="18" t="str">
        <x:v>READY_FOR_RDF_DESIGN</x:v>
      </x:c>
      <x:c r="U44" s="18" t="str">
        <x:v>Freeze expected outcomes before generated SHACL is inspected.</x:v>
      </x:c>
    </x:row>
    <x:row r="45">
      <x:c r="A45" s="39" t="str">
        <x:v>TRF-050</x:v>
      </x:c>
      <x:c r="B45" s="18" t="str">
        <x:v>TRAFICOM/68863/03.04.01.00/2021</x:v>
      </x:c>
      <x:c r="C45" s="18" t="str">
        <x:v>4.4.4.2</x:v>
      </x:c>
      <x:c r="D45" s="18" t="str">
        <x:v>21</x:v>
      </x:c>
      <x:c r="E45" s="18" t="str">
        <x:v>DIRECT_STATIC</x:v>
      </x:c>
      <x:c r="F45" s="18" t="str">
        <x:v>IF_THEN / APPLICABILITY</x:v>
      </x:c>
      <x:c r="G45" s="18" t="str">
        <x:v>D_REGULATION_SYNTHETIC</x:v>
      </x:c>
      <x:c r="H45" s="18" t="str">
        <x:v>Every frameAttachmentRecord shall have frameShellWeldType doubleContinuousWeld and scallopingPresent false, except that the scalloping prohibition does not apply when shellPlateButtCrossing is true.</x:v>
      </x:c>
      <x:c r="I45" s="18" t="str">
        <x:v>frame, frameAttachmentRecord</x:v>
      </x:c>
      <x:c r="J45" s="18" t="str">
        <x:v>shellPlateButtCrossing</x:v>
      </x:c>
      <x:c r="K45" s="18" t="str">
        <x:v>frameAttachment, frameShellWeldType</x:v>
      </x:c>
      <x:c r="L45" s="18" t="str"/>
      <x:c r="M45" s="18" t="str"/>
      <x:c r="N45" s="18" t="str"/>
      <x:c r="O45" s="18" t="str"/>
      <x:c r="P45" s="18" t="str">
        <x:v>NO</x:v>
      </x:c>
      <x:c r="Q45" s="18" t="str">
        <x:v>SRC-TRAFICOM-2021</x:v>
      </x:c>
      <x:c r="R45" s="18" t="str">
        <x:v>Minimum R13 subgraph rooted at frame, frameAttachmentRecord. Applicability: shellPlateButtCrossing. Paths: frameAttachment, frameShellWeldType. Use realistic regulation-grounded synthetic values and record them as REGULATION_SYNTHETIC.</x:v>
      </x:c>
      <x:c r="S45" s="18" t="str">
        <x:v>PASS_APPLICABLE; FAIL_APPLICABLE; PASS_NOT_APPLICABLE; BOUNDARY trigger case where meaningful.</x:v>
      </x:c>
      <x:c r="T45" s="18" t="str">
        <x:v>READY_FOR_RDF_DESIGN</x:v>
      </x:c>
      <x:c r="U45" s="18" t="str">
        <x:v>Freeze expected outcomes before generated SHACL is inspected.</x:v>
      </x:c>
    </x:row>
    <x:row r="46">
      <x:c r="A46" s="39" t="str">
        <x:v>TRF-051</x:v>
      </x:c>
      <x:c r="B46" s="18" t="str">
        <x:v>TRAFICOM/68863/03.04.01.00/2021</x:v>
      </x:c>
      <x:c r="C46" s="18" t="str">
        <x:v>4.4.4.2</x:v>
      </x:c>
      <x:c r="D46" s="18" t="str">
        <x:v>21</x:v>
      </x:c>
      <x:c r="E46" s="18" t="str">
        <x:v>COMPLEX_READINESS</x:v>
      </x:c>
      <x:c r="F46" s="18" t="str">
        <x:v>COMPLEX_READINESS</x:v>
      </x:c>
      <x:c r="G46" s="18" t="str">
        <x:v>D_REGULATION_SYNTHETIC</x:v>
      </x:c>
      <x:c r="H46" s="18"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c r="I46" s="18" t="str">
        <x:v>hullStructure</x:v>
      </x:c>
      <x:c r="J46" s="18" t="str"/>
      <x:c r="K46" s="18" t="str"/>
      <x:c r="L46" s="18" t="str">
        <x:v>adjacentFrameHeight, yieldStrength, frameProfileType, netShellPlatingThickness, corrosionAbrasionAddition, inLieuOfFrame</x:v>
      </x:c>
      <x:c r="M46" s="18" t="str">
        <x:v>frameWebThickness</x:v>
      </x:c>
      <x:c r="N46" s="18" t="str"/>
      <x:c r="O46" s="18"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c r="P46" s="18" t="str">
        <x:v>NO</x:v>
      </x:c>
      <x:c r="Q46" s="18" t="str">
        <x:v>SRC-TRAFICOM-2021</x:v>
      </x:c>
      <x:c r="R46" s="18" t="str">
        <x:v>Minimum R13 subgraph rooted at hullStructure. Operands: adjacentFrameHeight, yieldStrength, frameProfileType, netShellPlatingThickness, corrosionAbrasionAddition, inLieuOfFrame. Results/interface: frameWebThickness. Use realistic regulation-grounded synthetic values and record them as REGULATION_SYNTHETIC.</x:v>
      </x:c>
      <x:c r="S46" s="18" t="str">
        <x:v>PASS_READY; FAIL_MISSING_OPERAND; FAIL_MISSING_RESULT</x:v>
      </x:c>
      <x:c r="T46" s="18" t="str">
        <x:v>READY_FOR_RDF_DESIGN</x:v>
      </x:c>
      <x:c r="U46" s="18" t="str">
        <x:v>Readiness/interface semantics only; do not claim independent execution of advanced engineering analysis.</x:v>
      </x:c>
    </x:row>
    <x:row r="47">
      <x:c r="A47" s="39" t="str">
        <x:v>TRF-052</x:v>
      </x:c>
      <x:c r="B47" s="18" t="str">
        <x:v>TRAFICOM/68863/03.04.01.00/2021</x:v>
      </x:c>
      <x:c r="C47" s="18" t="str">
        <x:v>4.4.4.2</x:v>
      </x:c>
      <x:c r="D47" s="18" t="str">
        <x:v>21</x:v>
      </x:c>
      <x:c r="E47" s="18" t="str">
        <x:v>DIRECT_STATIC</x:v>
      </x:c>
      <x:c r="F47" s="18" t="str">
        <x:v>IF_THENOR / TRIGGER</x:v>
      </x:c>
      <x:c r="G47" s="18" t="str">
        <x:v>D_REGULATION_SYNTHETIC</x:v>
      </x:c>
      <x:c r="H47" s="18" t="str">
        <x:v>IF frame_asymmetrical = true OR frame_web_angle_to_shell_deg &lt; 90, THEN antitripping_support_spacing_mm &lt;= 1300. IF frame_span_m &gt; 4, THEN antitripping_support_scope = 'all regions/all ice classes'. IF frame_span_m &lt;= 4, THEN required scope is all regions for IA Super, bow and midbody for IA, and bow for IB or IC. An alternative arrangement is acceptable only when equivalent_support_status_by_direct_calculation = demonstrated.</x:v>
      </x:c>
      <x:c r="I47" s="18" t="str">
        <x:v>frame</x:v>
      </x:c>
      <x:c r="J47" s="18" t="str"/>
      <x:c r="K47" s="18" t="str"/>
      <x:c r="L47" s="18" t="str"/>
      <x:c r="M47" s="18" t="str"/>
      <x:c r="N47" s="18" t="str"/>
      <x:c r="O47" s="18" t="str"/>
      <x:c r="P47" s="18" t="str">
        <x:v>NO</x:v>
      </x:c>
      <x:c r="Q47" s="18" t="str">
        <x:v>SRC-TRAFICOM-2021</x:v>
      </x:c>
      <x:c r="R47" s="18" t="str">
        <x:v>Minimum R13 subgraph rooted at frame. Use realistic regulation-grounded synthetic values and record them as REGULATION_SYNTHETIC.</x:v>
      </x:c>
      <x:c r="S47" s="18" t="str">
        <x:v>PASS asymmetrical trigger with spacing&lt;=1300; PASS web-angle&lt;90 trigger with spacing&lt;=1300; FAIL either trigger with spacing&gt;1300; test span&gt;4 all-region scope; PASS_NOT_APPLICABLE neither trigger.</x:v>
      </x:c>
      <x:c r="T47" s="18" t="str">
        <x:v>READY_FOR_RDF_DESIGN</x:v>
      </x:c>
      <x:c r="U47" s="18" t="str">
        <x:v>Freeze expected outcomes before generated SHACL is inspected.</x:v>
      </x:c>
    </x:row>
    <x:row r="48">
      <x:c r="A48" s="39" t="str">
        <x:v>TRF-053</x:v>
      </x:c>
      <x:c r="B48" s="18" t="str">
        <x:v>TRAFICOM/68863/03.04.01.00/2021</x:v>
      </x:c>
      <x:c r="C48" s="18" t="str">
        <x:v>4.5.1</x:v>
      </x:c>
      <x:c r="D48" s="18" t="str">
        <x:v>21-22</x:v>
      </x:c>
      <x:c r="E48" s="18" t="str">
        <x:v>DIRECT_CALCULATION</x:v>
      </x:c>
      <x:c r="F48" s="18" t="str">
        <x:v>FORMULA / MIN_MAX</x:v>
      </x:c>
      <x:c r="G48" s="18" t="str">
        <x:v>D_REGULATION_SYNTHETIC</x:v>
      </x:c>
      <x:c r="H48" s="18" t="str">
        <x:v>Set design_line_load_MN_m = max(p_MPa*h_m, 0.15). Compute Z_cm3 = 0.9*1.8*design_line_load_MN_m*l_m^2/(m*sigma_y_N_mm2)*10^6 and A_cm2 = sqrt(3)*0.9*1.8*1.2*design_line_load_MN_m*l_m/(2*sigma_y_N_mm2)*10^4, with m selected under 4.4.3.</x:v>
      </x:c>
      <x:c r="I48" s="18" t="str">
        <x:v>iceStringer</x:v>
      </x:c>
      <x:c r="J48" s="18" t="str"/>
      <x:c r="K48" s="18" t="str"/>
      <x:c r="L48" s="18" t="str">
        <x:v>icePressure, designIceLoadHeight, span, frameMomentFactorM, yieldStrength</x:v>
      </x:c>
      <x:c r="M48" s="18" t="str">
        <x:v>designLineLoad, sectionModulus, requiredShearArea</x:v>
      </x:c>
      <x:c r="N48" s="18" t="str"/>
      <x:c r="O48" s="18" t="str"/>
      <x:c r="P48" s="18" t="str">
        <x:v>NO</x:v>
      </x:c>
      <x:c r="Q48" s="18" t="str">
        <x:v>SRC-TRAFICOM-2021</x:v>
      </x:c>
      <x:c r="R48" s="18" t="str">
        <x:v>Minimum R13 subgraph rooted at iceStringer. Operands: icePressure, designIceLoadHeight, span, frameMomentFactorM, yieldStrength. Results/interface: designLineLoad, sectionModulus, requiredShearArea. Use realistic regulation-grounded synthetic values and record them as REGULATION_SYNTHETIC.</x:v>
      </x:c>
      <x:c r="S48" s="18" t="str">
        <x:v>PASS each permitted route independently; FAIL_NONE; PASS_BOTH only if allowed; PASS_NOT_APPLICABLE if conditional.</x:v>
      </x:c>
      <x:c r="T48" s="18" t="str">
        <x:v>READY_FOR_RDF_DESIGN</x:v>
      </x:c>
      <x:c r="U48" s="18" t="str">
        <x:v>Freeze expected outcomes before generated SHACL is inspected.</x:v>
      </x:c>
    </x:row>
    <x:row r="49">
      <x:c r="A49" s="39" t="str">
        <x:v>TRF-054</x:v>
      </x:c>
      <x:c r="B49" s="18" t="str">
        <x:v>TRAFICOM/68863/03.04.01.00/2021</x:v>
      </x:c>
      <x:c r="C49" s="18" t="str">
        <x:v>4.5.2</x:v>
      </x:c>
      <x:c r="D49" s="18" t="str">
        <x:v>22-23</x:v>
      </x:c>
      <x:c r="E49" s="18" t="str">
        <x:v>DIRECT_CALCULATION</x:v>
      </x:c>
      <x:c r="F49" s="18" t="str">
        <x:v>FORMULA / MIN_MAX</x:v>
      </x:c>
      <x:c r="G49" s="18" t="str">
        <x:v>D_REGULATION_SYNTHETIC</x:v>
      </x:c>
      <x:c r="H49" s="18" t="str">
        <x:v>Set design_line_load_MN_m = max(p_MPa*h_m, 0.15) and outside_ice_belt_factor = 1 - h_s_m/l_s_m. Compute Z_cm3 = 0.80*1.8*design_line_load_MN_m*l_m^2/(m*sigma_y_N_mm2)*outside_ice_belt_factor*10^6 and A_cm2 = sqrt(3)*0.80*1.8*1.2*design_line_load_MN_m*l_m/(2*sigma_y_N_mm2)*outside_ice_belt_factor*10^4.</x:v>
      </x:c>
      <x:c r="I49" s="18" t="str">
        <x:v>iceStringer</x:v>
      </x:c>
      <x:c r="J49" s="18" t="str"/>
      <x:c r="K49" s="18" t="str"/>
      <x:c r="L49" s="18" t="str">
        <x:v>icePressure, designIceLoadHeight, span, frameMomentFactorM, yieldStrength, distanceToIceBelt, stringerSpan</x:v>
      </x:c>
      <x:c r="M49" s="18" t="str">
        <x:v>designLineLoad, outsideIceBeltFactor, sectionModulus, requiredShearArea</x:v>
      </x:c>
      <x:c r="N49" s="18" t="str"/>
      <x:c r="O49" s="18" t="str"/>
      <x:c r="P49" s="18" t="str">
        <x:v>NO</x:v>
      </x:c>
      <x:c r="Q49" s="18" t="str">
        <x:v>SRC-TRAFICOM-2021</x:v>
      </x:c>
      <x:c r="R49" s="18" t="str">
        <x:v>Minimum R13 subgraph rooted at iceStringer. Operands: icePressure, designIceLoadHeight, span, frameMomentFactorM, yieldStrength, distanceToIceBelt, stringerSpan. Results/interface: designLineLoad, outsideIceBeltFactor, sectionModulus, requiredShearArea. Use realistic regulation-grounded synthetic values and record them as REGULATION_SYNTHETIC.</x:v>
      </x:c>
      <x:c r="S49" s="18" t="str">
        <x:v>PASS each permitted route independently; FAIL_NONE; PASS_BOTH only if allowed; PASS_NOT_APPLICABLE if conditional.</x:v>
      </x:c>
      <x:c r="T49" s="18" t="str">
        <x:v>READY_FOR_RDF_DESIGN</x:v>
      </x:c>
      <x:c r="U49" s="18" t="str">
        <x:v>Freeze expected outcomes before generated SHACL is inspected.</x:v>
      </x:c>
    </x:row>
    <x:row r="50">
      <x:c r="A50" s="39" t="str">
        <x:v>TRF-055</x:v>
      </x:c>
      <x:c r="B50" s="18" t="str">
        <x:v>TRAFICOM/68863/03.04.01.00/2021</x:v>
      </x:c>
      <x:c r="C50" s="18" t="str">
        <x:v>4.5.3</x:v>
      </x:c>
      <x:c r="D50" s="18" t="str">
        <x:v>23</x:v>
      </x:c>
      <x:c r="E50" s="18" t="str">
        <x:v>DIRECT_STATIC</x:v>
      </x:c>
      <x:c r="F50" s="18" t="str">
        <x:v>IF_THEN / APPLICABILITY</x:v>
      </x:c>
      <x:c r="G50" s="18" t="str">
        <x:v>D_REGULATION_SYNTHETIC</x:v>
      </x:c>
      <x:c r="H50" s="18" t="str">
        <x:v>actualSectionModulus &gt;= requiredSectionModulus AND actualShearArea &gt;= requiredShearArea. For the approved very-long-hatch reduced-line-load exception, 0.10 &lt;= permittedReducedLineLoad &lt; 0.15 AND reducedLineLoadApprovedByClassificationSociety = true.</x:v>
      </x:c>
      <x:c r="I50" s="18" t="str">
        <x:v>narrowDeckStrip</x:v>
      </x:c>
      <x:c r="J50" s="18" t="str">
        <x:v>abreastOfHatch, narrowDeckStrip, servesAsIceStringer, veryLongHatchOpening</x:v>
      </x:c>
      <x:c r="K50" s="18" t="str"/>
      <x:c r="L50" s="18" t="str"/>
      <x:c r="M50" s="18" t="str"/>
      <x:c r="N50" s="18" t="str"/>
      <x:c r="O50" s="18" t="str"/>
      <x:c r="P50" s="18" t="str">
        <x:v>NO</x:v>
      </x:c>
      <x:c r="Q50" s="18" t="str">
        <x:v>SRC-TRAFICOM-2021</x:v>
      </x:c>
      <x:c r="R50" s="18" t="str">
        <x:v>Minimum R13 subgraph rooted at narrowDeckStrip. Applicability: abreastOfHatch, narrowDeckStrip, servesAsIceStringer, veryLongHatchOpening. Use realistic regulation-grounded synthetic values and record them as REGULATION_SYNTHETIC.</x:v>
      </x:c>
      <x:c r="S50" s="18" t="str">
        <x:v>PASS_APPLICABLE; FAIL_APPLICABLE; PASS_NOT_APPLICABLE; BOUNDARY trigger case where meaningful.</x:v>
      </x:c>
      <x:c r="T50" s="18" t="str">
        <x:v>READY_FOR_RDF_DESIGN</x:v>
      </x:c>
      <x:c r="U50" s="18" t="str">
        <x:v>Freeze expected outcomes before generated SHACL is inspected.</x:v>
      </x:c>
    </x:row>
    <x:row r="51">
      <x:c r="A51" s="39" t="str">
        <x:v>TRF-056</x:v>
      </x:c>
      <x:c r="B51" s="18" t="str">
        <x:v>TRAFICOM/68863/03.04.01.00/2021</x:v>
      </x:c>
      <x:c r="C51" s="18" t="str">
        <x:v>4.5.3</x:v>
      </x:c>
      <x:c r="D51" s="18" t="str">
        <x:v>23</x:v>
      </x:c>
      <x:c r="E51" s="18" t="str">
        <x:v>DIRECT_STATIC</x:v>
      </x:c>
      <x:c r="F51" s="18" t="str">
        <x:v>IF_THEN / EVIDENCE</x:v>
      </x:c>
      <x:c r="G51" s="18" t="str">
        <x:v>D_REGULATION_SYNTHETIC</x:v>
      </x:c>
      <x:c r="H51" s="18" t="str">
        <x:v>If hatchOpeningLength of a weatherdeck hatch is greater than shipBreadth divided by 2, shipSideDeflection must be considered or represented and both hasHatchCoverDesignEvidence and hasHatchFittingDesignEvidence must exist for that hatch.</x:v>
      </x:c>
      <x:c r="I51" s="18" t="str">
        <x:v>ship, weatherdeckHatch</x:v>
      </x:c>
      <x:c r="J51" s="18" t="str">
        <x:v>hatchOpeningLength, shipBreadth</x:v>
      </x:c>
      <x:c r="K51" s="18" t="str">
        <x:v>hasWeatherdeckHatch, hasHatchCoverDesignEvidence, hasHatchFittingDesignEvidence</x:v>
      </x:c>
      <x:c r="L51" s="18" t="str"/>
      <x:c r="M51" s="18" t="str"/>
      <x:c r="N51" s="18" t="str">
        <x:v>hasHatchCoverDesignEvidence, hasHatchFittingDesignEvidence</x:v>
      </x:c>
      <x:c r="O51" s="18" t="str"/>
      <x:c r="P51" s="18" t="str">
        <x:v>NO</x:v>
      </x:c>
      <x:c r="Q51" s="18" t="str">
        <x:v>SRC-TRAFICOM-2021</x:v>
      </x:c>
      <x:c r="R51" s="18" t="str">
        <x:v>Minimum R13 subgraph rooted at ship, weatherdeckHatch. Applicability: hatchOpeningLength, shipBreadth. Paths: hasWeatherdeckHatch, hasHatchCoverDesignEvidence, hasHatchFittingDesignEvidence. Evidence: hasHatchCoverDesignEvidence, hasHatchFittingDesignEvidence. Use realistic regulation-grounded synthetic values and record them as REGULATION_SYNTHETIC.</x:v>
      </x:c>
      <x:c r="S51" s="18" t="str">
        <x:v>PASS long hatch with side-deflection representation + both evidence links; FAIL missing side-deflection; FAIL missing hatch-cover evidence; FAIL missing fitting evidence; PASS_NOT_APPLICABLE hatch&lt;=B/2.</x:v>
      </x:c>
      <x:c r="T51" s="18" t="str">
        <x:v>READY_FOR_RDF_DESIGN</x:v>
      </x:c>
      <x:c r="U51" s="18" t="str">
        <x:v>Freeze expected outcomes before generated SHACL is inspected.</x:v>
      </x:c>
    </x:row>
    <x:row r="52">
      <x:c r="A52" s="39" t="str">
        <x:v>TRF-057</x:v>
      </x:c>
      <x:c r="B52" s="18" t="str">
        <x:v>TRAFICOM/68863/03.04.01.00/2021</x:v>
      </x:c>
      <x:c r="C52" s="18" t="str">
        <x:v>4.6.1</x:v>
      </x:c>
      <x:c r="D52" s="18" t="str">
        <x:v>23</x:v>
      </x:c>
      <x:c r="E52" s="18" t="str">
        <x:v>DIRECT_CALCULATION</x:v>
      </x:c>
      <x:c r="F52" s="18" t="str">
        <x:v>PIECEWISE_FORMULA</x:v>
      </x:c>
      <x:c r="G52" s="18" t="str">
        <x:v>D_REGULATION_SYNTHETIC</x:v>
      </x:c>
      <x:c r="H52" s="18" t="str">
        <x:v>The ice load transferred to a web frame from an ice stringer or from longitudinal framing shall be F = f_12*p*h*S [MN] (4.15). When calculating c_a, use l_a = 2*S. If p*h is less than 0.15 MN/m, use 0.15 MN/m. Use f_12 = 1.8.</x:v>
      </x:c>
      <x:c r="I52" s="18" t="str">
        <x:v>webFrame</x:v>
      </x:c>
      <x:c r="J52" s="18" t="str"/>
      <x:c r="K52" s="18" t="str"/>
      <x:c r="L52" s="18" t="str">
        <x:v>icePressure, iceLoadHeight, webFrameSpacing</x:v>
      </x:c>
      <x:c r="M52" s="18" t="str">
        <x:v>webFrameIceLoad</x:v>
      </x:c>
      <x:c r="N52" s="18" t="str"/>
      <x:c r="O52" s="18" t="str"/>
      <x:c r="P52" s="18" t="str">
        <x:v>NO</x:v>
      </x:c>
      <x:c r="Q52" s="18" t="str">
        <x:v>SRC-TRAFICOM-2021</x:v>
      </x:c>
      <x:c r="R52" s="18" t="str">
        <x:v>Minimum R13 subgraph rooted at webFrame. Operands: icePressure, iceLoadHeight, webFrameSpacing. Results/interface: webFrameIceLoad. Use realistic regulation-grounded synthetic values and record them as REGULATION_SYNTHETIC.</x:v>
      </x:c>
      <x:c r="S52" s="18" t="str">
        <x:v>PASS each permitted route independently; FAIL_NONE; PASS_BOTH only if allowed; PASS_NOT_APPLICABLE if conditional.</x:v>
      </x:c>
      <x:c r="T52" s="18" t="str">
        <x:v>READY_FOR_RDF_DESIGN</x:v>
      </x:c>
      <x:c r="U52" s="18" t="str">
        <x:v>Freeze expected outcomes before generated SHACL is inspected.</x:v>
      </x:c>
    </x:row>
    <x:row r="53">
      <x:c r="A53" s="39" t="str">
        <x:v>TRF-058</x:v>
      </x:c>
      <x:c r="B53" s="18" t="str">
        <x:v>TRAFICOM/68863/03.04.01.00/2021</x:v>
      </x:c>
      <x:c r="C53" s="18" t="str">
        <x:v>4.6.1</x:v>
      </x:c>
      <x:c r="D53" s="18" t="str">
        <x:v>23</x:v>
      </x:c>
      <x:c r="E53" s="18" t="str">
        <x:v>DIRECT_CALCULATION</x:v>
      </x:c>
      <x:c r="F53" s="18" t="str">
        <x:v>FORMULA / COMPARISON</x:v>
      </x:c>
      <x:c r="G53" s="18" t="str">
        <x:v>D_REGULATION_SYNTHETIC</x:v>
      </x:c>
      <x:c r="H53" s="18" t="str">
        <x:v>If the supported stringer is outside the ice belt, the force F shall be multiplied by (1- hs/ls), where hs and ls shall be as defined in section 4.5.2.</x:v>
      </x:c>
      <x:c r="I53" s="18" t="str">
        <x:v>webFrame</x:v>
      </x:c>
      <x:c r="J53" s="18" t="str"/>
      <x:c r="K53" s="18" t="str"/>
      <x:c r="L53" s="18" t="str">
        <x:v>iceLoadForce, stringerOutsideIceBeltHeight, stringerSpan</x:v>
      </x:c>
      <x:c r="M53" s="18" t="str">
        <x:v>adjustedIceLoadForce</x:v>
      </x:c>
      <x:c r="N53" s="18" t="str"/>
      <x:c r="O53" s="18" t="str"/>
      <x:c r="P53" s="18" t="str">
        <x:v>NO</x:v>
      </x:c>
      <x:c r="Q53" s="18" t="str">
        <x:v>SRC-TRAFICOM-2021</x:v>
      </x:c>
      <x:c r="R53" s="18" t="str">
        <x:v>Minimum R13 subgraph rooted at webFrame. Operands: iceLoadForce, stringerOutsideIceBeltHeight, stringerSpan. Results/interface: adjustedIceLoadForce. Use realistic regulation-grounded synthetic values and record them as REGULATION_SYNTHETIC.</x:v>
      </x:c>
      <x:c r="S53" s="18" t="str">
        <x:v>PASS each permitted route independently; FAIL_NONE; PASS_BOTH only if allowed; PASS_NOT_APPLICABLE if conditional.</x:v>
      </x:c>
      <x:c r="T53" s="18" t="str">
        <x:v>READY_FOR_RDF_DESIGN</x:v>
      </x:c>
      <x:c r="U53" s="18" t="str">
        <x:v>Freeze expected outcomes before generated SHACL is inspected.</x:v>
      </x:c>
    </x:row>
    <x:row r="54">
      <x:c r="A54" s="39" t="str">
        <x:v>TRF-059</x:v>
      </x:c>
      <x:c r="B54" s="18" t="str">
        <x:v>TRAFICOM/68863/03.04.01.00/2021</x:v>
      </x:c>
      <x:c r="C54" s="18" t="str">
        <x:v>4.6.2</x:v>
      </x:c>
      <x:c r="D54" s="18" t="str">
        <x:v>23</x:v>
      </x:c>
      <x:c r="E54" s="18" t="str">
        <x:v>DIRECT_CALCULATION</x:v>
      </x:c>
      <x:c r="F54" s="18" t="str">
        <x:v>FORMULA / MIN_MAX</x:v>
      </x:c>
      <x:c r="G54" s="18" t="str">
        <x:v>D_REGULATION_SYNTHETIC</x:v>
      </x:c>
      <x:c r="H54" s="18" t="str">
        <x:v>Compute A_cm2 = sqrt(3)*alpha*1.1*Q_MN/sigma_y_N_mm2*10^4, where Q_MN is the maximum calculated shear force under F and alpha is selected from Table 4-8. Table 4-8 (Af/Aw: alpha, gamma): 0:1.5,0; 0.2:1.23,0.44; 0.4:1.16,0.62; 0.6:1.11,0.71; 0.8:1.09,0.76; 1.0:1.07,0.80; 1.2:1.06,0.83; 1.4:1.05,0.85; 1.6:1.05,0.87; 1.8:1.04,0.88; 2.0:1.04,0.89.</x:v>
      </x:c>
      <x:c r="I54" s="18" t="str">
        <x:v>webFrame</x:v>
      </x:c>
      <x:c r="J54" s="18" t="str"/>
      <x:c r="K54" s="18" t="str"/>
      <x:c r="L54" s="18" t="str">
        <x:v>maximumCalculatedShearForce, webFrameShearFactorAlpha, yieldStrength, freeFlangeToWebAreaRatio</x:v>
      </x:c>
      <x:c r="M54" s="18" t="str">
        <x:v>requiredShearArea</x:v>
      </x:c>
      <x:c r="N54" s="18" t="str"/>
      <x:c r="O54" s="18" t="str"/>
      <x:c r="P54" s="18" t="str">
        <x:v>NO</x:v>
      </x:c>
      <x:c r="Q54" s="18" t="str">
        <x:v>SRC-TRAFICOM-2021</x:v>
      </x:c>
      <x:c r="R54" s="18" t="str">
        <x:v>Minimum R13 subgraph rooted at webFrame. Operands: maximumCalculatedShearForce, webFrameShearFactorAlpha, yieldStrength, freeFlangeToWebAreaRatio. Results/interface: requiredShearArea. Use realistic regulation-grounded synthetic values and record them as REGULATION_SYNTHETIC.</x:v>
      </x:c>
      <x:c r="S54" s="18" t="str">
        <x:v>PASS each permitted route independently; FAIL_NONE; PASS_BOTH only if allowed; PASS_NOT_APPLICABLE if conditional.</x:v>
      </x:c>
      <x:c r="T54" s="18" t="str">
        <x:v>READY_FOR_RDF_DESIGN</x:v>
      </x:c>
      <x:c r="U54" s="18" t="str">
        <x:v>Freeze expected outcomes before generated SHACL is inspected.</x:v>
      </x:c>
    </x:row>
    <x:row r="55">
      <x:c r="A55" s="39" t="str">
        <x:v>TRF-060</x:v>
      </x:c>
      <x:c r="B55" s="18" t="str">
        <x:v>TRAFICOM/68863/03.04.01.00/2021</x:v>
      </x:c>
      <x:c r="C55" s="18" t="str">
        <x:v>4.6.2</x:v>
      </x:c>
      <x:c r="D55" s="18" t="str">
        <x:v>24</x:v>
      </x:c>
      <x:c r="E55" s="18" t="str">
        <x:v>COMPLEX_READINESS</x:v>
      </x:c>
      <x:c r="F55" s="18" t="str">
        <x:v>COMPLEX_READINESS / TABLE_INTERFACE</x:v>
      </x:c>
      <x:c r="G55" s="18" t="str">
        <x:v>D_REGULATION_SYNTHETIC</x:v>
      </x:c>
      <x:c r="H55" s="18" t="str">
        <x:v>Compute M_MNm = 0.193*F_MN*L_m and A_a_cm2 = A_f_cm2 + A_w_cm2. Then compute Z_cm3 = (M_MNm/sigma_y_N_mm2)*sqrt(1/(1 - (gamma*A_required_cm2/A_a_cm2)^2))*10^6, with gamma selected from Table 4-8.</x:v>
      </x:c>
      <x:c r="I55" s="18" t="str">
        <x:v>ship</x:v>
      </x:c>
      <x:c r="J55" s="18" t="str"/>
      <x:c r="K55" s="18" t="str">
        <x:v>hasTableLookupCase, lookupSelectionEvidence, tableReference</x:v>
      </x:c>
      <x:c r="L55" s="18" t="str">
        <x:v>actualWebFrameCrossSectionalArea, requiredShearArea, sectionModulus, shearArea, webFrameFreeFlangeArea, webFrameIceLoad, webFrameMaximumIceLoadBendingMoment, webFrameSpan, webFrameTable4Dash8GammaFactor, webFrameWebArea, yieldStrength</x:v>
      </x:c>
      <x:c r="M55" s="18" t="str">
        <x:v>webFrameMaximumIceLoadBendingMoment, webFrameTable4Dash8GammaFactor</x:v>
      </x:c>
      <x:c r="N55" s="18" t="str"/>
      <x:c r="O55" s="18" t="str">
        <x:v>Compute M_MNm = 0.193*F_MN*L_m and A_a_cm2 = A_f_cm2 + A_w_cm2. Then compute Z_cm3 = (M_MNm/sigma_y_N_mm2)*sqrt(1/(1 - (gamma*A_required_cm2/A_a_cm2)^2))*10^6, with gamma selected from Table 4-8.</x:v>
      </x:c>
      <x:c r="P55" s="18" t="str">
        <x:v>YES</x:v>
      </x:c>
      <x:c r="Q55" s="18" t="str">
        <x:v>SRC-TRAFICOM-2021</x:v>
      </x:c>
      <x:c r="R55" s="18" t="str">
        <x:v>Minimum R13 subgraph rooted at ship. Paths: hasTableLookupCase, lookupSelectionEvidence, tableReference. Operands: actualWebFrameCrossSectionalArea, requiredShearArea, sectionModulus, shearArea, webFrameFreeFlangeArea, webFrameIceLoad, webFrameMaximumIceLoadBendingMoment, webFrameSpan, webFrameTable4Dash8GammaFactor, webFrameWebArea, yieldStrength. Results/interface: webFrameMaximumIceLoadBendingMoment, webFrameTable4Dash8GammaFactor. Use realistic regulation-grounded synthetic values and record them as REGULATION_SYNTHETIC.</x:v>
      </x:c>
      <x:c r="S55" s="18" t="str">
        <x:v>PASS_READY; FAIL_MISSING_OPERAND; FAIL_MISSING_RESULT; FAIL_WRONG_PATH_OR_OWNER</x:v>
      </x:c>
      <x:c r="T55" s="18" t="str">
        <x:v>READY_FOR_RDF_DESIGN</x:v>
      </x:c>
      <x:c r="U55" s="18" t="str">
        <x:v>Readiness/interface semantics only; do not claim independent execution of advanced engineering analysis. R13 does not require formula execution. Frozen source table/tableModel is the oracle.</x:v>
      </x:c>
    </x:row>
    <x:row r="56">
      <x:c r="A56" s="39" t="str">
        <x:v>TRF-062</x:v>
      </x:c>
      <x:c r="B56" s="18" t="str">
        <x:v>TRAFICOM/68863/03.04.01.00/2021</x:v>
      </x:c>
      <x:c r="C56" s="18" t="str">
        <x:v>4.8</x:v>
      </x:c>
      <x:c r="D56" s="18" t="str">
        <x:v>25</x:v>
      </x:c>
      <x:c r="E56" s="18" t="str">
        <x:v>DIRECT_STATIC</x:v>
      </x:c>
      <x:c r="F56" s="18" t="str">
        <x:v>THRESHOLD / COMPARISON</x:v>
      </x:c>
      <x:c r="G56" s="18" t="str">
        <x:v>C_REAL_CONTEXT_CONTROLLED</x:v>
      </x:c>
      <x:c r="H56" s="18" t="str">
        <x:v>In order to avoid very high loads on propeller blade tips, the minimum distance between the propeller(s) and the hull (including stern frame) should be no less than h0 (see 4.2.1).</x:v>
      </x:c>
      <x:c r="I56" s="18" t="str">
        <x:v>ship</x:v>
      </x:c>
      <x:c r="J56" s="18" t="str"/>
      <x:c r="K56" s="18" t="str"/>
      <x:c r="L56" s="18" t="str"/>
      <x:c r="M56" s="18" t="str"/>
      <x:c r="N56" s="18" t="str"/>
      <x:c r="O56" s="18" t="str"/>
      <x:c r="P56" s="18" t="str">
        <x:v>NO</x:v>
      </x:c>
      <x:c r="Q56" s="18" t="str">
        <x:v>SRC-TRAFICOM-2021</x:v>
      </x:c>
      <x:c r="R56" s="18" t="str">
        <x:v>Minimum R13 subgraph rooted at ship. Use published ship/sample-ship facts where available for context; record any manipulated value as CONTROLLED_MUTATION.</x:v>
      </x:c>
      <x:c r="S56" s="18" t="str">
        <x:v>PASS_BOUNDARY; PASS_COMPLIANT_SIDE; FAIL_NONCOMPLIANT_SIDE; FAIL_MISSING_VALUE; FAIL_WRONG_UNIT when constrained.</x:v>
      </x:c>
      <x:c r="T56" s="18" t="str">
        <x:v>READY_FOR_RDF_DESIGN</x:v>
      </x:c>
      <x:c r="U56" s="18" t="str">
        <x:v>Freeze expected outcomes before generated SHACL is inspected.</x:v>
      </x:c>
    </x:row>
    <x:row r="57">
      <x:c r="A57" s="39" t="str">
        <x:v>TRF-063</x:v>
      </x:c>
      <x:c r="B57" s="18" t="str">
        <x:v>TRAFICOM/68863/03.04.01.00/2021</x:v>
      </x:c>
      <x:c r="C57" s="18" t="str">
        <x:v>4.8</x:v>
      </x:c>
      <x:c r="D57" s="18" t="str">
        <x:v>25</x:v>
      </x:c>
      <x:c r="E57" s="18" t="str">
        <x:v>DIRECT_STATIC</x:v>
      </x:c>
      <x:c r="F57" s="18" t="str">
        <x:v>THRESHOLD / COMPARISON</x:v>
      </x:c>
      <x:c r="G57" s="18" t="str">
        <x:v>D_REGULATION_SYNTHETIC</x:v>
      </x:c>
      <x:c r="H57" s="18" t="str">
        <x:v>Each sidePropellerStrengtheningEnvelope has strengtheningEnvelopeBoundary class tankTop, strengtheningForwardExtent &gt;= 1.5 m, and strengtheningAftExtent &gt;= 1.5 m.</x:v>
      </x:c>
      <x:c r="I57" s="18" t="str">
        <x:v>ship, sidePropellerStrengtheningEnvelope</x:v>
      </x:c>
      <x:c r="J57" s="18" t="str"/>
      <x:c r="K57" s="18" t="str">
        <x:v>hasSidePropellerStrengtheningEnvelope, strengtheningEnvelopeBoundary</x:v>
      </x:c>
      <x:c r="L57" s="18" t="str">
        <x:v>strengtheningAftExtent, strengtheningForwardExtent</x:v>
      </x:c>
      <x:c r="M57" s="18" t="str"/>
      <x:c r="N57" s="18" t="str"/>
      <x:c r="O57" s="18" t="str"/>
      <x:c r="P57" s="18" t="str">
        <x:v>NO</x:v>
      </x:c>
      <x:c r="Q57" s="18" t="str">
        <x:v>SRC-TRAFICOM-2021</x:v>
      </x:c>
      <x:c r="R57" s="18" t="str">
        <x:v>Minimum R13 subgraph rooted at ship, sidePropellerStrengtheningEnvelope. Paths: hasSidePropellerStrengtheningEnvelope, strengtheningEnvelopeBoundary. Operands: strengtheningAftExtent, strengtheningForwardExtent. Use realistic regulation-grounded synthetic values and record them as REGULATION_SYNTHETIC.</x:v>
      </x:c>
      <x:c r="S57" s="18" t="str">
        <x:v>PASS_BOUNDARY; PASS_COMPLIANT_SIDE; FAIL_NONCOMPLIANT_SIDE; FAIL_MISSING_VALUE; FAIL_WRONG_UNIT when constrained.</x:v>
      </x:c>
      <x:c r="T57" s="18" t="str">
        <x:v>READY_FOR_RDF_DESIGN</x:v>
      </x:c>
      <x:c r="U57" s="18" t="str">
        <x:v>Freeze expected outcomes before generated SHACL is inspected.</x:v>
      </x:c>
    </x:row>
    <x:row r="58">
      <x:c r="A58" s="39" t="str">
        <x:v>TRF-064</x:v>
      </x:c>
      <x:c r="B58" s="18" t="str">
        <x:v>TRAFICOM/68863/03.04.01.00/2021</x:v>
      </x:c>
      <x:c r="C58" s="18" t="str">
        <x:v>4.8</x:v>
      </x:c>
      <x:c r="D58" s="18" t="str">
        <x:v>26</x:v>
      </x:c>
      <x:c r="E58" s="18" t="str">
        <x:v>DIRECT_STATIC</x:v>
      </x:c>
      <x:c r="F58" s="18" t="str">
        <x:v>IF_THEN / APPLICABILITY</x:v>
      </x:c>
      <x:c r="G58" s="18" t="str">
        <x:v>D_REGULATION_SYNTHETIC</x:v>
      </x:c>
      <x:c r="H58" s="18" t="str">
        <x:v>The shafting and stern tubes of side propellers shall normally be enclosed within plated bossings. If detached struts are used, due consideration shall be taken of their design, strength and attachments to the hull.</x:v>
      </x:c>
      <x:c r="I58" s="18" t="str">
        <x:v>ship</x:v>
      </x:c>
      <x:c r="J58" s="18" t="str"/>
      <x:c r="K58" s="18" t="str">
        <x:v>enclosedByPlatedBossing, hasDetachedStrut, hasSidePropellerShafting, hasSternTube, hasStrutDesignEvidence, hasStrutHullAttachmentEvidence, hasStrutStrengthEvidence</x:v>
      </x:c>
      <x:c r="L58" s="18" t="str"/>
      <x:c r="M58" s="18" t="str"/>
      <x:c r="N58" s="18" t="str"/>
      <x:c r="O58" s="18" t="str"/>
      <x:c r="P58" s="18" t="str">
        <x:v>NO</x:v>
      </x:c>
      <x:c r="Q58" s="18" t="str">
        <x:v>SRC-TRAFICOM-2021</x:v>
      </x:c>
      <x:c r="R58" s="18" t="str">
        <x:v>Minimum R13 subgraph rooted at ship. Paths: enclosedByPlatedBossing, hasDetachedStrut, hasSidePropellerShafting, hasSternTube, hasStrutDesignEvidence, hasStrutHullAttachmentEvidence, hasStrutStrengthEvidence. Use realistic regulation-grounded synthetic values and record them as REGULATION_SYNTHETIC.</x:v>
      </x:c>
      <x:c r="S58" s="18" t="str">
        <x:v>PASS_APPLICABLE; FAIL_APPLICABLE; PASS_NOT_APPLICABLE; BOUNDARY trigger case where meaningful.</x:v>
      </x:c>
      <x:c r="T58" s="18" t="str">
        <x:v>READY_FOR_RDF_DESIGN</x:v>
      </x:c>
      <x:c r="U58" s="18" t="str">
        <x:v>Freeze expected outcomes before generated SHACL is inspected.</x:v>
      </x:c>
    </x:row>
    <x:row r="59">
      <x:c r="A59" s="39" t="str">
        <x:v>TRF-066</x:v>
      </x:c>
      <x:c r="B59" s="18" t="str">
        <x:v>TRAFICOM/68863/03.04.01.00/2021</x:v>
      </x:c>
      <x:c r="C59" s="18" t="str">
        <x:v>5</x:v>
      </x:c>
      <x:c r="D59" s="18" t="str">
        <x:v>26</x:v>
      </x:c>
      <x:c r="E59" s="18" t="str">
        <x:v>DIRECT_STATIC</x:v>
      </x:c>
      <x:c r="F59" s="18" t="str">
        <x:v>IF_THEN / APPLICABILITY</x:v>
      </x:c>
      <x:c r="G59" s="18" t="str">
        <x:v>C_REAL_CONTEXT_CONTROLLED</x:v>
      </x:c>
      <x:c r="H59" s="18" t="str">
        <x:v>For ice classes IA and IA Super, the rudder (the rudder stock and the upper part of the rudder) shall be protected from direct contact with intact ice by an ice knife that extends below the LIWL, if practicable (or equivalent means).</x:v>
      </x:c>
      <x:c r="I59" s="18" t="str">
        <x:v>ship</x:v>
      </x:c>
      <x:c r="J59" s="18" t="str">
        <x:v>iceClass, iceKnifePracticable</x:v>
      </x:c>
      <x:c r="K59" s="18" t="str">
        <x:v>hasRudderProtectionArrangement</x:v>
      </x:c>
      <x:c r="L59" s="18" t="str"/>
      <x:c r="M59" s="18" t="str"/>
      <x:c r="N59" s="18" t="str"/>
      <x:c r="O59" s="18" t="str"/>
      <x:c r="P59" s="18" t="str">
        <x:v>NO</x:v>
      </x:c>
      <x:c r="Q59" s="18" t="str">
        <x:v>SRC-TRAFICOM-2021</x:v>
      </x:c>
      <x:c r="R59" s="18" t="str">
        <x:v>Minimum R13 subgraph rooted at ship. Applicability: iceClass, iceKnifePracticable. Paths: hasRudderProtectionArrangement. Use published ship/sample-ship facts where available for context; record any manipulated value as CONTROLLED_MUTATION.</x:v>
      </x:c>
      <x:c r="S59" s="18" t="str">
        <x:v>PASS_APPLICABLE; FAIL_APPLICABLE; PASS_NOT_APPLICABLE; BOUNDARY trigger case where meaningful.</x:v>
      </x:c>
      <x:c r="T59" s="18" t="str">
        <x:v>READY_FOR_RDF_DESIGN</x:v>
      </x:c>
      <x:c r="U59" s="18" t="str">
        <x:v>Freeze expected outcomes before generated SHACL is inspected.</x:v>
      </x:c>
    </x:row>
    <x:row r="60">
      <x:c r="A60" s="39" t="str">
        <x:v>TRF-067</x:v>
      </x:c>
      <x:c r="B60" s="18" t="str">
        <x:v>TRAFICOM/68863/03.04.01.00/2021</x:v>
      </x:c>
      <x:c r="C60" s="18" t="str">
        <x:v>5</x:v>
      </x:c>
      <x:c r="D60" s="18" t="str">
        <x:v>26</x:v>
      </x:c>
      <x:c r="E60" s="18" t="str">
        <x:v>DIRECT_STATIC</x:v>
      </x:c>
      <x:c r="F60" s="18" t="str">
        <x:v>EVIDENCE / DESIGN_CONSIDERATION</x:v>
      </x:c>
      <x:c r="G60" s="18" t="str">
        <x:v>C_REAL_CONTEXT_CONTROLLED</x:v>
      </x:c>
      <x:c r="H60" s="18"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c r="I60" s="18" t="str">
        <x:v>ship</x:v>
      </x:c>
      <x:c r="J60" s="18" t="str">
        <x:v>iceClass</x:v>
      </x:c>
      <x:c r="K60" s="18" t="str">
        <x:v>hasRudderProtectionArrangement</x:v>
      </x:c>
      <x:c r="L60" s="18" t="str"/>
      <x:c r="M60" s="18" t="str"/>
      <x:c r="N60" s="18" t="str"/>
      <x:c r="O60" s="18" t="str"/>
      <x:c r="P60" s="18" t="str">
        <x:v>NO</x:v>
      </x:c>
      <x:c r="Q60" s="18" t="str">
        <x:v>SRC-TRAFICOM-2021</x:v>
      </x:c>
      <x:c r="R60" s="18" t="str">
        <x:v>Minimum R13 subgraph rooted at ship. Applicability: iceClass. Paths: hasRudderProtectionArrangement. Use published ship/sample-ship facts where available for context; record any manipulated value as CONTROLLED_MUTATION.</x:v>
      </x:c>
      <x:c r="S60" s="18" t="str">
        <x:v>PASS IA/IA Super with rudder-load design consideration/arrangement evidence; FAIL missing consideration/evidence; PASS_NOT_APPLICABLE other classes. Illustrative examples are not mandatory alternatives.</x:v>
      </x:c>
      <x:c r="T60" s="18" t="str">
        <x:v>READY_FOR_RDF_DESIGN</x:v>
      </x:c>
      <x:c r="U60" s="18" t="str">
        <x:v>Freeze expected outcomes before generated SHACL is inspected.</x:v>
      </x:c>
    </x:row>
    <x:row r="61">
      <x:c r="A61" s="39" t="str">
        <x:v>TRF-069</x:v>
      </x:c>
      <x:c r="B61" s="18" t="str">
        <x:v>TRAFICOM/68863/03.04.01.00/2021</x:v>
      </x:c>
      <x:c r="C61" s="18" t="str">
        <x:v>6.1</x:v>
      </x:c>
      <x:c r="D61" s="18" t="str">
        <x:v>26</x:v>
      </x:c>
      <x:c r="E61" s="18" t="str">
        <x:v>DIRECT_STATIC</x:v>
      </x:c>
      <x:c r="F61" s="18" t="str">
        <x:v>IF_THEN / APPLICABILITY</x:v>
      </x:c>
      <x:c r="G61" s="18" t="str">
        <x:v>C_REAL_CONTEXT_CONTROLLED</x:v>
      </x:c>
      <x:c r="H61" s="18" t="str">
        <x:v>The propulsion-machinery rule applies when iceClass IN {'IA Super','IA','IB','IC'} and propeller_type IN {'open','ducted'} and pitch_type IN {'controllable','fixed'}. The design-load scope shall cover normal service-life propeller/ice loads, including FP reversal loads, and shall record that stopped-propeller dragging and radial ice entry into a turned azimuthing thruster are outside the prescribed load-model scope.</x:v>
      </x:c>
      <x:c r="I61" s="18" t="str">
        <x:v>ship</x:v>
      </x:c>
      <x:c r="J61" s="18" t="str">
        <x:v>iceClass, normalOperationalConditions, pitchType, propellerType</x:v>
      </x:c>
      <x:c r="K61" s="18" t="str">
        <x:v>hasDesignCondition, iceClass</x:v>
      </x:c>
      <x:c r="L61" s="18" t="str">
        <x:v>maximumIceTorque</x:v>
      </x:c>
      <x:c r="M61" s="18" t="str"/>
      <x:c r="N61" s="18" t="str">
        <x:v>normalServiceLifePropellerIceLoadCondition, fixedPitchPropellerReversalLoadIncluded, stoppedPropellerDraggingOutsideLoadModel, radialIceEntryOutsideLoadModel</x:v>
      </x:c>
      <x:c r="O61" s="18" t="str"/>
      <x:c r="P61" s="18" t="str">
        <x:v>NO</x:v>
      </x:c>
      <x:c r="Q61" s="18" t="str">
        <x:v>SRC-TRAFICOM-2021</x:v>
      </x:c>
      <x:c r="R61" s="18" t="str">
        <x:v>Minimum R13 subgraph rooted at ship. Applicability: iceClass, normalOperationalConditions, pitchType, propellerType. Paths: hasDesignCondition, iceClass. Operands: maximumIceTorque. Evidence: normalServiceLifePropellerIceLoadCondition, fixedPitchPropellerReversalLoadIncluded, stoppedPropellerDraggingOutsideLoadModel, radialIceEntryOutsideLoadModel. Use published ship/sample-ship facts where available for context; record any manipulated value as CONTROLLED_MUTATION.</x:v>
      </x:c>
      <x:c r="S61" s="18" t="str">
        <x:v>PASS_APPLICABLE; FAIL_APPLICABLE; PASS_NOT_APPLICABLE; BOUNDARY trigger case where meaningful.</x:v>
      </x:c>
      <x:c r="T61" s="18" t="str">
        <x:v>READY_FOR_RDF_DESIGN</x:v>
      </x:c>
      <x:c r="U61" s="18" t="str">
        <x:v>Freeze expected outcomes before generated SHACL is inspected.</x:v>
      </x:c>
    </x:row>
    <x:row r="62">
      <x:c r="A62" s="39" t="str">
        <x:v>TRF-070</x:v>
      </x:c>
      <x:c r="B62" s="18" t="str">
        <x:v>TRAFICOM/68863/03.04.01.00/2021</x:v>
      </x:c>
      <x:c r="C62" s="18" t="str">
        <x:v>6.1</x:v>
      </x:c>
      <x:c r="D62" s="18" t="str">
        <x:v>26-27</x:v>
      </x:c>
      <x:c r="E62" s="18" t="str">
        <x:v>COMPLEX_READINESS</x:v>
      </x:c>
      <x:c r="F62" s="18" t="str">
        <x:v>COMPLEX_READINESS / CONDITIONAL</x:v>
      </x:c>
      <x:c r="G62" s="18" t="str">
        <x:v>D_REGULATION_SYNTHETIC</x:v>
      </x:c>
      <x:c r="H62" s="18"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c r="I62" s="18" t="str">
        <x:v>ship</x:v>
      </x:c>
      <x:c r="J62" s="18" t="str">
        <x:v>thrusterType, mainPropulsionThruster</x:v>
      </x:c>
      <x:c r="K62" s="18" t="str">
        <x:v>hasDesignCondition</x:v>
      </x:c>
      <x:c r="L62" s="18" t="str">
        <x:v>thrusterType, mainPropulsionThruster, propellerIceInteractionLoad, thrusterBodyIceInteractionLoad, localIcePressure</x:v>
      </x:c>
      <x:c r="M62" s="18" t="str">
        <x:v>designConditionLocalStrengthCapacity</x:v>
      </x:c>
      <x:c r="N62" s="18" t="str"/>
      <x:c r="O62" s="18"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c r="P62" s="18" t="str">
        <x:v>NO</x:v>
      </x:c>
      <x:c r="Q62" s="18" t="str">
        <x:v>SRC-TRAFICOM-2021</x:v>
      </x:c>
      <x:c r="R62" s="18" t="str">
        <x:v>Minimum R13 subgraph rooted at ship. Applicability: thrusterType, mainPropulsionThruster. Paths: hasDesignCondition. Operands: thrusterType, mainPropulsionThruster, propellerIceInteractionLoad, thrusterBodyIceInteractionLoad, localIcePressure. Results/interface: designConditionLocalStrengthCapacity. Use realistic regulation-grounded synthetic values and record them as REGULATION_SYNTHETIC.</x:v>
      </x:c>
      <x:c r="S62" s="18" t="str">
        <x:v>PASS_READY; FAIL_MISSING_OPERAND; FAIL_MISSING_RESULT; FAIL_WRONG_PATH_OR_OWNER; PASS_NOT_APPLICABLE where source permits</x:v>
      </x:c>
      <x:c r="T62" s="18" t="str">
        <x:v>READY_FOR_RDF_DESIGN</x:v>
      </x:c>
      <x:c r="U62" s="18" t="str">
        <x:v>Readiness/interface semantics only; do not claim independent execution of advanced engineering analysis.</x:v>
      </x:c>
    </x:row>
    <x:row r="63">
      <x:c r="A63" s="39" t="str">
        <x:v>TRF-074</x:v>
      </x:c>
      <x:c r="B63" s="18" t="str">
        <x:v>TRAFICOM/68863/03.04.01.00/2021</x:v>
      </x:c>
      <x:c r="C63" s="18" t="str">
        <x:v>6.5</x:v>
      </x:c>
      <x:c r="D63" s="18" t="str">
        <x:v>32</x:v>
      </x:c>
      <x:c r="E63" s="18" t="str">
        <x:v>DIRECT_STATIC</x:v>
      </x:c>
      <x:c r="F63" s="18" t="str">
        <x:v>IF_THEN / APPLICABILITY</x:v>
      </x:c>
      <x:c r="G63" s="18" t="str">
        <x:v>C_REAL_CONTEXT_CONTROLLED</x:v>
      </x:c>
      <x:c r="H63" s="18" t="str">
        <x:v>If the highest point of the propeller is not at a depth of at least hi below the water surface when the ship is in ballast condition, the propulsion system shall be designed according to ice class IA for ice classes IB and IC.</x:v>
      </x:c>
      <x:c r="I63" s="18" t="str">
        <x:v>ship</x:v>
      </x:c>
      <x:c r="J63" s="18" t="str">
        <x:v>ballastConditionPropellerTopDepth, iceClass, propulsionSystemDesignedForIceClass</x:v>
      </x:c>
      <x:c r="K63" s="18" t="str">
        <x:v>propulsionSystemDesignedForIceClass</x:v>
      </x:c>
      <x:c r="L63" s="18" t="str">
        <x:v>ballastConditionPropellerTopDepth</x:v>
      </x:c>
      <x:c r="M63" s="18" t="str">
        <x:v>requiredPropellerSubmersionDepthHi</x:v>
      </x:c>
      <x:c r="N63" s="18" t="str"/>
      <x:c r="O63" s="18" t="str"/>
      <x:c r="P63" s="18" t="str">
        <x:v>NO</x:v>
      </x:c>
      <x:c r="Q63" s="18" t="str">
        <x:v>SRC-TRAFICOM-2021</x:v>
      </x:c>
      <x:c r="R63" s="18" t="str">
        <x:v>Minimum R13 subgraph rooted at ship. Applicability: ballastConditionPropellerTopDepth, iceClass, propulsionSystemDesignedForIceClass. Paths: propulsionSystemDesignedForIceClass. Operands: ballastConditionPropellerTopDepth. Results/interface: requiredPropellerSubmersionDepthHi. Use published ship/sample-ship facts where available for context; record any manipulated value as CONTROLLED_MUTATION.</x:v>
      </x:c>
      <x:c r="S63" s="18" t="str">
        <x:v>PASS_APPLICABLE; FAIL_APPLICABLE; PASS_NOT_APPLICABLE; BOUNDARY trigger case where meaningful.</x:v>
      </x:c>
      <x:c r="T63" s="18" t="str">
        <x:v>READY_FOR_RDF_DESIGN</x:v>
      </x:c>
      <x:c r="U63" s="18" t="str">
        <x:v>Freeze expected outcomes before generated SHACL is inspected.</x:v>
      </x:c>
    </x:row>
    <x:row r="64">
      <x:c r="A64" s="39" t="str">
        <x:v>TRF-075</x:v>
      </x:c>
      <x:c r="B64" s="18" t="str">
        <x:v>TRAFICOM/68863/03.04.01.00/2021</x:v>
      </x:c>
      <x:c r="C64" s="18" t="str">
        <x:v>6.5.1</x:v>
      </x:c>
      <x:c r="D64" s="18" t="str">
        <x:v>32</x:v>
      </x:c>
      <x:c r="E64" s="18" t="str">
        <x:v>DIRECT_STATIC</x:v>
      </x:c>
      <x:c r="F64" s="18" t="str">
        <x:v>XOR / EXACTLY_ONE</x:v>
      </x:c>
      <x:c r="G64" s="18" t="str">
        <x:v>D_REGULATION_SYNTHETIC</x:v>
      </x:c>
      <x:c r="H64" s="18" t="str">
        <x:v>Each applicable propellerBladeLoadCase links to its propellerBlade and iceBlock and has exactly one of backwardBladeForce or forwardBladeForce.</x:v>
      </x:c>
      <x:c r="I64" s="18" t="str">
        <x:v>ship, propellerBladeLoadCase, propellerBlade, iceBlock</x:v>
      </x:c>
      <x:c r="J64" s="18" t="str"/>
      <x:c r="K64" s="18" t="str">
        <x:v>hasPropellerBladeLoadCase, propellerBladeLoadCaseBlade, propellerBladeLoadCaseIceBlock</x:v>
      </x:c>
      <x:c r="L64" s="18" t="str"/>
      <x:c r="M64" s="18" t="str"/>
      <x:c r="N64" s="18" t="str"/>
      <x:c r="O64" s="18" t="str"/>
      <x:c r="P64" s="18" t="str">
        <x:v>NO</x:v>
      </x:c>
      <x:c r="Q64" s="18" t="str">
        <x:v>SRC-TRAFICOM-2021</x:v>
      </x:c>
      <x:c r="R64" s="18" t="str">
        <x:v>Minimum R13 subgraph rooted at ship, propellerBladeLoadCase, propellerBlade, iceBlock. Paths: hasPropellerBladeLoadCase, propellerBladeLoadCaseBlade, propellerBladeLoadCaseIceBlock. Use realistic regulation-grounded synthetic values and record them as REGULATION_SYNTHETIC.</x:v>
      </x:c>
      <x:c r="S64" s="18" t="str">
        <x:v>PASS backwardBladeForce only; PASS forwardBladeForce only; FAIL neither; FAIL both; verify required blade and ice-block links.</x:v>
      </x:c>
      <x:c r="T64" s="18" t="str">
        <x:v>READY_FOR_RDF_DESIGN</x:v>
      </x:c>
      <x:c r="U64" s="18" t="str">
        <x:v>Freeze expected outcomes before generated SHACL is inspected.</x:v>
      </x:c>
    </x:row>
    <x:row r="65">
      <x:c r="A65" s="39" t="str">
        <x:v>TRF-076</x:v>
      </x:c>
      <x:c r="B65" s="18" t="str">
        <x:v>TRAFICOM/68863/03.04.01.00/2021</x:v>
      </x:c>
      <x:c r="C65" s="18" t="str">
        <x:v>6.5.1.3</x:v>
      </x:c>
      <x:c r="D65" s="18" t="str">
        <x:v>32</x:v>
      </x:c>
      <x:c r="E65" s="18" t="str">
        <x:v>DIRECT_STATIC</x:v>
      </x:c>
      <x:c r="F65" s="18" t="str">
        <x:v>TABLE_LOOKUP / STATIC</x:v>
      </x:c>
      <x:c r="G65" s="18" t="str">
        <x:v>D_REGULATION_SYNTHETIC</x:v>
      </x:c>
      <x:c r="H65" s="18" t="str">
        <x:v>Load cases 1-4 must be covered, as given in Table 6-4 below, for CP and FP propellers. To obtain blade ice loads for a reversing propeller, load case 5 must also be covered for FP propellers.</x:v>
      </x:c>
      <x:c r="I65" s="18" t="str">
        <x:v>ship</x:v>
      </x:c>
      <x:c r="J65" s="18" t="str">
        <x:v>propellerType</x:v>
      </x:c>
      <x:c r="K65" s="18" t="str">
        <x:v>hasPropellerBladeLoadCase</x:v>
      </x:c>
      <x:c r="L65" s="18" t="str"/>
      <x:c r="M65" s="18" t="str"/>
      <x:c r="N65" s="18" t="str"/>
      <x:c r="O65" s="18" t="str"/>
      <x:c r="P65" s="18" t="str">
        <x:v>YES</x:v>
      </x:c>
      <x:c r="Q65" s="18" t="str">
        <x:v>SRC-TRAFICOM-2021</x:v>
      </x:c>
      <x:c r="R65" s="18" t="str">
        <x:v>Minimum R13 subgraph rooted at ship. Applicability: propellerType. Paths: hasPropellerBladeLoadCase. Use realistic regulation-grounded synthetic values and record them as REGULATION_SYNTHETIC.</x:v>
      </x:c>
      <x:c r="S65" s="18" t="str">
        <x:v>PASS_VALID_SELECTION; FAIL_WRONG_RESULT; FAIL_MISSING_SELECTOR; FAIL_WRONG_TABLE_REFERENCE; BOUNDARY_BAND_CASES; PASS_NOT_APPLICABLE for explicit N/A branches.</x:v>
      </x:c>
      <x:c r="T65" s="18" t="str">
        <x:v>READY_FOR_RDF_DESIGN</x:v>
      </x:c>
      <x:c r="U65" s="18" t="str">
        <x:v>Frozen source table/tableModel is the oracle.</x:v>
      </x:c>
    </x:row>
    <x:row r="66">
      <x:c r="A66" s="39" t="str">
        <x:v>TRF-077</x:v>
      </x:c>
      <x:c r="B66" s="18" t="str">
        <x:v>TRAFICOM/68863/03.04.01.00/2021</x:v>
      </x:c>
      <x:c r="C66" s="18" t="str">
        <x:v>6.5.1.8</x:v>
      </x:c>
      <x:c r="D66" s="18" t="str">
        <x:v>36</x:v>
      </x:c>
      <x:c r="E66" s="18" t="str">
        <x:v>DIRECT_STATIC</x:v>
      </x:c>
      <x:c r="F66" s="18" t="str">
        <x:v>IF_THEN / APPLICABILITY</x:v>
      </x:c>
      <x:c r="G66" s="18" t="str">
        <x:v>D_REGULATION_SYNTHETIC</x:v>
      </x:c>
      <x:c r="H66" s="18"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I66" s="18" t="str">
        <x:v>ship</x:v>
      </x:c>
      <x:c r="J66" s="18" t="str">
        <x:v>propellerType</x:v>
      </x:c>
      <x:c r="K66" s="18" t="str"/>
      <x:c r="L66" s="18" t="str"/>
      <x:c r="M66" s="18" t="str">
        <x:v>maximumBladeIceLoad</x:v>
      </x:c>
      <x:c r="N66" s="18" t="str"/>
      <x:c r="O66" s="18" t="str"/>
      <x:c r="P66" s="18" t="str">
        <x:v>NO</x:v>
      </x:c>
      <x:c r="Q66" s="18" t="str">
        <x:v>SRC-TRAFICOM-2021</x:v>
      </x:c>
      <x:c r="R66" s="18" t="str">
        <x:v>Minimum R13 subgraph rooted at ship. Applicability: propellerType. Results/interface: maximumBladeIceLoad. Use realistic regulation-grounded synthetic values and record them as REGULATION_SYNTHETIC.</x:v>
      </x:c>
      <x:c r="S66" s="18" t="str">
        <x:v>PASS_APPLICABLE; FAIL_APPLICABLE; PASS_NOT_APPLICABLE; BOUNDARY trigger case where meaningful.</x:v>
      </x:c>
      <x:c r="T66" s="18" t="str">
        <x:v>READY_FOR_RDF_DESIGN</x:v>
      </x:c>
      <x:c r="U66" s="18" t="str">
        <x:v>Freeze expected outcomes before generated SHACL is inspected.</x:v>
      </x:c>
    </x:row>
    <x:row r="67">
      <x:c r="A67" s="39" t="str">
        <x:v>TRF-078</x:v>
      </x:c>
      <x:c r="B67" s="18" t="str">
        <x:v>TRAFICOM/68863/03.04.01.00/2021</x:v>
      </x:c>
      <x:c r="C67" s="18" t="str">
        <x:v>6.5.1.9</x:v>
      </x:c>
      <x:c r="D67" s="18" t="str">
        <x:v>36</x:v>
      </x:c>
      <x:c r="E67" s="18" t="str">
        <x:v>DIRECT_CALCULATION</x:v>
      </x:c>
      <x:c r="F67" s="18" t="str">
        <x:v>FORMULA / TABLE_LOOKUP</x:v>
      </x:c>
      <x:c r="G67" s="18" t="str">
        <x:v>D_REGULATION_SYNTHETIC</x:v>
      </x:c>
      <x:c r="H67" s="18" t="str">
        <x:v>For Table 6-6, a tableLookupCase has tableReference traficomTable6Dash6, uses iceClass as its selection key, and has selectedIceClassCycleCount. For Table 6-7, a tableLookupCase has tableReference traficomTable6Dash7, uses tableLookupPropellerLocation as its selection key, and has selectedPropellerLocationFactor. Each applicable lookup case is typed tableLookupCase and has exactly one tableReference. Compute N_ice = k1 * k2 * k3 * N_class * n_n.</x:v>
      </x:c>
      <x:c r="I67" s="18" t="str">
        <x:v>ship, tableLookupCase, iceClassValue, propellerLocationValue, tableReferenceValue</x:v>
      </x:c>
      <x:c r="J67" s="18" t="str"/>
      <x:c r="K67" s="18" t="str">
        <x:v>hasTableLookupCase, tableReference, iceClass, tableLookupPropellerLocation</x:v>
      </x:c>
      <x:c r="L67" s="18" t="str">
        <x:v>selectedPropellerLocationFactor, iceLoadCycleCoefficientK2, iceLoadCycleCoefficientK3, selectedIceClassCycleCount, propellerBladeLoadSpectrumCountFactor</x:v>
      </x:c>
      <x:c r="M67" s="18" t="str">
        <x:v>iceLoadCycleCount</x:v>
      </x:c>
      <x:c r="N67" s="18" t="str"/>
      <x:c r="O67" s="18" t="str">
        <x:v>N_ice = k1 * k2 * k3 * N_class * n_n</x:v>
      </x:c>
      <x:c r="P67" s="18" t="str">
        <x:v>YES</x:v>
      </x:c>
      <x:c r="Q67" s="18" t="str">
        <x:v>SRC-TRAFICOM-2021</x:v>
      </x:c>
      <x:c r="R67" s="18" t="str">
        <x:v>Minimum R13 subgraph rooted at ship, tableLookupCase, iceClassValue, propellerLocationValue, tableReferenceValue. Paths: hasTableLookupCase, tableReference, iceClass, tableLookupPropellerLocation. Operands: selectedPropellerLocationFactor, iceLoadCycleCoefficientK2, iceLoadCycleCoefficientK3, selectedIceClassCycleCount, propellerBladeLoadSpectrumCountFactor. Results/interface: iceLoadCycleCount. Use realistic regulation-grounded synthetic values and record them as REGULATION_SYNTHETIC.</x:v>
      </x:c>
      <x:c r="S67" s="18" t="str">
        <x:v>PASS_VALID_SELECTION; FAIL_WRONG_RESULT; FAIL_MISSING_SELECTOR; FAIL_WRONG_TABLE_REFERENCE; BOUNDARY_BAND_CASES; PASS_NOT_APPLICABLE for explicit N/A branches.</x:v>
      </x:c>
      <x:c r="T67" s="18" t="str">
        <x:v>READY_FOR_RDF_DESIGN</x:v>
      </x:c>
      <x:c r="U67" s="18" t="str">
        <x:v>Frozen source table/tableModel is the oracle.</x:v>
      </x:c>
    </x:row>
    <x:row r="68">
      <x:c r="A68" s="39" t="str">
        <x:v>TRF-079</x:v>
      </x:c>
      <x:c r="B68" s="18" t="str">
        <x:v>TRAFICOM/68863/03.04.01.00/2021</x:v>
      </x:c>
      <x:c r="C68" s="18" t="str">
        <x:v>6.5.1.9</x:v>
      </x:c>
      <x:c r="D68" s="18" t="str">
        <x:v>37</x:v>
      </x:c>
      <x:c r="E68" s="18" t="str">
        <x:v>DIRECT_CALCULATION</x:v>
      </x:c>
      <x:c r="F68" s="18" t="str">
        <x:v>FORMULA / COMPARISON</x:v>
      </x:c>
      <x:c r="G68" s="18" t="str">
        <x:v>D_REGULATION_SYNTHETIC</x:v>
      </x:c>
      <x:c r="H68" s="18" t="str">
        <x:v>The submersion factor k_2 is determined as follows: k_2 = 0.8 - f when f &lt; 0; k_2 = 0.8 - 0.4*f when 0 &lt;= f &lt;= 1; k_2 = 0.6 - 0.2*f when 1 &lt; f &lt;= 2.5; and k_2 = 0.1 when f &gt; 2.5 (6.15). The immersion function is f = (h_0 - H_ice)/(D/2) - 1 (6.16).</x:v>
      </x:c>
      <x:c r="I68" s="18" t="str">
        <x:v>ship</x:v>
      </x:c>
      <x:c r="J68" s="18" t="str"/>
      <x:c r="K68" s="18" t="str"/>
      <x:c r="L68" s="18" t="str">
        <x:v>designIceThickness, iceLoadCycleCoefficientK2, propellerDiameter, propellerImmersionFunction, propellerShaftCentrelineDepth</x:v>
      </x:c>
      <x:c r="M68" s="18" t="str">
        <x:v>designIceThickness</x:v>
      </x:c>
      <x:c r="N68" s="18" t="str"/>
      <x:c r="O68" s="18" t="str">
        <x:v>The submersion factor k_2 is determined as follows: k_2 = 0.8 - f when f &lt; 0; k_2 = 0.8 - 0.4*f when 0 &lt;= f &lt;= 1; k_2 = 0.6 - 0.2*f when 1 &lt; f &lt;= 2.5; and k_2 = 0.1 when f &gt; 2.5 (6.15). The immersion function is f = (h_0 - H_ice)/(D/2) - 1 (6.16).</x:v>
      </x:c>
      <x:c r="P68" s="18" t="str">
        <x:v>NO</x:v>
      </x:c>
      <x:c r="Q68" s="18" t="str">
        <x:v>SRC-TRAFICOM-2021</x:v>
      </x:c>
      <x:c r="R68" s="18" t="str">
        <x:v>Minimum R13 subgraph rooted at ship. Operands: designIceThickness, iceLoadCycleCoefficientK2, propellerDiameter, propellerImmersionFunction, propellerShaftCentrelineDepth. Results/interface: designIceThickness. Use realistic regulation-grounded synthetic values and record them as REGULATION_SYNTHETIC.</x:v>
      </x:c>
      <x:c r="S68" s="18" t="str">
        <x:v>PASS each permitted route independently; FAIL_NONE; PASS_BOTH only if allowed; PASS_NOT_APPLICABLE if conditional.</x:v>
      </x:c>
      <x:c r="T68" s="18" t="str">
        <x:v>READY_FOR_RDF_DESIGN</x:v>
      </x:c>
      <x:c r="U68" s="18" t="str">
        <x:v>Freeze expected outcomes before generated SHACL is inspected.</x:v>
      </x:c>
    </x:row>
    <x:row r="69">
      <x:c r="A69" s="39" t="str">
        <x:v>TRF-080</x:v>
      </x:c>
      <x:c r="B69" s="18" t="str">
        <x:v>TRAFICOM/68863/03.04.01.00/2021</x:v>
      </x:c>
      <x:c r="C69" s="18" t="str">
        <x:v>6.5.1.9</x:v>
      </x:c>
      <x:c r="D69" s="18" t="str">
        <x:v>37</x:v>
      </x:c>
      <x:c r="E69" s="18" t="str">
        <x:v>DIRECT_CALCULATION</x:v>
      </x:c>
      <x:c r="F69" s="18" t="str">
        <x:v>FORMULA / COMPARISON</x:v>
      </x:c>
      <x:c r="G69" s="18" t="str">
        <x:v>D_REGULATION_SYNTHETIC</x:v>
      </x:c>
      <x:c r="H69" s="18" t="str">
        <x:v>For components that are subject to loads resulting from propeller/ice interaction with all the propeller blades, the number of load cycles (Nice) must be multiplied by the number of propeller blades (Z).</x:v>
      </x:c>
      <x:c r="I69" s="18" t="str">
        <x:v>ship</x:v>
      </x:c>
      <x:c r="J69" s="18" t="str"/>
      <x:c r="K69" s="18" t="str"/>
      <x:c r="L69" s="18" t="str">
        <x:v>iceLoadCycleCount, propellerBladeCount</x:v>
      </x:c>
      <x:c r="M69" s="18" t="str">
        <x:v>effectiveIceLoadCycleCount</x:v>
      </x:c>
      <x:c r="N69" s="18" t="str"/>
      <x:c r="O69" s="18" t="str">
        <x:v>effectiveIceLoadCycleCount = iceLoadCycleCount * propellerBladeCount</x:v>
      </x:c>
      <x:c r="P69" s="18" t="str">
        <x:v>NO</x:v>
      </x:c>
      <x:c r="Q69" s="18" t="str">
        <x:v>SRC-TRAFICOM-2021</x:v>
      </x:c>
      <x:c r="R69" s="18" t="str">
        <x:v>Minimum R13 subgraph rooted at ship. Operands: iceLoadCycleCount, propellerBladeCount. Results/interface: effectiveIceLoadCycleCount. Use realistic regulation-grounded synthetic values and record them as REGULATION_SYNTHETIC.</x:v>
      </x:c>
      <x:c r="S69" s="18" t="str">
        <x:v>PASS each permitted route independently; FAIL_NONE; PASS_BOTH only if allowed; PASS_NOT_APPLICABLE if conditional.</x:v>
      </x:c>
      <x:c r="T69" s="18" t="str">
        <x:v>READY_FOR_RDF_DESIGN</x:v>
      </x:c>
      <x:c r="U69" s="18" t="str">
        <x:v>Freeze expected outcomes before generated SHACL is inspected.</x:v>
      </x:c>
    </x:row>
    <x:row r="70">
      <x:c r="A70" s="39" t="str">
        <x:v>TRF-081</x:v>
      </x:c>
      <x:c r="B70" s="18" t="str">
        <x:v>TRAFICOM/68863/03.04.01.00/2021</x:v>
      </x:c>
      <x:c r="C70" s="18" t="str">
        <x:v>6.5.2.1-6.5.2.2</x:v>
      </x:c>
      <x:c r="D70" s="18" t="str">
        <x:v>37</x:v>
      </x:c>
      <x:c r="E70" s="18" t="str">
        <x:v>DIRECT_CALCULATION</x:v>
      </x:c>
      <x:c r="F70" s="18" t="str">
        <x:v>FORMULA / MIN_MAX</x:v>
      </x:c>
      <x:c r="G70" s="18" t="str">
        <x:v>D_REGULATION_SYNTHETIC</x:v>
      </x:c>
      <x:c r="H70" s="18" t="str">
        <x:v>Compute T_f_kN = 1.1*F_f_kN and T_b_kN = 1.1*F_b_kN. Compute forward_design_thrust_T_r_kN = hydrodynamic_bollard_thrust_T_kN + 2.2*T_f_kN and backward_design_thrust_T_r_kN = 1.5*T_b_kN. Set design_thrust_T_r_kN = max(forward_design_thrust_T_r_kN, backward_design_thrust_T_r_kN) for both directions.</x:v>
      </x:c>
      <x:c r="I70" s="18" t="str">
        <x:v>ship</x:v>
      </x:c>
      <x:c r="J70" s="18" t="str"/>
      <x:c r="K70" s="18" t="str"/>
      <x:c r="L70" s="18" t="str">
        <x:v>forwardBladeForce, backwardBladeForce, hydrodynamicBollardThrust</x:v>
      </x:c>
      <x:c r="M70" s="18" t="str">
        <x:v>forwardIceThrust, backwardIceThrust, forwardPropellerShaftDesignThrust, backwardPropellerShaftDesignThrust, propellerShaftDesignThrust</x:v>
      </x:c>
      <x:c r="N70" s="18" t="str"/>
      <x:c r="O70" s="18" t="str"/>
      <x:c r="P70" s="18" t="str">
        <x:v>NO</x:v>
      </x:c>
      <x:c r="Q70" s="18" t="str">
        <x:v>SRC-TRAFICOM-2021</x:v>
      </x:c>
      <x:c r="R70" s="18" t="str">
        <x:v>Minimum R13 subgraph rooted at ship. Operands: forwardBladeForce, backwardBladeForce, hydrodynamicBollardThrust. Results/interface: forwardIceThrust, backwardIceThrust, forwardPropellerShaftDesignThrust, backwardPropellerShaftDesignThrust, propellerShaftDesignThrust. Use realistic regulation-grounded synthetic values and record them as REGULATION_SYNTHETIC.</x:v>
      </x:c>
      <x:c r="S70" s="18" t="str">
        <x:v>PASS each permitted route independently; FAIL_NONE; PASS_BOTH only if allowed; PASS_NOT_APPLICABLE if conditional.</x:v>
      </x:c>
      <x:c r="T70" s="18" t="str">
        <x:v>READY_FOR_RDF_DESIGN</x:v>
      </x:c>
      <x:c r="U70" s="18" t="str">
        <x:v>Freeze expected outcomes before generated SHACL is inspected.</x:v>
      </x:c>
    </x:row>
    <x:row r="71">
      <x:c r="A71" s="39" t="str">
        <x:v>TRF-082</x:v>
      </x:c>
      <x:c r="B71" s="18" t="str">
        <x:v>TRAFICOM/68863/03.04.01.00/2021</x:v>
      </x:c>
      <x:c r="C71" s="18" t="str">
        <x:v>6.5.2.2</x:v>
      </x:c>
      <x:c r="D71" s="18" t="str">
        <x:v>37</x:v>
      </x:c>
      <x:c r="E71" s="18" t="str">
        <x:v>DIRECT_STATIC</x:v>
      </x:c>
      <x:c r="F71" s="18" t="str">
        <x:v>TABLE_LOOKUP / STATIC</x:v>
      </x:c>
      <x:c r="G71" s="18" t="str">
        <x:v>D_REGULATION_SYNTHETIC</x:v>
      </x:c>
      <x:c r="H71" s="18" t="str">
        <x:v>If the hydrodynamic bollard thrust, T, is not known, it must be taken as given in Table 6-8.</x:v>
      </x:c>
      <x:c r="I71" s="18" t="str">
        <x:v>ship</x:v>
      </x:c>
      <x:c r="J71" s="18" t="str">
        <x:v>bollardThrustKnown</x:v>
      </x:c>
      <x:c r="K71" s="18" t="str">
        <x:v>hasTableLookupCase, lookupSelectionEvidence, tableReference</x:v>
      </x:c>
      <x:c r="L71" s="18" t="str">
        <x:v>hydrodynamicBollardThrust</x:v>
      </x:c>
      <x:c r="M71" s="18" t="str"/>
      <x:c r="N71" s="18" t="str">
        <x:v>tableLookupApplied, lookupSelectionEvidence</x:v>
      </x:c>
      <x:c r="O71" s="18" t="str"/>
      <x:c r="P71" s="18" t="str">
        <x:v>YES</x:v>
      </x:c>
      <x:c r="Q71" s="18" t="str">
        <x:v>SRC-TRAFICOM-2021</x:v>
      </x:c>
      <x:c r="R71" s="18" t="str">
        <x:v>Minimum R13 subgraph rooted at ship. Applicability: bollardThrustKnown. Paths: hasTableLookupCase, lookupSelectionEvidence, tableReference. Operands: hydrodynamicBollardThrust. Evidence: tableLookupApplied, lookupSelectionEvidence. Use realistic regulation-grounded synthetic values and record them as REGULATION_SYNTHETIC.</x:v>
      </x:c>
      <x:c r="S71" s="18" t="str">
        <x:v>PASS_VALID_SELECTION; FAIL_WRONG_RESULT; FAIL_MISSING_SELECTOR; FAIL_WRONG_TABLE_REFERENCE; BOUNDARY_BAND_CASES; PASS_NOT_APPLICABLE for explicit N/A branches.</x:v>
      </x:c>
      <x:c r="T71" s="18" t="str">
        <x:v>READY_FOR_RDF_DESIGN</x:v>
      </x:c>
      <x:c r="U71" s="18" t="str">
        <x:v>Frozen source table/tableModel is the oracle.</x:v>
      </x:c>
    </x:row>
    <x:row r="72">
      <x:c r="A72" s="39" t="str">
        <x:v>TRF-083</x:v>
      </x:c>
      <x:c r="B72" s="18" t="str">
        <x:v>TRAFICOM/68863/03.04.01.00/2021</x:v>
      </x:c>
      <x:c r="C72" s="18" t="str">
        <x:v>6.5.3.1</x:v>
      </x:c>
      <x:c r="D72" s="18" t="str">
        <x:v>38</x:v>
      </x:c>
      <x:c r="E72" s="18" t="str">
        <x:v>DIRECT_STATIC</x:v>
      </x:c>
      <x:c r="F72" s="18" t="str">
        <x:v>TABLE_LOOKUP / STATIC</x:v>
      </x:c>
      <x:c r="G72" s="18" t="str">
        <x:v>D_REGULATION_SYNTHETIC</x:v>
      </x:c>
      <x:c r="H72" s="18" t="str">
        <x:v>n is the rotational propeller speed at MCR in bollard condition. If unknown, n must be attributed a value in accordance with Table 6-9.</x:v>
      </x:c>
      <x:c r="I72" s="18" t="str">
        <x:v>ship</x:v>
      </x:c>
      <x:c r="J72" s="18" t="str">
        <x:v>rotationalSpeedKnown</x:v>
      </x:c>
      <x:c r="K72" s="18" t="str">
        <x:v>hasTableLookupCase, lookupSelectionEvidence, tableReference</x:v>
      </x:c>
      <x:c r="L72" s="18" t="str">
        <x:v>propellerRotationalSpeedAtMaximumContinuousRatingBollard</x:v>
      </x:c>
      <x:c r="M72" s="18" t="str"/>
      <x:c r="N72" s="18" t="str"/>
      <x:c r="O72" s="18" t="str"/>
      <x:c r="P72" s="18" t="str">
        <x:v>YES</x:v>
      </x:c>
      <x:c r="Q72" s="18" t="str">
        <x:v>SRC-TRAFICOM-2021</x:v>
      </x:c>
      <x:c r="R72" s="18" t="str">
        <x:v>Minimum R13 subgraph rooted at ship. Applicability: rotationalSpeedKnown. Paths: hasTableLookupCase, lookupSelectionEvidence, tableReference. Operands: propellerRotationalSpeedAtMaximumContinuousRatingBollard. Use realistic regulation-grounded synthetic values and record them as REGULATION_SYNTHETIC.</x:v>
      </x:c>
      <x:c r="S72" s="18" t="str">
        <x:v>PASS_VALID_SELECTION; FAIL_WRONG_RESULT; FAIL_MISSING_SELECTOR; FAIL_WRONG_TABLE_REFERENCE; BOUNDARY_BAND_CASES; PASS_NOT_APPLICABLE for explicit N/A branches.</x:v>
      </x:c>
      <x:c r="T72" s="18" t="str">
        <x:v>READY_FOR_RDF_DESIGN</x:v>
      </x:c>
      <x:c r="U72" s="18" t="str">
        <x:v>Frozen source table/tableModel is the oracle.</x:v>
      </x:c>
    </x:row>
    <x:row r="73">
      <x:c r="A73" s="39" t="str">
        <x:v>TRF-084</x:v>
      </x:c>
      <x:c r="B73" s="18" t="str">
        <x:v>TRAFICOM/68863/03.04.01.00/2021</x:v>
      </x:c>
      <x:c r="C73" s="18" t="str">
        <x:v>6.5.3.1</x:v>
      </x:c>
      <x:c r="D73" s="18" t="str">
        <x:v>38</x:v>
      </x:c>
      <x:c r="E73" s="18" t="str">
        <x:v>DIRECT_CALCULATION</x:v>
      </x:c>
      <x:c r="F73" s="18" t="str">
        <x:v>PIECEWISE_FORMULA</x:v>
      </x:c>
      <x:c r="G73" s="18" t="str">
        <x:v>D_REGULATION_SYNTHETIC</x:v>
      </x:c>
      <x:c r="H73" s="18" t="str">
        <x:v>For CP propellers, the propeller pitch, P0.7 shall correspond to MCR in bollard condition. If not known, P0.7 shall have a value equal to 0.7*P0.7n, where P0.7n is the propeller pitch at MCR in free running condition.</x:v>
      </x:c>
      <x:c r="I73" s="18" t="str">
        <x:v>ship</x:v>
      </x:c>
      <x:c r="J73" s="18" t="str">
        <x:v>propellerType, pitchValueKnown</x:v>
      </x:c>
      <x:c r="K73" s="18" t="str"/>
      <x:c r="L73" s="18" t="str">
        <x:v>propellerPitchAtMcrFreeRunning</x:v>
      </x:c>
      <x:c r="M73" s="18" t="str">
        <x:v>propellerPitchAtMcrBollard</x:v>
      </x:c>
      <x:c r="N73" s="18" t="str"/>
      <x:c r="O73" s="18" t="str">
        <x:v>IF propellerType = 'CP' AND pitchValueKnown = false THEN propellerPitchAtMcrBollard = 0.7 * propellerPitchAtMcrFreeRunning</x:v>
      </x:c>
      <x:c r="P73" s="18" t="str">
        <x:v>NO</x:v>
      </x:c>
      <x:c r="Q73" s="18" t="str">
        <x:v>SRC-TRAFICOM-2021</x:v>
      </x:c>
      <x:c r="R73" s="18" t="str">
        <x:v>Minimum R13 subgraph rooted at ship. Applicability: propellerType, pitchValueKnown. Operands: propellerPitchAtMcrFreeRunning. Results/interface: propellerPitchAtMcrBollard. Use realistic regulation-grounded synthetic values and record them as REGULATION_SYNTHETIC.</x:v>
      </x:c>
      <x:c r="S73" s="18" t="str">
        <x:v>PASS each permitted route independently; FAIL_NONE; PASS_BOTH only if allowed; PASS_NOT_APPLICABLE if conditional.</x:v>
      </x:c>
      <x:c r="T73" s="18" t="str">
        <x:v>READY_FOR_RDF_DESIGN</x:v>
      </x:c>
      <x:c r="U73" s="18" t="str">
        <x:v>Freeze expected outcomes before generated SHACL is inspected.</x:v>
      </x:c>
    </x:row>
    <x:row r="74">
      <x:c r="A74" s="39" t="str">
        <x:v>TRF-085</x:v>
      </x:c>
      <x:c r="B74" s="18" t="str">
        <x:v>TRAFICOM/68863/03.04.01.00/2021</x:v>
      </x:c>
      <x:c r="C74" s="18" t="str">
        <x:v>6.5.3.2</x:v>
      </x:c>
      <x:c r="D74" s="18" t="str">
        <x:v>39</x:v>
      </x:c>
      <x:c r="E74" s="18" t="str">
        <x:v>DIRECT_STATIC</x:v>
      </x:c>
      <x:c r="F74" s="18" t="str">
        <x:v>TABLE_LOOKUP / STATIC</x:v>
      </x:c>
      <x:c r="G74" s="18" t="str">
        <x:v>D_REGULATION_SYNTHETIC</x:v>
      </x:c>
      <x:c r="H74" s="18" t="str">
        <x:v>Set propeller_speed_MCR_bollard_rpm to the known rotational propeller speed at MCR in bollard condition; otherwise select propeller_speed_MCR_bollard_rpm from Table 6-9.</x:v>
      </x:c>
      <x:c r="I74" s="18" t="str">
        <x:v>ship</x:v>
      </x:c>
      <x:c r="J74" s="18" t="str"/>
      <x:c r="K74" s="18" t="str">
        <x:v>hasTableLookupCase, lookupSelectionEvidence, tableReference</x:v>
      </x:c>
      <x:c r="L74" s="18" t="str">
        <x:v>propellerDiameter, propellerRotationalSpeedAtMaximumContinuousRatingBollard</x:v>
      </x:c>
      <x:c r="M74" s="18" t="str"/>
      <x:c r="N74" s="18" t="str"/>
      <x:c r="O74" s="18" t="str"/>
      <x:c r="P74" s="18" t="str">
        <x:v>YES</x:v>
      </x:c>
      <x:c r="Q74" s="18" t="str">
        <x:v>SRC-TRAFICOM-2021</x:v>
      </x:c>
      <x:c r="R74" s="18" t="str">
        <x:v>Minimum R13 subgraph rooted at ship. Paths: hasTableLookupCase, lookupSelectionEvidence, tableReference. Operands: propellerDiameter, propellerRotationalSpeedAtMaximumContinuousRatingBollard. Use realistic regulation-grounded synthetic values and record them as REGULATION_SYNTHETIC.</x:v>
      </x:c>
      <x:c r="S74" s="18" t="str">
        <x:v>PASS_VALID_SELECTION; FAIL_WRONG_RESULT; FAIL_MISSING_SELECTOR; FAIL_WRONG_TABLE_REFERENCE; BOUNDARY_BAND_CASES; PASS_NOT_APPLICABLE for explicit N/A branches.</x:v>
      </x:c>
      <x:c r="T74" s="18" t="str">
        <x:v>READY_FOR_RDF_DESIGN</x:v>
      </x:c>
      <x:c r="U74" s="18" t="str">
        <x:v>Frozen source table/tableModel is the oracle.</x:v>
      </x:c>
    </x:row>
    <x:row r="75">
      <x:c r="A75" s="39" t="str">
        <x:v>TRF-086</x:v>
      </x:c>
      <x:c r="B75" s="18" t="str">
        <x:v>TRAFICOM/68863/03.04.01.00/2021</x:v>
      </x:c>
      <x:c r="C75" s="18" t="str">
        <x:v>6.5.3.2</x:v>
      </x:c>
      <x:c r="D75" s="18" t="str">
        <x:v>39</x:v>
      </x:c>
      <x:c r="E75" s="18" t="str">
        <x:v>DIRECT_CALCULATION</x:v>
      </x:c>
      <x:c r="F75" s="18" t="str">
        <x:v>PIECEWISE_FORMULA</x:v>
      </x:c>
      <x:c r="G75" s="18" t="str">
        <x:v>D_REGULATION_SYNTHETIC</x:v>
      </x:c>
      <x:c r="H75" s="18" t="str">
        <x:v>For CP propellers, the propeller pitch, P0.7 shall correspond to MCR in bollard condition. If not known, P0.7 shall have a value equal to 0.7*P0.7n, where P0.7n is the propeller pitch at MCR in free running condition.</x:v>
      </x:c>
      <x:c r="I75" s="18" t="str">
        <x:v>ship</x:v>
      </x:c>
      <x:c r="J75" s="18" t="str">
        <x:v>propellerType, pitchValueKnown</x:v>
      </x:c>
      <x:c r="K75" s="18" t="str"/>
      <x:c r="L75" s="18" t="str">
        <x:v>propellerPitchAtMcrFreeRunning</x:v>
      </x:c>
      <x:c r="M75" s="18" t="str">
        <x:v>propellerPitchAtMcrBollard</x:v>
      </x:c>
      <x:c r="N75" s="18" t="str"/>
      <x:c r="O75" s="18" t="str">
        <x:v>IF propellerType = 'CP' AND pitchValueKnown = false THEN propellerPitchAtMcrBollard = 0.7 * propellerPitchAtMcrFreeRunning</x:v>
      </x:c>
      <x:c r="P75" s="18" t="str">
        <x:v>NO</x:v>
      </x:c>
      <x:c r="Q75" s="18" t="str">
        <x:v>SRC-TRAFICOM-2021</x:v>
      </x:c>
      <x:c r="R75" s="18" t="str">
        <x:v>Minimum R13 subgraph rooted at ship. Applicability: propellerType, pitchValueKnown. Operands: propellerPitchAtMcrFreeRunning. Results/interface: propellerPitchAtMcrBollard. Use realistic regulation-grounded synthetic values and record them as REGULATION_SYNTHETIC.</x:v>
      </x:c>
      <x:c r="S75" s="18" t="str">
        <x:v>PASS each permitted route independently; FAIL_NONE; PASS_BOTH only if allowed; PASS_NOT_APPLICABLE if conditional.</x:v>
      </x:c>
      <x:c r="T75" s="18" t="str">
        <x:v>READY_FOR_RDF_DESIGN</x:v>
      </x:c>
      <x:c r="U75" s="18" t="str">
        <x:v>Freeze expected outcomes before generated SHACL is inspected.</x:v>
      </x:c>
    </x:row>
    <x:row r="76">
      <x:c r="A76" s="39" t="str">
        <x:v>TRF-087</x:v>
      </x:c>
      <x:c r="B76" s="18" t="str">
        <x:v>TRAFICOM/68863/03.04.01.00/2021</x:v>
      </x:c>
      <x:c r="C76" s="18" t="str">
        <x:v>6.5.3.3</x:v>
      </x:c>
      <x:c r="D76" s="18" t="str">
        <x:v>39</x:v>
      </x:c>
      <x:c r="E76" s="18" t="str">
        <x:v>DIRECT_STATIC</x:v>
      </x:c>
      <x:c r="F76" s="18" t="str">
        <x:v>UNIVERSAL / DIRECT</x:v>
      </x:c>
      <x:c r="G76" s="18" t="str">
        <x:v>D_REGULATION_SYNTHETIC</x:v>
      </x:c>
      <x:c r="H76" s="18" t="str">
        <x:v>All the torques and the inertia moments shall be reduced to the rotation speed of the component being examined.</x:v>
      </x:c>
      <x:c r="I76" s="18" t="str">
        <x:v>ship</x:v>
      </x:c>
      <x:c r="J76" s="18" t="str"/>
      <x:c r="K76" s="18" t="str"/>
      <x:c r="L76" s="18" t="str"/>
      <x:c r="M76" s="18" t="str"/>
      <x:c r="N76" s="18" t="str"/>
      <x:c r="O76" s="18" t="str"/>
      <x:c r="P76" s="18" t="str">
        <x:v>NO</x:v>
      </x:c>
      <x:c r="Q76" s="18" t="str">
        <x:v>SRC-TRAFICOM-2021</x:v>
      </x:c>
      <x:c r="R76" s="18" t="str">
        <x:v>Minimum R13 subgraph rooted at ship. Use realistic regulation-grounded synthetic values and record them as REGULATION_SYNTHETIC.</x:v>
      </x:c>
      <x:c r="S76" s="18" t="str">
        <x:v>PASS_ONE_VALID; PASS_MULTIPLE_VALID; FAIL_ONE_INVALID; FAIL_MIXED; PASS_ZERO if source imposes no existence.</x:v>
      </x:c>
      <x:c r="T76" s="18" t="str">
        <x:v>READY_FOR_RDF_DESIGN</x:v>
      </x:c>
      <x:c r="U76" s="18" t="str">
        <x:v>Freeze expected outcomes before generated SHACL is inspected.</x:v>
      </x:c>
    </x:row>
    <x:row r="77">
      <x:c r="A77" s="39" t="str">
        <x:v>TRF-088</x:v>
      </x:c>
      <x:c r="B77" s="18" t="str">
        <x:v>TRAFICOM/68863/03.04.01.00/2021</x:v>
      </x:c>
      <x:c r="C77" s="18" t="str">
        <x:v>6.5.3.3</x:v>
      </x:c>
      <x:c r="D77" s="18" t="str">
        <x:v>39</x:v>
      </x:c>
      <x:c r="E77" s="18" t="str">
        <x:v>DIRECT_STATIC</x:v>
      </x:c>
      <x:c r="F77" s="18" t="str">
        <x:v>TABLE_LOOKUP / STATIC</x:v>
      </x:c>
      <x:c r="G77" s="18" t="str">
        <x:v>D_REGULATION_SYNTHETIC</x:v>
      </x:c>
      <x:c r="H77" s="18" t="str">
        <x:v>If the maximum torque, Qemax, is unknown, it shall be accorded the value given in Table 6-10.</x:v>
      </x:c>
      <x:c r="I77" s="18" t="str">
        <x:v>ship</x:v>
      </x:c>
      <x:c r="J77" s="18" t="str">
        <x:v>maximumEngineTorqueKnown</x:v>
      </x:c>
      <x:c r="K77" s="18" t="str">
        <x:v>hasTableLookupCase, lookupSelectionEvidence, tableReference</x:v>
      </x:c>
      <x:c r="L77" s="18" t="str">
        <x:v>maximumEngineTorque</x:v>
      </x:c>
      <x:c r="M77" s="18" t="str"/>
      <x:c r="N77" s="18" t="str"/>
      <x:c r="O77" s="18" t="str"/>
      <x:c r="P77" s="18" t="str">
        <x:v>YES</x:v>
      </x:c>
      <x:c r="Q77" s="18" t="str">
        <x:v>SRC-TRAFICOM-2021</x:v>
      </x:c>
      <x:c r="R77" s="18" t="str">
        <x:v>Minimum R13 subgraph rooted at ship. Applicability: maximumEngineTorqueKnown. Paths: hasTableLookupCase, lookupSelectionEvidence, tableReference. Operands: maximumEngineTorque. Use realistic regulation-grounded synthetic values and record them as REGULATION_SYNTHETIC.</x:v>
      </x:c>
      <x:c r="S77" s="18" t="str">
        <x:v>PASS_VALID_SELECTION; FAIL_WRONG_RESULT; FAIL_MISSING_SELECTOR; FAIL_WRONG_TABLE_REFERENCE; BOUNDARY_BAND_CASES; PASS_NOT_APPLICABLE for explicit N/A branches.</x:v>
      </x:c>
      <x:c r="T77" s="18" t="str">
        <x:v>READY_FOR_RDF_DESIGN</x:v>
      </x:c>
      <x:c r="U77" s="18" t="str">
        <x:v>Frozen source table/tableModel is the oracle.</x:v>
      </x:c>
    </x:row>
    <x:row r="78">
      <x:c r="A78" s="39" t="str">
        <x:v>TRF-091</x:v>
      </x:c>
      <x:c r="B78" s="18" t="str">
        <x:v>TRAFICOM/68863/03.04.01.00/2021</x:v>
      </x:c>
      <x:c r="C78" s="18" t="str">
        <x:v>6.5.3.4</x:v>
      </x:c>
      <x:c r="D78" s="18" t="str">
        <x:v>40</x:v>
      </x:c>
      <x:c r="E78" s="18" t="str">
        <x:v>DIRECT_STATIC</x:v>
      </x:c>
      <x:c r="F78" s="18" t="str">
        <x:v>EVIDENCE / PRESENCE</x:v>
      </x:c>
      <x:c r="G78" s="18" t="str">
        <x:v>D_REGULATION_SYNTHETIC</x:v>
      </x:c>
      <x:c r="H78" s="18" t="str">
        <x:v>The load sequence given in this chapter, for a case where a propeller is milling an ice block, shall be used for the strength evaluation of the propulsion line. The given load sequence is not intended for propulsion system stalling analyses.</x:v>
      </x:c>
      <x:c r="I78" s="18" t="str">
        <x:v>ship</x:v>
      </x:c>
      <x:c r="J78" s="18" t="str"/>
      <x:c r="K78" s="18" t="str">
        <x:v>hasIceMillingSequenceCase, hasPropulsionLoadCase, loadCasePurpose</x:v>
      </x:c>
      <x:c r="L78" s="18" t="str"/>
      <x:c r="M78" s="18" t="str"/>
      <x:c r="N78" s="18" t="str">
        <x:v>stallingAnalysisPurposeValue</x:v>
      </x:c>
      <x:c r="O78" s="18" t="str"/>
      <x:c r="P78" s="18" t="str">
        <x:v>NO</x:v>
      </x:c>
      <x:c r="Q78" s="18" t="str">
        <x:v>SRC-TRAFICOM-2021</x:v>
      </x:c>
      <x:c r="R78" s="18" t="str">
        <x:v>Minimum R13 subgraph rooted at ship. Paths: hasIceMillingSequenceCase, hasPropulsionLoadCase, loadCasePurpose. Evidence: stallingAnalysisPurposeValue. Use realistic regulation-grounded synthetic values and record them as REGULATION_SYNTHETIC.</x:v>
      </x:c>
      <x:c r="S78" s="18" t="str">
        <x:v>PASS_EVIDENCE_PRESENT; FAIL_MISSING_EVIDENCE; FAIL_WRONG_EVIDENCE_STATE_OR_OWNER; PASS_NOT_APPLICABLE where relevant.</x:v>
      </x:c>
      <x:c r="T78" s="18" t="str">
        <x:v>READY_FOR_RDF_DESIGN</x:v>
      </x:c>
      <x:c r="U78" s="18" t="str">
        <x:v>Freeze expected outcomes before generated SHACL is inspected.</x:v>
      </x:c>
    </x:row>
    <x:row r="79">
      <x:c r="A79" s="39" t="str">
        <x:v>TRF-101</x:v>
      </x:c>
      <x:c r="B79" s="18" t="str">
        <x:v>TRAFICOM/68863/03.04.01.00/2021</x:v>
      </x:c>
      <x:c r="C79" s="18" t="str">
        <x:v>6.5.4.1</x:v>
      </x:c>
      <x:c r="D79" s="18" t="str">
        <x:v>45-46</x:v>
      </x:c>
      <x:c r="E79" s="18" t="str">
        <x:v>DIRECT_CALCULATION</x:v>
      </x:c>
      <x:c r="F79" s="18" t="str">
        <x:v>OR / ALTERNATIVE_CALCULATION_ROUTE</x:v>
      </x:c>
      <x:c r="G79" s="18" t="str">
        <x:v>D_REGULATION_SYNTHETIC</x:v>
      </x:c>
      <x:c r="H79" s="18" t="str">
        <x:v>Determine blade_failure_load_F_ex_kN by an approved non-linear stress analysis OR compute F_ex = 300*c*t^2*sigma_ref1/(0.8*D - 2*r), where sigma_ref1 = 0.6*sigma_0.2 + 0.4*sigma_u. Apply the load at 0.8R in the weakest direction. blade_failure_status = failed IF blade_tip_offset_m &gt; 0.10*propeller_diameter_m.</x:v>
      </x:c>
      <x:c r="I79" s="18" t="str">
        <x:v>ship</x:v>
      </x:c>
      <x:c r="J79" s="18" t="str"/>
      <x:c r="K79" s="18" t="str">
        <x:v>approvedNonlinearBladeStressAnalysis, hasLoadCase</x:v>
      </x:c>
      <x:c r="L79" s="18" t="str">
        <x:v>bladeChordLengthAtWeakestSection, bladeCylindricalRootRadius, bladeFailureLoadApplicationRadiusRatio, bladeFailureUltimateLoad, bladeMaximumThicknessAtWeakestSection, bladeMinimumYieldStrength, bladeReferenceStrength1, bladeTipOffset, bladeUltimateTensileStrength, propellerDiameter</x:v>
      </x:c>
      <x:c r="M79" s="18" t="str">
        <x:v>bladeMaximumThicknessAtWeakestSection, bladeMinimumYieldStrength</x:v>
      </x:c>
      <x:c r="N79" s="18" t="str">
        <x:v>approvedNonlinearBladeStressAnalysis, bladeFailureLoadWeakestDirectionConfirmed</x:v>
      </x:c>
      <x:c r="O79" s="18" t="str"/>
      <x:c r="P79" s="18" t="str">
        <x:v>NO</x:v>
      </x:c>
      <x:c r="Q79" s="18" t="str">
        <x:v>SRC-TRAFICOM-2021</x:v>
      </x:c>
      <x:c r="R79" s="18" t="str">
        <x:v>Minimum R13 subgraph rooted at ship. Paths: approvedNonlinearBladeStressAnalysis, hasLoadCase. Operands: bladeChordLengthAtWeakestSection, bladeCylindricalRootRadius, bladeFailureLoadApplicationRadiusRatio, bladeFailureUltimateLoad, bladeMaximumThicknessAtWeakestSection, bladeMinimumYieldStrength, bladeReferenceStrength1, bladeTipOffset, bladeUltimateTensileStrength, propellerDiameter. Results/interface: bladeMaximumThicknessAtWeakestSection, bladeMinimumYieldStrength. Evidence: approvedNonlinearBladeStressAnalysis, bladeFailureLoadWeakestDirectionConfirmed. Use realistic regulation-grounded synthetic values and record them as REGULATION_SYNTHETIC.</x:v>
      </x:c>
      <x:c r="S79" s="18" t="str">
        <x:v>PASS approved nonlinear-stress-analysis route; PASS explicit formula route; FAIL neither; FAIL incorrect formula result; preserve load-location/material-strength terms.</x:v>
      </x:c>
      <x:c r="T79" s="18" t="str">
        <x:v>READY_FOR_RDF_DESIGN</x:v>
      </x:c>
      <x:c r="U79" s="18" t="str">
        <x:v>Freeze expected outcomes before generated SHACL is inspected.</x:v>
      </x:c>
    </x:row>
    <x:row r="80">
      <x:c r="A80" s="39" t="str">
        <x:v>TRF-102</x:v>
      </x:c>
      <x:c r="B80" s="18" t="str">
        <x:v>TRAFICOM/68863/03.04.01.00/2021</x:v>
      </x:c>
      <x:c r="C80" s="18" t="str">
        <x:v>6.5.4.2</x:v>
      </x:c>
      <x:c r="D80" s="18" t="str">
        <x:v>46</x:v>
      </x:c>
      <x:c r="E80" s="18" t="str">
        <x:v>DIRECT_CALCULATION</x:v>
      </x:c>
      <x:c r="F80" s="18" t="str">
        <x:v>FORMULA / MIN_MAX</x:v>
      </x:c>
      <x:c r="G80" s="18" t="str">
        <x:v>D_REGULATION_SYNTHETIC</x:v>
      </x:c>
      <x:c r="H80" s="18" t="str">
        <x:v>Compute C_spex = max(0.3, 0.7*(1 - ((4*EAR)/Z)^3)) and Q_sex_kNm = max(C_LE0.8, 0.8*C_TE0.8)*C_spex*F_ex_kN, unless an appropriate stress analysis directly determines the maximum spindle torque.</x:v>
      </x:c>
      <x:c r="I80" s="18" t="str">
        <x:v>ship</x:v>
      </x:c>
      <x:c r="J80" s="18" t="str"/>
      <x:c r="K80" s="18" t="str">
        <x:v>approvedSpindleTorqueStressAnalysis</x:v>
      </x:c>
      <x:c r="L80" s="18" t="str">
        <x:v>bladeExpandedAreaRatio, propellerBladeCount, leadingEdgeChordPortionAtZeroPointEightRadius, trailingEdgeChordPortionAtZeroPointEightRadius, extremeIceForce</x:v>
      </x:c>
      <x:c r="M80" s="18" t="str">
        <x:v>bladeFailureSpindleTorqueFactor, bladeFailureSpindleTorque, maximumSpindleTorque</x:v>
      </x:c>
      <x:c r="N80" s="18" t="str">
        <x:v>approvedSpindleTorqueStressAnalysis</x:v>
      </x:c>
      <x:c r="O80" s="18" t="str">
        <x:v>bladeFailureSpindleTorqueFactor = max(0.3, 0.7*(1 - ((4*bladeExpandedAreaRatio)/propellerBladeCount)^3)); bladeFailureSpindleTorque = max(leadingEdgeChordPortionAtZeroPointEightRadius, 0.8*trailingEdgeChordPortionAtZeroPointEightRadius)*bladeFailureSpindleTorqueFactor*extremeIceForce, unless approvedSpindleTorqueStressAnalysis directly determines maximumSpindleTorque.</x:v>
      </x:c>
      <x:c r="P80" s="18" t="str">
        <x:v>NO</x:v>
      </x:c>
      <x:c r="Q80" s="18" t="str">
        <x:v>SRC-TRAFICOM-2021</x:v>
      </x:c>
      <x:c r="R80" s="18" t="str">
        <x:v>Minimum R13 subgraph rooted at ship. Paths: approvedSpindleTorqueStressAnalysis. Operands: bladeExpandedAreaRatio, propellerBladeCount, leadingEdgeChordPortionAtZeroPointEightRadius, trailingEdgeChordPortionAtZeroPointEightRadius, extremeIceForce. Results/interface: bladeFailureSpindleTorqueFactor, bladeFailureSpindleTorque, maximumSpindleTorque. Evidence: approvedSpindleTorqueStressAnalysis. Use realistic regulation-grounded synthetic values and record them as REGULATION_SYNTHETIC.</x:v>
      </x:c>
      <x:c r="S80" s="18" t="str">
        <x:v>PASS each permitted route independently; FAIL_NONE; PASS_BOTH only if allowed; PASS_NOT_APPLICABLE if conditional.</x:v>
      </x:c>
      <x:c r="T80" s="18" t="str">
        <x:v>READY_FOR_RDF_DESIGN</x:v>
      </x:c>
      <x:c r="U80" s="18" t="str">
        <x:v>Freeze expected outcomes before generated SHACL is inspected.</x:v>
      </x:c>
    </x:row>
    <x:row r="81">
      <x:c r="A81" s="39" t="str">
        <x:v>TRF-103</x:v>
      </x:c>
      <x:c r="B81" s="18" t="str">
        <x:v>TRAFICOM/68863/03.04.01.00/2021</x:v>
      </x:c>
      <x:c r="C81" s="18" t="str">
        <x:v>6.5.4.2</x:v>
      </x:c>
      <x:c r="D81" s="18" t="str">
        <x:v>46</x:v>
      </x:c>
      <x:c r="E81" s="18" t="str">
        <x:v>DIRECT_STATIC</x:v>
      </x:c>
      <x:c r="F81" s="18" t="str">
        <x:v>IF_THEN / APPLICABILITY</x:v>
      </x:c>
      <x:c r="G81" s="18" t="str">
        <x:v>D_REGULATION_SYNTHETIC</x:v>
      </x:c>
      <x:c r="H81" s="18" t="str">
        <x:v>Csp is a non-dimensional parameter taking account of the spindle arm Cfex is a non-dimensional parameter taking account of the reduction of the blade failure force at the location of the maximum spindle torque. If Cspex is below 0.3, a value of 0.3 shall to be used for Cspex. CLE0.8 is the leading edge portion of the chord length at 0.8R CTE0.8 is the trailing edge portion of the chord length at 0.8R.</x:v>
      </x:c>
      <x:c r="I81" s="18" t="str">
        <x:v>ship</x:v>
      </x:c>
      <x:c r="J81" s="18" t="str"/>
      <x:c r="K81" s="18" t="str"/>
      <x:c r="L81" s="18" t="str"/>
      <x:c r="M81" s="18" t="str"/>
      <x:c r="N81" s="18" t="str"/>
      <x:c r="O81" s="18" t="str"/>
      <x:c r="P81" s="18" t="str">
        <x:v>NO</x:v>
      </x:c>
      <x:c r="Q81" s="18" t="str">
        <x:v>SRC-TRAFICOM-2021</x:v>
      </x:c>
      <x:c r="R81" s="18" t="str">
        <x:v>Minimum R13 subgraph rooted at ship. Use realistic regulation-grounded synthetic values and record them as REGULATION_SYNTHETIC.</x:v>
      </x:c>
      <x:c r="S81" s="18" t="str">
        <x:v>PASS_APPLICABLE; FAIL_APPLICABLE; PASS_NOT_APPLICABLE; BOUNDARY trigger case where meaningful.</x:v>
      </x:c>
      <x:c r="T81" s="18" t="str">
        <x:v>READY_FOR_RDF_DESIGN</x:v>
      </x:c>
      <x:c r="U81" s="18" t="str">
        <x:v>Freeze expected outcomes before generated SHACL is inspected.</x:v>
      </x:c>
    </x:row>
    <x:row r="82">
      <x:c r="A82" s="39" t="str">
        <x:v>TRF-104</x:v>
      </x:c>
      <x:c r="B82" s="18" t="str">
        <x:v>TRAFICOM/68863/03.04.01.00/2021</x:v>
      </x:c>
      <x:c r="C82" s="18" t="str">
        <x:v>6.6.1</x:v>
      </x:c>
      <x:c r="D82" s="18" t="str">
        <x:v>47</x:v>
      </x:c>
      <x:c r="E82" s="18" t="str">
        <x:v>DIRECT_STATIC</x:v>
      </x:c>
      <x:c r="F82" s="18" t="str">
        <x:v>UNIVERSAL / DIRECT</x:v>
      </x:c>
      <x:c r="G82" s="18" t="str">
        <x:v>D_REGULATION_SYNTHETIC</x:v>
      </x:c>
      <x:c r="H82" s="18" t="str">
        <x:v>The strength of the propulsion line shall be designed according to the pyramid strength principle. This means that the loss of the propeller blade shall not cause any significant damage to other propeller shaft line components.</x:v>
      </x:c>
      <x:c r="I82" s="18" t="str">
        <x:v>ship</x:v>
      </x:c>
      <x:c r="J82" s="18" t="str"/>
      <x:c r="K82" s="18" t="str">
        <x:v>hasPropellerShaftLineComponent</x:v>
      </x:c>
      <x:c r="L82" s="18" t="str"/>
      <x:c r="M82" s="18" t="str"/>
      <x:c r="N82" s="18" t="str"/>
      <x:c r="O82" s="18" t="str"/>
      <x:c r="P82" s="18" t="str">
        <x:v>NO</x:v>
      </x:c>
      <x:c r="Q82" s="18" t="str">
        <x:v>SRC-TRAFICOM-2021</x:v>
      </x:c>
      <x:c r="R82" s="18" t="str">
        <x:v>Minimum R13 subgraph rooted at ship. Paths: hasPropellerShaftLineComponent. Use realistic regulation-grounded synthetic values and record them as REGULATION_SYNTHETIC.</x:v>
      </x:c>
      <x:c r="S82" s="18" t="str">
        <x:v>PASS_ONE_VALID; PASS_MULTIPLE_VALID; FAIL_ONE_INVALID; FAIL_MIXED; PASS_ZERO if source imposes no existence.</x:v>
      </x:c>
      <x:c r="T82" s="18" t="str">
        <x:v>READY_FOR_RDF_DESIGN</x:v>
      </x:c>
      <x:c r="U82" s="18" t="str">
        <x:v>Freeze expected outcomes before generated SHACL is inspected.</x:v>
      </x:c>
    </x:row>
    <x:row r="83">
      <x:c r="A83" s="39" t="str">
        <x:v>TRF-108</x:v>
      </x:c>
      <x:c r="B83" s="18" t="str">
        <x:v>TRAFICOM/68863/03.04.01.00/2021</x:v>
      </x:c>
      <x:c r="C83" s="18" t="str">
        <x:v>6.6.2.3</x:v>
      </x:c>
      <x:c r="D83" s="18" t="str">
        <x:v>48</x:v>
      </x:c>
      <x:c r="E83" s="18" t="str">
        <x:v>DIRECT_STATIC</x:v>
      </x:c>
      <x:c r="F83" s="18" t="str">
        <x:v>IF_THEN / APPLICABILITY</x:v>
      </x:c>
      <x:c r="G83" s="18" t="str">
        <x:v>D_REGULATION_SYNTHETIC</x:v>
      </x:c>
      <x:c r="H83" s="18" t="str">
        <x:v>The type of the SN-curve shall be selected to correspond with the material properties of the blade. If the SN-curve is unknown, the two slope SN curve shall be used.</x:v>
      </x:c>
      <x:c r="I83" s="18" t="str">
        <x:v>ship</x:v>
      </x:c>
      <x:c r="J83" s="18" t="str">
        <x:v>stressLifeCurveType</x:v>
      </x:c>
      <x:c r="K83" s="18" t="str">
        <x:v>stressLifeCurveSelection, stressLifeCurveSelectionCorrespondenceEvidence</x:v>
      </x:c>
      <x:c r="L83" s="18" t="str"/>
      <x:c r="M83" s="18" t="str"/>
      <x:c r="N83" s="18" t="str">
        <x:v>stressLifeCurveSelectionCorrespondenceEvidence</x:v>
      </x:c>
      <x:c r="O83" s="18" t="str"/>
      <x:c r="P83" s="18" t="str">
        <x:v>NO</x:v>
      </x:c>
      <x:c r="Q83" s="18" t="str">
        <x:v>SRC-TRAFICOM-2021</x:v>
      </x:c>
      <x:c r="R83" s="18" t="str">
        <x:v>Minimum R13 subgraph rooted at ship. Applicability: stressLifeCurveType. Paths: stressLifeCurveSelection, stressLifeCurveSelectionCorrespondenceEvidence. Evidence: stressLifeCurveSelectionCorrespondenceEvidence. Use realistic regulation-grounded synthetic values and record them as REGULATION_SYNTHETIC.</x:v>
      </x:c>
      <x:c r="S83" s="18" t="str">
        <x:v>PASS_APPLICABLE; FAIL_APPLICABLE; PASS_NOT_APPLICABLE; BOUNDARY trigger case where meaningful.</x:v>
      </x:c>
      <x:c r="T83" s="18" t="str">
        <x:v>READY_FOR_RDF_DESIGN</x:v>
      </x:c>
      <x:c r="U83" s="18" t="str">
        <x:v>Freeze expected outcomes before generated SHACL is inspected.</x:v>
      </x:c>
    </x:row>
    <x:row r="84">
      <x:c r="A84" s="39" t="str">
        <x:v>TRF-109</x:v>
      </x:c>
      <x:c r="B84" s="18" t="str">
        <x:v>TRAFICOM/68863/03.04.01.00/2021</x:v>
      </x:c>
      <x:c r="C84" s="18" t="str">
        <x:v>6.6.2.3</x:v>
      </x:c>
      <x:c r="D84" s="18" t="str">
        <x:v>50</x:v>
      </x:c>
      <x:c r="E84" s="18" t="str">
        <x:v>DIRECT_STATIC</x:v>
      </x:c>
      <x:c r="F84" s="18" t="str">
        <x:v>TABLE_LOOKUP / STATIC</x:v>
      </x:c>
      <x:c r="G84" s="18" t="str">
        <x:v>D_REGULATION_SYNTHETIC</x:v>
      </x:c>
      <x:c r="H84" s="18" t="str">
        <x:v>For tableReference exactly traficomTable6Dash14, select the exact open or ducted C1-C4 row; require exactly one value for each coefficient and 5000000 &lt;= iceLoadCycleCount &lt;= 100000000. Do not calculate later rho expressions.</x:v>
      </x:c>
      <x:c r="I84" s="18" t="str">
        <x:v>ship, tableLookupCase</x:v>
      </x:c>
      <x:c r="J84" s="18" t="str">
        <x:v>propellerType</x:v>
      </x:c>
      <x:c r="K84" s="18" t="str">
        <x:v>hasTableLookupCase, tableReference</x:v>
      </x:c>
      <x:c r="L84" s="18" t="str"/>
      <x:c r="M84" s="18" t="str">
        <x:v>fatigueCoefficientC1, fatigueCoefficientC2, fatigueCoefficientC3, fatigueCoefficientC4</x:v>
      </x:c>
      <x:c r="N84" s="18" t="str"/>
      <x:c r="O84" s="18" t="str"/>
      <x:c r="P84" s="18" t="str">
        <x:v>YES</x:v>
      </x:c>
      <x:c r="Q84" s="18" t="str">
        <x:v>SRC-TRAFICOM-2021</x:v>
      </x:c>
      <x:c r="R84" s="18" t="str">
        <x:v>Minimum R13 subgraph rooted at ship, tableLookupCase. Applicability: propellerType. Paths: hasTableLookupCase, tableReference. Results/interface: fatigueCoefficientC1, fatigueCoefficientC2, fatigueCoefficientC3, fatigueCoefficientC4. Use realistic regulation-grounded synthetic values and record them as REGULATION_SYNTHETIC.</x:v>
      </x:c>
      <x:c r="S84" s="18" t="str">
        <x:v>PASS_VALID_SELECTION; FAIL_WRONG_RESULT; FAIL_MISSING_SELECTOR; FAIL_WRONG_TABLE_REFERENCE; BOUNDARY_BAND_CASES; PASS_NOT_APPLICABLE for explicit N/A branches.</x:v>
      </x:c>
      <x:c r="T84" s="18" t="str">
        <x:v>READY_FOR_RDF_DESIGN</x:v>
      </x:c>
      <x:c r="U84" s="18" t="str">
        <x:v>Frozen source table/tableModel is the oracle.</x:v>
      </x:c>
    </x:row>
    <x:row r="85">
      <x:c r="A85" s="39" t="str">
        <x:v>TRF-111</x:v>
      </x:c>
      <x:c r="B85" s="18" t="str">
        <x:v>TRAFICOM/68863/03.04.01.00/2021</x:v>
      </x:c>
      <x:c r="C85" s="18" t="str">
        <x:v>6.6.4</x:v>
      </x:c>
      <x:c r="D85" s="18" t="str">
        <x:v>51</x:v>
      </x:c>
      <x:c r="E85" s="18" t="str">
        <x:v>COMPLEX_READINESS</x:v>
      </x:c>
      <x:c r="F85" s="18" t="str">
        <x:v>COMPLEX_READINESS / CONDITIONAL</x:v>
      </x:c>
      <x:c r="G85" s="18" t="str">
        <x:v>D_REGULATION_SYNTHETIC</x:v>
      </x:c>
      <x:c r="H85" s="18"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c r="I85" s="18" t="str">
        <x:v>ship</x:v>
      </x:c>
      <x:c r="J85" s="18" t="str">
        <x:v>shaftLineLoadCaseType, shaftLineLoadCaseTypeValue</x:v>
      </x:c>
      <x:c r="K85" s="18" t="str">
        <x:v>hasPropellerShaftLineComponent, hasPropulsionLoadCase, shaftLineLoadCaseType</x:v>
      </x:c>
      <x:c r="L85" s="18" t="str">
        <x:v>componentYieldSafetyFactor, extremeIceForce, fatigueSafetyFactor</x:v>
      </x:c>
      <x:c r="M85" s="18" t="str">
        <x:v>componentYieldSafetyFactor</x:v>
      </x:c>
      <x:c r="N85" s="18" t="str"/>
      <x:c r="O85" s="18"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c r="P85" s="18" t="str">
        <x:v>NO</x:v>
      </x:c>
      <x:c r="Q85" s="18" t="str">
        <x:v>SRC-TRAFICOM-2021</x:v>
      </x:c>
      <x:c r="R85" s="18" t="str">
        <x:v>Minimum R13 subgraph rooted at ship. Applicability: shaftLineLoadCaseType, shaftLineLoadCaseTypeValue. Paths: hasPropellerShaftLineComponent, hasPropulsionLoadCase, shaftLineLoadCaseType. Operands: componentYieldSafetyFactor, extremeIceForce, fatigueSafetyFactor. Results/interface: componentYieldSafetyFactor. Use realistic regulation-grounded synthetic values and record them as REGULATION_SYNTHETIC.</x:v>
      </x:c>
      <x:c r="S85" s="18" t="str">
        <x:v>PASS_READY; FAIL_MISSING_OPERAND; FAIL_MISSING_RESULT; FAIL_WRONG_PATH_OR_OWNER; PASS_NOT_APPLICABLE where source permits</x:v>
      </x:c>
      <x:c r="T85" s="18" t="str">
        <x:v>READY_FOR_RDF_DESIGN</x:v>
      </x:c>
      <x:c r="U85" s="18" t="str">
        <x:v>Readiness/interface semantics only; do not claim independent execution of advanced engineering analysis.</x:v>
      </x:c>
    </x:row>
    <x:row r="86">
      <x:c r="A86" s="39" t="str">
        <x:v>TRF-112</x:v>
      </x:c>
      <x:c r="B86" s="18" t="str">
        <x:v>TRAFICOM/68863/03.04.01.00/2021</x:v>
      </x:c>
      <x:c r="C86" s="18" t="str">
        <x:v>6.6.4.1</x:v>
      </x:c>
      <x:c r="D86" s="18" t="str">
        <x:v>52</x:v>
      </x:c>
      <x:c r="E86" s="18" t="str">
        <x:v>COMPLEX_READINESS</x:v>
      </x:c>
      <x:c r="F86" s="18" t="str">
        <x:v>COMPLEX_READINESS / CONDITIONAL</x:v>
      </x:c>
      <x:c r="G86" s="18" t="str">
        <x:v>D_REGULATION_SYNTHETIC</x:v>
      </x:c>
      <x:c r="H86" s="18"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I86" s="18" t="str">
        <x:v>ship, propellerShaftLineComponent, loadCase</x:v>
      </x:c>
      <x:c r="J86" s="18" t="str">
        <x:v>shaftLineLoadCaseType</x:v>
      </x:c>
      <x:c r="K86" s="18" t="str">
        <x:v>hasPropellerShaftLineComponent, hasPropulsionLoadCase, shaftLineLoadCaseType</x:v>
      </x:c>
      <x:c r="L86" s="18" t="str">
        <x:v>bladeFailureUltimateLoad, combinedAxialBendingTorsionLoad</x:v>
      </x:c>
      <x:c r="M86" s="18" t="str">
        <x:v>bendingYieldSafetyFactor, torsionalYieldSafetyFactor</x:v>
      </x:c>
      <x:c r="N86" s="18" t="str"/>
      <x:c r="O86" s="18"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P86" s="18" t="str">
        <x:v>NO</x:v>
      </x:c>
      <x:c r="Q86" s="18" t="str">
        <x:v>SRC-TRAFICOM-2021</x:v>
      </x:c>
      <x:c r="R86" s="18" t="str">
        <x:v>Minimum R13 subgraph rooted at ship, propellerShaftLineComponent, loadCase. Applicability: shaftLineLoadCaseType. Paths: hasPropellerShaftLineComponent, hasPropulsionLoadCase, shaftLineLoadCaseType. Operands: bladeFailureUltimateLoad, combinedAxialBendingTorsionLoad. Results/interface: bendingYieldSafetyFactor, torsionalYieldSafetyFactor. Use realistic regulation-grounded synthetic values and record them as REGULATION_SYNTHETIC.</x:v>
      </x:c>
      <x:c r="S86" s="18" t="str">
        <x:v>PASS_READY; FAIL_MISSING_OPERAND; FAIL_MISSING_RESULT; FAIL_WRONG_PATH_OR_OWNER; PASS_NOT_APPLICABLE where source permits</x:v>
      </x:c>
      <x:c r="T86" s="18" t="str">
        <x:v>READY_FOR_RDF_DESIGN</x:v>
      </x:c>
      <x:c r="U86" s="18" t="str">
        <x:v>Readiness/interface semantics only; do not claim independent execution of advanced engineering analysis.</x:v>
      </x:c>
    </x:row>
    <x:row r="87">
      <x:c r="A87" s="39" t="str">
        <x:v>TRF-113</x:v>
      </x:c>
      <x:c r="B87" s="18" t="str">
        <x:v>TRAFICOM/68863/03.04.01.00/2021</x:v>
      </x:c>
      <x:c r="C87" s="18" t="str">
        <x:v>6.6.5.1</x:v>
      </x:c>
      <x:c r="D87" s="18" t="str">
        <x:v>52</x:v>
      </x:c>
      <x:c r="E87" s="18" t="str">
        <x:v>DIRECT_STATIC</x:v>
      </x:c>
      <x:c r="F87" s="18" t="str">
        <x:v>EVIDENCE / PRESENCE</x:v>
      </x:c>
      <x:c r="G87" s="18" t="str">
        <x:v>D_REGULATION_SYNTHETIC</x:v>
      </x:c>
      <x:c r="H87" s="18"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c r="I87" s="18" t="str">
        <x:v>ship</x:v>
      </x:c>
      <x:c r="J87" s="18" t="str"/>
      <x:c r="K87" s="18" t="str">
        <x:v>thrusterBladeLossDesignEvidence</x:v>
      </x:c>
      <x:c r="L87" s="18" t="str"/>
      <x:c r="M87" s="18" t="str"/>
      <x:c r="N87" s="18" t="str">
        <x:v>maximumComponentLoadBladeOrientationConfirmed, thrusterBladeLossDesignEvidence</x:v>
      </x:c>
      <x:c r="O87" s="18" t="str"/>
      <x:c r="P87" s="18" t="str">
        <x:v>NO</x:v>
      </x:c>
      <x:c r="Q87" s="18" t="str">
        <x:v>SRC-TRAFICOM-2021</x:v>
      </x:c>
      <x:c r="R87" s="18" t="str">
        <x:v>Minimum R13 subgraph rooted at ship. Paths: thrusterBladeLossDesignEvidence. Evidence: maximumComponentLoadBladeOrientationConfirmed, thrusterBladeLossDesignEvidence. Use realistic regulation-grounded synthetic values and record them as REGULATION_SYNTHETIC.</x:v>
      </x:c>
      <x:c r="S87" s="18" t="str">
        <x:v>PASS_EVIDENCE_PRESENT; FAIL_MISSING_EVIDENCE; FAIL_WRONG_EVIDENCE_STATE_OR_OWNER; PASS_NOT_APPLICABLE where relevant.</x:v>
      </x:c>
      <x:c r="T87" s="18" t="str">
        <x:v>READY_FOR_RDF_DESIGN</x:v>
      </x:c>
      <x:c r="U87" s="18" t="str">
        <x:v>Freeze expected outcomes before generated SHACL is inspected.</x:v>
      </x:c>
    </x:row>
    <x:row r="88">
      <x:c r="A88" s="39" t="str">
        <x:v>TRF-114</x:v>
      </x:c>
      <x:c r="B88" s="18" t="str">
        <x:v>TRAFICOM/68863/03.04.01.00/2021</x:v>
      </x:c>
      <x:c r="C88" s="18" t="str">
        <x:v>6.6.5.2</x:v>
      </x:c>
      <x:c r="D88" s="18" t="str">
        <x:v>53</x:v>
      </x:c>
      <x:c r="E88" s="18" t="str">
        <x:v>COMPLEX_READINESS</x:v>
      </x:c>
      <x:c r="F88" s="18" t="str">
        <x:v>COMPLEX_READINESS / EVIDENCE</x:v>
      </x:c>
      <x:c r="G88" s="18" t="str">
        <x:v>D_REGULATION_SYNTHETIC</x:v>
      </x:c>
      <x:c r="H88" s="18" t="str">
        <x:v>Each linked impact case must reference TRAFICOM Table 6-3 for the design ice block and Table 6-16 for its load case, apply to the thruster body, and classify contact geometry. Non-hemispherical geometry additionally requires an equivalent sphere radius and correspondence evidence.</x:v>
      </x:c>
      <x:c r="I88" s="18" t="str">
        <x:v>ship</x:v>
      </x:c>
      <x:c r="J88" s="18" t="str">
        <x:v>designIceBlockTableReference, traficomTable6Dash3Reference, impactLoadCaseTableReference, traficomTable6Dash16Reference</x:v>
      </x:c>
      <x:c r="K88" s="18" t="str">
        <x:v>contactGeometryClassification, contactGeometryCorrespondenceEvidence, designIceBlockTableReference, hasThrusterIceImpactLoadCase, impactLoadCaseTableReference, thrusterIceImpactLoadedAreaEvidence, thrusterImpactCaseAppliesToBody</x:v>
      </x:c>
      <x:c r="L88" s="18" t="str">
        <x:v>iceOperatingSpeed, thrusterIceImpactLoad, thrusterIceImpactDemand, thrusterResistanceCapacity, contactGeometryClassification, equivalentImpactSphereRadius</x:v>
      </x:c>
      <x:c r="M88" s="18" t="str">
        <x:v>thrusterResistanceCapacity</x:v>
      </x:c>
      <x:c r="N88" s="18" t="str">
        <x:v>thrusterIceImpactLoadedAreaEvidence, contactGeometryCorrespondenceEvidence</x:v>
      </x:c>
      <x:c r="O88" s="18" t="str">
        <x:v>Each linked impact case must reference TRAFICOM Table 6-3 for the design ice block and Table 6-16 for its load case, apply to the thruster body, and classify contact geometry. Non-hemispherical geometry additionally requires an equivalent sphere radius and correspondence evidence.</x:v>
      </x:c>
      <x:c r="P88" s="18" t="str">
        <x:v>YES</x:v>
      </x:c>
      <x:c r="Q88" s="18" t="str">
        <x:v>SRC-TRAFICOM-2021</x:v>
      </x:c>
      <x:c r="R88" s="18" t="str">
        <x:v>Minimum R13 subgraph rooted at ship. Applicability: designIceBlockTableReference, traficomTable6Dash3Reference, impactLoadCaseTableReference, traficomTable6Dash16Reference. Paths: contactGeometryClassification, contactGeometryCorrespondenceEvidence, designIceBlockTableReference, hasThrusterIceImpactLoadCase, impactLoadCaseTableReference, thrusterIceImpactLoadedAreaEvidence, thrusterImpactCaseAppliesToBody. Operands: iceOperatingSpeed, thrusterIceImpactLoad, thrusterIceImpactDemand, thrusterResistanceCapacity, contactGeometryClassification, equivalentImpactSphereRadius. Results/interface: thrusterResistanceCapacity. Evidence: thrusterIceImpactLoadedAreaEvidence, contactGeometryCorrespondenceEvidence. Use realistic regulation-grounded synthetic values and record them as REGULATION_SYNTHETIC.</x:v>
      </x:c>
      <x:c r="S88" s="18" t="str">
        <x:v>PASS_READY; FAIL_MISSING_OPERAND; FAIL_MISSING_RESULT; FAIL_MISSING_EVIDENCE; FAIL_WRONG_PATH_OR_OWNER; PASS_NOT_APPLICABLE where source permits</x:v>
      </x:c>
      <x:c r="T88" s="18" t="str">
        <x:v>READY_FOR_RDF_DESIGN</x:v>
      </x:c>
      <x:c r="U88" s="18" t="str">
        <x:v>Readiness/interface semantics only; do not claim independent execution of advanced engineering analysis. Frozen source table/tableModel is the oracle.</x:v>
      </x:c>
    </x:row>
    <x:row r="89">
      <x:c r="A89" s="39" t="str">
        <x:v>TRF-116</x:v>
      </x:c>
      <x:c r="B89" s="18" t="str">
        <x:v>TRAFICOM/68863/03.04.01.00/2021</x:v>
      </x:c>
      <x:c r="C89" s="18" t="str">
        <x:v>6.6.5.2</x:v>
      </x:c>
      <x:c r="D89" s="18" t="str">
        <x:v>56</x:v>
      </x:c>
      <x:c r="E89" s="18" t="str">
        <x:v>COMPLEX_READINESS</x:v>
      </x:c>
      <x:c r="F89" s="18" t="str">
        <x:v>COMPLEX_READINESS</x:v>
      </x:c>
      <x:c r="G89" s="18" t="str">
        <x:v>D_REGULATION_SYNTHETIC</x:v>
      </x:c>
      <x:c r="H89" s="18" t="str">
        <x:v>For impacts on non-hemispherical areas, such as the impact on the nozzle, the equivalent impact sphere radius must be estimated using the equation below.</x:v>
      </x:c>
      <x:c r="I89" s="18" t="str">
        <x:v>ship</x:v>
      </x:c>
      <x:c r="J89" s="18" t="str"/>
      <x:c r="K89" s="18" t="str"/>
      <x:c r="L89" s="18" t="str">
        <x:v>nonHemisphericalImpactContactArea, designIceThickness, propellerHubOrThrusterEndCapImpact</x:v>
      </x:c>
      <x:c r="M89" s="18" t="str">
        <x:v>equivalentImpactSphereRadius</x:v>
      </x:c>
      <x:c r="N89" s="18" t="str"/>
      <x:c r="O89" s="18" t="str">
        <x:v>R_ceq=sqrt(A/pi); if 2*R_ceq&gt;H_iced then R_ceq=H_iced/2, except propeller-hub or thruster-end-cap impacts</x:v>
      </x:c>
      <x:c r="P89" s="18" t="str">
        <x:v>NO</x:v>
      </x:c>
      <x:c r="Q89" s="18" t="str">
        <x:v>SRC-TRAFICOM-2021</x:v>
      </x:c>
      <x:c r="R89" s="18" t="str">
        <x:v>Minimum R13 subgraph rooted at ship. Operands: nonHemisphericalImpactContactArea, designIceThickness, propellerHubOrThrusterEndCapImpact. Results/interface: equivalentImpactSphereRadius. Use realistic regulation-grounded synthetic values and record them as REGULATION_SYNTHETIC.</x:v>
      </x:c>
      <x:c r="S89" s="18" t="str">
        <x:v>PASS_READY; FAIL_MISSING_OPERAND; FAIL_MISSING_RESULT</x:v>
      </x:c>
      <x:c r="T89" s="18" t="str">
        <x:v>READY_FOR_RDF_DESIGN</x:v>
      </x:c>
      <x:c r="U89" s="18" t="str">
        <x:v>Readiness/interface semantics only; do not claim independent execution of advanced engineering analysis. R13 does not require formula execution.</x:v>
      </x:c>
    </x:row>
    <x:row r="90">
      <x:c r="A90" s="39" t="str">
        <x:v>TRF-118</x:v>
      </x:c>
      <x:c r="B90" s="18" t="str">
        <x:v>TRAFICOM/68863/03.04.01.00/2021</x:v>
      </x:c>
      <x:c r="C90" s="18" t="str">
        <x:v>6.6.5.4</x:v>
      </x:c>
      <x:c r="D90" s="18" t="str">
        <x:v>60</x:v>
      </x:c>
      <x:c r="E90" s="18" t="str">
        <x:v>COMPLEX_READINESS</x:v>
      </x:c>
      <x:c r="F90" s="18" t="str">
        <x:v>COMPLEX_READINESS</x:v>
      </x:c>
      <x:c r="G90" s="18" t="str">
        <x:v>D_REGULATION_SYNTHETIC</x:v>
      </x:c>
      <x:c r="H90" s="18"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 The assessment node pairs each component, the explicit factored load result, operability=true, and repairRequired=false.</x:v>
      </x:c>
      <x:c r="I90" s="18" t="str">
        <x:v>ship</x:v>
      </x:c>
      <x:c r="J90" s="18" t="str"/>
      <x:c r="K90" s="18" t="str">
        <x:v>assessedThrusterComponent, hasFactoredExtremeLoadOperabilityAssessment, hasMaterialProperties</x:v>
      </x:c>
      <x:c r="L90" s="18" t="str">
        <x:v>thrusterExtremeLoad, yieldSafetyFactor, nominalVonMisesStress, localStressConcentration, componentMaterialYieldStrength</x:v>
      </x:c>
      <x:c r="M90" s="18" t="str">
        <x:v>assessedFactoredExtremeLoad, assessmentOperabilityMaintained, assessmentRepairRequired</x:v>
      </x:c>
      <x:c r="N90" s="18" t="str"/>
      <x:c r="O90" s="18"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 The assessment node pairs each component, the explicit factored load result, operability=true, and repairRequired=false.</x:v>
      </x:c>
      <x:c r="P90" s="18" t="str">
        <x:v>NO</x:v>
      </x:c>
      <x:c r="Q90" s="18" t="str">
        <x:v>SRC-TRAFICOM-2021</x:v>
      </x:c>
      <x:c r="R90" s="18" t="str">
        <x:v>Minimum R13 subgraph rooted at ship. Paths: assessedThrusterComponent, hasFactoredExtremeLoadOperabilityAssessment, hasMaterialProperties. Operands: thrusterExtremeLoad, yieldSafetyFactor, nominalVonMisesStress, localStressConcentration, componentMaterialYieldStrength. Results/interface: assessedFactoredExtremeLoad, assessmentOperabilityMaintained, assessmentRepairRequired. Use realistic regulation-grounded synthetic values and record them as REGULATION_SYNTHETIC.</x:v>
      </x:c>
      <x:c r="S90" s="18" t="str">
        <x:v>PASS_READY; FAIL_MISSING_OPERAND; FAIL_MISSING_RESULT; FAIL_WRONG_PATH_OR_OWNER</x:v>
      </x:c>
      <x:c r="T90" s="18" t="str">
        <x:v>READY_FOR_RDF_DESIGN</x:v>
      </x:c>
      <x:c r="U90" s="18" t="str">
        <x:v>Readiness/interface semantics only; do not claim independent execution of advanced engineering analysis.</x:v>
      </x:c>
    </x:row>
    <x:row r="91">
      <x:c r="A91" s="39" t="str">
        <x:v>TRF-120</x:v>
      </x:c>
      <x:c r="B91" s="18" t="str">
        <x:v>TRAFICOM/68863/03.04.01.00/2021</x:v>
      </x:c>
      <x:c r="C91" s="18" t="str">
        <x:v>6.6.5.5</x:v>
      </x:c>
      <x:c r="D91" s="18" t="str">
        <x:v>60</x:v>
      </x:c>
      <x:c r="E91" s="18" t="str">
        <x:v>DIRECT_STATIC</x:v>
      </x:c>
      <x:c r="F91" s="18" t="str">
        <x:v>DIRECT_STATIC</x:v>
      </x:c>
      <x:c r="G91" s="18" t="str">
        <x:v>D_REGULATION_SYNTHETIC</x:v>
      </x:c>
      <x:c r="H91" s="18" t="str">
        <x:v>When estimating thruster global natural frequencies in the longitudinal and transverse direction, the damping and added mass due to water must be taken into account. In addition to this, the effect of ship attachment stiffness must be modelled.</x:v>
      </x:c>
      <x:c r="I91" s="18" t="str">
        <x:v>ship</x:v>
      </x:c>
      <x:c r="J91" s="18" t="str"/>
      <x:c r="K91" s="18" t="str">
        <x:v>hasNaturalFrequencyCalculationCase, vibrationDirection</x:v>
      </x:c>
      <x:c r="L91" s="18" t="str">
        <x:v>shipAttachmentStiffness, thrusterNaturalFrequency, waterAddedMass</x:v>
      </x:c>
      <x:c r="M91" s="18" t="str"/>
      <x:c r="N91" s="18" t="str"/>
      <x:c r="O91" s="18" t="str"/>
      <x:c r="P91" s="18" t="str">
        <x:v>NO</x:v>
      </x:c>
      <x:c r="Q91" s="18" t="str">
        <x:v>SRC-TRAFICOM-2021</x:v>
      </x:c>
      <x:c r="R91" s="18" t="str">
        <x:v>Minimum R13 subgraph rooted at ship. Paths: hasNaturalFrequencyCalculationCase, vibrationDirection. Operands: shipAttachmentStiffness, thrusterNaturalFrequency, waterAddedMass. Use realistic regulation-grounded synthetic values and record them as REGULATION_SYNTHETIC.</x:v>
      </x:c>
      <x:c r="S91" s="18" t="str">
        <x:v>PASS_VALID_SOURCE_STATE; FAIL_SINGLE_SEMANTIC_VIOLATION; FAIL_MISSING_REQUIRED_VALUE where mandated; PASS_NOT_APPLICABLE if conditional.</x:v>
      </x:c>
      <x:c r="T91" s="18" t="str">
        <x:v>READY_FOR_RDF_DESIGN</x:v>
      </x:c>
      <x:c r="U91" s="18" t="str">
        <x:v>Freeze expected outcomes before generated SHACL is inspected.</x:v>
      </x:c>
    </x:row>
    <x:row r="92">
      <x:c r="A92" s="39" t="str">
        <x:v>TRF-123</x:v>
      </x:c>
      <x:c r="B92" s="18" t="str">
        <x:v>TRAFICOM/68863/03.04.01.00/2021</x:v>
      </x:c>
      <x:c r="C92" s="18" t="str">
        <x:v>6.7.3</x:v>
      </x:c>
      <x:c r="D92" s="18" t="str">
        <x:v>61</x:v>
      </x:c>
      <x:c r="E92" s="18" t="str">
        <x:v>COMPLEX_READINESS</x:v>
      </x:c>
      <x:c r="F92" s="18" t="str">
        <x:v>COMPLEX_READINESS / EVIDENCE</x:v>
      </x:c>
      <x:c r="G92" s="18" t="str">
        <x:v>D_REGULATION_SYNTHETIC</x:v>
      </x:c>
      <x:c r="H92" s="18" t="str">
        <x:v>The analysis must confirm that all components transmitting random (occasional) forces, excluding propeller blade, are not subjected to stress levels in excess of the yield stress of the component material, with a reasonable safety margin.</x:v>
      </x:c>
      <x:c r="I92" s="18" t="str">
        <x:v>ship, occasionalForceLoadCase, shipComponent, materialProperties</x:v>
      </x:c>
      <x:c r="J92" s="18" t="str"/>
      <x:c r="K92" s="18" t="str">
        <x:v>hasOccasionalForceLoadCase, occasionalForceCaseAssessedComponent, hasMaterialProperties</x:v>
      </x:c>
      <x:c r="L92" s="18" t="str">
        <x:v>occasionalForceComponentStress, componentMaterialYieldStrength, componentYieldSafetyFactor</x:v>
      </x:c>
      <x:c r="M92" s="18" t="str">
        <x:v>componentYieldSafetyFactor</x:v>
      </x:c>
      <x:c r="N92" s="18" t="str">
        <x:v>propellerBladeExcludedFromOccasionalForceScope</x:v>
      </x:c>
      <x:c r="O92" s="18" t="str">
        <x:v>The analysis must confirm that all components transmitting random (occasional) forces, excluding propeller blade, are not subjected to stress levels in excess of the yield stress of the component material, with a reasonable safety margin.</x:v>
      </x:c>
      <x:c r="P92" s="18" t="str">
        <x:v>NO</x:v>
      </x:c>
      <x:c r="Q92" s="18" t="str">
        <x:v>SRC-TRAFICOM-2021</x:v>
      </x:c>
      <x:c r="R92" s="18" t="str">
        <x:v>Minimum R13 subgraph rooted at ship, occasionalForceLoadCase, shipComponent, materialProperties. Paths: hasOccasionalForceLoadCase, occasionalForceCaseAssessedComponent, hasMaterialProperties. Operands: occasionalForceComponentStress, componentMaterialYieldStrength, componentYieldSafetyFactor. Results/interface: componentYieldSafetyFactor. Evidence: propellerBladeExcludedFromOccasionalForceScope. Use realistic regulation-grounded synthetic values and record them as REGULATION_SYNTHETIC.</x:v>
      </x:c>
      <x:c r="S92" s="18" t="str">
        <x:v>PASS_READY; FAIL_MISSING_OPERAND; FAIL_MISSING_RESULT; FAIL_MISSING_EVIDENCE; FAIL_WRONG_PATH_OR_OWNER</x:v>
      </x:c>
      <x:c r="T92" s="18" t="str">
        <x:v>READY_FOR_RDF_DESIGN</x:v>
      </x:c>
      <x:c r="U92" s="18" t="str">
        <x:v>Readiness/interface semantics only; do not claim independent execution of advanced engineering analysis.</x:v>
      </x:c>
    </x:row>
    <x:row r="93">
      <x:c r="A93" s="39" t="str">
        <x:v>TRF-126</x:v>
      </x:c>
      <x:c r="B93" s="18" t="str">
        <x:v>TRAFICOM/68863/03.04.01.00/2021</x:v>
      </x:c>
      <x:c r="C93" s="18" t="str">
        <x:v>7.1</x:v>
      </x:c>
      <x:c r="D93" s="18" t="str">
        <x:v>61</x:v>
      </x:c>
      <x:c r="E93" s="18" t="str">
        <x:v>DIRECT_STATIC</x:v>
      </x:c>
      <x:c r="F93" s="18" t="str">
        <x:v>IF_THEN / APPLICABILITY</x:v>
      </x:c>
      <x:c r="G93" s="18" t="str">
        <x:v>C_REAL_CONTEXT_CONTROLLED</x:v>
      </x:c>
      <x:c r="H93" s="18" t="str">
        <x:v>IF propulsion_engine_reversed_for_astern = true, THEN air_receiver_consecutive_start_capacity &gt;= 12; otherwise air_receiver_consecutive_start_capacity &gt;= 6.</x:v>
      </x:c>
      <x:c r="I93" s="18" t="str">
        <x:v>ship</x:v>
      </x:c>
      <x:c r="J93" s="18" t="str"/>
      <x:c r="K93" s="18" t="str"/>
      <x:c r="L93" s="18" t="str"/>
      <x:c r="M93" s="18" t="str"/>
      <x:c r="N93" s="18" t="str"/>
      <x:c r="O93" s="18" t="str"/>
      <x:c r="P93" s="18" t="str">
        <x:v>NO</x:v>
      </x:c>
      <x:c r="Q93" s="18" t="str">
        <x:v>SRC-TRAFICOM-2021</x:v>
      </x:c>
      <x:c r="R93" s="18" t="str">
        <x:v>Minimum R13 subgraph rooted at ship. Use published ship/sample-ship facts where available for context; record any manipulated value as CONTROLLED_MUTATION.</x:v>
      </x:c>
      <x:c r="S93" s="18" t="str">
        <x:v>PASS_APPLICABLE; FAIL_APPLICABLE; PASS_NOT_APPLICABLE; BOUNDARY trigger case where meaningful.</x:v>
      </x:c>
      <x:c r="T93" s="18" t="str">
        <x:v>READY_FOR_RDF_DESIGN</x:v>
      </x:c>
      <x:c r="U93" s="18" t="str">
        <x:v>Freeze expected outcomes before generated SHACL is inspected.</x:v>
      </x:c>
    </x:row>
    <x:row r="94">
      <x:c r="A94" s="39" t="str">
        <x:v>TRF-127</x:v>
      </x:c>
      <x:c r="B94" s="18" t="str">
        <x:v>TRAFICOM/68863/03.04.01.00/2021</x:v>
      </x:c>
      <x:c r="C94" s="18" t="str">
        <x:v>7.1</x:v>
      </x:c>
      <x:c r="D94" s="18" t="str">
        <x:v>61</x:v>
      </x:c>
      <x:c r="E94" s="18" t="str">
        <x:v>DIRECT_STATIC</x:v>
      </x:c>
      <x:c r="F94" s="18" t="str">
        <x:v>IF_THEN / CAPACITY</x:v>
      </x:c>
      <x:c r="G94" s="18" t="str">
        <x:v>D_REGULATION_SYNTHETIC</x:v>
      </x:c>
      <x:c r="H94" s="18" t="str">
        <x:v>If airReceiverServesAdditionalPurpose is true, the existing airReceiverCapacity shall be sufficient for additionalPurposeRequiredAirCapacity. No starting-air baseline sum is stated or inferred.</x:v>
      </x:c>
      <x:c r="I94" s="18" t="str">
        <x:v>ship</x:v>
      </x:c>
      <x:c r="J94" s="18" t="str">
        <x:v>airReceiverServesAdditionalPurpose</x:v>
      </x:c>
      <x:c r="K94" s="18" t="str"/>
      <x:c r="L94" s="18" t="str">
        <x:v>airReceiverCapacity, additionalPurposeRequiredAirCapacity</x:v>
      </x:c>
      <x:c r="M94" s="18" t="str">
        <x:v>additionalPurposeRequiredAirCapacity</x:v>
      </x:c>
      <x:c r="N94" s="18" t="str"/>
      <x:c r="O94" s="18" t="str"/>
      <x:c r="P94" s="18" t="str">
        <x:v>NO</x:v>
      </x:c>
      <x:c r="Q94" s="18" t="str">
        <x:v>SRC-TRAFICOM-2021</x:v>
      </x:c>
      <x:c r="R94" s="18" t="str">
        <x:v>Minimum R13 subgraph rooted at ship. Applicability: airReceiverServesAdditionalPurpose. Operands: airReceiverCapacity, additionalPurposeRequiredAirCapacity. Results/interface: additionalPurposeRequiredAirCapacity. Use realistic regulation-grounded synthetic values and record them as REGULATION_SYNTHETIC.</x:v>
      </x:c>
      <x:c r="S94" s="18" t="str">
        <x:v>PASS additional-purpose=false without invented extra-capacity obligation; PASS true with sufficient existing capacity; FAIL true with insufficient capacity; do not invent a starting-air baseline sum.</x:v>
      </x:c>
      <x:c r="T94" s="18" t="str">
        <x:v>READY_FOR_RDF_DESIGN</x:v>
      </x:c>
      <x:c r="U94" s="18" t="str">
        <x:v>Freeze expected outcomes before generated SHACL is inspected.</x:v>
      </x:c>
    </x:row>
    <x:row r="95">
      <x:c r="A95" s="39" t="str">
        <x:v>TRF-128</x:v>
      </x:c>
      <x:c r="B95" s="18" t="str">
        <x:v>TRAFICOM/68863/03.04.01.00/2021</x:v>
      </x:c>
      <x:c r="C95" s="18" t="str">
        <x:v>7.1</x:v>
      </x:c>
      <x:c r="D95" s="18" t="str">
        <x:v>61</x:v>
      </x:c>
      <x:c r="E95" s="18" t="str">
        <x:v>DIRECT_STATIC</x:v>
      </x:c>
      <x:c r="F95" s="18" t="str">
        <x:v>IF_THEN / APPLICABILITY</x:v>
      </x:c>
      <x:c r="G95" s="18" t="str">
        <x:v>C_REAL_CONTEXT_CONTROLLED</x:v>
      </x:c>
      <x:c r="H95" s="18" t="str">
        <x:v>If iceClass is IA Super and propulsionEngineReversalRequiredForAstern is true, compressorChargeTime must be at most 0.5 hour; otherwise compressorChargeTime must be at most 1 hour.</x:v>
      </x:c>
      <x:c r="I95" s="18" t="str">
        <x:v>ship</x:v>
      </x:c>
      <x:c r="J95" s="18" t="str">
        <x:v>iceClass, propulsionEngineReversalRequiredForAstern</x:v>
      </x:c>
      <x:c r="K95" s="18" t="str">
        <x:v>iceClass</x:v>
      </x:c>
      <x:c r="L95" s="18" t="str"/>
      <x:c r="M95" s="18" t="str"/>
      <x:c r="N95" s="18" t="str"/>
      <x:c r="O95" s="18" t="str"/>
      <x:c r="P95" s="18" t="str">
        <x:v>NO</x:v>
      </x:c>
      <x:c r="Q95" s="18" t="str">
        <x:v>SRC-TRAFICOM-2021</x:v>
      </x:c>
      <x:c r="R95" s="18" t="str">
        <x:v>Minimum R13 subgraph rooted at ship. Applicability: iceClass, propulsionEngineReversalRequiredForAstern. Paths: iceClass. Use published ship/sample-ship facts where available for context; record any manipulated value as CONTROLLED_MUTATION.</x:v>
      </x:c>
      <x:c r="S95" s="18" t="str">
        <x:v>PASS_APPLICABLE; FAIL_APPLICABLE; PASS_NOT_APPLICABLE; BOUNDARY trigger case where meaningful.</x:v>
      </x:c>
      <x:c r="T95" s="18" t="str">
        <x:v>READY_FOR_RDF_DESIGN</x:v>
      </x:c>
      <x:c r="U95" s="18" t="str">
        <x:v>Freeze expected outcomes before generated SHACL is inspected.</x:v>
      </x:c>
    </x:row>
    <x:row r="96">
      <x:c r="A96" s="39" t="str">
        <x:v>TRF-129</x:v>
      </x:c>
      <x:c r="B96" s="18" t="str">
        <x:v>TRAFICOM/68863/03.04.01.00/2021</x:v>
      </x:c>
      <x:c r="C96" s="18" t="str">
        <x:v>7.2</x:v>
      </x:c>
      <x:c r="D96" s="18" t="str">
        <x:v>61</x:v>
      </x:c>
      <x:c r="E96" s="18" t="str">
        <x:v>DIRECT_STATIC</x:v>
      </x:c>
      <x:c r="F96" s="18" t="str">
        <x:v>IF_THEN / APPLICABILITY</x:v>
      </x:c>
      <x:c r="G96" s="18" t="str">
        <x:v>C_REAL_CONTEXT_CONTROLLED</x:v>
      </x:c>
      <x:c r="H96" s="18" t="str">
        <x:v>The cooling water system shall be designed to secure the supply of cooling water when navigating in ice.</x:v>
      </x:c>
      <x:c r="I96" s="18" t="str">
        <x:v>ship</x:v>
      </x:c>
      <x:c r="J96" s="18" t="str">
        <x:v>iceNavigationCondition, navigatingInIce</x:v>
      </x:c>
      <x:c r="K96" s="18" t="str"/>
      <x:c r="L96" s="18" t="str"/>
      <x:c r="M96" s="18" t="str"/>
      <x:c r="N96" s="18" t="str"/>
      <x:c r="O96" s="18" t="str"/>
      <x:c r="P96" s="18" t="str">
        <x:v>NO</x:v>
      </x:c>
      <x:c r="Q96" s="18" t="str">
        <x:v>SRC-TRAFICOM-2021</x:v>
      </x:c>
      <x:c r="R96" s="18" t="str">
        <x:v>Minimum R13 subgraph rooted at ship. Applicability: iceNavigationCondition, navigatingInIce. Use published ship/sample-ship facts where available for context; record any manipulated value as CONTROLLED_MUTATION.</x:v>
      </x:c>
      <x:c r="S96" s="18" t="str">
        <x:v>PASS_APPLICABLE; FAIL_APPLICABLE; PASS_NOT_APPLICABLE; BOUNDARY trigger case where meaningful.</x:v>
      </x:c>
      <x:c r="T96" s="18" t="str">
        <x:v>READY_FOR_RDF_DESIGN</x:v>
      </x:c>
      <x:c r="U96" s="18" t="str">
        <x:v>Freeze expected outcomes before generated SHACL is inspected.</x:v>
      </x:c>
    </x:row>
    <x:row r="97">
      <x:c r="A97" s="39" t="str">
        <x:v>TRF-130</x:v>
      </x:c>
      <x:c r="B97" s="18" t="str">
        <x:v>TRAFICOM/68863/03.04.01.00/2021</x:v>
      </x:c>
      <x:c r="C97" s="18" t="str">
        <x:v>7.2</x:v>
      </x:c>
      <x:c r="D97" s="18" t="str">
        <x:v>62</x:v>
      </x:c>
      <x:c r="E97" s="18" t="str">
        <x:v>DIRECT_CALCULATION</x:v>
      </x:c>
      <x:c r="F97" s="18" t="str">
        <x:v>PIECEWISE_FORMULA</x:v>
      </x:c>
      <x:c r="G97" s="18" t="str">
        <x:v>D_REGULATION_SYNTHETIC</x:v>
      </x:c>
      <x:c r="H97" s="18" t="str">
        <x:v>At least one cooling-water inlet chest shall satisfy: sea_inlet_location = near_centreline_and_well_aft_if_possible; recommended_chest_volume_m3 approximately total_relevant_engine_power_kW/750; ice_accumulation_space_above_inlet = true; full_capacity_discharge_pipe_connected = true; strainer_open_area_m2 &gt;= 4*inlet_pipe_area_m2. If paragraphs 2 and 3 cannot be met, two smaller alternating intake/discharge chests may be used. Heating coils are optional.</x:v>
      </x:c>
      <x:c r="I97" s="18" t="str">
        <x:v>ship, inletChest</x:v>
      </x:c>
      <x:c r="J97" s="18" t="str">
        <x:v>coolingWaterChestVolumeAndHeightRequirementsCannotBeMet, coolingWaterChestAlternativeArrangementUsed</x:v>
      </x:c>
      <x:c r="K97" s="18" t="str">
        <x:v>hasComponent</x:v>
      </x:c>
      <x:c r="L97" s="18" t="str">
        <x:v>totalRelevantEnginePower, maximumContinuousRatingPower, recommendedChestVolume, seaChestVolume, strainerOpenArea, inletPipeArea, strainerOpenAreaRatio</x:v>
      </x:c>
      <x:c r="M97" s="18" t="str">
        <x:v>recommendedChestVolume, strainerOpenAreaRatio</x:v>
      </x:c>
      <x:c r="N97" s="18" t="str"/>
      <x:c r="O97" s="18" t="str">
        <x:v>For every inletChest, recommendedChestVolume is approximately totalRelevantEnginePower/750 and strainerOpenArea &gt;= 4*inletPipeArea. At least one hasComponent object typed inletChest is required; if the volume/height selector is true, at least two smaller inletChest components with alternatingCoolingWaterIntakeAndDischarge true are required.</x:v>
      </x:c>
      <x:c r="P97" s="18" t="str">
        <x:v>NO</x:v>
      </x:c>
      <x:c r="Q97" s="18" t="str">
        <x:v>SRC-TRAFICOM-2021</x:v>
      </x:c>
      <x:c r="R97" s="18" t="str">
        <x:v>Minimum R13 subgraph rooted at ship, inletChest. Applicability: coolingWaterChestVolumeAndHeightRequirementsCannotBeMet, coolingWaterChestAlternativeArrangementUsed. Paths: hasComponent. Operands: totalRelevantEnginePower, maximumContinuousRatingPower, recommendedChestVolume, seaChestVolume, strainerOpenArea, inletPipeArea, strainerOpenAreaRatio. Results/interface: recommendedChestVolume, strainerOpenAreaRatio. Use realistic regulation-grounded synthetic values and record them as REGULATION_SYNTHETIC.</x:v>
      </x:c>
      <x:c r="S97" s="18" t="str">
        <x:v>PASS each permitted route independently; FAIL_NONE; PASS_BOTH only if allowed; PASS_NOT_APPLICABLE if conditional.</x:v>
      </x:c>
      <x:c r="T97" s="18" t="str">
        <x:v>READY_FOR_RDF_DESIGN</x:v>
      </x:c>
      <x:c r="U97" s="18" t="str">
        <x:v>Freeze expected outcomes before generated SHACL is inspected.</x:v>
      </x:c>
    </x:row>
    <x:row r="98">
      <x:c r="A98" s="39" t="str">
        <x:v>TRF-131</x:v>
      </x:c>
      <x:c r="B98" s="18" t="str">
        <x:v>TRAFICOM/68863/03.04.01.00/2021</x:v>
      </x:c>
      <x:c r="C98" s="18" t="str">
        <x:v>7.2</x:v>
      </x:c>
      <x:c r="D98" s="18" t="str">
        <x:v>62</x:v>
      </x:c>
      <x:c r="E98" s="18" t="str">
        <x:v>DIRECT_STATIC</x:v>
      </x:c>
      <x:c r="F98" s="18" t="str">
        <x:v>DIRECT_STATIC</x:v>
      </x:c>
      <x:c r="G98" s="18" t="str">
        <x:v>C_REAL_CONTEXT_CONTROLLED</x:v>
      </x:c>
      <x:c r="H98" s="18" t="str">
        <x:v>Arrangements for using ballast water for cooling purposes may be useful as a reserve in terms of ballast, but cannot be accepted as a substitute for an inlet chest as described above.</x:v>
      </x:c>
      <x:c r="I98" s="18" t="str">
        <x:v>ship</x:v>
      </x:c>
      <x:c r="J98" s="18" t="str"/>
      <x:c r="K98" s="18" t="str"/>
      <x:c r="L98" s="18" t="str"/>
      <x:c r="M98" s="18" t="str"/>
      <x:c r="N98" s="18" t="str"/>
      <x:c r="O98" s="18" t="str"/>
      <x:c r="P98" s="18" t="str">
        <x:v>NO</x:v>
      </x:c>
      <x:c r="Q98" s="18" t="str">
        <x:v>SRC-TRAFICOM-2021</x:v>
      </x:c>
      <x:c r="R98" s="18" t="str">
        <x:v>Minimum R13 subgraph rooted at ship. Use published ship/sample-ship facts where available for context; record any manipulated value as CONTROLLED_MUTATION.</x:v>
      </x:c>
      <x:c r="S98" s="18" t="str">
        <x:v>PASS_VALID_SOURCE_STATE; FAIL_SINGLE_SEMANTIC_VIOLATION; FAIL_MISSING_REQUIRED_VALUE where mandated; PASS_NOT_APPLICABLE if conditional.</x:v>
      </x:c>
      <x:c r="T98" s="18" t="str">
        <x:v>READY_FOR_RDF_DESIGN</x:v>
      </x:c>
      <x:c r="U98" s="18" t="str">
        <x:v>Freeze expected outcomes before generated SHACL is inspected.</x:v>
      </x:c>
    </x:row>
    <x:row r="99">
      <x:c r="A99" s="39" t="str">
        <x:v>TRF-132</x:v>
      </x:c>
      <x:c r="B99" s="18" t="str">
        <x:v>TRAFICOM/68863/03.04.01.00/2021</x:v>
      </x:c>
      <x:c r="C99" s="18" t="str">
        <x:v>8</x:v>
      </x:c>
      <x:c r="D99" s="18" t="str">
        <x:v>64</x:v>
      </x:c>
      <x:c r="E99" s="18" t="str">
        <x:v>DIRECT_CALCULATION</x:v>
      </x:c>
      <x:c r="F99" s="18" t="str">
        <x:v>FORMULA / COMPARISON</x:v>
      </x:c>
      <x:c r="G99" s="18" t="str">
        <x:v>C_REAL_CONTEXT_CONTROLLED</x:v>
      </x:c>
      <x:c r="H99" s="18" t="str">
        <x:v>The engine output shall be no less than P = f_1*f_2*f_3*(f_4*Delta + P_0) [kW], and in no case less than 740 kW for ice classes IB and IC.</x:v>
      </x:c>
      <x:c r="I99" s="18" t="str">
        <x:v>ship</x:v>
      </x:c>
      <x:c r="J99" s="18" t="str">
        <x:v>iceClass</x:v>
      </x:c>
      <x:c r="K99" s="18" t="str"/>
      <x:c r="L99" s="18" t="str">
        <x:v>engineOutputFormulaBasePowerP0, engineOutputFormulaDisplacement</x:v>
      </x:c>
      <x:c r="M99" s="18" t="str">
        <x:v>engineOutputFormulaFactorF1, engineOutputFormulaFactorF2, engineOutputFormulaFactorF3, engineOutputFormulaFactorF4</x:v>
      </x:c>
      <x:c r="N99" s="18" t="str"/>
      <x:c r="O99" s="18" t="str"/>
      <x:c r="P99" s="18" t="str">
        <x:v>NO</x:v>
      </x:c>
      <x:c r="Q99" s="18" t="str">
        <x:v>SRC-TRAFICOM-2021</x:v>
      </x:c>
      <x:c r="R99" s="18" t="str">
        <x:v>Minimum R13 subgraph rooted at ship. Applicability: iceClass. Operands: engineOutputFormulaBasePowerP0, engineOutputFormulaDisplacement. Results/interface: engineOutputFormulaFactorF1, engineOutputFormulaFactorF2, engineOutputFormulaFactorF3, engineOutputFormulaFactorF4. Use published ship/sample-ship facts where available for context; record any manipulated value as CONTROLLED_MUTATION.</x:v>
      </x:c>
      <x:c r="S99" s="18" t="str">
        <x:v>PASS each permitted route independently; FAIL_NONE; PASS_BOTH only if allowed; PASS_NOT_APPLICABLE if conditional.</x:v>
      </x:c>
      <x:c r="T99" s="18" t="str">
        <x:v>READY_FOR_RDF_DESIGN</x:v>
      </x:c>
      <x:c r="U99" s="18" t="str">
        <x:v>Freeze expected outcomes before generated SHACL is inspected.</x:v>
      </x:c>
    </x:row>
    <x:row r="100">
      <x:c r="A100" s="39" t="str">
        <x:v>TRF-133</x:v>
      </x:c>
      <x:c r="B100" s="18" t="str">
        <x:v>TRAFICOM/68863/03.04.01.00/2021</x:v>
      </x:c>
      <x:c r="C100" s="18" t="str">
        <x:v>8</x:v>
      </x:c>
      <x:c r="D100" s="18" t="str">
        <x:v>65</x:v>
      </x:c>
      <x:c r="E100" s="18" t="str">
        <x:v>DIRECT_STATIC</x:v>
      </x:c>
      <x:c r="F100" s="18" t="str">
        <x:v>IF_THEN / APPLICABILITY</x:v>
      </x:c>
      <x:c r="G100" s="18" t="str">
        <x:v>C_REAL_CONTEXT_CONTROLLED</x:v>
      </x:c>
      <x:c r="H100" s="18" t="str">
        <x:v>warningTriangleUpperEdgeVerticallyAboveIceMark shall be true. If timberLoadLineMarkApplicable is true, draughtMarkAftReferencePoint shall be timberLoadLineVerticalReference; otherwise it shall be loadLineRingCentreReference. All existing Annex III dimensions and marking constraints remain unchanged.</x:v>
      </x:c>
      <x:c r="I100" s="18" t="str">
        <x:v>ship, warningTriangleMarking, iceClassDraughtMarking</x:v>
      </x:c>
      <x:c r="J100" s="18" t="str">
        <x:v>hasIceClassDraughtMarking, iceClass, timberLoadLineMarkApplicable</x:v>
      </x:c>
      <x:c r="K100" s="18" t="str">
        <x:v>hasWarningTriangleMarking, hasIceClassDraughtMarking, draughtMarkAftReferencePoint, reflectingMarkingColour</x:v>
      </x:c>
      <x:c r="L100" s="18" t="str">
        <x:v>draughtMarkAftOffset, markingPlateThickness, verticalOffsetAboveSummerFreshWaterLoadLine, warningTriangleSideLength</x:v>
      </x:c>
      <x:c r="M100" s="18" t="str">
        <x:v>markingPlateThickness</x:v>
      </x:c>
      <x:c r="N100" s="18" t="str">
        <x:v>warningTriangleUpperEdgeVerticallyAboveIceMark</x:v>
      </x:c>
      <x:c r="O100" s="18" t="str"/>
      <x:c r="P100" s="18" t="str">
        <x:v>NO</x:v>
      </x:c>
      <x:c r="Q100" s="18" t="str">
        <x:v>SRC-TRAFICOM-2021</x:v>
      </x:c>
      <x:c r="R100" s="18" t="str">
        <x:v>Minimum R13 subgraph rooted at ship, warningTriangleMarking, iceClassDraughtMarking. Applicability: hasIceClassDraughtMarking, iceClass, timberLoadLineMarkApplicable. Paths: hasWarningTriangleMarking, hasIceClassDraughtMarking, draughtMarkAftReferencePoint, reflectingMarkingColour. Operands: draughtMarkAftOffset, markingPlateThickness, verticalOffsetAboveSummerFreshWaterLoadLine, warningTriangleSideLength. Results/interface: markingPlateThickness. Evidence: warningTriangleUpperEdgeVerticallyAboveIceMark. Use published ship/sample-ship facts where available for context; record any manipulated value as CONTROLLED_MUTATION.</x:v>
      </x:c>
      <x:c r="S100" s="18" t="str">
        <x:v>PASS_APPLICABLE; FAIL_APPLICABLE; PASS_NOT_APPLICABLE; BOUNDARY trigger case where meaningful.</x:v>
      </x:c>
      <x:c r="T100" s="18" t="str">
        <x:v>READY_FOR_RDF_DESIGN</x:v>
      </x:c>
      <x:c r="U100" s="18" t="str">
        <x:v>Freeze expected outcomes before generated SHACL is inspected.</x:v>
      </x:c>
    </x:row>
  </x:sheetData>
  <x:conditionalFormatting sqref="E2:E100">
    <x:cfRule type="expression" dxfId="4" priority="1">
      <x:formula>E2="COMPLEX_READINESS"</x:formula>
    </x:cfRule>
  </x:conditionalFormatting>
  <x:conditionalFormatting sqref="G2:G100">
    <x:cfRule type="expression" dxfId="5" priority="2">
      <x:formula>LEFT(G2,2)="B_"</x:formula>
    </x:cfRule>
    <x:cfRule type="expression" dxfId="6" priority="3">
      <x:formula>LEFT(G2,2)="C_"</x:formula>
    </x:cfRule>
    <x:cfRule type="expression" dxfId="7" priority="4">
      <x:formula>LEFT(G2,2)="D_"</x:formula>
    </x:cfRule>
  </x:conditionalFormatting>
  <x:conditionalFormatting sqref="T2:T100">
    <x:cfRule type="expression" dxfId="8" priority="5">
      <x:formula>T2="READY_FOR_RDF_DESIGN"</x:formula>
    </x:cfRule>
  </x:conditionalFormatting>
  <x:pageMargins left="0.7" right="0.7" top="0.75" bottom="0.75" header="0.3" footer="0.3"/>
  <x:tableParts count="1">
    <x:tablePart xmlns:r="http://schemas.openxmlformats.org/officeDocument/2006/relationships" r:id="Re50c707460da4fde"/>
  </x:tableParts>
</x:worksheet>
</file>

<file path=xl/worksheets/sheet6.xml><?xml version="1.0" encoding="utf-8"?>
<x:worksheet xmlns:x="http://schemas.openxmlformats.org/spreadsheetml/2006/main">
  <x:sheetFormatPr defaultRowHeight="15"/>
  <x:cols>
    <x:col min="1" max="1" width="16" hidden="0" customWidth="1"/>
    <x:col min="2" max="2" width="39" hidden="0" customWidth="1"/>
    <x:col min="3" max="3" width="18" hidden="0" customWidth="1"/>
    <x:col min="4" max="4" width="10" hidden="0" customWidth="1"/>
    <x:col min="5" max="5" width="20" hidden="0" customWidth="1"/>
    <x:col min="6" max="6" width="30" hidden="0" customWidth="1"/>
    <x:col min="7" max="7" width="28" hidden="0" customWidth="1"/>
    <x:col min="8" max="8" width="64" hidden="0" customWidth="1"/>
    <x:col min="9" max="9" width="24" hidden="0" customWidth="1"/>
    <x:col min="10" max="10" width="38" hidden="0" customWidth="1"/>
    <x:col min="11" max="11" width="40" hidden="0" customWidth="1"/>
    <x:col min="12" max="12" width="48" hidden="0" customWidth="1"/>
    <x:col min="13" max="13" width="45" hidden="0" customWidth="1"/>
    <x:col min="14" max="14" width="42" hidden="0" customWidth="1"/>
    <x:col min="15" max="15" width="58" hidden="0" customWidth="1"/>
    <x:col min="16" max="16" width="13" hidden="0" customWidth="1"/>
    <x:col min="17" max="17" width="48" hidden="0" customWidth="1"/>
    <x:col min="18" max="18" width="78" hidden="0" customWidth="1"/>
    <x:col min="19" max="19" width="84" hidden="0" customWidth="1"/>
    <x:col min="20" max="20" width="22" hidden="0" customWidth="1"/>
    <x:col min="21" max="21" width="64" hidden="0" customWidth="1"/>
  </x:cols>
  <x:sheetData>
    <x:row r="1">
      <x:c r="A1" s="44" t="str">
        <x:v>Requirement ID</x:v>
      </x:c>
      <x:c r="B1" s="44" t="str">
        <x:v>Regulatory document</x:v>
      </x:c>
      <x:c r="C1" s="44" t="str">
        <x:v>Clause</x:v>
      </x:c>
      <x:c r="D1" s="44" t="str">
        <x:v>PDF page</x:v>
      </x:c>
      <x:c r="E1" s="44" t="str">
        <x:v>Verification mode</x:v>
      </x:c>
      <x:c r="F1" s="44" t="str">
        <x:v>Logic pattern</x:v>
      </x:c>
      <x:c r="G1" s="44" t="str">
        <x:v>Provenance class</x:v>
      </x:c>
      <x:c r="H1" s="44" t="str">
        <x:v>R13 normalized regulatory meaning</x:v>
      </x:c>
      <x:c r="I1" s="44" t="str">
        <x:v>Owner classes</x:v>
      </x:c>
      <x:c r="J1" s="44" t="str">
        <x:v>Applicability terms</x:v>
      </x:c>
      <x:c r="K1" s="44" t="str">
        <x:v>Relationship terms</x:v>
      </x:c>
      <x:c r="L1" s="44" t="str">
        <x:v>Operand terms</x:v>
      </x:c>
      <x:c r="M1" s="44" t="str">
        <x:v>Result terms</x:v>
      </x:c>
      <x:c r="N1" s="44" t="str">
        <x:v>Evidence terms</x:v>
      </x:c>
      <x:c r="O1" s="44" t="str">
        <x:v>Formula expression (if any)</x:v>
      </x:c>
      <x:c r="P1" s="44" t="str">
        <x:v>Table model?</x:v>
      </x:c>
      <x:c r="Q1" s="44" t="str">
        <x:v>Source IDs</x:v>
      </x:c>
      <x:c r="R1" s="44" t="str">
        <x:v>Test data / graph design</x:v>
      </x:c>
      <x:c r="S1" s="44" t="str">
        <x:v>Planned behavioral cases</x:v>
      </x:c>
      <x:c r="T1" s="44" t="str">
        <x:v>Status</x:v>
      </x:c>
      <x:c r="U1" s="44" t="str">
        <x:v>Notes / interpretation boundary</x:v>
      </x:c>
    </x:row>
    <x:row r="2">
      <x:c r="A2" s="46" t="str">
        <x:v>IMO-001</x:v>
      </x:c>
      <x:c r="B2" s="18" t="str">
        <x:v>IMO Polar Code — MSC.385(94) / MEPC.264(68)</x:v>
      </x:c>
      <x:c r="C2" s="18" t="str">
        <x:v>2.1</x:v>
      </x:c>
      <x:c r="D2" s="18" t="str">
        <x:v>9</x:v>
      </x:c>
      <x:c r="E2" s="18" t="str">
        <x:v>DIRECT_STATIC</x:v>
      </x:c>
      <x:c r="F2" s="18" t="str">
        <x:v>IF_THEN / APPLICABILITY</x:v>
      </x:c>
      <x:c r="G2" s="18" t="str">
        <x:v>C_REAL_CONTEXT_CONTROLLED</x:v>
      </x:c>
      <x:c r="H2" s="18" t="str">
        <x:v>If designIceCondition is mediumFirstYearIceWithPossibleOldIceInclusions, shipCategory shall be polarShipCategoryA.</x:v>
      </x:c>
      <x:c r="I2" s="18" t="str">
        <x:v>ship</x:v>
      </x:c>
      <x:c r="J2" s="18" t="str">
        <x:v>designIceCondition</x:v>
      </x:c>
      <x:c r="K2" s="18" t="str">
        <x:v>designIceCondition, shipCategory</x:v>
      </x:c>
      <x:c r="L2" s="18" t="str"/>
      <x:c r="M2" s="18" t="str"/>
      <x:c r="N2" s="18" t="str"/>
      <x:c r="O2" s="18" t="str"/>
      <x:c r="P2" s="18" t="str">
        <x:v>NO</x:v>
      </x:c>
      <x:c r="Q2" s="18" t="str">
        <x:v>SRC-IMO-POLAR-CODE; SRC-PAME-PSC; SRC-SKAGERAK-PSC; SRC-NUYINA</x:v>
      </x:c>
      <x:c r="R2" s="18" t="str">
        <x:v>Instantiate only the minimum R13 subgraph rooted at ship. Applicability selectors: designIceCondition. R13 paths: designIceCondition, shipCategory. Use a documented real vessel/certificate fact for ship context/applicability where available; create clearly labelled CONTROLLED_MUTATION values for the requirement-specific pass/fail branches not publicly documented.</x:v>
      </x:c>
      <x:c r="S2" s="18" t="str">
        <x:v>PASS_APPLICABLE; FAIL_APPLICABLE; PASS_NOT_APPLICABLE; boundary case for date/numeric applicability where meaningful.</x:v>
      </x:c>
      <x:c r="T2" s="18" t="str">
        <x:v>READY_FOR_RDF_DESIGN</x:v>
      </x:c>
      <x:c r="U2" s="18" t="str">
        <x:v>Expected outcomes are fixed from the source regulation and R13 before any generated SHACL is inspected.</x:v>
      </x:c>
    </x:row>
    <x:row r="3">
      <x:c r="A3" s="46" t="str">
        <x:v>IMO-002</x:v>
      </x:c>
      <x:c r="B3" s="18" t="str">
        <x:v>IMO Polar Code — MSC.385(94) / MEPC.264(68)</x:v>
      </x:c>
      <x:c r="C3" s="18" t="str">
        <x:v>2.2</x:v>
      </x:c>
      <x:c r="D3" s="18" t="str">
        <x:v>9</x:v>
      </x:c>
      <x:c r="E3" s="18" t="str">
        <x:v>DIRECT_STATIC</x:v>
      </x:c>
      <x:c r="F3" s="18" t="str">
        <x:v>IF_THEN / APPLICABILITY</x:v>
      </x:c>
      <x:c r="G3" s="18" t="str">
        <x:v>C_REAL_CONTEXT_CONTROLLED</x:v>
      </x:c>
      <x:c r="H3" s="18" t="str">
        <x:v>IF designIceCondition = thinFirstYearIceWithPossibleOldIceInclusions and the ship is not category A, THEN shipCategory = B.</x:v>
      </x:c>
      <x:c r="I3" s="18" t="str">
        <x:v>ship</x:v>
      </x:c>
      <x:c r="J3" s="18" t="str">
        <x:v>designIceCondition</x:v>
      </x:c>
      <x:c r="K3" s="18" t="str"/>
      <x:c r="L3" s="18" t="str"/>
      <x:c r="M3" s="18" t="str"/>
      <x:c r="N3" s="18" t="str"/>
      <x:c r="O3" s="18" t="str"/>
      <x:c r="P3" s="18" t="str">
        <x:v>NO</x:v>
      </x:c>
      <x:c r="Q3" s="18" t="str">
        <x:v>SRC-IMO-POLAR-CODE; SRC-PAME-PSC; SRC-SKAGERAK-PSC; SRC-NUYINA</x:v>
      </x:c>
      <x:c r="R3" s="18" t="str">
        <x:v>Instantiate only the minimum R13 subgraph rooted at ship. Applicability selectors: designIceCondition. Use a documented real vessel/certificate fact for ship context/applicability where available; create clearly labelled CONTROLLED_MUTATION values for the requirement-specific pass/fail branches not publicly documented.</x:v>
      </x:c>
      <x:c r="S3" s="18" t="str">
        <x:v>PASS_APPLICABLE; FAIL_APPLICABLE; PASS_NOT_APPLICABLE; boundary case for date/numeric applicability where meaningful.</x:v>
      </x:c>
      <x:c r="T3" s="18" t="str">
        <x:v>READY_FOR_RDF_DESIGN</x:v>
      </x:c>
      <x:c r="U3" s="18" t="str">
        <x:v>Expected outcomes are fixed from the source regulation and R13 before any generated SHACL is inspected.</x:v>
      </x:c>
    </x:row>
    <x:row r="4">
      <x:c r="A4" s="46" t="str">
        <x:v>IMO-003</x:v>
      </x:c>
      <x:c r="B4" s="18" t="str">
        <x:v>IMO Polar Code — MSC.385(94) / MEPC.264(68)</x:v>
      </x:c>
      <x:c r="C4" s="18" t="str">
        <x:v>2.3</x:v>
      </x:c>
      <x:c r="D4" s="18" t="str">
        <x:v>9</x:v>
      </x:c>
      <x:c r="E4" s="18" t="str">
        <x:v>DIRECT_STATIC</x:v>
      </x:c>
      <x:c r="F4" s="18" t="str">
        <x:v>IF_THEN_OR</x:v>
      </x:c>
      <x:c r="G4" s="18" t="str">
        <x:v>C_REAL_CONTEXT_CONTROLLED</x:v>
      </x:c>
      <x:c r="H4" s="18" t="str">
        <x:v>If designIceCondition is openWaterIceCondition or iceConditionLessSevereThanCategoryAAndB, shipCategory shall be polarShipCategoryC.</x:v>
      </x:c>
      <x:c r="I4" s="18" t="str">
        <x:v>ship</x:v>
      </x:c>
      <x:c r="J4" s="18" t="str">
        <x:v>designIceCondition</x:v>
      </x:c>
      <x:c r="K4" s="18" t="str">
        <x:v>designIceCondition, shipCategory</x:v>
      </x:c>
      <x:c r="L4" s="18" t="str"/>
      <x:c r="M4" s="18" t="str"/>
      <x:c r="N4" s="18" t="str"/>
      <x:c r="O4" s="18" t="str"/>
      <x:c r="P4" s="18" t="str">
        <x:v>NO</x:v>
      </x:c>
      <x:c r="Q4" s="18" t="str">
        <x:v>SRC-IMO-POLAR-CODE; SRC-PAME-PSC; SRC-SKAGERAK-PSC; SRC-NUYINA</x:v>
      </x:c>
      <x:c r="R4" s="18" t="str">
        <x:v>Instantiate only the minimum R13 subgraph rooted at ship. Applicability selectors: designIceCondition. R13 paths: designIceCondition, shipCategory. Use a documented real vessel/certificate fact for ship context/applicability where available; create clearly labelled CONTROLLED_MUTATION values for the requirement-specific pass/fail branches not publicly documented.</x:v>
      </x:c>
      <x:c r="S4" s="18" t="str">
        <x:v>PASS each permitted alternative independently; FAIL_NONE_OF_THE_PERMITTED_ROUTES; PASS_BOTH only where simultaneously valid; PASS_NOT_APPLICABLE if the obligation is conditional.</x:v>
      </x:c>
      <x:c r="T4" s="18" t="str">
        <x:v>READY_FOR_RDF_DESIGN</x:v>
      </x:c>
      <x:c r="U4" s="18" t="str">
        <x:v>Expected outcomes are fixed from the source regulation and R13 before any generated SHACL is inspected.</x:v>
      </x:c>
    </x:row>
    <x:row r="5">
      <x:c r="A5" s="46" t="str">
        <x:v>IMO-004</x:v>
      </x:c>
      <x:c r="B5" s="18" t="str">
        <x:v>IMO Polar Code — MSC.385(94) / MEPC.264(68)</x:v>
      </x:c>
      <x:c r="C5" s="18" t="str">
        <x:v>2.4</x:v>
      </x:c>
      <x:c r="D5" s="18" t="str">
        <x:v>9</x:v>
      </x:c>
      <x:c r="E5" s="18" t="str">
        <x:v>DIRECT_STATIC</x:v>
      </x:c>
      <x:c r="F5" s="18" t="str">
        <x:v>IF_THEN / APPLICABILITY</x:v>
      </x:c>
      <x:c r="G5" s="18" t="str">
        <x:v>C_REAL_CONTEXT_CONTROLLED</x:v>
      </x:c>
      <x:c r="H5" s="18" t="str">
        <x:v>IF ice_origin = 'sea ice' AND winter_growth_count &lt;= 1 AND 0.3 &lt;= ice_thickness_m &lt;= 2.0, THEN ice_type = 'first-year ice'.</x:v>
      </x:c>
      <x:c r="I5" s="18" t="str">
        <x:v>ship</x:v>
      </x:c>
      <x:c r="J5" s="18" t="str"/>
      <x:c r="K5" s="18" t="str">
        <x:v>iceOriginType, iceTypeClassification</x:v>
      </x:c>
      <x:c r="L5" s="18" t="str"/>
      <x:c r="M5" s="18" t="str"/>
      <x:c r="N5" s="18" t="str"/>
      <x:c r="O5" s="18" t="str"/>
      <x:c r="P5" s="18" t="str">
        <x:v>NO</x:v>
      </x:c>
      <x:c r="Q5" s="18" t="str">
        <x:v>SRC-IMO-POLAR-CODE; SRC-PAME-PSC; SRC-SKAGERAK-PSC; SRC-NUYINA</x:v>
      </x:c>
      <x:c r="R5" s="18" t="str">
        <x:v>Instantiate only the minimum R13 subgraph rooted at ship. R13 paths: iceOriginType, iceTypeClassification. Use a documented real vessel/certificate fact for ship context/applicability where available; create clearly labelled CONTROLLED_MUTATION values for the requirement-specific pass/fail branches not publicly documented.</x:v>
      </x:c>
      <x:c r="S5" s="18" t="str">
        <x:v>PASS_APPLICABLE; FAIL_APPLICABLE; PASS_NOT_APPLICABLE; boundary case for date/numeric applicability where meaningful.</x:v>
      </x:c>
      <x:c r="T5" s="18" t="str">
        <x:v>READY_FOR_RDF_DESIGN</x:v>
      </x:c>
      <x:c r="U5" s="18" t="str">
        <x:v>Expected outcomes are fixed from the source regulation and R13 before any generated SHACL is inspected.</x:v>
      </x:c>
    </x:row>
    <x:row r="6">
      <x:c r="A6" s="46" t="str">
        <x:v>IMO-005</x:v>
      </x:c>
      <x:c r="B6" s="18" t="str">
        <x:v>IMO Polar Code — MSC.385(94) / MEPC.264(68)</x:v>
      </x:c>
      <x:c r="C6" s="18" t="str">
        <x:v>2.5</x:v>
      </x:c>
      <x:c r="D6" s="18" t="str">
        <x:v>9</x:v>
      </x:c>
      <x:c r="E6" s="18" t="str">
        <x:v>DIRECT_STATIC</x:v>
      </x:c>
      <x:c r="F6" s="18" t="str">
        <x:v>DIRECT_STATIC</x:v>
      </x:c>
      <x:c r="G6" s="18" t="str">
        <x:v>C_REAL_CONTEXT_CONTROLLED</x:v>
      </x:c>
      <x:c r="H6" s="18" t="str">
        <x:v>ice_condition = 'ice free waters' ONLY IF total_ice_present = false.</x:v>
      </x:c>
      <x:c r="I6" s="18" t="str">
        <x:v>ship</x:v>
      </x:c>
      <x:c r="J6" s="18" t="str"/>
      <x:c r="K6" s="18" t="str"/>
      <x:c r="L6" s="18" t="str"/>
      <x:c r="M6" s="18" t="str"/>
      <x:c r="N6" s="18" t="str"/>
      <x:c r="O6" s="18" t="str"/>
      <x:c r="P6" s="18" t="str">
        <x:v>NO</x:v>
      </x:c>
      <x:c r="Q6" s="18" t="str">
        <x:v>SRC-IMO-POLAR-CODE; SRC-PAME-PSC; SRC-SKAGERAK-PSC; SRC-NUYINA</x:v>
      </x:c>
      <x:c r="R6"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6" s="18" t="str">
        <x:v>PASS_VALID_SOURCE_STATE; FAIL_SINGLE_SEMANTIC_VIOLATION; FAIL_MISSING_REQUIRED_VALUE where mandated; PASS_NOT_APPLICABLE if conditional.</x:v>
      </x:c>
      <x:c r="T6" s="18" t="str">
        <x:v>READY_FOR_RDF_DESIGN</x:v>
      </x:c>
      <x:c r="U6" s="18" t="str">
        <x:v>Expected outcomes are fixed from the source regulation and R13 before any generated SHACL is inspected.</x:v>
      </x:c>
    </x:row>
    <x:row r="7">
      <x:c r="A7" s="46" t="str">
        <x:v>IMO-006</x:v>
      </x:c>
      <x:c r="B7" s="18" t="str">
        <x:v>IMO Polar Code — MSC.385(94) / MEPC.264(68)</x:v>
      </x:c>
      <x:c r="C7" s="18" t="str">
        <x:v>2.8</x:v>
      </x:c>
      <x:c r="D7" s="18" t="str">
        <x:v>9</x:v>
      </x:c>
      <x:c r="E7" s="18" t="str">
        <x:v>DIRECT_STATIC</x:v>
      </x:c>
      <x:c r="F7" s="18" t="str">
        <x:v>IF_THEN / APPLICABILITY</x:v>
      </x:c>
      <x:c r="G7" s="18" t="str">
        <x:v>C_REAL_CONTEXT_CONTROLLED</x:v>
      </x:c>
      <x:c r="H7" s="18" t="str">
        <x:v>IF ice_type = 'medium first-year ice', THEN 0.7 &lt;= ice_thickness_m &lt;= 1.2.</x:v>
      </x:c>
      <x:c r="I7" s="18" t="str">
        <x:v>ship</x:v>
      </x:c>
      <x:c r="J7" s="18" t="str"/>
      <x:c r="K7" s="18" t="str">
        <x:v>iceTypeClassification</x:v>
      </x:c>
      <x:c r="L7" s="18" t="str"/>
      <x:c r="M7" s="18" t="str"/>
      <x:c r="N7" s="18" t="str"/>
      <x:c r="O7" s="18" t="str"/>
      <x:c r="P7" s="18" t="str">
        <x:v>NO</x:v>
      </x:c>
      <x:c r="Q7" s="18" t="str">
        <x:v>SRC-IMO-POLAR-CODE; SRC-PAME-PSC; SRC-SKAGERAK-PSC; SRC-NUYINA</x:v>
      </x:c>
      <x:c r="R7" s="18" t="str">
        <x:v>Instantiate only the minimum R13 subgraph rooted at ship. R13 paths: iceTypeClassification. Use a documented real vessel/certificate fact for ship context/applicability where available; create clearly labelled CONTROLLED_MUTATION values for the requirement-specific pass/fail branches not publicly documented.</x:v>
      </x:c>
      <x:c r="S7" s="18" t="str">
        <x:v>PASS_APPLICABLE; FAIL_APPLICABLE; PASS_NOT_APPLICABLE; boundary case for date/numeric applicability where meaningful.</x:v>
      </x:c>
      <x:c r="T7" s="18" t="str">
        <x:v>READY_FOR_RDF_DESIGN</x:v>
      </x:c>
      <x:c r="U7" s="18" t="str">
        <x:v>Expected outcomes are fixed from the source regulation and R13 before any generated SHACL is inspected.</x:v>
      </x:c>
    </x:row>
    <x:row r="8">
      <x:c r="A8" s="46" t="str">
        <x:v>IMO-007</x:v>
      </x:c>
      <x:c r="B8" s="18" t="str">
        <x:v>IMO Polar Code — MSC.385(94) / MEPC.264(68)</x:v>
      </x:c>
      <x:c r="C8" s="18" t="str">
        <x:v>2.10</x:v>
      </x:c>
      <x:c r="D8" s="18" t="str">
        <x:v>9</x:v>
      </x:c>
      <x:c r="E8" s="18" t="str">
        <x:v>DIRECT_STATIC</x:v>
      </x:c>
      <x:c r="F8" s="18" t="str">
        <x:v>IF_THEN / APPLICABILITY</x:v>
      </x:c>
      <x:c r="G8" s="18" t="str">
        <x:v>C_REAL_CONTEXT_CONTROLLED</x:v>
      </x:c>
      <x:c r="H8" s="18" t="str">
        <x:v>IF ice_condition = 'open water', THEN sea_ice_concentration_tenths &lt; 1 AND ice_of_land_origin_present = false.</x:v>
      </x:c>
      <x:c r="I8" s="18" t="str">
        <x:v>ship</x:v>
      </x:c>
      <x:c r="J8" s="18" t="str"/>
      <x:c r="K8" s="18" t="str">
        <x:v>iceConditionClassification</x:v>
      </x:c>
      <x:c r="L8" s="18" t="str"/>
      <x:c r="M8" s="18" t="str"/>
      <x:c r="N8" s="18" t="str"/>
      <x:c r="O8" s="18" t="str"/>
      <x:c r="P8" s="18" t="str">
        <x:v>NO</x:v>
      </x:c>
      <x:c r="Q8" s="18" t="str">
        <x:v>SRC-IMO-POLAR-CODE; SRC-PAME-PSC; SRC-SKAGERAK-PSC; SRC-NUYINA</x:v>
      </x:c>
      <x:c r="R8" s="18" t="str">
        <x:v>Instantiate only the minimum R13 subgraph rooted at ship. R13 paths: iceConditionClassification. Use a documented real vessel/certificate fact for ship context/applicability where available; create clearly labelled CONTROLLED_MUTATION values for the requirement-specific pass/fail branches not publicly documented.</x:v>
      </x:c>
      <x:c r="S8" s="18" t="str">
        <x:v>PASS_APPLICABLE; FAIL_APPLICABLE; PASS_NOT_APPLICABLE; boundary case for date/numeric applicability where meaningful.</x:v>
      </x:c>
      <x:c r="T8" s="18" t="str">
        <x:v>READY_FOR_RDF_DESIGN</x:v>
      </x:c>
      <x:c r="U8" s="18" t="str">
        <x:v>Expected outcomes are fixed from the source regulation and R13 before any generated SHACL is inspected.</x:v>
      </x:c>
    </x:row>
    <x:row r="9">
      <x:c r="A9" s="46" t="str">
        <x:v>IMO-008</x:v>
      </x:c>
      <x:c r="B9" s="18" t="str">
        <x:v>IMO Polar Code — MSC.385(94) / MEPC.264(68)</x:v>
      </x:c>
      <x:c r="C9" s="18" t="str">
        <x:v>2.15</x:v>
      </x:c>
      <x:c r="D9" s="18" t="str">
        <x:v>10</x:v>
      </x:c>
      <x:c r="E9" s="18" t="str">
        <x:v>DIRECT_STATIC</x:v>
      </x:c>
      <x:c r="F9" s="18" t="str">
        <x:v>IF_THEN / APPLICABILITY</x:v>
      </x:c>
      <x:c r="G9" s="18" t="str">
        <x:v>C_REAL_CONTEXT_CONTROLLED</x:v>
      </x:c>
      <x:c r="H9" s="18" t="str">
        <x:v>IF ice_type = 'thin first-year ice', THEN 0.3 &lt;= ice_thickness_m &lt;= 0.7.</x:v>
      </x:c>
      <x:c r="I9" s="18" t="str">
        <x:v>ship</x:v>
      </x:c>
      <x:c r="J9" s="18" t="str"/>
      <x:c r="K9" s="18" t="str">
        <x:v>iceTypeClassification</x:v>
      </x:c>
      <x:c r="L9" s="18" t="str"/>
      <x:c r="M9" s="18" t="str"/>
      <x:c r="N9" s="18" t="str"/>
      <x:c r="O9" s="18" t="str"/>
      <x:c r="P9" s="18" t="str">
        <x:v>NO</x:v>
      </x:c>
      <x:c r="Q9" s="18" t="str">
        <x:v>SRC-IMO-POLAR-CODE; SRC-PAME-PSC; SRC-SKAGERAK-PSC; SRC-NUYINA</x:v>
      </x:c>
      <x:c r="R9" s="18" t="str">
        <x:v>Instantiate only the minimum R13 subgraph rooted at ship. R13 paths: iceTypeClassification. Use a documented real vessel/certificate fact for ship context/applicability where available; create clearly labelled CONTROLLED_MUTATION values for the requirement-specific pass/fail branches not publicly documented.</x:v>
      </x:c>
      <x:c r="S9" s="18" t="str">
        <x:v>PASS_APPLICABLE; FAIL_APPLICABLE; PASS_NOT_APPLICABLE; boundary case for date/numeric applicability where meaningful.</x:v>
      </x:c>
      <x:c r="T9" s="18" t="str">
        <x:v>READY_FOR_RDF_DESIGN</x:v>
      </x:c>
      <x:c r="U9" s="18" t="str">
        <x:v>Expected outcomes are fixed from the source regulation and R13 before any generated SHACL is inspected.</x:v>
      </x:c>
    </x:row>
    <x:row r="10">
      <x:c r="A10" s="46" t="str">
        <x:v>IMO-009</x:v>
      </x:c>
      <x:c r="B10" s="18" t="str">
        <x:v>IMO Polar Code — MSC.385(94) / MEPC.264(68)</x:v>
      </x:c>
      <x:c r="C10" s="18" t="str">
        <x:v>1.2.1</x:v>
      </x:c>
      <x:c r="D10" s="18" t="str">
        <x:v>13</x:v>
      </x:c>
      <x:c r="E10" s="18" t="str">
        <x:v>DIRECT_STATIC</x:v>
      </x:c>
      <x:c r="F10" s="18" t="str">
        <x:v>IF_THEN / APPLICABILITY</x:v>
      </x:c>
      <x:c r="G10" s="18" t="str">
        <x:v>C_REAL_CONTEXT_CONTROLLED</x:v>
      </x:c>
      <x:c r="H10" s="18" t="str">
        <x:v>IF ice_condition = 'bergy waters', THEN land_origin_ice_concentration_tenths &lt; 1 AND total_ice_concentration_tenths &lt;= 1.</x:v>
      </x:c>
      <x:c r="I10" s="18" t="str">
        <x:v>ship</x:v>
      </x:c>
      <x:c r="J10" s="18" t="str"/>
      <x:c r="K10" s="18" t="str"/>
      <x:c r="L10" s="18" t="str"/>
      <x:c r="M10" s="18" t="str"/>
      <x:c r="N10" s="18" t="str"/>
      <x:c r="O10" s="18" t="str"/>
      <x:c r="P10" s="18" t="str">
        <x:v>NO</x:v>
      </x:c>
      <x:c r="Q10" s="18" t="str">
        <x:v>SRC-IMO-POLAR-CODE; SRC-PAME-PSC; SRC-SKAGERAK-PSC; SRC-NUYINA</x:v>
      </x:c>
      <x:c r="R10"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10" s="18" t="str">
        <x:v>PASS_APPLICABLE; FAIL_APPLICABLE; PASS_NOT_APPLICABLE; boundary case for date/numeric applicability where meaningful.</x:v>
      </x:c>
      <x:c r="T10" s="18" t="str">
        <x:v>READY_FOR_RDF_DESIGN</x:v>
      </x:c>
      <x:c r="U10" s="18" t="str">
        <x:v>Expected outcomes are fixed from the source regulation and R13 before any generated SHACL is inspected.</x:v>
      </x:c>
    </x:row>
    <x:row r="11">
      <x:c r="A11" s="46" t="str">
        <x:v>IMO-010</x:v>
      </x:c>
      <x:c r="B11" s="18" t="str">
        <x:v>IMO Polar Code — MSC.385(94) / MEPC.264(68)</x:v>
      </x:c>
      <x:c r="C11" s="18" t="str">
        <x:v>1.2.7</x:v>
      </x:c>
      <x:c r="D11" s="18" t="str">
        <x:v>13</x:v>
      </x:c>
      <x:c r="E11" s="18" t="str">
        <x:v>DIRECT_STATIC</x:v>
      </x:c>
      <x:c r="F11" s="18" t="str">
        <x:v>THRESHOLD / COMPARISON</x:v>
      </x:c>
      <x:c r="G11" s="18" t="str">
        <x:v>C_REAL_CONTEXT_CONTROLLED</x:v>
      </x:c>
      <x:c r="H11" s="18" t="str">
        <x:v>maximum_expected_rescue_time_days &gt;= 5.</x:v>
      </x:c>
      <x:c r="I11" s="18" t="str">
        <x:v>ship</x:v>
      </x:c>
      <x:c r="J11" s="18" t="str"/>
      <x:c r="K11" s="18" t="str"/>
      <x:c r="L11" s="18" t="str"/>
      <x:c r="M11" s="18" t="str"/>
      <x:c r="N11" s="18" t="str"/>
      <x:c r="O11" s="18" t="str"/>
      <x:c r="P11" s="18" t="str">
        <x:v>NO</x:v>
      </x:c>
      <x:c r="Q11" s="18" t="str">
        <x:v>SRC-IMO-POLAR-CODE; SRC-PAME-PSC; SRC-SKAGERAK-PSC; SRC-NUYINA</x:v>
      </x:c>
      <x:c r="R11"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11" s="18" t="str">
        <x:v>PASS_BOUNDARY; PASS_COMPLIANT_SIDE; FAIL_NONCOMPLIANT_SIDE; FAIL_MISSING_VALUE; FAIL_WRONG_UNIT when constrained.</x:v>
      </x:c>
      <x:c r="T11" s="18" t="str">
        <x:v>READY_FOR_RDF_DESIGN</x:v>
      </x:c>
      <x:c r="U11" s="18" t="str">
        <x:v>Expected outcomes are fixed from the source regulation and R13 before any generated SHACL is inspected.</x:v>
      </x:c>
    </x:row>
    <x:row r="12">
      <x:c r="A12" s="46" t="str">
        <x:v>IMO-011</x:v>
      </x:c>
      <x:c r="B12" s="18" t="str">
        <x:v>IMO Polar Code — MSC.385(94) / MEPC.264(68)</x:v>
      </x:c>
      <x:c r="C12" s="18" t="str">
        <x:v>1.2.9</x:v>
      </x:c>
      <x:c r="D12" s="18" t="str">
        <x:v>13</x:v>
      </x:c>
      <x:c r="E12" s="18" t="str">
        <x:v>COMPLEX_READINESS</x:v>
      </x:c>
      <x:c r="F12" s="18" t="str">
        <x:v>COMPLEX_READINESS / EVIDENCE</x:v>
      </x:c>
      <x:c r="G12" s="18" t="str">
        <x:v>C_REAL_CONTEXT_CONTROLLED</x:v>
      </x:c>
      <x:c r="H12" s="18" t="str">
        <x:v>A ship has dated dailyLowTemperatureObservation nodes carrying dailyLowTemperature values, a dataPeriod, and a meanDailyLowTemperature result. If dataPeriod is shorter than 10 years, administrationDatasetApprovalStatus is evidenceStateApproved. The complete aggregation is external and is not reconstructed in SHACL.</x:v>
      </x:c>
      <x:c r="I12" s="18" t="str">
        <x:v>ship, dailyLowTemperatureObservation</x:v>
      </x:c>
      <x:c r="J12" s="18" t="str"/>
      <x:c r="K12" s="18" t="str">
        <x:v>hasDailyLowTemperatureObservation, administrationDatasetApprovalStatus</x:v>
      </x:c>
      <x:c r="L12" s="18" t="str">
        <x:v>dailyTemperatureObservationDate, dailyLowTemperature, dataPeriod</x:v>
      </x:c>
      <x:c r="M12" s="18" t="str">
        <x:v>meanDailyLowTemperature</x:v>
      </x:c>
      <x:c r="N12" s="18" t="str">
        <x:v>administrationDatasetApprovalStatus</x:v>
      </x:c>
      <x:c r="O12" s="18" t="str">
        <x:v>Mean Daily Low Temperature (MDLT) means the mean value of the daily low temperature for each day of the year over a minimum 10 year period. A data set acceptable to the Administration may be used if 10 years of data is not available.</x:v>
      </x:c>
      <x:c r="P12" s="18" t="str">
        <x:v>NO</x:v>
      </x:c>
      <x:c r="Q12" s="18" t="str">
        <x:v>SRC-IMO-POLAR-CODE; SRC-PAME-PSC; SRC-SKAGERAK-PSC; SRC-NUYINA</x:v>
      </x:c>
      <x:c r="R12" s="18" t="str">
        <x:v>Instantiate only the minimum R13 subgraph rooted at ship, dailyLowTemperatureObservation. R13 paths: hasDailyLowTemperatureObservation, administrationDatasetApprovalStatus. Operands/data: dailyTemperatureObservationDate, dailyLowTemperature, dataPeriod. Results/interface: meanDailyLowTemperature. Evidence/artifacts: administrationDatasetApprovalStatus. Use a documented real vessel/certificate fact for ship context/applicability where available; create clearly labelled CONTROLLED_MUTATION values for the requirement-specific pass/fail branches not publicly documented.</x:v>
      </x:c>
      <x:c r="S12" s="18" t="str">
        <x:v>PASS_READY: all R13-required variables/results/evidence/paths present; FAIL_MISSING_OPERAND; FAIL_MISSING_RESULT; FAIL_MISSING_EVIDENCE; FAIL_WRONG_PATH_OR_OWNER</x:v>
      </x:c>
      <x:c r="T12" s="18" t="str">
        <x:v>READY_FOR_RDF_DESIGN</x:v>
      </x:c>
      <x:c r="U12" s="18" t="str">
        <x:v>Readiness/interface semantics only; do not claim independent execution of the advanced assessment.</x:v>
      </x:c>
    </x:row>
    <x:row r="13">
      <x:c r="A13" s="46" t="str">
        <x:v>IMO-012</x:v>
      </x:c>
      <x:c r="B13" s="18" t="str">
        <x:v>IMO Polar Code — MSC.385(94) / MEPC.264(68)</x:v>
      </x:c>
      <x:c r="C13" s="18" t="str">
        <x:v>1.2.11</x:v>
      </x:c>
      <x:c r="D13" s="18" t="str">
        <x:v>14</x:v>
      </x:c>
      <x:c r="E13" s="18" t="str">
        <x:v>DIRECT_CALCULATION</x:v>
      </x:c>
      <x:c r="F13" s="18" t="str">
        <x:v>FORMULA / COMPARISON</x:v>
      </x:c>
      <x:c r="G13" s="18" t="str">
        <x:v>C_REAL_CONTEXT_CONTROLLED</x:v>
      </x:c>
      <x:c r="H13" s="18" t="str">
        <x:v>PST_degC &lt;= lowest_MDLT_degC - 10.</x:v>
      </x:c>
      <x:c r="I13" s="18" t="str">
        <x:v>ship</x:v>
      </x:c>
      <x:c r="J13" s="18" t="str"/>
      <x:c r="K13" s="18" t="str"/>
      <x:c r="L13" s="18" t="str">
        <x:v>lowestMdlt</x:v>
      </x:c>
      <x:c r="M13" s="18" t="str">
        <x:v>polarServiceTemperature</x:v>
      </x:c>
      <x:c r="N13" s="18" t="str"/>
      <x:c r="O13" s="18" t="str"/>
      <x:c r="P13" s="18" t="str">
        <x:v>NO</x:v>
      </x:c>
      <x:c r="Q13" s="18" t="str">
        <x:v>SRC-IMO-POLAR-CODE; SRC-PAME-PSC; SRC-SKAGERAK-PSC; SRC-NUYINA</x:v>
      </x:c>
      <x:c r="R13" s="18" t="str">
        <x:v>Instantiate only the minimum R13 subgraph rooted at ship. Operands/data: lowestMdlt. Results/interface: polarServiceTemperature. Use a documented real vessel/certificate fact for ship context/applicability where available; create clearly labelled CONTROLLED_MUTATION values for the requirement-specific pass/fail branches not publicly documented.</x:v>
      </x:c>
      <x:c r="S13" s="18" t="str">
        <x:v>PASS each permitted alternative independently; FAIL_NONE_OF_THE_PERMITTED_ROUTES; PASS_BOTH only where simultaneously valid; PASS_NOT_APPLICABLE if the obligation is conditional.</x:v>
      </x:c>
      <x:c r="T13" s="18" t="str">
        <x:v>READY_FOR_RDF_DESIGN</x:v>
      </x:c>
      <x:c r="U13" s="18" t="str">
        <x:v>Expected outcomes are fixed from the source regulation and R13 before any generated SHACL is inspected.</x:v>
      </x:c>
    </x:row>
    <x:row r="14">
      <x:c r="A14" s="46" t="str">
        <x:v>IMO-013</x:v>
      </x:c>
      <x:c r="B14" s="18" t="str">
        <x:v>IMO Polar Code — MSC.385(94) / MEPC.264(68)</x:v>
      </x:c>
      <x:c r="C14" s="18" t="str">
        <x:v>1.2.12</x:v>
      </x:c>
      <x:c r="D14" s="18" t="str">
        <x:v>14</x:v>
      </x:c>
      <x:c r="E14" s="18" t="str">
        <x:v>DIRECT_STATIC</x:v>
      </x:c>
      <x:c r="F14" s="18" t="str">
        <x:v>DIRECT_STATIC</x:v>
      </x:c>
      <x:c r="G14" s="18" t="str">
        <x:v>C_REAL_CONTEXT_CONTROLLED</x:v>
      </x:c>
      <x:c r="H14" s="18" t="str">
        <x:v>ship_operates_in_low_air_temperature = true IF lowest_MDLT_degC &lt; -10.</x:v>
      </x:c>
      <x:c r="I14" s="18" t="str">
        <x:v>ship</x:v>
      </x:c>
      <x:c r="J14" s="18" t="str"/>
      <x:c r="K14" s="18" t="str"/>
      <x:c r="L14" s="18" t="str"/>
      <x:c r="M14" s="18" t="str"/>
      <x:c r="N14" s="18" t="str"/>
      <x:c r="O14" s="18" t="str"/>
      <x:c r="P14" s="18" t="str">
        <x:v>NO</x:v>
      </x:c>
      <x:c r="Q14" s="18" t="str">
        <x:v>SRC-IMO-POLAR-CODE; SRC-PAME-PSC; SRC-SKAGERAK-PSC; SRC-NUYINA</x:v>
      </x:c>
      <x:c r="R14"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14" s="18" t="str">
        <x:v>PASS_VALID_SOURCE_STATE; FAIL_SINGLE_SEMANTIC_VIOLATION; FAIL_MISSING_REQUIRED_VALUE where mandated; PASS_NOT_APPLICABLE if conditional.</x:v>
      </x:c>
      <x:c r="T14" s="18" t="str">
        <x:v>READY_FOR_RDF_DESIGN</x:v>
      </x:c>
      <x:c r="U14" s="18" t="str">
        <x:v>Expected outcomes are fixed from the source regulation and R13 before any generated SHACL is inspected.</x:v>
      </x:c>
    </x:row>
    <x:row r="15">
      <x:c r="A15" s="46" t="str">
        <x:v>IMO-014</x:v>
      </x:c>
      <x:c r="B15" s="18" t="str">
        <x:v>IMO Polar Code — MSC.385(94) / MEPC.264(68)</x:v>
      </x:c>
      <x:c r="C15" s="18" t="str">
        <x:v>1.3.1</x:v>
      </x:c>
      <x:c r="D15" s="18" t="str">
        <x:v>14</x:v>
      </x:c>
      <x:c r="E15" s="18" t="str">
        <x:v>DIRECT_STATIC</x:v>
      </x:c>
      <x:c r="F15" s="18" t="str">
        <x:v>IF_THEN / APPLICABILITY</x:v>
      </x:c>
      <x:c r="G15" s="18" t="str">
        <x:v>A_REAL_DIRECT</x:v>
      </x:c>
      <x:c r="H15" s="18" t="str">
        <x:v>IF polar_code_applies = true, THEN polar_ship_certificate_present = true AND polar_ship_certificate_status = valid.</x:v>
      </x:c>
      <x:c r="I15" s="18" t="str">
        <x:v>ship</x:v>
      </x:c>
      <x:c r="J15" s="18" t="str"/>
      <x:c r="K15" s="18" t="str"/>
      <x:c r="L15" s="18" t="str"/>
      <x:c r="M15" s="18" t="str"/>
      <x:c r="N15" s="18" t="str"/>
      <x:c r="O15" s="18" t="str"/>
      <x:c r="P15" s="18" t="str">
        <x:v>NO</x:v>
      </x:c>
      <x:c r="Q15" s="18" t="str">
        <x:v>SRC-IMO-POLAR-CODE; SRC-PAME-PSC; SRC-SKAGERAK-PSC; SRC-NUYINA</x:v>
      </x:c>
      <x:c r="R15" s="18" t="str">
        <x:v>Instantiate only the minimum R13 subgraph rooted at ship. Prefer exact public Polar Ship Certificate / Record of Equipment / official vessel-document facts where they map directly to the R13 terms; mutate only the minimum target fact for controlled counterexamples.</x:v>
      </x:c>
      <x:c r="S15" s="18" t="str">
        <x:v>PASS_APPLICABLE; FAIL_APPLICABLE; PASS_NOT_APPLICABLE; boundary case for date/numeric applicability where meaningful.</x:v>
      </x:c>
      <x:c r="T15" s="18" t="str">
        <x:v>READY_FOR_RDF_DESIGN</x:v>
      </x:c>
      <x:c r="U15" s="18" t="str">
        <x:v>Expected outcomes are fixed from the source regulation and R13 before any generated SHACL is inspected.</x:v>
      </x:c>
    </x:row>
    <x:row r="16">
      <x:c r="A16" s="46" t="str">
        <x:v>IMO-016</x:v>
      </x:c>
      <x:c r="B16" s="18" t="str">
        <x:v>IMO Polar Code — MSC.385(94) / MEPC.264(68)</x:v>
      </x:c>
      <x:c r="C16" s="18" t="str">
        <x:v>1.3.5</x:v>
      </x:c>
      <x:c r="D16" s="18" t="str">
        <x:v>14</x:v>
      </x:c>
      <x:c r="E16" s="18" t="str">
        <x:v>DIRECT_STATIC</x:v>
      </x:c>
      <x:c r="F16" s="18" t="str">
        <x:v>IF_THEN / APPLICABILITY</x:v>
      </x:c>
      <x:c r="G16" s="18" t="str">
        <x:v>A_REAL_DIRECT</x:v>
      </x:c>
      <x:c r="H16" s="18" t="str">
        <x:v>conditional language-set membership</x:v>
      </x:c>
      <x:c r="I16" s="18" t="str">
        <x:v>ship</x:v>
      </x:c>
      <x:c r="J16" s="18" t="str">
        <x:v>certificateLanguage</x:v>
      </x:c>
      <x:c r="K16" s="18" t="str">
        <x:v>hasPolarShipCertificate, certificateFormModel</x:v>
      </x:c>
      <x:c r="L16" s="18" t="str"/>
      <x:c r="M16" s="18" t="str">
        <x:v>approvedTranslationPresent</x:v>
      </x:c>
      <x:c r="N16" s="18" t="str"/>
      <x:c r="O16" s="18" t="str"/>
      <x:c r="P16" s="18" t="str">
        <x:v>NO</x:v>
      </x:c>
      <x:c r="Q16" s="18" t="str">
        <x:v>SRC-IMO-POLAR-CODE; SRC-PAME-PSC; SRC-SKAGERAK-PSC; SRC-NUYINA</x:v>
      </x:c>
      <x:c r="R16" s="18" t="str">
        <x:v>Instantiate only the minimum R13 subgraph rooted at ship. Applicability selectors: certificateLanguage. R13 paths: hasPolarShipCertificate, certificateFormModel. Results/interface: approvedTranslationPresent. Prefer exact public Polar Ship Certificate / Record of Equipment / official vessel-document facts where they map directly to the R13 terms; mutate only the minimum target fact for controlled counterexamples.</x:v>
      </x:c>
      <x:c r="S16" s="18" t="str">
        <x:v>PASS_APPLICABLE; FAIL_APPLICABLE; PASS_NOT_APPLICABLE; boundary case for date/numeric applicability where meaningful.</x:v>
      </x:c>
      <x:c r="T16" s="18" t="str">
        <x:v>READY_FOR_RDF_DESIGN</x:v>
      </x:c>
      <x:c r="U16" s="18" t="str">
        <x:v>Expected outcomes are fixed from the source regulation and R13 before any generated SHACL is inspected.</x:v>
      </x:c>
    </x:row>
    <x:row r="17">
      <x:c r="A17" s="46" t="str">
        <x:v>IMO-017</x:v>
      </x:c>
      <x:c r="B17" s="18" t="str">
        <x:v>IMO Polar Code — MSC.385(94) / MEPC.264(68)</x:v>
      </x:c>
      <x:c r="C17" s="18" t="str">
        <x:v>1.3.6</x:v>
      </x:c>
      <x:c r="D17" s="18" t="str">
        <x:v>14</x:v>
      </x:c>
      <x:c r="E17" s="18" t="str">
        <x:v>DIRECT_STATIC</x:v>
      </x:c>
      <x:c r="F17" s="18" t="str">
        <x:v>UNIVERSAL / DIRECT</x:v>
      </x:c>
      <x:c r="G17" s="18" t="str">
        <x:v>A_REAL_DIRECT</x:v>
      </x:c>
      <x:c r="H17" s="18" t="str">
        <x:v>The Polar Ship Certificate validity dates, survey dates, and endorsements shall match the applicable SOLAS certificate schedule, and polar_certificate_supplement_present shall be true with required equipment records.</x:v>
      </x:c>
      <x:c r="I17" s="18" t="str">
        <x:v>ship</x:v>
      </x:c>
      <x:c r="J17" s="18" t="str"/>
      <x:c r="K17" s="18" t="str">
        <x:v>hasCertificateScheduleDateRecord, hasPolarCertificateSupplement, hasPolarShipCertificate, hasRequiredEquipmentRecords, hasSolasCertificateSchedule</x:v>
      </x:c>
      <x:c r="L17" s="18" t="str">
        <x:v>endorsementDates, polarCertificateValidityDates, surveyDates</x:v>
      </x:c>
      <x:c r="M17" s="18" t="str">
        <x:v>polarCertificateSupplementPresent, requiredEquipmentRecords</x:v>
      </x:c>
      <x:c r="N17" s="18" t="str"/>
      <x:c r="O17" s="18" t="str"/>
      <x:c r="P17" s="18" t="str">
        <x:v>NO</x:v>
      </x:c>
      <x:c r="Q17" s="18" t="str">
        <x:v>SRC-IMO-POLAR-CODE; SRC-PAME-PSC; SRC-SKAGERAK-PSC; SRC-NUYINA</x:v>
      </x:c>
      <x:c r="R17" s="18" t="str">
        <x:v>Instantiate only the minimum R13 subgraph rooted at ship. R13 paths: hasCertificateScheduleDateRecord, hasPolarCertificateSupplement, hasPolarShipCertificate, hasRequiredEquipmentRecords, hasSolasCertificateSchedule. Operands/data: endorsementDates, polarCertificateValidityDates, surveyDates. Results/interface: polarCertificateSupplementPresent, requiredEquipmentRecords. Prefer exact public Polar Ship Certificate / Record of Equipment / official vessel-document facts where they map directly to the R13 terms; mutate only the minimum target fact for controlled counterexamples.</x:v>
      </x:c>
      <x:c r="S17" s="18" t="str">
        <x:v>PASS_ONE_VALID; PASS_MULTIPLE_ALL_VALID; FAIL_ONE_INVALID; FAIL_MIXED_VALID_INVALID; PASS_ZERO if source/R13 does not require existence.</x:v>
      </x:c>
      <x:c r="T17" s="18" t="str">
        <x:v>READY_FOR_RDF_DESIGN</x:v>
      </x:c>
      <x:c r="U17" s="18" t="str">
        <x:v>Expected outcomes are fixed from the source regulation and R13 before any generated SHACL is inspected.</x:v>
      </x:c>
    </x:row>
    <x:row r="18">
      <x:c r="A18" s="46" t="str">
        <x:v>IMO-018</x:v>
      </x:c>
      <x:c r="B18" s="18" t="str">
        <x:v>IMO Polar Code — MSC.385(94) / MEPC.264(68)</x:v>
      </x:c>
      <x:c r="C18" s="18" t="str">
        <x:v>1.3.7</x:v>
      </x:c>
      <x:c r="D18" s="18" t="str">
        <x:v>14</x:v>
      </x:c>
      <x:c r="E18" s="18" t="str">
        <x:v>DIRECT_STATIC</x:v>
      </x:c>
      <x:c r="F18" s="18" t="str">
        <x:v>IF_THEN / APPLICABILITY</x:v>
      </x:c>
      <x:c r="G18" s="18" t="str">
        <x:v>A_REAL_DIRECT</x:v>
      </x:c>
      <x:c r="H18" s="18" t="str">
        <x:v>IF ice_capability_methodology_applicable = true, THEN certificate_methodology_reference_present = true AND administration_acceptance_status = approved.</x:v>
      </x:c>
      <x:c r="I18" s="18" t="str">
        <x:v>ship</x:v>
      </x:c>
      <x:c r="J18" s="18" t="str"/>
      <x:c r="K18" s="18" t="str"/>
      <x:c r="L18" s="18" t="str"/>
      <x:c r="M18" s="18" t="str"/>
      <x:c r="N18" s="18" t="str"/>
      <x:c r="O18" s="18" t="str"/>
      <x:c r="P18" s="18" t="str">
        <x:v>NO</x:v>
      </x:c>
      <x:c r="Q18" s="18" t="str">
        <x:v>SRC-IMO-POLAR-CODE; SRC-PAME-PSC; SRC-SKAGERAK-PSC; SRC-NUYINA</x:v>
      </x:c>
      <x:c r="R18" s="18" t="str">
        <x:v>Instantiate only the minimum R13 subgraph rooted at ship. Prefer exact public Polar Ship Certificate / Record of Equipment / official vessel-document facts where they map directly to the R13 terms; mutate only the minimum target fact for controlled counterexamples.</x:v>
      </x:c>
      <x:c r="S18" s="18" t="str">
        <x:v>PASS_APPLICABLE; FAIL_APPLICABLE; PASS_NOT_APPLICABLE; boundary case for date/numeric applicability where meaningful.</x:v>
      </x:c>
      <x:c r="T18" s="18" t="str">
        <x:v>READY_FOR_RDF_DESIGN</x:v>
      </x:c>
      <x:c r="U18" s="18" t="str">
        <x:v>Expected outcomes are fixed from the source regulation and R13 before any generated SHACL is inspected.</x:v>
      </x:c>
    </x:row>
    <x:row r="19">
      <x:c r="A19" s="46" t="str">
        <x:v>IMO-019</x:v>
      </x:c>
      <x:c r="B19" s="18" t="str">
        <x:v>IMO Polar Code — MSC.385(94) / MEPC.264(68)</x:v>
      </x:c>
      <x:c r="C19" s="18" t="str">
        <x:v>1.4.2</x:v>
      </x:c>
      <x:c r="D19" s="18" t="str">
        <x:v>15</x:v>
      </x:c>
      <x:c r="E19" s="18" t="str">
        <x:v>DIRECT_CALCULATION</x:v>
      </x:c>
      <x:c r="F19" s="18" t="str">
        <x:v>FORMULA / COMPARISON</x:v>
      </x:c>
      <x:c r="G19" s="18" t="str">
        <x:v>A_REAL_DIRECT</x:v>
      </x:c>
      <x:c r="H19" s="18" t="str">
        <x:v>IF ship_operates_in_low_air_temperature = true, THEN PST_degC shall be specified, PST_degC &lt;= lowest_MDLT_degC - 10, and required_systems_functional_at_PST = true.</x:v>
      </x:c>
      <x:c r="I19" s="18" t="str">
        <x:v>ship</x:v>
      </x:c>
      <x:c r="J19" s="18" t="str"/>
      <x:c r="K19" s="18" t="str"/>
      <x:c r="L19" s="18" t="str">
        <x:v>lowestMdlt</x:v>
      </x:c>
      <x:c r="M19" s="18" t="str">
        <x:v>polarServiceTemperature</x:v>
      </x:c>
      <x:c r="N19" s="18" t="str"/>
      <x:c r="O19" s="18" t="str"/>
      <x:c r="P19" s="18" t="str">
        <x:v>NO</x:v>
      </x:c>
      <x:c r="Q19" s="18" t="str">
        <x:v>SRC-IMO-POLAR-CODE; SRC-PAME-PSC; SRC-SKAGERAK-PSC; SRC-NUYINA</x:v>
      </x:c>
      <x:c r="R19" s="18" t="str">
        <x:v>Instantiate only the minimum R13 subgraph rooted at ship. Operands/data: lowestMdlt. Results/interface: polarServiceTemperature. Prefer exact public Polar Ship Certificate / Record of Equipment / official vessel-document facts where they map directly to the R13 terms; mutate only the minimum target fact for controlled counterexamples.</x:v>
      </x:c>
      <x:c r="S19" s="18" t="str">
        <x:v>PASS each permitted alternative independently; FAIL_NONE_OF_THE_PERMITTED_ROUTES; PASS_BOTH only where simultaneously valid; PASS_NOT_APPLICABLE if the obligation is conditional.</x:v>
      </x:c>
      <x:c r="T19" s="18" t="str">
        <x:v>READY_FOR_RDF_DESIGN</x:v>
      </x:c>
      <x:c r="U19" s="18" t="str">
        <x:v>Expected outcomes are fixed from the source regulation and R13 before any generated SHACL is inspected.</x:v>
      </x:c>
    </x:row>
    <x:row r="20">
      <x:c r="A20" s="46" t="str">
        <x:v>IMO-021</x:v>
      </x:c>
      <x:c r="B20" s="18" t="str">
        <x:v>IMO Polar Code — MSC.385(94) / MEPC.264(68)</x:v>
      </x:c>
      <x:c r="C20" s="18" t="str">
        <x:v>1.5</x:v>
      </x:c>
      <x:c r="D20" s="18" t="str">
        <x:v>15</x:v>
      </x:c>
      <x:c r="E20" s="18" t="str">
        <x:v>DIRECT_STATIC</x:v>
      </x:c>
      <x:c r="F20" s="18" t="str">
        <x:v>OR / ALTERNATIVE</x:v>
      </x:c>
      <x:c r="G20" s="18" t="str">
        <x:v>C_REAL_CONTEXT_CONTROLLED</x:v>
      </x:c>
      <x:c r="H20" s="18" t="str">
        <x:v>An operational assessment shall exist and cover low-air-temperature operation, ice operation, high-latitude operation, abandonment onto ice or land, applicable Introduction section 3 hazards, and any identified additional hazards.</x:v>
      </x:c>
      <x:c r="I20" s="18" t="str">
        <x:v>ship</x:v>
      </x:c>
      <x:c r="J20" s="18" t="str"/>
      <x:c r="K20" s="18" t="str"/>
      <x:c r="L20" s="18" t="str"/>
      <x:c r="M20" s="18" t="str"/>
      <x:c r="N20" s="18" t="str"/>
      <x:c r="O20" s="18" t="str"/>
      <x:c r="P20" s="18" t="str">
        <x:v>NO</x:v>
      </x:c>
      <x:c r="Q20" s="18" t="str">
        <x:v>SRC-IMO-POLAR-CODE; SRC-PAME-PSC; SRC-SKAGERAK-PSC; SRC-NUYINA</x:v>
      </x:c>
      <x:c r="R20"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20" s="18" t="str">
        <x:v>PASS each permitted alternative independently; FAIL_NONE_OF_THE_PERMITTED_ROUTES; PASS_BOTH only where simultaneously valid; PASS_NOT_APPLICABLE if the obligation is conditional.</x:v>
      </x:c>
      <x:c r="T20" s="18" t="str">
        <x:v>READY_FOR_RDF_DESIGN</x:v>
      </x:c>
      <x:c r="U20" s="18" t="str">
        <x:v>Expected outcomes are fixed from the source regulation and R13 before any generated SHACL is inspected.</x:v>
      </x:c>
    </x:row>
    <x:row r="21">
      <x:c r="A21" s="46" t="str">
        <x:v>IMO-022</x:v>
      </x:c>
      <x:c r="B21" s="18" t="str">
        <x:v>IMO Polar Code — MSC.385(94) / MEPC.264(68)</x:v>
      </x:c>
      <x:c r="C21" s="18" t="str">
        <x:v>2.2.2</x:v>
      </x:c>
      <x:c r="D21" s="18" t="str">
        <x:v>15</x:v>
      </x:c>
      <x:c r="E21" s="18" t="str">
        <x:v>DIRECT_STATIC</x:v>
      </x:c>
      <x:c r="F21" s="18" t="str">
        <x:v>UNIVERSAL / DIRECT</x:v>
      </x:c>
      <x:c r="G21" s="18" t="str">
        <x:v>C_REAL_CONTEXT_CONTROLLED</x:v>
      </x:c>
      <x:c r="H21" s="18" t="str">
        <x:v>PWOM shall include ship-specific capabilities and limitations linked to the clause 1.5 operational assessment.</x:v>
      </x:c>
      <x:c r="I21" s="18" t="str">
        <x:v>ship</x:v>
      </x:c>
      <x:c r="J21" s="18" t="str"/>
      <x:c r="K21" s="18" t="str"/>
      <x:c r="L21" s="18" t="str"/>
      <x:c r="M21" s="18" t="str"/>
      <x:c r="N21" s="18" t="str"/>
      <x:c r="O21" s="18" t="str"/>
      <x:c r="P21" s="18" t="str">
        <x:v>NO</x:v>
      </x:c>
      <x:c r="Q21" s="18" t="str">
        <x:v>SRC-IMO-POLAR-CODE; SRC-PAME-PSC; SRC-SKAGERAK-PSC; SRC-NUYINA</x:v>
      </x:c>
      <x:c r="R21"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21" s="18" t="str">
        <x:v>PASS_ONE_VALID; PASS_MULTIPLE_ALL_VALID; FAIL_ONE_INVALID; FAIL_MIXED_VALID_INVALID; PASS_ZERO if source/R13 does not require existence.</x:v>
      </x:c>
      <x:c r="T21" s="18" t="str">
        <x:v>READY_FOR_RDF_DESIGN</x:v>
      </x:c>
      <x:c r="U21" s="18" t="str">
        <x:v>Expected outcomes are fixed from the source regulation and R13 before any generated SHACL is inspected.</x:v>
      </x:c>
    </x:row>
    <x:row r="22">
      <x:c r="A22" s="46" t="str">
        <x:v>IMO-023</x:v>
      </x:c>
      <x:c r="B22" s="18" t="str">
        <x:v>IMO Polar Code — MSC.385(94) / MEPC.264(68)</x:v>
      </x:c>
      <x:c r="C22" s="18" t="str">
        <x:v>2.2.3</x:v>
      </x:c>
      <x:c r="D22" s="18" t="str">
        <x:v>15</x:v>
      </x:c>
      <x:c r="E22" s="18" t="str">
        <x:v>DIRECT_STATIC</x:v>
      </x:c>
      <x:c r="F22" s="18" t="str">
        <x:v>OR / ALTERNATIVE</x:v>
      </x:c>
      <x:c r="G22" s="18" t="str">
        <x:v>C_REAL_CONTEXT_CONTROLLED</x:v>
      </x:c>
      <x:c r="H22" s="18" t="str">
        <x:v>PWOM shall include or reference procedures for normal operations and avoidance of conditions exceeding ship capabilities.</x:v>
      </x:c>
      <x:c r="I22" s="18" t="str">
        <x:v>ship</x:v>
      </x:c>
      <x:c r="J22" s="18" t="str"/>
      <x:c r="K22" s="18" t="str"/>
      <x:c r="L22" s="18" t="str"/>
      <x:c r="M22" s="18" t="str"/>
      <x:c r="N22" s="18" t="str"/>
      <x:c r="O22" s="18" t="str"/>
      <x:c r="P22" s="18" t="str">
        <x:v>NO</x:v>
      </x:c>
      <x:c r="Q22" s="18" t="str">
        <x:v>SRC-IMO-POLAR-CODE; SRC-PAME-PSC; SRC-SKAGERAK-PSC; SRC-NUYINA</x:v>
      </x:c>
      <x:c r="R22"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22" s="18" t="str">
        <x:v>PASS each permitted alternative independently; FAIL_NONE_OF_THE_PERMITTED_ROUTES; PASS_BOTH only where simultaneously valid; PASS_NOT_APPLICABLE if the obligation is conditional.</x:v>
      </x:c>
      <x:c r="T22" s="18" t="str">
        <x:v>READY_FOR_RDF_DESIGN</x:v>
      </x:c>
      <x:c r="U22" s="18" t="str">
        <x:v>Expected outcomes are fixed from the source regulation and R13 before any generated SHACL is inspected.</x:v>
      </x:c>
    </x:row>
    <x:row r="23">
      <x:c r="A23" s="46" t="str">
        <x:v>IMO-024</x:v>
      </x:c>
      <x:c r="B23" s="18" t="str">
        <x:v>IMO Polar Code — MSC.385(94) / MEPC.264(68)</x:v>
      </x:c>
      <x:c r="C23" s="18" t="str">
        <x:v>2.2.4</x:v>
      </x:c>
      <x:c r="D23" s="18" t="str">
        <x:v>15</x:v>
      </x:c>
      <x:c r="E23" s="18" t="str">
        <x:v>DIRECT_STATIC</x:v>
      </x:c>
      <x:c r="F23" s="18" t="str">
        <x:v>OR / ALTERNATIVE</x:v>
      </x:c>
      <x:c r="G23" s="18" t="str">
        <x:v>C_REAL_CONTEXT_CONTROLLED</x:v>
      </x:c>
      <x:c r="H23" s="18" t="str">
        <x:v>PWOM shall include or reference polar-water incident procedures.</x:v>
      </x:c>
      <x:c r="I23" s="18" t="str">
        <x:v>ship</x:v>
      </x:c>
      <x:c r="J23" s="18" t="str"/>
      <x:c r="K23" s="18" t="str"/>
      <x:c r="L23" s="18" t="str"/>
      <x:c r="M23" s="18" t="str"/>
      <x:c r="N23" s="18" t="str"/>
      <x:c r="O23" s="18" t="str"/>
      <x:c r="P23" s="18" t="str">
        <x:v>NO</x:v>
      </x:c>
      <x:c r="Q23" s="18" t="str">
        <x:v>SRC-IMO-POLAR-CODE; SRC-PAME-PSC; SRC-SKAGERAK-PSC; SRC-NUYINA</x:v>
      </x:c>
      <x:c r="R23"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23" s="18" t="str">
        <x:v>PASS each permitted alternative independently; FAIL_NONE_OF_THE_PERMITTED_ROUTES; PASS_BOTH only where simultaneously valid; PASS_NOT_APPLICABLE if the obligation is conditional.</x:v>
      </x:c>
      <x:c r="T23" s="18" t="str">
        <x:v>READY_FOR_RDF_DESIGN</x:v>
      </x:c>
      <x:c r="U23" s="18" t="str">
        <x:v>Expected outcomes are fixed from the source regulation and R13 before any generated SHACL is inspected.</x:v>
      </x:c>
    </x:row>
    <x:row r="24">
      <x:c r="A24" s="46" t="str">
        <x:v>IMO-025</x:v>
      </x:c>
      <x:c r="B24" s="18" t="str">
        <x:v>IMO Polar Code — MSC.385(94) / MEPC.264(68)</x:v>
      </x:c>
      <x:c r="C24" s="18" t="str">
        <x:v>2.3.1</x:v>
      </x:c>
      <x:c r="D24" s="18" t="str">
        <x:v>16</x:v>
      </x:c>
      <x:c r="E24" s="18" t="str">
        <x:v>DIRECT_STATIC</x:v>
      </x:c>
      <x:c r="F24" s="18" t="str">
        <x:v>PRESENCE / DOCUMENT</x:v>
      </x:c>
      <x:c r="G24" s="18" t="str">
        <x:v>A_REAL_DIRECT</x:v>
      </x:c>
      <x:c r="H24" s="18" t="str">
        <x:v>PWOM_present_on_board = true.</x:v>
      </x:c>
      <x:c r="I24" s="18" t="str">
        <x:v>ship</x:v>
      </x:c>
      <x:c r="J24" s="18" t="str"/>
      <x:c r="K24" s="18" t="str"/>
      <x:c r="L24" s="18" t="str"/>
      <x:c r="M24" s="18" t="str"/>
      <x:c r="N24" s="18" t="str"/>
      <x:c r="O24" s="18" t="str"/>
      <x:c r="P24" s="18" t="str">
        <x:v>NO</x:v>
      </x:c>
      <x:c r="Q24" s="18" t="str">
        <x:v>SRC-IMO-POLAR-CODE; SRC-PAME-PSC; SRC-SKAGERAK-PSC; SRC-NUYINA</x:v>
      </x:c>
      <x:c r="R24" s="18" t="str">
        <x:v>Instantiate only the minimum R13 subgraph rooted at ship. Prefer exact public Polar Ship Certificate / Record of Equipment / official vessel-document facts where they map directly to the R13 terms; mutate only the minimum target fact for controlled counterexamples.</x:v>
      </x:c>
      <x:c r="S24" s="18" t="str">
        <x:v>PASS_PWOM_PRESENT; FAIL_PWOM_MISSING; FAIL_WRONG_DOCUMENT_OWNER/PATH if represented.</x:v>
      </x:c>
      <x:c r="T24" s="18" t="str">
        <x:v>READY_FOR_RDF_DESIGN</x:v>
      </x:c>
      <x:c r="U24" s="18" t="str">
        <x:v>Expected outcomes are fixed from the source regulation and R13 before any generated SHACL is inspected.</x:v>
      </x:c>
    </x:row>
    <x:row r="25">
      <x:c r="A25" s="46" t="str">
        <x:v>IMO-026</x:v>
      </x:c>
      <x:c r="B25" s="18" t="str">
        <x:v>IMO Polar Code — MSC.385(94) / MEPC.264(68)</x:v>
      </x:c>
      <x:c r="C25" s="18" t="str">
        <x:v>2.3.2</x:v>
      </x:c>
      <x:c r="D25" s="18" t="str">
        <x:v>16</x:v>
      </x:c>
      <x:c r="E25" s="18" t="str">
        <x:v>DIRECT_STATIC</x:v>
      </x:c>
      <x:c r="F25" s="18" t="str">
        <x:v>IF_THEN / APPLICABILITY</x:v>
      </x:c>
      <x:c r="G25" s="18" t="str">
        <x:v>A_REAL_DIRECT</x:v>
      </x:c>
      <x:c r="H25" s="18" t="str">
        <x:v>IF ice_capability_methodology_applicable = true, THEN PWOM_ice_capability_methodology_present = true.</x:v>
      </x:c>
      <x:c r="I25" s="18" t="str">
        <x:v>ship</x:v>
      </x:c>
      <x:c r="J25" s="18" t="str"/>
      <x:c r="K25" s="18" t="str"/>
      <x:c r="L25" s="18" t="str"/>
      <x:c r="M25" s="18" t="str"/>
      <x:c r="N25" s="18" t="str"/>
      <x:c r="O25" s="18" t="str"/>
      <x:c r="P25" s="18" t="str">
        <x:v>NO</x:v>
      </x:c>
      <x:c r="Q25" s="18" t="str">
        <x:v>SRC-IMO-POLAR-CODE; SRC-PAME-PSC; SRC-SKAGERAK-PSC; SRC-NUYINA</x:v>
      </x:c>
      <x:c r="R25" s="18" t="str">
        <x:v>Instantiate only the minimum R13 subgraph rooted at ship. Prefer exact public Polar Ship Certificate / Record of Equipment / official vessel-document facts where they map directly to the R13 terms; mutate only the minimum target fact for controlled counterexamples.</x:v>
      </x:c>
      <x:c r="S25" s="18" t="str">
        <x:v>PASS_APPLICABLE; FAIL_APPLICABLE; PASS_NOT_APPLICABLE; boundary case for date/numeric applicability where meaningful.</x:v>
      </x:c>
      <x:c r="T25" s="18" t="str">
        <x:v>READY_FOR_RDF_DESIGN</x:v>
      </x:c>
      <x:c r="U25" s="18" t="str">
        <x:v>Expected outcomes are fixed from the source regulation and R13 before any generated SHACL is inspected.</x:v>
      </x:c>
    </x:row>
    <x:row r="26">
      <x:c r="A26" s="46" t="str">
        <x:v>IMO-027</x:v>
      </x:c>
      <x:c r="B26" s="18" t="str">
        <x:v>IMO Polar Code — MSC.385(94) / MEPC.264(68)</x:v>
      </x:c>
      <x:c r="C26" s="18" t="str">
        <x:v>2.3.3</x:v>
      </x:c>
      <x:c r="D26" s="18" t="str">
        <x:v>16</x:v>
      </x:c>
      <x:c r="E26" s="18" t="str">
        <x:v>DIRECT_STATIC</x:v>
      </x:c>
      <x:c r="F26" s="18" t="str">
        <x:v>UNIVERSAL / DIRECT</x:v>
      </x:c>
      <x:c r="G26" s="18" t="str">
        <x:v>A_REAL_DIRECT</x:v>
      </x:c>
      <x:c r="H26" s="18" t="str">
        <x:v>PWOM shall include risk-based procedures covering voyage-limit avoidance, environmental forecasts, information limitations, required-equipment operation, and applicable low-temperature, topside-icing, and sea-ice functionality measures.</x:v>
      </x:c>
      <x:c r="I26" s="18" t="str">
        <x:v>ship</x:v>
      </x:c>
      <x:c r="J26" s="18" t="str"/>
      <x:c r="K26" s="18" t="str"/>
      <x:c r="L26" s="18" t="str"/>
      <x:c r="M26" s="18" t="str"/>
      <x:c r="N26" s="18" t="str"/>
      <x:c r="O26" s="18" t="str"/>
      <x:c r="P26" s="18" t="str">
        <x:v>NO</x:v>
      </x:c>
      <x:c r="Q26" s="18" t="str">
        <x:v>SRC-IMO-POLAR-CODE; SRC-PAME-PSC; SRC-SKAGERAK-PSC; SRC-NUYINA</x:v>
      </x:c>
      <x:c r="R26" s="18" t="str">
        <x:v>Instantiate only the minimum R13 subgraph rooted at ship. Prefer exact public Polar Ship Certificate / Record of Equipment / official vessel-document facts where they map directly to the R13 terms; mutate only the minimum target fact for controlled counterexamples.</x:v>
      </x:c>
      <x:c r="S26" s="18" t="str">
        <x:v>PASS_ONE_VALID; PASS_MULTIPLE_ALL_VALID; FAIL_ONE_INVALID; FAIL_MIXED_VALID_INVALID; PASS_ZERO if source/R13 does not require existence.</x:v>
      </x:c>
      <x:c r="T26" s="18" t="str">
        <x:v>READY_FOR_RDF_DESIGN</x:v>
      </x:c>
      <x:c r="U26" s="18" t="str">
        <x:v>Expected outcomes are fixed from the source regulation and R13 before any generated SHACL is inspected.</x:v>
      </x:c>
    </x:row>
    <x:row r="27">
      <x:c r="A27" s="46" t="str">
        <x:v>IMO-028</x:v>
      </x:c>
      <x:c r="B27" s="18" t="str">
        <x:v>IMO Polar Code — MSC.385(94) / MEPC.264(68)</x:v>
      </x:c>
      <x:c r="C27" s="18" t="str">
        <x:v>2.3.4</x:v>
      </x:c>
      <x:c r="D27" s="18" t="str">
        <x:v>16</x:v>
      </x:c>
      <x:c r="E27" s="18" t="str">
        <x:v>DIRECT_STATIC</x:v>
      </x:c>
      <x:c r="F27" s="18" t="str">
        <x:v>UNIVERSAL / DIRECT</x:v>
      </x:c>
      <x:c r="G27" s="18" t="str">
        <x:v>C_REAL_CONTEXT_CONTROLLED</x:v>
      </x:c>
      <x:c r="H27" s="18" t="str">
        <x:v>PWOM shall include applicable emergency-provider contact procedures; IF ship_ice_strengthened = true, THEN PWOM shall also include prolonged-ice-entrapment life-support and integrity procedures.</x:v>
      </x:c>
      <x:c r="I27" s="18" t="str">
        <x:v>ship</x:v>
      </x:c>
      <x:c r="J27" s="18" t="str"/>
      <x:c r="K27" s="18" t="str"/>
      <x:c r="L27" s="18" t="str"/>
      <x:c r="M27" s="18" t="str"/>
      <x:c r="N27" s="18" t="str"/>
      <x:c r="O27" s="18" t="str"/>
      <x:c r="P27" s="18" t="str">
        <x:v>NO</x:v>
      </x:c>
      <x:c r="Q27" s="18" t="str">
        <x:v>SRC-IMO-POLAR-CODE; SRC-PAME-PSC; SRC-SKAGERAK-PSC; SRC-NUYINA</x:v>
      </x:c>
      <x:c r="R27"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27" s="18" t="str">
        <x:v>PASS_ONE_VALID; PASS_MULTIPLE_ALL_VALID; FAIL_ONE_INVALID; FAIL_MIXED_VALID_INVALID; PASS_ZERO if source/R13 does not require existence.</x:v>
      </x:c>
      <x:c r="T27" s="18" t="str">
        <x:v>READY_FOR_RDF_DESIGN</x:v>
      </x:c>
      <x:c r="U27" s="18" t="str">
        <x:v>Expected outcomes are fixed from the source regulation and R13 before any generated SHACL is inspected.</x:v>
      </x:c>
    </x:row>
    <x:row r="28">
      <x:c r="A28" s="46" t="str">
        <x:v>IMO-029</x:v>
      </x:c>
      <x:c r="B28" s="18" t="str">
        <x:v>IMO Polar Code — MSC.385(94) / MEPC.264(68)</x:v>
      </x:c>
      <x:c r="C28" s="18" t="str">
        <x:v>2.3.5</x:v>
      </x:c>
      <x:c r="D28" s="18" t="str">
        <x:v>16</x:v>
      </x:c>
      <x:c r="E28" s="18" t="str">
        <x:v>DIRECT_STATIC</x:v>
      </x:c>
      <x:c r="F28" s="18" t="str">
        <x:v>OR / ALTERNATIVE</x:v>
      </x:c>
      <x:c r="G28" s="18" t="str">
        <x:v>C_REAL_CONTEXT_CONTROLLED</x:v>
      </x:c>
      <x:c r="H28" s="18" t="str">
        <x:v>PWOM shall include procedures for encounters with ice or temperatures exceeding ship design capabilities or limitations.</x:v>
      </x:c>
      <x:c r="I28" s="18" t="str">
        <x:v>ship</x:v>
      </x:c>
      <x:c r="J28" s="18" t="str"/>
      <x:c r="K28" s="18" t="str"/>
      <x:c r="L28" s="18" t="str"/>
      <x:c r="M28" s="18" t="str"/>
      <x:c r="N28" s="18" t="str"/>
      <x:c r="O28" s="18" t="str"/>
      <x:c r="P28" s="18" t="str">
        <x:v>NO</x:v>
      </x:c>
      <x:c r="Q28" s="18" t="str">
        <x:v>SRC-IMO-POLAR-CODE; SRC-PAME-PSC; SRC-SKAGERAK-PSC; SRC-NUYINA</x:v>
      </x:c>
      <x:c r="R28"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28" s="18" t="str">
        <x:v>PASS each permitted alternative independently; FAIL_NONE_OF_THE_PERMITTED_ROUTES; PASS_BOTH only where simultaneously valid; PASS_NOT_APPLICABLE if the obligation is conditional.</x:v>
      </x:c>
      <x:c r="T28" s="18" t="str">
        <x:v>READY_FOR_RDF_DESIGN</x:v>
      </x:c>
      <x:c r="U28" s="18" t="str">
        <x:v>Expected outcomes are fixed from the source regulation and R13 before any generated SHACL is inspected.</x:v>
      </x:c>
    </x:row>
    <x:row r="29">
      <x:c r="A29" s="46" t="str">
        <x:v>IMO-030</x:v>
      </x:c>
      <x:c r="B29" s="18" t="str">
        <x:v>IMO Polar Code — MSC.385(94) / MEPC.264(68)</x:v>
      </x:c>
      <x:c r="C29" s="18" t="str">
        <x:v>2.3.6</x:v>
      </x:c>
      <x:c r="D29" s="18" t="str">
        <x:v>16</x:v>
      </x:c>
      <x:c r="E29" s="18" t="str">
        <x:v>DIRECT_STATIC</x:v>
      </x:c>
      <x:c r="F29" s="18" t="str">
        <x:v>OR / ALTERNATIVE</x:v>
      </x:c>
      <x:c r="G29" s="18" t="str">
        <x:v>C_REAL_CONTEXT_CONTROLLED</x:v>
      </x:c>
      <x:c r="H29" s="18" t="str">
        <x:v>IF ice_operation_applicable = true, THEN PWOM shall include ice-operation monitoring and safety procedures, including applicable escort or icebreaker-assistance requirements and operating-mode-specific limitations.</x:v>
      </x:c>
      <x:c r="I29" s="18" t="str">
        <x:v>ship</x:v>
      </x:c>
      <x:c r="J29" s="18" t="str"/>
      <x:c r="K29" s="18" t="str"/>
      <x:c r="L29" s="18" t="str"/>
      <x:c r="M29" s="18" t="str"/>
      <x:c r="N29" s="18" t="str"/>
      <x:c r="O29" s="18" t="str"/>
      <x:c r="P29" s="18" t="str">
        <x:v>NO</x:v>
      </x:c>
      <x:c r="Q29" s="18" t="str">
        <x:v>SRC-IMO-POLAR-CODE; SRC-PAME-PSC; SRC-SKAGERAK-PSC; SRC-NUYINA</x:v>
      </x:c>
      <x:c r="R29"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29" s="18" t="str">
        <x:v>PASS each permitted alternative independently; FAIL_NONE_OF_THE_PERMITTED_ROUTES; PASS_BOTH only where simultaneously valid; PASS_NOT_APPLICABLE if the obligation is conditional.</x:v>
      </x:c>
      <x:c r="T29" s="18" t="str">
        <x:v>READY_FOR_RDF_DESIGN</x:v>
      </x:c>
      <x:c r="U29" s="18" t="str">
        <x:v>Expected outcomes are fixed from the source regulation and R13 before any generated SHACL is inspected.</x:v>
      </x:c>
    </x:row>
    <x:row r="30">
      <x:c r="A30" s="46" t="str">
        <x:v>IMO-031</x:v>
      </x:c>
      <x:c r="B30" s="18" t="str">
        <x:v>IMO Polar Code — MSC.385(94) / MEPC.264(68)</x:v>
      </x:c>
      <x:c r="C30" s="18" t="str">
        <x:v>3.3.1</x:v>
      </x:c>
      <x:c r="D30" s="18" t="str">
        <x:v>17</x:v>
      </x:c>
      <x:c r="E30" s="18" t="str">
        <x:v>DIRECT_STATIC</x:v>
      </x:c>
      <x:c r="F30" s="18" t="str">
        <x:v>OR / ALTERNATIVE</x:v>
      </x:c>
      <x:c r="G30" s="18" t="str">
        <x:v>C_REAL_CONTEXT_CONTROLLED</x:v>
      </x:c>
      <x:c r="H30" s="18" t="str">
        <x:v>Every applicable exposed-structure material approval uses approvingAuthority equal to one of the two authorized alternatives and approvalStandard equal to an Organization-acceptable or equivalent-safety alternative, preserving the polarServiceTemperature basis.</x:v>
      </x:c>
      <x:c r="I30" s="18" t="str">
        <x:v>ship</x:v>
      </x:c>
      <x:c r="J30" s="18" t="str"/>
      <x:c r="K30" s="18" t="str"/>
      <x:c r="L30" s="18" t="str"/>
      <x:c r="M30" s="18" t="str"/>
      <x:c r="N30" s="18" t="str"/>
      <x:c r="O30" s="18" t="str"/>
      <x:c r="P30" s="18" t="str">
        <x:v>NO</x:v>
      </x:c>
      <x:c r="Q30" s="18" t="str">
        <x:v>SRC-IMO-POLAR-CODE; SRC-PAME-PSC; SRC-SKAGERAK-PSC; SRC-NUYINA</x:v>
      </x:c>
      <x:c r="R30"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30" s="18" t="str">
        <x:v>PASS each permitted alternative independently; FAIL_NONE_OF_THE_PERMITTED_ROUTES; PASS_BOTH only where simultaneously valid; PASS_NOT_APPLICABLE if the obligation is conditional.</x:v>
      </x:c>
      <x:c r="T30" s="18" t="str">
        <x:v>READY_FOR_RDF_DESIGN</x:v>
      </x:c>
      <x:c r="U30" s="18" t="str">
        <x:v>Expected outcomes are fixed from the source regulation and R13 before any generated SHACL is inspected.</x:v>
      </x:c>
    </x:row>
    <x:row r="31">
      <x:c r="A31" s="46" t="str">
        <x:v>IMO-032</x:v>
      </x:c>
      <x:c r="B31" s="18" t="str">
        <x:v>IMO Polar Code — MSC.385(94) / MEPC.264(68)</x:v>
      </x:c>
      <x:c r="C31" s="18" t="str">
        <x:v>3.3.2.1-.3</x:v>
      </x:c>
      <x:c r="D31" s="18" t="str">
        <x:v>17</x:v>
      </x:c>
      <x:c r="E31" s="18" t="str">
        <x:v>DIRECT_STATIC</x:v>
      </x:c>
      <x:c r="F31" s="18" t="str">
        <x:v>IF_THEN / CONDITIONAL</x:v>
      </x:c>
      <x:c r="G31" s="18" t="str">
        <x:v>C_REAL_CONTEXT_CONTROLLED</x:v>
      </x:c>
      <x:c r="H31" s="18" t="str">
        <x:v>For the applicable ship approvalRecord: Category A/B uses an authorized authority and an Organization-acceptable or equivalent-safety standard; ice-strengthened Category C uses an authorized authority and an acceptable standard adequate for operatingIceType and operatingIceConcentration, without the A/B equivalent-safety alternative.</x:v>
      </x:c>
      <x:c r="I31" s="18" t="str">
        <x:v>ship, approvalRecord</x:v>
      </x:c>
      <x:c r="J31" s="18" t="str">
        <x:v>shipCategory, shipIceStrengthened</x:v>
      </x:c>
      <x:c r="K31" s="18" t="str">
        <x:v>hasApprovalRecord, scantlingApprovalStatus</x:v>
      </x:c>
      <x:c r="L31" s="18" t="str"/>
      <x:c r="M31" s="18" t="str"/>
      <x:c r="N31" s="18" t="str">
        <x:v>hasApprovalRecord, approvingAuthority, approvalStandard</x:v>
      </x:c>
      <x:c r="O31" s="18" t="str"/>
      <x:c r="P31" s="18" t="str">
        <x:v>NO</x:v>
      </x:c>
      <x:c r="Q31" s="18" t="str">
        <x:v>SRC-IMO-POLAR-CODE; SRC-PAME-PSC; SRC-SKAGERAK-PSC; SRC-NUYINA</x:v>
      </x:c>
      <x:c r="R31" s="18" t="str">
        <x:v>Instantiate only the minimum R13 subgraph rooted at ship, approvalRecord. Applicability selectors: shipCategory, shipIceStrengthened. R13 paths: hasApprovalRecord, scantlingApprovalStatus. Evidence/artifacts: hasApprovalRecord, approvingAuthority, approvalStandard. Use a documented real vessel/certificate fact for ship context/applicability where available; create clearly labelled CONTROLLED_MUTATION values for the requirement-specific pass/fail branches not publicly documented.</x:v>
      </x:c>
      <x:c r="S31" s="18" t="str">
        <x:v>PASS_APPLICABLE; FAIL_APPLICABLE; PASS_NOT_APPLICABLE; boundary case for date/numeric applicability where meaningful.</x:v>
      </x:c>
      <x:c r="T31" s="18" t="str">
        <x:v>READY_FOR_RDF_DESIGN</x:v>
      </x:c>
      <x:c r="U31" s="18" t="str">
        <x:v>Expected outcomes are fixed from the source regulation and R13 before any generated SHACL is inspected.</x:v>
      </x:c>
    </x:row>
    <x:row r="32">
      <x:c r="A32" s="46" t="str">
        <x:v>IMO-033</x:v>
      </x:c>
      <x:c r="B32" s="18" t="str">
        <x:v>IMO Polar Code — MSC.385(94) / MEPC.264(68)</x:v>
      </x:c>
      <x:c r="C32" s="18" t="str">
        <x:v>4.3.1.1</x:v>
      </x:c>
      <x:c r="D32" s="18" t="str">
        <x:v>18</x:v>
      </x:c>
      <x:c r="E32" s="18" t="str">
        <x:v>DIRECT_CALCULATION</x:v>
      </x:c>
      <x:c r="F32" s="18" t="str">
        <x:v>FORMULA / COMPARISON</x:v>
      </x:c>
      <x:c r="G32" s="18" t="str">
        <x:v>C_REAL_CONTEXT_CONTROLLED</x:v>
      </x:c>
      <x:c r="H32" s="18" t="str">
        <x:v>IF ice_accretion_likely = true, THEN deck_icing_allowance_kg_m2 = 30, side_icing_allowance_kg_m2 = 7.5, discontinuous_surface_projected_area = continuous_surface_projected_area * 1.05, and discontinuous_surface_static_moment = continuous_surface_static_moment * 1.10.</x:v>
      </x:c>
      <x:c r="I32" s="18" t="str">
        <x:v>ship</x:v>
      </x:c>
      <x:c r="J32" s="18" t="str"/>
      <x:c r="K32" s="18" t="str"/>
      <x:c r="L32" s="18" t="str">
        <x:v>continuousSurfaceProjectedArea, continuousSurfaceStaticMoment</x:v>
      </x:c>
      <x:c r="M32" s="18" t="str">
        <x:v>discontinuousSurfaceProjectedArea, discontinuousSurfaceStaticMoment</x:v>
      </x:c>
      <x:c r="N32" s="18" t="str"/>
      <x:c r="O32" s="18" t="str"/>
      <x:c r="P32" s="18" t="str">
        <x:v>NO</x:v>
      </x:c>
      <x:c r="Q32" s="18" t="str">
        <x:v>SRC-IMO-POLAR-CODE; SRC-PAME-PSC; SRC-SKAGERAK-PSC; SRC-NUYINA</x:v>
      </x:c>
      <x:c r="R32" s="18" t="str">
        <x:v>Instantiate only the minimum R13 subgraph rooted at ship. Operands/data: continuousSurfaceProjectedArea, continuousSurfaceStaticMoment. Results/interface: discontinuousSurfaceProjectedArea, discontinuousSurfaceStaticMoment. Use a documented real vessel/certificate fact for ship context/applicability where available; create clearly labelled CONTROLLED_MUTATION values for the requirement-specific pass/fail branches not publicly documented.</x:v>
      </x:c>
      <x:c r="S32" s="18" t="str">
        <x:v>PASS each permitted alternative independently; FAIL_NONE_OF_THE_PERMITTED_ROUTES; PASS_BOTH only where simultaneously valid; PASS_NOT_APPLICABLE if the obligation is conditional.</x:v>
      </x:c>
      <x:c r="T32" s="18" t="str">
        <x:v>READY_FOR_RDF_DESIGN</x:v>
      </x:c>
      <x:c r="U32" s="18" t="str">
        <x:v>Expected outcomes are fixed from the source regulation and R13 before any generated SHACL is inspected.</x:v>
      </x:c>
    </x:row>
    <x:row r="33">
      <x:c r="A33" s="46" t="str">
        <x:v>IMO-034</x:v>
      </x:c>
      <x:c r="B33" s="18" t="str">
        <x:v>IMO Polar Code — MSC.385(94) / MEPC.264(68)</x:v>
      </x:c>
      <x:c r="C33" s="18" t="str">
        <x:v>4.3.1.2</x:v>
      </x:c>
      <x:c r="D33" s="18" t="str">
        <x:v>18</x:v>
      </x:c>
      <x:c r="E33" s="18" t="str">
        <x:v>DIRECT_STATIC</x:v>
      </x:c>
      <x:c r="F33" s="18" t="str">
        <x:v>IF_THEN / APPLICABILITY</x:v>
      </x:c>
      <x:c r="G33" s="18" t="str">
        <x:v>C_REAL_CONTEXT_CONTROLLED</x:v>
      </x:c>
      <x:c r="H33" s="18" t="str">
        <x:v>IF ice_accretion_likely = true, THEN ice_accretion_minimization_design_present = true AND required_ice_removal_means_present = true.</x:v>
      </x:c>
      <x:c r="I33" s="18" t="str">
        <x:v>ship</x:v>
      </x:c>
      <x:c r="J33" s="18" t="str"/>
      <x:c r="K33" s="18" t="str"/>
      <x:c r="L33" s="18" t="str"/>
      <x:c r="M33" s="18" t="str"/>
      <x:c r="N33" s="18" t="str"/>
      <x:c r="O33" s="18" t="str"/>
      <x:c r="P33" s="18" t="str">
        <x:v>NO</x:v>
      </x:c>
      <x:c r="Q33" s="18" t="str">
        <x:v>SRC-IMO-POLAR-CODE; SRC-PAME-PSC; SRC-SKAGERAK-PSC; SRC-NUYINA</x:v>
      </x:c>
      <x:c r="R33"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33" s="18" t="str">
        <x:v>PASS_APPLICABLE; FAIL_APPLICABLE; PASS_NOT_APPLICABLE; boundary case for date/numeric applicability where meaningful.</x:v>
      </x:c>
      <x:c r="T33" s="18" t="str">
        <x:v>READY_FOR_RDF_DESIGN</x:v>
      </x:c>
      <x:c r="U33" s="18" t="str">
        <x:v>Expected outcomes are fixed from the source regulation and R13 before any generated SHACL is inspected.</x:v>
      </x:c>
    </x:row>
    <x:row r="34">
      <x:c r="A34" s="46" t="str">
        <x:v>IMO-035</x:v>
      </x:c>
      <x:c r="B34" s="18" t="str">
        <x:v>IMO Polar Code — MSC.385(94) / MEPC.264(68)</x:v>
      </x:c>
      <x:c r="C34" s="18" t="str">
        <x:v>4.3.1.3</x:v>
      </x:c>
      <x:c r="D34" s="18" t="str">
        <x:v>18</x:v>
      </x:c>
      <x:c r="E34" s="18" t="str">
        <x:v>DIRECT_STATIC</x:v>
      </x:c>
      <x:c r="F34" s="18" t="str">
        <x:v>EVIDENCE / PRESENCE</x:v>
      </x:c>
      <x:c r="G34" s="18" t="str">
        <x:v>C_REAL_CONTEXT_CONTROLLED</x:v>
      </x:c>
      <x:c r="H34" s="18" t="str">
        <x:v>PWOM_icing_allowance_information_present = true AND PWOM_icing_allowance_values shall match the stability calculation.</x:v>
      </x:c>
      <x:c r="I34" s="18" t="str">
        <x:v>ship</x:v>
      </x:c>
      <x:c r="J34" s="18" t="str"/>
      <x:c r="K34" s="18" t="str">
        <x:v>hasPolarWaterOperationalManualRecord, hasStabilityCalculationRecord</x:v>
      </x:c>
      <x:c r="L34" s="18" t="str"/>
      <x:c r="M34" s="18" t="str"/>
      <x:c r="N34" s="18" t="str">
        <x:v>hasPolarWaterOperationalManualRecord, hasStabilityCalculationRecord</x:v>
      </x:c>
      <x:c r="O34" s="18" t="str"/>
      <x:c r="P34" s="18" t="str">
        <x:v>NO</x:v>
      </x:c>
      <x:c r="Q34" s="18" t="str">
        <x:v>SRC-IMO-POLAR-CODE; SRC-PAME-PSC; SRC-SKAGERAK-PSC; SRC-NUYINA</x:v>
      </x:c>
      <x:c r="R34" s="18" t="str">
        <x:v>Instantiate only the minimum R13 subgraph rooted at ship. R13 paths: hasPolarWaterOperationalManualRecord, hasStabilityCalculationRecord. Evidence/artifacts: hasPolarWaterOperationalManualRecord, hasStabilityCalculationRecord. Use a documented real vessel/certificate fact for ship context/applicability where available; create clearly labelled CONTROLLED_MUTATION values for the requirement-specific pass/fail branches not publicly documented.</x:v>
      </x:c>
      <x:c r="S34" s="18" t="str">
        <x:v>PASS_REQUIRED_EVIDENCE_PRESENT; FAIL_MISSING_EVIDENCE; FAIL_WRONG_EVIDENCE_STATE_OR_OWNER; PASS_NOT_APPLICABLE where conditional.</x:v>
      </x:c>
      <x:c r="T34" s="18" t="str">
        <x:v>READY_FOR_RDF_DESIGN</x:v>
      </x:c>
      <x:c r="U34" s="18" t="str">
        <x:v>Expected outcomes are fixed from the source regulation and R13 before any generated SHACL is inspected.</x:v>
      </x:c>
    </x:row>
    <x:row r="35">
      <x:c r="A35" s="46" t="str">
        <x:v>IMO-037</x:v>
      </x:c>
      <x:c r="B35" s="18" t="str">
        <x:v>IMO Polar Code — MSC.385(94) / MEPC.264(68)</x:v>
      </x:c>
      <x:c r="C35" s="18" t="str">
        <x:v>4.3.2.1</x:v>
      </x:c>
      <x:c r="D35" s="18" t="str">
        <x:v>19</x:v>
      </x:c>
      <x:c r="E35" s="18" t="str">
        <x:v>COMPLEX_READINESS</x:v>
      </x:c>
      <x:c r="F35" s="18" t="str">
        <x:v>IF_THEN / ALTERNATIVE_INSTRUMENT</x:v>
      </x:c>
      <x:c r="G35" s="18" t="str">
        <x:v>C_REAL_CONTEXT_CONTROLLED</x:v>
      </x:c>
      <x:c r="H35" s="18" t="str">
        <x:v>IF ship_category IN {'A','B'} AND construction_date &gt;= '2017-01-01', THEN for every applicable loading condition either residual_stability_factor_s_i = 1 or, where the SOLAS II-1/4.1 alternative applies, alternative_instrument_residual_stability_status = compliant.</x:v>
      </x:c>
      <x:c r="I35" s="18" t="str">
        <x:v>ship, loadingConditionCase</x:v>
      </x:c>
      <x:c r="J35" s="18" t="str">
        <x:v>shipCategory, constructionDate</x:v>
      </x:c>
      <x:c r="K35" s="18" t="str">
        <x:v>hasLoadingConditionCase, hasLoadingConditionResultEvidence, shipCategory</x:v>
      </x:c>
      <x:c r="L35" s="18" t="str">
        <x:v>alternativeInstrumentApplicable, loadingConditionIdentifier, residualStabilityFactorSI</x:v>
      </x:c>
      <x:c r="M35" s="18" t="str">
        <x:v>alternativeInstrumentResidualStabilityStatus, residualStabilityFactorSI</x:v>
      </x:c>
      <x:c r="N35" s="18" t="str"/>
      <x:c r="O35" s="18" t="str">
        <x:v>For every loadingConditionCase, residualStabilityFactorSI = 1 unless alternativeInstrumentApplicable is true and alternativeInstrumentResidualStabilityStatus is compliant for that case.</x:v>
      </x:c>
      <x:c r="P35" s="18" t="str">
        <x:v>NO</x:v>
      </x:c>
      <x:c r="Q35" s="18" t="str">
        <x:v>SRC-IMO-POLAR-CODE; SRC-PAME-PSC; SRC-SKAGERAK-PSC; SRC-NUYINA</x:v>
      </x:c>
      <x:c r="R35" s="18" t="str">
        <x:v>Instantiate only the minimum R13 subgraph rooted at ship, loadingConditionCase. Applicability selectors: shipCategory, constructionDate. R13 paths: hasLoadingConditionCase, hasLoadingConditionResultEvidence, shipCategory. Operands/data: alternativeInstrumentApplicable, loadingConditionIdentifier, residualStabilityFactorSI. Results/interface: alternativeInstrumentResidualStabilityStatus, residualStabilityFactorSI. Use a documented real vessel/certificate fact for ship context/applicability where available; create clearly labelled CONTROLLED_MUTATION values for the requirement-specific pass/fail branches not publicly documented.</x:v>
      </x:c>
      <x:c r="S35" s="18" t="str">
        <x:v>PASS_STANDARD_SOLAS_STABILITY_ROUTE; PASS_ALTERNATIVE_INSTRUMENT_ROUTE where applicable; FAIL_APPLICABLE_NO_VALID_ROUTE; PASS_NOT_APPLICABLE outside A/B post-2017 cohort.</x:v>
      </x:c>
      <x:c r="T35" s="18" t="str">
        <x:v>READY_FOR_RDF_DESIGN</x:v>
      </x:c>
      <x:c r="U35" s="18" t="str">
        <x:v>Readiness/interface semantics only; do not claim independent execution of the advanced assessment. R13 explicitly does not require formula execution.</x:v>
      </x:c>
    </x:row>
    <x:row r="36">
      <x:c r="A36" s="46" t="str">
        <x:v>IMO-038</x:v>
      </x:c>
      <x:c r="B36" s="18" t="str">
        <x:v>IMO Polar Code — MSC.385(94) / MEPC.264(68)</x:v>
      </x:c>
      <x:c r="C36" s="18" t="str">
        <x:v>4.3.2.2</x:v>
      </x:c>
      <x:c r="D36" s="18" t="str">
        <x:v>19</x:v>
      </x:c>
      <x:c r="E36" s="18" t="str">
        <x:v>DIRECT_CALCULATION</x:v>
      </x:c>
      <x:c r="F36" s="18" t="str">
        <x:v>FORMULA / COMPARISON</x:v>
      </x:c>
      <x:c r="G36" s="18" t="str">
        <x:v>C_REAL_CONTEXT_CONTROLLED</x:v>
      </x:c>
      <x:c r="H36" s="18" t="str">
        <x:v>piecewise formulas and inclusive keel-to-1.20-draught range</x:v>
      </x:c>
      <x:c r="I36" s="18" t="str">
        <x:v>ship</x:v>
      </x:c>
      <x:c r="J36" s="18" t="str">
        <x:v>damageCenterForwardOfMaxBreadth</x:v>
      </x:c>
      <x:c r="K36" s="18" t="str"/>
      <x:c r="L36" s="18" t="str">
        <x:v>upperIceWaterlineDraught, upperIceWaterlineLength</x:v>
      </x:c>
      <x:c r="M36" s="18" t="str">
        <x:v>longitudinalDamageExtent, transversePenetration, verticalDamageExtent, selectedVerticalDamagePosition</x:v>
      </x:c>
      <x:c r="N36" s="18" t="str"/>
      <x:c r="O36" s="18" t="str"/>
      <x:c r="P36" s="18" t="str">
        <x:v>NO</x:v>
      </x:c>
      <x:c r="Q36" s="18" t="str">
        <x:v>SRC-IMO-POLAR-CODE; SRC-PAME-PSC; SRC-SKAGERAK-PSC; SRC-NUYINA</x:v>
      </x:c>
      <x:c r="R36" s="18" t="str">
        <x:v>Instantiate only the minimum R13 subgraph rooted at ship. Applicability selectors: damageCenterForwardOfMaxBreadth. Operands/data: upperIceWaterlineDraught, upperIceWaterlineLength. Results/interface: longitudinalDamageExtent, transversePenetration, verticalDamageExtent, selectedVerticalDamagePosition. Use a documented real vessel/certificate fact for ship context/applicability where available; create clearly labelled CONTROLLED_MUTATION values for the requirement-specific pass/fail branches not publicly documented.</x:v>
      </x:c>
      <x:c r="S36" s="18" t="str">
        <x:v>PASS each permitted alternative independently; FAIL_NONE_OF_THE_PERMITTED_ROUTES; PASS_BOTH only where simultaneously valid; PASS_NOT_APPLICABLE if the obligation is conditional.</x:v>
      </x:c>
      <x:c r="T36" s="18" t="str">
        <x:v>READY_FOR_RDF_DESIGN</x:v>
      </x:c>
      <x:c r="U36" s="18" t="str">
        <x:v>Expected outcomes are fixed from the source regulation and R13 before any generated SHACL is inspected.</x:v>
      </x:c>
    </x:row>
    <x:row r="37">
      <x:c r="A37" s="46" t="str">
        <x:v>IMO-040</x:v>
      </x:c>
      <x:c r="B37" s="18" t="str">
        <x:v>IMO Polar Code — MSC.385(94) / MEPC.264(68)</x:v>
      </x:c>
      <x:c r="C37" s="18" t="str">
        <x:v>5.3.1</x:v>
      </x:c>
      <x:c r="D37" s="18" t="str">
        <x:v>19</x:v>
      </x:c>
      <x:c r="E37" s="18" t="str">
        <x:v>DIRECT_STATIC</x:v>
      </x:c>
      <x:c r="F37" s="18" t="str">
        <x:v>IF_THEN / APPLICABILITY</x:v>
      </x:c>
      <x:c r="G37" s="18" t="str">
        <x:v>C_REAL_CONTEXT_CONTROLLED</x:v>
      </x:c>
      <x:c r="H37" s="18" t="str">
        <x:v>IF ice_accretion_likely = true, THEN every relevant hatch and door shall have an associated ice_or_snow_removal_or_prevention_means.</x:v>
      </x:c>
      <x:c r="I37" s="18" t="str">
        <x:v>ship</x:v>
      </x:c>
      <x:c r="J37" s="18" t="str"/>
      <x:c r="K37" s="18" t="str">
        <x:v>hasIceOrSnowRemovalOrPreventionMeans, hasRelevantHatchOrDoor</x:v>
      </x:c>
      <x:c r="L37" s="18" t="str"/>
      <x:c r="M37" s="18" t="str"/>
      <x:c r="N37" s="18" t="str"/>
      <x:c r="O37" s="18" t="str"/>
      <x:c r="P37" s="18" t="str">
        <x:v>NO</x:v>
      </x:c>
      <x:c r="Q37" s="18" t="str">
        <x:v>SRC-IMO-POLAR-CODE; SRC-PAME-PSC; SRC-SKAGERAK-PSC; SRC-NUYINA</x:v>
      </x:c>
      <x:c r="R37" s="18" t="str">
        <x:v>Instantiate only the minimum R13 subgraph rooted at ship. R13 paths: hasIceOrSnowRemovalOrPreventionMeans, hasRelevantHatchOrDoor. Use a documented real vessel/certificate fact for ship context/applicability where available; create clearly labelled CONTROLLED_MUTATION values for the requirement-specific pass/fail branches not publicly documented.</x:v>
      </x:c>
      <x:c r="S37" s="18" t="str">
        <x:v>PASS_APPLICABLE; FAIL_APPLICABLE; PASS_NOT_APPLICABLE; boundary case for date/numeric applicability where meaningful.</x:v>
      </x:c>
      <x:c r="T37" s="18" t="str">
        <x:v>READY_FOR_RDF_DESIGN</x:v>
      </x:c>
      <x:c r="U37" s="18" t="str">
        <x:v>Expected outcomes are fixed from the source regulation and R13 before any generated SHACL is inspected.</x:v>
      </x:c>
    </x:row>
    <x:row r="38">
      <x:c r="A38" s="46" t="str">
        <x:v>IMO-041</x:v>
      </x:c>
      <x:c r="B38" s="18" t="str">
        <x:v>IMO Polar Code — MSC.385(94) / MEPC.264(68)</x:v>
      </x:c>
      <x:c r="C38" s="18" t="str">
        <x:v>5.3.2.1</x:v>
      </x:c>
      <x:c r="D38" s="18" t="str">
        <x:v>19</x:v>
      </x:c>
      <x:c r="E38" s="18" t="str">
        <x:v>DIRECT_STATIC</x:v>
      </x:c>
      <x:c r="F38" s="18" t="str">
        <x:v>IF_THEN / APPLICABILITY</x:v>
      </x:c>
      <x:c r="G38" s="18" t="str">
        <x:v>C_REAL_CONTEXT_CONTROLLED</x:v>
      </x:c>
      <x:c r="H38" s="18" t="str">
        <x:v>IF opening_actuation_type = hydraulic, THEN hydraulic_fluid_freezing_or_viscosity_control_present = true.</x:v>
      </x:c>
      <x:c r="I38" s="18" t="str">
        <x:v>ship</x:v>
      </x:c>
      <x:c r="J38" s="18" t="str"/>
      <x:c r="K38" s="18" t="str"/>
      <x:c r="L38" s="18" t="str"/>
      <x:c r="M38" s="18" t="str"/>
      <x:c r="N38" s="18" t="str"/>
      <x:c r="O38" s="18" t="str"/>
      <x:c r="P38" s="18" t="str">
        <x:v>NO</x:v>
      </x:c>
      <x:c r="Q38" s="18" t="str">
        <x:v>SRC-IMO-POLAR-CODE; SRC-PAME-PSC; SRC-SKAGERAK-PSC; SRC-NUYINA</x:v>
      </x:c>
      <x:c r="R38"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38" s="18" t="str">
        <x:v>PASS_APPLICABLE; FAIL_APPLICABLE; PASS_NOT_APPLICABLE; boundary case for date/numeric applicability where meaningful.</x:v>
      </x:c>
      <x:c r="T38" s="18" t="str">
        <x:v>READY_FOR_RDF_DESIGN</x:v>
      </x:c>
      <x:c r="U38" s="18" t="str">
        <x:v>Expected outcomes are fixed from the source regulation and R13 before any generated SHACL is inspected.</x:v>
      </x:c>
    </x:row>
    <x:row r="39">
      <x:c r="A39" s="46" t="str">
        <x:v>IMO-043</x:v>
      </x:c>
      <x:c r="B39" s="18" t="str">
        <x:v>IMO Polar Code — MSC.385(94) / MEPC.264(68)</x:v>
      </x:c>
      <x:c r="C39" s="18" t="str">
        <x:v>6.3.1.1</x:v>
      </x:c>
      <x:c r="D39" s="18" t="str">
        <x:v>20</x:v>
      </x:c>
      <x:c r="E39" s="18" t="str">
        <x:v>DIRECT_STATIC</x:v>
      </x:c>
      <x:c r="F39" s="18" t="str">
        <x:v>EVIDENCE / PRESENCE</x:v>
      </x:c>
      <x:c r="G39" s="18" t="str">
        <x:v>C_REAL_CONTEXT_CONTROLLED</x:v>
      </x:c>
      <x:c r="H39" s="18" t="str">
        <x:v>complete per-installation hazard coverage</x:v>
      </x:c>
      <x:c r="I39" s="18" t="str">
        <x:v>ship</x:v>
      </x:c>
      <x:c r="J39" s="18" t="str"/>
      <x:c r="K39" s="18" t="str">
        <x:v>hasMachineryInstallation, hasAssociatedEquipment, hasApplicableHazard, hasHazardProtectionEvidence</x:v>
      </x:c>
      <x:c r="L39" s="18" t="str"/>
      <x:c r="M39" s="18" t="str"/>
      <x:c r="N39" s="18" t="str">
        <x:v>hasHazardProtectionEvidence</x:v>
      </x:c>
      <x:c r="O39" s="18" t="str"/>
      <x:c r="P39" s="18" t="str">
        <x:v>NO</x:v>
      </x:c>
      <x:c r="Q39" s="18" t="str">
        <x:v>SRC-IMO-POLAR-CODE; SRC-PAME-PSC; SRC-SKAGERAK-PSC; SRC-NUYINA</x:v>
      </x:c>
      <x:c r="R39" s="18" t="str">
        <x:v>Instantiate only the minimum R13 subgraph rooted at ship. R13 paths: hasMachineryInstallation, hasAssociatedEquipment, hasApplicableHazard, hasHazardProtectionEvidence. Evidence/artifacts: hasHazardProtectionEvidence. Use a documented real vessel/certificate fact for ship context/applicability where available; create clearly labelled CONTROLLED_MUTATION values for the requirement-specific pass/fail branches not publicly documented.</x:v>
      </x:c>
      <x:c r="S39" s="18" t="str">
        <x:v>PASS_REQUIRED_EVIDENCE_PRESENT; FAIL_MISSING_EVIDENCE; FAIL_WRONG_EVIDENCE_STATE_OR_OWNER; PASS_NOT_APPLICABLE where conditional.</x:v>
      </x:c>
      <x:c r="T39" s="18" t="str">
        <x:v>READY_FOR_RDF_DESIGN</x:v>
      </x:c>
      <x:c r="U39" s="18" t="str">
        <x:v>Expected outcomes are fixed from the source regulation and R13 before any generated SHACL is inspected.</x:v>
      </x:c>
    </x:row>
    <x:row r="40">
      <x:c r="A40" s="46" t="str">
        <x:v>IMO-045</x:v>
      </x:c>
      <x:c r="B40" s="18" t="str">
        <x:v>IMO Polar Code — MSC.385(94) / MEPC.264(68)</x:v>
      </x:c>
      <x:c r="C40" s="18" t="str">
        <x:v>6.3.1.3</x:v>
      </x:c>
      <x:c r="D40" s="18" t="str">
        <x:v>21</x:v>
      </x:c>
      <x:c r="E40" s="18" t="str">
        <x:v>DIRECT_STATIC</x:v>
      </x:c>
      <x:c r="F40" s="18" t="str">
        <x:v>OR / ALTERNATIVE_FUNCTIONALITY</x:v>
      </x:c>
      <x:c r="G40" s="18" t="str">
        <x:v>C_REAL_CONTEXT_CONTROLLED</x:v>
      </x:c>
      <x:c r="H40" s="18" t="str">
        <x:v>Every machinery seawater supply shall have ice_ingestion_prevention_present = true OR alternate_functionality_arrangement_approval_status = approved.</x:v>
      </x:c>
      <x:c r="I40" s="18" t="str">
        <x:v>ship</x:v>
      </x:c>
      <x:c r="J40" s="18" t="str"/>
      <x:c r="K40" s="18" t="str"/>
      <x:c r="L40" s="18" t="str"/>
      <x:c r="M40" s="18" t="str"/>
      <x:c r="N40" s="18" t="str"/>
      <x:c r="O40" s="18" t="str"/>
      <x:c r="P40" s="18" t="str">
        <x:v>NO</x:v>
      </x:c>
      <x:c r="Q40" s="18" t="str">
        <x:v>SRC-IMO-POLAR-CODE; SRC-PAME-PSC; SRC-SKAGERAK-PSC; SRC-NUYINA</x:v>
      </x:c>
      <x:c r="R40"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40" s="18" t="str">
        <x:v>PASS_ICE_INGESTION_PREVENTION_ROUTE; PASS_ALTERNATE_FUNCTIONALITY_ROUTE; FAIL_NEITHER; PASS_BOTH if allowed.</x:v>
      </x:c>
      <x:c r="T40" s="18" t="str">
        <x:v>READY_FOR_RDF_DESIGN</x:v>
      </x:c>
      <x:c r="U40" s="18" t="str">
        <x:v>Expected outcomes are fixed from the source regulation and R13 before any generated SHACL is inspected.</x:v>
      </x:c>
    </x:row>
    <x:row r="41">
      <x:c r="A41" s="46" t="str">
        <x:v>IMO-047</x:v>
      </x:c>
      <x:c r="B41" s="18" t="str">
        <x:v>IMO Polar Code — MSC.385(94) / MEPC.264(68)</x:v>
      </x:c>
      <x:c r="C41" s="18" t="str">
        <x:v>6.3.2.2</x:v>
      </x:c>
      <x:c r="D41" s="18" t="str">
        <x:v>21</x:v>
      </x:c>
      <x:c r="E41" s="18" t="str">
        <x:v>DIRECT_STATIC</x:v>
      </x:c>
      <x:c r="F41" s="18" t="str">
        <x:v>UNIVERSAL / DIRECT</x:v>
      </x:c>
      <x:c r="G41" s="18" t="str">
        <x:v>C_REAL_CONTEXT_CONTROLLED</x:v>
      </x:c>
      <x:c r="H41" s="18" t="str">
        <x:v>For every internal combustion engine driving essential machinery, combustion_air_temperature_control_present = true AND combustion_air_temperature_degC shall be within the engine manufacturer criteria.</x:v>
      </x:c>
      <x:c r="I41" s="18" t="str">
        <x:v>ship</x:v>
      </x:c>
      <x:c r="J41" s="18" t="str"/>
      <x:c r="K41" s="18" t="str">
        <x:v>hasEssentialEngine</x:v>
      </x:c>
      <x:c r="L41" s="18" t="str"/>
      <x:c r="M41" s="18" t="str"/>
      <x:c r="N41" s="18" t="str"/>
      <x:c r="O41" s="18" t="str"/>
      <x:c r="P41" s="18" t="str">
        <x:v>NO</x:v>
      </x:c>
      <x:c r="Q41" s="18" t="str">
        <x:v>SRC-IMO-POLAR-CODE; SRC-PAME-PSC; SRC-SKAGERAK-PSC; SRC-NUYINA</x:v>
      </x:c>
      <x:c r="R41" s="18" t="str">
        <x:v>Instantiate only the minimum R13 subgraph rooted at ship. R13 paths: hasEssentialEngine. Use a documented real vessel/certificate fact for ship context/applicability where available; create clearly labelled CONTROLLED_MUTATION values for the requirement-specific pass/fail branches not publicly documented.</x:v>
      </x:c>
      <x:c r="S41" s="18" t="str">
        <x:v>PASS_ONE_VALID; PASS_MULTIPLE_ALL_VALID; FAIL_ONE_INVALID; FAIL_MIXED_VALID_INVALID; PASS_ZERO if source/R13 does not require existence.</x:v>
      </x:c>
      <x:c r="T41" s="18" t="str">
        <x:v>READY_FOR_RDF_DESIGN</x:v>
      </x:c>
      <x:c r="U41" s="18" t="str">
        <x:v>Expected outcomes are fixed from the source regulation and R13 before any generated SHACL is inspected.</x:v>
      </x:c>
    </x:row>
    <x:row r="42">
      <x:c r="A42" s="46" t="str">
        <x:v>IMO-048</x:v>
      </x:c>
      <x:c r="B42" s="18" t="str">
        <x:v>IMO Polar Code — MSC.385(94) / MEPC.264(68)</x:v>
      </x:c>
      <x:c r="C42" s="18" t="str">
        <x:v>6.3.2.3</x:v>
      </x:c>
      <x:c r="D42" s="18" t="str">
        <x:v>21</x:v>
      </x:c>
      <x:c r="E42" s="18" t="str">
        <x:v>DIRECT_STATIC</x:v>
      </x:c>
      <x:c r="F42" s="18" t="str">
        <x:v>OR / ALTERNATIVE</x:v>
      </x:c>
      <x:c r="G42" s="18" t="str">
        <x:v>C_REAL_CONTEXT_CONTROLLED</x:v>
      </x:c>
      <x:c r="H42" s="18" t="str">
        <x:v>Every applicable exposed machinery or foundation material approval uses approvingAuthority equal to one of the two authorized alternatives and approvalStandard equal to an Organization-acceptable or equivalent-safety alternative, preserving the polarServiceTemperature basis.</x:v>
      </x:c>
      <x:c r="I42" s="18" t="str">
        <x:v>ship</x:v>
      </x:c>
      <x:c r="J42" s="18" t="str"/>
      <x:c r="K42" s="18" t="str"/>
      <x:c r="L42" s="18" t="str"/>
      <x:c r="M42" s="18" t="str"/>
      <x:c r="N42" s="18" t="str"/>
      <x:c r="O42" s="18" t="str"/>
      <x:c r="P42" s="18" t="str">
        <x:v>NO</x:v>
      </x:c>
      <x:c r="Q42" s="18" t="str">
        <x:v>SRC-IMO-POLAR-CODE; SRC-PAME-PSC; SRC-SKAGERAK-PSC; SRC-NUYINA</x:v>
      </x:c>
      <x:c r="R42"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42" s="18" t="str">
        <x:v>PASS each permitted alternative independently; FAIL_NONE_OF_THE_PERMITTED_ROUTES; PASS_BOTH only where simultaneously valid; PASS_NOT_APPLICABLE if the obligation is conditional.</x:v>
      </x:c>
      <x:c r="T42" s="18" t="str">
        <x:v>READY_FOR_RDF_DESIGN</x:v>
      </x:c>
      <x:c r="U42" s="18" t="str">
        <x:v>Expected outcomes are fixed from the source regulation and R13 before any generated SHACL is inspected.</x:v>
      </x:c>
    </x:row>
    <x:row r="43">
      <x:c r="A43" s="46" t="str">
        <x:v>IMO-049</x:v>
      </x:c>
      <x:c r="B43" s="18" t="str">
        <x:v>IMO Polar Code — MSC.385(94) / MEPC.264(68)</x:v>
      </x:c>
      <x:c r="C43" s="18" t="str">
        <x:v>6.3.3.1-.3</x:v>
      </x:c>
      <x:c r="D43" s="18" t="str">
        <x:v>21</x:v>
      </x:c>
      <x:c r="E43" s="18" t="str">
        <x:v>DIRECT_STATIC</x:v>
      </x:c>
      <x:c r="F43" s="18" t="str">
        <x:v>IF_THEN / CONDITIONAL</x:v>
      </x:c>
      <x:c r="G43" s="18" t="str">
        <x:v>C_REAL_CONTEXT_CONTROLLED</x:v>
      </x:c>
      <x:c r="H43" s="18" t="str">
        <x:v>For each applicable machinery component approvalRecord: Category A/B uses an authorized authority and an Organization-acceptable or equivalent-safety standard; ice-strengthened Category C uses an authorized authority and an acceptable standard adequate for operatingIceType and operatingIceConcentration, without the A/B equivalent-safety alternative.</x:v>
      </x:c>
      <x:c r="I43" s="18" t="str">
        <x:v>ship, machineryComponent, approvalRecord</x:v>
      </x:c>
      <x:c r="J43" s="18" t="str">
        <x:v>shipCategory, shipIceStrengthened, machineryComponentType</x:v>
      </x:c>
      <x:c r="K43" s="18" t="str">
        <x:v>hasComponent, hasApprovalRecord, scantlingApprovalStatus</x:v>
      </x:c>
      <x:c r="L43" s="18" t="str"/>
      <x:c r="M43" s="18" t="str"/>
      <x:c r="N43" s="18" t="str">
        <x:v>hasApprovalRecord, approvingAuthority, approvalStandard</x:v>
      </x:c>
      <x:c r="O43" s="18" t="str"/>
      <x:c r="P43" s="18" t="str">
        <x:v>NO</x:v>
      </x:c>
      <x:c r="Q43" s="18" t="str">
        <x:v>SRC-IMO-POLAR-CODE; SRC-PAME-PSC; SRC-SKAGERAK-PSC; SRC-NUYINA</x:v>
      </x:c>
      <x:c r="R43" s="18" t="str">
        <x:v>Instantiate only the minimum R13 subgraph rooted at ship, machineryComponent, approvalRecord. Applicability selectors: shipCategory, shipIceStrengthened, machineryComponentType. R13 paths: hasComponent, hasApprovalRecord, scantlingApprovalStatus. Evidence/artifacts: hasApprovalRecord, approvingAuthority, approvalStandard. Use a documented real vessel/certificate fact for ship context/applicability where available; create clearly labelled CONTROLLED_MUTATION values for the requirement-specific pass/fail branches not publicly documented.</x:v>
      </x:c>
      <x:c r="S43" s="18" t="str">
        <x:v>PASS_APPLICABLE; FAIL_APPLICABLE; PASS_NOT_APPLICABLE; boundary case for date/numeric applicability where meaningful.</x:v>
      </x:c>
      <x:c r="T43" s="18" t="str">
        <x:v>READY_FOR_RDF_DESIGN</x:v>
      </x:c>
      <x:c r="U43" s="18" t="str">
        <x:v>Expected outcomes are fixed from the source regulation and R13 before any generated SHACL is inspected.</x:v>
      </x:c>
    </x:row>
    <x:row r="44">
      <x:c r="A44" s="46" t="str">
        <x:v>IMO-050</x:v>
      </x:c>
      <x:c r="B44" s="18" t="str">
        <x:v>IMO Polar Code — MSC.385(94) / MEPC.264(68)</x:v>
      </x:c>
      <x:c r="C44" s="18" t="str">
        <x:v>7.2.1.1</x:v>
      </x:c>
      <x:c r="D44" s="18" t="str">
        <x:v>22</x:v>
      </x:c>
      <x:c r="E44" s="18" t="str">
        <x:v>DIRECT_STATIC</x:v>
      </x:c>
      <x:c r="F44" s="18" t="str">
        <x:v>IF_THEN / APPLICABILITY</x:v>
      </x:c>
      <x:c r="G44" s="18" t="str">
        <x:v>C_REAL_CONTEXT_CONTROLLED</x:v>
      </x:c>
      <x:c r="H44" s="18" t="str">
        <x:v>IF fire_safety_component_exposed = true, THEN ice_and_snow_protection_present = true.</x:v>
      </x:c>
      <x:c r="I44" s="18" t="str">
        <x:v>ship</x:v>
      </x:c>
      <x:c r="J44" s="18" t="str"/>
      <x:c r="K44" s="18" t="str"/>
      <x:c r="L44" s="18" t="str"/>
      <x:c r="M44" s="18" t="str"/>
      <x:c r="N44" s="18" t="str"/>
      <x:c r="O44" s="18" t="str"/>
      <x:c r="P44" s="18" t="str">
        <x:v>NO</x:v>
      </x:c>
      <x:c r="Q44" s="18" t="str">
        <x:v>SRC-IMO-POLAR-CODE; SRC-PAME-PSC; SRC-SKAGERAK-PSC; SRC-NUYINA</x:v>
      </x:c>
      <x:c r="R44"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44" s="18" t="str">
        <x:v>PASS_APPLICABLE; FAIL_APPLICABLE; PASS_NOT_APPLICABLE; boundary case for date/numeric applicability where meaningful.</x:v>
      </x:c>
      <x:c r="T44" s="18" t="str">
        <x:v>READY_FOR_RDF_DESIGN</x:v>
      </x:c>
      <x:c r="U44" s="18" t="str">
        <x:v>Expected outcomes are fixed from the source regulation and R13 before any generated SHACL is inspected.</x:v>
      </x:c>
    </x:row>
    <x:row r="45">
      <x:c r="A45" s="46" t="str">
        <x:v>IMO-051</x:v>
      </x:c>
      <x:c r="B45" s="18" t="str">
        <x:v>IMO Polar Code — MSC.385(94) / MEPC.264(68)</x:v>
      </x:c>
      <x:c r="C45" s="18" t="str">
        <x:v>7.2.1.2</x:v>
      </x:c>
      <x:c r="D45" s="18" t="str">
        <x:v>22</x:v>
      </x:c>
      <x:c r="E45" s="18" t="str">
        <x:v>DIRECT_STATIC</x:v>
      </x:c>
      <x:c r="F45" s="18" t="str">
        <x:v>OR / ALTERNATIVE</x:v>
      </x:c>
      <x:c r="G45" s="18" t="str">
        <x:v>C_REAL_CONTEXT_CONTROLLED</x:v>
      </x:c>
      <x:c r="H45" s="18" t="str">
        <x:v>Every local equipment or machinery control shall have freezing_snow_ice_protection_present = true AND continuously_accessible = true.</x:v>
      </x:c>
      <x:c r="I45" s="18" t="str">
        <x:v>ship</x:v>
      </x:c>
      <x:c r="J45" s="18" t="str"/>
      <x:c r="K45" s="18" t="str">
        <x:v>hasLocalControlItem</x:v>
      </x:c>
      <x:c r="L45" s="18" t="str"/>
      <x:c r="M45" s="18" t="str"/>
      <x:c r="N45" s="18" t="str"/>
      <x:c r="O45" s="18" t="str"/>
      <x:c r="P45" s="18" t="str">
        <x:v>NO</x:v>
      </x:c>
      <x:c r="Q45" s="18" t="str">
        <x:v>SRC-IMO-POLAR-CODE; SRC-PAME-PSC; SRC-SKAGERAK-PSC; SRC-NUYINA</x:v>
      </x:c>
      <x:c r="R45" s="18" t="str">
        <x:v>Instantiate only the minimum R13 subgraph rooted at ship. R13 paths: hasLocalControlItem. Use a documented real vessel/certificate fact for ship context/applicability where available; create clearly labelled CONTROLLED_MUTATION values for the requirement-specific pass/fail branches not publicly documented.</x:v>
      </x:c>
      <x:c r="S45" s="18" t="str">
        <x:v>PASS each permitted alternative independently; FAIL_NONE_OF_THE_PERMITTED_ROUTES; PASS_BOTH only where simultaneously valid; PASS_NOT_APPLICABLE if the obligation is conditional.</x:v>
      </x:c>
      <x:c r="T45" s="18" t="str">
        <x:v>READY_FOR_RDF_DESIGN</x:v>
      </x:c>
      <x:c r="U45" s="18" t="str">
        <x:v>Expected outcomes are fixed from the source regulation and R13 before any generated SHACL is inspected.</x:v>
      </x:c>
    </x:row>
    <x:row r="46">
      <x:c r="A46" s="46" t="str">
        <x:v>IMO-052</x:v>
      </x:c>
      <x:c r="B46" s="18" t="str">
        <x:v>IMO Polar Code — MSC.385(94) / MEPC.264(68)</x:v>
      </x:c>
      <x:c r="C46" s="18" t="str">
        <x:v>7.2.1.4</x:v>
      </x:c>
      <x:c r="D46" s="18" t="str">
        <x:v>22</x:v>
      </x:c>
      <x:c r="E46" s="18" t="str">
        <x:v>DIRECT_STATIC</x:v>
      </x:c>
      <x:c r="F46" s="18" t="str">
        <x:v>UNIVERSAL / DIRECT</x:v>
      </x:c>
      <x:c r="G46" s="18" t="str">
        <x:v>C_REAL_CONTEXT_CONTROLLED</x:v>
      </x:c>
      <x:c r="H46" s="18" t="str">
        <x:v>Every required access shall have an associated ice_or_snow_removal_or_prevention_means.</x:v>
      </x:c>
      <x:c r="I46" s="18" t="str">
        <x:v>ship</x:v>
      </x:c>
      <x:c r="J46" s="18" t="str"/>
      <x:c r="K46" s="18" t="str">
        <x:v>hasIceOrSnowRemovalOrPreventionMeans, hasRequiredAccessItem</x:v>
      </x:c>
      <x:c r="L46" s="18" t="str"/>
      <x:c r="M46" s="18" t="str"/>
      <x:c r="N46" s="18" t="str"/>
      <x:c r="O46" s="18" t="str"/>
      <x:c r="P46" s="18" t="str">
        <x:v>NO</x:v>
      </x:c>
      <x:c r="Q46" s="18" t="str">
        <x:v>SRC-IMO-POLAR-CODE; SRC-PAME-PSC; SRC-SKAGERAK-PSC; SRC-NUYINA</x:v>
      </x:c>
      <x:c r="R46" s="18" t="str">
        <x:v>Instantiate only the minimum R13 subgraph rooted at ship. R13 paths: hasIceOrSnowRemovalOrPreventionMeans, hasRequiredAccessItem. Use a documented real vessel/certificate fact for ship context/applicability where available; create clearly labelled CONTROLLED_MUTATION values for the requirement-specific pass/fail branches not publicly documented.</x:v>
      </x:c>
      <x:c r="S46" s="18" t="str">
        <x:v>PASS_ONE_VALID; PASS_MULTIPLE_ALL_VALID; FAIL_ONE_INVALID; FAIL_MIXED_VALID_INVALID; PASS_ZERO if source/R13 does not require existence.</x:v>
      </x:c>
      <x:c r="T46" s="18" t="str">
        <x:v>READY_FOR_RDF_DESIGN</x:v>
      </x:c>
      <x:c r="U46" s="18" t="str">
        <x:v>Expected outcomes are fixed from the source regulation and R13 before any generated SHACL is inspected.</x:v>
      </x:c>
    </x:row>
    <x:row r="47">
      <x:c r="A47" s="46" t="str">
        <x:v>IMO-053</x:v>
      </x:c>
      <x:c r="B47" s="18" t="str">
        <x:v>IMO Polar Code — MSC.385(94) / MEPC.264(68)</x:v>
      </x:c>
      <x:c r="C47" s="18" t="str">
        <x:v>7.2.1.5</x:v>
      </x:c>
      <x:c r="D47" s="18" t="str">
        <x:v>22</x:v>
      </x:c>
      <x:c r="E47" s="18" t="str">
        <x:v>DIRECT_STATIC</x:v>
      </x:c>
      <x:c r="F47" s="18" t="str">
        <x:v>UNIVERSAL / DIRECT</x:v>
      </x:c>
      <x:c r="G47" s="18" t="str">
        <x:v>C_REAL_CONTEXT_CONTROLLED</x:v>
      </x:c>
      <x:c r="H47" s="18" t="str">
        <x:v>Every extinguishing medium shall have intended_operation_compatibility_status = approved.</x:v>
      </x:c>
      <x:c r="I47" s="18" t="str">
        <x:v>ship</x:v>
      </x:c>
      <x:c r="J47" s="18" t="str"/>
      <x:c r="K47" s="18" t="str">
        <x:v>hasExtinguishingMedium</x:v>
      </x:c>
      <x:c r="L47" s="18" t="str"/>
      <x:c r="M47" s="18" t="str"/>
      <x:c r="N47" s="18" t="str"/>
      <x:c r="O47" s="18" t="str"/>
      <x:c r="P47" s="18" t="str">
        <x:v>NO</x:v>
      </x:c>
      <x:c r="Q47" s="18" t="str">
        <x:v>SRC-IMO-POLAR-CODE; SRC-PAME-PSC; SRC-SKAGERAK-PSC; SRC-NUYINA</x:v>
      </x:c>
      <x:c r="R47" s="18" t="str">
        <x:v>Instantiate only the minimum R13 subgraph rooted at ship. R13 paths: hasExtinguishingMedium. Use a documented real vessel/certificate fact for ship context/applicability where available; create clearly labelled CONTROLLED_MUTATION values for the requirement-specific pass/fail branches not publicly documented.</x:v>
      </x:c>
      <x:c r="S47" s="18" t="str">
        <x:v>PASS_ONE_VALID; PASS_MULTIPLE_ALL_VALID; FAIL_ONE_INVALID; FAIL_MIXED_VALID_INVALID; PASS_ZERO if source/R13 does not require existence.</x:v>
      </x:c>
      <x:c r="T47" s="18" t="str">
        <x:v>READY_FOR_RDF_DESIGN</x:v>
      </x:c>
      <x:c r="U47" s="18" t="str">
        <x:v>Expected outcomes are fixed from the source regulation and R13 before any generated SHACL is inspected.</x:v>
      </x:c>
    </x:row>
    <x:row r="48">
      <x:c r="A48" s="46" t="str">
        <x:v>IMO-055</x:v>
      </x:c>
      <x:c r="B48" s="18" t="str">
        <x:v>IMO Polar Code — MSC.385(94) / MEPC.264(68)</x:v>
      </x:c>
      <x:c r="C48" s="18" t="str">
        <x:v>7.3.1.1</x:v>
      </x:c>
      <x:c r="D48" s="18" t="str">
        <x:v>22</x:v>
      </x:c>
      <x:c r="E48" s="18" t="str">
        <x:v>DIRECT_STATIC</x:v>
      </x:c>
      <x:c r="F48" s="18" t="str">
        <x:v>IF_THEN / APPLICABILITY</x:v>
      </x:c>
      <x:c r="G48" s="18" t="str">
        <x:v>C_REAL_CONTEXT_CONTROLLED</x:v>
      </x:c>
      <x:c r="H48" s="18" t="str">
        <x:v>IF valve_exposed = true AND valve_type IN {isolating, pressure, vacuum}, THEN ice_accretion_protection_present = true AND continuously_accessible = true.</x:v>
      </x:c>
      <x:c r="I48" s="18" t="str">
        <x:v>ship</x:v>
      </x:c>
      <x:c r="J48" s="18" t="str"/>
      <x:c r="K48" s="18" t="str"/>
      <x:c r="L48" s="18" t="str"/>
      <x:c r="M48" s="18" t="str"/>
      <x:c r="N48" s="18" t="str"/>
      <x:c r="O48" s="18" t="str"/>
      <x:c r="P48" s="18" t="str">
        <x:v>NO</x:v>
      </x:c>
      <x:c r="Q48" s="18" t="str">
        <x:v>SRC-IMO-POLAR-CODE; SRC-PAME-PSC; SRC-SKAGERAK-PSC; SRC-NUYINA</x:v>
      </x:c>
      <x:c r="R48"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48" s="18" t="str">
        <x:v>PASS_APPLICABLE; FAIL_APPLICABLE; PASS_NOT_APPLICABLE; boundary case for date/numeric applicability where meaningful.</x:v>
      </x:c>
      <x:c r="T48" s="18" t="str">
        <x:v>READY_FOR_RDF_DESIGN</x:v>
      </x:c>
      <x:c r="U48" s="18" t="str">
        <x:v>Expected outcomes are fixed from the source regulation and R13 before any generated SHACL is inspected.</x:v>
      </x:c>
    </x:row>
    <x:row r="49">
      <x:c r="A49" s="46" t="str">
        <x:v>IMO-057</x:v>
      </x:c>
      <x:c r="B49" s="18" t="str">
        <x:v>IMO Polar Code — MSC.385(94) / MEPC.264(68)</x:v>
      </x:c>
      <x:c r="C49" s="18" t="str">
        <x:v>7.3.2.1</x:v>
      </x:c>
      <x:c r="D49" s="18" t="str">
        <x:v>22</x:v>
      </x:c>
      <x:c r="E49" s="18" t="str">
        <x:v>DIRECT_STATIC</x:v>
      </x:c>
      <x:c r="F49" s="18" t="str">
        <x:v>IF_THENOR / FIRE_PUMP_PROTECTION</x:v>
      </x:c>
      <x:c r="G49" s="18" t="str">
        <x:v>C_REAL_CONTEXT_CONTROLLED</x:v>
      </x:c>
      <x:c r="H49" s="18" t="str">
        <x:v>Every fire pump, emergency fire pump, water-mist pump, and water-spray pump shall be located in a compartment with maintained_temperature_degC &gt; 0.</x:v>
      </x:c>
      <x:c r="I49" s="18" t="str">
        <x:v>ship, shipComponent, firePump, compartment</x:v>
      </x:c>
      <x:c r="J49" s="18" t="str"/>
      <x:c r="K49" s="18" t="str">
        <x:v>hasComponent, hasContainingCompartment</x:v>
      </x:c>
      <x:c r="L49" s="18" t="str">
        <x:v>maintainedTemperature</x:v>
      </x:c>
      <x:c r="M49" s="18" t="str"/>
      <x:c r="N49" s="18" t="str"/>
      <x:c r="O49" s="18" t="str"/>
      <x:c r="P49" s="18" t="str">
        <x:v>NO</x:v>
      </x:c>
      <x:c r="Q49" s="18" t="str">
        <x:v>SRC-IMO-POLAR-CODE; SRC-PAME-PSC; SRC-SKAGERAK-PSC; SRC-NUYINA</x:v>
      </x:c>
      <x:c r="R49" s="18" t="str">
        <x:v>Instantiate only the minimum R13 subgraph rooted at ship, shipComponent, firePump, compartment. R13 paths: hasComponent, hasContainingCompartment. Operands/data: maintainedTemperature. Use a documented real vessel/certificate fact for ship context/applicability where available; create clearly labelled CONTROLLED_MUTATION values for the requirement-specific pass/fail branches not publicly documented.</x:v>
      </x:c>
      <x:c r="S49" s="18" t="str">
        <x:v>PASS each permitted protected fire-pump arrangement route independently; FAIL no protected operable route; PASS_NOT_APPLICABLE outside low-air-temperature/icing trigger.</x:v>
      </x:c>
      <x:c r="T49" s="18" t="str">
        <x:v>READY_FOR_RDF_DESIGN</x:v>
      </x:c>
      <x:c r="U49" s="18" t="str">
        <x:v>Expected outcomes are fixed from the source regulation and R13 before any generated SHACL is inspected.</x:v>
      </x:c>
    </x:row>
    <x:row r="50">
      <x:c r="A50" s="46" t="str">
        <x:v>IMO-058</x:v>
      </x:c>
      <x:c r="B50" s="18" t="str">
        <x:v>IMO Polar Code — MSC.385(94) / MEPC.264(68)</x:v>
      </x:c>
      <x:c r="C50" s="18" t="str">
        <x:v>7.3.2.2</x:v>
      </x:c>
      <x:c r="D50" s="18" t="str">
        <x:v>22</x:v>
      </x:c>
      <x:c r="E50" s="18" t="str">
        <x:v>DIRECT_STATIC</x:v>
      </x:c>
      <x:c r="F50" s="18" t="str">
        <x:v>UNIVERSAL / DIRECT</x:v>
      </x:c>
      <x:c r="G50" s="18" t="str">
        <x:v>C_REAL_CONTEXT_CONTROLLED</x:v>
      </x:c>
      <x:c r="H50" s="18" t="str">
        <x:v>Every exposed fire-main section shall have isolation_capability = true AND drainage_means_present = true.</x:v>
      </x:c>
      <x:c r="I50" s="18" t="str">
        <x:v>ship</x:v>
      </x:c>
      <x:c r="J50" s="18" t="str"/>
      <x:c r="K50" s="18" t="str">
        <x:v>hasExposedFireMainSection</x:v>
      </x:c>
      <x:c r="L50" s="18" t="str"/>
      <x:c r="M50" s="18" t="str"/>
      <x:c r="N50" s="18" t="str"/>
      <x:c r="O50" s="18" t="str"/>
      <x:c r="P50" s="18" t="str">
        <x:v>NO</x:v>
      </x:c>
      <x:c r="Q50" s="18" t="str">
        <x:v>SRC-IMO-POLAR-CODE; SRC-PAME-PSC; SRC-SKAGERAK-PSC; SRC-NUYINA</x:v>
      </x:c>
      <x:c r="R50" s="18" t="str">
        <x:v>Instantiate only the minimum R13 subgraph rooted at ship. R13 paths: hasExposedFireMainSection. Use a documented real vessel/certificate fact for ship context/applicability where available; create clearly labelled CONTROLLED_MUTATION values for the requirement-specific pass/fail branches not publicly documented.</x:v>
      </x:c>
      <x:c r="S50" s="18" t="str">
        <x:v>PASS_ONE_VALID; PASS_MULTIPLE_ALL_VALID; FAIL_ONE_INVALID; FAIL_MIXED_VALID_INVALID; PASS_ZERO if source/R13 does not require existence.</x:v>
      </x:c>
      <x:c r="T50" s="18" t="str">
        <x:v>READY_FOR_RDF_DESIGN</x:v>
      </x:c>
      <x:c r="U50" s="18" t="str">
        <x:v>Expected outcomes are fixed from the source regulation and R13 before any generated SHACL is inspected.</x:v>
      </x:c>
    </x:row>
    <x:row r="51">
      <x:c r="A51" s="46" t="str">
        <x:v>IMO-059</x:v>
      </x:c>
      <x:c r="B51" s="18" t="str">
        <x:v>IMO Polar Code — MSC.385(94) / MEPC.264(68)</x:v>
      </x:c>
      <x:c r="C51" s="18" t="str">
        <x:v>7.3.2.3</x:v>
      </x:c>
      <x:c r="D51" s="18" t="str">
        <x:v>22</x:v>
      </x:c>
      <x:c r="E51" s="18" t="str">
        <x:v>DIRECT_STATIC</x:v>
      </x:c>
      <x:c r="F51" s="18" t="str">
        <x:v>UNIVERSAL / DIRECT</x:v>
      </x:c>
      <x:c r="G51" s="18" t="str">
        <x:v>C_REAL_CONTEXT_CONTROLLED</x:v>
      </x:c>
      <x:c r="H51" s="18" t="str">
        <x:v>all firefighter outfits stored at warm-class locations</x:v>
      </x:c>
      <x:c r="I51" s="18" t="str">
        <x:v>ship</x:v>
      </x:c>
      <x:c r="J51" s="18" t="str"/>
      <x:c r="K51" s="18" t="str">
        <x:v>hasFirefighterOutfit, hasStorageLocation, storageTemperatureClass</x:v>
      </x:c>
      <x:c r="L51" s="18" t="str"/>
      <x:c r="M51" s="18" t="str"/>
      <x:c r="N51" s="18" t="str"/>
      <x:c r="O51" s="18" t="str"/>
      <x:c r="P51" s="18" t="str">
        <x:v>NO</x:v>
      </x:c>
      <x:c r="Q51" s="18" t="str">
        <x:v>SRC-IMO-POLAR-CODE; SRC-PAME-PSC; SRC-SKAGERAK-PSC; SRC-NUYINA</x:v>
      </x:c>
      <x:c r="R51" s="18" t="str">
        <x:v>Instantiate only the minimum R13 subgraph rooted at ship. R13 paths: hasFirefighterOutfit, hasStorageLocation, storageTemperatureClass. Use a documented real vessel/certificate fact for ship context/applicability where available; create clearly labelled CONTROLLED_MUTATION values for the requirement-specific pass/fail branches not publicly documented.</x:v>
      </x:c>
      <x:c r="S51" s="18" t="str">
        <x:v>PASS_ONE_VALID; PASS_MULTIPLE_ALL_VALID; FAIL_ONE_INVALID; FAIL_MIXED_VALID_INVALID; PASS_ZERO if source/R13 does not require existence.</x:v>
      </x:c>
      <x:c r="T51" s="18" t="str">
        <x:v>READY_FOR_RDF_DESIGN</x:v>
      </x:c>
      <x:c r="U51" s="18" t="str">
        <x:v>Expected outcomes are fixed from the source regulation and R13 before any generated SHACL is inspected.</x:v>
      </x:c>
    </x:row>
    <x:row r="52">
      <x:c r="A52" s="46" t="str">
        <x:v>IMO-060</x:v>
      </x:c>
      <x:c r="B52" s="18" t="str">
        <x:v>IMO Polar Code — MSC.385(94) / MEPC.264(68)</x:v>
      </x:c>
      <x:c r="C52" s="18" t="str">
        <x:v>7.3.2.4</x:v>
      </x:c>
      <x:c r="D52" s="18" t="str">
        <x:v>22</x:v>
      </x:c>
      <x:c r="E52" s="18" t="str">
        <x:v>DIRECT_STATIC</x:v>
      </x:c>
      <x:c r="F52" s="18" t="str">
        <x:v>IF_THEN / APPLICABILITY</x:v>
      </x:c>
      <x:c r="G52" s="18" t="str">
        <x:v>C_REAL_CONTEXT_CONTROLLED</x:v>
      </x:c>
      <x:c r="H52" s="18" t="str">
        <x:v>IF fixed_water_system_separate_from_main_fire_pumps = true AND independent_sea_suction_used = true, THEN sea_suction_ice_clearing_capability = true.</x:v>
      </x:c>
      <x:c r="I52" s="18" t="str">
        <x:v>ship</x:v>
      </x:c>
      <x:c r="J52" s="18" t="str"/>
      <x:c r="K52" s="18" t="str"/>
      <x:c r="L52" s="18" t="str"/>
      <x:c r="M52" s="18" t="str"/>
      <x:c r="N52" s="18" t="str"/>
      <x:c r="O52" s="18" t="str"/>
      <x:c r="P52" s="18" t="str">
        <x:v>NO</x:v>
      </x:c>
      <x:c r="Q52" s="18" t="str">
        <x:v>SRC-IMO-POLAR-CODE; SRC-PAME-PSC; SRC-SKAGERAK-PSC; SRC-NUYINA</x:v>
      </x:c>
      <x:c r="R52"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52" s="18" t="str">
        <x:v>PASS_APPLICABLE; FAIL_APPLICABLE; PASS_NOT_APPLICABLE; boundary case for date/numeric applicability where meaningful.</x:v>
      </x:c>
      <x:c r="T52" s="18" t="str">
        <x:v>READY_FOR_RDF_DESIGN</x:v>
      </x:c>
      <x:c r="U52" s="18" t="str">
        <x:v>Expected outcomes are fixed from the source regulation and R13 before any generated SHACL is inspected.</x:v>
      </x:c>
    </x:row>
    <x:row r="53">
      <x:c r="A53" s="46" t="str">
        <x:v>IMO-062</x:v>
      </x:c>
      <x:c r="B53" s="18" t="str">
        <x:v>IMO Polar Code — MSC.385(94) / MEPC.264(68)</x:v>
      </x:c>
      <x:c r="C53" s="18" t="str">
        <x:v>8.2.1.1</x:v>
      </x:c>
      <x:c r="D53" s="18" t="str">
        <x:v>23</x:v>
      </x:c>
      <x:c r="E53" s="18" t="str">
        <x:v>DIRECT_STATIC</x:v>
      </x:c>
      <x:c r="F53" s="18" t="str">
        <x:v>EVIDENCE / PRESENCE</x:v>
      </x:c>
      <x:c r="G53" s="18" t="str">
        <x:v>C_REAL_CONTEXT_CONTROLLED</x:v>
      </x:c>
      <x:c r="H53" s="18" t="str">
        <x:v>Every exposed escape route shall have accessible_status = true, safe_status = true, and documented ice/snow mitigation coverage.</x:v>
      </x:c>
      <x:c r="I53" s="18" t="str">
        <x:v>ship</x:v>
      </x:c>
      <x:c r="J53" s="18" t="str"/>
      <x:c r="K53" s="18" t="str">
        <x:v>hasEscapeRouteIceSnowMitigationEvidence, hasExposedEscapeRoute</x:v>
      </x:c>
      <x:c r="L53" s="18" t="str">
        <x:v>accessibleStatus, iceSnowMitigationCoverage, safeStatus</x:v>
      </x:c>
      <x:c r="M53" s="18" t="str"/>
      <x:c r="N53" s="18" t="str">
        <x:v>iceSnowMitigationCoverage</x:v>
      </x:c>
      <x:c r="O53" s="18" t="str"/>
      <x:c r="P53" s="18" t="str">
        <x:v>NO</x:v>
      </x:c>
      <x:c r="Q53" s="18" t="str">
        <x:v>SRC-IMO-POLAR-CODE; SRC-PAME-PSC; SRC-SKAGERAK-PSC; SRC-NUYINA</x:v>
      </x:c>
      <x:c r="R53" s="18" t="str">
        <x:v>Instantiate only the minimum R13 subgraph rooted at ship. R13 paths: hasEscapeRouteIceSnowMitigationEvidence, hasExposedEscapeRoute. Operands/data: accessibleStatus, iceSnowMitigationCoverage, safeStatus. Evidence/artifacts: iceSnowMitigationCoverage. Use a documented real vessel/certificate fact for ship context/applicability where available; create clearly labelled CONTROLLED_MUTATION values for the requirement-specific pass/fail branches not publicly documented.</x:v>
      </x:c>
      <x:c r="S53" s="18" t="str">
        <x:v>PASS_REQUIRED_EVIDENCE_PRESENT; FAIL_MISSING_EVIDENCE; FAIL_WRONG_EVIDENCE_STATE_OR_OWNER; PASS_NOT_APPLICABLE where conditional.</x:v>
      </x:c>
      <x:c r="T53" s="18" t="str">
        <x:v>READY_FOR_RDF_DESIGN</x:v>
      </x:c>
      <x:c r="U53" s="18" t="str">
        <x:v>Expected outcomes are fixed from the source regulation and R13 before any generated SHACL is inspected.</x:v>
      </x:c>
    </x:row>
    <x:row r="54">
      <x:c r="A54" s="46" t="str">
        <x:v>IMO-064</x:v>
      </x:c>
      <x:c r="B54" s="18" t="str">
        <x:v>IMO Polar Code — MSC.385(94) / MEPC.264(68)</x:v>
      </x:c>
      <x:c r="C54" s="18" t="str">
        <x:v>8.2.3.1</x:v>
      </x:c>
      <x:c r="D54" s="18" t="str">
        <x:v>23</x:v>
      </x:c>
      <x:c r="E54" s="18" t="str">
        <x:v>DIRECT_STATIC</x:v>
      </x:c>
      <x:c r="F54" s="18" t="str">
        <x:v>UNIVERSAL / DIRECT</x:v>
      </x:c>
      <x:c r="G54" s="18" t="str">
        <x:v>C_REAL_CONTEXT_CONTROLLED</x:v>
      </x:c>
      <x:c r="H54" s="18" t="str">
        <x:v>Every person on board shall have assigned thermal-protection equipment supported by an adequacy approval covering intended voyage, anticipated cold and wind, and applicable polar-water immersion.</x:v>
      </x:c>
      <x:c r="I54" s="18" t="str">
        <x:v>ship</x:v>
      </x:c>
      <x:c r="J54" s="18" t="str"/>
      <x:c r="K54" s="18" t="str"/>
      <x:c r="L54" s="18" t="str"/>
      <x:c r="M54" s="18" t="str"/>
      <x:c r="N54" s="18" t="str"/>
      <x:c r="O54" s="18" t="str"/>
      <x:c r="P54" s="18" t="str">
        <x:v>NO</x:v>
      </x:c>
      <x:c r="Q54" s="18" t="str">
        <x:v>SRC-IMO-POLAR-CODE; SRC-PAME-PSC; SRC-SKAGERAK-PSC; SRC-NUYINA</x:v>
      </x:c>
      <x:c r="R54"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54" s="18" t="str">
        <x:v>PASS_ONE_VALID; PASS_MULTIPLE_ALL_VALID; FAIL_ONE_INVALID; FAIL_MIXED_VALID_INVALID; PASS_ZERO if source/R13 does not require existence.</x:v>
      </x:c>
      <x:c r="T54" s="18" t="str">
        <x:v>READY_FOR_RDF_DESIGN</x:v>
      </x:c>
      <x:c r="U54" s="18" t="str">
        <x:v>Expected outcomes are fixed from the source regulation and R13 before any generated SHACL is inspected.</x:v>
      </x:c>
    </x:row>
    <x:row r="55">
      <x:c r="A55" s="46" t="str">
        <x:v>IMO-065</x:v>
      </x:c>
      <x:c r="B55" s="18" t="str">
        <x:v>IMO Polar Code — MSC.385(94) / MEPC.264(68)</x:v>
      </x:c>
      <x:c r="C55" s="18" t="str">
        <x:v>8.2.3.3</x:v>
      </x:c>
      <x:c r="D55" s="18" t="str">
        <x:v>23-24</x:v>
      </x:c>
      <x:c r="E55" s="18" t="str">
        <x:v>DIRECT_STATIC</x:v>
      </x:c>
      <x:c r="F55" s="18" t="str">
        <x:v>AND / SURVIVAL_RESOURCES</x:v>
      </x:c>
      <x:c r="G55" s="18" t="str">
        <x:v>C_REAL_CONTEXT_CONTROLLED</x:v>
      </x:c>
      <x:c r="H55" s="18" t="str">
        <x:v>Survival resources shall support the assessed abandonment environments for at least maximum_expected_rescue_time_days and shall cover habitable environment, cold/wind/sun protection, accommodation space, sustenance, safe access/exit, and rescue communication.</x:v>
      </x:c>
      <x:c r="I55" s="18" t="str">
        <x:v>ship</x:v>
      </x:c>
      <x:c r="J55" s="18" t="str"/>
      <x:c r="K55" s="18" t="str"/>
      <x:c r="L55" s="18" t="str"/>
      <x:c r="M55" s="18" t="str"/>
      <x:c r="N55" s="18" t="str"/>
      <x:c r="O55" s="18" t="str"/>
      <x:c r="P55" s="18" t="str">
        <x:v>NO</x:v>
      </x:c>
      <x:c r="Q55" s="18" t="str">
        <x:v>SRC-IMO-POLAR-CODE; SRC-PAME-PSC; SRC-SKAGERAK-PSC; SRC-NUYINA</x:v>
      </x:c>
      <x:c r="R55"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55" s="18" t="str">
        <x:v>PASS all required survival-resource functions represented; FAIL each required function independently missing; preserve maximum expected rescue time applicability.</x:v>
      </x:c>
      <x:c r="T55" s="18" t="str">
        <x:v>READY_FOR_RDF_DESIGN</x:v>
      </x:c>
      <x:c r="U55" s="18" t="str">
        <x:v>Expected outcomes are fixed from the source regulation and R13 before any generated SHACL is inspected.</x:v>
      </x:c>
    </x:row>
    <x:row r="56">
      <x:c r="A56" s="46" t="str">
        <x:v>IMO-066</x:v>
      </x:c>
      <x:c r="B56" s="18" t="str">
        <x:v>IMO Polar Code — MSC.385(94) / MEPC.264(68)</x:v>
      </x:c>
      <x:c r="C56" s="18" t="str">
        <x:v>8.3.1.1</x:v>
      </x:c>
      <x:c r="D56" s="18" t="str">
        <x:v>24</x:v>
      </x:c>
      <x:c r="E56" s="18" t="str">
        <x:v>DIRECT_STATIC</x:v>
      </x:c>
      <x:c r="F56" s="18" t="str">
        <x:v>IF_THEN / APPLICABILITY</x:v>
      </x:c>
      <x:c r="G56" s="18" t="str">
        <x:v>C_REAL_CONTEXT_CONTROLLED</x:v>
      </x:c>
      <x:c r="H56" s="18" t="str">
        <x:v>conditional complete category coverage with per-item means association</x:v>
      </x:c>
      <x:c r="I56" s="18" t="str">
        <x:v>ship</x:v>
      </x:c>
      <x:c r="J56" s="18" t="str">
        <x:v>shipExposedToIceAccretion</x:v>
      </x:c>
      <x:c r="K56" s="18" t="str">
        <x:v>hasProtectedItem, protectedItemCategory, hasIceSnowRemovalOrPreventionMeans</x:v>
      </x:c>
      <x:c r="L56" s="18" t="str"/>
      <x:c r="M56" s="18" t="str"/>
      <x:c r="N56" s="18" t="str"/>
      <x:c r="O56" s="18" t="str"/>
      <x:c r="P56" s="18" t="str">
        <x:v>NO</x:v>
      </x:c>
      <x:c r="Q56" s="18" t="str">
        <x:v>SRC-IMO-POLAR-CODE; SRC-PAME-PSC; SRC-SKAGERAK-PSC; SRC-NUYINA</x:v>
      </x:c>
      <x:c r="R56" s="18" t="str">
        <x:v>Instantiate only the minimum R13 subgraph rooted at ship. Applicability selectors: shipExposedToIceAccretion. R13 paths: hasProtectedItem, protectedItemCategory, hasIceSnowRemovalOrPreventionMeans. Use a documented real vessel/certificate fact for ship context/applicability where available; create clearly labelled CONTROLLED_MUTATION values for the requirement-specific pass/fail branches not publicly documented.</x:v>
      </x:c>
      <x:c r="S56" s="18" t="str">
        <x:v>PASS_APPLICABLE; FAIL_APPLICABLE; PASS_NOT_APPLICABLE; boundary case for date/numeric applicability where meaningful.</x:v>
      </x:c>
      <x:c r="T56" s="18" t="str">
        <x:v>READY_FOR_RDF_DESIGN</x:v>
      </x:c>
      <x:c r="U56" s="18" t="str">
        <x:v>Expected outcomes are fixed from the source regulation and R13 before any generated SHACL is inspected.</x:v>
      </x:c>
    </x:row>
    <x:row r="57">
      <x:c r="A57" s="46" t="str">
        <x:v>IMO-068</x:v>
      </x:c>
      <x:c r="B57" s="18" t="str">
        <x:v>IMO Polar Code — MSC.385(94) / MEPC.264(68)</x:v>
      </x:c>
      <x:c r="C57" s="18" t="str">
        <x:v>8.3.2.1</x:v>
      </x:c>
      <x:c r="D57" s="18" t="str">
        <x:v>24</x:v>
      </x:c>
      <x:c r="E57" s="18" t="str">
        <x:v>DIRECT_STATIC</x:v>
      </x:c>
      <x:c r="F57" s="18" t="str">
        <x:v>OR / ALTERNATIVE</x:v>
      </x:c>
      <x:c r="G57" s="18" t="str">
        <x:v>C_REAL_CONTEXT_CONTROLLED</x:v>
      </x:c>
      <x:c r="H57" s="18" t="str">
        <x:v>IF ship_operates_in_ice_covered_waters = true OR direct_evacuation_onto_ice_applicable = true, THEN safe_evacuation_means_present = true AND survival_equipment_deployment_approval_status = approved.</x:v>
      </x:c>
      <x:c r="I57" s="18" t="str">
        <x:v>ship</x:v>
      </x:c>
      <x:c r="J57" s="18" t="str"/>
      <x:c r="K57" s="18" t="str"/>
      <x:c r="L57" s="18" t="str"/>
      <x:c r="M57" s="18" t="str"/>
      <x:c r="N57" s="18" t="str"/>
      <x:c r="O57" s="18" t="str"/>
      <x:c r="P57" s="18" t="str">
        <x:v>NO</x:v>
      </x:c>
      <x:c r="Q57" s="18" t="str">
        <x:v>SRC-IMO-POLAR-CODE; SRC-PAME-PSC; SRC-SKAGERAK-PSC; SRC-NUYINA</x:v>
      </x:c>
      <x:c r="R57"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57" s="18" t="str">
        <x:v>PASS each permitted alternative independently; FAIL_NONE_OF_THE_PERMITTED_ROUTES; PASS_BOTH only where simultaneously valid; PASS_NOT_APPLICABLE if the obligation is conditional.</x:v>
      </x:c>
      <x:c r="T57" s="18" t="str">
        <x:v>READY_FOR_RDF_DESIGN</x:v>
      </x:c>
      <x:c r="U57" s="18" t="str">
        <x:v>Expected outcomes are fixed from the source regulation and R13 before any generated SHACL is inspected.</x:v>
      </x:c>
    </x:row>
    <x:row r="58">
      <x:c r="A58" s="46" t="str">
        <x:v>IMO-069</x:v>
      </x:c>
      <x:c r="B58" s="18" t="str">
        <x:v>IMO Polar Code — MSC.385(94) / MEPC.264(68)</x:v>
      </x:c>
      <x:c r="C58" s="18" t="str">
        <x:v>8.3.2.2</x:v>
      </x:c>
      <x:c r="D58" s="18" t="str">
        <x:v>24</x:v>
      </x:c>
      <x:c r="E58" s="18" t="str">
        <x:v>DIRECT_STATIC</x:v>
      </x:c>
      <x:c r="F58" s="18" t="str">
        <x:v>IF_THEN / INDEPENDENT_POWER</x:v>
      </x:c>
      <x:c r="G58" s="18" t="str">
        <x:v>C_REAL_CONTEXT_CONTROLLED</x:v>
      </x:c>
      <x:c r="H58" s="18" t="str">
        <x:v>IF added_life_saving_device_requires_power = true, THEN device_power_source_independent_of_main_power = true.</x:v>
      </x:c>
      <x:c r="I58" s="18" t="str">
        <x:v>ship</x:v>
      </x:c>
      <x:c r="J58" s="18" t="str"/>
      <x:c r="K58" s="18" t="str"/>
      <x:c r="L58" s="18" t="str"/>
      <x:c r="M58" s="18" t="str"/>
      <x:c r="N58" s="18" t="str"/>
      <x:c r="O58" s="18" t="str"/>
      <x:c r="P58" s="18" t="str">
        <x:v>NO</x:v>
      </x:c>
      <x:c r="Q58" s="18" t="str">
        <x:v>SRC-IMO-POLAR-CODE; SRC-PAME-PSC; SRC-SKAGERAK-PSC; SRC-NUYINA</x:v>
      </x:c>
      <x:c r="R58"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58" s="18" t="str">
        <x:v>PASS added device requiring power + independent source; FAIL added powered device without independent source; PASS_NOT_APPLICABLE device does not require power.</x:v>
      </x:c>
      <x:c r="T58" s="18" t="str">
        <x:v>READY_FOR_RDF_DESIGN</x:v>
      </x:c>
      <x:c r="U58" s="18" t="str">
        <x:v>Expected outcomes are fixed from the source regulation and R13 before any generated SHACL is inspected.</x:v>
      </x:c>
    </x:row>
    <x:row r="59">
      <x:c r="A59" s="46" t="str">
        <x:v>IMO-070</x:v>
      </x:c>
      <x:c r="B59" s="18" t="str">
        <x:v>IMO Polar Code — MSC.385(94) / MEPC.264(68)</x:v>
      </x:c>
      <x:c r="C59" s="18" t="str">
        <x:v>8.3.3.1.1</x:v>
      </x:c>
      <x:c r="D59" s="18" t="str">
        <x:v>24</x:v>
      </x:c>
      <x:c r="E59" s="18" t="str">
        <x:v>DIRECT_STATIC</x:v>
      </x:c>
      <x:c r="F59" s="18" t="str">
        <x:v>IF_THEN_OR</x:v>
      </x:c>
      <x:c r="G59" s="18" t="str">
        <x:v>C_REAL_CONTEXT_CONTROLLED</x:v>
      </x:c>
      <x:c r="H59" s="18" t="str">
        <x:v>each person has one compatible suit or thermal aid assignment</x:v>
      </x:c>
      <x:c r="I59" s="18" t="str">
        <x:v>ship</x:v>
      </x:c>
      <x:c r="J59" s="18" t="str">
        <x:v>passengerShip</x:v>
      </x:c>
      <x:c r="K59" s="18" t="str">
        <x:v>hasPersonOnBoardMember, hasPersonalSurvivalEquipmentAssignment, assignedPersonalSurvivalEquipment</x:v>
      </x:c>
      <x:c r="L59" s="18" t="str">
        <x:v>sizeCompatibilityStatus</x:v>
      </x:c>
      <x:c r="M59" s="18" t="str"/>
      <x:c r="N59" s="18" t="str">
        <x:v>hasPersonalSurvivalEquipmentAssignment</x:v>
      </x:c>
      <x:c r="O59" s="18" t="str"/>
      <x:c r="P59" s="18" t="str">
        <x:v>NO</x:v>
      </x:c>
      <x:c r="Q59" s="18" t="str">
        <x:v>SRC-IMO-POLAR-CODE; SRC-PAME-PSC; SRC-SKAGERAK-PSC; SRC-NUYINA</x:v>
      </x:c>
      <x:c r="R59" s="18" t="str">
        <x:v>Instantiate only the minimum R13 subgraph rooted at ship. Applicability selectors: passengerShip. R13 paths: hasPersonOnBoardMember, hasPersonalSurvivalEquipmentAssignment, assignedPersonalSurvivalEquipment. Operands/data: sizeCompatibilityStatus. Evidence/artifacts: hasPersonalSurvivalEquipmentAssignment. Use a documented real vessel/certificate fact for ship context/applicability where available; create clearly labelled CONTROLLED_MUTATION values for the requirement-specific pass/fail branches not publicly documented.</x:v>
      </x:c>
      <x:c r="S59" s="18" t="str">
        <x:v>PASS each permitted alternative independently; FAIL_NONE_OF_THE_PERMITTED_ROUTES; PASS_BOTH only where simultaneously valid; PASS_NOT_APPLICABLE if the obligation is conditional.</x:v>
      </x:c>
      <x:c r="T59" s="18" t="str">
        <x:v>READY_FOR_RDF_DESIGN</x:v>
      </x:c>
      <x:c r="U59" s="18" t="str">
        <x:v>Expected outcomes are fixed from the source regulation and R13 before any generated SHACL is inspected.</x:v>
      </x:c>
    </x:row>
    <x:row r="60">
      <x:c r="A60" s="46" t="str">
        <x:v>IMO-071</x:v>
      </x:c>
      <x:c r="B60" s="18" t="str">
        <x:v>IMO Polar Code — MSC.385(94) / MEPC.264(68)</x:v>
      </x:c>
      <x:c r="C60" s="18" t="str">
        <x:v>8.3.3.1.2</x:v>
      </x:c>
      <x:c r="D60" s="18" t="str">
        <x:v>24</x:v>
      </x:c>
      <x:c r="E60" s="18" t="str">
        <x:v>DIRECT_STATIC</x:v>
      </x:c>
      <x:c r="F60" s="18" t="str">
        <x:v>IF_THEN / APPLICABILITY</x:v>
      </x:c>
      <x:c r="G60" s="18" t="str">
        <x:v>C_REAL_CONTEXT_CONTROLLED</x:v>
      </x:c>
      <x:c r="H60" s="18" t="str">
        <x:v>IF immersion_suit_required = true, THEN immersion_suit_type = insulated.</x:v>
      </x:c>
      <x:c r="I60" s="18" t="str">
        <x:v>ship</x:v>
      </x:c>
      <x:c r="J60" s="18" t="str"/>
      <x:c r="K60" s="18" t="str">
        <x:v>immersionSuitTypeClassification</x:v>
      </x:c>
      <x:c r="L60" s="18" t="str"/>
      <x:c r="M60" s="18" t="str"/>
      <x:c r="N60" s="18" t="str"/>
      <x:c r="O60" s="18" t="str"/>
      <x:c r="P60" s="18" t="str">
        <x:v>NO</x:v>
      </x:c>
      <x:c r="Q60" s="18" t="str">
        <x:v>SRC-IMO-POLAR-CODE; SRC-PAME-PSC; SRC-SKAGERAK-PSC; SRC-NUYINA</x:v>
      </x:c>
      <x:c r="R60" s="18" t="str">
        <x:v>Instantiate only the minimum R13 subgraph rooted at ship. R13 paths: immersionSuitTypeClassification. Use a documented real vessel/certificate fact for ship context/applicability where available; create clearly labelled CONTROLLED_MUTATION values for the requirement-specific pass/fail branches not publicly documented.</x:v>
      </x:c>
      <x:c r="S60" s="18" t="str">
        <x:v>PASS_APPLICABLE; FAIL_APPLICABLE; PASS_NOT_APPLICABLE; boundary case for date/numeric applicability where meaningful.</x:v>
      </x:c>
      <x:c r="T60" s="18" t="str">
        <x:v>READY_FOR_RDF_DESIGN</x:v>
      </x:c>
      <x:c r="U60" s="18" t="str">
        <x:v>Expected outcomes are fixed from the source regulation and R13 before any generated SHACL is inspected.</x:v>
      </x:c>
    </x:row>
    <x:row r="61">
      <x:c r="A61" s="46" t="str">
        <x:v>IMO-072</x:v>
      </x:c>
      <x:c r="B61" s="18" t="str">
        <x:v>IMO Polar Code — MSC.385(94) / MEPC.264(68)</x:v>
      </x:c>
      <x:c r="C61" s="18" t="str">
        <x:v>8.3.3.2</x:v>
      </x:c>
      <x:c r="D61" s="18" t="str">
        <x:v>25</x:v>
      </x:c>
      <x:c r="E61" s="18" t="str">
        <x:v>DIRECT_STATIC</x:v>
      </x:c>
      <x:c r="F61" s="18" t="str">
        <x:v>IF_THEN / APPLICABILITY</x:v>
      </x:c>
      <x:c r="G61" s="18" t="str">
        <x:v>C_REAL_CONTEXT_CONTROLLED</x:v>
      </x:c>
      <x:c r="H61" s="18" t="str">
        <x:v>IF extended_darkness_operation = true, THEN every lifeboat shall have an assigned searchlight with continuous_use_suitability_status = approved.</x:v>
      </x:c>
      <x:c r="I61" s="18" t="str">
        <x:v>ship</x:v>
      </x:c>
      <x:c r="J61" s="18" t="str">
        <x:v>extendedDarknessOperation</x:v>
      </x:c>
      <x:c r="K61" s="18" t="str">
        <x:v>hasAssignedSearchlight, hasLifeboat</x:v>
      </x:c>
      <x:c r="L61" s="18" t="str">
        <x:v>searchlightContinuousUseSuitabilityStatus</x:v>
      </x:c>
      <x:c r="M61" s="18" t="str"/>
      <x:c r="N61" s="18" t="str"/>
      <x:c r="O61" s="18" t="str"/>
      <x:c r="P61" s="18" t="str">
        <x:v>NO</x:v>
      </x:c>
      <x:c r="Q61" s="18" t="str">
        <x:v>SRC-IMO-POLAR-CODE; SRC-PAME-PSC; SRC-SKAGERAK-PSC; SRC-NUYINA</x:v>
      </x:c>
      <x:c r="R61" s="18" t="str">
        <x:v>Instantiate only the minimum R13 subgraph rooted at ship. Applicability selectors: extendedDarknessOperation. R13 paths: hasAssignedSearchlight, hasLifeboat. Operands/data: searchlightContinuousUseSuitabilityStatus. Use a documented real vessel/certificate fact for ship context/applicability where available; create clearly labelled CONTROLLED_MUTATION values for the requirement-specific pass/fail branches not publicly documented.</x:v>
      </x:c>
      <x:c r="S61" s="18" t="str">
        <x:v>PASS_APPLICABLE; FAIL_APPLICABLE; PASS_NOT_APPLICABLE; boundary case for date/numeric applicability where meaningful.</x:v>
      </x:c>
      <x:c r="T61" s="18" t="str">
        <x:v>READY_FOR_RDF_DESIGN</x:v>
      </x:c>
      <x:c r="U61" s="18" t="str">
        <x:v>Expected outcomes are fixed from the source regulation and R13 before any generated SHACL is inspected.</x:v>
      </x:c>
    </x:row>
    <x:row r="62">
      <x:c r="A62" s="46" t="str">
        <x:v>IMO-073</x:v>
      </x:c>
      <x:c r="B62" s="18" t="str">
        <x:v>IMO Polar Code — MSC.385(94) / MEPC.264(68)</x:v>
      </x:c>
      <x:c r="C62" s="18" t="str">
        <x:v>8.3.3.3.1</x:v>
      </x:c>
      <x:c r="D62" s="18" t="str">
        <x:v>25</x:v>
      </x:c>
      <x:c r="E62" s="18" t="str">
        <x:v>DIRECT_STATIC</x:v>
      </x:c>
      <x:c r="F62" s="18" t="str">
        <x:v>UNIVERSAL / DIRECT</x:v>
      </x:c>
      <x:c r="G62" s="18" t="str">
        <x:v>C_REAL_CONTEXT_CONTROLLED</x:v>
      </x:c>
      <x:c r="H62" s="18" t="str">
        <x:v>Every lifeboat_type shall be in {'partially enclosed','totally enclosed'}.</x:v>
      </x:c>
      <x:c r="I62" s="18" t="str">
        <x:v>ship</x:v>
      </x:c>
      <x:c r="J62" s="18" t="str"/>
      <x:c r="K62" s="18" t="str">
        <x:v>hasLifeboat, lifeboatTypeClassification</x:v>
      </x:c>
      <x:c r="L62" s="18" t="str"/>
      <x:c r="M62" s="18" t="str"/>
      <x:c r="N62" s="18" t="str"/>
      <x:c r="O62" s="18" t="str"/>
      <x:c r="P62" s="18" t="str">
        <x:v>NO</x:v>
      </x:c>
      <x:c r="Q62" s="18" t="str">
        <x:v>SRC-IMO-POLAR-CODE; SRC-PAME-PSC; SRC-SKAGERAK-PSC; SRC-NUYINA</x:v>
      </x:c>
      <x:c r="R62" s="18" t="str">
        <x:v>Instantiate only the minimum R13 subgraph rooted at ship. R13 paths: hasLifeboat, lifeboatTypeClassification. Use a documented real vessel/certificate fact for ship context/applicability where available; create clearly labelled CONTROLLED_MUTATION values for the requirement-specific pass/fail branches not publicly documented.</x:v>
      </x:c>
      <x:c r="S62" s="18" t="str">
        <x:v>PASS_ONE_VALID; PASS_MULTIPLE_ALL_VALID; FAIL_ONE_INVALID; FAIL_MIXED_VALID_INVALID; PASS_ZERO if source/R13 does not require existence.</x:v>
      </x:c>
      <x:c r="T62" s="18" t="str">
        <x:v>READY_FOR_RDF_DESIGN</x:v>
      </x:c>
      <x:c r="U62" s="18" t="str">
        <x:v>Expected outcomes are fixed from the source regulation and R13 before any generated SHACL is inspected.</x:v>
      </x:c>
    </x:row>
    <x:row r="63">
      <x:c r="A63" s="46" t="str">
        <x:v>IMO-074</x:v>
      </x:c>
      <x:c r="B63" s="18" t="str">
        <x:v>IMO Polar Code — MSC.385(94) / MEPC.264(68)</x:v>
      </x:c>
      <x:c r="C63" s="18" t="str">
        <x:v>8.3.3.3.3.1</x:v>
      </x:c>
      <x:c r="D63" s="18" t="str">
        <x:v>25</x:v>
      </x:c>
      <x:c r="E63" s="18" t="str">
        <x:v>DIRECT_STATIC</x:v>
      </x:c>
      <x:c r="F63" s="18" t="str">
        <x:v>IF_THENOR / GROUP_SURVIVAL_EQUIPMENT</x:v>
      </x:c>
      <x:c r="G63" s="18" t="str">
        <x:v>C_REAL_CONTEXT_CONTROLLED</x:v>
      </x:c>
      <x:c r="H63" s="18" t="str">
        <x:v>IF abandonment_onto_ice_or_land_potential = true, THEN group_survival_equipment_carried = true OR normal_life_saving_equivalent_functionality_approval_status = approved.</x:v>
      </x:c>
      <x:c r="I63" s="18" t="str">
        <x:v>ship</x:v>
      </x:c>
      <x:c r="J63" s="18" t="str"/>
      <x:c r="K63" s="18" t="str"/>
      <x:c r="L63" s="18" t="str"/>
      <x:c r="M63" s="18" t="str"/>
      <x:c r="N63" s="18" t="str"/>
      <x:c r="O63" s="18" t="str"/>
      <x:c r="P63" s="18" t="str">
        <x:v>NO</x:v>
      </x:c>
      <x:c r="Q63" s="18" t="str">
        <x:v>SRC-IMO-POLAR-CODE; SRC-PAME-PSC; SRC-SKAGERAK-PSC; SRC-NUYINA</x:v>
      </x:c>
      <x:c r="R63"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63" s="18" t="str">
        <x:v>PASS required group survival equipment; PASS equivalent functionality through normal life-saving appliances; FAIL neither when abandonment onto ice/land potential=true; PASS_NOT_APPLICABLE trigger=false.</x:v>
      </x:c>
      <x:c r="T63" s="18" t="str">
        <x:v>READY_FOR_RDF_DESIGN</x:v>
      </x:c>
      <x:c r="U63" s="18" t="str">
        <x:v>Expected outcomes are fixed from the source regulation and R13 before any generated SHACL is inspected.</x:v>
      </x:c>
    </x:row>
    <x:row r="64">
      <x:c r="A64" s="46" t="str">
        <x:v>IMO-075</x:v>
      </x:c>
      <x:c r="B64" s="18" t="str">
        <x:v>IMO Polar Code — MSC.385(94) / MEPC.264(68)</x:v>
      </x:c>
      <x:c r="C64" s="18" t="str">
        <x:v>8.3.3.3.3.2</x:v>
      </x:c>
      <x:c r="D64" s="18" t="str">
        <x:v>25</x:v>
      </x:c>
      <x:c r="E64" s="18" t="str">
        <x:v>DIRECT_CALCULATION</x:v>
      </x:c>
      <x:c r="F64" s="18" t="str">
        <x:v>FORMULA / COMPARISON</x:v>
      </x:c>
      <x:c r="G64" s="18" t="str">
        <x:v>C_REAL_CONTEXT_CONTROLLED</x:v>
      </x:c>
      <x:c r="H64" s="18" t="str">
        <x:v>IF personal_or_group_survival_equipment_required = true, THEN available_survival_equipment_capacity &gt;= ceil(persons_on_board * 1.10) AND storage_accessibility_status = accessible.</x:v>
      </x:c>
      <x:c r="I64" s="18" t="str">
        <x:v>ship</x:v>
      </x:c>
      <x:c r="J64" s="18" t="str"/>
      <x:c r="K64" s="18" t="str"/>
      <x:c r="L64" s="18" t="str">
        <x:v>personsOnBoard</x:v>
      </x:c>
      <x:c r="M64" s="18" t="str">
        <x:v>availableSurvivalEquipmentCapacity</x:v>
      </x:c>
      <x:c r="N64" s="18" t="str"/>
      <x:c r="O64" s="18" t="str"/>
      <x:c r="P64" s="18" t="str">
        <x:v>NO</x:v>
      </x:c>
      <x:c r="Q64" s="18" t="str">
        <x:v>SRC-IMO-POLAR-CODE; SRC-PAME-PSC; SRC-SKAGERAK-PSC; SRC-NUYINA</x:v>
      </x:c>
      <x:c r="R64" s="18" t="str">
        <x:v>Instantiate only the minimum R13 subgraph rooted at ship. Operands/data: personsOnBoard. Results/interface: availableSurvivalEquipmentCapacity. Use a documented real vessel/certificate fact for ship context/applicability where available; create clearly labelled CONTROLLED_MUTATION values for the requirement-specific pass/fail branches not publicly documented.</x:v>
      </x:c>
      <x:c r="S64" s="18" t="str">
        <x:v>PASS each permitted alternative independently; FAIL_NONE_OF_THE_PERMITTED_ROUTES; PASS_BOTH only where simultaneously valid; PASS_NOT_APPLICABLE if the obligation is conditional.</x:v>
      </x:c>
      <x:c r="T64" s="18" t="str">
        <x:v>READY_FOR_RDF_DESIGN</x:v>
      </x:c>
      <x:c r="U64" s="18" t="str">
        <x:v>Expected outcomes are fixed from the source regulation and R13 before any generated SHACL is inspected.</x:v>
      </x:c>
    </x:row>
    <x:row r="65">
      <x:c r="A65" s="46" t="str">
        <x:v>IMO-077</x:v>
      </x:c>
      <x:c r="B65" s="18" t="str">
        <x:v>IMO Polar Code — MSC.385(94) / MEPC.264(68)</x:v>
      </x:c>
      <x:c r="C65" s="18" t="str">
        <x:v>8.3.3.3.3.5</x:v>
      </x:c>
      <x:c r="D65" s="18" t="str">
        <x:v>25</x:v>
      </x:c>
      <x:c r="E65" s="18" t="str">
        <x:v>DIRECT_CALCULATION</x:v>
      </x:c>
      <x:c r="F65" s="18" t="str">
        <x:v>IF_THEN / CAPACITY</x:v>
      </x:c>
      <x:c r="G65" s="18" t="str">
        <x:v>C_REAL_CONTEXT_CONTROLLED</x:v>
      </x:c>
      <x:c r="H65" s="18" t="str">
        <x:v>IF additional_equipment_carried_in_survival_craft = true, THEN survival_craft_available_capacity &gt;= persons_capacity_requirement + additional_equipment_capacity_requirement AND launching_appliance_capacity &gt;= loaded_survival_craft_requirement.</x:v>
      </x:c>
      <x:c r="I65" s="18" t="str">
        <x:v>ship</x:v>
      </x:c>
      <x:c r="J65" s="18" t="str"/>
      <x:c r="K65" s="18" t="str"/>
      <x:c r="L65" s="18" t="str">
        <x:v>personsCapacityRequirement, additionalEquipmentCapacityRequirement, loadedSurvivalCraftRequirement</x:v>
      </x:c>
      <x:c r="M65" s="18" t="str">
        <x:v>survivalCraftAvailableCapacity, launchingApplianceCapacity</x:v>
      </x:c>
      <x:c r="N65" s="18" t="str"/>
      <x:c r="O65" s="18" t="str"/>
      <x:c r="P65" s="18" t="str">
        <x:v>NO</x:v>
      </x:c>
      <x:c r="Q65" s="18" t="str">
        <x:v>SRC-IMO-POLAR-CODE; SRC-PAME-PSC; SRC-SKAGERAK-PSC; SRC-NUYINA</x:v>
      </x:c>
      <x:c r="R65" s="18" t="str">
        <x:v>Instantiate only the minimum R13 subgraph rooted at ship. Operands/data: personsCapacityRequirement, additionalEquipmentCapacityRequirement, loadedSurvivalCraftRequirement. Results/interface: survivalCraftAvailableCapacity, launchingApplianceCapacity. Use a documented real vessel/certificate fact for ship context/applicability where available; create clearly labelled CONTROLLED_MUTATION values for the requirement-specific pass/fail branches not publicly documented.</x:v>
      </x:c>
      <x:c r="S65" s="18" t="str">
        <x:v>PASS additional equipment carried + sufficient survival-craft/launching capacity; FAIL insufficient capacity; PASS_NOT_APPLICABLE no additional equipment.</x:v>
      </x:c>
      <x:c r="T65" s="18" t="str">
        <x:v>READY_FOR_RDF_DESIGN</x:v>
      </x:c>
      <x:c r="U65" s="18" t="str">
        <x:v>Expected outcomes are fixed from the source regulation and R13 before any generated SHACL is inspected.</x:v>
      </x:c>
    </x:row>
    <x:row r="66">
      <x:c r="A66" s="46" t="str">
        <x:v>IMO-078</x:v>
      </x:c>
      <x:c r="B66" s="18" t="str">
        <x:v>IMO Polar Code — MSC.385(94) / MEPC.264(68)</x:v>
      </x:c>
      <x:c r="C66" s="18" t="str">
        <x:v>8.3.3.3.3.6-.7</x:v>
      </x:c>
      <x:c r="D66" s="18" t="str">
        <x:v>25</x:v>
      </x:c>
      <x:c r="E66" s="18" t="str">
        <x:v>DIRECT_STATIC</x:v>
      </x:c>
      <x:c r="F66" s="18" t="str">
        <x:v>UNIVERSAL / DIRECT</x:v>
      </x:c>
      <x:c r="G66" s="18" t="str">
        <x:v>C_REAL_CONTEXT_CONTROLLED</x:v>
      </x:c>
      <x:c r="H66" s="18" t="str">
        <x:v>Every linked passenger must have personalSurvivalEquipmentInstructionCompleted=true and every linked crewMember must have personalAndGroupSurvivalEquipmentTrainingCompleted=true.</x:v>
      </x:c>
      <x:c r="I66" s="18" t="str">
        <x:v>ship</x:v>
      </x:c>
      <x:c r="J66" s="18" t="str"/>
      <x:c r="K66" s="18" t="str">
        <x:v>hasCrewMemberInventory, hasPassenger</x:v>
      </x:c>
      <x:c r="L66" s="18" t="str"/>
      <x:c r="M66" s="18" t="str">
        <x:v>personalSurvivalEquipmentInstructionCompleted, personalAndGroupSurvivalEquipmentTrainingCompleted</x:v>
      </x:c>
      <x:c r="N66" s="18" t="str"/>
      <x:c r="O66" s="18" t="str"/>
      <x:c r="P66" s="18" t="str">
        <x:v>NO</x:v>
      </x:c>
      <x:c r="Q66" s="18" t="str">
        <x:v>SRC-IMO-POLAR-CODE; SRC-PAME-PSC; SRC-SKAGERAK-PSC; SRC-NUYINA</x:v>
      </x:c>
      <x:c r="R66" s="18" t="str">
        <x:v>Instantiate only the minimum R13 subgraph rooted at ship. R13 paths: hasCrewMemberInventory, hasPassenger. Results/interface: personalSurvivalEquipmentInstructionCompleted, personalAndGroupSurvivalEquipmentTrainingCompleted. Use a documented real vessel/certificate fact for ship context/applicability where available; create clearly labelled CONTROLLED_MUTATION values for the requirement-specific pass/fail branches not publicly documented.</x:v>
      </x:c>
      <x:c r="S66" s="18" t="str">
        <x:v>PASS_ONE_VALID; PASS_MULTIPLE_ALL_VALID; FAIL_ONE_INVALID; FAIL_MIXED_VALID_INVALID; PASS_ZERO if source/R13 does not require existence.</x:v>
      </x:c>
      <x:c r="T66" s="18" t="str">
        <x:v>READY_FOR_RDF_DESIGN</x:v>
      </x:c>
      <x:c r="U66" s="18" t="str">
        <x:v>Expected outcomes are fixed from the source regulation and R13 before any generated SHACL is inspected.</x:v>
      </x:c>
    </x:row>
    <x:row r="67">
      <x:c r="A67" s="46" t="str">
        <x:v>IMO-079</x:v>
      </x:c>
      <x:c r="B67" s="18" t="str">
        <x:v>IMO Polar Code — MSC.385(94) / MEPC.264(68)</x:v>
      </x:c>
      <x:c r="C67" s="18" t="str">
        <x:v>8.3.3.4</x:v>
      </x:c>
      <x:c r="D67" s="18" t="str">
        <x:v>25</x:v>
      </x:c>
      <x:c r="E67" s="18" t="str">
        <x:v>DIRECT_CALCULATION</x:v>
      </x:c>
      <x:c r="F67" s="18" t="str">
        <x:v>FORMULA / MIN_MAX</x:v>
      </x:c>
      <x:c r="G67" s="18" t="str">
        <x:v>C_REAL_CONTEXT_CONTROLLED</x:v>
      </x:c>
      <x:c r="H67" s="18" t="str">
        <x:v>available_emergency_ration_person_days &gt;= persons_on_board * maximum_expected_rescue_time_days.</x:v>
      </x:c>
      <x:c r="I67" s="18" t="str">
        <x:v>ship</x:v>
      </x:c>
      <x:c r="J67" s="18" t="str"/>
      <x:c r="K67" s="18" t="str"/>
      <x:c r="L67" s="18" t="str">
        <x:v>personsOnBoard, maximumExpectedRescueTime</x:v>
      </x:c>
      <x:c r="M67" s="18" t="str">
        <x:v>availableEmergencyRationPerson</x:v>
      </x:c>
      <x:c r="N67" s="18" t="str"/>
      <x:c r="O67" s="18" t="str"/>
      <x:c r="P67" s="18" t="str">
        <x:v>NO</x:v>
      </x:c>
      <x:c r="Q67" s="18" t="str">
        <x:v>SRC-IMO-POLAR-CODE; SRC-PAME-PSC; SRC-SKAGERAK-PSC; SRC-NUYINA</x:v>
      </x:c>
      <x:c r="R67" s="18" t="str">
        <x:v>Instantiate only the minimum R13 subgraph rooted at ship. Operands/data: personsOnBoard, maximumExpectedRescueTime. Results/interface: availableEmergencyRationPerson. Use a documented real vessel/certificate fact for ship context/applicability where available; create clearly labelled CONTROLLED_MUTATION values for the requirement-specific pass/fail branches not publicly documented.</x:v>
      </x:c>
      <x:c r="S67" s="18" t="str">
        <x:v>PASS each permitted alternative independently; FAIL_NONE_OF_THE_PERMITTED_ROUTES; PASS_BOTH only where simultaneously valid; PASS_NOT_APPLICABLE if the obligation is conditional.</x:v>
      </x:c>
      <x:c r="T67" s="18" t="str">
        <x:v>READY_FOR_RDF_DESIGN</x:v>
      </x:c>
      <x:c r="U67" s="18" t="str">
        <x:v>Expected outcomes are fixed from the source regulation and R13 before any generated SHACL is inspected.</x:v>
      </x:c>
    </x:row>
    <x:row r="68">
      <x:c r="A68" s="46" t="str">
        <x:v>IMO-081</x:v>
      </x:c>
      <x:c r="B68" s="18" t="str">
        <x:v>IMO Polar Code — MSC.385(94) / MEPC.264(68)</x:v>
      </x:c>
      <x:c r="C68" s="18" t="str">
        <x:v>9.3.2.1.1</x:v>
      </x:c>
      <x:c r="D68" s="18" t="str">
        <x:v>26</x:v>
      </x:c>
      <x:c r="E68" s="18" t="str">
        <x:v>DIRECT_STATIC</x:v>
      </x:c>
      <x:c r="F68" s="18" t="str">
        <x:v>OR / ALTERNATIVE</x:v>
      </x:c>
      <x:c r="G68" s="18" t="str">
        <x:v>A_REAL_DIRECT</x:v>
      </x:c>
      <x:c r="H68" s="18" t="str">
        <x:v>IF construction_date &gt;= '2017-01-01' AND ship_ice_strengthened = true, THEN independent_echo_sounding_device_count &gt;= 2 OR (echo_sounding_device_count &gt;= 1 AND independent_transducer_count &gt;= 2).</x:v>
      </x:c>
      <x:c r="I68" s="18" t="str">
        <x:v>ship</x:v>
      </x:c>
      <x:c r="J68" s="18" t="str"/>
      <x:c r="K68" s="18" t="str"/>
      <x:c r="L68" s="18" t="str"/>
      <x:c r="M68" s="18" t="str"/>
      <x:c r="N68" s="18" t="str"/>
      <x:c r="O68" s="18" t="str"/>
      <x:c r="P68" s="18" t="str">
        <x:v>NO</x:v>
      </x:c>
      <x:c r="Q68" s="18" t="str">
        <x:v>SRC-IMO-POLAR-CODE; SRC-PAME-PSC; SRC-SKAGERAK-PSC; SRC-NUYINA</x:v>
      </x:c>
      <x:c r="R68" s="18" t="str">
        <x:v>Instantiate only the minimum R13 subgraph rooted at ship. Prefer exact public Polar Ship Certificate / Record of Equipment / official vessel-document facts where they map directly to the R13 terms; mutate only the minimum target fact for controlled counterexamples.</x:v>
      </x:c>
      <x:c r="S68" s="18" t="str">
        <x:v>PASS each permitted alternative independently; FAIL_NONE_OF_THE_PERMITTED_ROUTES; PASS_BOTH only where simultaneously valid; PASS_NOT_APPLICABLE if the obligation is conditional.</x:v>
      </x:c>
      <x:c r="T68" s="18" t="str">
        <x:v>READY_FOR_RDF_DESIGN</x:v>
      </x:c>
      <x:c r="U68" s="18" t="str">
        <x:v>Expected outcomes are fixed from the source regulation and R13 before any generated SHACL is inspected.</x:v>
      </x:c>
    </x:row>
    <x:row r="69">
      <x:c r="A69" s="46" t="str">
        <x:v>IMO-082</x:v>
      </x:c>
      <x:c r="B69" s="18" t="str">
        <x:v>IMO Polar Code — MSC.385(94) / MEPC.264(68)</x:v>
      </x:c>
      <x:c r="C69" s="18" t="str">
        <x:v>9.3.2.1.2</x:v>
      </x:c>
      <x:c r="D69" s="18" t="str">
        <x:v>26</x:v>
      </x:c>
      <x:c r="E69" s="18" t="str">
        <x:v>DIRECT_STATIC</x:v>
      </x:c>
      <x:c r="F69" s="18" t="str">
        <x:v>IF_THEN / APPLICABILITY</x:v>
      </x:c>
      <x:c r="G69" s="18" t="str">
        <x:v>A_REAL_DIRECT</x:v>
      </x:c>
      <x:c r="H69" s="18" t="str">
        <x:v>mandatory SOLAS compliance plus controlled conditional astern-view branch</x:v>
      </x:c>
      <x:c r="I69" s="18" t="str">
        <x:v>ship</x:v>
      </x:c>
      <x:c r="J69" s="18" t="str">
        <x:v>bridgeConfigurationType</x:v>
      </x:c>
      <x:c r="K69" s="18" t="str"/>
      <x:c r="L69" s="18" t="str">
        <x:v>solasRegulationV22Point1Point9Point4ComplianceStatus</x:v>
      </x:c>
      <x:c r="M69" s="18" t="str">
        <x:v>clearViewAsternStatus</x:v>
      </x:c>
      <x:c r="N69" s="18" t="str"/>
      <x:c r="O69" s="18" t="str"/>
      <x:c r="P69" s="18" t="str">
        <x:v>NO</x:v>
      </x:c>
      <x:c r="Q69" s="18" t="str">
        <x:v>SRC-IMO-POLAR-CODE; SRC-PAME-PSC; SRC-SKAGERAK-PSC; SRC-NUYINA</x:v>
      </x:c>
      <x:c r="R69" s="18" t="str">
        <x:v>Instantiate only the minimum R13 subgraph rooted at ship. Applicability selectors: bridgeConfigurationType. Operands/data: solasRegulationV22Point1Point9Point4ComplianceStatus. Results/interface: clearViewAsternStatus. Prefer exact public Polar Ship Certificate / Record of Equipment / official vessel-document facts where they map directly to the R13 terms; mutate only the minimum target fact for controlled counterexamples.</x:v>
      </x:c>
      <x:c r="S69" s="18" t="str">
        <x:v>PASS_APPLICABLE; FAIL_APPLICABLE; PASS_NOT_APPLICABLE; boundary case for date/numeric applicability where meaningful.</x:v>
      </x:c>
      <x:c r="T69" s="18" t="str">
        <x:v>READY_FOR_RDF_DESIGN</x:v>
      </x:c>
      <x:c r="U69" s="18" t="str">
        <x:v>Expected outcomes are fixed from the source regulation and R13 before any generated SHACL is inspected.</x:v>
      </x:c>
    </x:row>
    <x:row r="70">
      <x:c r="A70" s="46" t="str">
        <x:v>IMO-083</x:v>
      </x:c>
      <x:c r="B70" s="18" t="str">
        <x:v>IMO Polar Code — MSC.385(94) / MEPC.264(68)</x:v>
      </x:c>
      <x:c r="C70" s="18" t="str">
        <x:v>9.3.2.1.3</x:v>
      </x:c>
      <x:c r="D70" s="18" t="str">
        <x:v>27</x:v>
      </x:c>
      <x:c r="E70" s="18" t="str">
        <x:v>DIRECT_STATIC</x:v>
      </x:c>
      <x:c r="F70" s="18" t="str">
        <x:v>IF_THEN_OR</x:v>
      </x:c>
      <x:c r="G70" s="18" t="str">
        <x:v>A_REAL_DIRECT</x:v>
      </x:c>
      <x:c r="H70" s="18" t="str">
        <x:v>IF ice_accretion_likely = true, THEN every required navigation or communication antenna shall have ice_accumulation_prevention_means_present = true.</x:v>
      </x:c>
      <x:c r="I70" s="18" t="str">
        <x:v>ship, navigationOrCommunicationAntenna</x:v>
      </x:c>
      <x:c r="J70" s="18" t="str">
        <x:v>iceAccretionLikely</x:v>
      </x:c>
      <x:c r="K70" s="18" t="str">
        <x:v>hasRequiredNavigationOrCommunicationAntenna</x:v>
      </x:c>
      <x:c r="L70" s="18" t="str">
        <x:v>antennaIceAccumulationPreventionPresent</x:v>
      </x:c>
      <x:c r="M70" s="18" t="str"/>
      <x:c r="N70" s="18" t="str"/>
      <x:c r="O70" s="18" t="str"/>
      <x:c r="P70" s="18" t="str">
        <x:v>NO</x:v>
      </x:c>
      <x:c r="Q70" s="18" t="str">
        <x:v>SRC-IMO-POLAR-CODE; SRC-PAME-PSC; SRC-SKAGERAK-PSC; SRC-NUYINA</x:v>
      </x:c>
      <x:c r="R70" s="18" t="str">
        <x:v>Instantiate only the minimum R13 subgraph rooted at ship, navigationOrCommunicationAntenna. Applicability selectors: iceAccretionLikely. R13 paths: hasRequiredNavigationOrCommunicationAntenna. Operands/data: antennaIceAccumulationPreventionPresent. Prefer exact public Polar Ship Certificate / Record of Equipment / official vessel-document facts where they map directly to the R13 terms; mutate only the minimum target fact for controlled counterexamples.</x:v>
      </x:c>
      <x:c r="S70" s="18" t="str">
        <x:v>PASS each permitted alternative independently; FAIL_NONE_OF_THE_PERMITTED_ROUTES; PASS_BOTH only where simultaneously valid; PASS_NOT_APPLICABLE if the obligation is conditional.</x:v>
      </x:c>
      <x:c r="T70" s="18" t="str">
        <x:v>READY_FOR_RDF_DESIGN</x:v>
      </x:c>
      <x:c r="U70" s="18" t="str">
        <x:v>Expected outcomes are fixed from the source regulation and R13 before any generated SHACL is inspected.</x:v>
      </x:c>
    </x:row>
    <x:row r="71">
      <x:c r="A71" s="46" t="str">
        <x:v>IMO-084</x:v>
      </x:c>
      <x:c r="B71" s="18" t="str">
        <x:v>IMO Polar Code — MSC.385(94) / MEPC.264(68)</x:v>
      </x:c>
      <x:c r="C71" s="18" t="str">
        <x:v>9.3.2.1.4.1</x:v>
      </x:c>
      <x:c r="D71" s="18" t="str">
        <x:v>27</x:v>
      </x:c>
      <x:c r="E71" s="18" t="str">
        <x:v>DIRECT_STATIC</x:v>
      </x:c>
      <x:c r="F71" s="18" t="str">
        <x:v>IF_THEN / APPLICABILITY</x:v>
      </x:c>
      <x:c r="G71" s="18" t="str">
        <x:v>C_REAL_CONTEXT_CONTROLLED</x:v>
      </x:c>
      <x:c r="H71" s="18" t="str">
        <x:v>IF required_sensor_projects_below_hull = true, THEN sensor_ice_protection_present = true.</x:v>
      </x:c>
      <x:c r="I71" s="18" t="str">
        <x:v>ship</x:v>
      </x:c>
      <x:c r="J71" s="18" t="str"/>
      <x:c r="K71" s="18" t="str"/>
      <x:c r="L71" s="18" t="str"/>
      <x:c r="M71" s="18" t="str"/>
      <x:c r="N71" s="18" t="str"/>
      <x:c r="O71" s="18" t="str"/>
      <x:c r="P71" s="18" t="str">
        <x:v>NO</x:v>
      </x:c>
      <x:c r="Q71" s="18" t="str">
        <x:v>SRC-IMO-POLAR-CODE; SRC-PAME-PSC; SRC-SKAGERAK-PSC; SRC-NUYINA</x:v>
      </x:c>
      <x:c r="R71"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71" s="18" t="str">
        <x:v>PASS_APPLICABLE; FAIL_APPLICABLE; PASS_NOT_APPLICABLE; boundary case for date/numeric applicability where meaningful.</x:v>
      </x:c>
      <x:c r="T71" s="18" t="str">
        <x:v>READY_FOR_RDF_DESIGN</x:v>
      </x:c>
      <x:c r="U71" s="18" t="str">
        <x:v>Expected outcomes are fixed from the source regulation and R13 before any generated SHACL is inspected.</x:v>
      </x:c>
    </x:row>
    <x:row r="72">
      <x:c r="A72" s="46" t="str">
        <x:v>IMO-085</x:v>
      </x:c>
      <x:c r="B72" s="18" t="str">
        <x:v>IMO Polar Code — MSC.385(94) / MEPC.264(68)</x:v>
      </x:c>
      <x:c r="C72" s="18" t="str">
        <x:v>9.3.2.1.4.2</x:v>
      </x:c>
      <x:c r="D72" s="18" t="str">
        <x:v>27</x:v>
      </x:c>
      <x:c r="E72" s="18" t="str">
        <x:v>DIRECT_STATIC</x:v>
      </x:c>
      <x:c r="F72" s="18" t="str">
        <x:v>OR / ALTERNATIVE</x:v>
      </x:c>
      <x:c r="G72" s="18" t="str">
        <x:v>C_REAL_CONTEXT_CONTROLLED</x:v>
      </x:c>
      <x:c r="H72" s="18" t="str">
        <x:v>IF ship_category IN {'A','B'} AND construction_date &gt;= '2017-01-01', THEN bridge_wings_enclosed = true OR bridge_wing_protection_design_status = approved.</x:v>
      </x:c>
      <x:c r="I72" s="18" t="str">
        <x:v>ship</x:v>
      </x:c>
      <x:c r="J72" s="18" t="str"/>
      <x:c r="K72" s="18" t="str"/>
      <x:c r="L72" s="18" t="str"/>
      <x:c r="M72" s="18" t="str"/>
      <x:c r="N72" s="18" t="str"/>
      <x:c r="O72" s="18" t="str"/>
      <x:c r="P72" s="18" t="str">
        <x:v>NO</x:v>
      </x:c>
      <x:c r="Q72" s="18" t="str">
        <x:v>SRC-IMO-POLAR-CODE; SRC-PAME-PSC; SRC-SKAGERAK-PSC; SRC-NUYINA</x:v>
      </x:c>
      <x:c r="R72"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72" s="18" t="str">
        <x:v>PASS each permitted alternative independently; FAIL_NONE_OF_THE_PERMITTED_ROUTES; PASS_BOTH only where simultaneously valid; PASS_NOT_APPLICABLE if the obligation is conditional.</x:v>
      </x:c>
      <x:c r="T72" s="18" t="str">
        <x:v>READY_FOR_RDF_DESIGN</x:v>
      </x:c>
      <x:c r="U72" s="18" t="str">
        <x:v>Expected outcomes are fixed from the source regulation and R13 before any generated SHACL is inspected.</x:v>
      </x:c>
    </x:row>
    <x:row r="73">
      <x:c r="A73" s="46" t="str">
        <x:v>IMO-086</x:v>
      </x:c>
      <x:c r="B73" s="18" t="str">
        <x:v>IMO Polar Code — MSC.385(94) / MEPC.264(68)</x:v>
      </x:c>
      <x:c r="C73" s="18" t="str">
        <x:v>9.3.2.2.1</x:v>
      </x:c>
      <x:c r="D73" s="18" t="str">
        <x:v>27</x:v>
      </x:c>
      <x:c r="E73" s="18" t="str">
        <x:v>DIRECT_STATIC</x:v>
      </x:c>
      <x:c r="F73" s="18" t="str">
        <x:v>THRESHOLD / COMPARISON</x:v>
      </x:c>
      <x:c r="G73" s="18" t="str">
        <x:v>C_REAL_CONTEXT_CONTROLLED</x:v>
      </x:c>
      <x:c r="H73" s="18" t="str">
        <x:v>Require at least two distinct nonMagneticHeadingMeans nodes. Each means is connected to main power and emergency power and has an independentFromHeadingMeans relation to another distinct means owned by the same ship.</x:v>
      </x:c>
      <x:c r="I73" s="18" t="str">
        <x:v>ship, nonMagneticHeadingMeans</x:v>
      </x:c>
      <x:c r="J73" s="18" t="str"/>
      <x:c r="K73" s="18" t="str">
        <x:v>hasNonMagneticHeadingMeans, independentFromHeadingMeans, connectedToMainPower, connectedToEmergencyPower</x:v>
      </x:c>
      <x:c r="L73" s="18" t="str"/>
      <x:c r="M73" s="18" t="str"/>
      <x:c r="N73" s="18" t="str"/>
      <x:c r="O73" s="18" t="str"/>
      <x:c r="P73" s="18" t="str">
        <x:v>NO</x:v>
      </x:c>
      <x:c r="Q73" s="18" t="str">
        <x:v>SRC-IMO-POLAR-CODE; SRC-PAME-PSC; SRC-SKAGERAK-PSC; SRC-NUYINA</x:v>
      </x:c>
      <x:c r="R73" s="18" t="str">
        <x:v>Instantiate only the minimum R13 subgraph rooted at ship, nonMagneticHeadingMeans. R13 paths: hasNonMagneticHeadingMeans, independentFromHeadingMeans, connectedToMainPower, connectedToEmergencyPower. Use a documented real vessel/certificate fact for ship context/applicability where available; create clearly labelled CONTROLLED_MUTATION values for the requirement-specific pass/fail branches not publicly documented.</x:v>
      </x:c>
      <x:c r="S73" s="18" t="str">
        <x:v>PASS_BOUNDARY; PASS_COMPLIANT_SIDE; FAIL_NONCOMPLIANT_SIDE; FAIL_MISSING_VALUE; FAIL_WRONG_UNIT when constrained.</x:v>
      </x:c>
      <x:c r="T73" s="18" t="str">
        <x:v>READY_FOR_RDF_DESIGN</x:v>
      </x:c>
      <x:c r="U73" s="18" t="str">
        <x:v>Expected outcomes are fixed from the source regulation and R13 before any generated SHACL is inspected.</x:v>
      </x:c>
    </x:row>
    <x:row r="74">
      <x:c r="A74" s="46" t="str">
        <x:v>IMO-087</x:v>
      </x:c>
      <x:c r="B74" s="18" t="str">
        <x:v>IMO Polar Code — MSC.385(94) / MEPC.264(68)</x:v>
      </x:c>
      <x:c r="C74" s="18" t="str">
        <x:v>9.3.2.2.2</x:v>
      </x:c>
      <x:c r="D74" s="18" t="str">
        <x:v>27</x:v>
      </x:c>
      <x:c r="E74" s="18" t="str">
        <x:v>DIRECT_STATIC</x:v>
      </x:c>
      <x:c r="F74" s="18" t="str">
        <x:v>IF_THEN / APPLICABILITY</x:v>
      </x:c>
      <x:c r="G74" s="18" t="str">
        <x:v>A_REAL_DIRECT</x:v>
      </x:c>
      <x:c r="H74" s="18" t="str">
        <x:v>IF planned_or_actual_latitude_deg &gt; 80, THEN GNSS_compass_or_equivalent_count &gt;= 1 AND connected_to_main_power = true AND connected_to_emergency_power = true.</x:v>
      </x:c>
      <x:c r="I74" s="18" t="str">
        <x:v>ship</x:v>
      </x:c>
      <x:c r="J74" s="18" t="str"/>
      <x:c r="K74" s="18" t="str"/>
      <x:c r="L74" s="18" t="str"/>
      <x:c r="M74" s="18" t="str"/>
      <x:c r="N74" s="18" t="str"/>
      <x:c r="O74" s="18" t="str"/>
      <x:c r="P74" s="18" t="str">
        <x:v>NO</x:v>
      </x:c>
      <x:c r="Q74" s="18" t="str">
        <x:v>SRC-IMO-POLAR-CODE; SRC-PAME-PSC; SRC-SKAGERAK-PSC; SRC-NUYINA</x:v>
      </x:c>
      <x:c r="R74" s="18" t="str">
        <x:v>Instantiate only the minimum R13 subgraph rooted at ship. Prefer exact public Polar Ship Certificate / Record of Equipment / official vessel-document facts where they map directly to the R13 terms; mutate only the minimum target fact for controlled counterexamples.</x:v>
      </x:c>
      <x:c r="S74" s="18" t="str">
        <x:v>PASS_APPLICABLE; FAIL_APPLICABLE; PASS_NOT_APPLICABLE; boundary case for date/numeric applicability where meaningful.</x:v>
      </x:c>
      <x:c r="T74" s="18" t="str">
        <x:v>READY_FOR_RDF_DESIGN</x:v>
      </x:c>
      <x:c r="U74" s="18" t="str">
        <x:v>Expected outcomes are fixed from the source regulation and R13 before any generated SHACL is inspected.</x:v>
      </x:c>
    </x:row>
    <x:row r="75">
      <x:c r="A75" s="46" t="str">
        <x:v>IMO-088</x:v>
      </x:c>
      <x:c r="B75" s="18" t="str">
        <x:v>IMO Polar Code — MSC.385(94) / MEPC.264(68)</x:v>
      </x:c>
      <x:c r="C75" s="18" t="str">
        <x:v>9.3.3.1</x:v>
      </x:c>
      <x:c r="D75" s="18" t="str">
        <x:v>27</x:v>
      </x:c>
      <x:c r="E75" s="18" t="str">
        <x:v>DIRECT_STATIC</x:v>
      </x:c>
      <x:c r="F75" s="18" t="str">
        <x:v>OR / VISUAL_ICE_DETECTION</x:v>
      </x:c>
      <x:c r="G75" s="18" t="str">
        <x:v>A_REAL_DIRECT</x:v>
      </x:c>
      <x:c r="H75" s="18" t="str">
        <x:v>IF solely_24_hour_daylight_operation = false, THEN (bridge_controlled_rotatable_narrow_beam_searchlight_count &gt;= 2 AND searchlight_coverage_arc_deg &gt;= 360) OR alternate_visual_ice_detection_means_approval_status = approved.</x:v>
      </x:c>
      <x:c r="I75" s="18" t="str">
        <x:v>ship</x:v>
      </x:c>
      <x:c r="J75" s="18" t="str"/>
      <x:c r="K75" s="18" t="str"/>
      <x:c r="L75" s="18" t="str"/>
      <x:c r="M75" s="18" t="str"/>
      <x:c r="N75" s="18" t="str"/>
      <x:c r="O75" s="18" t="str"/>
      <x:c r="P75" s="18" t="str">
        <x:v>NO</x:v>
      </x:c>
      <x:c r="Q75" s="18" t="str">
        <x:v>SRC-IMO-POLAR-CODE; SRC-PAME-PSC; SRC-SKAGERAK-PSC; SRC-NUYINA</x:v>
      </x:c>
      <x:c r="R75" s="18" t="str">
        <x:v>Instantiate only the minimum R13 subgraph rooted at ship. Prefer exact public Polar Ship Certificate / Record of Equipment / official vessel-document facts where they map directly to the R13 terms; mutate only the minimum target fact for controlled counterexamples.</x:v>
      </x:c>
      <x:c r="S75" s="18" t="str">
        <x:v>PASS two compliant searchlights; PASS approved alternative visual-detection means; FAIL neither; PASS_NOT_APPLICABLE solely 24h daylight.</x:v>
      </x:c>
      <x:c r="T75" s="18" t="str">
        <x:v>READY_FOR_RDF_DESIGN</x:v>
      </x:c>
      <x:c r="U75" s="18" t="str">
        <x:v>Expected outcomes are fixed from the source regulation and R13 before any generated SHACL is inspected.</x:v>
      </x:c>
    </x:row>
    <x:row r="76">
      <x:c r="A76" s="46" t="str">
        <x:v>IMO-089</x:v>
      </x:c>
      <x:c r="B76" s="18" t="str">
        <x:v>IMO Polar Code — MSC.385(94) / MEPC.264(68)</x:v>
      </x:c>
      <x:c r="C76" s="18" t="str">
        <x:v>9.3.3.2</x:v>
      </x:c>
      <x:c r="D76" s="18" t="str">
        <x:v>27</x:v>
      </x:c>
      <x:c r="E76" s="18" t="str">
        <x:v>DIRECT_STATIC</x:v>
      </x:c>
      <x:c r="F76" s="18" t="str">
        <x:v>IF_THEN / APPLICABILITY</x:v>
      </x:c>
      <x:c r="G76" s="18" t="str">
        <x:v>A_REAL_DIRECT</x:v>
      </x:c>
      <x:c r="H76" s="18" t="str">
        <x:v>IF icebreaker_escort_operation = true, THEN manually_initiated_flashing_red_stopped_light_present = true, light_visible_from_astern = true, visibility_range_nm &gt;= 2, and COLREG_stern_light_arc_compliance_status = compliant.</x:v>
      </x:c>
      <x:c r="I76" s="18" t="str">
        <x:v>ship</x:v>
      </x:c>
      <x:c r="J76" s="18" t="str"/>
      <x:c r="K76" s="18" t="str"/>
      <x:c r="L76" s="18" t="str"/>
      <x:c r="M76" s="18" t="str"/>
      <x:c r="N76" s="18" t="str"/>
      <x:c r="O76" s="18" t="str"/>
      <x:c r="P76" s="18" t="str">
        <x:v>NO</x:v>
      </x:c>
      <x:c r="Q76" s="18" t="str">
        <x:v>SRC-IMO-POLAR-CODE; SRC-PAME-PSC; SRC-SKAGERAK-PSC; SRC-NUYINA</x:v>
      </x:c>
      <x:c r="R76" s="18" t="str">
        <x:v>Instantiate only the minimum R13 subgraph rooted at ship. Prefer exact public Polar Ship Certificate / Record of Equipment / official vessel-document facts where they map directly to the R13 terms; mutate only the minimum target fact for controlled counterexamples.</x:v>
      </x:c>
      <x:c r="S76" s="18" t="str">
        <x:v>PASS_APPLICABLE; FAIL_APPLICABLE; PASS_NOT_APPLICABLE; boundary case for date/numeric applicability where meaningful.</x:v>
      </x:c>
      <x:c r="T76" s="18" t="str">
        <x:v>READY_FOR_RDF_DESIGN</x:v>
      </x:c>
      <x:c r="U76" s="18" t="str">
        <x:v>Expected outcomes are fixed from the source regulation and R13 before any generated SHACL is inspected.</x:v>
      </x:c>
    </x:row>
    <x:row r="77">
      <x:c r="A77" s="46" t="str">
        <x:v>IMO-091</x:v>
      </x:c>
      <x:c r="B77" s="18" t="str">
        <x:v>IMO Polar Code — MSC.385(94) / MEPC.264(68)</x:v>
      </x:c>
      <x:c r="C77" s="18" t="str">
        <x:v>10.2.1.3</x:v>
      </x:c>
      <x:c r="D77" s="18" t="str">
        <x:v>28</x:v>
      </x:c>
      <x:c r="E77" s="18" t="str">
        <x:v>DIRECT_STATIC</x:v>
      </x:c>
      <x:c r="F77" s="18" t="str">
        <x:v>DIRECT_STATIC</x:v>
      </x:c>
      <x:c r="G77" s="18" t="str">
        <x:v>A_REAL_DIRECT</x:v>
      </x:c>
      <x:c r="H77" s="18" t="str">
        <x:v>two_way_on_scene_communication_present = true AND SAR_coordination_communication_present = true AND aeronautical_frequency_capability_present = true.</x:v>
      </x:c>
      <x:c r="I77" s="18" t="str">
        <x:v>ship</x:v>
      </x:c>
      <x:c r="J77" s="18" t="str"/>
      <x:c r="K77" s="18" t="str"/>
      <x:c r="L77" s="18" t="str"/>
      <x:c r="M77" s="18" t="str"/>
      <x:c r="N77" s="18" t="str"/>
      <x:c r="O77" s="18" t="str"/>
      <x:c r="P77" s="18" t="str">
        <x:v>NO</x:v>
      </x:c>
      <x:c r="Q77" s="18" t="str">
        <x:v>SRC-IMO-POLAR-CODE; SRC-PAME-PSC; SRC-SKAGERAK-PSC; SRC-NUYINA</x:v>
      </x:c>
      <x:c r="R77" s="18" t="str">
        <x:v>Instantiate only the minimum R13 subgraph rooted at ship. Prefer exact public Polar Ship Certificate / Record of Equipment / official vessel-document facts where they map directly to the R13 terms; mutate only the minimum target fact for controlled counterexamples.</x:v>
      </x:c>
      <x:c r="S77" s="18" t="str">
        <x:v>PASS_VALID_SOURCE_STATE; FAIL_SINGLE_SEMANTIC_VIOLATION; FAIL_MISSING_REQUIRED_VALUE where mandated; PASS_NOT_APPLICABLE if conditional.</x:v>
      </x:c>
      <x:c r="T77" s="18" t="str">
        <x:v>READY_FOR_RDF_DESIGN</x:v>
      </x:c>
      <x:c r="U77" s="18" t="str">
        <x:v>Expected outcomes are fixed from the source regulation and R13 before any generated SHACL is inspected.</x:v>
      </x:c>
    </x:row>
    <x:row r="78">
      <x:c r="A78" s="46" t="str">
        <x:v>IMO-092</x:v>
      </x:c>
      <x:c r="B78" s="18" t="str">
        <x:v>IMO Polar Code — MSC.385(94) / MEPC.264(68)</x:v>
      </x:c>
      <x:c r="C78" s="18" t="str">
        <x:v>10.2.1.4</x:v>
      </x:c>
      <x:c r="D78" s="18" t="str">
        <x:v>28</x:v>
      </x:c>
      <x:c r="E78" s="18" t="str">
        <x:v>DIRECT_STATIC</x:v>
      </x:c>
      <x:c r="F78" s="18" t="str">
        <x:v>DIRECT_STATIC</x:v>
      </x:c>
      <x:c r="G78" s="18" t="str">
        <x:v>A_REAL_DIRECT</x:v>
      </x:c>
      <x:c r="H78" s="18" t="str">
        <x:v>telemedical_assistance_communication_equipment_present = true.</x:v>
      </x:c>
      <x:c r="I78" s="18" t="str">
        <x:v>ship</x:v>
      </x:c>
      <x:c r="J78" s="18" t="str"/>
      <x:c r="K78" s="18" t="str"/>
      <x:c r="L78" s="18" t="str"/>
      <x:c r="M78" s="18" t="str"/>
      <x:c r="N78" s="18" t="str"/>
      <x:c r="O78" s="18" t="str"/>
      <x:c r="P78" s="18" t="str">
        <x:v>NO</x:v>
      </x:c>
      <x:c r="Q78" s="18" t="str">
        <x:v>SRC-IMO-POLAR-CODE; SRC-PAME-PSC; SRC-SKAGERAK-PSC; SRC-NUYINA</x:v>
      </x:c>
      <x:c r="R78" s="18" t="str">
        <x:v>Instantiate only the minimum R13 subgraph rooted at ship. Prefer exact public Polar Ship Certificate / Record of Equipment / official vessel-document facts where they map directly to the R13 terms; mutate only the minimum target fact for controlled counterexamples.</x:v>
      </x:c>
      <x:c r="S78" s="18" t="str">
        <x:v>PASS_VALID_SOURCE_STATE; FAIL_SINGLE_SEMANTIC_VIOLATION; FAIL_MISSING_REQUIRED_VALUE where mandated; PASS_NOT_APPLICABLE if conditional.</x:v>
      </x:c>
      <x:c r="T78" s="18" t="str">
        <x:v>READY_FOR_RDF_DESIGN</x:v>
      </x:c>
      <x:c r="U78" s="18" t="str">
        <x:v>Expected outcomes are fixed from the source regulation and R13 before any generated SHACL is inspected.</x:v>
      </x:c>
    </x:row>
    <x:row r="79">
      <x:c r="A79" s="46" t="str">
        <x:v>IMO-094</x:v>
      </x:c>
      <x:c r="B79" s="18" t="str">
        <x:v>IMO Polar Code — MSC.385(94) / MEPC.264(68)</x:v>
      </x:c>
      <x:c r="C79" s="18" t="str">
        <x:v>10.3.1.2</x:v>
      </x:c>
      <x:c r="D79" s="18" t="str">
        <x:v>28</x:v>
      </x:c>
      <x:c r="E79" s="18" t="str">
        <x:v>DIRECT_STATIC</x:v>
      </x:c>
      <x:c r="F79" s="18" t="str">
        <x:v>IF_THEN / APPLICABILITY</x:v>
      </x:c>
      <x:c r="G79" s="18" t="str">
        <x:v>A_REAL_DIRECT</x:v>
      </x:c>
      <x:c r="H79" s="18" t="str">
        <x:v>IF ship_provides_icebreaking_escort = true, THEN astern_facing_sound_signaling_system_present = true AND International_Code_of_Signals_compliance_status = compliant.</x:v>
      </x:c>
      <x:c r="I79" s="18" t="str">
        <x:v>ship</x:v>
      </x:c>
      <x:c r="J79" s="18" t="str"/>
      <x:c r="K79" s="18" t="str"/>
      <x:c r="L79" s="18" t="str"/>
      <x:c r="M79" s="18" t="str"/>
      <x:c r="N79" s="18" t="str"/>
      <x:c r="O79" s="18" t="str"/>
      <x:c r="P79" s="18" t="str">
        <x:v>NO</x:v>
      </x:c>
      <x:c r="Q79" s="18" t="str">
        <x:v>SRC-IMO-POLAR-CODE; SRC-PAME-PSC; SRC-SKAGERAK-PSC; SRC-NUYINA</x:v>
      </x:c>
      <x:c r="R79" s="18" t="str">
        <x:v>Instantiate only the minimum R13 subgraph rooted at ship. Prefer exact public Polar Ship Certificate / Record of Equipment / official vessel-document facts where they map directly to the R13 terms; mutate only the minimum target fact for controlled counterexamples.</x:v>
      </x:c>
      <x:c r="S79" s="18" t="str">
        <x:v>PASS_APPLICABLE; FAIL_APPLICABLE; PASS_NOT_APPLICABLE; boundary case for date/numeric applicability where meaningful.</x:v>
      </x:c>
      <x:c r="T79" s="18" t="str">
        <x:v>READY_FOR_RDF_DESIGN</x:v>
      </x:c>
      <x:c r="U79" s="18" t="str">
        <x:v>Expected outcomes are fixed from the source regulation and R13 before any generated SHACL is inspected.</x:v>
      </x:c>
    </x:row>
    <x:row r="80">
      <x:c r="A80" s="46" t="str">
        <x:v>IMO-095</x:v>
      </x:c>
      <x:c r="B80" s="18" t="str">
        <x:v>IMO Polar Code — MSC.385(94) / MEPC.264(68)</x:v>
      </x:c>
      <x:c r="C80" s="18" t="str">
        <x:v>10.3.1.3</x:v>
      </x:c>
      <x:c r="D80" s="18" t="str">
        <x:v>28</x:v>
      </x:c>
      <x:c r="E80" s="18" t="str">
        <x:v>DIRECT_STATIC</x:v>
      </x:c>
      <x:c r="F80" s="18" t="str">
        <x:v>UNIVERSAL / DIRECT</x:v>
      </x:c>
      <x:c r="G80" s="18" t="str">
        <x:v>A_REAL_DIRECT</x:v>
      </x:c>
      <x:c r="H80" s="18" t="str">
        <x:v>SAR_communication_capability shall include rescue_coordination_centre_voice_or_data = true AND aircraft_voice_frequency_support_MHz containing both 121.5 and 123.1.</x:v>
      </x:c>
      <x:c r="I80" s="18" t="str">
        <x:v>ship</x:v>
      </x:c>
      <x:c r="J80" s="18" t="str"/>
      <x:c r="K80" s="18" t="str"/>
      <x:c r="L80" s="18" t="str"/>
      <x:c r="M80" s="18" t="str"/>
      <x:c r="N80" s="18" t="str"/>
      <x:c r="O80" s="18" t="str"/>
      <x:c r="P80" s="18" t="str">
        <x:v>NO</x:v>
      </x:c>
      <x:c r="Q80" s="18" t="str">
        <x:v>SRC-IMO-POLAR-CODE; SRC-PAME-PSC; SRC-SKAGERAK-PSC; SRC-NUYINA</x:v>
      </x:c>
      <x:c r="R80" s="18" t="str">
        <x:v>Instantiate only the minimum R13 subgraph rooted at ship. Prefer exact public Polar Ship Certificate / Record of Equipment / official vessel-document facts where they map directly to the R13 terms; mutate only the minimum target fact for controlled counterexamples.</x:v>
      </x:c>
      <x:c r="S80" s="18" t="str">
        <x:v>PASS_ONE_VALID; PASS_MULTIPLE_ALL_VALID; FAIL_ONE_INVALID; FAIL_MIXED_VALID_INVALID; PASS_ZERO if source/R13 does not require existence.</x:v>
      </x:c>
      <x:c r="T80" s="18" t="str">
        <x:v>READY_FOR_RDF_DESIGN</x:v>
      </x:c>
      <x:c r="U80" s="18" t="str">
        <x:v>Expected outcomes are fixed from the source regulation and R13 before any generated SHACL is inspected.</x:v>
      </x:c>
    </x:row>
    <x:row r="81">
      <x:c r="A81" s="46" t="str">
        <x:v>IMO-096</x:v>
      </x:c>
      <x:c r="B81" s="18" t="str">
        <x:v>IMO Polar Code — MSC.385(94) / MEPC.264(68)</x:v>
      </x:c>
      <x:c r="C81" s="18" t="str">
        <x:v>10.3.1.4</x:v>
      </x:c>
      <x:c r="D81" s="18" t="str">
        <x:v>28</x:v>
      </x:c>
      <x:c r="E81" s="18" t="str">
        <x:v>DIRECT_STATIC</x:v>
      </x:c>
      <x:c r="F81" s="18" t="str">
        <x:v>DIRECT_STATIC</x:v>
      </x:c>
      <x:c r="G81" s="18" t="str">
        <x:v>A_REAL_DIRECT</x:v>
      </x:c>
      <x:c r="H81" s="18" t="str">
        <x:v>TMAS_two_way_voice_capability = true AND TMAS_two_way_data_capability = true.</x:v>
      </x:c>
      <x:c r="I81" s="18" t="str">
        <x:v>ship</x:v>
      </x:c>
      <x:c r="J81" s="18" t="str"/>
      <x:c r="K81" s="18" t="str"/>
      <x:c r="L81" s="18" t="str"/>
      <x:c r="M81" s="18" t="str"/>
      <x:c r="N81" s="18" t="str"/>
      <x:c r="O81" s="18" t="str"/>
      <x:c r="P81" s="18" t="str">
        <x:v>NO</x:v>
      </x:c>
      <x:c r="Q81" s="18" t="str">
        <x:v>SRC-IMO-POLAR-CODE; SRC-PAME-PSC; SRC-SKAGERAK-PSC; SRC-NUYINA</x:v>
      </x:c>
      <x:c r="R81" s="18" t="str">
        <x:v>Instantiate only the minimum R13 subgraph rooted at ship. Prefer exact public Polar Ship Certificate / Record of Equipment / official vessel-document facts where they map directly to the R13 terms; mutate only the minimum target fact for controlled counterexamples.</x:v>
      </x:c>
      <x:c r="S81" s="18" t="str">
        <x:v>PASS_VALID_SOURCE_STATE; FAIL_SINGLE_SEMANTIC_VIOLATION; FAIL_MISSING_REQUIRED_VALUE where mandated; PASS_NOT_APPLICABLE if conditional.</x:v>
      </x:c>
      <x:c r="T81" s="18" t="str">
        <x:v>READY_FOR_RDF_DESIGN</x:v>
      </x:c>
      <x:c r="U81" s="18" t="str">
        <x:v>Expected outcomes are fixed from the source regulation and R13 before any generated SHACL is inspected.</x:v>
      </x:c>
    </x:row>
    <x:row r="82">
      <x:c r="A82" s="46" t="str">
        <x:v>IMO-097</x:v>
      </x:c>
      <x:c r="B82" s="18" t="str">
        <x:v>IMO Polar Code — MSC.385(94) / MEPC.264(68)</x:v>
      </x:c>
      <x:c r="C82" s="18" t="str">
        <x:v>10.3.2.1</x:v>
      </x:c>
      <x:c r="D82" s="18" t="str">
        <x:v>29</x:v>
      </x:c>
      <x:c r="E82" s="18" t="str">
        <x:v>DIRECT_STATIC</x:v>
      </x:c>
      <x:c r="F82" s="18" t="str">
        <x:v>IF_THEN / APPLICABILITY</x:v>
      </x:c>
      <x:c r="G82" s="18" t="str">
        <x:v>A_REAL_DIRECT</x:v>
      </x:c>
      <x:c r="H82" s="18" t="str">
        <x:v>IF ship_operates_in_low_air_temperature = true, THEN every released rescue boat and lifeboat shall carry at least one ship-to-shore distress-alert device, one location-signal device, and one on-scene transmit/receive communication device.</x:v>
      </x:c>
      <x:c r="I82" s="18" t="str">
        <x:v>ship</x:v>
      </x:c>
      <x:c r="J82" s="18" t="str"/>
      <x:c r="K82" s="18" t="str">
        <x:v>hasDistressAlertDevice, hasLifeboat, hasOtherSurvivalCraft, hasRequiredRescueBoatOrLifeboat, hasSurvivalCraft, survivalCraftHasLocationSignalDevice, survivalCraftHasOnSceneCommunicationDevice, survivalCraftHasShipToShoreDistressAlertDevice</x:v>
      </x:c>
      <x:c r="L82" s="18" t="str"/>
      <x:c r="M82" s="18" t="str"/>
      <x:c r="N82" s="18" t="str"/>
      <x:c r="O82" s="18" t="str"/>
      <x:c r="P82" s="18" t="str">
        <x:v>NO</x:v>
      </x:c>
      <x:c r="Q82" s="18" t="str">
        <x:v>SRC-IMO-POLAR-CODE; SRC-PAME-PSC; SRC-SKAGERAK-PSC; SRC-NUYINA</x:v>
      </x:c>
      <x:c r="R82" s="18" t="str">
        <x:v>Instantiate only the minimum R13 subgraph rooted at ship. R13 paths: hasDistressAlertDevice, hasLifeboat, hasOtherSurvivalCraft, hasRequiredRescueBoatOrLifeboat, hasSurvivalCraft, survivalCraftHasLocationSignalDevice, survivalCraftHasOnSceneCommunicationDevice, survivalCraftHasShipToShoreDistressAlertDevice. Prefer exact public Polar Ship Certificate / Record of Equipment / official vessel-document facts where they map directly to the R13 terms; mutate only the minimum target fact for controlled counterexamples.</x:v>
      </x:c>
      <x:c r="S82" s="18" t="str">
        <x:v>PASS_APPLICABLE; FAIL_APPLICABLE; PASS_NOT_APPLICABLE; boundary case for date/numeric applicability where meaningful.</x:v>
      </x:c>
      <x:c r="T82" s="18" t="str">
        <x:v>READY_FOR_RDF_DESIGN</x:v>
      </x:c>
      <x:c r="U82" s="18" t="str">
        <x:v>Expected outcomes are fixed from the source regulation and R13 before any generated SHACL is inspected.</x:v>
      </x:c>
    </x:row>
    <x:row r="83">
      <x:c r="A83" s="46" t="str">
        <x:v>IMO-098</x:v>
      </x:c>
      <x:c r="B83" s="18" t="str">
        <x:v>IMO Polar Code — MSC.385(94) / MEPC.264(68)</x:v>
      </x:c>
      <x:c r="C83" s="18" t="str">
        <x:v>10.3.2.2</x:v>
      </x:c>
      <x:c r="D83" s="18" t="str">
        <x:v>29</x:v>
      </x:c>
      <x:c r="E83" s="18" t="str">
        <x:v>DIRECT_STATIC</x:v>
      </x:c>
      <x:c r="F83" s="18" t="str">
        <x:v>IF_THEN / APPLICABILITY</x:v>
      </x:c>
      <x:c r="G83" s="18" t="str">
        <x:v>A_REAL_DIRECT</x:v>
      </x:c>
      <x:c r="H83" s="18" t="str">
        <x:v>conditional minimum one of each device per craft</x:v>
      </x:c>
      <x:c r="I83" s="18" t="str">
        <x:v>ship</x:v>
      </x:c>
      <x:c r="J83" s="18" t="str">
        <x:v>shipOperatesInLowAirTemperature</x:v>
      </x:c>
      <x:c r="K83" s="18" t="str">
        <x:v>hasOtherSurvivalCraft, hasLocationSignalDevice, hasOnSceneCommunicationDevice</x:v>
      </x:c>
      <x:c r="L83" s="18" t="str"/>
      <x:c r="M83" s="18" t="str"/>
      <x:c r="N83" s="18" t="str"/>
      <x:c r="O83" s="18" t="str"/>
      <x:c r="P83" s="18" t="str">
        <x:v>NO</x:v>
      </x:c>
      <x:c r="Q83" s="18" t="str">
        <x:v>SRC-IMO-POLAR-CODE; SRC-PAME-PSC; SRC-SKAGERAK-PSC; SRC-NUYINA</x:v>
      </x:c>
      <x:c r="R83" s="18" t="str">
        <x:v>Instantiate only the minimum R13 subgraph rooted at ship. Applicability selectors: shipOperatesInLowAirTemperature. R13 paths: hasOtherSurvivalCraft, hasLocationSignalDevice, hasOnSceneCommunicationDevice. Prefer exact public Polar Ship Certificate / Record of Equipment / official vessel-document facts where they map directly to the R13 terms; mutate only the minimum target fact for controlled counterexamples.</x:v>
      </x:c>
      <x:c r="S83" s="18" t="str">
        <x:v>PASS_APPLICABLE; FAIL_APPLICABLE; PASS_NOT_APPLICABLE; boundary case for date/numeric applicability where meaningful.</x:v>
      </x:c>
      <x:c r="T83" s="18" t="str">
        <x:v>READY_FOR_RDF_DESIGN</x:v>
      </x:c>
      <x:c r="U83" s="18" t="str">
        <x:v>Expected outcomes are fixed from the source regulation and R13 before any generated SHACL is inspected.</x:v>
      </x:c>
    </x:row>
    <x:row r="84">
      <x:c r="A84" s="46" t="str">
        <x:v>IMO-099</x:v>
      </x:c>
      <x:c r="B84" s="18" t="str">
        <x:v>IMO Polar Code — MSC.385(94) / MEPC.264(68)</x:v>
      </x:c>
      <x:c r="C84" s="18" t="str">
        <x:v>10.3.2.3</x:v>
      </x:c>
      <x:c r="D84" s="18" t="str">
        <x:v>29</x:v>
      </x:c>
      <x:c r="E84" s="18" t="str">
        <x:v>DIRECT_STATIC</x:v>
      </x:c>
      <x:c r="F84" s="18" t="str">
        <x:v>UNIVERSAL / DIRECT</x:v>
      </x:c>
      <x:c r="G84" s="18" t="str">
        <x:v>C_REAL_CONTEXT_CONTROLLED</x:v>
      </x:c>
      <x:c r="H84" s="18" t="str">
        <x:v>battery_life_management_procedure_present = true AND procedure_implementation_status = active AND every mandatory survival-craft communication device shall remain available for maximum_expected_rescue_time_days.</x:v>
      </x:c>
      <x:c r="I84" s="18" t="str">
        <x:v>ship</x:v>
      </x:c>
      <x:c r="J84" s="18" t="str"/>
      <x:c r="K84" s="18" t="str"/>
      <x:c r="L84" s="18" t="str"/>
      <x:c r="M84" s="18" t="str"/>
      <x:c r="N84" s="18" t="str"/>
      <x:c r="O84" s="18" t="str"/>
      <x:c r="P84" s="18" t="str">
        <x:v>NO</x:v>
      </x:c>
      <x:c r="Q84" s="18" t="str">
        <x:v>SRC-IMO-POLAR-CODE; SRC-PAME-PSC; SRC-SKAGERAK-PSC; SRC-NUYINA</x:v>
      </x:c>
      <x:c r="R84"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84" s="18" t="str">
        <x:v>PASS_ONE_VALID; PASS_MULTIPLE_ALL_VALID; FAIL_ONE_INVALID; FAIL_MIXED_VALID_INVALID; PASS_ZERO if source/R13 does not require existence.</x:v>
      </x:c>
      <x:c r="T84" s="18" t="str">
        <x:v>READY_FOR_RDF_DESIGN</x:v>
      </x:c>
      <x:c r="U84" s="18" t="str">
        <x:v>Expected outcomes are fixed from the source regulation and R13 before any generated SHACL is inspected.</x:v>
      </x:c>
    </x:row>
    <x:row r="85">
      <x:c r="A85" s="46" t="str">
        <x:v>IMO-100</x:v>
      </x:c>
      <x:c r="B85" s="18" t="str">
        <x:v>IMO Polar Code — MSC.385(94) / MEPC.264(68)</x:v>
      </x:c>
      <x:c r="C85" s="18" t="str">
        <x:v>11.2</x:v>
      </x:c>
      <x:c r="D85" s="18" t="str">
        <x:v>29</x:v>
      </x:c>
      <x:c r="E85" s="18" t="str">
        <x:v>DIRECT_STATIC</x:v>
      </x:c>
      <x:c r="F85" s="18" t="str">
        <x:v>UNIVERSAL / DIRECT</x:v>
      </x:c>
      <x:c r="G85" s="18" t="str">
        <x:v>C_REAL_CONTEXT_CONTROLLED</x:v>
      </x:c>
      <x:c r="H85" s="18" t="str">
        <x:v>voyage_plan_present = true AND every identified_intended_voyage_hazard shall be addressed by the voyage plan.</x:v>
      </x:c>
      <x:c r="I85" s="18" t="str">
        <x:v>ship</x:v>
      </x:c>
      <x:c r="J85" s="18" t="str"/>
      <x:c r="K85" s="18" t="str"/>
      <x:c r="L85" s="18" t="str"/>
      <x:c r="M85" s="18" t="str"/>
      <x:c r="N85" s="18" t="str"/>
      <x:c r="O85" s="18" t="str"/>
      <x:c r="P85" s="18" t="str">
        <x:v>NO</x:v>
      </x:c>
      <x:c r="Q85" s="18" t="str">
        <x:v>SRC-IMO-POLAR-CODE; SRC-PAME-PSC; SRC-SKAGERAK-PSC; SRC-NUYINA</x:v>
      </x:c>
      <x:c r="R85"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85" s="18" t="str">
        <x:v>PASS_ONE_VALID; PASS_MULTIPLE_ALL_VALID; FAIL_ONE_INVALID; FAIL_MIXED_VALID_INVALID; PASS_ZERO if source/R13 does not require existence.</x:v>
      </x:c>
      <x:c r="T85" s="18" t="str">
        <x:v>READY_FOR_RDF_DESIGN</x:v>
      </x:c>
      <x:c r="U85" s="18" t="str">
        <x:v>Expected outcomes are fixed from the source regulation and R13 before any generated SHACL is inspected.</x:v>
      </x:c>
    </x:row>
    <x:row r="86">
      <x:c r="A86" s="46" t="str">
        <x:v>IMO-101</x:v>
      </x:c>
      <x:c r="B86" s="18" t="str">
        <x:v>IMO Polar Code — MSC.385(94) / MEPC.264(68)</x:v>
      </x:c>
      <x:c r="C86" s="18" t="str"/>
      <x:c r="D86" s="18" t="str"/>
      <x:c r="E86" s="18" t="str">
        <x:v>DIRECT_STATIC</x:v>
      </x:c>
      <x:c r="F86" s="18" t="str">
        <x:v>DIRECT_STATIC</x:v>
      </x:c>
      <x:c r="G86" s="18" t="str">
        <x:v>C_REAL_CONTEXT_CONTROLLED</x:v>
      </x:c>
      <x:c r="H86" s="18" t="str">
        <x:v>A ship has a polarRoutePlan through hasPolarRoutePlan, and voyagePlanningTopicCoverage is exactly true on that plan.</x:v>
      </x:c>
      <x:c r="I86" s="18" t="str">
        <x:v>ship, polarRoutePlan</x:v>
      </x:c>
      <x:c r="J86" s="18" t="str"/>
      <x:c r="K86" s="18" t="str">
        <x:v>hasPolarRoutePlan</x:v>
      </x:c>
      <x:c r="L86" s="18" t="str"/>
      <x:c r="M86" s="18" t="str"/>
      <x:c r="N86" s="18" t="str"/>
      <x:c r="O86" s="18" t="str"/>
      <x:c r="P86" s="18" t="str">
        <x:v>NO</x:v>
      </x:c>
      <x:c r="Q86" s="18" t="str">
        <x:v>SRC-IMO-POLAR-CODE; SRC-PAME-PSC; SRC-SKAGERAK-PSC; SRC-NUYINA</x:v>
      </x:c>
      <x:c r="R86" s="18" t="str">
        <x:v>Instantiate only the minimum R13 subgraph rooted at ship, polarRoutePlan. R13 paths: hasPolarRoutePlan. Use a documented real vessel/certificate fact for ship context/applicability where available; create clearly labelled CONTROLLED_MUTATION values for the requirement-specific pass/fail branches not publicly documented.</x:v>
      </x:c>
      <x:c r="S86" s="18" t="str">
        <x:v>PASS_VALID_SOURCE_STATE; FAIL_SINGLE_SEMANTIC_VIOLATION; FAIL_MISSING_REQUIRED_VALUE where mandated; PASS_NOT_APPLICABLE if conditional.</x:v>
      </x:c>
      <x:c r="T86" s="18" t="str">
        <x:v>READY_FOR_RDF_DESIGN</x:v>
      </x:c>
      <x:c r="U86" s="18" t="str">
        <x:v>Expected outcomes are fixed from the source regulation and R13 before any generated SHACL is inspected.</x:v>
      </x:c>
    </x:row>
    <x:row r="87">
      <x:c r="A87" s="46" t="str">
        <x:v>IMO-102</x:v>
      </x:c>
      <x:c r="B87" s="18" t="str">
        <x:v>IMO Polar Code — MSC.385(94) / MEPC.264(68)</x:v>
      </x:c>
      <x:c r="C87" s="18" t="str">
        <x:v>12.3.1</x:v>
      </x:c>
      <x:c r="D87" s="18" t="str">
        <x:v>30</x:v>
      </x:c>
      <x:c r="E87" s="18" t="str">
        <x:v>DIRECT_STATIC</x:v>
      </x:c>
      <x:c r="F87" s="18" t="str">
        <x:v>TABLE_LOOKUP / STATIC</x:v>
      </x:c>
      <x:c r="G87" s="18" t="str">
        <x:v>A_REAL_DIRECT</x:v>
      </x:c>
      <x:c r="H87" s="18" t="str">
        <x:v>Use the controlled 12.3.1 matrix selectors. Each represented crew member must have exactly one controlled role and the ship exactly one controlled ice condition and ship type. The linked training record requiredTrainingLevel must equal trainingRecordLevel and stcwQualificationValid must be true whenever the matrix requires Basic or Advanced training. For an Ice-free or other not-applicable matrix cell, requiredTrainingLevel is polarTrainingNotApplicable and no matching STCW training record is required solely by 12.3.1.</x:v>
      </x:c>
      <x:c r="I87" s="18" t="str">
        <x:v>ship</x:v>
      </x:c>
      <x:c r="J87" s="18" t="str">
        <x:v>iceConditionClassification, polarTrainingShipTypeClassification, polarTrainingCrewRoleClassification</x:v>
      </x:c>
      <x:c r="K87" s="18" t="str">
        <x:v>hasCrewMemberInventory, hasCrewTrainingRecord, hasPolarTrainingRecord, iceConditionClassification, polarTrainingShipTypeClassification, polarTrainingCrewRoleClassification, requiredTrainingLevel, trainingRecordLevel</x:v>
      </x:c>
      <x:c r="L87" s="18" t="str">
        <x:v>requiredTrainingLevel, trainingRecordLevel, stcwQualificationValid</x:v>
      </x:c>
      <x:c r="M87" s="18" t="str"/>
      <x:c r="N87" s="18" t="str">
        <x:v>hasPolarTrainingRecord</x:v>
      </x:c>
      <x:c r="O87" s="18" t="str"/>
      <x:c r="P87" s="18" t="str">
        <x:v>YES</x:v>
      </x:c>
      <x:c r="Q87" s="18" t="str">
        <x:v>SRC-IMO-POLAR-CODE; SRC-PAME-PSC; SRC-SKAGERAK-PSC; SRC-NUYINA</x:v>
      </x:c>
      <x:c r="R87" s="18" t="str">
        <x:v>Instantiate only the minimum R13 subgraph rooted at ship. Applicability selectors: iceConditionClassification, polarTrainingShipTypeClassification, polarTrainingCrewRoleClassification. R13 paths: hasCrewMemberInventory, hasCrewTrainingRecord, hasPolarTrainingRecord, iceConditionClassification, polarTrainingShipTypeClassification, polarTrainingCrewRoleClassification, requiredTrainingLevel, trainingRecordLevel. Operands/data: requiredTrainingLevel, trainingRecordLevel, stcwQualificationValid. Evidence/artifacts: hasPolarTrainingRecord. Prefer exact public Polar Ship Certificate / Record of Equipment / official vessel-document facts where they map directly to the R13 terms; mutate only the minimum target fact for controlled counterexamples.</x:v>
      </x:c>
      <x:c r="S87" s="18" t="str">
        <x:v>PASS each meaningful valid selector/result branch; FAIL_WRONG_RESULT; FAIL_MISSING_SELECTOR; FAIL_WRONG_TABLE_REFERENCE; BOUNDARY selector bands; PASS_NOT_APPLICABLE for explicit N/A rows.</x:v>
      </x:c>
      <x:c r="T87" s="18" t="str">
        <x:v>READY_FOR_RDF_DESIGN</x:v>
      </x:c>
      <x:c r="U87" s="18" t="str">
        <x:v>Frozen R13/source table is the behavioral oracle.</x:v>
      </x:c>
    </x:row>
    <x:row r="88">
      <x:c r="A88" s="46" t="str">
        <x:v>IMO-103</x:v>
      </x:c>
      <x:c r="B88" s="18" t="str">
        <x:v>IMO Polar Code — MSC.385(94) / MEPC.264(68)</x:v>
      </x:c>
      <x:c r="C88" s="18" t="str">
        <x:v>12.3.2</x:v>
      </x:c>
      <x:c r="D88" s="18" t="str">
        <x:v>31</x:v>
      </x:c>
      <x:c r="E88" s="18" t="str">
        <x:v>DIRECT_STATIC</x:v>
      </x:c>
      <x:c r="F88" s="18" t="str">
        <x:v>IF_THEN / ALTERNATIVE_QUALIFIED_PERSON</x:v>
      </x:c>
      <x:c r="G88" s="18" t="str">
        <x:v>A_REAL_DIRECT</x:v>
      </x:c>
      <x:c r="H88" s="18" t="str">
        <x:v>Retain the alternate-qualified-person STCW, advanced-training, watch-coverage, and rest conditions. For shipType 'passenger ship' or 'tanker' in waters other than open or bergy waters, designated officers meet basic training. For shipType 'cargo ship other than tanker' where iceConcentration exceeds 2/10, designated officers meet basic training.</x:v>
      </x:c>
      <x:c r="I88" s="18" t="str">
        <x:v>ship</x:v>
      </x:c>
      <x:c r="J88" s="18" t="str">
        <x:v>alternateQualifiedPersonUsed, shipType, iceCondition, iceConcentration</x:v>
      </x:c>
      <x:c r="K88" s="18" t="str"/>
      <x:c r="L88" s="18" t="str"/>
      <x:c r="M88" s="18" t="str"/>
      <x:c r="N88" s="18" t="str"/>
      <x:c r="O88" s="18" t="str"/>
      <x:c r="P88" s="18" t="str">
        <x:v>NO</x:v>
      </x:c>
      <x:c r="Q88" s="18" t="str">
        <x:v>SRC-IMO-POLAR-CODE; SRC-PAME-PSC; SRC-SKAGERAK-PSC; SRC-NUYINA</x:v>
      </x:c>
      <x:c r="R88" s="18" t="str">
        <x:v>Instantiate only the minimum R13 subgraph rooted at ship. Applicability selectors: alternateQualifiedPersonUsed, shipType, iceCondition, iceConcentration. Prefer exact public Polar Ship Certificate / Record of Equipment / official vessel-document facts where they map directly to the R13 terms; mutate only the minimum target fact for controlled counterexamples.</x:v>
      </x:c>
      <x:c r="S88" s="18" t="str">
        <x:v>PASS standard required trained officers; PASS Administration-permitted alternate qualified person satisfying all stated conditions; FAIL alternate route missing any mandatory qualification/training condition.</x:v>
      </x:c>
      <x:c r="T88" s="18" t="str">
        <x:v>READY_FOR_RDF_DESIGN</x:v>
      </x:c>
      <x:c r="U88" s="18" t="str">
        <x:v>Expected outcomes are fixed from the source regulation and R13 before any generated SHACL is inspected.</x:v>
      </x:c>
    </x:row>
    <x:row r="89">
      <x:c r="A89" s="46" t="str">
        <x:v>IMO-104</x:v>
      </x:c>
      <x:c r="B89" s="18" t="str">
        <x:v>IMO Polar Code — MSC.385(94) / MEPC.264(68)</x:v>
      </x:c>
      <x:c r="C89" s="18" t="str">
        <x:v>12.3.4</x:v>
      </x:c>
      <x:c r="D89" s="18" t="str">
        <x:v>31</x:v>
      </x:c>
      <x:c r="E89" s="18" t="str">
        <x:v>DIRECT_STATIC</x:v>
      </x:c>
      <x:c r="F89" s="18" t="str">
        <x:v>EVIDENCE / PRESENCE</x:v>
      </x:c>
      <x:c r="G89" s="18" t="str">
        <x:v>A_REAL_DIRECT</x:v>
      </x:c>
      <x:c r="H89" s="18" t="str">
        <x:v>Every crew member shall have PWOM_familiarization_status = completed for all procedures and equipment relevant to assigned_duties.</x:v>
      </x:c>
      <x:c r="I89" s="18" t="str">
        <x:v>ship</x:v>
      </x:c>
      <x:c r="J89" s="18" t="str"/>
      <x:c r="K89" s="18" t="str">
        <x:v>familiarizationRecordItem, hasAssignedDuty, hasCrewMember, hasCrewMemberInventory, hasFamiliarizationRecord, hasRelevantPolarWaterOperationalManualItem</x:v>
      </x:c>
      <x:c r="L89" s="18" t="str">
        <x:v>polarWaterOperationalManualFamiliarizationStatus</x:v>
      </x:c>
      <x:c r="M89" s="18" t="str"/>
      <x:c r="N89" s="18" t="str">
        <x:v>hasFamiliarizationRecord</x:v>
      </x:c>
      <x:c r="O89" s="18" t="str"/>
      <x:c r="P89" s="18" t="str">
        <x:v>NO</x:v>
      </x:c>
      <x:c r="Q89" s="18" t="str">
        <x:v>SRC-IMO-POLAR-CODE; SRC-PAME-PSC; SRC-SKAGERAK-PSC; SRC-NUYINA</x:v>
      </x:c>
      <x:c r="R89" s="18" t="str">
        <x:v>Instantiate only the minimum R13 subgraph rooted at ship. R13 paths: familiarizationRecordItem, hasAssignedDuty, hasCrewMember, hasCrewMemberInventory, hasFamiliarizationRecord, hasRelevantPolarWaterOperationalManualItem. Operands/data: polarWaterOperationalManualFamiliarizationStatus. Evidence/artifacts: hasFamiliarizationRecord. Prefer exact public Polar Ship Certificate / Record of Equipment / official vessel-document facts where they map directly to the R13 terms; mutate only the minimum target fact for controlled counterexamples.</x:v>
      </x:c>
      <x:c r="S89" s="18" t="str">
        <x:v>PASS_REQUIRED_EVIDENCE_PRESENT; FAIL_MISSING_EVIDENCE; FAIL_WRONG_EVIDENCE_STATE_OR_OWNER; PASS_NOT_APPLICABLE where conditional.</x:v>
      </x:c>
      <x:c r="T89" s="18" t="str">
        <x:v>READY_FOR_RDF_DESIGN</x:v>
      </x:c>
      <x:c r="U89" s="18" t="str">
        <x:v>Expected outcomes are fixed from the source regulation and R13 before any generated SHACL is inspected.</x:v>
      </x:c>
    </x:row>
    <x:row r="90">
      <x:c r="A90" s="46" t="str">
        <x:v>IMO-105</x:v>
      </x:c>
      <x:c r="B90" s="18" t="str">
        <x:v>IMO Polar Code — MSC.385(94) / MEPC.264(68)</x:v>
      </x:c>
      <x:c r="C90" s="18" t="str">
        <x:v>1.1.1</x:v>
      </x:c>
      <x:c r="D90" s="18" t="str">
        <x:v>41</x:v>
      </x:c>
      <x:c r="E90" s="18" t="str">
        <x:v>DIRECT_STATIC</x:v>
      </x:c>
      <x:c r="F90" s="18" t="str">
        <x:v>IF_THEN / APPLICABILITY</x:v>
      </x:c>
      <x:c r="G90" s="18" t="str">
        <x:v>A_REAL_DIRECT</x:v>
      </x:c>
      <x:c r="H90" s="18" t="str">
        <x:v>IF operating_area = Arctic_waters, THEN oil_or_oily_mixture_discharge_to_sea = false.</x:v>
      </x:c>
      <x:c r="I90" s="18" t="str">
        <x:v>ship</x:v>
      </x:c>
      <x:c r="J90" s="18" t="str"/>
      <x:c r="K90" s="18" t="str"/>
      <x:c r="L90" s="18" t="str"/>
      <x:c r="M90" s="18" t="str"/>
      <x:c r="N90" s="18" t="str"/>
      <x:c r="O90" s="18" t="str"/>
      <x:c r="P90" s="18" t="str">
        <x:v>NO</x:v>
      </x:c>
      <x:c r="Q90" s="18" t="str">
        <x:v>SRC-IMO-POLAR-CODE; SRC-PAME-PSC; SRC-SKAGERAK-PSC; SRC-NUYINA</x:v>
      </x:c>
      <x:c r="R90" s="18" t="str">
        <x:v>Instantiate only the minimum R13 subgraph rooted at ship. Prefer exact public Polar Ship Certificate / Record of Equipment / official vessel-document facts where they map directly to the R13 terms; mutate only the minimum target fact for controlled counterexamples.</x:v>
      </x:c>
      <x:c r="S90" s="18" t="str">
        <x:v>PASS_APPLICABLE; FAIL_APPLICABLE; PASS_NOT_APPLICABLE; boundary case for date/numeric applicability where meaningful.</x:v>
      </x:c>
      <x:c r="T90" s="18" t="str">
        <x:v>READY_FOR_RDF_DESIGN</x:v>
      </x:c>
      <x:c r="U90" s="18" t="str">
        <x:v>Expected outcomes are fixed from the source regulation and R13 before any generated SHACL is inspected.</x:v>
      </x:c>
    </x:row>
    <x:row r="91">
      <x:c r="A91" s="46" t="str">
        <x:v>IMO-106</x:v>
      </x:c>
      <x:c r="B91" s="18" t="str">
        <x:v>IMO Polar Code — MSC.385(94) / MEPC.264(68)</x:v>
      </x:c>
      <x:c r="C91" s="18" t="str">
        <x:v>1.1.2</x:v>
      </x:c>
      <x:c r="D91" s="18" t="str">
        <x:v>41</x:v>
      </x:c>
      <x:c r="E91" s="18" t="str">
        <x:v>DIRECT_STATIC</x:v>
      </x:c>
      <x:c r="F91" s="18" t="str">
        <x:v>IF_THEN / APPLICABILITY</x:v>
      </x:c>
      <x:c r="G91" s="18" t="str">
        <x:v>C_REAL_CONTEXT_CONTROLLED</x:v>
      </x:c>
      <x:c r="H91" s="18" t="str">
        <x:v>IF discharged_material_type IN {clean_ballast, segregated_ballast}, THEN clause_1_1_1_oil_discharge_prohibition_applicable = false.</x:v>
      </x:c>
      <x:c r="I91" s="18" t="str">
        <x:v>ship</x:v>
      </x:c>
      <x:c r="J91" s="18" t="str"/>
      <x:c r="K91" s="18" t="str">
        <x:v>dischargedMaterialClassification</x:v>
      </x:c>
      <x:c r="L91" s="18" t="str"/>
      <x:c r="M91" s="18" t="str"/>
      <x:c r="N91" s="18" t="str"/>
      <x:c r="O91" s="18" t="str"/>
      <x:c r="P91" s="18" t="str">
        <x:v>NO</x:v>
      </x:c>
      <x:c r="Q91" s="18" t="str">
        <x:v>SRC-IMO-POLAR-CODE; SRC-PAME-PSC; SRC-SKAGERAK-PSC; SRC-NUYINA</x:v>
      </x:c>
      <x:c r="R91" s="18" t="str">
        <x:v>Instantiate only the minimum R13 subgraph rooted at ship. R13 paths: dischargedMaterialClassification. Use a documented real vessel/certificate fact for ship context/applicability where available; create clearly labelled CONTROLLED_MUTATION values for the requirement-specific pass/fail branches not publicly documented.</x:v>
      </x:c>
      <x:c r="S91" s="18" t="str">
        <x:v>PASS_APPLICABLE; FAIL_APPLICABLE; PASS_NOT_APPLICABLE; boundary case for date/numeric applicability where meaningful.</x:v>
      </x:c>
      <x:c r="T91" s="18" t="str">
        <x:v>READY_FOR_RDF_DESIGN</x:v>
      </x:c>
      <x:c r="U91" s="18" t="str">
        <x:v>Expected outcomes are fixed from the source regulation and R13 before any generated SHACL is inspected.</x:v>
      </x:c>
    </x:row>
    <x:row r="92">
      <x:c r="A92" s="46" t="str">
        <x:v>IMO-107</x:v>
      </x:c>
      <x:c r="B92" s="18" t="str">
        <x:v>IMO Polar Code — MSC.385(94) / MEPC.264(68)</x:v>
      </x:c>
      <x:c r="C92" s="18" t="str">
        <x:v>1.1.4</x:v>
      </x:c>
      <x:c r="D92" s="18" t="str">
        <x:v>41</x:v>
      </x:c>
      <x:c r="E92" s="18" t="str">
        <x:v>DIRECT_STATIC</x:v>
      </x:c>
      <x:c r="F92" s="18" t="str">
        <x:v>OR / ALTERNATIVE</x:v>
      </x:c>
      <x:c r="G92" s="18" t="str">
        <x:v>C_REAL_CONTEXT_CONTROLLED</x:v>
      </x:c>
      <x:c r="H92" s="18" t="str">
        <x:v>IF ship_operates_in_polar_waters = true, THEN polar_operation_coverage shall be present in the applicable Oil Record Book, manuals, and oil or marine pollution emergency plan.</x:v>
      </x:c>
      <x:c r="I92" s="18" t="str">
        <x:v>ship</x:v>
      </x:c>
      <x:c r="J92" s="18" t="str"/>
      <x:c r="K92" s="18" t="str"/>
      <x:c r="L92" s="18" t="str"/>
      <x:c r="M92" s="18" t="str"/>
      <x:c r="N92" s="18" t="str"/>
      <x:c r="O92" s="18" t="str"/>
      <x:c r="P92" s="18" t="str">
        <x:v>NO</x:v>
      </x:c>
      <x:c r="Q92" s="18" t="str">
        <x:v>SRC-IMO-POLAR-CODE; SRC-PAME-PSC; SRC-SKAGERAK-PSC; SRC-NUYINA</x:v>
      </x:c>
      <x:c r="R92"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92" s="18" t="str">
        <x:v>PASS each permitted alternative independently; FAIL_NONE_OF_THE_PERMITTED_ROUTES; PASS_BOTH only where simultaneously valid; PASS_NOT_APPLICABLE if the obligation is conditional.</x:v>
      </x:c>
      <x:c r="T92" s="18" t="str">
        <x:v>READY_FOR_RDF_DESIGN</x:v>
      </x:c>
      <x:c r="U92" s="18" t="str">
        <x:v>Expected outcomes are fixed from the source regulation and R13 before any generated SHACL is inspected.</x:v>
      </x:c>
    </x:row>
    <x:row r="93">
      <x:c r="A93" s="46" t="str">
        <x:v>IMO-108</x:v>
      </x:c>
      <x:c r="B93" s="18" t="str">
        <x:v>IMO Polar Code — MSC.385(94) / MEPC.264(68)</x:v>
      </x:c>
      <x:c r="C93" s="18" t="str">
        <x:v>1.2.1</x:v>
      </x:c>
      <x:c r="D93" s="18" t="str">
        <x:v>41</x:v>
      </x:c>
      <x:c r="E93" s="18" t="str">
        <x:v>DIRECT_STATIC</x:v>
      </x:c>
      <x:c r="F93" s="18" t="str">
        <x:v>IF_THEN / APPLICABILITY</x:v>
      </x:c>
      <x:c r="G93" s="18" t="str">
        <x:v>C_REAL_CONTEXT_CONTROLLED</x:v>
      </x:c>
      <x:c r="H93" s="18" t="str">
        <x:v>IF ship_category IN {'A','B'} AND construction_date &gt;= '2017-01-01' AND aggregate_oil_fuel_capacity_m3 &lt; 600 AND individual_oil_fuel_tank_capacity_m3 &gt; 30, THEN oil_fuel_tank_outer_shell_separation_m &gt;= 0.76.</x:v>
      </x:c>
      <x:c r="I93" s="18" t="str">
        <x:v>ship</x:v>
      </x:c>
      <x:c r="J93" s="18" t="str"/>
      <x:c r="K93" s="18" t="str"/>
      <x:c r="L93" s="18" t="str"/>
      <x:c r="M93" s="18" t="str"/>
      <x:c r="N93" s="18" t="str"/>
      <x:c r="O93" s="18" t="str"/>
      <x:c r="P93" s="18" t="str">
        <x:v>NO</x:v>
      </x:c>
      <x:c r="Q93" s="18" t="str">
        <x:v>SRC-IMO-POLAR-CODE; SRC-PAME-PSC; SRC-SKAGERAK-PSC; SRC-NUYINA</x:v>
      </x:c>
      <x:c r="R93"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93" s="18" t="str">
        <x:v>PASS_APPLICABLE; FAIL_APPLICABLE; PASS_NOT_APPLICABLE; boundary case for date/numeric applicability where meaningful.</x:v>
      </x:c>
      <x:c r="T93" s="18" t="str">
        <x:v>READY_FOR_RDF_DESIGN</x:v>
      </x:c>
      <x:c r="U93" s="18" t="str">
        <x:v>Expected outcomes are fixed from the source regulation and R13 before any generated SHACL is inspected.</x:v>
      </x:c>
    </x:row>
    <x:row r="94">
      <x:c r="A94" s="46" t="str">
        <x:v>IMO-109</x:v>
      </x:c>
      <x:c r="B94" s="18" t="str">
        <x:v>IMO Polar Code — MSC.385(94) / MEPC.264(68)</x:v>
      </x:c>
      <x:c r="C94" s="18" t="str">
        <x:v>1.2.2</x:v>
      </x:c>
      <x:c r="D94" s="18" t="str">
        <x:v>41</x:v>
      </x:c>
      <x:c r="E94" s="18" t="str">
        <x:v>DIRECT_STATIC</x:v>
      </x:c>
      <x:c r="F94" s="18" t="str">
        <x:v>IF_THEN / APPLICABILITY</x:v>
      </x:c>
      <x:c r="G94" s="18" t="str">
        <x:v>C_REAL_CONTEXT_CONTROLLED</x:v>
      </x:c>
      <x:c r="H94" s="18" t="str">
        <x:v>IF ship_category IN {'A','B'} AND ship_type != oil_tanker AND construction_date &gt;= '2017-01-01' AND cargo_tank_carries_oil = true, THEN cargo_tank_outer_shell_separation_m &gt;= 0.76.</x:v>
      </x:c>
      <x:c r="I94" s="18" t="str">
        <x:v>ship</x:v>
      </x:c>
      <x:c r="J94" s="18" t="str"/>
      <x:c r="K94" s="18" t="str"/>
      <x:c r="L94" s="18" t="str"/>
      <x:c r="M94" s="18" t="str"/>
      <x:c r="N94" s="18" t="str"/>
      <x:c r="O94" s="18" t="str"/>
      <x:c r="P94" s="18" t="str">
        <x:v>NO</x:v>
      </x:c>
      <x:c r="Q94" s="18" t="str">
        <x:v>SRC-IMO-POLAR-CODE; SRC-PAME-PSC; SRC-SKAGERAK-PSC; SRC-NUYINA</x:v>
      </x:c>
      <x:c r="R94"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94" s="18" t="str">
        <x:v>PASS_APPLICABLE; FAIL_APPLICABLE; PASS_NOT_APPLICABLE; boundary case for date/numeric applicability where meaningful.</x:v>
      </x:c>
      <x:c r="T94" s="18" t="str">
        <x:v>READY_FOR_RDF_DESIGN</x:v>
      </x:c>
      <x:c r="U94" s="18" t="str">
        <x:v>Expected outcomes are fixed from the source regulation and R13 before any generated SHACL is inspected.</x:v>
      </x:c>
    </x:row>
    <x:row r="95">
      <x:c r="A95" s="46" t="str">
        <x:v>IMO-110</x:v>
      </x:c>
      <x:c r="B95" s="18" t="str">
        <x:v>IMO Polar Code — MSC.385(94) / MEPC.264(68)</x:v>
      </x:c>
      <x:c r="C95" s="18" t="str">
        <x:v>1.2.3</x:v>
      </x:c>
      <x:c r="D95" s="18" t="str">
        <x:v>41</x:v>
      </x:c>
      <x:c r="E95" s="18" t="str">
        <x:v>DIRECT_STATIC</x:v>
      </x:c>
      <x:c r="F95" s="18" t="str">
        <x:v>IF_THEN / APPLICABILITY</x:v>
      </x:c>
      <x:c r="G95" s="18" t="str">
        <x:v>C_REAL_CONTEXT_CONTROLLED</x:v>
      </x:c>
      <x:c r="H95" s="18" t="str">
        <x:v>IF ship_category IN {'A','B'} AND ship_type = oil_tanker AND deadweight_tonnes &lt; 5000 AND construction_date &gt;= '2017-01-01', THEN entire_cargo_tank_length_double_bottom_protection_status = compliant with MARPOL I/19.6.1 AND wing_tank_protection_status = compliant with MARPOL I/19.3.1 and I/19.6.2.</x:v>
      </x:c>
      <x:c r="I95" s="18" t="str">
        <x:v>ship</x:v>
      </x:c>
      <x:c r="J95" s="18" t="str"/>
      <x:c r="K95" s="18" t="str"/>
      <x:c r="L95" s="18" t="str"/>
      <x:c r="M95" s="18" t="str"/>
      <x:c r="N95" s="18" t="str"/>
      <x:c r="O95" s="18" t="str"/>
      <x:c r="P95" s="18" t="str">
        <x:v>NO</x:v>
      </x:c>
      <x:c r="Q95" s="18" t="str">
        <x:v>SRC-IMO-POLAR-CODE; SRC-PAME-PSC; SRC-SKAGERAK-PSC; SRC-NUYINA</x:v>
      </x:c>
      <x:c r="R95"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95" s="18" t="str">
        <x:v>PASS_APPLICABLE; FAIL_APPLICABLE; PASS_NOT_APPLICABLE; boundary case for date/numeric applicability where meaningful.</x:v>
      </x:c>
      <x:c r="T95" s="18" t="str">
        <x:v>READY_FOR_RDF_DESIGN</x:v>
      </x:c>
      <x:c r="U95" s="18" t="str">
        <x:v>Expected outcomes are fixed from the source regulation and R13 before any generated SHACL is inspected.</x:v>
      </x:c>
    </x:row>
    <x:row r="96">
      <x:c r="A96" s="46" t="str">
        <x:v>IMO-111</x:v>
      </x:c>
      <x:c r="B96" s="18" t="str">
        <x:v>IMO Polar Code — MSC.385(94) / MEPC.264(68)</x:v>
      </x:c>
      <x:c r="C96" s="18" t="str">
        <x:v>1.2.4</x:v>
      </x:c>
      <x:c r="D96" s="18" t="str">
        <x:v>41</x:v>
      </x:c>
      <x:c r="E96" s="18" t="str">
        <x:v>DIRECT_STATIC</x:v>
      </x:c>
      <x:c r="F96" s="18" t="str">
        <x:v>IF_THEN / APPLICABILITY</x:v>
      </x:c>
      <x:c r="G96" s="18" t="str">
        <x:v>C_REAL_CONTEXT_CONTROLLED</x:v>
      </x:c>
      <x:c r="H96" s="18" t="str">
        <x:v>IF ship_category IN {'A','B'} AND construction_date &gt;= '2017-01-01' AND tank_type IN {oil_residue_tank, oily_bilge_water_holding_tank} AND individual_tank_capacity_m3 &gt; 30, THEN tank_outer_shell_separation_m &gt;= 0.76.</x:v>
      </x:c>
      <x:c r="I96" s="18" t="str">
        <x:v>ship</x:v>
      </x:c>
      <x:c r="J96" s="18" t="str">
        <x:v>shipCategory, tankType</x:v>
      </x:c>
      <x:c r="K96" s="18" t="str"/>
      <x:c r="L96" s="18" t="str"/>
      <x:c r="M96" s="18" t="str"/>
      <x:c r="N96" s="18" t="str"/>
      <x:c r="O96" s="18" t="str"/>
      <x:c r="P96" s="18" t="str">
        <x:v>NO</x:v>
      </x:c>
      <x:c r="Q96" s="18" t="str">
        <x:v>SRC-IMO-POLAR-CODE; SRC-PAME-PSC; SRC-SKAGERAK-PSC; SRC-NUYINA</x:v>
      </x:c>
      <x:c r="R96" s="18" t="str">
        <x:v>Instantiate only the minimum R13 subgraph rooted at ship. Applicability selectors: shipCategory, tankType. Use a documented real vessel/certificate fact for ship context/applicability where available; create clearly labelled CONTROLLED_MUTATION values for the requirement-specific pass/fail branches not publicly documented.</x:v>
      </x:c>
      <x:c r="S96" s="18" t="str">
        <x:v>PASS_APPLICABLE; FAIL_APPLICABLE; PASS_NOT_APPLICABLE; boundary case for date/numeric applicability where meaningful.</x:v>
      </x:c>
      <x:c r="T96" s="18" t="str">
        <x:v>READY_FOR_RDF_DESIGN</x:v>
      </x:c>
      <x:c r="U96" s="18" t="str">
        <x:v>Expected outcomes are fixed from the source regulation and R13 before any generated SHACL is inspected.</x:v>
      </x:c>
    </x:row>
    <x:row r="97">
      <x:c r="A97" s="46" t="str">
        <x:v>IMO-112</x:v>
      </x:c>
      <x:c r="B97" s="18" t="str">
        <x:v>IMO Polar Code — MSC.385(94) / MEPC.264(68)</x:v>
      </x:c>
      <x:c r="C97" s="18" t="str">
        <x:v>2.1.1</x:v>
      </x:c>
      <x:c r="D97" s="18" t="str">
        <x:v>42</x:v>
      </x:c>
      <x:c r="E97" s="18" t="str">
        <x:v>DIRECT_STATIC</x:v>
      </x:c>
      <x:c r="F97" s="18" t="str">
        <x:v>IF_THEN / APPLICABILITY</x:v>
      </x:c>
      <x:c r="G97" s="18" t="str">
        <x:v>C_REAL_CONTEXT_CONTROLLED</x:v>
      </x:c>
      <x:c r="H97" s="18" t="str">
        <x:v>IF operating_area = Arctic_waters, THEN NLS_or_NLS_mixture_discharge_to_sea = false.</x:v>
      </x:c>
      <x:c r="I97" s="18" t="str">
        <x:v>ship</x:v>
      </x:c>
      <x:c r="J97" s="18" t="str"/>
      <x:c r="K97" s="18" t="str"/>
      <x:c r="L97" s="18" t="str"/>
      <x:c r="M97" s="18" t="str"/>
      <x:c r="N97" s="18" t="str"/>
      <x:c r="O97" s="18" t="str"/>
      <x:c r="P97" s="18" t="str">
        <x:v>NO</x:v>
      </x:c>
      <x:c r="Q97" s="18" t="str">
        <x:v>SRC-IMO-POLAR-CODE; SRC-PAME-PSC; SRC-SKAGERAK-PSC; SRC-NUYINA</x:v>
      </x:c>
      <x:c r="R97"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97" s="18" t="str">
        <x:v>PASS_APPLICABLE; FAIL_APPLICABLE; PASS_NOT_APPLICABLE; boundary case for date/numeric applicability where meaningful.</x:v>
      </x:c>
      <x:c r="T97" s="18" t="str">
        <x:v>READY_FOR_RDF_DESIGN</x:v>
      </x:c>
      <x:c r="U97" s="18" t="str">
        <x:v>Expected outcomes are fixed from the source regulation and R13 before any generated SHACL is inspected.</x:v>
      </x:c>
    </x:row>
    <x:row r="98">
      <x:c r="A98" s="46" t="str">
        <x:v>IMO-113</x:v>
      </x:c>
      <x:c r="B98" s="18" t="str">
        <x:v>IMO Polar Code — MSC.385(94) / MEPC.264(68)</x:v>
      </x:c>
      <x:c r="C98" s="18" t="str">
        <x:v>2.1.2</x:v>
      </x:c>
      <x:c r="D98" s="18" t="str">
        <x:v>42</x:v>
      </x:c>
      <x:c r="E98" s="18" t="str">
        <x:v>DIRECT_STATIC</x:v>
      </x:c>
      <x:c r="F98" s="18" t="str">
        <x:v>OR / ALTERNATIVE</x:v>
      </x:c>
      <x:c r="G98" s="18" t="str">
        <x:v>C_REAL_CONTEXT_CONTROLLED</x:v>
      </x:c>
      <x:c r="H98" s="18" t="str">
        <x:v>IF ship_operates_in_polar_waters = true, THEN polar_operation_coverage shall be present in the applicable Cargo Record Book, Manual, and NLS or marine pollution emergency plan.</x:v>
      </x:c>
      <x:c r="I98" s="18" t="str">
        <x:v>ship</x:v>
      </x:c>
      <x:c r="J98" s="18" t="str"/>
      <x:c r="K98" s="18" t="str"/>
      <x:c r="L98" s="18" t="str"/>
      <x:c r="M98" s="18" t="str"/>
      <x:c r="N98" s="18" t="str"/>
      <x:c r="O98" s="18" t="str"/>
      <x:c r="P98" s="18" t="str">
        <x:v>NO</x:v>
      </x:c>
      <x:c r="Q98" s="18" t="str">
        <x:v>SRC-IMO-POLAR-CODE; SRC-PAME-PSC; SRC-SKAGERAK-PSC; SRC-NUYINA</x:v>
      </x:c>
      <x:c r="R98"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98" s="18" t="str">
        <x:v>PASS each permitted alternative independently; FAIL_NONE_OF_THE_PERMITTED_ROUTES; PASS_BOTH only where simultaneously valid; PASS_NOT_APPLICABLE if the obligation is conditional.</x:v>
      </x:c>
      <x:c r="T98" s="18" t="str">
        <x:v>READY_FOR_RDF_DESIGN</x:v>
      </x:c>
      <x:c r="U98" s="18" t="str">
        <x:v>Expected outcomes are fixed from the source regulation and R13 before any generated SHACL is inspected.</x:v>
      </x:c>
    </x:row>
    <x:row r="99">
      <x:c r="A99" s="46" t="str">
        <x:v>IMO-114</x:v>
      </x:c>
      <x:c r="B99" s="18" t="str">
        <x:v>IMO Polar Code — MSC.385(94) / MEPC.264(68)</x:v>
      </x:c>
      <x:c r="C99" s="18" t="str">
        <x:v>2.1.3</x:v>
      </x:c>
      <x:c r="D99" s="18" t="str">
        <x:v>42</x:v>
      </x:c>
      <x:c r="E99" s="18" t="str">
        <x:v>DIRECT_STATIC</x:v>
      </x:c>
      <x:c r="F99" s="18" t="str">
        <x:v>IF_THEN / APPLICABILITY</x:v>
      </x:c>
      <x:c r="G99" s="18" t="str">
        <x:v>C_REAL_CONTEXT_CONTROLLED</x:v>
      </x:c>
      <x:c r="H99" s="18" t="str">
        <x:v>IF ship_category IN {'A','B'} AND construction_date &gt;= '2017-01-01' AND carried_NLS_requires_type_3_tank = true AND cargo_tank_type = 3, THEN administration_carriage_approval_status = approved AND applicable_certificate_polar_operation_entry_present = true.</x:v>
      </x:c>
      <x:c r="I99" s="18" t="str">
        <x:v>ship</x:v>
      </x:c>
      <x:c r="J99" s="18" t="str"/>
      <x:c r="K99" s="18" t="str"/>
      <x:c r="L99" s="18" t="str"/>
      <x:c r="M99" s="18" t="str"/>
      <x:c r="N99" s="18" t="str"/>
      <x:c r="O99" s="18" t="str"/>
      <x:c r="P99" s="18" t="str">
        <x:v>NO</x:v>
      </x:c>
      <x:c r="Q99" s="18" t="str">
        <x:v>SRC-IMO-POLAR-CODE; SRC-PAME-PSC; SRC-SKAGERAK-PSC; SRC-NUYINA</x:v>
      </x:c>
      <x:c r="R99"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99" s="18" t="str">
        <x:v>PASS_APPLICABLE; FAIL_APPLICABLE; PASS_NOT_APPLICABLE; boundary case for date/numeric applicability where meaningful.</x:v>
      </x:c>
      <x:c r="T99" s="18" t="str">
        <x:v>READY_FOR_RDF_DESIGN</x:v>
      </x:c>
      <x:c r="U99" s="18" t="str">
        <x:v>Expected outcomes are fixed from the source regulation and R13 before any generated SHACL is inspected.</x:v>
      </x:c>
    </x:row>
    <x:row r="100">
      <x:c r="A100" s="46" t="str">
        <x:v>IMO-115</x:v>
      </x:c>
      <x:c r="B100" s="18" t="str">
        <x:v>IMO Polar Code — MSC.385(94) / MEPC.264(68)</x:v>
      </x:c>
      <x:c r="C100" s="18" t="str">
        <x:v>4.2.1.1</x:v>
      </x:c>
      <x:c r="D100" s="18" t="str">
        <x:v>42</x:v>
      </x:c>
      <x:c r="E100" s="18" t="str">
        <x:v>DIRECT_STATIC</x:v>
      </x:c>
      <x:c r="F100" s="18" t="str">
        <x:v>IF_THEN / APPLICABILITY</x:v>
      </x:c>
      <x:c r="G100" s="18" t="str">
        <x:v>C_REAL_CONTEXT_CONTROLLED</x:v>
      </x:c>
      <x:c r="H100" s="18" t="str">
        <x:v>conditional strict distance threshold and distinct recorded concentration-area distance</x:v>
      </x:c>
      <x:c r="I100" s="18" t="str">
        <x:v>ship</x:v>
      </x:c>
      <x:c r="J100" s="18" t="str">
        <x:v>sewageDischargeType, comminutedAndDisinfected</x:v>
      </x:c>
      <x:c r="K100" s="18" t="str"/>
      <x:c r="L100" s="18" t="str">
        <x:v>distanceToNearestIceShelfOrFastIce, nearbyIceConcentration</x:v>
      </x:c>
      <x:c r="M100" s="18" t="str">
        <x:v>marpolAnnexIvRegulation11Point1Point1ComplianceStatus, distanceFromAreaWithIceConcentrationAboveOneTenth</x:v>
      </x:c>
      <x:c r="N100" s="18" t="str"/>
      <x:c r="O100" s="18" t="str"/>
      <x:c r="P100" s="18" t="str">
        <x:v>NO</x:v>
      </x:c>
      <x:c r="Q100" s="18" t="str">
        <x:v>SRC-IMO-POLAR-CODE; SRC-PAME-PSC; SRC-SKAGERAK-PSC; SRC-NUYINA</x:v>
      </x:c>
      <x:c r="R100" s="18" t="str">
        <x:v>Instantiate only the minimum R13 subgraph rooted at ship. Applicability selectors: sewageDischargeType, comminutedAndDisinfected. Operands/data: distanceToNearestIceShelfOrFastIce, nearbyIceConcentration. Results/interface: marpolAnnexIvRegulation11Point1Point1ComplianceStatus, distanceFromAreaWithIceConcentrationAboveOneTenth. Use a documented real vessel/certificate fact for ship context/applicability where available; create clearly labelled CONTROLLED_MUTATION values for the requirement-specific pass/fail branches not publicly documented.</x:v>
      </x:c>
      <x:c r="S100" s="18" t="str">
        <x:v>PASS_APPLICABLE; FAIL_APPLICABLE; PASS_NOT_APPLICABLE; boundary case for date/numeric applicability where meaningful.</x:v>
      </x:c>
      <x:c r="T100" s="18" t="str">
        <x:v>READY_FOR_RDF_DESIGN</x:v>
      </x:c>
      <x:c r="U100" s="18" t="str">
        <x:v>Expected outcomes are fixed from the source regulation and R13 before any generated SHACL is inspected.</x:v>
      </x:c>
    </x:row>
    <x:row r="101">
      <x:c r="A101" s="46" t="str">
        <x:v>IMO-116</x:v>
      </x:c>
      <x:c r="B101" s="18" t="str">
        <x:v>IMO Polar Code — MSC.385(94) / MEPC.264(68)</x:v>
      </x:c>
      <x:c r="C101" s="18" t="str">
        <x:v>4.2.1.2</x:v>
      </x:c>
      <x:c r="D101" s="18" t="str">
        <x:v>42</x:v>
      </x:c>
      <x:c r="E101" s="18" t="str">
        <x:v>DIRECT_STATIC</x:v>
      </x:c>
      <x:c r="F101" s="18" t="str">
        <x:v>IF_THEN / APPLICABILITY</x:v>
      </x:c>
      <x:c r="G101" s="18" t="str">
        <x:v>C_REAL_CONTEXT_CONTROLLED</x:v>
      </x:c>
      <x:c r="H101" s="18" t="str">
        <x:v>conditional strict distance threshold and distinct recorded concentration-area distance</x:v>
      </x:c>
      <x:c r="I101" s="18" t="str">
        <x:v>ship</x:v>
      </x:c>
      <x:c r="J101" s="18" t="str">
        <x:v>sewageDischargeType, notComminutedOrDisinfected</x:v>
      </x:c>
      <x:c r="K101" s="18" t="str"/>
      <x:c r="L101" s="18" t="str">
        <x:v>distanceToNearestIceShelfOrFastIce, nearbyIceConcentration</x:v>
      </x:c>
      <x:c r="M101" s="18" t="str">
        <x:v>marpolAnnexIvRegulation11Point1Point1ComplianceStatus, distanceFromAreaWithIceConcentrationAboveOneTenth</x:v>
      </x:c>
      <x:c r="N101" s="18" t="str"/>
      <x:c r="O101" s="18" t="str"/>
      <x:c r="P101" s="18" t="str">
        <x:v>NO</x:v>
      </x:c>
      <x:c r="Q101" s="18" t="str">
        <x:v>SRC-IMO-POLAR-CODE; SRC-PAME-PSC; SRC-SKAGERAK-PSC; SRC-NUYINA</x:v>
      </x:c>
      <x:c r="R101" s="18" t="str">
        <x:v>Instantiate only the minimum R13 subgraph rooted at ship. Applicability selectors: sewageDischargeType, notComminutedOrDisinfected. Operands/data: distanceToNearestIceShelfOrFastIce, nearbyIceConcentration. Results/interface: marpolAnnexIvRegulation11Point1Point1ComplianceStatus, distanceFromAreaWithIceConcentrationAboveOneTenth. Use a documented real vessel/certificate fact for ship context/applicability where available; create clearly labelled CONTROLLED_MUTATION values for the requirement-specific pass/fail branches not publicly documented.</x:v>
      </x:c>
      <x:c r="S101" s="18" t="str">
        <x:v>PASS_APPLICABLE; FAIL_APPLICABLE; PASS_NOT_APPLICABLE; boundary case for date/numeric applicability where meaningful.</x:v>
      </x:c>
      <x:c r="T101" s="18" t="str">
        <x:v>READY_FOR_RDF_DESIGN</x:v>
      </x:c>
      <x:c r="U101" s="18" t="str">
        <x:v>Expected outcomes are fixed from the source regulation and R13 before any generated SHACL is inspected.</x:v>
      </x:c>
    </x:row>
    <x:row r="102">
      <x:c r="A102" s="46" t="str">
        <x:v>IMO-117</x:v>
      </x:c>
      <x:c r="B102" s="18" t="str">
        <x:v>IMO Polar Code — MSC.385(94) / MEPC.264(68)</x:v>
      </x:c>
      <x:c r="C102" s="18" t="str">
        <x:v>4.2.1.3</x:v>
      </x:c>
      <x:c r="D102" s="18" t="str">
        <x:v>43</x:v>
      </x:c>
      <x:c r="E102" s="18" t="str">
        <x:v>DIRECT_STATIC</x:v>
      </x:c>
      <x:c r="F102" s="18" t="str">
        <x:v>IF_THEN / APPLICABILITY</x:v>
      </x:c>
      <x:c r="G102" s="18" t="str">
        <x:v>C_REAL_CONTEXT_CONTROLLED</x:v>
      </x:c>
      <x:c r="H102" s="18" t="str">
        <x:v>IF sewage_discharge_uses_treatment_plant = true, THEN sewage_treatment_plant_approval_status = approved, MARPOL_IV_9_1_1_or_9_2_1_certification_status = compliant, MARPOL_IV_11_1_2_discharge_status = compliant, and distances to land, ice shelf, fast ice, and ice concentration greater than 1/10 shall be recorded. Both discharge distances are represented on each applicable dischargeDistanceRecords node; no numerical minimum is imposed for the ice-concentration-area distance.</x:v>
      </x:c>
      <x:c r="I102" s="18" t="str">
        <x:v>ship, dischargeDistanceRecords</x:v>
      </x:c>
      <x:c r="J102" s="18" t="str"/>
      <x:c r="K102" s="18" t="str">
        <x:v>hasDischargeDistanceRecord</x:v>
      </x:c>
      <x:c r="L102" s="18" t="str"/>
      <x:c r="M102" s="18" t="str"/>
      <x:c r="N102" s="18" t="str"/>
      <x:c r="O102" s="18" t="str"/>
      <x:c r="P102" s="18" t="str">
        <x:v>NO</x:v>
      </x:c>
      <x:c r="Q102" s="18" t="str">
        <x:v>SRC-IMO-POLAR-CODE; SRC-PAME-PSC; SRC-SKAGERAK-PSC; SRC-NUYINA</x:v>
      </x:c>
      <x:c r="R102" s="18" t="str">
        <x:v>Instantiate only the minimum R13 subgraph rooted at ship, dischargeDistanceRecords. R13 paths: hasDischargeDistanceRecord. Use a documented real vessel/certificate fact for ship context/applicability where available; create clearly labelled CONTROLLED_MUTATION values for the requirement-specific pass/fail branches not publicly documented.</x:v>
      </x:c>
      <x:c r="S102" s="18" t="str">
        <x:v>PASS_APPLICABLE; FAIL_APPLICABLE; PASS_NOT_APPLICABLE; boundary case for date/numeric applicability where meaningful.</x:v>
      </x:c>
      <x:c r="T102" s="18" t="str">
        <x:v>READY_FOR_RDF_DESIGN</x:v>
      </x:c>
      <x:c r="U102" s="18" t="str">
        <x:v>Expected outcomes are fixed from the source regulation and R13 before any generated SHACL is inspected.</x:v>
      </x:c>
    </x:row>
    <x:row r="103">
      <x:c r="A103" s="46" t="str">
        <x:v>IMO-118</x:v>
      </x:c>
      <x:c r="B103" s="18" t="str">
        <x:v>IMO Polar Code — MSC.385(94) / MEPC.264(68)</x:v>
      </x:c>
      <x:c r="C103" s="18" t="str">
        <x:v>4.2.2</x:v>
      </x:c>
      <x:c r="D103" s="18" t="str">
        <x:v>43</x:v>
      </x:c>
      <x:c r="E103" s="18" t="str">
        <x:v>DIRECT_STATIC</x:v>
      </x:c>
      <x:c r="F103" s="18" t="str">
        <x:v>IF_THEN_OR</x:v>
      </x:c>
      <x:c r="G103" s="18" t="str">
        <x:v>C_REAL_CONTEXT_CONTROLLED</x:v>
      </x:c>
      <x:c r="H103" s="18" t="str">
        <x:v>IF construction_date &gt;= '2017-01-01' AND (ship_category IN {'A','B'} OR ship_type = passenger_ship), THEN sewage_discharge_to_sea = false UNLESS clause_4_2_1_3_compliance_status = compliant.</x:v>
      </x:c>
      <x:c r="I103" s="18" t="str">
        <x:v>ship</x:v>
      </x:c>
      <x:c r="J103" s="18" t="str">
        <x:v>constructionDate, shipCategory, passengerShip</x:v>
      </x:c>
      <x:c r="K103" s="18" t="str"/>
      <x:c r="L103" s="18" t="str"/>
      <x:c r="M103" s="18" t="str"/>
      <x:c r="N103" s="18" t="str"/>
      <x:c r="O103" s="18" t="str"/>
      <x:c r="P103" s="18" t="str">
        <x:v>NO</x:v>
      </x:c>
      <x:c r="Q103" s="18" t="str">
        <x:v>SRC-IMO-POLAR-CODE; SRC-PAME-PSC; SRC-SKAGERAK-PSC; SRC-NUYINA</x:v>
      </x:c>
      <x:c r="R103" s="18" t="str">
        <x:v>Instantiate only the minimum R13 subgraph rooted at ship. Applicability selectors: constructionDate, shipCategory, passengerShip. Use a documented real vessel/certificate fact for ship context/applicability where available; create clearly labelled CONTROLLED_MUTATION values for the requirement-specific pass/fail branches not publicly documented.</x:v>
      </x:c>
      <x:c r="S103" s="18" t="str">
        <x:v>PASS each permitted alternative independently; FAIL_NONE_OF_THE_PERMITTED_ROUTES; PASS_BOTH only where simultaneously valid; PASS_NOT_APPLICABLE if the obligation is conditional.</x:v>
      </x:c>
      <x:c r="T103" s="18" t="str">
        <x:v>READY_FOR_RDF_DESIGN</x:v>
      </x:c>
      <x:c r="U103" s="18" t="str">
        <x:v>Expected outcomes are fixed from the source regulation and R13 before any generated SHACL is inspected.</x:v>
      </x:c>
    </x:row>
    <x:row r="104">
      <x:c r="A104" s="46" t="str">
        <x:v>IMO-119</x:v>
      </x:c>
      <x:c r="B104" s="18" t="str">
        <x:v>IMO Polar Code — MSC.385(94) / MEPC.264(68)</x:v>
      </x:c>
      <x:c r="C104" s="18" t="str">
        <x:v>4.2.3</x:v>
      </x:c>
      <x:c r="D104" s="18" t="str">
        <x:v>43</x:v>
      </x:c>
      <x:c r="E104" s="18" t="str">
        <x:v>DIRECT_STATIC</x:v>
      </x:c>
      <x:c r="F104" s="18" t="str">
        <x:v>IF_THEN / APPLICABILITY</x:v>
      </x:c>
      <x:c r="G104" s="18" t="str">
        <x:v>C_REAL_CONTEXT_CONTROLLED</x:v>
      </x:c>
      <x:c r="H104" s="18" t="str">
        <x:v>IF ship_category IN {'A','B'} AND ice_concentration_tenths &gt; 1 AND extended_period_operation = true AND sewage_discharge_occurs = true, THEN approved_sewage_treatment_plant_used = true, MARPOL_IV_9_1_1_or_9_2_1_certification_status = compliant, and administration_discharge_approval_status = approved.</x:v>
      </x:c>
      <x:c r="I104" s="18" t="str">
        <x:v>ship</x:v>
      </x:c>
      <x:c r="J104" s="18" t="str"/>
      <x:c r="K104" s="18" t="str"/>
      <x:c r="L104" s="18" t="str"/>
      <x:c r="M104" s="18" t="str"/>
      <x:c r="N104" s="18" t="str"/>
      <x:c r="O104" s="18" t="str"/>
      <x:c r="P104" s="18" t="str">
        <x:v>NO</x:v>
      </x:c>
      <x:c r="Q104" s="18" t="str">
        <x:v>SRC-IMO-POLAR-CODE; SRC-PAME-PSC; SRC-SKAGERAK-PSC; SRC-NUYINA</x:v>
      </x:c>
      <x:c r="R104"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104" s="18" t="str">
        <x:v>PASS_APPLICABLE; FAIL_APPLICABLE; PASS_NOT_APPLICABLE; boundary case for date/numeric applicability where meaningful.</x:v>
      </x:c>
      <x:c r="T104" s="18" t="str">
        <x:v>READY_FOR_RDF_DESIGN</x:v>
      </x:c>
      <x:c r="U104" s="18" t="str">
        <x:v>Expected outcomes are fixed from the source regulation and R13 before any generated SHACL is inspected.</x:v>
      </x:c>
    </x:row>
    <x:row r="105">
      <x:c r="A105" s="46" t="str">
        <x:v>IMO-120</x:v>
      </x:c>
      <x:c r="B105" s="18" t="str">
        <x:v>IMO Polar Code — MSC.385(94) / MEPC.264(68)</x:v>
      </x:c>
      <x:c r="C105" s="18" t="str">
        <x:v>5.2.1.1</x:v>
      </x:c>
      <x:c r="D105" s="18" t="str">
        <x:v>43</x:v>
      </x:c>
      <x:c r="E105" s="18" t="str">
        <x:v>DIRECT_STATIC</x:v>
      </x:c>
      <x:c r="F105" s="18" t="str">
        <x:v>IF_THEN / APPLICABILITY</x:v>
      </x:c>
      <x:c r="G105" s="18" t="str">
        <x:v>C_REAL_CONTEXT_CONTROLLED</x:v>
      </x:c>
      <x:c r="H105" s="18" t="str">
        <x:v>conditional inclusive distance threshold and distinct recorded concentration-area distance</x:v>
      </x:c>
      <x:c r="I105" s="18" t="str">
        <x:v>ship</x:v>
      </x:c>
      <x:c r="J105" s="18" t="str">
        <x:v>operatingArea, arcticWaters, foodWasteDischargeToSea</x:v>
      </x:c>
      <x:c r="K105" s="18" t="str"/>
      <x:c r="L105" s="18" t="str">
        <x:v>distanceToNearestLandIceShelfOrFastIce, nearbyIceConcentration</x:v>
      </x:c>
      <x:c r="M105" s="18" t="str">
        <x:v>distanceFromAreaWithIceConcentrationAboveOneTenth</x:v>
      </x:c>
      <x:c r="N105" s="18" t="str"/>
      <x:c r="O105" s="18" t="str"/>
      <x:c r="P105" s="18" t="str">
        <x:v>NO</x:v>
      </x:c>
      <x:c r="Q105" s="18" t="str">
        <x:v>SRC-IMO-POLAR-CODE; SRC-PAME-PSC; SRC-SKAGERAK-PSC; SRC-NUYINA</x:v>
      </x:c>
      <x:c r="R105" s="18" t="str">
        <x:v>Instantiate only the minimum R13 subgraph rooted at ship. Applicability selectors: operatingArea, arcticWaters, foodWasteDischargeToSea. Operands/data: distanceToNearestLandIceShelfOrFastIce, nearbyIceConcentration. Results/interface: distanceFromAreaWithIceConcentrationAboveOneTenth. Use a documented real vessel/certificate fact for ship context/applicability where available; create clearly labelled CONTROLLED_MUTATION values for the requirement-specific pass/fail branches not publicly documented.</x:v>
      </x:c>
      <x:c r="S105" s="18" t="str">
        <x:v>PASS_APPLICABLE; FAIL_APPLICABLE; PASS_NOT_APPLICABLE; boundary case for date/numeric applicability where meaningful.</x:v>
      </x:c>
      <x:c r="T105" s="18" t="str">
        <x:v>READY_FOR_RDF_DESIGN</x:v>
      </x:c>
      <x:c r="U105" s="18" t="str">
        <x:v>Expected outcomes are fixed from the source regulation and R13 before any generated SHACL is inspected.</x:v>
      </x:c>
    </x:row>
    <x:row r="106">
      <x:c r="A106" s="46" t="str">
        <x:v>IMO-121</x:v>
      </x:c>
      <x:c r="B106" s="18" t="str">
        <x:v>IMO Polar Code — MSC.385(94) / MEPC.264(68)</x:v>
      </x:c>
      <x:c r="C106" s="18" t="str">
        <x:v>5.2.1.2</x:v>
      </x:c>
      <x:c r="D106" s="18" t="str">
        <x:v>43</x:v>
      </x:c>
      <x:c r="E106" s="18" t="str">
        <x:v>DIRECT_STATIC</x:v>
      </x:c>
      <x:c r="F106" s="18" t="str">
        <x:v>IF_THEN / APPLICABILITY</x:v>
      </x:c>
      <x:c r="G106" s="18" t="str">
        <x:v>C_REAL_CONTEXT_CONTROLLED</x:v>
      </x:c>
      <x:c r="H106" s="18" t="str">
        <x:v>IF food_waste_discharge_to_sea = true, THEN food_waste_comminuted_or_ground = true, required_screen_opening_mm &lt;= 25, and contaminated_by_other_garbage = false.</x:v>
      </x:c>
      <x:c r="I106" s="18" t="str">
        <x:v>ship</x:v>
      </x:c>
      <x:c r="J106" s="18" t="str"/>
      <x:c r="K106" s="18" t="str"/>
      <x:c r="L106" s="18" t="str"/>
      <x:c r="M106" s="18" t="str"/>
      <x:c r="N106" s="18" t="str"/>
      <x:c r="O106" s="18" t="str"/>
      <x:c r="P106" s="18" t="str">
        <x:v>NO</x:v>
      </x:c>
      <x:c r="Q106" s="18" t="str">
        <x:v>SRC-IMO-POLAR-CODE; SRC-PAME-PSC; SRC-SKAGERAK-PSC; SRC-NUYINA</x:v>
      </x:c>
      <x:c r="R106"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106" s="18" t="str">
        <x:v>PASS_APPLICABLE; FAIL_APPLICABLE; PASS_NOT_APPLICABLE; boundary case for date/numeric applicability where meaningful.</x:v>
      </x:c>
      <x:c r="T106" s="18" t="str">
        <x:v>READY_FOR_RDF_DESIGN</x:v>
      </x:c>
      <x:c r="U106" s="18" t="str">
        <x:v>Expected outcomes are fixed from the source regulation and R13 before any generated SHACL is inspected.</x:v>
      </x:c>
    </x:row>
    <x:row r="107">
      <x:c r="A107" s="46" t="str">
        <x:v>IMO-122</x:v>
      </x:c>
      <x:c r="B107" s="18" t="str">
        <x:v>IMO Polar Code — MSC.385(94) / MEPC.264(68)</x:v>
      </x:c>
      <x:c r="C107" s="18" t="str">
        <x:v>5.2.1.3-.4</x:v>
      </x:c>
      <x:c r="D107" s="18" t="str">
        <x:v>43</x:v>
      </x:c>
      <x:c r="E107" s="18" t="str">
        <x:v>DIRECT_STATIC</x:v>
      </x:c>
      <x:c r="F107" s="18" t="str">
        <x:v>DIRECT_STATIC</x:v>
      </x:c>
      <x:c r="G107" s="18" t="str">
        <x:v>C_REAL_CONTEXT_CONTROLLED</x:v>
      </x:c>
      <x:c r="H107" s="18" t="str">
        <x:v>food_waste_discharge_onto_ice = false AND animal_carcass_discharge = false.</x:v>
      </x:c>
      <x:c r="I107" s="18" t="str">
        <x:v>ship</x:v>
      </x:c>
      <x:c r="J107" s="18" t="str"/>
      <x:c r="K107" s="18" t="str"/>
      <x:c r="L107" s="18" t="str"/>
      <x:c r="M107" s="18" t="str"/>
      <x:c r="N107" s="18" t="str"/>
      <x:c r="O107" s="18" t="str"/>
      <x:c r="P107" s="18" t="str">
        <x:v>NO</x:v>
      </x:c>
      <x:c r="Q107" s="18" t="str">
        <x:v>SRC-IMO-POLAR-CODE; SRC-PAME-PSC; SRC-SKAGERAK-PSC; SRC-NUYINA</x:v>
      </x:c>
      <x:c r="R107"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107" s="18" t="str">
        <x:v>PASS_VALID_SOURCE_STATE; FAIL_SINGLE_SEMANTIC_VIOLATION; FAIL_MISSING_REQUIRED_VALUE where mandated; PASS_NOT_APPLICABLE if conditional.</x:v>
      </x:c>
      <x:c r="T107" s="18" t="str">
        <x:v>READY_FOR_RDF_DESIGN</x:v>
      </x:c>
      <x:c r="U107" s="18" t="str">
        <x:v>Expected outcomes are fixed from the source regulation and R13 before any generated SHACL is inspected.</x:v>
      </x:c>
    </x:row>
    <x:row r="108">
      <x:c r="A108" s="46" t="str">
        <x:v>IMO-123</x:v>
      </x:c>
      <x:c r="B108" s="18" t="str">
        <x:v>IMO Polar Code — MSC.385(94) / MEPC.264(68)</x:v>
      </x:c>
      <x:c r="C108" s="18" t="str">
        <x:v>5.2.1.5</x:v>
      </x:c>
      <x:c r="D108" s="18" t="str">
        <x:v>43-44</x:v>
      </x:c>
      <x:c r="E108" s="18" t="str">
        <x:v>DIRECT_STATIC</x:v>
      </x:c>
      <x:c r="F108" s="18" t="str">
        <x:v>AND / DISCHARGE_CONDITIONS</x:v>
      </x:c>
      <x:c r="G108" s="18" t="str">
        <x:v>C_REAL_CONTEXT_CONTROLLED</x:v>
      </x:c>
      <x:c r="H108" s="18" t="str">
        <x:v>Cargo-residue discharge is permitted only if residue_not_recoverable_by_common_methods = true, ship_en_route = true, harmful_substance_present = false, departure_and_destination_within_Arctic = true, route_remains_within_Arctic = true, adequate_reception_facilities_available = false, and distance_to_nearest_land_ice_shelf_or_fast_ice_nm &gt;= 12; record distance from ice concentration greater than 1/10. Both discharge distances are represented on each applicable dischargeDistanceRecords node; distanceToNearestLandIceShelfOrFastIce is at least 12 nautical miles and no numerical minimum is imposed for the ice-concentration-area distance.</x:v>
      </x:c>
      <x:c r="I108" s="18" t="str">
        <x:v>ship, dischargeDistanceRecords</x:v>
      </x:c>
      <x:c r="J108" s="18" t="str"/>
      <x:c r="K108" s="18" t="str">
        <x:v>hasDischargeDistanceRecord</x:v>
      </x:c>
      <x:c r="L108" s="18" t="str"/>
      <x:c r="M108" s="18" t="str"/>
      <x:c r="N108" s="18" t="str"/>
      <x:c r="O108" s="18" t="str"/>
      <x:c r="P108" s="18" t="str">
        <x:v>NO</x:v>
      </x:c>
      <x:c r="Q108" s="18" t="str">
        <x:v>SRC-IMO-POLAR-CODE; SRC-PAME-PSC; SRC-SKAGERAK-PSC; SRC-NUYINA</x:v>
      </x:c>
      <x:c r="R108" s="18" t="str">
        <x:v>Instantiate only the minimum R13 subgraph rooted at ship, dischargeDistanceRecords. R13 paths: hasDischargeDistanceRecord. Use a documented real vessel/certificate fact for ship context/applicability where available; create clearly labelled CONTROLLED_MUTATION values for the requirement-specific pass/fail branches not publicly documented.</x:v>
      </x:c>
      <x:c r="S108" s="18" t="str">
        <x:v>PASS all source conditions; FAIL each condition independently while others remain satisfied; PASS_NOT_APPLICABLE when discharge scenario is outside clause.</x:v>
      </x:c>
      <x:c r="T108" s="18" t="str">
        <x:v>READY_FOR_RDF_DESIGN</x:v>
      </x:c>
      <x:c r="U108" s="18" t="str">
        <x:v>Expected outcomes are fixed from the source regulation and R13 before any generated SHACL is inspected.</x:v>
      </x:c>
    </x:row>
    <x:row r="109">
      <x:c r="A109" s="46" t="str">
        <x:v>IMO-124</x:v>
      </x:c>
      <x:c r="B109" s="18" t="str">
        <x:v>IMO Polar Code — MSC.385(94) / MEPC.264(68)</x:v>
      </x:c>
      <x:c r="C109" s="18" t="str">
        <x:v>5.2.2.1-.2</x:v>
      </x:c>
      <x:c r="D109" s="18" t="str">
        <x:v>44</x:v>
      </x:c>
      <x:c r="E109" s="18" t="str">
        <x:v>DIRECT_STATIC</x:v>
      </x:c>
      <x:c r="F109" s="18" t="str">
        <x:v>IF_THEN / APPLICABILITY</x:v>
      </x:c>
      <x:c r="G109" s="18" t="str">
        <x:v>C_REAL_CONTEXT_CONTROLLED</x:v>
      </x:c>
      <x:c r="H109" s="18" t="str">
        <x:v>conditional inclusive distance threshold, distinct recorded concentration-area distance, and prohibition</x:v>
      </x:c>
      <x:c r="I109" s="18" t="str">
        <x:v>ship</x:v>
      </x:c>
      <x:c r="J109" s="18" t="str">
        <x:v>operatingArea, antarcticArea, marpolAnnexVRegulation6Point1DischargeOccurs</x:v>
      </x:c>
      <x:c r="K109" s="18" t="str"/>
      <x:c r="L109" s="18" t="str">
        <x:v>distanceToNearestFastIce, nearbyIceConcentration</x:v>
      </x:c>
      <x:c r="M109" s="18" t="str">
        <x:v>distanceFromAreaWithIceConcentrationAboveOneTenth, foodWasteDischargeOntoIce</x:v>
      </x:c>
      <x:c r="N109" s="18" t="str"/>
      <x:c r="O109" s="18" t="str"/>
      <x:c r="P109" s="18" t="str">
        <x:v>NO</x:v>
      </x:c>
      <x:c r="Q109" s="18" t="str">
        <x:v>SRC-IMO-POLAR-CODE; SRC-PAME-PSC; SRC-SKAGERAK-PSC; SRC-NUYINA</x:v>
      </x:c>
      <x:c r="R109" s="18" t="str">
        <x:v>Instantiate only the minimum R13 subgraph rooted at ship. Applicability selectors: operatingArea, antarcticArea, marpolAnnexVRegulation6Point1DischargeOccurs. Operands/data: distanceToNearestFastIce, nearbyIceConcentration. Results/interface: distanceFromAreaWithIceConcentrationAboveOneTenth, foodWasteDischargeOntoIce. Use a documented real vessel/certificate fact for ship context/applicability where available; create clearly labelled CONTROLLED_MUTATION values for the requirement-specific pass/fail branches not publicly documented.</x:v>
      </x:c>
      <x:c r="S109" s="18" t="str">
        <x:v>PASS_APPLICABLE; FAIL_APPLICABLE; PASS_NOT_APPLICABLE; boundary case for date/numeric applicability where meaningful.</x:v>
      </x:c>
      <x:c r="T109" s="18" t="str">
        <x:v>READY_FOR_RDF_DESIGN</x:v>
      </x:c>
      <x:c r="U109" s="18" t="str">
        <x:v>Expected outcomes are fixed from the source regulation and R13 before any generated SHACL is inspected.</x:v>
      </x:c>
    </x:row>
    <x:row r="110">
      <x:c r="A110" s="46" t="str">
        <x:v>IMO-125</x:v>
      </x:c>
      <x:c r="B110" s="18" t="str">
        <x:v>IMO Polar Code — MSC.385(94) / MEPC.264(68)</x:v>
      </x:c>
      <x:c r="C110" s="18" t="str">
        <x:v>5.2.3</x:v>
      </x:c>
      <x:c r="D110" s="18" t="str">
        <x:v>44</x:v>
      </x:c>
      <x:c r="E110" s="18" t="str">
        <x:v>DIRECT_STATIC</x:v>
      </x:c>
      <x:c r="F110" s="18" t="str">
        <x:v>IF_THEN / APPLICABILITY</x:v>
      </x:c>
      <x:c r="G110" s="18" t="str">
        <x:v>C_REAL_CONTEXT_CONTROLLED</x:v>
      </x:c>
      <x:c r="H110" s="18" t="str">
        <x:v>IF ship_operates_in_polar_waters = true, THEN polar_operation_coverage shall be present in the applicable Garbage Record Book, Garbage Management Plan, and garbage placards.</x:v>
      </x:c>
      <x:c r="I110" s="18" t="str">
        <x:v>ship</x:v>
      </x:c>
      <x:c r="J110" s="18" t="str"/>
      <x:c r="K110" s="18" t="str"/>
      <x:c r="L110" s="18" t="str"/>
      <x:c r="M110" s="18" t="str"/>
      <x:c r="N110" s="18" t="str"/>
      <x:c r="O110" s="18" t="str"/>
      <x:c r="P110" s="18" t="str">
        <x:v>NO</x:v>
      </x:c>
      <x:c r="Q110" s="18" t="str">
        <x:v>SRC-IMO-POLAR-CODE; SRC-PAME-PSC; SRC-SKAGERAK-PSC; SRC-NUYINA</x:v>
      </x:c>
      <x:c r="R110"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x:v>
      </x:c>
      <x:c r="S110" s="18" t="str">
        <x:v>PASS_APPLICABLE; FAIL_APPLICABLE; PASS_NOT_APPLICABLE; boundary case for date/numeric applicability where meaningful.</x:v>
      </x:c>
      <x:c r="T110" s="18" t="str">
        <x:v>READY_FOR_RDF_DESIGN</x:v>
      </x:c>
      <x:c r="U110" s="18" t="str">
        <x:v>Expected outcomes are fixed from the source regulation and R13 before any generated SHACL is inspected.</x:v>
      </x:c>
    </x:row>
  </x:sheetData>
  <x:conditionalFormatting sqref="E2:E110">
    <x:cfRule type="expression" dxfId="9" priority="1">
      <x:formula>E2="COMPLEX_READINESS"</x:formula>
    </x:cfRule>
  </x:conditionalFormatting>
  <x:conditionalFormatting sqref="G2:G110">
    <x:cfRule type="expression" dxfId="10" priority="2">
      <x:formula>LEFT(G2,2)="A_"</x:formula>
    </x:cfRule>
    <x:cfRule type="expression" dxfId="11" priority="3">
      <x:formula>LEFT(G2,2)="C_"</x:formula>
    </x:cfRule>
    <x:cfRule type="expression" dxfId="12" priority="4">
      <x:formula>LEFT(G2,2)="D_"</x:formula>
    </x:cfRule>
  </x:conditionalFormatting>
  <x:conditionalFormatting sqref="T2:T110">
    <x:cfRule type="expression" dxfId="13" priority="5">
      <x:formula>T2="READY_FOR_RDF_DESIGN"</x:formula>
    </x:cfRule>
  </x:conditionalFormatting>
  <x:pageMargins left="0.7" right="0.7" top="0.75" bottom="0.75" header="0.3" footer="0.3"/>
  <x:tableParts count="1">
    <x:tablePart xmlns:r="http://schemas.openxmlformats.org/officeDocument/2006/relationships" r:id="R159419d162444678"/>
  </x:tableParts>
</x:worksheet>
</file>

<file path=xl/worksheets/sheet7.xml><?xml version="1.0" encoding="utf-8"?>
<x:worksheet xmlns:x="http://schemas.openxmlformats.org/spreadsheetml/2006/main">
  <x:sheetFormatPr defaultRowHeight="15"/>
  <x:cols>
    <x:col min="1" max="1" width="16" hidden="0" customWidth="1"/>
    <x:col min="2" max="2" width="39" hidden="0" customWidth="1"/>
    <x:col min="3" max="3" width="18" hidden="0" customWidth="1"/>
    <x:col min="4" max="4" width="10" hidden="0" customWidth="1"/>
    <x:col min="5" max="5" width="20" hidden="0" customWidth="1"/>
    <x:col min="6" max="6" width="30" hidden="0" customWidth="1"/>
    <x:col min="7" max="7" width="28" hidden="0" customWidth="1"/>
    <x:col min="8" max="8" width="64" hidden="0" customWidth="1"/>
    <x:col min="9" max="9" width="24" hidden="0" customWidth="1"/>
    <x:col min="10" max="10" width="38" hidden="0" customWidth="1"/>
    <x:col min="11" max="11" width="40" hidden="0" customWidth="1"/>
    <x:col min="12" max="12" width="48" hidden="0" customWidth="1"/>
    <x:col min="13" max="13" width="45" hidden="0" customWidth="1"/>
    <x:col min="14" max="14" width="42" hidden="0" customWidth="1"/>
    <x:col min="15" max="15" width="58" hidden="0" customWidth="1"/>
    <x:col min="16" max="16" width="13" hidden="0" customWidth="1"/>
    <x:col min="17" max="17" width="48" hidden="0" customWidth="1"/>
    <x:col min="18" max="18" width="78" hidden="0" customWidth="1"/>
    <x:col min="19" max="19" width="84" hidden="0" customWidth="1"/>
    <x:col min="20" max="20" width="22" hidden="0" customWidth="1"/>
    <x:col min="21" max="21" width="64" hidden="0" customWidth="1"/>
  </x:cols>
  <x:sheetData>
    <x:row r="1">
      <x:c r="A1" s="44" t="str">
        <x:v>Requirement ID</x:v>
      </x:c>
      <x:c r="B1" s="44" t="str">
        <x:v>Regulatory document</x:v>
      </x:c>
      <x:c r="C1" s="44" t="str">
        <x:v>Clause</x:v>
      </x:c>
      <x:c r="D1" s="44" t="str">
        <x:v>PDF page</x:v>
      </x:c>
      <x:c r="E1" s="44" t="str">
        <x:v>Verification mode</x:v>
      </x:c>
      <x:c r="F1" s="44" t="str">
        <x:v>Logic pattern</x:v>
      </x:c>
      <x:c r="G1" s="44" t="str">
        <x:v>Provenance class</x:v>
      </x:c>
      <x:c r="H1" s="44" t="str">
        <x:v>R13 normalized regulatory meaning</x:v>
      </x:c>
      <x:c r="I1" s="44" t="str">
        <x:v>Owner classes</x:v>
      </x:c>
      <x:c r="J1" s="44" t="str">
        <x:v>Applicability terms</x:v>
      </x:c>
      <x:c r="K1" s="44" t="str">
        <x:v>Relationship terms</x:v>
      </x:c>
      <x:c r="L1" s="44" t="str">
        <x:v>Operand terms</x:v>
      </x:c>
      <x:c r="M1" s="44" t="str">
        <x:v>Result terms</x:v>
      </x:c>
      <x:c r="N1" s="44" t="str">
        <x:v>Evidence terms</x:v>
      </x:c>
      <x:c r="O1" s="44" t="str">
        <x:v>Formula expression (if any)</x:v>
      </x:c>
      <x:c r="P1" s="44" t="str">
        <x:v>Table model?</x:v>
      </x:c>
      <x:c r="Q1" s="44" t="str">
        <x:v>Source IDs</x:v>
      </x:c>
      <x:c r="R1" s="44" t="str">
        <x:v>Test data / graph design</x:v>
      </x:c>
      <x:c r="S1" s="44" t="str">
        <x:v>Planned behavioral cases</x:v>
      </x:c>
      <x:c r="T1" s="44" t="str">
        <x:v>Status</x:v>
      </x:c>
      <x:c r="U1" s="44" t="str">
        <x:v>Notes / interpretation boundary</x:v>
      </x:c>
    </x:row>
    <x:row r="2">
      <x:c r="A2" s="46" t="str">
        <x:v>IMO26-001</x:v>
      </x:c>
      <x:c r="B2" s="18" t="str">
        <x:v>IMO Polar Code 2016 Edition — January 2026 Supplement (MSC.538(107))</x:v>
      </x:c>
      <x:c r="C2" s="18" t="str">
        <x:v>Amendment 2</x:v>
      </x:c>
      <x:c r="D2" s="18" t="str">
        <x:v>1</x:v>
      </x:c>
      <x:c r="E2" s="18" t="str">
        <x:v>DIRECT_STATIC</x:v>
      </x:c>
      <x:c r="F2" s="18" t="str">
        <x:v>DIRECT_STATIC</x:v>
      </x:c>
      <x:c r="G2" s="18" t="str">
        <x:v>C_REAL_CONTEXT_CONTROLLED</x:v>
      </x:c>
      <x:c r="H2" s="18" t="str">
        <x:v>Polar Code chapter 9 applies only when SOLAS_chapter_I_certified = true.</x:v>
      </x:c>
      <x:c r="I2" s="18" t="str">
        <x:v>ship</x:v>
      </x:c>
      <x:c r="J2" s="18" t="str"/>
      <x:c r="K2" s="18" t="str"/>
      <x:c r="L2" s="18" t="str"/>
      <x:c r="M2" s="18" t="str"/>
      <x:c r="N2" s="18" t="str"/>
      <x:c r="O2" s="18" t="str"/>
      <x:c r="P2" s="18" t="str">
        <x:v>NO</x:v>
      </x:c>
      <x:c r="Q2" s="18" t="str">
        <x:v>SRC-IMO26-SUPPLEMENT; SRC-PAME-PSC; SRC-SKAGERAK-PSC; SRC-NUYINA</x:v>
      </x:c>
      <x:c r="R2"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 Use the January 2026 amendment applicability exactly; construction-date and vessel-type/GT/length branches must be tested independently.</x:v>
      </x:c>
      <x:c r="S2" s="18" t="str">
        <x:v>PASS_VALID_SOURCE_STATE; FAIL_SINGLE_SEMANTIC_VIOLATION; FAIL_MISSING_REQUIRED_VALUE where mandated; PASS_NOT_APPLICABLE if conditional.</x:v>
      </x:c>
      <x:c r="T2" s="18" t="str">
        <x:v>READY_FOR_RDF_DESIGN</x:v>
      </x:c>
      <x:c r="U2" s="18" t="str">
        <x:v>Expected outcomes are fixed from the source regulation and R13 before any generated SHACL is inspected.</x:v>
      </x:c>
    </x:row>
    <x:row r="3">
      <x:c r="A3" s="46" t="str">
        <x:v>IMO26-002</x:v>
      </x:c>
      <x:c r="B3" s="18" t="str">
        <x:v>IMO Polar Code 2016 Edition — January 2026 Supplement (MSC.538(107))</x:v>
      </x:c>
      <x:c r="C3" s="18" t="str">
        <x:v>Chapter 9-1 applicability</x:v>
      </x:c>
      <x:c r="D3" s="18" t="str">
        <x:v>2</x:v>
      </x:c>
      <x:c r="E3" s="18" t="str">
        <x:v>DIRECT_STATIC</x:v>
      </x:c>
      <x:c r="F3" s="18" t="str">
        <x:v>OR / ALTERNATIVE</x:v>
      </x:c>
      <x:c r="G3" s="18" t="str">
        <x:v>C_REAL_CONTEXT_CONTROLLED</x:v>
      </x:c>
      <x:c r="H3" s="18" t="str">
        <x:v>chapter_9_1_applicable = true IF (ship_type = fishing_vessel AND length_overall_m &gt;= 24) OR (ship_type = pleasure_yacht AND gross_tonnage &gt;= 300 AND engaged_in_trade = false) OR (ship_type = cargo_ship AND 300 &lt;= gross_tonnage &lt; 500).</x:v>
      </x:c>
      <x:c r="I3" s="18" t="str">
        <x:v>ship</x:v>
      </x:c>
      <x:c r="J3" s="18" t="str"/>
      <x:c r="K3" s="18" t="str"/>
      <x:c r="L3" s="18" t="str"/>
      <x:c r="M3" s="18" t="str"/>
      <x:c r="N3" s="18" t="str"/>
      <x:c r="O3" s="18" t="str"/>
      <x:c r="P3" s="18" t="str">
        <x:v>NO</x:v>
      </x:c>
      <x:c r="Q3" s="18" t="str">
        <x:v>SRC-IMO26-SUPPLEMENT; SRC-PAME-PSC; SRC-SKAGERAK-PSC; SRC-NUYINA</x:v>
      </x:c>
      <x:c r="R3"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 Use the January 2026 amendment applicability exactly; construction-date and vessel-type/GT/length branches must be tested independently.</x:v>
      </x:c>
      <x:c r="S3" s="18" t="str">
        <x:v>PASS each permitted alternative independently; FAIL_NONE_OF_THE_PERMITTED_ROUTES; PASS_BOTH only where simultaneously valid; PASS_NOT_APPLICABLE if the obligation is conditional.</x:v>
      </x:c>
      <x:c r="T3" s="18" t="str">
        <x:v>READY_FOR_RDF_DESIGN</x:v>
      </x:c>
      <x:c r="U3" s="18" t="str">
        <x:v>Expected outcomes are fixed from the source regulation and R13 before any generated SHACL is inspected.</x:v>
      </x:c>
    </x:row>
    <x:row r="4">
      <x:c r="A4" s="46" t="str">
        <x:v>IMO26-005</x:v>
      </x:c>
      <x:c r="B4" s="18" t="str">
        <x:v>IMO Polar Code 2016 Edition — January 2026 Supplement (MSC.538(107))</x:v>
      </x:c>
      <x:c r="C4" s="18" t="str">
        <x:v>9-1.2.2.2</x:v>
      </x:c>
      <x:c r="D4" s="18" t="str">
        <x:v>2</x:v>
      </x:c>
      <x:c r="E4" s="18" t="str">
        <x:v>DIRECT_STATIC</x:v>
      </x:c>
      <x:c r="F4" s="18" t="str">
        <x:v>UNIVERSAL / DIRECT</x:v>
      </x:c>
      <x:c r="G4" s="18" t="str">
        <x:v>C_REAL_CONTEXT_CONTROLLED</x:v>
      </x:c>
      <x:c r="H4" s="18" t="str">
        <x:v>Every heading-reference and position-fixing system shall have intended_area_suitability_approval_status = approved.</x:v>
      </x:c>
      <x:c r="I4" s="18" t="str">
        <x:v>ship</x:v>
      </x:c>
      <x:c r="J4" s="18" t="str"/>
      <x:c r="K4" s="18" t="str"/>
      <x:c r="L4" s="18" t="str"/>
      <x:c r="M4" s="18" t="str"/>
      <x:c r="N4" s="18" t="str"/>
      <x:c r="O4" s="18" t="str"/>
      <x:c r="P4" s="18" t="str">
        <x:v>NO</x:v>
      </x:c>
      <x:c r="Q4" s="18" t="str">
        <x:v>SRC-IMO26-SUPPLEMENT; SRC-PAME-PSC; SRC-SKAGERAK-PSC; SRC-NUYINA</x:v>
      </x:c>
      <x:c r="R4"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 Use the January 2026 amendment applicability exactly; construction-date and vessel-type/GT/length branches must be tested independently.</x:v>
      </x:c>
      <x:c r="S4" s="18" t="str">
        <x:v>PASS_ONE_VALID; PASS_MULTIPLE_ALL_VALID; FAIL_ONE_INVALID; FAIL_MIXED_VALID_INVALID; PASS_ZERO if source/R13 does not require existence.</x:v>
      </x:c>
      <x:c r="T4" s="18" t="str">
        <x:v>READY_FOR_RDF_DESIGN</x:v>
      </x:c>
      <x:c r="U4" s="18" t="str">
        <x:v>Expected outcomes are fixed from the source regulation and R13 before any generated SHACL is inspected.</x:v>
      </x:c>
    </x:row>
    <x:row r="5">
      <x:c r="A5" s="46" t="str">
        <x:v>IMO26-007</x:v>
      </x:c>
      <x:c r="B5" s="18" t="str">
        <x:v>IMO Polar Code 2016 Edition — January 2026 Supplement (MSC.538(107))</x:v>
      </x:c>
      <x:c r="C5" s="18" t="str">
        <x:v>9-1.3.2.1.1</x:v>
      </x:c>
      <x:c r="D5" s="18" t="str">
        <x:v>3</x:v>
      </x:c>
      <x:c r="E5" s="18" t="str">
        <x:v>DIRECT_STATIC</x:v>
      </x:c>
      <x:c r="F5" s="18" t="str">
        <x:v>IF_THENOR / ECHO_SOUNDING_ALTERNATIVES</x:v>
      </x:c>
      <x:c r="G5" s="18" t="str">
        <x:v>C_REAL_CONTEXT_CONTROLLED</x:v>
      </x:c>
      <x:c r="H5" s="18" t="str">
        <x:v>IF ship_ice_strengthened = true AND construction_date &gt;= '2026-01-01', THEN independent_echo_sounding_device_count &gt;= 2 OR (echo_sounding_device_count &gt;= 1 AND independent_transducer_count &gt;= 2) OR administration_approved_equivalent_depth_sounding_device_present = true.</x:v>
      </x:c>
      <x:c r="I5" s="18" t="str">
        <x:v>ship</x:v>
      </x:c>
      <x:c r="J5" s="18" t="str"/>
      <x:c r="K5" s="18" t="str"/>
      <x:c r="L5" s="18" t="str"/>
      <x:c r="M5" s="18" t="str"/>
      <x:c r="N5" s="18" t="str"/>
      <x:c r="O5" s="18" t="str"/>
      <x:c r="P5" s="18" t="str">
        <x:v>NO</x:v>
      </x:c>
      <x:c r="Q5" s="18" t="str">
        <x:v>SRC-IMO26-SUPPLEMENT; SRC-PAME-PSC; SRC-SKAGERAK-PSC; SRC-NUYINA</x:v>
      </x:c>
      <x:c r="R5"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 Use the January 2026 amendment applicability exactly; construction-date and vessel-type/GT/length branches must be tested independently.</x:v>
      </x:c>
      <x:c r="S5" s="18" t="str">
        <x:v>PASS two independent echo sounders; PASS one echo sounder + two independent transducers; PASS Administration-accepted equivalent depth-sounding device; FAIL none; PASS_NOT_APPLICABLE non-ice-strengthened or pre-2026 construction.</x:v>
      </x:c>
      <x:c r="T5" s="18" t="str">
        <x:v>READY_FOR_RDF_DESIGN</x:v>
      </x:c>
      <x:c r="U5" s="18" t="str">
        <x:v>Expected outcomes are fixed from the source regulation and R13 before any generated SHACL is inspected.</x:v>
      </x:c>
    </x:row>
    <x:row r="6">
      <x:c r="A6" s="46" t="str">
        <x:v>IMO26-008</x:v>
      </x:c>
      <x:c r="B6" s="18" t="str">
        <x:v>IMO Polar Code 2016 Edition — January 2026 Supplement (MSC.538(107))</x:v>
      </x:c>
      <x:c r="C6" s="18" t="str">
        <x:v>9-1.3.2.1.2</x:v>
      </x:c>
      <x:c r="D6" s="18" t="str">
        <x:v>3</x:v>
      </x:c>
      <x:c r="E6" s="18" t="str">
        <x:v>DIRECT_STATIC</x:v>
      </x:c>
      <x:c r="F6" s="18" t="str">
        <x:v>OR / VISIBILITY_EQUIVALENCE</x:v>
      </x:c>
      <x:c r="G6" s="18" t="str">
        <x:v>C_REAL_CONTEXT_CONTROLLED</x:v>
      </x:c>
      <x:c r="H6" s="18" t="str">
        <x:v>SOLAS_V_22_1_9_4_compliance_status = compliant AND clear_view_astern_status = compliant, OR administration_approved_equivalent_visibility_arrangement_present = true.</x:v>
      </x:c>
      <x:c r="I6" s="18" t="str">
        <x:v>ship</x:v>
      </x:c>
      <x:c r="J6" s="18" t="str"/>
      <x:c r="K6" s="18" t="str"/>
      <x:c r="L6" s="18" t="str"/>
      <x:c r="M6" s="18" t="str"/>
      <x:c r="N6" s="18" t="str"/>
      <x:c r="O6" s="18" t="str"/>
      <x:c r="P6" s="18" t="str">
        <x:v>NO</x:v>
      </x:c>
      <x:c r="Q6" s="18" t="str">
        <x:v>SRC-IMO26-SUPPLEMENT; SRC-PAME-PSC; SRC-SKAGERAK-PSC; SRC-NUYINA</x:v>
      </x:c>
      <x:c r="R6"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 Use the January 2026 amendment applicability exactly; construction-date and vessel-type/GT/length branches must be tested independently.</x:v>
      </x:c>
      <x:c r="S6" s="18" t="str">
        <x:v>PASS SOLAS clear-view-astern compliance; PASS Administration-approved equivalent visibility arrangement; FAIL neither.</x:v>
      </x:c>
      <x:c r="T6" s="18" t="str">
        <x:v>READY_FOR_RDF_DESIGN</x:v>
      </x:c>
      <x:c r="U6" s="18" t="str">
        <x:v>Expected outcomes are fixed from the source regulation and R13 before any generated SHACL is inspected.</x:v>
      </x:c>
    </x:row>
    <x:row r="7">
      <x:c r="A7" s="46" t="str">
        <x:v>IMO26-009</x:v>
      </x:c>
      <x:c r="B7" s="18" t="str">
        <x:v>IMO Polar Code 2016 Edition — January 2026 Supplement (MSC.538(107))</x:v>
      </x:c>
      <x:c r="C7" s="18" t="str">
        <x:v>9-1.3.2.1.3</x:v>
      </x:c>
      <x:c r="D7" s="18" t="str">
        <x:v>3</x:v>
      </x:c>
      <x:c r="E7" s="18" t="str">
        <x:v>DIRECT_STATIC</x:v>
      </x:c>
      <x:c r="F7" s="18" t="str">
        <x:v>UNIVERSAL / CONDITIONAL_ANTENNAS</x:v>
      </x:c>
      <x:c r="G7" s="18" t="str">
        <x:v>C_REAL_CONTEXT_CONTROLLED</x:v>
      </x:c>
      <x:c r="H7" s="18" t="str">
        <x:v>IF ice_accretion_likely = true, THEN every required navigation or communication antenna shall have ice_accumulation_prevention_means_present = true.</x:v>
      </x:c>
      <x:c r="I7" s="18" t="str">
        <x:v>ship, navigationOrCommunicationAntenna</x:v>
      </x:c>
      <x:c r="J7" s="18" t="str">
        <x:v>iceAccretionLikely</x:v>
      </x:c>
      <x:c r="K7" s="18" t="str">
        <x:v>hasRequiredNavigationOrCommunicationAntenna</x:v>
      </x:c>
      <x:c r="L7" s="18" t="str">
        <x:v>antennaIceAccumulationPreventionPresent</x:v>
      </x:c>
      <x:c r="M7" s="18" t="str"/>
      <x:c r="N7" s="18" t="str"/>
      <x:c r="O7" s="18" t="str"/>
      <x:c r="P7" s="18" t="str">
        <x:v>NO</x:v>
      </x:c>
      <x:c r="Q7" s="18" t="str">
        <x:v>SRC-IMO26-SUPPLEMENT; SRC-PAME-PSC; SRC-SKAGERAK-PSC; SRC-NUYINA</x:v>
      </x:c>
      <x:c r="R7" s="18" t="str">
        <x:v>Instantiate only the minimum R13 subgraph rooted at ship, navigationOrCommunicationAntenna. Applicability selectors: iceAccretionLikely. R13 paths: hasRequiredNavigationOrCommunicationAntenna. Operands/data: antennaIceAccumulationPreventionPresent. Use a documented real vessel/certificate fact for ship context/applicability where available; create clearly labelled CONTROLLED_MUTATION values for the requirement-specific pass/fail branches not publicly documented. Use the January 2026 amendment applicability exactly; construction-date and vessel-type/GT/length branches must be tested independently.</x:v>
      </x:c>
      <x:c r="S7" s="18" t="str">
        <x:v>PASS ice-accretion-likely + every required antenna protected; FAIL one required antenna unprotected; FAIL mixed protected/unprotected; PASS_NOT_APPLICABLE ice accretion not likely.</x:v>
      </x:c>
      <x:c r="T7" s="18" t="str">
        <x:v>READY_FOR_RDF_DESIGN</x:v>
      </x:c>
      <x:c r="U7" s="18" t="str">
        <x:v>Expected outcomes are fixed from the source regulation and R13 before any generated SHACL is inspected.</x:v>
      </x:c>
    </x:row>
    <x:row r="8">
      <x:c r="A8" s="46" t="str">
        <x:v>IMO26-010</x:v>
      </x:c>
      <x:c r="B8" s="18" t="str">
        <x:v>IMO Polar Code 2016 Edition — January 2026 Supplement (MSC.538(107))</x:v>
      </x:c>
      <x:c r="C8" s="18" t="str">
        <x:v>9-1.3.2.1.4.1</x:v>
      </x:c>
      <x:c r="D8" s="18" t="str">
        <x:v>3</x:v>
      </x:c>
      <x:c r="E8" s="18" t="str">
        <x:v>DIRECT_STATIC</x:v>
      </x:c>
      <x:c r="F8" s="18" t="str">
        <x:v>IF_THEN / APPLICABILITY</x:v>
      </x:c>
      <x:c r="G8" s="18" t="str">
        <x:v>C_REAL_CONTEXT_CONTROLLED</x:v>
      </x:c>
      <x:c r="H8" s="18" t="str">
        <x:v>IF required_sensor_projects_below_hull = true, THEN sensor_ice_protection_present = true.</x:v>
      </x:c>
      <x:c r="I8" s="18" t="str">
        <x:v>ship</x:v>
      </x:c>
      <x:c r="J8" s="18" t="str"/>
      <x:c r="K8" s="18" t="str"/>
      <x:c r="L8" s="18" t="str"/>
      <x:c r="M8" s="18" t="str"/>
      <x:c r="N8" s="18" t="str"/>
      <x:c r="O8" s="18" t="str"/>
      <x:c r="P8" s="18" t="str">
        <x:v>NO</x:v>
      </x:c>
      <x:c r="Q8" s="18" t="str">
        <x:v>SRC-IMO26-SUPPLEMENT; SRC-PAME-PSC; SRC-SKAGERAK-PSC; SRC-NUYINA</x:v>
      </x:c>
      <x:c r="R8"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 Use the January 2026 amendment applicability exactly; construction-date and vessel-type/GT/length branches must be tested independently.</x:v>
      </x:c>
      <x:c r="S8" s="18" t="str">
        <x:v>PASS_APPLICABLE; FAIL_APPLICABLE; PASS_NOT_APPLICABLE; boundary case for date/numeric applicability where meaningful.</x:v>
      </x:c>
      <x:c r="T8" s="18" t="str">
        <x:v>READY_FOR_RDF_DESIGN</x:v>
      </x:c>
      <x:c r="U8" s="18" t="str">
        <x:v>Expected outcomes are fixed from the source regulation and R13 before any generated SHACL is inspected.</x:v>
      </x:c>
    </x:row>
    <x:row r="9">
      <x:c r="A9" s="46" t="str">
        <x:v>IMO26-011</x:v>
      </x:c>
      <x:c r="B9" s="18" t="str">
        <x:v>IMO Polar Code 2016 Edition — January 2026 Supplement (MSC.538(107))</x:v>
      </x:c>
      <x:c r="C9" s="18" t="str">
        <x:v>9-1.3.2.1.4.2</x:v>
      </x:c>
      <x:c r="D9" s="18" t="str">
        <x:v>4</x:v>
      </x:c>
      <x:c r="E9" s="18" t="str">
        <x:v>DIRECT_STATIC</x:v>
      </x:c>
      <x:c r="F9" s="18" t="str">
        <x:v>OR / BRIDGE_WING_PROTECTION</x:v>
      </x:c>
      <x:c r="G9" s="18" t="str">
        <x:v>C_REAL_CONTEXT_CONTROLLED</x:v>
      </x:c>
      <x:c r="H9" s="18" t="str">
        <x:v>IF ship_category IN {'A','B'} AND construction_date &gt;= '2026-01-01', THEN bridge_wings_enclosed = true OR bridge_wing_protection_design_status = approved OR administration_approved_equivalent_bridge_wing_protection_present = true.</x:v>
      </x:c>
      <x:c r="I9" s="18" t="str">
        <x:v>ship</x:v>
      </x:c>
      <x:c r="J9" s="18" t="str"/>
      <x:c r="K9" s="18" t="str"/>
      <x:c r="L9" s="18" t="str"/>
      <x:c r="M9" s="18" t="str"/>
      <x:c r="N9" s="18" t="str"/>
      <x:c r="O9" s="18" t="str"/>
      <x:c r="P9" s="18" t="str">
        <x:v>NO</x:v>
      </x:c>
      <x:c r="Q9" s="18" t="str">
        <x:v>SRC-IMO26-SUPPLEMENT; SRC-PAME-PSC; SRC-SKAGERAK-PSC; SRC-NUYINA</x:v>
      </x:c>
      <x:c r="R9"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 Use the January 2026 amendment applicability exactly; construction-date and vessel-type/GT/length branches must be tested independently.</x:v>
      </x:c>
      <x:c r="S9" s="18" t="str">
        <x:v>PASS enclosed/protective bridge wings; PASS Administration-approved equivalent protection; FAIL neither; PASS_NOT_APPLICABLE outside category A/B post-2026 cohort.</x:v>
      </x:c>
      <x:c r="T9" s="18" t="str">
        <x:v>READY_FOR_RDF_DESIGN</x:v>
      </x:c>
      <x:c r="U9" s="18" t="str">
        <x:v>Expected outcomes are fixed from the source regulation and R13 before any generated SHACL is inspected.</x:v>
      </x:c>
    </x:row>
    <x:row r="10">
      <x:c r="A10" s="46" t="str">
        <x:v>IMO26-012</x:v>
      </x:c>
      <x:c r="B10" s="18" t="str">
        <x:v>IMO Polar Code 2016 Edition — January 2026 Supplement (MSC.538(107))</x:v>
      </x:c>
      <x:c r="C10" s="18" t="str">
        <x:v>9-1.3.2.2.1</x:v>
      </x:c>
      <x:c r="D10" s="18" t="str">
        <x:v>4</x:v>
      </x:c>
      <x:c r="E10" s="18" t="str">
        <x:v>DIRECT_STATIC</x:v>
      </x:c>
      <x:c r="F10" s="18" t="str">
        <x:v>CARDINALITY + POWER</x:v>
      </x:c>
      <x:c r="G10" s="18" t="str">
        <x:v>C_REAL_CONTEXT_CONTROLLED</x:v>
      </x:c>
      <x:c r="H10" s="18" t="str">
        <x:v>Require at least two distinct nonMagneticHeadingMeans nodes. Each means is connected to main power and emergency power and has an independentFromHeadingMeans relation to another distinct means owned by the same ship.</x:v>
      </x:c>
      <x:c r="I10" s="18" t="str">
        <x:v>ship, nonMagneticHeadingMeans</x:v>
      </x:c>
      <x:c r="J10" s="18" t="str"/>
      <x:c r="K10" s="18" t="str">
        <x:v>hasNonMagneticHeadingMeans, independentFromHeadingMeans, connectedToMainPower, connectedToEmergencyPower</x:v>
      </x:c>
      <x:c r="L10" s="18" t="str"/>
      <x:c r="M10" s="18" t="str"/>
      <x:c r="N10" s="18" t="str"/>
      <x:c r="O10" s="18" t="str"/>
      <x:c r="P10" s="18" t="str">
        <x:v>NO</x:v>
      </x:c>
      <x:c r="Q10" s="18" t="str">
        <x:v>SRC-IMO26-SUPPLEMENT; SRC-PAME-PSC; SRC-SKAGERAK-PSC; SRC-NUYINA</x:v>
      </x:c>
      <x:c r="R10" s="18" t="str">
        <x:v>Instantiate only the minimum R13 subgraph rooted at ship, nonMagneticHeadingMeans. R13 paths: hasNonMagneticHeadingMeans, independentFromHeadingMeans, connectedToMainPower, connectedToEmergencyPower. Use a documented real vessel/certificate fact for ship context/applicability where available; create clearly labelled CONTROLLED_MUTATION values for the requirement-specific pass/fail branches not publicly documented. Use the January 2026 amendment applicability exactly; construction-date and vessel-type/GT/length branches must be tested independently.</x:v>
      </x:c>
      <x:c r="S10" s="18" t="str">
        <x:v>PASS two independent non-magnetic heading means + both connected to main/emergency power; FAIL count&lt;2; FAIL non-independent; FAIL missing main/emergency power connection; PASS_NOT_APPLICABLE GT&lt;500.</x:v>
      </x:c>
      <x:c r="T10" s="18" t="str">
        <x:v>READY_FOR_RDF_DESIGN</x:v>
      </x:c>
      <x:c r="U10" s="18" t="str">
        <x:v>Expected outcomes are fixed from the source regulation and R13 before any generated SHACL is inspected.</x:v>
      </x:c>
    </x:row>
    <x:row r="11">
      <x:c r="A11" s="46" t="str">
        <x:v>IMO26-013</x:v>
      </x:c>
      <x:c r="B11" s="18" t="str">
        <x:v>IMO Polar Code 2016 Edition — January 2026 Supplement (MSC.538(107))</x:v>
      </x:c>
      <x:c r="C11" s="18" t="str">
        <x:v>9-1.3.2.2.2</x:v>
      </x:c>
      <x:c r="D11" s="18" t="str">
        <x:v>4</x:v>
      </x:c>
      <x:c r="E11" s="18" t="str">
        <x:v>DIRECT_STATIC</x:v>
      </x:c>
      <x:c r="F11" s="18" t="str">
        <x:v>IF_THEN / GNSS_HIGH_LATITUDE</x:v>
      </x:c>
      <x:c r="G11" s="18" t="str">
        <x:v>C_REAL_CONTEXT_CONTROLLED</x:v>
      </x:c>
      <x:c r="H11" s="18" t="str">
        <x:v>IF planned_or_actual_latitude_deg &gt; 80, THEN GNSS_compass_or_equivalent_count &gt;= 1 AND connected_to_main_power = true AND connected_to_emergency_power = true.</x:v>
      </x:c>
      <x:c r="I11" s="18" t="str">
        <x:v>ship</x:v>
      </x:c>
      <x:c r="J11" s="18" t="str"/>
      <x:c r="K11" s="18" t="str"/>
      <x:c r="L11" s="18" t="str"/>
      <x:c r="M11" s="18" t="str"/>
      <x:c r="N11" s="18" t="str"/>
      <x:c r="O11" s="18" t="str"/>
      <x:c r="P11" s="18" t="str">
        <x:v>NO</x:v>
      </x:c>
      <x:c r="Q11" s="18" t="str">
        <x:v>SRC-IMO26-SUPPLEMENT; SRC-PAME-PSC; SRC-SKAGERAK-PSC; SRC-NUYINA</x:v>
      </x:c>
      <x:c r="R11"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 Use the January 2026 amendment applicability exactly; construction-date and vessel-type/GT/length branches must be tested independently.</x:v>
      </x:c>
      <x:c r="S11" s="18" t="str">
        <x:v>PASS latitude&gt;80 + GNSS compass/equivalent + main/emergency power; FAIL missing device; FAIL missing either power source; PASS_NOT_APPLICABLE latitude&lt;=80.</x:v>
      </x:c>
      <x:c r="T11" s="18" t="str">
        <x:v>READY_FOR_RDF_DESIGN</x:v>
      </x:c>
      <x:c r="U11" s="18" t="str">
        <x:v>Expected outcomes are fixed from the source regulation and R13 before any generated SHACL is inspected.</x:v>
      </x:c>
    </x:row>
    <x:row r="12">
      <x:c r="A12" s="46" t="str">
        <x:v>IMO26-014</x:v>
      </x:c>
      <x:c r="B12" s="18" t="str">
        <x:v>IMO Polar Code 2016 Edition — January 2026 Supplement (MSC.538(107))</x:v>
      </x:c>
      <x:c r="C12" s="18" t="str">
        <x:v>9-1.3.3</x:v>
      </x:c>
      <x:c r="D12" s="18" t="str">
        <x:v>4</x:v>
      </x:c>
      <x:c r="E12" s="18" t="str">
        <x:v>DIRECT_STATIC</x:v>
      </x:c>
      <x:c r="F12" s="18" t="str">
        <x:v>IF_THEN / DARKNESS_VISUAL_DETECTION</x:v>
      </x:c>
      <x:c r="G12" s="18" t="str">
        <x:v>C_REAL_CONTEXT_CONTROLLED</x:v>
      </x:c>
      <x:c r="H12" s="18" t="str">
        <x:v>IF solely_24_hour_daylight_operation = false, THEN visual_ice_detection_illumination_means_count &gt;= 2.</x:v>
      </x:c>
      <x:c r="I12" s="18" t="str">
        <x:v>ship</x:v>
      </x:c>
      <x:c r="J12" s="18" t="str"/>
      <x:c r="K12" s="18" t="str"/>
      <x:c r="L12" s="18" t="str"/>
      <x:c r="M12" s="18" t="str"/>
      <x:c r="N12" s="18" t="str"/>
      <x:c r="O12" s="18" t="str"/>
      <x:c r="P12" s="18" t="str">
        <x:v>NO</x:v>
      </x:c>
      <x:c r="Q12" s="18" t="str">
        <x:v>SRC-IMO26-SUPPLEMENT; SRC-PAME-PSC; SRC-SKAGERAK-PSC; SRC-NUYINA</x:v>
      </x:c>
      <x:c r="R12"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 Use the January 2026 amendment applicability exactly; construction-date and vessel-type/GT/length branches must be tested independently.</x:v>
      </x:c>
      <x:c r="S12" s="18" t="str">
        <x:v>PASS not-24h-daylight + two illumination means; FAIL fewer than two; PASS_NOT_APPLICABLE solely 24h daylight.</x:v>
      </x:c>
      <x:c r="T12" s="18" t="str">
        <x:v>READY_FOR_RDF_DESIGN</x:v>
      </x:c>
      <x:c r="U12" s="18" t="str">
        <x:v>Expected outcomes are fixed from the source regulation and R13 before any generated SHACL is inspected.</x:v>
      </x:c>
    </x:row>
    <x:row r="13">
      <x:c r="A13" s="46" t="str">
        <x:v>IMO26-015</x:v>
      </x:c>
      <x:c r="B13" s="18" t="str">
        <x:v>IMO Polar Code 2016 Edition — January 2026 Supplement (MSC.538(107))</x:v>
      </x:c>
      <x:c r="C13" s="18" t="str">
        <x:v>Amendment 5</x:v>
      </x:c>
      <x:c r="D13" s="18" t="str">
        <x:v>5</x:v>
      </x:c>
      <x:c r="E13" s="18" t="str">
        <x:v>DIRECT_STATIC</x:v>
      </x:c>
      <x:c r="F13" s="18" t="str">
        <x:v>DIRECT_STATIC</x:v>
      </x:c>
      <x:c r="G13" s="18" t="str">
        <x:v>C_REAL_CONTEXT_CONTROLLED</x:v>
      </x:c>
      <x:c r="H13" s="18" t="str">
        <x:v>Polar Code chapter 11 applies only when SOLAS_chapter_I_certified = true.</x:v>
      </x:c>
      <x:c r="I13" s="18" t="str">
        <x:v>ship</x:v>
      </x:c>
      <x:c r="J13" s="18" t="str"/>
      <x:c r="K13" s="18" t="str"/>
      <x:c r="L13" s="18" t="str"/>
      <x:c r="M13" s="18" t="str"/>
      <x:c r="N13" s="18" t="str"/>
      <x:c r="O13" s="18" t="str"/>
      <x:c r="P13" s="18" t="str">
        <x:v>NO</x:v>
      </x:c>
      <x:c r="Q13" s="18" t="str">
        <x:v>SRC-IMO26-SUPPLEMENT; SRC-PAME-PSC; SRC-SKAGERAK-PSC; SRC-NUYINA</x:v>
      </x:c>
      <x:c r="R13"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 Use the January 2026 amendment applicability exactly; construction-date and vessel-type/GT/length branches must be tested independently.</x:v>
      </x:c>
      <x:c r="S13" s="18" t="str">
        <x:v>PASS_VALID_SOURCE_STATE; FAIL_SINGLE_SEMANTIC_VIOLATION; FAIL_MISSING_REQUIRED_VALUE where mandated; PASS_NOT_APPLICABLE if conditional.</x:v>
      </x:c>
      <x:c r="T13" s="18" t="str">
        <x:v>READY_FOR_RDF_DESIGN</x:v>
      </x:c>
      <x:c r="U13" s="18" t="str">
        <x:v>Expected outcomes are fixed from the source regulation and R13 before any generated SHACL is inspected.</x:v>
      </x:c>
    </x:row>
    <x:row r="14">
      <x:c r="A14" s="46" t="str">
        <x:v>IMO26-016</x:v>
      </x:c>
      <x:c r="B14" s="18" t="str">
        <x:v>IMO Polar Code 2016 Edition — January 2026 Supplement (MSC.538(107))</x:v>
      </x:c>
      <x:c r="C14" s="18" t="str">
        <x:v>Chapter 11-1 applicability</x:v>
      </x:c>
      <x:c r="D14" s="18" t="str">
        <x:v>5</x:v>
      </x:c>
      <x:c r="E14" s="18" t="str">
        <x:v>DIRECT_STATIC</x:v>
      </x:c>
      <x:c r="F14" s="18" t="str">
        <x:v>OR / ALTERNATIVE</x:v>
      </x:c>
      <x:c r="G14" s="18" t="str">
        <x:v>C_REAL_CONTEXT_CONTROLLED</x:v>
      </x:c>
      <x:c r="H14" s="18" t="str">
        <x:v>IF ship_operates_in_polar_waters = true, THEN chapter_11_1_applicable = true when (ship_type = fishing_vessel AND length_overall_m &gt;= 24) OR (ship_type = pleasure_yacht AND gross_tonnage &gt;= 300 AND engaged_in_trade = false) OR (ship_type = cargo_ship AND 300 &lt;= gross_tonnage &lt; 500).</x:v>
      </x:c>
      <x:c r="I14" s="18" t="str">
        <x:v>ship</x:v>
      </x:c>
      <x:c r="J14" s="18" t="str"/>
      <x:c r="K14" s="18" t="str"/>
      <x:c r="L14" s="18" t="str"/>
      <x:c r="M14" s="18" t="str"/>
      <x:c r="N14" s="18" t="str"/>
      <x:c r="O14" s="18" t="str"/>
      <x:c r="P14" s="18" t="str">
        <x:v>NO</x:v>
      </x:c>
      <x:c r="Q14" s="18" t="str">
        <x:v>SRC-IMO26-SUPPLEMENT; SRC-PAME-PSC; SRC-SKAGERAK-PSC; SRC-NUYINA</x:v>
      </x:c>
      <x:c r="R14"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 Use the January 2026 amendment applicability exactly; construction-date and vessel-type/GT/length branches must be tested independently.</x:v>
      </x:c>
      <x:c r="S14" s="18" t="str">
        <x:v>PASS each permitted alternative independently; FAIL_NONE_OF_THE_PERMITTED_ROUTES; PASS_BOTH only where simultaneously valid; PASS_NOT_APPLICABLE if the obligation is conditional.</x:v>
      </x:c>
      <x:c r="T14" s="18" t="str">
        <x:v>READY_FOR_RDF_DESIGN</x:v>
      </x:c>
      <x:c r="U14" s="18" t="str">
        <x:v>Expected outcomes are fixed from the source regulation and R13 before any generated SHACL is inspected.</x:v>
      </x:c>
    </x:row>
    <x:row r="15">
      <x:c r="A15" s="46" t="str">
        <x:v>IMO26-017</x:v>
      </x:c>
      <x:c r="B15" s="18" t="str">
        <x:v>IMO Polar Code 2016 Edition — January 2026 Supplement (MSC.538(107))</x:v>
      </x:c>
      <x:c r="C15" s="18" t="str">
        <x:v>11-1.2</x:v>
      </x:c>
      <x:c r="D15" s="18" t="str">
        <x:v>5</x:v>
      </x:c>
      <x:c r="E15" s="18" t="str">
        <x:v>DIRECT_STATIC</x:v>
      </x:c>
      <x:c r="F15" s="18" t="str">
        <x:v>IF_THEN / APPLICABILITY</x:v>
      </x:c>
      <x:c r="G15" s="18" t="str">
        <x:v>C_REAL_CONTEXT_CONTROLLED</x:v>
      </x:c>
      <x:c r="H15" s="18" t="str">
        <x:v>IF chapter_11_1_applicable = true, THEN voyage_plan_present = true and every intended_voyage_hazard shall have voyage_plan_coverage = true.</x:v>
      </x:c>
      <x:c r="I15" s="18" t="str">
        <x:v>ship</x:v>
      </x:c>
      <x:c r="J15" s="18" t="str"/>
      <x:c r="K15" s="18" t="str"/>
      <x:c r="L15" s="18" t="str"/>
      <x:c r="M15" s="18" t="str"/>
      <x:c r="N15" s="18" t="str"/>
      <x:c r="O15" s="18" t="str"/>
      <x:c r="P15" s="18" t="str">
        <x:v>NO</x:v>
      </x:c>
      <x:c r="Q15" s="18" t="str">
        <x:v>SRC-IMO26-SUPPLEMENT; SRC-PAME-PSC; SRC-SKAGERAK-PSC; SRC-NUYINA</x:v>
      </x:c>
      <x:c r="R15"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 Use the January 2026 amendment applicability exactly; construction-date and vessel-type/GT/length branches must be tested independently.</x:v>
      </x:c>
      <x:c r="S15" s="18" t="str">
        <x:v>PASS_APPLICABLE; FAIL_APPLICABLE; PASS_NOT_APPLICABLE; boundary case for date/numeric applicability where meaningful.</x:v>
      </x:c>
      <x:c r="T15" s="18" t="str">
        <x:v>READY_FOR_RDF_DESIGN</x:v>
      </x:c>
      <x:c r="U15" s="18" t="str">
        <x:v>Expected outcomes are fixed from the source regulation and R13 before any generated SHACL is inspected.</x:v>
      </x:c>
    </x:row>
    <x:row r="16">
      <x:c r="A16" s="46" t="str">
        <x:v>IMO26-018</x:v>
      </x:c>
      <x:c r="B16" s="18" t="str">
        <x:v>IMO Polar Code 2016 Edition — January 2026 Supplement (MSC.538(107))</x:v>
      </x:c>
      <x:c r="C16" s="18" t="str">
        <x:v>11-1.3.1-11-1.3.9</x:v>
      </x:c>
      <x:c r="D16" s="18" t="str">
        <x:v>6</x:v>
      </x:c>
      <x:c r="E16" s="18" t="str">
        <x:v>DIRECT_STATIC</x:v>
      </x:c>
      <x:c r="F16" s="18" t="str">
        <x:v>IF_THEN / APPLICABILITY</x:v>
      </x:c>
      <x:c r="G16" s="18" t="str">
        <x:v>C_REAL_CONTEXT_CONTROLLED</x:v>
      </x:c>
      <x:c r="H16" s="18" t="str">
        <x:v>IF chapter_11_1_applicable = true, THEN the route planning record shall cover all nine clause 11-1.3 topics; if safety_management_system_implemented = false, documented_polar_operation_procedure_present shall be true.</x:v>
      </x:c>
      <x:c r="I16" s="18" t="str">
        <x:v>ship</x:v>
      </x:c>
      <x:c r="J16" s="18" t="str"/>
      <x:c r="K16" s="18" t="str"/>
      <x:c r="L16" s="18" t="str"/>
      <x:c r="M16" s="18" t="str"/>
      <x:c r="N16" s="18" t="str"/>
      <x:c r="O16" s="18" t="str"/>
      <x:c r="P16" s="18" t="str">
        <x:v>NO</x:v>
      </x:c>
      <x:c r="Q16" s="18" t="str">
        <x:v>SRC-IMO26-SUPPLEMENT; SRC-PAME-PSC; SRC-SKAGERAK-PSC; SRC-NUYINA</x:v>
      </x:c>
      <x:c r="R16" s="18" t="str">
        <x:v>Instantiate only the minimum R13 subgraph rooted at ship. Use a documented real vessel/certificate fact for ship context/applicability where available; create clearly labelled CONTROLLED_MUTATION values for the requirement-specific pass/fail branches not publicly documented. Use the January 2026 amendment applicability exactly; construction-date and vessel-type/GT/length branches must be tested independently.</x:v>
      </x:c>
      <x:c r="S16" s="18" t="str">
        <x:v>PASS_APPLICABLE; FAIL_APPLICABLE; PASS_NOT_APPLICABLE; boundary case for date/numeric applicability where meaningful.</x:v>
      </x:c>
      <x:c r="T16" s="18" t="str">
        <x:v>READY_FOR_RDF_DESIGN</x:v>
      </x:c>
      <x:c r="U16" s="18" t="str">
        <x:v>Expected outcomes are fixed from the source regulation and R13 before any generated SHACL is inspected.</x:v>
      </x:c>
    </x:row>
  </x:sheetData>
  <x:conditionalFormatting sqref="E2:E16">
    <x:cfRule type="expression" dxfId="14" priority="1">
      <x:formula>E2="COMPLEX_READINESS"</x:formula>
    </x:cfRule>
  </x:conditionalFormatting>
  <x:conditionalFormatting sqref="G2:G16">
    <x:cfRule type="expression" dxfId="15" priority="2">
      <x:formula>LEFT(G2,2)="A_"</x:formula>
    </x:cfRule>
    <x:cfRule type="expression" dxfId="16" priority="3">
      <x:formula>LEFT(G2,2)="C_"</x:formula>
    </x:cfRule>
    <x:cfRule type="expression" dxfId="17" priority="4">
      <x:formula>LEFT(G2,2)="D_"</x:formula>
    </x:cfRule>
  </x:conditionalFormatting>
  <x:conditionalFormatting sqref="T2:T16">
    <x:cfRule type="expression" dxfId="18" priority="5">
      <x:formula>T2="READY_FOR_RDF_DESIGN"</x:formula>
    </x:cfRule>
  </x:conditionalFormatting>
  <x:pageMargins left="0.7" right="0.7" top="0.75" bottom="0.75" header="0.3" footer="0.3"/>
  <x:tableParts count="1">
    <x:tablePart xmlns:r="http://schemas.openxmlformats.org/officeDocument/2006/relationships" r:id="Rd3f7775f863d4ba1"/>
  </x:tableParts>
</x:worksheet>
</file>