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af8bb9e1c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9347bbaf814ca6"/>
    <x:sheet xmlns:r="http://schemas.openxmlformats.org/officeDocument/2006/relationships" name="README" sheetId="2" r:id="Rb93ed265995e4a89"/>
    <x:sheet xmlns:r="http://schemas.openxmlformats.org/officeDocument/2006/relationships" name="REGULATION_QUEUE" sheetId="3" r:id="R7be7c4e6537d4506"/>
    <x:sheet xmlns:r="http://schemas.openxmlformats.org/officeDocument/2006/relationships" name="RUNS" sheetId="4" r:id="R5db715c327fa425f"/>
    <x:sheet xmlns:r="http://schemas.openxmlformats.org/officeDocument/2006/relationships" name="ITERATIONS" sheetId="5" r:id="R7176acdc83e945f7"/>
    <x:sheet xmlns:r="http://schemas.openxmlformats.org/officeDocument/2006/relationships" name="API_CALLS" sheetId="6" r:id="Re8079b5e10784dcc"/>
    <x:sheet xmlns:r="http://schemas.openxmlformats.org/officeDocument/2006/relationships" name="TERM_RETRIEVAL" sheetId="7" r:id="R2075ddf5ea3d4f47"/>
    <x:sheet xmlns:r="http://schemas.openxmlformats.org/officeDocument/2006/relationships" name="FEW_SHOT_SELECTION" sheetId="8" r:id="Rbdc77bd3556747e8"/>
    <x:sheet xmlns:r="http://schemas.openxmlformats.org/officeDocument/2006/relationships" name="VALIDATION" sheetId="9" r:id="R1c377bd815204800"/>
    <x:sheet xmlns:r="http://schemas.openxmlformats.org/officeDocument/2006/relationships" name="VOCAB_MATCHES" sheetId="10" r:id="Rbe5748d6309a4aab"/>
    <x:sheet xmlns:r="http://schemas.openxmlformats.org/officeDocument/2006/relationships" name="ARTIFACTS" sheetId="11" r:id="R9e16653ebb1944fd"/>
    <x:sheet xmlns:r="http://schemas.openxmlformats.org/officeDocument/2006/relationships" name="UNRESOLVED" sheetId="12" r:id="R38d9a8f55fc94541"/>
    <x:sheet xmlns:r="http://schemas.openxmlformats.org/officeDocument/2006/relationships" name="RDF_TEST_QUEUE" sheetId="13" r:id="Rd0e66c10a02249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fcdbfcc3242b3" /><Relationship Type="http://schemas.openxmlformats.org/officeDocument/2006/relationships/theme" Target="/xl/theme/theme1.xml" Id="R5779f5c295644621" /><Relationship Type="http://schemas.microsoft.com/office/2022/11/relationships/FeaturePropertyBag" Target="/xl/featurePropertyBag/featurePropertyBag.xml" Id="Rffe8a0e2ba874599" /><Relationship Type="http://schemas.openxmlformats.org/officeDocument/2006/relationships/sharedStrings" Target="/xl/sharedStrings.xml" Id="R17ef41c792ee43d4" /><Relationship Type="http://schemas.openxmlformats.org/officeDocument/2006/relationships/worksheet" Target="/xl/worksheets/sheet1.xml" Id="R479347bbaf814ca6" /><Relationship Type="http://schemas.openxmlformats.org/officeDocument/2006/relationships/worksheet" Target="/xl/worksheets/sheet2.xml" Id="Rb93ed265995e4a89" /><Relationship Type="http://schemas.openxmlformats.org/officeDocument/2006/relationships/worksheet" Target="/xl/worksheets/sheet3.xml" Id="R7be7c4e6537d4506" /><Relationship Type="http://schemas.openxmlformats.org/officeDocument/2006/relationships/worksheet" Target="/xl/worksheets/sheet4.xml" Id="R5db715c327fa425f" /><Relationship Type="http://schemas.openxmlformats.org/officeDocument/2006/relationships/worksheet" Target="/xl/worksheets/sheet5.xml" Id="R7176acdc83e945f7" /><Relationship Type="http://schemas.openxmlformats.org/officeDocument/2006/relationships/worksheet" Target="/xl/worksheets/sheet6.xml" Id="Re8079b5e10784dcc" /><Relationship Type="http://schemas.openxmlformats.org/officeDocument/2006/relationships/worksheet" Target="/xl/worksheets/sheet7.xml" Id="R2075ddf5ea3d4f47" /><Relationship Type="http://schemas.openxmlformats.org/officeDocument/2006/relationships/worksheet" Target="/xl/worksheets/sheet8.xml" Id="Rbdc77bd3556747e8" /><Relationship Type="http://schemas.openxmlformats.org/officeDocument/2006/relationships/worksheet" Target="/xl/worksheets/sheet9.xml" Id="R1c377bd815204800" /><Relationship Type="http://schemas.openxmlformats.org/officeDocument/2006/relationships/worksheet" Target="/xl/worksheets/sheet10.xml" Id="Rbe5748d6309a4aab" /><Relationship Type="http://schemas.openxmlformats.org/officeDocument/2006/relationships/worksheet" Target="/xl/worksheets/sheet11.xml" Id="R9e16653ebb1944fd" /><Relationship Type="http://schemas.openxmlformats.org/officeDocument/2006/relationships/worksheet" Target="/xl/worksheets/sheet12.xml" Id="R38d9a8f55fc94541" /><Relationship Type="http://schemas.openxmlformats.org/officeDocument/2006/relationships/worksheet" Target="/xl/worksheets/sheet13.xml" Id="Rd0e66c10a02249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788b1ff1ce42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027796030a4b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86eb9500224e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58f774cd7944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fe7a01f40248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7d16ed714440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6e15211eba40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c2991bf12344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82f2dc548f94a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bd5d9b9f5b042f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819e7cc72d243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RUN-I2-023-20260827T121826456533Z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18868.473625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RUN-I2-023-20260827T121826456533Z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788b1ff1ce42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RUN-I2-023-20260827T121826456533Z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TERM_RESOLUTION_UNRESOLVED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027796030a4b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RUN-I2-023-20260827T121826456533Z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RUN-I2-023-20260827T121826456533Z</x:v>
      </x:c>
      <x:c r="C5" s="69" t="str">
        <x:v>I2-023</x:v>
      </x:c>
      <x:c r="D5" s="70" t="n">
        <x:v>46261.51280621528</x:v>
      </x:c>
      <x:c r="E5" s="70" t="n">
        <x:v>46261.51369594908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as a framing-orientation or longitudinal-framing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86eb9500224e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RUN-I2-023-20260827T121826456533Z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RUN-I2-023-20260827T121826456533Z</x:v>
      </x:c>
      <x:c r="B5" s="69" t="str">
        <x:v>I2-023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the shape applies to every plating node and only requires framingAngleOmega, so it does not encode the applicability boundary for longitudinally-framed plating with Omega &lt;= 20 deg. Add a canonical framing-orientation/longitudinal-framing term and constrain it to the verified controlled value, and enforce framingAngleOmega with sh:maxInclusive 20 on its degree-valued numericValue. Remove the guessed xsd:decimal datatype constraints from all qudt:numericValue paths because no canonical datatype is declared; retain only verified unit constraints. Preserve the existing ship→plating→structuralMember ownership paths and all declared operands/result.</x:v>
      </x:c>
      <x:c r="I5" s="75" t="n">
        <x:v>18501.503</x:v>
      </x:c>
      <x:c r="J5" s="75" t="n">
        <x:v>25324.174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58f774cd7944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RUN-I2-023-20260827T121826456533Z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RUN-I2-023-20260827T121826456533Z</x:v>
      </x:c>
      <x:c r="C5" s="45" t="str">
        <x:v>I2-023</x:v>
      </x:c>
      <x:c r="D5" s="88" t="n">
        <x:v>46261.5130203588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18499.708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RUN-I2-023-20260827T121826456533Z</x:v>
      </x:c>
      <x:c r="C6" s="47" t="str">
        <x:v>I2-023</x:v>
      </x:c>
      <x:c r="D6" s="91" t="n">
        <x:v>46261.51302038194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18501.503</x:v>
      </x:c>
      <x:c r="L6" s="93" t="b">
        <x:v>0</x:v>
      </x:c>
      <x:c r="M6" s="47" t="str">
        <x:v>resp_0cd16fbf97083422006a902b12c7788190aa75d1d1da32b01a</x:v>
      </x:c>
      <x:c r="N6" s="59" t="n">
        <x:v>11959</x:v>
      </x:c>
      <x:c r="O6" s="59" t="n">
        <x:v>2237</x:v>
      </x:c>
      <x:c r="P6" s="59" t="n">
        <x:v>14196</x:v>
      </x:c>
    </x:row>
    <x:row r="7">
      <x:c r="A7" s="47" t="str">
        <x:v>EVT-000034</x:v>
      </x:c>
      <x:c r="B7" s="47" t="str">
        <x:v>RUN-I2-023-20260827T121826456533Z</x:v>
      </x:c>
      <x:c r="C7" s="47" t="str">
        <x:v>I2-023</x:v>
      </x:c>
      <x:c r="D7" s="91" t="n">
        <x:v>46261.513334027775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27092.631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RUN-I2-023-20260827T121826456533Z</x:v>
      </x:c>
      <x:c r="C8" s="47" t="str">
        <x:v>I2-023</x:v>
      </x:c>
      <x:c r="D8" s="91" t="n">
        <x:v>46261.51333405093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27093.852</x:v>
      </x:c>
      <x:c r="L8" s="93" t="b">
        <x:v>0</x:v>
      </x:c>
      <x:c r="M8" s="47" t="str">
        <x:v>resp_07a77e823a89bb45006a902b252600819081b6234363197454</x:v>
      </x:c>
      <x:c r="N8" s="59" t="n">
        <x:v>2375</x:v>
      </x:c>
      <x:c r="O8" s="59" t="n">
        <x:v>1756</x:v>
      </x:c>
      <x:c r="P8" s="59" t="n">
        <x:v>4131</x:v>
      </x:c>
    </x:row>
    <x:row r="9">
      <x:c r="A9" s="47" t="str">
        <x:v>EVT-000043</x:v>
      </x:c>
      <x:c r="B9" s="47" t="str">
        <x:v>RUN-I2-023-20260827T121826456533Z</x:v>
      </x:c>
      <x:c r="C9" s="47" t="str">
        <x:v>I2-023</x:v>
      </x:c>
      <x:c r="D9" s="91" t="n">
        <x:v>46261.51362961806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25322.371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RUN-I2-023-20260827T121826456533Z</x:v>
      </x:c>
      <x:c r="C10" s="47" t="str">
        <x:v>I2-023</x:v>
      </x:c>
      <x:c r="D10" s="91" t="n">
        <x:v>46261.5136296412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25324.174</x:v>
      </x:c>
      <x:c r="L10" s="93" t="b">
        <x:v>0</x:v>
      </x:c>
      <x:c r="M10" s="47" t="str">
        <x:v>resp_06781ea12aac56a8006a902b40630c8194a847c06003733683</x:v>
      </x:c>
      <x:c r="N10" s="59" t="n">
        <x:v>12923</x:v>
      </x:c>
      <x:c r="O10" s="59" t="n">
        <x:v>1700</x:v>
      </x:c>
      <x:c r="P10" s="59" t="n">
        <x:v>14623</x:v>
      </x:c>
    </x:row>
    <x:row r="11">
      <x:c r="A11" s="47" t="str">
        <x:v>EVT-000050</x:v>
      </x:c>
      <x:c r="B11" s="47" t="str">
        <x:v>RUN-I2-023-20260827T121826456533Z</x:v>
      </x:c>
      <x:c r="C11" s="47" t="str">
        <x:v>I2-023</x:v>
      </x:c>
      <x:c r="D11" s="91" t="n">
        <x:v>46261.513695891204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4555.924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RUN-I2-023-20260827T121826456533Z</x:v>
      </x:c>
      <x:c r="C12" s="49" t="str">
        <x:v>I2-023</x:v>
      </x:c>
      <x:c r="D12" s="94" t="n">
        <x:v>46261.51369591435</x:v>
      </x:c>
      <x:c r="E12" s="49" t="str">
        <x:v>vocabulary_matcher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4557.626</x:v>
      </x:c>
      <x:c r="L12" s="96" t="b">
        <x:v>0</x:v>
      </x:c>
      <x:c r="M12" s="49" t="str">
        <x:v>resp_0e51b1a4cb13b755006a902b5b5d748195881298a17c0bda31</x:v>
      </x:c>
      <x:c r="N12" s="60" t="n">
        <x:v>2838</x:v>
      </x:c>
      <x:c r="O12" s="60" t="n">
        <x:v>167</x:v>
      </x:c>
      <x:c r="P12" s="60" t="n">
        <x:v>3005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fe7a01f40248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RUN-I2-023-20260827T121826456533Z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RUN-I2-023-20260827T121826456533Z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RUN-I2-023-20260827T121826456533Z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RUN-I2-023-20260827T121826456533Z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RUN-I2-023-20260827T121826456533Z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RUN-I2-023-20260827T121826456533Z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RUN-I2-023-20260827T121826456533Z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RUN-I2-023-20260827T121826456533Z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RUN-I2-023-20260827T121826456533Z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RUN-I2-023-20260827T121826456533Z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RUN-I2-023-20260827T121826456533Z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RUN-I2-023-20260827T121826456533Z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RUN-I2-023-20260827T121826456533Z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RUN-I2-023-20260827T121826456533Z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RUN-I2-023-20260827T121826456533Z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RUN-I2-023-20260827T121826456533Z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RUN-I2-023-20260827T121826456533Z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RUN-I2-023-20260827T121826456533Z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RUN-I2-023-20260827T121826456533Z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RUN-I2-023-20260827T121826456533Z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RUN-I2-023-20260827T121826456533Z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7d16ed714440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RUN-I2-023-20260827T121826456533Z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RUN-I2-023-20260827T121826456533Z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9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RUN-I2-023-20260827T121826456533Z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100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6e15211eba40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RUN-I2-023-20260827T121826456533Z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RUN-I2-023-20260827T121826456533Z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c2991bf12344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RUN-I2-023-20260827T121826456533Z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RUN-I2-023-20260827T121826456533Z</x:v>
      </x:c>
      <x:c r="B5" s="45" t="str">
        <x:v>I2-023</x:v>
      </x:c>
      <x:c r="C5" s="58" t="n">
        <x:v>1</x:v>
      </x:c>
      <x:c r="D5" s="45" t="str">
        <x:v>matcher_search</x:v>
      </x:c>
      <x:c r="E5" s="46" t="str">
        <x:v>Reject: the shape applies to every plating node and only requires framingAngleOmega, so it does not encode the applicability boundary for longitudinally-framed plating with Omega &lt;= 20 deg. Add a canonical framing-orientation/longitudinal-framing term and constrain it to the verified controlled value, and enforce framingAngleOmega with sh:maxInclusive 20 on its degree-valued numericValue. Remove the guessed xsd:decimal datatype constraints from all qudt:numericValue paths because no canonical datatype is declared; retain only verified unit constraints. Preserve the existing ship→plating→structuralMember ownership paths and all declared operands/result.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RUN-I2-023-20260827T121826456533Z</x:v>
      </x:c>
      <x:c r="B6" s="49" t="str">
        <x:v>I2-023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 as a framing-orientation or longitudinal-framing term.</x:v>
      </x:c>
    </x:row>
  </x:sheetData>
  <x:pageMargins left="0.7" right="0.7" top="0.75" bottom="0.75" header="0.3" footer="0.3"/>
  <x:tableParts count="1">
    <x:tablePart xmlns:r="http://schemas.openxmlformats.org/officeDocument/2006/relationships" r:id="Rc82f2dc548f94a6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RUN-I2-023-20260827T121826456533Z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RUN-I2-023-20260827T121826456533Z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RUN-I2-023-20260827T121826456533Z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RUN-I2-023-20260827T121826456533Z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RUN-I2-023-20260827T121826456533Z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854d6daa5a23d14bb6ff6daa299e0e43d23f634b88d4a3c14ff7d5b2ab0ca850</x:v>
      </x:c>
      <x:c r="G8" s="59" t="n">
        <x:v>5956</x:v>
      </x:c>
    </x:row>
    <x:row r="9">
      <x:c r="A9" s="47" t="str">
        <x:v>RUN-I2-023-20260827T121826456533Z</x:v>
      </x:c>
      <x:c r="B9" s="47" t="str">
        <x:v>I2-023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96e741eee9c102e652e44a7699b57adfaa9daf34fbd81509edc4269a8e2b3183</x:v>
      </x:c>
      <x:c r="G9" s="59" t="n">
        <x:v>7393</x:v>
      </x:c>
    </x:row>
    <x:row r="10">
      <x:c r="A10" s="47" t="str">
        <x:v>RUN-I2-023-20260827T121826456533Z</x:v>
      </x:c>
      <x:c r="B10" s="47" t="str">
        <x:v>I2-023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ccf869ab1e259c71492afa243cde38cbb423f0337ece9fbb68cf5bfabd56c38e</x:v>
      </x:c>
      <x:c r="G10" s="59" t="n">
        <x:v>5958</x:v>
      </x:c>
    </x:row>
    <x:row r="11">
      <x:c r="A11" s="47" t="str">
        <x:v>RUN-I2-023-20260827T121826456533Z</x:v>
      </x:c>
      <x:c r="B11" s="47" t="str">
        <x:v>I2-023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9831fde989ec4d19776afa934be863b43c46955783ea78912cd9f5ac16469a48</x:v>
      </x:c>
      <x:c r="G11" s="59" t="n">
        <x:v>5933</x:v>
      </x:c>
    </x:row>
    <x:row r="12">
      <x:c r="A12" s="47" t="str">
        <x:v>RUN-I2-023-20260827T121826456533Z</x:v>
      </x:c>
      <x:c r="B12" s="47" t="str">
        <x:v>I2-023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f5465733d36abafb1e4c372169724c322aebb55fea9401c0e1b9d6ad5ffaf115</x:v>
      </x:c>
      <x:c r="G12" s="59" t="n">
        <x:v>1120</x:v>
      </x:c>
    </x:row>
    <x:row r="13">
      <x:c r="A13" s="47" t="str">
        <x:v>RUN-I2-023-20260827T121826456533Z</x:v>
      </x:c>
      <x:c r="B13" s="47" t="str">
        <x:v>I2-023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1f93c5081afb987a8938e9a88ff5f9e798667f8c9f4d2f7ad1ba4422c491fc5f</x:v>
      </x:c>
      <x:c r="G13" s="59" t="n">
        <x:v>47190</x:v>
      </x:c>
    </x:row>
    <x:row r="14">
      <x:c r="A14" s="47" t="str">
        <x:v>RUN-I2-023-20260827T121826456533Z</x:v>
      </x:c>
      <x:c r="B14" s="47" t="str">
        <x:v>I2-023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755320f1b3640973a909aaf175b32afe5b75a77747382667dc1bac8add20997e</x:v>
      </x:c>
      <x:c r="G14" s="59" t="n">
        <x:v>727</x:v>
      </x:c>
    </x:row>
    <x:row r="15">
      <x:c r="A15" s="47" t="str">
        <x:v>RUN-I2-023-20260827T121826456533Z</x:v>
      </x:c>
      <x:c r="B15" s="47" t="str">
        <x:v>I2-023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c83496ced79b0a191fba3049aa6ba7f74f8382a561fce10f4d684451626292cb</x:v>
      </x:c>
      <x:c r="G15" s="59" t="n">
        <x:v>3648</x:v>
      </x:c>
    </x:row>
    <x:row r="16">
      <x:c r="A16" s="47" t="str">
        <x:v>RUN-I2-023-20260827T121826456533Z</x:v>
      </x:c>
      <x:c r="B16" s="47" t="str">
        <x:v>I2-023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72b9e62d5346fd26a951ec633cc5a24596a5e3afc912f5e8935b625a9ee4125c</x:v>
      </x:c>
      <x:c r="G16" s="59" t="n">
        <x:v>10239</x:v>
      </x:c>
    </x:row>
    <x:row r="17">
      <x:c r="A17" s="49" t="str">
        <x:v>RUN-I2-023-20260827T121826456533Z</x:v>
      </x:c>
      <x:c r="B17" s="49" t="str">
        <x:v>I2-023</x:v>
      </x:c>
      <x:c r="C17" s="60" t="n">
        <x:v>1</x:v>
      </x:c>
      <x:c r="D17" s="49" t="str">
        <x:v>vocabulary_matcher_raw_response</x:v>
      </x:c>
      <x:c r="E17" s="50" t="str">
        <x:v>artifacts/attempt_01/vocabulary_matcher_raw_01.txt</x:v>
      </x:c>
      <x:c r="F17" s="49" t="str">
        <x:v>f5b56e473d600c7cbe9c6b3a9388f2352ca2d02f939ef1215b0ce3c9b2ce22c6</x:v>
      </x:c>
      <x:c r="G17" s="60" t="n">
        <x:v>190</x:v>
      </x:c>
    </x:row>
  </x:sheetData>
  <x:pageMargins left="0.7" right="0.7" top="0.75" bottom="0.75" header="0.3" footer="0.3"/>
  <x:tableParts count="1">
    <x:tablePart xmlns:r="http://schemas.openxmlformats.org/officeDocument/2006/relationships" r:id="Rabd5d9b9f5b042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RUN-I2-023-20260827T121826456533Z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RUN-I2-023-20260827T121826456533Z</x:v>
      </x:c>
      <x:c r="B5" s="69" t="str">
        <x:v>I2-023</x:v>
      </x:c>
      <x:c r="C5" s="71" t="n">
        <x:v>1</x:v>
      </x:c>
      <x:c r="D5" s="69" t="str">
        <x:v>TERM_RESOLUTION_UNRESOLVED</x:v>
      </x:c>
      <x:c r="E5" s="73" t="str">
        <x:v>No supplied candidate is semantically verified as a framing-orientation or longitudinal-framing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19e7cc72d243a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RUN-I2-023-20260827T121826456533Z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