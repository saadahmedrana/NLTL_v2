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82d78aaa3441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f4ac6afa1c24aa3"/>
    <x:sheet xmlns:r="http://schemas.openxmlformats.org/officeDocument/2006/relationships" name="README" sheetId="2" r:id="R20abb93de78b4043"/>
    <x:sheet xmlns:r="http://schemas.openxmlformats.org/officeDocument/2006/relationships" name="REGULATION_QUEUE" sheetId="3" r:id="R79f1ada0be2542f1"/>
    <x:sheet xmlns:r="http://schemas.openxmlformats.org/officeDocument/2006/relationships" name="RUNS" sheetId="4" r:id="Rdcc04a99854b4bf7"/>
    <x:sheet xmlns:r="http://schemas.openxmlformats.org/officeDocument/2006/relationships" name="ITERATIONS" sheetId="5" r:id="Raf3c506f14c84dba"/>
    <x:sheet xmlns:r="http://schemas.openxmlformats.org/officeDocument/2006/relationships" name="API_CALLS" sheetId="6" r:id="R31fb359e1df64a94"/>
    <x:sheet xmlns:r="http://schemas.openxmlformats.org/officeDocument/2006/relationships" name="TERM_RETRIEVAL" sheetId="7" r:id="Rb83b2e7e779447df"/>
    <x:sheet xmlns:r="http://schemas.openxmlformats.org/officeDocument/2006/relationships" name="FEW_SHOT_SELECTION" sheetId="8" r:id="R005a8d0d72b84fbe"/>
    <x:sheet xmlns:r="http://schemas.openxmlformats.org/officeDocument/2006/relationships" name="VALIDATION" sheetId="9" r:id="R55e6cc6268674e4a"/>
    <x:sheet xmlns:r="http://schemas.openxmlformats.org/officeDocument/2006/relationships" name="VOCAB_MATCHES" sheetId="10" r:id="Rd79cdb37bf634f33"/>
    <x:sheet xmlns:r="http://schemas.openxmlformats.org/officeDocument/2006/relationships" name="ARTIFACTS" sheetId="11" r:id="R1a2a351a44ba4805"/>
    <x:sheet xmlns:r="http://schemas.openxmlformats.org/officeDocument/2006/relationships" name="UNRESOLVED" sheetId="12" r:id="Re9255301bb484db0"/>
    <x:sheet xmlns:r="http://schemas.openxmlformats.org/officeDocument/2006/relationships" name="RDF_TEST_QUEUE" sheetId="13" r:id="Ref5db7bfd4744c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5bbaed6da447d4" /><Relationship Type="http://schemas.openxmlformats.org/officeDocument/2006/relationships/theme" Target="/xl/theme/theme1.xml" Id="R26b1b515b0814f78" /><Relationship Type="http://schemas.microsoft.com/office/2022/11/relationships/FeaturePropertyBag" Target="/xl/featurePropertyBag/featurePropertyBag.xml" Id="R8dc71afe30cd45d5" /><Relationship Type="http://schemas.openxmlformats.org/officeDocument/2006/relationships/sharedStrings" Target="/xl/sharedStrings.xml" Id="Rd27ef2a0c46e4761" /><Relationship Type="http://schemas.openxmlformats.org/officeDocument/2006/relationships/worksheet" Target="/xl/worksheets/sheet1.xml" Id="Ref4ac6afa1c24aa3" /><Relationship Type="http://schemas.openxmlformats.org/officeDocument/2006/relationships/worksheet" Target="/xl/worksheets/sheet2.xml" Id="R20abb93de78b4043" /><Relationship Type="http://schemas.openxmlformats.org/officeDocument/2006/relationships/worksheet" Target="/xl/worksheets/sheet3.xml" Id="R79f1ada0be2542f1" /><Relationship Type="http://schemas.openxmlformats.org/officeDocument/2006/relationships/worksheet" Target="/xl/worksheets/sheet4.xml" Id="Rdcc04a99854b4bf7" /><Relationship Type="http://schemas.openxmlformats.org/officeDocument/2006/relationships/worksheet" Target="/xl/worksheets/sheet5.xml" Id="Raf3c506f14c84dba" /><Relationship Type="http://schemas.openxmlformats.org/officeDocument/2006/relationships/worksheet" Target="/xl/worksheets/sheet6.xml" Id="R31fb359e1df64a94" /><Relationship Type="http://schemas.openxmlformats.org/officeDocument/2006/relationships/worksheet" Target="/xl/worksheets/sheet7.xml" Id="Rb83b2e7e779447df" /><Relationship Type="http://schemas.openxmlformats.org/officeDocument/2006/relationships/worksheet" Target="/xl/worksheets/sheet8.xml" Id="R005a8d0d72b84fbe" /><Relationship Type="http://schemas.openxmlformats.org/officeDocument/2006/relationships/worksheet" Target="/xl/worksheets/sheet9.xml" Id="R55e6cc6268674e4a" /><Relationship Type="http://schemas.openxmlformats.org/officeDocument/2006/relationships/worksheet" Target="/xl/worksheets/sheet10.xml" Id="Rd79cdb37bf634f33" /><Relationship Type="http://schemas.openxmlformats.org/officeDocument/2006/relationships/worksheet" Target="/xl/worksheets/sheet11.xml" Id="R1a2a351a44ba4805" /><Relationship Type="http://schemas.openxmlformats.org/officeDocument/2006/relationships/worksheet" Target="/xl/worksheets/sheet12.xml" Id="Re9255301bb484db0" /><Relationship Type="http://schemas.openxmlformats.org/officeDocument/2006/relationships/worksheet" Target="/xl/worksheets/sheet13.xml" Id="Ref5db7bfd4744cf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c192254a1ba4a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dd6b44f70314b5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27658853b7246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b3da5656290478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1fd5ec1788e46d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9278c82fbdf469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281765b51434e2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40aae205d1b437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10451afa7144f0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72dac0414f2e4bd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60128932b63e403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RUN-I2-037-20260827T124437961503Z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17797.0088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RUN-I2-037-20260827T124437961503Z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c192254a1ba4a0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RUN-I2-037-20260827T124437961503Z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TERM_RESOLUTION_UNRESOLVED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d6b44f70314b5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RUN-I2-037-20260827T124437961503Z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RUN-I2-037-20260827T124437961503Z</x:v>
      </x:c>
      <x:c r="C5" s="69" t="str">
        <x:v>I2-037</x:v>
      </x:c>
      <x:c r="D5" s="70" t="n">
        <x:v>46261.53099494213</x:v>
      </x:c>
      <x:c r="E5" s="70" t="n">
        <x:v>46261.53204356482</x:v>
      </x:c>
      <x:c r="F5" s="69" t="str">
        <x:v>final-luna-main-run01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The prior instruction remains unmet: replace the presence-only memberCapacityMinimizationConfirmed assertion with explicit minimization semantics. The current SPARQL only finds a globally lowest represented capacity, does not bind the selected ice-load patch and its application location to each relevant structural-member load case, and permits unrelated cases/locations to satisfy the rule. Add the canonical relationship/path linking the I2.3 ice-load patch and its selected application location to the relevant structural-member load cases, then enforce the comparison over the correctly paired combined bending/shear cases and capacities. That required canonical cross-owner path is absent from the supplied scoped vocabulary, so locate it with the variable matcher.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7658853b72464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RUN-I2-037-20260827T124437961503Z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RUN-I2-037-20260827T124437961503Z</x:v>
      </x:c>
      <x:c r="B5" s="45" t="str">
        <x:v>I2-037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the required ship-to-ice-load-patch relationship and represent the I2.3 patch being applied to the relevant structural-member load case; the current design-case node only asserts a boolean. Encode the actual comparison/optimization semantics showing that the selected load-patch location is where the member capacity under combined bending and shear is minimized, rather than using presence of combinedShearBendingEffect, memberCapacity, and loadPatchApplicationLocation plus memberCapacityMinimizationConfirmed as a presence-only approximation. Retain the existing owner paths and canonical namespace.</x:v>
      </x:c>
      <x:c r="I5" s="81" t="n">
        <x:v>13125.29</x:v>
      </x:c>
      <x:c r="J5" s="81" t="n">
        <x:v>9615.408</x:v>
      </x:c>
    </x:row>
    <x:row r="6">
      <x:c r="A6" s="49" t="str">
        <x:v>RUN-I2-037-20260827T124437961503Z</x:v>
      </x:c>
      <x:c r="B6" s="49" t="str">
        <x:v>I2-037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The prior instruction remains unmet: replace the presence-only memberCapacityMinimizationConfirmed assertion with explicit minimization semantics. The current SPARQL only finds a globally lowest represented capacity, does not bind the selected ice-load patch and its application location to each relevant structural-member load case, and permits unrelated cases/locations to satisfy the rule. Add the canonical relationship/path linking the I2.3 ice-load patch and its selected application location to the relevant structural-member load cases, then enforce the comparison over the correctly paired combined bending/shear cases and capacities. That required canonical cross-owner path is absent from the supplied scoped vocabulary, so locate it with the variable matcher.</x:v>
      </x:c>
      <x:c r="I6" s="83" t="n">
        <x:v>55802.638</x:v>
      </x:c>
      <x:c r="J6" s="83" t="n">
        <x:v>8774.429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3da5656290478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RUN-I2-037-20260827T124437961503Z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RUN-I2-037-20260827T124437961503Z</x:v>
      </x:c>
      <x:c r="C5" s="45" t="str">
        <x:v>I2-037</x:v>
      </x:c>
      <x:c r="D5" s="90" t="n">
        <x:v>46261.531146875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13124.001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RUN-I2-037-20260827T124437961503Z</x:v>
      </x:c>
      <x:c r="C6" s="47" t="str">
        <x:v>I2-037</x:v>
      </x:c>
      <x:c r="D6" s="91" t="n">
        <x:v>46261.53114688658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13125.29</x:v>
      </x:c>
      <x:c r="L6" s="93" t="b">
        <x:v>0</x:v>
      </x:c>
      <x:c r="M6" s="47" t="str">
        <x:v>resp_06fcacc589971ae5006a9031361df081969c3659dadfd0e1ed</x:v>
      </x:c>
      <x:c r="N6" s="59" t="n">
        <x:v>11353</x:v>
      </x:c>
      <x:c r="O6" s="59" t="n">
        <x:v>1204</x:v>
      </x:c>
      <x:c r="P6" s="59" t="n">
        <x:v>12557</x:v>
      </x:c>
    </x:row>
    <x:row r="7">
      <x:c r="A7" s="47" t="str">
        <x:v>EVT-000038</x:v>
      </x:c>
      <x:c r="B7" s="47" t="str">
        <x:v>RUN-I2-037-20260827T124437961503Z</x:v>
      </x:c>
      <x:c r="C7" s="47" t="str">
        <x:v>I2-037</x:v>
      </x:c>
      <x:c r="D7" s="91" t="n">
        <x:v>46261.53125947917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9614.123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RUN-I2-037-20260827T124437961503Z</x:v>
      </x:c>
      <x:c r="C8" s="47" t="str">
        <x:v>I2-037</x:v>
      </x:c>
      <x:c r="D8" s="91" t="n">
        <x:v>46261.53125950231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9615.408</x:v>
      </x:c>
      <x:c r="L8" s="93" t="b">
        <x:v>0</x:v>
      </x:c>
      <x:c r="M8" s="47" t="str">
        <x:v>resp_0989c0d60f7f77fe006a9031434c648190b44065d0d634bf90</x:v>
      </x:c>
      <x:c r="N8" s="59" t="n">
        <x:v>10646</x:v>
      </x:c>
      <x:c r="O8" s="59" t="n">
        <x:v>647</x:v>
      </x:c>
      <x:c r="P8" s="59" t="n">
        <x:v>11293</x:v>
      </x:c>
    </x:row>
    <x:row r="9">
      <x:c r="A9" s="47" t="str">
        <x:v>EVT-000044</x:v>
      </x:c>
      <x:c r="B9" s="47" t="str">
        <x:v>RUN-I2-037-20260827T124437961503Z</x:v>
      </x:c>
      <x:c r="C9" s="47" t="str">
        <x:v>I2-037</x:v>
      </x:c>
      <x:c r="D9" s="91" t="n">
        <x:v>46261.53190540509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55800.867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EVT-000045</x:v>
      </x:c>
      <x:c r="B10" s="47" t="str">
        <x:v>RUN-I2-037-20260827T124437961503Z</x:v>
      </x:c>
      <x:c r="C10" s="47" t="str">
        <x:v>I2-037</x:v>
      </x:c>
      <x:c r="D10" s="91" t="n">
        <x:v>46261.53190542824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55802.638</x:v>
      </x:c>
      <x:c r="L10" s="93" t="b">
        <x:v>0</x:v>
      </x:c>
      <x:c r="M10" s="47" t="str">
        <x:v>resp_0eae8beb48c02374006a90314d079c8194af02c391df29b7c3</x:v>
      </x:c>
      <x:c r="N10" s="59" t="n">
        <x:v>11463</x:v>
      </x:c>
      <x:c r="O10" s="59" t="n">
        <x:v>4062</x:v>
      </x:c>
      <x:c r="P10" s="59" t="n">
        <x:v>15525</x:v>
      </x:c>
    </x:row>
    <x:row r="11">
      <x:c r="A11" s="47" t="str">
        <x:v>EVT-000052</x:v>
      </x:c>
      <x:c r="B11" s="47" t="str">
        <x:v>RUN-I2-037-20260827T124437961503Z</x:v>
      </x:c>
      <x:c r="C11" s="47" t="str">
        <x:v>I2-037</x:v>
      </x:c>
      <x:c r="D11" s="91" t="n">
        <x:v>46261.53200847222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8773.388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EVT-000053</x:v>
      </x:c>
      <x:c r="B12" s="47" t="str">
        <x:v>RUN-I2-037-20260827T124437961503Z</x:v>
      </x:c>
      <x:c r="C12" s="47" t="str">
        <x:v>I2-037</x:v>
      </x:c>
      <x:c r="D12" s="91" t="n">
        <x:v>46261.532008483795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8774.429</x:v>
      </x:c>
      <x:c r="L12" s="93" t="b">
        <x:v>0</x:v>
      </x:c>
      <x:c r="M12" s="47" t="str">
        <x:v>resp_004756792f9bf0cd006a90318513fc81938655a00624b1d830</x:v>
      </x:c>
      <x:c r="N12" s="59" t="n">
        <x:v>11400</x:v>
      </x:c>
      <x:c r="O12" s="59" t="n">
        <x:v>657</x:v>
      </x:c>
      <x:c r="P12" s="59" t="n">
        <x:v>12057</x:v>
      </x:c>
    </x:row>
    <x:row r="13">
      <x:c r="A13" s="47" t="str">
        <x:v>EVT-000059</x:v>
      </x:c>
      <x:c r="B13" s="47" t="str">
        <x:v>RUN-I2-037-20260827T124437961503Z</x:v>
      </x:c>
      <x:c r="C13" s="47" t="str">
        <x:v>I2-037</x:v>
      </x:c>
      <x:c r="D13" s="91" t="n">
        <x:v>46261.532043506944</x:v>
      </x:c>
      <x:c r="E13" s="47" t="str">
        <x:v>vocabulary_matcher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1669.468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EVT-000060</x:v>
      </x:c>
      <x:c r="B14" s="49" t="str">
        <x:v>RUN-I2-037-20260827T124437961503Z</x:v>
      </x:c>
      <x:c r="C14" s="49" t="str">
        <x:v>I2-037</x:v>
      </x:c>
      <x:c r="D14" s="94" t="n">
        <x:v>46261.53204351852</x:v>
      </x:c>
      <x:c r="E14" s="49" t="str">
        <x:v>vocabulary_matcher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1670.476</x:v>
      </x:c>
      <x:c r="L14" s="82" t="b">
        <x:v>0</x:v>
      </x:c>
      <x:c r="M14" s="49" t="str">
        <x:v>resp_06a1b1067db4bd5b006a90318ef8b88190ad80b43801a7160f</x:v>
      </x:c>
      <x:c r="N14" s="60" t="n">
        <x:v>2121</x:v>
      </x:c>
      <x:c r="O14" s="60" t="n">
        <x:v>95</x:v>
      </x:c>
      <x:c r="P14" s="60" t="n">
        <x:v>2216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fd5ec1788e46d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RUN-I2-037-20260827T124437961503Z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RUN-I2-037-20260827T124437961503Z</x:v>
      </x:c>
      <x:c r="B5" s="45" t="str">
        <x:v>I2-037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loadPatchApplicationLocation; domain dependency of memberCapacity</x:v>
      </x:c>
      <x:c r="J5" s="45" t="n">
        <x:v>0</x:v>
      </x:c>
    </x:row>
    <x:row r="6">
      <x:c r="A6" s="47" t="str">
        <x:v>RUN-I2-037-20260827T124437961503Z</x:v>
      </x:c>
      <x:c r="B6" s="47" t="str">
        <x:v>I2-037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loadCase</x:v>
      </x:c>
      <x:c r="J6" s="47" t="n">
        <x:v>0</x:v>
      </x:c>
    </x:row>
    <x:row r="7">
      <x:c r="A7" s="47" t="str">
        <x:v>RUN-I2-037-20260827T124437961503Z</x:v>
      </x:c>
      <x:c r="B7" s="47" t="str">
        <x:v>I2-037</x:v>
      </x:c>
      <x:c r="C7" s="47" t="str">
        <x:v>combinedShearBendingEffect</x:v>
      </x:c>
      <x:c r="D7" s="48" t="str">
        <x:v>https://w3id.org/nltl/vocab#combinedShearBendingEffect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RUN-I2-037-20260827T124437961503Z</x:v>
      </x:c>
      <x:c r="B8" s="47" t="str">
        <x:v>I2-037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RUN-I2-037-20260827T124437961503Z</x:v>
      </x:c>
      <x:c r="B9" s="47" t="str">
        <x:v>I2-037</x:v>
      </x:c>
      <x:c r="C9" s="47" t="str">
        <x:v>hasIceLoadPatch</x:v>
      </x:c>
      <x:c r="D9" s="48" t="str">
        <x:v>https://w3id.org/nltl/vocab#hasIceLoadPatch</x:v>
      </x:c>
      <x:c r="E9" s="47" t="str">
        <x:v>ObjectProperty</x:v>
      </x:c>
      <x:c r="F9" s="47" t="str"/>
      <x:c r="G9" s="47" t="str">
        <x:v>https://w3id.org/nltl/vocab#iceLoadPatch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RUN-I2-037-20260827T124437961503Z</x:v>
      </x:c>
      <x:c r="B10" s="47" t="str">
        <x:v>I2-037</x:v>
      </x:c>
      <x:c r="C10" s="47" t="str">
        <x:v>hasIceLoadPatchDesignCase</x:v>
      </x:c>
      <x:c r="D10" s="48" t="str">
        <x:v>https://w3id.org/nltl/vocab#hasIceLoadPatchDesignCase</x:v>
      </x:c>
      <x:c r="E10" s="47" t="str">
        <x:v>ObjectProperty</x:v>
      </x:c>
      <x:c r="F10" s="47" t="str"/>
      <x:c r="G10" s="47" t="str">
        <x:v>https://w3id.org/nltl/vocab#iceLoadPatchDesignCase</x:v>
      </x:c>
      <x:c r="H10" s="47" t="str"/>
      <x:c r="I10" s="48" t="str">
        <x:v>canonical path from target owner ship to required owner iceLoadPatchDesignCase; linked by the locked 313-requirement index</x:v>
      </x:c>
      <x:c r="J10" s="47" t="n">
        <x:v>0</x:v>
      </x:c>
    </x:row>
    <x:row r="11">
      <x:c r="A11" s="47" t="str">
        <x:v>RUN-I2-037-20260827T124437961503Z</x:v>
      </x:c>
      <x:c r="B11" s="47" t="str">
        <x:v>I2-037</x:v>
      </x:c>
      <x:c r="C11" s="47" t="str">
        <x:v>hasLoadCase</x:v>
      </x:c>
      <x:c r="D11" s="48" t="str">
        <x:v>https://w3id.org/nltl/vocab#hasLoadCase</x:v>
      </x:c>
      <x:c r="E11" s="47" t="str">
        <x:v>ObjectProperty</x:v>
      </x:c>
      <x:c r="F11" s="47" t="str"/>
      <x:c r="G11" s="47" t="str">
        <x:v>https://w3id.org/nltl/vocab#loadCase</x:v>
      </x:c>
      <x:c r="H11" s="47" t="str"/>
      <x:c r="I11" s="48" t="str">
        <x:v>canonical path from target owner ship to required owner loadCase</x:v>
      </x:c>
      <x:c r="J11" s="47" t="n">
        <x:v>0</x:v>
      </x:c>
    </x:row>
    <x:row r="12">
      <x:c r="A12" s="47" t="str">
        <x:v>RUN-I2-037-20260827T124437961503Z</x:v>
      </x:c>
      <x:c r="B12" s="47" t="str">
        <x:v>I2-037</x:v>
      </x:c>
      <x:c r="C12" s="47" t="str">
        <x:v>hasPropulsionLoadCase</x:v>
      </x:c>
      <x:c r="D12" s="48" t="str">
        <x:v>https://w3id.org/nltl/vocab#hasPropulsionLoadCase</x:v>
      </x:c>
      <x:c r="E12" s="47" t="str">
        <x:v>ObjectProperty</x:v>
      </x:c>
      <x:c r="F12" s="47" t="str"/>
      <x:c r="G12" s="47" t="str">
        <x:v>https://w3id.org/nltl/vocab#loadCase</x:v>
      </x:c>
      <x:c r="H12" s="47" t="str"/>
      <x:c r="I12" s="48" t="str">
        <x:v>canonical path from target owner ship to required owner loadCase</x:v>
      </x:c>
      <x:c r="J12" s="47" t="n">
        <x:v>0</x:v>
      </x:c>
    </x:row>
    <x:row r="13">
      <x:c r="A13" s="47" t="str">
        <x:v>RUN-I2-037-20260827T124437961503Z</x:v>
      </x:c>
      <x:c r="B13" s="47" t="str">
        <x:v>I2-037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structuralMember; linked by the locked 313-requirement index</x:v>
      </x:c>
      <x:c r="J13" s="47" t="n">
        <x:v>0</x:v>
      </x:c>
    </x:row>
    <x:row r="14">
      <x:c r="A14" s="47" t="str">
        <x:v>RUN-I2-037-20260827T124437961503Z</x:v>
      </x:c>
      <x:c r="B14" s="47" t="str">
        <x:v>I2-037</x:v>
      </x:c>
      <x:c r="C14" s="47" t="str">
        <x:v>hasStructuralMemberLoadCase</x:v>
      </x:c>
      <x:c r="D14" s="48" t="str">
        <x:v>https://w3id.org/nltl/vocab#hasStructuralMemberLoadCase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RUN-I2-037-20260827T124437961503Z</x:v>
      </x:c>
      <x:c r="B15" s="47" t="str">
        <x:v>I2-037</x:v>
      </x:c>
      <x:c r="C15" s="47" t="str">
        <x:v>hullStructure</x:v>
      </x:c>
      <x:c r="D15" s="48" t="str">
        <x:v>https://w3id.org/nltl/vocab#hullStructure</x:v>
      </x:c>
      <x:c r="E15" s="47" t="str">
        <x:v>Class</x:v>
      </x:c>
      <x:c r="F15" s="47" t="str"/>
      <x:c r="G15" s="47" t="str"/>
      <x:c r="H15" s="47" t="str"/>
      <x:c r="I15" s="48" t="str">
        <x:v>range dependency of iceLoadPatch; range dependency of loadCarryingStringer; range dependency of structuralMember; range dependency of webFrame</x:v>
      </x:c>
      <x:c r="J15" s="47" t="n">
        <x:v>0</x:v>
      </x:c>
    </x:row>
    <x:row r="16">
      <x:c r="A16" s="47" t="str">
        <x:v>RUN-I2-037-20260827T124437961503Z</x:v>
      </x:c>
      <x:c r="B16" s="47" t="str">
        <x:v>I2-037</x:v>
      </x:c>
      <x:c r="C16" s="47" t="str">
        <x:v>iceLoadPatch</x:v>
      </x:c>
      <x:c r="D16" s="48" t="str">
        <x:v>https://w3id.org/nltl/vocab#iceLoadPatch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linked by the locked 313-requirement index; range dependency of hasIceLoadPatch</x:v>
      </x:c>
      <x:c r="J16" s="47" t="n">
        <x:v>0</x:v>
      </x:c>
    </x:row>
    <x:row r="17">
      <x:c r="A17" s="47" t="str">
        <x:v>RUN-I2-037-20260827T124437961503Z</x:v>
      </x:c>
      <x:c r="B17" s="47" t="str">
        <x:v>I2-037</x:v>
      </x:c>
      <x:c r="C17" s="47" t="str">
        <x:v>iceLoadPatchDesignCase</x:v>
      </x:c>
      <x:c r="D17" s="48" t="str">
        <x:v>https://w3id.org/nltl/vocab#iceLoadPatchDesignCase</x:v>
      </x:c>
      <x:c r="E17" s="47" t="str">
        <x:v>Class</x:v>
      </x:c>
      <x:c r="F17" s="47" t="str"/>
      <x:c r="G17" s="47" t="str">
        <x:v>https://w3id.org/nltl/vocab#loadCase</x:v>
      </x:c>
      <x:c r="H17" s="47" t="str"/>
      <x:c r="I17" s="48" t="str">
        <x:v>authoritative required owner class; domain dependency of memberCapacityMinimizationConfirmed; linked by the locked 313-requirement index; range dependency of hasIceLoadPatchDesignCase</x:v>
      </x:c>
      <x:c r="J17" s="47" t="n">
        <x:v>0</x:v>
      </x:c>
    </x:row>
    <x:row r="18">
      <x:c r="A18" s="47" t="str">
        <x:v>RUN-I2-037-20260827T124437961503Z</x:v>
      </x:c>
      <x:c r="B18" s="47" t="str">
        <x:v>I2-037</x:v>
      </x:c>
      <x:c r="C18" s="47" t="str">
        <x:v>loadCarryingStringer</x:v>
      </x:c>
      <x:c r="D18" s="48" t="str">
        <x:v>https://w3id.org/nltl/vocab#loadCarryingStringer</x:v>
      </x:c>
      <x:c r="E18" s="47" t="str">
        <x:v>Class</x:v>
      </x:c>
      <x:c r="F18" s="47" t="str"/>
      <x:c r="G18" s="47" t="str">
        <x:v>https://w3id.org/nltl/vocab#hullStructure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RUN-I2-037-20260827T124437961503Z</x:v>
      </x:c>
      <x:c r="B19" s="47" t="str">
        <x:v>I2-037</x:v>
      </x:c>
      <x:c r="C19" s="47" t="str">
        <x:v>loadCase</x:v>
      </x:c>
      <x:c r="D19" s="48" t="str">
        <x:v>https://w3id.org/nltl/vocab#loadCase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linked by the locked 313-requirement index; range dependency of hasStructuralMemberLoadCase; range dependency of iceLoadPatchDesignCase</x:v>
      </x:c>
      <x:c r="J19" s="47" t="n">
        <x:v>0</x:v>
      </x:c>
    </x:row>
    <x:row r="20">
      <x:c r="A20" s="47" t="str">
        <x:v>RUN-I2-037-20260827T124437961503Z</x:v>
      </x:c>
      <x:c r="B20" s="47" t="str">
        <x:v>I2-037</x:v>
      </x:c>
      <x:c r="C20" s="47" t="str">
        <x:v>loadPatchApplicationLocation</x:v>
      </x:c>
      <x:c r="D20" s="48" t="str">
        <x:v>https://w3id.org/nltl/vocab#loadPatchApplicationLocation</x:v>
      </x:c>
      <x:c r="E20" s="47" t="str">
        <x:v>DatatypeProperty</x:v>
      </x:c>
      <x:c r="F20" s="47" t="str">
        <x:v>xsd:string</x:v>
      </x:c>
      <x:c r="G20" s="47" t="str">
        <x:v>http://www.w3.org/2001/XMLSchema#string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RUN-I2-037-20260827T124437961503Z</x:v>
      </x:c>
      <x:c r="B21" s="47" t="str">
        <x:v>I2-037</x:v>
      </x:c>
      <x:c r="C21" s="47" t="str">
        <x:v>memberCapacity</x:v>
      </x:c>
      <x:c r="D21" s="48" t="str">
        <x:v>https://w3id.org/nltl/vocab#memberCapacity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http://qudt.org/vocab/unit/KiloN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RUN-I2-037-20260827T124437961503Z</x:v>
      </x:c>
      <x:c r="B22" s="47" t="str">
        <x:v>I2-037</x:v>
      </x:c>
      <x:c r="C22" s="47" t="str">
        <x:v>memberCapacityMinimizationConfirmed</x:v>
      </x:c>
      <x:c r="D22" s="48" t="str">
        <x:v>https://w3id.org/nltl/vocab#memberCapacityMinimizationConfirmed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RUN-I2-037-20260827T124437961503Z</x:v>
      </x:c>
      <x:c r="B23" s="47" t="str">
        <x:v>I2-037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hasIceLoadPatch; domain dependency of hasIceLoadPatchDesignCase; domain dependency of hasStructuralMember</x:v>
      </x:c>
      <x:c r="J23" s="47" t="n">
        <x:v>0</x:v>
      </x:c>
    </x:row>
    <x:row r="24">
      <x:c r="A24" s="47" t="str">
        <x:v>RUN-I2-037-20260827T124437961503Z</x:v>
      </x:c>
      <x:c r="B24" s="47" t="str">
        <x:v>I2-037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RUN-I2-037-20260827T124437961503Z</x:v>
      </x:c>
      <x:c r="B25" s="47" t="str">
        <x:v>I2-037</x:v>
      </x:c>
      <x:c r="C25" s="47" t="str">
        <x:v>structuralMember</x:v>
      </x:c>
      <x:c r="D25" s="48" t="str">
        <x:v>https://w3id.org/nltl/vocab#structuralMember</x:v>
      </x:c>
      <x:c r="E25" s="47" t="str">
        <x:v>Class</x:v>
      </x:c>
      <x:c r="F25" s="47" t="str"/>
      <x:c r="G25" s="47" t="str">
        <x:v>https://w3id.org/nltl/vocab#hullStructure</x:v>
      </x:c>
      <x:c r="H25" s="47" t="str"/>
      <x:c r="I25" s="48" t="str">
        <x:v>authoritative required owner class; domain dependency of hasStructuralMemberLoadCase; linked by the locked 313-requirement index; range dependency of hasStructuralMember</x:v>
      </x:c>
      <x:c r="J25" s="47" t="n">
        <x:v>0</x:v>
      </x:c>
    </x:row>
    <x:row r="26">
      <x:c r="A26" s="49" t="str">
        <x:v>RUN-I2-037-20260827T124437961503Z</x:v>
      </x:c>
      <x:c r="B26" s="49" t="str">
        <x:v>I2-037</x:v>
      </x:c>
      <x:c r="C26" s="49" t="str">
        <x:v>webFrame</x:v>
      </x:c>
      <x:c r="D26" s="50" t="str">
        <x:v>https://w3id.org/nltl/vocab#webFrame</x:v>
      </x:c>
      <x:c r="E26" s="49" t="str">
        <x:v>Class</x:v>
      </x:c>
      <x:c r="F26" s="49" t="str"/>
      <x:c r="G26" s="49" t="str">
        <x:v>https://w3id.org/nltl/vocab#hullStructure</x:v>
      </x:c>
      <x:c r="H26" s="49" t="str"/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9278c82fbdf469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RUN-I2-037-20260827T124437961503Z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RUN-I2-037-20260827T124437961503Z</x:v>
      </x:c>
      <x:c r="B5" s="45" t="str">
        <x:v>I2-037</x:v>
      </x:c>
      <x:c r="C5" s="45" t="str">
        <x:v>FS-INT-02</x:v>
      </x:c>
      <x:c r="D5" s="45" t="str">
        <x:v>conditional_integrated</x:v>
      </x:c>
      <x:c r="E5" s="97" t="n">
        <x:v>0.08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RUN-I2-037-20260827T124437961503Z</x:v>
      </x:c>
      <x:c r="B6" s="49" t="str">
        <x:v>I2-037</x:v>
      </x:c>
      <x:c r="C6" s="49" t="str">
        <x:v>FS-BOOL-01</x:v>
      </x:c>
      <x:c r="D6" s="49" t="str">
        <x:v>boolean_state</x:v>
      </x:c>
      <x:c r="E6" s="98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81765b51434e2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RUN-I2-037-20260827T124437961503Z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RUN-I2-037-20260827T124437961503Z</x:v>
      </x:c>
      <x:c r="B5" s="45" t="str">
        <x:v>I2-037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https://w3id.org/nltl/vocab#combinedShearBendingEffect | https://w3id.org/nltl/vocab#hasIceLoadPatchDesignCase | https://w3id.org/nltl/vocab#hasStructuralMember | https://w3id.org/nltl/vocab#hasStructuralMemberLoadCase | https://w3id.org/nltl/vocab#iceLoadPatchDesignCase | https://w3id.org/nltl/vocab#loadCase | https://w3id.org/nltl/vocab#loadPatchApplicationLocation | https://w3id.org/nltl/vocab#memberCapacity | https://w3id.org/nltl/vocab#memberCapacityMinimizationConfirmed | https://w3id.org/nltl/vocab#ship | https://w3id.org/nltl/vocab#structuralMember</x:v>
      </x:c>
      <x:c r="O5" s="46" t="str"/>
      <x:c r="P5" s="46" t="str"/>
      <x:c r="Q5" s="46" t="str"/>
    </x:row>
    <x:row r="6">
      <x:c r="A6" s="49" t="str">
        <x:v>RUN-I2-037-20260827T124437961503Z</x:v>
      </x:c>
      <x:c r="B6" s="49" t="str">
        <x:v>I2-037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https://w3id.org/nltl/vocab#combinedShearBendingEffect | https://w3id.org/nltl/vocab#hasIceLoadPatch | https://w3id.org/nltl/vocab#hasIceLoadPatchDesignCase | https://w3id.org/nltl/vocab#hasStructuralMember | https://w3id.org/nltl/vocab#hasStructuralMemberLoadCase | https://w3id.org/nltl/vocab#iceLoadPatch | https://w3id.org/nltl/vocab#iceLoadPatchDesignCase | https://w3id.org/nltl/vocab#loadCase | https://w3id.org/nltl/vocab#loadPatchApplicationLocation | https://w3id.org/nltl/vocab#memberCapacity | https://w3id.org/nltl/vocab#memberCapacityMinimizationConfirmed | https://w3id.org/nltl/vocab#ship | https://w3id.org/nltl/vocab#structuralMember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340aae205d1b437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RUN-I2-037-20260827T124437961503Z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RUN-I2-037-20260827T124437961503Z</x:v>
      </x:c>
      <x:c r="B5" s="45" t="str">
        <x:v>I2-037</x:v>
      </x:c>
      <x:c r="C5" s="58" t="n">
        <x:v>2</x:v>
      </x:c>
      <x:c r="D5" s="45" t="str">
        <x:v>matcher_search</x:v>
      </x:c>
      <x:c r="E5" s="46" t="str">
        <x:v>The prior instruction remains unmet: replace the presence-only memberCapacityMinimizationConfirmed assertion with explicit minimization semantics. The current SPARQL only finds a globally lowest represented capacity, does not bind the selected ice-load patch and its application location to each relevant structural-member load case, and permits unrelated cases/locations to satisfy the rule. Add the canonical relationship/path linking the I2.3 ice-load patch and its selected application location to the relevant structural-member load cases, then enforce the comparison over the correctly paired combined bending/shear cases and capacities. That required canonical cross-owner path is absent from the supplied scoped vocabulary, so locate it with the variable matcher.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RUN-I2-037-20260827T124437961503Z</x:v>
      </x:c>
      <x:c r="B6" s="49" t="str">
        <x:v>I2-037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c10451afa7144f0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RUN-I2-037-20260827T124437961503Z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RUN-I2-037-20260827T124437961503Z</x:v>
      </x:c>
      <x:c r="B5" s="45" t="str">
        <x:v>I2-037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4dda7fc3aaf5c4401a62e1d56e6de81db0df128a75c293d28d3541af5ffcb055</x:v>
      </x:c>
      <x:c r="G5" s="58" t="n">
        <x:v>28552</x:v>
      </x:c>
    </x:row>
    <x:row r="6">
      <x:c r="A6" s="47" t="str">
        <x:v>RUN-I2-037-20260827T124437961503Z</x:v>
      </x:c>
      <x:c r="B6" s="47" t="str">
        <x:v>I2-037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14b5377c67fbd7836d99b2c5bc880f0b75b908586a4207b28f2cfb9fb5b595ab</x:v>
      </x:c>
      <x:c r="G6" s="59" t="n">
        <x:v>6145</x:v>
      </x:c>
    </x:row>
    <x:row r="7">
      <x:c r="A7" s="47" t="str">
        <x:v>RUN-I2-037-20260827T124437961503Z</x:v>
      </x:c>
      <x:c r="B7" s="47" t="str">
        <x:v>I2-037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ce6f1fca0ae2d0bd1d2c863bb413d23fc5468f1a4dd20d4e6ac54ffdf82917a5</x:v>
      </x:c>
      <x:c r="G7" s="59" t="n">
        <x:v>46311</x:v>
      </x:c>
    </x:row>
    <x:row r="8">
      <x:c r="A8" s="47" t="str">
        <x:v>RUN-I2-037-20260827T124437961503Z</x:v>
      </x:c>
      <x:c r="B8" s="47" t="str">
        <x:v>I2-037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54b7e4d417a465dc0cc8c71a47f5245dbfe2e02e952e134fb88f142efbac3e94</x:v>
      </x:c>
      <x:c r="G8" s="59" t="n">
        <x:v>3248</x:v>
      </x:c>
    </x:row>
    <x:row r="9">
      <x:c r="A9" s="47" t="str">
        <x:v>RUN-I2-037-20260827T124437961503Z</x:v>
      </x:c>
      <x:c r="B9" s="47" t="str">
        <x:v>I2-037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f964613266d355d426efaf39d1dd6bd410508c747d5ef16d16eee540acb459ae</x:v>
      </x:c>
      <x:c r="G9" s="59" t="n">
        <x:v>3223</x:v>
      </x:c>
    </x:row>
    <x:row r="10">
      <x:c r="A10" s="47" t="str">
        <x:v>RUN-I2-037-20260827T124437961503Z</x:v>
      </x:c>
      <x:c r="B10" s="47" t="str">
        <x:v>I2-037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ec41b56d463736d4ba12887aca8dbdeb490430225aa113fb4d0434694f01e730</x:v>
      </x:c>
      <x:c r="G10" s="59" t="n">
        <x:v>1009</x:v>
      </x:c>
    </x:row>
    <x:row r="11">
      <x:c r="A11" s="47" t="str">
        <x:v>RUN-I2-037-20260827T124437961503Z</x:v>
      </x:c>
      <x:c r="B11" s="47" t="str">
        <x:v>I2-037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8f3e4db884464d58691a8dd531d07dcdfa18e7c0de83971cf00d6095c604f3be</x:v>
      </x:c>
      <x:c r="G11" s="59" t="n">
        <x:v>43260</x:v>
      </x:c>
    </x:row>
    <x:row r="12">
      <x:c r="A12" s="47" t="str">
        <x:v>RUN-I2-037-20260827T124437961503Z</x:v>
      </x:c>
      <x:c r="B12" s="47" t="str">
        <x:v>I2-037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7e992604b650c8b0d2a7b39d43f23e392360b0b459332e8ffe240da37bb3aa98</x:v>
      </x:c>
      <x:c r="G12" s="59" t="n">
        <x:v>670</x:v>
      </x:c>
    </x:row>
    <x:row r="13">
      <x:c r="A13" s="47" t="str">
        <x:v>RUN-I2-037-20260827T124437961503Z</x:v>
      </x:c>
      <x:c r="B13" s="47" t="str">
        <x:v>I2-037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8f08e70dec52461024e25ac75b333da573f3e3cbac6c8b3e56537cc6b312397e</x:v>
      </x:c>
      <x:c r="G13" s="59" t="n">
        <x:v>46916</x:v>
      </x:c>
    </x:row>
    <x:row r="14">
      <x:c r="A14" s="47" t="str">
        <x:v>RUN-I2-037-20260827T124437961503Z</x:v>
      </x:c>
      <x:c r="B14" s="47" t="str">
        <x:v>I2-037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447a8699c8e70b930d69d276f87e7446483d956e5b5258df7ad77ce696d7546f</x:v>
      </x:c>
      <x:c r="G14" s="59" t="n">
        <x:v>4663</x:v>
      </x:c>
    </x:row>
    <x:row r="15">
      <x:c r="A15" s="47" t="str">
        <x:v>RUN-I2-037-20260827T124437961503Z</x:v>
      </x:c>
      <x:c r="B15" s="47" t="str">
        <x:v>I2-037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3211601b633df15023b5c7fba2117038e61e7c09acc526b2ccb6eca739b2b0f4</x:v>
      </x:c>
      <x:c r="G15" s="59" t="n">
        <x:v>4638</x:v>
      </x:c>
    </x:row>
    <x:row r="16">
      <x:c r="A16" s="47" t="str">
        <x:v>RUN-I2-037-20260827T124437961503Z</x:v>
      </x:c>
      <x:c r="B16" s="47" t="str">
        <x:v>I2-037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c7c38895536d86d78796d8b3ce45f627d570572aae7dc3dfa248890b5042e2d7</x:v>
      </x:c>
      <x:c r="G16" s="59" t="n">
        <x:v>1108</x:v>
      </x:c>
    </x:row>
    <x:row r="17">
      <x:c r="A17" s="47" t="str">
        <x:v>RUN-I2-037-20260827T124437961503Z</x:v>
      </x:c>
      <x:c r="B17" s="47" t="str">
        <x:v>I2-037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f9d182134bca54d9784f28a82a6f9f7e8aafb32c49fba0d82dfd8a813e6a4d42</x:v>
      </x:c>
      <x:c r="G17" s="59" t="n">
        <x:v>46077</x:v>
      </x:c>
    </x:row>
    <x:row r="18">
      <x:c r="A18" s="47" t="str">
        <x:v>RUN-I2-037-20260827T124437961503Z</x:v>
      </x:c>
      <x:c r="B18" s="47" t="str">
        <x:v>I2-037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cf25f7d2a524c92686ea03359f56688eeae7c44508325ba36f8e262a75858eda</x:v>
      </x:c>
      <x:c r="G18" s="59" t="n">
        <x:v>834</x:v>
      </x:c>
    </x:row>
    <x:row r="19">
      <x:c r="A19" s="47" t="str">
        <x:v>RUN-I2-037-20260827T124437961503Z</x:v>
      </x:c>
      <x:c r="B19" s="47" t="str">
        <x:v>I2-037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b26115f6cc23f7703647fa6dcac0dd9cbda57e88433d770b7eee50cf9b0ebd8b</x:v>
      </x:c>
      <x:c r="G19" s="59" t="n">
        <x:v>2458</x:v>
      </x:c>
    </x:row>
    <x:row r="20">
      <x:c r="A20" s="47" t="str">
        <x:v>RUN-I2-037-20260827T124437961503Z</x:v>
      </x:c>
      <x:c r="B20" s="47" t="str">
        <x:v>I2-037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9b0764f902793a88a5ac287be6aa159ae25292959dda8f54ef5c6b31feee9110</x:v>
      </x:c>
      <x:c r="G20" s="59" t="n">
        <x:v>8749</x:v>
      </x:c>
    </x:row>
    <x:row r="21">
      <x:c r="A21" s="49" t="str">
        <x:v>RUN-I2-037-20260827T124437961503Z</x:v>
      </x:c>
      <x:c r="B21" s="49" t="str">
        <x:v>I2-037</x:v>
      </x:c>
      <x:c r="C21" s="60" t="n">
        <x:v>2</x:v>
      </x:c>
      <x:c r="D21" s="49" t="str">
        <x:v>vocabulary_matcher_raw_response</x:v>
      </x:c>
      <x:c r="E21" s="50" t="str">
        <x:v>artifacts/attempt_02/vocabulary_matcher_raw_01.txt</x:v>
      </x:c>
      <x:c r="F21" s="49" t="str">
        <x:v>a47f3adf9d135202e9946cf125e30bbbd6d394508e1f0b8e8b43635fa3d4d053</x:v>
      </x:c>
      <x:c r="G21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72dac0414f2e4bd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RUN-I2-037-20260827T124437961503Z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RUN-I2-037-20260827T124437961503Z</x:v>
      </x:c>
      <x:c r="B5" s="69" t="str">
        <x:v>I2-037</x:v>
      </x:c>
      <x:c r="C5" s="71" t="n">
        <x:v>2</x:v>
      </x:c>
      <x:c r="D5" s="69" t="str">
        <x:v>TERM_RESOLUTION_UNRESOLVED</x:v>
      </x:c>
      <x:c r="E5" s="73" t="str">
        <x:v>The prior instruction remains unmet: replace the presence-only memberCapacityMinimizationConfirmed assertion with explicit minimization semantics. The current SPARQL only finds a globally lowest represented capacity, does not bind the selected ice-load patch and its application location to each relevant structural-member load case, and permits unrelated cases/locations to satisfy the rule. Add the canonical relationship/path linking the I2.3 ice-load patch and its selected application location to the relevant structural-member load cases, then enforce the comparison over the correctly paired combined bending/shear cases and capacities. That required canonical cross-owner path is absent from the supplied scoped vocabulary, so locate it with the variable matcher.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128932b63e403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RUN-I2-037-20260827T124437961503Z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