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2470d037297f44de" /></Relationships>
</file>

<file path=xl/workbook.xml><?xml version="1.0" encoding="utf-8"?>
<x:workbook xmlns:x="http://schemas.openxmlformats.org/spreadsheetml/2006/main">
  <x:sheets>
    <x:sheet xmlns:r="http://schemas.openxmlformats.org/officeDocument/2006/relationships" name="SUMMARY" sheetId="1" r:id="Rd14dcc8c5df34940"/>
    <x:sheet xmlns:r="http://schemas.openxmlformats.org/officeDocument/2006/relationships" name="README" sheetId="2" r:id="R934f211473464955"/>
    <x:sheet xmlns:r="http://schemas.openxmlformats.org/officeDocument/2006/relationships" name="REGULATION_QUEUE" sheetId="3" r:id="R1e48878c286d4be4"/>
    <x:sheet xmlns:r="http://schemas.openxmlformats.org/officeDocument/2006/relationships" name="RUNS" sheetId="4" r:id="Rf35d818853bc48d6"/>
    <x:sheet xmlns:r="http://schemas.openxmlformats.org/officeDocument/2006/relationships" name="ITERATIONS" sheetId="5" r:id="R8ad5be5b5a2c4f53"/>
    <x:sheet xmlns:r="http://schemas.openxmlformats.org/officeDocument/2006/relationships" name="API_CALLS" sheetId="6" r:id="R991cab08655a46ca"/>
    <x:sheet xmlns:r="http://schemas.openxmlformats.org/officeDocument/2006/relationships" name="TERM_RETRIEVAL" sheetId="7" r:id="R039c15c55cc04248"/>
    <x:sheet xmlns:r="http://schemas.openxmlformats.org/officeDocument/2006/relationships" name="FEW_SHOT_SELECTION" sheetId="8" r:id="Rf6b15a3bfad649e7"/>
    <x:sheet xmlns:r="http://schemas.openxmlformats.org/officeDocument/2006/relationships" name="VALIDATION" sheetId="9" r:id="Rdceeddfa492f45e3"/>
    <x:sheet xmlns:r="http://schemas.openxmlformats.org/officeDocument/2006/relationships" name="VOCAB_MATCHES" sheetId="10" r:id="R0e914aa0afa9418d"/>
    <x:sheet xmlns:r="http://schemas.openxmlformats.org/officeDocument/2006/relationships" name="ARTIFACTS" sheetId="11" r:id="R7e4ae35faecf457f"/>
    <x:sheet xmlns:r="http://schemas.openxmlformats.org/officeDocument/2006/relationships" name="UNRESOLVED" sheetId="12" r:id="R937cc6e073aa4c79"/>
    <x:sheet xmlns:r="http://schemas.openxmlformats.org/officeDocument/2006/relationships" name="RDF_TEST_QUEUE" sheetId="13" r:id="Rd6a6d1b9d7584e9b"/>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201" fontId="0" fillId="0" borderId="0" xfId="0" applyNumberFormat="1" applyFont="1" applyFill="1" applyBorder="1" applyAlignment="1">
      <x:alignment vertical="top"/>
    </x:xf>
    <x:xf numFmtId="201" fontId="6" fillId="0" borderId="0" xfId="0" applyNumberFormat="1" applyFont="1" applyFill="1" applyBorder="1" applyAlignment="1">
      <x:alignment vertical="top"/>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1" fontId="6" fillId="0" borderId="1"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1" fontId="6" fillId="0" borderId="3"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d3a86478d2d4c8b" /><Relationship Type="http://schemas.openxmlformats.org/officeDocument/2006/relationships/theme" Target="/xl/theme/theme1.xml" Id="R26dd3d8096b147ba" /><Relationship Type="http://schemas.microsoft.com/office/2022/11/relationships/FeaturePropertyBag" Target="/xl/featurePropertyBag/featurePropertyBag.xml" Id="R02188f15eaee45bc" /><Relationship Type="http://schemas.openxmlformats.org/officeDocument/2006/relationships/sharedStrings" Target="/xl/sharedStrings.xml" Id="R3189cb92f44643c2" /><Relationship Type="http://schemas.openxmlformats.org/officeDocument/2006/relationships/worksheet" Target="/xl/worksheets/sheet1.xml" Id="Rd14dcc8c5df34940" /><Relationship Type="http://schemas.openxmlformats.org/officeDocument/2006/relationships/worksheet" Target="/xl/worksheets/sheet2.xml" Id="R934f211473464955" /><Relationship Type="http://schemas.openxmlformats.org/officeDocument/2006/relationships/worksheet" Target="/xl/worksheets/sheet3.xml" Id="R1e48878c286d4be4" /><Relationship Type="http://schemas.openxmlformats.org/officeDocument/2006/relationships/worksheet" Target="/xl/worksheets/sheet4.xml" Id="Rf35d818853bc48d6" /><Relationship Type="http://schemas.openxmlformats.org/officeDocument/2006/relationships/worksheet" Target="/xl/worksheets/sheet5.xml" Id="R8ad5be5b5a2c4f53" /><Relationship Type="http://schemas.openxmlformats.org/officeDocument/2006/relationships/worksheet" Target="/xl/worksheets/sheet6.xml" Id="R991cab08655a46ca" /><Relationship Type="http://schemas.openxmlformats.org/officeDocument/2006/relationships/worksheet" Target="/xl/worksheets/sheet7.xml" Id="R039c15c55cc04248" /><Relationship Type="http://schemas.openxmlformats.org/officeDocument/2006/relationships/worksheet" Target="/xl/worksheets/sheet8.xml" Id="Rf6b15a3bfad649e7" /><Relationship Type="http://schemas.openxmlformats.org/officeDocument/2006/relationships/worksheet" Target="/xl/worksheets/sheet9.xml" Id="Rdceeddfa492f45e3" /><Relationship Type="http://schemas.openxmlformats.org/officeDocument/2006/relationships/worksheet" Target="/xl/worksheets/sheet10.xml" Id="R0e914aa0afa9418d" /><Relationship Type="http://schemas.openxmlformats.org/officeDocument/2006/relationships/worksheet" Target="/xl/worksheets/sheet11.xml" Id="R7e4ae35faecf457f" /><Relationship Type="http://schemas.openxmlformats.org/officeDocument/2006/relationships/worksheet" Target="/xl/worksheets/sheet12.xml" Id="R937cc6e073aa4c79" /><Relationship Type="http://schemas.openxmlformats.org/officeDocument/2006/relationships/worksheet" Target="/xl/worksheets/sheet13.xml" Id="Rd6a6d1b9d7584e9b"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5"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8"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9"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5"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3"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0a8976c553234cf9" /></Relationships>
</file>

<file path=xl/worksheets/_rels/sheet3.xml.rels>&#65279;<?xml version="1.0" encoding="utf-8"?><Relationships xmlns="http://schemas.openxmlformats.org/package/2006/relationships"><Relationship Type="http://schemas.openxmlformats.org/officeDocument/2006/relationships/table" Target="/xl/tables/table2.xml" Id="R36c19aaeb60a4509" /></Relationships>
</file>

<file path=xl/worksheets/_rels/sheet4.xml.rels>&#65279;<?xml version="1.0" encoding="utf-8"?><Relationships xmlns="http://schemas.openxmlformats.org/package/2006/relationships"><Relationship Type="http://schemas.openxmlformats.org/officeDocument/2006/relationships/table" Target="/xl/tables/table3.xml" Id="R770a225e3e014dff" /></Relationships>
</file>

<file path=xl/worksheets/_rels/sheet5.xml.rels>&#65279;<?xml version="1.0" encoding="utf-8"?><Relationships xmlns="http://schemas.openxmlformats.org/package/2006/relationships"><Relationship Type="http://schemas.openxmlformats.org/officeDocument/2006/relationships/table" Target="/xl/tables/table4.xml" Id="R879a342c37324503" /></Relationships>
</file>

<file path=xl/worksheets/_rels/sheet6.xml.rels>&#65279;<?xml version="1.0" encoding="utf-8"?><Relationships xmlns="http://schemas.openxmlformats.org/package/2006/relationships"><Relationship Type="http://schemas.openxmlformats.org/officeDocument/2006/relationships/table" Target="/xl/tables/table5.xml" Id="R3b7e066e5d9c45e2" /></Relationships>
</file>

<file path=xl/worksheets/_rels/sheet7.xml.rels>&#65279;<?xml version="1.0" encoding="utf-8"?><Relationships xmlns="http://schemas.openxmlformats.org/package/2006/relationships"><Relationship Type="http://schemas.openxmlformats.org/officeDocument/2006/relationships/table" Target="/xl/tables/table6.xml" Id="R686cf4f4bbed4fc6" /></Relationships>
</file>

<file path=xl/worksheets/_rels/sheet8.xml.rels>&#65279;<?xml version="1.0" encoding="utf-8"?><Relationships xmlns="http://schemas.openxmlformats.org/package/2006/relationships"><Relationship Type="http://schemas.openxmlformats.org/officeDocument/2006/relationships/table" Target="/xl/tables/table7.xml" Id="R899d476d0ef240d7" /></Relationships>
</file>

<file path=xl/worksheets/_rels/sheet9.xml.rels>&#65279;<?xml version="1.0" encoding="utf-8"?><Relationships xmlns="http://schemas.openxmlformats.org/package/2006/relationships"><Relationship Type="http://schemas.openxmlformats.org/officeDocument/2006/relationships/table" Target="/xl/tables/table8.xml" Id="R5c07c1679c224b9a" /></Relationships>
</file>

<file path=xl/worksheets/_rels/sheet11.xml.rels>&#65279;<?xml version="1.0" encoding="utf-8"?><Relationships xmlns="http://schemas.openxmlformats.org/package/2006/relationships"><Relationship Type="http://schemas.openxmlformats.org/officeDocument/2006/relationships/table" Target="/xl/tables/table9.xml" Id="R4ebab090e9da4076" /></Relationships>
</file>

<file path=xl/worksheets/_rels/sheet13.xml.rels>&#65279;<?xml version="1.0" encoding="utf-8"?><Relationships xmlns="http://schemas.openxmlformats.org/package/2006/relationships"><Relationship Type="http://schemas.openxmlformats.org/officeDocument/2006/relationships/table" Target="/xl/tables/table10.xml" Id="R7bd82645e1674213"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RUN-IMO-091-20260827T141904075946Z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COUNTA('API_CALLS'!$A$5:$A$8)</x:f>
        <x:v>4</x:v>
      </x:c>
      <x:c r="C9" s="21"/>
      <x:c r="D9" s="21"/>
    </x:row>
    <x:row r="10">
      <x:c r="A10" s="27" t="str">
        <x:v>Mean API/LLM elapsed ms</x:v>
      </x:c>
      <x:c r="B10" s="28" t="n">
        <x:f>IFERROR(AVERAGE('API_CALLS'!$K$5:$K$8),0)</x:f>
        <x:v>6102.11725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RUN-IMO-091-20260827T141904075946Z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0a8976c553234cf9"/>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RUN-IMO-091-20260827T141904075946Z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GENERATION_ACCEPTED</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36c19aaeb60a450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RUN-IMO-091-20260827T141904075946Z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RUN-IMO-091-20260827T141904075946Z</x:v>
      </x:c>
      <x:c r="C5" s="69" t="str">
        <x:v>IMO-091</x:v>
      </x:c>
      <x:c r="D5" s="70" t="n">
        <x:v>46261.596574953706</x:v>
      </x:c>
      <x:c r="E5" s="70" t="n">
        <x:v>46261.59671697917</x:v>
      </x:c>
      <x:c r="F5" s="69" t="str">
        <x:v>final-luna-main-run01</x:v>
      </x:c>
      <x:c r="G5" s="69" t="str">
        <x:v>VOCAB-LOCK-2026-08-22-R13</x:v>
      </x:c>
      <x:c r="H5" s="71" t="n">
        <x:v>1</x:v>
      </x:c>
      <x:c r="I5" s="69" t="str">
        <x:v>GENERATION_ACCEPTED</x:v>
      </x:c>
      <x:c r="J5" s="72" t="b">
        <x:v>1</x:v>
      </x:c>
      <x:c r="K5" s="69" t="str">
        <x:v>final/final_shape.ttl</x:v>
      </x:c>
      <x:c r="L5" s="73" t="str">
        <x:v>Candidate faithfully encodes the complete direct-static requirement: it targets ship, applies all three required canonical boolean capability properties to the authoritative ship owner, and requires each value to be true with appropriate datatype and cardinality. Deterministic validation is valid; no repair or vocabulary matching is required.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770a225e3e014dff"/>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RUN-IMO-091-20260827T141904075946Z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69" t="str">
        <x:v>RUN-IMO-091-20260827T141904075946Z</x:v>
      </x:c>
      <x:c r="B5" s="69" t="str">
        <x:v>IMO-091</x:v>
      </x:c>
      <x:c r="C5" s="71" t="n">
        <x:v>1</x:v>
      </x:c>
      <x:c r="D5" s="72" t="b">
        <x:v>1</x:v>
      </x:c>
      <x:c r="E5" s="72" t="b">
        <x:v>1</x:v>
      </x:c>
      <x:c r="F5" s="72" t="b">
        <x:v>0</x:v>
      </x:c>
      <x:c r="G5" s="69" t="str">
        <x:v>ACCEPT</x:v>
      </x:c>
      <x:c r="H5" s="73" t="str">
        <x:v>Candidate faithfully encodes the complete direct-static requirement: it targets ship, applies all three required canonical boolean capability properties to the authoritative ship owner, and requires each value to be true with appropriate datatype and cardinality. Deterministic validation is valid; no repair or vocabulary matching is required.</x:v>
      </x:c>
      <x:c r="I5" s="75" t="n">
        <x:v>8376.179</x:v>
      </x:c>
      <x:c r="J5" s="75" t="n">
        <x:v>3829.608</x:v>
      </x:c>
    </x:row>
  </x:sheetData>
  <x:conditionalFormatting sqref="G5:G5">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79a342c37324503"/>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RUN-IMO-091-20260827T141904075946Z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EVT-000013</x:v>
      </x:c>
      <x:c r="B5" s="45" t="str">
        <x:v>RUN-IMO-091-20260827T141904075946Z</x:v>
      </x:c>
      <x:c r="C5" s="45" t="str">
        <x:v>IMO-091</x:v>
      </x:c>
      <x:c r="D5" s="88" t="n">
        <x:v>46261.59667189815</x:v>
      </x:c>
      <x:c r="E5" s="45" t="str">
        <x:v>generator</x:v>
      </x:c>
      <x:c r="F5" s="45" t="str">
        <x:v>gpt-5.6-luna-2026-07-09</x:v>
      </x:c>
      <x:c r="G5" s="45" t="n">
        <x:v>1</x:v>
      </x:c>
      <x:c r="H5" s="45" t="n">
        <x:v>200</x:v>
      </x:c>
      <x:c r="I5" s="45" t="str">
        <x:v>Ocp-Apim-Subscription-Key</x:v>
      </x:c>
      <x:c r="J5" s="89" t="n">
        <x:v>0</x:v>
      </x:c>
      <x:c r="K5" s="89" t="n">
        <x:v>8374.6</x:v>
      </x:c>
      <x:c r="L5" s="90" t="b">
        <x:v>0</x:v>
      </x:c>
      <x:c r="M5" s="45" t="str"/>
      <x:c r="N5" s="58" t="str"/>
      <x:c r="O5" s="58" t="str"/>
      <x:c r="P5" s="58" t="str"/>
    </x:row>
    <x:row r="6">
      <x:c r="A6" s="47" t="str">
        <x:v>EVT-000014</x:v>
      </x:c>
      <x:c r="B6" s="47" t="str">
        <x:v>RUN-IMO-091-20260827T141904075946Z</x:v>
      </x:c>
      <x:c r="C6" s="47" t="str">
        <x:v>IMO-091</x:v>
      </x:c>
      <x:c r="D6" s="91" t="n">
        <x:v>46261.596671921296</x:v>
      </x:c>
      <x:c r="E6" s="47" t="str">
        <x:v>generator</x:v>
      </x:c>
      <x:c r="F6" s="47" t="str">
        <x:v>gpt-5.6-luna-2026-07-09</x:v>
      </x:c>
      <x:c r="G6" s="47" t="n">
        <x:v>1</x:v>
      </x:c>
      <x:c r="H6" s="47" t="str">
        <x:v>COMPLETED</x:v>
      </x:c>
      <x:c r="I6" s="47" t="str"/>
      <x:c r="J6" s="92" t="n">
        <x:v>0</x:v>
      </x:c>
      <x:c r="K6" s="92" t="n">
        <x:v>8376.179</x:v>
      </x:c>
      <x:c r="L6" s="93" t="b">
        <x:v>0</x:v>
      </x:c>
      <x:c r="M6" s="47" t="str">
        <x:v>resp_03bc56fd54de5d37006a9047583aac819090c42a94de14a021</x:v>
      </x:c>
      <x:c r="N6" s="59" t="n">
        <x:v>5407</x:v>
      </x:c>
      <x:c r="O6" s="59" t="n">
        <x:v>779</x:v>
      </x:c>
      <x:c r="P6" s="59" t="n">
        <x:v>6186</x:v>
      </x:c>
    </x:row>
    <x:row r="7">
      <x:c r="A7" s="47" t="str">
        <x:v>EVT-000021</x:v>
      </x:c>
      <x:c r="B7" s="47" t="str">
        <x:v>RUN-IMO-091-20260827T141904075946Z</x:v>
      </x:c>
      <x:c r="C7" s="47" t="str">
        <x:v>IMO-091</x:v>
      </x:c>
      <x:c r="D7" s="91" t="n">
        <x:v>46261.596716921296</x:v>
      </x:c>
      <x:c r="E7" s="47" t="str">
        <x:v>validator</x:v>
      </x:c>
      <x:c r="F7" s="47" t="str">
        <x:v>gpt-5.6-luna-2026-07-09</x:v>
      </x:c>
      <x:c r="G7" s="47" t="n">
        <x:v>1</x:v>
      </x:c>
      <x:c r="H7" s="47" t="n">
        <x:v>200</x:v>
      </x:c>
      <x:c r="I7" s="47" t="str">
        <x:v>Ocp-Apim-Subscription-Key</x:v>
      </x:c>
      <x:c r="J7" s="92" t="n">
        <x:v>0</x:v>
      </x:c>
      <x:c r="K7" s="92" t="n">
        <x:v>3828.082</x:v>
      </x:c>
      <x:c r="L7" s="93" t="b">
        <x:v>0</x:v>
      </x:c>
      <x:c r="M7" s="47" t="str"/>
      <x:c r="N7" s="59" t="str"/>
      <x:c r="O7" s="59" t="str"/>
      <x:c r="P7" s="59" t="str"/>
    </x:row>
    <x:row r="8">
      <x:c r="A8" s="49" t="str">
        <x:v>EVT-000022</x:v>
      </x:c>
      <x:c r="B8" s="49" t="str">
        <x:v>RUN-IMO-091-20260827T141904075946Z</x:v>
      </x:c>
      <x:c r="C8" s="49" t="str">
        <x:v>IMO-091</x:v>
      </x:c>
      <x:c r="D8" s="94" t="n">
        <x:v>46261.59671693287</x:v>
      </x:c>
      <x:c r="E8" s="49" t="str">
        <x:v>validator</x:v>
      </x:c>
      <x:c r="F8" s="49" t="str">
        <x:v>gpt-5.6-luna-2026-07-09</x:v>
      </x:c>
      <x:c r="G8" s="49" t="n">
        <x:v>1</x:v>
      </x:c>
      <x:c r="H8" s="49" t="str">
        <x:v>COMPLETED</x:v>
      </x:c>
      <x:c r="I8" s="49" t="str"/>
      <x:c r="J8" s="95" t="n">
        <x:v>0</x:v>
      </x:c>
      <x:c r="K8" s="95" t="n">
        <x:v>3829.608</x:v>
      </x:c>
      <x:c r="L8" s="96" t="b">
        <x:v>0</x:v>
      </x:c>
      <x:c r="M8" s="49" t="str">
        <x:v>resp_0d8c31a770ddfda6006a904760ea808197bd59d3307727260d</x:v>
      </x:c>
      <x:c r="N8" s="60" t="n">
        <x:v>4410</x:v>
      </x:c>
      <x:c r="O8" s="60" t="n">
        <x:v>188</x:v>
      </x:c>
      <x:c r="P8" s="60" t="n">
        <x:v>4598</x:v>
      </x:c>
    </x:row>
  </x:sheetData>
  <x:conditionalFormatting sqref="H5:H8">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3b7e066e5d9c45e2"/>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RUN-IMO-091-20260827T141904075946Z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RUN-IMO-091-20260827T141904075946Z</x:v>
      </x:c>
      <x:c r="B5" s="45" t="str">
        <x:v>IMO-091</x:v>
      </x:c>
      <x:c r="C5" s="45" t="str">
        <x:v>aeronauticalFrequencyCapabilityPresent</x:v>
      </x:c>
      <x:c r="D5" s="46" t="str">
        <x:v>https://w3id.org/nltl/vocab#aeronauticalFrequencyCapabilityPresent</x:v>
      </x:c>
      <x:c r="E5" s="45" t="str">
        <x:v>DatatypeProperty</x:v>
      </x:c>
      <x:c r="F5" s="45" t="str">
        <x:v>xsd:boolean</x:v>
      </x:c>
      <x:c r="G5" s="45" t="str">
        <x:v>http://www.w3.org/2001/XMLSchema#boolean</x:v>
      </x:c>
      <x:c r="H5" s="45" t="str"/>
      <x:c r="I5" s="46" t="str">
        <x:v>linked by the locked 313-requirement index</x:v>
      </x:c>
      <x:c r="J5" s="45" t="n">
        <x:v>0</x:v>
      </x:c>
    </x:row>
    <x:row r="6">
      <x:c r="A6" s="47" t="str">
        <x:v>RUN-IMO-091-20260827T141904075946Z</x:v>
      </x:c>
      <x:c r="B6" s="47" t="str">
        <x:v>IMO-091</x:v>
      </x:c>
      <x:c r="C6" s="47" t="str">
        <x:v>benchmarkEntity</x:v>
      </x:c>
      <x:c r="D6" s="48" t="str">
        <x:v>https://w3id.org/nltl/vocab#benchmarkEntity</x:v>
      </x:c>
      <x:c r="E6" s="47" t="str">
        <x:v>Class</x:v>
      </x:c>
      <x:c r="F6" s="47" t="str"/>
      <x:c r="G6" s="47" t="str"/>
      <x:c r="H6" s="47" t="str"/>
      <x:c r="I6" s="48" t="str">
        <x:v>baseline target infrastructure; domain dependency of aeronauticalFrequencyCapabilityPresent; domain dependency of searchAndRescueCoordinationCommunicationPresent; domain dependency of twoWayOnSceneCommunicationPresent</x:v>
      </x:c>
      <x:c r="J6" s="47" t="n">
        <x:v>0</x:v>
      </x:c>
    </x:row>
    <x:row r="7">
      <x:c r="A7" s="47" t="str">
        <x:v>RUN-IMO-091-20260827T141904075946Z</x:v>
      </x:c>
      <x:c r="B7" s="47" t="str">
        <x:v>IMO-091</x:v>
      </x:c>
      <x:c r="C7" s="47" t="str">
        <x:v>searchAndRescueCoordinationCommunicationPresent</x:v>
      </x:c>
      <x:c r="D7" s="48" t="str">
        <x:v>https://w3id.org/nltl/vocab#searchAndRescueCoordinationCommunicationPresent</x:v>
      </x:c>
      <x:c r="E7" s="47" t="str">
        <x:v>DatatypeProperty</x:v>
      </x:c>
      <x:c r="F7" s="47" t="str">
        <x:v>xsd:boolean</x:v>
      </x:c>
      <x:c r="G7" s="47" t="str">
        <x:v>http://www.w3.org/2001/XMLSchema#boolean</x:v>
      </x:c>
      <x:c r="H7" s="47" t="str"/>
      <x:c r="I7" s="48" t="str">
        <x:v>linked by the locked 313-requirement index</x:v>
      </x:c>
      <x:c r="J7" s="47" t="n">
        <x:v>0</x:v>
      </x:c>
    </x:row>
    <x:row r="8">
      <x:c r="A8" s="47" t="str">
        <x:v>RUN-IMO-091-20260827T141904075946Z</x:v>
      </x:c>
      <x:c r="B8" s="47" t="str">
        <x:v>IMO-091</x:v>
      </x:c>
      <x:c r="C8" s="47" t="str">
        <x:v>ship</x:v>
      </x:c>
      <x:c r="D8" s="48" t="str">
        <x:v>https://w3id.org/nltl/vocab#ship</x:v>
      </x:c>
      <x:c r="E8" s="47" t="str">
        <x:v>Class</x:v>
      </x:c>
      <x:c r="F8" s="47" t="str"/>
      <x:c r="G8" s="47" t="str"/>
      <x:c r="H8" s="47" t="str"/>
      <x:c r="I8" s="48" t="str">
        <x:v>authoritative required owner class; authoritative requirement target owner; baseline target infrastructure</x:v>
      </x:c>
      <x:c r="J8" s="47" t="n">
        <x:v>0</x:v>
      </x:c>
    </x:row>
    <x:row r="9">
      <x:c r="A9" s="49" t="str">
        <x:v>RUN-IMO-091-20260827T141904075946Z</x:v>
      </x:c>
      <x:c r="B9" s="49" t="str">
        <x:v>IMO-091</x:v>
      </x:c>
      <x:c r="C9" s="49" t="str">
        <x:v>twoWayOnSceneCommunicationPresent</x:v>
      </x:c>
      <x:c r="D9" s="50" t="str">
        <x:v>https://w3id.org/nltl/vocab#twoWayOnSceneCommunicationPresent</x:v>
      </x:c>
      <x:c r="E9" s="49" t="str">
        <x:v>DatatypeProperty</x:v>
      </x:c>
      <x:c r="F9" s="49" t="str">
        <x:v>xsd:boolean</x:v>
      </x:c>
      <x:c r="G9" s="49" t="str">
        <x:v>http://www.w3.org/2001/XMLSchema#boolean</x:v>
      </x:c>
      <x:c r="H9" s="49" t="str"/>
      <x:c r="I9" s="50" t="str">
        <x:v>linked by the locked 313-requirement index</x:v>
      </x:c>
      <x:c r="J9" s="49" t="n">
        <x:v>0</x:v>
      </x:c>
    </x:row>
  </x:sheetData>
  <x:pageMargins left="0.7" right="0.7" top="0.75" bottom="0.75" header="0.3" footer="0.3"/>
  <x:tableParts count="1">
    <x:tablePart xmlns:r="http://schemas.openxmlformats.org/officeDocument/2006/relationships" r:id="R686cf4f4bbed4fc6"/>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RUN-IMO-091-20260827T141904075946Z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RUN-IMO-091-20260827T141904075946Z</x:v>
      </x:c>
      <x:c r="B5" s="45" t="str">
        <x:v>IMO-091</x:v>
      </x:c>
      <x:c r="C5" s="45" t="str">
        <x:v>FS-BOOL-01</x:v>
      </x:c>
      <x:c r="D5" s="45" t="str">
        <x:v>boolean_state</x:v>
      </x:c>
      <x:c r="E5" s="99" t="n">
        <x:v>0.088235</x:v>
      </x:c>
      <x:c r="F5" s="45" t="str">
        <x:v>boolean | required | value</x:v>
      </x:c>
      <x:c r="G5" s="45" t="str">
        <x:v>synthetic-few-shot-not-benchmark-ground-truth</x:v>
      </x:c>
    </x:row>
    <x:row r="6">
      <x:c r="A6" s="49" t="str">
        <x:v>RUN-IMO-091-20260827T141904075946Z</x:v>
      </x:c>
      <x:c r="B6" s="49" t="str">
        <x:v>IMO-091</x:v>
      </x:c>
      <x:c r="C6" s="49" t="str">
        <x:v>FS-BOOL-02</x:v>
      </x:c>
      <x:c r="D6" s="49" t="str">
        <x:v>boolean_state</x:v>
      </x:c>
      <x:c r="E6" s="100" t="n">
        <x:v>0.088235</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899d476d0ef240d7"/>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RUN-IMO-091-20260827T141904075946Z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69" t="str">
        <x:v>RUN-IMO-091-20260827T141904075946Z</x:v>
      </x:c>
      <x:c r="B5" s="69" t="str">
        <x:v>IMO-091</x:v>
      </x:c>
      <x:c r="C5" s="71" t="n">
        <x:v>1</x:v>
      </x:c>
      <x:c r="D5" s="72" t="b">
        <x:v>1</x:v>
      </x:c>
      <x:c r="E5" s="72" t="b">
        <x:v>1</x:v>
      </x:c>
      <x:c r="F5" s="72" t="b">
        <x:v>1</x:v>
      </x:c>
      <x:c r="G5" s="72" t="b">
        <x:v>1</x:v>
      </x:c>
      <x:c r="H5" s="72" t="b">
        <x:v>1</x:v>
      </x:c>
      <x:c r="I5" s="72" t="b">
        <x:v>1</x:v>
      </x:c>
      <x:c r="J5" s="72" t="b">
        <x:v>1</x:v>
      </x:c>
      <x:c r="K5" s="102" t="b">
        <x:v>1</x:v>
      </x:c>
      <x:c r="L5" s="73" t="str"/>
      <x:c r="M5" s="73" t="str"/>
      <x:c r="N5" s="73" t="str">
        <x:v>https://w3id.org/nltl/vocab#aeronauticalFrequencyCapabilityPresent | https://w3id.org/nltl/vocab#searchAndRescueCoordinationCommunicationPresent | https://w3id.org/nltl/vocab#ship | https://w3id.org/nltl/vocab#twoWayOnSceneCommunicationPresent</x:v>
      </x:c>
      <x:c r="O5" s="73" t="str"/>
      <x:c r="P5" s="73" t="str"/>
      <x:c r="Q5" s="73" t="str"/>
    </x:row>
  </x:sheetData>
  <x:pageMargins left="0.7" right="0.7" top="0.75" bottom="0.75" header="0.3" footer="0.3"/>
  <x:tableParts count="1">
    <x:tablePart xmlns:r="http://schemas.openxmlformats.org/officeDocument/2006/relationships" r:id="R5c07c1679c224b9a"/>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RUN-IMO-091-20260827T141904075946Z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RUN-IMO-091-20260827T141904075946Z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RUN-IMO-091-20260827T141904075946Z</x:v>
      </x:c>
      <x:c r="B5" s="45" t="str">
        <x:v>IMO-091</x:v>
      </x:c>
      <x:c r="C5" s="58"/>
      <x:c r="D5" s="45" t="str">
        <x:v>initial_context_pack</x:v>
      </x:c>
      <x:c r="E5" s="46" t="str">
        <x:v>artifacts/context_pack_initial.json</x:v>
      </x:c>
      <x:c r="F5" s="45" t="str">
        <x:v>629c5c74f8a06141698877689f788916719a591d8abdbb2c05c9b562017a3977</x:v>
      </x:c>
      <x:c r="G5" s="58" t="n">
        <x:v>9158</x:v>
      </x:c>
    </x:row>
    <x:row r="6">
      <x:c r="A6" s="47" t="str">
        <x:v>RUN-IMO-091-20260827T141904075946Z</x:v>
      </x:c>
      <x:c r="B6" s="47" t="str">
        <x:v>IMO-091</x:v>
      </x:c>
      <x:c r="C6" s="59"/>
      <x:c r="D6" s="47" t="str">
        <x:v>few_shot_selection</x:v>
      </x:c>
      <x:c r="E6" s="48" t="str">
        <x:v>artifacts/few_shots_selected.json</x:v>
      </x:c>
      <x:c r="F6" s="47" t="str">
        <x:v>b9760b7303907e2af6fff1bc32b93d02c214c7fea79bb20beafc361e634ac9c2</x:v>
      </x:c>
      <x:c r="G6" s="59" t="n">
        <x:v>3110</x:v>
      </x:c>
    </x:row>
    <x:row r="7">
      <x:c r="A7" s="47" t="str">
        <x:v>RUN-IMO-091-20260827T141904075946Z</x:v>
      </x:c>
      <x:c r="B7" s="47" t="str">
        <x:v>IMO-091</x:v>
      </x:c>
      <x:c r="C7" s="59" t="n">
        <x:v>1</x:v>
      </x:c>
      <x:c r="D7" s="47" t="str">
        <x:v>generator_prompt</x:v>
      </x:c>
      <x:c r="E7" s="48" t="str">
        <x:v>artifacts/attempt_01/generator_prompt.txt</x:v>
      </x:c>
      <x:c r="F7" s="47" t="str">
        <x:v>cfdb9c09056029a22671a05c7db036513beba183bf1fcaee106f0a644dd53bf1</x:v>
      </x:c>
      <x:c r="G7" s="59" t="n">
        <x:v>23782</x:v>
      </x:c>
    </x:row>
    <x:row r="8">
      <x:c r="A8" s="47" t="str">
        <x:v>RUN-IMO-091-20260827T141904075946Z</x:v>
      </x:c>
      <x:c r="B8" s="47" t="str">
        <x:v>IMO-091</x:v>
      </x:c>
      <x:c r="C8" s="59" t="n">
        <x:v>1</x:v>
      </x:c>
      <x:c r="D8" s="47" t="str">
        <x:v>generator_raw_response</x:v>
      </x:c>
      <x:c r="E8" s="48" t="str">
        <x:v>artifacts/attempt_01/generator_raw.txt</x:v>
      </x:c>
      <x:c r="F8" s="47" t="str">
        <x:v>4d1d4dfc7205497e5525047123d5c011039036aeb66963a21094f66a5d1f9080</x:v>
      </x:c>
      <x:c r="G8" s="59" t="n">
        <x:v>1113</x:v>
      </x:c>
    </x:row>
    <x:row r="9">
      <x:c r="A9" s="47" t="str">
        <x:v>RUN-IMO-091-20260827T141904075946Z</x:v>
      </x:c>
      <x:c r="B9" s="47" t="str">
        <x:v>IMO-091</x:v>
      </x:c>
      <x:c r="C9" s="59" t="n">
        <x:v>1</x:v>
      </x:c>
      <x:c r="D9" s="47" t="str">
        <x:v>candidate_shape</x:v>
      </x:c>
      <x:c r="E9" s="48" t="str">
        <x:v>artifacts/attempt_01/candidate_shape.ttl</x:v>
      </x:c>
      <x:c r="F9" s="47" t="str">
        <x:v>8bc35c105148264e63c392014349072e4600ddf782886fe242abeac7154c2247</x:v>
      </x:c>
      <x:c r="G9" s="59" t="n">
        <x:v>1088</x:v>
      </x:c>
    </x:row>
    <x:row r="10">
      <x:c r="A10" s="47" t="str">
        <x:v>RUN-IMO-091-20260827T141904075946Z</x:v>
      </x:c>
      <x:c r="B10" s="47" t="str">
        <x:v>IMO-091</x:v>
      </x:c>
      <x:c r="C10" s="59" t="n">
        <x:v>1</x:v>
      </x:c>
      <x:c r="D10" s="47" t="str">
        <x:v>deterministic_validation</x:v>
      </x:c>
      <x:c r="E10" s="48" t="str">
        <x:v>artifacts/attempt_01/deterministic_validation.json</x:v>
      </x:c>
      <x:c r="F10" s="47" t="str">
        <x:v>cd40fee9b382282ab5a925aad0b7aa44b5ed7b51f4b4c78f254eee2aa3941378</x:v>
      </x:c>
      <x:c r="G10" s="59" t="n">
        <x:v>655</x:v>
      </x:c>
    </x:row>
    <x:row r="11">
      <x:c r="A11" s="47" t="str">
        <x:v>RUN-IMO-091-20260827T141904075946Z</x:v>
      </x:c>
      <x:c r="B11" s="47" t="str">
        <x:v>IMO-091</x:v>
      </x:c>
      <x:c r="C11" s="59" t="n">
        <x:v>1</x:v>
      </x:c>
      <x:c r="D11" s="47" t="str">
        <x:v>validator_prompt</x:v>
      </x:c>
      <x:c r="E11" s="48" t="str">
        <x:v>artifacts/attempt_01/validator_prompt_01.txt</x:v>
      </x:c>
      <x:c r="F11" s="47" t="str">
        <x:v>95c5e55874f182ffd6142a1954bf5943dd0a426055a282c7e53a65e5e01035a6</x:v>
      </x:c>
      <x:c r="G11" s="59" t="n">
        <x:v>19362</x:v>
      </x:c>
    </x:row>
    <x:row r="12">
      <x:c r="A12" s="47" t="str">
        <x:v>RUN-IMO-091-20260827T141904075946Z</x:v>
      </x:c>
      <x:c r="B12" s="47" t="str">
        <x:v>IMO-091</x:v>
      </x:c>
      <x:c r="C12" s="59" t="n">
        <x:v>1</x:v>
      </x:c>
      <x:c r="D12" s="47" t="str">
        <x:v>validator_raw_response</x:v>
      </x:c>
      <x:c r="E12" s="48" t="str">
        <x:v>artifacts/attempt_01/validator_raw_01.txt</x:v>
      </x:c>
      <x:c r="F12" s="47" t="str">
        <x:v>61ac793c1c1555c489cfa7f28e0f7d53b561c40fc91ffe21fafe5d84dda61479</x:v>
      </x:c>
      <x:c r="G12" s="59" t="n">
        <x:v>407</x:v>
      </x:c>
    </x:row>
    <x:row r="13">
      <x:c r="A13" s="49" t="str">
        <x:v>RUN-IMO-091-20260827T141904075946Z</x:v>
      </x:c>
      <x:c r="B13" s="49" t="str">
        <x:v>IMO-091</x:v>
      </x:c>
      <x:c r="C13" s="60" t="n">
        <x:v>1</x:v>
      </x:c>
      <x:c r="D13" s="49" t="str">
        <x:v>final_accepted_shape</x:v>
      </x:c>
      <x:c r="E13" s="50" t="str">
        <x:v>final/final_shape.ttl</x:v>
      </x:c>
      <x:c r="F13" s="49" t="str">
        <x:v>8bc35c105148264e63c392014349072e4600ddf782886fe242abeac7154c2247</x:v>
      </x:c>
      <x:c r="G13" s="60" t="n">
        <x:v>1088</x:v>
      </x:c>
    </x:row>
  </x:sheetData>
  <x:pageMargins left="0.7" right="0.7" top="0.75" bottom="0.75" header="0.3" footer="0.3"/>
  <x:tableParts count="1">
    <x:tablePart xmlns:r="http://schemas.openxmlformats.org/officeDocument/2006/relationships" r:id="R4ebab090e9da4076"/>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RUN-IMO-091-20260827T141904075946Z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RUN-IMO-091-20260827T141904075946Z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RUN-IMO-091-20260827T141904075946Z</x:v>
      </x:c>
      <x:c r="B5" s="69" t="str">
        <x:v>IMO-091</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7bd82645e1674213"/>
  </x:tableParts>
</x:worksheet>
</file>