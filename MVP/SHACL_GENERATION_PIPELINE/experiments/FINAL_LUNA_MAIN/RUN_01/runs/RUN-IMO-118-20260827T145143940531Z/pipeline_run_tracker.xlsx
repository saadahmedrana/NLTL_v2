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2151b8dc355f4729" /></Relationships>
</file>

<file path=xl/workbook.xml><?xml version="1.0" encoding="utf-8"?>
<x:workbook xmlns:x="http://schemas.openxmlformats.org/spreadsheetml/2006/main">
  <x:sheets>
    <x:sheet xmlns:r="http://schemas.openxmlformats.org/officeDocument/2006/relationships" name="SUMMARY" sheetId="1" r:id="Rcbb2ad1d2c2e4336"/>
    <x:sheet xmlns:r="http://schemas.openxmlformats.org/officeDocument/2006/relationships" name="README" sheetId="2" r:id="R285a2ae9eb294b17"/>
    <x:sheet xmlns:r="http://schemas.openxmlformats.org/officeDocument/2006/relationships" name="REGULATION_QUEUE" sheetId="3" r:id="Raa6ea8e0e21d4dac"/>
    <x:sheet xmlns:r="http://schemas.openxmlformats.org/officeDocument/2006/relationships" name="RUNS" sheetId="4" r:id="R16d799ba3e8d4aae"/>
    <x:sheet xmlns:r="http://schemas.openxmlformats.org/officeDocument/2006/relationships" name="ITERATIONS" sheetId="5" r:id="Rba8f889af7ab4e3f"/>
    <x:sheet xmlns:r="http://schemas.openxmlformats.org/officeDocument/2006/relationships" name="API_CALLS" sheetId="6" r:id="R9ef9bc4db00844b3"/>
    <x:sheet xmlns:r="http://schemas.openxmlformats.org/officeDocument/2006/relationships" name="TERM_RETRIEVAL" sheetId="7" r:id="R3c177706c2b645d4"/>
    <x:sheet xmlns:r="http://schemas.openxmlformats.org/officeDocument/2006/relationships" name="FEW_SHOT_SELECTION" sheetId="8" r:id="R739002485bb24545"/>
    <x:sheet xmlns:r="http://schemas.openxmlformats.org/officeDocument/2006/relationships" name="VALIDATION" sheetId="9" r:id="R1b8d54082b0a43b7"/>
    <x:sheet xmlns:r="http://schemas.openxmlformats.org/officeDocument/2006/relationships" name="VOCAB_MATCHES" sheetId="10" r:id="R286174a1c5274549"/>
    <x:sheet xmlns:r="http://schemas.openxmlformats.org/officeDocument/2006/relationships" name="ARTIFACTS" sheetId="11" r:id="Rdcec5260d2944f86"/>
    <x:sheet xmlns:r="http://schemas.openxmlformats.org/officeDocument/2006/relationships" name="UNRESOLVED" sheetId="12" r:id="R4f0e760161cd447c"/>
    <x:sheet xmlns:r="http://schemas.openxmlformats.org/officeDocument/2006/relationships" name="RDF_TEST_QUEUE" sheetId="13" r:id="Re00ce048af8e4af6"/>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99a2c34301504925" /><Relationship Type="http://schemas.openxmlformats.org/officeDocument/2006/relationships/theme" Target="/xl/theme/theme1.xml" Id="R945d1f906fa7472a" /><Relationship Type="http://schemas.microsoft.com/office/2022/11/relationships/FeaturePropertyBag" Target="/xl/featurePropertyBag/featurePropertyBag.xml" Id="Rb9cea01f245e4e64" /><Relationship Type="http://schemas.openxmlformats.org/officeDocument/2006/relationships/sharedStrings" Target="/xl/sharedStrings.xml" Id="R64c276d0bde64928" /><Relationship Type="http://schemas.openxmlformats.org/officeDocument/2006/relationships/worksheet" Target="/xl/worksheets/sheet1.xml" Id="Rcbb2ad1d2c2e4336" /><Relationship Type="http://schemas.openxmlformats.org/officeDocument/2006/relationships/worksheet" Target="/xl/worksheets/sheet2.xml" Id="R285a2ae9eb294b17" /><Relationship Type="http://schemas.openxmlformats.org/officeDocument/2006/relationships/worksheet" Target="/xl/worksheets/sheet3.xml" Id="Raa6ea8e0e21d4dac" /><Relationship Type="http://schemas.openxmlformats.org/officeDocument/2006/relationships/worksheet" Target="/xl/worksheets/sheet4.xml" Id="R16d799ba3e8d4aae" /><Relationship Type="http://schemas.openxmlformats.org/officeDocument/2006/relationships/worksheet" Target="/xl/worksheets/sheet5.xml" Id="Rba8f889af7ab4e3f" /><Relationship Type="http://schemas.openxmlformats.org/officeDocument/2006/relationships/worksheet" Target="/xl/worksheets/sheet6.xml" Id="R9ef9bc4db00844b3" /><Relationship Type="http://schemas.openxmlformats.org/officeDocument/2006/relationships/worksheet" Target="/xl/worksheets/sheet7.xml" Id="R3c177706c2b645d4" /><Relationship Type="http://schemas.openxmlformats.org/officeDocument/2006/relationships/worksheet" Target="/xl/worksheets/sheet8.xml" Id="R739002485bb24545" /><Relationship Type="http://schemas.openxmlformats.org/officeDocument/2006/relationships/worksheet" Target="/xl/worksheets/sheet9.xml" Id="R1b8d54082b0a43b7" /><Relationship Type="http://schemas.openxmlformats.org/officeDocument/2006/relationships/worksheet" Target="/xl/worksheets/sheet10.xml" Id="R286174a1c5274549" /><Relationship Type="http://schemas.openxmlformats.org/officeDocument/2006/relationships/worksheet" Target="/xl/worksheets/sheet11.xml" Id="Rdcec5260d2944f86" /><Relationship Type="http://schemas.openxmlformats.org/officeDocument/2006/relationships/worksheet" Target="/xl/worksheets/sheet12.xml" Id="R4f0e760161cd447c" /><Relationship Type="http://schemas.openxmlformats.org/officeDocument/2006/relationships/worksheet" Target="/xl/worksheets/sheet13.xml" Id="Re00ce048af8e4af6"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7"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6"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8"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7"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25"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6c98e3234b3047ec" /></Relationships>
</file>

<file path=xl/worksheets/_rels/sheet3.xml.rels>&#65279;<?xml version="1.0" encoding="utf-8"?><Relationships xmlns="http://schemas.openxmlformats.org/package/2006/relationships"><Relationship Type="http://schemas.openxmlformats.org/officeDocument/2006/relationships/table" Target="/xl/tables/table2.xml" Id="R1ff04910f38c4d94" /></Relationships>
</file>

<file path=xl/worksheets/_rels/sheet4.xml.rels>&#65279;<?xml version="1.0" encoding="utf-8"?><Relationships xmlns="http://schemas.openxmlformats.org/package/2006/relationships"><Relationship Type="http://schemas.openxmlformats.org/officeDocument/2006/relationships/table" Target="/xl/tables/table3.xml" Id="Ra9254cb1f5b049e5" /></Relationships>
</file>

<file path=xl/worksheets/_rels/sheet5.xml.rels>&#65279;<?xml version="1.0" encoding="utf-8"?><Relationships xmlns="http://schemas.openxmlformats.org/package/2006/relationships"><Relationship Type="http://schemas.openxmlformats.org/officeDocument/2006/relationships/table" Target="/xl/tables/table4.xml" Id="Ra46e8048c19f41de" /></Relationships>
</file>

<file path=xl/worksheets/_rels/sheet6.xml.rels>&#65279;<?xml version="1.0" encoding="utf-8"?><Relationships xmlns="http://schemas.openxmlformats.org/package/2006/relationships"><Relationship Type="http://schemas.openxmlformats.org/officeDocument/2006/relationships/table" Target="/xl/tables/table5.xml" Id="R2391ee8687ac499e" /></Relationships>
</file>

<file path=xl/worksheets/_rels/sheet7.xml.rels>&#65279;<?xml version="1.0" encoding="utf-8"?><Relationships xmlns="http://schemas.openxmlformats.org/package/2006/relationships"><Relationship Type="http://schemas.openxmlformats.org/officeDocument/2006/relationships/table" Target="/xl/tables/table6.xml" Id="R74c3ff37e5464cd6" /></Relationships>
</file>

<file path=xl/worksheets/_rels/sheet8.xml.rels>&#65279;<?xml version="1.0" encoding="utf-8"?><Relationships xmlns="http://schemas.openxmlformats.org/package/2006/relationships"><Relationship Type="http://schemas.openxmlformats.org/officeDocument/2006/relationships/table" Target="/xl/tables/table7.xml" Id="R625512a5358241d8" /></Relationships>
</file>

<file path=xl/worksheets/_rels/sheet9.xml.rels>&#65279;<?xml version="1.0" encoding="utf-8"?><Relationships xmlns="http://schemas.openxmlformats.org/package/2006/relationships"><Relationship Type="http://schemas.openxmlformats.org/officeDocument/2006/relationships/table" Target="/xl/tables/table8.xml" Id="R4702f126d70e4697" /></Relationships>
</file>

<file path=xl/worksheets/_rels/sheet11.xml.rels>&#65279;<?xml version="1.0" encoding="utf-8"?><Relationships xmlns="http://schemas.openxmlformats.org/package/2006/relationships"><Relationship Type="http://schemas.openxmlformats.org/officeDocument/2006/relationships/table" Target="/xl/tables/table9.xml" Id="Rc3d59378f60d4a84" /></Relationships>
</file>

<file path=xl/worksheets/_rels/sheet13.xml.rels>&#65279;<?xml version="1.0" encoding="utf-8"?><Relationships xmlns="http://schemas.openxmlformats.org/package/2006/relationships"><Relationship Type="http://schemas.openxmlformats.org/officeDocument/2006/relationships/table" Target="/xl/tables/table10.xml" Id="R7447e1f30d5e42a6"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RUN-IMO-118-20260827T145143940531Z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COUNTA('API_CALLS'!$A$5:$A$16)</x:f>
        <x:v>12</x:v>
      </x:c>
      <x:c r="C9" s="21"/>
      <x:c r="D9" s="21"/>
    </x:row>
    <x:row r="10">
      <x:c r="A10" s="27" t="str">
        <x:v>Mean API/LLM elapsed ms</x:v>
      </x:c>
      <x:c r="B10" s="28" t="n">
        <x:f>IFERROR(AVERAGE('API_CALLS'!$K$5:$K$16),0)</x:f>
        <x:v>20472.299333333332</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RUN-IMO-118-20260827T145143940531Z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6c98e3234b3047ec"/>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RUN-IMO-118-20260827T145143940531Z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GENERATION_ACCEPTED</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1ff04910f38c4d94"/>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RUN-IMO-118-20260827T145143940531Z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SESSION-BATCH-20260827T115441378164Z</x:v>
      </x:c>
      <x:c r="B5" s="69" t="str">
        <x:v>RUN-IMO-118-20260827T145143940531Z</x:v>
      </x:c>
      <x:c r="C5" s="69" t="str">
        <x:v>IMO-118</x:v>
      </x:c>
      <x:c r="D5" s="70" t="n">
        <x:v>46261.619258576386</x:v>
      </x:c>
      <x:c r="E5" s="70" t="n">
        <x:v>46261.620684421294</x:v>
      </x:c>
      <x:c r="F5" s="69" t="str">
        <x:v>final-luna-main-run01</x:v>
      </x:c>
      <x:c r="G5" s="69" t="str">
        <x:v>VOCAB-LOCK-2026-08-22-R13</x:v>
      </x:c>
      <x:c r="H5" s="71" t="n">
        <x:v>3</x:v>
      </x:c>
      <x:c r="I5" s="69" t="str">
        <x:v>GENERATION_ACCEPTED</x:v>
      </x:c>
      <x:c r="J5" s="72" t="b">
        <x:v>1</x:v>
      </x:c>
      <x:c r="K5" s="69" t="str">
        <x:v>final/final_shape.ttl</x:v>
      </x:c>
      <x:c r="L5" s="73" t="str">
        <x:v>The candidate is semantically faithful: it targets ships, uses the authoritative passengerShip rdf:type representation, preserves conditional applicability without imposing unconditional existence, and selects violations only for explicit true sewage discharge lacking a true paragraph 4.2.1.3 compliance status. Datatypes, controlled category values, paths, namespace, and SHACL structure are valid.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a9254cb1f5b049e5"/>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RUN-IMO-118-20260827T145143940531Z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RUN-IMO-118-20260827T145143940531Z</x:v>
      </x:c>
      <x:c r="B5" s="45" t="str">
        <x:v>IMO-118</x:v>
      </x:c>
      <x:c r="C5" s="58" t="n">
        <x:v>1</x:v>
      </x:c>
      <x:c r="D5" s="83" t="b">
        <x:v>1</x:v>
      </x:c>
      <x:c r="E5" s="83" t="b">
        <x:v>0</x:v>
      </x:c>
      <x:c r="F5" s="83" t="b">
        <x:v>0</x:v>
      </x:c>
      <x:c r="G5" s="45" t="str">
        <x:v>REVISE</x:v>
      </x:c>
      <x:c r="H5" s="46" t="str">
        <x:v>The applicability constraints are unconditional on the target ship: sh:minCount/sh:minInclusive on constructionDate and sh:or requiring category A/B or passengerShip reject non-qualifying ships instead of merely gating the prohibition. Move applicability into the conditional violation logic and do not require existence for ships outside the applicability condition. The SPARQL has accidental pass/fail logic: it flags missing discharge evidence and fails to model the prohibition directly. Select a violation only when sewageDischargeToSea is explicitly true and no compliance-status value true exists; discharge false must pass, and compliance true must provide the exception. Add the declared xsd:boolean constraint for sewageDischargeToSea if it is constrained outside the query. The passengerShip rdf:type representation is authoritative, so no shipType string check is required.</x:v>
      </x:c>
      <x:c r="I5" s="84" t="n">
        <x:v>25701.038</x:v>
      </x:c>
      <x:c r="J5" s="84" t="n">
        <x:v>10456.43</x:v>
      </x:c>
    </x:row>
    <x:row r="6">
      <x:c r="A6" s="47" t="str">
        <x:v>RUN-IMO-118-20260827T145143940531Z</x:v>
      </x:c>
      <x:c r="B6" s="47" t="str">
        <x:v>IMO-118</x:v>
      </x:c>
      <x:c r="C6" s="59" t="n">
        <x:v>2</x:v>
      </x:c>
      <x:c r="D6" s="85" t="b">
        <x:v>1</x:v>
      </x:c>
      <x:c r="E6" s="85" t="b">
        <x:v>0</x:v>
      </x:c>
      <x:c r="F6" s="85" t="b">
        <x:v>0</x:v>
      </x:c>
      <x:c r="G6" s="47" t="str">
        <x:v>REVISE</x:v>
      </x:c>
      <x:c r="H6" s="48" t="str">
        <x:v>Retain the prior applicability-gating instruction and the authoritative passengerShip rdf:type representation. The main conditional prohibition still has accidental pass/fail logic: it flags missing sewageDischargeToSea evidence, but must select a violation only when sewageDischargeToSea is explicitly true and no compliance-status value true exists; an explicit false discharge must pass, and compliance true must provide the exception. Also make applicability-evidence handling consistent: do not let a ship with category A or B (or passengerShip) and a missing constructionDate pass the selector incompletely; flag missing selector evidence when the rule cannot be determined, without imposing existence requirements on demonstrably non-applicable ships. Keep the xsd:boolean constraints and ship target/paths.</x:v>
      </x:c>
      <x:c r="I6" s="86" t="n">
        <x:v>40222.467</x:v>
      </x:c>
      <x:c r="J6" s="86" t="n">
        <x:v>9310.443</x:v>
      </x:c>
    </x:row>
    <x:row r="7">
      <x:c r="A7" s="49" t="str">
        <x:v>RUN-IMO-118-20260827T145143940531Z</x:v>
      </x:c>
      <x:c r="B7" s="49" t="str">
        <x:v>IMO-118</x:v>
      </x:c>
      <x:c r="C7" s="60" t="n">
        <x:v>3</x:v>
      </x:c>
      <x:c r="D7" s="87" t="b">
        <x:v>1</x:v>
      </x:c>
      <x:c r="E7" s="87" t="b">
        <x:v>1</x:v>
      </x:c>
      <x:c r="F7" s="87" t="b">
        <x:v>0</x:v>
      </x:c>
      <x:c r="G7" s="49" t="str">
        <x:v>ACCEPT</x:v>
      </x:c>
      <x:c r="H7" s="50" t="str">
        <x:v>The candidate is semantically faithful: it targets ships, uses the authoritative passengerShip rdf:type representation, preserves conditional applicability without imposing unconditional existence, and selects violations only for explicit true sewage discharge lacking a true paragraph 4.2.1.3 compliance status. Datatypes, controlled category values, paths, namespace, and SHACL structure are valid.</x:v>
      </x:c>
      <x:c r="I7" s="88" t="n">
        <x:v>25795.704</x:v>
      </x:c>
      <x:c r="J7" s="88" t="n">
        <x:v>11352.134</x:v>
      </x:c>
    </x:row>
  </x:sheetData>
  <x:conditionalFormatting sqref="G5:G7">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a46e8048c19f41de"/>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RUN-IMO-118-20260827T145143940531Z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EVT-000022</x:v>
      </x:c>
      <x:c r="B5" s="45" t="str">
        <x:v>RUN-IMO-118-20260827T145143940531Z</x:v>
      </x:c>
      <x:c r="C5" s="45" t="str">
        <x:v>IMO-118</x:v>
      </x:c>
      <x:c r="D5" s="92" t="n">
        <x:v>46261.61955604167</x:v>
      </x:c>
      <x:c r="E5" s="45" t="str">
        <x:v>generator</x:v>
      </x:c>
      <x:c r="F5" s="45" t="str">
        <x:v>gpt-5.6-luna-2026-07-09</x:v>
      </x:c>
      <x:c r="G5" s="45" t="n">
        <x:v>1</x:v>
      </x:c>
      <x:c r="H5" s="45" t="n">
        <x:v>200</x:v>
      </x:c>
      <x:c r="I5" s="45" t="str">
        <x:v>Ocp-Apim-Subscription-Key</x:v>
      </x:c>
      <x:c r="J5" s="84" t="n">
        <x:v>0</x:v>
      </x:c>
      <x:c r="K5" s="84" t="n">
        <x:v>25699.395</x:v>
      </x:c>
      <x:c r="L5" s="83" t="b">
        <x:v>0</x:v>
      </x:c>
      <x:c r="M5" s="45" t="str"/>
      <x:c r="N5" s="58" t="str"/>
      <x:c r="O5" s="58" t="str"/>
      <x:c r="P5" s="58" t="str"/>
    </x:row>
    <x:row r="6">
      <x:c r="A6" s="47" t="str">
        <x:v>EVT-000023</x:v>
      </x:c>
      <x:c r="B6" s="47" t="str">
        <x:v>RUN-IMO-118-20260827T145143940531Z</x:v>
      </x:c>
      <x:c r="C6" s="47" t="str">
        <x:v>IMO-118</x:v>
      </x:c>
      <x:c r="D6" s="93" t="n">
        <x:v>46261.61955606481</x:v>
      </x:c>
      <x:c r="E6" s="47" t="str">
        <x:v>generator</x:v>
      </x:c>
      <x:c r="F6" s="47" t="str">
        <x:v>gpt-5.6-luna-2026-07-09</x:v>
      </x:c>
      <x:c r="G6" s="47" t="n">
        <x:v>1</x:v>
      </x:c>
      <x:c r="H6" s="47" t="str">
        <x:v>COMPLETED</x:v>
      </x:c>
      <x:c r="I6" s="47" t="str"/>
      <x:c r="J6" s="86" t="n">
        <x:v>0</x:v>
      </x:c>
      <x:c r="K6" s="86" t="n">
        <x:v>25701.038</x:v>
      </x:c>
      <x:c r="L6" s="85" t="b">
        <x:v>0</x:v>
      </x:c>
      <x:c r="M6" s="47" t="str">
        <x:v>resp_01138aac32559239006a904f000f648190a7fd0b6ced800862</x:v>
      </x:c>
      <x:c r="N6" s="59" t="n">
        <x:v>9215</x:v>
      </x:c>
      <x:c r="O6" s="59" t="n">
        <x:v>2115</x:v>
      </x:c>
      <x:c r="P6" s="59" t="n">
        <x:v>11330</x:v>
      </x:c>
    </x:row>
    <x:row r="7">
      <x:c r="A7" s="47" t="str">
        <x:v>EVT-000030</x:v>
      </x:c>
      <x:c r="B7" s="47" t="str">
        <x:v>RUN-IMO-118-20260827T145143940531Z</x:v>
      </x:c>
      <x:c r="C7" s="47" t="str">
        <x:v>IMO-118</x:v>
      </x:c>
      <x:c r="D7" s="93" t="n">
        <x:v>46261.61967827546</x:v>
      </x:c>
      <x:c r="E7" s="47" t="str">
        <x:v>validator</x:v>
      </x:c>
      <x:c r="F7" s="47" t="str">
        <x:v>gpt-5.6-luna-2026-07-09</x:v>
      </x:c>
      <x:c r="G7" s="47" t="n">
        <x:v>1</x:v>
      </x:c>
      <x:c r="H7" s="47" t="n">
        <x:v>200</x:v>
      </x:c>
      <x:c r="I7" s="47" t="str">
        <x:v>Ocp-Apim-Subscription-Key</x:v>
      </x:c>
      <x:c r="J7" s="86" t="n">
        <x:v>0</x:v>
      </x:c>
      <x:c r="K7" s="86" t="n">
        <x:v>10454.885</x:v>
      </x:c>
      <x:c r="L7" s="85" t="b">
        <x:v>0</x:v>
      </x:c>
      <x:c r="M7" s="47" t="str"/>
      <x:c r="N7" s="59" t="str"/>
      <x:c r="O7" s="59" t="str"/>
      <x:c r="P7" s="59" t="str"/>
    </x:row>
    <x:row r="8">
      <x:c r="A8" s="47" t="str">
        <x:v>EVT-000031</x:v>
      </x:c>
      <x:c r="B8" s="47" t="str">
        <x:v>RUN-IMO-118-20260827T145143940531Z</x:v>
      </x:c>
      <x:c r="C8" s="47" t="str">
        <x:v>IMO-118</x:v>
      </x:c>
      <x:c r="D8" s="93" t="n">
        <x:v>46261.61967829861</x:v>
      </x:c>
      <x:c r="E8" s="47" t="str">
        <x:v>validator</x:v>
      </x:c>
      <x:c r="F8" s="47" t="str">
        <x:v>gpt-5.6-luna-2026-07-09</x:v>
      </x:c>
      <x:c r="G8" s="47" t="n">
        <x:v>1</x:v>
      </x:c>
      <x:c r="H8" s="47" t="str">
        <x:v>COMPLETED</x:v>
      </x:c>
      <x:c r="I8" s="47" t="str"/>
      <x:c r="J8" s="86" t="n">
        <x:v>0</x:v>
      </x:c>
      <x:c r="K8" s="86" t="n">
        <x:v>10456.43</x:v>
      </x:c>
      <x:c r="L8" s="85" t="b">
        <x:v>0</x:v>
      </x:c>
      <x:c r="M8" s="47" t="str">
        <x:v>resp_038906aecf038704006a904f19f3988197aa9739f0559389e1</x:v>
      </x:c>
      <x:c r="N8" s="59" t="n">
        <x:v>8201</x:v>
      </x:c>
      <x:c r="O8" s="59" t="n">
        <x:v>696</x:v>
      </x:c>
      <x:c r="P8" s="59" t="n">
        <x:v>8897</x:v>
      </x:c>
    </x:row>
    <x:row r="9">
      <x:c r="A9" s="47" t="str">
        <x:v>EVT-000036</x:v>
      </x:c>
      <x:c r="B9" s="47" t="str">
        <x:v>RUN-IMO-118-20260827T145143940531Z</x:v>
      </x:c>
      <x:c r="C9" s="47" t="str">
        <x:v>IMO-118</x:v>
      </x:c>
      <x:c r="D9" s="93" t="n">
        <x:v>46261.62014387731</x:v>
      </x:c>
      <x:c r="E9" s="47" t="str">
        <x:v>generator</x:v>
      </x:c>
      <x:c r="F9" s="47" t="str">
        <x:v>gpt-5.6-luna-2026-07-09</x:v>
      </x:c>
      <x:c r="G9" s="47" t="n">
        <x:v>1</x:v>
      </x:c>
      <x:c r="H9" s="47" t="n">
        <x:v>200</x:v>
      </x:c>
      <x:c r="I9" s="47" t="str">
        <x:v>Ocp-Apim-Subscription-Key</x:v>
      </x:c>
      <x:c r="J9" s="86" t="n">
        <x:v>0</x:v>
      </x:c>
      <x:c r="K9" s="86" t="n">
        <x:v>40220.939</x:v>
      </x:c>
      <x:c r="L9" s="85" t="b">
        <x:v>0</x:v>
      </x:c>
      <x:c r="M9" s="47" t="str"/>
      <x:c r="N9" s="59" t="str"/>
      <x:c r="O9" s="59" t="str"/>
      <x:c r="P9" s="59" t="str"/>
    </x:row>
    <x:row r="10">
      <x:c r="A10" s="47" t="str">
        <x:v>EVT-000037</x:v>
      </x:c>
      <x:c r="B10" s="47" t="str">
        <x:v>RUN-IMO-118-20260827T145143940531Z</x:v>
      </x:c>
      <x:c r="C10" s="47" t="str">
        <x:v>IMO-118</x:v>
      </x:c>
      <x:c r="D10" s="93" t="n">
        <x:v>46261.620143900465</x:v>
      </x:c>
      <x:c r="E10" s="47" t="str">
        <x:v>generator</x:v>
      </x:c>
      <x:c r="F10" s="47" t="str">
        <x:v>gpt-5.6-luna-2026-07-09</x:v>
      </x:c>
      <x:c r="G10" s="47" t="n">
        <x:v>1</x:v>
      </x:c>
      <x:c r="H10" s="47" t="str">
        <x:v>COMPLETED</x:v>
      </x:c>
      <x:c r="I10" s="47" t="str"/>
      <x:c r="J10" s="86" t="n">
        <x:v>0</x:v>
      </x:c>
      <x:c r="K10" s="86" t="n">
        <x:v>40222.467</x:v>
      </x:c>
      <x:c r="L10" s="85" t="b">
        <x:v>0</x:v>
      </x:c>
      <x:c r="M10" s="47" t="str">
        <x:v>resp_087e7a9752f5cdf6006a904f24541481949b188f7df29e9d36</x:v>
      </x:c>
      <x:c r="N10" s="59" t="n">
        <x:v>9374</x:v>
      </x:c>
      <x:c r="O10" s="59" t="n">
        <x:v>3750</x:v>
      </x:c>
      <x:c r="P10" s="59" t="n">
        <x:v>13124</x:v>
      </x:c>
    </x:row>
    <x:row r="11">
      <x:c r="A11" s="47" t="str">
        <x:v>EVT-000044</x:v>
      </x:c>
      <x:c r="B11" s="47" t="str">
        <x:v>RUN-IMO-118-20260827T145143940531Z</x:v>
      </x:c>
      <x:c r="C11" s="47" t="str">
        <x:v>IMO-118</x:v>
      </x:c>
      <x:c r="D11" s="93" t="n">
        <x:v>46261.620252939814</x:v>
      </x:c>
      <x:c r="E11" s="47" t="str">
        <x:v>validator</x:v>
      </x:c>
      <x:c r="F11" s="47" t="str">
        <x:v>gpt-5.6-luna-2026-07-09</x:v>
      </x:c>
      <x:c r="G11" s="47" t="n">
        <x:v>1</x:v>
      </x:c>
      <x:c r="H11" s="47" t="n">
        <x:v>200</x:v>
      </x:c>
      <x:c r="I11" s="47" t="str">
        <x:v>Ocp-Apim-Subscription-Key</x:v>
      </x:c>
      <x:c r="J11" s="86" t="n">
        <x:v>0</x:v>
      </x:c>
      <x:c r="K11" s="86" t="n">
        <x:v>9308.977</x:v>
      </x:c>
      <x:c r="L11" s="85" t="b">
        <x:v>0</x:v>
      </x:c>
      <x:c r="M11" s="47" t="str"/>
      <x:c r="N11" s="59" t="str"/>
      <x:c r="O11" s="59" t="str"/>
      <x:c r="P11" s="59" t="str"/>
    </x:row>
    <x:row r="12">
      <x:c r="A12" s="47" t="str">
        <x:v>EVT-000045</x:v>
      </x:c>
      <x:c r="B12" s="47" t="str">
        <x:v>RUN-IMO-118-20260827T145143940531Z</x:v>
      </x:c>
      <x:c r="C12" s="47" t="str">
        <x:v>IMO-118</x:v>
      </x:c>
      <x:c r="D12" s="93" t="n">
        <x:v>46261.620252962966</x:v>
      </x:c>
      <x:c r="E12" s="47" t="str">
        <x:v>validator</x:v>
      </x:c>
      <x:c r="F12" s="47" t="str">
        <x:v>gpt-5.6-luna-2026-07-09</x:v>
      </x:c>
      <x:c r="G12" s="47" t="n">
        <x:v>1</x:v>
      </x:c>
      <x:c r="H12" s="47" t="str">
        <x:v>COMPLETED</x:v>
      </x:c>
      <x:c r="I12" s="47" t="str"/>
      <x:c r="J12" s="86" t="n">
        <x:v>0</x:v>
      </x:c>
      <x:c r="K12" s="86" t="n">
        <x:v>9310.443</x:v>
      </x:c>
      <x:c r="L12" s="85" t="b">
        <x:v>0</x:v>
      </x:c>
      <x:c r="M12" s="47" t="str">
        <x:v>resp_00761ecfd7e3e81e006a904f4ca57c819593774b8012e39220</x:v>
      </x:c>
      <x:c r="N12" s="59" t="n">
        <x:v>8858</x:v>
      </x:c>
      <x:c r="O12" s="59" t="n">
        <x:v>683</x:v>
      </x:c>
      <x:c r="P12" s="59" t="n">
        <x:v>9541</x:v>
      </x:c>
    </x:row>
    <x:row r="13">
      <x:c r="A13" s="47" t="str">
        <x:v>EVT-000050</x:v>
      </x:c>
      <x:c r="B13" s="47" t="str">
        <x:v>RUN-IMO-118-20260827T145143940531Z</x:v>
      </x:c>
      <x:c r="C13" s="47" t="str">
        <x:v>IMO-118</x:v>
      </x:c>
      <x:c r="D13" s="93" t="n">
        <x:v>46261.62055157407</x:v>
      </x:c>
      <x:c r="E13" s="47" t="str">
        <x:v>generator</x:v>
      </x:c>
      <x:c r="F13" s="47" t="str">
        <x:v>gpt-5.6-luna-2026-07-09</x:v>
      </x:c>
      <x:c r="G13" s="47" t="n">
        <x:v>1</x:v>
      </x:c>
      <x:c r="H13" s="47" t="n">
        <x:v>200</x:v>
      </x:c>
      <x:c r="I13" s="47" t="str">
        <x:v>Ocp-Apim-Subscription-Key</x:v>
      </x:c>
      <x:c r="J13" s="86" t="n">
        <x:v>0</x:v>
      </x:c>
      <x:c r="K13" s="86" t="n">
        <x:v>25794.027</x:v>
      </x:c>
      <x:c r="L13" s="85" t="b">
        <x:v>0</x:v>
      </x:c>
      <x:c r="M13" s="47" t="str"/>
      <x:c r="N13" s="59" t="str"/>
      <x:c r="O13" s="59" t="str"/>
      <x:c r="P13" s="59" t="str"/>
    </x:row>
    <x:row r="14">
      <x:c r="A14" s="47" t="str">
        <x:v>EVT-000051</x:v>
      </x:c>
      <x:c r="B14" s="47" t="str">
        <x:v>RUN-IMO-118-20260827T145143940531Z</x:v>
      </x:c>
      <x:c r="C14" s="47" t="str">
        <x:v>IMO-118</x:v>
      </x:c>
      <x:c r="D14" s="93" t="n">
        <x:v>46261.620551597225</x:v>
      </x:c>
      <x:c r="E14" s="47" t="str">
        <x:v>generator</x:v>
      </x:c>
      <x:c r="F14" s="47" t="str">
        <x:v>gpt-5.6-luna-2026-07-09</x:v>
      </x:c>
      <x:c r="G14" s="47" t="n">
        <x:v>1</x:v>
      </x:c>
      <x:c r="H14" s="47" t="str">
        <x:v>COMPLETED</x:v>
      </x:c>
      <x:c r="I14" s="47" t="str"/>
      <x:c r="J14" s="86" t="n">
        <x:v>0</x:v>
      </x:c>
      <x:c r="K14" s="86" t="n">
        <x:v>25795.704</x:v>
      </x:c>
      <x:c r="L14" s="85" t="b">
        <x:v>0</x:v>
      </x:c>
      <x:c r="M14" s="47" t="str">
        <x:v>resp_0dd069e4eb248722006a904f55f62081969d17ef0969818459</x:v>
      </x:c>
      <x:c r="N14" s="59" t="n">
        <x:v>9524</x:v>
      </x:c>
      <x:c r="O14" s="59" t="n">
        <x:v>2510</x:v>
      </x:c>
      <x:c r="P14" s="59" t="n">
        <x:v>12034</x:v>
      </x:c>
    </x:row>
    <x:row r="15">
      <x:c r="A15" s="47" t="str">
        <x:v>EVT-000058</x:v>
      </x:c>
      <x:c r="B15" s="47" t="str">
        <x:v>RUN-IMO-118-20260827T145143940531Z</x:v>
      </x:c>
      <x:c r="C15" s="47" t="str">
        <x:v>IMO-118</x:v>
      </x:c>
      <x:c r="D15" s="93" t="n">
        <x:v>46261.620684340276</x:v>
      </x:c>
      <x:c r="E15" s="47" t="str">
        <x:v>validator</x:v>
      </x:c>
      <x:c r="F15" s="47" t="str">
        <x:v>gpt-5.6-luna-2026-07-09</x:v>
      </x:c>
      <x:c r="G15" s="47" t="n">
        <x:v>1</x:v>
      </x:c>
      <x:c r="H15" s="47" t="n">
        <x:v>200</x:v>
      </x:c>
      <x:c r="I15" s="47" t="str">
        <x:v>Ocp-Apim-Subscription-Key</x:v>
      </x:c>
      <x:c r="J15" s="86" t="n">
        <x:v>0</x:v>
      </x:c>
      <x:c r="K15" s="86" t="n">
        <x:v>11351.153</x:v>
      </x:c>
      <x:c r="L15" s="85" t="b">
        <x:v>0</x:v>
      </x:c>
      <x:c r="M15" s="47" t="str"/>
      <x:c r="N15" s="59" t="str"/>
      <x:c r="O15" s="59" t="str"/>
      <x:c r="P15" s="59" t="str"/>
    </x:row>
    <x:row r="16">
      <x:c r="A16" s="49" t="str">
        <x:v>EVT-000059</x:v>
      </x:c>
      <x:c r="B16" s="49" t="str">
        <x:v>RUN-IMO-118-20260827T145143940531Z</x:v>
      </x:c>
      <x:c r="C16" s="49" t="str">
        <x:v>IMO-118</x:v>
      </x:c>
      <x:c r="D16" s="94" t="n">
        <x:v>46261.62068435185</x:v>
      </x:c>
      <x:c r="E16" s="49" t="str">
        <x:v>validator</x:v>
      </x:c>
      <x:c r="F16" s="49" t="str">
        <x:v>gpt-5.6-luna-2026-07-09</x:v>
      </x:c>
      <x:c r="G16" s="49" t="n">
        <x:v>1</x:v>
      </x:c>
      <x:c r="H16" s="49" t="str">
        <x:v>COMPLETED</x:v>
      </x:c>
      <x:c r="I16" s="49" t="str"/>
      <x:c r="J16" s="88" t="n">
        <x:v>0</x:v>
      </x:c>
      <x:c r="K16" s="88" t="n">
        <x:v>11352.134</x:v>
      </x:c>
      <x:c r="L16" s="87" t="b">
        <x:v>0</x:v>
      </x:c>
      <x:c r="M16" s="49" t="str">
        <x:v>resp_07552363c2863e56006a904f6fe1d08197860e954b95fed6a4</x:v>
      </x:c>
      <x:c r="N16" s="60" t="n">
        <x:v>8964</x:v>
      </x:c>
      <x:c r="O16" s="60" t="n">
        <x:v>928</x:v>
      </x:c>
      <x:c r="P16" s="60" t="n">
        <x:v>9892</x:v>
      </x:c>
    </x:row>
  </x:sheetData>
  <x:conditionalFormatting sqref="H5:H16">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2391ee8687ac499e"/>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RUN-IMO-118-20260827T145143940531Z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RUN-IMO-118-20260827T145143940531Z</x:v>
      </x:c>
      <x:c r="B5" s="45" t="str">
        <x:v>IMO-118</x:v>
      </x:c>
      <x:c r="C5" s="45" t="str">
        <x:v>benchmarkEntity</x:v>
      </x:c>
      <x:c r="D5" s="46" t="str">
        <x:v>https://w3id.org/nltl/vocab#benchmarkEntity</x:v>
      </x:c>
      <x:c r="E5" s="45" t="str">
        <x:v>Class</x:v>
      </x:c>
      <x:c r="F5" s="45" t="str"/>
      <x:c r="G5" s="45" t="str"/>
      <x:c r="H5" s="45" t="str"/>
      <x:c r="I5" s="46" t="str">
        <x:v>baseline target infrastructure; domain dependency of constructionDate; domain dependency of polarCodeSewageParagraph4Point2Point1Point3ComplianceStatus; domain dependency of sewageDischargeToSea; domain dependency of shipCategory; domain dependency of shipType</x:v>
      </x:c>
      <x:c r="J5" s="45" t="n">
        <x:v>0</x:v>
      </x:c>
    </x:row>
    <x:row r="6">
      <x:c r="A6" s="47" t="str">
        <x:v>RUN-IMO-118-20260827T145143940531Z</x:v>
      </x:c>
      <x:c r="B6" s="47" t="str">
        <x:v>IMO-118</x:v>
      </x:c>
      <x:c r="C6" s="47" t="str">
        <x:v>constructionDate</x:v>
      </x:c>
      <x:c r="D6" s="48" t="str">
        <x:v>https://w3id.org/nltl/vocab#constructionDate</x:v>
      </x:c>
      <x:c r="E6" s="47" t="str">
        <x:v>DatatypeProperty</x:v>
      </x:c>
      <x:c r="F6" s="47" t="str">
        <x:v>xsd:date</x:v>
      </x:c>
      <x:c r="G6" s="47" t="str">
        <x:v>http://www.w3.org/2001/XMLSchema#date</x:v>
      </x:c>
      <x:c r="H6" s="47" t="str"/>
      <x:c r="I6" s="48" t="str">
        <x:v>linked by the locked 313-requirement index</x:v>
      </x:c>
      <x:c r="J6" s="47" t="n">
        <x:v>0</x:v>
      </x:c>
    </x:row>
    <x:row r="7">
      <x:c r="A7" s="47" t="str">
        <x:v>RUN-IMO-118-20260827T145143940531Z</x:v>
      </x:c>
      <x:c r="B7" s="47" t="str">
        <x:v>IMO-118</x:v>
      </x:c>
      <x:c r="C7" s="47" t="str">
        <x:v>hasComponent</x:v>
      </x:c>
      <x:c r="D7" s="48" t="str">
        <x:v>https://w3id.org/nltl/vocab#hasComponent</x:v>
      </x:c>
      <x:c r="E7" s="47" t="str">
        <x:v>ObjectProperty</x:v>
      </x:c>
      <x:c r="F7" s="47" t="str"/>
      <x:c r="G7" s="47" t="str">
        <x:v>https://w3id.org/nltl/vocab#shipComponent</x:v>
      </x:c>
      <x:c r="H7" s="47" t="str"/>
      <x:c r="I7" s="48" t="str">
        <x:v>component-path dependency inferred from the linked term module</x:v>
      </x:c>
      <x:c r="J7" s="47" t="n">
        <x:v>0</x:v>
      </x:c>
    </x:row>
    <x:row r="8">
      <x:c r="A8" s="47" t="str">
        <x:v>RUN-IMO-118-20260827T145143940531Z</x:v>
      </x:c>
      <x:c r="B8" s="47" t="str">
        <x:v>IMO-118</x:v>
      </x:c>
      <x:c r="C8" s="47" t="str">
        <x:v>passengerShip</x:v>
      </x:c>
      <x:c r="D8" s="48" t="str">
        <x:v>https://w3id.org/nltl/vocab#passengerShip</x:v>
      </x:c>
      <x:c r="E8" s="47" t="str">
        <x:v>Class</x:v>
      </x:c>
      <x:c r="F8" s="47" t="str"/>
      <x:c r="G8" s="47" t="str">
        <x:v>https://w3id.org/nltl/vocab#ship</x:v>
      </x:c>
      <x:c r="H8" s="47" t="str"/>
      <x:c r="I8" s="48" t="str">
        <x:v>linked by the locked 313-requirement index</x:v>
      </x:c>
      <x:c r="J8" s="47" t="n">
        <x:v>0</x:v>
      </x:c>
    </x:row>
    <x:row r="9">
      <x:c r="A9" s="47" t="str">
        <x:v>RUN-IMO-118-20260827T145143940531Z</x:v>
      </x:c>
      <x:c r="B9" s="47" t="str">
        <x:v>IMO-118</x:v>
      </x:c>
      <x:c r="C9" s="47" t="str">
        <x:v>polarCodeSewageParagraph4Point2Point1Point3ComplianceStatus</x:v>
      </x:c>
      <x:c r="D9" s="48" t="str">
        <x:v>https://w3id.org/nltl/vocab#polarCodeSewageParagraph4Point2Point1Point3ComplianceStatus</x:v>
      </x:c>
      <x:c r="E9" s="47" t="str">
        <x:v>DatatypeProperty</x:v>
      </x:c>
      <x:c r="F9" s="47" t="str">
        <x:v>xsd:boolean</x:v>
      </x:c>
      <x:c r="G9" s="47" t="str">
        <x:v>http://www.w3.org/2001/XMLSchema#boolean</x:v>
      </x:c>
      <x:c r="H9" s="47" t="str"/>
      <x:c r="I9" s="48" t="str">
        <x:v>linked by the locked 313-requirement index</x:v>
      </x:c>
      <x:c r="J9" s="47" t="n">
        <x:v>0</x:v>
      </x:c>
    </x:row>
    <x:row r="10">
      <x:c r="A10" s="47" t="str">
        <x:v>RUN-IMO-118-20260827T145143940531Z</x:v>
      </x:c>
      <x:c r="B10" s="47" t="str">
        <x:v>IMO-118</x:v>
      </x:c>
      <x:c r="C10" s="47" t="str">
        <x:v>polarShipCategoryA</x:v>
      </x:c>
      <x:c r="D10" s="48" t="str">
        <x:v>https://w3id.org/nltl/vocab#polarShipCategoryA</x:v>
      </x:c>
      <x:c r="E10" s="47" t="str">
        <x:v>NamedIndividual</x:v>
      </x:c>
      <x:c r="F10" s="47" t="str"/>
      <x:c r="G10" s="47" t="str">
        <x:v>https://w3id.org/nltl/vocab#polarShipCategoryValue</x:v>
      </x:c>
      <x:c r="H10" s="47" t="str"/>
      <x:c r="I10" s="48" t="str">
        <x:v>controlled value permitted by the range of shipCategory</x:v>
      </x:c>
      <x:c r="J10" s="47" t="n">
        <x:v>0</x:v>
      </x:c>
    </x:row>
    <x:row r="11">
      <x:c r="A11" s="47" t="str">
        <x:v>RUN-IMO-118-20260827T145143940531Z</x:v>
      </x:c>
      <x:c r="B11" s="47" t="str">
        <x:v>IMO-118</x:v>
      </x:c>
      <x:c r="C11" s="47" t="str">
        <x:v>polarShipCategoryB</x:v>
      </x:c>
      <x:c r="D11" s="48" t="str">
        <x:v>https://w3id.org/nltl/vocab#polarShipCategoryB</x:v>
      </x:c>
      <x:c r="E11" s="47" t="str">
        <x:v>NamedIndividual</x:v>
      </x:c>
      <x:c r="F11" s="47" t="str"/>
      <x:c r="G11" s="47" t="str">
        <x:v>https://w3id.org/nltl/vocab#polarShipCategoryValue</x:v>
      </x:c>
      <x:c r="H11" s="47" t="str"/>
      <x:c r="I11" s="48" t="str">
        <x:v>controlled value permitted by the range of shipCategory</x:v>
      </x:c>
      <x:c r="J11" s="47" t="n">
        <x:v>0</x:v>
      </x:c>
    </x:row>
    <x:row r="12">
      <x:c r="A12" s="47" t="str">
        <x:v>RUN-IMO-118-20260827T145143940531Z</x:v>
      </x:c>
      <x:c r="B12" s="47" t="str">
        <x:v>IMO-118</x:v>
      </x:c>
      <x:c r="C12" s="47" t="str">
        <x:v>polarShipCategoryC</x:v>
      </x:c>
      <x:c r="D12" s="48" t="str">
        <x:v>https://w3id.org/nltl/vocab#polarShipCategoryC</x:v>
      </x:c>
      <x:c r="E12" s="47" t="str">
        <x:v>NamedIndividual</x:v>
      </x:c>
      <x:c r="F12" s="47" t="str"/>
      <x:c r="G12" s="47" t="str">
        <x:v>https://w3id.org/nltl/vocab#polarShipCategoryValue</x:v>
      </x:c>
      <x:c r="H12" s="47" t="str"/>
      <x:c r="I12" s="48" t="str">
        <x:v>controlled value permitted by the range of shipCategory</x:v>
      </x:c>
      <x:c r="J12" s="47" t="n">
        <x:v>0</x:v>
      </x:c>
    </x:row>
    <x:row r="13">
      <x:c r="A13" s="47" t="str">
        <x:v>RUN-IMO-118-20260827T145143940531Z</x:v>
      </x:c>
      <x:c r="B13" s="47" t="str">
        <x:v>IMO-118</x:v>
      </x:c>
      <x:c r="C13" s="47" t="str">
        <x:v>polarShipCategoryValue</x:v>
      </x:c>
      <x:c r="D13" s="48" t="str">
        <x:v>https://w3id.org/nltl/vocab#polarShipCategoryValue</x:v>
      </x:c>
      <x:c r="E13" s="47" t="str">
        <x:v>Class</x:v>
      </x:c>
      <x:c r="F13" s="47" t="str"/>
      <x:c r="G13" s="47" t="str"/>
      <x:c r="H13" s="47" t="str"/>
      <x:c r="I13" s="48" t="str">
        <x:v>range dependency of shipCategory</x:v>
      </x:c>
      <x:c r="J13" s="47" t="n">
        <x:v>0</x:v>
      </x:c>
    </x:row>
    <x:row r="14">
      <x:c r="A14" s="47" t="str">
        <x:v>RUN-IMO-118-20260827T145143940531Z</x:v>
      </x:c>
      <x:c r="B14" s="47" t="str">
        <x:v>IMO-118</x:v>
      </x:c>
      <x:c r="C14" s="47" t="str">
        <x:v>sewageDischargeToSea</x:v>
      </x:c>
      <x:c r="D14" s="48" t="str">
        <x:v>https://w3id.org/nltl/vocab#sewageDischargeToSea</x:v>
      </x:c>
      <x:c r="E14" s="47" t="str">
        <x:v>DatatypeProperty</x:v>
      </x:c>
      <x:c r="F14" s="47" t="str">
        <x:v>xsd:boolean</x:v>
      </x:c>
      <x:c r="G14" s="47" t="str">
        <x:v>http://www.w3.org/2001/XMLSchema#boolean</x:v>
      </x:c>
      <x:c r="H14" s="47" t="str"/>
      <x:c r="I14" s="48" t="str">
        <x:v>linked by the locked 313-requirement index</x:v>
      </x:c>
      <x:c r="J14" s="47" t="n">
        <x:v>0</x:v>
      </x:c>
    </x:row>
    <x:row r="15">
      <x:c r="A15" s="47" t="str">
        <x:v>RUN-IMO-118-20260827T145143940531Z</x:v>
      </x:c>
      <x:c r="B15" s="47" t="str">
        <x:v>IMO-118</x:v>
      </x:c>
      <x:c r="C15" s="47" t="str">
        <x:v>ship</x:v>
      </x:c>
      <x:c r="D15" s="48" t="str">
        <x:v>https://w3id.org/nltl/vocab#ship</x:v>
      </x:c>
      <x:c r="E15" s="47" t="str">
        <x:v>Class</x:v>
      </x:c>
      <x:c r="F15" s="47" t="str"/>
      <x:c r="G15" s="47" t="str"/>
      <x:c r="H15" s="47" t="str"/>
      <x:c r="I15" s="48" t="str">
        <x:v>authoritative required owner class; authoritative requirement target owner; baseline target infrastructure; range dependency of passengerShip</x:v>
      </x:c>
      <x:c r="J15" s="47" t="n">
        <x:v>0</x:v>
      </x:c>
    </x:row>
    <x:row r="16">
      <x:c r="A16" s="47" t="str">
        <x:v>RUN-IMO-118-20260827T145143940531Z</x:v>
      </x:c>
      <x:c r="B16" s="47" t="str">
        <x:v>IMO-118</x:v>
      </x:c>
      <x:c r="C16" s="47" t="str">
        <x:v>shipCategory</x:v>
      </x:c>
      <x:c r="D16" s="48" t="str">
        <x:v>https://w3id.org/nltl/vocab#shipCategory</x:v>
      </x:c>
      <x:c r="E16" s="47" t="str">
        <x:v>ObjectProperty</x:v>
      </x:c>
      <x:c r="F16" s="47" t="str"/>
      <x:c r="G16" s="47" t="str">
        <x:v>https://w3id.org/nltl/vocab#polarShipCategoryValue</x:v>
      </x:c>
      <x:c r="H16" s="47" t="str"/>
      <x:c r="I16" s="48" t="str">
        <x:v>linked by the locked 313-requirement index</x:v>
      </x:c>
      <x:c r="J16" s="47" t="n">
        <x:v>0</x:v>
      </x:c>
    </x:row>
    <x:row r="17">
      <x:c r="A17" s="47" t="str">
        <x:v>RUN-IMO-118-20260827T145143940531Z</x:v>
      </x:c>
      <x:c r="B17" s="47" t="str">
        <x:v>IMO-118</x:v>
      </x:c>
      <x:c r="C17" s="47" t="str">
        <x:v>shipComponent</x:v>
      </x:c>
      <x:c r="D17" s="48" t="str">
        <x:v>https://w3id.org/nltl/vocab#shipComponent</x:v>
      </x:c>
      <x:c r="E17" s="47" t="str">
        <x:v>Class</x:v>
      </x:c>
      <x:c r="F17" s="47" t="str"/>
      <x:c r="G17" s="47" t="str"/>
      <x:c r="H17" s="47" t="str"/>
      <x:c r="I17" s="48" t="str">
        <x:v>component-path dependency inferred from the linked term module</x:v>
      </x:c>
      <x:c r="J17" s="47" t="n">
        <x:v>0</x:v>
      </x:c>
    </x:row>
    <x:row r="18">
      <x:c r="A18" s="49" t="str">
        <x:v>RUN-IMO-118-20260827T145143940531Z</x:v>
      </x:c>
      <x:c r="B18" s="49" t="str">
        <x:v>IMO-118</x:v>
      </x:c>
      <x:c r="C18" s="49" t="str">
        <x:v>shipType</x:v>
      </x:c>
      <x:c r="D18" s="50" t="str">
        <x:v>https://w3id.org/nltl/vocab#shipType</x:v>
      </x:c>
      <x:c r="E18" s="49" t="str">
        <x:v>DatatypeProperty</x:v>
      </x:c>
      <x:c r="F18" s="49" t="str">
        <x:v>xsd:string</x:v>
      </x:c>
      <x:c r="G18" s="49" t="str">
        <x:v>http://www.w3.org/2001/XMLSchema#string</x:v>
      </x:c>
      <x:c r="H18" s="49" t="str"/>
      <x:c r="I18" s="50" t="str">
        <x:v>linked by the locked 313-requirement index</x:v>
      </x:c>
      <x:c r="J18" s="49" t="n">
        <x:v>0</x:v>
      </x:c>
    </x:row>
  </x:sheetData>
  <x:pageMargins left="0.7" right="0.7" top="0.75" bottom="0.75" header="0.3" footer="0.3"/>
  <x:tableParts count="1">
    <x:tablePart xmlns:r="http://schemas.openxmlformats.org/officeDocument/2006/relationships" r:id="R74c3ff37e5464cd6"/>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RUN-IMO-118-20260827T145143940531Z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RUN-IMO-118-20260827T145143940531Z</x:v>
      </x:c>
      <x:c r="B5" s="45" t="str">
        <x:v>IMO-118</x:v>
      </x:c>
      <x:c r="C5" s="45" t="str">
        <x:v>FS-INT-02</x:v>
      </x:c>
      <x:c r="D5" s="45" t="str">
        <x:v>conditional_integrated</x:v>
      </x:c>
      <x:c r="E5" s="97" t="n">
        <x:v>0.063492</x:v>
      </x:c>
      <x:c r="F5" s="45" t="str">
        <x:v>boolean | conditional | date | value</x:v>
      </x:c>
      <x:c r="G5" s="45" t="str">
        <x:v>synthetic-few-shot-not-benchmark-ground-truth</x:v>
      </x:c>
    </x:row>
    <x:row r="6">
      <x:c r="A6" s="49" t="str">
        <x:v>RUN-IMO-118-20260827T145143940531Z</x:v>
      </x:c>
      <x:c r="B6" s="49" t="str">
        <x:v>IMO-118</x:v>
      </x:c>
      <x:c r="C6" s="49" t="str">
        <x:v>FS-BOOL-01</x:v>
      </x:c>
      <x:c r="D6" s="49" t="str">
        <x:v>boolean_state</x:v>
      </x:c>
      <x:c r="E6" s="98" t="n">
        <x:v>0.048387</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625512a5358241d8"/>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RUN-IMO-118-20260827T145143940531Z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RUN-IMO-118-20260827T145143940531Z</x:v>
      </x:c>
      <x:c r="B5" s="45" t="str">
        <x:v>IMO-118</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https://w3id.org/nltl/vocab#constructionDate | https://w3id.org/nltl/vocab#passengerShip | https://w3id.org/nltl/vocab#polarCodeSewageParagraph4Point2Point1Point3ComplianceStatus | https://w3id.org/nltl/vocab#polarShipCategoryA | https://w3id.org/nltl/vocab#polarShipCategoryB | https://w3id.org/nltl/vocab#sewageDischargeToSea | https://w3id.org/nltl/vocab#ship | https://w3id.org/nltl/vocab#shipCategory</x:v>
      </x:c>
      <x:c r="O5" s="46" t="str"/>
      <x:c r="P5" s="46" t="str"/>
      <x:c r="Q5" s="46" t="str"/>
    </x:row>
    <x:row r="6">
      <x:c r="A6" s="47" t="str">
        <x:v>RUN-IMO-118-20260827T145143940531Z</x:v>
      </x:c>
      <x:c r="B6" s="47" t="str">
        <x:v>IMO-118</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https://w3id.org/nltl/vocab#constructionDate | https://w3id.org/nltl/vocab#passengerShip | https://w3id.org/nltl/vocab#polarCodeSewageParagraph4Point2Point1Point3ComplianceStatus | https://w3id.org/nltl/vocab#polarShipCategoryA | https://w3id.org/nltl/vocab#polarShipCategoryB | https://w3id.org/nltl/vocab#polarShipCategoryC | https://w3id.org/nltl/vocab#sewageDischargeToSea | https://w3id.org/nltl/vocab#ship | https://w3id.org/nltl/vocab#shipCategory</x:v>
      </x:c>
      <x:c r="O6" s="48" t="str"/>
      <x:c r="P6" s="48" t="str"/>
      <x:c r="Q6" s="48" t="str"/>
    </x:row>
    <x:row r="7">
      <x:c r="A7" s="49" t="str">
        <x:v>RUN-IMO-118-20260827T145143940531Z</x:v>
      </x:c>
      <x:c r="B7" s="49" t="str">
        <x:v>IMO-118</x:v>
      </x:c>
      <x:c r="C7" s="60" t="n">
        <x:v>3</x:v>
      </x:c>
      <x:c r="D7" s="87" t="b">
        <x:v>1</x:v>
      </x:c>
      <x:c r="E7" s="87" t="b">
        <x:v>1</x:v>
      </x:c>
      <x:c r="F7" s="87" t="b">
        <x:v>1</x:v>
      </x:c>
      <x:c r="G7" s="87" t="b">
        <x:v>1</x:v>
      </x:c>
      <x:c r="H7" s="87" t="b">
        <x:v>1</x:v>
      </x:c>
      <x:c r="I7" s="87" t="b">
        <x:v>1</x:v>
      </x:c>
      <x:c r="J7" s="87" t="b">
        <x:v>1</x:v>
      </x:c>
      <x:c r="K7" s="104" t="b">
        <x:v>1</x:v>
      </x:c>
      <x:c r="L7" s="50" t="str"/>
      <x:c r="M7" s="50" t="str"/>
      <x:c r="N7" s="50" t="str">
        <x:v>https://w3id.org/nltl/vocab#constructionDate | https://w3id.org/nltl/vocab#passengerShip | https://w3id.org/nltl/vocab#polarCodeSewageParagraph4Point2Point1Point3ComplianceStatus | https://w3id.org/nltl/vocab#polarShipCategoryA | https://w3id.org/nltl/vocab#polarShipCategoryB | https://w3id.org/nltl/vocab#polarShipCategoryC | https://w3id.org/nltl/vocab#sewageDischargeToSea | https://w3id.org/nltl/vocab#ship | https://w3id.org/nltl/vocab#shipCategory</x:v>
      </x:c>
      <x:c r="O7" s="50" t="str"/>
      <x:c r="P7" s="50" t="str"/>
      <x:c r="Q7" s="50" t="str"/>
    </x:row>
  </x:sheetData>
  <x:pageMargins left="0.7" right="0.7" top="0.75" bottom="0.75" header="0.3" footer="0.3"/>
  <x:tableParts count="1">
    <x:tablePart xmlns:r="http://schemas.openxmlformats.org/officeDocument/2006/relationships" r:id="R4702f126d70e4697"/>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RUN-IMO-118-20260827T145143940531Z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RUN-IMO-118-20260827T145143940531Z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RUN-IMO-118-20260827T145143940531Z</x:v>
      </x:c>
      <x:c r="B5" s="45" t="str">
        <x:v>IMO-118</x:v>
      </x:c>
      <x:c r="C5" s="58"/>
      <x:c r="D5" s="45" t="str">
        <x:v>initial_context_pack</x:v>
      </x:c>
      <x:c r="E5" s="46" t="str">
        <x:v>artifacts/context_pack_initial.json</x:v>
      </x:c>
      <x:c r="F5" s="45" t="str">
        <x:v>92b39fcae2c80637bdbd3e395e48566c6163c709ff8e086c2f8cf75f8f02c1e6</x:v>
      </x:c>
      <x:c r="G5" s="58" t="n">
        <x:v>19147</x:v>
      </x:c>
    </x:row>
    <x:row r="6">
      <x:c r="A6" s="47" t="str">
        <x:v>RUN-IMO-118-20260827T145143940531Z</x:v>
      </x:c>
      <x:c r="B6" s="47" t="str">
        <x:v>IMO-118</x:v>
      </x:c>
      <x:c r="C6" s="59"/>
      <x:c r="D6" s="47" t="str">
        <x:v>few_shot_selection</x:v>
      </x:c>
      <x:c r="E6" s="48" t="str">
        <x:v>artifacts/few_shots_selected.json</x:v>
      </x:c>
      <x:c r="F6" s="47" t="str">
        <x:v>d478f3323994b67453984df63c7241739413a3ded8a283a088aeefbb21677402</x:v>
      </x:c>
      <x:c r="G6" s="59" t="n">
        <x:v>6145</x:v>
      </x:c>
    </x:row>
    <x:row r="7">
      <x:c r="A7" s="47" t="str">
        <x:v>RUN-IMO-118-20260827T145143940531Z</x:v>
      </x:c>
      <x:c r="B7" s="47" t="str">
        <x:v>IMO-118</x:v>
      </x:c>
      <x:c r="C7" s="59" t="n">
        <x:v>1</x:v>
      </x:c>
      <x:c r="D7" s="47" t="str">
        <x:v>generator_prompt</x:v>
      </x:c>
      <x:c r="E7" s="48" t="str">
        <x:v>artifacts/attempt_01/generator_prompt.txt</x:v>
      </x:c>
      <x:c r="F7" s="47" t="str">
        <x:v>f59f5ef090efbae796b86813ec1c3b21ba8ca7219c846444a06c0a13369b542f</x:v>
      </x:c>
      <x:c r="G7" s="59" t="n">
        <x:v>36906</x:v>
      </x:c>
    </x:row>
    <x:row r="8">
      <x:c r="A8" s="47" t="str">
        <x:v>RUN-IMO-118-20260827T145143940531Z</x:v>
      </x:c>
      <x:c r="B8" s="47" t="str">
        <x:v>IMO-118</x:v>
      </x:c>
      <x:c r="C8" s="59" t="n">
        <x:v>1</x:v>
      </x:c>
      <x:c r="D8" s="47" t="str">
        <x:v>generator_raw_response</x:v>
      </x:c>
      <x:c r="E8" s="48" t="str">
        <x:v>artifacts/attempt_01/generator_raw.txt</x:v>
      </x:c>
      <x:c r="F8" s="47" t="str">
        <x:v>4942d4e4b6930663cd5a67090a922858376b35e5dbe15c90764ded92917b47d5</x:v>
      </x:c>
      <x:c r="G8" s="59" t="n">
        <x:v>2766</x:v>
      </x:c>
    </x:row>
    <x:row r="9">
      <x:c r="A9" s="47" t="str">
        <x:v>RUN-IMO-118-20260827T145143940531Z</x:v>
      </x:c>
      <x:c r="B9" s="47" t="str">
        <x:v>IMO-118</x:v>
      </x:c>
      <x:c r="C9" s="59" t="n">
        <x:v>1</x:v>
      </x:c>
      <x:c r="D9" s="47" t="str">
        <x:v>candidate_shape</x:v>
      </x:c>
      <x:c r="E9" s="48" t="str">
        <x:v>artifacts/attempt_01/candidate_shape.ttl</x:v>
      </x:c>
      <x:c r="F9" s="47" t="str">
        <x:v>9020426949a195aa392d5234f9b89038e3de2293985d87957d1c14b539d680e8</x:v>
      </x:c>
      <x:c r="G9" s="59" t="n">
        <x:v>2741</x:v>
      </x:c>
    </x:row>
    <x:row r="10">
      <x:c r="A10" s="47" t="str">
        <x:v>RUN-IMO-118-20260827T145143940531Z</x:v>
      </x:c>
      <x:c r="B10" s="47" t="str">
        <x:v>IMO-118</x:v>
      </x:c>
      <x:c r="C10" s="59" t="n">
        <x:v>1</x:v>
      </x:c>
      <x:c r="D10" s="47" t="str">
        <x:v>deterministic_validation</x:v>
      </x:c>
      <x:c r="E10" s="48" t="str">
        <x:v>artifacts/attempt_01/deterministic_validation.json</x:v>
      </x:c>
      <x:c r="F10" s="47" t="str">
        <x:v>652deb3257ffce25e1e6e2183884cd618e979656c782283c0460784249c7a9e1</x:v>
      </x:c>
      <x:c r="G10" s="59" t="n">
        <x:v>837</x:v>
      </x:c>
    </x:row>
    <x:row r="11">
      <x:c r="A11" s="47" t="str">
        <x:v>RUN-IMO-118-20260827T145143940531Z</x:v>
      </x:c>
      <x:c r="B11" s="47" t="str">
        <x:v>IMO-118</x:v>
      </x:c>
      <x:c r="C11" s="59" t="n">
        <x:v>1</x:v>
      </x:c>
      <x:c r="D11" s="47" t="str">
        <x:v>validator_prompt</x:v>
      </x:c>
      <x:c r="E11" s="48" t="str">
        <x:v>artifacts/attempt_01/validator_prompt_01.txt</x:v>
      </x:c>
      <x:c r="F11" s="47" t="str">
        <x:v>bedd4d6f102af5fb8446296b4d3cc585a1207ff982e7117f0c4558c5873d64da</x:v>
      </x:c>
      <x:c r="G11" s="59" t="n">
        <x:v>32333</x:v>
      </x:c>
    </x:row>
    <x:row r="12">
      <x:c r="A12" s="47" t="str">
        <x:v>RUN-IMO-118-20260827T145143940531Z</x:v>
      </x:c>
      <x:c r="B12" s="47" t="str">
        <x:v>IMO-118</x:v>
      </x:c>
      <x:c r="C12" s="59" t="n">
        <x:v>1</x:v>
      </x:c>
      <x:c r="D12" s="47" t="str">
        <x:v>validator_raw_response</x:v>
      </x:c>
      <x:c r="E12" s="48" t="str">
        <x:v>artifacts/attempt_01/validator_raw_01.txt</x:v>
      </x:c>
      <x:c r="F12" s="47" t="str">
        <x:v>88c6304e8f2631a76d192ef2da650bfb251363f4e71e96484b7d97a6e91ddbc3</x:v>
      </x:c>
      <x:c r="G12" s="59" t="n">
        <x:v>949</x:v>
      </x:c>
    </x:row>
    <x:row r="13">
      <x:c r="A13" s="47" t="str">
        <x:v>RUN-IMO-118-20260827T145143940531Z</x:v>
      </x:c>
      <x:c r="B13" s="47" t="str">
        <x:v>IMO-118</x:v>
      </x:c>
      <x:c r="C13" s="59" t="n">
        <x:v>2</x:v>
      </x:c>
      <x:c r="D13" s="47" t="str">
        <x:v>generator_prompt</x:v>
      </x:c>
      <x:c r="E13" s="48" t="str">
        <x:v>artifacts/attempt_02/generator_prompt.txt</x:v>
      </x:c>
      <x:c r="F13" s="47" t="str">
        <x:v>b6e0c1b03f0f1531308ca2fc535571a9037aa91fd754cbe2b724731fd80d494a</x:v>
      </x:c>
      <x:c r="G13" s="59" t="n">
        <x:v>37790</x:v>
      </x:c>
    </x:row>
    <x:row r="14">
      <x:c r="A14" s="47" t="str">
        <x:v>RUN-IMO-118-20260827T145143940531Z</x:v>
      </x:c>
      <x:c r="B14" s="47" t="str">
        <x:v>IMO-118</x:v>
      </x:c>
      <x:c r="C14" s="59" t="n">
        <x:v>2</x:v>
      </x:c>
      <x:c r="D14" s="47" t="str">
        <x:v>generator_raw_response</x:v>
      </x:c>
      <x:c r="E14" s="48" t="str">
        <x:v>artifacts/attempt_02/generator_raw.txt</x:v>
      </x:c>
      <x:c r="F14" s="47" t="str">
        <x:v>16d66328de6cd6b5cca9ccd4ad456d84f94fc54a79cff2b6429d60450d9c7e9a</x:v>
      </x:c>
      <x:c r="G14" s="59" t="n">
        <x:v>4813</x:v>
      </x:c>
    </x:row>
    <x:row r="15">
      <x:c r="A15" s="47" t="str">
        <x:v>RUN-IMO-118-20260827T145143940531Z</x:v>
      </x:c>
      <x:c r="B15" s="47" t="str">
        <x:v>IMO-118</x:v>
      </x:c>
      <x:c r="C15" s="59" t="n">
        <x:v>2</x:v>
      </x:c>
      <x:c r="D15" s="47" t="str">
        <x:v>candidate_shape</x:v>
      </x:c>
      <x:c r="E15" s="48" t="str">
        <x:v>artifacts/attempt_02/candidate_shape.ttl</x:v>
      </x:c>
      <x:c r="F15" s="47" t="str">
        <x:v>43eb662dfa2cae1b0acdf1aac87ee1e55d631e094eebbe280bca5e89011f2dff</x:v>
      </x:c>
      <x:c r="G15" s="59" t="n">
        <x:v>4788</x:v>
      </x:c>
    </x:row>
    <x:row r="16">
      <x:c r="A16" s="47" t="str">
        <x:v>RUN-IMO-118-20260827T145143940531Z</x:v>
      </x:c>
      <x:c r="B16" s="47" t="str">
        <x:v>IMO-118</x:v>
      </x:c>
      <x:c r="C16" s="59" t="n">
        <x:v>2</x:v>
      </x:c>
      <x:c r="D16" s="47" t="str">
        <x:v>deterministic_validation</x:v>
      </x:c>
      <x:c r="E16" s="48" t="str">
        <x:v>artifacts/attempt_02/deterministic_validation.json</x:v>
      </x:c>
      <x:c r="F16" s="47" t="str">
        <x:v>ef813fd88fd084f97a788a1a7f2884cf07d461ef3f2215c91f1b5139ddf62a17</x:v>
      </x:c>
      <x:c r="G16" s="59" t="n">
        <x:v>891</x:v>
      </x:c>
    </x:row>
    <x:row r="17">
      <x:c r="A17" s="47" t="str">
        <x:v>RUN-IMO-118-20260827T145143940531Z</x:v>
      </x:c>
      <x:c r="B17" s="47" t="str">
        <x:v>IMO-118</x:v>
      </x:c>
      <x:c r="C17" s="59" t="n">
        <x:v>2</x:v>
      </x:c>
      <x:c r="D17" s="47" t="str">
        <x:v>validator_prompt</x:v>
      </x:c>
      <x:c r="E17" s="48" t="str">
        <x:v>artifacts/attempt_02/validator_prompt_01.txt</x:v>
      </x:c>
      <x:c r="F17" s="47" t="str">
        <x:v>d13d2d800c407c1f19af7af9f862070c9f22b6851e0534780265a8a291ecfe2f</x:v>
      </x:c>
      <x:c r="G17" s="59" t="n">
        <x:v>35715</x:v>
      </x:c>
    </x:row>
    <x:row r="18">
      <x:c r="A18" s="47" t="str">
        <x:v>RUN-IMO-118-20260827T145143940531Z</x:v>
      </x:c>
      <x:c r="B18" s="47" t="str">
        <x:v>IMO-118</x:v>
      </x:c>
      <x:c r="C18" s="59" t="n">
        <x:v>2</x:v>
      </x:c>
      <x:c r="D18" s="47" t="str">
        <x:v>validator_raw_response</x:v>
      </x:c>
      <x:c r="E18" s="48" t="str">
        <x:v>artifacts/attempt_02/validator_raw_01.txt</x:v>
      </x:c>
      <x:c r="F18" s="47" t="str">
        <x:v>fb3cf13a5e387dfb4f56000b9f2f2aa501183fbb7c009f5d2f1cd0d020e5caed</x:v>
      </x:c>
      <x:c r="G18" s="59" t="n">
        <x:v>878</x:v>
      </x:c>
    </x:row>
    <x:row r="19">
      <x:c r="A19" s="47" t="str">
        <x:v>RUN-IMO-118-20260827T145143940531Z</x:v>
      </x:c>
      <x:c r="B19" s="47" t="str">
        <x:v>IMO-118</x:v>
      </x:c>
      <x:c r="C19" s="59" t="n">
        <x:v>3</x:v>
      </x:c>
      <x:c r="D19" s="47" t="str">
        <x:v>generator_prompt</x:v>
      </x:c>
      <x:c r="E19" s="48" t="str">
        <x:v>artifacts/attempt_03/generator_prompt.txt</x:v>
      </x:c>
      <x:c r="F19" s="47" t="str">
        <x:v>843c281e4073a24a9591203447d669f35043a804936d9ba58ff97922140e44a9</x:v>
      </x:c>
      <x:c r="G19" s="59" t="n">
        <x:v>38611</x:v>
      </x:c>
    </x:row>
    <x:row r="20">
      <x:c r="A20" s="47" t="str">
        <x:v>RUN-IMO-118-20260827T145143940531Z</x:v>
      </x:c>
      <x:c r="B20" s="47" t="str">
        <x:v>IMO-118</x:v>
      </x:c>
      <x:c r="C20" s="59" t="n">
        <x:v>3</x:v>
      </x:c>
      <x:c r="D20" s="47" t="str">
        <x:v>generator_raw_response</x:v>
      </x:c>
      <x:c r="E20" s="48" t="str">
        <x:v>artifacts/attempt_03/generator_raw.txt</x:v>
      </x:c>
      <x:c r="F20" s="47" t="str">
        <x:v>418ab7b63c801039839a4c5bb75398b607b195d271a5cd665542fbfeab0e0607</x:v>
      </x:c>
      <x:c r="G20" s="59" t="n">
        <x:v>4453</x:v>
      </x:c>
    </x:row>
    <x:row r="21">
      <x:c r="A21" s="47" t="str">
        <x:v>RUN-IMO-118-20260827T145143940531Z</x:v>
      </x:c>
      <x:c r="B21" s="47" t="str">
        <x:v>IMO-118</x:v>
      </x:c>
      <x:c r="C21" s="59" t="n">
        <x:v>3</x:v>
      </x:c>
      <x:c r="D21" s="47" t="str">
        <x:v>candidate_shape</x:v>
      </x:c>
      <x:c r="E21" s="48" t="str">
        <x:v>artifacts/attempt_03/candidate_shape.ttl</x:v>
      </x:c>
      <x:c r="F21" s="47" t="str">
        <x:v>330dacc68d14b44456e9e0c905a967ebeac42cc61ea486ddae36319b51efbbff</x:v>
      </x:c>
      <x:c r="G21" s="59" t="n">
        <x:v>4428</x:v>
      </x:c>
    </x:row>
    <x:row r="22">
      <x:c r="A22" s="47" t="str">
        <x:v>RUN-IMO-118-20260827T145143940531Z</x:v>
      </x:c>
      <x:c r="B22" s="47" t="str">
        <x:v>IMO-118</x:v>
      </x:c>
      <x:c r="C22" s="59" t="n">
        <x:v>3</x:v>
      </x:c>
      <x:c r="D22" s="47" t="str">
        <x:v>deterministic_validation</x:v>
      </x:c>
      <x:c r="E22" s="48" t="str">
        <x:v>artifacts/attempt_03/deterministic_validation.json</x:v>
      </x:c>
      <x:c r="F22" s="47" t="str">
        <x:v>ef813fd88fd084f97a788a1a7f2884cf07d461ef3f2215c91f1b5139ddf62a17</x:v>
      </x:c>
      <x:c r="G22" s="59" t="n">
        <x:v>891</x:v>
      </x:c>
    </x:row>
    <x:row r="23">
      <x:c r="A23" s="47" t="str">
        <x:v>RUN-IMO-118-20260827T145143940531Z</x:v>
      </x:c>
      <x:c r="B23" s="47" t="str">
        <x:v>IMO-118</x:v>
      </x:c>
      <x:c r="C23" s="59" t="n">
        <x:v>3</x:v>
      </x:c>
      <x:c r="D23" s="47" t="str">
        <x:v>validator_prompt</x:v>
      </x:c>
      <x:c r="E23" s="48" t="str">
        <x:v>artifacts/attempt_03/validator_prompt_01.txt</x:v>
      </x:c>
      <x:c r="F23" s="47" t="str">
        <x:v>96d7a564710adcdf8b03a874fb191cbe7569b0a5925df40c28e514e74f8efd89</x:v>
      </x:c>
      <x:c r="G23" s="59" t="n">
        <x:v>36172</x:v>
      </x:c>
    </x:row>
    <x:row r="24">
      <x:c r="A24" s="47" t="str">
        <x:v>RUN-IMO-118-20260827T145143940531Z</x:v>
      </x:c>
      <x:c r="B24" s="47" t="str">
        <x:v>IMO-118</x:v>
      </x:c>
      <x:c r="C24" s="59" t="n">
        <x:v>3</x:v>
      </x:c>
      <x:c r="D24" s="47" t="str">
        <x:v>validator_raw_response</x:v>
      </x:c>
      <x:c r="E24" s="48" t="str">
        <x:v>artifacts/attempt_03/validator_raw_01.txt</x:v>
      </x:c>
      <x:c r="F24" s="47" t="str">
        <x:v>7025d64eee51ce559fcfd7d7566e37284bd9b6ea0fbff889cce22d0cb60a93c4</x:v>
      </x:c>
      <x:c r="G24" s="59" t="n">
        <x:v>463</x:v>
      </x:c>
    </x:row>
    <x:row r="25">
      <x:c r="A25" s="49" t="str">
        <x:v>RUN-IMO-118-20260827T145143940531Z</x:v>
      </x:c>
      <x:c r="B25" s="49" t="str">
        <x:v>IMO-118</x:v>
      </x:c>
      <x:c r="C25" s="60" t="n">
        <x:v>3</x:v>
      </x:c>
      <x:c r="D25" s="49" t="str">
        <x:v>final_accepted_shape</x:v>
      </x:c>
      <x:c r="E25" s="50" t="str">
        <x:v>final/final_shape.ttl</x:v>
      </x:c>
      <x:c r="F25" s="49" t="str">
        <x:v>330dacc68d14b44456e9e0c905a967ebeac42cc61ea486ddae36319b51efbbff</x:v>
      </x:c>
      <x:c r="G25" s="60" t="n">
        <x:v>4428</x:v>
      </x:c>
    </x:row>
  </x:sheetData>
  <x:pageMargins left="0.7" right="0.7" top="0.75" bottom="0.75" header="0.3" footer="0.3"/>
  <x:tableParts count="1">
    <x:tablePart xmlns:r="http://schemas.openxmlformats.org/officeDocument/2006/relationships" r:id="Rc3d59378f60d4a84"/>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RUN-IMO-118-20260827T145143940531Z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6"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RUN-IMO-118-20260827T145143940531Z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RUN-IMO-118-20260827T145143940531Z</x:v>
      </x:c>
      <x:c r="B5" s="69" t="str">
        <x:v>IMO-118</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7447e1f30d5e42a6"/>
  </x:tableParts>
</x:worksheet>
</file>