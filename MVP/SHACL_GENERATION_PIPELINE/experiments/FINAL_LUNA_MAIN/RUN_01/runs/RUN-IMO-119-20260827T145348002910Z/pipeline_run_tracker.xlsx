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04f458356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54daddc8274361"/>
    <x:sheet xmlns:r="http://schemas.openxmlformats.org/officeDocument/2006/relationships" name="README" sheetId="2" r:id="R2b9aa25e4e9e41db"/>
    <x:sheet xmlns:r="http://schemas.openxmlformats.org/officeDocument/2006/relationships" name="REGULATION_QUEUE" sheetId="3" r:id="Rf624656c3534458b"/>
    <x:sheet xmlns:r="http://schemas.openxmlformats.org/officeDocument/2006/relationships" name="RUNS" sheetId="4" r:id="Rf64b89059132488c"/>
    <x:sheet xmlns:r="http://schemas.openxmlformats.org/officeDocument/2006/relationships" name="ITERATIONS" sheetId="5" r:id="Rec826c5e97fb4bc2"/>
    <x:sheet xmlns:r="http://schemas.openxmlformats.org/officeDocument/2006/relationships" name="API_CALLS" sheetId="6" r:id="R721359cb654e45f9"/>
    <x:sheet xmlns:r="http://schemas.openxmlformats.org/officeDocument/2006/relationships" name="TERM_RETRIEVAL" sheetId="7" r:id="R95d3981ca8bf4c90"/>
    <x:sheet xmlns:r="http://schemas.openxmlformats.org/officeDocument/2006/relationships" name="FEW_SHOT_SELECTION" sheetId="8" r:id="Ra7ccf3fdb8134c04"/>
    <x:sheet xmlns:r="http://schemas.openxmlformats.org/officeDocument/2006/relationships" name="VALIDATION" sheetId="9" r:id="Rd65299e48b3346dd"/>
    <x:sheet xmlns:r="http://schemas.openxmlformats.org/officeDocument/2006/relationships" name="VOCAB_MATCHES" sheetId="10" r:id="Rbc3a494224694e79"/>
    <x:sheet xmlns:r="http://schemas.openxmlformats.org/officeDocument/2006/relationships" name="ARTIFACTS" sheetId="11" r:id="Rc1754a63421f4b9f"/>
    <x:sheet xmlns:r="http://schemas.openxmlformats.org/officeDocument/2006/relationships" name="UNRESOLVED" sheetId="12" r:id="R47685a0b9bfa464a"/>
    <x:sheet xmlns:r="http://schemas.openxmlformats.org/officeDocument/2006/relationships" name="RDF_TEST_QUEUE" sheetId="13" r:id="R040c5258980e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8dc5b30f64ce1" /><Relationship Type="http://schemas.openxmlformats.org/officeDocument/2006/relationships/theme" Target="/xl/theme/theme1.xml" Id="Ra04b4b7517424fd0" /><Relationship Type="http://schemas.microsoft.com/office/2022/11/relationships/FeaturePropertyBag" Target="/xl/featurePropertyBag/featurePropertyBag.xml" Id="R62779bfb2bae4812" /><Relationship Type="http://schemas.openxmlformats.org/officeDocument/2006/relationships/sharedStrings" Target="/xl/sharedStrings.xml" Id="R3914920b57ee48c4" /><Relationship Type="http://schemas.openxmlformats.org/officeDocument/2006/relationships/worksheet" Target="/xl/worksheets/sheet1.xml" Id="Rc654daddc8274361" /><Relationship Type="http://schemas.openxmlformats.org/officeDocument/2006/relationships/worksheet" Target="/xl/worksheets/sheet2.xml" Id="R2b9aa25e4e9e41db" /><Relationship Type="http://schemas.openxmlformats.org/officeDocument/2006/relationships/worksheet" Target="/xl/worksheets/sheet3.xml" Id="Rf624656c3534458b" /><Relationship Type="http://schemas.openxmlformats.org/officeDocument/2006/relationships/worksheet" Target="/xl/worksheets/sheet4.xml" Id="Rf64b89059132488c" /><Relationship Type="http://schemas.openxmlformats.org/officeDocument/2006/relationships/worksheet" Target="/xl/worksheets/sheet5.xml" Id="Rec826c5e97fb4bc2" /><Relationship Type="http://schemas.openxmlformats.org/officeDocument/2006/relationships/worksheet" Target="/xl/worksheets/sheet6.xml" Id="R721359cb654e45f9" /><Relationship Type="http://schemas.openxmlformats.org/officeDocument/2006/relationships/worksheet" Target="/xl/worksheets/sheet7.xml" Id="R95d3981ca8bf4c90" /><Relationship Type="http://schemas.openxmlformats.org/officeDocument/2006/relationships/worksheet" Target="/xl/worksheets/sheet8.xml" Id="Ra7ccf3fdb8134c04" /><Relationship Type="http://schemas.openxmlformats.org/officeDocument/2006/relationships/worksheet" Target="/xl/worksheets/sheet9.xml" Id="Rd65299e48b3346dd" /><Relationship Type="http://schemas.openxmlformats.org/officeDocument/2006/relationships/worksheet" Target="/xl/worksheets/sheet10.xml" Id="Rbc3a494224694e79" /><Relationship Type="http://schemas.openxmlformats.org/officeDocument/2006/relationships/worksheet" Target="/xl/worksheets/sheet11.xml" Id="Rc1754a63421f4b9f" /><Relationship Type="http://schemas.openxmlformats.org/officeDocument/2006/relationships/worksheet" Target="/xl/worksheets/sheet12.xml" Id="R47685a0b9bfa464a" /><Relationship Type="http://schemas.openxmlformats.org/officeDocument/2006/relationships/worksheet" Target="/xl/worksheets/sheet13.xml" Id="R040c5258980e4c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0cc4e654c247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79dc739ef245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5fdf88178b4f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2993013fad47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2c73bc1a7047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96f3b7fdec4a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bcd16925b146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6f1caab09a41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e61c113a8b42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b2a2be77f048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RUN-IMO-119-20260827T145348002910Z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21022.963499999998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RUN-IMO-119-20260827T145348002910Z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0cc4e654c247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RUN-IMO-119-20260827T145348002910Z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GENERATION_ACCEPTED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9dc739ef245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RUN-IMO-119-20260827T145348002910Z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RUN-IMO-119-20260827T145348002910Z</x:v>
      </x:c>
      <x:c r="C5" s="69" t="str">
        <x:v>IMO-119</x:v>
      </x:c>
      <x:c r="D5" s="70" t="n">
        <x:v>46261.62069447917</x:v>
      </x:c>
      <x:c r="E5" s="70" t="n">
        <x:v>46261.621671712965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conditional requirement: it targets ships, requires the applicability inputs with the declared datatypes and unit, applies the A/B and ice-concentration threshold in the correct direction, and requires treatment-plant use plus both approved evidence states only when applicable. It also omits the non-required marpolCertificationStatus constraint as directed by prior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fdf88178b4f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RUN-IMO-119-20260827T145348002910Z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RUN-IMO-119-20260827T145348002910Z</x:v>
      </x:c>
      <x:c r="B5" s="45" t="str">
        <x:v>IMO-119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top-level sh:or alternatives with a faithful conditional implication that cannot pass when applicability evidence is missing; the current branches allow a ship with only extendedPeriodOperation=false, sewageDischargeOccurs=false, iceConcentration&lt;=1, or category C to pass while omitting the other declared inputs. Under the applicable A/B, ice&gt;1, extended=true, discharge=true condition, require approvedSewageTreatmentPlantUsed=true, require the MARPOL Annex IV 9.1.1-or-9.2.1 certification status to encode the required compliant/approved state rather than mere evidenceState presence, and require administrationDischargeApprovalStatus=evidenceStateApproved. Remove the extra marpolCertificationStatus presence constraint unless it is independently required by the verified obligation.</x:v>
      </x:c>
      <x:c r="I5" s="81" t="n">
        <x:v>23496.88</x:v>
      </x:c>
      <x:c r="J5" s="81" t="n">
        <x:v>17420.281</x:v>
      </x:c>
    </x:row>
    <x:row r="6">
      <x:c r="A6" s="49" t="str">
        <x:v>RUN-IMO-119-20260827T145348002910Z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DIRECT_STATIC conditional requirement: it targets ships, requires the applicability inputs with the declared datatypes and unit, applies the A/B and ice-concentration threshold in the correct direction, and requires treatment-plant use plus both approved evidence states only when applicable. It also omits the non-required marpolCertificationStatus constraint as directed by prior feedback.</x:v>
      </x:c>
      <x:c r="I6" s="83" t="n">
        <x:v>28198.634</x:v>
      </x:c>
      <x:c r="J6" s="83" t="n">
        <x:v>14978.905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993013fad47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RUN-IMO-119-20260827T145348002910Z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RUN-IMO-119-20260827T145348002910Z</x:v>
      </x:c>
      <x:c r="C5" s="45" t="str">
        <x:v>IMO-119</x:v>
      </x:c>
      <x:c r="D5" s="90" t="n">
        <x:v>46261.62096644676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23495.222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RUN-IMO-119-20260827T145348002910Z</x:v>
      </x:c>
      <x:c r="C6" s="47" t="str">
        <x:v>IMO-119</x:v>
      </x:c>
      <x:c r="D6" s="91" t="n">
        <x:v>46261.620966469905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23496.88</x:v>
      </x:c>
      <x:c r="L6" s="93" t="b">
        <x:v>0</x:v>
      </x:c>
      <x:c r="M6" s="47" t="str">
        <x:v>resp_0fd10793ff3e59d7006a904f7c1b74819096cad4fcb188f765</x:v>
      </x:c>
      <x:c r="N6" s="59" t="n">
        <x:v>11690</x:v>
      </x:c>
      <x:c r="O6" s="59" t="n">
        <x:v>2379</x:v>
      </x:c>
      <x:c r="P6" s="59" t="n">
        <x:v>14069</x:v>
      </x:c>
    </x:row>
    <x:row r="7">
      <x:c r="A7" s="47" t="str">
        <x:v>EVT-000040</x:v>
      </x:c>
      <x:c r="B7" s="47" t="str">
        <x:v>RUN-IMO-119-20260827T145348002910Z</x:v>
      </x:c>
      <x:c r="C7" s="47" t="str">
        <x:v>IMO-119</x:v>
      </x:c>
      <x:c r="D7" s="91" t="n">
        <x:v>46261.621170266204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17418.749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RUN-IMO-119-20260827T145348002910Z</x:v>
      </x:c>
      <x:c r="C8" s="47" t="str">
        <x:v>IMO-119</x:v>
      </x:c>
      <x:c r="D8" s="91" t="n">
        <x:v>46261.62117027778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17420.281</x:v>
      </x:c>
      <x:c r="L8" s="93" t="b">
        <x:v>0</x:v>
      </x:c>
      <x:c r="M8" s="47" t="str">
        <x:v>resp_00ecba3f39a77066006a904f93d5c881948392c393d99b2c9f</x:v>
      </x:c>
      <x:c r="N8" s="59" t="n">
        <x:v>11777</x:v>
      </x:c>
      <x:c r="O8" s="59" t="n">
        <x:v>1209</x:v>
      </x:c>
      <x:c r="P8" s="59" t="n">
        <x:v>12986</x:v>
      </x:c>
    </x:row>
    <x:row r="9">
      <x:c r="A9" s="47" t="str">
        <x:v>EVT-000046</x:v>
      </x:c>
      <x:c r="B9" s="47" t="str">
        <x:v>RUN-IMO-119-20260827T145348002910Z</x:v>
      </x:c>
      <x:c r="C9" s="47" t="str">
        <x:v>IMO-119</x:v>
      </x:c>
      <x:c r="D9" s="91" t="n">
        <x:v>46261.62149671296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28197.681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RUN-IMO-119-20260827T145348002910Z</x:v>
      </x:c>
      <x:c r="C10" s="47" t="str">
        <x:v>IMO-119</x:v>
      </x:c>
      <x:c r="D10" s="91" t="n">
        <x:v>46261.62149672454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28198.634</x:v>
      </x:c>
      <x:c r="L10" s="93" t="b">
        <x:v>0</x:v>
      </x:c>
      <x:c r="M10" s="47" t="str">
        <x:v>resp_024406af8fc6eb6f006a904fa566688194bd9dcd55bab42a52</x:v>
      </x:c>
      <x:c r="N10" s="59" t="n">
        <x:v>11844</x:v>
      </x:c>
      <x:c r="O10" s="59" t="n">
        <x:v>2767</x:v>
      </x:c>
      <x:c r="P10" s="59" t="n">
        <x:v>14611</x:v>
      </x:c>
    </x:row>
    <x:row r="11">
      <x:c r="A11" s="47" t="str">
        <x:v>EVT-000054</x:v>
      </x:c>
      <x:c r="B11" s="47" t="str">
        <x:v>RUN-IMO-119-20260827T145348002910Z</x:v>
      </x:c>
      <x:c r="C11" s="47" t="str">
        <x:v>IMO-119</x:v>
      </x:c>
      <x:c r="D11" s="91" t="n">
        <x:v>46261.62167163195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14977.356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RUN-IMO-119-20260827T145348002910Z</x:v>
      </x:c>
      <x:c r="C12" s="49" t="str">
        <x:v>IMO-119</x:v>
      </x:c>
      <x:c r="D12" s="94" t="n">
        <x:v>46261.62167165509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14978.905</x:v>
      </x:c>
      <x:c r="L12" s="82" t="b">
        <x:v>0</x:v>
      </x:c>
      <x:c r="M12" s="49" t="str">
        <x:v>resp_0cd0d57a6107ea6c006a904fc18fac81939346b61018a87453</x:v>
      </x:c>
      <x:c r="N12" s="60" t="n">
        <x:v>11797</x:v>
      </x:c>
      <x:c r="O12" s="60" t="n">
        <x:v>1129</x:v>
      </x:c>
      <x:c r="P12" s="60" t="n">
        <x:v>12926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c73bc1a7047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RUN-IMO-119-20260827T145348002910Z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RUN-IMO-119-20260827T145348002910Z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RUN-IMO-119-20260827T145348002910Z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RUN-IMO-119-20260827T145348002910Z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RUN-IMO-119-20260827T145348002910Z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RUN-IMO-119-20260827T145348002910Z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RUN-IMO-119-20260827T145348002910Z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RUN-IMO-119-20260827T145348002910Z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RUN-IMO-119-20260827T145348002910Z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RUN-IMO-119-20260827T145348002910Z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RUN-IMO-119-20260827T145348002910Z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RUN-IMO-119-20260827T145348002910Z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RUN-IMO-119-20260827T145348002910Z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RUN-IMO-119-20260827T145348002910Z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RUN-IMO-119-20260827T145348002910Z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RUN-IMO-119-20260827T145348002910Z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RUN-IMO-119-20260827T145348002910Z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RUN-IMO-119-20260827T145348002910Z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RUN-IMO-119-20260827T145348002910Z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RUN-IMO-119-20260827T145348002910Z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RUN-IMO-119-20260827T145348002910Z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RUN-IMO-119-20260827T145348002910Z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RUN-IMO-119-20260827T145348002910Z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RUN-IMO-119-20260827T145348002910Z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RUN-IMO-119-20260827T145348002910Z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96f3b7fdec4a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RUN-IMO-119-20260827T145348002910Z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RUN-IMO-119-20260827T145348002910Z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7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RUN-IMO-119-20260827T145348002910Z</x:v>
      </x:c>
      <x:c r="B6" s="49" t="str">
        <x:v>IMO-119</x:v>
      </x:c>
      <x:c r="C6" s="49" t="str">
        <x:v>FS-BOOL-01</x:v>
      </x:c>
      <x:c r="D6" s="49" t="str">
        <x:v>boolean_state</x:v>
      </x:c>
      <x:c r="E6" s="98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cd16925b146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RUN-IMO-119-20260827T145348002910Z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RUN-IMO-119-20260827T145348002910Z</x:v>
      </x:c>
      <x:c r="B5" s="45" t="str">
        <x:v>IMO-119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https://w3id.org/nltl/vocab#administrationDischargeApprovalStatus | https://w3id.org/nltl/vocab#approvedSewageTreatmentPlantUsed | https://w3id.org/nltl/vocab#evidenceState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RUN-IMO-119-20260827T145348002910Z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56f1caab09a41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RUN-IMO-119-20260827T145348002910Z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RUN-IMO-119-20260827T145348002910Z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RUN-IMO-119-20260827T145348002910Z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RUN-IMO-119-20260827T145348002910Z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RUN-IMO-119-20260827T145348002910Z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RUN-IMO-119-20260827T145348002910Z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247c091bf1656a0194f35d4ca513d73db49f9d7b35ca3af6aaf5c0cb9e86fbc6</x:v>
      </x:c>
      <x:c r="G8" s="59" t="n">
        <x:v>4358</x:v>
      </x:c>
    </x:row>
    <x:row r="9">
      <x:c r="A9" s="47" t="str">
        <x:v>RUN-IMO-119-20260827T145348002910Z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28f468c841699162d20460540c96bcb5514dae75741c90461ff1e038d94d0820</x:v>
      </x:c>
      <x:c r="G9" s="59" t="n">
        <x:v>4333</x:v>
      </x:c>
    </x:row>
    <x:row r="10">
      <x:c r="A10" s="47" t="str">
        <x:v>RUN-IMO-119-20260827T145348002910Z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22fa883f57eb1dfde87a64618463d86ba924976ba69b2dde06599f300b25f679</x:v>
      </x:c>
      <x:c r="G10" s="59" t="n">
        <x:v>1221</x:v>
      </x:c>
    </x:row>
    <x:row r="11">
      <x:c r="A11" s="47" t="str">
        <x:v>RUN-IMO-119-20260827T145348002910Z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2ff7e8f63da03b4dbad6ca4561ac6cae80f58434675edfcd9ab14cb0596b5ea0</x:v>
      </x:c>
      <x:c r="G11" s="59" t="n">
        <x:v>47525</x:v>
      </x:c>
    </x:row>
    <x:row r="12">
      <x:c r="A12" s="47" t="str">
        <x:v>RUN-IMO-119-20260827T145348002910Z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592b06e5f30019f8d0c4875ea0cea79795805e5b2fbcfbd785b34e637c990734</x:v>
      </x:c>
      <x:c r="G12" s="59" t="n">
        <x:v>864</x:v>
      </x:c>
    </x:row>
    <x:row r="13">
      <x:c r="A13" s="47" t="str">
        <x:v>RUN-IMO-119-20260827T145348002910Z</x:v>
      </x:c>
      <x:c r="B13" s="47" t="str">
        <x:v>IMO-119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8307b2fc3ed0d56fd109f688e29c6703e7a3388bdcbb010e9c2ce5c679867b3b</x:v>
      </x:c>
      <x:c r="G13" s="59" t="n">
        <x:v>48737</x:v>
      </x:c>
    </x:row>
    <x:row r="14">
      <x:c r="A14" s="47" t="str">
        <x:v>RUN-IMO-119-20260827T145348002910Z</x:v>
      </x:c>
      <x:c r="B14" s="47" t="str">
        <x:v>IMO-119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451a312fed6ef547401c073dafa8d7abbd14fcf84a8d3c67e153de886f4faa95</x:v>
      </x:c>
      <x:c r="G14" s="59" t="n">
        <x:v>4525</x:v>
      </x:c>
    </x:row>
    <x:row r="15">
      <x:c r="A15" s="47" t="str">
        <x:v>RUN-IMO-119-20260827T145348002910Z</x:v>
      </x:c>
      <x:c r="B15" s="47" t="str">
        <x:v>IMO-119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06b7c0659f3877aa39106a5ccf6791ca2cdfe9e9d8a509f99f7a0fe478ea7797</x:v>
      </x:c>
      <x:c r="G15" s="59" t="n">
        <x:v>4500</x:v>
      </x:c>
    </x:row>
    <x:row r="16">
      <x:c r="A16" s="47" t="str">
        <x:v>RUN-IMO-119-20260827T145348002910Z</x:v>
      </x:c>
      <x:c r="B16" s="47" t="str">
        <x:v>IMO-119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ac5a0deaf0e1c16af6f3ece9173c2d8e9d4089af21741919daab6bc52bc10fdc</x:v>
      </x:c>
      <x:c r="G16" s="59" t="n">
        <x:v>1111</x:v>
      </x:c>
    </x:row>
    <x:row r="17">
      <x:c r="A17" s="47" t="str">
        <x:v>RUN-IMO-119-20260827T145348002910Z</x:v>
      </x:c>
      <x:c r="B17" s="47" t="str">
        <x:v>IMO-119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ee14f7b5feb4a088a5c7fb77ce3f8673054c472340ca231cc47cda4d219a7185</x:v>
      </x:c>
      <x:c r="G17" s="59" t="n">
        <x:v>47734</x:v>
      </x:c>
    </x:row>
    <x:row r="18">
      <x:c r="A18" s="47" t="str">
        <x:v>RUN-IMO-119-20260827T145348002910Z</x:v>
      </x:c>
      <x:c r="B18" s="47" t="str">
        <x:v>IMO-119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b77ea2c20fa5bf72d7ab9e74c2b83dcf7e113aba0976e491134bd9c705c2ac1d</x:v>
      </x:c>
      <x:c r="G18" s="59" t="n">
        <x:v>491</x:v>
      </x:c>
    </x:row>
    <x:row r="19">
      <x:c r="A19" s="49" t="str">
        <x:v>RUN-IMO-119-20260827T145348002910Z</x:v>
      </x:c>
      <x:c r="B19" s="49" t="str">
        <x:v>IMO-119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06b7c0659f3877aa39106a5ccf6791ca2cdfe9e9d8a509f99f7a0fe478ea7797</x:v>
      </x:c>
      <x:c r="G19" s="60" t="n">
        <x:v>4500</x:v>
      </x:c>
    </x:row>
  </x:sheetData>
  <x:pageMargins left="0.7" right="0.7" top="0.75" bottom="0.75" header="0.3" footer="0.3"/>
  <x:tableParts count="1">
    <x:tablePart xmlns:r="http://schemas.openxmlformats.org/officeDocument/2006/relationships" r:id="R13e61c113a8b42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RUN-IMO-119-20260827T145348002910Z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RUN-IMO-119-20260827T145348002910Z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RUN-IMO-119-20260827T145348002910Z</x:v>
      </x:c>
      <x:c r="B5" s="69" t="str">
        <x:v>IMO-119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2a2be77f04835"/>
  </x:tableParts>
</x:worksheet>
</file>