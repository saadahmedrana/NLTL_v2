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a21ab7ad2840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42ae3101ba44aa"/>
    <x:sheet xmlns:r="http://schemas.openxmlformats.org/officeDocument/2006/relationships" name="README" sheetId="2" r:id="R36f519795cd4414b"/>
    <x:sheet xmlns:r="http://schemas.openxmlformats.org/officeDocument/2006/relationships" name="REGULATION_QUEUE" sheetId="3" r:id="R910fbdb2ddf141a6"/>
    <x:sheet xmlns:r="http://schemas.openxmlformats.org/officeDocument/2006/relationships" name="RUNS" sheetId="4" r:id="Redd4380b77264171"/>
    <x:sheet xmlns:r="http://schemas.openxmlformats.org/officeDocument/2006/relationships" name="ITERATIONS" sheetId="5" r:id="R27a1977e40db4cb7"/>
    <x:sheet xmlns:r="http://schemas.openxmlformats.org/officeDocument/2006/relationships" name="API_CALLS" sheetId="6" r:id="Rfa4c3f1c4ffb4c11"/>
    <x:sheet xmlns:r="http://schemas.openxmlformats.org/officeDocument/2006/relationships" name="TERM_RETRIEVAL" sheetId="7" r:id="R9b040cc07da34067"/>
    <x:sheet xmlns:r="http://schemas.openxmlformats.org/officeDocument/2006/relationships" name="FEW_SHOT_SELECTION" sheetId="8" r:id="Rc95b2937b0094d81"/>
    <x:sheet xmlns:r="http://schemas.openxmlformats.org/officeDocument/2006/relationships" name="VALIDATION" sheetId="9" r:id="R4246b486851f47d2"/>
    <x:sheet xmlns:r="http://schemas.openxmlformats.org/officeDocument/2006/relationships" name="VOCAB_MATCHES" sheetId="10" r:id="Rb71f095fc5bf48bf"/>
    <x:sheet xmlns:r="http://schemas.openxmlformats.org/officeDocument/2006/relationships" name="ARTIFACTS" sheetId="11" r:id="R285196c932ae4d71"/>
    <x:sheet xmlns:r="http://schemas.openxmlformats.org/officeDocument/2006/relationships" name="UNRESOLVED" sheetId="12" r:id="R3027fa212c654e39"/>
    <x:sheet xmlns:r="http://schemas.openxmlformats.org/officeDocument/2006/relationships" name="RDF_TEST_QUEUE" sheetId="13" r:id="Rdf929287d35f46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4ed1d393b841d2" /><Relationship Type="http://schemas.openxmlformats.org/officeDocument/2006/relationships/theme" Target="/xl/theme/theme1.xml" Id="R7a8c27e0ef164d4b" /><Relationship Type="http://schemas.microsoft.com/office/2022/11/relationships/FeaturePropertyBag" Target="/xl/featurePropertyBag/featurePropertyBag.xml" Id="R9f33a21a09e64eaf" /><Relationship Type="http://schemas.openxmlformats.org/officeDocument/2006/relationships/sharedStrings" Target="/xl/sharedStrings.xml" Id="R8814f034bc44412d" /><Relationship Type="http://schemas.openxmlformats.org/officeDocument/2006/relationships/worksheet" Target="/xl/worksheets/sheet1.xml" Id="R2042ae3101ba44aa" /><Relationship Type="http://schemas.openxmlformats.org/officeDocument/2006/relationships/worksheet" Target="/xl/worksheets/sheet2.xml" Id="R36f519795cd4414b" /><Relationship Type="http://schemas.openxmlformats.org/officeDocument/2006/relationships/worksheet" Target="/xl/worksheets/sheet3.xml" Id="R910fbdb2ddf141a6" /><Relationship Type="http://schemas.openxmlformats.org/officeDocument/2006/relationships/worksheet" Target="/xl/worksheets/sheet4.xml" Id="Redd4380b77264171" /><Relationship Type="http://schemas.openxmlformats.org/officeDocument/2006/relationships/worksheet" Target="/xl/worksheets/sheet5.xml" Id="R27a1977e40db4cb7" /><Relationship Type="http://schemas.openxmlformats.org/officeDocument/2006/relationships/worksheet" Target="/xl/worksheets/sheet6.xml" Id="Rfa4c3f1c4ffb4c11" /><Relationship Type="http://schemas.openxmlformats.org/officeDocument/2006/relationships/worksheet" Target="/xl/worksheets/sheet7.xml" Id="R9b040cc07da34067" /><Relationship Type="http://schemas.openxmlformats.org/officeDocument/2006/relationships/worksheet" Target="/xl/worksheets/sheet8.xml" Id="Rc95b2937b0094d81" /><Relationship Type="http://schemas.openxmlformats.org/officeDocument/2006/relationships/worksheet" Target="/xl/worksheets/sheet9.xml" Id="R4246b486851f47d2" /><Relationship Type="http://schemas.openxmlformats.org/officeDocument/2006/relationships/worksheet" Target="/xl/worksheets/sheet10.xml" Id="Rb71f095fc5bf48bf" /><Relationship Type="http://schemas.openxmlformats.org/officeDocument/2006/relationships/worksheet" Target="/xl/worksheets/sheet11.xml" Id="R285196c932ae4d71" /><Relationship Type="http://schemas.openxmlformats.org/officeDocument/2006/relationships/worksheet" Target="/xl/worksheets/sheet12.xml" Id="R3027fa212c654e39" /><Relationship Type="http://schemas.openxmlformats.org/officeDocument/2006/relationships/worksheet" Target="/xl/worksheets/sheet13.xml" Id="Rdf929287d35f466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59ed639f8c44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2250cc9adc47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e88315f08c4f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4c42c1068c4a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e808c654914a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8f53c08ef334b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dbcf5e6c10c4e3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77ee6ebc85447d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864bed6a4c64e5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4029ab49adc433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2a73981e6de4d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RUN-IMO26-018-20260827T151529292040Z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9548.234333333334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RUN-IMO26-018-20260827T151529292040Z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259ed639f8c445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RUN-IMO26-018-20260827T151529292040Z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TERM_RESOLUTION_UNRESOLVED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2250cc9adc472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RUN-IMO26-018-20260827T151529292040Z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RUN-IMO26-018-20260827T151529292040Z</x:v>
      </x:c>
      <x:c r="C5" s="69" t="str">
        <x:v>IMO26-018</x:v>
      </x:c>
      <x:c r="D5" s="70" t="n">
        <x:v>46261.63575569444</x:v>
      </x:c>
      <x:c r="E5" s="70" t="n">
        <x:v>46261.63610017361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supported: voyagePlanningTopicCoverage is explicitly only a boolean summary approximation and cannot represent the nine required topic indicators; the other candidates are unrelated.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e88315f08c4fd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RUN-IMO26-018-20260827T151529292040Z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RUN-IMO26-018-20260827T151529292040Z</x:v>
      </x:c>
      <x:c r="B5" s="69" t="str">
        <x:v>IMO26-018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Do not encode the nine clause 11-1.3 topics as a single voyagePlanningTopicCoverage boolean: that is only a presence/summary approximation and does not verify coverage of each required topic. Add canonical terms and SHACL constraints for all nine topic indicators (or the canonical route-planning record/topic relationship terms if that is the approved model), while retaining the existing ship ownership and applicability/SMS conditional logic. The required canonical concepts are absent from the supplied scoped vocabulary, so locate them with the variable matcher.</x:v>
      </x:c>
      <x:c r="I5" s="75" t="n">
        <x:v>18190.896</x:v>
      </x:c>
      <x:c r="J5" s="75" t="n">
        <x:v>8383.016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4c42c1068c4a9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RUN-IMO26-018-20260827T151529292040Z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RUN-IMO26-018-20260827T151529292040Z</x:v>
      </x:c>
      <x:c r="C5" s="45" t="str">
        <x:v>IMO26-018</x:v>
      </x:c>
      <x:c r="D5" s="88" t="n">
        <x:v>46261.63596623843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18189.386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RUN-IMO26-018-20260827T151529292040Z</x:v>
      </x:c>
      <x:c r="C6" s="47" t="str">
        <x:v>IMO26-018</x:v>
      </x:c>
      <x:c r="D6" s="91" t="n">
        <x:v>46261.63596626157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18190.896</x:v>
      </x:c>
      <x:c r="L6" s="93" t="b">
        <x:v>0</x:v>
      </x:c>
      <x:c r="M6" s="47" t="str">
        <x:v>resp_028546aff6576084006a90549163988196bb81dddd6b690736</x:v>
      </x:c>
      <x:c r="N6" s="59" t="n">
        <x:v>6185</x:v>
      </x:c>
      <x:c r="O6" s="59" t="n">
        <x:v>1789</x:v>
      </x:c>
      <x:c r="P6" s="59" t="n">
        <x:v>7974</x:v>
      </x:c>
    </x:row>
    <x:row r="7">
      <x:c r="A7" s="47" t="str">
        <x:v>EVT-000022</x:v>
      </x:c>
      <x:c r="B7" s="47" t="str">
        <x:v>RUN-IMO26-018-20260827T151529292040Z</x:v>
      </x:c>
      <x:c r="C7" s="47" t="str">
        <x:v>IMO26-018</x:v>
      </x:c>
      <x:c r="D7" s="91" t="n">
        <x:v>46261.636064618055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8381.846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RUN-IMO26-018-20260827T151529292040Z</x:v>
      </x:c>
      <x:c r="C8" s="47" t="str">
        <x:v>IMO26-018</x:v>
      </x:c>
      <x:c r="D8" s="91" t="n">
        <x:v>46261.63606462963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8383.016</x:v>
      </x:c>
      <x:c r="L8" s="93" t="b">
        <x:v>0</x:v>
      </x:c>
      <x:c r="M8" s="47" t="str">
        <x:v>resp_08f4841f5ebab717006a9054a3b42481938546b860cfb86c67</x:v>
      </x:c>
      <x:c r="N8" s="59" t="n">
        <x:v>5537</x:v>
      </x:c>
      <x:c r="O8" s="59" t="n">
        <x:v>640</x:v>
      </x:c>
      <x:c r="P8" s="59" t="n">
        <x:v>6177</x:v>
      </x:c>
    </x:row>
    <x:row r="9">
      <x:c r="A9" s="47" t="str">
        <x:v>EVT-000029</x:v>
      </x:c>
      <x:c r="B9" s="47" t="str">
        <x:v>RUN-IMO26-018-20260827T151529292040Z</x:v>
      </x:c>
      <x:c r="C9" s="47" t="str">
        <x:v>IMO26-018</x:v>
      </x:c>
      <x:c r="D9" s="91" t="n">
        <x:v>46261.63610015046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2071.678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RUN-IMO26-018-20260827T151529292040Z</x:v>
      </x:c>
      <x:c r="C10" s="49" t="str">
        <x:v>IMO26-018</x:v>
      </x:c>
      <x:c r="D10" s="94" t="n">
        <x:v>46261.63610016204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2072.584</x:v>
      </x:c>
      <x:c r="L10" s="96" t="b">
        <x:v>0</x:v>
      </x:c>
      <x:c r="M10" s="49" t="str">
        <x:v>resp_06d3bca19d1860e5006a9054ad15148190a09d08dc179a0fcf</x:v>
      </x:c>
      <x:c r="N10" s="60" t="n">
        <x:v>1971</x:v>
      </x:c>
      <x:c r="O10" s="60" t="n">
        <x:v>129</x:v>
      </x:c>
      <x:c r="P10" s="60" t="n">
        <x:v>2100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e808c654914ad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RUN-IMO26-018-20260827T151529292040Z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RUN-IMO26-018-20260827T151529292040Z</x:v>
      </x:c>
      <x:c r="B5" s="45" t="str">
        <x:v>IMO26-018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documentedPolarOperationProcedurePresent; domain dependency of polarCodeChapter11Dash1Applicable; domain dependency of safetyManagementSystemImplemented; domain dependency of voyagePlanningTopicCoverage</x:v>
      </x:c>
      <x:c r="J5" s="45" t="n">
        <x:v>0</x:v>
      </x:c>
    </x:row>
    <x:row r="6">
      <x:c r="A6" s="47" t="str">
        <x:v>RUN-IMO26-018-20260827T151529292040Z</x:v>
      </x:c>
      <x:c r="B6" s="47" t="str">
        <x:v>IMO26-018</x:v>
      </x:c>
      <x:c r="C6" s="47" t="str">
        <x:v>documentedPolarOperationProcedurePresent</x:v>
      </x:c>
      <x:c r="D6" s="48" t="str">
        <x:v>https://w3id.org/nltl/vocab#documentedPolarOperationProcedurePresent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RUN-IMO26-018-20260827T151529292040Z</x:v>
      </x:c>
      <x:c r="B7" s="47" t="str">
        <x:v>IMO26-018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RUN-IMO26-018-20260827T151529292040Z</x:v>
      </x:c>
      <x:c r="B8" s="47" t="str">
        <x:v>IMO26-018</x:v>
      </x:c>
      <x:c r="C8" s="47" t="str">
        <x:v>safetyManagementSystemImplemented</x:v>
      </x:c>
      <x:c r="D8" s="48" t="str">
        <x:v>https://w3id.org/nltl/vocab#safetyManagementSystemImplemented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RUN-IMO26-018-20260827T151529292040Z</x:v>
      </x:c>
      <x:c r="B9" s="47" t="str">
        <x:v>IMO26-018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RUN-IMO26-018-20260827T151529292040Z</x:v>
      </x:c>
      <x:c r="B10" s="49" t="str">
        <x:v>IMO26-018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8f53c08ef334b0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RUN-IMO26-018-20260827T151529292040Z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RUN-IMO26-018-20260827T151529292040Z</x:v>
      </x:c>
      <x:c r="B5" s="45" t="str">
        <x:v>IMO26-018</x:v>
      </x:c>
      <x:c r="C5" s="45" t="str">
        <x:v>FS-BOOL-01</x:v>
      </x:c>
      <x:c r="D5" s="45" t="str">
        <x:v>boolean_state</x:v>
      </x:c>
      <x:c r="E5" s="99" t="n">
        <x:v>0.025641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RUN-IMO26-018-20260827T151529292040Z</x:v>
      </x:c>
      <x:c r="B6" s="49" t="str">
        <x:v>IMO26-018</x:v>
      </x:c>
      <x:c r="C6" s="49" t="str">
        <x:v>FS-BOOL-02</x:v>
      </x:c>
      <x:c r="D6" s="49" t="str">
        <x:v>boolean_state</x:v>
      </x:c>
      <x:c r="E6" s="100" t="n">
        <x:v>0.025641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bcf5e6c10c4e3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RUN-IMO26-018-20260827T151529292040Z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RUN-IMO26-018-20260827T151529292040Z</x:v>
      </x:c>
      <x:c r="B5" s="69" t="str">
        <x:v>IMO26-018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https://w3id.org/nltl/vocab#documentedPolarOperationProcedurePresent | https://w3id.org/nltl/vocab#polarCodeChapter11Dash1Applicable | https://w3id.org/nltl/vocab#safetyManagementSystemImplemented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77ee6ebc85447d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RUN-IMO26-018-20260827T151529292040Z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RUN-IMO26-018-20260827T151529292040Z</x:v>
      </x:c>
      <x:c r="B5" s="45" t="str">
        <x:v>IMO26-018</x:v>
      </x:c>
      <x:c r="C5" s="58" t="n">
        <x:v>1</x:v>
      </x:c>
      <x:c r="D5" s="45" t="str">
        <x:v>matcher_search</x:v>
      </x:c>
      <x:c r="E5" s="46" t="str">
        <x:v>Do not encode the nine clause 11-1.3 topics as a single voyagePlanningTopicCoverage boolean: that is only a presence/summary approximation and does not verify coverage of each required topic. Add canonical terms and SHACL constraints for all nine topic indicators (or the canonical route-planning record/topic relationship terms if that is the approved model), while retaining the existing ship ownership and applicability/SMS conditional logic. The required canonical concepts are absent from the supplied scoped vocabulary, so locate them with the variable matcher.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RUN-IMO26-018-20260827T151529292040Z</x:v>
      </x:c>
      <x:c r="B6" s="49" t="str">
        <x:v>IMO26-018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semantically supported: voyagePlanningTopicCoverage is explicitly only a boolean summary approximation and cannot represent the nine required topic indicators; the other candidates are unrelated.</x:v>
      </x:c>
    </x:row>
  </x:sheetData>
  <x:pageMargins left="0.7" right="0.7" top="0.75" bottom="0.75" header="0.3" footer="0.3"/>
  <x:tableParts count="1">
    <x:tablePart xmlns:r="http://schemas.openxmlformats.org/officeDocument/2006/relationships" r:id="Re864bed6a4c64e5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RUN-IMO26-018-20260827T151529292040Z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RUN-IMO26-018-20260827T151529292040Z</x:v>
      </x:c>
      <x:c r="B5" s="45" t="str">
        <x:v>IMO26-018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7a3c24055366aefbe8a9204046581d2494966be5996f55168b8b8c7500bb9bcf</x:v>
      </x:c>
      <x:c r="G5" s="58" t="n">
        <x:v>12415</x:v>
      </x:c>
    </x:row>
    <x:row r="6">
      <x:c r="A6" s="47" t="str">
        <x:v>RUN-IMO26-018-20260827T151529292040Z</x:v>
      </x:c>
      <x:c r="B6" s="47" t="str">
        <x:v>IMO26-018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5aec2d7b6be287c7a389475bc805270bf365bb055960a4ad69f538410982f53e</x:v>
      </x:c>
      <x:c r="G6" s="59" t="n">
        <x:v>3110</x:v>
      </x:c>
    </x:row>
    <x:row r="7">
      <x:c r="A7" s="47" t="str">
        <x:v>RUN-IMO26-018-20260827T151529292040Z</x:v>
      </x:c>
      <x:c r="B7" s="47" t="str">
        <x:v>IMO26-018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5f8fb94007468e7f56687b8cfbeaa95b6c012b1923817d8ffd4acb3815c63594</x:v>
      </x:c>
      <x:c r="G7" s="59" t="n">
        <x:v>27039</x:v>
      </x:c>
    </x:row>
    <x:row r="8">
      <x:c r="A8" s="47" t="str">
        <x:v>RUN-IMO26-018-20260827T151529292040Z</x:v>
      </x:c>
      <x:c r="B8" s="47" t="str">
        <x:v>IMO26-018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40f74efd7cbfb7a24fb15151054550114bc23302bee573c638869e96b5a11433</x:v>
      </x:c>
      <x:c r="G8" s="59" t="n">
        <x:v>2227</x:v>
      </x:c>
    </x:row>
    <x:row r="9">
      <x:c r="A9" s="47" t="str">
        <x:v>RUN-IMO26-018-20260827T151529292040Z</x:v>
      </x:c>
      <x:c r="B9" s="47" t="str">
        <x:v>IMO26-018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8d9141aff3142c65856d16ce1fc7339b5f428889776883798c608b574c65f213</x:v>
      </x:c>
      <x:c r="G9" s="59" t="n">
        <x:v>2201</x:v>
      </x:c>
    </x:row>
    <x:row r="10">
      <x:c r="A10" s="47" t="str">
        <x:v>RUN-IMO26-018-20260827T151529292040Z</x:v>
      </x:c>
      <x:c r="B10" s="47" t="str">
        <x:v>IMO26-018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dcd747421dd70452b57957c377399a5c6bc7cf7ee86546545d452ce1116b561e</x:v>
      </x:c>
      <x:c r="G10" s="59" t="n">
        <x:v>706</x:v>
      </x:c>
    </x:row>
    <x:row r="11">
      <x:c r="A11" s="47" t="str">
        <x:v>RUN-IMO26-018-20260827T151529292040Z</x:v>
      </x:c>
      <x:c r="B11" s="47" t="str">
        <x:v>IMO26-018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528076ca0e1eb5a999d12297c4278be555b8a21eae7bde9ab2daa34adcc2589f</x:v>
      </x:c>
      <x:c r="G11" s="59" t="n">
        <x:v>24169</x:v>
      </x:c>
    </x:row>
    <x:row r="12">
      <x:c r="A12" s="47" t="str">
        <x:v>RUN-IMO26-018-20260827T151529292040Z</x:v>
      </x:c>
      <x:c r="B12" s="47" t="str">
        <x:v>IMO26-018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060687992a928596b325c2c974bd2f1b5f05e3419fa070d03d1d5d60c7a5a859</x:v>
      </x:c>
      <x:c r="G12" s="59" t="n">
        <x:v>630</x:v>
      </x:c>
    </x:row>
    <x:row r="13">
      <x:c r="A13" s="47" t="str">
        <x:v>RUN-IMO26-018-20260827T151529292040Z</x:v>
      </x:c>
      <x:c r="B13" s="47" t="str">
        <x:v>IMO26-018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69aff49e4d934385c67a1439cf036fb92244adea486bb3b0861837cfa7ae5712</x:v>
      </x:c>
      <x:c r="G13" s="59" t="n">
        <x:v>1723</x:v>
      </x:c>
    </x:row>
    <x:row r="14">
      <x:c r="A14" s="47" t="str">
        <x:v>RUN-IMO26-018-20260827T151529292040Z</x:v>
      </x:c>
      <x:c r="B14" s="47" t="str">
        <x:v>IMO26-018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ab7b3ed32675440bb926915bf472792a0bb5f73da670c4027cbe88a99bbaa5e3</x:v>
      </x:c>
      <x:c r="G14" s="59" t="n">
        <x:v>8478</x:v>
      </x:c>
    </x:row>
    <x:row r="15">
      <x:c r="A15" s="49" t="str">
        <x:v>RUN-IMO26-018-20260827T151529292040Z</x:v>
      </x:c>
      <x:c r="B15" s="49" t="str">
        <x:v>IMO26-018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26c60b993fbf90fb355b81aff72675f0b92c429f7f8f14f963be9e3e12b70fd4</x:v>
      </x:c>
      <x:c r="G15" s="60" t="n">
        <x:v>309</x:v>
      </x:c>
    </x:row>
  </x:sheetData>
  <x:pageMargins left="0.7" right="0.7" top="0.75" bottom="0.75" header="0.3" footer="0.3"/>
  <x:tableParts count="1">
    <x:tablePart xmlns:r="http://schemas.openxmlformats.org/officeDocument/2006/relationships" r:id="R44029ab49adc433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RUN-IMO26-018-20260827T151529292040Z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RUN-IMO26-018-20260827T151529292040Z</x:v>
      </x:c>
      <x:c r="B5" s="69" t="str">
        <x:v>IMO26-018</x:v>
      </x:c>
      <x:c r="C5" s="71" t="n">
        <x:v>1</x:v>
      </x:c>
      <x:c r="D5" s="69" t="str">
        <x:v>TERM_RESOLUTION_UNRESOLVED</x:v>
      </x:c>
      <x:c r="E5" s="73" t="str">
        <x:v>No supplied candidate is semantically supported: voyagePlanningTopicCoverage is explicitly only a boolean summary approximation and cannot represent the nine required topic indicators; the other candidates are unrelated.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a73981e6de4d7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RUN-IMO26-018-20260827T151529292040Z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