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6056716d8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625de1b61642ec"/>
    <x:sheet xmlns:r="http://schemas.openxmlformats.org/officeDocument/2006/relationships" name="README" sheetId="2" r:id="R8f1dc90a2df646d3"/>
    <x:sheet xmlns:r="http://schemas.openxmlformats.org/officeDocument/2006/relationships" name="REGULATION_QUEUE" sheetId="3" r:id="R6ac007e36e8a4834"/>
    <x:sheet xmlns:r="http://schemas.openxmlformats.org/officeDocument/2006/relationships" name="RUNS" sheetId="4" r:id="Rbec7de684cc54aea"/>
    <x:sheet xmlns:r="http://schemas.openxmlformats.org/officeDocument/2006/relationships" name="ITERATIONS" sheetId="5" r:id="R3929e3e8b3ed49f9"/>
    <x:sheet xmlns:r="http://schemas.openxmlformats.org/officeDocument/2006/relationships" name="API_CALLS" sheetId="6" r:id="R0efafed1e88346ff"/>
    <x:sheet xmlns:r="http://schemas.openxmlformats.org/officeDocument/2006/relationships" name="TERM_RETRIEVAL" sheetId="7" r:id="Rcfbeaee418fe495d"/>
    <x:sheet xmlns:r="http://schemas.openxmlformats.org/officeDocument/2006/relationships" name="FEW_SHOT_SELECTION" sheetId="8" r:id="Ra3054568f1774381"/>
    <x:sheet xmlns:r="http://schemas.openxmlformats.org/officeDocument/2006/relationships" name="VALIDATION" sheetId="9" r:id="R5cd1d2117fba47a3"/>
    <x:sheet xmlns:r="http://schemas.openxmlformats.org/officeDocument/2006/relationships" name="VOCAB_MATCHES" sheetId="10" r:id="Rfcd7448346db4dbb"/>
    <x:sheet xmlns:r="http://schemas.openxmlformats.org/officeDocument/2006/relationships" name="ARTIFACTS" sheetId="11" r:id="R8fd5bf574e0947fa"/>
    <x:sheet xmlns:r="http://schemas.openxmlformats.org/officeDocument/2006/relationships" name="UNRESOLVED" sheetId="12" r:id="Re41bb858a2c24944"/>
    <x:sheet xmlns:r="http://schemas.openxmlformats.org/officeDocument/2006/relationships" name="RDF_TEST_QUEUE" sheetId="13" r:id="R7549099e6fbc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54efaecd74947" /><Relationship Type="http://schemas.openxmlformats.org/officeDocument/2006/relationships/theme" Target="/xl/theme/theme1.xml" Id="Rd105e81b9bcd4c9b" /><Relationship Type="http://schemas.microsoft.com/office/2022/11/relationships/FeaturePropertyBag" Target="/xl/featurePropertyBag/featurePropertyBag.xml" Id="Re84924ba7a6a4b6b" /><Relationship Type="http://schemas.openxmlformats.org/officeDocument/2006/relationships/sharedStrings" Target="/xl/sharedStrings.xml" Id="R7dadfffac4194883" /><Relationship Type="http://schemas.openxmlformats.org/officeDocument/2006/relationships/worksheet" Target="/xl/worksheets/sheet1.xml" Id="Rad625de1b61642ec" /><Relationship Type="http://schemas.openxmlformats.org/officeDocument/2006/relationships/worksheet" Target="/xl/worksheets/sheet2.xml" Id="R8f1dc90a2df646d3" /><Relationship Type="http://schemas.openxmlformats.org/officeDocument/2006/relationships/worksheet" Target="/xl/worksheets/sheet3.xml" Id="R6ac007e36e8a4834" /><Relationship Type="http://schemas.openxmlformats.org/officeDocument/2006/relationships/worksheet" Target="/xl/worksheets/sheet4.xml" Id="Rbec7de684cc54aea" /><Relationship Type="http://schemas.openxmlformats.org/officeDocument/2006/relationships/worksheet" Target="/xl/worksheets/sheet5.xml" Id="R3929e3e8b3ed49f9" /><Relationship Type="http://schemas.openxmlformats.org/officeDocument/2006/relationships/worksheet" Target="/xl/worksheets/sheet6.xml" Id="R0efafed1e88346ff" /><Relationship Type="http://schemas.openxmlformats.org/officeDocument/2006/relationships/worksheet" Target="/xl/worksheets/sheet7.xml" Id="Rcfbeaee418fe495d" /><Relationship Type="http://schemas.openxmlformats.org/officeDocument/2006/relationships/worksheet" Target="/xl/worksheets/sheet8.xml" Id="Ra3054568f1774381" /><Relationship Type="http://schemas.openxmlformats.org/officeDocument/2006/relationships/worksheet" Target="/xl/worksheets/sheet9.xml" Id="R5cd1d2117fba47a3" /><Relationship Type="http://schemas.openxmlformats.org/officeDocument/2006/relationships/worksheet" Target="/xl/worksheets/sheet10.xml" Id="Rfcd7448346db4dbb" /><Relationship Type="http://schemas.openxmlformats.org/officeDocument/2006/relationships/worksheet" Target="/xl/worksheets/sheet11.xml" Id="R8fd5bf574e0947fa" /><Relationship Type="http://schemas.openxmlformats.org/officeDocument/2006/relationships/worksheet" Target="/xl/worksheets/sheet12.xml" Id="Re41bb858a2c24944" /><Relationship Type="http://schemas.openxmlformats.org/officeDocument/2006/relationships/worksheet" Target="/xl/worksheets/sheet13.xml" Id="R7549099e6fbc4e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99eefaf96945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fe956d86c545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6a505915bd49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f84d1b778744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6166ea3c2a41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8d22bd491541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01bce53b8142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94a93544304d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e3764e2edd48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ba6ace16ad4e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RUN-TRF-048-20260827T162035141763Z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23455.98975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RUN-TRF-048-20260827T162035141763Z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99eefaf96945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RUN-TRF-048-20260827T162035141763Z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e956d86c545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RUN-TRF-048-20260827T162035141763Z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RUN-TRF-048-20260827T162035141763Z</x:v>
      </x:c>
      <x:c r="C5" s="69" t="str">
        <x:v>TRF-048</x:v>
      </x:c>
      <x:c r="D5" s="70" t="n">
        <x:v>46261.68096230324</x:v>
      </x:c>
      <x:c r="E5" s="70" t="n">
        <x:v>46261.682057094906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contract: it targets longitudinalFrame, uses the authoritative owner for all operands and results, requires applicability selectors, enforces the conditional m=13.3 branch, computes f4, section modulus, required shear area, and actual shear area with bracket exclusion, and uses expected-result-scaled tolerances with permitted arithmetic and comparisons. Prior repair instructions are preserved and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6a505915bd49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RUN-TRF-048-20260827T162035141763Z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RUN-TRF-048-20260827T162035141763Z</x:v>
      </x:c>
      <x:c r="B5" s="45" t="str">
        <x:v>TRF-048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direct-calculation query to use only registered arithmetic and comparisons: replace ABS-based tolerance checks with explicit expected-value lower/upper bounds using tolerances scaled from each expected result. Also encode the verified shear-area boundary explicitly: the A formula is the required/effective shear area, while actualFrameShearArea must exclude bracketArea; do not leave the bracket-exclusion requirement unrepresented. Remove the redundant sh:or alternative that is satisfied merely by frameMomentFactorM presence and instead enforce the conditional m=13.3 branch directly while requiring branch-selection applicability evidence.</x:v>
      </x:c>
      <x:c r="I5" s="81" t="n">
        <x:v>33694.454</x:v>
      </x:c>
      <x:c r="J5" s="81" t="n">
        <x:v>14862.551</x:v>
      </x:c>
    </x:row>
    <x:row r="6">
      <x:c r="A6" s="49" t="str">
        <x:v>RUN-TRF-048-20260827T162035141763Z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DIRECT_CALCULATION contract: it targets longitudinalFrame, uses the authoritative owner for all operands and results, requires applicability selectors, enforces the conditional m=13.3 branch, computes f4, section modulus, required shear area, and actual shear area with bracket exclusion, and uses expected-result-scaled tolerances with permitted arithmetic and comparisons. Prior repair instructions are preserved and satisfied.</x:v>
      </x:c>
      <x:c r="I6" s="83" t="n">
        <x:v>29897.97</x:v>
      </x:c>
      <x:c r="J6" s="83" t="n">
        <x:v>15372.002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84d1b778744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RUN-TRF-048-20260827T162035141763Z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RUN-TRF-048-20260827T162035141763Z</x:v>
      </x:c>
      <x:c r="C5" s="45" t="str">
        <x:v>TRF-048</x:v>
      </x:c>
      <x:c r="D5" s="90" t="n">
        <x:v>46261.681352291664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33692.82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RUN-TRF-048-20260827T162035141763Z</x:v>
      </x:c>
      <x:c r="C6" s="47" t="str">
        <x:v>TRF-048</x:v>
      </x:c>
      <x:c r="D6" s="91" t="n">
        <x:v>46261.681352314816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33694.454</x:v>
      </x:c>
      <x:c r="L6" s="93" t="b">
        <x:v>0</x:v>
      </x:c>
      <x:c r="M6" s="47" t="str">
        <x:v>resp_0be9a8b53ed5c275006a9063d3456881939d13028e0e933aa3</x:v>
      </x:c>
      <x:c r="N6" s="59" t="n">
        <x:v>14480</x:v>
      </x:c>
      <x:c r="O6" s="59" t="n">
        <x:v>3899</x:v>
      </x:c>
      <x:c r="P6" s="59" t="n">
        <x:v>18379</x:v>
      </x:c>
    </x:row>
    <x:row r="7">
      <x:c r="A7" s="47" t="str">
        <x:v>EVT-000048</x:v>
      </x:c>
      <x:c r="B7" s="47" t="str">
        <x:v>RUN-TRF-048-20260827T162035141763Z</x:v>
      </x:c>
      <x:c r="C7" s="47" t="str">
        <x:v>TRF-048</x:v>
      </x:c>
      <x:c r="D7" s="91" t="n">
        <x:v>46261.6815284375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14861.106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RUN-TRF-048-20260827T162035141763Z</x:v>
      </x:c>
      <x:c r="C8" s="47" t="str">
        <x:v>TRF-048</x:v>
      </x:c>
      <x:c r="D8" s="91" t="n">
        <x:v>46261.68152846065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14862.551</x:v>
      </x:c>
      <x:c r="L8" s="93" t="b">
        <x:v>0</x:v>
      </x:c>
      <x:c r="M8" s="47" t="str">
        <x:v>resp_02e0026f0dbc6824006a9063f591bc8197906b52a0b38f8720</x:v>
      </x:c>
      <x:c r="N8" s="59" t="n">
        <x:v>16654</x:v>
      </x:c>
      <x:c r="O8" s="59" t="n">
        <x:v>1169</x:v>
      </x:c>
      <x:c r="P8" s="59" t="n">
        <x:v>17823</x:v>
      </x:c>
    </x:row>
    <x:row r="9">
      <x:c r="A9" s="47" t="str">
        <x:v>EVT-000054</x:v>
      </x:c>
      <x:c r="B9" s="47" t="str">
        <x:v>RUN-TRF-048-20260827T162035141763Z</x:v>
      </x:c>
      <x:c r="C9" s="47" t="str">
        <x:v>TRF-048</x:v>
      </x:c>
      <x:c r="D9" s="91" t="n">
        <x:v>46261.681874525464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29896.34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RUN-TRF-048-20260827T162035141763Z</x:v>
      </x:c>
      <x:c r="C10" s="47" t="str">
        <x:v>TRF-048</x:v>
      </x:c>
      <x:c r="D10" s="91" t="n">
        <x:v>46261.68187454861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29897.97</x:v>
      </x:c>
      <x:c r="L10" s="93" t="b">
        <x:v>0</x:v>
      </x:c>
      <x:c r="M10" s="47" t="str">
        <x:v>resp_00848e8a8ca99410006a9064042dd48195bff817ba52701e68</x:v>
      </x:c>
      <x:c r="N10" s="59" t="n">
        <x:v>14594</x:v>
      </x:c>
      <x:c r="O10" s="59" t="n">
        <x:v>3936</x:v>
      </x:c>
      <x:c r="P10" s="59" t="n">
        <x:v>18530</x:v>
      </x:c>
    </x:row>
    <x:row r="11">
      <x:c r="A11" s="47" t="str">
        <x:v>EVT-000062</x:v>
      </x:c>
      <x:c r="B11" s="47" t="str">
        <x:v>RUN-TRF-048-20260827T162035141763Z</x:v>
      </x:c>
      <x:c r="C11" s="47" t="str">
        <x:v>TRF-048</x:v>
      </x:c>
      <x:c r="D11" s="91" t="n">
        <x:v>46261.68205704861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15370.675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RUN-TRF-048-20260827T162035141763Z</x:v>
      </x:c>
      <x:c r="C12" s="49" t="str">
        <x:v>TRF-048</x:v>
      </x:c>
      <x:c r="D12" s="94" t="n">
        <x:v>46261.682057060185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15372.002</x:v>
      </x:c>
      <x:c r="L12" s="82" t="b">
        <x:v>0</x:v>
      </x:c>
      <x:c r="M12" s="49" t="str">
        <x:v>resp_010ea76221dcfa4f006a9064237d0c8194b236e9fe799908a6</x:v>
      </x:c>
      <x:c r="N12" s="60" t="n">
        <x:v>17290</x:v>
      </x:c>
      <x:c r="O12" s="60" t="n">
        <x:v>1138</x:v>
      </x:c>
      <x:c r="P12" s="60" t="n">
        <x:v>18428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6166ea3c2a41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RUN-TRF-048-20260827T162035141763Z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RUN-TRF-048-20260827T162035141763Z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RUN-TRF-048-20260827T162035141763Z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RUN-TRF-048-20260827T162035141763Z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RUN-TRF-048-20260827T162035141763Z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RUN-TRF-048-20260827T162035141763Z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RUN-TRF-048-20260827T162035141763Z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RUN-TRF-048-20260827T162035141763Z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RUN-TRF-048-20260827T162035141763Z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RUN-TRF-048-20260827T162035141763Z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RUN-TRF-048-20260827T162035141763Z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RUN-TRF-048-20260827T162035141763Z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RUN-TRF-048-20260827T162035141763Z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RUN-TRF-048-20260827T162035141763Z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RUN-TRF-048-20260827T162035141763Z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RUN-TRF-048-20260827T162035141763Z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RUN-TRF-048-20260827T162035141763Z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RUN-TRF-048-20260827T162035141763Z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RUN-TRF-048-20260827T162035141763Z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RUN-TRF-048-20260827T162035141763Z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RUN-TRF-048-20260827T162035141763Z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RUN-TRF-048-20260827T162035141763Z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RUN-TRF-048-20260827T162035141763Z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RUN-TRF-048-20260827T162035141763Z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RUN-TRF-048-20260827T162035141763Z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RUN-TRF-048-20260827T162035141763Z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RUN-TRF-048-20260827T162035141763Z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RUN-TRF-048-20260827T162035141763Z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RUN-TRF-048-20260827T162035141763Z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RUN-TRF-048-20260827T162035141763Z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RUN-TRF-048-20260827T162035141763Z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RUN-TRF-048-20260827T162035141763Z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RUN-TRF-048-20260827T162035141763Z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8d22bd491541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RUN-TRF-048-20260827T162035141763Z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RUN-TRF-048-20260827T162035141763Z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RUN-TRF-048-20260827T162035141763Z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1bce53b8142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RUN-TRF-048-20260827T162035141763Z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RUN-TRF-048-20260827T162035141763Z</x:v>
      </x:c>
      <x:c r="B5" s="45" t="str">
        <x:v>TRF-048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RUN-TRF-048-20260827T162035141763Z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c94a93544304d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RUN-TRF-048-20260827T162035141763Z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RUN-TRF-048-20260827T162035141763Z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RUN-TRF-048-20260827T162035141763Z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RUN-TRF-048-20260827T162035141763Z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RUN-TRF-048-20260827T162035141763Z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RUN-TRF-048-20260827T162035141763Z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963843b771c04405f146cc083c6d230be3a648d09ed64cd76ad4f58d0473e7e8</x:v>
      </x:c>
      <x:c r="G8" s="59" t="n">
        <x:v>9367</x:v>
      </x:c>
    </x:row>
    <x:row r="9">
      <x:c r="A9" s="47" t="str">
        <x:v>RUN-TRF-048-20260827T162035141763Z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4e221572be7456eb63588767f9a0fbd2ae6155ec5c030ebf0e9cdc7475f56a73</x:v>
      </x:c>
      <x:c r="G9" s="59" t="n">
        <x:v>9342</x:v>
      </x:c>
    </x:row>
    <x:row r="10">
      <x:c r="A10" s="47" t="str">
        <x:v>RUN-TRF-048-20260827T162035141763Z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0864cf06b3787e68f1747bee6f9dbb8c7ce69a6bf5a1d6ef9f57e0ef7cadca86</x:v>
      </x:c>
      <x:c r="G10" s="59" t="n">
        <x:v>1191</x:v>
      </x:c>
    </x:row>
    <x:row r="11">
      <x:c r="A11" s="47" t="str">
        <x:v>RUN-TRF-048-20260827T162035141763Z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167f271105b118698eeb6724569820b05e9b4841ab6500ed4d4c32fced2e8d9f</x:v>
      </x:c>
      <x:c r="G11" s="59" t="n">
        <x:v>64816</x:v>
      </x:c>
    </x:row>
    <x:row r="12">
      <x:c r="A12" s="47" t="str">
        <x:v>RUN-TRF-048-20260827T162035141763Z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c3229edf6e7ac2d9ae5bac3db773548257df9de0e3722858f540bb5d20800d94</x:v>
      </x:c>
      <x:c r="G12" s="59" t="n">
        <x:v>719</x:v>
      </x:c>
    </x:row>
    <x:row r="13">
      <x:c r="A13" s="47" t="str">
        <x:v>RUN-TRF-048-20260827T162035141763Z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36838c1d8b232f3f0f2f2d3922cd1149ffe955e676d0980066e9953009756c07</x:v>
      </x:c>
      <x:c r="G13" s="59" t="n">
        <x:v>59152</x:v>
      </x:c>
    </x:row>
    <x:row r="14">
      <x:c r="A14" s="47" t="str">
        <x:v>RUN-TRF-048-20260827T162035141763Z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7e21026d4cb8a2c82a67638bc3ffdb6ad7cadb93447cad2243c801515b108999</x:v>
      </x:c>
      <x:c r="G14" s="59" t="n">
        <x:v>10219</x:v>
      </x:c>
    </x:row>
    <x:row r="15">
      <x:c r="A15" s="47" t="str">
        <x:v>RUN-TRF-048-20260827T162035141763Z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81c4e99c045a5b42ec4f3deaabeb695069c7e7463fe0a839c2638ccb35a6e43b</x:v>
      </x:c>
      <x:c r="G15" s="59" t="n">
        <x:v>10194</x:v>
      </x:c>
    </x:row>
    <x:row r="16">
      <x:c r="A16" s="47" t="str">
        <x:v>RUN-TRF-048-20260827T162035141763Z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6ff77274e129718b0ccebe2731d87b4fa1820a2f940d52592af0b5bac203f29e</x:v>
      </x:c>
      <x:c r="G16" s="59" t="n">
        <x:v>1227</x:v>
      </x:c>
    </x:row>
    <x:row r="17">
      <x:c r="A17" s="47" t="str">
        <x:v>RUN-TRF-048-20260827T162035141763Z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80e7cbef7888dbb6cafef6cdfc83eaea833254033d031ce7c4ac553f435a6ab3</x:v>
      </x:c>
      <x:c r="G17" s="59" t="n">
        <x:v>66771</x:v>
      </x:c>
    </x:row>
    <x:row r="18">
      <x:c r="A18" s="47" t="str">
        <x:v>RUN-TRF-048-20260827T162035141763Z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32a54b2d24c3268e0012d31033971fa4b4ec20150c1a2b325aede27e8455e30e</x:v>
      </x:c>
      <x:c r="G18" s="59" t="n">
        <x:v>534</x:v>
      </x:c>
    </x:row>
    <x:row r="19">
      <x:c r="A19" s="49" t="str">
        <x:v>RUN-TRF-048-20260827T162035141763Z</x:v>
      </x:c>
      <x:c r="B19" s="49" t="str">
        <x:v>TRF-048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81c4e99c045a5b42ec4f3deaabeb695069c7e7463fe0a839c2638ccb35a6e43b</x:v>
      </x:c>
      <x:c r="G19" s="60" t="n">
        <x:v>10194</x:v>
      </x:c>
    </x:row>
  </x:sheetData>
  <x:pageMargins left="0.7" right="0.7" top="0.75" bottom="0.75" header="0.3" footer="0.3"/>
  <x:tableParts count="1">
    <x:tablePart xmlns:r="http://schemas.openxmlformats.org/officeDocument/2006/relationships" r:id="R74e3764e2edd48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RUN-TRF-048-20260827T162035141763Z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RUN-TRF-048-20260827T162035141763Z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RUN-TRF-048-20260827T162035141763Z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ba6ace16ad4eec"/>
  </x:tableParts>
</x:worksheet>
</file>