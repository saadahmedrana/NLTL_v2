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37b449a33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d75e5866e644c2"/>
    <x:sheet xmlns:r="http://schemas.openxmlformats.org/officeDocument/2006/relationships" name="README" sheetId="2" r:id="R4e7a33c7530e44f4"/>
    <x:sheet xmlns:r="http://schemas.openxmlformats.org/officeDocument/2006/relationships" name="REGULATION_QUEUE" sheetId="3" r:id="Rcf1234958b654e1f"/>
    <x:sheet xmlns:r="http://schemas.openxmlformats.org/officeDocument/2006/relationships" name="RUNS" sheetId="4" r:id="R92d4335a6bd64a21"/>
    <x:sheet xmlns:r="http://schemas.openxmlformats.org/officeDocument/2006/relationships" name="ITERATIONS" sheetId="5" r:id="Rb768b3ca4adb4c46"/>
    <x:sheet xmlns:r="http://schemas.openxmlformats.org/officeDocument/2006/relationships" name="API_CALLS" sheetId="6" r:id="R9061ac58b19144b1"/>
    <x:sheet xmlns:r="http://schemas.openxmlformats.org/officeDocument/2006/relationships" name="TERM_RETRIEVAL" sheetId="7" r:id="R221e014cf3cd4d27"/>
    <x:sheet xmlns:r="http://schemas.openxmlformats.org/officeDocument/2006/relationships" name="FEW_SHOT_SELECTION" sheetId="8" r:id="Rc77e128042a44352"/>
    <x:sheet xmlns:r="http://schemas.openxmlformats.org/officeDocument/2006/relationships" name="VALIDATION" sheetId="9" r:id="R5d54ede3753b4e4f"/>
    <x:sheet xmlns:r="http://schemas.openxmlformats.org/officeDocument/2006/relationships" name="VOCAB_MATCHES" sheetId="10" r:id="R9f0d636913ec4fe2"/>
    <x:sheet xmlns:r="http://schemas.openxmlformats.org/officeDocument/2006/relationships" name="ARTIFACTS" sheetId="11" r:id="R430638cb49094562"/>
    <x:sheet xmlns:r="http://schemas.openxmlformats.org/officeDocument/2006/relationships" name="UNRESOLVED" sheetId="12" r:id="R59d062814f9e4cf1"/>
    <x:sheet xmlns:r="http://schemas.openxmlformats.org/officeDocument/2006/relationships" name="RDF_TEST_QUEUE" sheetId="13" r:id="R66be74d45c24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4925444af4a36" /><Relationship Type="http://schemas.openxmlformats.org/officeDocument/2006/relationships/theme" Target="/xl/theme/theme1.xml" Id="R8c927885d5a0494f" /><Relationship Type="http://schemas.microsoft.com/office/2022/11/relationships/FeaturePropertyBag" Target="/xl/featurePropertyBag/featurePropertyBag.xml" Id="R37543be5a5394610" /><Relationship Type="http://schemas.openxmlformats.org/officeDocument/2006/relationships/sharedStrings" Target="/xl/sharedStrings.xml" Id="R32f85be8169645af" /><Relationship Type="http://schemas.openxmlformats.org/officeDocument/2006/relationships/worksheet" Target="/xl/worksheets/sheet1.xml" Id="R7fd75e5866e644c2" /><Relationship Type="http://schemas.openxmlformats.org/officeDocument/2006/relationships/worksheet" Target="/xl/worksheets/sheet2.xml" Id="R4e7a33c7530e44f4" /><Relationship Type="http://schemas.openxmlformats.org/officeDocument/2006/relationships/worksheet" Target="/xl/worksheets/sheet3.xml" Id="Rcf1234958b654e1f" /><Relationship Type="http://schemas.openxmlformats.org/officeDocument/2006/relationships/worksheet" Target="/xl/worksheets/sheet4.xml" Id="R92d4335a6bd64a21" /><Relationship Type="http://schemas.openxmlformats.org/officeDocument/2006/relationships/worksheet" Target="/xl/worksheets/sheet5.xml" Id="Rb768b3ca4adb4c46" /><Relationship Type="http://schemas.openxmlformats.org/officeDocument/2006/relationships/worksheet" Target="/xl/worksheets/sheet6.xml" Id="R9061ac58b19144b1" /><Relationship Type="http://schemas.openxmlformats.org/officeDocument/2006/relationships/worksheet" Target="/xl/worksheets/sheet7.xml" Id="R221e014cf3cd4d27" /><Relationship Type="http://schemas.openxmlformats.org/officeDocument/2006/relationships/worksheet" Target="/xl/worksheets/sheet8.xml" Id="Rc77e128042a44352" /><Relationship Type="http://schemas.openxmlformats.org/officeDocument/2006/relationships/worksheet" Target="/xl/worksheets/sheet9.xml" Id="R5d54ede3753b4e4f" /><Relationship Type="http://schemas.openxmlformats.org/officeDocument/2006/relationships/worksheet" Target="/xl/worksheets/sheet10.xml" Id="R9f0d636913ec4fe2" /><Relationship Type="http://schemas.openxmlformats.org/officeDocument/2006/relationships/worksheet" Target="/xl/worksheets/sheet11.xml" Id="R430638cb49094562" /><Relationship Type="http://schemas.openxmlformats.org/officeDocument/2006/relationships/worksheet" Target="/xl/worksheets/sheet12.xml" Id="R59d062814f9e4cf1" /><Relationship Type="http://schemas.openxmlformats.org/officeDocument/2006/relationships/worksheet" Target="/xl/worksheets/sheet13.xml" Id="R66be74d45c2446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71f9ec08fc4e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7e45dc7aae42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928c15858f48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3353c8379b48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12f0e8f7ea40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8758baab644b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77b30edc8d42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e95150752741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2673a970204c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5f9098852747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RUN-TRF-053-20260827T162834982004Z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18337.43475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RUN-TRF-053-20260827T162834982004Z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71f9ec08fc4e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RUN-TRF-053-20260827T162834982004Z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e45dc7aae42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RUN-TRF-053-20260827T162834982004Z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RUN-TRF-053-20260827T162834982004Z</x:v>
      </x:c>
      <x:c r="C5" s="69" t="str">
        <x:v>TRF-053</x:v>
      </x:c>
      <x:c r="D5" s="70" t="n">
        <x:v>46261.68651599537</x:v>
      </x:c>
      <x:c r="E5" s="70" t="n">
        <x:v>46261.68737146991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ready to freeze: it targets iceStringer, includes all declared operands and results, uses the canonical namespace and owners, preserves the max floor, applies the kN/m to MN/m conversion consistently, encodes both derived formulas with the fixed sqrt(3) constant, and compares derived results using expected-value-scaled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28c15858f48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RUN-TRF-053-20260827T162834982004Z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RUN-TRF-053-20260827T162834982004Z</x:v>
      </x:c>
      <x:c r="B5" s="45" t="str">
        <x:v>TRF-053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formula queries for the declared unit mismatch: nltl:designLineLoad is encoded in qudt:unit KiloN-PER-M, while p_MPa*h_m and the 0.15 floor produce MN/m. In the first query, compare the reported line-load numeric value with 1000*max(?pressure*?height, 0.15). In the section-modulus and shear-area query, use (?lineLoad / 1000) wherever the formula requires design_line_load_MN_m before applying the stated 10^6 and 10^4 factors. Preserve the existing operands, owners, outputs, and tolerance logic.</x:v>
      </x:c>
      <x:c r="I5" s="81" t="n">
        <x:v>36122.083</x:v>
      </x:c>
      <x:c r="J5" s="81" t="n">
        <x:v>8738.288</x:v>
      </x:c>
    </x:row>
    <x:row r="6">
      <x:c r="A6" s="49" t="str">
        <x:v>RUN-TRF-053-20260827T162834982004Z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ready to freeze: it targets iceStringer, includes all declared operands and results, uses the canonical namespace and owners, preserves the max floor, applies the kN/m to MN/m conversion consistently, encodes both derived formulas with the fixed sqrt(3) constant, and compares derived results using expected-value-scaled tolerances.</x:v>
      </x:c>
      <x:c r="I6" s="83" t="n">
        <x:v>22520.726</x:v>
      </x:c>
      <x:c r="J6" s="83" t="n">
        <x:v>5971.75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3353c8379b48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RUN-TRF-053-20260827T162834982004Z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RUN-TRF-053-20260827T162834982004Z</x:v>
      </x:c>
      <x:c r="C5" s="45" t="str">
        <x:v>TRF-053</x:v>
      </x:c>
      <x:c r="D5" s="90" t="n">
        <x:v>46261.686934074074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36120.436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RUN-TRF-053-20260827T162834982004Z</x:v>
      </x:c>
      <x:c r="C6" s="47" t="str">
        <x:v>TRF-053</x:v>
      </x:c>
      <x:c r="D6" s="91" t="n">
        <x:v>46261.68693409722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36122.083</x:v>
      </x:c>
      <x:c r="L6" s="93" t="b">
        <x:v>0</x:v>
      </x:c>
      <x:c r="M6" s="47" t="str">
        <x:v>resp_07b37f4597bdba4f006a9065b321ec8194a482e59b8618bab9</x:v>
      </x:c>
      <x:c r="N6" s="59" t="n">
        <x:v>10517</x:v>
      </x:c>
      <x:c r="O6" s="59" t="n">
        <x:v>2844</x:v>
      </x:c>
      <x:c r="P6" s="59" t="n">
        <x:v>13361</x:v>
      </x:c>
    </x:row>
    <x:row r="7">
      <x:c r="A7" s="47" t="str">
        <x:v>EVT-000034</x:v>
      </x:c>
      <x:c r="B7" s="47" t="str">
        <x:v>RUN-TRF-053-20260827T162834982004Z</x:v>
      </x:c>
      <x:c r="C7" s="47" t="str">
        <x:v>TRF-053</x:v>
      </x:c>
      <x:c r="D7" s="91" t="n">
        <x:v>46261.68703837963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8736.741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RUN-TRF-053-20260827T162834982004Z</x:v>
      </x:c>
      <x:c r="C8" s="47" t="str">
        <x:v>TRF-053</x:v>
      </x:c>
      <x:c r="D8" s="91" t="n">
        <x:v>46261.68703840278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8738.288</x:v>
      </x:c>
      <x:c r="L8" s="93" t="b">
        <x:v>0</x:v>
      </x:c>
      <x:c r="M8" s="47" t="str">
        <x:v>resp_0d4ff45800448c8b006a9065d7831c819793d19f891b6aba81</x:v>
      </x:c>
      <x:c r="N8" s="59" t="n">
        <x:v>11560</x:v>
      </x:c>
      <x:c r="O8" s="59" t="n">
        <x:v>671</x:v>
      </x:c>
      <x:c r="P8" s="59" t="n">
        <x:v>12231</x:v>
      </x:c>
    </x:row>
    <x:row r="9">
      <x:c r="A9" s="47" t="str">
        <x:v>EVT-000040</x:v>
      </x:c>
      <x:c r="B9" s="47" t="str">
        <x:v>RUN-TRF-053-20260827T162834982004Z</x:v>
      </x:c>
      <x:c r="C9" s="47" t="str">
        <x:v>TRF-053</x:v>
      </x:c>
      <x:c r="D9" s="91" t="n">
        <x:v>46261.68729909722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22519.132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RUN-TRF-053-20260827T162834982004Z</x:v>
      </x:c>
      <x:c r="C10" s="47" t="str">
        <x:v>TRF-053</x:v>
      </x:c>
      <x:c r="D10" s="91" t="n">
        <x:v>46261.68729912037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22520.726</x:v>
      </x:c>
      <x:c r="L10" s="93" t="b">
        <x:v>0</x:v>
      </x:c>
      <x:c r="M10" s="47" t="str">
        <x:v>resp_085a4ac7036ffbb4006a9065e03dd881938e1c62704dd71c0c</x:v>
      </x:c>
      <x:c r="N10" s="59" t="n">
        <x:v>10651</x:v>
      </x:c>
      <x:c r="O10" s="59" t="n">
        <x:v>2876</x:v>
      </x:c>
      <x:c r="P10" s="59" t="n">
        <x:v>13527</x:v>
      </x:c>
    </x:row>
    <x:row r="11">
      <x:c r="A11" s="47" t="str">
        <x:v>EVT-000048</x:v>
      </x:c>
      <x:c r="B11" s="47" t="str">
        <x:v>RUN-TRF-053-20260827T162834982004Z</x:v>
      </x:c>
      <x:c r="C11" s="47" t="str">
        <x:v>TRF-053</x:v>
      </x:c>
      <x:c r="D11" s="91" t="n">
        <x:v>46261.68737140046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5970.322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RUN-TRF-053-20260827T162834982004Z</x:v>
      </x:c>
      <x:c r="C12" s="49" t="str">
        <x:v>TRF-053</x:v>
      </x:c>
      <x:c r="D12" s="94" t="n">
        <x:v>46261.68737142361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5971.75</x:v>
      </x:c>
      <x:c r="L12" s="82" t="b">
        <x:v>0</x:v>
      </x:c>
      <x:c r="M12" s="49" t="str">
        <x:v>resp_04c60b3903b0b147006a9065f707f48197b6e37a33df946d9b</x:v>
      </x:c>
      <x:c r="N12" s="60" t="n">
        <x:v>11648</x:v>
      </x:c>
      <x:c r="O12" s="60" t="n">
        <x:v>454</x:v>
      </x:c>
      <x:c r="P12" s="60" t="n">
        <x:v>12102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12f0e8f7ea40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RUN-TRF-053-20260827T162834982004Z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RUN-TRF-053-20260827T162834982004Z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RUN-TRF-053-20260827T162834982004Z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RUN-TRF-053-20260827T162834982004Z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RUN-TRF-053-20260827T162834982004Z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RUN-TRF-053-20260827T162834982004Z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RUN-TRF-053-20260827T162834982004Z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RUN-TRF-053-20260827T162834982004Z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RUN-TRF-053-20260827T162834982004Z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RUN-TRF-053-20260827T162834982004Z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RUN-TRF-053-20260827T162834982004Z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RUN-TRF-053-20260827T162834982004Z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RUN-TRF-053-20260827T162834982004Z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RUN-TRF-053-20260827T162834982004Z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RUN-TRF-053-20260827T162834982004Z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RUN-TRF-053-20260827T162834982004Z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RUN-TRF-053-20260827T162834982004Z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RUN-TRF-053-20260827T162834982004Z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RUN-TRF-053-20260827T162834982004Z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8758baab644b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RUN-TRF-053-20260827T162834982004Z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RUN-TRF-053-20260827T162834982004Z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RUN-TRF-053-20260827T162834982004Z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7b30edc8d42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RUN-TRF-053-20260827T162834982004Z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RUN-TRF-053-20260827T162834982004Z</x:v>
      </x:c>
      <x:c r="B5" s="45" t="str">
        <x:v>TRF-053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RUN-TRF-053-20260827T162834982004Z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ce95150752741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RUN-TRF-053-20260827T162834982004Z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RUN-TRF-053-20260827T162834982004Z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RUN-TRF-053-20260827T162834982004Z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RUN-TRF-053-20260827T162834982004Z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RUN-TRF-053-20260827T162834982004Z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RUN-TRF-053-20260827T162834982004Z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e5d0c9b9ed45e1db7215d1a127de7f2fcc339efbe426577150bfd5fdd301046f</x:v>
      </x:c>
      <x:c r="G8" s="59" t="n">
        <x:v>7627</x:v>
      </x:c>
    </x:row>
    <x:row r="9">
      <x:c r="A9" s="47" t="str">
        <x:v>RUN-TRF-053-20260827T162834982004Z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89da969e8771e28a397bdea5fa46446657c91913963d45727a95c63c2ef697f5</x:v>
      </x:c>
      <x:c r="G9" s="59" t="n">
        <x:v>7602</x:v>
      </x:c>
    </x:row>
    <x:row r="10">
      <x:c r="A10" s="47" t="str">
        <x:v>RUN-TRF-053-20260827T162834982004Z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04c8ca0f53e894f89ad7c7f57f29fab7864ed5c5b920a4128a70bfe839b8f60c</x:v>
      </x:c>
      <x:c r="G10" s="59" t="n">
        <x:v>834</x:v>
      </x:c>
    </x:row>
    <x:row r="11">
      <x:c r="A11" s="47" t="str">
        <x:v>RUN-TRF-053-20260827T162834982004Z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5d4e889c2057fcb325f21a46ac91a4b97b4eb1c30449052874576821589c5ff7</x:v>
      </x:c>
      <x:c r="G11" s="59" t="n">
        <x:v>43433</x:v>
      </x:c>
    </x:row>
    <x:row r="12">
      <x:c r="A12" s="47" t="str">
        <x:v>RUN-TRF-053-20260827T162834982004Z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ac25e0d2879e58e987a576f6d09a60127d3290d3e4f45e8c1eb6b470c6b8f43a</x:v>
      </x:c>
      <x:c r="G12" s="59" t="n">
        <x:v>573</x:v>
      </x:c>
    </x:row>
    <x:row r="13">
      <x:c r="A13" s="47" t="str">
        <x:v>RUN-TRF-053-20260827T162834982004Z</x:v>
      </x:c>
      <x:c r="B13" s="47" t="str">
        <x:v>TRF-053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226cf6127ece640a42a47db08b50afa30c0240475e9f2d39db61f70a7dd8fa87</x:v>
      </x:c>
      <x:c r="G13" s="59" t="n">
        <x:v>41720</x:v>
      </x:c>
    </x:row>
    <x:row r="14">
      <x:c r="A14" s="47" t="str">
        <x:v>RUN-TRF-053-20260827T162834982004Z</x:v>
      </x:c>
      <x:c r="B14" s="47" t="str">
        <x:v>TRF-053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449a7091f355bb1f552f92b1338a97022df03e64c3ced204cd6e14b2da0df6c3</x:v>
      </x:c>
      <x:c r="G14" s="59" t="n">
        <x:v>7437</x:v>
      </x:c>
    </x:row>
    <x:row r="15">
      <x:c r="A15" s="47" t="str">
        <x:v>RUN-TRF-053-20260827T162834982004Z</x:v>
      </x:c>
      <x:c r="B15" s="47" t="str">
        <x:v>TRF-053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05fe5db9782680d5a62c960364faf92006f543f44457117882807471748e7f94</x:v>
      </x:c>
      <x:c r="G15" s="59" t="n">
        <x:v>7412</x:v>
      </x:c>
    </x:row>
    <x:row r="16">
      <x:c r="A16" s="47" t="str">
        <x:v>RUN-TRF-053-20260827T162834982004Z</x:v>
      </x:c>
      <x:c r="B16" s="47" t="str">
        <x:v>TRF-053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04c8ca0f53e894f89ad7c7f57f29fab7864ed5c5b920a4128a70bfe839b8f60c</x:v>
      </x:c>
      <x:c r="G16" s="59" t="n">
        <x:v>834</x:v>
      </x:c>
    </x:row>
    <x:row r="17">
      <x:c r="A17" s="47" t="str">
        <x:v>RUN-TRF-053-20260827T162834982004Z</x:v>
      </x:c>
      <x:c r="B17" s="47" t="str">
        <x:v>TRF-053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c99cf897ce8e52064f6544463f4ea126aa6ad094e7907f1d5a69bac439c86870</x:v>
      </x:c>
      <x:c r="G17" s="59" t="n">
        <x:v>43760</x:v>
      </x:c>
    </x:row>
    <x:row r="18">
      <x:c r="A18" s="47" t="str">
        <x:v>RUN-TRF-053-20260827T162834982004Z</x:v>
      </x:c>
      <x:c r="B18" s="47" t="str">
        <x:v>TRF-053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e25b8d6a16b57c583d8153106139716a8893597b23c72de51d760e4abbf0a707</x:v>
      </x:c>
      <x:c r="G18" s="59" t="n">
        <x:v>438</x:v>
      </x:c>
    </x:row>
    <x:row r="19">
      <x:c r="A19" s="49" t="str">
        <x:v>RUN-TRF-053-20260827T162834982004Z</x:v>
      </x:c>
      <x:c r="B19" s="49" t="str">
        <x:v>TRF-053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05fe5db9782680d5a62c960364faf92006f543f44457117882807471748e7f94</x:v>
      </x:c>
      <x:c r="G19" s="60" t="n">
        <x:v>7412</x:v>
      </x:c>
    </x:row>
  </x:sheetData>
  <x:pageMargins left="0.7" right="0.7" top="0.75" bottom="0.75" header="0.3" footer="0.3"/>
  <x:tableParts count="1">
    <x:tablePart xmlns:r="http://schemas.openxmlformats.org/officeDocument/2006/relationships" r:id="R652673a970204c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RUN-TRF-053-20260827T162834982004Z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RUN-TRF-053-20260827T162834982004Z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RUN-TRF-053-20260827T162834982004Z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f909885274745"/>
  </x:tableParts>
</x:worksheet>
</file>