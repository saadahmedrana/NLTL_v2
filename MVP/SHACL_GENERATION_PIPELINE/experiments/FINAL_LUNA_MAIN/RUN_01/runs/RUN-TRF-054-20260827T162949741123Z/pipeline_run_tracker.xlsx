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37e5dc8c3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2394679faa4082"/>
    <x:sheet xmlns:r="http://schemas.openxmlformats.org/officeDocument/2006/relationships" name="README" sheetId="2" r:id="Rfb95511ff47943fa"/>
    <x:sheet xmlns:r="http://schemas.openxmlformats.org/officeDocument/2006/relationships" name="REGULATION_QUEUE" sheetId="3" r:id="R2979c0a5d65c4acc"/>
    <x:sheet xmlns:r="http://schemas.openxmlformats.org/officeDocument/2006/relationships" name="RUNS" sheetId="4" r:id="Re585a6b17c7a4d1f"/>
    <x:sheet xmlns:r="http://schemas.openxmlformats.org/officeDocument/2006/relationships" name="ITERATIONS" sheetId="5" r:id="R31e93ab86a0b4545"/>
    <x:sheet xmlns:r="http://schemas.openxmlformats.org/officeDocument/2006/relationships" name="API_CALLS" sheetId="6" r:id="R1a42e16c09494e5e"/>
    <x:sheet xmlns:r="http://schemas.openxmlformats.org/officeDocument/2006/relationships" name="TERM_RETRIEVAL" sheetId="7" r:id="R0820cca3fef84d2a"/>
    <x:sheet xmlns:r="http://schemas.openxmlformats.org/officeDocument/2006/relationships" name="FEW_SHOT_SELECTION" sheetId="8" r:id="R480890023b184b3e"/>
    <x:sheet xmlns:r="http://schemas.openxmlformats.org/officeDocument/2006/relationships" name="VALIDATION" sheetId="9" r:id="R6dc3f7ed156a429b"/>
    <x:sheet xmlns:r="http://schemas.openxmlformats.org/officeDocument/2006/relationships" name="VOCAB_MATCHES" sheetId="10" r:id="Re80d7b98c30d4664"/>
    <x:sheet xmlns:r="http://schemas.openxmlformats.org/officeDocument/2006/relationships" name="ARTIFACTS" sheetId="11" r:id="R59dfbcc6a31e4362"/>
    <x:sheet xmlns:r="http://schemas.openxmlformats.org/officeDocument/2006/relationships" name="UNRESOLVED" sheetId="12" r:id="Rce01f66645fd4fb0"/>
    <x:sheet xmlns:r="http://schemas.openxmlformats.org/officeDocument/2006/relationships" name="RDF_TEST_QUEUE" sheetId="13" r:id="R55f009cfe99c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d40b632e24fa9" /><Relationship Type="http://schemas.openxmlformats.org/officeDocument/2006/relationships/theme" Target="/xl/theme/theme1.xml" Id="Raae1c8f1f87c40fd" /><Relationship Type="http://schemas.microsoft.com/office/2022/11/relationships/FeaturePropertyBag" Target="/xl/featurePropertyBag/featurePropertyBag.xml" Id="R8447dd4ba3f44d2a" /><Relationship Type="http://schemas.openxmlformats.org/officeDocument/2006/relationships/sharedStrings" Target="/xl/sharedStrings.xml" Id="R446837afad534576" /><Relationship Type="http://schemas.openxmlformats.org/officeDocument/2006/relationships/worksheet" Target="/xl/worksheets/sheet1.xml" Id="Ra32394679faa4082" /><Relationship Type="http://schemas.openxmlformats.org/officeDocument/2006/relationships/worksheet" Target="/xl/worksheets/sheet2.xml" Id="Rfb95511ff47943fa" /><Relationship Type="http://schemas.openxmlformats.org/officeDocument/2006/relationships/worksheet" Target="/xl/worksheets/sheet3.xml" Id="R2979c0a5d65c4acc" /><Relationship Type="http://schemas.openxmlformats.org/officeDocument/2006/relationships/worksheet" Target="/xl/worksheets/sheet4.xml" Id="Re585a6b17c7a4d1f" /><Relationship Type="http://schemas.openxmlformats.org/officeDocument/2006/relationships/worksheet" Target="/xl/worksheets/sheet5.xml" Id="R31e93ab86a0b4545" /><Relationship Type="http://schemas.openxmlformats.org/officeDocument/2006/relationships/worksheet" Target="/xl/worksheets/sheet6.xml" Id="R1a42e16c09494e5e" /><Relationship Type="http://schemas.openxmlformats.org/officeDocument/2006/relationships/worksheet" Target="/xl/worksheets/sheet7.xml" Id="R0820cca3fef84d2a" /><Relationship Type="http://schemas.openxmlformats.org/officeDocument/2006/relationships/worksheet" Target="/xl/worksheets/sheet8.xml" Id="R480890023b184b3e" /><Relationship Type="http://schemas.openxmlformats.org/officeDocument/2006/relationships/worksheet" Target="/xl/worksheets/sheet9.xml" Id="R6dc3f7ed156a429b" /><Relationship Type="http://schemas.openxmlformats.org/officeDocument/2006/relationships/worksheet" Target="/xl/worksheets/sheet10.xml" Id="Re80d7b98c30d4664" /><Relationship Type="http://schemas.openxmlformats.org/officeDocument/2006/relationships/worksheet" Target="/xl/worksheets/sheet11.xml" Id="R59dfbcc6a31e4362" /><Relationship Type="http://schemas.openxmlformats.org/officeDocument/2006/relationships/worksheet" Target="/xl/worksheets/sheet12.xml" Id="Rce01f66645fd4fb0" /><Relationship Type="http://schemas.openxmlformats.org/officeDocument/2006/relationships/worksheet" Target="/xl/worksheets/sheet13.xml" Id="R55f009cfe99c4c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509dc9a2e40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57d56b67f8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06230e113949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b78e99ba0e49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d51d16b4a04c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072e1b344646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e06823aba04f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8c721ec23943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b1fb587f374d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d3f515817442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RUN-TRF-054-20260827T162949741123Z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23802.895333333334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RUN-TRF-054-20260827T162949741123Z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9509dc9a2e40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7d56b67f845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RUN-TRF-054-20260827T162949741123Z</x:v>
      </x:c>
      <x:c r="C5" s="69" t="str">
        <x:v>TRF-054</x:v>
      </x:c>
      <x:c r="D5" s="70" t="n">
        <x:v>46261.68738127315</x:v>
      </x:c>
      <x:c r="E5" s="70" t="n">
        <x:v>46261.689047395834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TRF-054 for nltl:iceStringer, including the required applicability booleans, operand mapping, canonical owner and paths, datatypes, units, direct-calculation formulas, fixed factors, unit conversions, and expected-result-scaled tolerances.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6230e113949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RUN-TRF-054-20260827T162949741123Z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operand mapping and calculation query. The requirement defines l as the stringer span and l_s as the distance to the adjacent ice stringer; do not use nltl:span for l or nltl:stringerSpan for l_s. Add the supplied canonical nltl:distanceToAdjacentIceStringer path and use nltl:stringerSpan for l. Also replace unsupported ABS calls with permitted arithmetic/simple piecewise expressions for absolute values; DIRECT_CALCULATION permits only the registered arithmetic, comparisons, min/max, and simple branches.</x:v>
      </x:c>
      <x:c r="I5" s="84" t="n">
        <x:v>31538.077</x:v>
      </x:c>
      <x:c r="J5" s="84" t="n">
        <x:v>22159.186</x:v>
      </x:c>
    </x:row>
    <x:row r="6">
      <x:c r="A6" s="47" t="str">
        <x:v>RUN-TRF-054-20260827T162949741123Z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calculation formulas and operand mapping are now correct, but applicability is not faithfully encoded. TRF-054 applies only to an ice stringer located outside the ice belt and supporting ice-strengthened frames. Add the supplied canonical nltl:locatedOutsideIceBelt and nltl:supportsIceStrengthenedFrames boolean checks on the targeted nltl:iceStringer, requiring true before applying the formula-derived constraints; do not add ship/component indirection.</x:v>
      </x:c>
      <x:c r="I6" s="86" t="n">
        <x:v>24201.995</x:v>
      </x:c>
      <x:c r="J6" s="86" t="n">
        <x:v>20284.46</x:v>
      </x:c>
    </x:row>
    <x:row r="7">
      <x:c r="A7" s="49" t="str">
        <x:v>RUN-TRF-054-20260827T162949741123Z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TRF-054 for nltl:iceStringer, including the required applicability booleans, operand mapping, canonical owner and paths, datatypes, units, direct-calculation formulas, fixed factors, unit conversions, and expected-result-scaled tolerances. Deterministic validation is valid.</x:v>
      </x:c>
      <x:c r="I7" s="88" t="n">
        <x:v>36627.062</x:v>
      </x:c>
      <x:c r="J7" s="88" t="n">
        <x:v>8010.885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78e99ba0e49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RUN-TRF-054-20260827T162949741123Z</x:v>
      </x:c>
      <x:c r="C5" s="45" t="str">
        <x:v>TRF-054</x:v>
      </x:c>
      <x:c r="D5" s="92" t="n">
        <x:v>46261.687746296295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31536.518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RUN-TRF-054-20260827T162949741123Z</x:v>
      </x:c>
      <x:c r="C6" s="47" t="str">
        <x:v>TRF-054</x:v>
      </x:c>
      <x:c r="D6" s="93" t="n">
        <x:v>46261.68774631945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31538.077</x:v>
      </x:c>
      <x:c r="L6" s="85" t="b">
        <x:v>0</x:v>
      </x:c>
      <x:c r="M6" s="47" t="str">
        <x:v>resp_0e8034eda4e30d20006a9065fddd008196aa414262c946c640</x:v>
      </x:c>
      <x:c r="N6" s="59" t="n">
        <x:v>12153</x:v>
      </x:c>
      <x:c r="O6" s="59" t="n">
        <x:v>3553</x:v>
      </x:c>
      <x:c r="P6" s="59" t="n">
        <x:v>15706</x:v>
      </x:c>
    </x:row>
    <x:row r="7">
      <x:c r="A7" s="47" t="str">
        <x:v>EVT-000039</x:v>
      </x:c>
      <x:c r="B7" s="47" t="str">
        <x:v>RUN-TRF-054-20260827T162949741123Z</x:v>
      </x:c>
      <x:c r="C7" s="47" t="str">
        <x:v>TRF-054</x:v>
      </x:c>
      <x:c r="D7" s="93" t="n">
        <x:v>46261.68800619213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22157.713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RUN-TRF-054-20260827T162949741123Z</x:v>
      </x:c>
      <x:c r="C8" s="47" t="str">
        <x:v>TRF-054</x:v>
      </x:c>
      <x:c r="D8" s="93" t="n">
        <x:v>46261.6880062037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22159.186</x:v>
      </x:c>
      <x:c r="L8" s="85" t="b">
        <x:v>0</x:v>
      </x:c>
      <x:c r="M8" s="47" t="str">
        <x:v>resp_02591ba50a20faa5006a90661db2c48190850bb46d66cda20b</x:v>
      </x:c>
      <x:c r="N8" s="59" t="n">
        <x:v>13993</x:v>
      </x:c>
      <x:c r="O8" s="59" t="n">
        <x:v>1638</x:v>
      </x:c>
      <x:c r="P8" s="59" t="n">
        <x:v>15631</x:v>
      </x:c>
    </x:row>
    <x:row r="9">
      <x:c r="A9" s="47" t="str">
        <x:v>EVT-000045</x:v>
      </x:c>
      <x:c r="B9" s="47" t="str">
        <x:v>RUN-TRF-054-20260827T162949741123Z</x:v>
      </x:c>
      <x:c r="C9" s="47" t="str">
        <x:v>TRF-054</x:v>
      </x:c>
      <x:c r="D9" s="93" t="n">
        <x:v>46261.68828636574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24200.276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RUN-TRF-054-20260827T162949741123Z</x:v>
      </x:c>
      <x:c r="C10" s="47" t="str">
        <x:v>TRF-054</x:v>
      </x:c>
      <x:c r="D10" s="93" t="n">
        <x:v>46261.68828638889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24201.995</x:v>
      </x:c>
      <x:c r="L10" s="85" t="b">
        <x:v>0</x:v>
      </x:c>
      <x:c r="M10" s="47" t="str">
        <x:v>resp_06e77ad0ef4b725b006a906633dde88194a7343c76a302fcbc</x:v>
      </x:c>
      <x:c r="N10" s="59" t="n">
        <x:v>12265</x:v>
      </x:c>
      <x:c r="O10" s="59" t="n">
        <x:v>3365</x:v>
      </x:c>
      <x:c r="P10" s="59" t="n">
        <x:v>15630</x:v>
      </x:c>
    </x:row>
    <x:row r="11">
      <x:c r="A11" s="47" t="str">
        <x:v>EVT-000053</x:v>
      </x:c>
      <x:c r="B11" s="47" t="str">
        <x:v>RUN-TRF-054-20260827T162949741123Z</x:v>
      </x:c>
      <x:c r="C11" s="47" t="str">
        <x:v>TRF-054</x:v>
      </x:c>
      <x:c r="D11" s="93" t="n">
        <x:v>46261.688525798614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20283.243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RUN-TRF-054-20260827T162949741123Z</x:v>
      </x:c>
      <x:c r="C12" s="47" t="str">
        <x:v>TRF-054</x:v>
      </x:c>
      <x:c r="D12" s="93" t="n">
        <x:v>46261.68852581018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20284.46</x:v>
      </x:c>
      <x:c r="L12" s="85" t="b">
        <x:v>0</x:v>
      </x:c>
      <x:c r="M12" s="47" t="str">
        <x:v>resp_0378ccb3f2de0962006a90664c79d08190b6edcfaefb00e6ca</x:v>
      </x:c>
      <x:c r="N12" s="59" t="n">
        <x:v>14255</x:v>
      </x:c>
      <x:c r="O12" s="59" t="n">
        <x:v>1667</x:v>
      </x:c>
      <x:c r="P12" s="59" t="n">
        <x:v>15922</x:v>
      </x:c>
    </x:row>
    <x:row r="13">
      <x:c r="A13" s="47" t="str">
        <x:v>EVT-000059</x:v>
      </x:c>
      <x:c r="B13" s="47" t="str">
        <x:v>RUN-TRF-054-20260827T162949741123Z</x:v>
      </x:c>
      <x:c r="C13" s="47" t="str">
        <x:v>TRF-054</x:v>
      </x:c>
      <x:c r="D13" s="93" t="n">
        <x:v>46261.68894975694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36625.586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RUN-TRF-054-20260827T162949741123Z</x:v>
      </x:c>
      <x:c r="C14" s="47" t="str">
        <x:v>TRF-054</x:v>
      </x:c>
      <x:c r="D14" s="93" t="n">
        <x:v>46261.688949780095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36627.062</x:v>
      </x:c>
      <x:c r="L14" s="85" t="b">
        <x:v>0</x:v>
      </x:c>
      <x:c r="M14" s="47" t="str">
        <x:v>resp_0af3d7f490a1546e006a906660c5388195a08a526ea6cc2b04</x:v>
      </x:c>
      <x:c r="N14" s="59" t="n">
        <x:v>12363</x:v>
      </x:c>
      <x:c r="O14" s="59" t="n">
        <x:v>4044</x:v>
      </x:c>
      <x:c r="P14" s="59" t="n">
        <x:v>16407</x:v>
      </x:c>
    </x:row>
    <x:row r="15">
      <x:c r="A15" s="47" t="str">
        <x:v>EVT-000067</x:v>
      </x:c>
      <x:c r="B15" s="47" t="str">
        <x:v>RUN-TRF-054-20260827T162949741123Z</x:v>
      </x:c>
      <x:c r="C15" s="47" t="str">
        <x:v>TRF-054</x:v>
      </x:c>
      <x:c r="D15" s="93" t="n">
        <x:v>46261.689047314816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8009.743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RUN-TRF-054-20260827T162949741123Z</x:v>
      </x:c>
      <x:c r="C16" s="49" t="str">
        <x:v>TRF-054</x:v>
      </x:c>
      <x:c r="D16" s="94" t="n">
        <x:v>46261.68904733796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8010.885</x:v>
      </x:c>
      <x:c r="L16" s="87" t="b">
        <x:v>0</x:v>
      </x:c>
      <x:c r="M16" s="49" t="str">
        <x:v>resp_0ebce3a9c4a301ee006a906685cba4819388f2b95a913278df</x:v>
      </x:c>
      <x:c r="N16" s="60" t="n">
        <x:v>15046</x:v>
      </x:c>
      <x:c r="O16" s="60" t="n">
        <x:v>602</x:v>
      </x:c>
      <x:c r="P16" s="60" t="n">
        <x:v>15648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51d16b4a04c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RUN-TRF-054-20260827T162949741123Z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RUN-TRF-054-20260827T162949741123Z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RUN-TRF-054-20260827T162949741123Z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RUN-TRF-054-20260827T162949741123Z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RUN-TRF-054-20260827T162949741123Z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RUN-TRF-054-20260827T162949741123Z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RUN-TRF-054-20260827T162949741123Z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RUN-TRF-054-20260827T162949741123Z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RUN-TRF-054-20260827T162949741123Z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RUN-TRF-054-20260827T162949741123Z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RUN-TRF-054-20260827T162949741123Z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RUN-TRF-054-20260827T162949741123Z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RUN-TRF-054-20260827T162949741123Z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RUN-TRF-054-20260827T162949741123Z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RUN-TRF-054-20260827T162949741123Z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RUN-TRF-054-20260827T162949741123Z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RUN-TRF-054-20260827T162949741123Z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RUN-TRF-054-20260827T162949741123Z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RUN-TRF-054-20260827T162949741123Z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RUN-TRF-054-20260827T162949741123Z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RUN-TRF-054-20260827T162949741123Z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RUN-TRF-054-20260827T162949741123Z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RUN-TRF-054-20260827T162949741123Z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072e1b344646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RUN-TRF-054-20260827T162949741123Z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RUN-TRF-054-20260827T162949741123Z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RUN-TRF-054-20260827T162949741123Z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06823aba04f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RUN-TRF-054-20260827T162949741123Z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RUN-TRF-054-20260827T162949741123Z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https://w3id.org/nltl/vocab#stringerSpan | https://w3id.org/nltl/vocab#yieldStrength</x:v>
      </x:c>
      <x:c r="O6" s="48" t="str"/>
      <x:c r="P6" s="48" t="str"/>
      <x:c r="Q6" s="48" t="str"/>
    </x:row>
    <x:row r="7">
      <x:c r="A7" s="49" t="str">
        <x:v>RUN-TRF-054-20260827T162949741123Z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98c721ec23943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RUN-TRF-054-20260827T162949741123Z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RUN-TRF-054-20260827T162949741123Z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RUN-TRF-054-20260827T162949741123Z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RUN-TRF-054-20260827T162949741123Z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RUN-TRF-054-20260827T162949741123Z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RUN-TRF-054-20260827T162949741123Z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b418aa3ad2d35b1b3b3d9c54446b3cef7b1807a8294b15e92cce10c704ed402a</x:v>
      </x:c>
      <x:c r="G8" s="59" t="n">
        <x:v>8149</x:v>
      </x:c>
    </x:row>
    <x:row r="9">
      <x:c r="A9" s="47" t="str">
        <x:v>RUN-TRF-054-20260827T162949741123Z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c65fbd05403d5db85c2cb72ce59859b37aaddd38d7ea4540178d7883fc82f7e1</x:v>
      </x:c>
      <x:c r="G9" s="59" t="n">
        <x:v>8124</x:v>
      </x:c>
    </x:row>
    <x:row r="10">
      <x:c r="A10" s="47" t="str">
        <x:v>RUN-TRF-054-20260827T162949741123Z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RUN-TRF-054-20260827T162949741123Z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8a4b57f38ddf63915148e88032c769ba2f77677fb183286e5868e0067402c920</x:v>
      </x:c>
      <x:c r="G11" s="59" t="n">
        <x:v>51820</x:v>
      </x:c>
    </x:row>
    <x:row r="12">
      <x:c r="A12" s="47" t="str">
        <x:v>RUN-TRF-054-20260827T162949741123Z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d79e83c38b53bed3d6c7d3a79205a05c8ef34575c43f3d7f990da72ce47ef49f</x:v>
      </x:c>
      <x:c r="G12" s="59" t="n">
        <x:v>584</x:v>
      </x:c>
    </x:row>
    <x:row r="13">
      <x:c r="A13" s="47" t="str">
        <x:v>RUN-TRF-054-20260827T162949741123Z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e50771b9e337f33362c0106f9b273387eb3fb5c447cd4214fea007895c8b4ea1</x:v>
      </x:c>
      <x:c r="G13" s="59" t="n">
        <x:v>48293</x:v>
      </x:c>
    </x:row>
    <x:row r="14">
      <x:c r="A14" s="47" t="str">
        <x:v>RUN-TRF-054-20260827T162949741123Z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8cc8edc4f97ba7e4fee2da2d8d9ae223746838b0299431d687b9c4a0e7fd5d48</x:v>
      </x:c>
      <x:c r="G14" s="59" t="n">
        <x:v>9188</x:v>
      </x:c>
    </x:row>
    <x:row r="15">
      <x:c r="A15" s="47" t="str">
        <x:v>RUN-TRF-054-20260827T162949741123Z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9e956bc75de5c12651ecf460b40c2aa5753dbb4c73c9b0e025b8845b2aa56881</x:v>
      </x:c>
      <x:c r="G15" s="59" t="n">
        <x:v>9163</x:v>
      </x:c>
    </x:row>
    <x:row r="16">
      <x:c r="A16" s="47" t="str">
        <x:v>RUN-TRF-054-20260827T162949741123Z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1c2233bb4e7b440a1fecd8de5c335e0eab9c697d0d20a4f321389c3060ac312e</x:v>
      </x:c>
      <x:c r="G16" s="59" t="n">
        <x:v>1016</x:v>
      </x:c>
    </x:row>
    <x:row r="17">
      <x:c r="A17" s="47" t="str">
        <x:v>RUN-TRF-054-20260827T162949741123Z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91811a5fe99bb565221c594116eb80ddbc84a0ec9731cd49d35a3ba4b053f59c</x:v>
      </x:c>
      <x:c r="G17" s="59" t="n">
        <x:v>53492</x:v>
      </x:c>
    </x:row>
    <x:row r="18">
      <x:c r="A18" s="47" t="str">
        <x:v>RUN-TRF-054-20260827T162949741123Z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432827abfcfa4ed4c1a0387c97f36d6b602f76cd9d08e7e8d00c3b1d10bf589d</x:v>
      </x:c>
      <x:c r="G18" s="59" t="n">
        <x:v>524</x:v>
      </x:c>
    </x:row>
    <x:row r="19">
      <x:c r="A19" s="47" t="str">
        <x:v>RUN-TRF-054-20260827T162949741123Z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3e8b2d9e8d4b9643c4f71cc1bc304d3e79d115d27f5a4676d3bff0b1d276df32</x:v>
      </x:c>
      <x:c r="G19" s="59" t="n">
        <x:v>48760</x:v>
      </x:c>
    </x:row>
    <x:row r="20">
      <x:c r="A20" s="47" t="str">
        <x:v>RUN-TRF-054-20260827T162949741123Z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5b88c5cd7a6414965a2904f7db134f07267a0de8822119d82bbaf713691be0bf</x:v>
      </x:c>
      <x:c r="G20" s="59" t="n">
        <x:v>10833</x:v>
      </x:c>
    </x:row>
    <x:row r="21">
      <x:c r="A21" s="47" t="str">
        <x:v>RUN-TRF-054-20260827T162949741123Z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a095620a9ce7422687d5516233a8ee901becd0da4329f5c729da3820d0492637</x:v>
      </x:c>
      <x:c r="G21" s="59" t="n">
        <x:v>10808</x:v>
      </x:c>
    </x:row>
    <x:row r="22">
      <x:c r="A22" s="47" t="str">
        <x:v>RUN-TRF-054-20260827T162949741123Z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ba8318a28615b244d946ea7e01f277ea3e28f8ba220648493ed2cd62e2388e23</x:v>
      </x:c>
      <x:c r="G22" s="59" t="n">
        <x:v>1138</x:v>
      </x:c>
    </x:row>
    <x:row r="23">
      <x:c r="A23" s="47" t="str">
        <x:v>RUN-TRF-054-20260827T162949741123Z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62537e9bc22341b0e9683d251340f44c131f292360b285f53fd33ee158088249</x:v>
      </x:c>
      <x:c r="G23" s="59" t="n">
        <x:v>56481</x:v>
      </x:c>
    </x:row>
    <x:row r="24">
      <x:c r="A24" s="47" t="str">
        <x:v>RUN-TRF-054-20260827T162949741123Z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8bbe24fda13a7feecd46dd91db178350fb2aac7a855731193d3fa9a66f7e1166</x:v>
      </x:c>
      <x:c r="G24" s="59" t="n">
        <x:v>370</x:v>
      </x:c>
    </x:row>
    <x:row r="25">
      <x:c r="A25" s="49" t="str">
        <x:v>RUN-TRF-054-20260827T162949741123Z</x:v>
      </x:c>
      <x:c r="B25" s="49" t="str">
        <x:v>TRF-054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a095620a9ce7422687d5516233a8ee901becd0da4329f5c729da3820d0492637</x:v>
      </x:c>
      <x:c r="G25" s="60" t="n">
        <x:v>10808</x:v>
      </x:c>
    </x:row>
  </x:sheetData>
  <x:pageMargins left="0.7" right="0.7" top="0.75" bottom="0.75" header="0.3" footer="0.3"/>
  <x:tableParts count="1">
    <x:tablePart xmlns:r="http://schemas.openxmlformats.org/officeDocument/2006/relationships" r:id="R5eb1fb587f37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RUN-TRF-054-20260827T162949741123Z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RUN-TRF-054-20260827T162949741123Z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RUN-TRF-054-20260827T162949741123Z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3f51581744280"/>
  </x:tableParts>
</x:worksheet>
</file>