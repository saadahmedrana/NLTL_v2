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e4bae81f0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278bdc975d40ab"/>
    <x:sheet xmlns:r="http://schemas.openxmlformats.org/officeDocument/2006/relationships" name="README" sheetId="2" r:id="R83c0da31c4224aec"/>
    <x:sheet xmlns:r="http://schemas.openxmlformats.org/officeDocument/2006/relationships" name="REGULATION_QUEUE" sheetId="3" r:id="R5430a85ee5b24958"/>
    <x:sheet xmlns:r="http://schemas.openxmlformats.org/officeDocument/2006/relationships" name="RUNS" sheetId="4" r:id="Rda4864c3277349c1"/>
    <x:sheet xmlns:r="http://schemas.openxmlformats.org/officeDocument/2006/relationships" name="ITERATIONS" sheetId="5" r:id="Rb951d8cbc1b24b0d"/>
    <x:sheet xmlns:r="http://schemas.openxmlformats.org/officeDocument/2006/relationships" name="API_CALLS" sheetId="6" r:id="Rd75f3d94cadb48e2"/>
    <x:sheet xmlns:r="http://schemas.openxmlformats.org/officeDocument/2006/relationships" name="TERM_RETRIEVAL" sheetId="7" r:id="R737b4c6917b24a9c"/>
    <x:sheet xmlns:r="http://schemas.openxmlformats.org/officeDocument/2006/relationships" name="FEW_SHOT_SELECTION" sheetId="8" r:id="Rbd70fd75c68f4156"/>
    <x:sheet xmlns:r="http://schemas.openxmlformats.org/officeDocument/2006/relationships" name="VALIDATION" sheetId="9" r:id="Rc5b0d471813f4606"/>
    <x:sheet xmlns:r="http://schemas.openxmlformats.org/officeDocument/2006/relationships" name="VOCAB_MATCHES" sheetId="10" r:id="Rd1077b5386a84d42"/>
    <x:sheet xmlns:r="http://schemas.openxmlformats.org/officeDocument/2006/relationships" name="ARTIFACTS" sheetId="11" r:id="Ra40de8bc93374ce3"/>
    <x:sheet xmlns:r="http://schemas.openxmlformats.org/officeDocument/2006/relationships" name="UNRESOLVED" sheetId="12" r:id="R65e3ff5b07644d97"/>
    <x:sheet xmlns:r="http://schemas.openxmlformats.org/officeDocument/2006/relationships" name="RDF_TEST_QUEUE" sheetId="13" r:id="R3b73021f0638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b4cb745ae46e6" /><Relationship Type="http://schemas.openxmlformats.org/officeDocument/2006/relationships/theme" Target="/xl/theme/theme1.xml" Id="Rbf4325e4d0bb4d20" /><Relationship Type="http://schemas.microsoft.com/office/2022/11/relationships/FeaturePropertyBag" Target="/xl/featurePropertyBag/featurePropertyBag.xml" Id="R571b98f2526047d1" /><Relationship Type="http://schemas.openxmlformats.org/officeDocument/2006/relationships/sharedStrings" Target="/xl/sharedStrings.xml" Id="R35893dfa0eaa4a3a" /><Relationship Type="http://schemas.openxmlformats.org/officeDocument/2006/relationships/worksheet" Target="/xl/worksheets/sheet1.xml" Id="R2f278bdc975d40ab" /><Relationship Type="http://schemas.openxmlformats.org/officeDocument/2006/relationships/worksheet" Target="/xl/worksheets/sheet2.xml" Id="R83c0da31c4224aec" /><Relationship Type="http://schemas.openxmlformats.org/officeDocument/2006/relationships/worksheet" Target="/xl/worksheets/sheet3.xml" Id="R5430a85ee5b24958" /><Relationship Type="http://schemas.openxmlformats.org/officeDocument/2006/relationships/worksheet" Target="/xl/worksheets/sheet4.xml" Id="Rda4864c3277349c1" /><Relationship Type="http://schemas.openxmlformats.org/officeDocument/2006/relationships/worksheet" Target="/xl/worksheets/sheet5.xml" Id="Rb951d8cbc1b24b0d" /><Relationship Type="http://schemas.openxmlformats.org/officeDocument/2006/relationships/worksheet" Target="/xl/worksheets/sheet6.xml" Id="Rd75f3d94cadb48e2" /><Relationship Type="http://schemas.openxmlformats.org/officeDocument/2006/relationships/worksheet" Target="/xl/worksheets/sheet7.xml" Id="R737b4c6917b24a9c" /><Relationship Type="http://schemas.openxmlformats.org/officeDocument/2006/relationships/worksheet" Target="/xl/worksheets/sheet8.xml" Id="Rbd70fd75c68f4156" /><Relationship Type="http://schemas.openxmlformats.org/officeDocument/2006/relationships/worksheet" Target="/xl/worksheets/sheet9.xml" Id="Rc5b0d471813f4606" /><Relationship Type="http://schemas.openxmlformats.org/officeDocument/2006/relationships/worksheet" Target="/xl/worksheets/sheet10.xml" Id="Rd1077b5386a84d42" /><Relationship Type="http://schemas.openxmlformats.org/officeDocument/2006/relationships/worksheet" Target="/xl/worksheets/sheet11.xml" Id="Ra40de8bc93374ce3" /><Relationship Type="http://schemas.openxmlformats.org/officeDocument/2006/relationships/worksheet" Target="/xl/worksheets/sheet12.xml" Id="R65e3ff5b07644d97" /><Relationship Type="http://schemas.openxmlformats.org/officeDocument/2006/relationships/worksheet" Target="/xl/worksheets/sheet13.xml" Id="R3b73021f063844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02a8b4c4104f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e4dc53dcc94b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65a6a1d3bc46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9d639b1f1147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7d07d6cd0144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ca4dd24d6f4d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ea549a68bb41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e75460fdc041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541bf7fd514d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12e193e071b45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RUN-TRF-079-20260827T165747329539Z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12325.025125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RUN-TRF-079-20260827T165747329539Z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02a8b4c4104f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RUN-TRF-079-20260827T165747329539Z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4dc53dcc94b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RUN-TRF-079-20260827T165747329539Z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RUN-TRF-079-20260827T165747329539Z</x:v>
      </x:c>
      <x:c r="C5" s="69" t="str">
        <x:v>TRF-079</x:v>
      </x:c>
      <x:c r="D5" s="70" t="n">
        <x:v>46261.70679780093</x:v>
      </x:c>
      <x:c r="E5" s="70" t="n">
        <x:v>46261.70737347222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operands and derived formulas, uses correct units and quantity structure, implements all piecewise branches and the immersion formula with permitted direct-calculation logic, and compares reported derived values using tolerances scaled from the expected results. The prior ABS repair is correctly preserved without requiring vocabulary matching.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5a6a1d3bc46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RUN-TRF-079-20260827T165747329539Z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RUN-TRF-079-20260827T165747329539Z</x:v>
      </x:c>
      <x:c r="B5" s="45" t="str">
        <x:v>TRF-079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both uses of the unsupported SPARQL ABS function in the tolerance calculation with permitted DIRECT_CALCULATION logic, such as simple piecewise branches based on direct comparisons that compute the nonnegative magnitude from the expected f and k2 results. Preserve tolerance scaling from the expected formula results and the existing violation-direction comparisons; no vocabulary matcher is needed because all required canonical terms are supplied.</x:v>
      </x:c>
      <x:c r="I5" s="81" t="n">
        <x:v>13688.394</x:v>
      </x:c>
      <x:c r="J5" s="81" t="n">
        <x:v>8556.946</x:v>
      </x:c>
    </x:row>
    <x:row r="6">
      <x:c r="A6" s="49" t="str">
        <x:v>RUN-TRF-079-20260827T165747329539Z</x:v>
      </x:c>
      <x:c r="B6" s="49" t="str">
        <x:v>TRF-079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ship-owned operands and derived formulas, uses correct units and quantity structure, implements all piecewise branches and the immersion formula with permitted direct-calculation logic, and compares reported derived values using tolerances scaled from the expected results. The prior ABS repair is correctly preserved without requiring vocabulary matching.</x:v>
      </x:c>
      <x:c r="I6" s="83" t="n">
        <x:v>16624.591</x:v>
      </x:c>
      <x:c r="J6" s="83" t="n">
        <x:v>10433.498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9d639b1f1147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RUN-TRF-079-20260827T165747329539Z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RUN-TRF-079-20260827T165747329539Z</x:v>
      </x:c>
      <x:c r="C5" s="45" t="str">
        <x:v>TRF-079</x:v>
      </x:c>
      <x:c r="D5" s="90" t="n">
        <x:v>46261.706956215276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13686.461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RUN-TRF-079-20260827T165747329539Z</x:v>
      </x:c>
      <x:c r="C6" s="47" t="str">
        <x:v>TRF-079</x:v>
      </x:c>
      <x:c r="D6" s="91" t="n">
        <x:v>46261.70695625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13688.394</x:v>
      </x:c>
      <x:c r="L6" s="93" t="b">
        <x:v>0</x:v>
      </x:c>
      <x:c r="M6" s="47" t="str">
        <x:v>resp_0dd8971dcc09e5b9006a906c8b7e6481978bfe3df1305fd6b8</x:v>
      </x:c>
      <x:c r="N6" s="59" t="n">
        <x:v>7572</x:v>
      </x:c>
      <x:c r="O6" s="59" t="n">
        <x:v>1765</x:v>
      </x:c>
      <x:c r="P6" s="59" t="n">
        <x:v>9337</x:v>
      </x:c>
    </x:row>
    <x:row r="7">
      <x:c r="A7" s="47" t="str">
        <x:v>EVT-000025</x:v>
      </x:c>
      <x:c r="B7" s="47" t="str">
        <x:v>RUN-TRF-079-20260827T165747329539Z</x:v>
      </x:c>
      <x:c r="C7" s="47" t="str">
        <x:v>TRF-079</x:v>
      </x:c>
      <x:c r="D7" s="91" t="n">
        <x:v>46261.70705766204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8555.334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RUN-TRF-079-20260827T165747329539Z</x:v>
      </x:c>
      <x:c r="C8" s="47" t="str">
        <x:v>TRF-079</x:v>
      </x:c>
      <x:c r="D8" s="91" t="n">
        <x:v>46261.707057685184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8556.946</x:v>
      </x:c>
      <x:c r="L8" s="93" t="b">
        <x:v>0</x:v>
      </x:c>
      <x:c r="M8" s="47" t="str">
        <x:v>resp_0773043ec8e00a7d006a906c996d088195bda8d2578c18fa1d</x:v>
      </x:c>
      <x:c r="N8" s="59" t="n">
        <x:v>7351</x:v>
      </x:c>
      <x:c r="O8" s="59" t="n">
        <x:v>613</x:v>
      </x:c>
      <x:c r="P8" s="59" t="n">
        <x:v>7964</x:v>
      </x:c>
    </x:row>
    <x:row r="9">
      <x:c r="A9" s="47" t="str">
        <x:v>EVT-000031</x:v>
      </x:c>
      <x:c r="B9" s="47" t="str">
        <x:v>RUN-TRF-079-20260827T165747329539Z</x:v>
      </x:c>
      <x:c r="C9" s="47" t="str">
        <x:v>TRF-079</x:v>
      </x:c>
      <x:c r="D9" s="91" t="n">
        <x:v>46261.707250150466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16623.036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RUN-TRF-079-20260827T165747329539Z</x:v>
      </x:c>
      <x:c r="C10" s="47" t="str">
        <x:v>TRF-079</x:v>
      </x:c>
      <x:c r="D10" s="91" t="n">
        <x:v>46261.70725017361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16624.591</x:v>
      </x:c>
      <x:c r="L10" s="93" t="b">
        <x:v>0</x:v>
      </x:c>
      <x:c r="M10" s="47" t="str">
        <x:v>resp_06937a461e4a4ddc006a906ca1f5448197877bfd3dd84feec9</x:v>
      </x:c>
      <x:c r="N10" s="59" t="n">
        <x:v>7648</x:v>
      </x:c>
      <x:c r="O10" s="59" t="n">
        <x:v>1882</x:v>
      </x:c>
      <x:c r="P10" s="59" t="n">
        <x:v>9530</x:v>
      </x:c>
    </x:row>
    <x:row r="11">
      <x:c r="A11" s="47" t="str">
        <x:v>EVT-000039</x:v>
      </x:c>
      <x:c r="B11" s="47" t="str">
        <x:v>RUN-TRF-079-20260827T165747329539Z</x:v>
      </x:c>
      <x:c r="C11" s="47" t="str">
        <x:v>TRF-079</x:v>
      </x:c>
      <x:c r="D11" s="91" t="n">
        <x:v>46261.70737340278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10431.941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RUN-TRF-079-20260827T165747329539Z</x:v>
      </x:c>
      <x:c r="C12" s="49" t="str">
        <x:v>TRF-079</x:v>
      </x:c>
      <x:c r="D12" s="94" t="n">
        <x:v>46261.70737341435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10433.498</x:v>
      </x:c>
      <x:c r="L12" s="82" t="b">
        <x:v>0</x:v>
      </x:c>
      <x:c r="M12" s="49" t="str">
        <x:v>resp_0e449b9eb30ae309006a906cb2c9e4819099ee7c7f5a18c3da</x:v>
      </x:c>
      <x:c r="N12" s="60" t="n">
        <x:v>7577</x:v>
      </x:c>
      <x:c r="O12" s="60" t="n">
        <x:v>842</x:v>
      </x:c>
      <x:c r="P12" s="60" t="n">
        <x:v>8419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7d07d6cd0144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RUN-TRF-079-20260827T165747329539Z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RUN-TRF-079-20260827T165747329539Z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RUN-TRF-079-20260827T165747329539Z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RUN-TRF-079-20260827T165747329539Z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RUN-TRF-079-20260827T165747329539Z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RUN-TRF-079-20260827T165747329539Z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RUN-TRF-079-20260827T165747329539Z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RUN-TRF-079-20260827T165747329539Z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RUN-TRF-079-20260827T165747329539Z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RUN-TRF-079-20260827T165747329539Z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ca4dd24d6f4d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RUN-TRF-079-20260827T165747329539Z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RUN-TRF-079-20260827T165747329539Z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7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RUN-TRF-079-20260827T165747329539Z</x:v>
      </x:c>
      <x:c r="B6" s="49" t="str">
        <x:v>TRF-079</x:v>
      </x:c>
      <x:c r="C6" s="49" t="str">
        <x:v>FS-QTY-01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a549a68bb41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RUN-TRF-079-20260827T165747329539Z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RUN-TRF-079-20260827T165747329539Z</x:v>
      </x:c>
      <x:c r="B5" s="45" t="str">
        <x:v>TRF-079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46" t="str"/>
      <x:c r="P5" s="46" t="str"/>
      <x:c r="Q5" s="46" t="str"/>
    </x:row>
    <x:row r="6">
      <x:c r="A6" s="49" t="str">
        <x:v>RUN-TRF-079-20260827T165747329539Z</x:v>
      </x:c>
      <x:c r="B6" s="49" t="str">
        <x:v>TRF-079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8e75460fdc041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RUN-TRF-079-20260827T165747329539Z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RUN-TRF-079-20260827T165747329539Z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RUN-TRF-079-20260827T165747329539Z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RUN-TRF-079-20260827T165747329539Z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RUN-TRF-079-20260827T165747329539Z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RUN-TRF-079-20260827T165747329539Z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4d06b938d7166233df4cdbe23127c82944b065c850114a85987c722504152dbd</x:v>
      </x:c>
      <x:c r="G8" s="59" t="n">
        <x:v>5167</x:v>
      </x:c>
    </x:row>
    <x:row r="9">
      <x:c r="A9" s="47" t="str">
        <x:v>RUN-TRF-079-20260827T165747329539Z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d9264556ddc09c11fb3b6476decf6a8c0fcea19550c13ae1ec6f827d047a8d6a</x:v>
      </x:c>
      <x:c r="G9" s="59" t="n">
        <x:v>5142</x:v>
      </x:c>
    </x:row>
    <x:row r="10">
      <x:c r="A10" s="47" t="str">
        <x:v>RUN-TRF-079-20260827T165747329539Z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47cdd207d82a0e18eb69f663b8fbc08ce2ee0ea434a693810bc6f2c6f8e09708</x:v>
      </x:c>
      <x:c r="G10" s="59" t="n">
        <x:v>724</x:v>
      </x:c>
    </x:row>
    <x:row r="11">
      <x:c r="A11" s="47" t="str">
        <x:v>RUN-TRF-079-20260827T165747329539Z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2005d7f6910030f16997d06e7728528d9d6911ca1d7b531446fd721ef623e5a1</x:v>
      </x:c>
      <x:c r="G11" s="59" t="n">
        <x:v>28782</x:v>
      </x:c>
    </x:row>
    <x:row r="12">
      <x:c r="A12" s="47" t="str">
        <x:v>RUN-TRF-079-20260827T165747329539Z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3c7a6c7649135a9c448a9cd598d45299ec21d950dc66ca309630fe36a49a4ced</x:v>
      </x:c>
      <x:c r="G12" s="59" t="n">
        <x:v>521</x:v>
      </x:c>
    </x:row>
    <x:row r="13">
      <x:c r="A13" s="47" t="str">
        <x:v>RUN-TRF-079-20260827T165747329539Z</x:v>
      </x:c>
      <x:c r="B13" s="47" t="str">
        <x:v>TRF-079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68d3d65e4ea42e1ec52919ab248f38894254ddb7a10e822bd0bdba638366e5c0</x:v>
      </x:c>
      <x:c r="G13" s="59" t="n">
        <x:v>31120</x:v>
      </x:c>
    </x:row>
    <x:row r="14">
      <x:c r="A14" s="47" t="str">
        <x:v>RUN-TRF-079-20260827T165747329539Z</x:v>
      </x:c>
      <x:c r="B14" s="47" t="str">
        <x:v>TRF-079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d4a1169820a55d7101ab405a35d97178319628d659654a5a1363dd5a760ffae5</x:v>
      </x:c>
      <x:c r="G14" s="59" t="n">
        <x:v>5932</x:v>
      </x:c>
    </x:row>
    <x:row r="15">
      <x:c r="A15" s="47" t="str">
        <x:v>RUN-TRF-079-20260827T165747329539Z</x:v>
      </x:c>
      <x:c r="B15" s="47" t="str">
        <x:v>TRF-079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36589974a6055d2e3b9ca7d2dac76b4dbf695878ed6f29719bae265763e8f937</x:v>
      </x:c>
      <x:c r="G15" s="59" t="n">
        <x:v>5907</x:v>
      </x:c>
    </x:row>
    <x:row r="16">
      <x:c r="A16" s="47" t="str">
        <x:v>RUN-TRF-079-20260827T165747329539Z</x:v>
      </x:c>
      <x:c r="B16" s="47" t="str">
        <x:v>TRF-079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47cdd207d82a0e18eb69f663b8fbc08ce2ee0ea434a693810bc6f2c6f8e09708</x:v>
      </x:c>
      <x:c r="G16" s="59" t="n">
        <x:v>724</x:v>
      </x:c>
    </x:row>
    <x:row r="17">
      <x:c r="A17" s="47" t="str">
        <x:v>RUN-TRF-079-20260827T165747329539Z</x:v>
      </x:c>
      <x:c r="B17" s="47" t="str">
        <x:v>TRF-079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2e08d365a6dd3c849e1710af1d99b565e2629a9b912ee6c4b45aa2feec169251</x:v>
      </x:c>
      <x:c r="G17" s="59" t="n">
        <x:v>30038</x:v>
      </x:c>
    </x:row>
    <x:row r="18">
      <x:c r="A18" s="47" t="str">
        <x:v>RUN-TRF-079-20260827T165747329539Z</x:v>
      </x:c>
      <x:c r="B18" s="47" t="str">
        <x:v>TRF-079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fdb135b8c3c098fa92ccb4c7916558577ddce1510d484170dca6a95825b8da1b</x:v>
      </x:c>
      <x:c r="G18" s="59" t="n">
        <x:v>456</x:v>
      </x:c>
    </x:row>
    <x:row r="19">
      <x:c r="A19" s="49" t="str">
        <x:v>RUN-TRF-079-20260827T165747329539Z</x:v>
      </x:c>
      <x:c r="B19" s="49" t="str">
        <x:v>TRF-079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36589974a6055d2e3b9ca7d2dac76b4dbf695878ed6f29719bae265763e8f937</x:v>
      </x:c>
      <x:c r="G19" s="60" t="n">
        <x:v>5907</x:v>
      </x:c>
    </x:row>
  </x:sheetData>
  <x:pageMargins left="0.7" right="0.7" top="0.75" bottom="0.75" header="0.3" footer="0.3"/>
  <x:tableParts count="1">
    <x:tablePart xmlns:r="http://schemas.openxmlformats.org/officeDocument/2006/relationships" r:id="R35541bf7fd514d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RUN-TRF-079-20260827T165747329539Z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RUN-TRF-079-20260827T165747329539Z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RUN-TRF-079-20260827T165747329539Z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e193e071b4582"/>
  </x:tableParts>
</x:worksheet>
</file>