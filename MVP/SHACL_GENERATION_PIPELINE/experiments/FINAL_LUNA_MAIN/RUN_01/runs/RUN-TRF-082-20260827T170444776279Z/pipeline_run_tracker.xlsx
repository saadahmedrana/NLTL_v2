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7f1384a49243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58b43b3dcb4627"/>
    <x:sheet xmlns:r="http://schemas.openxmlformats.org/officeDocument/2006/relationships" name="README" sheetId="2" r:id="R0a350450057846b4"/>
    <x:sheet xmlns:r="http://schemas.openxmlformats.org/officeDocument/2006/relationships" name="REGULATION_QUEUE" sheetId="3" r:id="R4c1ec0d17a244e86"/>
    <x:sheet xmlns:r="http://schemas.openxmlformats.org/officeDocument/2006/relationships" name="RUNS" sheetId="4" r:id="R8b36605ac30c4d1f"/>
    <x:sheet xmlns:r="http://schemas.openxmlformats.org/officeDocument/2006/relationships" name="ITERATIONS" sheetId="5" r:id="R2b1f00f1ccd849b4"/>
    <x:sheet xmlns:r="http://schemas.openxmlformats.org/officeDocument/2006/relationships" name="API_CALLS" sheetId="6" r:id="Rf53a19a567d94b4b"/>
    <x:sheet xmlns:r="http://schemas.openxmlformats.org/officeDocument/2006/relationships" name="TERM_RETRIEVAL" sheetId="7" r:id="R93ece377372548e8"/>
    <x:sheet xmlns:r="http://schemas.openxmlformats.org/officeDocument/2006/relationships" name="FEW_SHOT_SELECTION" sheetId="8" r:id="Rdd321c5af18945cd"/>
    <x:sheet xmlns:r="http://schemas.openxmlformats.org/officeDocument/2006/relationships" name="VALIDATION" sheetId="9" r:id="R8a1b78b4679d49ed"/>
    <x:sheet xmlns:r="http://schemas.openxmlformats.org/officeDocument/2006/relationships" name="VOCAB_MATCHES" sheetId="10" r:id="R46706db92f0844be"/>
    <x:sheet xmlns:r="http://schemas.openxmlformats.org/officeDocument/2006/relationships" name="ARTIFACTS" sheetId="11" r:id="R4cad3d8e8f2643f2"/>
    <x:sheet xmlns:r="http://schemas.openxmlformats.org/officeDocument/2006/relationships" name="UNRESOLVED" sheetId="12" r:id="Ra72c4946f7df4179"/>
    <x:sheet xmlns:r="http://schemas.openxmlformats.org/officeDocument/2006/relationships" name="RDF_TEST_QUEUE" sheetId="13" r:id="Rdb41e2cf469b4e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da786be9df480e" /><Relationship Type="http://schemas.openxmlformats.org/officeDocument/2006/relationships/theme" Target="/xl/theme/theme1.xml" Id="Rc64007ad08584859" /><Relationship Type="http://schemas.microsoft.com/office/2022/11/relationships/FeaturePropertyBag" Target="/xl/featurePropertyBag/featurePropertyBag.xml" Id="Ra414edb3c71a407b" /><Relationship Type="http://schemas.openxmlformats.org/officeDocument/2006/relationships/sharedStrings" Target="/xl/sharedStrings.xml" Id="R2d38f21a25724df5" /><Relationship Type="http://schemas.openxmlformats.org/officeDocument/2006/relationships/worksheet" Target="/xl/worksheets/sheet1.xml" Id="R5558b43b3dcb4627" /><Relationship Type="http://schemas.openxmlformats.org/officeDocument/2006/relationships/worksheet" Target="/xl/worksheets/sheet2.xml" Id="R0a350450057846b4" /><Relationship Type="http://schemas.openxmlformats.org/officeDocument/2006/relationships/worksheet" Target="/xl/worksheets/sheet3.xml" Id="R4c1ec0d17a244e86" /><Relationship Type="http://schemas.openxmlformats.org/officeDocument/2006/relationships/worksheet" Target="/xl/worksheets/sheet4.xml" Id="R8b36605ac30c4d1f" /><Relationship Type="http://schemas.openxmlformats.org/officeDocument/2006/relationships/worksheet" Target="/xl/worksheets/sheet5.xml" Id="R2b1f00f1ccd849b4" /><Relationship Type="http://schemas.openxmlformats.org/officeDocument/2006/relationships/worksheet" Target="/xl/worksheets/sheet6.xml" Id="Rf53a19a567d94b4b" /><Relationship Type="http://schemas.openxmlformats.org/officeDocument/2006/relationships/worksheet" Target="/xl/worksheets/sheet7.xml" Id="R93ece377372548e8" /><Relationship Type="http://schemas.openxmlformats.org/officeDocument/2006/relationships/worksheet" Target="/xl/worksheets/sheet8.xml" Id="Rdd321c5af18945cd" /><Relationship Type="http://schemas.openxmlformats.org/officeDocument/2006/relationships/worksheet" Target="/xl/worksheets/sheet9.xml" Id="R8a1b78b4679d49ed" /><Relationship Type="http://schemas.openxmlformats.org/officeDocument/2006/relationships/worksheet" Target="/xl/worksheets/sheet10.xml" Id="R46706db92f0844be" /><Relationship Type="http://schemas.openxmlformats.org/officeDocument/2006/relationships/worksheet" Target="/xl/worksheets/sheet11.xml" Id="R4cad3d8e8f2643f2" /><Relationship Type="http://schemas.openxmlformats.org/officeDocument/2006/relationships/worksheet" Target="/xl/worksheets/sheet12.xml" Id="Ra72c4946f7df4179" /><Relationship Type="http://schemas.openxmlformats.org/officeDocument/2006/relationships/worksheet" Target="/xl/worksheets/sheet13.xml" Id="Rdb41e2cf469b4e1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a0c550a46e49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1cc1510f8547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f723b3063349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aa446c1c034b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2d83db51304e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8d0fb9997cc487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7708a5381ff45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51b33ac503c4d4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521775e0add47f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0e39a5a8ee745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RUN-TRF-082-20260827T170444776279Z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17960.0265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RUN-TRF-082-20260827T170444776279Z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ba0c550a46e49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RUN-TRF-082-20260827T170444776279Z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GENERATION_ACCEPTED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1cc1510f8547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RUN-TRF-082-20260827T170444776279Z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RUN-TRF-082-20260827T170444776279Z</x:v>
      </x:c>
      <x:c r="C5" s="69" t="str">
        <x:v>TRF-082</x:v>
      </x:c>
      <x:c r="D5" s="70" t="n">
        <x:v>46261.711629363424</x:v>
      </x:c>
      <x:c r="E5" s="70" t="n">
        <x:v>46261.71204665509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requirement: ship applicability is explicitly split on bollardThrustKnown, the unknown branch requires a table lookup case, Table 6-8 selection, applied status, and selection evidence, while the thrust quantity uses the canonical owner, datatype, and kN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f723b30633490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RUN-TRF-082-20260827T170444776279Z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RUN-TRF-082-20260827T170444776279Z</x:v>
      </x:c>
      <x:c r="B5" s="69" t="str">
        <x:v>TRF-082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requirement: ship applicability is explicitly split on bollardThrustKnown, the unknown branch requires a table lookup case, Table 6-8 selection, applied status, and selection evidence, while the thrust quantity uses the canonical owner, datatype, and kN unit.</x:v>
      </x:c>
      <x:c r="I5" s="75" t="n">
        <x:v>21299.928</x:v>
      </x:c>
      <x:c r="J5" s="75" t="n">
        <x:v>14621.661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aa446c1c034be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RUN-TRF-082-20260827T170444776279Z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RUN-TRF-082-20260827T170444776279Z</x:v>
      </x:c>
      <x:c r="C5" s="45" t="str">
        <x:v>TRF-082</x:v>
      </x:c>
      <x:c r="D5" s="88" t="n">
        <x:v>46261.71187590278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21298.311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RUN-TRF-082-20260827T170444776279Z</x:v>
      </x:c>
      <x:c r="C6" s="47" t="str">
        <x:v>TRF-082</x:v>
      </x:c>
      <x:c r="D6" s="91" t="n">
        <x:v>46261.711875925925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21299.928</x:v>
      </x:c>
      <x:c r="L6" s="93" t="b">
        <x:v>0</x:v>
      </x:c>
      <x:c r="M6" s="47" t="str">
        <x:v>resp_0e2e7f748e2298a4006a906e2cf2b08190ae92d5f48b33df3c</x:v>
      </x:c>
      <x:c r="N6" s="59" t="n">
        <x:v>10623</x:v>
      </x:c>
      <x:c r="O6" s="59" t="n">
        <x:v>2106</x:v>
      </x:c>
      <x:c r="P6" s="59" t="n">
        <x:v>12729</x:v>
      </x:c>
    </x:row>
    <x:row r="7">
      <x:c r="A7" s="47" t="str">
        <x:v>EVT-000040</x:v>
      </x:c>
      <x:c r="B7" s="47" t="str">
        <x:v>RUN-TRF-082-20260827T170444776279Z</x:v>
      </x:c>
      <x:c r="C7" s="47" t="str">
        <x:v>TRF-082</x:v>
      </x:c>
      <x:c r="D7" s="91" t="n">
        <x:v>46261.71204658565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14620.206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RUN-TRF-082-20260827T170444776279Z</x:v>
      </x:c>
      <x:c r="C8" s="49" t="str">
        <x:v>TRF-082</x:v>
      </x:c>
      <x:c r="D8" s="94" t="n">
        <x:v>46261.712046608794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14621.661</x:v>
      </x:c>
      <x:c r="L8" s="96" t="b">
        <x:v>0</x:v>
      </x:c>
      <x:c r="M8" s="49" t="str">
        <x:v>resp_0822d9955b75937e006a906e425d608195906a19ed9a643bbd</x:v>
      </x:c>
      <x:c r="N8" s="60" t="n">
        <x:v>10902</x:v>
      </x:c>
      <x:c r="O8" s="60" t="n">
        <x:v>1118</x:v>
      </x:c>
      <x:c r="P8" s="60" t="n">
        <x:v>12020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2d83db51304e2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RUN-TRF-082-20260827T170444776279Z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RUN-TRF-082-20260827T170444776279Z</x:v>
      </x:c>
      <x:c r="B5" s="45" t="str">
        <x:v>TRF-082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bollardThrustKnown; domain dependency of hydrodynamicBollardThrust</x:v>
      </x:c>
      <x:c r="J5" s="45" t="n">
        <x:v>0</x:v>
      </x:c>
    </x:row>
    <x:row r="6">
      <x:c r="A6" s="47" t="str">
        <x:v>RUN-TRF-082-20260827T170444776279Z</x:v>
      </x:c>
      <x:c r="B6" s="47" t="str">
        <x:v>TRF-082</x:v>
      </x:c>
      <x:c r="C6" s="47" t="str">
        <x:v>bollardThrustKnown</x:v>
      </x:c>
      <x:c r="D6" s="48" t="str">
        <x:v>https://w3id.org/nltl/vocab#bollardThrustKnown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RUN-TRF-082-20260827T170444776279Z</x:v>
      </x:c>
      <x:c r="B7" s="47" t="str">
        <x:v>TRF-082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RUN-TRF-082-20260827T170444776279Z</x:v>
      </x:c>
      <x:c r="B8" s="47" t="str">
        <x:v>TRF-082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RUN-TRF-082-20260827T170444776279Z</x:v>
      </x:c>
      <x:c r="B9" s="47" t="str">
        <x:v>TRF-082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RUN-TRF-082-20260827T170444776279Z</x:v>
      </x:c>
      <x:c r="B10" s="47" t="str">
        <x:v>TRF-082</x:v>
      </x:c>
      <x:c r="C10" s="47" t="str">
        <x:v>hydrodynamicBollardThrust</x:v>
      </x:c>
      <x:c r="D10" s="48" t="str">
        <x:v>https://w3id.org/nltl/vocab#hydrodynamicBollardThrust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RUN-TRF-082-20260827T170444776279Z</x:v>
      </x:c>
      <x:c r="B11" s="47" t="str">
        <x:v>TRF-082</x:v>
      </x:c>
      <x:c r="C11" s="47" t="str">
        <x:v>iacsUrI2Table3</x:v>
      </x:c>
      <x:c r="D11" s="48" t="str">
        <x:v>https://w3id.org/nltl/vocab#iacsUrI2Table3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traficomTable6Dash8</x:v>
      </x:c>
      <x:c r="J11" s="47" t="n">
        <x:v>0</x:v>
      </x:c>
    </x:row>
    <x:row r="12">
      <x:c r="A12" s="47" t="str">
        <x:v>RUN-TRF-082-20260827T170444776279Z</x:v>
      </x:c>
      <x:c r="B12" s="47" t="str">
        <x:v>TRF-082</x:v>
      </x:c>
      <x:c r="C12" s="47" t="str">
        <x:v>iacsUrI2Table8</x:v>
      </x:c>
      <x:c r="D12" s="48" t="str">
        <x:v>https://w3id.org/nltl/vocab#iacsUrI2Table8</x:v>
      </x:c>
      <x:c r="E12" s="47" t="str">
        <x:v>NamedIndividual</x:v>
      </x:c>
      <x:c r="F12" s="47" t="str"/>
      <x:c r="G12" s="47" t="str">
        <x:v>https://w3id.org/nltl/vocab#tableReferenceValue</x:v>
      </x:c>
      <x:c r="H12" s="47" t="str"/>
      <x:c r="I12" s="48" t="str">
        <x:v>controlled value permitted by the range of tableReference; controlled value permitted by the range of traficomTable6Dash8</x:v>
      </x:c>
      <x:c r="J12" s="47" t="n">
        <x:v>0</x:v>
      </x:c>
    </x:row>
    <x:row r="13">
      <x:c r="A13" s="47" t="str">
        <x:v>RUN-TRF-082-20260827T170444776279Z</x:v>
      </x:c>
      <x:c r="B13" s="47" t="str">
        <x:v>TRF-082</x:v>
      </x:c>
      <x:c r="C13" s="47" t="str">
        <x:v>lookupSelectionEvidence</x:v>
      </x:c>
      <x:c r="D13" s="48" t="str">
        <x:v>https://w3id.org/nltl/vocab#lookupSelectionEvidence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RUN-TRF-082-20260827T170444776279Z</x:v>
      </x:c>
      <x:c r="B14" s="47" t="str">
        <x:v>TRF-082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RUN-TRF-082-20260827T170444776279Z</x:v>
      </x:c>
      <x:c r="B15" s="47" t="str">
        <x:v>TRF-082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RUN-TRF-082-20260827T170444776279Z</x:v>
      </x:c>
      <x:c r="B16" s="47" t="str">
        <x:v>TRF-082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RUN-TRF-082-20260827T170444776279Z</x:v>
      </x:c>
      <x:c r="B17" s="47" t="str">
        <x:v>TRF-082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RUN-TRF-082-20260827T170444776279Z</x:v>
      </x:c>
      <x:c r="B18" s="47" t="str">
        <x:v>TRF-082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RUN-TRF-082-20260827T170444776279Z</x:v>
      </x:c>
      <x:c r="B19" s="47" t="str">
        <x:v>TRF-082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traficomTable6Dash8</x:v>
      </x:c>
      <x:c r="J19" s="47" t="n">
        <x:v>0</x:v>
      </x:c>
    </x:row>
    <x:row r="20">
      <x:c r="A20" s="47" t="str">
        <x:v>RUN-TRF-082-20260827T170444776279Z</x:v>
      </x:c>
      <x:c r="B20" s="47" t="str">
        <x:v>TRF-082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traficomTable6Dash8</x:v>
      </x:c>
      <x:c r="J20" s="47" t="n">
        <x:v>0</x:v>
      </x:c>
    </x:row>
    <x:row r="21">
      <x:c r="A21" s="47" t="str">
        <x:v>RUN-TRF-082-20260827T170444776279Z</x:v>
      </x:c>
      <x:c r="B21" s="47" t="str">
        <x:v>TRF-082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traficomTable6Dash8</x:v>
      </x:c>
      <x:c r="J21" s="47" t="n">
        <x:v>0</x:v>
      </x:c>
    </x:row>
    <x:row r="22">
      <x:c r="A22" s="47" t="str">
        <x:v>RUN-TRF-082-20260827T170444776279Z</x:v>
      </x:c>
      <x:c r="B22" s="47" t="str">
        <x:v>TRF-082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traficomTable6Dash8</x:v>
      </x:c>
      <x:c r="J22" s="47" t="n">
        <x:v>0</x:v>
      </x:c>
    </x:row>
    <x:row r="23">
      <x:c r="A23" s="47" t="str">
        <x:v>RUN-TRF-082-20260827T170444776279Z</x:v>
      </x:c>
      <x:c r="B23" s="47" t="str">
        <x:v>TRF-082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traficomTable6Dash8</x:v>
      </x:c>
      <x:c r="J23" s="47" t="n">
        <x:v>0</x:v>
      </x:c>
    </x:row>
    <x:row r="24">
      <x:c r="A24" s="47" t="str">
        <x:v>RUN-TRF-082-20260827T170444776279Z</x:v>
      </x:c>
      <x:c r="B24" s="47" t="str">
        <x:v>TRF-082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traficomTable6Dash8</x:v>
      </x:c>
      <x:c r="J24" s="47" t="n">
        <x:v>0</x:v>
      </x:c>
    </x:row>
    <x:row r="25">
      <x:c r="A25" s="47" t="str">
        <x:v>RUN-TRF-082-20260827T170444776279Z</x:v>
      </x:c>
      <x:c r="B25" s="47" t="str">
        <x:v>TRF-082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traficomTable6Dash8</x:v>
      </x:c>
      <x:c r="J25" s="47" t="n">
        <x:v>0</x:v>
      </x:c>
    </x:row>
    <x:row r="26">
      <x:c r="A26" s="47" t="str">
        <x:v>RUN-TRF-082-20260827T170444776279Z</x:v>
      </x:c>
      <x:c r="B26" s="47" t="str">
        <x:v>TRF-082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traficomTable6Dash8</x:v>
      </x:c>
      <x:c r="J26" s="47" t="n">
        <x:v>0</x:v>
      </x:c>
    </x:row>
    <x:row r="27">
      <x:c r="A27" s="47" t="str">
        <x:v>RUN-TRF-082-20260827T170444776279Z</x:v>
      </x:c>
      <x:c r="B27" s="47" t="str">
        <x:v>TRF-082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traficomTable6Dash8; linked by the locked 313-requirement index</x:v>
      </x:c>
      <x:c r="J27" s="47" t="n">
        <x:v>0</x:v>
      </x:c>
    </x:row>
    <x:row r="28">
      <x:c r="A28" s="49" t="str">
        <x:v>RUN-TRF-082-20260827T170444776279Z</x:v>
      </x:c>
      <x:c r="B28" s="49" t="str">
        <x:v>TRF-082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traficomTable6Dash8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8d0fb9997cc487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RUN-TRF-082-20260827T170444776279Z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RUN-TRF-082-20260827T170444776279Z</x:v>
      </x:c>
      <x:c r="B5" s="45" t="str">
        <x:v>TRF-082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RUN-TRF-082-20260827T170444776279Z</x:v>
      </x:c>
      <x:c r="B6" s="49" t="str">
        <x:v>TRF-082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708a5381ff454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RUN-TRF-082-20260827T170444776279Z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RUN-TRF-082-20260827T170444776279Z</x:v>
      </x:c>
      <x:c r="B5" s="69" t="str">
        <x:v>TRF-082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https://w3id.org/nltl/vocab#bollardThrustKnown | https://w3id.org/nltl/vocab#evidenceArtifact | https://w3id.org/nltl/vocab#hasTableLookupCase | https://w3id.org/nltl/vocab#hydrodynamicBollardThrust | https://w3id.org/nltl/vocab#lookupSelectionEvidence | https://w3id.org/nltl/vocab#ship | https://w3id.org/nltl/vocab#tableLookupApplied | https://w3id.org/nltl/vocab#tableLookupCase | https://w3id.org/nltl/vocab#tableReference | https://w3id.org/nltl/vocab#tableReferenceValue | https://w3id.org/nltl/vocab#traficomTable6Dash8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51b33ac503c4d4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RUN-TRF-082-20260827T170444776279Z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RUN-TRF-082-20260827T170444776279Z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RUN-TRF-082-20260827T170444776279Z</x:v>
      </x:c>
      <x:c r="B5" s="45" t="str">
        <x:v>TRF-082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6869b57686537128ca1ff7f9ca40031f0baa2d3d13f51024a2d91ab4de3a1d08</x:v>
      </x:c>
      <x:c r="G5" s="58" t="n">
        <x:v>29856</x:v>
      </x:c>
    </x:row>
    <x:row r="6">
      <x:c r="A6" s="47" t="str">
        <x:v>RUN-TRF-082-20260827T170444776279Z</x:v>
      </x:c>
      <x:c r="B6" s="47" t="str">
        <x:v>TRF-082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RUN-TRF-082-20260827T170444776279Z</x:v>
      </x:c>
      <x:c r="B7" s="47" t="str">
        <x:v>TRF-082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26c3d814000bf7bc1019325a911ffab4c7b302bf0f8d1f901b7db9c93513b7cc</x:v>
      </x:c>
      <x:c r="G7" s="59" t="n">
        <x:v>44480</x:v>
      </x:c>
    </x:row>
    <x:row r="8">
      <x:c r="A8" s="47" t="str">
        <x:v>RUN-TRF-082-20260827T170444776279Z</x:v>
      </x:c>
      <x:c r="B8" s="47" t="str">
        <x:v>TRF-082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c2ed4973680dfb81596fba78fd55b0257c052ab9eebdd467d2b96e81e3ceafbe</x:v>
      </x:c>
      <x:c r="G8" s="59" t="n">
        <x:v>2839</x:v>
      </x:c>
    </x:row>
    <x:row r="9">
      <x:c r="A9" s="47" t="str">
        <x:v>RUN-TRF-082-20260827T170444776279Z</x:v>
      </x:c>
      <x:c r="B9" s="47" t="str">
        <x:v>TRF-082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0df651d62918943ca2fa1cfc8e78705732a32b9dfeee6c2914c96b7640e3ae66</x:v>
      </x:c>
      <x:c r="G9" s="59" t="n">
        <x:v>2814</x:v>
      </x:c>
    </x:row>
    <x:row r="10">
      <x:c r="A10" s="47" t="str">
        <x:v>RUN-TRF-082-20260827T170444776279Z</x:v>
      </x:c>
      <x:c r="B10" s="47" t="str">
        <x:v>TRF-082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0b772e8c0dd37c02bd45cc78a33d04ca27a397eaf6d96cc527c801ba7b26249c</x:v>
      </x:c>
      <x:c r="G10" s="59" t="n">
        <x:v>974</x:v>
      </x:c>
    </x:row>
    <x:row r="11">
      <x:c r="A11" s="47" t="str">
        <x:v>RUN-TRF-082-20260827T170444776279Z</x:v>
      </x:c>
      <x:c r="B11" s="47" t="str">
        <x:v>TRF-082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e3efed94c9886223a2a6768f680515006c1eb26d55e4d6cf3596b9a0d51ca652</x:v>
      </x:c>
      <x:c r="G11" s="59" t="n">
        <x:v>43958</x:v>
      </x:c>
    </x:row>
    <x:row r="12">
      <x:c r="A12" s="47" t="str">
        <x:v>RUN-TRF-082-20260827T170444776279Z</x:v>
      </x:c>
      <x:c r="B12" s="47" t="str">
        <x:v>TRF-082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56a64671d04062df1c393d2e3f9f6b8b6ed4c6298d519e3ba15d6831b96d93c5</x:v>
      </x:c>
      <x:c r="G12" s="59" t="n">
        <x:v>386</x:v>
      </x:c>
    </x:row>
    <x:row r="13">
      <x:c r="A13" s="49" t="str">
        <x:v>RUN-TRF-082-20260827T170444776279Z</x:v>
      </x:c>
      <x:c r="B13" s="49" t="str">
        <x:v>TRF-082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0df651d62918943ca2fa1cfc8e78705732a32b9dfeee6c2914c96b7640e3ae66</x:v>
      </x:c>
      <x:c r="G13" s="60" t="n">
        <x:v>2814</x:v>
      </x:c>
    </x:row>
  </x:sheetData>
  <x:pageMargins left="0.7" right="0.7" top="0.75" bottom="0.75" header="0.3" footer="0.3"/>
  <x:tableParts count="1">
    <x:tablePart xmlns:r="http://schemas.openxmlformats.org/officeDocument/2006/relationships" r:id="R5521775e0add47f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RUN-TRF-082-20260827T170444776279Z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RUN-TRF-082-20260827T170444776279Z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RUN-TRF-082-20260827T170444776279Z</x:v>
      </x:c>
      <x:c r="B5" s="69" t="str">
        <x:v>TRF-082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e39a5a8ee7454d"/>
  </x:tableParts>
</x:worksheet>
</file>