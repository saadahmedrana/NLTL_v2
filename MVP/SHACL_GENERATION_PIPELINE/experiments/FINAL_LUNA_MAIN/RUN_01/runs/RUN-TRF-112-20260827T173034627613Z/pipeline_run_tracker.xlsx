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e4982325d744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cbd90c23dc9450d"/>
    <x:sheet xmlns:r="http://schemas.openxmlformats.org/officeDocument/2006/relationships" name="README" sheetId="2" r:id="R2700446d5c5a4391"/>
    <x:sheet xmlns:r="http://schemas.openxmlformats.org/officeDocument/2006/relationships" name="REGULATION_QUEUE" sheetId="3" r:id="R3ab97bd5c65b445e"/>
    <x:sheet xmlns:r="http://schemas.openxmlformats.org/officeDocument/2006/relationships" name="RUNS" sheetId="4" r:id="R478f5b9302af4bad"/>
    <x:sheet xmlns:r="http://schemas.openxmlformats.org/officeDocument/2006/relationships" name="ITERATIONS" sheetId="5" r:id="Raa996c94ffe74729"/>
    <x:sheet xmlns:r="http://schemas.openxmlformats.org/officeDocument/2006/relationships" name="API_CALLS" sheetId="6" r:id="Reb70ab4ba5014435"/>
    <x:sheet xmlns:r="http://schemas.openxmlformats.org/officeDocument/2006/relationships" name="TERM_RETRIEVAL" sheetId="7" r:id="Rb951e9a29c4447ec"/>
    <x:sheet xmlns:r="http://schemas.openxmlformats.org/officeDocument/2006/relationships" name="FEW_SHOT_SELECTION" sheetId="8" r:id="Rfa5633a42d744770"/>
    <x:sheet xmlns:r="http://schemas.openxmlformats.org/officeDocument/2006/relationships" name="VALIDATION" sheetId="9" r:id="R055e23c20aa04a60"/>
    <x:sheet xmlns:r="http://schemas.openxmlformats.org/officeDocument/2006/relationships" name="VOCAB_MATCHES" sheetId="10" r:id="R7d61582d31834421"/>
    <x:sheet xmlns:r="http://schemas.openxmlformats.org/officeDocument/2006/relationships" name="ARTIFACTS" sheetId="11" r:id="R4f356e4a2a344178"/>
    <x:sheet xmlns:r="http://schemas.openxmlformats.org/officeDocument/2006/relationships" name="UNRESOLVED" sheetId="12" r:id="Re65f14dca36a4e06"/>
    <x:sheet xmlns:r="http://schemas.openxmlformats.org/officeDocument/2006/relationships" name="RDF_TEST_QUEUE" sheetId="13" r:id="R8a8ca169f6b145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e64ff154ce45f9" /><Relationship Type="http://schemas.openxmlformats.org/officeDocument/2006/relationships/theme" Target="/xl/theme/theme1.xml" Id="R1d864b1c89f74f0c" /><Relationship Type="http://schemas.microsoft.com/office/2022/11/relationships/FeaturePropertyBag" Target="/xl/featurePropertyBag/featurePropertyBag.xml" Id="R4b8c9fcad6e84036" /><Relationship Type="http://schemas.openxmlformats.org/officeDocument/2006/relationships/sharedStrings" Target="/xl/sharedStrings.xml" Id="Rd7954d7c589f4983" /><Relationship Type="http://schemas.openxmlformats.org/officeDocument/2006/relationships/worksheet" Target="/xl/worksheets/sheet1.xml" Id="R3cbd90c23dc9450d" /><Relationship Type="http://schemas.openxmlformats.org/officeDocument/2006/relationships/worksheet" Target="/xl/worksheets/sheet2.xml" Id="R2700446d5c5a4391" /><Relationship Type="http://schemas.openxmlformats.org/officeDocument/2006/relationships/worksheet" Target="/xl/worksheets/sheet3.xml" Id="R3ab97bd5c65b445e" /><Relationship Type="http://schemas.openxmlformats.org/officeDocument/2006/relationships/worksheet" Target="/xl/worksheets/sheet4.xml" Id="R478f5b9302af4bad" /><Relationship Type="http://schemas.openxmlformats.org/officeDocument/2006/relationships/worksheet" Target="/xl/worksheets/sheet5.xml" Id="Raa996c94ffe74729" /><Relationship Type="http://schemas.openxmlformats.org/officeDocument/2006/relationships/worksheet" Target="/xl/worksheets/sheet6.xml" Id="Reb70ab4ba5014435" /><Relationship Type="http://schemas.openxmlformats.org/officeDocument/2006/relationships/worksheet" Target="/xl/worksheets/sheet7.xml" Id="Rb951e9a29c4447ec" /><Relationship Type="http://schemas.openxmlformats.org/officeDocument/2006/relationships/worksheet" Target="/xl/worksheets/sheet8.xml" Id="Rfa5633a42d744770" /><Relationship Type="http://schemas.openxmlformats.org/officeDocument/2006/relationships/worksheet" Target="/xl/worksheets/sheet9.xml" Id="R055e23c20aa04a60" /><Relationship Type="http://schemas.openxmlformats.org/officeDocument/2006/relationships/worksheet" Target="/xl/worksheets/sheet10.xml" Id="R7d61582d31834421" /><Relationship Type="http://schemas.openxmlformats.org/officeDocument/2006/relationships/worksheet" Target="/xl/worksheets/sheet11.xml" Id="R4f356e4a2a344178" /><Relationship Type="http://schemas.openxmlformats.org/officeDocument/2006/relationships/worksheet" Target="/xl/worksheets/sheet12.xml" Id="Re65f14dca36a4e06" /><Relationship Type="http://schemas.openxmlformats.org/officeDocument/2006/relationships/worksheet" Target="/xl/worksheets/sheet13.xml" Id="R8a8ca169f6b1459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4fcc41e4c4a48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b05c4dae324f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622bdea08df4c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8bad1f54ad8435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a97f39df23643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fc0559f8a4940f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a747d7a58b5407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2c39c1bb2f3441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74b02b0ad82429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cafafdc2ad141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RUN-TRF-112-20260827T173034627613Z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20661.5495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RUN-TRF-112-20260827T173034627613Z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4fcc41e4c4a48e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RUN-TRF-112-20260827T173034627613Z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GENERATION_ACCEPTED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b05c4dae324f4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RUN-TRF-112-20260827T173034627613Z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RUN-TRF-112-20260827T173034627613Z</x:v>
      </x:c>
      <x:c r="C5" s="69" t="str">
        <x:v>TRF-112</x:v>
      </x:c>
      <x:c r="D5" s="70" t="n">
        <x:v>46261.7295674537</x:v>
      </x:c>
      <x:c r="E5" s="70" t="n">
        <x:v>46261.730528125</x:v>
      </x:c>
      <x:c r="F5" s="69" t="str">
        <x:v>final-luna-main-run01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for COMPLEX_READINESS: it targets ships, follows the declared ship-to-load-case and ship-to-component paths, applies the blade-failure applicability value, includes both declared load operands with canonical units, includes both required component-owned safety-factor results, and enforces the inclusive minimum of 1.0. It preserves the readiness boundary without inventing formula execution, datatypes, evidence, or additional requirements.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22bdea08df4c6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RUN-TRF-112-20260827T173034627613Z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RUN-TRF-112-20260827T173034627613Z</x:v>
      </x:c>
      <x:c r="B5" s="45" t="str">
        <x:v>TRF-112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guessed xsd:decimal datatype constraints from every qudt:numericValue shape: the supplied canonical metadata declares no datatype, so the candidate must not impose one. Preserve the declared quantity units, applicability via shaftLineLoadCaseType = bladeFailureLoadCase, load-case operands, component-owned bending and torsional safety-factor results, and inclusive minimum threshold 1.0.</x:v>
      </x:c>
      <x:c r="I5" s="81" t="n">
        <x:v>23484.389</x:v>
      </x:c>
      <x:c r="J5" s="81" t="n">
        <x:v>14479.987</x:v>
      </x:c>
    </x:row>
    <x:row r="6">
      <x:c r="A6" s="49" t="str">
        <x:v>RUN-TRF-112-20260827T173034627613Z</x:v>
      </x:c>
      <x:c r="B6" s="49" t="str">
        <x:v>TRF-112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for COMPLEX_READINESS: it targets ships, follows the declared ship-to-load-case and ship-to-component paths, applies the blade-failure applicability value, includes both declared load operands with canonical units, includes both required component-owned safety-factor results, and enforces the inclusive minimum of 1.0. It preserves the readiness boundary without inventing formula execution, datatypes, evidence, or additional requirements.</x:v>
      </x:c>
      <x:c r="I6" s="83" t="n">
        <x:v>36248.75</x:v>
      </x:c>
      <x:c r="J6" s="83" t="n">
        <x:v>8436.13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bad1f54ad8435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RUN-TRF-112-20260827T173034627613Z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RUN-TRF-112-20260827T173034627613Z</x:v>
      </x:c>
      <x:c r="C5" s="45" t="str">
        <x:v>TRF-112</x:v>
      </x:c>
      <x:c r="D5" s="90" t="n">
        <x:v>46261.72983927083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23482.805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RUN-TRF-112-20260827T173034627613Z</x:v>
      </x:c>
      <x:c r="C6" s="47" t="str">
        <x:v>TRF-112</x:v>
      </x:c>
      <x:c r="D6" s="91" t="n">
        <x:v>46261.729839293985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23484.389</x:v>
      </x:c>
      <x:c r="L6" s="93" t="b">
        <x:v>0</x:v>
      </x:c>
      <x:c r="M6" s="47" t="str">
        <x:v>resp_0353e5105f3accd2006a90743abc5081949348504328fca4d9</x:v>
      </x:c>
      <x:c r="N6" s="59" t="n">
        <x:v>11833</x:v>
      </x:c>
      <x:c r="O6" s="59" t="n">
        <x:v>2404</x:v>
      </x:c>
      <x:c r="P6" s="59" t="n">
        <x:v>14237</x:v>
      </x:c>
    </x:row>
    <x:row r="7">
      <x:c r="A7" s="47" t="str">
        <x:v>EVT-000038</x:v>
      </x:c>
      <x:c r="B7" s="47" t="str">
        <x:v>RUN-TRF-112-20260827T173034627613Z</x:v>
      </x:c>
      <x:c r="C7" s="47" t="str">
        <x:v>TRF-112</x:v>
      </x:c>
      <x:c r="D7" s="91" t="n">
        <x:v>46261.73000873843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14478.33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RUN-TRF-112-20260827T173034627613Z</x:v>
      </x:c>
      <x:c r="C8" s="47" t="str">
        <x:v>TRF-112</x:v>
      </x:c>
      <x:c r="D8" s="91" t="n">
        <x:v>46261.73000876157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14479.987</x:v>
      </x:c>
      <x:c r="L8" s="93" t="b">
        <x:v>0</x:v>
      </x:c>
      <x:c r="M8" s="47" t="str">
        <x:v>resp_0914ef172d873510006a9074527c408193a81c70c5ede88bdc</x:v>
      </x:c>
      <x:c r="N8" s="59" t="n">
        <x:v>11457</x:v>
      </x:c>
      <x:c r="O8" s="59" t="n">
        <x:v>1131</x:v>
      </x:c>
      <x:c r="P8" s="59" t="n">
        <x:v>12588</x:v>
      </x:c>
    </x:row>
    <x:row r="9">
      <x:c r="A9" s="47" t="str">
        <x:v>EVT-000044</x:v>
      </x:c>
      <x:c r="B9" s="47" t="str">
        <x:v>RUN-TRF-112-20260827T173034627613Z</x:v>
      </x:c>
      <x:c r="C9" s="47" t="str">
        <x:v>TRF-112</x:v>
      </x:c>
      <x:c r="D9" s="91" t="n">
        <x:v>46261.73042854167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36247.35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RUN-TRF-112-20260827T173034627613Z</x:v>
      </x:c>
      <x:c r="C10" s="47" t="str">
        <x:v>TRF-112</x:v>
      </x:c>
      <x:c r="D10" s="91" t="n">
        <x:v>46261.73042856481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36248.75</x:v>
      </x:c>
      <x:c r="L10" s="93" t="b">
        <x:v>0</x:v>
      </x:c>
      <x:c r="M10" s="47" t="str">
        <x:v>resp_0102dbf719265d32006a907461915c8195b9b37b05a7260486</x:v>
      </x:c>
      <x:c r="N10" s="59" t="n">
        <x:v>11909</x:v>
      </x:c>
      <x:c r="O10" s="59" t="n">
        <x:v>3306</x:v>
      </x:c>
      <x:c r="P10" s="59" t="n">
        <x:v>15215</x:v>
      </x:c>
    </x:row>
    <x:row r="11">
      <x:c r="A11" s="47" t="str">
        <x:v>EVT-000052</x:v>
      </x:c>
      <x:c r="B11" s="47" t="str">
        <x:v>RUN-TRF-112-20260827T173034627613Z</x:v>
      </x:c>
      <x:c r="C11" s="47" t="str">
        <x:v>TRF-112</x:v>
      </x:c>
      <x:c r="D11" s="91" t="n">
        <x:v>46261.73052805555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8434.655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EVT-000053</x:v>
      </x:c>
      <x:c r="B12" s="49" t="str">
        <x:v>RUN-TRF-112-20260827T173034627613Z</x:v>
      </x:c>
      <x:c r="C12" s="49" t="str">
        <x:v>TRF-112</x:v>
      </x:c>
      <x:c r="D12" s="94" t="n">
        <x:v>46261.730528078704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8436.13</x:v>
      </x:c>
      <x:c r="L12" s="82" t="b">
        <x:v>0</x:v>
      </x:c>
      <x:c r="M12" s="49" t="str">
        <x:v>resp_0302cd71ab4d3508006a90748546a0819585d7141023faaf65</x:v>
      </x:c>
      <x:c r="N12" s="60" t="n">
        <x:v>11529</x:v>
      </x:c>
      <x:c r="O12" s="60" t="n">
        <x:v>624</x:v>
      </x:c>
      <x:c r="P12" s="60" t="n">
        <x:v>12153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97f39df236431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RUN-TRF-112-20260827T173034627613Z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RUN-TRF-112-20260827T173034627613Z</x:v>
      </x:c>
      <x:c r="B5" s="45" t="str">
        <x:v>TRF-112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bladeFailureUltimateLoad; domain dependency of combinedAxialBendingTorsionLoad; domain dependency of yieldSafetyFactor; range dependency of shaftLineLoadCaseTypeValue</x:v>
      </x:c>
      <x:c r="J5" s="45" t="n">
        <x:v>0</x:v>
      </x:c>
    </x:row>
    <x:row r="6">
      <x:c r="A6" s="47" t="str">
        <x:v>RUN-TRF-112-20260827T173034627613Z</x:v>
      </x:c>
      <x:c r="B6" s="47" t="str">
        <x:v>TRF-112</x:v>
      </x:c>
      <x:c r="C6" s="47" t="str">
        <x:v>bendingYieldSafetyFactor</x:v>
      </x:c>
      <x:c r="D6" s="48" t="str">
        <x:v>https://w3id.org/nltl/vocab#bendingYieldSafetyFactor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RUN-TRF-112-20260827T173034627613Z</x:v>
      </x:c>
      <x:c r="B7" s="47" t="str">
        <x:v>TRF-112</x:v>
      </x:c>
      <x:c r="C7" s="47" t="str">
        <x:v>bladeFailureLoadCase</x:v>
      </x:c>
      <x:c r="D7" s="48" t="str">
        <x:v>https://w3id.org/nltl/vocab#bladeFailureLoadCase</x:v>
      </x:c>
      <x:c r="E7" s="47" t="str">
        <x:v>NamedIndividual</x:v>
      </x:c>
      <x:c r="F7" s="47" t="str"/>
      <x:c r="G7" s="47" t="str">
        <x:v>https://w3id.org/nltl/vocab#shaftLineLoadCaseTypeValue</x:v>
      </x:c>
      <x:c r="H7" s="47" t="str"/>
      <x:c r="I7" s="48" t="str">
        <x:v>controlled value permitted by the range of bladeFailureLoadCase; controlled value permitted by the range of shaftLineLoadCaseType; linked by the locked 313-requirement index</x:v>
      </x:c>
      <x:c r="J7" s="47" t="n">
        <x:v>0</x:v>
      </x:c>
    </x:row>
    <x:row r="8">
      <x:c r="A8" s="47" t="str">
        <x:v>RUN-TRF-112-20260827T173034627613Z</x:v>
      </x:c>
      <x:c r="B8" s="47" t="str">
        <x:v>TRF-112</x:v>
      </x:c>
      <x:c r="C8" s="47" t="str">
        <x:v>bladeFailureUltimateLoad</x:v>
      </x:c>
      <x:c r="D8" s="48" t="str">
        <x:v>https://w3id.org/nltl/vocab#bladeFailureUltimateLoad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RUN-TRF-112-20260827T173034627613Z</x:v>
      </x:c>
      <x:c r="B9" s="47" t="str">
        <x:v>TRF-112</x:v>
      </x:c>
      <x:c r="C9" s="47" t="str">
        <x:v>combinedAxialBendingTorsionLoad</x:v>
      </x:c>
      <x:c r="D9" s="48" t="str">
        <x:v>https://w3id.org/nltl/vocab#combinedAxialBendingTorsionLoad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RUN-TRF-112-20260827T173034627613Z</x:v>
      </x:c>
      <x:c r="B10" s="47" t="str">
        <x:v>TRF-112</x:v>
      </x:c>
      <x:c r="C10" s="47" t="str">
        <x:v>componentYieldSafetyFactor</x:v>
      </x:c>
      <x:c r="D10" s="48" t="str">
        <x:v>https://w3id.org/nltl/vocab#componentYieldSafetyFactor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RUN-TRF-112-20260827T173034627613Z</x:v>
      </x:c>
      <x:c r="B11" s="47" t="str">
        <x:v>TRF-112</x:v>
      </x:c>
      <x:c r="C11" s="47" t="str">
        <x:v>extremeOperationalLoadCase</x:v>
      </x:c>
      <x:c r="D11" s="48" t="str">
        <x:v>https://w3id.org/nltl/vocab#extremeOperationalLoadCase</x:v>
      </x:c>
      <x:c r="E11" s="47" t="str">
        <x:v>NamedIndividual</x:v>
      </x:c>
      <x:c r="F11" s="47" t="str"/>
      <x:c r="G11" s="47" t="str">
        <x:v>https://w3id.org/nltl/vocab#shaftLineLoadCaseTypeValue</x:v>
      </x:c>
      <x:c r="H11" s="47" t="str"/>
      <x:c r="I11" s="48" t="str">
        <x:v>controlled value permitted by the range of bladeFailureLoadCase; controlled value permitted by the range of shaftLineLoadCaseType</x:v>
      </x:c>
      <x:c r="J11" s="47" t="n">
        <x:v>0</x:v>
      </x:c>
    </x:row>
    <x:row r="12">
      <x:c r="A12" s="47" t="str">
        <x:v>RUN-TRF-112-20260827T173034627613Z</x:v>
      </x:c>
      <x:c r="B12" s="47" t="str">
        <x:v>TRF-112</x:v>
      </x:c>
      <x:c r="C12" s="47" t="str">
        <x:v>fatigueLoadCase</x:v>
      </x:c>
      <x:c r="D12" s="48" t="str">
        <x:v>https://w3id.org/nltl/vocab#fatigueLoadCase</x:v>
      </x:c>
      <x:c r="E12" s="47" t="str">
        <x:v>NamedIndividual</x:v>
      </x:c>
      <x:c r="F12" s="47" t="str"/>
      <x:c r="G12" s="47" t="str">
        <x:v>https://w3id.org/nltl/vocab#shaftLineLoadCaseTypeValue</x:v>
      </x:c>
      <x:c r="H12" s="47" t="str"/>
      <x:c r="I12" s="48" t="str">
        <x:v>controlled value permitted by the range of bladeFailureLoadCase; controlled value permitted by the range of shaftLineLoadCaseType</x:v>
      </x:c>
      <x:c r="J12" s="47" t="n">
        <x:v>0</x:v>
      </x:c>
    </x:row>
    <x:row r="13">
      <x:c r="A13" s="47" t="str">
        <x:v>RUN-TRF-112-20260827T173034627613Z</x:v>
      </x:c>
      <x:c r="B13" s="47" t="str">
        <x:v>TRF-112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RUN-TRF-112-20260827T173034627613Z</x:v>
      </x:c>
      <x:c r="B14" s="47" t="str">
        <x:v>TRF-112</x:v>
      </x:c>
      <x:c r="C14" s="47" t="str">
        <x:v>hasLoadCase</x:v>
      </x:c>
      <x:c r="D14" s="48" t="str">
        <x:v>https://w3id.org/nltl/vocab#hasLoadCase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RUN-TRF-112-20260827T173034627613Z</x:v>
      </x:c>
      <x:c r="B15" s="47" t="str">
        <x:v>TRF-112</x:v>
      </x:c>
      <x:c r="C15" s="47" t="str">
        <x:v>hasPropellerShaftLineComponent</x:v>
      </x:c>
      <x:c r="D15" s="48" t="str">
        <x:v>https://w3id.org/nltl/vocab#hasPropellerShaftLineComponent</x:v>
      </x:c>
      <x:c r="E15" s="47" t="str">
        <x:v>ObjectProperty</x:v>
      </x:c>
      <x:c r="F15" s="47" t="str"/>
      <x:c r="G15" s="47" t="str">
        <x:v>https://w3id.org/nltl/vocab#propellerShaftLineComponent</x:v>
      </x:c>
      <x:c r="H15" s="47" t="str"/>
      <x:c r="I15" s="48" t="str">
        <x:v>canonical path from target owner ship to required owner propellerShaftLineComponent; linked by the locked 313-requirement index</x:v>
      </x:c>
      <x:c r="J15" s="47" t="n">
        <x:v>0</x:v>
      </x:c>
    </x:row>
    <x:row r="16">
      <x:c r="A16" s="47" t="str">
        <x:v>RUN-TRF-112-20260827T173034627613Z</x:v>
      </x:c>
      <x:c r="B16" s="47" t="str">
        <x:v>TRF-112</x:v>
      </x:c>
      <x:c r="C16" s="47" t="str">
        <x:v>hasPropulsionLoadCase</x:v>
      </x:c>
      <x:c r="D16" s="48" t="str">
        <x:v>https://w3id.org/nltl/vocab#hasPropulsionLoadCase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canonical path from target owner ship to required owner loadCase; linked by the locked 313-requirement index</x:v>
      </x:c>
      <x:c r="J16" s="47" t="n">
        <x:v>0</x:v>
      </x:c>
    </x:row>
    <x:row r="17">
      <x:c r="A17" s="47" t="str">
        <x:v>RUN-TRF-112-20260827T173034627613Z</x:v>
      </x:c>
      <x:c r="B17" s="47" t="str">
        <x:v>TRF-112</x:v>
      </x:c>
      <x:c r="C17" s="47" t="str">
        <x:v>loadCase</x:v>
      </x:c>
      <x:c r="D17" s="48" t="str">
        <x:v>https://w3id.org/nltl/vocab#loadCase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componentYieldSafetyFactor; domain dependency of shaftLineLoadCaseType; range dependency of hasPropulsionLoadCase</x:v>
      </x:c>
      <x:c r="J17" s="47" t="n">
        <x:v>0</x:v>
      </x:c>
    </x:row>
    <x:row r="18">
      <x:c r="A18" s="47" t="str">
        <x:v>RUN-TRF-112-20260827T173034627613Z</x:v>
      </x:c>
      <x:c r="B18" s="47" t="str">
        <x:v>TRF-112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propellerShaftLineComponent; range dependency of shaftComponent</x:v>
      </x:c>
      <x:c r="J18" s="47" t="n">
        <x:v>0</x:v>
      </x:c>
    </x:row>
    <x:row r="19">
      <x:c r="A19" s="47" t="str">
        <x:v>RUN-TRF-112-20260827T173034627613Z</x:v>
      </x:c>
      <x:c r="B19" s="47" t="str">
        <x:v>TRF-112</x:v>
      </x:c>
      <x:c r="C19" s="47" t="str">
        <x:v>propellerShaftLineComponent</x:v>
      </x:c>
      <x:c r="D19" s="48" t="str">
        <x:v>https://w3id.org/nltl/vocab#propellerShaftLineComponent</x:v>
      </x:c>
      <x:c r="E19" s="47" t="str">
        <x:v>Class</x:v>
      </x:c>
      <x:c r="F19" s="47" t="str"/>
      <x:c r="G19" s="47" t="str">
        <x:v>https://w3id.org/nltl/vocab#machineryComponent</x:v>
      </x:c>
      <x:c r="H19" s="47" t="str"/>
      <x:c r="I19" s="48" t="str">
        <x:v>authoritative required owner class; linked by the locked 313-requirement index; range dependency of hasPropellerShaftLineComponent</x:v>
      </x:c>
      <x:c r="J19" s="47" t="n">
        <x:v>0</x:v>
      </x:c>
    </x:row>
    <x:row r="20">
      <x:c r="A20" s="47" t="str">
        <x:v>RUN-TRF-112-20260827T173034627613Z</x:v>
      </x:c>
      <x:c r="B20" s="47" t="str">
        <x:v>TRF-112</x:v>
      </x:c>
      <x:c r="C20" s="47" t="str">
        <x:v>shaftComponent</x:v>
      </x:c>
      <x:c r="D20" s="48" t="str">
        <x:v>https://w3id.org/nltl/vocab#shaftComponent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RUN-TRF-112-20260827T173034627613Z</x:v>
      </x:c>
      <x:c r="B21" s="47" t="str">
        <x:v>TRF-112</x:v>
      </x:c>
      <x:c r="C21" s="47" t="str">
        <x:v>shaftLineLoadCaseType</x:v>
      </x:c>
      <x:c r="D21" s="48" t="str">
        <x:v>https://w3id.org/nltl/vocab#shaftLineLoadCaseType</x:v>
      </x:c>
      <x:c r="E21" s="47" t="str">
        <x:v>ObjectProperty</x:v>
      </x:c>
      <x:c r="F21" s="47" t="str"/>
      <x:c r="G21" s="47" t="str">
        <x:v>https://w3id.org/nltl/vocab#shaftLineLoadCaseTypeValue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RUN-TRF-112-20260827T173034627613Z</x:v>
      </x:c>
      <x:c r="B22" s="47" t="str">
        <x:v>TRF-112</x:v>
      </x:c>
      <x:c r="C22" s="47" t="str">
        <x:v>shaftLineLoadCaseTypeValue</x:v>
      </x:c>
      <x:c r="D22" s="48" t="str">
        <x:v>https://w3id.org/nltl/vocab#shaftLineLoadCaseTypeValue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linked by the locked 313-requirement index; range dependency of bladeFailureLoadCase; range dependency of shaftLineLoadCaseType</x:v>
      </x:c>
      <x:c r="J22" s="47" t="n">
        <x:v>0</x:v>
      </x:c>
    </x:row>
    <x:row r="23">
      <x:c r="A23" s="47" t="str">
        <x:v>RUN-TRF-112-20260827T173034627613Z</x:v>
      </x:c>
      <x:c r="B23" s="47" t="str">
        <x:v>TRF-112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hasPropellerShaftLineComponent; domain dependency of hasPropulsionLoadCase</x:v>
      </x:c>
      <x:c r="J23" s="47" t="n">
        <x:v>0</x:v>
      </x:c>
    </x:row>
    <x:row r="24">
      <x:c r="A24" s="47" t="str">
        <x:v>RUN-TRF-112-20260827T173034627613Z</x:v>
      </x:c>
      <x:c r="B24" s="47" t="str">
        <x:v>TRF-112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module; domain dependency of bendingYieldSafetyFactor; domain dependency of torsionalYieldSafetyFactor</x:v>
      </x:c>
      <x:c r="J24" s="47" t="n">
        <x:v>0</x:v>
      </x:c>
    </x:row>
    <x:row r="25">
      <x:c r="A25" s="47" t="str">
        <x:v>RUN-TRF-112-20260827T173034627613Z</x:v>
      </x:c>
      <x:c r="B25" s="47" t="str">
        <x:v>TRF-112</x:v>
      </x:c>
      <x:c r="C25" s="47" t="str">
        <x:v>torsionalYieldSafetyFactor</x:v>
      </x:c>
      <x:c r="D25" s="48" t="str">
        <x:v>https://w3id.org/nltl/vocab#torsionalYieldSafetyFactor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9" t="str">
        <x:v>RUN-TRF-112-20260827T173034627613Z</x:v>
      </x:c>
      <x:c r="B26" s="49" t="str">
        <x:v>TRF-112</x:v>
      </x:c>
      <x:c r="C26" s="49" t="str">
        <x:v>yieldSafetyFactor</x:v>
      </x:c>
      <x:c r="D26" s="50" t="str">
        <x:v>https://w3id.org/nltl/vocab#yieldSafetyFactor</x:v>
      </x:c>
      <x:c r="E26" s="49" t="str">
        <x:v>QuantityProperty</x:v>
      </x:c>
      <x:c r="F26" s="49" t="str"/>
      <x:c r="G26" s="49" t="str">
        <x:v>http://qudt.org/schema/qudt/QuantityValue</x:v>
      </x:c>
      <x:c r="H26" s="49" t="str">
        <x:v>http://qudt.org/vocab/unit/UNITLESS</x:v>
      </x:c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fc0559f8a4940f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RUN-TRF-112-20260827T173034627613Z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RUN-TRF-112-20260827T173034627613Z</x:v>
      </x:c>
      <x:c r="B5" s="45" t="str">
        <x:v>TRF-112</x:v>
      </x:c>
      <x:c r="C5" s="45" t="str">
        <x:v>FS-COMPLEX-READINESS-01</x:v>
      </x:c>
      <x:c r="D5" s="45" t="str">
        <x:v>complex_readiness_external_calculation</x:v>
      </x:c>
      <x:c r="E5" s="97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RUN-TRF-112-20260827T173034627613Z</x:v>
      </x:c>
      <x:c r="B6" s="49" t="str">
        <x:v>TRF-112</x:v>
      </x:c>
      <x:c r="C6" s="49" t="str">
        <x:v>FS-COMPLEX-READINESS-02</x:v>
      </x:c>
      <x:c r="D6" s="49" t="str">
        <x:v>complex_readiness_with_direct_residual_check</x:v>
      </x:c>
      <x:c r="E6" s="98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747d7a58b5407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RUN-TRF-112-20260827T173034627613Z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RUN-TRF-112-20260827T173034627613Z</x:v>
      </x:c>
      <x:c r="B5" s="45" t="str">
        <x:v>TRF-112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https://w3id.org/nltl/vocab#bendingYieldSafetyFactor | https://w3id.org/nltl/vocab#bladeFailureLoadCase | https://w3id.org/nltl/vocab#bladeFailureUltimateLoad | https://w3id.org/nltl/vocab#combinedAxialBendingTorsionLoad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https://w3id.org/nltl/vocab#ship | https://w3id.org/nltl/vocab#torsionalYieldSafetyFactor</x:v>
      </x:c>
      <x:c r="O5" s="46" t="str"/>
      <x:c r="P5" s="46" t="str"/>
      <x:c r="Q5" s="46" t="str"/>
    </x:row>
    <x:row r="6">
      <x:c r="A6" s="49" t="str">
        <x:v>RUN-TRF-112-20260827T173034627613Z</x:v>
      </x:c>
      <x:c r="B6" s="49" t="str">
        <x:v>TRF-112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https://w3id.org/nltl/vocab#bendingYieldSafetyFactor | https://w3id.org/nltl/vocab#bladeFailureLoadCase | https://w3id.org/nltl/vocab#bladeFailureUltimateLoad | https://w3id.org/nltl/vocab#combinedAxialBendingTorsionLoad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https://w3id.org/nltl/vocab#ship | https://w3id.org/nltl/vocab#torsionalYieldSafetyFactor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2c39c1bb2f3441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RUN-TRF-112-20260827T173034627613Z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RUN-TRF-112-20260827T173034627613Z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RUN-TRF-112-20260827T173034627613Z</x:v>
      </x:c>
      <x:c r="B5" s="45" t="str">
        <x:v>TRF-112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bda973281d01299634047510f8cbbc296258a478983ee3b56de14b4483663781</x:v>
      </x:c>
      <x:c r="G5" s="58" t="n">
        <x:v>31277</x:v>
      </x:c>
    </x:row>
    <x:row r="6">
      <x:c r="A6" s="47" t="str">
        <x:v>RUN-TRF-112-20260827T173034627613Z</x:v>
      </x:c>
      <x:c r="B6" s="47" t="str">
        <x:v>TRF-112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RUN-TRF-112-20260827T173034627613Z</x:v>
      </x:c>
      <x:c r="B7" s="47" t="str">
        <x:v>TRF-112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311dba8149449bfe7a172525384db1b0d201b4ad1d110dfdbb0baa4781986c8b</x:v>
      </x:c>
      <x:c r="G7" s="59" t="n">
        <x:v>49476</x:v>
      </x:c>
    </x:row>
    <x:row r="8">
      <x:c r="A8" s="47" t="str">
        <x:v>RUN-TRF-112-20260827T173034627613Z</x:v>
      </x:c>
      <x:c r="B8" s="47" t="str">
        <x:v>TRF-112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58a69ca4763703707d8e4b72e570c73fbd4c60dfafb624d93e7f9786c5245efe</x:v>
      </x:c>
      <x:c r="G8" s="59" t="n">
        <x:v>3950</x:v>
      </x:c>
    </x:row>
    <x:row r="9">
      <x:c r="A9" s="47" t="str">
        <x:v>RUN-TRF-112-20260827T173034627613Z</x:v>
      </x:c>
      <x:c r="B9" s="47" t="str">
        <x:v>TRF-112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877459f645be2507a75889765352b757fb79035147279e98623dd5c473a3fab3</x:v>
      </x:c>
      <x:c r="G9" s="59" t="n">
        <x:v>3925</x:v>
      </x:c>
    </x:row>
    <x:row r="10">
      <x:c r="A10" s="47" t="str">
        <x:v>RUN-TRF-112-20260827T173034627613Z</x:v>
      </x:c>
      <x:c r="B10" s="47" t="str">
        <x:v>TRF-112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6a0ef57beb5a6e1626c164f687d9a19cbf728f2c3fa1b475a713e3e2bc53cb91</x:v>
      </x:c>
      <x:c r="G10" s="59" t="n">
        <x:v>1021</x:v>
      </x:c>
    </x:row>
    <x:row r="11">
      <x:c r="A11" s="47" t="str">
        <x:v>RUN-TRF-112-20260827T173034627613Z</x:v>
      </x:c>
      <x:c r="B11" s="47" t="str">
        <x:v>TRF-112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56544c10ee0a9159e7444c09e59e7b88cd35483f32756e0ded73a1a21c551053</x:v>
      </x:c>
      <x:c r="G11" s="59" t="n">
        <x:v>46922</x:v>
      </x:c>
    </x:row>
    <x:row r="12">
      <x:c r="A12" s="47" t="str">
        <x:v>RUN-TRF-112-20260827T173034627613Z</x:v>
      </x:c>
      <x:c r="B12" s="47" t="str">
        <x:v>TRF-112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af8b9f293a950f08b8801fd21f2403c0639431ede6f29c4bde67a4550d1bc772</x:v>
      </x:c>
      <x:c r="G12" s="59" t="n">
        <x:v>463</x:v>
      </x:c>
    </x:row>
    <x:row r="13">
      <x:c r="A13" s="47" t="str">
        <x:v>RUN-TRF-112-20260827T173034627613Z</x:v>
      </x:c>
      <x:c r="B13" s="47" t="str">
        <x:v>TRF-112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4f295da06549943cbdb23ea173b032320a5afc3390a8854cb94870910f8b140f</x:v>
      </x:c>
      <x:c r="G13" s="59" t="n">
        <x:v>49874</x:v>
      </x:c>
    </x:row>
    <x:row r="14">
      <x:c r="A14" s="47" t="str">
        <x:v>RUN-TRF-112-20260827T173034627613Z</x:v>
      </x:c>
      <x:c r="B14" s="47" t="str">
        <x:v>TRF-112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44d5643164744869eea426641f9b2fe0bd97c1d49c81d9ce440056c248b1fe84</x:v>
      </x:c>
      <x:c r="G14" s="59" t="n">
        <x:v>4051</x:v>
      </x:c>
    </x:row>
    <x:row r="15">
      <x:c r="A15" s="47" t="str">
        <x:v>RUN-TRF-112-20260827T173034627613Z</x:v>
      </x:c>
      <x:c r="B15" s="47" t="str">
        <x:v>TRF-112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5c2ffc5a2485ed1ee7c834fcb258aea789e4fba6296e2d55cd07d49c25da8fe5</x:v>
      </x:c>
      <x:c r="G15" s="59" t="n">
        <x:v>4026</x:v>
      </x:c>
    </x:row>
    <x:row r="16">
      <x:c r="A16" s="47" t="str">
        <x:v>RUN-TRF-112-20260827T173034627613Z</x:v>
      </x:c>
      <x:c r="B16" s="47" t="str">
        <x:v>TRF-112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6a0ef57beb5a6e1626c164f687d9a19cbf728f2c3fa1b475a713e3e2bc53cb91</x:v>
      </x:c>
      <x:c r="G16" s="59" t="n">
        <x:v>1021</x:v>
      </x:c>
    </x:row>
    <x:row r="17">
      <x:c r="A17" s="47" t="str">
        <x:v>RUN-TRF-112-20260827T173034627613Z</x:v>
      </x:c>
      <x:c r="B17" s="47" t="str">
        <x:v>TRF-112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9e49905b109e39ac489b81cb8bbfa078e47d719408d1fbeaff59098bda3ada60</x:v>
      </x:c>
      <x:c r="G17" s="59" t="n">
        <x:v>47430</x:v>
      </x:c>
    </x:row>
    <x:row r="18">
      <x:c r="A18" s="47" t="str">
        <x:v>RUN-TRF-112-20260827T173034627613Z</x:v>
      </x:c>
      <x:c r="B18" s="47" t="str">
        <x:v>TRF-112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5ab9f474988a71d0ddef60023f05d45d0f0581565de51a50a85c97843f28b0f9</x:v>
      </x:c>
      <x:c r="G18" s="59" t="n">
        <x:v>543</x:v>
      </x:c>
    </x:row>
    <x:row r="19">
      <x:c r="A19" s="49" t="str">
        <x:v>RUN-TRF-112-20260827T173034627613Z</x:v>
      </x:c>
      <x:c r="B19" s="49" t="str">
        <x:v>TRF-112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5c2ffc5a2485ed1ee7c834fcb258aea789e4fba6296e2d55cd07d49c25da8fe5</x:v>
      </x:c>
      <x:c r="G19" s="60" t="n">
        <x:v>4026</x:v>
      </x:c>
    </x:row>
  </x:sheetData>
  <x:pageMargins left="0.7" right="0.7" top="0.75" bottom="0.75" header="0.3" footer="0.3"/>
  <x:tableParts count="1">
    <x:tablePart xmlns:r="http://schemas.openxmlformats.org/officeDocument/2006/relationships" r:id="Rd74b02b0ad82429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RUN-TRF-112-20260827T173034627613Z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RUN-TRF-112-20260827T173034627613Z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RUN-TRF-112-20260827T173034627613Z</x:v>
      </x:c>
      <x:c r="B5" s="69" t="str">
        <x:v>TRF-112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afafdc2ad141ef"/>
  </x:tableParts>
</x:worksheet>
</file>