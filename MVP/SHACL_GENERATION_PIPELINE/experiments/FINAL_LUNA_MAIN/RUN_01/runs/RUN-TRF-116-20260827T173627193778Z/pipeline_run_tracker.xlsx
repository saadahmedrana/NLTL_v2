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d4fbc91cca24231" /></Relationships>
</file>

<file path=xl/workbook.xml><?xml version="1.0" encoding="utf-8"?>
<x:workbook xmlns:x="http://schemas.openxmlformats.org/spreadsheetml/2006/main">
  <x:sheets>
    <x:sheet xmlns:r="http://schemas.openxmlformats.org/officeDocument/2006/relationships" name="SUMMARY" sheetId="1" r:id="R15817a6432ec4e76"/>
    <x:sheet xmlns:r="http://schemas.openxmlformats.org/officeDocument/2006/relationships" name="README" sheetId="2" r:id="Rc3f48e2837fc4f08"/>
    <x:sheet xmlns:r="http://schemas.openxmlformats.org/officeDocument/2006/relationships" name="REGULATION_QUEUE" sheetId="3" r:id="R5f982655ca2a44c0"/>
    <x:sheet xmlns:r="http://schemas.openxmlformats.org/officeDocument/2006/relationships" name="RUNS" sheetId="4" r:id="Rc0d374be37024fbf"/>
    <x:sheet xmlns:r="http://schemas.openxmlformats.org/officeDocument/2006/relationships" name="ITERATIONS" sheetId="5" r:id="Rb4a2232c268247e6"/>
    <x:sheet xmlns:r="http://schemas.openxmlformats.org/officeDocument/2006/relationships" name="API_CALLS" sheetId="6" r:id="Red81288c86494098"/>
    <x:sheet xmlns:r="http://schemas.openxmlformats.org/officeDocument/2006/relationships" name="TERM_RETRIEVAL" sheetId="7" r:id="R0eab908f3a8f4a4d"/>
    <x:sheet xmlns:r="http://schemas.openxmlformats.org/officeDocument/2006/relationships" name="FEW_SHOT_SELECTION" sheetId="8" r:id="R2db3866e8aff48a6"/>
    <x:sheet xmlns:r="http://schemas.openxmlformats.org/officeDocument/2006/relationships" name="VALIDATION" sheetId="9" r:id="R74131e23f6544df9"/>
    <x:sheet xmlns:r="http://schemas.openxmlformats.org/officeDocument/2006/relationships" name="VOCAB_MATCHES" sheetId="10" r:id="R43d0c25f027443f2"/>
    <x:sheet xmlns:r="http://schemas.openxmlformats.org/officeDocument/2006/relationships" name="ARTIFACTS" sheetId="11" r:id="Ra765971296874eaf"/>
    <x:sheet xmlns:r="http://schemas.openxmlformats.org/officeDocument/2006/relationships" name="UNRESOLVED" sheetId="12" r:id="R7a78f72b22714abb"/>
    <x:sheet xmlns:r="http://schemas.openxmlformats.org/officeDocument/2006/relationships" name="RDF_TEST_QUEUE" sheetId="13" r:id="R204cb5a87b054318"/>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78f6249c18af4dfa" /><Relationship Type="http://schemas.openxmlformats.org/officeDocument/2006/relationships/theme" Target="/xl/theme/theme1.xml" Id="R5ba04e54d2e84586" /><Relationship Type="http://schemas.microsoft.com/office/2022/11/relationships/FeaturePropertyBag" Target="/xl/featurePropertyBag/featurePropertyBag.xml" Id="R77c118ff8c1a4ed2" /><Relationship Type="http://schemas.openxmlformats.org/officeDocument/2006/relationships/sharedStrings" Target="/xl/sharedStrings.xml" Id="Rff809077b107486d" /><Relationship Type="http://schemas.openxmlformats.org/officeDocument/2006/relationships/worksheet" Target="/xl/worksheets/sheet1.xml" Id="R15817a6432ec4e76" /><Relationship Type="http://schemas.openxmlformats.org/officeDocument/2006/relationships/worksheet" Target="/xl/worksheets/sheet2.xml" Id="Rc3f48e2837fc4f08" /><Relationship Type="http://schemas.openxmlformats.org/officeDocument/2006/relationships/worksheet" Target="/xl/worksheets/sheet3.xml" Id="R5f982655ca2a44c0" /><Relationship Type="http://schemas.openxmlformats.org/officeDocument/2006/relationships/worksheet" Target="/xl/worksheets/sheet4.xml" Id="Rc0d374be37024fbf" /><Relationship Type="http://schemas.openxmlformats.org/officeDocument/2006/relationships/worksheet" Target="/xl/worksheets/sheet5.xml" Id="Rb4a2232c268247e6" /><Relationship Type="http://schemas.openxmlformats.org/officeDocument/2006/relationships/worksheet" Target="/xl/worksheets/sheet6.xml" Id="Red81288c86494098" /><Relationship Type="http://schemas.openxmlformats.org/officeDocument/2006/relationships/worksheet" Target="/xl/worksheets/sheet7.xml" Id="R0eab908f3a8f4a4d" /><Relationship Type="http://schemas.openxmlformats.org/officeDocument/2006/relationships/worksheet" Target="/xl/worksheets/sheet8.xml" Id="R2db3866e8aff48a6" /><Relationship Type="http://schemas.openxmlformats.org/officeDocument/2006/relationships/worksheet" Target="/xl/worksheets/sheet9.xml" Id="R74131e23f6544df9" /><Relationship Type="http://schemas.openxmlformats.org/officeDocument/2006/relationships/worksheet" Target="/xl/worksheets/sheet10.xml" Id="R43d0c25f027443f2" /><Relationship Type="http://schemas.openxmlformats.org/officeDocument/2006/relationships/worksheet" Target="/xl/worksheets/sheet11.xml" Id="Ra765971296874eaf" /><Relationship Type="http://schemas.openxmlformats.org/officeDocument/2006/relationships/worksheet" Target="/xl/worksheets/sheet12.xml" Id="R7a78f72b22714abb" /><Relationship Type="http://schemas.openxmlformats.org/officeDocument/2006/relationships/worksheet" Target="/xl/worksheets/sheet13.xml" Id="R204cb5a87b054318"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4"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3"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6"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9_VOCABMATCHES" displayName="T9_VOCABMATCHES" ref="A4:J6" headerRowCount="1" totalsRowCount="0" totalsRowShown="0">
  <x:tableColumns count="10">
    <x:tableColumn id="1" name="RUN_ID"/>
    <x:tableColumn id="2" name="REQUIREMENT_ID"/>
    <x:tableColumn id="3" name="ITERATION"/>
    <x:tableColumn id="4" name="EVENT"/>
    <x:tableColumn id="5" name="QUERY_FEEDBACK"/>
    <x:tableColumn id="6" name="CANDIDATE_COUNT"/>
    <x:tableColumn id="7" name="MATCH_FOUND"/>
    <x:tableColumn id="8" name="CANONICAL_LOCAL_NAME"/>
    <x:tableColumn id="9" name="CANONICAL_IRI"/>
    <x:tableColumn id="10" name="FEEDBACK_APPENDIX"/>
  </x:tableColumns>
  <x:tableStyleInfo name="TableStyleMedium2" showFirstColumn="0" showLastColumn="0" showRowStripes="1" showColumnStripes="0"/>
</x:table>
</file>

<file path=xl/tables/table10.xml><?xml version="1.0" encoding="utf-8"?>
<x:table xmlns:x="http://schemas.openxmlformats.org/spreadsheetml/2006/main" id="10" name="T10_ARTIFACTS" displayName="T10_ARTIFACTS" ref="A4:G21"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1.xml><?xml version="1.0" encoding="utf-8"?>
<x:table xmlns:x="http://schemas.openxmlformats.org/spreadsheetml/2006/main" id="11"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d3a5547f72684b7a" /></Relationships>
</file>

<file path=xl/worksheets/_rels/sheet3.xml.rels>&#65279;<?xml version="1.0" encoding="utf-8"?><Relationships xmlns="http://schemas.openxmlformats.org/package/2006/relationships"><Relationship Type="http://schemas.openxmlformats.org/officeDocument/2006/relationships/table" Target="/xl/tables/table2.xml" Id="Ra50796168e8d4aec" /></Relationships>
</file>

<file path=xl/worksheets/_rels/sheet4.xml.rels>&#65279;<?xml version="1.0" encoding="utf-8"?><Relationships xmlns="http://schemas.openxmlformats.org/package/2006/relationships"><Relationship Type="http://schemas.openxmlformats.org/officeDocument/2006/relationships/table" Target="/xl/tables/table3.xml" Id="Rf5bd35bc9cef44f5" /></Relationships>
</file>

<file path=xl/worksheets/_rels/sheet5.xml.rels>&#65279;<?xml version="1.0" encoding="utf-8"?><Relationships xmlns="http://schemas.openxmlformats.org/package/2006/relationships"><Relationship Type="http://schemas.openxmlformats.org/officeDocument/2006/relationships/table" Target="/xl/tables/table4.xml" Id="R9ed68b7293a7485f" /></Relationships>
</file>

<file path=xl/worksheets/_rels/sheet6.xml.rels>&#65279;<?xml version="1.0" encoding="utf-8"?><Relationships xmlns="http://schemas.openxmlformats.org/package/2006/relationships"><Relationship Type="http://schemas.openxmlformats.org/officeDocument/2006/relationships/table" Target="/xl/tables/table5.xml" Id="R30a2dc544084408f" /></Relationships>
</file>

<file path=xl/worksheets/_rels/sheet7.xml.rels>&#65279;<?xml version="1.0" encoding="utf-8"?><Relationships xmlns="http://schemas.openxmlformats.org/package/2006/relationships"><Relationship Type="http://schemas.openxmlformats.org/officeDocument/2006/relationships/table" Target="/xl/tables/table6.xml" Id="R3cbfcb5f43454909" /></Relationships>
</file>

<file path=xl/worksheets/_rels/sheet8.xml.rels>&#65279;<?xml version="1.0" encoding="utf-8"?><Relationships xmlns="http://schemas.openxmlformats.org/package/2006/relationships"><Relationship Type="http://schemas.openxmlformats.org/officeDocument/2006/relationships/table" Target="/xl/tables/table7.xml" Id="Rc8aa92004e10489d" /></Relationships>
</file>

<file path=xl/worksheets/_rels/sheet9.xml.rels>&#65279;<?xml version="1.0" encoding="utf-8"?><Relationships xmlns="http://schemas.openxmlformats.org/package/2006/relationships"><Relationship Type="http://schemas.openxmlformats.org/officeDocument/2006/relationships/table" Target="/xl/tables/table8.xml" Id="Rae88d483b90a4cac" /></Relationships>
</file>

<file path=xl/worksheets/_rels/sheet10.xml.rels>&#65279;<?xml version="1.0" encoding="utf-8"?><Relationships xmlns="http://schemas.openxmlformats.org/package/2006/relationships"><Relationship Type="http://schemas.openxmlformats.org/officeDocument/2006/relationships/table" Target="/xl/tables/table9.xml" Id="Rce7d12b79e7b405d" /></Relationships>
</file>

<file path=xl/worksheets/_rels/sheet11.xml.rels>&#65279;<?xml version="1.0" encoding="utf-8"?><Relationships xmlns="http://schemas.openxmlformats.org/package/2006/relationships"><Relationship Type="http://schemas.openxmlformats.org/officeDocument/2006/relationships/table" Target="/xl/tables/table10.xml" Id="Racd7849ed8e14d33" /></Relationships>
</file>

<file path=xl/worksheets/_rels/sheet12.xml.rels>&#65279;<?xml version="1.0" encoding="utf-8"?><Relationships xmlns="http://schemas.openxmlformats.org/package/2006/relationships"><Relationship Type="http://schemas.openxmlformats.org/officeDocument/2006/relationships/table" Target="/xl/tables/table11.xml" Id="R0bdfa693ce4141e6"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RUN-TRF-116-20260827T173627193778Z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COUNTA('API_CALLS'!$A$5:$A$14)</x:f>
        <x:v>10</x:v>
      </x:c>
      <x:c r="C9" s="21"/>
      <x:c r="D9" s="21"/>
    </x:row>
    <x:row r="10">
      <x:c r="A10" s="27" t="str">
        <x:v>Mean API/LLM elapsed ms</x:v>
      </x:c>
      <x:c r="B10" s="28" t="n">
        <x:f>IFERROR(AVERAGE('API_CALLS'!$K$5:$K$14),0)</x:f>
        <x:v>10185.2657</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RUN-TRF-116-20260827T173627193778Z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d3a5547f72684b7a"/>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4" hidden="0" customWidth="1"/>
  </x:cols>
  <x:sheetData>
    <x:row r="1">
      <x:c r="A1" s="18" t="str">
        <x:v>NLTL SHACL Pipeline Run Tracker</x:v>
      </x:c>
      <x:c r="B1" s="19"/>
      <x:c r="C1" s="19"/>
      <x:c r="D1" s="19"/>
      <x:c r="E1" s="19"/>
      <x:c r="F1" s="19"/>
      <x:c r="G1" s="19"/>
      <x:c r="H1" s="19"/>
      <x:c r="I1" s="19"/>
      <x:c r="J1" s="19"/>
      <x:c r="K1" s="19"/>
    </x:row>
    <x:row r="2">
      <x:c r="A2" s="20" t="str">
        <x:v>REGULATION_QUEUE | Run folder: RUN-TRF-116-20260827T173627193778Z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TERM_RESOLUTION_UNRESOLVED</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a50796168e8d4aec"/>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4"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RUN-TRF-116-20260827T173627193778Z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SESSION-BATCH-20260827T115441378164Z</x:v>
      </x:c>
      <x:c r="B5" s="69" t="str">
        <x:v>RUN-TRF-116-20260827T173627193778Z</x:v>
      </x:c>
      <x:c r="C5" s="69" t="str">
        <x:v>TRF-116</x:v>
      </x:c>
      <x:c r="D5" s="70" t="n">
        <x:v>46261.733648078705</x:v>
      </x:c>
      <x:c r="E5" s="70" t="n">
        <x:v>46261.73425630787</x:v>
      </x:c>
      <x:c r="F5" s="69" t="str">
        <x:v>final-luna-main-run01</x:v>
      </x:c>
      <x:c r="G5" s="69" t="str">
        <x:v>VOCAB-LOCK-2026-08-22-R13</x:v>
      </x:c>
      <x:c r="H5" s="71" t="n">
        <x:v>2</x:v>
      </x:c>
      <x:c r="I5" s="69" t="str">
        <x:v>TERM_RESOLUTION_UNRESOLVED</x:v>
      </x:c>
      <x:c r="J5" s="72" t="b">
        <x:v>0</x:v>
      </x:c>
      <x:c r="K5" s="69" t="str"/>
      <x:c r="L5" s="73" t="str">
        <x:v>The candidate remains a presence-only approximation: it requires the operands and result but does not encode that the equivalent impact sphere radius is an estimated result derived from the non-hemispherical contact area and design ice thickness, nor does it represent the exception branch as part of that estimation relationship. Preserve the ship target, owners, declared datatypes, and units, but add the canonical calculation/estimation relationship or readiness structure linking all three declared operands to equivalentImpactSphereRadius; do not invent a convenience applicability boolean or require execution of the informational formula. A canonical relationship/analysis term is absent from the scoped vocabulary, so locate it rather than relocating or duplicating properties.</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f5bd35bc9cef44f5"/>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2"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RUN-TRF-116-20260827T173627193778Z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RUN-TRF-116-20260827T173627193778Z</x:v>
      </x:c>
      <x:c r="B5" s="45" t="str">
        <x:v>TRF-116</x:v>
      </x:c>
      <x:c r="C5" s="58" t="n">
        <x:v>1</x:v>
      </x:c>
      <x:c r="D5" s="80" t="b">
        <x:v>1</x:v>
      </x:c>
      <x:c r="E5" s="80" t="b">
        <x:v>0</x:v>
      </x:c>
      <x:c r="F5" s="80" t="b">
        <x:v>0</x:v>
      </x:c>
      <x:c r="G5" s="45" t="str">
        <x:v>REVISE</x:v>
      </x:c>
      <x:c r="H5" s="46" t="str">
        <x:v>The graph is only a global presence check and does not faithfully encode the formula-derived readiness requirement. It unconditionally requires area, ice thickness, the exception indicator, and a radius on every ship, while never expressing that the requirement applies to non-hemispherical impacts, that the propeller-hub/thruster-end-cap exception selects the applicable branch, or that the radius is an estimated result of the declared inputs. Preserve the ship ownership and declared units, but restructure the constraints so applicability and branch-selection evidence cannot be omitted or accidentally pass; do not invent additional vocabulary terms.</x:v>
      </x:c>
      <x:c r="I5" s="81" t="n">
        <x:v>8148.336</x:v>
      </x:c>
      <x:c r="J5" s="81" t="n">
        <x:v>16308.037</x:v>
      </x:c>
    </x:row>
    <x:row r="6">
      <x:c r="A6" s="49" t="str">
        <x:v>RUN-TRF-116-20260827T173627193778Z</x:v>
      </x:c>
      <x:c r="B6" s="49" t="str">
        <x:v>TRF-116</x:v>
      </x:c>
      <x:c r="C6" s="60" t="n">
        <x:v>2</x:v>
      </x:c>
      <x:c r="D6" s="82" t="b">
        <x:v>1</x:v>
      </x:c>
      <x:c r="E6" s="82" t="b">
        <x:v>0</x:v>
      </x:c>
      <x:c r="F6" s="82" t="b">
        <x:v>1</x:v>
      </x:c>
      <x:c r="G6" s="49" t="str">
        <x:v>STOP_TERM_RESOLUTION</x:v>
      </x:c>
      <x:c r="H6" s="50" t="str">
        <x:v>The candidate remains a presence-only approximation: it requires the operands and result but does not encode that the equivalent impact sphere radius is an estimated result derived from the non-hemispherical contact area and design ice thickness, nor does it represent the exception branch as part of that estimation relationship. Preserve the ship target, owners, declared datatypes, and units, but add the canonical calculation/estimation relationship or readiness structure linking all three declared operands to equivalentImpactSphereRadius; do not invent a convenience applicability boolean or require execution of the informational formula. A canonical relationship/analysis term is absent from the scoped vocabulary, so locate it rather than relocating or duplicating properties.</x:v>
      </x:c>
      <x:c r="I6" s="83" t="n">
        <x:v>15509.084</x:v>
      </x:c>
      <x:c r="J6" s="83" t="n">
        <x:v>9199.845</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9ed68b7293a7485f"/>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20"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RUN-TRF-116-20260827T173627193778Z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EVT-000017</x:v>
      </x:c>
      <x:c r="B5" s="45" t="str">
        <x:v>RUN-TRF-116-20260827T173627193778Z</x:v>
      </x:c>
      <x:c r="C5" s="45" t="str">
        <x:v>TRF-116</x:v>
      </x:c>
      <x:c r="D5" s="90" t="n">
        <x:v>46261.73374238426</x:v>
      </x:c>
      <x:c r="E5" s="45" t="str">
        <x:v>generator</x:v>
      </x:c>
      <x:c r="F5" s="45" t="str">
        <x:v>gpt-5.6-luna-2026-07-09</x:v>
      </x:c>
      <x:c r="G5" s="45" t="n">
        <x:v>1</x:v>
      </x:c>
      <x:c r="H5" s="45" t="n">
        <x:v>200</x:v>
      </x:c>
      <x:c r="I5" s="45" t="str">
        <x:v>Ocp-Apim-Subscription-Key</x:v>
      </x:c>
      <x:c r="J5" s="81" t="n">
        <x:v>0</x:v>
      </x:c>
      <x:c r="K5" s="81" t="n">
        <x:v>8146.536</x:v>
      </x:c>
      <x:c r="L5" s="80" t="b">
        <x:v>0</x:v>
      </x:c>
      <x:c r="M5" s="45" t="str"/>
      <x:c r="N5" s="58" t="str"/>
      <x:c r="O5" s="58" t="str"/>
      <x:c r="P5" s="58" t="str"/>
    </x:row>
    <x:row r="6">
      <x:c r="A6" s="47" t="str">
        <x:v>EVT-000018</x:v>
      </x:c>
      <x:c r="B6" s="47" t="str">
        <x:v>RUN-TRF-116-20260827T173627193778Z</x:v>
      </x:c>
      <x:c r="C6" s="47" t="str">
        <x:v>TRF-116</x:v>
      </x:c>
      <x:c r="D6" s="91" t="n">
        <x:v>46261.73374240741</x:v>
      </x:c>
      <x:c r="E6" s="47" t="str">
        <x:v>generator</x:v>
      </x:c>
      <x:c r="F6" s="47" t="str">
        <x:v>gpt-5.6-luna-2026-07-09</x:v>
      </x:c>
      <x:c r="G6" s="47" t="n">
        <x:v>1</x:v>
      </x:c>
      <x:c r="H6" s="47" t="str">
        <x:v>COMPLETED</x:v>
      </x:c>
      <x:c r="I6" s="47" t="str"/>
      <x:c r="J6" s="92" t="n">
        <x:v>0</x:v>
      </x:c>
      <x:c r="K6" s="92" t="n">
        <x:v>8148.336</x:v>
      </x:c>
      <x:c r="L6" s="93" t="b">
        <x:v>0</x:v>
      </x:c>
      <x:c r="M6" s="47" t="str">
        <x:v>resp_037fc6512335684d006a90759b4d5c8190b5db18fdcb53cee9</x:v>
      </x:c>
      <x:c r="N6" s="59" t="n">
        <x:v>7588</x:v>
      </x:c>
      <x:c r="O6" s="59" t="n">
        <x:v>951</x:v>
      </x:c>
      <x:c r="P6" s="59" t="n">
        <x:v>8539</x:v>
      </x:c>
    </x:row>
    <x:row r="7">
      <x:c r="A7" s="47" t="str">
        <x:v>EVT-000025</x:v>
      </x:c>
      <x:c r="B7" s="47" t="str">
        <x:v>RUN-TRF-116-20260827T173627193778Z</x:v>
      </x:c>
      <x:c r="C7" s="47" t="str">
        <x:v>TRF-116</x:v>
      </x:c>
      <x:c r="D7" s="91" t="n">
        <x:v>46261.733932546296</x:v>
      </x:c>
      <x:c r="E7" s="47" t="str">
        <x:v>validator</x:v>
      </x:c>
      <x:c r="F7" s="47" t="str">
        <x:v>gpt-5.6-luna-2026-07-09</x:v>
      </x:c>
      <x:c r="G7" s="47" t="n">
        <x:v>1</x:v>
      </x:c>
      <x:c r="H7" s="47" t="n">
        <x:v>200</x:v>
      </x:c>
      <x:c r="I7" s="47" t="str">
        <x:v>Ocp-Apim-Subscription-Key</x:v>
      </x:c>
      <x:c r="J7" s="92" t="n">
        <x:v>0</x:v>
      </x:c>
      <x:c r="K7" s="92" t="n">
        <x:v>16306.473</x:v>
      </x:c>
      <x:c r="L7" s="93" t="b">
        <x:v>0</x:v>
      </x:c>
      <x:c r="M7" s="47" t="str"/>
      <x:c r="N7" s="59" t="str"/>
      <x:c r="O7" s="59" t="str"/>
      <x:c r="P7" s="59" t="str"/>
    </x:row>
    <x:row r="8">
      <x:c r="A8" s="47" t="str">
        <x:v>EVT-000026</x:v>
      </x:c>
      <x:c r="B8" s="47" t="str">
        <x:v>RUN-TRF-116-20260827T173627193778Z</x:v>
      </x:c>
      <x:c r="C8" s="47" t="str">
        <x:v>TRF-116</x:v>
      </x:c>
      <x:c r="D8" s="91" t="n">
        <x:v>46261.73393256944</x:v>
      </x:c>
      <x:c r="E8" s="47" t="str">
        <x:v>validator</x:v>
      </x:c>
      <x:c r="F8" s="47" t="str">
        <x:v>gpt-5.6-luna-2026-07-09</x:v>
      </x:c>
      <x:c r="G8" s="47" t="n">
        <x:v>1</x:v>
      </x:c>
      <x:c r="H8" s="47" t="str">
        <x:v>COMPLETED</x:v>
      </x:c>
      <x:c r="I8" s="47" t="str"/>
      <x:c r="J8" s="92" t="n">
        <x:v>0</x:v>
      </x:c>
      <x:c r="K8" s="92" t="n">
        <x:v>16308.037</x:v>
      </x:c>
      <x:c r="L8" s="93" t="b">
        <x:v>0</x:v>
      </x:c>
      <x:c r="M8" s="47" t="str">
        <x:v>resp_0d25edb0a41ad5b5006a9075a3a8408190a325abb17308c4b2</x:v>
      </x:c>
      <x:c r="N8" s="59" t="n">
        <x:v>6186</x:v>
      </x:c>
      <x:c r="O8" s="59" t="n">
        <x:v>1171</x:v>
      </x:c>
      <x:c r="P8" s="59" t="n">
        <x:v>7357</x:v>
      </x:c>
    </x:row>
    <x:row r="9">
      <x:c r="A9" s="47" t="str">
        <x:v>EVT-000031</x:v>
      </x:c>
      <x:c r="B9" s="47" t="str">
        <x:v>RUN-TRF-116-20260827T173627193778Z</x:v>
      </x:c>
      <x:c r="C9" s="47" t="str">
        <x:v>TRF-116</x:v>
      </x:c>
      <x:c r="D9" s="91" t="n">
        <x:v>46261.73411212963</x:v>
      </x:c>
      <x:c r="E9" s="47" t="str">
        <x:v>generator</x:v>
      </x:c>
      <x:c r="F9" s="47" t="str">
        <x:v>gpt-5.6-luna-2026-07-09</x:v>
      </x:c>
      <x:c r="G9" s="47" t="n">
        <x:v>1</x:v>
      </x:c>
      <x:c r="H9" s="47" t="n">
        <x:v>200</x:v>
      </x:c>
      <x:c r="I9" s="47" t="str">
        <x:v>Ocp-Apim-Subscription-Key</x:v>
      </x:c>
      <x:c r="J9" s="92" t="n">
        <x:v>0</x:v>
      </x:c>
      <x:c r="K9" s="92" t="n">
        <x:v>15507.825</x:v>
      </x:c>
      <x:c r="L9" s="93" t="b">
        <x:v>0</x:v>
      </x:c>
      <x:c r="M9" s="47" t="str"/>
      <x:c r="N9" s="59" t="str"/>
      <x:c r="O9" s="59" t="str"/>
      <x:c r="P9" s="59" t="str"/>
    </x:row>
    <x:row r="10">
      <x:c r="A10" s="47" t="str">
        <x:v>EVT-000032</x:v>
      </x:c>
      <x:c r="B10" s="47" t="str">
        <x:v>RUN-TRF-116-20260827T173627193778Z</x:v>
      </x:c>
      <x:c r="C10" s="47" t="str">
        <x:v>TRF-116</x:v>
      </x:c>
      <x:c r="D10" s="91" t="n">
        <x:v>46261.7341121412</x:v>
      </x:c>
      <x:c r="E10" s="47" t="str">
        <x:v>generator</x:v>
      </x:c>
      <x:c r="F10" s="47" t="str">
        <x:v>gpt-5.6-luna-2026-07-09</x:v>
      </x:c>
      <x:c r="G10" s="47" t="n">
        <x:v>1</x:v>
      </x:c>
      <x:c r="H10" s="47" t="str">
        <x:v>COMPLETED</x:v>
      </x:c>
      <x:c r="I10" s="47" t="str"/>
      <x:c r="J10" s="92" t="n">
        <x:v>0</x:v>
      </x:c>
      <x:c r="K10" s="92" t="n">
        <x:v>15509.084</x:v>
      </x:c>
      <x:c r="L10" s="93" t="b">
        <x:v>0</x:v>
      </x:c>
      <x:c r="M10" s="47" t="str">
        <x:v>resp_0a3946b601f1c880006a9075b3e11c8190923a8652f63b3d89</x:v>
      </x:c>
      <x:c r="N10" s="59" t="n">
        <x:v>7704</x:v>
      </x:c>
      <x:c r="O10" s="59" t="n">
        <x:v>1476</x:v>
      </x:c>
      <x:c r="P10" s="59" t="n">
        <x:v>9180</x:v>
      </x:c>
    </x:row>
    <x:row r="11">
      <x:c r="A11" s="47" t="str">
        <x:v>EVT-000039</x:v>
      </x:c>
      <x:c r="B11" s="47" t="str">
        <x:v>RUN-TRF-116-20260827T173627193778Z</x:v>
      </x:c>
      <x:c r="C11" s="47" t="str">
        <x:v>TRF-116</x:v>
      </x:c>
      <x:c r="D11" s="91" t="n">
        <x:v>46261.734219907405</x:v>
      </x:c>
      <x:c r="E11" s="47" t="str">
        <x:v>validator</x:v>
      </x:c>
      <x:c r="F11" s="47" t="str">
        <x:v>gpt-5.6-luna-2026-07-09</x:v>
      </x:c>
      <x:c r="G11" s="47" t="n">
        <x:v>1</x:v>
      </x:c>
      <x:c r="H11" s="47" t="n">
        <x:v>200</x:v>
      </x:c>
      <x:c r="I11" s="47" t="str">
        <x:v>Ocp-Apim-Subscription-Key</x:v>
      </x:c>
      <x:c r="J11" s="92" t="n">
        <x:v>0</x:v>
      </x:c>
      <x:c r="K11" s="92" t="n">
        <x:v>9198.773</x:v>
      </x:c>
      <x:c r="L11" s="93" t="b">
        <x:v>0</x:v>
      </x:c>
      <x:c r="M11" s="47" t="str"/>
      <x:c r="N11" s="59" t="str"/>
      <x:c r="O11" s="59" t="str"/>
      <x:c r="P11" s="59" t="str"/>
    </x:row>
    <x:row r="12">
      <x:c r="A12" s="47" t="str">
        <x:v>EVT-000040</x:v>
      </x:c>
      <x:c r="B12" s="47" t="str">
        <x:v>RUN-TRF-116-20260827T173627193778Z</x:v>
      </x:c>
      <x:c r="C12" s="47" t="str">
        <x:v>TRF-116</x:v>
      </x:c>
      <x:c r="D12" s="91" t="n">
        <x:v>46261.73421991898</x:v>
      </x:c>
      <x:c r="E12" s="47" t="str">
        <x:v>validator</x:v>
      </x:c>
      <x:c r="F12" s="47" t="str">
        <x:v>gpt-5.6-luna-2026-07-09</x:v>
      </x:c>
      <x:c r="G12" s="47" t="n">
        <x:v>1</x:v>
      </x:c>
      <x:c r="H12" s="47" t="str">
        <x:v>COMPLETED</x:v>
      </x:c>
      <x:c r="I12" s="47" t="str"/>
      <x:c r="J12" s="92" t="n">
        <x:v>0</x:v>
      </x:c>
      <x:c r="K12" s="92" t="n">
        <x:v>9199.845</x:v>
      </x:c>
      <x:c r="L12" s="93" t="b">
        <x:v>0</x:v>
      </x:c>
      <x:c r="M12" s="47" t="str">
        <x:v>resp_00c7b6f1bef7f925006a9075c37dfc819780f5d470ff0daea6</x:v>
      </x:c>
      <x:c r="N12" s="59" t="n">
        <x:v>6326</x:v>
      </x:c>
      <x:c r="O12" s="59" t="n">
        <x:v>670</x:v>
      </x:c>
      <x:c r="P12" s="59" t="n">
        <x:v>6996</x:v>
      </x:c>
    </x:row>
    <x:row r="13">
      <x:c r="A13" s="47" t="str">
        <x:v>EVT-000046</x:v>
      </x:c>
      <x:c r="B13" s="47" t="str">
        <x:v>RUN-TRF-116-20260827T173627193778Z</x:v>
      </x:c>
      <x:c r="C13" s="47" t="str">
        <x:v>TRF-116</x:v>
      </x:c>
      <x:c r="D13" s="91" t="n">
        <x:v>46261.73425623843</x:v>
      </x:c>
      <x:c r="E13" s="47" t="str">
        <x:v>vocabulary_matcher</x:v>
      </x:c>
      <x:c r="F13" s="47" t="str">
        <x:v>gpt-5.6-luna-2026-07-09</x:v>
      </x:c>
      <x:c r="G13" s="47" t="n">
        <x:v>1</x:v>
      </x:c>
      <x:c r="H13" s="47" t="n">
        <x:v>200</x:v>
      </x:c>
      <x:c r="I13" s="47" t="str">
        <x:v>Ocp-Apim-Subscription-Key</x:v>
      </x:c>
      <x:c r="J13" s="92" t="n">
        <x:v>0</x:v>
      </x:c>
      <x:c r="K13" s="92" t="n">
        <x:v>1763.101</x:v>
      </x:c>
      <x:c r="L13" s="93" t="b">
        <x:v>0</x:v>
      </x:c>
      <x:c r="M13" s="47" t="str"/>
      <x:c r="N13" s="59" t="str"/>
      <x:c r="O13" s="59" t="str"/>
      <x:c r="P13" s="59" t="str"/>
    </x:row>
    <x:row r="14">
      <x:c r="A14" s="49" t="str">
        <x:v>EVT-000047</x:v>
      </x:c>
      <x:c r="B14" s="49" t="str">
        <x:v>RUN-TRF-116-20260827T173627193778Z</x:v>
      </x:c>
      <x:c r="C14" s="49" t="str">
        <x:v>TRF-116</x:v>
      </x:c>
      <x:c r="D14" s="94" t="n">
        <x:v>46261.734256261574</x:v>
      </x:c>
      <x:c r="E14" s="49" t="str">
        <x:v>vocabulary_matcher</x:v>
      </x:c>
      <x:c r="F14" s="49" t="str">
        <x:v>gpt-5.6-luna-2026-07-09</x:v>
      </x:c>
      <x:c r="G14" s="49" t="n">
        <x:v>1</x:v>
      </x:c>
      <x:c r="H14" s="49" t="str">
        <x:v>COMPLETED</x:v>
      </x:c>
      <x:c r="I14" s="49" t="str"/>
      <x:c r="J14" s="83" t="n">
        <x:v>0</x:v>
      </x:c>
      <x:c r="K14" s="83" t="n">
        <x:v>1764.647</x:v>
      </x:c>
      <x:c r="L14" s="82" t="b">
        <x:v>0</x:v>
      </x:c>
      <x:c r="M14" s="49" t="str">
        <x:v>resp_0037caf3cd67ab63006a9075ce0e24819795f1e4376d363420</x:v>
      </x:c>
      <x:c r="N14" s="60" t="n">
        <x:v>2676</x:v>
      </x:c>
      <x:c r="O14" s="60" t="n">
        <x:v>98</x:v>
      </x:c>
      <x:c r="P14" s="60" t="n">
        <x:v>2774</x:v>
      </x:c>
    </x:row>
  </x:sheetData>
  <x:conditionalFormatting sqref="H5:H14">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30a2dc544084408f"/>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RUN-TRF-116-20260827T173627193778Z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RUN-TRF-116-20260827T173627193778Z</x:v>
      </x:c>
      <x:c r="B5" s="45" t="str">
        <x:v>TRF-116</x:v>
      </x:c>
      <x:c r="C5" s="45" t="str">
        <x:v>benchmarkEntity</x:v>
      </x:c>
      <x:c r="D5" s="46" t="str">
        <x:v>https://w3id.org/nltl/vocab#benchmarkEntity</x:v>
      </x:c>
      <x:c r="E5" s="45" t="str">
        <x:v>Class</x:v>
      </x:c>
      <x:c r="F5" s="45" t="str"/>
      <x:c r="G5" s="45" t="str"/>
      <x:c r="H5" s="45" t="str"/>
      <x:c r="I5" s="46" t="str">
        <x:v>baseline target infrastructure; domain dependency of equivalentImpactSphereRadius; domain dependency of nonHemisphericalImpactArea</x:v>
      </x:c>
      <x:c r="J5" s="45" t="n">
        <x:v>0</x:v>
      </x:c>
    </x:row>
    <x:row r="6">
      <x:c r="A6" s="47" t="str">
        <x:v>RUN-TRF-116-20260827T173627193778Z</x:v>
      </x:c>
      <x:c r="B6" s="47" t="str">
        <x:v>TRF-116</x:v>
      </x:c>
      <x:c r="C6" s="47" t="str">
        <x:v>designIceThickness</x:v>
      </x:c>
      <x:c r="D6" s="48" t="str">
        <x:v>https://w3id.org/nltl/vocab#designIceThickness</x:v>
      </x:c>
      <x:c r="E6" s="47" t="str">
        <x:v>QuantityProperty</x:v>
      </x:c>
      <x:c r="F6" s="47" t="str"/>
      <x:c r="G6" s="47" t="str">
        <x:v>http://qudt.org/schema/qudt/QuantityValue</x:v>
      </x:c>
      <x:c r="H6" s="47" t="str">
        <x:v>http://qudt.org/vocab/unit/M</x:v>
      </x:c>
      <x:c r="I6" s="48" t="str">
        <x:v>linked by the locked 313-requirement index</x:v>
      </x:c>
      <x:c r="J6" s="47" t="n">
        <x:v>0</x:v>
      </x:c>
    </x:row>
    <x:row r="7">
      <x:c r="A7" s="47" t="str">
        <x:v>RUN-TRF-116-20260827T173627193778Z</x:v>
      </x:c>
      <x:c r="B7" s="47" t="str">
        <x:v>TRF-116</x:v>
      </x:c>
      <x:c r="C7" s="47" t="str">
        <x:v>equivalentImpactSphereRadius</x:v>
      </x:c>
      <x:c r="D7" s="48" t="str">
        <x:v>https://w3id.org/nltl/vocab#equivalentImpactSphereRadius</x:v>
      </x:c>
      <x:c r="E7" s="47" t="str">
        <x:v>QuantityProperty</x:v>
      </x:c>
      <x:c r="F7" s="47" t="str"/>
      <x:c r="G7" s="47" t="str">
        <x:v>http://qudt.org/schema/qudt/QuantityValue</x:v>
      </x:c>
      <x:c r="H7" s="47" t="str">
        <x:v>http://qudt.org/vocab/unit/M</x:v>
      </x:c>
      <x:c r="I7" s="48" t="str">
        <x:v>linked by the locked 313-requirement index</x:v>
      </x:c>
      <x:c r="J7" s="47" t="n">
        <x:v>0</x:v>
      </x:c>
    </x:row>
    <x:row r="8">
      <x:c r="A8" s="47" t="str">
        <x:v>RUN-TRF-116-20260827T173627193778Z</x:v>
      </x:c>
      <x:c r="B8" s="47" t="str">
        <x:v>TRF-116</x:v>
      </x:c>
      <x:c r="C8" s="47" t="str">
        <x:v>hasComponent</x:v>
      </x:c>
      <x:c r="D8" s="48" t="str">
        <x:v>https://w3id.org/nltl/vocab#hasComponent</x:v>
      </x:c>
      <x:c r="E8" s="47" t="str">
        <x:v>ObjectProperty</x:v>
      </x:c>
      <x:c r="F8" s="47" t="str"/>
      <x:c r="G8" s="47" t="str">
        <x:v>https://w3id.org/nltl/vocab#shipComponent</x:v>
      </x:c>
      <x:c r="H8" s="47" t="str"/>
      <x:c r="I8" s="48" t="str">
        <x:v>component-path dependency inferred from the linked term module</x:v>
      </x:c>
      <x:c r="J8" s="47" t="n">
        <x:v>0</x:v>
      </x:c>
    </x:row>
    <x:row r="9">
      <x:c r="A9" s="47" t="str">
        <x:v>RUN-TRF-116-20260827T173627193778Z</x:v>
      </x:c>
      <x:c r="B9" s="47" t="str">
        <x:v>TRF-116</x:v>
      </x:c>
      <x:c r="C9" s="47" t="str">
        <x:v>nonHemisphericalImpactArea</x:v>
      </x:c>
      <x:c r="D9" s="48" t="str">
        <x:v>https://w3id.org/nltl/vocab#nonHemisphericalImpactArea</x:v>
      </x:c>
      <x:c r="E9" s="47" t="str">
        <x:v>DatatypeProperty</x:v>
      </x:c>
      <x:c r="F9" s="47" t="str">
        <x:v>xsd:string</x:v>
      </x:c>
      <x:c r="G9" s="47" t="str">
        <x:v>http://www.w3.org/2001/XMLSchema#string</x:v>
      </x:c>
      <x:c r="H9" s="47" t="str"/>
      <x:c r="I9" s="48" t="str">
        <x:v>linked by the locked 313-requirement index</x:v>
      </x:c>
      <x:c r="J9" s="47" t="n">
        <x:v>0</x:v>
      </x:c>
    </x:row>
    <x:row r="10">
      <x:c r="A10" s="47" t="str">
        <x:v>RUN-TRF-116-20260827T173627193778Z</x:v>
      </x:c>
      <x:c r="B10" s="47" t="str">
        <x:v>TRF-116</x:v>
      </x:c>
      <x:c r="C10" s="47" t="str">
        <x:v>nonHemisphericalImpactContactArea</x:v>
      </x:c>
      <x:c r="D10" s="48" t="str">
        <x:v>https://w3id.org/nltl/vocab#nonHemisphericalImpactContactArea</x:v>
      </x:c>
      <x:c r="E10" s="47" t="str">
        <x:v>QuantityProperty</x:v>
      </x:c>
      <x:c r="F10" s="47" t="str"/>
      <x:c r="G10" s="47" t="str">
        <x:v>http://qudt.org/schema/qudt/QuantityValue</x:v>
      </x:c>
      <x:c r="H10" s="47" t="str">
        <x:v>http://qudt.org/vocab/unit/M2</x:v>
      </x:c>
      <x:c r="I10" s="48" t="str">
        <x:v>linked by the locked 313-requirement index</x:v>
      </x:c>
      <x:c r="J10" s="47" t="n">
        <x:v>0</x:v>
      </x:c>
    </x:row>
    <x:row r="11">
      <x:c r="A11" s="47" t="str">
        <x:v>RUN-TRF-116-20260827T173627193778Z</x:v>
      </x:c>
      <x:c r="B11" s="47" t="str">
        <x:v>TRF-116</x:v>
      </x:c>
      <x:c r="C11" s="47" t="str">
        <x:v>propellerHubOrThrusterEndCapImpact</x:v>
      </x:c>
      <x:c r="D11" s="48" t="str">
        <x:v>https://w3id.org/nltl/vocab#propellerHubOrThrusterEndCapImpact</x:v>
      </x:c>
      <x:c r="E11" s="47" t="str">
        <x:v>DatatypeProperty</x:v>
      </x:c>
      <x:c r="F11" s="47" t="str">
        <x:v>xsd:boolean</x:v>
      </x:c>
      <x:c r="G11" s="47" t="str">
        <x:v>http://www.w3.org/2001/XMLSchema#boolean</x:v>
      </x:c>
      <x:c r="H11" s="47" t="str"/>
      <x:c r="I11" s="48" t="str">
        <x:v>linked by the locked 313-requirement index</x:v>
      </x:c>
      <x:c r="J11" s="47" t="n">
        <x:v>0</x:v>
      </x:c>
    </x:row>
    <x:row r="12">
      <x:c r="A12" s="47" t="str">
        <x:v>RUN-TRF-116-20260827T173627193778Z</x:v>
      </x:c>
      <x:c r="B12" s="47" t="str">
        <x:v>TRF-116</x:v>
      </x:c>
      <x:c r="C12" s="47" t="str">
        <x:v>ship</x:v>
      </x:c>
      <x:c r="D12" s="48" t="str">
        <x:v>https://w3id.org/nltl/vocab#ship</x:v>
      </x:c>
      <x:c r="E12" s="47" t="str">
        <x:v>Class</x:v>
      </x:c>
      <x:c r="F12" s="47" t="str"/>
      <x:c r="G12" s="47" t="str"/>
      <x:c r="H12" s="47" t="str"/>
      <x:c r="I12" s="48" t="str">
        <x:v>authoritative required owner class; authoritative requirement target owner; baseline target infrastructure; domain dependency of designIceThickness; domain dependency of nonHemisphericalImpactContactArea; domain dependency of propellerHubOrThrusterEndCapImpact</x:v>
      </x:c>
      <x:c r="J12" s="47" t="n">
        <x:v>0</x:v>
      </x:c>
    </x:row>
    <x:row r="13">
      <x:c r="A13" s="49" t="str">
        <x:v>RUN-TRF-116-20260827T173627193778Z</x:v>
      </x:c>
      <x:c r="B13" s="49" t="str">
        <x:v>TRF-116</x:v>
      </x:c>
      <x:c r="C13" s="49" t="str">
        <x:v>shipComponent</x:v>
      </x:c>
      <x:c r="D13" s="50" t="str">
        <x:v>https://w3id.org/nltl/vocab#shipComponent</x:v>
      </x:c>
      <x:c r="E13" s="49" t="str">
        <x:v>Class</x:v>
      </x:c>
      <x:c r="F13" s="49" t="str"/>
      <x:c r="G13" s="49" t="str"/>
      <x:c r="H13" s="49" t="str"/>
      <x:c r="I13" s="50" t="str">
        <x:v>component-path dependency inferred from the linked term module</x:v>
      </x:c>
      <x:c r="J13" s="49" t="n">
        <x:v>0</x:v>
      </x:c>
    </x:row>
  </x:sheetData>
  <x:pageMargins left="0.7" right="0.7" top="0.75" bottom="0.75" header="0.3" footer="0.3"/>
  <x:tableParts count="1">
    <x:tablePart xmlns:r="http://schemas.openxmlformats.org/officeDocument/2006/relationships" r:id="R3cbfcb5f43454909"/>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4"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RUN-TRF-116-20260827T173627193778Z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RUN-TRF-116-20260827T173627193778Z</x:v>
      </x:c>
      <x:c r="B5" s="45" t="str">
        <x:v>TRF-116</x:v>
      </x:c>
      <x:c r="C5" s="45" t="str">
        <x:v>FS-COMPLEX-READINESS-01</x:v>
      </x:c>
      <x:c r="D5" s="45" t="str">
        <x:v>complex_readiness_external_calculation</x:v>
      </x:c>
      <x:c r="E5" s="97" t="n">
        <x:v>2.205128</x:v>
      </x:c>
      <x:c r="F5" s="45" t="str">
        <x:v>calculation | complex | engineering | evidence | external | inputs | readiness | results</x:v>
      </x:c>
      <x:c r="G5" s="45" t="str">
        <x:v>synthetic-few-shot-not-benchmark-ground-truth</x:v>
      </x:c>
    </x:row>
    <x:row r="6">
      <x:c r="A6" s="49" t="str">
        <x:v>RUN-TRF-116-20260827T173627193778Z</x:v>
      </x:c>
      <x:c r="B6" s="49" t="str">
        <x:v>TRF-116</x:v>
      </x:c>
      <x:c r="C6" s="49" t="str">
        <x:v>FS-COMPLEX-READINESS-02</x:v>
      </x:c>
      <x:c r="D6" s="49" t="str">
        <x:v>complex_readiness_with_direct_residual_check</x:v>
      </x:c>
      <x:c r="E6" s="98" t="n">
        <x:v>2.088889</x:v>
      </x:c>
      <x:c r="F6" s="49" t="str">
        <x:v>complex | engineering | evidence | readiness</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c8aa92004e10489d"/>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RUN-TRF-116-20260827T173627193778Z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RUN-TRF-116-20260827T173627193778Z</x:v>
      </x:c>
      <x:c r="B5" s="45" t="str">
        <x:v>TRF-116</x:v>
      </x:c>
      <x:c r="C5" s="58" t="n">
        <x:v>1</x:v>
      </x:c>
      <x:c r="D5" s="80" t="b">
        <x:v>1</x:v>
      </x:c>
      <x:c r="E5" s="80" t="b">
        <x:v>1</x:v>
      </x:c>
      <x:c r="F5" s="80" t="b">
        <x:v>1</x:v>
      </x:c>
      <x:c r="G5" s="80" t="b">
        <x:v>1</x:v>
      </x:c>
      <x:c r="H5" s="80" t="b">
        <x:v>1</x:v>
      </x:c>
      <x:c r="I5" s="80" t="b">
        <x:v>1</x:v>
      </x:c>
      <x:c r="J5" s="80" t="b">
        <x:v>1</x:v>
      </x:c>
      <x:c r="K5" s="101" t="b">
        <x:v>1</x:v>
      </x:c>
      <x:c r="L5" s="46" t="str"/>
      <x:c r="M5" s="46" t="str"/>
      <x:c r="N5" s="46" t="str">
        <x:v>https://w3id.org/nltl/vocab#designIceThickness | https://w3id.org/nltl/vocab#equivalentImpactSphereRadius | https://w3id.org/nltl/vocab#nonHemisphericalImpactContactArea | https://w3id.org/nltl/vocab#propellerHubOrThrusterEndCapImpact | https://w3id.org/nltl/vocab#ship</x:v>
      </x:c>
      <x:c r="O5" s="46" t="str"/>
      <x:c r="P5" s="46" t="str"/>
      <x:c r="Q5" s="46" t="str"/>
    </x:row>
    <x:row r="6">
      <x:c r="A6" s="49" t="str">
        <x:v>RUN-TRF-116-20260827T173627193778Z</x:v>
      </x:c>
      <x:c r="B6" s="49" t="str">
        <x:v>TRF-116</x:v>
      </x:c>
      <x:c r="C6" s="60" t="n">
        <x:v>2</x:v>
      </x:c>
      <x:c r="D6" s="82" t="b">
        <x:v>1</x:v>
      </x:c>
      <x:c r="E6" s="82" t="b">
        <x:v>1</x:v>
      </x:c>
      <x:c r="F6" s="82" t="b">
        <x:v>1</x:v>
      </x:c>
      <x:c r="G6" s="82" t="b">
        <x:v>1</x:v>
      </x:c>
      <x:c r="H6" s="82" t="b">
        <x:v>1</x:v>
      </x:c>
      <x:c r="I6" s="82" t="b">
        <x:v>1</x:v>
      </x:c>
      <x:c r="J6" s="82" t="b">
        <x:v>1</x:v>
      </x:c>
      <x:c r="K6" s="102" t="b">
        <x:v>1</x:v>
      </x:c>
      <x:c r="L6" s="50" t="str"/>
      <x:c r="M6" s="50" t="str"/>
      <x:c r="N6" s="50" t="str">
        <x:v>https://w3id.org/nltl/vocab#designIceThickness | https://w3id.org/nltl/vocab#equivalentImpactSphereRadius | https://w3id.org/nltl/vocab#nonHemisphericalImpactContactArea | https://w3id.org/nltl/vocab#propellerHubOrThrusterEndCapImpact | https://w3id.org/nltl/vocab#ship</x:v>
      </x:c>
      <x:c r="O6" s="50" t="str"/>
      <x:c r="P6" s="50" t="str"/>
      <x:c r="Q6" s="50" t="str"/>
    </x:row>
  </x:sheetData>
  <x:pageMargins left="0.7" right="0.7" top="0.75" bottom="0.75" header="0.3" footer="0.3"/>
  <x:tableParts count="1">
    <x:tablePart xmlns:r="http://schemas.openxmlformats.org/officeDocument/2006/relationships" r:id="Rae88d483b90a4cac"/>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8" hidden="0" customWidth="1"/>
    <x:col min="5" max="5" width="52" hidden="0" customWidth="1"/>
    <x:col min="6" max="6" width="17" hidden="0" customWidth="1"/>
    <x:col min="7" max="7" width="13" hidden="0" customWidth="1"/>
    <x:col min="8" max="8" width="40" hidden="0" customWidth="1"/>
    <x:col min="9" max="9" width="52" hidden="0" customWidth="1"/>
    <x:col min="10" max="10" width="20" hidden="0" customWidth="1"/>
  </x:cols>
  <x:sheetData>
    <x:row r="1">
      <x:c r="A1" s="18" t="str">
        <x:v>NLTL SHACL Pipeline Run Tracker</x:v>
      </x:c>
      <x:c r="B1" s="19"/>
      <x:c r="C1" s="19"/>
      <x:c r="D1" s="19"/>
      <x:c r="E1" s="19"/>
      <x:c r="F1" s="19"/>
      <x:c r="G1" s="19"/>
      <x:c r="H1" s="19"/>
      <x:c r="I1" s="19"/>
      <x:c r="J1" s="19"/>
    </x:row>
    <x:row r="2">
      <x:c r="A2" s="20" t="str">
        <x:v>VOCAB_MATCHES | Run folder: RUN-TRF-116-20260827T173627193778Z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45" t="str">
        <x:v>RUN-TRF-116-20260827T173627193778Z</x:v>
      </x:c>
      <x:c r="B5" s="45" t="str">
        <x:v>TRF-116</x:v>
      </x:c>
      <x:c r="C5" s="58" t="n">
        <x:v>2</x:v>
      </x:c>
      <x:c r="D5" s="45" t="str">
        <x:v>matcher_search</x:v>
      </x:c>
      <x:c r="E5" s="46" t="str">
        <x:v>The candidate remains a presence-only approximation: it requires the operands and result but does not encode that the equivalent impact sphere radius is an estimated result derived from the non-hemispherical contact area and design ice thickness, nor does it represent the exception branch as part of that estimation relationship. Preserve the ship target, owners, declared datatypes, and units, but add the canonical calculation/estimation relationship or readiness structure linking all three declared operands to equivalentImpactSphereRadius; do not invent a convenience applicability boolean or require execution of the informational formula. A canonical relationship/analysis term is absent from the scoped vocabulary, so locate it rather than relocating or duplicating properties.</x:v>
      </x:c>
      <x:c r="F5" s="58" t="n">
        <x:v>6</x:v>
      </x:c>
      <x:c r="G5" s="45" t="str"/>
      <x:c r="H5" s="45" t="str"/>
      <x:c r="I5" s="46" t="str"/>
      <x:c r="J5" s="46" t="str"/>
    </x:row>
    <x:row r="6">
      <x:c r="A6" s="49" t="str">
        <x:v>RUN-TRF-116-20260827T173627193778Z</x:v>
      </x:c>
      <x:c r="B6" s="49" t="str">
        <x:v>TRF-116</x:v>
      </x:c>
      <x:c r="C6" s="60" t="n">
        <x:v>2</x:v>
      </x:c>
      <x:c r="D6" s="49" t="str">
        <x:v>matcher_decision</x:v>
      </x:c>
      <x:c r="E6" s="50" t="str"/>
      <x:c r="F6" s="60" t="str"/>
      <x:c r="G6" s="82" t="b">
        <x:v>0</x:v>
      </x:c>
      <x:c r="H6" s="49" t="str"/>
      <x:c r="I6" s="50" t="str"/>
      <x:c r="J6" s="50" t="str"/>
    </x:row>
  </x:sheetData>
  <x:pageMargins left="0.7" right="0.7" top="0.75" bottom="0.75" header="0.3" footer="0.3"/>
  <x:tableParts count="1">
    <x:tablePart xmlns:r="http://schemas.openxmlformats.org/officeDocument/2006/relationships" r:id="Rce7d12b79e7b405d"/>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RUN-TRF-116-20260827T173627193778Z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RUN-TRF-116-20260827T173627193778Z</x:v>
      </x:c>
      <x:c r="B5" s="45" t="str">
        <x:v>TRF-116</x:v>
      </x:c>
      <x:c r="C5" s="58"/>
      <x:c r="D5" s="45" t="str">
        <x:v>initial_context_pack</x:v>
      </x:c>
      <x:c r="E5" s="46" t="str">
        <x:v>artifacts/context_pack_initial.json</x:v>
      </x:c>
      <x:c r="F5" s="45" t="str">
        <x:v>339e766e4230f78292fb4fb1a038fce1591a37d427352fd3f51152b9f2fb4c52</x:v>
      </x:c>
      <x:c r="G5" s="58" t="n">
        <x:v>14148</x:v>
      </x:c>
    </x:row>
    <x:row r="6">
      <x:c r="A6" s="47" t="str">
        <x:v>RUN-TRF-116-20260827T173627193778Z</x:v>
      </x:c>
      <x:c r="B6" s="47" t="str">
        <x:v>TRF-116</x:v>
      </x:c>
      <x:c r="C6" s="59"/>
      <x:c r="D6" s="47" t="str">
        <x:v>few_shot_selection</x:v>
      </x:c>
      <x:c r="E6" s="48" t="str">
        <x:v>artifacts/few_shots_selected.json</x:v>
      </x:c>
      <x:c r="F6" s="47" t="str">
        <x:v>8c9978177d4dd2c88027b5ec66e92915047423f90e4aef2f7c37257324cad7fd</x:v>
      </x:c>
      <x:c r="G6" s="59" t="n">
        <x:v>6555</x:v>
      </x:c>
    </x:row>
    <x:row r="7">
      <x:c r="A7" s="47" t="str">
        <x:v>RUN-TRF-116-20260827T173627193778Z</x:v>
      </x:c>
      <x:c r="B7" s="47" t="str">
        <x:v>TRF-116</x:v>
      </x:c>
      <x:c r="C7" s="59" t="n">
        <x:v>1</x:v>
      </x:c>
      <x:c r="D7" s="47" t="str">
        <x:v>generator_prompt</x:v>
      </x:c>
      <x:c r="E7" s="48" t="str">
        <x:v>artifacts/attempt_01/generator_prompt.txt</x:v>
      </x:c>
      <x:c r="F7" s="47" t="str">
        <x:v>921ca0d01bfe853137d8301447590b9d362144281e30f6c7e7cfe960cdc45fb6</x:v>
      </x:c>
      <x:c r="G7" s="59" t="n">
        <x:v>32347</x:v>
      </x:c>
    </x:row>
    <x:row r="8">
      <x:c r="A8" s="47" t="str">
        <x:v>RUN-TRF-116-20260827T173627193778Z</x:v>
      </x:c>
      <x:c r="B8" s="47" t="str">
        <x:v>TRF-116</x:v>
      </x:c>
      <x:c r="C8" s="59" t="n">
        <x:v>1</x:v>
      </x:c>
      <x:c r="D8" s="47" t="str">
        <x:v>generator_raw_response</x:v>
      </x:c>
      <x:c r="E8" s="48" t="str">
        <x:v>artifacts/attempt_01/generator_raw.txt</x:v>
      </x:c>
      <x:c r="F8" s="47" t="str">
        <x:v>aae7a1d13686cfc935d9a3d5530a36d00de6de9fbf581cd84c2dd2214cdb8e6d</x:v>
      </x:c>
      <x:c r="G8" s="59" t="n">
        <x:v>2481</x:v>
      </x:c>
    </x:row>
    <x:row r="9">
      <x:c r="A9" s="47" t="str">
        <x:v>RUN-TRF-116-20260827T173627193778Z</x:v>
      </x:c>
      <x:c r="B9" s="47" t="str">
        <x:v>TRF-116</x:v>
      </x:c>
      <x:c r="C9" s="59" t="n">
        <x:v>1</x:v>
      </x:c>
      <x:c r="D9" s="47" t="str">
        <x:v>candidate_shape</x:v>
      </x:c>
      <x:c r="E9" s="48" t="str">
        <x:v>artifacts/attempt_01/candidate_shape.ttl</x:v>
      </x:c>
      <x:c r="F9" s="47" t="str">
        <x:v>aded6687e5088e46c5706ab3d101ec82fd5e33b351be9de1e37de65fe72c6dfa</x:v>
      </x:c>
      <x:c r="G9" s="59" t="n">
        <x:v>2456</x:v>
      </x:c>
    </x:row>
    <x:row r="10">
      <x:c r="A10" s="47" t="str">
        <x:v>RUN-TRF-116-20260827T173627193778Z</x:v>
      </x:c>
      <x:c r="B10" s="47" t="str">
        <x:v>TRF-116</x:v>
      </x:c>
      <x:c r="C10" s="59" t="n">
        <x:v>1</x:v>
      </x:c>
      <x:c r="D10" s="47" t="str">
        <x:v>deterministic_validation</x:v>
      </x:c>
      <x:c r="E10" s="48" t="str">
        <x:v>artifacts/attempt_01/deterministic_validation.json</x:v>
      </x:c>
      <x:c r="F10" s="47" t="str">
        <x:v>c66bc3874388e7470f1f3b77517ccaa7248b50453456285382b38a0005fdca78</x:v>
      </x:c>
      <x:c r="G10" s="59" t="n">
        <x:v>686</x:v>
      </x:c>
    </x:row>
    <x:row r="11">
      <x:c r="A11" s="47" t="str">
        <x:v>RUN-TRF-116-20260827T173627193778Z</x:v>
      </x:c>
      <x:c r="B11" s="47" t="str">
        <x:v>TRF-116</x:v>
      </x:c>
      <x:c r="C11" s="59" t="n">
        <x:v>1</x:v>
      </x:c>
      <x:c r="D11" s="47" t="str">
        <x:v>validator_prompt</x:v>
      </x:c>
      <x:c r="E11" s="48" t="str">
        <x:v>artifacts/attempt_01/validator_prompt_01.txt</x:v>
      </x:c>
      <x:c r="F11" s="47" t="str">
        <x:v>154a8947ff7404f59d4dfcf58bf9882eb3916b071934c6ed6ba435d47dd71fb9</x:v>
      </x:c>
      <x:c r="G11" s="59" t="n">
        <x:v>25785</x:v>
      </x:c>
    </x:row>
    <x:row r="12">
      <x:c r="A12" s="47" t="str">
        <x:v>RUN-TRF-116-20260827T173627193778Z</x:v>
      </x:c>
      <x:c r="B12" s="47" t="str">
        <x:v>TRF-116</x:v>
      </x:c>
      <x:c r="C12" s="59" t="n">
        <x:v>1</x:v>
      </x:c>
      <x:c r="D12" s="47" t="str">
        <x:v>validator_raw_response</x:v>
      </x:c>
      <x:c r="E12" s="48" t="str">
        <x:v>artifacts/attempt_01/validator_raw_01.txt</x:v>
      </x:c>
      <x:c r="F12" s="47" t="str">
        <x:v>388145b7d33432e906fec6faffe00e03e36303f29773d38b562e522cc2f04a85</x:v>
      </x:c>
      <x:c r="G12" s="59" t="n">
        <x:v>720</x:v>
      </x:c>
    </x:row>
    <x:row r="13">
      <x:c r="A13" s="47" t="str">
        <x:v>RUN-TRF-116-20260827T173627193778Z</x:v>
      </x:c>
      <x:c r="B13" s="47" t="str">
        <x:v>TRF-116</x:v>
      </x:c>
      <x:c r="C13" s="59" t="n">
        <x:v>2</x:v>
      </x:c>
      <x:c r="D13" s="47" t="str">
        <x:v>generator_prompt</x:v>
      </x:c>
      <x:c r="E13" s="48" t="str">
        <x:v>artifacts/attempt_02/generator_prompt.txt</x:v>
      </x:c>
      <x:c r="F13" s="47" t="str">
        <x:v>b62f2d9544d4a4b9edf28bc7667cef245a29102d172c4354a8569b4ee4f39c9c</x:v>
      </x:c>
      <x:c r="G13" s="59" t="n">
        <x:v>33002</x:v>
      </x:c>
    </x:row>
    <x:row r="14">
      <x:c r="A14" s="47" t="str">
        <x:v>RUN-TRF-116-20260827T173627193778Z</x:v>
      </x:c>
      <x:c r="B14" s="47" t="str">
        <x:v>TRF-116</x:v>
      </x:c>
      <x:c r="C14" s="59" t="n">
        <x:v>2</x:v>
      </x:c>
      <x:c r="D14" s="47" t="str">
        <x:v>generator_raw_response</x:v>
      </x:c>
      <x:c r="E14" s="48" t="str">
        <x:v>artifacts/attempt_02/generator_raw.txt</x:v>
      </x:c>
      <x:c r="F14" s="47" t="str">
        <x:v>68309e545f227547866c62207b511f243c92e6f7405c8cff3e1163604ed4a588</x:v>
      </x:c>
      <x:c r="G14" s="59" t="n">
        <x:v>2622</x:v>
      </x:c>
    </x:row>
    <x:row r="15">
      <x:c r="A15" s="47" t="str">
        <x:v>RUN-TRF-116-20260827T173627193778Z</x:v>
      </x:c>
      <x:c r="B15" s="47" t="str">
        <x:v>TRF-116</x:v>
      </x:c>
      <x:c r="C15" s="59" t="n">
        <x:v>2</x:v>
      </x:c>
      <x:c r="D15" s="47" t="str">
        <x:v>candidate_shape</x:v>
      </x:c>
      <x:c r="E15" s="48" t="str">
        <x:v>artifacts/attempt_02/candidate_shape.ttl</x:v>
      </x:c>
      <x:c r="F15" s="47" t="str">
        <x:v>de59a989ab99ac3c32eff0c415521f4f12c5b41dd23cab45173d013938a4f190</x:v>
      </x:c>
      <x:c r="G15" s="59" t="n">
        <x:v>2597</x:v>
      </x:c>
    </x:row>
    <x:row r="16">
      <x:c r="A16" s="47" t="str">
        <x:v>RUN-TRF-116-20260827T173627193778Z</x:v>
      </x:c>
      <x:c r="B16" s="47" t="str">
        <x:v>TRF-116</x:v>
      </x:c>
      <x:c r="C16" s="59" t="n">
        <x:v>2</x:v>
      </x:c>
      <x:c r="D16" s="47" t="str">
        <x:v>deterministic_validation</x:v>
      </x:c>
      <x:c r="E16" s="48" t="str">
        <x:v>artifacts/attempt_02/deterministic_validation.json</x:v>
      </x:c>
      <x:c r="F16" s="47" t="str">
        <x:v>c66bc3874388e7470f1f3b77517ccaa7248b50453456285382b38a0005fdca78</x:v>
      </x:c>
      <x:c r="G16" s="59" t="n">
        <x:v>686</x:v>
      </x:c>
    </x:row>
    <x:row r="17">
      <x:c r="A17" s="47" t="str">
        <x:v>RUN-TRF-116-20260827T173627193778Z</x:v>
      </x:c>
      <x:c r="B17" s="47" t="str">
        <x:v>TRF-116</x:v>
      </x:c>
      <x:c r="C17" s="59" t="n">
        <x:v>2</x:v>
      </x:c>
      <x:c r="D17" s="47" t="str">
        <x:v>validator_prompt</x:v>
      </x:c>
      <x:c r="E17" s="48" t="str">
        <x:v>artifacts/attempt_02/validator_prompt_01.txt</x:v>
      </x:c>
      <x:c r="F17" s="47" t="str">
        <x:v>f276005e190711dc53fb8edd9eb45c0d8fa714f10fce00a5d2b52e8a121b5ce6</x:v>
      </x:c>
      <x:c r="G17" s="59" t="n">
        <x:v>26591</x:v>
      </x:c>
    </x:row>
    <x:row r="18">
      <x:c r="A18" s="47" t="str">
        <x:v>RUN-TRF-116-20260827T173627193778Z</x:v>
      </x:c>
      <x:c r="B18" s="47" t="str">
        <x:v>TRF-116</x:v>
      </x:c>
      <x:c r="C18" s="59" t="n">
        <x:v>2</x:v>
      </x:c>
      <x:c r="D18" s="47" t="str">
        <x:v>validator_raw_response</x:v>
      </x:c>
      <x:c r="E18" s="48" t="str">
        <x:v>artifacts/attempt_02/validator_raw_01.txt</x:v>
      </x:c>
      <x:c r="F18" s="47" t="str">
        <x:v>836f292970a76f047c968c323cf4c69b358ccb4d491a3705a698f4e51f55a7d9</x:v>
      </x:c>
      <x:c r="G18" s="59" t="n">
        <x:v>849</x:v>
      </x:c>
    </x:row>
    <x:row r="19">
      <x:c r="A19" s="47" t="str">
        <x:v>RUN-TRF-116-20260827T173627193778Z</x:v>
      </x:c>
      <x:c r="B19" s="47" t="str">
        <x:v>TRF-116</x:v>
      </x:c>
      <x:c r="C19" s="59" t="n">
        <x:v>2</x:v>
      </x:c>
      <x:c r="D19" s="47" t="str">
        <x:v>matcher_candidates</x:v>
      </x:c>
      <x:c r="E19" s="48" t="str">
        <x:v>artifacts/attempt_02/matcher_candidates.json</x:v>
      </x:c>
      <x:c r="F19" s="47" t="str">
        <x:v>3287411f5e82dbea5cb25d7fa7f6a632e97ce1f3d5efea56faea77de4a03f71d</x:v>
      </x:c>
      <x:c r="G19" s="59" t="n">
        <x:v>4394</x:v>
      </x:c>
    </x:row>
    <x:row r="20">
      <x:c r="A20" s="47" t="str">
        <x:v>RUN-TRF-116-20260827T173627193778Z</x:v>
      </x:c>
      <x:c r="B20" s="47" t="str">
        <x:v>TRF-116</x:v>
      </x:c>
      <x:c r="C20" s="59" t="n">
        <x:v>2</x:v>
      </x:c>
      <x:c r="D20" s="47" t="str">
        <x:v>vocabulary_matcher_prompt</x:v>
      </x:c>
      <x:c r="E20" s="48" t="str">
        <x:v>artifacts/attempt_02/vocabulary_matcher_prompt_01.txt</x:v>
      </x:c>
      <x:c r="F20" s="47" t="str">
        <x:v>6c3c27c9e13dec3ddcdb6fc07fc52ae989ed8f98dcdb6ecca77608466294b1a2</x:v>
      </x:c>
      <x:c r="G20" s="59" t="n">
        <x:v>10285</x:v>
      </x:c>
    </x:row>
    <x:row r="21">
      <x:c r="A21" s="49" t="str">
        <x:v>RUN-TRF-116-20260827T173627193778Z</x:v>
      </x:c>
      <x:c r="B21" s="49" t="str">
        <x:v>TRF-116</x:v>
      </x:c>
      <x:c r="C21" s="60" t="n">
        <x:v>2</x:v>
      </x:c>
      <x:c r="D21" s="49" t="str">
        <x:v>vocabulary_matcher_raw_response</x:v>
      </x:c>
      <x:c r="E21" s="50" t="str">
        <x:v>artifacts/attempt_02/vocabulary_matcher_raw_01.txt</x:v>
      </x:c>
      <x:c r="F21" s="49" t="str">
        <x:v>a47f3adf9d135202e9946cf125e30bbbd6d394508e1f0b8e8b43635fa3d4d053</x:v>
      </x:c>
      <x:c r="G21" s="60" t="n">
        <x:v>89</x:v>
      </x:c>
    </x:row>
  </x:sheetData>
  <x:pageMargins left="0.7" right="0.7" top="0.75" bottom="0.75" header="0.3" footer="0.3"/>
  <x:tableParts count="1">
    <x:tablePart xmlns:r="http://schemas.openxmlformats.org/officeDocument/2006/relationships" r:id="Racd7849ed8e14d33"/>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RUN-TRF-116-20260827T173627193778Z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RUN-TRF-116-20260827T173627193778Z</x:v>
      </x:c>
      <x:c r="B5" s="69" t="str">
        <x:v>TRF-116</x:v>
      </x:c>
      <x:c r="C5" s="71" t="n">
        <x:v>2</x:v>
      </x:c>
      <x:c r="D5" s="69" t="str">
        <x:v>TERM_RESOLUTION_UNRESOLVED</x:v>
      </x:c>
      <x:c r="E5" s="73" t="str">
        <x:v>The candidate remains a presence-only approximation: it requires the operands and result but does not encode that the equivalent impact sphere radius is an estimated result derived from the non-hemispherical contact area and design ice thickness, nor does it represent the exception branch as part of that estimation relationship. Preserve the ship target, owners, declared datatypes, and units, but add the canonical calculation/estimation relationship or readiness structure linking all three declared operands to equivalentImpactSphereRadius; do not invent a convenience applicability boolean or require execution of the informational formula. A canonical relationship/analysis term is absent from the scoped vocabulary, so locate it rather than relocating or duplicating properties.</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0bdfa693ce4141e6"/>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RUN-TRF-116-20260827T173627193778Z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4" t="str">
        <x:v>No records for this run.</x:v>
      </x:c>
      <x:c r="B5" s="21"/>
      <x:c r="C5" s="21"/>
      <x:c r="D5" s="21"/>
      <x:c r="E5" s="21"/>
      <x:c r="F5" s="21"/>
    </x:row>
  </x:sheetData>
  <x:pageMargins left="0.7" right="0.7" top="0.75" bottom="0.75" header="0.3" footer="0.3"/>
</x:worksheet>
</file>