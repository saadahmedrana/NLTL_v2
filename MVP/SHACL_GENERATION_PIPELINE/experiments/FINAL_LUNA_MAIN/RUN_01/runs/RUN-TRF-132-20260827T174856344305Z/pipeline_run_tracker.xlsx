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c477f2c52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52c581b9a94634"/>
    <x:sheet xmlns:r="http://schemas.openxmlformats.org/officeDocument/2006/relationships" name="README" sheetId="2" r:id="R61cbee97176b4db6"/>
    <x:sheet xmlns:r="http://schemas.openxmlformats.org/officeDocument/2006/relationships" name="REGULATION_QUEUE" sheetId="3" r:id="Rc6e81e98f6cf4cbd"/>
    <x:sheet xmlns:r="http://schemas.openxmlformats.org/officeDocument/2006/relationships" name="RUNS" sheetId="4" r:id="R4305214e564d4d54"/>
    <x:sheet xmlns:r="http://schemas.openxmlformats.org/officeDocument/2006/relationships" name="ITERATIONS" sheetId="5" r:id="Rf8304ed0881349cc"/>
    <x:sheet xmlns:r="http://schemas.openxmlformats.org/officeDocument/2006/relationships" name="API_CALLS" sheetId="6" r:id="R3e9da0ddc3204e6a"/>
    <x:sheet xmlns:r="http://schemas.openxmlformats.org/officeDocument/2006/relationships" name="TERM_RETRIEVAL" sheetId="7" r:id="Re2c02274a83d4bab"/>
    <x:sheet xmlns:r="http://schemas.openxmlformats.org/officeDocument/2006/relationships" name="FEW_SHOT_SELECTION" sheetId="8" r:id="R4e3aac4eb7b34c67"/>
    <x:sheet xmlns:r="http://schemas.openxmlformats.org/officeDocument/2006/relationships" name="VALIDATION" sheetId="9" r:id="R154e11f45fa2484f"/>
    <x:sheet xmlns:r="http://schemas.openxmlformats.org/officeDocument/2006/relationships" name="VOCAB_MATCHES" sheetId="10" r:id="Re492fc5405cf4abc"/>
    <x:sheet xmlns:r="http://schemas.openxmlformats.org/officeDocument/2006/relationships" name="ARTIFACTS" sheetId="11" r:id="R3b574b383cce4659"/>
    <x:sheet xmlns:r="http://schemas.openxmlformats.org/officeDocument/2006/relationships" name="UNRESOLVED" sheetId="12" r:id="Rd6d7c2d8c94a4f31"/>
    <x:sheet xmlns:r="http://schemas.openxmlformats.org/officeDocument/2006/relationships" name="RDF_TEST_QUEUE" sheetId="13" r:id="R15ff6dc63aba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32b12b4874ee7" /><Relationship Type="http://schemas.openxmlformats.org/officeDocument/2006/relationships/theme" Target="/xl/theme/theme1.xml" Id="R917b1f00e06b4345" /><Relationship Type="http://schemas.microsoft.com/office/2022/11/relationships/FeaturePropertyBag" Target="/xl/featurePropertyBag/featurePropertyBag.xml" Id="Rd77c39365bac4a6d" /><Relationship Type="http://schemas.openxmlformats.org/officeDocument/2006/relationships/sharedStrings" Target="/xl/sharedStrings.xml" Id="R56541d2aab9445a3" /><Relationship Type="http://schemas.openxmlformats.org/officeDocument/2006/relationships/worksheet" Target="/xl/worksheets/sheet1.xml" Id="Rbe52c581b9a94634" /><Relationship Type="http://schemas.openxmlformats.org/officeDocument/2006/relationships/worksheet" Target="/xl/worksheets/sheet2.xml" Id="R61cbee97176b4db6" /><Relationship Type="http://schemas.openxmlformats.org/officeDocument/2006/relationships/worksheet" Target="/xl/worksheets/sheet3.xml" Id="Rc6e81e98f6cf4cbd" /><Relationship Type="http://schemas.openxmlformats.org/officeDocument/2006/relationships/worksheet" Target="/xl/worksheets/sheet4.xml" Id="R4305214e564d4d54" /><Relationship Type="http://schemas.openxmlformats.org/officeDocument/2006/relationships/worksheet" Target="/xl/worksheets/sheet5.xml" Id="Rf8304ed0881349cc" /><Relationship Type="http://schemas.openxmlformats.org/officeDocument/2006/relationships/worksheet" Target="/xl/worksheets/sheet6.xml" Id="R3e9da0ddc3204e6a" /><Relationship Type="http://schemas.openxmlformats.org/officeDocument/2006/relationships/worksheet" Target="/xl/worksheets/sheet7.xml" Id="Re2c02274a83d4bab" /><Relationship Type="http://schemas.openxmlformats.org/officeDocument/2006/relationships/worksheet" Target="/xl/worksheets/sheet8.xml" Id="R4e3aac4eb7b34c67" /><Relationship Type="http://schemas.openxmlformats.org/officeDocument/2006/relationships/worksheet" Target="/xl/worksheets/sheet9.xml" Id="R154e11f45fa2484f" /><Relationship Type="http://schemas.openxmlformats.org/officeDocument/2006/relationships/worksheet" Target="/xl/worksheets/sheet10.xml" Id="Re492fc5405cf4abc" /><Relationship Type="http://schemas.openxmlformats.org/officeDocument/2006/relationships/worksheet" Target="/xl/worksheets/sheet11.xml" Id="R3b574b383cce4659" /><Relationship Type="http://schemas.openxmlformats.org/officeDocument/2006/relationships/worksheet" Target="/xl/worksheets/sheet12.xml" Id="Rd6d7c2d8c94a4f31" /><Relationship Type="http://schemas.openxmlformats.org/officeDocument/2006/relationships/worksheet" Target="/xl/worksheets/sheet13.xml" Id="R15ff6dc63aba4c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e7a456217f4b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0e78ae36654f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0f1a36b44142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6f92860f4640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c7b669f9904e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f3fb30f99e4c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b28af2712145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a3de97014146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5f136cde394c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fe422618f44c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RUN-TRF-132-20260827T174856344305Z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19510.387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RUN-TRF-132-20260827T174856344305Z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e7a456217f4b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RUN-TRF-132-20260827T174856344305Z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e78ae36654f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RUN-TRF-132-20260827T174856344305Z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RUN-TRF-132-20260827T174856344305Z</x:v>
      </x:c>
      <x:c r="C5" s="69" t="str">
        <x:v>TRF-132</x:v>
      </x:c>
      <x:c r="D5" s="70" t="n">
        <x:v>46261.74231880787</x:v>
      </x:c>
      <x:c r="E5" s="70" t="n">
        <x:v>46261.74322758102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targets ship, uses the authoritative canonical namespace and owners, includes all required formula inputs and applicability evidence, preserves the formula lower-bound direction with expected-result-scaled tolerance, and enforces the inclusive 740 kW threshold for ice classes IB and 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f1a36b44142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RUN-TRF-132-20260827T174856344305Z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RUN-TRF-132-20260827T174856344305Z</x:v>
      </x:c>
      <x:c r="B5" s="45" t="str">
        <x:v>TRF-132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calculation query: replace the tautological arbitrary-predicate traversal `?iceNode ?iceClassPredicate ?ice` and its always-true FILTER with the declared `iceClass` path and explicit comparison of its value to `nltl:iceClassIb` or `nltl:iceClassIc`; otherwise unrelated properties on the ice-class node can trigger the 740-kW branch. Also remove `ABS`, which is not permitted in DIRECT_CALCULATION; use only the registered arithmetic/comparison operations and a tolerance scaled from the expected formula result. Preserve the inclusive 740-kW lower bound and the formula lower-bound direction.</x:v>
      </x:c>
      <x:c r="I5" s="81" t="n">
        <x:v>30280.405</x:v>
      </x:c>
      <x:c r="J5" s="81" t="n">
        <x:v>7227.9</x:v>
      </x:c>
    </x:row>
    <x:row r="6">
      <x:c r="A6" s="49" t="str">
        <x:v>RUN-TRF-132-20260827T174856344305Z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the candidate targets ship, uses the authoritative canonical namespace and owners, includes all required formula inputs and applicability evidence, preserves the formula lower-bound direction with expected-result-scaled tolerance, and enforces the inclusive 740 kW threshold for ice classes IB and IC.</x:v>
      </x:c>
      <x:c r="I6" s="83" t="n">
        <x:v>26063.911</x:v>
      </x:c>
      <x:c r="J6" s="83" t="n">
        <x:v>14472.338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f92860f4640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RUN-TRF-132-20260827T174856344305Z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RUN-TRF-132-20260827T174856344305Z</x:v>
      </x:c>
      <x:c r="C5" s="45" t="str">
        <x:v>TRF-132</x:v>
      </x:c>
      <x:c r="D5" s="90" t="n">
        <x:v>46261.74266928241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30278.781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RUN-TRF-132-20260827T174856344305Z</x:v>
      </x:c>
      <x:c r="C6" s="47" t="str">
        <x:v>TRF-132</x:v>
      </x:c>
      <x:c r="D6" s="91" t="n">
        <x:v>46261.74266930555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30280.405</x:v>
      </x:c>
      <x:c r="L6" s="93" t="b">
        <x:v>0</x:v>
      </x:c>
      <x:c r="M6" s="47" t="str">
        <x:v>resp_0c4f8c4af8684ee4006a9078886db481949aa7f8a23c8138ff</x:v>
      </x:c>
      <x:c r="N6" s="59" t="n">
        <x:v>9959</x:v>
      </x:c>
      <x:c r="O6" s="59" t="n">
        <x:v>3069</x:v>
      </x:c>
      <x:c r="P6" s="59" t="n">
        <x:v>13028</x:v>
      </x:c>
    </x:row>
    <x:row r="7">
      <x:c r="A7" s="47" t="str">
        <x:v>EVT-000035</x:v>
      </x:c>
      <x:c r="B7" s="47" t="str">
        <x:v>RUN-TRF-132-20260827T174856344305Z</x:v>
      </x:c>
      <x:c r="C7" s="47" t="str">
        <x:v>TRF-132</x:v>
      </x:c>
      <x:c r="D7" s="91" t="n">
        <x:v>46261.74275579861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7226.424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RUN-TRF-132-20260827T174856344305Z</x:v>
      </x:c>
      <x:c r="C8" s="47" t="str">
        <x:v>TRF-132</x:v>
      </x:c>
      <x:c r="D8" s="91" t="n">
        <x:v>46261.74275582176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7227.9</x:v>
      </x:c>
      <x:c r="L8" s="93" t="b">
        <x:v>0</x:v>
      </x:c>
      <x:c r="M8" s="47" t="str">
        <x:v>resp_0fee3de928900e77006a9078a6f8008190a46673a1cec89df9</x:v>
      </x:c>
      <x:c r="N8" s="59" t="n">
        <x:v>10881</x:v>
      </x:c>
      <x:c r="O8" s="59" t="n">
        <x:v>600</x:v>
      </x:c>
      <x:c r="P8" s="59" t="n">
        <x:v>11481</x:v>
      </x:c>
    </x:row>
    <x:row r="9">
      <x:c r="A9" s="47" t="str">
        <x:v>EVT-000041</x:v>
      </x:c>
      <x:c r="B9" s="47" t="str">
        <x:v>RUN-TRF-132-20260827T174856344305Z</x:v>
      </x:c>
      <x:c r="C9" s="47" t="str">
        <x:v>TRF-132</x:v>
      </x:c>
      <x:c r="D9" s="91" t="n">
        <x:v>46261.74305752315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26062.457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RUN-TRF-132-20260827T174856344305Z</x:v>
      </x:c>
      <x:c r="C10" s="47" t="str">
        <x:v>TRF-132</x:v>
      </x:c>
      <x:c r="D10" s="91" t="n">
        <x:v>46261.74305754629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26063.911</x:v>
      </x:c>
      <x:c r="L10" s="93" t="b">
        <x:v>0</x:v>
      </x:c>
      <x:c r="M10" s="47" t="str">
        <x:v>resp_032e5f53a8a58339006a9078ae306c8193bcf9fb6cb00bbf41</x:v>
      </x:c>
      <x:c r="N10" s="59" t="n">
        <x:v>10089</x:v>
      </x:c>
      <x:c r="O10" s="59" t="n">
        <x:v>3243</x:v>
      </x:c>
      <x:c r="P10" s="59" t="n">
        <x:v>13332</x:v>
      </x:c>
    </x:row>
    <x:row r="11">
      <x:c r="A11" s="47" t="str">
        <x:v>EVT-000049</x:v>
      </x:c>
      <x:c r="B11" s="47" t="str">
        <x:v>RUN-TRF-132-20260827T174856344305Z</x:v>
      </x:c>
      <x:c r="C11" s="47" t="str">
        <x:v>TRF-132</x:v>
      </x:c>
      <x:c r="D11" s="91" t="n">
        <x:v>46261.74322751157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14470.88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RUN-TRF-132-20260827T174856344305Z</x:v>
      </x:c>
      <x:c r="C12" s="49" t="str">
        <x:v>TRF-132</x:v>
      </x:c>
      <x:c r="D12" s="94" t="n">
        <x:v>46261.743227534724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14472.338</x:v>
      </x:c>
      <x:c r="L12" s="82" t="b">
        <x:v>0</x:v>
      </x:c>
      <x:c r="M12" s="49" t="str">
        <x:v>resp_0478f3410e53edf9006a9078c87a348196a1a487dd92c47c1f</x:v>
      </x:c>
      <x:c r="N12" s="60" t="n">
        <x:v>11226</x:v>
      </x:c>
      <x:c r="O12" s="60" t="n">
        <x:v>1088</x:v>
      </x:c>
      <x:c r="P12" s="60" t="n">
        <x:v>12314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7b669f9904e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RUN-TRF-132-20260827T174856344305Z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RUN-TRF-132-20260827T174856344305Z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RUN-TRF-132-20260827T174856344305Z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RUN-TRF-132-20260827T174856344305Z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RUN-TRF-132-20260827T174856344305Z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RUN-TRF-132-20260827T174856344305Z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RUN-TRF-132-20260827T174856344305Z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RUN-TRF-132-20260827T174856344305Z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RUN-TRF-132-20260827T174856344305Z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RUN-TRF-132-20260827T174856344305Z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RUN-TRF-132-20260827T174856344305Z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RUN-TRF-132-20260827T174856344305Z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RUN-TRF-132-20260827T174856344305Z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RUN-TRF-132-20260827T174856344305Z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RUN-TRF-132-20260827T174856344305Z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RUN-TRF-132-20260827T174856344305Z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RUN-TRF-132-20260827T174856344305Z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RUN-TRF-132-20260827T174856344305Z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RUN-TRF-132-20260827T174856344305Z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RUN-TRF-132-20260827T174856344305Z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f3fb30f99e4c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RUN-TRF-132-20260827T174856344305Z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RUN-TRF-132-20260827T174856344305Z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7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RUN-TRF-132-20260827T174856344305Z</x:v>
      </x:c>
      <x:c r="B6" s="49" t="str">
        <x:v>TRF-132</x:v>
      </x:c>
      <x:c r="C6" s="49" t="str">
        <x:v>FS-QTY-01</x:v>
      </x:c>
      <x:c r="D6" s="49" t="str">
        <x:v>qudt_quantity</x:v>
      </x:c>
      <x:c r="E6" s="98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28af2712145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RUN-TRF-132-20260827T174856344305Z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RUN-TRF-132-20260827T174856344305Z</x:v>
      </x:c>
      <x:c r="B5" s="45" t="str">
        <x:v>TRF-132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46" t="str"/>
      <x:c r="P5" s="46" t="str"/>
      <x:c r="Q5" s="46" t="str"/>
    </x:row>
    <x:row r="6">
      <x:c r="A6" s="49" t="str">
        <x:v>RUN-TRF-132-20260827T174856344305Z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0a3de97014146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RUN-TRF-132-20260827T174856344305Z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RUN-TRF-132-20260827T174856344305Z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RUN-TRF-132-20260827T174856344305Z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RUN-TRF-132-20260827T174856344305Z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RUN-TRF-132-20260827T174856344305Z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RUN-TRF-132-20260827T174856344305Z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efc7c1b764ed41942536c28afa12180d543bd245c44996a095953f24b9f764c0</x:v>
      </x:c>
      <x:c r="G8" s="59" t="n">
        <x:v>6436</x:v>
      </x:c>
    </x:row>
    <x:row r="9">
      <x:c r="A9" s="47" t="str">
        <x:v>RUN-TRF-132-20260827T174856344305Z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a3663b0abe6ebda159d58771a1304f83cf2aa00783f89917c8d9968fa72c88a6</x:v>
      </x:c>
      <x:c r="G9" s="59" t="n">
        <x:v>6411</x:v>
      </x:c>
    </x:row>
    <x:row r="10">
      <x:c r="A10" s="47" t="str">
        <x:v>RUN-TRF-132-20260827T174856344305Z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dfe8a1308d4b2f5cf25a15bec4b7e39a1aa5e96d1917b17aba7cdea01355870f</x:v>
      </x:c>
      <x:c r="G10" s="59" t="n">
        <x:v>1063</x:v>
      </x:c>
    </x:row>
    <x:row r="11">
      <x:c r="A11" s="47" t="str">
        <x:v>RUN-TRF-132-20260827T174856344305Z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f43569ac95d17eacceb6f867320f703ca4ed06f463482cbedd520e71667dddb1</x:v>
      </x:c>
      <x:c r="G11" s="59" t="n">
        <x:v>41766</x:v>
      </x:c>
    </x:row>
    <x:row r="12">
      <x:c r="A12" s="47" t="str">
        <x:v>RUN-TRF-132-20260827T174856344305Z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cc01ea1db09362f3bdb093940ebe8ab2b5c213b254737dde84974122184b0bea</x:v>
      </x:c>
      <x:c r="G12" s="59" t="n">
        <x:v>668</x:v>
      </x:c>
    </x:row>
    <x:row r="13">
      <x:c r="A13" s="47" t="str">
        <x:v>RUN-TRF-132-20260827T174856344305Z</x:v>
      </x:c>
      <x:c r="B13" s="47" t="str">
        <x:v>TRF-132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31016fd988f5e4ee4004e30016cfa732ab34e5601c9a257cdb52c5b44e277925</x:v>
      </x:c>
      <x:c r="G13" s="59" t="n">
        <x:v>40611</x:v>
      </x:c>
    </x:row>
    <x:row r="14">
      <x:c r="A14" s="47" t="str">
        <x:v>RUN-TRF-132-20260827T174856344305Z</x:v>
      </x:c>
      <x:c r="B14" s="47" t="str">
        <x:v>TRF-132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979efff2879a7f81a8d57c8eb6d39569a4b81176aaec982ed37adf38ae0f6ef6</x:v>
      </x:c>
      <x:c r="G14" s="59" t="n">
        <x:v>7131</x:v>
      </x:c>
    </x:row>
    <x:row r="15">
      <x:c r="A15" s="47" t="str">
        <x:v>RUN-TRF-132-20260827T174856344305Z</x:v>
      </x:c>
      <x:c r="B15" s="47" t="str">
        <x:v>TRF-132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4230c21e29ecf206ef0c5cc31922db081ca497d856d509590184a565ed0796ed</x:v>
      </x:c>
      <x:c r="G15" s="59" t="n">
        <x:v>7106</x:v>
      </x:c>
    </x:row>
    <x:row r="16">
      <x:c r="A16" s="47" t="str">
        <x:v>RUN-TRF-132-20260827T174856344305Z</x:v>
      </x:c>
      <x:c r="B16" s="47" t="str">
        <x:v>TRF-132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dfe8a1308d4b2f5cf25a15bec4b7e39a1aa5e96d1917b17aba7cdea01355870f</x:v>
      </x:c>
      <x:c r="G16" s="59" t="n">
        <x:v>1063</x:v>
      </x:c>
    </x:row>
    <x:row r="17">
      <x:c r="A17" s="47" t="str">
        <x:v>RUN-TRF-132-20260827T174856344305Z</x:v>
      </x:c>
      <x:c r="B17" s="47" t="str">
        <x:v>TRF-132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e8c44d3b67d0bc9265f7f47e418cb2f09531c938735a60d7ddd837fa164eab60</x:v>
      </x:c>
      <x:c r="G17" s="59" t="n">
        <x:v>43114</x:v>
      </x:c>
    </x:row>
    <x:row r="18">
      <x:c r="A18" s="47" t="str">
        <x:v>RUN-TRF-132-20260827T174856344305Z</x:v>
      </x:c>
      <x:c r="B18" s="47" t="str">
        <x:v>TRF-132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1f8d660472fadfdde6b85aec50b52534e81da19edf6c70b5191842afcab72ae1</x:v>
      </x:c>
      <x:c r="G18" s="59" t="n">
        <x:v>374</x:v>
      </x:c>
    </x:row>
    <x:row r="19">
      <x:c r="A19" s="49" t="str">
        <x:v>RUN-TRF-132-20260827T174856344305Z</x:v>
      </x:c>
      <x:c r="B19" s="49" t="str">
        <x:v>TRF-132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4230c21e29ecf206ef0c5cc31922db081ca497d856d509590184a565ed0796ed</x:v>
      </x:c>
      <x:c r="G19" s="60" t="n">
        <x:v>7106</x:v>
      </x:c>
    </x:row>
  </x:sheetData>
  <x:pageMargins left="0.7" right="0.7" top="0.75" bottom="0.75" header="0.3" footer="0.3"/>
  <x:tableParts count="1">
    <x:tablePart xmlns:r="http://schemas.openxmlformats.org/officeDocument/2006/relationships" r:id="R1c5f136cde394c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RUN-TRF-132-20260827T174856344305Z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RUN-TRF-132-20260827T174856344305Z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RUN-TRF-132-20260827T174856344305Z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e422618f44c25"/>
  </x:tableParts>
</x:worksheet>
</file>