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b4158c81df41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c5f8a8c88714053"/>
    <x:sheet xmlns:r="http://schemas.openxmlformats.org/officeDocument/2006/relationships" name="README" sheetId="2" r:id="R19194632f27e489c"/>
    <x:sheet xmlns:r="http://schemas.openxmlformats.org/officeDocument/2006/relationships" name="REGULATION_QUEUE" sheetId="3" r:id="Rba18f171ebea46ed"/>
    <x:sheet xmlns:r="http://schemas.openxmlformats.org/officeDocument/2006/relationships" name="RUNS" sheetId="4" r:id="Re4044717f6b34acf"/>
    <x:sheet xmlns:r="http://schemas.openxmlformats.org/officeDocument/2006/relationships" name="ITERATIONS" sheetId="5" r:id="R3eb97c2cc09b417e"/>
    <x:sheet xmlns:r="http://schemas.openxmlformats.org/officeDocument/2006/relationships" name="API_CALLS" sheetId="6" r:id="R2dedfb9c8815490a"/>
    <x:sheet xmlns:r="http://schemas.openxmlformats.org/officeDocument/2006/relationships" name="TERM_RETRIEVAL" sheetId="7" r:id="R4ecbea82fdce4040"/>
    <x:sheet xmlns:r="http://schemas.openxmlformats.org/officeDocument/2006/relationships" name="FEW_SHOT_SELECTION" sheetId="8" r:id="R7e771777bc444b21"/>
    <x:sheet xmlns:r="http://schemas.openxmlformats.org/officeDocument/2006/relationships" name="VALIDATION" sheetId="9" r:id="R1fd79cefbbf54da0"/>
    <x:sheet xmlns:r="http://schemas.openxmlformats.org/officeDocument/2006/relationships" name="VOCAB_MATCHES" sheetId="10" r:id="R8d0720b6750b4741"/>
    <x:sheet xmlns:r="http://schemas.openxmlformats.org/officeDocument/2006/relationships" name="ARTIFACTS" sheetId="11" r:id="R36fe2af07e7544b0"/>
    <x:sheet xmlns:r="http://schemas.openxmlformats.org/officeDocument/2006/relationships" name="UNRESOLVED" sheetId="12" r:id="R99cb68fa42c54187"/>
    <x:sheet xmlns:r="http://schemas.openxmlformats.org/officeDocument/2006/relationships" name="RDF_TEST_QUEUE" sheetId="13" r:id="Ra18ad1e8a0c24af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6e78f900a04db4" /><Relationship Type="http://schemas.openxmlformats.org/officeDocument/2006/relationships/theme" Target="/xl/theme/theme1.xml" Id="Rc14107a3603f49bc" /><Relationship Type="http://schemas.microsoft.com/office/2022/11/relationships/FeaturePropertyBag" Target="/xl/featurePropertyBag/featurePropertyBag.xml" Id="Ra17d71be41e44926" /><Relationship Type="http://schemas.openxmlformats.org/officeDocument/2006/relationships/sharedStrings" Target="/xl/sharedStrings.xml" Id="R3aa9dc28393c4601" /><Relationship Type="http://schemas.openxmlformats.org/officeDocument/2006/relationships/worksheet" Target="/xl/worksheets/sheet1.xml" Id="R6c5f8a8c88714053" /><Relationship Type="http://schemas.openxmlformats.org/officeDocument/2006/relationships/worksheet" Target="/xl/worksheets/sheet2.xml" Id="R19194632f27e489c" /><Relationship Type="http://schemas.openxmlformats.org/officeDocument/2006/relationships/worksheet" Target="/xl/worksheets/sheet3.xml" Id="Rba18f171ebea46ed" /><Relationship Type="http://schemas.openxmlformats.org/officeDocument/2006/relationships/worksheet" Target="/xl/worksheets/sheet4.xml" Id="Re4044717f6b34acf" /><Relationship Type="http://schemas.openxmlformats.org/officeDocument/2006/relationships/worksheet" Target="/xl/worksheets/sheet5.xml" Id="R3eb97c2cc09b417e" /><Relationship Type="http://schemas.openxmlformats.org/officeDocument/2006/relationships/worksheet" Target="/xl/worksheets/sheet6.xml" Id="R2dedfb9c8815490a" /><Relationship Type="http://schemas.openxmlformats.org/officeDocument/2006/relationships/worksheet" Target="/xl/worksheets/sheet7.xml" Id="R4ecbea82fdce4040" /><Relationship Type="http://schemas.openxmlformats.org/officeDocument/2006/relationships/worksheet" Target="/xl/worksheets/sheet8.xml" Id="R7e771777bc444b21" /><Relationship Type="http://schemas.openxmlformats.org/officeDocument/2006/relationships/worksheet" Target="/xl/worksheets/sheet9.xml" Id="R1fd79cefbbf54da0" /><Relationship Type="http://schemas.openxmlformats.org/officeDocument/2006/relationships/worksheet" Target="/xl/worksheets/sheet10.xml" Id="R8d0720b6750b4741" /><Relationship Type="http://schemas.openxmlformats.org/officeDocument/2006/relationships/worksheet" Target="/xl/worksheets/sheet11.xml" Id="R36fe2af07e7544b0" /><Relationship Type="http://schemas.openxmlformats.org/officeDocument/2006/relationships/worksheet" Target="/xl/worksheets/sheet12.xml" Id="R99cb68fa42c54187" /><Relationship Type="http://schemas.openxmlformats.org/officeDocument/2006/relationships/worksheet" Target="/xl/worksheets/sheet13.xml" Id="Ra18ad1e8a0c24af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4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21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225b91b7b9a443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ad065887415455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185b349053a4b6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ea978ef7c0b44d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fa873469d82458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b1c639a2b08446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2d09953b6fb489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b3cbcf02aab462b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00efddcdf96843e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d3cd438e3c8c43a0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01b8d9ec5cae474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RUN-I2-023-20260827T192421639226Z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COUNTA('API_CALLS'!$A$5:$A$14)</x:f>
        <x:v>10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IFERROR(AVERAGE('API_CALLS'!$K$5:$K$14),0)</x:f>
        <x:v>9249.2171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RUN-I2-023-20260827T192421639226Z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225b91b7b9a443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RUN-I2-023-20260827T192421639226Z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TERM_RESOLUTION_UNRESOLVED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ad065887415455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RUN-I2-023-20260827T192421639226Z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SESSION-BATCH-20260827T190357989787Z</x:v>
      </x:c>
      <x:c r="B5" s="69" t="str">
        <x:v>RUN-I2-023-20260827T192421639226Z</x:v>
      </x:c>
      <x:c r="C5" s="69" t="str">
        <x:v>I2-023</x:v>
      </x:c>
      <x:c r="D5" s="70" t="n">
        <x:v>46261.80858379629</x:v>
      </x:c>
      <x:c r="E5" s="70" t="n">
        <x:v>46261.8091356713</x:v>
      </x:c>
      <x:c r="F5" s="69" t="str">
        <x:v>final-luna-main-run02</x:v>
      </x:c>
      <x:c r="G5" s="69" t="str">
        <x:v>VOCAB-LOCK-2026-08-22-R13</x:v>
      </x:c>
      <x:c r="H5" s="71" t="n">
        <x:v>2</x:v>
      </x:c>
      <x:c r="I5" s="69" t="str">
        <x:v>TERM_RESOLUTION_UNRESOLVED</x:v>
      </x:c>
      <x:c r="J5" s="72" t="b">
        <x:v>0</x:v>
      </x:c>
      <x:c r="K5" s="69" t="str"/>
      <x:c r="L5" s="73" t="str">
        <x:v>No supplied candidate is semantically supported because none explicitly establishes that the relevant plating is longitudinally framed; framingAngleOmega only represents the angle bound, while plating and frame do not encode the required framing orientation.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185b349053a4b6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RUN-I2-023-20260827T192421639226Z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RUN-I2-023-20260827T192421639226Z</x:v>
      </x:c>
      <x:c r="B5" s="45" t="str">
        <x:v>I2-023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Reject: the readiness shape omits the requirement's applicability boundary. It must encode that the plating is longitudinally framed and that framingAngleOmega is &lt;= 20 degrees; merely requiring an angle value does not establish applicability. Preserve the existing operand, result, relationship, owner/path, datatype, and unit structures, and do not add formula execution or generic evidence requirements because this is COMPLEX_READINESS.</x:v>
      </x:c>
      <x:c r="I5" s="81" t="n">
        <x:v>12587.183</x:v>
      </x:c>
      <x:c r="J5" s="81" t="n">
        <x:v>6982.535</x:v>
      </x:c>
    </x:row>
    <x:row r="6">
      <x:c r="A6" s="49" t="str">
        <x:v>RUN-I2-023-20260827T192421639226Z</x:v>
      </x:c>
      <x:c r="B6" s="49" t="str">
        <x:v>I2-023</x:v>
      </x:c>
      <x:c r="C6" s="60" t="n">
        <x:v>2</x:v>
      </x:c>
      <x:c r="D6" s="82" t="b">
        <x:v>1</x:v>
      </x:c>
      <x:c r="E6" s="82" t="b">
        <x:v>0</x:v>
      </x:c>
      <x:c r="F6" s="82" t="b">
        <x:v>1</x:v>
      </x:c>
      <x:c r="G6" s="49" t="str">
        <x:v>STOP_TERM_RESOLUTION</x:v>
      </x:c>
      <x:c r="H6" s="50" t="str">
        <x:v>Preserve the existing ship operands, plating/result ownership, relationship paths, datatypes, units, and COMPLEX_READINESS boundary. Add a canonical applicability term or controlled value, located via the matcher, that explicitly establishes that the relevant plating is longitudinally framed; framingAngleOmega &lt;= 20 degrees alone does not establish longitudinal framing. Encode the angle bound together with that applicability condition without inventing a convenience boolean, formula execution, or generic evidence requirement.</x:v>
      </x:c>
      <x:c r="I6" s="83" t="n">
        <x:v>16374.542</x:v>
      </x:c>
      <x:c r="J6" s="83" t="n">
        <x:v>7516.901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ea978ef7c0b44d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RUN-I2-023-20260827T192421639226Z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EVT-000028</x:v>
      </x:c>
      <x:c r="B5" s="45" t="str">
        <x:v>RUN-I2-023-20260827T192421639226Z</x:v>
      </x:c>
      <x:c r="C5" s="45" t="str">
        <x:v>I2-023</x:v>
      </x:c>
      <x:c r="D5" s="90" t="n">
        <x:v>46261.80872949074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12585.615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EVT-000029</x:v>
      </x:c>
      <x:c r="B6" s="47" t="str">
        <x:v>RUN-I2-023-20260827T192421639226Z</x:v>
      </x:c>
      <x:c r="C6" s="47" t="str">
        <x:v>I2-023</x:v>
      </x:c>
      <x:c r="D6" s="91" t="n">
        <x:v>46261.80872951389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12587.183</x:v>
      </x:c>
      <x:c r="L6" s="93" t="b">
        <x:v>0</x:v>
      </x:c>
      <x:c r="M6" s="47" t="str">
        <x:v>resp_0e08e6b7264ab44f006a908ee5c274819497d5ed1298b412b7</x:v>
      </x:c>
      <x:c r="N6" s="59" t="n">
        <x:v>11959</x:v>
      </x:c>
      <x:c r="O6" s="59" t="n">
        <x:v>1979</x:v>
      </x:c>
      <x:c r="P6" s="59" t="n">
        <x:v>13938</x:v>
      </x:c>
    </x:row>
    <x:row r="7">
      <x:c r="A7" s="47" t="str">
        <x:v>EVT-000036</x:v>
      </x:c>
      <x:c r="B7" s="47" t="str">
        <x:v>RUN-I2-023-20260827T192421639226Z</x:v>
      </x:c>
      <x:c r="C7" s="47" t="str">
        <x:v>I2-023</x:v>
      </x:c>
      <x:c r="D7" s="91" t="n">
        <x:v>46261.80881328704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6981.072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EVT-000037</x:v>
      </x:c>
      <x:c r="B8" s="47" t="str">
        <x:v>RUN-I2-023-20260827T192421639226Z</x:v>
      </x:c>
      <x:c r="C8" s="47" t="str">
        <x:v>I2-023</x:v>
      </x:c>
      <x:c r="D8" s="91" t="n">
        <x:v>46261.80881329861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6982.535</x:v>
      </x:c>
      <x:c r="L8" s="93" t="b">
        <x:v>0</x:v>
      </x:c>
      <x:c r="M8" s="47" t="str">
        <x:v>resp_03bfc5d0c7693602006a908ef29c64819788356ce4b51d41e2</x:v>
      </x:c>
      <x:c r="N8" s="59" t="n">
        <x:v>12698</x:v>
      </x:c>
      <x:c r="O8" s="59" t="n">
        <x:v>617</x:v>
      </x:c>
      <x:c r="P8" s="59" t="n">
        <x:v>13315</x:v>
      </x:c>
    </x:row>
    <x:row r="9">
      <x:c r="A9" s="47" t="str">
        <x:v>EVT-000042</x:v>
      </x:c>
      <x:c r="B9" s="47" t="str">
        <x:v>RUN-I2-023-20260827T192421639226Z</x:v>
      </x:c>
      <x:c r="C9" s="47" t="str">
        <x:v>I2-023</x:v>
      </x:c>
      <x:c r="D9" s="91" t="n">
        <x:v>46261.80900288194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16373.982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EVT-000043</x:v>
      </x:c>
      <x:c r="B10" s="47" t="str">
        <x:v>RUN-I2-023-20260827T192421639226Z</x:v>
      </x:c>
      <x:c r="C10" s="47" t="str">
        <x:v>I2-023</x:v>
      </x:c>
      <x:c r="D10" s="91" t="n">
        <x:v>46261.80900289352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16374.542</x:v>
      </x:c>
      <x:c r="L10" s="93" t="b">
        <x:v>0</x:v>
      </x:c>
      <x:c r="M10" s="47" t="str">
        <x:v>resp_0dc03354e821f267006a908ef996f881968f7e9e1e672dc697</x:v>
      </x:c>
      <x:c r="N10" s="59" t="n">
        <x:v>12039</x:v>
      </x:c>
      <x:c r="O10" s="59" t="n">
        <x:v>2271</x:v>
      </x:c>
      <x:c r="P10" s="59" t="n">
        <x:v>14310</x:v>
      </x:c>
    </x:row>
    <x:row r="11">
      <x:c r="A11" s="47" t="str">
        <x:v>EVT-000050</x:v>
      </x:c>
      <x:c r="B11" s="47" t="str">
        <x:v>RUN-I2-023-20260827T192421639226Z</x:v>
      </x:c>
      <x:c r="C11" s="47" t="str">
        <x:v>I2-023</x:v>
      </x:c>
      <x:c r="D11" s="91" t="n">
        <x:v>46261.80909296296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7515.931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EVT-000051</x:v>
      </x:c>
      <x:c r="B12" s="47" t="str">
        <x:v>RUN-I2-023-20260827T192421639226Z</x:v>
      </x:c>
      <x:c r="C12" s="47" t="str">
        <x:v>I2-023</x:v>
      </x:c>
      <x:c r="D12" s="91" t="n">
        <x:v>46261.80909297454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7516.901</x:v>
      </x:c>
      <x:c r="L12" s="93" t="b">
        <x:v>0</x:v>
      </x:c>
      <x:c r="M12" s="47" t="str">
        <x:v>resp_0a5e855a8cee6920006a908f0a3dec8195a1a783da30f3a57a</x:v>
      </x:c>
      <x:c r="N12" s="59" t="n">
        <x:v>12797</x:v>
      </x:c>
      <x:c r="O12" s="59" t="n">
        <x:v>627</x:v>
      </x:c>
      <x:c r="P12" s="59" t="n">
        <x:v>13424</x:v>
      </x:c>
    </x:row>
    <x:row r="13">
      <x:c r="A13" s="47" t="str">
        <x:v>EVT-000058</x:v>
      </x:c>
      <x:c r="B13" s="47" t="str">
        <x:v>RUN-I2-023-20260827T192421639226Z</x:v>
      </x:c>
      <x:c r="C13" s="47" t="str">
        <x:v>I2-023</x:v>
      </x:c>
      <x:c r="D13" s="91" t="n">
        <x:v>46261.809135625</x:v>
      </x:c>
      <x:c r="E13" s="47" t="str">
        <x:v>vocabulary_matcher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2786.549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9" t="str">
        <x:v>EVT-000059</x:v>
      </x:c>
      <x:c r="B14" s="49" t="str">
        <x:v>RUN-I2-023-20260827T192421639226Z</x:v>
      </x:c>
      <x:c r="C14" s="49" t="str">
        <x:v>I2-023</x:v>
      </x:c>
      <x:c r="D14" s="94" t="n">
        <x:v>46261.809135648145</x:v>
      </x:c>
      <x:c r="E14" s="49" t="str">
        <x:v>vocabulary_matcher</x:v>
      </x:c>
      <x:c r="F14" s="49" t="str">
        <x:v>gpt-5.6-luna-2026-07-09</x:v>
      </x:c>
      <x:c r="G14" s="49" t="n">
        <x:v>1</x:v>
      </x:c>
      <x:c r="H14" s="49" t="str">
        <x:v>COMPLETED</x:v>
      </x:c>
      <x:c r="I14" s="49" t="str"/>
      <x:c r="J14" s="83" t="n">
        <x:v>0</x:v>
      </x:c>
      <x:c r="K14" s="83" t="n">
        <x:v>2787.861</x:v>
      </x:c>
      <x:c r="L14" s="82" t="b">
        <x:v>0</x:v>
      </x:c>
      <x:c r="M14" s="49" t="str">
        <x:v>resp_0e1cb97deb9e69eb006a908f12db388196a14481d759fd6ebe</x:v>
      </x:c>
      <x:c r="N14" s="60" t="n">
        <x:v>2598</x:v>
      </x:c>
      <x:c r="O14" s="60" t="n">
        <x:v>146</x:v>
      </x:c>
      <x:c r="P14" s="60" t="n">
        <x:v>2744</x:v>
      </x:c>
    </x:row>
  </x:sheetData>
  <x:conditionalFormatting sqref="H5:H14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fa873469d82458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RUN-I2-023-20260827T192421639226Z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RUN-I2-023-20260827T192421639226Z</x:v>
      </x:c>
      <x:c r="B5" s="45" t="str">
        <x:v>I2-023</x:v>
      </x:c>
      <x:c r="C5" s="45" t="str">
        <x:v>averageIcePressure</x:v>
      </x:c>
      <x:c r="D5" s="46" t="str">
        <x:v>https://w3id.org/nltl/vocab#averageIcePressure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http://qudt.org/vocab/unit/MegaPA</x:v>
      </x:c>
      <x:c r="I5" s="46" t="str">
        <x:v>linked by the locked 313-requirement index</x:v>
      </x:c>
      <x:c r="J5" s="45" t="n">
        <x:v>0</x:v>
      </x:c>
    </x:row>
    <x:row r="6">
      <x:c r="A6" s="47" t="str">
        <x:v>RUN-I2-023-20260827T192421639226Z</x:v>
      </x:c>
      <x:c r="B6" s="47" t="str">
        <x:v>I2-023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averageIcePressure; domain dependency of frameSpan; domain dependency of loadPatchHeight; domain dependency of peakPressureFactor; domain dependency of yieldStrength</x:v>
      </x:c>
      <x:c r="J6" s="47" t="n">
        <x:v>0</x:v>
      </x:c>
    </x:row>
    <x:row r="7">
      <x:c r="A7" s="47" t="str">
        <x:v>RUN-I2-023-20260827T192421639226Z</x:v>
      </x:c>
      <x:c r="B7" s="47" t="str">
        <x:v>I2-023</x:v>
      </x:c>
      <x:c r="C7" s="47" t="str">
        <x:v>frameSpacing</x:v>
      </x:c>
      <x:c r="D7" s="48" t="str">
        <x:v>https://w3id.org/nltl/vocab#frameSpacing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RUN-I2-023-20260827T192421639226Z</x:v>
      </x:c>
      <x:c r="B8" s="47" t="str">
        <x:v>I2-023</x:v>
      </x:c>
      <x:c r="C8" s="47" t="str">
        <x:v>frameSpan</x:v>
      </x:c>
      <x:c r="D8" s="48" t="str">
        <x:v>https://w3id.org/nltl/vocab#frameSpan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RUN-I2-023-20260827T192421639226Z</x:v>
      </x:c>
      <x:c r="B9" s="47" t="str">
        <x:v>I2-023</x:v>
      </x:c>
      <x:c r="C9" s="47" t="str">
        <x:v>framingAngleOmega</x:v>
      </x:c>
      <x:c r="D9" s="48" t="str">
        <x:v>https://w3id.org/nltl/vocab#framingAngleOmega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http://qudt.org/vocab/unit/DEG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RUN-I2-023-20260827T192421639226Z</x:v>
      </x:c>
      <x:c r="B10" s="47" t="str">
        <x:v>I2-023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RUN-I2-023-20260827T192421639226Z</x:v>
      </x:c>
      <x:c r="B11" s="47" t="str">
        <x:v>I2-023</x:v>
      </x:c>
      <x:c r="C11" s="47" t="str">
        <x:v>hasPlating</x:v>
      </x:c>
      <x:c r="D11" s="48" t="str">
        <x:v>https://w3id.org/nltl/vocab#hasPlating</x:v>
      </x:c>
      <x:c r="E11" s="47" t="str">
        <x:v>ObjectProperty</x:v>
      </x:c>
      <x:c r="F11" s="47" t="str"/>
      <x:c r="G11" s="47" t="str">
        <x:v>https://w3id.org/nltl/vocab#plating</x:v>
      </x:c>
      <x:c r="H11" s="47" t="str"/>
      <x:c r="I11" s="48" t="str">
        <x:v>canonical path from target owner ship to required owner plating; linked by the locked 313-requirement index</x:v>
      </x:c>
      <x:c r="J11" s="47" t="n">
        <x:v>0</x:v>
      </x:c>
    </x:row>
    <x:row r="12">
      <x:c r="A12" s="47" t="str">
        <x:v>RUN-I2-023-20260827T192421639226Z</x:v>
      </x:c>
      <x:c r="B12" s="47" t="str">
        <x:v>I2-023</x:v>
      </x:c>
      <x:c r="C12" s="47" t="str">
        <x:v>hasStructuralMember</x:v>
      </x:c>
      <x:c r="D12" s="48" t="str">
        <x:v>https://w3id.org/nltl/vocab#hasStructuralMember</x:v>
      </x:c>
      <x:c r="E12" s="47" t="str">
        <x:v>ObjectProperty</x:v>
      </x:c>
      <x:c r="F12" s="47" t="str"/>
      <x:c r="G12" s="47" t="str">
        <x:v>https://w3id.org/nltl/vocab#structuralMember</x:v>
      </x:c>
      <x:c r="H12" s="47" t="str"/>
      <x:c r="I12" s="48" t="str">
        <x:v>canonical path from target owner ship to required owner structuralMember</x:v>
      </x:c>
      <x:c r="J12" s="47" t="n">
        <x:v>0</x:v>
      </x:c>
    </x:row>
    <x:row r="13">
      <x:c r="A13" s="47" t="str">
        <x:v>RUN-I2-023-20260827T192421639226Z</x:v>
      </x:c>
      <x:c r="B13" s="47" t="str">
        <x:v>I2-023</x:v>
      </x:c>
      <x:c r="C13" s="47" t="str">
        <x:v>hullAreaFactor</x:v>
      </x:c>
      <x:c r="D13" s="48" t="str">
        <x:v>https://w3id.org/nltl/vocab#hullAreaFactor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http://qudt.org/vocab/unit/UNITLESS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RUN-I2-023-20260827T192421639226Z</x:v>
      </x:c>
      <x:c r="B14" s="47" t="str">
        <x:v>I2-023</x:v>
      </x:c>
      <x:c r="C14" s="47" t="str">
        <x:v>hullAreaValue</x:v>
      </x:c>
      <x:c r="D14" s="48" t="str">
        <x:v>https://w3id.org/nltl/vocab#hullAreaValue</x:v>
      </x:c>
      <x:c r="E14" s="47" t="str">
        <x:v>Class</x:v>
      </x:c>
      <x:c r="F14" s="47" t="str"/>
      <x:c r="G14" s="47" t="str">
        <x:v>https://w3id.org/nltl/vocab#benchmarkEntity</x:v>
      </x:c>
      <x:c r="H14" s="47" t="str"/>
      <x:c r="I14" s="48" t="str">
        <x:v>domain dependency of hullAreaFactor</x:v>
      </x:c>
      <x:c r="J14" s="47" t="n">
        <x:v>0</x:v>
      </x:c>
    </x:row>
    <x:row r="15">
      <x:c r="A15" s="47" t="str">
        <x:v>RUN-I2-023-20260827T192421639226Z</x:v>
      </x:c>
      <x:c r="B15" s="47" t="str">
        <x:v>I2-023</x:v>
      </x:c>
      <x:c r="C15" s="47" t="str">
        <x:v>iceLoadRequiredNetPlateThickness</x:v>
      </x:c>
      <x:c r="D15" s="48" t="str">
        <x:v>https://w3id.org/nltl/vocab#iceLoadRequiredNetPlateThickness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http://qudt.org/vocab/unit/MilliM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RUN-I2-023-20260827T192421639226Z</x:v>
      </x:c>
      <x:c r="B16" s="47" t="str">
        <x:v>I2-023</x:v>
      </x:c>
      <x:c r="C16" s="47" t="str">
        <x:v>loadPatchHeight</x:v>
      </x:c>
      <x:c r="D16" s="48" t="str">
        <x:v>https://w3id.org/nltl/vocab#loadPatchHeight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http://qudt.org/vocab/unit/M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RUN-I2-023-20260827T192421639226Z</x:v>
      </x:c>
      <x:c r="B17" s="47" t="str">
        <x:v>I2-023</x:v>
      </x:c>
      <x:c r="C17" s="47" t="str">
        <x:v>peakPressureFactor</x:v>
      </x:c>
      <x:c r="D17" s="48" t="str">
        <x:v>https://w3id.org/nltl/vocab#peakPressureFactor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http://qudt.org/vocab/unit/UNITLESS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RUN-I2-023-20260827T192421639226Z</x:v>
      </x:c>
      <x:c r="B18" s="47" t="str">
        <x:v>I2-023</x:v>
      </x:c>
      <x:c r="C18" s="47" t="str">
        <x:v>plating</x:v>
      </x:c>
      <x:c r="D18" s="48" t="str">
        <x:v>https://w3id.org/nltl/vocab#plating</x:v>
      </x:c>
      <x:c r="E18" s="47" t="str">
        <x:v>Class</x:v>
      </x:c>
      <x:c r="F18" s="47" t="str"/>
      <x:c r="G18" s="47" t="str">
        <x:v>https://w3id.org/nltl/vocab#hullStructure</x:v>
      </x:c>
      <x:c r="H18" s="47" t="str"/>
      <x:c r="I18" s="48" t="str">
        <x:v>authoritative required owner class; domain dependency of framingAngleOmega; domain dependency of iceLoadRequiredNetPlateThickness; domain dependency of platingSupportedByStructuralMember; range dependency of hasPlating</x:v>
      </x:c>
      <x:c r="J18" s="47" t="n">
        <x:v>0</x:v>
      </x:c>
    </x:row>
    <x:row r="19">
      <x:c r="A19" s="47" t="str">
        <x:v>RUN-I2-023-20260827T192421639226Z</x:v>
      </x:c>
      <x:c r="B19" s="47" t="str">
        <x:v>I2-023</x:v>
      </x:c>
      <x:c r="C19" s="47" t="str">
        <x:v>platingSupportedByStructuralMember</x:v>
      </x:c>
      <x:c r="D19" s="48" t="str">
        <x:v>https://w3id.org/nltl/vocab#platingSupportedByStructuralMember</x:v>
      </x:c>
      <x:c r="E19" s="47" t="str">
        <x:v>ObjectProperty</x:v>
      </x:c>
      <x:c r="F19" s="47" t="str"/>
      <x:c r="G19" s="47" t="str">
        <x:v>https://w3id.org/nltl/vocab#structuralMember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RUN-I2-023-20260827T192421639226Z</x:v>
      </x:c>
      <x:c r="B20" s="47" t="str">
        <x:v>I2-023</x:v>
      </x:c>
      <x:c r="C20" s="47" t="str">
        <x:v>selectedHullAreaFactor</x:v>
      </x:c>
      <x:c r="D20" s="48" t="str">
        <x:v>https://w3id.org/nltl/vocab#selectedHullAreaFactor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http://qudt.org/vocab/unit/UNITLESS</x:v>
      </x:c>
      <x:c r="I20" s="48" t="str">
        <x:v>linked by the locked 313-requirement index</x:v>
      </x:c>
      <x:c r="J20" s="47" t="n">
        <x:v>0</x:v>
      </x:c>
    </x:row>
    <x:row r="21">
      <x:c r="A21" s="47" t="str">
        <x:v>RUN-I2-023-20260827T192421639226Z</x:v>
      </x:c>
      <x:c r="B21" s="47" t="str">
        <x:v>I2-023</x:v>
      </x:c>
      <x:c r="C21" s="47" t="str">
        <x:v>ship</x:v>
      </x:c>
      <x:c r="D21" s="48" t="str">
        <x:v>https://w3id.org/nltl/vocab#ship</x:v>
      </x:c>
      <x:c r="E21" s="47" t="str">
        <x:v>Class</x:v>
      </x:c>
      <x:c r="F21" s="47" t="str"/>
      <x:c r="G21" s="47" t="str"/>
      <x:c r="H21" s="47" t="str"/>
      <x:c r="I21" s="48" t="str">
        <x:v>authoritative required owner class; authoritative requirement target owner; baseline target infrastructure; domain dependency of hasPlating</x:v>
      </x:c>
      <x:c r="J21" s="47" t="n">
        <x:v>0</x:v>
      </x:c>
    </x:row>
    <x:row r="22">
      <x:c r="A22" s="47" t="str">
        <x:v>RUN-I2-023-20260827T192421639226Z</x:v>
      </x:c>
      <x:c r="B22" s="47" t="str">
        <x:v>I2-023</x:v>
      </x:c>
      <x:c r="C22" s="47" t="str">
        <x:v>shipComponent</x:v>
      </x:c>
      <x:c r="D22" s="48" t="str">
        <x:v>https://w3id.org/nltl/vocab#shipComponent</x:v>
      </x:c>
      <x:c r="E22" s="47" t="str">
        <x:v>Class</x:v>
      </x:c>
      <x:c r="F22" s="47" t="str"/>
      <x:c r="G22" s="47" t="str"/>
      <x:c r="H22" s="47" t="str"/>
      <x:c r="I22" s="48" t="str">
        <x:v>component-path dependency inferred from the linked term module</x:v>
      </x:c>
      <x:c r="J22" s="47" t="n">
        <x:v>0</x:v>
      </x:c>
    </x:row>
    <x:row r="23">
      <x:c r="A23" s="47" t="str">
        <x:v>RUN-I2-023-20260827T192421639226Z</x:v>
      </x:c>
      <x:c r="B23" s="47" t="str">
        <x:v>I2-023</x:v>
      </x:c>
      <x:c r="C23" s="47" t="str">
        <x:v>structuralMember</x:v>
      </x:c>
      <x:c r="D23" s="48" t="str">
        <x:v>https://w3id.org/nltl/vocab#structuralMember</x:v>
      </x:c>
      <x:c r="E23" s="47" t="str">
        <x:v>Class</x:v>
      </x:c>
      <x:c r="F23" s="47" t="str"/>
      <x:c r="G23" s="47" t="str">
        <x:v>https://w3id.org/nltl/vocab#hullStructure</x:v>
      </x:c>
      <x:c r="H23" s="47" t="str"/>
      <x:c r="I23" s="48" t="str">
        <x:v>authoritative required owner class; domain dependency of frameSpacing; domain dependency of selectedHullAreaFactor; range dependency of platingSupportedByStructuralMember</x:v>
      </x:c>
      <x:c r="J23" s="47" t="n">
        <x:v>0</x:v>
      </x:c>
    </x:row>
    <x:row r="24">
      <x:c r="A24" s="49" t="str">
        <x:v>RUN-I2-023-20260827T192421639226Z</x:v>
      </x:c>
      <x:c r="B24" s="49" t="str">
        <x:v>I2-023</x:v>
      </x:c>
      <x:c r="C24" s="49" t="str">
        <x:v>yieldStrength</x:v>
      </x:c>
      <x:c r="D24" s="50" t="str">
        <x:v>https://w3id.org/nltl/vocab#yieldStrength</x:v>
      </x:c>
      <x:c r="E24" s="49" t="str">
        <x:v>QuantityProperty</x:v>
      </x:c>
      <x:c r="F24" s="49" t="str"/>
      <x:c r="G24" s="49" t="str">
        <x:v>http://qudt.org/schema/qudt/QuantityValue</x:v>
      </x:c>
      <x:c r="H24" s="49" t="str">
        <x:v>http://qudt.org/vocab/unit/MegaPA</x:v>
      </x:c>
      <x:c r="I24" s="50" t="str">
        <x:v>linked by the locked 313-requirement index</x:v>
      </x:c>
      <x:c r="J2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b1c639a2b08446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RUN-I2-023-20260827T192421639226Z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RUN-I2-023-20260827T192421639226Z</x:v>
      </x:c>
      <x:c r="B5" s="45" t="str">
        <x:v>I2-023</x:v>
      </x:c>
      <x:c r="C5" s="45" t="str">
        <x:v>FS-COMPLEX-READINESS-01</x:v>
      </x:c>
      <x:c r="D5" s="45" t="str">
        <x:v>complex_readiness_external_calculation</x:v>
      </x:c>
      <x:c r="E5" s="97" t="n">
        <x:v>2.173913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RUN-I2-023-20260827T192421639226Z</x:v>
      </x:c>
      <x:c r="B6" s="49" t="str">
        <x:v>I2-023</x:v>
      </x:c>
      <x:c r="C6" s="49" t="str">
        <x:v>FS-COMPLEX-READINESS-02</x:v>
      </x:c>
      <x:c r="D6" s="49" t="str">
        <x:v>complex_readiness_with_direct_residual_check</x:v>
      </x:c>
      <x:c r="E6" s="98" t="n">
        <x:v>2.076923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2d09953b6fb489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RUN-I2-023-20260827T192421639226Z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RUN-I2-023-20260827T192421639226Z</x:v>
      </x:c>
      <x:c r="B5" s="45" t="str">
        <x:v>I2-023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https://w3id.org/nltl/vocab#averageIcePressure | https://w3id.org/nltl/vocab#frameSpacing | https://w3id.org/nltl/vocab#frameSpan | https://w3id.org/nltl/vocab#framingAngleOmega | https://w3id.org/nltl/vocab#hasPlating | https://w3id.org/nltl/vocab#iceLoadRequiredNetPlateThickness | https://w3id.org/nltl/vocab#loadPatchHeight | https://w3id.org/nltl/vocab#peakPressureFactor | https://w3id.org/nltl/vocab#plating | https://w3id.org/nltl/vocab#platingSupportedByStructuralMember | https://w3id.org/nltl/vocab#selectedHullAreaFactor | https://w3id.org/nltl/vocab#ship | https://w3id.org/nltl/vocab#structuralMember | https://w3id.org/nltl/vocab#yieldStrength</x:v>
      </x:c>
      <x:c r="O5" s="46" t="str"/>
      <x:c r="P5" s="46" t="str"/>
      <x:c r="Q5" s="46" t="str"/>
    </x:row>
    <x:row r="6">
      <x:c r="A6" s="49" t="str">
        <x:v>RUN-I2-023-20260827T192421639226Z</x:v>
      </x:c>
      <x:c r="B6" s="49" t="str">
        <x:v>I2-023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https://w3id.org/nltl/vocab#averageIcePressure | https://w3id.org/nltl/vocab#frameSpacing | https://w3id.org/nltl/vocab#frameSpan | https://w3id.org/nltl/vocab#framingAngleOmega | https://w3id.org/nltl/vocab#hasPlating | https://w3id.org/nltl/vocab#iceLoadRequiredNetPlateThickness | https://w3id.org/nltl/vocab#loadPatchHeight | https://w3id.org/nltl/vocab#peakPressureFactor | https://w3id.org/nltl/vocab#plating | https://w3id.org/nltl/vocab#platingSupportedByStructuralMember | https://w3id.org/nltl/vocab#selectedHullAreaFactor | https://w3id.org/nltl/vocab#ship | https://w3id.org/nltl/vocab#structuralMember | https://w3id.org/nltl/vocab#yieldStrength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db3cbcf02aab462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RUN-I2-023-20260827T192421639226Z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RUN-I2-023-20260827T192421639226Z</x:v>
      </x:c>
      <x:c r="B5" s="45" t="str">
        <x:v>I2-023</x:v>
      </x:c>
      <x:c r="C5" s="58" t="n">
        <x:v>2</x:v>
      </x:c>
      <x:c r="D5" s="45" t="str">
        <x:v>matcher_search</x:v>
      </x:c>
      <x:c r="E5" s="46" t="str">
        <x:v>Preserve the existing ship operands, plating/result ownership, relationship paths, datatypes, units, and COMPLEX_READINESS boundary. Add a canonical applicability term or controlled value, located via the matcher, that explicitly establishes that the relevant plating is longitudinally framed; framingAngleOmega &lt;= 20 degrees alone does not establish longitudinal framing. Encode the angle bound together with that applicability condition without inventing a convenience boolean, formula execution, or generic evidence requirement.</x:v>
      </x:c>
      <x:c r="F5" s="58" t="n">
        <x:v>5</x:v>
      </x:c>
      <x:c r="G5" s="45" t="str"/>
      <x:c r="H5" s="45" t="str"/>
      <x:c r="I5" s="46" t="str"/>
      <x:c r="J5" s="46" t="str"/>
    </x:row>
    <x:row r="6">
      <x:c r="A6" s="49" t="str">
        <x:v>RUN-I2-023-20260827T192421639226Z</x:v>
      </x:c>
      <x:c r="B6" s="49" t="str">
        <x:v>I2-023</x:v>
      </x:c>
      <x:c r="C6" s="60" t="n">
        <x:v>2</x:v>
      </x:c>
      <x:c r="D6" s="49" t="str">
        <x:v>matcher_decision</x:v>
      </x:c>
      <x:c r="E6" s="50" t="str"/>
      <x:c r="F6" s="60" t="str"/>
      <x:c r="G6" s="82" t="b">
        <x:v>0</x:v>
      </x:c>
      <x:c r="H6" s="49" t="str"/>
      <x:c r="I6" s="50" t="str"/>
      <x:c r="J6" s="50" t="str">
        <x:v>No supplied candidate is semantically supported because none explicitly establishes that the relevant plating is longitudinally framed; framingAngleOmega only represents the angle bound, while plating and frame do not encode the required framing orientation.</x:v>
      </x:c>
    </x:row>
  </x:sheetData>
  <x:pageMargins left="0.7" right="0.7" top="0.75" bottom="0.75" header="0.3" footer="0.3"/>
  <x:tableParts count="1">
    <x:tablePart xmlns:r="http://schemas.openxmlformats.org/officeDocument/2006/relationships" r:id="R00efddcdf96843e4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RUN-I2-023-20260827T192421639226Z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RUN-I2-023-20260827T192421639226Z</x:v>
      </x:c>
      <x:c r="B5" s="45" t="str">
        <x:v>I2-023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8a78c2d2f1eb5870e4af8046379b361f51e9d5a75181cc0c6eda33f842e8bde7</x:v>
      </x:c>
      <x:c r="G5" s="58" t="n">
        <x:v>28218</x:v>
      </x:c>
    </x:row>
    <x:row r="6">
      <x:c r="A6" s="47" t="str">
        <x:v>RUN-I2-023-20260827T192421639226Z</x:v>
      </x:c>
      <x:c r="B6" s="47" t="str">
        <x:v>I2-023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0d88361878abae276875ec0644aa21da2d3e83034072432897779954ce7ccd8b</x:v>
      </x:c>
      <x:c r="G6" s="59" t="n">
        <x:v>6555</x:v>
      </x:c>
    </x:row>
    <x:row r="7">
      <x:c r="A7" s="47" t="str">
        <x:v>RUN-I2-023-20260827T192421639226Z</x:v>
      </x:c>
      <x:c r="B7" s="47" t="str">
        <x:v>I2-023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ff1b32dc2dd993aa709bfbe91c3a6b20b8db6a71118cccca933b8a6c5b9f2c07</x:v>
      </x:c>
      <x:c r="G7" s="59" t="n">
        <x:v>46417</x:v>
      </x:c>
    </x:row>
    <x:row r="8">
      <x:c r="A8" s="47" t="str">
        <x:v>RUN-I2-023-20260827T192421639226Z</x:v>
      </x:c>
      <x:c r="B8" s="47" t="str">
        <x:v>I2-023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4421c7e36152081c7aaf7e7c804d47940bb71add6375e3deae8e3cc6070a8c30</x:v>
      </x:c>
      <x:c r="G8" s="59" t="n">
        <x:v>6880</x:v>
      </x:c>
    </x:row>
    <x:row r="9">
      <x:c r="A9" s="47" t="str">
        <x:v>RUN-I2-023-20260827T192421639226Z</x:v>
      </x:c>
      <x:c r="B9" s="47" t="str">
        <x:v>I2-023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e14e6bdb45d0573b37b1f7cb1d4fe40fbacff3cf777ff10788ac6c8d9f355325</x:v>
      </x:c>
      <x:c r="G9" s="59" t="n">
        <x:v>6855</x:v>
      </x:c>
    </x:row>
    <x:row r="10">
      <x:c r="A10" s="47" t="str">
        <x:v>RUN-I2-023-20260827T192421639226Z</x:v>
      </x:c>
      <x:c r="B10" s="47" t="str">
        <x:v>I2-023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f5465733d36abafb1e4c372169724c322aebb55fea9401c0e1b9d6ad5ffaf115</x:v>
      </x:c>
      <x:c r="G10" s="59" t="n">
        <x:v>1120</x:v>
      </x:c>
    </x:row>
    <x:row r="11">
      <x:c r="A11" s="47" t="str">
        <x:v>RUN-I2-023-20260827T192421639226Z</x:v>
      </x:c>
      <x:c r="B11" s="47" t="str">
        <x:v>I2-023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b1327514f47e9907674378396d38c413f054aa2d7f877d51e79d090fe88f269e</x:v>
      </x:c>
      <x:c r="G11" s="59" t="n">
        <x:v>48102</x:v>
      </x:c>
    </x:row>
    <x:row r="12">
      <x:c r="A12" s="47" t="str">
        <x:v>RUN-I2-023-20260827T192421639226Z</x:v>
      </x:c>
      <x:c r="B12" s="47" t="str">
        <x:v>I2-023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2676e2f1e0adcb407f0217c39916d62d47b78bfb3445cb4f70f488e892f71a14</x:v>
      </x:c>
      <x:c r="G12" s="59" t="n">
        <x:v>504</x:v>
      </x:c>
    </x:row>
    <x:row r="13">
      <x:c r="A13" s="47" t="str">
        <x:v>RUN-I2-023-20260827T192421639226Z</x:v>
      </x:c>
      <x:c r="B13" s="47" t="str">
        <x:v>I2-023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9a1637c99998e9e3d013727ac58f1d21b3c0e3997912da94242aa21c54328bdd</x:v>
      </x:c>
      <x:c r="G13" s="59" t="n">
        <x:v>46856</x:v>
      </x:c>
    </x:row>
    <x:row r="14">
      <x:c r="A14" s="47" t="str">
        <x:v>RUN-I2-023-20260827T192421639226Z</x:v>
      </x:c>
      <x:c r="B14" s="47" t="str">
        <x:v>I2-023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18f94eef778a0d3e290c86be12d933760f0dccd8b2f32638cc5a6aef46dd5506</x:v>
      </x:c>
      <x:c r="G14" s="59" t="n">
        <x:v>6989</x:v>
      </x:c>
    </x:row>
    <x:row r="15">
      <x:c r="A15" s="47" t="str">
        <x:v>RUN-I2-023-20260827T192421639226Z</x:v>
      </x:c>
      <x:c r="B15" s="47" t="str">
        <x:v>I2-023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feab33cd15e413bcbd9b5bf065000b540dec68a4cf11afd3b89a3c9b5329016d</x:v>
      </x:c>
      <x:c r="G15" s="59" t="n">
        <x:v>6964</x:v>
      </x:c>
    </x:row>
    <x:row r="16">
      <x:c r="A16" s="47" t="str">
        <x:v>RUN-I2-023-20260827T192421639226Z</x:v>
      </x:c>
      <x:c r="B16" s="47" t="str">
        <x:v>I2-023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f5465733d36abafb1e4c372169724c322aebb55fea9401c0e1b9d6ad5ffaf115</x:v>
      </x:c>
      <x:c r="G16" s="59" t="n">
        <x:v>1120</x:v>
      </x:c>
    </x:row>
    <x:row r="17">
      <x:c r="A17" s="47" t="str">
        <x:v>RUN-I2-023-20260827T192421639226Z</x:v>
      </x:c>
      <x:c r="B17" s="47" t="str">
        <x:v>I2-023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c156d24262ce7b798fb2bc5095126e0d79d71f5fee961fe6c8d35596c8402959</x:v>
      </x:c>
      <x:c r="G17" s="59" t="n">
        <x:v>48663</x:v>
      </x:c>
    </x:row>
    <x:row r="18">
      <x:c r="A18" s="47" t="str">
        <x:v>RUN-I2-023-20260827T192421639226Z</x:v>
      </x:c>
      <x:c r="B18" s="47" t="str">
        <x:v>I2-023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1dcf38e1dfac3af714ff8a3ceafa74c70e21bcc7db9ac9958b5628b1d44e39be</x:v>
      </x:c>
      <x:c r="G18" s="59" t="n">
        <x:v>594</x:v>
      </x:c>
    </x:row>
    <x:row r="19">
      <x:c r="A19" s="47" t="str">
        <x:v>RUN-I2-023-20260827T192421639226Z</x:v>
      </x:c>
      <x:c r="B19" s="47" t="str">
        <x:v>I2-023</x:v>
      </x:c>
      <x:c r="C19" s="59" t="n">
        <x:v>2</x:v>
      </x:c>
      <x:c r="D19" s="47" t="str">
        <x:v>matcher_candidates</x:v>
      </x:c>
      <x:c r="E19" s="48" t="str">
        <x:v>artifacts/attempt_02/matcher_candidates.json</x:v>
      </x:c>
      <x:c r="F19" s="47" t="str">
        <x:v>9b29283044a45fb033901e668fd2d7f15fe0318760d2de3de77006bca0dce7b3</x:v>
      </x:c>
      <x:c r="G19" s="59" t="n">
        <x:v>2990</x:v>
      </x:c>
    </x:row>
    <x:row r="20">
      <x:c r="A20" s="47" t="str">
        <x:v>RUN-I2-023-20260827T192421639226Z</x:v>
      </x:c>
      <x:c r="B20" s="47" t="str">
        <x:v>I2-023</x:v>
      </x:c>
      <x:c r="C20" s="59" t="n">
        <x:v>2</x:v>
      </x:c>
      <x:c r="D20" s="47" t="str">
        <x:v>vocabulary_matcher_prompt</x:v>
      </x:c>
      <x:c r="E20" s="48" t="str">
        <x:v>artifacts/attempt_02/vocabulary_matcher_prompt_01.txt</x:v>
      </x:c>
      <x:c r="F20" s="47" t="str">
        <x:v>4e495045b8ded276766df8f5b0750789ba557411c554af59f6f41251fd741e1a</x:v>
      </x:c>
      <x:c r="G20" s="59" t="n">
        <x:v>9408</x:v>
      </x:c>
    </x:row>
    <x:row r="21">
      <x:c r="A21" s="49" t="str">
        <x:v>RUN-I2-023-20260827T192421639226Z</x:v>
      </x:c>
      <x:c r="B21" s="49" t="str">
        <x:v>I2-023</x:v>
      </x:c>
      <x:c r="C21" s="60" t="n">
        <x:v>2</x:v>
      </x:c>
      <x:c r="D21" s="49" t="str">
        <x:v>vocabulary_matcher_raw_response</x:v>
      </x:c>
      <x:c r="E21" s="50" t="str">
        <x:v>artifacts/attempt_02/vocabulary_matcher_raw_01.txt</x:v>
      </x:c>
      <x:c r="F21" s="49" t="str">
        <x:v>dd45eeaed95b729db3de49631fda24179c75f442ca7a0e6454cbeba0dd82eafa</x:v>
      </x:c>
      <x:c r="G21" s="60" t="n">
        <x:v>347</x:v>
      </x:c>
    </x:row>
  </x:sheetData>
  <x:pageMargins left="0.7" right="0.7" top="0.75" bottom="0.75" header="0.3" footer="0.3"/>
  <x:tableParts count="1">
    <x:tablePart xmlns:r="http://schemas.openxmlformats.org/officeDocument/2006/relationships" r:id="Rd3cd438e3c8c43a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RUN-I2-023-20260827T192421639226Z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RUN-I2-023-20260827T192421639226Z</x:v>
      </x:c>
      <x:c r="B5" s="69" t="str">
        <x:v>I2-023</x:v>
      </x:c>
      <x:c r="C5" s="71" t="n">
        <x:v>2</x:v>
      </x:c>
      <x:c r="D5" s="69" t="str">
        <x:v>TERM_RESOLUTION_UNRESOLVED</x:v>
      </x:c>
      <x:c r="E5" s="73" t="str">
        <x:v>No supplied candidate is semantically supported because none explicitly establishes that the relevant plating is longitudinally framed; framingAngleOmega only represents the angle bound, while plating and frame do not encode the required framing orientation.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1b8d9ec5cae4743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RUN-I2-023-20260827T192421639226Z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