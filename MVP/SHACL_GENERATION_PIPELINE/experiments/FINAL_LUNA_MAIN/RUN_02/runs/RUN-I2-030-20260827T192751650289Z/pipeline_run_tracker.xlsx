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ba11f9429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6f745be6da491b"/>
    <x:sheet xmlns:r="http://schemas.openxmlformats.org/officeDocument/2006/relationships" name="README" sheetId="2" r:id="R74531ab3243e4ba1"/>
    <x:sheet xmlns:r="http://schemas.openxmlformats.org/officeDocument/2006/relationships" name="REGULATION_QUEUE" sheetId="3" r:id="R42738805c9ad4a5c"/>
    <x:sheet xmlns:r="http://schemas.openxmlformats.org/officeDocument/2006/relationships" name="RUNS" sheetId="4" r:id="R8b38caacab334355"/>
    <x:sheet xmlns:r="http://schemas.openxmlformats.org/officeDocument/2006/relationships" name="ITERATIONS" sheetId="5" r:id="R931f153d0249467a"/>
    <x:sheet xmlns:r="http://schemas.openxmlformats.org/officeDocument/2006/relationships" name="API_CALLS" sheetId="6" r:id="R6d566fa61ddf48fb"/>
    <x:sheet xmlns:r="http://schemas.openxmlformats.org/officeDocument/2006/relationships" name="TERM_RETRIEVAL" sheetId="7" r:id="R847e28fdb79d4977"/>
    <x:sheet xmlns:r="http://schemas.openxmlformats.org/officeDocument/2006/relationships" name="FEW_SHOT_SELECTION" sheetId="8" r:id="R4fb4887ed788467d"/>
    <x:sheet xmlns:r="http://schemas.openxmlformats.org/officeDocument/2006/relationships" name="VALIDATION" sheetId="9" r:id="R294d1218af364727"/>
    <x:sheet xmlns:r="http://schemas.openxmlformats.org/officeDocument/2006/relationships" name="VOCAB_MATCHES" sheetId="10" r:id="R2c4acdde3c0a4084"/>
    <x:sheet xmlns:r="http://schemas.openxmlformats.org/officeDocument/2006/relationships" name="ARTIFACTS" sheetId="11" r:id="R247c05dc996047e9"/>
    <x:sheet xmlns:r="http://schemas.openxmlformats.org/officeDocument/2006/relationships" name="UNRESOLVED" sheetId="12" r:id="R2515a98c88b0460e"/>
    <x:sheet xmlns:r="http://schemas.openxmlformats.org/officeDocument/2006/relationships" name="RDF_TEST_QUEUE" sheetId="13" r:id="R387abcdfe920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7d1e139544b79" /><Relationship Type="http://schemas.openxmlformats.org/officeDocument/2006/relationships/theme" Target="/xl/theme/theme1.xml" Id="Rd90e84f8a3a041c3" /><Relationship Type="http://schemas.microsoft.com/office/2022/11/relationships/FeaturePropertyBag" Target="/xl/featurePropertyBag/featurePropertyBag.xml" Id="Rc84dbd3432964943" /><Relationship Type="http://schemas.openxmlformats.org/officeDocument/2006/relationships/sharedStrings" Target="/xl/sharedStrings.xml" Id="Rc51bb5b491b94ecb" /><Relationship Type="http://schemas.openxmlformats.org/officeDocument/2006/relationships/worksheet" Target="/xl/worksheets/sheet1.xml" Id="R1e6f745be6da491b" /><Relationship Type="http://schemas.openxmlformats.org/officeDocument/2006/relationships/worksheet" Target="/xl/worksheets/sheet2.xml" Id="R74531ab3243e4ba1" /><Relationship Type="http://schemas.openxmlformats.org/officeDocument/2006/relationships/worksheet" Target="/xl/worksheets/sheet3.xml" Id="R42738805c9ad4a5c" /><Relationship Type="http://schemas.openxmlformats.org/officeDocument/2006/relationships/worksheet" Target="/xl/worksheets/sheet4.xml" Id="R8b38caacab334355" /><Relationship Type="http://schemas.openxmlformats.org/officeDocument/2006/relationships/worksheet" Target="/xl/worksheets/sheet5.xml" Id="R931f153d0249467a" /><Relationship Type="http://schemas.openxmlformats.org/officeDocument/2006/relationships/worksheet" Target="/xl/worksheets/sheet6.xml" Id="R6d566fa61ddf48fb" /><Relationship Type="http://schemas.openxmlformats.org/officeDocument/2006/relationships/worksheet" Target="/xl/worksheets/sheet7.xml" Id="R847e28fdb79d4977" /><Relationship Type="http://schemas.openxmlformats.org/officeDocument/2006/relationships/worksheet" Target="/xl/worksheets/sheet8.xml" Id="R4fb4887ed788467d" /><Relationship Type="http://schemas.openxmlformats.org/officeDocument/2006/relationships/worksheet" Target="/xl/worksheets/sheet9.xml" Id="R294d1218af364727" /><Relationship Type="http://schemas.openxmlformats.org/officeDocument/2006/relationships/worksheet" Target="/xl/worksheets/sheet10.xml" Id="R2c4acdde3c0a4084" /><Relationship Type="http://schemas.openxmlformats.org/officeDocument/2006/relationships/worksheet" Target="/xl/worksheets/sheet11.xml" Id="R247c05dc996047e9" /><Relationship Type="http://schemas.openxmlformats.org/officeDocument/2006/relationships/worksheet" Target="/xl/worksheets/sheet12.xml" Id="R2515a98c88b0460e" /><Relationship Type="http://schemas.openxmlformats.org/officeDocument/2006/relationships/worksheet" Target="/xl/worksheets/sheet13.xml" Id="R387abcdfe9204e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50cddee8e43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9b408037f0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25c45f42949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0f1cf9fe6d40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ca5de938a64d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0b0998cff040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7f1afa4c134c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108bf8ef1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3904d02efc48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4ea7738417240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RUN-I2-030-20260827T192751650289Z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32098.646875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RUN-I2-030-20260827T192751650289Z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650cddee8e43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b408037f044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RUN-I2-030-20260827T192751650289Z</x:v>
      </x:c>
      <x:c r="C5" s="69" t="str">
        <x:v>I2-030</x:v>
      </x:c>
      <x:c r="D5" s="70" t="n">
        <x:v>46261.811014479164</x:v>
      </x:c>
      <x:c r="E5" s="70" t="n">
        <x:v>46261.814002060186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Prior instructions remain valid. Repair the applicability and evidence logic: bind the required calculation case to the linked localFrameSectionCalculationCase/member relationship rather than using an unbound ?calculationCase that searches globally. The current local-frame SPARQL also checks only interpolation endpoints, omits the required plasticNeutralAxisHeight result, and its NOT EXISTS condition can produce accidental passes or failures. Encode the area-exceeds condition and 20&lt;framingAngleOmega&lt;70 branch against the linked member and plating, and require the linked calculation case to contain both interpolation endpoints with their coordinate/result values and the conditional plasticNeutralAxisHeight evidence when applicable. The CalculationCaseShape SPARQL is inverted: it selects cases that already have endpoints instead of selecting applicable cases missing required evidence; make it a violation query or replace it with bounded conditional SHACL structure. Do not make interpolation endpoints unconditionally mandatory for non-oblique or non-area-exceeding cases. Require declared relationship paths where the contract requires them, including the ship-to-calculationCase and structuralMember-to-localFrameSectionCalculationCase links, without relocating properties from their authoritative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25c45f42949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RUN-I2-030-20260827T192751650289Z</x:v>
      </x:c>
      <x:c r="B5" s="45" t="str">
        <x:v>I2-030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COMPLEX_READINESS required input(s) absent from candidate: webAngleToShellPlate
Semantic validator feedback: Add the required canonical property nltl:webAngleToShellPlate to the structuralMember readiness structure, with its declared xsd:decimal quantity value and DEG unit. This operand is mandatory under the COMPLETE COMPLEX_READINESS dependency contract and is currently absent; do not omit it merely because the source formula is informational.</x:v>
      </x:c>
      <x:c r="I5" s="84" t="n">
        <x:v>76158.139</x:v>
      </x:c>
      <x:c r="J5" s="84" t="n">
        <x:v>12759.56</x:v>
      </x:c>
    </x:row>
    <x:row r="6">
      <x:c r="A6" s="47" t="str">
        <x:v>RUN-I2-030-20260827T192751650289Z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Prior instruction remains satisfied: nltl:webAngleToShellPlate is present on the structural-member readiness structure with DEG quantity constraints. Reject because sectionCalculationCaseStructuralMember is incorrectly placed on gen:CalculationCaseShape even though its authoritative requiredOwner is localFrameSectionCalculationCase; remove that misplaced duplicate and encode the declared owner/path without relocating the property to calculationCase. Also encode the COMPLETE contract's applicability faithfully: the area-exceeds-attached-flange condition and the conditional oblique-angle applicability (20&lt;Omega&lt;70) must not be approximated by unconditional minCount 1 interpolation endpoints. Make interpolation evidence conditional on the angle branch, and include the required applicability selector/comparison or equivalent bounded readiness structure; do not make mutually conditional interpolation alternatives conjunctively mandatory.</x:v>
      </x:c>
      <x:c r="I6" s="86" t="n">
        <x:v>49651.665</x:v>
      </x:c>
      <x:c r="J6" s="86" t="n">
        <x:v>15727.326</x:v>
      </x:c>
    </x:row>
    <x:row r="7">
      <x:c r="A7" s="47" t="str">
        <x:v>RUN-I2-030-20260827T192751650289Z</x:v>
      </x:c>
      <x:c r="B7" s="47" t="str">
        <x:v>I2-030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Prior instructions remain valid: webAngleToShellPlate is present on StructuralMemberShape, and sectionCalculationCaseStructuralMember is correctly owned by LocalFrameSectionCalculationCase. Repair the remaining semantic defects: move netEffectivePlasticSectionModulus from CalculationCaseShape to StructuralMemberShape, where its authoritative owner is structuralMember, and require it there. Do not make interpolationLowerEndpoint and interpolationUpperEndpoint unconditionally mandatory; encode their presence only for the 20&lt;framingAngleOmega&lt;70 branch with explicit applicability evidence, while preserving the area-exceeds condition for the z_na result. The current ship-level SPARQL joins unrelated members, local cases, and calculation cases, so bind each applicability check to the declared case/member relationships and prevent cross-product or accidental-pass logic. Ensure both declared result terms, plasticNeutralAxisHeight and netEffectivePlasticSectionModulus, are represented at their authoritative owners; retain conditional checking for plasticNeutralAxisHeight rather than requiring it for non-area-exceeding cases.</x:v>
      </x:c>
      <x:c r="I7" s="86" t="n">
        <x:v>39429.862</x:v>
      </x:c>
      <x:c r="J7" s="86" t="n">
        <x:v>15556.917</x:v>
      </x:c>
    </x:row>
    <x:row r="8">
      <x:c r="A8" s="49" t="str">
        <x:v>RUN-I2-030-20260827T192751650289Z</x:v>
      </x:c>
      <x:c r="B8" s="49" t="str">
        <x:v>I2-030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Prior instructions remain valid. Repair the applicability and evidence logic: bind the required calculation case to the linked localFrameSectionCalculationCase/member relationship rather than using an unbound ?calculationCase that searches globally. The current local-frame SPARQL also checks only interpolation endpoints, omits the required plasticNeutralAxisHeight result, and its NOT EXISTS condition can produce accidental passes or failures. Encode the area-exceeds condition and 20&lt;framingAngleOmega&lt;70 branch against the linked member and plating, and require the linked calculation case to contain both interpolation endpoints with their coordinate/result values and the conditional plasticNeutralAxisHeight evidence when applicable. The CalculationCaseShape SPARQL is inverted: it selects cases that already have endpoints instead of selecting applicable cases missing required evidence; make it a violation query or replace it with bounded conditional SHACL structure. Do not make interpolation endpoints unconditionally mandatory for non-oblique or non-area-exceeding cases. Require declared relationship paths where the contract requires them, including the ship-to-calculationCase and structuralMember-to-localFrameSectionCalculationCase links, without relocating properties from their authoritative owners.</x:v>
      </x:c>
      <x:c r="I8" s="88" t="n">
        <x:v>36958.204</x:v>
      </x:c>
      <x:c r="J8" s="88" t="n">
        <x:v>10553.422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f1cf9fe6d40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RUN-I2-030-20260827T192751650289Z</x:v>
      </x:c>
      <x:c r="C5" s="45" t="str">
        <x:v>I2-030</x:v>
      </x:c>
      <x:c r="D5" s="92" t="n">
        <x:v>46261.811895949075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76156.468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RUN-I2-030-20260827T192751650289Z</x:v>
      </x:c>
      <x:c r="C6" s="47" t="str">
        <x:v>I2-030</x:v>
      </x:c>
      <x:c r="D6" s="93" t="n">
        <x:v>46261.81189596065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76158.139</x:v>
      </x:c>
      <x:c r="L6" s="85" t="b">
        <x:v>0</x:v>
      </x:c>
      <x:c r="M6" s="47" t="str">
        <x:v>resp_0b13da569e70ca07006a908fb8c00081948728c38414e9c821</x:v>
      </x:c>
      <x:c r="N6" s="59" t="n">
        <x:v>15728</x:v>
      </x:c>
      <x:c r="O6" s="59" t="n">
        <x:v>3750</x:v>
      </x:c>
      <x:c r="P6" s="59" t="n">
        <x:v>19478</x:v>
      </x:c>
    </x:row>
    <x:row r="7">
      <x:c r="A7" s="47" t="str">
        <x:v>EVT-000047</x:v>
      </x:c>
      <x:c r="B7" s="47" t="str">
        <x:v>RUN-I2-030-20260827T192751650289Z</x:v>
      </x:c>
      <x:c r="C7" s="47" t="str">
        <x:v>I2-030</x:v>
      </x:c>
      <x:c r="D7" s="93" t="n">
        <x:v>46261.81204655093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12758.063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RUN-I2-030-20260827T192751650289Z</x:v>
      </x:c>
      <x:c r="C8" s="47" t="str">
        <x:v>I2-030</x:v>
      </x:c>
      <x:c r="D8" s="93" t="n">
        <x:v>46261.81204657407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12759.56</x:v>
      </x:c>
      <x:c r="L8" s="85" t="b">
        <x:v>0</x:v>
      </x:c>
      <x:c r="M8" s="47" t="str">
        <x:v>resp_035f481a95bbd7f9006a9090043d048195a2b5eb15c892f7ad</x:v>
      </x:c>
      <x:c r="N8" s="59" t="n">
        <x:v>18524</x:v>
      </x:c>
      <x:c r="O8" s="59" t="n">
        <x:v>997</x:v>
      </x:c>
      <x:c r="P8" s="59" t="n">
        <x:v>19521</x:v>
      </x:c>
    </x:row>
    <x:row r="9">
      <x:c r="A9" s="47" t="str">
        <x:v>EVT-000053</x:v>
      </x:c>
      <x:c r="B9" s="47" t="str">
        <x:v>RUN-I2-030-20260827T192751650289Z</x:v>
      </x:c>
      <x:c r="C9" s="47" t="str">
        <x:v>I2-030</x:v>
      </x:c>
      <x:c r="D9" s="93" t="n">
        <x:v>46261.81262128472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49650.098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RUN-I2-030-20260827T192751650289Z</x:v>
      </x:c>
      <x:c r="C10" s="47" t="str">
        <x:v>I2-030</x:v>
      </x:c>
      <x:c r="D10" s="93" t="n">
        <x:v>46261.81262130787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49651.665</x:v>
      </x:c>
      <x:c r="L10" s="85" t="b">
        <x:v>0</x:v>
      </x:c>
      <x:c r="M10" s="47" t="str">
        <x:v>resp_0830abeafff17494006a90901111cc8195b307f9f04f726232</x:v>
      </x:c>
      <x:c r="N10" s="59" t="n">
        <x:v>15822</x:v>
      </x:c>
      <x:c r="O10" s="59" t="n">
        <x:v>3661</x:v>
      </x:c>
      <x:c r="P10" s="59" t="n">
        <x:v>19483</x:v>
      </x:c>
    </x:row>
    <x:row r="11">
      <x:c r="A11" s="47" t="str">
        <x:v>EVT-000061</x:v>
      </x:c>
      <x:c r="B11" s="47" t="str">
        <x:v>RUN-I2-030-20260827T192751650289Z</x:v>
      </x:c>
      <x:c r="C11" s="47" t="str">
        <x:v>I2-030</x:v>
      </x:c>
      <x:c r="D11" s="93" t="n">
        <x:v>46261.81280734954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15725.804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RUN-I2-030-20260827T192751650289Z</x:v>
      </x:c>
      <x:c r="C12" s="47" t="str">
        <x:v>I2-030</x:v>
      </x:c>
      <x:c r="D12" s="93" t="n">
        <x:v>46261.812807372684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15727.326</x:v>
      </x:c>
      <x:c r="L12" s="85" t="b">
        <x:v>0</x:v>
      </x:c>
      <x:c r="M12" s="47" t="str">
        <x:v>resp_09a0304129390f2c006a90904357588196b84225176579f224</x:v>
      </x:c>
      <x:c r="N12" s="59" t="n">
        <x:v>18416</x:v>
      </x:c>
      <x:c r="O12" s="59" t="n">
        <x:v>1208</x:v>
      </x:c>
      <x:c r="P12" s="59" t="n">
        <x:v>19624</x:v>
      </x:c>
    </x:row>
    <x:row r="13">
      <x:c r="A13" s="47" t="str">
        <x:v>EVT-000067</x:v>
      </x:c>
      <x:c r="B13" s="47" t="str">
        <x:v>RUN-I2-030-20260827T192751650289Z</x:v>
      </x:c>
      <x:c r="C13" s="47" t="str">
        <x:v>I2-030</x:v>
      </x:c>
      <x:c r="D13" s="93" t="n">
        <x:v>46261.8132637963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39428.849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RUN-I2-030-20260827T192751650289Z</x:v>
      </x:c>
      <x:c r="C14" s="47" t="str">
        <x:v>I2-030</x:v>
      </x:c>
      <x:c r="D14" s="93" t="n">
        <x:v>46261.81326380787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39429.862</x:v>
      </x:c>
      <x:c r="L14" s="85" t="b">
        <x:v>0</x:v>
      </x:c>
      <x:c r="M14" s="47" t="str">
        <x:v>resp_0b9c534871c5aad1006a909052bc48819089068cbadb73c158</x:v>
      </x:c>
      <x:c r="N14" s="59" t="n">
        <x:v>15979</x:v>
      </x:c>
      <x:c r="O14" s="59" t="n">
        <x:v>4843</x:v>
      </x:c>
      <x:c r="P14" s="59" t="n">
        <x:v>20822</x:v>
      </x:c>
    </x:row>
    <x:row r="15">
      <x:c r="A15" s="47" t="str">
        <x:v>EVT-000075</x:v>
      </x:c>
      <x:c r="B15" s="47" t="str">
        <x:v>RUN-I2-030-20260827T192751650289Z</x:v>
      </x:c>
      <x:c r="C15" s="47" t="str">
        <x:v>I2-030</x:v>
      </x:c>
      <x:c r="D15" s="93" t="n">
        <x:v>46261.81344856481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15555.392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RUN-I2-030-20260827T192751650289Z</x:v>
      </x:c>
      <x:c r="C16" s="47" t="str">
        <x:v>I2-030</x:v>
      </x:c>
      <x:c r="D16" s="93" t="n">
        <x:v>46261.813448587964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15556.917</x:v>
      </x:c>
      <x:c r="L16" s="85" t="b">
        <x:v>0</x:v>
      </x:c>
      <x:c r="M16" s="47" t="str">
        <x:v>resp_0d9e7487999ce0de006a90907a938c8196b19ae334f8aeb1ac</x:v>
      </x:c>
      <x:c r="N16" s="59" t="n">
        <x:v>19891</x:v>
      </x:c>
      <x:c r="O16" s="59" t="n">
        <x:v>1254</x:v>
      </x:c>
      <x:c r="P16" s="59" t="n">
        <x:v>21145</x:v>
      </x:c>
    </x:row>
    <x:row r="17">
      <x:c r="A17" s="47" t="str">
        <x:v>EVT-000081</x:v>
      </x:c>
      <x:c r="B17" s="47" t="str">
        <x:v>RUN-I2-030-20260827T192751650289Z</x:v>
      </x:c>
      <x:c r="C17" s="47" t="str">
        <x:v>I2-030</x:v>
      </x:c>
      <x:c r="D17" s="93" t="n">
        <x:v>46261.813876388886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36956.574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RUN-I2-030-20260827T192751650289Z</x:v>
      </x:c>
      <x:c r="C18" s="47" t="str">
        <x:v>I2-030</x:v>
      </x:c>
      <x:c r="D18" s="93" t="n">
        <x:v>46261.81387641204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36958.204</x:v>
      </x:c>
      <x:c r="L18" s="85" t="b">
        <x:v>0</x:v>
      </x:c>
      <x:c r="M18" s="47" t="str">
        <x:v>resp_0dbf25b671c67d66006a90908a225c8196bb7dc19c7623b393</x:v>
      </x:c>
      <x:c r="N18" s="59" t="n">
        <x:v>16182</x:v>
      </x:c>
      <x:c r="O18" s="59" t="n">
        <x:v>4368</x:v>
      </x:c>
      <x:c r="P18" s="59" t="n">
        <x:v>20550</x:v>
      </x:c>
    </x:row>
    <x:row r="19">
      <x:c r="A19" s="47" t="str">
        <x:v>EVT-000089</x:v>
      </x:c>
      <x:c r="B19" s="47" t="str">
        <x:v>RUN-I2-030-20260827T192751650289Z</x:v>
      </x:c>
      <x:c r="C19" s="47" t="str">
        <x:v>I2-030</x:v>
      </x:c>
      <x:c r="D19" s="93" t="n">
        <x:v>46261.814001990744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10552.007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RUN-I2-030-20260827T192751650289Z</x:v>
      </x:c>
      <x:c r="C20" s="49" t="str">
        <x:v>I2-030</x:v>
      </x:c>
      <x:c r="D20" s="94" t="n">
        <x:v>46261.81400201389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10553.422</x:v>
      </x:c>
      <x:c r="L20" s="87" t="b">
        <x:v>0</x:v>
      </x:c>
      <x:c r="M20" s="49" t="str">
        <x:v>resp_0f6d518a72f3677c006a9090af5d708193a68916231709f3a3</x:v>
      </x:c>
      <x:c r="N20" s="60" t="n">
        <x:v>19591</x:v>
      </x:c>
      <x:c r="O20" s="60" t="n">
        <x:v>761</x:v>
      </x:c>
      <x:c r="P20" s="60" t="n">
        <x:v>20352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a5de938a64d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RUN-I2-030-20260827T192751650289Z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RUN-I2-030-20260827T192751650289Z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RUN-I2-030-20260827T192751650289Z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RUN-I2-030-20260827T192751650289Z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RUN-I2-030-20260827T192751650289Z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RUN-I2-030-20260827T192751650289Z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RUN-I2-030-20260827T192751650289Z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RUN-I2-030-20260827T192751650289Z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RUN-I2-030-20260827T192751650289Z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RUN-I2-030-20260827T192751650289Z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RUN-I2-030-20260827T192751650289Z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RUN-I2-030-20260827T192751650289Z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RUN-I2-030-20260827T192751650289Z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RUN-I2-030-20260827T192751650289Z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RUN-I2-030-20260827T192751650289Z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RUN-I2-030-20260827T192751650289Z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RUN-I2-030-20260827T192751650289Z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RUN-I2-030-20260827T192751650289Z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RUN-I2-030-20260827T192751650289Z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RUN-I2-030-20260827T192751650289Z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RUN-I2-030-20260827T192751650289Z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RUN-I2-030-20260827T192751650289Z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RUN-I2-030-20260827T192751650289Z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RUN-I2-030-20260827T192751650289Z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RUN-I2-030-20260827T192751650289Z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RUN-I2-030-20260827T192751650289Z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RUN-I2-030-20260827T192751650289Z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RUN-I2-030-20260827T192751650289Z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RUN-I2-030-20260827T192751650289Z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RUN-I2-030-20260827T192751650289Z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RUN-I2-030-20260827T192751650289Z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0b0998cff040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RUN-I2-030-20260827T192751650289Z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RUN-I2-030-20260827T192751650289Z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RUN-I2-030-20260827T192751650289Z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f1afa4c134c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RUN-I2-030-20260827T192751650289Z</x:v>
      </x:c>
      <x:c r="B5" s="45" t="str">
        <x:v>I2-030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required input(s) absent from candidate: webAngleToShellPlate</x:v>
      </x:c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RUN-I2-030-20260827T192751650289Z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7" t="str">
        <x:v>RUN-I2-030-20260827T192751650289Z</x:v>
      </x:c>
      <x:c r="B7" s="47" t="str">
        <x:v>I2-030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48" t="str"/>
      <x:c r="P7" s="48" t="str"/>
      <x:c r="Q7" s="48" t="str"/>
    </x:row>
    <x:row r="8">
      <x:c r="A8" s="49" t="str">
        <x:v>RUN-I2-030-20260827T192751650289Z</x:v>
      </x:c>
      <x:c r="B8" s="49" t="str">
        <x:v>I2-030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0b108bf8ef144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RUN-I2-030-20260827T192751650289Z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RUN-I2-030-20260827T192751650289Z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RUN-I2-030-20260827T192751650289Z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RUN-I2-030-20260827T192751650289Z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RUN-I2-030-20260827T192751650289Z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RUN-I2-030-20260827T192751650289Z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27baf5232955610b72ac53351d72bc3a085d3cc52f665ada1a2f488233393fa6</x:v>
      </x:c>
      <x:c r="G8" s="59" t="n">
        <x:v>7269</x:v>
      </x:c>
    </x:row>
    <x:row r="9">
      <x:c r="A9" s="47" t="str">
        <x:v>RUN-I2-030-20260827T192751650289Z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d72d2769c4d2b79a7036ffe78ecd059d48d9f443c0a7306d80bac3ae61e6891d</x:v>
      </x:c>
      <x:c r="G9" s="59" t="n">
        <x:v>7244</x:v>
      </x:c>
    </x:row>
    <x:row r="10">
      <x:c r="A10" s="47" t="str">
        <x:v>RUN-I2-030-20260827T192751650289Z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8ee5b28f3cbe1053c65e03cb4cd633527285c712e457f9804ccdd6253c229e46</x:v>
      </x:c>
      <x:c r="G10" s="59" t="n">
        <x:v>1930</x:v>
      </x:c>
    </x:row>
    <x:row r="11">
      <x:c r="A11" s="47" t="str">
        <x:v>RUN-I2-030-20260827T192751650289Z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6edb66b24fa428ceafe3c190292fe5ba617c3f7b66dcb1892d52a342204c5bfc</x:v>
      </x:c>
      <x:c r="G11" s="59" t="n">
        <x:v>69697</x:v>
      </x:c>
    </x:row>
    <x:row r="12">
      <x:c r="A12" s="47" t="str">
        <x:v>RUN-I2-030-20260827T192751650289Z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83810d6a21273ad5a13211dcc2f8548517a785fa5330ad6500ebca36d5bf6898</x:v>
      </x:c>
      <x:c r="G12" s="59" t="n">
        <x:v>404</x:v>
      </x:c>
    </x:row>
    <x:row r="13">
      <x:c r="A13" s="47" t="str">
        <x:v>RUN-I2-030-20260827T192751650289Z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816a9b578f88bccdc11a15ba902609698398eb2aaaee38e3ae804ae5e2ce5bba</x:v>
      </x:c>
      <x:c r="G13" s="59" t="n">
        <x:v>63310</x:v>
      </x:c>
    </x:row>
    <x:row r="14">
      <x:c r="A14" s="47" t="str">
        <x:v>RUN-I2-030-20260827T192751650289Z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bdd9c795985aaaac03ba34d8f8b6ddfc39cd8180e802eeb1a1ea8e50c8fe26c9</x:v>
      </x:c>
      <x:c r="G14" s="59" t="n">
        <x:v>6529</x:v>
      </x:c>
    </x:row>
    <x:row r="15">
      <x:c r="A15" s="47" t="str">
        <x:v>RUN-I2-030-20260827T192751650289Z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604bd49aa4e05d2a4c8285cc7f935897b1b5a209dcdb5b9fcc335d33c36b0cf3</x:v>
      </x:c>
      <x:c r="G15" s="59" t="n">
        <x:v>6504</x:v>
      </x:c>
    </x:row>
    <x:row r="16">
      <x:c r="A16" s="47" t="str">
        <x:v>RUN-I2-030-20260827T192751650289Z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ebf66be81cd6a7f060522b62123c53f47d540206dc7d3553733c47615923c939</x:v>
      </x:c>
      <x:c r="G16" s="59" t="n">
        <x:v>1841</x:v>
      </x:c>
    </x:row>
    <x:row r="17">
      <x:c r="A17" s="47" t="str">
        <x:v>RUN-I2-030-20260827T192751650289Z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a1cddb95c1d0c8bbb4ed234dd0f3478c24423848efe189b40cf81b99f450d691</x:v>
      </x:c>
      <x:c r="G17" s="59" t="n">
        <x:v>69460</x:v>
      </x:c>
    </x:row>
    <x:row r="18">
      <x:c r="A18" s="47" t="str">
        <x:v>RUN-I2-030-20260827T192751650289Z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91764128163c9dc421c83e8c74c94f845f0026d9d7f4848b2822cdc4d8d6c279</x:v>
      </x:c>
      <x:c r="G18" s="59" t="n">
        <x:v>1010</x:v>
      </x:c>
    </x:row>
    <x:row r="19">
      <x:c r="A19" s="47" t="str">
        <x:v>RUN-I2-030-20260827T192751650289Z</x:v>
      </x:c>
      <x:c r="B19" s="47" t="str">
        <x:v>I2-030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e451e58c6f1a7d3b942890daca36c2a277e65a66cc26d24bb1d36b4356106c76</x:v>
      </x:c>
      <x:c r="G19" s="59" t="n">
        <x:v>64263</x:v>
      </x:c>
    </x:row>
    <x:row r="20">
      <x:c r="A20" s="47" t="str">
        <x:v>RUN-I2-030-20260827T192751650289Z</x:v>
      </x:c>
      <x:c r="B20" s="47" t="str">
        <x:v>I2-030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905b867a9c991bf32fb9ccc93914a8a929ca5908e9b68cf20261f01854daa720</x:v>
      </x:c>
      <x:c r="G20" s="59" t="n">
        <x:v>11014</x:v>
      </x:c>
    </x:row>
    <x:row r="21">
      <x:c r="A21" s="47" t="str">
        <x:v>RUN-I2-030-20260827T192751650289Z</x:v>
      </x:c>
      <x:c r="B21" s="47" t="str">
        <x:v>I2-030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c4ee42af7b60ccbfaa69e3d57fdbb1143d193d6b6b25c871be9722fad823bed4</x:v>
      </x:c>
      <x:c r="G21" s="59" t="n">
        <x:v>10989</x:v>
      </x:c>
    </x:row>
    <x:row r="22">
      <x:c r="A22" s="47" t="str">
        <x:v>RUN-I2-030-20260827T192751650289Z</x:v>
      </x:c>
      <x:c r="B22" s="47" t="str">
        <x:v>I2-030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e5c2bf67e8a2a8844b8cb06fe3d495640ca3d522f303672fae43deecc1fc864b</x:v>
      </x:c>
      <x:c r="G22" s="59" t="n">
        <x:v>1896</x:v>
      </x:c>
    </x:row>
    <x:row r="23">
      <x:c r="A23" s="47" t="str">
        <x:v>RUN-I2-030-20260827T192751650289Z</x:v>
      </x:c>
      <x:c r="B23" s="47" t="str">
        <x:v>I2-030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ddd7a9ca86957e94479ccb2344ec8424771cc42bc843debdc82a2d2603fa1e9c</x:v>
      </x:c>
      <x:c r="G23" s="59" t="n">
        <x:v>75419</x:v>
      </x:c>
    </x:row>
    <x:row r="24">
      <x:c r="A24" s="47" t="str">
        <x:v>RUN-I2-030-20260827T192751650289Z</x:v>
      </x:c>
      <x:c r="B24" s="47" t="str">
        <x:v>I2-030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13bc0b9c60a4fd50ca6900f85dc6ffb1e983199e9284286868291949abea096c</x:v>
      </x:c>
      <x:c r="G24" s="59" t="n">
        <x:v>1198</x:v>
      </x:c>
    </x:row>
    <x:row r="25">
      <x:c r="A25" s="47" t="str">
        <x:v>RUN-I2-030-20260827T192751650289Z</x:v>
      </x:c>
      <x:c r="B25" s="47" t="str">
        <x:v>I2-030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70ebd0b8e02501533d85600cd6a60b606266a451e034955a2e8a9ef8f6b39ec5</x:v>
      </x:c>
      <x:c r="G25" s="59" t="n">
        <x:v>65404</x:v>
      </x:c>
    </x:row>
    <x:row r="26">
      <x:c r="A26" s="47" t="str">
        <x:v>RUN-I2-030-20260827T192751650289Z</x:v>
      </x:c>
      <x:c r="B26" s="47" t="str">
        <x:v>I2-030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2ad107eeb02cb3498f3bb3464842303c0155f9a3bb37f85986883bbe364fa25b</x:v>
      </x:c>
      <x:c r="G26" s="59" t="n">
        <x:v>9495</x:v>
      </x:c>
    </x:row>
    <x:row r="27">
      <x:c r="A27" s="47" t="str">
        <x:v>RUN-I2-030-20260827T192751650289Z</x:v>
      </x:c>
      <x:c r="B27" s="47" t="str">
        <x:v>I2-030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ef932be2aa7f8e97b07aace0813f9447d508c5cf35f71b25f54f0c787c026d3b</x:v>
      </x:c>
      <x:c r="G27" s="59" t="n">
        <x:v>9470</x:v>
      </x:c>
    </x:row>
    <x:row r="28">
      <x:c r="A28" s="47" t="str">
        <x:v>RUN-I2-030-20260827T192751650289Z</x:v>
      </x:c>
      <x:c r="B28" s="47" t="str">
        <x:v>I2-030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e5c2bf67e8a2a8844b8cb06fe3d495640ca3d522f303672fae43deecc1fc864b</x:v>
      </x:c>
      <x:c r="G28" s="59" t="n">
        <x:v>1896</x:v>
      </x:c>
    </x:row>
    <x:row r="29">
      <x:c r="A29" s="47" t="str">
        <x:v>RUN-I2-030-20260827T192751650289Z</x:v>
      </x:c>
      <x:c r="B29" s="47" t="str">
        <x:v>I2-030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62940093c73d4f6f0ddff47a7fb075852bff38d9cac1a06afb0bd7373abe3ac1</x:v>
      </x:c>
      <x:c r="G29" s="59" t="n">
        <x:v>74946</x:v>
      </x:c>
    </x:row>
    <x:row r="30">
      <x:c r="A30" s="49" t="str">
        <x:v>RUN-I2-030-20260827T192751650289Z</x:v>
      </x:c>
      <x:c r="B30" s="49" t="str">
        <x:v>I2-030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9f14e02bf03d561bdf8f135a44156f2cceabc8c623fc345db68ec77fd3eb0fc7</x:v>
      </x:c>
      <x:c r="G30" s="60" t="n">
        <x:v>1384</x:v>
      </x:c>
    </x:row>
  </x:sheetData>
  <x:pageMargins left="0.7" right="0.7" top="0.75" bottom="0.75" header="0.3" footer="0.3"/>
  <x:tableParts count="1">
    <x:tablePart xmlns:r="http://schemas.openxmlformats.org/officeDocument/2006/relationships" r:id="R1f3904d02efc48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RUN-I2-030-20260827T192751650289Z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RUN-I2-030-20260827T192751650289Z</x:v>
      </x:c>
      <x:c r="B5" s="69" t="str">
        <x:v>I2-030</x:v>
      </x:c>
      <x:c r="C5" s="71" t="n">
        <x:v>4</x:v>
      </x:c>
      <x:c r="D5" s="69" t="str">
        <x:v>MAX_ATTEMPTS_REACHED</x:v>
      </x:c>
      <x:c r="E5" s="73" t="str">
        <x:v>Prior instructions remain valid. Repair the applicability and evidence logic: bind the required calculation case to the linked localFrameSectionCalculationCase/member relationship rather than using an unbound ?calculationCase that searches globally. The current local-frame SPARQL also checks only interpolation endpoints, omits the required plasticNeutralAxisHeight result, and its NOT EXISTS condition can produce accidental passes or failures. Encode the area-exceeds condition and 20&lt;framingAngleOmega&lt;70 branch against the linked member and plating, and require the linked calculation case to contain both interpolation endpoints with their coordinate/result values and the conditional plasticNeutralAxisHeight evidence when applicable. The CalculationCaseShape SPARQL is inverted: it selects cases that already have endpoints instead of selecting applicable cases missing required evidence; make it a violation query or replace it with bounded conditional SHACL structure. Do not make interpolation endpoints unconditionally mandatory for non-oblique or non-area-exceeding cases. Require declared relationship paths where the contract requires them, including the ship-to-calculationCase and structuralMember-to-localFrameSectionCalculationCase links, without relocating properties from their authoritative owners.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a7738417240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RUN-I2-030-20260827T192751650289Z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