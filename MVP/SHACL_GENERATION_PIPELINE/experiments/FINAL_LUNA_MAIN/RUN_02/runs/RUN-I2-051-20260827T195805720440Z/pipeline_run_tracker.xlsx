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1d20174e8343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fe1ccfd45294412"/>
    <x:sheet xmlns:r="http://schemas.openxmlformats.org/officeDocument/2006/relationships" name="README" sheetId="2" r:id="R88d44bbe02504c30"/>
    <x:sheet xmlns:r="http://schemas.openxmlformats.org/officeDocument/2006/relationships" name="REGULATION_QUEUE" sheetId="3" r:id="Ra74439491f534382"/>
    <x:sheet xmlns:r="http://schemas.openxmlformats.org/officeDocument/2006/relationships" name="RUNS" sheetId="4" r:id="R9c5d5ef06edd4aeb"/>
    <x:sheet xmlns:r="http://schemas.openxmlformats.org/officeDocument/2006/relationships" name="ITERATIONS" sheetId="5" r:id="R038f8d1ec90e4fc9"/>
    <x:sheet xmlns:r="http://schemas.openxmlformats.org/officeDocument/2006/relationships" name="API_CALLS" sheetId="6" r:id="Rc42c431f082d44d8"/>
    <x:sheet xmlns:r="http://schemas.openxmlformats.org/officeDocument/2006/relationships" name="TERM_RETRIEVAL" sheetId="7" r:id="Rf1f086f3374341f2"/>
    <x:sheet xmlns:r="http://schemas.openxmlformats.org/officeDocument/2006/relationships" name="FEW_SHOT_SELECTION" sheetId="8" r:id="Rec7bacc3af5e4ca4"/>
    <x:sheet xmlns:r="http://schemas.openxmlformats.org/officeDocument/2006/relationships" name="VALIDATION" sheetId="9" r:id="R9a94ad71885943ce"/>
    <x:sheet xmlns:r="http://schemas.openxmlformats.org/officeDocument/2006/relationships" name="VOCAB_MATCHES" sheetId="10" r:id="R5e25eadd93194ec6"/>
    <x:sheet xmlns:r="http://schemas.openxmlformats.org/officeDocument/2006/relationships" name="ARTIFACTS" sheetId="11" r:id="Rcc51edae6c2c4eb0"/>
    <x:sheet xmlns:r="http://schemas.openxmlformats.org/officeDocument/2006/relationships" name="UNRESOLVED" sheetId="12" r:id="R5efe07429a3543bf"/>
    <x:sheet xmlns:r="http://schemas.openxmlformats.org/officeDocument/2006/relationships" name="RDF_TEST_QUEUE" sheetId="13" r:id="R28038d4aea5d4b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c50d1a13c34af1" /><Relationship Type="http://schemas.openxmlformats.org/officeDocument/2006/relationships/theme" Target="/xl/theme/theme1.xml" Id="Refc572cd2df84cb9" /><Relationship Type="http://schemas.microsoft.com/office/2022/11/relationships/FeaturePropertyBag" Target="/xl/featurePropertyBag/featurePropertyBag.xml" Id="R334826a109894e3a" /><Relationship Type="http://schemas.openxmlformats.org/officeDocument/2006/relationships/sharedStrings" Target="/xl/sharedStrings.xml" Id="R2357bff138484d1e" /><Relationship Type="http://schemas.openxmlformats.org/officeDocument/2006/relationships/worksheet" Target="/xl/worksheets/sheet1.xml" Id="R6fe1ccfd45294412" /><Relationship Type="http://schemas.openxmlformats.org/officeDocument/2006/relationships/worksheet" Target="/xl/worksheets/sheet2.xml" Id="R88d44bbe02504c30" /><Relationship Type="http://schemas.openxmlformats.org/officeDocument/2006/relationships/worksheet" Target="/xl/worksheets/sheet3.xml" Id="Ra74439491f534382" /><Relationship Type="http://schemas.openxmlformats.org/officeDocument/2006/relationships/worksheet" Target="/xl/worksheets/sheet4.xml" Id="R9c5d5ef06edd4aeb" /><Relationship Type="http://schemas.openxmlformats.org/officeDocument/2006/relationships/worksheet" Target="/xl/worksheets/sheet5.xml" Id="R038f8d1ec90e4fc9" /><Relationship Type="http://schemas.openxmlformats.org/officeDocument/2006/relationships/worksheet" Target="/xl/worksheets/sheet6.xml" Id="Rc42c431f082d44d8" /><Relationship Type="http://schemas.openxmlformats.org/officeDocument/2006/relationships/worksheet" Target="/xl/worksheets/sheet7.xml" Id="Rf1f086f3374341f2" /><Relationship Type="http://schemas.openxmlformats.org/officeDocument/2006/relationships/worksheet" Target="/xl/worksheets/sheet8.xml" Id="Rec7bacc3af5e4ca4" /><Relationship Type="http://schemas.openxmlformats.org/officeDocument/2006/relationships/worksheet" Target="/xl/worksheets/sheet9.xml" Id="R9a94ad71885943ce" /><Relationship Type="http://schemas.openxmlformats.org/officeDocument/2006/relationships/worksheet" Target="/xl/worksheets/sheet10.xml" Id="R5e25eadd93194ec6" /><Relationship Type="http://schemas.openxmlformats.org/officeDocument/2006/relationships/worksheet" Target="/xl/worksheets/sheet11.xml" Id="Rcc51edae6c2c4eb0" /><Relationship Type="http://schemas.openxmlformats.org/officeDocument/2006/relationships/worksheet" Target="/xl/worksheets/sheet12.xml" Id="R5efe07429a3543bf" /><Relationship Type="http://schemas.openxmlformats.org/officeDocument/2006/relationships/worksheet" Target="/xl/worksheets/sheet13.xml" Id="R28038d4aea5d4b3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0a636a85104f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4ba4cd4db24d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c758ea704041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ebb76f2a6a4a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a42397013e849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b18083100f476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2980e1d1804d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bd07135d73645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36cb1f81ab8457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a60b92f473a47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RUN-I2-051-20260827T195805720440Z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21663.838555555558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RUN-I2-051-20260827T195805720440Z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00a636a85104f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RUN-I2-051-20260827T195805720440Z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GENERATION_ACCEPTED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4ba4cd4db24de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RUN-I2-051-20260827T195805720440Z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RUN-I2-051-20260827T195805720440Z</x:v>
      </x:c>
      <x:c r="C5" s="69" t="str">
        <x:v>I2-051</x:v>
      </x:c>
      <x:c r="D5" s="70" t="n">
        <x:v>46261.832010659724</x:v>
      </x:c>
      <x:c r="E5" s="70" t="n">
        <x:v>46261.83427994213</x:v>
      </x:c>
      <x:c r="F5" s="69" t="str">
        <x:v>final-luna-main-run02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preserves the authoritative ship ownership, calculation-case relationship and direction constraint, quantity datatypes and units, positive-shear envelope alternatives, and the FI = Cf × FIB calculation with MN-to-kN conversion and tolerance-based comparison. The violation query correctly rejects invalid envelope cases as well as formula mismatches,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c758ea7040413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RUN-I2-051-20260827T195805720440Z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RUN-I2-051-20260827T195805720440Z</x:v>
      </x:c>
      <x:c r="B5" s="45" t="str">
        <x:v>I2-051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longitudinalDistributionFactor has authoritative requiredOwner ship, but the candidate places it on calculationCase and all formula/branch queries read it there. Keep the factor on the ship and reference that ship-owned value from the calculation-case checks without duplicating or relocating the property. Also encode shearForceDirection using a property shape with sh:hasValue nltl:positiveShearForce on the calculation case, rather than placing sh:hasValue on the nested node shape. Preserve the direct-calculation formula and bounded positive-shear alternatives after correcting these owner and value constraints.</x:v>
      </x:c>
      <x:c r="I5" s="84" t="n">
        <x:v>29749.454</x:v>
      </x:c>
      <x:c r="J5" s="84" t="n">
        <x:v>14143.223</x:v>
      </x:c>
    </x:row>
    <x:row r="6">
      <x:c r="A6" s="47" t="str">
        <x:v>RUN-I2-051-20260827T195805720440Z</x:v>
      </x:c>
      <x:c r="B6" s="47" t="str">
        <x:v>I2-051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the second duplicate sh:property for nltl:designVerticalIceForceAtBow that imposes sh:nodeKind sh:IRI. The canonical range only requires a qudt:QuantityValue and does not authorize an IRI-only restriction, which can incorrectly reject a valid blank-node quantity. Retain the prior valid corrections: longitudinalDistributionFactor must remain ship-owned and be referenced from the calculation-case formula, and shearForceDirection must use sh:hasValue nltl:positiveShearForce on the calculation-case property shape. Preserve the direct-calculation branch envelope and FI = Cf × FIB check with the declared unit conversion and tolerance.</x:v>
      </x:c>
      <x:c r="I6" s="86" t="n">
        <x:v>32657.26</x:v>
      </x:c>
      <x:c r="J6" s="86" t="n">
        <x:v>26804.88</x:v>
      </x:c>
    </x:row>
    <x:row r="7">
      <x:c r="A7" s="47" t="str">
        <x:v>RUN-I2-051-20260827T195805720440Z</x:v>
      </x:c>
      <x:c r="B7" s="47" t="str">
        <x:v>I2-051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prior owner and SHACL value-shape corrections: keep longitudinalDistributionFactor on the ship, reference that ship-owned value from the calculation-case checks, and constrain shearForceDirection with sh:hasValue nltl:positiveShearForce on the calculation-case property shape. Repair the SPARQL violation logic: it currently checks FI only when a valid Cf branch exists, so a case with an incorrect Cf or a position outside both specified intervals can pass because the query returns no row. For every supplied positive-shear calculation case, select a violation when the Cf/position envelope is not one of the two permitted alternatives, or when FI differs from Cf*FIB after the declared MN-to-kN conversion beyond the tolerance scaled from the expected result. Preserve explicit same-case pairing, the permitted gap between 0.6 and 0.9 LUI, and the existing direct-calculation structure.</x:v>
      </x:c>
      <x:c r="I7" s="86" t="n">
        <x:v>24876.423</x:v>
      </x:c>
      <x:c r="J7" s="86" t="n">
        <x:v>17417.455</x:v>
      </x:c>
    </x:row>
    <x:row r="8">
      <x:c r="A8" s="49" t="str">
        <x:v>RUN-I2-051-20260827T195805720440Z</x:v>
      </x:c>
      <x:c r="B8" s="49" t="str">
        <x:v>I2-051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Candidate faithfully preserves the authoritative ship ownership, calculation-case relationship and direction constraint, quantity datatypes and units, positive-shear envelope alternatives, and the FI = Cf × FIB calculation with MN-to-kN conversion and tolerance-based comparison. The violation query correctly rejects invalid envelope cases as well as formula mismatches, and deterministic validation is valid.</x:v>
      </x:c>
      <x:c r="I8" s="88" t="n">
        <x:v>21705.262</x:v>
      </x:c>
      <x:c r="J8" s="88" t="n">
        <x:v>17516.144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ebb76f2a6a4a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RUN-I2-051-20260827T195805720440Z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RUN-I2-051-20260827T195805720440Z</x:v>
      </x:c>
      <x:c r="C5" s="45" t="str">
        <x:v>I2-051</x:v>
      </x:c>
      <x:c r="D5" s="92" t="n">
        <x:v>46261.83235498842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29747.789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RUN-I2-051-20260827T195805720440Z</x:v>
      </x:c>
      <x:c r="C6" s="47" t="str">
        <x:v>I2-051</x:v>
      </x:c>
      <x:c r="D6" s="93" t="n">
        <x:v>46261.832355011575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29749.454</x:v>
      </x:c>
      <x:c r="L6" s="85" t="b">
        <x:v>0</x:v>
      </x:c>
      <x:c r="M6" s="47" t="str">
        <x:v>resp_076471c5f3554200006a9096cdd1c081979560dac65d05451d</x:v>
      </x:c>
      <x:c r="N6" s="59" t="n">
        <x:v>9384</x:v>
      </x:c>
      <x:c r="O6" s="59" t="n">
        <x:v>3587</x:v>
      </x:c>
      <x:c r="P6" s="59" t="n">
        <x:v>12971</x:v>
      </x:c>
    </x:row>
    <x:row r="7">
      <x:c r="A7" s="47" t="str">
        <x:v>EVT-000029</x:v>
      </x:c>
      <x:c r="B7" s="47" t="str">
        <x:v>RUN-I2-051-20260827T195805720440Z</x:v>
      </x:c>
      <x:c r="C7" s="47" t="str">
        <x:v>I2-051</x:v>
      </x:c>
      <x:c r="D7" s="93" t="n">
        <x:v>46261.832474710645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10109.795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RUN-I2-051-20260827T195805720440Z</x:v>
      </x:c>
      <x:c r="C8" s="47" t="str">
        <x:v>I2-051</x:v>
      </x:c>
      <x:c r="D8" s="93" t="n">
        <x:v>46261.832474710645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10110.471</x:v>
      </x:c>
      <x:c r="L8" s="85" t="b">
        <x:v>0</x:v>
      </x:c>
      <x:c r="M8" s="47" t="str">
        <x:v>resp_0e5be6c8b04328e8006a9096ebcd208194986d41ef17a33694</x:v>
      </x:c>
      <x:c r="N8" s="59" t="n">
        <x:v>3105</x:v>
      </x:c>
      <x:c r="O8" s="59" t="n">
        <x:v>1936</x:v>
      </x:c>
      <x:c r="P8" s="59" t="n">
        <x:v>5041</x:v>
      </x:c>
    </x:row>
    <x:row r="9">
      <x:c r="A9" s="47" t="str">
        <x:v>EVT-000038</x:v>
      </x:c>
      <x:c r="B9" s="47" t="str">
        <x:v>RUN-I2-051-20260827T195805720440Z</x:v>
      </x:c>
      <x:c r="C9" s="47" t="str">
        <x:v>I2-051</x:v>
      </x:c>
      <x:c r="D9" s="93" t="n">
        <x:v>46261.832640706016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14141.729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RUN-I2-051-20260827T195805720440Z</x:v>
      </x:c>
      <x:c r="C10" s="47" t="str">
        <x:v>I2-051</x:v>
      </x:c>
      <x:c r="D10" s="93" t="n">
        <x:v>46261.83264072917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14143.223</x:v>
      </x:c>
      <x:c r="L10" s="85" t="b">
        <x:v>0</x:v>
      </x:c>
      <x:c r="M10" s="47" t="str">
        <x:v>resp_0a8c9f8eda538c05006a9096f6219c819394bcff5df244deb7</x:v>
      </x:c>
      <x:c r="N10" s="59" t="n">
        <x:v>10274</x:v>
      </x:c>
      <x:c r="O10" s="59" t="n">
        <x:v>1169</x:v>
      </x:c>
      <x:c r="P10" s="59" t="n">
        <x:v>11443</x:v>
      </x:c>
    </x:row>
    <x:row r="11">
      <x:c r="A11" s="47" t="str">
        <x:v>EVT-000044</x:v>
      </x:c>
      <x:c r="B11" s="47" t="str">
        <x:v>RUN-I2-051-20260827T195805720440Z</x:v>
      </x:c>
      <x:c r="C11" s="47" t="str">
        <x:v>I2-051</x:v>
      </x:c>
      <x:c r="D11" s="93" t="n">
        <x:v>46261.833018784724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32656.358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EVT-000045</x:v>
      </x:c>
      <x:c r="B12" s="47" t="str">
        <x:v>RUN-I2-051-20260827T195805720440Z</x:v>
      </x:c>
      <x:c r="C12" s="47" t="str">
        <x:v>I2-051</x:v>
      </x:c>
      <x:c r="D12" s="93" t="n">
        <x:v>46261.83301879629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32657.26</x:v>
      </x:c>
      <x:c r="L12" s="85" t="b">
        <x:v>0</x:v>
      </x:c>
      <x:c r="M12" s="47" t="str">
        <x:v>resp_07b6bda2393d9e21006a9097044094819595a27ad8dc78a51b</x:v>
      </x:c>
      <x:c r="N12" s="59" t="n">
        <x:v>9498</x:v>
      </x:c>
      <x:c r="O12" s="59" t="n">
        <x:v>2976</x:v>
      </x:c>
      <x:c r="P12" s="59" t="n">
        <x:v>12474</x:v>
      </x:c>
    </x:row>
    <x:row r="13">
      <x:c r="A13" s="47" t="str">
        <x:v>EVT-000052</x:v>
      </x:c>
      <x:c r="B13" s="47" t="str">
        <x:v>RUN-I2-051-20260827T195805720440Z</x:v>
      </x:c>
      <x:c r="C13" s="47" t="str">
        <x:v>I2-051</x:v>
      </x:c>
      <x:c r="D13" s="93" t="n">
        <x:v>46261.833331712965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26803.29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EVT-000053</x:v>
      </x:c>
      <x:c r="B14" s="47" t="str">
        <x:v>RUN-I2-051-20260827T195805720440Z</x:v>
      </x:c>
      <x:c r="C14" s="47" t="str">
        <x:v>I2-051</x:v>
      </x:c>
      <x:c r="D14" s="93" t="n">
        <x:v>46261.83333173611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26804.88</x:v>
      </x:c>
      <x:c r="L14" s="85" t="b">
        <x:v>0</x:v>
      </x:c>
      <x:c r="M14" s="47" t="str">
        <x:v>resp_0f727c187b1db0e3006a9097252528819494f64daa0605d464</x:v>
      </x:c>
      <x:c r="N14" s="59" t="n">
        <x:v>9969</x:v>
      </x:c>
      <x:c r="O14" s="59" t="n">
        <x:v>2188</x:v>
      </x:c>
      <x:c r="P14" s="59" t="n">
        <x:v>12157</x:v>
      </x:c>
    </x:row>
    <x:row r="15">
      <x:c r="A15" s="47" t="str">
        <x:v>EVT-000058</x:v>
      </x:c>
      <x:c r="B15" s="47" t="str">
        <x:v>RUN-I2-051-20260827T195805720440Z</x:v>
      </x:c>
      <x:c r="C15" s="47" t="str">
        <x:v>I2-051</x:v>
      </x:c>
      <x:c r="D15" s="93" t="n">
        <x:v>46261.83361969907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24875.238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EVT-000059</x:v>
      </x:c>
      <x:c r="B16" s="47" t="str">
        <x:v>RUN-I2-051-20260827T195805720440Z</x:v>
      </x:c>
      <x:c r="C16" s="47" t="str">
        <x:v>I2-051</x:v>
      </x:c>
      <x:c r="D16" s="93" t="n">
        <x:v>46261.83361971065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24876.423</x:v>
      </x:c>
      <x:c r="L16" s="85" t="b">
        <x:v>0</x:v>
      </x:c>
      <x:c r="M16" s="47" t="str">
        <x:v>resp_03db114f97323af0006a90973ff4d48197918f37601905c369</x:v>
      </x:c>
      <x:c r="N16" s="59" t="n">
        <x:v>9637</x:v>
      </x:c>
      <x:c r="O16" s="59" t="n">
        <x:v>2748</x:v>
      </x:c>
      <x:c r="P16" s="59" t="n">
        <x:v>12385</x:v>
      </x:c>
    </x:row>
    <x:row r="17">
      <x:c r="A17" s="47" t="str">
        <x:v>EVT-000066</x:v>
      </x:c>
      <x:c r="B17" s="47" t="str">
        <x:v>RUN-I2-051-20260827T195805720440Z</x:v>
      </x:c>
      <x:c r="C17" s="47" t="str">
        <x:v>I2-051</x:v>
      </x:c>
      <x:c r="D17" s="93" t="n">
        <x:v>46261.83382356481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17416.026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EVT-000067</x:v>
      </x:c>
      <x:c r="B18" s="47" t="str">
        <x:v>RUN-I2-051-20260827T195805720440Z</x:v>
      </x:c>
      <x:c r="C18" s="47" t="str">
        <x:v>I2-051</x:v>
      </x:c>
      <x:c r="D18" s="93" t="n">
        <x:v>46261.83382357639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17417.455</x:v>
      </x:c>
      <x:c r="L18" s="85" t="b">
        <x:v>0</x:v>
      </x:c>
      <x:c r="M18" s="47" t="str">
        <x:v>resp_00d5ac7075d623e3006a90975920a481979eb3f3999bdea291</x:v>
      </x:c>
      <x:c r="N18" s="59" t="n">
        <x:v>10021</x:v>
      </x:c>
      <x:c r="O18" s="59" t="n">
        <x:v>1238</x:v>
      </x:c>
      <x:c r="P18" s="59" t="n">
        <x:v>11259</x:v>
      </x:c>
    </x:row>
    <x:row r="19">
      <x:c r="A19" s="47" t="str">
        <x:v>EVT-000072</x:v>
      </x:c>
      <x:c r="B19" s="47" t="str">
        <x:v>RUN-I2-051-20260827T195805720440Z</x:v>
      </x:c>
      <x:c r="C19" s="47" t="str">
        <x:v>I2-051</x:v>
      </x:c>
      <x:c r="D19" s="93" t="n">
        <x:v>46261.83407482639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21703.676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EVT-000073</x:v>
      </x:c>
      <x:c r="B20" s="47" t="str">
        <x:v>RUN-I2-051-20260827T195805720440Z</x:v>
      </x:c>
      <x:c r="C20" s="47" t="str">
        <x:v>I2-051</x:v>
      </x:c>
      <x:c r="D20" s="93" t="n">
        <x:v>46261.83407484954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21705.262</x:v>
      </x:c>
      <x:c r="L20" s="85" t="b">
        <x:v>0</x:v>
      </x:c>
      <x:c r="M20" s="47" t="str">
        <x:v>resp_0f80b57f325f5918006a90976a7210819092dde4491f9bbe12</x:v>
      </x:c>
      <x:c r="N20" s="59" t="n">
        <x:v>9823</x:v>
      </x:c>
      <x:c r="O20" s="59" t="n">
        <x:v>2361</x:v>
      </x:c>
      <x:c r="P20" s="59" t="n">
        <x:v>12184</x:v>
      </x:c>
    </x:row>
    <x:row r="21">
      <x:c r="A21" s="47" t="str">
        <x:v>EVT-000080</x:v>
      </x:c>
      <x:c r="B21" s="47" t="str">
        <x:v>RUN-I2-051-20260827T195805720440Z</x:v>
      </x:c>
      <x:c r="C21" s="47" t="str">
        <x:v>I2-051</x:v>
      </x:c>
      <x:c r="D21" s="93" t="n">
        <x:v>46261.83427987269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17514.621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EVT-000081</x:v>
      </x:c>
      <x:c r="B22" s="49" t="str">
        <x:v>RUN-I2-051-20260827T195805720440Z</x:v>
      </x:c>
      <x:c r="C22" s="49" t="str">
        <x:v>I2-051</x:v>
      </x:c>
      <x:c r="D22" s="94" t="n">
        <x:v>46261.83427988426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17516.144</x:v>
      </x:c>
      <x:c r="L22" s="87" t="b">
        <x:v>0</x:v>
      </x:c>
      <x:c r="M22" s="49" t="str">
        <x:v>resp_0be1b61907a57f7a006a9097806fb08196b899b409467260c9</x:v>
      </x:c>
      <x:c r="N22" s="60" t="n">
        <x:v>10158</x:v>
      </x:c>
      <x:c r="O22" s="60" t="n">
        <x:v>1599</x:v>
      </x:c>
      <x:c r="P22" s="60" t="n">
        <x:v>11757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42397013e8494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RUN-I2-051-20260827T195805720440Z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RUN-I2-051-20260827T195805720440Z</x:v>
      </x:c>
      <x:c r="B5" s="45" t="str">
        <x:v>I2-051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designVerticalIceShearForce; domain dependency of hullGirderPosition; domain dependency of longitudinalDistributionFactor; range dependency of shearForceDirectionValue</x:v>
      </x:c>
      <x:c r="J5" s="45" t="n">
        <x:v>0</x:v>
      </x:c>
    </x:row>
    <x:row r="6">
      <x:c r="A6" s="47" t="str">
        <x:v>RUN-I2-051-20260827T195805720440Z</x:v>
      </x:c>
      <x:c r="B6" s="47" t="str">
        <x:v>I2-051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hullGirderLongitudinalPositionFromAft; domain dependency of shearForceDirection; range dependency of hasCalculationCase</x:v>
      </x:c>
      <x:c r="J6" s="47" t="n">
        <x:v>0</x:v>
      </x:c>
    </x:row>
    <x:row r="7">
      <x:c r="A7" s="47" t="str">
        <x:v>RUN-I2-051-20260827T195805720440Z</x:v>
      </x:c>
      <x:c r="B7" s="47" t="str">
        <x:v>I2-051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RUN-I2-051-20260827T195805720440Z</x:v>
      </x:c>
      <x:c r="B8" s="47" t="str">
        <x:v>I2-051</x:v>
      </x:c>
      <x:c r="C8" s="47" t="str">
        <x:v>designVerticalIceShearForce</x:v>
      </x:c>
      <x:c r="D8" s="48" t="str">
        <x:v>https://w3id.org/nltl/vocab#designVerticalIceShearForce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RUN-I2-051-20260827T195805720440Z</x:v>
      </x:c>
      <x:c r="B9" s="47" t="str">
        <x:v>I2-051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RUN-I2-051-20260827T195805720440Z</x:v>
      </x:c>
      <x:c r="B10" s="47" t="str">
        <x:v>I2-051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RUN-I2-051-20260827T195805720440Z</x:v>
      </x:c>
      <x:c r="B11" s="47" t="str">
        <x:v>I2-051</x:v>
      </x:c>
      <x:c r="C11" s="47" t="str">
        <x:v>hullGirderLongitudinalPositionFromAft</x:v>
      </x:c>
      <x:c r="D11" s="48" t="str">
        <x:v>https://w3id.org/nltl/vocab#hullGirderLongitudinalPositionFromAft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RUN-I2-051-20260827T195805720440Z</x:v>
      </x:c>
      <x:c r="B12" s="47" t="str">
        <x:v>I2-051</x:v>
      </x:c>
      <x:c r="C12" s="47" t="str">
        <x:v>hullGirderPosition</x:v>
      </x:c>
      <x:c r="D12" s="48" t="str">
        <x:v>https://w3id.org/nltl/vocab#hullGirderPosition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RUN-I2-051-20260827T195805720440Z</x:v>
      </x:c>
      <x:c r="B13" s="47" t="str">
        <x:v>I2-051</x:v>
      </x:c>
      <x:c r="C13" s="47" t="str">
        <x:v>longitudinalDistributionFactor</x:v>
      </x:c>
      <x:c r="D13" s="48" t="str">
        <x:v>https://w3id.org/nltl/vocab#longitudinalDistributionFactor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RUN-I2-051-20260827T195805720440Z</x:v>
      </x:c>
      <x:c r="B14" s="47" t="str">
        <x:v>I2-051</x:v>
      </x:c>
      <x:c r="C14" s="47" t="str">
        <x:v>positiveShearForce</x:v>
      </x:c>
      <x:c r="D14" s="48" t="str">
        <x:v>https://w3id.org/nltl/vocab#positiveShearForce</x:v>
      </x:c>
      <x:c r="E14" s="47" t="str">
        <x:v>NamedIndividual</x:v>
      </x:c>
      <x:c r="F14" s="47" t="str"/>
      <x:c r="G14" s="47" t="str">
        <x:v>https://w3id.org/nltl/vocab#shearForceDirectionValue</x:v>
      </x:c>
      <x:c r="H14" s="47" t="str"/>
      <x:c r="I14" s="48" t="str">
        <x:v>controlled value permitted by the range of positiveShearForce; controlled value permitted by the range of shearForceDirection; linked by the locked 313-requirement index</x:v>
      </x:c>
      <x:c r="J14" s="47" t="n">
        <x:v>0</x:v>
      </x:c>
    </x:row>
    <x:row r="15">
      <x:c r="A15" s="47" t="str">
        <x:v>RUN-I2-051-20260827T195805720440Z</x:v>
      </x:c>
      <x:c r="B15" s="47" t="str">
        <x:v>I2-051</x:v>
      </x:c>
      <x:c r="C15" s="47" t="str">
        <x:v>shearForceDirection</x:v>
      </x:c>
      <x:c r="D15" s="48" t="str">
        <x:v>https://w3id.org/nltl/vocab#shearForceDirection</x:v>
      </x:c>
      <x:c r="E15" s="47" t="str">
        <x:v>ObjectProperty</x:v>
      </x:c>
      <x:c r="F15" s="47" t="str"/>
      <x:c r="G15" s="47" t="str">
        <x:v>https://w3id.org/nltl/vocab#shearForceDirectionValue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RUN-I2-051-20260827T195805720440Z</x:v>
      </x:c>
      <x:c r="B16" s="47" t="str">
        <x:v>I2-051</x:v>
      </x:c>
      <x:c r="C16" s="47" t="str">
        <x:v>shearForceDirectionValue</x:v>
      </x:c>
      <x:c r="D16" s="48" t="str">
        <x:v>https://w3id.org/nltl/vocab#shearForceDirectionValue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positiveShearForce; range dependency of shearForceDirection</x:v>
      </x:c>
      <x:c r="J16" s="47" t="n">
        <x:v>0</x:v>
      </x:c>
    </x:row>
    <x:row r="17">
      <x:c r="A17" s="47" t="str">
        <x:v>RUN-I2-051-20260827T195805720440Z</x:v>
      </x:c>
      <x:c r="B17" s="47" t="str">
        <x:v>I2-051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designVerticalIceForceAtBow; domain dependency of hasCalculationCase; domain dependency of upperIceWaterlineLengthLUI</x:v>
      </x:c>
      <x:c r="J17" s="47" t="n">
        <x:v>0</x:v>
      </x:c>
    </x:row>
    <x:row r="18">
      <x:c r="A18" s="47" t="str">
        <x:v>RUN-I2-051-20260827T195805720440Z</x:v>
      </x:c>
      <x:c r="B18" s="47" t="str">
        <x:v>I2-051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9" t="str">
        <x:v>RUN-I2-051-20260827T195805720440Z</x:v>
      </x:c>
      <x:c r="B19" s="49" t="str">
        <x:v>I2-051</x:v>
      </x:c>
      <x:c r="C19" s="49" t="str">
        <x:v>upperIceWaterlineLengthLUI</x:v>
      </x:c>
      <x:c r="D19" s="50" t="str">
        <x:v>https://w3id.org/nltl/vocab#upperIceWaterlineLengthLUI</x:v>
      </x:c>
      <x:c r="E19" s="49" t="str">
        <x:v>QuantityProperty</x:v>
      </x:c>
      <x:c r="F19" s="49" t="str"/>
      <x:c r="G19" s="49" t="str">
        <x:v>http://qudt.org/schema/qudt/QuantityValue</x:v>
      </x:c>
      <x:c r="H19" s="49" t="str">
        <x:v>http://qudt.org/vocab/unit/M</x:v>
      </x:c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5b18083100f476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RUN-I2-051-20260827T195805720440Z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RUN-I2-051-20260827T195805720440Z</x:v>
      </x:c>
      <x:c r="B5" s="45" t="str">
        <x:v>I2-051</x:v>
      </x:c>
      <x:c r="C5" s="45" t="str">
        <x:v>FS-CALC-02</x:v>
      </x:c>
      <x:c r="D5" s="45" t="str">
        <x:v>comparison_calculation</x:v>
      </x:c>
      <x:c r="E5" s="97" t="n">
        <x:v>0.075472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RUN-I2-051-20260827T195805720440Z</x:v>
      </x:c>
      <x:c r="B6" s="49" t="str">
        <x:v>I2-051</x:v>
      </x:c>
      <x:c r="C6" s="49" t="str">
        <x:v>FS-QTY-01</x:v>
      </x:c>
      <x:c r="D6" s="49" t="str">
        <x:v>qudt_quantity</x:v>
      </x:c>
      <x:c r="E6" s="98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2980e1d1804dc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RUN-I2-051-20260827T195805720440Z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RUN-I2-051-20260827T195805720440Z</x:v>
      </x:c>
      <x:c r="B5" s="45" t="str">
        <x:v>I2-051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https://w3id.org/nltl/vocab#shearForceDirectionValue | https://w3id.org/nltl/vocab#ship | https://w3id.org/nltl/vocab#upperIceWaterlineLengthLUI</x:v>
      </x:c>
      <x:c r="O5" s="46" t="str"/>
      <x:c r="P5" s="46" t="str"/>
      <x:c r="Q5" s="46" t="str"/>
    </x:row>
    <x:row r="6">
      <x:c r="A6" s="47" t="str">
        <x:v>RUN-I2-051-20260827T195805720440Z</x:v>
      </x:c>
      <x:c r="B6" s="47" t="str">
        <x:v>I2-051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6" s="48" t="str"/>
      <x:c r="P6" s="48" t="str"/>
      <x:c r="Q6" s="48" t="str"/>
    </x:row>
    <x:row r="7">
      <x:c r="A7" s="47" t="str">
        <x:v>RUN-I2-051-20260827T195805720440Z</x:v>
      </x:c>
      <x:c r="B7" s="47" t="str">
        <x:v>I2-051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7" s="48" t="str"/>
      <x:c r="P7" s="48" t="str"/>
      <x:c r="Q7" s="48" t="str"/>
    </x:row>
    <x:row r="8">
      <x:c r="A8" s="49" t="str">
        <x:v>RUN-I2-051-20260827T195805720440Z</x:v>
      </x:c>
      <x:c r="B8" s="49" t="str">
        <x:v>I2-051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fbd07135d73645b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RUN-I2-051-20260827T195805720440Z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RUN-I2-051-20260827T195805720440Z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RUN-I2-051-20260827T195805720440Z</x:v>
      </x:c>
      <x:c r="B5" s="45" t="str">
        <x:v>I2-051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c92f82a9e442b59397099b887be1eeceb2469f72fe13645f95a05fb2ddf999da</x:v>
      </x:c>
      <x:c r="G5" s="58" t="n">
        <x:v>21835</x:v>
      </x:c>
    </x:row>
    <x:row r="6">
      <x:c r="A6" s="47" t="str">
        <x:v>RUN-I2-051-20260827T195805720440Z</x:v>
      </x:c>
      <x:c r="B6" s="47" t="str">
        <x:v>I2-051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179bfa542ee43f724e855976a181bcc7e14f99fa0cd7f690a60064057c9d0ad2</x:v>
      </x:c>
      <x:c r="G6" s="59" t="n">
        <x:v>5255</x:v>
      </x:c>
    </x:row>
    <x:row r="7">
      <x:c r="A7" s="47" t="str">
        <x:v>RUN-I2-051-20260827T195805720440Z</x:v>
      </x:c>
      <x:c r="B7" s="47" t="str">
        <x:v>I2-051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700a24fd20bf122a40ef0942ed302cb69c12c2fa6fed06f7f36b4205275093db</x:v>
      </x:c>
      <x:c r="G7" s="59" t="n">
        <x:v>38644</x:v>
      </x:c>
    </x:row>
    <x:row r="8">
      <x:c r="A8" s="47" t="str">
        <x:v>RUN-I2-051-20260827T195805720440Z</x:v>
      </x:c>
      <x:c r="B8" s="47" t="str">
        <x:v>I2-051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2268601415ff57dc606e2ea530203cba790389792d8ba806cce0b4bd8ceac93f</x:v>
      </x:c>
      <x:c r="G8" s="59" t="n">
        <x:v>7473</x:v>
      </x:c>
    </x:row>
    <x:row r="9">
      <x:c r="A9" s="47" t="str">
        <x:v>RUN-I2-051-20260827T195805720440Z</x:v>
      </x:c>
      <x:c r="B9" s="47" t="str">
        <x:v>I2-051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1504e604c3aa58fb8552ae2e1e96f107bfde0dd76e257d4ac73f4274abf38e17</x:v>
      </x:c>
      <x:c r="G9" s="59" t="n">
        <x:v>10966</x:v>
      </x:c>
    </x:row>
    <x:row r="10">
      <x:c r="A10" s="47" t="str">
        <x:v>RUN-I2-051-20260827T195805720440Z</x:v>
      </x:c>
      <x:c r="B10" s="47" t="str">
        <x:v>I2-051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a7cd7e8946293648c4c53b8dd922845289df8f56e2b2acfb4eb41cc9808c4f84</x:v>
      </x:c>
      <x:c r="G10" s="59" t="n">
        <x:v>7399</x:v>
      </x:c>
    </x:row>
    <x:row r="11">
      <x:c r="A11" s="47" t="str">
        <x:v>RUN-I2-051-20260827T195805720440Z</x:v>
      </x:c>
      <x:c r="B11" s="47" t="str">
        <x:v>I2-051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0a2eeb479bde8d467e96d7248c3f81422ad4c19972710180483a3a0db4ed421e</x:v>
      </x:c>
      <x:c r="G11" s="59" t="n">
        <x:v>7374</x:v>
      </x:c>
    </x:row>
    <x:row r="12">
      <x:c r="A12" s="47" t="str">
        <x:v>RUN-I2-051-20260827T195805720440Z</x:v>
      </x:c>
      <x:c r="B12" s="47" t="str">
        <x:v>I2-051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6eec20ddc97ac04c1b69baba1b5bf093b5cdc49c25828d043c1ba55da9623f50</x:v>
      </x:c>
      <x:c r="G12" s="59" t="n">
        <x:v>979</x:v>
      </x:c>
    </x:row>
    <x:row r="13">
      <x:c r="A13" s="47" t="str">
        <x:v>RUN-I2-051-20260827T195805720440Z</x:v>
      </x:c>
      <x:c r="B13" s="47" t="str">
        <x:v>I2-051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2b83850f484867131ec623999a9507ed22fd3fc10481e7ce0ddf1b3175556d51</x:v>
      </x:c>
      <x:c r="G13" s="59" t="n">
        <x:v>40671</x:v>
      </x:c>
    </x:row>
    <x:row r="14">
      <x:c r="A14" s="47" t="str">
        <x:v>RUN-I2-051-20260827T195805720440Z</x:v>
      </x:c>
      <x:c r="B14" s="47" t="str">
        <x:v>I2-051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8060ba9e11a8cf3665065a0e3d345c44a65f20114a81704c557e7c2a795aa79e</x:v>
      </x:c>
      <x:c r="G14" s="59" t="n">
        <x:v>689</x:v>
      </x:c>
    </x:row>
    <x:row r="15">
      <x:c r="A15" s="47" t="str">
        <x:v>RUN-I2-051-20260827T195805720440Z</x:v>
      </x:c>
      <x:c r="B15" s="47" t="str">
        <x:v>I2-051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8c50f341a6950a23bbc04a0abb077ce2f6ad60136d9ff41e2a19d751d7856662</x:v>
      </x:c>
      <x:c r="G15" s="59" t="n">
        <x:v>39268</x:v>
      </x:c>
    </x:row>
    <x:row r="16">
      <x:c r="A16" s="47" t="str">
        <x:v>RUN-I2-051-20260827T195805720440Z</x:v>
      </x:c>
      <x:c r="B16" s="47" t="str">
        <x:v>I2-051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7b14c936c06137e6da2bf3c2a21d23d6de303ba8ab00816ff345607a38df5464</x:v>
      </x:c>
      <x:c r="G16" s="59" t="n">
        <x:v>6003</x:v>
      </x:c>
    </x:row>
    <x:row r="17">
      <x:c r="A17" s="47" t="str">
        <x:v>RUN-I2-051-20260827T195805720440Z</x:v>
      </x:c>
      <x:c r="B17" s="47" t="str">
        <x:v>I2-051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aca38783513d61f3f05303b249e24ed350fe161e93a907e0f078336776b84791</x:v>
      </x:c>
      <x:c r="G17" s="59" t="n">
        <x:v>5978</x:v>
      </x:c>
    </x:row>
    <x:row r="18">
      <x:c r="A18" s="47" t="str">
        <x:v>RUN-I2-051-20260827T195805720440Z</x:v>
      </x:c>
      <x:c r="B18" s="47" t="str">
        <x:v>I2-051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86eaf62fee5695c6f11600891e5155502e74bebdbd7e8e60ef7c083aaa65bc75</x:v>
      </x:c>
      <x:c r="G18" s="59" t="n">
        <x:v>970</x:v>
      </x:c>
    </x:row>
    <x:row r="19">
      <x:c r="A19" s="47" t="str">
        <x:v>RUN-I2-051-20260827T195805720440Z</x:v>
      </x:c>
      <x:c r="B19" s="47" t="str">
        <x:v>I2-051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1bbb907b0fa4029c597a6e47f885bc31b8b37f5431f8beb23562e819e764a4d1</x:v>
      </x:c>
      <x:c r="G19" s="59" t="n">
        <x:v>39842</x:v>
      </x:c>
    </x:row>
    <x:row r="20">
      <x:c r="A20" s="47" t="str">
        <x:v>RUN-I2-051-20260827T195805720440Z</x:v>
      </x:c>
      <x:c r="B20" s="47" t="str">
        <x:v>I2-051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9b79040cb5bfc646bb48a612ef240297fcf636f810ce027ba308b7285fd5b1c2</x:v>
      </x:c>
      <x:c r="G20" s="59" t="n">
        <x:v>708</x:v>
      </x:c>
    </x:row>
    <x:row r="21">
      <x:c r="A21" s="47" t="str">
        <x:v>RUN-I2-051-20260827T195805720440Z</x:v>
      </x:c>
      <x:c r="B21" s="47" t="str">
        <x:v>I2-051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b4eb520d3a1e49e0b2b98e53988a5a42b83de0cdc0c3361627334ecfd6375ae9</x:v>
      </x:c>
      <x:c r="G21" s="59" t="n">
        <x:v>39923</x:v>
      </x:c>
    </x:row>
    <x:row r="22">
      <x:c r="A22" s="47" t="str">
        <x:v>RUN-I2-051-20260827T195805720440Z</x:v>
      </x:c>
      <x:c r="B22" s="47" t="str">
        <x:v>I2-051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d60fb20456349499d2603a0a6d8e7010be66a954a9060ad787ea91510d159556</x:v>
      </x:c>
      <x:c r="G22" s="59" t="n">
        <x:v>5687</x:v>
      </x:c>
    </x:row>
    <x:row r="23">
      <x:c r="A23" s="47" t="str">
        <x:v>RUN-I2-051-20260827T195805720440Z</x:v>
      </x:c>
      <x:c r="B23" s="47" t="str">
        <x:v>I2-051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71f39be090cd3fa05a46f5223d97b1bbd1f07c5345221a50a79f0e26c1afe953</x:v>
      </x:c>
      <x:c r="G23" s="59" t="n">
        <x:v>5662</x:v>
      </x:c>
    </x:row>
    <x:row r="24">
      <x:c r="A24" s="47" t="str">
        <x:v>RUN-I2-051-20260827T195805720440Z</x:v>
      </x:c>
      <x:c r="B24" s="47" t="str">
        <x:v>I2-051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86eaf62fee5695c6f11600891e5155502e74bebdbd7e8e60ef7c083aaa65bc75</x:v>
      </x:c>
      <x:c r="G24" s="59" t="n">
        <x:v>970</x:v>
      </x:c>
    </x:row>
    <x:row r="25">
      <x:c r="A25" s="47" t="str">
        <x:v>RUN-I2-051-20260827T195805720440Z</x:v>
      </x:c>
      <x:c r="B25" s="47" t="str">
        <x:v>I2-051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470c1e3772cc2781533ba10663449476cb80da9217e319d28c2a908014905ffc</x:v>
      </x:c>
      <x:c r="G25" s="59" t="n">
        <x:v>40159</x:v>
      </x:c>
    </x:row>
    <x:row r="26">
      <x:c r="A26" s="47" t="str">
        <x:v>RUN-I2-051-20260827T195805720440Z</x:v>
      </x:c>
      <x:c r="B26" s="47" t="str">
        <x:v>I2-051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c95e4635eb9a0faf70995f4fa442a590201df6feb4b0b42bb64b0edfa1ebe6cd</x:v>
      </x:c>
      <x:c r="G26" s="59" t="n">
        <x:v>966</x:v>
      </x:c>
    </x:row>
    <x:row r="27">
      <x:c r="A27" s="47" t="str">
        <x:v>RUN-I2-051-20260827T195805720440Z</x:v>
      </x:c>
      <x:c r="B27" s="47" t="str">
        <x:v>I2-051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7450108ff6d68df0abe72e2bdb35cdfe353e7b9628ecee3a3c05200d9e0e4564</x:v>
      </x:c>
      <x:c r="G27" s="59" t="n">
        <x:v>40832</x:v>
      </x:c>
    </x:row>
    <x:row r="28">
      <x:c r="A28" s="47" t="str">
        <x:v>RUN-I2-051-20260827T195805720440Z</x:v>
      </x:c>
      <x:c r="B28" s="47" t="str">
        <x:v>I2-051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219629d57b871d9aa2cafb510a4ab73addadbf7bf38effc5a67b6eb7c580a714</x:v>
      </x:c>
      <x:c r="G28" s="59" t="n">
        <x:v>5707</x:v>
      </x:c>
    </x:row>
    <x:row r="29">
      <x:c r="A29" s="47" t="str">
        <x:v>RUN-I2-051-20260827T195805720440Z</x:v>
      </x:c>
      <x:c r="B29" s="47" t="str">
        <x:v>I2-051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5bca50d692d741b145213a06bf64a61c0c79366fcbe2ddf24b2e8919a4d5b089</x:v>
      </x:c>
      <x:c r="G29" s="59" t="n">
        <x:v>5682</x:v>
      </x:c>
    </x:row>
    <x:row r="30">
      <x:c r="A30" s="47" t="str">
        <x:v>RUN-I2-051-20260827T195805720440Z</x:v>
      </x:c>
      <x:c r="B30" s="47" t="str">
        <x:v>I2-051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86eaf62fee5695c6f11600891e5155502e74bebdbd7e8e60ef7c083aaa65bc75</x:v>
      </x:c>
      <x:c r="G30" s="59" t="n">
        <x:v>970</x:v>
      </x:c>
    </x:row>
    <x:row r="31">
      <x:c r="A31" s="47" t="str">
        <x:v>RUN-I2-051-20260827T195805720440Z</x:v>
      </x:c>
      <x:c r="B31" s="47" t="str">
        <x:v>I2-051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7c8cef71ab9252933060ef18466aefb4dc8c92a26b264de0223a94a6b06c135d</x:v>
      </x:c>
      <x:c r="G31" s="59" t="n">
        <x:v>41084</x:v>
      </x:c>
    </x:row>
    <x:row r="32">
      <x:c r="A32" s="47" t="str">
        <x:v>RUN-I2-051-20260827T195805720440Z</x:v>
      </x:c>
      <x:c r="B32" s="47" t="str">
        <x:v>I2-051</x:v>
      </x:c>
      <x:c r="C32" s="59" t="n">
        <x:v>4</x:v>
      </x:c>
      <x:c r="D32" s="47" t="str">
        <x:v>validator_raw_response</x:v>
      </x:c>
      <x:c r="E32" s="48" t="str">
        <x:v>artifacts/attempt_04/validator_raw_01.txt</x:v>
      </x:c>
      <x:c r="F32" s="47" t="str">
        <x:v>32c67dec120192d89c54307b314758d6d15921e84963a2cce1900be76c1bb494</x:v>
      </x:c>
      <x:c r="G32" s="59" t="n">
        <x:v>474</x:v>
      </x:c>
    </x:row>
    <x:row r="33">
      <x:c r="A33" s="49" t="str">
        <x:v>RUN-I2-051-20260827T195805720440Z</x:v>
      </x:c>
      <x:c r="B33" s="49" t="str">
        <x:v>I2-051</x:v>
      </x:c>
      <x:c r="C33" s="60" t="n">
        <x:v>4</x:v>
      </x:c>
      <x:c r="D33" s="49" t="str">
        <x:v>final_accepted_shape</x:v>
      </x:c>
      <x:c r="E33" s="50" t="str">
        <x:v>final/final_shape.ttl</x:v>
      </x:c>
      <x:c r="F33" s="49" t="str">
        <x:v>5bca50d692d741b145213a06bf64a61c0c79366fcbe2ddf24b2e8919a4d5b089</x:v>
      </x:c>
      <x:c r="G33" s="60" t="n">
        <x:v>5682</x:v>
      </x:c>
    </x:row>
  </x:sheetData>
  <x:pageMargins left="0.7" right="0.7" top="0.75" bottom="0.75" header="0.3" footer="0.3"/>
  <x:tableParts count="1">
    <x:tablePart xmlns:r="http://schemas.openxmlformats.org/officeDocument/2006/relationships" r:id="R236cb1f81ab845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RUN-I2-051-20260827T195805720440Z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RUN-I2-051-20260827T195805720440Z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RUN-I2-051-20260827T195805720440Z</x:v>
      </x:c>
      <x:c r="B5" s="69" t="str">
        <x:v>I2-051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60b92f473a476f"/>
  </x:tableParts>
</x:worksheet>
</file>