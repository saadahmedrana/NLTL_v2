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featurePropertyBag/featurePropertyBag.xml" ContentType="application/vnd.ms-excel.featurepropertybag+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tables/table1.xml" ContentType="application/vnd.openxmlformats-officedocument.spreadsheetml.table+xml"/>
  <Override PartName="/xl/worksheets/sheet3.xml" ContentType="application/vnd.openxmlformats-officedocument.spreadsheetml.worksheet+xml"/>
  <Override PartName="/xl/tables/table2.xml" ContentType="application/vnd.openxmlformats-officedocument.spreadsheetml.table+xml"/>
  <Override PartName="/xl/worksheets/sheet4.xml" ContentType="application/vnd.openxmlformats-officedocument.spreadsheetml.worksheet+xml"/>
  <Override PartName="/xl/tables/table3.xml" ContentType="application/vnd.openxmlformats-officedocument.spreadsheetml.table+xml"/>
  <Override PartName="/xl/worksheets/sheet5.xml" ContentType="application/vnd.openxmlformats-officedocument.spreadsheetml.worksheet+xml"/>
  <Override PartName="/xl/tables/table4.xml" ContentType="application/vnd.openxmlformats-officedocument.spreadsheetml.table+xml"/>
  <Override PartName="/xl/worksheets/sheet6.xml" ContentType="application/vnd.openxmlformats-officedocument.spreadsheetml.worksheet+xml"/>
  <Override PartName="/xl/tables/table5.xml" ContentType="application/vnd.openxmlformats-officedocument.spreadsheetml.table+xml"/>
  <Override PartName="/xl/worksheets/sheet7.xml" ContentType="application/vnd.openxmlformats-officedocument.spreadsheetml.worksheet+xml"/>
  <Override PartName="/xl/tables/table6.xml" ContentType="application/vnd.openxmlformats-officedocument.spreadsheetml.table+xml"/>
  <Override PartName="/xl/worksheets/sheet8.xml" ContentType="application/vnd.openxmlformats-officedocument.spreadsheetml.worksheet+xml"/>
  <Override PartName="/xl/tables/table7.xml" ContentType="application/vnd.openxmlformats-officedocument.spreadsheetml.table+xml"/>
  <Override PartName="/xl/worksheets/sheet9.xml" ContentType="application/vnd.openxmlformats-officedocument.spreadsheetml.worksheet+xml"/>
  <Override PartName="/xl/tables/table8.xml" ContentType="application/vnd.openxmlformats-officedocument.spreadsheetml.table+xml"/>
  <Override PartName="/xl/worksheets/sheet10.xml" ContentType="application/vnd.openxmlformats-officedocument.spreadsheetml.worksheet+xml"/>
  <Override PartName="/xl/worksheets/sheet11.xml" ContentType="application/vnd.openxmlformats-officedocument.spreadsheetml.worksheet+xml"/>
  <Override PartName="/xl/tables/table9.xml" ContentType="application/vnd.openxmlformats-officedocument.spreadsheetml.table+xml"/>
  <Override PartName="/xl/worksheets/sheet12.xml" ContentType="application/vnd.openxmlformats-officedocument.spreadsheetml.worksheet+xml"/>
  <Override PartName="/xl/worksheets/sheet13.xml" ContentType="application/vnd.openxmlformats-officedocument.spreadsheetml.worksheet+xml"/>
  <Override PartName="/xl/tables/table10.xml" ContentType="application/vnd.openxmlformats-officedocument.spreadsheetml.table+xml"/>
</Types>
</file>

<file path=_rels/.rels>&#65279;<?xml version="1.0" encoding="utf-8"?><Relationships xmlns="http://schemas.openxmlformats.org/package/2006/relationships"><Relationship Type="http://schemas.openxmlformats.org/officeDocument/2006/relationships/officeDocument" Target="/xl/workbook.xml" Id="Ref0d18a7059e43b7" /></Relationships>
</file>

<file path=xl/workbook.xml><?xml version="1.0" encoding="utf-8"?>
<x:workbook xmlns:x="http://schemas.openxmlformats.org/spreadsheetml/2006/main">
  <x:sheets>
    <x:sheet xmlns:r="http://schemas.openxmlformats.org/officeDocument/2006/relationships" name="SUMMARY" sheetId="1" r:id="R1bb00602b8d345ad"/>
    <x:sheet xmlns:r="http://schemas.openxmlformats.org/officeDocument/2006/relationships" name="README" sheetId="2" r:id="R739b535a50bc4dc4"/>
    <x:sheet xmlns:r="http://schemas.openxmlformats.org/officeDocument/2006/relationships" name="REGULATION_QUEUE" sheetId="3" r:id="R3d9f856454204a13"/>
    <x:sheet xmlns:r="http://schemas.openxmlformats.org/officeDocument/2006/relationships" name="RUNS" sheetId="4" r:id="Rcf854b99424d4aaa"/>
    <x:sheet xmlns:r="http://schemas.openxmlformats.org/officeDocument/2006/relationships" name="ITERATIONS" sheetId="5" r:id="Rdaa1baa5b54947e5"/>
    <x:sheet xmlns:r="http://schemas.openxmlformats.org/officeDocument/2006/relationships" name="API_CALLS" sheetId="6" r:id="R917ad5611abf471d"/>
    <x:sheet xmlns:r="http://schemas.openxmlformats.org/officeDocument/2006/relationships" name="TERM_RETRIEVAL" sheetId="7" r:id="R47be949aee544cc1"/>
    <x:sheet xmlns:r="http://schemas.openxmlformats.org/officeDocument/2006/relationships" name="FEW_SHOT_SELECTION" sheetId="8" r:id="R08e67c2278c5440a"/>
    <x:sheet xmlns:r="http://schemas.openxmlformats.org/officeDocument/2006/relationships" name="VALIDATION" sheetId="9" r:id="R4aa51b3132f44011"/>
    <x:sheet xmlns:r="http://schemas.openxmlformats.org/officeDocument/2006/relationships" name="VOCAB_MATCHES" sheetId="10" r:id="R2f0bc5f36f2b407a"/>
    <x:sheet xmlns:r="http://schemas.openxmlformats.org/officeDocument/2006/relationships" name="ARTIFACTS" sheetId="11" r:id="R538d83b3da5c4438"/>
    <x:sheet xmlns:r="http://schemas.openxmlformats.org/officeDocument/2006/relationships" name="UNRESOLVED" sheetId="12" r:id="R6c022577ca794336"/>
    <x:sheet xmlns:r="http://schemas.openxmlformats.org/officeDocument/2006/relationships" name="RDF_TEST_QUEUE" sheetId="13" r:id="R858d7d3fb7c042f8"/>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
    <x:numFmt numFmtId="201" formatCode="#,##0.000"/>
    <x:numFmt numFmtId="202" formatCode="yyyy-mm-dd hh:mm:ss.000"/>
    <x:numFmt numFmtId="203" formatCode="0.000"/>
  </x:numFmts>
  <x:fonts count="10">
    <x:font>
      <x:sz val="11"/>
      <x:name val="Carlito"/>
    </x:font>
    <x:font>
      <x:b/>
      <x:sz val="16"/>
      <x:color rgb="FFFFFFFF"/>
      <x:name val="Carlito"/>
    </x:font>
    <x:font>
      <x:i/>
      <x:sz val="11"/>
      <x:color rgb="FF5B6573"/>
      <x:name val="Carlito"/>
    </x:font>
    <x:font>
      <x:b/>
      <x:sz val="11"/>
      <x:color rgb="FFFFFFFF"/>
      <x:name val="Carlito"/>
    </x:font>
    <x:font>
      <x:b/>
      <x:sz val="11"/>
      <x:color rgb="FF17324D"/>
      <x:name val="Carlito"/>
    </x:font>
    <x:font>
      <x:b/>
      <x:sz val="16"/>
      <x:color rgb="FFFFFFFF"/>
      <x:name val="Aptos"/>
    </x:font>
    <x:font>
      <x:sz val="11"/>
      <x:name val="Aptos"/>
    </x:font>
    <x:font>
      <x:i/>
      <x:sz val="11"/>
      <x:color rgb="FF5B6573"/>
      <x:name val="Aptos"/>
    </x:font>
    <x:font>
      <x:b/>
      <x:sz val="11"/>
      <x:color rgb="FFFFFFFF"/>
      <x:name val="Aptos"/>
    </x:font>
    <x:font>
      <x:b/>
      <x:sz val="11"/>
      <x:color rgb="FF17324D"/>
      <x:name val="Aptos"/>
    </x:font>
  </x:fonts>
  <x:fills count="5">
    <x:fill>
      <x:patternFill patternType="none"/>
    </x:fill>
    <x:fill>
      <x:patternFill patternType="gray125"/>
    </x:fill>
    <x:fill>
      <x:patternFill patternType="solid">
        <x:fgColor rgb="FF17324D"/>
      </x:patternFill>
    </x:fill>
    <x:fill>
      <x:patternFill patternType="solid">
        <x:fgColor rgb="FFE8F1F5"/>
      </x:patternFill>
    </x:fill>
    <x:fill>
      <x:patternFill patternType="solid">
        <x:fgColor rgb="FF0F766E"/>
      </x:patternFill>
    </x:fill>
  </x:fills>
  <x:borders count="6">
    <x:border/>
    <x:border>
      <x:bottom style="thin">
        <x:color rgb="FFCBD5E1"/>
      </x:bottom>
    </x:border>
    <x:border>
      <x:top style="thin">
        <x:color rgb="FFCBD5E1"/>
      </x:top>
      <x:bottom style="thin">
        <x:color rgb="FFCBD5E1"/>
      </x:bottom>
    </x:border>
    <x:border>
      <x:top style="thin">
        <x:color rgb="FFCBD5E1"/>
      </x:top>
    </x:border>
    <x:border>
      <x:left style="thin">
        <x:color rgb="FFCBD5E1"/>
      </x:left>
      <x:top style="thin">
        <x:color rgb="FFCBD5E1"/>
      </x:top>
      <x:bottom style="thin">
        <x:color rgb="FFCBD5E1"/>
      </x:bottom>
    </x:border>
    <x:border>
      <x:right style="thin">
        <x:color rgb="FFCBD5E1"/>
      </x:right>
      <x:top style="thin">
        <x:color rgb="FFCBD5E1"/>
      </x:top>
      <x:bottom style="thin">
        <x:color rgb="FFCBD5E1"/>
      </x:bottom>
    </x:border>
  </x:borders>
  <x:cellStyleXfs count="1">
    <x:xf numFmtId="0" fontId="0" fillId="0" borderId="0"/>
  </x:cellStyleXfs>
  <x:cellXfs count="107">
    <x:xf numFmtId="0" fontId="0" fillId="0" borderId="0" xfId="0"/>
    <x:xf numFmtId="0" fontId="0" fillId="2" borderId="0" xfId="0" applyNumberFormat="1" applyFont="1" applyFill="1" applyBorder="1"/>
    <x:xf numFmtId="0" fontId="1" fillId="2" borderId="0" xfId="0" applyNumberFormat="1" applyFont="1" applyFill="1" applyBorder="1"/>
    <x:xf numFmtId="0" fontId="0" fillId="3" borderId="0" xfId="0" applyNumberFormat="1" applyFont="1" applyFill="1" applyBorder="1"/>
    <x:xf numFmtId="0" fontId="2" fillId="3" borderId="0" xfId="0" applyNumberFormat="1" applyFont="1" applyFill="1" applyBorder="1"/>
    <x:xf numFmtId="0" fontId="0" fillId="4" borderId="0" xfId="0" applyNumberFormat="1" applyFont="1" applyFill="1" applyBorder="1"/>
    <x:xf numFmtId="0" fontId="3" fillId="4" borderId="0" xfId="0" applyNumberFormat="1" applyFont="1" applyFill="1" applyBorder="1"/>
    <x:xf numFmtId="0" fontId="0" fillId="0" borderId="1" xfId="0" applyNumberFormat="1" applyFont="1" applyFill="1" applyBorder="1"/>
    <x:xf numFmtId="0" fontId="0" fillId="0" borderId="2" xfId="0" applyNumberFormat="1" applyFont="1" applyFill="1" applyBorder="1"/>
    <x:xf numFmtId="0" fontId="0" fillId="0" borderId="3" xfId="0" applyNumberFormat="1" applyFont="1" applyFill="1" applyBorder="1"/>
    <x:xf numFmtId="0" fontId="4" fillId="0" borderId="1" xfId="0" applyNumberFormat="1" applyFont="1" applyFill="1" applyBorder="1"/>
    <x:xf numFmtId="0" fontId="4" fillId="0" borderId="2" xfId="0" applyNumberFormat="1" applyFont="1" applyFill="1" applyBorder="1"/>
    <x:xf numFmtId="0" fontId="4" fillId="0" borderId="3" xfId="0" applyNumberFormat="1" applyFont="1" applyFill="1" applyBorder="1"/>
    <x:xf numFmtId="200" fontId="0" fillId="0" borderId="1" xfId="0" applyNumberFormat="1" applyFont="1" applyFill="1" applyBorder="1"/>
    <x:xf numFmtId="200" fontId="0" fillId="0" borderId="2" xfId="0" applyNumberFormat="1" applyFont="1" applyFill="1" applyBorder="1"/>
    <x:xf numFmtId="201" fontId="0" fillId="0" borderId="3" xfId="0" applyNumberFormat="1" applyFont="1" applyFill="1" applyBorder="1"/>
    <x:xf numFmtId="0" fontId="4" fillId="3" borderId="0" xfId="0" applyNumberFormat="1" applyFont="1" applyFill="1" applyBorder="1"/>
    <x:xf numFmtId="0" fontId="0" fillId="0" borderId="0" xfId="0" applyNumberFormat="1" applyFont="1" applyFill="1" applyBorder="1" applyAlignment="1">
      <x:alignment wrapText="1"/>
    </x:xf>
    <x:xf numFmtId="0" fontId="5" fillId="2" borderId="0" xfId="0" applyNumberFormat="1" applyFont="1" applyFill="1" applyBorder="1"/>
    <x:xf numFmtId="0" fontId="6" fillId="2" borderId="0" xfId="0" applyNumberFormat="1" applyFont="1" applyFill="1" applyBorder="1"/>
    <x:xf numFmtId="0" fontId="7" fillId="3" borderId="0" xfId="0" applyNumberFormat="1" applyFont="1" applyFill="1" applyBorder="1"/>
    <x:xf numFmtId="0" fontId="6" fillId="0" borderId="0" xfId="0" applyNumberFormat="1" applyFont="1" applyFill="1" applyBorder="1"/>
    <x:xf numFmtId="0" fontId="8" fillId="4" borderId="0" xfId="0" applyNumberFormat="1" applyFont="1" applyFill="1" applyBorder="1"/>
    <x:xf numFmtId="0" fontId="9" fillId="0" borderId="1" xfId="0" applyNumberFormat="1" applyFont="1" applyFill="1" applyBorder="1"/>
    <x:xf numFmtId="200" fontId="6" fillId="0" borderId="1" xfId="0" applyNumberFormat="1" applyFont="1" applyFill="1" applyBorder="1"/>
    <x:xf numFmtId="0" fontId="9" fillId="0" borderId="2" xfId="0" applyNumberFormat="1" applyFont="1" applyFill="1" applyBorder="1"/>
    <x:xf numFmtId="200" fontId="6" fillId="0" borderId="2" xfId="0" applyNumberFormat="1" applyFont="1" applyFill="1" applyBorder="1"/>
    <x:xf numFmtId="0" fontId="9" fillId="0" borderId="3" xfId="0" applyNumberFormat="1" applyFont="1" applyFill="1" applyBorder="1"/>
    <x:xf numFmtId="201" fontId="6" fillId="0" borderId="3" xfId="0" applyNumberFormat="1" applyFont="1" applyFill="1" applyBorder="1"/>
    <x:xf numFmtId="0" fontId="9" fillId="3" borderId="0" xfId="0" applyNumberFormat="1" applyFont="1" applyFill="1" applyBorder="1"/>
    <x:xf numFmtId="0" fontId="6" fillId="0" borderId="0" xfId="0" applyNumberFormat="1" applyFont="1" applyFill="1" applyBorder="1" applyAlignment="1">
      <x:alignment wrapText="1"/>
    </x:xf>
    <x:xf numFmtId="0" fontId="3" fillId="4" borderId="4" xfId="0" applyNumberFormat="1" applyFont="1" applyFill="1" applyBorder="1"/>
    <x:xf numFmtId="0" fontId="3" fillId="4" borderId="5" xfId="0" applyNumberFormat="1" applyFont="1" applyFill="1" applyBorder="1"/>
    <x:xf numFmtId="0" fontId="3" fillId="4" borderId="4" xfId="0" applyNumberFormat="1" applyFont="1" applyFill="1" applyBorder="1" applyAlignment="1">
      <x:alignment wrapText="1"/>
    </x:xf>
    <x:xf numFmtId="0" fontId="3" fillId="4" borderId="5" xfId="0" applyNumberFormat="1" applyFont="1" applyFill="1" applyBorder="1" applyAlignment="1">
      <x:alignment wrapText="1"/>
    </x:xf>
    <x:xf numFmtId="0" fontId="3" fillId="4" borderId="4" xfId="0" applyNumberFormat="1" applyFont="1" applyFill="1" applyBorder="1" applyAlignment="1">
      <x:alignment vertical="center" wrapText="1"/>
    </x:xf>
    <x:xf numFmtId="0" fontId="3" fillId="4" borderId="5" xfId="0" applyNumberFormat="1" applyFont="1" applyFill="1" applyBorder="1" applyAlignment="1">
      <x:alignment vertical="center" wrapText="1"/>
    </x:xf>
    <x:xf numFmtId="0" fontId="0" fillId="0" borderId="1" xfId="0" applyNumberFormat="1" applyFont="1" applyFill="1" applyBorder="1" applyAlignment="1">
      <x:alignment vertical="top"/>
    </x:xf>
    <x:xf numFmtId="0" fontId="0" fillId="0" borderId="2" xfId="0" applyNumberFormat="1" applyFont="1" applyFill="1" applyBorder="1" applyAlignment="1">
      <x:alignment vertical="top"/>
    </x:xf>
    <x:xf numFmtId="0" fontId="0" fillId="0" borderId="3" xfId="0" applyNumberFormat="1" applyFont="1" applyFill="1" applyBorder="1" applyAlignment="1">
      <x:alignment vertical="top"/>
    </x:xf>
    <x:xf numFmtId="0" fontId="0" fillId="0" borderId="1" xfId="0" applyNumberFormat="1" applyFont="1" applyFill="1" applyBorder="1" applyAlignment="1">
      <x:alignment vertical="top" wrapText="1"/>
    </x:xf>
    <x:xf numFmtId="0" fontId="0" fillId="0" borderId="2" xfId="0" applyNumberFormat="1" applyFont="1" applyFill="1" applyBorder="1" applyAlignment="1">
      <x:alignment vertical="top" wrapText="1"/>
    </x:xf>
    <x:xf numFmtId="0" fontId="0" fillId="0" borderId="3" xfId="0" applyNumberFormat="1" applyFont="1" applyFill="1" applyBorder="1" applyAlignment="1">
      <x:alignment vertical="top" wrapText="1"/>
    </x:xf>
    <x:xf numFmtId="0" fontId="8" fillId="4" borderId="4" xfId="0" applyNumberFormat="1" applyFont="1" applyFill="1" applyBorder="1" applyAlignment="1">
      <x:alignment vertical="center" wrapText="1"/>
    </x:xf>
    <x:xf numFmtId="0" fontId="8" fillId="4" borderId="5" xfId="0" applyNumberFormat="1" applyFont="1" applyFill="1" applyBorder="1" applyAlignment="1">
      <x:alignment vertical="center" wrapText="1"/>
    </x:xf>
    <x:xf numFmtId="0" fontId="6" fillId="0" borderId="1" xfId="0" applyNumberFormat="1" applyFont="1" applyFill="1" applyBorder="1" applyAlignment="1">
      <x:alignment vertical="top"/>
    </x:xf>
    <x:xf numFmtId="0" fontId="6" fillId="0" borderId="1" xfId="0" applyNumberFormat="1" applyFont="1" applyFill="1" applyBorder="1" applyAlignment="1">
      <x:alignment vertical="top" wrapText="1"/>
    </x:xf>
    <x:xf numFmtId="0" fontId="6" fillId="0" borderId="2" xfId="0" applyNumberFormat="1" applyFont="1" applyFill="1" applyBorder="1" applyAlignment="1">
      <x:alignment vertical="top"/>
    </x:xf>
    <x:xf numFmtId="0" fontId="6" fillId="0" borderId="2" xfId="0" applyNumberFormat="1" applyFont="1" applyFill="1" applyBorder="1" applyAlignment="1">
      <x:alignment vertical="top" wrapText="1"/>
    </x:xf>
    <x:xf numFmtId="0" fontId="6" fillId="0" borderId="3" xfId="0" applyNumberFormat="1" applyFont="1" applyFill="1" applyBorder="1" applyAlignment="1">
      <x:alignment vertical="top"/>
    </x:xf>
    <x:xf numFmtId="0" fontId="6" fillId="0" borderId="3" xfId="0" applyNumberFormat="1" applyFont="1" applyFill="1" applyBorder="1" applyAlignment="1">
      <x:alignment vertical="top" wrapText="1"/>
    </x:xf>
    <x:xf numFmtId="0" fontId="3" fillId="4" borderId="2" xfId="0" applyNumberFormat="1" applyFont="1" applyFill="1" applyBorder="1"/>
    <x:xf numFmtId="0" fontId="3" fillId="4" borderId="2" xfId="0" applyNumberFormat="1" applyFont="1" applyFill="1" applyBorder="1" applyAlignment="1">
      <x:alignment wrapText="1"/>
    </x:xf>
    <x:xf numFmtId="0" fontId="3" fillId="4" borderId="2" xfId="0" applyNumberFormat="1" applyFont="1" applyFill="1" applyBorder="1" applyAlignment="1">
      <x:alignment vertical="center" wrapText="1"/>
    </x:xf>
    <x:xf numFmtId="200" fontId="0" fillId="0" borderId="1" xfId="0" applyNumberFormat="1" applyFont="1" applyFill="1" applyBorder="1" applyAlignment="1">
      <x:alignment vertical="top"/>
    </x:xf>
    <x:xf numFmtId="200" fontId="0" fillId="0" borderId="2" xfId="0" applyNumberFormat="1" applyFont="1" applyFill="1" applyBorder="1" applyAlignment="1">
      <x:alignment vertical="top"/>
    </x:xf>
    <x:xf numFmtId="200" fontId="0" fillId="0" borderId="3" xfId="0" applyNumberFormat="1" applyFont="1" applyFill="1" applyBorder="1" applyAlignment="1">
      <x:alignment vertical="top"/>
    </x:xf>
    <x:xf numFmtId="0" fontId="8" fillId="4" borderId="2" xfId="0" applyNumberFormat="1" applyFont="1" applyFill="1" applyBorder="1" applyAlignment="1">
      <x:alignment vertical="center" wrapText="1"/>
    </x:xf>
    <x:xf numFmtId="200" fontId="6" fillId="0" borderId="1" xfId="0" applyNumberFormat="1" applyFont="1" applyFill="1" applyBorder="1" applyAlignment="1">
      <x:alignment vertical="top"/>
    </x:xf>
    <x:xf numFmtId="200" fontId="6" fillId="0" borderId="2" xfId="0" applyNumberFormat="1" applyFont="1" applyFill="1" applyBorder="1" applyAlignment="1">
      <x:alignment vertical="top"/>
    </x:xf>
    <x:xf numFmtId="200" fontId="6" fillId="0" borderId="3" xfId="0" applyNumberFormat="1" applyFont="1" applyFill="1" applyBorder="1" applyAlignment="1">
      <x:alignment vertical="top"/>
    </x:xf>
    <x:xf numFmtId="0" fontId="0" fillId="0" borderId="0" xfId="0">
      <x:extLst>
        <x:ext uri="{C7286773-470A-42A8-94C5-96B5CB345126}">
          <xfpb:xfComplement xmlns:xfpb="http://schemas.microsoft.com/office/spreadsheetml/2022/featurepropertybag" i="0"/>
        </x:ext>
      </x:extLst>
    </x:xf>
    <x:xf numFmtId="0" fontId="0" fillId="0" borderId="0" xfId="0" applyNumberFormat="1" applyFont="1" applyFill="1" applyBorder="1"/>
    <x:xf numFmtId="0" fontId="0" fillId="0" borderId="0" xfId="0" applyNumberFormat="1" applyFont="1" applyFill="1" applyBorder="1">
      <x:extLst>
        <x:ext uri="{C7286773-470A-42A8-94C5-96B5CB345126}">
          <xfpb:xfComplement xmlns:xfpb="http://schemas.microsoft.com/office/spreadsheetml/2022/featurepropertybag" i="0"/>
        </x:ext>
      </x:extLst>
    </x:xf>
    <x:xf numFmtId="0" fontId="0" fillId="0" borderId="0" xfId="0" applyNumberFormat="1" applyFont="1" applyFill="1" applyBorder="1" applyAlignment="1">
      <x:alignment vertical="top"/>
    </x:xf>
    <x:xf numFmtId="0" fontId="0"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202" fontId="0" fillId="0" borderId="0" xfId="0" applyNumberFormat="1" applyFont="1" applyFill="1" applyBorder="1" applyAlignment="1">
      <x:alignment vertical="top"/>
    </x:xf>
    <x:xf numFmtId="200" fontId="0" fillId="0" borderId="0" xfId="0" applyNumberFormat="1" applyFont="1" applyFill="1" applyBorder="1" applyAlignment="1">
      <x:alignment vertical="top"/>
    </x:xf>
    <x:xf numFmtId="0" fontId="0" fillId="0" borderId="0" xfId="0" applyNumberFormat="1" applyFont="1" applyFill="1" applyBorder="1" applyAlignment="1">
      <x:alignment vertical="top" wrapText="1"/>
    </x:xf>
    <x:xf numFmtId="0" fontId="6" fillId="0" borderId="0" xfId="0" applyNumberFormat="1" applyFont="1" applyFill="1" applyBorder="1" applyAlignment="1">
      <x:alignment vertical="top"/>
    </x:xf>
    <x:xf numFmtId="202" fontId="6" fillId="0" borderId="0" xfId="0" applyNumberFormat="1" applyFont="1" applyFill="1" applyBorder="1" applyAlignment="1">
      <x:alignment vertical="top"/>
    </x:xf>
    <x:xf numFmtId="200" fontId="6" fillId="0" borderId="0" xfId="0" applyNumberFormat="1" applyFont="1" applyFill="1" applyBorder="1" applyAlignment="1">
      <x:alignment vertical="top"/>
    </x:xf>
    <x:xf numFmtId="0" fontId="6" fillId="0" borderId="0"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6" fillId="0" borderId="0" xfId="0" applyNumberFormat="1" applyFont="1" applyFill="1" applyBorder="1" applyAlignment="1">
      <x:alignment vertical="top" wrapText="1"/>
    </x:xf>
    <x:xf numFmtId="0" fontId="0" fillId="0" borderId="1" xfId="0" applyNumberFormat="1" applyFont="1" applyFill="1" applyBorder="1">
      <x:extLst>
        <x:ext uri="{C7286773-470A-42A8-94C5-96B5CB345126}">
          <xfpb:xfComplement xmlns:xfpb="http://schemas.microsoft.com/office/spreadsheetml/2022/featurepropertybag" i="0"/>
        </x:ext>
      </x:extLst>
    </x:xf>
    <x:xf numFmtId="0" fontId="0" fillId="0" borderId="2" xfId="0" applyNumberFormat="1" applyFont="1" applyFill="1" applyBorder="1">
      <x:extLst>
        <x:ext uri="{C7286773-470A-42A8-94C5-96B5CB345126}">
          <xfpb:xfComplement xmlns:xfpb="http://schemas.microsoft.com/office/spreadsheetml/2022/featurepropertybag" i="0"/>
        </x:ext>
      </x:extLst>
    </x:xf>
    <x:xf numFmtId="0" fontId="0" fillId="0" borderId="3" xfId="0" applyNumberFormat="1" applyFont="1" applyFill="1" applyBorder="1">
      <x:extLst>
        <x:ext uri="{C7286773-470A-42A8-94C5-96B5CB345126}">
          <xfpb:xfComplement xmlns:xfpb="http://schemas.microsoft.com/office/spreadsheetml/2022/featurepropertybag" i="0"/>
        </x:ext>
      </x:extLst>
    </x:xf>
    <x:xf numFmtId="0" fontId="0"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0" fillId="0" borderId="1" xfId="0" applyNumberFormat="1" applyFont="1" applyFill="1" applyBorder="1" applyAlignment="1">
      <x:alignment vertical="top"/>
    </x:xf>
    <x:xf numFmtId="201" fontId="0" fillId="0" borderId="2" xfId="0" applyNumberFormat="1" applyFont="1" applyFill="1" applyBorder="1" applyAlignment="1">
      <x:alignment vertical="top"/>
    </x:xf>
    <x:xf numFmtId="201" fontId="0" fillId="0" borderId="3" xfId="0" applyNumberFormat="1" applyFont="1" applyFill="1" applyBorder="1" applyAlignment="1">
      <x:alignment vertical="top"/>
    </x:xf>
    <x:xf numFmtId="0" fontId="6" fillId="0" borderId="1"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1" xfId="0" applyNumberFormat="1" applyFont="1" applyFill="1" applyBorder="1" applyAlignment="1">
      <x:alignment vertical="top"/>
    </x:xf>
    <x:xf numFmtId="0" fontId="6" fillId="0" borderId="2"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2" xfId="0" applyNumberFormat="1" applyFont="1" applyFill="1" applyBorder="1" applyAlignment="1">
      <x:alignment vertical="top"/>
    </x:xf>
    <x:xf numFmtId="0" fontId="6" fillId="0" borderId="3" xfId="0" applyNumberFormat="1" applyFont="1" applyFill="1" applyBorder="1" applyAlignment="1">
      <x:alignment vertical="top"/>
      <x:extLst>
        <x:ext uri="{C7286773-470A-42A8-94C5-96B5CB345126}">
          <xfpb:xfComplement xmlns:xfpb="http://schemas.microsoft.com/office/spreadsheetml/2022/featurepropertybag" i="0"/>
        </x:ext>
      </x:extLst>
    </x:xf>
    <x:xf numFmtId="201" fontId="6" fillId="0" borderId="3" xfId="0" applyNumberFormat="1" applyFont="1" applyFill="1" applyBorder="1" applyAlignment="1">
      <x:alignment vertical="top"/>
    </x:xf>
    <x:xf numFmtId="202" fontId="0" fillId="0" borderId="1" xfId="0" applyNumberFormat="1" applyFont="1" applyFill="1" applyBorder="1" applyAlignment="1">
      <x:alignment vertical="top"/>
    </x:xf>
    <x:xf numFmtId="202" fontId="0" fillId="0" borderId="2" xfId="0" applyNumberFormat="1" applyFont="1" applyFill="1" applyBorder="1" applyAlignment="1">
      <x:alignment vertical="top"/>
    </x:xf>
    <x:xf numFmtId="202" fontId="0" fillId="0" borderId="3" xfId="0" applyNumberFormat="1" applyFont="1" applyFill="1" applyBorder="1" applyAlignment="1">
      <x:alignment vertical="top"/>
    </x:xf>
    <x:xf numFmtId="202" fontId="6" fillId="0" borderId="1" xfId="0" applyNumberFormat="1" applyFont="1" applyFill="1" applyBorder="1" applyAlignment="1">
      <x:alignment vertical="top"/>
    </x:xf>
    <x:xf numFmtId="202" fontId="6" fillId="0" borderId="2" xfId="0" applyNumberFormat="1" applyFont="1" applyFill="1" applyBorder="1" applyAlignment="1">
      <x:alignment vertical="top"/>
    </x:xf>
    <x:xf numFmtId="202" fontId="6" fillId="0" borderId="3" xfId="0" applyNumberFormat="1" applyFont="1" applyFill="1" applyBorder="1" applyAlignment="1">
      <x:alignment vertical="top"/>
    </x:xf>
    <x:xf numFmtId="203" fontId="0" fillId="0" borderId="1" xfId="0" applyNumberFormat="1" applyFont="1" applyFill="1" applyBorder="1" applyAlignment="1">
      <x:alignment vertical="top"/>
    </x:xf>
    <x:xf numFmtId="203" fontId="0" fillId="0" borderId="3" xfId="0" applyNumberFormat="1" applyFont="1" applyFill="1" applyBorder="1" applyAlignment="1">
      <x:alignment vertical="top"/>
    </x:xf>
    <x:xf numFmtId="203" fontId="6" fillId="0" borderId="1" xfId="0" applyNumberFormat="1" applyFont="1" applyFill="1" applyBorder="1" applyAlignment="1">
      <x:alignment vertical="top"/>
    </x:xf>
    <x:xf numFmtId="203" fontId="6" fillId="0" borderId="3" xfId="0" applyNumberFormat="1" applyFont="1" applyFill="1" applyBorder="1" applyAlignment="1">
      <x:alignment vertical="top"/>
    </x:xf>
    <x:xf numFmtId="0" fontId="0"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0"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1"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2"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6" fillId="0" borderId="3" xfId="0" applyNumberFormat="1" applyFont="1" applyFill="1" applyBorder="1" applyAlignment="1">
      <x:alignment vertical="top" wrapText="1"/>
      <x:extLst>
        <x:ext uri="{C7286773-470A-42A8-94C5-96B5CB345126}">
          <xfpb:xfComplement xmlns:xfpb="http://schemas.microsoft.com/office/spreadsheetml/2022/featurepropertybag" i="0"/>
        </x:ext>
      </x:extLst>
    </x:xf>
    <x:xf numFmtId="0" fontId="2" fillId="0" borderId="0" xfId="0" applyNumberFormat="1" applyFont="1" applyFill="1" applyBorder="1"/>
    <x:xf numFmtId="0" fontId="7" fillId="0" borderId="0" xfId="0" applyNumberFormat="1" applyFont="1" applyFill="1" applyBorder="1"/>
  </x:cellXfs>
  <x:cellStyles count="1">
    <x:cellStyle name="Normal" xfId="0"/>
  </x:cellStyles>
  <x:dxfs count="54">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
      <x:fill>
        <x:patternFill patternType="solid">
          <x:bgColor rgb="FFDCFCE7"/>
        </x:patternFill>
      </x:fill>
    </x:dxf>
    <x:dxf>
      <x:fill>
        <x:patternFill patternType="solid">
          <x:bgColor rgb="FFDCFCE7"/>
        </x:patternFill>
      </x:fill>
    </x:dxf>
    <x:dxf>
      <x:fill>
        <x:patternFill patternType="solid">
          <x:bgColor rgb="FFDCFCE7"/>
        </x:patternFill>
      </x:fill>
    </x:dxf>
    <x:dxf>
      <x:fill>
        <x:patternFill patternType="solid">
          <x:bgColor rgb="FFFEE2E2"/>
        </x:patternFill>
      </x:fill>
    </x:dxf>
    <x:dxf>
      <x:fill>
        <x:patternFill patternType="solid">
          <x:bgColor rgb="FFFEE2E2"/>
        </x:patternFill>
      </x:fill>
    </x:dxf>
    <x:dxf>
      <x:fill>
        <x:patternFill patternType="solid">
          <x:bgColor rgb="FFFEF3C7"/>
        </x:patternFill>
      </x:fill>
    </x:dxf>
  </x:dxfs>
</x:styleSheet>
</file>

<file path=xl/_rels/workbook.xml.rels>&#65279;<?xml version="1.0" encoding="utf-8"?><Relationships xmlns="http://schemas.openxmlformats.org/package/2006/relationships"><Relationship Type="http://schemas.openxmlformats.org/officeDocument/2006/relationships/styles" Target="/xl/styles.xml" Id="Rac89ce4843424455" /><Relationship Type="http://schemas.openxmlformats.org/officeDocument/2006/relationships/theme" Target="/xl/theme/theme1.xml" Id="Rcb231fd2d6be4f62" /><Relationship Type="http://schemas.microsoft.com/office/2022/11/relationships/FeaturePropertyBag" Target="/xl/featurePropertyBag/featurePropertyBag.xml" Id="R92ed2988d62a4c97" /><Relationship Type="http://schemas.openxmlformats.org/officeDocument/2006/relationships/sharedStrings" Target="/xl/sharedStrings.xml" Id="R599ef3dc58c74f84" /><Relationship Type="http://schemas.openxmlformats.org/officeDocument/2006/relationships/worksheet" Target="/xl/worksheets/sheet1.xml" Id="R1bb00602b8d345ad" /><Relationship Type="http://schemas.openxmlformats.org/officeDocument/2006/relationships/worksheet" Target="/xl/worksheets/sheet2.xml" Id="R739b535a50bc4dc4" /><Relationship Type="http://schemas.openxmlformats.org/officeDocument/2006/relationships/worksheet" Target="/xl/worksheets/sheet3.xml" Id="R3d9f856454204a13" /><Relationship Type="http://schemas.openxmlformats.org/officeDocument/2006/relationships/worksheet" Target="/xl/worksheets/sheet4.xml" Id="Rcf854b99424d4aaa" /><Relationship Type="http://schemas.openxmlformats.org/officeDocument/2006/relationships/worksheet" Target="/xl/worksheets/sheet5.xml" Id="Rdaa1baa5b54947e5" /><Relationship Type="http://schemas.openxmlformats.org/officeDocument/2006/relationships/worksheet" Target="/xl/worksheets/sheet6.xml" Id="R917ad5611abf471d" /><Relationship Type="http://schemas.openxmlformats.org/officeDocument/2006/relationships/worksheet" Target="/xl/worksheets/sheet7.xml" Id="R47be949aee544cc1" /><Relationship Type="http://schemas.openxmlformats.org/officeDocument/2006/relationships/worksheet" Target="/xl/worksheets/sheet8.xml" Id="R08e67c2278c5440a" /><Relationship Type="http://schemas.openxmlformats.org/officeDocument/2006/relationships/worksheet" Target="/xl/worksheets/sheet9.xml" Id="R4aa51b3132f44011" /><Relationship Type="http://schemas.openxmlformats.org/officeDocument/2006/relationships/worksheet" Target="/xl/worksheets/sheet10.xml" Id="R2f0bc5f36f2b407a" /><Relationship Type="http://schemas.openxmlformats.org/officeDocument/2006/relationships/worksheet" Target="/xl/worksheets/sheet11.xml" Id="R538d83b3da5c4438" /><Relationship Type="http://schemas.openxmlformats.org/officeDocument/2006/relationships/worksheet" Target="/xl/worksheets/sheet12.xml" Id="R6c022577ca794336" /><Relationship Type="http://schemas.openxmlformats.org/officeDocument/2006/relationships/worksheet" Target="/xl/worksheets/sheet13.xml" Id="R858d7d3fb7c042f8" /></Relationships>
</file>

<file path=xl/featurePropertyBag/featurePropertyBag.xml><?xml version="1.0" encoding="utf-8"?>
<xfpb:FeaturePropertyBags xmlns:xfpb="http://schemas.microsoft.com/office/spreadsheetml/2022/featurepropertybag">
  <xfpb:bag type="Checkbox"/>
  <xfpb:bag type="XFControls">
    <xfpb:bagId k="CellControl">0</xfpb:bagId>
  </xfpb:bag>
  <xfpb:bag type="XFComplement">
    <xfpb:bagId k="XFControls">1</xfpb:bagId>
  </xfpb:bag>
  <xfpb:bag type="XFComplements" extRef="XFComplementsMapperExtRef">
    <xfpb:a k="MappedFeaturePropertyBags">
      <xfpb:bagId>2</xfpb:bagId>
    </xfpb:a>
  </xfpb:bag>
</xfpb:FeaturePropertyBags>
</file>

<file path=xl/tables/table1.xml><?xml version="1.0" encoding="utf-8"?>
<x:table xmlns:x="http://schemas.openxmlformats.org/spreadsheetml/2006/main" id="1" name="T1_README" displayName="T1_README" ref="A4:B10" headerRowCount="1" totalsRowCount="0" totalsRowShown="0">
  <x:tableColumns count="2">
    <x:tableColumn id="1" name="SECTION"/>
    <x:tableColumn id="2" name="DETAIL"/>
  </x:tableColumns>
  <x:tableStyleInfo name="TableStyleMedium2" showFirstColumn="0" showLastColumn="0" showRowStripes="1" showColumnStripes="0"/>
</x:table>
</file>

<file path=xl/tables/table2.xml><?xml version="1.0" encoding="utf-8"?>
<x:table xmlns:x="http://schemas.openxmlformats.org/spreadsheetml/2006/main" id="2" name="T2_REGULATIONQUEUE" displayName="T2_REGULATIONQUEUE" ref="A4:K317" headerRowCount="1" totalsRowCount="0" totalsRowShown="0">
  <x:tableColumns count="11">
    <x:tableColumn id="1" name="REQUIREMENT_ID"/>
    <x:tableColumn id="2" name="SOURCE"/>
    <x:tableColumn id="3" name="EDITION"/>
    <x:tableColumn id="4" name="PAGE"/>
    <x:tableColumn id="5" name="CLAUSE"/>
    <x:tableColumn id="6" name="CATEGORY"/>
    <x:tableColumn id="7" name="ACTIVE_STATUS"/>
    <x:tableColumn id="8" name="CODABILITY"/>
    <x:tableColumn id="9" name="FIGURE_DEPENDENT"/>
    <x:tableColumn id="10" name="QUEUE_ELIGIBILITY"/>
    <x:tableColumn id="11" name="RUN_STATUS"/>
  </x:tableColumns>
  <x:tableStyleInfo name="TableStyleMedium2" showFirstColumn="0" showLastColumn="0" showRowStripes="1" showColumnStripes="0"/>
</x:table>
</file>

<file path=xl/tables/table3.xml><?xml version="1.0" encoding="utf-8"?>
<x:table xmlns:x="http://schemas.openxmlformats.org/spreadsheetml/2006/main" id="3" name="T3_RUNS" displayName="T3_RUNS" ref="A4:L5" headerRowCount="1" totalsRowCount="0" totalsRowShown="0">
  <x:tableColumns count="12">
    <x:tableColumn id="1" name="SESSION_ID"/>
    <x:tableColumn id="2" name="RUN_ID"/>
    <x:tableColumn id="3" name="REQUIREMENT_ID"/>
    <x:tableColumn id="4" name="STARTED_UTC"/>
    <x:tableColumn id="5" name="FINISHED_UTC"/>
    <x:tableColumn id="6" name="PIPELINE_VERSION"/>
    <x:tableColumn id="7" name="VOCABULARY_LOCK_ID"/>
    <x:tableColumn id="8" name="ATTEMPTS"/>
    <x:tableColumn id="9" name="FINAL_STATUS"/>
    <x:tableColumn id="10" name="ACCEPTED"/>
    <x:tableColumn id="11" name="FINAL_SHAPE"/>
    <x:tableColumn id="12" name="FINAL_FEEDBACK"/>
  </x:tableColumns>
  <x:tableStyleInfo name="TableStyleMedium2" showFirstColumn="0" showLastColumn="0" showRowStripes="1" showColumnStripes="0"/>
</x:table>
</file>

<file path=xl/tables/table4.xml><?xml version="1.0" encoding="utf-8"?>
<x:table xmlns:x="http://schemas.openxmlformats.org/spreadsheetml/2006/main" id="4" name="T4_ITERATIONS" displayName="T4_ITERATIONS" ref="A4:J7" headerRowCount="1" totalsRowCount="0" totalsRowShown="0">
  <x:tableColumns count="10">
    <x:tableColumn id="1" name="RUN_ID"/>
    <x:tableColumn id="2" name="REQUIREMENT_ID"/>
    <x:tableColumn id="3" name="ITERATION"/>
    <x:tableColumn id="4" name="STATIC_VALID"/>
    <x:tableColumn id="5" name="VALIDATOR_ACCEPT"/>
    <x:tableColumn id="6" name="MATCHER_ACTIVATED"/>
    <x:tableColumn id="7" name="DECISION"/>
    <x:tableColumn id="8" name="FEEDBACK"/>
    <x:tableColumn id="9" name="GENERATOR_ELAPSED_MS"/>
    <x:tableColumn id="10" name="VALIDATOR_ELAPSED_MS"/>
  </x:tableColumns>
  <x:tableStyleInfo name="TableStyleMedium2" showFirstColumn="0" showLastColumn="0" showRowStripes="1" showColumnStripes="0"/>
</x:table>
</file>

<file path=xl/tables/table5.xml><?xml version="1.0" encoding="utf-8"?>
<x:table xmlns:x="http://schemas.openxmlformats.org/spreadsheetml/2006/main" id="5" name="T5_APICALLS" displayName="T5_APICALLS" ref="A4:P16" headerRowCount="1" totalsRowCount="0" totalsRowShown="0">
  <x:tableColumns count="16">
    <x:tableColumn id="1" name="EVENT_ID"/>
    <x:tableColumn id="2" name="RUN_ID"/>
    <x:tableColumn id="3" name="REQUIREMENT_ID"/>
    <x:tableColumn id="4" name="TIMESTAMP_UTC"/>
    <x:tableColumn id="5" name="ROLE"/>
    <x:tableColumn id="6" name="MODEL"/>
    <x:tableColumn id="7" name="TRANSPORT_ATTEMPT"/>
    <x:tableColumn id="8" name="STATUS"/>
    <x:tableColumn id="9" name="AUTH_HEADER_NAME"/>
    <x:tableColumn id="10" name="RATE_LIMIT_WAIT_MS"/>
    <x:tableColumn id="11" name="ELAPSED_MS"/>
    <x:tableColumn id="12" name="RETRYING"/>
    <x:tableColumn id="13" name="RESPONSE_ID"/>
    <x:tableColumn id="14" name="INPUT_TOKENS"/>
    <x:tableColumn id="15" name="OUTPUT_TOKENS"/>
    <x:tableColumn id="16" name="TOTAL_TOKENS"/>
  </x:tableColumns>
  <x:tableStyleInfo name="TableStyleMedium2" showFirstColumn="0" showLastColumn="0" showRowStripes="1" showColumnStripes="0"/>
</x:table>
</file>

<file path=xl/tables/table6.xml><?xml version="1.0" encoding="utf-8"?>
<x:table xmlns:x="http://schemas.openxmlformats.org/spreadsheetml/2006/main" id="6" name="T6_TERMRETRIEVAL" displayName="T6_TERMRETRIEVAL" ref="A4:J15" headerRowCount="1" totalsRowCount="0" totalsRowShown="0">
  <x:tableColumns count="10">
    <x:tableColumn id="1" name="RUN_ID"/>
    <x:tableColumn id="2" name="REQUIREMENT_ID"/>
    <x:tableColumn id="3" name="LOCAL_NAME"/>
    <x:tableColumn id="4" name="IRI"/>
    <x:tableColumn id="5" name="KIND"/>
    <x:tableColumn id="6" name="DATATYPE"/>
    <x:tableColumn id="7" name="RANGE"/>
    <x:tableColumn id="8" name="RECOMMENDED_UNIT"/>
    <x:tableColumn id="9" name="SELECTION_REASON"/>
    <x:tableColumn id="10" name="ITERATION_ADDED"/>
  </x:tableColumns>
  <x:tableStyleInfo name="TableStyleMedium2" showFirstColumn="0" showLastColumn="0" showRowStripes="1" showColumnStripes="0"/>
</x:table>
</file>

<file path=xl/tables/table7.xml><?xml version="1.0" encoding="utf-8"?>
<x:table xmlns:x="http://schemas.openxmlformats.org/spreadsheetml/2006/main" id="7" name="T7_FEWSHOTSELECTION" displayName="T7_FEWSHOTSELECTION" ref="A4:G6" headerRowCount="1" totalsRowCount="0" totalsRowShown="0">
  <x:tableColumns count="7">
    <x:tableColumn id="1" name="RUN_ID"/>
    <x:tableColumn id="2" name="REQUIREMENT_ID"/>
    <x:tableColumn id="3" name="EXAMPLE_ID"/>
    <x:tableColumn id="4" name="CASE_ID"/>
    <x:tableColumn id="5" name="SCORE"/>
    <x:tableColumn id="6" name="MATCHED_TAGS"/>
    <x:tableColumn id="7" name="STATUS"/>
  </x:tableColumns>
  <x:tableStyleInfo name="TableStyleMedium2" showFirstColumn="0" showLastColumn="0" showRowStripes="1" showColumnStripes="0"/>
</x:table>
</file>

<file path=xl/tables/table8.xml><?xml version="1.0" encoding="utf-8"?>
<x:table xmlns:x="http://schemas.openxmlformats.org/spreadsheetml/2006/main" id="8" name="T8_VALIDATION" displayName="T8_VALIDATION" ref="A4:Q7" headerRowCount="1" totalsRowCount="0" totalsRowShown="0">
  <x:tableColumns count="17">
    <x:tableColumn id="1" name="RUN_ID"/>
    <x:tableColumn id="2" name="REQUIREMENT_ID"/>
    <x:tableColumn id="3" name="ITERATION"/>
    <x:tableColumn id="4" name="VALID"/>
    <x:tableColumn id="5" name="EXTRACTION_VALID"/>
    <x:tableColumn id="6" name="TURTLE_VALID"/>
    <x:tableColumn id="7" name="SHACL_STRUCTURE_VALID"/>
    <x:tableColumn id="8" name="META_SHACL_VALID"/>
    <x:tableColumn id="9" name="VOCABULARY_VALID"/>
    <x:tableColumn id="10" name="DATATYPE_UNIT_VALID"/>
    <x:tableColumn id="11" name="TARGET_PATH_VALID"/>
    <x:tableColumn id="12" name="ERRORS"/>
    <x:tableColumn id="13" name="WARNINGS"/>
    <x:tableColumn id="14" name="USED_CANONICAL_IRIS"/>
    <x:tableColumn id="15" name="UNKNOWN_IRIS"/>
    <x:tableColumn id="16" name="OUT_OF_SCOPE_IRIS"/>
    <x:tableColumn id="17" name="SUSPICIOUS_EXTERNAL_IRIS"/>
  </x:tableColumns>
  <x:tableStyleInfo name="TableStyleMedium2" showFirstColumn="0" showLastColumn="0" showRowStripes="1" showColumnStripes="0"/>
</x:table>
</file>

<file path=xl/tables/table9.xml><?xml version="1.0" encoding="utf-8"?>
<x:table xmlns:x="http://schemas.openxmlformats.org/spreadsheetml/2006/main" id="9" name="T10_ARTIFACTS" displayName="T10_ARTIFACTS" ref="A4:G25" headerRowCount="1" totalsRowCount="0" totalsRowShown="0">
  <x:tableColumns count="7">
    <x:tableColumn id="1" name="RUN_ID"/>
    <x:tableColumn id="2" name="REQUIREMENT_ID"/>
    <x:tableColumn id="3" name="ITERATION"/>
    <x:tableColumn id="4" name="ARTIFACT_TYPE"/>
    <x:tableColumn id="5" name="ARTIFACT_PATH"/>
    <x:tableColumn id="6" name="SHA256"/>
    <x:tableColumn id="7" name="BYTES"/>
  </x:tableColumns>
  <x:tableStyleInfo name="TableStyleMedium2" showFirstColumn="0" showLastColumn="0" showRowStripes="1" showColumnStripes="0"/>
</x:table>
</file>

<file path=xl/tables/table10.xml><?xml version="1.0" encoding="utf-8"?>
<x:table xmlns:x="http://schemas.openxmlformats.org/spreadsheetml/2006/main" id="10" name="T12_RDFTESTQUEUE" displayName="T12_RDFTESTQUEUE" ref="A4:F5" headerRowCount="1" totalsRowCount="0" totalsRowShown="0">
  <x:tableColumns count="6">
    <x:tableColumn id="1" name="RUN_ID"/>
    <x:tableColumn id="2" name="REQUIREMENT_ID"/>
    <x:tableColumn id="3" name="FINAL_SHAPE"/>
    <x:tableColumn id="4" name="GENERATION_STATUS"/>
    <x:tableColumn id="5" name="RDF_EVALUATION_STATUS"/>
    <x:tableColumn id="6" name="NOTES"/>
  </x:tableColumns>
  <x:tableStyleInfo name="TableStyleMedium2" showFirstColumn="0" showLastColumn="0" showRowStripes="1" showColumnStripes="0"/>
</x:table>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_rels/sheet2.xml.rels>&#65279;<?xml version="1.0" encoding="utf-8"?><Relationships xmlns="http://schemas.openxmlformats.org/package/2006/relationships"><Relationship Type="http://schemas.openxmlformats.org/officeDocument/2006/relationships/table" Target="/xl/tables/table1.xml" Id="Rbdedc621b00849d2" /></Relationships>
</file>

<file path=xl/worksheets/_rels/sheet3.xml.rels>&#65279;<?xml version="1.0" encoding="utf-8"?><Relationships xmlns="http://schemas.openxmlformats.org/package/2006/relationships"><Relationship Type="http://schemas.openxmlformats.org/officeDocument/2006/relationships/table" Target="/xl/tables/table2.xml" Id="Rb0708f2136c745f6" /></Relationships>
</file>

<file path=xl/worksheets/_rels/sheet4.xml.rels>&#65279;<?xml version="1.0" encoding="utf-8"?><Relationships xmlns="http://schemas.openxmlformats.org/package/2006/relationships"><Relationship Type="http://schemas.openxmlformats.org/officeDocument/2006/relationships/table" Target="/xl/tables/table3.xml" Id="Ra2a6a49484a34839" /></Relationships>
</file>

<file path=xl/worksheets/_rels/sheet5.xml.rels>&#65279;<?xml version="1.0" encoding="utf-8"?><Relationships xmlns="http://schemas.openxmlformats.org/package/2006/relationships"><Relationship Type="http://schemas.openxmlformats.org/officeDocument/2006/relationships/table" Target="/xl/tables/table4.xml" Id="R8b56903f86494a30" /></Relationships>
</file>

<file path=xl/worksheets/_rels/sheet6.xml.rels>&#65279;<?xml version="1.0" encoding="utf-8"?><Relationships xmlns="http://schemas.openxmlformats.org/package/2006/relationships"><Relationship Type="http://schemas.openxmlformats.org/officeDocument/2006/relationships/table" Target="/xl/tables/table5.xml" Id="R16d5974a6cef4a91" /></Relationships>
</file>

<file path=xl/worksheets/_rels/sheet7.xml.rels>&#65279;<?xml version="1.0" encoding="utf-8"?><Relationships xmlns="http://schemas.openxmlformats.org/package/2006/relationships"><Relationship Type="http://schemas.openxmlformats.org/officeDocument/2006/relationships/table" Target="/xl/tables/table6.xml" Id="R615ff96ae8c44a0c" /></Relationships>
</file>

<file path=xl/worksheets/_rels/sheet8.xml.rels>&#65279;<?xml version="1.0" encoding="utf-8"?><Relationships xmlns="http://schemas.openxmlformats.org/package/2006/relationships"><Relationship Type="http://schemas.openxmlformats.org/officeDocument/2006/relationships/table" Target="/xl/tables/table7.xml" Id="Rf28220571acb4922" /></Relationships>
</file>

<file path=xl/worksheets/_rels/sheet9.xml.rels>&#65279;<?xml version="1.0" encoding="utf-8"?><Relationships xmlns="http://schemas.openxmlformats.org/package/2006/relationships"><Relationship Type="http://schemas.openxmlformats.org/officeDocument/2006/relationships/table" Target="/xl/tables/table8.xml" Id="Radc4b66524ab4793" /></Relationships>
</file>

<file path=xl/worksheets/_rels/sheet11.xml.rels>&#65279;<?xml version="1.0" encoding="utf-8"?><Relationships xmlns="http://schemas.openxmlformats.org/package/2006/relationships"><Relationship Type="http://schemas.openxmlformats.org/officeDocument/2006/relationships/table" Target="/xl/tables/table9.xml" Id="R53bf78e1a3444e1b" /></Relationships>
</file>

<file path=xl/worksheets/_rels/sheet13.xml.rels>&#65279;<?xml version="1.0" encoding="utf-8"?><Relationships xmlns="http://schemas.openxmlformats.org/package/2006/relationships"><Relationship Type="http://schemas.openxmlformats.org/officeDocument/2006/relationships/table" Target="/xl/tables/table10.xml" Id="Rd457fd98a0c14afa" /></Relationships>
</file>

<file path=xl/worksheets/sheet1.xml><?xml version="1.0" encoding="utf-8"?>
<x:worksheet xmlns:x="http://schemas.openxmlformats.org/spreadsheetml/2006/main">
  <x:sheetViews>
    <x:sheetView showGridLines="0" workbookViewId="0"/>
  </x:sheetViews>
  <x:sheetFormatPr defaultRowHeight="15"/>
  <x:cols>
    <x:col min="1" max="1" width="24" hidden="0" customWidth="1"/>
    <x:col min="2" max="2" width="78" hidden="0" customWidth="1"/>
    <x:col min="3" max="3" width="8" hidden="0" customWidth="1"/>
    <x:col min="4" max="4" width="8" hidden="0" customWidth="1"/>
  </x:cols>
  <x:sheetData>
    <x:row r="1">
      <x:c r="A1" s="18" t="str">
        <x:v>NLTL SHACL Pipeline Run Tracker</x:v>
      </x:c>
      <x:c r="B1" s="19"/>
      <x:c r="C1" s="19"/>
      <x:c r="D1" s="19"/>
    </x:row>
    <x:row r="2">
      <x:c r="A2" s="20" t="str">
        <x:v>Run folder: RUN-IMO-062-20260827T205554837770Z</x:v>
      </x:c>
      <x:c r="B2" s="20"/>
      <x:c r="C2" s="20"/>
      <x:c r="D2" s="20"/>
    </x:row>
    <x:row r="3">
      <x:c r="A3" s="21"/>
      <x:c r="B3" s="21"/>
      <x:c r="C3" s="21"/>
      <x:c r="D3" s="21"/>
    </x:row>
    <x:row r="4">
      <x:c r="A4" s="22" t="str">
        <x:v>METRIC</x:v>
      </x:c>
      <x:c r="B4" s="22" t="str">
        <x:v>VALUE</x:v>
      </x:c>
      <x:c r="C4" s="21"/>
      <x:c r="D4" s="21"/>
    </x:row>
    <x:row r="5">
      <x:c r="A5" s="23" t="str">
        <x:v>Requirements tracked</x:v>
      </x:c>
      <x:c r="B5" s="24" t="n">
        <x:f>COUNTA('REGULATION_QUEUE'!$A$5:$A$317)</x:f>
        <x:v>313</x:v>
      </x:c>
      <x:c r="C5" s="21"/>
      <x:c r="D5" s="21"/>
    </x:row>
    <x:row r="6">
      <x:c r="A6" s="25" t="str">
        <x:v>Generation eligible</x:v>
      </x:c>
      <x:c r="B6" s="26" t="n">
        <x:f>COUNTIF('REGULATION_QUEUE'!$J$5:$J$317,"ELIGIBLE")</x:f>
        <x:v>268</x:v>
      </x:c>
      <x:c r="C6" s="21"/>
      <x:c r="D6" s="21"/>
    </x:row>
    <x:row r="7">
      <x:c r="A7" s="25" t="str">
        <x:v>Runs represented</x:v>
      </x:c>
      <x:c r="B7" s="26" t="n">
        <x:f>COUNTA('RUNS'!$A$5:$A$5)</x:f>
        <x:v>1</x:v>
      </x:c>
      <x:c r="C7" s="21"/>
      <x:c r="D7" s="21"/>
    </x:row>
    <x:row r="8">
      <x:c r="A8" s="25" t="str">
        <x:v>Accepted runs</x:v>
      </x:c>
      <x:c r="B8" s="26" t="n">
        <x:f>COUNTIF('RUNS'!$I$5:$I$5,"GENERATION_ACCEPTED")</x:f>
        <x:v>1</x:v>
      </x:c>
      <x:c r="C8" s="21"/>
      <x:c r="D8" s="21"/>
    </x:row>
    <x:row r="9">
      <x:c r="A9" s="25" t="str">
        <x:v>API/LLM records</x:v>
      </x:c>
      <x:c r="B9" s="26" t="n">
        <x:f>COUNTA('API_CALLS'!$A$5:$A$16)</x:f>
        <x:v>12</x:v>
      </x:c>
      <x:c r="C9" s="21"/>
      <x:c r="D9" s="21"/>
    </x:row>
    <x:row r="10">
      <x:c r="A10" s="27" t="str">
        <x:v>Mean API/LLM elapsed ms</x:v>
      </x:c>
      <x:c r="B10" s="28" t="n">
        <x:f>IFERROR(AVERAGE('API_CALLS'!$K$5:$K$16),0)</x:f>
        <x:v>12652.394916666666</x:v>
      </x:c>
      <x:c r="C10" s="21"/>
      <x:c r="D10" s="21"/>
    </x:row>
    <x:row r="11">
      <x:c r="A11" s="21"/>
      <x:c r="B11" s="21"/>
      <x:c r="C11" s="21"/>
      <x:c r="D11" s="21"/>
    </x:row>
    <x:row r="12" ht="38" customHeight="1">
      <x:c r="A12" s="29" t="str">
        <x:v>INTERPRETATION</x:v>
      </x:c>
      <x:c r="B12" s="30" t="str">
        <x:v>Generation acceptance means syntax, structure, vocabulary, datatype/unit, target/path, and semantic review passed. It is not an RDF ship-compliance verdict.</x:v>
      </x:c>
      <x:c r="C12" s="30" t="str"/>
      <x:c r="D12" s="30" t="str"/>
    </x:row>
    <x:row r="13" ht="38" customHeight="1">
      <x:c r="A13" s="29" t="str">
        <x:v>NEXT GATE</x:v>
      </x:c>
      <x:c r="B13" s="30" t="str">
        <x:v>Accepted shapes remain in RDF_TEST_QUEUE until the separate evaluator is run.</x:v>
      </x:c>
      <x:c r="C13" s="30" t="str"/>
      <x:c r="D13" s="30" t="str"/>
    </x:row>
    <x:row r="14" ht="38" customHeight="1">
      <x:c r="A14" s="29" t="str">
        <x:v>RAW AUDIT</x:v>
      </x:c>
      <x:c r="B14" s="30" t="str">
        <x:v>events.jsonl is the durable append-only record for this run.</x:v>
      </x:c>
      <x:c r="C14" s="30" t="str"/>
      <x:c r="D14" s="30" t="str"/>
    </x:row>
    <x:row r="15" ht="38" customHeight="1">
      <x:c r="A15" s="29" t="str">
        <x:v>LOCKING</x:v>
      </x:c>
      <x:c r="B15" s="30" t="str">
        <x:v>Only final/final_shape.ttl is the accepted candidate artifact.</x:v>
      </x:c>
      <x:c r="C15" s="30" t="str"/>
      <x:c r="D15" s="30" t="str"/>
    </x:row>
  </x:sheetData>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17" hidden="0" customWidth="1"/>
    <x:col min="2" max="2" width="52" hidden="0" customWidth="1"/>
  </x:cols>
  <x:sheetData>
    <x:row r="1">
      <x:c r="A1" s="18" t="str">
        <x:v>NLTL SHACL Pipeline Run Tracker</x:v>
      </x:c>
      <x:c r="B1" s="19"/>
    </x:row>
    <x:row r="2">
      <x:c r="A2" s="20" t="str">
        <x:v>README | Run folder: RUN-IMO-062-20260827T205554837770Z</x:v>
      </x:c>
      <x:c r="B2" s="20"/>
    </x:row>
    <x:row r="3">
      <x:c r="A3" s="21"/>
      <x:c r="B3" s="21"/>
    </x:row>
    <x:row r="4" ht="30" customHeight="1">
      <x:c r="A4" s="43" t="str">
        <x:v>SECTION</x:v>
      </x:c>
      <x:c r="B4" s="44" t="str">
        <x:v>DETAIL</x:v>
      </x:c>
    </x:row>
    <x:row r="5">
      <x:c r="A5" s="45" t="str">
        <x:v>PURPOSE</x:v>
      </x:c>
      <x:c r="B5" s="46" t="str">
        <x:v>Traceability view for one regulation-to-SHACL generation run.</x:v>
      </x:c>
    </x:row>
    <x:row r="6">
      <x:c r="A6" s="47" t="str">
        <x:v>BOUNDARY</x:v>
      </x:c>
      <x:c r="B6" s="48" t="str">
        <x:v>Generation is frozen before RDF execution; no ship graph or hidden expected outcome is used here.</x:v>
      </x:c>
    </x:row>
    <x:row r="7">
      <x:c r="A7" s="47" t="str">
        <x:v>SOURCE OF TRUTH</x:v>
      </x:c>
      <x:c r="B7" s="48" t="str">
        <x:v>events.jsonl is append-only; CSV and Excel sheets are derived views.</x:v>
      </x:c>
    </x:row>
    <x:row r="8">
      <x:c r="A8" s="47" t="str">
        <x:v>ACCEPTED</x:v>
      </x:c>
      <x:c r="B8" s="48" t="str">
        <x:v>Static validation passed and the semantic validator accepted the candidate.</x:v>
      </x:c>
    </x:row>
    <x:row r="9">
      <x:c r="A9" s="47" t="str">
        <x:v>VOCABULARY_GAP</x:v>
      </x:c>
      <x:c r="B9" s="48" t="str">
        <x:v>No verified canonical term was available; the generator was not allowed to invent one.</x:v>
      </x:c>
    </x:row>
    <x:row r="10">
      <x:c r="A10" s="49" t="str">
        <x:v>RDF TEST QUEUE</x:v>
      </x:c>
      <x:c r="B10" s="50" t="str">
        <x:v>Accepted shapes await the separate bulk evaluator.</x:v>
      </x:c>
    </x:row>
  </x:sheetData>
  <x:pageMargins left="0.7" right="0.7" top="0.75" bottom="0.75" header="0.3" footer="0.3"/>
  <x:tableParts count="1">
    <x:tablePart xmlns:r="http://schemas.openxmlformats.org/officeDocument/2006/relationships" r:id="Rbdedc621b00849d2"/>
  </x:tableParts>
</x:worksheet>
</file>

<file path=xl/worksheets/sheet3.xml><?xml version="1.0" encoding="utf-8"?>
<x:worksheet xmlns:x="http://schemas.openxmlformats.org/spreadsheetml/2006/main">
  <x:sheetViews>
    <x:sheetView showGridLines="0" workbookViewId="0"/>
  </x:sheetViews>
  <x:sheetFormatPr defaultRowHeight="15"/>
  <x:cols>
    <x:col min="1" max="1" width="18" hidden="0" customWidth="1"/>
    <x:col min="2" max="2" width="52" hidden="0" customWidth="1"/>
    <x:col min="3" max="3" width="24" hidden="0" customWidth="1"/>
    <x:col min="4" max="4" width="11" hidden="0" customWidth="1"/>
    <x:col min="5" max="5" width="24" hidden="0" customWidth="1"/>
    <x:col min="6" max="6" width="20" hidden="0" customWidth="1"/>
    <x:col min="7" max="7" width="42" hidden="0" customWidth="1"/>
    <x:col min="8" max="8" width="20" hidden="0" customWidth="1"/>
    <x:col min="9" max="9" width="18" hidden="0" customWidth="1"/>
    <x:col min="10" max="10" width="19" hidden="0" customWidth="1"/>
    <x:col min="11" max="11" width="21" hidden="0" customWidth="1"/>
  </x:cols>
  <x:sheetData>
    <x:row r="1">
      <x:c r="A1" s="18" t="str">
        <x:v>NLTL SHACL Pipeline Run Tracker</x:v>
      </x:c>
      <x:c r="B1" s="19"/>
      <x:c r="C1" s="19"/>
      <x:c r="D1" s="19"/>
      <x:c r="E1" s="19"/>
      <x:c r="F1" s="19"/>
      <x:c r="G1" s="19"/>
      <x:c r="H1" s="19"/>
      <x:c r="I1" s="19"/>
      <x:c r="J1" s="19"/>
      <x:c r="K1" s="19"/>
    </x:row>
    <x:row r="2">
      <x:c r="A2" s="20" t="str">
        <x:v>REGULATION_QUEUE | Run folder: RUN-IMO-062-20260827T205554837770Z</x:v>
      </x:c>
      <x:c r="B2" s="20"/>
      <x:c r="C2" s="20"/>
      <x:c r="D2" s="20"/>
      <x:c r="E2" s="20"/>
      <x:c r="F2" s="20"/>
      <x:c r="G2" s="20"/>
      <x:c r="H2" s="20"/>
      <x:c r="I2" s="20"/>
      <x:c r="J2" s="20"/>
      <x:c r="K2" s="20"/>
    </x:row>
    <x:row r="3">
      <x:c r="A3" s="21"/>
      <x:c r="B3" s="21"/>
      <x:c r="C3" s="21"/>
      <x:c r="D3" s="21"/>
      <x:c r="E3" s="21"/>
      <x:c r="F3" s="21"/>
      <x:c r="G3" s="21"/>
      <x:c r="H3" s="21"/>
      <x:c r="I3" s="21"/>
      <x:c r="J3" s="21"/>
      <x:c r="K3" s="21"/>
    </x:row>
    <x:row r="4" ht="30" customHeight="1">
      <x:c r="A4" s="43" t="str">
        <x:v>REQUIREMENT_ID</x:v>
      </x:c>
      <x:c r="B4" s="57" t="str">
        <x:v>SOURCE</x:v>
      </x:c>
      <x:c r="C4" s="57" t="str">
        <x:v>EDITION</x:v>
      </x:c>
      <x:c r="D4" s="57" t="str">
        <x:v>PAGE</x:v>
      </x:c>
      <x:c r="E4" s="57" t="str">
        <x:v>CLAUSE</x:v>
      </x:c>
      <x:c r="F4" s="57" t="str">
        <x:v>CATEGORY</x:v>
      </x:c>
      <x:c r="G4" s="57" t="str">
        <x:v>ACTIVE_STATUS</x:v>
      </x:c>
      <x:c r="H4" s="57" t="str">
        <x:v>CODABILITY</x:v>
      </x:c>
      <x:c r="I4" s="57" t="str">
        <x:v>FIGURE_DEPENDENT</x:v>
      </x:c>
      <x:c r="J4" s="57" t="str">
        <x:v>QUEUE_ELIGIBILITY</x:v>
      </x:c>
      <x:c r="K4" s="44" t="str">
        <x:v>RUN_STATUS</x:v>
      </x:c>
    </x:row>
    <x:row r="5">
      <x:c r="A5" s="45" t="str">
        <x:v>I2-001</x:v>
      </x:c>
      <x:c r="B5" s="46" t="str">
        <x:v>UR I2 Structural Requirements for Polar Class Ships</x:v>
      </x:c>
      <x:c r="C5" s="45" t="str">
        <x:v>Rev.4 Dec 2019</x:v>
      </x:c>
      <x:c r="D5" s="58" t="n">
        <x:v>1</x:v>
      </x:c>
      <x:c r="E5" s="45" t="str">
        <x:v>I2.1.1 Note 6</x:v>
      </x:c>
      <x:c r="F5" s="45" t="str">
        <x:v>Static</x:v>
      </x:c>
      <x:c r="G5" s="46" t="str">
        <x:v>Stage 2 candidate - direct/deterministic</x:v>
      </x:c>
      <x:c r="H5" s="45" t="str">
        <x:v>High</x:v>
      </x:c>
      <x:c r="I5" s="45" t="str">
        <x:v>No</x:v>
      </x:c>
      <x:c r="J5" s="45" t="str">
        <x:v>ELIGIBLE</x:v>
      </x:c>
      <x:c r="K5" s="45" t="str">
        <x:v>NOT_RUN</x:v>
      </x:c>
    </x:row>
    <x:row r="6">
      <x:c r="A6" s="47" t="str">
        <x:v>I2-002</x:v>
      </x:c>
      <x:c r="B6" s="48" t="str">
        <x:v>UR I2 Structural Requirements for Polar Class Ships</x:v>
      </x:c>
      <x:c r="C6" s="47" t="str">
        <x:v>Rev.4 Dec 2019</x:v>
      </x:c>
      <x:c r="D6" s="59" t="n">
        <x:v>1</x:v>
      </x:c>
      <x:c r="E6" s="47" t="str">
        <x:v>I2.1.1</x:v>
      </x:c>
      <x:c r="F6" s="47" t="str">
        <x:v>Static</x:v>
      </x:c>
      <x:c r="G6" s="48" t="str">
        <x:v>Deferred - scope-only requirement</x:v>
      </x:c>
      <x:c r="H6" s="47" t="str">
        <x:v>Deferred</x:v>
      </x:c>
      <x:c r="I6" s="47" t="str">
        <x:v>No</x:v>
      </x:c>
      <x:c r="J6" s="47" t="str">
        <x:v>DEFERRED</x:v>
      </x:c>
      <x:c r="K6" s="47" t="str">
        <x:v>NOT_RUN</x:v>
      </x:c>
    </x:row>
    <x:row r="7">
      <x:c r="A7" s="47" t="str">
        <x:v>I2-003</x:v>
      </x:c>
      <x:c r="B7" s="48" t="str">
        <x:v>UR I2 Structural Requirements for Polar Class Ships</x:v>
      </x:c>
      <x:c r="C7" s="47" t="str">
        <x:v>Rev.4 Dec 2019</x:v>
      </x:c>
      <x:c r="D7" s="59" t="n">
        <x:v>1</x:v>
      </x:c>
      <x:c r="E7" s="47" t="str">
        <x:v>I2.1.2.1</x:v>
      </x:c>
      <x:c r="F7" s="47" t="str">
        <x:v>Static Calculation</x:v>
      </x:c>
      <x:c r="G7" s="48" t="str">
        <x:v>Deferred - existing vocabulary insufficient</x:v>
      </x:c>
      <x:c r="H7" s="47" t="str">
        <x:v>Deferred</x:v>
      </x:c>
      <x:c r="I7" s="47" t="str">
        <x:v>No</x:v>
      </x:c>
      <x:c r="J7" s="47" t="str">
        <x:v>DEFERRED</x:v>
      </x:c>
      <x:c r="K7" s="47" t="str">
        <x:v>NOT_RUN</x:v>
      </x:c>
    </x:row>
    <x:row r="8">
      <x:c r="A8" s="47" t="str">
        <x:v>I2-004</x:v>
      </x:c>
      <x:c r="B8" s="48" t="str">
        <x:v>UR I2 Structural Requirements for Polar Class Ships</x:v>
      </x:c>
      <x:c r="C8" s="47" t="str">
        <x:v>Rev.4 Dec 2019</x:v>
      </x:c>
      <x:c r="D8" s="59" t="n">
        <x:v>1</x:v>
      </x:c>
      <x:c r="E8" s="47" t="str">
        <x:v>I2.1.2.2</x:v>
      </x:c>
      <x:c r="F8" s="47" t="str">
        <x:v>Static</x:v>
      </x:c>
      <x:c r="G8" s="48" t="str">
        <x:v>Stage 2 candidate - direct/deterministic</x:v>
      </x:c>
      <x:c r="H8" s="47" t="str">
        <x:v>High</x:v>
      </x:c>
      <x:c r="I8" s="47" t="str">
        <x:v>No</x:v>
      </x:c>
      <x:c r="J8" s="47" t="str">
        <x:v>ELIGIBLE</x:v>
      </x:c>
      <x:c r="K8" s="47" t="str">
        <x:v>NOT_RUN</x:v>
      </x:c>
    </x:row>
    <x:row r="9">
      <x:c r="A9" s="47" t="str">
        <x:v>I2-005</x:v>
      </x:c>
      <x:c r="B9" s="48" t="str">
        <x:v>UR I2 Structural Requirements for Polar Class Ships</x:v>
      </x:c>
      <x:c r="C9" s="47" t="str">
        <x:v>Rev.4 Dec 2019</x:v>
      </x:c>
      <x:c r="D9" s="59" t="n">
        <x:v>2</x:v>
      </x:c>
      <x:c r="E9" s="47" t="str">
        <x:v>I2.2.5</x:v>
      </x:c>
      <x:c r="F9" s="47" t="str">
        <x:v>Static</x:v>
      </x:c>
      <x:c r="G9" s="48" t="str">
        <x:v>Stage 2 candidate - direct/deterministic</x:v>
      </x:c>
      <x:c r="H9" s="47" t="str">
        <x:v>High</x:v>
      </x:c>
      <x:c r="I9" s="47" t="str">
        <x:v>No</x:v>
      </x:c>
      <x:c r="J9" s="47" t="str">
        <x:v>ELIGIBLE</x:v>
      </x:c>
      <x:c r="K9" s="47" t="str">
        <x:v>NOT_RUN</x:v>
      </x:c>
    </x:row>
    <x:row r="10">
      <x:c r="A10" s="47" t="str">
        <x:v>I2-006</x:v>
      </x:c>
      <x:c r="B10" s="48" t="str">
        <x:v>UR I2 Structural Requirements for Polar Class Ships</x:v>
      </x:c>
      <x:c r="C10" s="47" t="str">
        <x:v>Rev.4 Dec 2019</x:v>
      </x:c>
      <x:c r="D10" s="59" t="n">
        <x:v>2</x:v>
      </x:c>
      <x:c r="E10" s="47" t="str">
        <x:v>I2.2.6</x:v>
      </x:c>
      <x:c r="F10" s="47" t="str">
        <x:v>Static</x:v>
      </x:c>
      <x:c r="G10" s="48" t="str">
        <x:v>Stage 2 candidate - direct/deterministic</x:v>
      </x:c>
      <x:c r="H10" s="47" t="str">
        <x:v>High</x:v>
      </x:c>
      <x:c r="I10" s="47" t="str">
        <x:v>No</x:v>
      </x:c>
      <x:c r="J10" s="47" t="str">
        <x:v>ELIGIBLE</x:v>
      </x:c>
      <x:c r="K10" s="47" t="str">
        <x:v>NOT_RUN</x:v>
      </x:c>
    </x:row>
    <x:row r="11">
      <x:c r="A11" s="47" t="str">
        <x:v>I2-008</x:v>
      </x:c>
      <x:c r="B11" s="48" t="str">
        <x:v>UR I2 Structural Requirements for Polar Class Ships</x:v>
      </x:c>
      <x:c r="C11" s="47" t="str">
        <x:v>Rev.4 Dec 2019</x:v>
      </x:c>
      <x:c r="D11" s="59" t="n">
        <x:v>3</x:v>
      </x:c>
      <x:c r="E11" s="47" t="str">
        <x:v>I2.3.1</x:v>
      </x:c>
      <x:c r="F11" s="47" t="str">
        <x:v>Complex</x:v>
      </x:c>
      <x:c r="G11" s="48" t="str">
        <x:v>Stage 2 candidate - complex readiness</x:v>
      </x:c>
      <x:c r="H11" s="47" t="str">
        <x:v>Complex readiness</x:v>
      </x:c>
      <x:c r="I11" s="47" t="str">
        <x:v>No</x:v>
      </x:c>
      <x:c r="J11" s="47" t="str">
        <x:v>ELIGIBLE</x:v>
      </x:c>
      <x:c r="K11" s="47" t="str">
        <x:v>NOT_RUN</x:v>
      </x:c>
    </x:row>
    <x:row r="12">
      <x:c r="A12" s="47" t="str">
        <x:v>I2-009</x:v>
      </x:c>
      <x:c r="B12" s="48" t="str">
        <x:v>UR I2 Structural Requirements for Polar Class Ships</x:v>
      </x:c>
      <x:c r="C12" s="47" t="str">
        <x:v>Rev.4 Dec 2019</x:v>
      </x:c>
      <x:c r="D12" s="59" t="n">
        <x:v>3</x:v>
      </x:c>
      <x:c r="E12" s="47" t="str">
        <x:v>I2.3.1</x:v>
      </x:c>
      <x:c r="F12" s="47" t="str">
        <x:v>Static</x:v>
      </x:c>
      <x:c r="G12" s="48" t="str">
        <x:v>Stage 2 candidate - direct static</x:v>
      </x:c>
      <x:c r="H12" s="47" t="str">
        <x:v>Direct static</x:v>
      </x:c>
      <x:c r="I12" s="47" t="str">
        <x:v>No</x:v>
      </x:c>
      <x:c r="J12" s="47" t="str">
        <x:v>ELIGIBLE</x:v>
      </x:c>
      <x:c r="K12" s="47" t="str">
        <x:v>NOT_RUN</x:v>
      </x:c>
    </x:row>
    <x:row r="13">
      <x:c r="A13" s="47" t="str">
        <x:v>I2-010</x:v>
      </x:c>
      <x:c r="B13" s="48" t="str">
        <x:v>UR I2 Structural Requirements for Polar Class Ships</x:v>
      </x:c>
      <x:c r="C13" s="47" t="str">
        <x:v>Rev.4 Dec 2019</x:v>
      </x:c>
      <x:c r="D13" s="59" t="n">
        <x:v>3</x:v>
      </x:c>
      <x:c r="E13" s="47" t="str">
        <x:v>I2.3.1</x:v>
      </x:c>
      <x:c r="F13" s="47" t="str">
        <x:v>Static</x:v>
      </x:c>
      <x:c r="G13" s="48" t="str">
        <x:v>Stage 2 candidate - direct static</x:v>
      </x:c>
      <x:c r="H13" s="47" t="str">
        <x:v>Direct static</x:v>
      </x:c>
      <x:c r="I13" s="47" t="str">
        <x:v>No</x:v>
      </x:c>
      <x:c r="J13" s="47" t="str">
        <x:v>ELIGIBLE</x:v>
      </x:c>
      <x:c r="K13" s="47" t="str">
        <x:v>NOT_RUN</x:v>
      </x:c>
    </x:row>
    <x:row r="14">
      <x:c r="A14" s="47" t="str">
        <x:v>I2-011</x:v>
      </x:c>
      <x:c r="B14" s="48" t="str">
        <x:v>UR I2 Structural Requirements for Polar Class Ships</x:v>
      </x:c>
      <x:c r="C14" s="47" t="str">
        <x:v>Rev.4 Dec 2019</x:v>
      </x:c>
      <x:c r="D14" s="59" t="n">
        <x:v>3</x:v>
      </x:c>
      <x:c r="E14" s="47" t="str">
        <x:v>I2.3.1</x:v>
      </x:c>
      <x:c r="F14" s="47" t="str">
        <x:v>Static Calculation</x:v>
      </x:c>
      <x:c r="G14" s="48" t="str">
        <x:v>Stage 2 candidate - direct/deterministic</x:v>
      </x:c>
      <x:c r="H14" s="47" t="str">
        <x:v>High</x:v>
      </x:c>
      <x:c r="I14" s="47" t="str">
        <x:v>No</x:v>
      </x:c>
      <x:c r="J14" s="47" t="str">
        <x:v>ELIGIBLE</x:v>
      </x:c>
      <x:c r="K14" s="47" t="str">
        <x:v>NOT_RUN</x:v>
      </x:c>
    </x:row>
    <x:row r="15">
      <x:c r="A15" s="47" t="str">
        <x:v>I2-013</x:v>
      </x:c>
      <x:c r="B15" s="48" t="str">
        <x:v>UR I2 Structural Requirements for Polar Class Ships</x:v>
      </x:c>
      <x:c r="C15" s="47" t="str">
        <x:v>Rev.4 Dec 2019</x:v>
      </x:c>
      <x:c r="D15" s="59" t="n">
        <x:v>3</x:v>
      </x:c>
      <x:c r="E15" s="47" t="str">
        <x:v>I2.3.1</x:v>
      </x:c>
      <x:c r="F15" s="47" t="str">
        <x:v>Complex</x:v>
      </x:c>
      <x:c r="G15" s="48" t="str">
        <x:v>Stage 2 candidate - complex readiness</x:v>
      </x:c>
      <x:c r="H15" s="47" t="str">
        <x:v>Complex readiness</x:v>
      </x:c>
      <x:c r="I15" s="47" t="str">
        <x:v>No</x:v>
      </x:c>
      <x:c r="J15" s="47" t="str">
        <x:v>ELIGIBLE</x:v>
      </x:c>
      <x:c r="K15" s="47" t="str">
        <x:v>NOT_RUN</x:v>
      </x:c>
    </x:row>
    <x:row r="16">
      <x:c r="A16" s="47" t="str">
        <x:v>I2-014</x:v>
      </x:c>
      <x:c r="B16" s="48" t="str">
        <x:v>UR I2 Structural Requirements for Polar Class Ships</x:v>
      </x:c>
      <x:c r="C16" s="47" t="str">
        <x:v>Rev.4 Dec 2019</x:v>
      </x:c>
      <x:c r="D16" s="59" t="n">
        <x:v>5</x:v>
      </x:c>
      <x:c r="E16" s="47" t="str">
        <x:v>I2.3.2.1</x:v>
      </x:c>
      <x:c r="F16" s="47" t="str">
        <x:v>Static Calculation</x:v>
      </x:c>
      <x:c r="G16" s="48" t="str">
        <x:v>Stage 2 candidate - direct/deterministic</x:v>
      </x:c>
      <x:c r="H16" s="47" t="str">
        <x:v>High</x:v>
      </x:c>
      <x:c r="I16" s="47" t="str">
        <x:v>No</x:v>
      </x:c>
      <x:c r="J16" s="47" t="str">
        <x:v>ELIGIBLE</x:v>
      </x:c>
      <x:c r="K16" s="47" t="str">
        <x:v>NOT_RUN</x:v>
      </x:c>
    </x:row>
    <x:row r="17">
      <x:c r="A17" s="47" t="str">
        <x:v>I2-015</x:v>
      </x:c>
      <x:c r="B17" s="48" t="str">
        <x:v>UR I2 Structural Requirements for Polar Class Ships</x:v>
      </x:c>
      <x:c r="C17" s="47" t="str">
        <x:v>Rev.4 Dec 2019</x:v>
      </x:c>
      <x:c r="D17" s="59" t="n">
        <x:v>5</x:v>
      </x:c>
      <x:c r="E17" s="47" t="str">
        <x:v>I2.3.2.1</x:v>
      </x:c>
      <x:c r="F17" s="47" t="str">
        <x:v>Complex</x:v>
      </x:c>
      <x:c r="G17" s="48" t="str">
        <x:v>Stage 2 candidate - complex readiness</x:v>
      </x:c>
      <x:c r="H17" s="47" t="str">
        <x:v>Complex readiness</x:v>
      </x:c>
      <x:c r="I17" s="47" t="str">
        <x:v>No</x:v>
      </x:c>
      <x:c r="J17" s="47" t="str">
        <x:v>ELIGIBLE</x:v>
      </x:c>
      <x:c r="K17" s="47" t="str">
        <x:v>NOT_RUN</x:v>
      </x:c>
    </x:row>
    <x:row r="18">
      <x:c r="A18" s="47" t="str">
        <x:v>I2-017</x:v>
      </x:c>
      <x:c r="B18" s="48" t="str">
        <x:v>UR I2 Structural Requirements for Polar Class Ships</x:v>
      </x:c>
      <x:c r="C18" s="47" t="str">
        <x:v>Rev.4 Dec 2019</x:v>
      </x:c>
      <x:c r="D18" s="59" t="n">
        <x:v>6</x:v>
      </x:c>
      <x:c r="E18" s="47" t="str">
        <x:v>I2.3.2.2</x:v>
      </x:c>
      <x:c r="F18" s="47" t="str">
        <x:v>Complex</x:v>
      </x:c>
      <x:c r="G18" s="48" t="str">
        <x:v>Stage 2 candidate - complex readiness</x:v>
      </x:c>
      <x:c r="H18" s="47" t="str">
        <x:v>Complex readiness</x:v>
      </x:c>
      <x:c r="I18" s="47" t="str">
        <x:v>No</x:v>
      </x:c>
      <x:c r="J18" s="47" t="str">
        <x:v>ELIGIBLE</x:v>
      </x:c>
      <x:c r="K18" s="47" t="str">
        <x:v>NOT_RUN</x:v>
      </x:c>
    </x:row>
    <x:row r="19">
      <x:c r="A19" s="47" t="str">
        <x:v>I2-018</x:v>
      </x:c>
      <x:c r="B19" s="48" t="str">
        <x:v>UR I2 Structural Requirements for Polar Class Ships</x:v>
      </x:c>
      <x:c r="C19" s="47" t="str">
        <x:v>Rev.4 Dec 2019</x:v>
      </x:c>
      <x:c r="D19" s="59" t="n">
        <x:v>7</x:v>
      </x:c>
      <x:c r="E19" s="47" t="str">
        <x:v>I2.3.4</x:v>
      </x:c>
      <x:c r="F19" s="47" t="str">
        <x:v>Static Calculation</x:v>
      </x:c>
      <x:c r="G19" s="48" t="str">
        <x:v>Stage 2 candidate - direct/deterministic</x:v>
      </x:c>
      <x:c r="H19" s="47" t="str">
        <x:v>Medium</x:v>
      </x:c>
      <x:c r="I19" s="47" t="str">
        <x:v>No</x:v>
      </x:c>
      <x:c r="J19" s="47" t="str">
        <x:v>ELIGIBLE</x:v>
      </x:c>
      <x:c r="K19" s="47" t="str">
        <x:v>NOT_RUN</x:v>
      </x:c>
    </x:row>
    <x:row r="20">
      <x:c r="A20" s="47" t="str">
        <x:v>I2-019</x:v>
      </x:c>
      <x:c r="B20" s="48" t="str">
        <x:v>UR I2 Structural Requirements for Polar Class Ships</x:v>
      </x:c>
      <x:c r="C20" s="47" t="str">
        <x:v>Rev.4 Dec 2019</x:v>
      </x:c>
      <x:c r="D20" s="59" t="n">
        <x:v>7</x:v>
      </x:c>
      <x:c r="E20" s="47" t="str">
        <x:v>I2.3.5</x:v>
      </x:c>
      <x:c r="F20" s="47" t="str">
        <x:v>Static Calculation</x:v>
      </x:c>
      <x:c r="G20" s="48" t="str">
        <x:v>Stage 2 candidate - direct/deterministic</x:v>
      </x:c>
      <x:c r="H20" s="47" t="str">
        <x:v>High</x:v>
      </x:c>
      <x:c r="I20" s="47" t="str">
        <x:v>No</x:v>
      </x:c>
      <x:c r="J20" s="47" t="str">
        <x:v>ELIGIBLE</x:v>
      </x:c>
      <x:c r="K20" s="47" t="str">
        <x:v>NOT_RUN</x:v>
      </x:c>
    </x:row>
    <x:row r="21">
      <x:c r="A21" s="47" t="str">
        <x:v>I2-021</x:v>
      </x:c>
      <x:c r="B21" s="48" t="str">
        <x:v>UR I2 Structural Requirements for Polar Class Ships</x:v>
      </x:c>
      <x:c r="C21" s="47" t="str">
        <x:v>Rev.4 Dec 2019</x:v>
      </x:c>
      <x:c r="D21" s="59" t="n">
        <x:v>8</x:v>
      </x:c>
      <x:c r="E21" s="47" t="str">
        <x:v>I2.4.1</x:v>
      </x:c>
      <x:c r="F21" s="47" t="str">
        <x:v>Static Calculation</x:v>
      </x:c>
      <x:c r="G21" s="48" t="str">
        <x:v>Stage 2 candidate - direct/deterministic</x:v>
      </x:c>
      <x:c r="H21" s="47" t="str">
        <x:v>Medium</x:v>
      </x:c>
      <x:c r="I21" s="47" t="str">
        <x:v>No</x:v>
      </x:c>
      <x:c r="J21" s="47" t="str">
        <x:v>ELIGIBLE</x:v>
      </x:c>
      <x:c r="K21" s="47" t="str">
        <x:v>NOT_RUN</x:v>
      </x:c>
    </x:row>
    <x:row r="22">
      <x:c r="A22" s="47" t="str">
        <x:v>I2-022</x:v>
      </x:c>
      <x:c r="B22" s="48" t="str">
        <x:v>UR I2 Structural Requirements for Polar Class Ships</x:v>
      </x:c>
      <x:c r="C22" s="47" t="str">
        <x:v>Rev.4 Dec 2019</x:v>
      </x:c>
      <x:c r="D22" s="59" t="n">
        <x:v>8</x:v>
      </x:c>
      <x:c r="E22" s="47" t="str">
        <x:v>I2.4.2</x:v>
      </x:c>
      <x:c r="F22" s="47" t="str">
        <x:v>Complex</x:v>
      </x:c>
      <x:c r="G22" s="48" t="str">
        <x:v>Stage 2 candidate - complex readiness</x:v>
      </x:c>
      <x:c r="H22" s="47" t="str">
        <x:v>Complex readiness</x:v>
      </x:c>
      <x:c r="I22" s="47" t="str">
        <x:v>No</x:v>
      </x:c>
      <x:c r="J22" s="47" t="str">
        <x:v>ELIGIBLE</x:v>
      </x:c>
      <x:c r="K22" s="47" t="str">
        <x:v>NOT_RUN</x:v>
      </x:c>
    </x:row>
    <x:row r="23">
      <x:c r="A23" s="47" t="str">
        <x:v>I2-023</x:v>
      </x:c>
      <x:c r="B23" s="48" t="str">
        <x:v>UR I2 Structural Requirements for Polar Class Ships</x:v>
      </x:c>
      <x:c r="C23" s="47" t="str">
        <x:v>Rev.4 Dec 2019</x:v>
      </x:c>
      <x:c r="D23" s="59" t="n">
        <x:v>9</x:v>
      </x:c>
      <x:c r="E23" s="47" t="str">
        <x:v>I2.4.2</x:v>
      </x:c>
      <x:c r="F23" s="47" t="str">
        <x:v>Complex</x:v>
      </x:c>
      <x:c r="G23" s="48" t="str">
        <x:v>Stage 2 candidate - complex readiness</x:v>
      </x:c>
      <x:c r="H23" s="47" t="str">
        <x:v>Complex readiness</x:v>
      </x:c>
      <x:c r="I23" s="47" t="str">
        <x:v>No</x:v>
      </x:c>
      <x:c r="J23" s="47" t="str">
        <x:v>ELIGIBLE</x:v>
      </x:c>
      <x:c r="K23" s="47" t="str">
        <x:v>NOT_RUN</x:v>
      </x:c>
    </x:row>
    <x:row r="24">
      <x:c r="A24" s="47" t="str">
        <x:v>I2-024</x:v>
      </x:c>
      <x:c r="B24" s="48" t="str">
        <x:v>UR I2 Structural Requirements for Polar Class Ships</x:v>
      </x:c>
      <x:c r="C24" s="47" t="str">
        <x:v>Rev.4 Dec 2019</x:v>
      </x:c>
      <x:c r="D24" s="59" t="n">
        <x:v>9</x:v>
      </x:c>
      <x:c r="E24" s="47" t="str">
        <x:v>I2.4.2</x:v>
      </x:c>
      <x:c r="F24" s="47" t="str">
        <x:v>Complex</x:v>
      </x:c>
      <x:c r="G24" s="48" t="str">
        <x:v>Stage 2 candidate - complex readiness</x:v>
      </x:c>
      <x:c r="H24" s="47" t="str">
        <x:v>Complex readiness</x:v>
      </x:c>
      <x:c r="I24" s="47" t="str">
        <x:v>No</x:v>
      </x:c>
      <x:c r="J24" s="47" t="str">
        <x:v>ELIGIBLE</x:v>
      </x:c>
      <x:c r="K24" s="47" t="str">
        <x:v>NOT_RUN</x:v>
      </x:c>
    </x:row>
    <x:row r="25">
      <x:c r="A25" s="47" t="str">
        <x:v>I2-026</x:v>
      </x:c>
      <x:c r="B25" s="48" t="str">
        <x:v>UR I2 Structural Requirements for Polar Class Ships</x:v>
      </x:c>
      <x:c r="C25" s="47" t="str">
        <x:v>Rev.4 Dec 2019</x:v>
      </x:c>
      <x:c r="D25" s="59" t="n">
        <x:v>10</x:v>
      </x:c>
      <x:c r="E25" s="47" t="str">
        <x:v>I2.5.3</x:v>
      </x:c>
      <x:c r="F25" s="47" t="str">
        <x:v>Static</x:v>
      </x:c>
      <x:c r="G25" s="48" t="str">
        <x:v>Stage 2 candidate - direct/deterministic</x:v>
      </x:c>
      <x:c r="H25" s="47" t="str">
        <x:v>High</x:v>
      </x:c>
      <x:c r="I25" s="47" t="str">
        <x:v>No</x:v>
      </x:c>
      <x:c r="J25" s="47" t="str">
        <x:v>ELIGIBLE</x:v>
      </x:c>
      <x:c r="K25" s="47" t="str">
        <x:v>NOT_RUN</x:v>
      </x:c>
    </x:row>
    <x:row r="26">
      <x:c r="A26" s="47" t="str">
        <x:v>I2-029</x:v>
      </x:c>
      <x:c r="B26" s="48" t="str">
        <x:v>UR I2 Structural Requirements for Polar Class Ships</x:v>
      </x:c>
      <x:c r="C26" s="47" t="str">
        <x:v>Rev.4 Dec 2019</x:v>
      </x:c>
      <x:c r="D26" s="59" t="n">
        <x:v>10</x:v>
      </x:c>
      <x:c r="E26" s="47" t="str">
        <x:v>I2.5.6</x:v>
      </x:c>
      <x:c r="F26" s="47" t="str">
        <x:v>Static</x:v>
      </x:c>
      <x:c r="G26" s="48" t="str">
        <x:v>Stage 2 candidate - direct static</x:v>
      </x:c>
      <x:c r="H26" s="47" t="str">
        <x:v>Direct static</x:v>
      </x:c>
      <x:c r="I26" s="47" t="str">
        <x:v>No</x:v>
      </x:c>
      <x:c r="J26" s="47" t="str">
        <x:v>ELIGIBLE</x:v>
      </x:c>
      <x:c r="K26" s="47" t="str">
        <x:v>NOT_RUN</x:v>
      </x:c>
    </x:row>
    <x:row r="27">
      <x:c r="A27" s="47" t="str">
        <x:v>I2-030</x:v>
      </x:c>
      <x:c r="B27" s="48" t="str">
        <x:v>UR I2 Structural Requirements for Polar Class Ships</x:v>
      </x:c>
      <x:c r="C27" s="47" t="str">
        <x:v>Rev.4 Dec 2019</x:v>
      </x:c>
      <x:c r="D27" s="59" t="n">
        <x:v>11</x:v>
      </x:c>
      <x:c r="E27" s="47" t="str">
        <x:v>I2.5.8-I2.5.9</x:v>
      </x:c>
      <x:c r="F27" s="47" t="str">
        <x:v>Complex</x:v>
      </x:c>
      <x:c r="G27" s="48" t="str">
        <x:v>Stage 2 candidate - complex readiness</x:v>
      </x:c>
      <x:c r="H27" s="47" t="str">
        <x:v>Complex readiness</x:v>
      </x:c>
      <x:c r="I27" s="47" t="str">
        <x:v>No</x:v>
      </x:c>
      <x:c r="J27" s="47" t="str">
        <x:v>ELIGIBLE</x:v>
      </x:c>
      <x:c r="K27" s="47" t="str">
        <x:v>NOT_RUN</x:v>
      </x:c>
    </x:row>
    <x:row r="28">
      <x:c r="A28" s="47" t="str">
        <x:v>I2-031</x:v>
      </x:c>
      <x:c r="B28" s="48" t="str">
        <x:v>UR I2 Structural Requirements for Polar Class Ships</x:v>
      </x:c>
      <x:c r="C28" s="47" t="str">
        <x:v>Rev.4 Dec 2019</x:v>
      </x:c>
      <x:c r="D28" s="59" t="n">
        <x:v>12</x:v>
      </x:c>
      <x:c r="E28" s="47" t="str">
        <x:v>I2.6.1</x:v>
      </x:c>
      <x:c r="F28" s="47" t="str">
        <x:v>Static</x:v>
      </x:c>
      <x:c r="G28" s="48" t="str">
        <x:v>Stage 2 candidate - direct/deterministic</x:v>
      </x:c>
      <x:c r="H28" s="47" t="str">
        <x:v>High</x:v>
      </x:c>
      <x:c r="I28" s="47" t="str">
        <x:v>No</x:v>
      </x:c>
      <x:c r="J28" s="47" t="str">
        <x:v>ELIGIBLE</x:v>
      </x:c>
      <x:c r="K28" s="47" t="str">
        <x:v>NOT_RUN</x:v>
      </x:c>
    </x:row>
    <x:row r="29">
      <x:c r="A29" s="47" t="str">
        <x:v>I2-032</x:v>
      </x:c>
      <x:c r="B29" s="48" t="str">
        <x:v>UR I2 Structural Requirements for Polar Class Ships</x:v>
      </x:c>
      <x:c r="C29" s="47" t="str">
        <x:v>Rev.4 Dec 2019</x:v>
      </x:c>
      <x:c r="D29" s="59" t="n">
        <x:v>12</x:v>
      </x:c>
      <x:c r="E29" s="47" t="str">
        <x:v>I2.6.2</x:v>
      </x:c>
      <x:c r="F29" s="47" t="str">
        <x:v>Static Calculation</x:v>
      </x:c>
      <x:c r="G29" s="48" t="str">
        <x:v>Stage 2 candidate - direct/deterministic</x:v>
      </x:c>
      <x:c r="H29" s="47" t="str">
        <x:v>Medium</x:v>
      </x:c>
      <x:c r="I29" s="47" t="str">
        <x:v>No</x:v>
      </x:c>
      <x:c r="J29" s="47" t="str">
        <x:v>ELIGIBLE</x:v>
      </x:c>
      <x:c r="K29" s="47" t="str">
        <x:v>NOT_RUN</x:v>
      </x:c>
    </x:row>
    <x:row r="30">
      <x:c r="A30" s="47" t="str">
        <x:v>I2-034</x:v>
      </x:c>
      <x:c r="B30" s="48" t="str">
        <x:v>UR I2 Structural Requirements for Polar Class Ships</x:v>
      </x:c>
      <x:c r="C30" s="47" t="str">
        <x:v>Rev.4 Dec 2019</x:v>
      </x:c>
      <x:c r="D30" s="59" t="n">
        <x:v>13</x:v>
      </x:c>
      <x:c r="E30" s="47" t="str">
        <x:v>I2.7.1</x:v>
      </x:c>
      <x:c r="F30" s="47" t="str">
        <x:v>Static</x:v>
      </x:c>
      <x:c r="G30" s="48" t="str">
        <x:v>Stage 2 candidate - direct/deterministic</x:v>
      </x:c>
      <x:c r="H30" s="47" t="str">
        <x:v>High</x:v>
      </x:c>
      <x:c r="I30" s="47" t="str">
        <x:v>No</x:v>
      </x:c>
      <x:c r="J30" s="47" t="str">
        <x:v>ELIGIBLE</x:v>
      </x:c>
      <x:c r="K30" s="47" t="str">
        <x:v>NOT_RUN</x:v>
      </x:c>
    </x:row>
    <x:row r="31">
      <x:c r="A31" s="47" t="str">
        <x:v>I2-035</x:v>
      </x:c>
      <x:c r="B31" s="48" t="str">
        <x:v>UR I2 Structural Requirements for Polar Class Ships</x:v>
      </x:c>
      <x:c r="C31" s="47" t="str">
        <x:v>Rev.4 Dec 2019</x:v>
      </x:c>
      <x:c r="D31" s="59" t="n">
        <x:v>13</x:v>
      </x:c>
      <x:c r="E31" s="47" t="str">
        <x:v>I2.7.2</x:v>
      </x:c>
      <x:c r="F31" s="47" t="str">
        <x:v>Static Calculation</x:v>
      </x:c>
      <x:c r="G31" s="48" t="str">
        <x:v>Stage 2 candidate - direct/deterministic</x:v>
      </x:c>
      <x:c r="H31" s="47" t="str">
        <x:v>Medium</x:v>
      </x:c>
      <x:c r="I31" s="47" t="str">
        <x:v>No</x:v>
      </x:c>
      <x:c r="J31" s="47" t="str">
        <x:v>ELIGIBLE</x:v>
      </x:c>
      <x:c r="K31" s="47" t="str">
        <x:v>NOT_RUN</x:v>
      </x:c>
    </x:row>
    <x:row r="32">
      <x:c r="A32" s="47" t="str">
        <x:v>I2-037</x:v>
      </x:c>
      <x:c r="B32" s="48" t="str">
        <x:v>UR I2 Structural Requirements for Polar Class Ships</x:v>
      </x:c>
      <x:c r="C32" s="47" t="str">
        <x:v>Rev.4 Dec 2019</x:v>
      </x:c>
      <x:c r="D32" s="59" t="n">
        <x:v>13</x:v>
      </x:c>
      <x:c r="E32" s="47" t="str">
        <x:v>I2.8.1</x:v>
      </x:c>
      <x:c r="F32" s="47" t="str">
        <x:v>Static</x:v>
      </x:c>
      <x:c r="G32" s="48" t="str">
        <x:v>Stage 2 candidate - direct/deterministic</x:v>
      </x:c>
      <x:c r="H32" s="47" t="str">
        <x:v>High</x:v>
      </x:c>
      <x:c r="I32" s="47" t="str">
        <x:v>No</x:v>
      </x:c>
      <x:c r="J32" s="47" t="str">
        <x:v>ELIGIBLE</x:v>
      </x:c>
      <x:c r="K32" s="47" t="str">
        <x:v>NOT_RUN</x:v>
      </x:c>
    </x:row>
    <x:row r="33">
      <x:c r="A33" s="47" t="str">
        <x:v>I2-040</x:v>
      </x:c>
      <x:c r="B33" s="48" t="str">
        <x:v>UR I2 Structural Requirements for Polar Class Ships</x:v>
      </x:c>
      <x:c r="C33" s="47" t="str">
        <x:v>Rev.4 Dec 2019</x:v>
      </x:c>
      <x:c r="D33" s="59" t="n">
        <x:v>14</x:v>
      </x:c>
      <x:c r="E33" s="47" t="str">
        <x:v>I2.9.1</x:v>
      </x:c>
      <x:c r="F33" s="47" t="str">
        <x:v>Complex</x:v>
      </x:c>
      <x:c r="G33" s="48" t="str">
        <x:v>Stage 2 candidate - complex readiness</x:v>
      </x:c>
      <x:c r="H33" s="47" t="str">
        <x:v>Complex readiness</x:v>
      </x:c>
      <x:c r="I33" s="47" t="str">
        <x:v>No</x:v>
      </x:c>
      <x:c r="J33" s="47" t="str">
        <x:v>ELIGIBLE</x:v>
      </x:c>
      <x:c r="K33" s="47" t="str">
        <x:v>NOT_RUN</x:v>
      </x:c>
    </x:row>
    <x:row r="34">
      <x:c r="A34" s="47" t="str">
        <x:v>I2-041</x:v>
      </x:c>
      <x:c r="B34" s="48" t="str">
        <x:v>UR I2 Structural Requirements for Polar Class Ships</x:v>
      </x:c>
      <x:c r="C34" s="47" t="str">
        <x:v>Rev.4 Dec 2019</x:v>
      </x:c>
      <x:c r="D34" s="59" t="n">
        <x:v>15</x:v>
      </x:c>
      <x:c r="E34" s="47" t="str">
        <x:v>I2.9.3</x:v>
      </x:c>
      <x:c r="F34" s="47" t="str">
        <x:v>Complex</x:v>
      </x:c>
      <x:c r="G34" s="48" t="str">
        <x:v>Stage 2 candidate - complex readiness</x:v>
      </x:c>
      <x:c r="H34" s="47" t="str">
        <x:v>Complex readiness</x:v>
      </x:c>
      <x:c r="I34" s="47" t="str">
        <x:v>No</x:v>
      </x:c>
      <x:c r="J34" s="47" t="str">
        <x:v>ELIGIBLE</x:v>
      </x:c>
      <x:c r="K34" s="47" t="str">
        <x:v>NOT_RUN</x:v>
      </x:c>
    </x:row>
    <x:row r="35">
      <x:c r="A35" s="47" t="str">
        <x:v>I2-042</x:v>
      </x:c>
      <x:c r="B35" s="48" t="str">
        <x:v>UR I2 Structural Requirements for Polar Class Ships</x:v>
      </x:c>
      <x:c r="C35" s="47" t="str">
        <x:v>Rev.4 Dec 2019</x:v>
      </x:c>
      <x:c r="D35" s="59" t="n">
        <x:v>15</x:v>
      </x:c>
      <x:c r="E35" s="47" t="str">
        <x:v>I2.9.4</x:v>
      </x:c>
      <x:c r="F35" s="47" t="str">
        <x:v>Static Calculation</x:v>
      </x:c>
      <x:c r="G35" s="48" t="str">
        <x:v>Stage 2 candidate - direct/deterministic</x:v>
      </x:c>
      <x:c r="H35" s="47" t="str">
        <x:v>High</x:v>
      </x:c>
      <x:c r="I35" s="47" t="str">
        <x:v>No</x:v>
      </x:c>
      <x:c r="J35" s="47" t="str">
        <x:v>ELIGIBLE</x:v>
      </x:c>
      <x:c r="K35" s="47" t="str">
        <x:v>NOT_RUN</x:v>
      </x:c>
    </x:row>
    <x:row r="36">
      <x:c r="A36" s="47" t="str">
        <x:v>I2-043</x:v>
      </x:c>
      <x:c r="B36" s="48" t="str">
        <x:v>UR I2 Structural Requirements for Polar Class Ships</x:v>
      </x:c>
      <x:c r="C36" s="47" t="str">
        <x:v>Rev.4 Dec 2019</x:v>
      </x:c>
      <x:c r="D36" s="59" t="n">
        <x:v>15</x:v>
      </x:c>
      <x:c r="E36" s="47" t="str">
        <x:v>I2.9.4</x:v>
      </x:c>
      <x:c r="F36" s="47" t="str">
        <x:v>Complex</x:v>
      </x:c>
      <x:c r="G36" s="48" t="str">
        <x:v>Stage 2 candidate - complex readiness</x:v>
      </x:c>
      <x:c r="H36" s="47" t="str">
        <x:v>Complex readiness</x:v>
      </x:c>
      <x:c r="I36" s="47" t="str">
        <x:v>No</x:v>
      </x:c>
      <x:c r="J36" s="47" t="str">
        <x:v>ELIGIBLE</x:v>
      </x:c>
      <x:c r="K36" s="47" t="str">
        <x:v>NOT_RUN</x:v>
      </x:c>
    </x:row>
    <x:row r="37">
      <x:c r="A37" s="47" t="str">
        <x:v>I2-046</x:v>
      </x:c>
      <x:c r="B37" s="48" t="str">
        <x:v>UR I2 Structural Requirements for Polar Class Ships</x:v>
      </x:c>
      <x:c r="C37" s="47" t="str">
        <x:v>Rev.4 Dec 2019</x:v>
      </x:c>
      <x:c r="D37" s="59" t="n">
        <x:v>15</x:v>
      </x:c>
      <x:c r="E37" s="47" t="str">
        <x:v>I2.11.3</x:v>
      </x:c>
      <x:c r="F37" s="47" t="str">
        <x:v>Static Calculation</x:v>
      </x:c>
      <x:c r="G37" s="48" t="str">
        <x:v>Stage 2 candidate - direct/deterministic</x:v>
      </x:c>
      <x:c r="H37" s="47" t="str">
        <x:v>High</x:v>
      </x:c>
      <x:c r="I37" s="47" t="str">
        <x:v>No</x:v>
      </x:c>
      <x:c r="J37" s="47" t="str">
        <x:v>ELIGIBLE</x:v>
      </x:c>
      <x:c r="K37" s="47" t="str">
        <x:v>NOT_RUN</x:v>
      </x:c>
    </x:row>
    <x:row r="38">
      <x:c r="A38" s="47" t="str">
        <x:v>I2-047</x:v>
      </x:c>
      <x:c r="B38" s="48" t="str">
        <x:v>UR I2 Structural Requirements for Polar Class Ships</x:v>
      </x:c>
      <x:c r="C38" s="47" t="str">
        <x:v>Rev.4 Dec 2019</x:v>
      </x:c>
      <x:c r="D38" s="59" t="n">
        <x:v>16</x:v>
      </x:c>
      <x:c r="E38" s="47" t="str">
        <x:v>I2.11.4</x:v>
      </x:c>
      <x:c r="F38" s="47" t="str">
        <x:v>Static Calculation</x:v>
      </x:c>
      <x:c r="G38" s="48" t="str">
        <x:v>Stage 2 candidate - direct/deterministic</x:v>
      </x:c>
      <x:c r="H38" s="47" t="str">
        <x:v>High</x:v>
      </x:c>
      <x:c r="I38" s="47" t="str">
        <x:v>No</x:v>
      </x:c>
      <x:c r="J38" s="47" t="str">
        <x:v>ELIGIBLE</x:v>
      </x:c>
      <x:c r="K38" s="47" t="str">
        <x:v>NOT_RUN</x:v>
      </x:c>
    </x:row>
    <x:row r="39">
      <x:c r="A39" s="47" t="str">
        <x:v>I2-048</x:v>
      </x:c>
      <x:c r="B39" s="48" t="str">
        <x:v>UR I2 Structural Requirements for Polar Class Ships</x:v>
      </x:c>
      <x:c r="C39" s="47" t="str">
        <x:v>Rev.4 Dec 2019</x:v>
      </x:c>
      <x:c r="D39" s="59" t="n">
        <x:v>16</x:v>
      </x:c>
      <x:c r="E39" s="47" t="str">
        <x:v>I2.12.1</x:v>
      </x:c>
      <x:c r="F39" s="47" t="str">
        <x:v>Static</x:v>
      </x:c>
      <x:c r="G39" s="48" t="str">
        <x:v>Stage 2 candidate - direct static</x:v>
      </x:c>
      <x:c r="H39" s="47" t="str">
        <x:v>Direct static</x:v>
      </x:c>
      <x:c r="I39" s="47" t="str">
        <x:v>No</x:v>
      </x:c>
      <x:c r="J39" s="47" t="str">
        <x:v>ELIGIBLE</x:v>
      </x:c>
      <x:c r="K39" s="47" t="str">
        <x:v>NOT_RUN</x:v>
      </x:c>
    </x:row>
    <x:row r="40">
      <x:c r="A40" s="47" t="str">
        <x:v>I2-050</x:v>
      </x:c>
      <x:c r="B40" s="48" t="str">
        <x:v>UR I2 Structural Requirements for Polar Class Ships</x:v>
      </x:c>
      <x:c r="C40" s="47" t="str">
        <x:v>Rev.4 Dec 2019</x:v>
      </x:c>
      <x:c r="D40" s="59" t="n">
        <x:v>18</x:v>
      </x:c>
      <x:c r="E40" s="47" t="str">
        <x:v>I2.13.2.1</x:v>
      </x:c>
      <x:c r="F40" s="47" t="str">
        <x:v>Complex</x:v>
      </x:c>
      <x:c r="G40" s="48" t="str">
        <x:v>Stage 2 candidate - complex readiness</x:v>
      </x:c>
      <x:c r="H40" s="47" t="str">
        <x:v>Complex readiness</x:v>
      </x:c>
      <x:c r="I40" s="47" t="str">
        <x:v>No</x:v>
      </x:c>
      <x:c r="J40" s="47" t="str">
        <x:v>ELIGIBLE</x:v>
      </x:c>
      <x:c r="K40" s="47" t="str">
        <x:v>NOT_RUN</x:v>
      </x:c>
    </x:row>
    <x:row r="41">
      <x:c r="A41" s="47" t="str">
        <x:v>I2-051</x:v>
      </x:c>
      <x:c r="B41" s="48" t="str">
        <x:v>UR I2 Structural Requirements for Polar Class Ships</x:v>
      </x:c>
      <x:c r="C41" s="47" t="str">
        <x:v>Rev.4 Dec 2019</x:v>
      </x:c>
      <x:c r="D41" s="59" t="n">
        <x:v>19</x:v>
      </x:c>
      <x:c r="E41" s="47" t="str">
        <x:v>I2.13.3.1</x:v>
      </x:c>
      <x:c r="F41" s="47" t="str">
        <x:v>Static Calculation</x:v>
      </x:c>
      <x:c r="G41" s="48" t="str">
        <x:v>Stage 2 candidate - direct/deterministic</x:v>
      </x:c>
      <x:c r="H41" s="47" t="str">
        <x:v>High</x:v>
      </x:c>
      <x:c r="I41" s="47" t="str">
        <x:v>No</x:v>
      </x:c>
      <x:c r="J41" s="47" t="str">
        <x:v>ELIGIBLE</x:v>
      </x:c>
      <x:c r="K41" s="47" t="str">
        <x:v>NOT_RUN</x:v>
      </x:c>
    </x:row>
    <x:row r="42">
      <x:c r="A42" s="47" t="str">
        <x:v>I2-052</x:v>
      </x:c>
      <x:c r="B42" s="48" t="str">
        <x:v>UR I2 Structural Requirements for Polar Class Ships</x:v>
      </x:c>
      <x:c r="C42" s="47" t="str">
        <x:v>Rev.4 Dec 2019</x:v>
      </x:c>
      <x:c r="D42" s="59" t="n">
        <x:v>19</x:v>
      </x:c>
      <x:c r="E42" s="47" t="str">
        <x:v>I2.13.3.1</x:v>
      </x:c>
      <x:c r="F42" s="47" t="str">
        <x:v>Complex</x:v>
      </x:c>
      <x:c r="G42" s="48" t="str">
        <x:v>Stage 2 candidate - complex readiness</x:v>
      </x:c>
      <x:c r="H42" s="47" t="str">
        <x:v>Complex readiness</x:v>
      </x:c>
      <x:c r="I42" s="47" t="str">
        <x:v>No</x:v>
      </x:c>
      <x:c r="J42" s="47" t="str">
        <x:v>ELIGIBLE</x:v>
      </x:c>
      <x:c r="K42" s="47" t="str">
        <x:v>NOT_RUN</x:v>
      </x:c>
    </x:row>
    <x:row r="43">
      <x:c r="A43" s="47" t="str">
        <x:v>I2-053</x:v>
      </x:c>
      <x:c r="B43" s="48" t="str">
        <x:v>UR I2 Structural Requirements for Polar Class Ships</x:v>
      </x:c>
      <x:c r="C43" s="47" t="str">
        <x:v>Rev.4 Dec 2019</x:v>
      </x:c>
      <x:c r="D43" s="59" t="n">
        <x:v>20</x:v>
      </x:c>
      <x:c r="E43" s="47" t="str">
        <x:v>I2.13.3.2</x:v>
      </x:c>
      <x:c r="F43" s="47" t="str">
        <x:v>Complex</x:v>
      </x:c>
      <x:c r="G43" s="48" t="str">
        <x:v>Deferred - complex readiness owner/path incomplete</x:v>
      </x:c>
      <x:c r="H43" s="47" t="str">
        <x:v>Deferred</x:v>
      </x:c>
      <x:c r="I43" s="47" t="str">
        <x:v>No</x:v>
      </x:c>
      <x:c r="J43" s="47" t="str">
        <x:v>DEFERRED</x:v>
      </x:c>
      <x:c r="K43" s="47" t="str">
        <x:v>NOT_RUN</x:v>
      </x:c>
    </x:row>
    <x:row r="44">
      <x:c r="A44" s="47" t="str">
        <x:v>I2-054</x:v>
      </x:c>
      <x:c r="B44" s="48" t="str">
        <x:v>UR I2 Structural Requirements for Polar Class Ships</x:v>
      </x:c>
      <x:c r="C44" s="47" t="str">
        <x:v>Rev.4 Dec 2019</x:v>
      </x:c>
      <x:c r="D44" s="59" t="n">
        <x:v>20</x:v>
      </x:c>
      <x:c r="E44" s="47" t="str">
        <x:v>I2.13.4.1</x:v>
      </x:c>
      <x:c r="F44" s="47" t="str">
        <x:v>Complex</x:v>
      </x:c>
      <x:c r="G44" s="48" t="str">
        <x:v>Stage 2 candidate - complex readiness</x:v>
      </x:c>
      <x:c r="H44" s="47" t="str">
        <x:v>Complex readiness</x:v>
      </x:c>
      <x:c r="I44" s="47" t="str">
        <x:v>No</x:v>
      </x:c>
      <x:c r="J44" s="47" t="str">
        <x:v>ELIGIBLE</x:v>
      </x:c>
      <x:c r="K44" s="47" t="str">
        <x:v>NOT_RUN</x:v>
      </x:c>
    </x:row>
    <x:row r="45">
      <x:c r="A45" s="47" t="str">
        <x:v>I2-055</x:v>
      </x:c>
      <x:c r="B45" s="48" t="str">
        <x:v>UR I2 Structural Requirements for Polar Class Ships</x:v>
      </x:c>
      <x:c r="C45" s="47" t="str">
        <x:v>Rev.4 Dec 2019</x:v>
      </x:c>
      <x:c r="D45" s="59" t="n">
        <x:v>20</x:v>
      </x:c>
      <x:c r="E45" s="47" t="str">
        <x:v>I2.13.5.1</x:v>
      </x:c>
      <x:c r="F45" s="47" t="str">
        <x:v>Static</x:v>
      </x:c>
      <x:c r="G45" s="48" t="str">
        <x:v>Stage 2 candidate - direct static</x:v>
      </x:c>
      <x:c r="H45" s="47" t="str">
        <x:v>Direct static</x:v>
      </x:c>
      <x:c r="I45" s="47" t="str">
        <x:v>No</x:v>
      </x:c>
      <x:c r="J45" s="47" t="str">
        <x:v>ELIGIBLE</x:v>
      </x:c>
      <x:c r="K45" s="47" t="str">
        <x:v>NOT_RUN</x:v>
      </x:c>
    </x:row>
    <x:row r="46">
      <x:c r="A46" s="47" t="str">
        <x:v>I2-060</x:v>
      </x:c>
      <x:c r="B46" s="48" t="str">
        <x:v>UR I2 Structural Requirements for Polar Class Ships</x:v>
      </x:c>
      <x:c r="C46" s="47" t="str">
        <x:v>Rev.4 Dec 2019</x:v>
      </x:c>
      <x:c r="D46" s="59" t="n">
        <x:v>21</x:v>
      </x:c>
      <x:c r="E46" s="47" t="str">
        <x:v>I2.16.2</x:v>
      </x:c>
      <x:c r="F46" s="47" t="str">
        <x:v>Static</x:v>
      </x:c>
      <x:c r="G46" s="48" t="str">
        <x:v>Stage 2 candidate - direct/deterministic</x:v>
      </x:c>
      <x:c r="H46" s="47" t="str">
        <x:v>High</x:v>
      </x:c>
      <x:c r="I46" s="47" t="str">
        <x:v>No</x:v>
      </x:c>
      <x:c r="J46" s="47" t="str">
        <x:v>ELIGIBLE</x:v>
      </x:c>
      <x:c r="K46" s="47" t="str">
        <x:v>NOT_RUN</x:v>
      </x:c>
    </x:row>
    <x:row r="47">
      <x:c r="A47" s="47" t="str">
        <x:v>I2-061</x:v>
      </x:c>
      <x:c r="B47" s="48" t="str">
        <x:v>UR I2 Structural Requirements for Polar Class Ships</x:v>
      </x:c>
      <x:c r="C47" s="47" t="str">
        <x:v>Rev.4 Dec 2019</x:v>
      </x:c>
      <x:c r="D47" s="59" t="n">
        <x:v>21</x:v>
      </x:c>
      <x:c r="E47" s="47" t="str">
        <x:v>I2.17.1</x:v>
      </x:c>
      <x:c r="F47" s="47" t="str">
        <x:v>Static</x:v>
      </x:c>
      <x:c r="G47" s="48" t="str">
        <x:v>Stage 2 candidate - direct/deterministic</x:v>
      </x:c>
      <x:c r="H47" s="47" t="str">
        <x:v>High</x:v>
      </x:c>
      <x:c r="I47" s="47" t="str">
        <x:v>No</x:v>
      </x:c>
      <x:c r="J47" s="47" t="str">
        <x:v>ELIGIBLE</x:v>
      </x:c>
      <x:c r="K47" s="47" t="str">
        <x:v>NOT_RUN</x:v>
      </x:c>
    </x:row>
    <x:row r="48">
      <x:c r="A48" s="47" t="str">
        <x:v>I2-062</x:v>
      </x:c>
      <x:c r="B48" s="48" t="str">
        <x:v>UR I2 Structural Requirements for Polar Class Ships</x:v>
      </x:c>
      <x:c r="C48" s="47" t="str">
        <x:v>Rev.4 Dec 2019</x:v>
      </x:c>
      <x:c r="D48" s="59" t="n">
        <x:v>21</x:v>
      </x:c>
      <x:c r="E48" s="47" t="str">
        <x:v>I2.17.2</x:v>
      </x:c>
      <x:c r="F48" s="47" t="str">
        <x:v>Complex</x:v>
      </x:c>
      <x:c r="G48" s="48" t="str">
        <x:v>Stage 2 candidate - complex readiness</x:v>
      </x:c>
      <x:c r="H48" s="47" t="str">
        <x:v>Complex readiness</x:v>
      </x:c>
      <x:c r="I48" s="47" t="str">
        <x:v>No</x:v>
      </x:c>
      <x:c r="J48" s="47" t="str">
        <x:v>ELIGIBLE</x:v>
      </x:c>
      <x:c r="K48" s="47" t="str">
        <x:v>NOT_RUN</x:v>
      </x:c>
    </x:row>
    <x:row r="49">
      <x:c r="A49" s="47" t="str">
        <x:v>I2-064</x:v>
      </x:c>
      <x:c r="B49" s="48" t="str">
        <x:v>UR I2 Structural Requirements for Polar Class Ships</x:v>
      </x:c>
      <x:c r="C49" s="47" t="str">
        <x:v>Rev.4 Dec 2019</x:v>
      </x:c>
      <x:c r="D49" s="59" t="n">
        <x:v>21</x:v>
      </x:c>
      <x:c r="E49" s="47" t="str">
        <x:v>I2.17.5</x:v>
      </x:c>
      <x:c r="F49" s="47" t="str">
        <x:v>Complex</x:v>
      </x:c>
      <x:c r="G49" s="48" t="str">
        <x:v>Stage 2 candidate - complex readiness</x:v>
      </x:c>
      <x:c r="H49" s="47" t="str">
        <x:v>Complex readiness</x:v>
      </x:c>
      <x:c r="I49" s="47" t="str">
        <x:v>No</x:v>
      </x:c>
      <x:c r="J49" s="47" t="str">
        <x:v>ELIGIBLE</x:v>
      </x:c>
      <x:c r="K49" s="47" t="str">
        <x:v>NOT_RUN</x:v>
      </x:c>
    </x:row>
    <x:row r="50">
      <x:c r="A50" s="47" t="str">
        <x:v>I2-065</x:v>
      </x:c>
      <x:c r="B50" s="48" t="str">
        <x:v>UR I2 Structural Requirements for Polar Class Ships</x:v>
      </x:c>
      <x:c r="C50" s="47" t="str">
        <x:v>Rev.4 Dec 2019</x:v>
      </x:c>
      <x:c r="D50" s="59" t="n">
        <x:v>22</x:v>
      </x:c>
      <x:c r="E50" s="47" t="str">
        <x:v>I2.17.6</x:v>
      </x:c>
      <x:c r="F50" s="47" t="str">
        <x:v>Complex</x:v>
      </x:c>
      <x:c r="G50" s="48" t="str">
        <x:v>Stage 2 candidate - complex readiness</x:v>
      </x:c>
      <x:c r="H50" s="47" t="str">
        <x:v>Complex readiness</x:v>
      </x:c>
      <x:c r="I50" s="47" t="str">
        <x:v>No</x:v>
      </x:c>
      <x:c r="J50" s="47" t="str">
        <x:v>ELIGIBLE</x:v>
      </x:c>
      <x:c r="K50" s="47" t="str">
        <x:v>NOT_RUN</x:v>
      </x:c>
    </x:row>
    <x:row r="51">
      <x:c r="A51" s="47" t="str">
        <x:v>I2-066</x:v>
      </x:c>
      <x:c r="B51" s="48" t="str">
        <x:v>UR I2 Structural Requirements for Polar Class Ships</x:v>
      </x:c>
      <x:c r="C51" s="47" t="str">
        <x:v>Rev.4 Dec 2019</x:v>
      </x:c>
      <x:c r="D51" s="59" t="n">
        <x:v>22</x:v>
      </x:c>
      <x:c r="E51" s="47" t="str">
        <x:v>I2.18.1</x:v>
      </x:c>
      <x:c r="F51" s="47" t="str">
        <x:v>Static</x:v>
      </x:c>
      <x:c r="G51" s="48" t="str">
        <x:v>Stage 2 candidate - direct/deterministic</x:v>
      </x:c>
      <x:c r="H51" s="47" t="str">
        <x:v>High</x:v>
      </x:c>
      <x:c r="I51" s="47" t="str">
        <x:v>No</x:v>
      </x:c>
      <x:c r="J51" s="47" t="str">
        <x:v>ELIGIBLE</x:v>
      </x:c>
      <x:c r="K51" s="47" t="str">
        <x:v>NOT_RUN</x:v>
      </x:c>
    </x:row>
    <x:row r="52">
      <x:c r="A52" s="47" t="str">
        <x:v>I2-067</x:v>
      </x:c>
      <x:c r="B52" s="48" t="str">
        <x:v>UR I2 Structural Requirements for Polar Class Ships</x:v>
      </x:c>
      <x:c r="C52" s="47" t="str">
        <x:v>Rev.4 Dec 2019</x:v>
      </x:c>
      <x:c r="D52" s="59" t="n">
        <x:v>22</x:v>
      </x:c>
      <x:c r="E52" s="47" t="str">
        <x:v>I2.18.2</x:v>
      </x:c>
      <x:c r="F52" s="47" t="str">
        <x:v>Static</x:v>
      </x:c>
      <x:c r="G52" s="48" t="str">
        <x:v>Stage 2 candidate - direct/deterministic</x:v>
      </x:c>
      <x:c r="H52" s="47" t="str">
        <x:v>High</x:v>
      </x:c>
      <x:c r="I52" s="47" t="str">
        <x:v>No</x:v>
      </x:c>
      <x:c r="J52" s="47" t="str">
        <x:v>ELIGIBLE</x:v>
      </x:c>
      <x:c r="K52" s="47" t="str">
        <x:v>NOT_RUN</x:v>
      </x:c>
    </x:row>
    <x:row r="53">
      <x:c r="A53" s="47" t="str">
        <x:v>IMO-001</x:v>
      </x:c>
      <x:c r="B53" s="48" t="str">
        <x:v>International Code for Ships Operating in Polar Waters (Polar Code)</x:v>
      </x:c>
      <x:c r="C53" s="47" t="str">
        <x:v>Resolution MSC.385(94), adopted 21 Nov 2014; consolidated with MEPC.264(68), adopted 15 May 2015</x:v>
      </x:c>
      <x:c r="D53" s="59" t="n">
        <x:v>9</x:v>
      </x:c>
      <x:c r="E53" s="47" t="str">
        <x:v>2.1</x:v>
      </x:c>
      <x:c r="F53" s="47" t="str">
        <x:v>Static</x:v>
      </x:c>
      <x:c r="G53" s="48" t="str">
        <x:v>Stage 2 candidate - direct/deterministic</x:v>
      </x:c>
      <x:c r="H53" s="47" t="str">
        <x:v>High</x:v>
      </x:c>
      <x:c r="I53" s="47" t="str">
        <x:v>No</x:v>
      </x:c>
      <x:c r="J53" s="47" t="str">
        <x:v>ELIGIBLE</x:v>
      </x:c>
      <x:c r="K53" s="47" t="str">
        <x:v>NOT_RUN</x:v>
      </x:c>
    </x:row>
    <x:row r="54">
      <x:c r="A54" s="47" t="str">
        <x:v>IMO-002</x:v>
      </x:c>
      <x:c r="B54" s="48" t="str">
        <x:v>International Code for Ships Operating in Polar Waters (Polar Code)</x:v>
      </x:c>
      <x:c r="C54" s="47" t="str">
        <x:v>Resolution MSC.385(94), adopted 21 Nov 2014; consolidated with MEPC.264(68), adopted 15 May 2015</x:v>
      </x:c>
      <x:c r="D54" s="59" t="n">
        <x:v>9</x:v>
      </x:c>
      <x:c r="E54" s="47" t="str">
        <x:v>2.2</x:v>
      </x:c>
      <x:c r="F54" s="47" t="str">
        <x:v>Static</x:v>
      </x:c>
      <x:c r="G54" s="48" t="str">
        <x:v>Stage 2 candidate - direct/deterministic</x:v>
      </x:c>
      <x:c r="H54" s="47" t="str">
        <x:v>High</x:v>
      </x:c>
      <x:c r="I54" s="47" t="str">
        <x:v>No</x:v>
      </x:c>
      <x:c r="J54" s="47" t="str">
        <x:v>ELIGIBLE</x:v>
      </x:c>
      <x:c r="K54" s="47" t="str">
        <x:v>NOT_RUN</x:v>
      </x:c>
    </x:row>
    <x:row r="55">
      <x:c r="A55" s="47" t="str">
        <x:v>IMO-003</x:v>
      </x:c>
      <x:c r="B55" s="48" t="str">
        <x:v>International Code for Ships Operating in Polar Waters (Polar Code)</x:v>
      </x:c>
      <x:c r="C55" s="47" t="str">
        <x:v>Resolution MSC.385(94), adopted 21 Nov 2014; consolidated with MEPC.264(68), adopted 15 May 2015</x:v>
      </x:c>
      <x:c r="D55" s="59" t="n">
        <x:v>9</x:v>
      </x:c>
      <x:c r="E55" s="47" t="str">
        <x:v>2.3</x:v>
      </x:c>
      <x:c r="F55" s="47" t="str">
        <x:v>Static</x:v>
      </x:c>
      <x:c r="G55" s="48" t="str">
        <x:v>Stage 2 candidate - direct/deterministic</x:v>
      </x:c>
      <x:c r="H55" s="47" t="str">
        <x:v>High</x:v>
      </x:c>
      <x:c r="I55" s="47" t="str">
        <x:v>No</x:v>
      </x:c>
      <x:c r="J55" s="47" t="str">
        <x:v>ELIGIBLE</x:v>
      </x:c>
      <x:c r="K55" s="47" t="str">
        <x:v>NOT_RUN</x:v>
      </x:c>
    </x:row>
    <x:row r="56">
      <x:c r="A56" s="47" t="str">
        <x:v>IMO-004</x:v>
      </x:c>
      <x:c r="B56" s="48" t="str">
        <x:v>International Code for Ships Operating in Polar Waters (Polar Code)</x:v>
      </x:c>
      <x:c r="C56" s="47" t="str">
        <x:v>Resolution MSC.385(94), adopted 21 Nov 2014; consolidated with MEPC.264(68), adopted 15 May 2015</x:v>
      </x:c>
      <x:c r="D56" s="59" t="n">
        <x:v>9</x:v>
      </x:c>
      <x:c r="E56" s="47" t="str">
        <x:v>2.4</x:v>
      </x:c>
      <x:c r="F56" s="47" t="str">
        <x:v>Static</x:v>
      </x:c>
      <x:c r="G56" s="48" t="str">
        <x:v>Stage 2 candidate - direct/deterministic</x:v>
      </x:c>
      <x:c r="H56" s="47" t="str">
        <x:v>High</x:v>
      </x:c>
      <x:c r="I56" s="47" t="str">
        <x:v>No</x:v>
      </x:c>
      <x:c r="J56" s="47" t="str">
        <x:v>ELIGIBLE</x:v>
      </x:c>
      <x:c r="K56" s="47" t="str">
        <x:v>NOT_RUN</x:v>
      </x:c>
    </x:row>
    <x:row r="57">
      <x:c r="A57" s="47" t="str">
        <x:v>IMO-005</x:v>
      </x:c>
      <x:c r="B57" s="48" t="str">
        <x:v>International Code for Ships Operating in Polar Waters (Polar Code)</x:v>
      </x:c>
      <x:c r="C57" s="47" t="str">
        <x:v>Resolution MSC.385(94), adopted 21 Nov 2014; consolidated with MEPC.264(68), adopted 15 May 2015</x:v>
      </x:c>
      <x:c r="D57" s="59" t="n">
        <x:v>9</x:v>
      </x:c>
      <x:c r="E57" s="47" t="str">
        <x:v>2.5</x:v>
      </x:c>
      <x:c r="F57" s="47" t="str">
        <x:v>Static</x:v>
      </x:c>
      <x:c r="G57" s="48" t="str">
        <x:v>Stage 2 candidate - direct/deterministic</x:v>
      </x:c>
      <x:c r="H57" s="47" t="str">
        <x:v>High</x:v>
      </x:c>
      <x:c r="I57" s="47" t="str">
        <x:v>No</x:v>
      </x:c>
      <x:c r="J57" s="47" t="str">
        <x:v>ELIGIBLE</x:v>
      </x:c>
      <x:c r="K57" s="47" t="str">
        <x:v>NOT_RUN</x:v>
      </x:c>
    </x:row>
    <x:row r="58">
      <x:c r="A58" s="47" t="str">
        <x:v>IMO-006</x:v>
      </x:c>
      <x:c r="B58" s="48" t="str">
        <x:v>International Code for Ships Operating in Polar Waters (Polar Code)</x:v>
      </x:c>
      <x:c r="C58" s="47" t="str">
        <x:v>Resolution MSC.385(94), adopted 21 Nov 2014; consolidated with MEPC.264(68), adopted 15 May 2015</x:v>
      </x:c>
      <x:c r="D58" s="59" t="n">
        <x:v>9</x:v>
      </x:c>
      <x:c r="E58" s="47" t="str">
        <x:v>2.8</x:v>
      </x:c>
      <x:c r="F58" s="47" t="str">
        <x:v>Static</x:v>
      </x:c>
      <x:c r="G58" s="48" t="str">
        <x:v>Stage 2 candidate - direct/deterministic</x:v>
      </x:c>
      <x:c r="H58" s="47" t="str">
        <x:v>High</x:v>
      </x:c>
      <x:c r="I58" s="47" t="str">
        <x:v>No</x:v>
      </x:c>
      <x:c r="J58" s="47" t="str">
        <x:v>ELIGIBLE</x:v>
      </x:c>
      <x:c r="K58" s="47" t="str">
        <x:v>NOT_RUN</x:v>
      </x:c>
    </x:row>
    <x:row r="59">
      <x:c r="A59" s="47" t="str">
        <x:v>IMO-007</x:v>
      </x:c>
      <x:c r="B59" s="48" t="str">
        <x:v>International Code for Ships Operating in Polar Waters (Polar Code)</x:v>
      </x:c>
      <x:c r="C59" s="47" t="str">
        <x:v>Resolution MSC.385(94), adopted 21 Nov 2014; consolidated with MEPC.264(68), adopted 15 May 2015</x:v>
      </x:c>
      <x:c r="D59" s="59" t="n">
        <x:v>9</x:v>
      </x:c>
      <x:c r="E59" s="47" t="str">
        <x:v>2.10</x:v>
      </x:c>
      <x:c r="F59" s="47" t="str">
        <x:v>Static</x:v>
      </x:c>
      <x:c r="G59" s="48" t="str">
        <x:v>Stage 2 candidate - direct/deterministic</x:v>
      </x:c>
      <x:c r="H59" s="47" t="str">
        <x:v>High</x:v>
      </x:c>
      <x:c r="I59" s="47" t="str">
        <x:v>No</x:v>
      </x:c>
      <x:c r="J59" s="47" t="str">
        <x:v>ELIGIBLE</x:v>
      </x:c>
      <x:c r="K59" s="47" t="str">
        <x:v>NOT_RUN</x:v>
      </x:c>
    </x:row>
    <x:row r="60">
      <x:c r="A60" s="47" t="str">
        <x:v>IMO-008</x:v>
      </x:c>
      <x:c r="B60" s="48" t="str">
        <x:v>International Code for Ships Operating in Polar Waters (Polar Code)</x:v>
      </x:c>
      <x:c r="C60" s="47" t="str">
        <x:v>Resolution MSC.385(94), adopted 21 Nov 2014; consolidated with MEPC.264(68), adopted 15 May 2015</x:v>
      </x:c>
      <x:c r="D60" s="59" t="n">
        <x:v>10</x:v>
      </x:c>
      <x:c r="E60" s="47" t="str">
        <x:v>2.15</x:v>
      </x:c>
      <x:c r="F60" s="47" t="str">
        <x:v>Static</x:v>
      </x:c>
      <x:c r="G60" s="48" t="str">
        <x:v>Stage 2 candidate - direct/deterministic</x:v>
      </x:c>
      <x:c r="H60" s="47" t="str">
        <x:v>High</x:v>
      </x:c>
      <x:c r="I60" s="47" t="str">
        <x:v>No</x:v>
      </x:c>
      <x:c r="J60" s="47" t="str">
        <x:v>ELIGIBLE</x:v>
      </x:c>
      <x:c r="K60" s="47" t="str">
        <x:v>NOT_RUN</x:v>
      </x:c>
    </x:row>
    <x:row r="61">
      <x:c r="A61" s="47" t="str">
        <x:v>IMO-009</x:v>
      </x:c>
      <x:c r="B61" s="48" t="str">
        <x:v>International Code for Ships Operating in Polar Waters (Polar Code)</x:v>
      </x:c>
      <x:c r="C61" s="47" t="str">
        <x:v>Resolution MSC.385(94), adopted 21 Nov 2014; consolidated with MEPC.264(68), adopted 15 May 2015</x:v>
      </x:c>
      <x:c r="D61" s="59" t="n">
        <x:v>13</x:v>
      </x:c>
      <x:c r="E61" s="47" t="str">
        <x:v>1.2.1</x:v>
      </x:c>
      <x:c r="F61" s="47" t="str">
        <x:v>Static</x:v>
      </x:c>
      <x:c r="G61" s="48" t="str">
        <x:v>Stage 2 candidate - direct/deterministic</x:v>
      </x:c>
      <x:c r="H61" s="47" t="str">
        <x:v>High</x:v>
      </x:c>
      <x:c r="I61" s="47" t="str">
        <x:v>No</x:v>
      </x:c>
      <x:c r="J61" s="47" t="str">
        <x:v>ELIGIBLE</x:v>
      </x:c>
      <x:c r="K61" s="47" t="str">
        <x:v>NOT_RUN</x:v>
      </x:c>
    </x:row>
    <x:row r="62">
      <x:c r="A62" s="47" t="str">
        <x:v>IMO-010</x:v>
      </x:c>
      <x:c r="B62" s="48" t="str">
        <x:v>International Code for Ships Operating in Polar Waters (Polar Code)</x:v>
      </x:c>
      <x:c r="C62" s="47" t="str">
        <x:v>Resolution MSC.385(94), adopted 21 Nov 2014; consolidated with MEPC.264(68), adopted 15 May 2015</x:v>
      </x:c>
      <x:c r="D62" s="59" t="n">
        <x:v>13</x:v>
      </x:c>
      <x:c r="E62" s="47" t="str">
        <x:v>1.2.7</x:v>
      </x:c>
      <x:c r="F62" s="47" t="str">
        <x:v>Static</x:v>
      </x:c>
      <x:c r="G62" s="48" t="str">
        <x:v>Stage 2 candidate - direct/deterministic</x:v>
      </x:c>
      <x:c r="H62" s="47" t="str">
        <x:v>High</x:v>
      </x:c>
      <x:c r="I62" s="47" t="str">
        <x:v>No</x:v>
      </x:c>
      <x:c r="J62" s="47" t="str">
        <x:v>ELIGIBLE</x:v>
      </x:c>
      <x:c r="K62" s="47" t="str">
        <x:v>NOT_RUN</x:v>
      </x:c>
    </x:row>
    <x:row r="63">
      <x:c r="A63" s="47" t="str">
        <x:v>IMO-011</x:v>
      </x:c>
      <x:c r="B63" s="48" t="str">
        <x:v>International Code for Ships Operating in Polar Waters (Polar Code)</x:v>
      </x:c>
      <x:c r="C63" s="47" t="str">
        <x:v>Resolution MSC.385(94), adopted 21 Nov 2014; consolidated with MEPC.264(68), adopted 15 May 2015</x:v>
      </x:c>
      <x:c r="D63" s="59" t="n">
        <x:v>13</x:v>
      </x:c>
      <x:c r="E63" s="47" t="str">
        <x:v>1.2.9</x:v>
      </x:c>
      <x:c r="F63" s="47" t="str">
        <x:v>Complex</x:v>
      </x:c>
      <x:c r="G63" s="48" t="str">
        <x:v>Stage 2 candidate - complex readiness</x:v>
      </x:c>
      <x:c r="H63" s="47" t="str">
        <x:v>Complex readiness</x:v>
      </x:c>
      <x:c r="I63" s="47" t="str">
        <x:v>No</x:v>
      </x:c>
      <x:c r="J63" s="47" t="str">
        <x:v>ELIGIBLE</x:v>
      </x:c>
      <x:c r="K63" s="47" t="str">
        <x:v>NOT_RUN</x:v>
      </x:c>
    </x:row>
    <x:row r="64">
      <x:c r="A64" s="47" t="str">
        <x:v>IMO-012</x:v>
      </x:c>
      <x:c r="B64" s="48" t="str">
        <x:v>International Code for Ships Operating in Polar Waters (Polar Code)</x:v>
      </x:c>
      <x:c r="C64" s="47" t="str">
        <x:v>Resolution MSC.385(94), adopted 21 Nov 2014; consolidated with MEPC.264(68), adopted 15 May 2015</x:v>
      </x:c>
      <x:c r="D64" s="59" t="n">
        <x:v>14</x:v>
      </x:c>
      <x:c r="E64" s="47" t="str">
        <x:v>1.2.11</x:v>
      </x:c>
      <x:c r="F64" s="47" t="str">
        <x:v>Static Calculation</x:v>
      </x:c>
      <x:c r="G64" s="48" t="str">
        <x:v>Stage 2 candidate - direct/deterministic</x:v>
      </x:c>
      <x:c r="H64" s="47" t="str">
        <x:v>High</x:v>
      </x:c>
      <x:c r="I64" s="47" t="str">
        <x:v>No</x:v>
      </x:c>
      <x:c r="J64" s="47" t="str">
        <x:v>ELIGIBLE</x:v>
      </x:c>
      <x:c r="K64" s="47" t="str">
        <x:v>NOT_RUN</x:v>
      </x:c>
    </x:row>
    <x:row r="65">
      <x:c r="A65" s="47" t="str">
        <x:v>IMO-013</x:v>
      </x:c>
      <x:c r="B65" s="48" t="str">
        <x:v>International Code for Ships Operating in Polar Waters (Polar Code)</x:v>
      </x:c>
      <x:c r="C65" s="47" t="str">
        <x:v>Resolution MSC.385(94), adopted 21 Nov 2014; consolidated with MEPC.264(68), adopted 15 May 2015</x:v>
      </x:c>
      <x:c r="D65" s="59" t="n">
        <x:v>14</x:v>
      </x:c>
      <x:c r="E65" s="47" t="str">
        <x:v>1.2.12</x:v>
      </x:c>
      <x:c r="F65" s="47" t="str">
        <x:v>Static</x:v>
      </x:c>
      <x:c r="G65" s="48" t="str">
        <x:v>Stage 2 candidate - direct/deterministic</x:v>
      </x:c>
      <x:c r="H65" s="47" t="str">
        <x:v>High</x:v>
      </x:c>
      <x:c r="I65" s="47" t="str">
        <x:v>No</x:v>
      </x:c>
      <x:c r="J65" s="47" t="str">
        <x:v>ELIGIBLE</x:v>
      </x:c>
      <x:c r="K65" s="47" t="str">
        <x:v>NOT_RUN</x:v>
      </x:c>
    </x:row>
    <x:row r="66">
      <x:c r="A66" s="47" t="str">
        <x:v>IMO-014</x:v>
      </x:c>
      <x:c r="B66" s="48" t="str">
        <x:v>International Code for Ships Operating in Polar Waters (Polar Code)</x:v>
      </x:c>
      <x:c r="C66" s="47" t="str">
        <x:v>Resolution MSC.385(94), adopted 21 Nov 2014; consolidated with MEPC.264(68), adopted 15 May 2015</x:v>
      </x:c>
      <x:c r="D66" s="59" t="n">
        <x:v>14</x:v>
      </x:c>
      <x:c r="E66" s="47" t="str">
        <x:v>1.3.1</x:v>
      </x:c>
      <x:c r="F66" s="47" t="str">
        <x:v>Static</x:v>
      </x:c>
      <x:c r="G66" s="48" t="str">
        <x:v>Stage 2 candidate - direct/deterministic</x:v>
      </x:c>
      <x:c r="H66" s="47" t="str">
        <x:v>High</x:v>
      </x:c>
      <x:c r="I66" s="47" t="str">
        <x:v>No</x:v>
      </x:c>
      <x:c r="J66" s="47" t="str">
        <x:v>ELIGIBLE</x:v>
      </x:c>
      <x:c r="K66" s="47" t="str">
        <x:v>NOT_RUN</x:v>
      </x:c>
    </x:row>
    <x:row r="67">
      <x:c r="A67" s="47" t="str">
        <x:v>IMO-015</x:v>
      </x:c>
      <x:c r="B67" s="48" t="str">
        <x:v>International Code for Ships Operating in Polar Waters (Polar Code)</x:v>
      </x:c>
      <x:c r="C67" s="47" t="str">
        <x:v>Resolution MSC.385(94), adopted 21 Nov 2014; consolidated with MEPC.264(68), adopted 15 May 2015</x:v>
      </x:c>
      <x:c r="D67" s="59" t="n">
        <x:v>14</x:v>
      </x:c>
      <x:c r="E67" s="47" t="str">
        <x:v>1.3.2</x:v>
      </x:c>
      <x:c r="F67" s="47" t="str">
        <x:v>Physical Test</x:v>
      </x:c>
      <x:c r="G67" s="48" t="str">
        <x:v>Evidence-only - physical result not inferred by SHACL</x:v>
      </x:c>
      <x:c r="H67" s="47" t="str">
        <x:v>Medium</x:v>
      </x:c>
      <x:c r="I67" s="47" t="str">
        <x:v>No</x:v>
      </x:c>
      <x:c r="J67" s="47" t="str">
        <x:v>DEFERRED</x:v>
      </x:c>
      <x:c r="K67" s="47" t="str">
        <x:v>NOT_RUN</x:v>
      </x:c>
    </x:row>
    <x:row r="68">
      <x:c r="A68" s="47" t="str">
        <x:v>IMO-016</x:v>
      </x:c>
      <x:c r="B68" s="48" t="str">
        <x:v>International Code for Ships Operating in Polar Waters (Polar Code)</x:v>
      </x:c>
      <x:c r="C68" s="47" t="str">
        <x:v>Resolution MSC.385(94), adopted 21 Nov 2014; consolidated with MEPC.264(68), adopted 15 May 2015</x:v>
      </x:c>
      <x:c r="D68" s="59" t="n">
        <x:v>14</x:v>
      </x:c>
      <x:c r="E68" s="47" t="str">
        <x:v>1.3.5</x:v>
      </x:c>
      <x:c r="F68" s="47" t="str">
        <x:v>Static</x:v>
      </x:c>
      <x:c r="G68" s="48" t="str">
        <x:v>Stage 2 candidate - direct/deterministic</x:v>
      </x:c>
      <x:c r="H68" s="47" t="str">
        <x:v>High</x:v>
      </x:c>
      <x:c r="I68" s="47" t="str">
        <x:v>No</x:v>
      </x:c>
      <x:c r="J68" s="47" t="str">
        <x:v>ELIGIBLE</x:v>
      </x:c>
      <x:c r="K68" s="47" t="str">
        <x:v>NOT_RUN</x:v>
      </x:c>
    </x:row>
    <x:row r="69">
      <x:c r="A69" s="47" t="str">
        <x:v>IMO-017</x:v>
      </x:c>
      <x:c r="B69" s="48" t="str">
        <x:v>International Code for Ships Operating in Polar Waters (Polar Code)</x:v>
      </x:c>
      <x:c r="C69" s="47" t="str">
        <x:v>Resolution MSC.385(94), adopted 21 Nov 2014; consolidated with MEPC.264(68), adopted 15 May 2015</x:v>
      </x:c>
      <x:c r="D69" s="59" t="n">
        <x:v>14</x:v>
      </x:c>
      <x:c r="E69" s="47" t="str">
        <x:v>1.3.6</x:v>
      </x:c>
      <x:c r="F69" s="47" t="str">
        <x:v>Static</x:v>
      </x:c>
      <x:c r="G69" s="48" t="str">
        <x:v>Stage 2 candidate - direct/deterministic</x:v>
      </x:c>
      <x:c r="H69" s="47" t="str">
        <x:v>Medium</x:v>
      </x:c>
      <x:c r="I69" s="47" t="str">
        <x:v>No</x:v>
      </x:c>
      <x:c r="J69" s="47" t="str">
        <x:v>ELIGIBLE</x:v>
      </x:c>
      <x:c r="K69" s="47" t="str">
        <x:v>NOT_RUN</x:v>
      </x:c>
    </x:row>
    <x:row r="70">
      <x:c r="A70" s="47" t="str">
        <x:v>IMO-018</x:v>
      </x:c>
      <x:c r="B70" s="48" t="str">
        <x:v>International Code for Ships Operating in Polar Waters (Polar Code)</x:v>
      </x:c>
      <x:c r="C70" s="47" t="str">
        <x:v>Resolution MSC.385(94), adopted 21 Nov 2014; consolidated with MEPC.264(68), adopted 15 May 2015</x:v>
      </x:c>
      <x:c r="D70" s="59" t="n">
        <x:v>14</x:v>
      </x:c>
      <x:c r="E70" s="47" t="str">
        <x:v>1.3.7</x:v>
      </x:c>
      <x:c r="F70" s="47" t="str">
        <x:v>Static</x:v>
      </x:c>
      <x:c r="G70" s="48" t="str">
        <x:v>Stage 2 candidate - direct static</x:v>
      </x:c>
      <x:c r="H70" s="47" t="str">
        <x:v>Direct static</x:v>
      </x:c>
      <x:c r="I70" s="47" t="str">
        <x:v>No</x:v>
      </x:c>
      <x:c r="J70" s="47" t="str">
        <x:v>ELIGIBLE</x:v>
      </x:c>
      <x:c r="K70" s="47" t="str">
        <x:v>NOT_RUN</x:v>
      </x:c>
    </x:row>
    <x:row r="71">
      <x:c r="A71" s="47" t="str">
        <x:v>IMO-019</x:v>
      </x:c>
      <x:c r="B71" s="48" t="str">
        <x:v>International Code for Ships Operating in Polar Waters (Polar Code)</x:v>
      </x:c>
      <x:c r="C71" s="47" t="str">
        <x:v>Resolution MSC.385(94), adopted 21 Nov 2014; consolidated with MEPC.264(68), adopted 15 May 2015</x:v>
      </x:c>
      <x:c r="D71" s="59" t="n">
        <x:v>15</x:v>
      </x:c>
      <x:c r="E71" s="47" t="str">
        <x:v>1.4.2</x:v>
      </x:c>
      <x:c r="F71" s="47" t="str">
        <x:v>Static Calculation</x:v>
      </x:c>
      <x:c r="G71" s="48" t="str">
        <x:v>Stage 2 candidate - direct/deterministic</x:v>
      </x:c>
      <x:c r="H71" s="47" t="str">
        <x:v>High</x:v>
      </x:c>
      <x:c r="I71" s="47" t="str">
        <x:v>No</x:v>
      </x:c>
      <x:c r="J71" s="47" t="str">
        <x:v>ELIGIBLE</x:v>
      </x:c>
      <x:c r="K71" s="47" t="str">
        <x:v>NOT_RUN</x:v>
      </x:c>
    </x:row>
    <x:row r="72">
      <x:c r="A72" s="47" t="str">
        <x:v>IMO-020</x:v>
      </x:c>
      <x:c r="B72" s="48" t="str">
        <x:v>International Code for Ships Operating in Polar Waters (Polar Code)</x:v>
      </x:c>
      <x:c r="C72" s="47" t="str">
        <x:v>Resolution MSC.385(94), adopted 21 Nov 2014; consolidated with MEPC.264(68), adopted 15 May 2015</x:v>
      </x:c>
      <x:c r="D72" s="59" t="n">
        <x:v>15</x:v>
      </x:c>
      <x:c r="E72" s="47" t="str">
        <x:v>1.4.3</x:v>
      </x:c>
      <x:c r="F72" s="47" t="str">
        <x:v>Physical Test</x:v>
      </x:c>
      <x:c r="G72" s="48" t="str">
        <x:v>Evidence-only - physical result not inferred by SHACL</x:v>
      </x:c>
      <x:c r="H72" s="47" t="str">
        <x:v>Medium</x:v>
      </x:c>
      <x:c r="I72" s="47" t="str">
        <x:v>No</x:v>
      </x:c>
      <x:c r="J72" s="47" t="str">
        <x:v>DEFERRED</x:v>
      </x:c>
      <x:c r="K72" s="47" t="str">
        <x:v>NOT_RUN</x:v>
      </x:c>
    </x:row>
    <x:row r="73">
      <x:c r="A73" s="47" t="str">
        <x:v>IMO-021</x:v>
      </x:c>
      <x:c r="B73" s="48" t="str">
        <x:v>International Code for Ships Operating in Polar Waters (Polar Code)</x:v>
      </x:c>
      <x:c r="C73" s="47" t="str">
        <x:v>Resolution MSC.385(94), adopted 21 Nov 2014; consolidated with MEPC.264(68), adopted 15 May 2015</x:v>
      </x:c>
      <x:c r="D73" s="59" t="n">
        <x:v>15</x:v>
      </x:c>
      <x:c r="E73" s="47" t="str">
        <x:v>1.5</x:v>
      </x:c>
      <x:c r="F73" s="47" t="str">
        <x:v>Static</x:v>
      </x:c>
      <x:c r="G73" s="48" t="str">
        <x:v>Stage 2 candidate - direct static</x:v>
      </x:c>
      <x:c r="H73" s="47" t="str">
        <x:v>Direct static</x:v>
      </x:c>
      <x:c r="I73" s="47" t="str">
        <x:v>No</x:v>
      </x:c>
      <x:c r="J73" s="47" t="str">
        <x:v>ELIGIBLE</x:v>
      </x:c>
      <x:c r="K73" s="47" t="str">
        <x:v>NOT_RUN</x:v>
      </x:c>
    </x:row>
    <x:row r="74">
      <x:c r="A74" s="47" t="str">
        <x:v>IMO-022</x:v>
      </x:c>
      <x:c r="B74" s="48" t="str">
        <x:v>International Code for Ships Operating in Polar Waters (Polar Code)</x:v>
      </x:c>
      <x:c r="C74" s="47" t="str">
        <x:v>Resolution MSC.385(94), adopted 21 Nov 2014; consolidated with MEPC.264(68), adopted 15 May 2015</x:v>
      </x:c>
      <x:c r="D74" s="59" t="n">
        <x:v>15</x:v>
      </x:c>
      <x:c r="E74" s="47" t="str">
        <x:v>2.2.2</x:v>
      </x:c>
      <x:c r="F74" s="47" t="str">
        <x:v>Static</x:v>
      </x:c>
      <x:c r="G74" s="48" t="str">
        <x:v>Stage 2 candidate - direct/deterministic</x:v>
      </x:c>
      <x:c r="H74" s="47" t="str">
        <x:v>High</x:v>
      </x:c>
      <x:c r="I74" s="47" t="str">
        <x:v>No</x:v>
      </x:c>
      <x:c r="J74" s="47" t="str">
        <x:v>ELIGIBLE</x:v>
      </x:c>
      <x:c r="K74" s="47" t="str">
        <x:v>NOT_RUN</x:v>
      </x:c>
    </x:row>
    <x:row r="75">
      <x:c r="A75" s="47" t="str">
        <x:v>IMO-023</x:v>
      </x:c>
      <x:c r="B75" s="48" t="str">
        <x:v>International Code for Ships Operating in Polar Waters (Polar Code)</x:v>
      </x:c>
      <x:c r="C75" s="47" t="str">
        <x:v>Resolution MSC.385(94), adopted 21 Nov 2014; consolidated with MEPC.264(68), adopted 15 May 2015</x:v>
      </x:c>
      <x:c r="D75" s="59" t="n">
        <x:v>15</x:v>
      </x:c>
      <x:c r="E75" s="47" t="str">
        <x:v>2.2.3</x:v>
      </x:c>
      <x:c r="F75" s="47" t="str">
        <x:v>Static</x:v>
      </x:c>
      <x:c r="G75" s="48" t="str">
        <x:v>Stage 2 candidate - direct/deterministic</x:v>
      </x:c>
      <x:c r="H75" s="47" t="str">
        <x:v>High</x:v>
      </x:c>
      <x:c r="I75" s="47" t="str">
        <x:v>No</x:v>
      </x:c>
      <x:c r="J75" s="47" t="str">
        <x:v>ELIGIBLE</x:v>
      </x:c>
      <x:c r="K75" s="47" t="str">
        <x:v>NOT_RUN</x:v>
      </x:c>
    </x:row>
    <x:row r="76">
      <x:c r="A76" s="47" t="str">
        <x:v>IMO-024</x:v>
      </x:c>
      <x:c r="B76" s="48" t="str">
        <x:v>International Code for Ships Operating in Polar Waters (Polar Code)</x:v>
      </x:c>
      <x:c r="C76" s="47" t="str">
        <x:v>Resolution MSC.385(94), adopted 21 Nov 2014; consolidated with MEPC.264(68), adopted 15 May 2015</x:v>
      </x:c>
      <x:c r="D76" s="59" t="n">
        <x:v>15</x:v>
      </x:c>
      <x:c r="E76" s="47" t="str">
        <x:v>2.2.4</x:v>
      </x:c>
      <x:c r="F76" s="47" t="str">
        <x:v>Static</x:v>
      </x:c>
      <x:c r="G76" s="48" t="str">
        <x:v>Stage 2 candidate - direct/deterministic</x:v>
      </x:c>
      <x:c r="H76" s="47" t="str">
        <x:v>High</x:v>
      </x:c>
      <x:c r="I76" s="47" t="str">
        <x:v>No</x:v>
      </x:c>
      <x:c r="J76" s="47" t="str">
        <x:v>ELIGIBLE</x:v>
      </x:c>
      <x:c r="K76" s="47" t="str">
        <x:v>NOT_RUN</x:v>
      </x:c>
    </x:row>
    <x:row r="77">
      <x:c r="A77" s="47" t="str">
        <x:v>IMO-025</x:v>
      </x:c>
      <x:c r="B77" s="48" t="str">
        <x:v>International Code for Ships Operating in Polar Waters (Polar Code)</x:v>
      </x:c>
      <x:c r="C77" s="47" t="str">
        <x:v>Resolution MSC.385(94), adopted 21 Nov 2014; consolidated with MEPC.264(68), adopted 15 May 2015</x:v>
      </x:c>
      <x:c r="D77" s="59" t="n">
        <x:v>16</x:v>
      </x:c>
      <x:c r="E77" s="47" t="str">
        <x:v>2.3.1</x:v>
      </x:c>
      <x:c r="F77" s="47" t="str">
        <x:v>Static</x:v>
      </x:c>
      <x:c r="G77" s="48" t="str">
        <x:v>Stage 2 candidate - direct/deterministic</x:v>
      </x:c>
      <x:c r="H77" s="47" t="str">
        <x:v>High</x:v>
      </x:c>
      <x:c r="I77" s="47" t="str">
        <x:v>No</x:v>
      </x:c>
      <x:c r="J77" s="47" t="str">
        <x:v>ELIGIBLE</x:v>
      </x:c>
      <x:c r="K77" s="47" t="str">
        <x:v>NOT_RUN</x:v>
      </x:c>
    </x:row>
    <x:row r="78">
      <x:c r="A78" s="47" t="str">
        <x:v>IMO-026</x:v>
      </x:c>
      <x:c r="B78" s="48" t="str">
        <x:v>International Code for Ships Operating in Polar Waters (Polar Code)</x:v>
      </x:c>
      <x:c r="C78" s="47" t="str">
        <x:v>Resolution MSC.385(94), adopted 21 Nov 2014; consolidated with MEPC.264(68), adopted 15 May 2015</x:v>
      </x:c>
      <x:c r="D78" s="59" t="n">
        <x:v>16</x:v>
      </x:c>
      <x:c r="E78" s="47" t="str">
        <x:v>2.3.2</x:v>
      </x:c>
      <x:c r="F78" s="47" t="str">
        <x:v>Static</x:v>
      </x:c>
      <x:c r="G78" s="48" t="str">
        <x:v>Stage 2 candidate - direct/deterministic</x:v>
      </x:c>
      <x:c r="H78" s="47" t="str">
        <x:v>High</x:v>
      </x:c>
      <x:c r="I78" s="47" t="str">
        <x:v>No</x:v>
      </x:c>
      <x:c r="J78" s="47" t="str">
        <x:v>ELIGIBLE</x:v>
      </x:c>
      <x:c r="K78" s="47" t="str">
        <x:v>NOT_RUN</x:v>
      </x:c>
    </x:row>
    <x:row r="79">
      <x:c r="A79" s="47" t="str">
        <x:v>IMO-027</x:v>
      </x:c>
      <x:c r="B79" s="48" t="str">
        <x:v>International Code for Ships Operating in Polar Waters (Polar Code)</x:v>
      </x:c>
      <x:c r="C79" s="47" t="str">
        <x:v>Resolution MSC.385(94), adopted 21 Nov 2014; consolidated with MEPC.264(68), adopted 15 May 2015</x:v>
      </x:c>
      <x:c r="D79" s="59" t="n">
        <x:v>16</x:v>
      </x:c>
      <x:c r="E79" s="47" t="str">
        <x:v>2.3.3</x:v>
      </x:c>
      <x:c r="F79" s="47" t="str">
        <x:v>Static</x:v>
      </x:c>
      <x:c r="G79" s="48" t="str">
        <x:v>Stage 2 candidate - direct static</x:v>
      </x:c>
      <x:c r="H79" s="47" t="str">
        <x:v>Direct static</x:v>
      </x:c>
      <x:c r="I79" s="47" t="str">
        <x:v>No</x:v>
      </x:c>
      <x:c r="J79" s="47" t="str">
        <x:v>ELIGIBLE</x:v>
      </x:c>
      <x:c r="K79" s="47" t="str">
        <x:v>NOT_RUN</x:v>
      </x:c>
    </x:row>
    <x:row r="80">
      <x:c r="A80" s="47" t="str">
        <x:v>IMO-028</x:v>
      </x:c>
      <x:c r="B80" s="48" t="str">
        <x:v>International Code for Ships Operating in Polar Waters (Polar Code)</x:v>
      </x:c>
      <x:c r="C80" s="47" t="str">
        <x:v>Resolution MSC.385(94), adopted 21 Nov 2014; consolidated with MEPC.264(68), adopted 15 May 2015</x:v>
      </x:c>
      <x:c r="D80" s="59" t="n">
        <x:v>16</x:v>
      </x:c>
      <x:c r="E80" s="47" t="str">
        <x:v>2.3.4</x:v>
      </x:c>
      <x:c r="F80" s="47" t="str">
        <x:v>Static</x:v>
      </x:c>
      <x:c r="G80" s="48" t="str">
        <x:v>Stage 2 candidate - direct static</x:v>
      </x:c>
      <x:c r="H80" s="47" t="str">
        <x:v>Direct static</x:v>
      </x:c>
      <x:c r="I80" s="47" t="str">
        <x:v>No</x:v>
      </x:c>
      <x:c r="J80" s="47" t="str">
        <x:v>ELIGIBLE</x:v>
      </x:c>
      <x:c r="K80" s="47" t="str">
        <x:v>NOT_RUN</x:v>
      </x:c>
    </x:row>
    <x:row r="81">
      <x:c r="A81" s="47" t="str">
        <x:v>IMO-029</x:v>
      </x:c>
      <x:c r="B81" s="48" t="str">
        <x:v>International Code for Ships Operating in Polar Waters (Polar Code)</x:v>
      </x:c>
      <x:c r="C81" s="47" t="str">
        <x:v>Resolution MSC.385(94), adopted 21 Nov 2014; consolidated with MEPC.264(68), adopted 15 May 2015</x:v>
      </x:c>
      <x:c r="D81" s="59" t="n">
        <x:v>16</x:v>
      </x:c>
      <x:c r="E81" s="47" t="str">
        <x:v>2.3.5</x:v>
      </x:c>
      <x:c r="F81" s="47" t="str">
        <x:v>Static</x:v>
      </x:c>
      <x:c r="G81" s="48" t="str">
        <x:v>Stage 2 candidate - direct/deterministic</x:v>
      </x:c>
      <x:c r="H81" s="47" t="str">
        <x:v>High</x:v>
      </x:c>
      <x:c r="I81" s="47" t="str">
        <x:v>No</x:v>
      </x:c>
      <x:c r="J81" s="47" t="str">
        <x:v>ELIGIBLE</x:v>
      </x:c>
      <x:c r="K81" s="47" t="str">
        <x:v>NOT_RUN</x:v>
      </x:c>
    </x:row>
    <x:row r="82">
      <x:c r="A82" s="47" t="str">
        <x:v>IMO-030</x:v>
      </x:c>
      <x:c r="B82" s="48" t="str">
        <x:v>International Code for Ships Operating in Polar Waters (Polar Code)</x:v>
      </x:c>
      <x:c r="C82" s="47" t="str">
        <x:v>Resolution MSC.385(94), adopted 21 Nov 2014; consolidated with MEPC.264(68), adopted 15 May 2015</x:v>
      </x:c>
      <x:c r="D82" s="59" t="n">
        <x:v>16</x:v>
      </x:c>
      <x:c r="E82" s="47" t="str">
        <x:v>2.3.6</x:v>
      </x:c>
      <x:c r="F82" s="47" t="str">
        <x:v>Static</x:v>
      </x:c>
      <x:c r="G82" s="48" t="str">
        <x:v>Stage 2 candidate - direct static</x:v>
      </x:c>
      <x:c r="H82" s="47" t="str">
        <x:v>Direct static</x:v>
      </x:c>
      <x:c r="I82" s="47" t="str">
        <x:v>No</x:v>
      </x:c>
      <x:c r="J82" s="47" t="str">
        <x:v>ELIGIBLE</x:v>
      </x:c>
      <x:c r="K82" s="47" t="str">
        <x:v>NOT_RUN</x:v>
      </x:c>
    </x:row>
    <x:row r="83">
      <x:c r="A83" s="47" t="str">
        <x:v>IMO-031</x:v>
      </x:c>
      <x:c r="B83" s="48" t="str">
        <x:v>International Code for Ships Operating in Polar Waters (Polar Code)</x:v>
      </x:c>
      <x:c r="C83" s="47" t="str">
        <x:v>Resolution MSC.385(94), adopted 21 Nov 2014; consolidated with MEPC.264(68), adopted 15 May 2015</x:v>
      </x:c>
      <x:c r="D83" s="59" t="n">
        <x:v>17</x:v>
      </x:c>
      <x:c r="E83" s="47" t="str">
        <x:v>3.3.1</x:v>
      </x:c>
      <x:c r="F83" s="47" t="str">
        <x:v>Static</x:v>
      </x:c>
      <x:c r="G83" s="48" t="str">
        <x:v>Stage 2 candidate - direct static</x:v>
      </x:c>
      <x:c r="H83" s="47" t="str">
        <x:v>Direct static</x:v>
      </x:c>
      <x:c r="I83" s="47" t="str">
        <x:v>No</x:v>
      </x:c>
      <x:c r="J83" s="47" t="str">
        <x:v>ELIGIBLE</x:v>
      </x:c>
      <x:c r="K83" s="47" t="str">
        <x:v>NOT_RUN</x:v>
      </x:c>
    </x:row>
    <x:row r="84">
      <x:c r="A84" s="47" t="str">
        <x:v>IMO-032</x:v>
      </x:c>
      <x:c r="B84" s="48" t="str">
        <x:v>International Code for Ships Operating in Polar Waters (Polar Code)</x:v>
      </x:c>
      <x:c r="C84" s="47" t="str">
        <x:v>Resolution MSC.385(94), adopted 21 Nov 2014; consolidated with MEPC.264(68), adopted 15 May 2015</x:v>
      </x:c>
      <x:c r="D84" s="59" t="n">
        <x:v>17</x:v>
      </x:c>
      <x:c r="E84" s="47" t="str">
        <x:v>3.3.2.1-.3</x:v>
      </x:c>
      <x:c r="F84" s="47" t="str">
        <x:v>Static</x:v>
      </x:c>
      <x:c r="G84" s="48" t="str">
        <x:v>Stage 2 candidate - direct static</x:v>
      </x:c>
      <x:c r="H84" s="47" t="str">
        <x:v>Direct static</x:v>
      </x:c>
      <x:c r="I84" s="47" t="str">
        <x:v>No</x:v>
      </x:c>
      <x:c r="J84" s="47" t="str">
        <x:v>ELIGIBLE</x:v>
      </x:c>
      <x:c r="K84" s="47" t="str">
        <x:v>NOT_RUN</x:v>
      </x:c>
    </x:row>
    <x:row r="85">
      <x:c r="A85" s="47" t="str">
        <x:v>IMO-033</x:v>
      </x:c>
      <x:c r="B85" s="48" t="str">
        <x:v>International Code for Ships Operating in Polar Waters (Polar Code)</x:v>
      </x:c>
      <x:c r="C85" s="47" t="str">
        <x:v>Resolution MSC.385(94), adopted 21 Nov 2014; consolidated with MEPC.264(68), adopted 15 May 2015</x:v>
      </x:c>
      <x:c r="D85" s="59" t="n">
        <x:v>18</x:v>
      </x:c>
      <x:c r="E85" s="47" t="str">
        <x:v>4.3.1.1</x:v>
      </x:c>
      <x:c r="F85" s="47" t="str">
        <x:v>Static Calculation</x:v>
      </x:c>
      <x:c r="G85" s="48" t="str">
        <x:v>Stage 2 candidate - direct/deterministic</x:v>
      </x:c>
      <x:c r="H85" s="47" t="str">
        <x:v>High</x:v>
      </x:c>
      <x:c r="I85" s="47" t="str">
        <x:v>No</x:v>
      </x:c>
      <x:c r="J85" s="47" t="str">
        <x:v>ELIGIBLE</x:v>
      </x:c>
      <x:c r="K85" s="47" t="str">
        <x:v>NOT_RUN</x:v>
      </x:c>
    </x:row>
    <x:row r="86">
      <x:c r="A86" s="47" t="str">
        <x:v>IMO-034</x:v>
      </x:c>
      <x:c r="B86" s="48" t="str">
        <x:v>International Code for Ships Operating in Polar Waters (Polar Code)</x:v>
      </x:c>
      <x:c r="C86" s="47" t="str">
        <x:v>Resolution MSC.385(94), adopted 21 Nov 2014; consolidated with MEPC.264(68), adopted 15 May 2015</x:v>
      </x:c>
      <x:c r="D86" s="59" t="n">
        <x:v>18</x:v>
      </x:c>
      <x:c r="E86" s="47" t="str">
        <x:v>4.3.1.2</x:v>
      </x:c>
      <x:c r="F86" s="47" t="str">
        <x:v>Static</x:v>
      </x:c>
      <x:c r="G86" s="48" t="str">
        <x:v>Stage 2 candidate - direct static</x:v>
      </x:c>
      <x:c r="H86" s="47" t="str">
        <x:v>Direct static</x:v>
      </x:c>
      <x:c r="I86" s="47" t="str">
        <x:v>No</x:v>
      </x:c>
      <x:c r="J86" s="47" t="str">
        <x:v>ELIGIBLE</x:v>
      </x:c>
      <x:c r="K86" s="47" t="str">
        <x:v>NOT_RUN</x:v>
      </x:c>
    </x:row>
    <x:row r="87">
      <x:c r="A87" s="47" t="str">
        <x:v>IMO-035</x:v>
      </x:c>
      <x:c r="B87" s="48" t="str">
        <x:v>International Code for Ships Operating in Polar Waters (Polar Code)</x:v>
      </x:c>
      <x:c r="C87" s="47" t="str">
        <x:v>Resolution MSC.385(94), adopted 21 Nov 2014; consolidated with MEPC.264(68), adopted 15 May 2015</x:v>
      </x:c>
      <x:c r="D87" s="59" t="n">
        <x:v>18</x:v>
      </x:c>
      <x:c r="E87" s="47" t="str">
        <x:v>4.3.1.3</x:v>
      </x:c>
      <x:c r="F87" s="47" t="str">
        <x:v>Static</x:v>
      </x:c>
      <x:c r="G87" s="48" t="str">
        <x:v>Stage 2 candidate - direct/deterministic</x:v>
      </x:c>
      <x:c r="H87" s="47" t="str">
        <x:v>High</x:v>
      </x:c>
      <x:c r="I87" s="47" t="str">
        <x:v>No</x:v>
      </x:c>
      <x:c r="J87" s="47" t="str">
        <x:v>ELIGIBLE</x:v>
      </x:c>
      <x:c r="K87" s="47" t="str">
        <x:v>NOT_RUN</x:v>
      </x:c>
    </x:row>
    <x:row r="88">
      <x:c r="A88" s="47" t="str">
        <x:v>IMO-036</x:v>
      </x:c>
      <x:c r="B88" s="48" t="str">
        <x:v>International Code for Ships Operating in Polar Waters (Polar Code)</x:v>
      </x:c>
      <x:c r="C88" s="47" t="str">
        <x:v>Resolution MSC.385(94), adopted 21 Nov 2014; consolidated with MEPC.264(68), adopted 15 May 2015</x:v>
      </x:c>
      <x:c r="D88" s="59" t="n">
        <x:v>18</x:v>
      </x:c>
      <x:c r="E88" s="47" t="str">
        <x:v>4.3.1.4</x:v>
      </x:c>
      <x:c r="F88" s="47" t="str">
        <x:v>Dynamic</x:v>
      </x:c>
      <x:c r="G88" s="48" t="str">
        <x:v>Deferred - observation/history/simulation design required</x:v>
      </x:c>
      <x:c r="H88" s="47" t="str">
        <x:v>Medium</x:v>
      </x:c>
      <x:c r="I88" s="47" t="str">
        <x:v>No</x:v>
      </x:c>
      <x:c r="J88" s="47" t="str">
        <x:v>DEFERRED</x:v>
      </x:c>
      <x:c r="K88" s="47" t="str">
        <x:v>NOT_RUN</x:v>
      </x:c>
    </x:row>
    <x:row r="89">
      <x:c r="A89" s="47" t="str">
        <x:v>IMO-037</x:v>
      </x:c>
      <x:c r="B89" s="48" t="str">
        <x:v>International Code for Ships Operating in Polar Waters (Polar Code)</x:v>
      </x:c>
      <x:c r="C89" s="47" t="str">
        <x:v>Resolution MSC.385(94), adopted 21 Nov 2014; consolidated with MEPC.264(68), adopted 15 May 2015</x:v>
      </x:c>
      <x:c r="D89" s="59" t="n">
        <x:v>19</x:v>
      </x:c>
      <x:c r="E89" s="47" t="str">
        <x:v>4.3.2.1</x:v>
      </x:c>
      <x:c r="F89" s="47" t="str">
        <x:v>Complex</x:v>
      </x:c>
      <x:c r="G89" s="48" t="str">
        <x:v>Stage 2 candidate - complex readiness</x:v>
      </x:c>
      <x:c r="H89" s="47" t="str">
        <x:v>Complex readiness</x:v>
      </x:c>
      <x:c r="I89" s="47" t="str">
        <x:v>No</x:v>
      </x:c>
      <x:c r="J89" s="47" t="str">
        <x:v>ELIGIBLE</x:v>
      </x:c>
      <x:c r="K89" s="47" t="str">
        <x:v>NOT_RUN</x:v>
      </x:c>
    </x:row>
    <x:row r="90">
      <x:c r="A90" s="47" t="str">
        <x:v>IMO-038</x:v>
      </x:c>
      <x:c r="B90" s="48" t="str">
        <x:v>International Code for Ships Operating in Polar Waters (Polar Code)</x:v>
      </x:c>
      <x:c r="C90" s="47" t="str">
        <x:v>Resolution MSC.385(94), adopted 21 Nov 2014; consolidated with MEPC.264(68), adopted 15 May 2015</x:v>
      </x:c>
      <x:c r="D90" s="59" t="n">
        <x:v>19</x:v>
      </x:c>
      <x:c r="E90" s="47" t="str">
        <x:v>4.3.2.2</x:v>
      </x:c>
      <x:c r="F90" s="47" t="str">
        <x:v>Static Calculation</x:v>
      </x:c>
      <x:c r="G90" s="48" t="str">
        <x:v>Stage 2 candidate - direct/deterministic</x:v>
      </x:c>
      <x:c r="H90" s="47" t="str">
        <x:v>High</x:v>
      </x:c>
      <x:c r="I90" s="47" t="str">
        <x:v>No</x:v>
      </x:c>
      <x:c r="J90" s="47" t="str">
        <x:v>ELIGIBLE</x:v>
      </x:c>
      <x:c r="K90" s="47" t="str">
        <x:v>NOT_RUN</x:v>
      </x:c>
    </x:row>
    <x:row r="91">
      <x:c r="A91" s="47" t="str">
        <x:v>IMO-039</x:v>
      </x:c>
      <x:c r="B91" s="48" t="str">
        <x:v>International Code for Ships Operating in Polar Waters (Polar Code)</x:v>
      </x:c>
      <x:c r="C91" s="47" t="str">
        <x:v>Resolution MSC.385(94), adopted 21 Nov 2014; consolidated with MEPC.264(68), adopted 15 May 2015</x:v>
      </x:c>
      <x:c r="D91" s="59" t="n">
        <x:v>19</x:v>
      </x:c>
      <x:c r="E91" s="47" t="str">
        <x:v>5.2</x:v>
      </x:c>
      <x:c r="F91" s="47" t="str">
        <x:v>Physical Test</x:v>
      </x:c>
      <x:c r="G91" s="48" t="str">
        <x:v>Evidence-only - physical result not inferred by SHACL</x:v>
      </x:c>
      <x:c r="H91" s="47" t="str">
        <x:v>Medium</x:v>
      </x:c>
      <x:c r="I91" s="47" t="str">
        <x:v>No</x:v>
      </x:c>
      <x:c r="J91" s="47" t="str">
        <x:v>DEFERRED</x:v>
      </x:c>
      <x:c r="K91" s="47" t="str">
        <x:v>NOT_RUN</x:v>
      </x:c>
    </x:row>
    <x:row r="92">
      <x:c r="A92" s="47" t="str">
        <x:v>IMO-040</x:v>
      </x:c>
      <x:c r="B92" s="48" t="str">
        <x:v>International Code for Ships Operating in Polar Waters (Polar Code)</x:v>
      </x:c>
      <x:c r="C92" s="47" t="str">
        <x:v>Resolution MSC.385(94), adopted 21 Nov 2014; consolidated with MEPC.264(68), adopted 15 May 2015</x:v>
      </x:c>
      <x:c r="D92" s="59" t="n">
        <x:v>19</x:v>
      </x:c>
      <x:c r="E92" s="47" t="str">
        <x:v>5.3.1</x:v>
      </x:c>
      <x:c r="F92" s="47" t="str">
        <x:v>Static</x:v>
      </x:c>
      <x:c r="G92" s="48" t="str">
        <x:v>Stage 2 candidate - direct/deterministic</x:v>
      </x:c>
      <x:c r="H92" s="47" t="str">
        <x:v>High</x:v>
      </x:c>
      <x:c r="I92" s="47" t="str">
        <x:v>No</x:v>
      </x:c>
      <x:c r="J92" s="47" t="str">
        <x:v>ELIGIBLE</x:v>
      </x:c>
      <x:c r="K92" s="47" t="str">
        <x:v>NOT_RUN</x:v>
      </x:c>
    </x:row>
    <x:row r="93">
      <x:c r="A93" s="47" t="str">
        <x:v>IMO-041</x:v>
      </x:c>
      <x:c r="B93" s="48" t="str">
        <x:v>International Code for Ships Operating in Polar Waters (Polar Code)</x:v>
      </x:c>
      <x:c r="C93" s="47" t="str">
        <x:v>Resolution MSC.385(94), adopted 21 Nov 2014; consolidated with MEPC.264(68), adopted 15 May 2015</x:v>
      </x:c>
      <x:c r="D93" s="59" t="n">
        <x:v>19</x:v>
      </x:c>
      <x:c r="E93" s="47" t="str">
        <x:v>5.3.2.1</x:v>
      </x:c>
      <x:c r="F93" s="47" t="str">
        <x:v>Static</x:v>
      </x:c>
      <x:c r="G93" s="48" t="str">
        <x:v>Stage 2 candidate - direct/deterministic</x:v>
      </x:c>
      <x:c r="H93" s="47" t="str">
        <x:v>High</x:v>
      </x:c>
      <x:c r="I93" s="47" t="str">
        <x:v>No</x:v>
      </x:c>
      <x:c r="J93" s="47" t="str">
        <x:v>ELIGIBLE</x:v>
      </x:c>
      <x:c r="K93" s="47" t="str">
        <x:v>NOT_RUN</x:v>
      </x:c>
    </x:row>
    <x:row r="94">
      <x:c r="A94" s="47" t="str">
        <x:v>IMO-042</x:v>
      </x:c>
      <x:c r="B94" s="48" t="str">
        <x:v>International Code for Ships Operating in Polar Waters (Polar Code)</x:v>
      </x:c>
      <x:c r="C94" s="47" t="str">
        <x:v>Resolution MSC.385(94), adopted 21 Nov 2014; consolidated with MEPC.264(68), adopted 15 May 2015</x:v>
      </x:c>
      <x:c r="D94" s="59" t="n">
        <x:v>20</x:v>
      </x:c>
      <x:c r="E94" s="47" t="str">
        <x:v>5.3.2.2</x:v>
      </x:c>
      <x:c r="F94" s="47" t="str">
        <x:v>Physical Test</x:v>
      </x:c>
      <x:c r="G94" s="48" t="str">
        <x:v>Evidence-only - physical result not inferred by SHACL</x:v>
      </x:c>
      <x:c r="H94" s="47" t="str">
        <x:v>Medium</x:v>
      </x:c>
      <x:c r="I94" s="47" t="str">
        <x:v>No</x:v>
      </x:c>
      <x:c r="J94" s="47" t="str">
        <x:v>DEFERRED</x:v>
      </x:c>
      <x:c r="K94" s="47" t="str">
        <x:v>NOT_RUN</x:v>
      </x:c>
    </x:row>
    <x:row r="95">
      <x:c r="A95" s="47" t="str">
        <x:v>IMO-043</x:v>
      </x:c>
      <x:c r="B95" s="48" t="str">
        <x:v>International Code for Ships Operating in Polar Waters (Polar Code)</x:v>
      </x:c>
      <x:c r="C95" s="47" t="str">
        <x:v>Resolution MSC.385(94), adopted 21 Nov 2014; consolidated with MEPC.264(68), adopted 15 May 2015</x:v>
      </x:c>
      <x:c r="D95" s="59" t="n">
        <x:v>20</x:v>
      </x:c>
      <x:c r="E95" s="47" t="str">
        <x:v>6.3.1.1</x:v>
      </x:c>
      <x:c r="F95" s="47" t="str">
        <x:v>Static</x:v>
      </x:c>
      <x:c r="G95" s="48" t="str">
        <x:v>Stage 2 candidate - direct/deterministic</x:v>
      </x:c>
      <x:c r="H95" s="47" t="str">
        <x:v>Medium</x:v>
      </x:c>
      <x:c r="I95" s="47" t="str">
        <x:v>No</x:v>
      </x:c>
      <x:c r="J95" s="47" t="str">
        <x:v>ELIGIBLE</x:v>
      </x:c>
      <x:c r="K95" s="47" t="str">
        <x:v>NOT_RUN</x:v>
      </x:c>
    </x:row>
    <x:row r="96">
      <x:c r="A96" s="47" t="str">
        <x:v>IMO-044</x:v>
      </x:c>
      <x:c r="B96" s="48" t="str">
        <x:v>International Code for Ships Operating in Polar Waters (Polar Code)</x:v>
      </x:c>
      <x:c r="C96" s="47" t="str">
        <x:v>Resolution MSC.385(94), adopted 21 Nov 2014; consolidated with MEPC.264(68), adopted 15 May 2015</x:v>
      </x:c>
      <x:c r="D96" s="59" t="n">
        <x:v>21</x:v>
      </x:c>
      <x:c r="E96" s="47" t="str">
        <x:v>6.3.1.2</x:v>
      </x:c>
      <x:c r="F96" s="47" t="str">
        <x:v>Dynamic</x:v>
      </x:c>
      <x:c r="G96" s="48" t="str">
        <x:v>Deferred - observation/history/simulation design required</x:v>
      </x:c>
      <x:c r="H96" s="47" t="str">
        <x:v>Medium</x:v>
      </x:c>
      <x:c r="I96" s="47" t="str">
        <x:v>No</x:v>
      </x:c>
      <x:c r="J96" s="47" t="str">
        <x:v>DEFERRED</x:v>
      </x:c>
      <x:c r="K96" s="47" t="str">
        <x:v>NOT_RUN</x:v>
      </x:c>
    </x:row>
    <x:row r="97">
      <x:c r="A97" s="47" t="str">
        <x:v>IMO-045</x:v>
      </x:c>
      <x:c r="B97" s="48" t="str">
        <x:v>International Code for Ships Operating in Polar Waters (Polar Code)</x:v>
      </x:c>
      <x:c r="C97" s="47" t="str">
        <x:v>Resolution MSC.385(94), adopted 21 Nov 2014; consolidated with MEPC.264(68), adopted 15 May 2015</x:v>
      </x:c>
      <x:c r="D97" s="59" t="n">
        <x:v>21</x:v>
      </x:c>
      <x:c r="E97" s="47" t="str">
        <x:v>6.3.1.3</x:v>
      </x:c>
      <x:c r="F97" s="47" t="str">
        <x:v>Static</x:v>
      </x:c>
      <x:c r="G97" s="48" t="str">
        <x:v>Stage 2 candidate - direct/deterministic</x:v>
      </x:c>
      <x:c r="H97" s="47" t="str">
        <x:v>High</x:v>
      </x:c>
      <x:c r="I97" s="47" t="str">
        <x:v>No</x:v>
      </x:c>
      <x:c r="J97" s="47" t="str">
        <x:v>ELIGIBLE</x:v>
      </x:c>
      <x:c r="K97" s="47" t="str">
        <x:v>NOT_RUN</x:v>
      </x:c>
    </x:row>
    <x:row r="98">
      <x:c r="A98" s="47" t="str">
        <x:v>IMO-046</x:v>
      </x:c>
      <x:c r="B98" s="48" t="str">
        <x:v>International Code for Ships Operating in Polar Waters (Polar Code)</x:v>
      </x:c>
      <x:c r="C98" s="47" t="str">
        <x:v>Resolution MSC.385(94), adopted 21 Nov 2014; consolidated with MEPC.264(68), adopted 15 May 2015</x:v>
      </x:c>
      <x:c r="D98" s="59" t="n">
        <x:v>21</x:v>
      </x:c>
      <x:c r="E98" s="47" t="str">
        <x:v>6.3.2.1</x:v>
      </x:c>
      <x:c r="F98" s="47" t="str">
        <x:v>Physical Test</x:v>
      </x:c>
      <x:c r="G98" s="48" t="str">
        <x:v>Evidence-only - physical result not inferred by SHACL</x:v>
      </x:c>
      <x:c r="H98" s="47" t="str">
        <x:v>Medium</x:v>
      </x:c>
      <x:c r="I98" s="47" t="str">
        <x:v>No</x:v>
      </x:c>
      <x:c r="J98" s="47" t="str">
        <x:v>DEFERRED</x:v>
      </x:c>
      <x:c r="K98" s="47" t="str">
        <x:v>NOT_RUN</x:v>
      </x:c>
    </x:row>
    <x:row r="99">
      <x:c r="A99" s="47" t="str">
        <x:v>IMO-047</x:v>
      </x:c>
      <x:c r="B99" s="48" t="str">
        <x:v>International Code for Ships Operating in Polar Waters (Polar Code)</x:v>
      </x:c>
      <x:c r="C99" s="47" t="str">
        <x:v>Resolution MSC.385(94), adopted 21 Nov 2014; consolidated with MEPC.264(68), adopted 15 May 2015</x:v>
      </x:c>
      <x:c r="D99" s="59" t="n">
        <x:v>21</x:v>
      </x:c>
      <x:c r="E99" s="47" t="str">
        <x:v>6.3.2.2</x:v>
      </x:c>
      <x:c r="F99" s="47" t="str">
        <x:v>Static</x:v>
      </x:c>
      <x:c r="G99" s="48" t="str">
        <x:v>Stage 2 candidate - direct/deterministic</x:v>
      </x:c>
      <x:c r="H99" s="47" t="str">
        <x:v>High</x:v>
      </x:c>
      <x:c r="I99" s="47" t="str">
        <x:v>No</x:v>
      </x:c>
      <x:c r="J99" s="47" t="str">
        <x:v>ELIGIBLE</x:v>
      </x:c>
      <x:c r="K99" s="47" t="str">
        <x:v>NOT_RUN</x:v>
      </x:c>
    </x:row>
    <x:row r="100">
      <x:c r="A100" s="47" t="str">
        <x:v>IMO-048</x:v>
      </x:c>
      <x:c r="B100" s="48" t="str">
        <x:v>International Code for Ships Operating in Polar Waters (Polar Code)</x:v>
      </x:c>
      <x:c r="C100" s="47" t="str">
        <x:v>Resolution MSC.385(94), adopted 21 Nov 2014; consolidated with MEPC.264(68), adopted 15 May 2015</x:v>
      </x:c>
      <x:c r="D100" s="59" t="n">
        <x:v>21</x:v>
      </x:c>
      <x:c r="E100" s="47" t="str">
        <x:v>6.3.2.3</x:v>
      </x:c>
      <x:c r="F100" s="47" t="str">
        <x:v>Static</x:v>
      </x:c>
      <x:c r="G100" s="48" t="str">
        <x:v>Stage 2 candidate - direct static</x:v>
      </x:c>
      <x:c r="H100" s="47" t="str">
        <x:v>Direct static</x:v>
      </x:c>
      <x:c r="I100" s="47" t="str">
        <x:v>No</x:v>
      </x:c>
      <x:c r="J100" s="47" t="str">
        <x:v>ELIGIBLE</x:v>
      </x:c>
      <x:c r="K100" s="47" t="str">
        <x:v>NOT_RUN</x:v>
      </x:c>
    </x:row>
    <x:row r="101">
      <x:c r="A101" s="47" t="str">
        <x:v>IMO-049</x:v>
      </x:c>
      <x:c r="B101" s="48" t="str">
        <x:v>International Code for Ships Operating in Polar Waters (Polar Code)</x:v>
      </x:c>
      <x:c r="C101" s="47" t="str">
        <x:v>Resolution MSC.385(94), adopted 21 Nov 2014; consolidated with MEPC.264(68), adopted 15 May 2015</x:v>
      </x:c>
      <x:c r="D101" s="59" t="n">
        <x:v>21</x:v>
      </x:c>
      <x:c r="E101" s="47" t="str">
        <x:v>6.3.3.1-.3</x:v>
      </x:c>
      <x:c r="F101" s="47" t="str">
        <x:v>Static</x:v>
      </x:c>
      <x:c r="G101" s="48" t="str">
        <x:v>Stage 2 candidate - direct static</x:v>
      </x:c>
      <x:c r="H101" s="47" t="str">
        <x:v>Direct static</x:v>
      </x:c>
      <x:c r="I101" s="47" t="str">
        <x:v>No</x:v>
      </x:c>
      <x:c r="J101" s="47" t="str">
        <x:v>ELIGIBLE</x:v>
      </x:c>
      <x:c r="K101" s="47" t="str">
        <x:v>NOT_RUN</x:v>
      </x:c>
    </x:row>
    <x:row r="102">
      <x:c r="A102" s="47" t="str">
        <x:v>IMO-050</x:v>
      </x:c>
      <x:c r="B102" s="48" t="str">
        <x:v>International Code for Ships Operating in Polar Waters (Polar Code)</x:v>
      </x:c>
      <x:c r="C102" s="47" t="str">
        <x:v>Resolution MSC.385(94), adopted 21 Nov 2014; consolidated with MEPC.264(68), adopted 15 May 2015</x:v>
      </x:c>
      <x:c r="D102" s="59" t="n">
        <x:v>22</x:v>
      </x:c>
      <x:c r="E102" s="47" t="str">
        <x:v>7.2.1.1</x:v>
      </x:c>
      <x:c r="F102" s="47" t="str">
        <x:v>Static</x:v>
      </x:c>
      <x:c r="G102" s="48" t="str">
        <x:v>Stage 2 candidate - direct/deterministic</x:v>
      </x:c>
      <x:c r="H102" s="47" t="str">
        <x:v>High</x:v>
      </x:c>
      <x:c r="I102" s="47" t="str">
        <x:v>No</x:v>
      </x:c>
      <x:c r="J102" s="47" t="str">
        <x:v>ELIGIBLE</x:v>
      </x:c>
      <x:c r="K102" s="47" t="str">
        <x:v>NOT_RUN</x:v>
      </x:c>
    </x:row>
    <x:row r="103">
      <x:c r="A103" s="47" t="str">
        <x:v>IMO-051</x:v>
      </x:c>
      <x:c r="B103" s="48" t="str">
        <x:v>International Code for Ships Operating in Polar Waters (Polar Code)</x:v>
      </x:c>
      <x:c r="C103" s="47" t="str">
        <x:v>Resolution MSC.385(94), adopted 21 Nov 2014; consolidated with MEPC.264(68), adopted 15 May 2015</x:v>
      </x:c>
      <x:c r="D103" s="59" t="n">
        <x:v>22</x:v>
      </x:c>
      <x:c r="E103" s="47" t="str">
        <x:v>7.2.1.2</x:v>
      </x:c>
      <x:c r="F103" s="47" t="str">
        <x:v>Static</x:v>
      </x:c>
      <x:c r="G103" s="48" t="str">
        <x:v>Stage 2 candidate - direct/deterministic</x:v>
      </x:c>
      <x:c r="H103" s="47" t="str">
        <x:v>High</x:v>
      </x:c>
      <x:c r="I103" s="47" t="str">
        <x:v>No</x:v>
      </x:c>
      <x:c r="J103" s="47" t="str">
        <x:v>ELIGIBLE</x:v>
      </x:c>
      <x:c r="K103" s="47" t="str">
        <x:v>NOT_RUN</x:v>
      </x:c>
    </x:row>
    <x:row r="104">
      <x:c r="A104" s="47" t="str">
        <x:v>IMO-052</x:v>
      </x:c>
      <x:c r="B104" s="48" t="str">
        <x:v>International Code for Ships Operating in Polar Waters (Polar Code)</x:v>
      </x:c>
      <x:c r="C104" s="47" t="str">
        <x:v>Resolution MSC.385(94), adopted 21 Nov 2014; consolidated with MEPC.264(68), adopted 15 May 2015</x:v>
      </x:c>
      <x:c r="D104" s="59" t="n">
        <x:v>22</x:v>
      </x:c>
      <x:c r="E104" s="47" t="str">
        <x:v>7.2.1.4</x:v>
      </x:c>
      <x:c r="F104" s="47" t="str">
        <x:v>Static</x:v>
      </x:c>
      <x:c r="G104" s="48" t="str">
        <x:v>Stage 2 candidate - direct/deterministic</x:v>
      </x:c>
      <x:c r="H104" s="47" t="str">
        <x:v>High</x:v>
      </x:c>
      <x:c r="I104" s="47" t="str">
        <x:v>No</x:v>
      </x:c>
      <x:c r="J104" s="47" t="str">
        <x:v>ELIGIBLE</x:v>
      </x:c>
      <x:c r="K104" s="47" t="str">
        <x:v>NOT_RUN</x:v>
      </x:c>
    </x:row>
    <x:row r="105">
      <x:c r="A105" s="47" t="str">
        <x:v>IMO-053</x:v>
      </x:c>
      <x:c r="B105" s="48" t="str">
        <x:v>International Code for Ships Operating in Polar Waters (Polar Code)</x:v>
      </x:c>
      <x:c r="C105" s="47" t="str">
        <x:v>Resolution MSC.385(94), adopted 21 Nov 2014; consolidated with MEPC.264(68), adopted 15 May 2015</x:v>
      </x:c>
      <x:c r="D105" s="59" t="n">
        <x:v>22</x:v>
      </x:c>
      <x:c r="E105" s="47" t="str">
        <x:v>7.2.1.5</x:v>
      </x:c>
      <x:c r="F105" s="47" t="str">
        <x:v>Static</x:v>
      </x:c>
      <x:c r="G105" s="48" t="str">
        <x:v>Stage 2 candidate - direct/deterministic</x:v>
      </x:c>
      <x:c r="H105" s="47" t="str">
        <x:v>Medium</x:v>
      </x:c>
      <x:c r="I105" s="47" t="str">
        <x:v>No</x:v>
      </x:c>
      <x:c r="J105" s="47" t="str">
        <x:v>ELIGIBLE</x:v>
      </x:c>
      <x:c r="K105" s="47" t="str">
        <x:v>NOT_RUN</x:v>
      </x:c>
    </x:row>
    <x:row r="106">
      <x:c r="A106" s="47" t="str">
        <x:v>IMO-054</x:v>
      </x:c>
      <x:c r="B106" s="48" t="str">
        <x:v>International Code for Ships Operating in Polar Waters (Polar Code)</x:v>
      </x:c>
      <x:c r="C106" s="47" t="str">
        <x:v>Resolution MSC.385(94), adopted 21 Nov 2014; consolidated with MEPC.264(68), adopted 15 May 2015</x:v>
      </x:c>
      <x:c r="D106" s="59" t="n">
        <x:v>22</x:v>
      </x:c>
      <x:c r="E106" s="47" t="str">
        <x:v>7.2.2.1</x:v>
      </x:c>
      <x:c r="F106" s="47" t="str">
        <x:v>Physical Test</x:v>
      </x:c>
      <x:c r="G106" s="48" t="str">
        <x:v>Evidence-only - physical result not inferred by SHACL</x:v>
      </x:c>
      <x:c r="H106" s="47" t="str">
        <x:v>Medium</x:v>
      </x:c>
      <x:c r="I106" s="47" t="str">
        <x:v>No</x:v>
      </x:c>
      <x:c r="J106" s="47" t="str">
        <x:v>DEFERRED</x:v>
      </x:c>
      <x:c r="K106" s="47" t="str">
        <x:v>NOT_RUN</x:v>
      </x:c>
    </x:row>
    <x:row r="107">
      <x:c r="A107" s="47" t="str">
        <x:v>IMO-055</x:v>
      </x:c>
      <x:c r="B107" s="48" t="str">
        <x:v>International Code for Ships Operating in Polar Waters (Polar Code)</x:v>
      </x:c>
      <x:c r="C107" s="47" t="str">
        <x:v>Resolution MSC.385(94), adopted 21 Nov 2014; consolidated with MEPC.264(68), adopted 15 May 2015</x:v>
      </x:c>
      <x:c r="D107" s="59" t="n">
        <x:v>22</x:v>
      </x:c>
      <x:c r="E107" s="47" t="str">
        <x:v>7.3.1.1</x:v>
      </x:c>
      <x:c r="F107" s="47" t="str">
        <x:v>Static</x:v>
      </x:c>
      <x:c r="G107" s="48" t="str">
        <x:v>Stage 2 candidate - direct/deterministic</x:v>
      </x:c>
      <x:c r="H107" s="47" t="str">
        <x:v>High</x:v>
      </x:c>
      <x:c r="I107" s="47" t="str">
        <x:v>No</x:v>
      </x:c>
      <x:c r="J107" s="47" t="str">
        <x:v>ELIGIBLE</x:v>
      </x:c>
      <x:c r="K107" s="47" t="str">
        <x:v>NOT_RUN</x:v>
      </x:c>
    </x:row>
    <x:row r="108">
      <x:c r="A108" s="47" t="str">
        <x:v>IMO-056</x:v>
      </x:c>
      <x:c r="B108" s="48" t="str">
        <x:v>International Code for Ships Operating in Polar Waters (Polar Code)</x:v>
      </x:c>
      <x:c r="C108" s="47" t="str">
        <x:v>Resolution MSC.385(94), adopted 21 Nov 2014; consolidated with MEPC.264(68), adopted 15 May 2015</x:v>
      </x:c>
      <x:c r="D108" s="59" t="n">
        <x:v>22</x:v>
      </x:c>
      <x:c r="E108" s="47" t="str">
        <x:v>7.3.1.2</x:v>
      </x:c>
      <x:c r="F108" s="47" t="str">
        <x:v>Physical Test</x:v>
      </x:c>
      <x:c r="G108" s="48" t="str">
        <x:v>Evidence-only - physical result not inferred by SHACL</x:v>
      </x:c>
      <x:c r="H108" s="47" t="str">
        <x:v>Medium</x:v>
      </x:c>
      <x:c r="I108" s="47" t="str">
        <x:v>No</x:v>
      </x:c>
      <x:c r="J108" s="47" t="str">
        <x:v>DEFERRED</x:v>
      </x:c>
      <x:c r="K108" s="47" t="str">
        <x:v>NOT_RUN</x:v>
      </x:c>
    </x:row>
    <x:row r="109">
      <x:c r="A109" s="47" t="str">
        <x:v>IMO-057</x:v>
      </x:c>
      <x:c r="B109" s="48" t="str">
        <x:v>International Code for Ships Operating in Polar Waters (Polar Code)</x:v>
      </x:c>
      <x:c r="C109" s="47" t="str">
        <x:v>Resolution MSC.385(94), adopted 21 Nov 2014; consolidated with MEPC.264(68), adopted 15 May 2015</x:v>
      </x:c>
      <x:c r="D109" s="59" t="n">
        <x:v>22</x:v>
      </x:c>
      <x:c r="E109" s="47" t="str">
        <x:v>7.3.2.1</x:v>
      </x:c>
      <x:c r="F109" s="47" t="str">
        <x:v>Static</x:v>
      </x:c>
      <x:c r="G109" s="48" t="str">
        <x:v>Stage 2 candidate - direct/deterministic</x:v>
      </x:c>
      <x:c r="H109" s="47" t="str">
        <x:v>High</x:v>
      </x:c>
      <x:c r="I109" s="47" t="str">
        <x:v>No</x:v>
      </x:c>
      <x:c r="J109" s="47" t="str">
        <x:v>ELIGIBLE</x:v>
      </x:c>
      <x:c r="K109" s="47" t="str">
        <x:v>NOT_RUN</x:v>
      </x:c>
    </x:row>
    <x:row r="110">
      <x:c r="A110" s="47" t="str">
        <x:v>IMO-058</x:v>
      </x:c>
      <x:c r="B110" s="48" t="str">
        <x:v>International Code for Ships Operating in Polar Waters (Polar Code)</x:v>
      </x:c>
      <x:c r="C110" s="47" t="str">
        <x:v>Resolution MSC.385(94), adopted 21 Nov 2014; consolidated with MEPC.264(68), adopted 15 May 2015</x:v>
      </x:c>
      <x:c r="D110" s="59" t="n">
        <x:v>22</x:v>
      </x:c>
      <x:c r="E110" s="47" t="str">
        <x:v>7.3.2.2</x:v>
      </x:c>
      <x:c r="F110" s="47" t="str">
        <x:v>Static</x:v>
      </x:c>
      <x:c r="G110" s="48" t="str">
        <x:v>Stage 2 candidate - direct/deterministic</x:v>
      </x:c>
      <x:c r="H110" s="47" t="str">
        <x:v>High</x:v>
      </x:c>
      <x:c r="I110" s="47" t="str">
        <x:v>No</x:v>
      </x:c>
      <x:c r="J110" s="47" t="str">
        <x:v>ELIGIBLE</x:v>
      </x:c>
      <x:c r="K110" s="47" t="str">
        <x:v>NOT_RUN</x:v>
      </x:c>
    </x:row>
    <x:row r="111">
      <x:c r="A111" s="47" t="str">
        <x:v>IMO-059</x:v>
      </x:c>
      <x:c r="B111" s="48" t="str">
        <x:v>International Code for Ships Operating in Polar Waters (Polar Code)</x:v>
      </x:c>
      <x:c r="C111" s="47" t="str">
        <x:v>Resolution MSC.385(94), adopted 21 Nov 2014; consolidated with MEPC.264(68), adopted 15 May 2015</x:v>
      </x:c>
      <x:c r="D111" s="59" t="n">
        <x:v>22</x:v>
      </x:c>
      <x:c r="E111" s="47" t="str">
        <x:v>7.3.2.3</x:v>
      </x:c>
      <x:c r="F111" s="47" t="str">
        <x:v>Static</x:v>
      </x:c>
      <x:c r="G111" s="48" t="str">
        <x:v>Stage 2 candidate - direct/deterministic</x:v>
      </x:c>
      <x:c r="H111" s="47" t="str">
        <x:v>High</x:v>
      </x:c>
      <x:c r="I111" s="47" t="str">
        <x:v>No</x:v>
      </x:c>
      <x:c r="J111" s="47" t="str">
        <x:v>ELIGIBLE</x:v>
      </x:c>
      <x:c r="K111" s="47" t="str">
        <x:v>NOT_RUN</x:v>
      </x:c>
    </x:row>
    <x:row r="112">
      <x:c r="A112" s="47" t="str">
        <x:v>IMO-060</x:v>
      </x:c>
      <x:c r="B112" s="48" t="str">
        <x:v>International Code for Ships Operating in Polar Waters (Polar Code)</x:v>
      </x:c>
      <x:c r="C112" s="47" t="str">
        <x:v>Resolution MSC.385(94), adopted 21 Nov 2014; consolidated with MEPC.264(68), adopted 15 May 2015</x:v>
      </x:c>
      <x:c r="D112" s="59" t="n">
        <x:v>22</x:v>
      </x:c>
      <x:c r="E112" s="47" t="str">
        <x:v>7.3.2.4</x:v>
      </x:c>
      <x:c r="F112" s="47" t="str">
        <x:v>Static</x:v>
      </x:c>
      <x:c r="G112" s="48" t="str">
        <x:v>Stage 2 candidate - direct/deterministic</x:v>
      </x:c>
      <x:c r="H112" s="47" t="str">
        <x:v>High</x:v>
      </x:c>
      <x:c r="I112" s="47" t="str">
        <x:v>No</x:v>
      </x:c>
      <x:c r="J112" s="47" t="str">
        <x:v>ELIGIBLE</x:v>
      </x:c>
      <x:c r="K112" s="47" t="str">
        <x:v>NOT_RUN</x:v>
      </x:c>
    </x:row>
    <x:row r="113">
      <x:c r="A113" s="47" t="str">
        <x:v>IMO-061</x:v>
      </x:c>
      <x:c r="B113" s="48" t="str">
        <x:v>International Code for Ships Operating in Polar Waters (Polar Code)</x:v>
      </x:c>
      <x:c r="C113" s="47" t="str">
        <x:v>Resolution MSC.385(94), adopted 21 Nov 2014; consolidated with MEPC.264(68), adopted 15 May 2015</x:v>
      </x:c>
      <x:c r="D113" s="59" t="n">
        <x:v>23</x:v>
      </x:c>
      <x:c r="E113" s="47" t="str">
        <x:v>7.3.3.1</x:v>
      </x:c>
      <x:c r="F113" s="47" t="str">
        <x:v>Physical Test</x:v>
      </x:c>
      <x:c r="G113" s="48" t="str">
        <x:v>Evidence-only - physical result not inferred by SHACL</x:v>
      </x:c>
      <x:c r="H113" s="47" t="str">
        <x:v>Medium</x:v>
      </x:c>
      <x:c r="I113" s="47" t="str">
        <x:v>No</x:v>
      </x:c>
      <x:c r="J113" s="47" t="str">
        <x:v>DEFERRED</x:v>
      </x:c>
      <x:c r="K113" s="47" t="str">
        <x:v>NOT_RUN</x:v>
      </x:c>
    </x:row>
    <x:row r="114">
      <x:c r="A114" s="47" t="str">
        <x:v>IMO-062</x:v>
      </x:c>
      <x:c r="B114" s="48" t="str">
        <x:v>International Code for Ships Operating in Polar Waters (Polar Code)</x:v>
      </x:c>
      <x:c r="C114" s="47" t="str">
        <x:v>Resolution MSC.385(94), adopted 21 Nov 2014; consolidated with MEPC.264(68), adopted 15 May 2015</x:v>
      </x:c>
      <x:c r="D114" s="59" t="n">
        <x:v>23</x:v>
      </x:c>
      <x:c r="E114" s="47" t="str">
        <x:v>8.2.1.1</x:v>
      </x:c>
      <x:c r="F114" s="47" t="str">
        <x:v>Static</x:v>
      </x:c>
      <x:c r="G114" s="48" t="str">
        <x:v>Stage 2 candidate - direct/deterministic</x:v>
      </x:c>
      <x:c r="H114" s="47" t="str">
        <x:v>Medium</x:v>
      </x:c>
      <x:c r="I114" s="47" t="str">
        <x:v>No</x:v>
      </x:c>
      <x:c r="J114" s="47" t="str">
        <x:v>ELIGIBLE</x:v>
      </x:c>
      <x:c r="K114" s="47" t="str">
        <x:v>GENERATION_ACCEPTED</x:v>
      </x:c>
    </x:row>
    <x:row r="115">
      <x:c r="A115" s="47" t="str">
        <x:v>IMO-063</x:v>
      </x:c>
      <x:c r="B115" s="48" t="str">
        <x:v>International Code for Ships Operating in Polar Waters (Polar Code)</x:v>
      </x:c>
      <x:c r="C115" s="47" t="str">
        <x:v>Resolution MSC.385(94), adopted 21 Nov 2014; consolidated with MEPC.264(68), adopted 15 May 2015</x:v>
      </x:c>
      <x:c r="D115" s="59" t="n">
        <x:v>23</x:v>
      </x:c>
      <x:c r="E115" s="47" t="str">
        <x:v>8.2.2</x:v>
      </x:c>
      <x:c r="F115" s="47" t="str">
        <x:v>Physical Test</x:v>
      </x:c>
      <x:c r="G115" s="48" t="str">
        <x:v>Evidence-only - physical result not inferred by SHACL</x:v>
      </x:c>
      <x:c r="H115" s="47" t="str">
        <x:v>Medium</x:v>
      </x:c>
      <x:c r="I115" s="47" t="str">
        <x:v>No</x:v>
      </x:c>
      <x:c r="J115" s="47" t="str">
        <x:v>DEFERRED</x:v>
      </x:c>
      <x:c r="K115" s="47" t="str">
        <x:v>NOT_RUN</x:v>
      </x:c>
    </x:row>
    <x:row r="116">
      <x:c r="A116" s="47" t="str">
        <x:v>IMO-064</x:v>
      </x:c>
      <x:c r="B116" s="48" t="str">
        <x:v>International Code for Ships Operating in Polar Waters (Polar Code)</x:v>
      </x:c>
      <x:c r="C116" s="47" t="str">
        <x:v>Resolution MSC.385(94), adopted 21 Nov 2014; consolidated with MEPC.264(68), adopted 15 May 2015</x:v>
      </x:c>
      <x:c r="D116" s="59" t="n">
        <x:v>23</x:v>
      </x:c>
      <x:c r="E116" s="47" t="str">
        <x:v>8.2.3.1</x:v>
      </x:c>
      <x:c r="F116" s="47" t="str">
        <x:v>Static</x:v>
      </x:c>
      <x:c r="G116" s="48" t="str">
        <x:v>Stage 2 candidate - direct/deterministic</x:v>
      </x:c>
      <x:c r="H116" s="47" t="str">
        <x:v>Medium</x:v>
      </x:c>
      <x:c r="I116" s="47" t="str">
        <x:v>No</x:v>
      </x:c>
      <x:c r="J116" s="47" t="str">
        <x:v>ELIGIBLE</x:v>
      </x:c>
      <x:c r="K116" s="47" t="str">
        <x:v>NOT_RUN</x:v>
      </x:c>
    </x:row>
    <x:row r="117">
      <x:c r="A117" s="47" t="str">
        <x:v>IMO-065</x:v>
      </x:c>
      <x:c r="B117" s="48" t="str">
        <x:v>International Code for Ships Operating in Polar Waters (Polar Code)</x:v>
      </x:c>
      <x:c r="C117" s="47" t="str">
        <x:v>Resolution MSC.385(94), adopted 21 Nov 2014; consolidated with MEPC.264(68), adopted 15 May 2015</x:v>
      </x:c>
      <x:c r="D117" s="59" t="str">
        <x:v>23-24</x:v>
      </x:c>
      <x:c r="E117" s="47" t="str">
        <x:v>8.2.3.3</x:v>
      </x:c>
      <x:c r="F117" s="47" t="str">
        <x:v>Static</x:v>
      </x:c>
      <x:c r="G117" s="48" t="str">
        <x:v>Stage 2 candidate - direct static</x:v>
      </x:c>
      <x:c r="H117" s="47" t="str">
        <x:v>Direct static</x:v>
      </x:c>
      <x:c r="I117" s="47" t="str">
        <x:v>No</x:v>
      </x:c>
      <x:c r="J117" s="47" t="str">
        <x:v>ELIGIBLE</x:v>
      </x:c>
      <x:c r="K117" s="47" t="str">
        <x:v>NOT_RUN</x:v>
      </x:c>
    </x:row>
    <x:row r="118">
      <x:c r="A118" s="47" t="str">
        <x:v>IMO-066</x:v>
      </x:c>
      <x:c r="B118" s="48" t="str">
        <x:v>International Code for Ships Operating in Polar Waters (Polar Code)</x:v>
      </x:c>
      <x:c r="C118" s="47" t="str">
        <x:v>Resolution MSC.385(94), adopted 21 Nov 2014; consolidated with MEPC.264(68), adopted 15 May 2015</x:v>
      </x:c>
      <x:c r="D118" s="59" t="n">
        <x:v>24</x:v>
      </x:c>
      <x:c r="E118" s="47" t="str">
        <x:v>8.3.1.1</x:v>
      </x:c>
      <x:c r="F118" s="47" t="str">
        <x:v>Static</x:v>
      </x:c>
      <x:c r="G118" s="48" t="str">
        <x:v>Stage 2 candidate - direct/deterministic</x:v>
      </x:c>
      <x:c r="H118" s="47" t="str">
        <x:v>High</x:v>
      </x:c>
      <x:c r="I118" s="47" t="str">
        <x:v>No</x:v>
      </x:c>
      <x:c r="J118" s="47" t="str">
        <x:v>ELIGIBLE</x:v>
      </x:c>
      <x:c r="K118" s="47" t="str">
        <x:v>NOT_RUN</x:v>
      </x:c>
    </x:row>
    <x:row r="119">
      <x:c r="A119" s="47" t="str">
        <x:v>IMO-067</x:v>
      </x:c>
      <x:c r="B119" s="48" t="str">
        <x:v>International Code for Ships Operating in Polar Waters (Polar Code)</x:v>
      </x:c>
      <x:c r="C119" s="47" t="str">
        <x:v>Resolution MSC.385(94), adopted 21 Nov 2014; consolidated with MEPC.264(68), adopted 15 May 2015</x:v>
      </x:c>
      <x:c r="D119" s="59" t="n">
        <x:v>24</x:v>
      </x:c>
      <x:c r="E119" s="47" t="str">
        <x:v>8.3.1.2</x:v>
      </x:c>
      <x:c r="F119" s="47" t="str">
        <x:v>Physical Test</x:v>
      </x:c>
      <x:c r="G119" s="48" t="str">
        <x:v>Evidence-only - physical result not inferred by SHACL</x:v>
      </x:c>
      <x:c r="H119" s="47" t="str">
        <x:v>Medium</x:v>
      </x:c>
      <x:c r="I119" s="47" t="str">
        <x:v>No</x:v>
      </x:c>
      <x:c r="J119" s="47" t="str">
        <x:v>DEFERRED</x:v>
      </x:c>
      <x:c r="K119" s="47" t="str">
        <x:v>NOT_RUN</x:v>
      </x:c>
    </x:row>
    <x:row r="120">
      <x:c r="A120" s="47" t="str">
        <x:v>IMO-068</x:v>
      </x:c>
      <x:c r="B120" s="48" t="str">
        <x:v>International Code for Ships Operating in Polar Waters (Polar Code)</x:v>
      </x:c>
      <x:c r="C120" s="47" t="str">
        <x:v>Resolution MSC.385(94), adopted 21 Nov 2014; consolidated with MEPC.264(68), adopted 15 May 2015</x:v>
      </x:c>
      <x:c r="D120" s="59" t="n">
        <x:v>24</x:v>
      </x:c>
      <x:c r="E120" s="47" t="str">
        <x:v>8.3.2.1</x:v>
      </x:c>
      <x:c r="F120" s="47" t="str">
        <x:v>Static</x:v>
      </x:c>
      <x:c r="G120" s="48" t="str">
        <x:v>Stage 2 candidate - direct static</x:v>
      </x:c>
      <x:c r="H120" s="47" t="str">
        <x:v>Direct static</x:v>
      </x:c>
      <x:c r="I120" s="47" t="str">
        <x:v>No</x:v>
      </x:c>
      <x:c r="J120" s="47" t="str">
        <x:v>ELIGIBLE</x:v>
      </x:c>
      <x:c r="K120" s="47" t="str">
        <x:v>NOT_RUN</x:v>
      </x:c>
    </x:row>
    <x:row r="121">
      <x:c r="A121" s="47" t="str">
        <x:v>IMO-069</x:v>
      </x:c>
      <x:c r="B121" s="48" t="str">
        <x:v>International Code for Ships Operating in Polar Waters (Polar Code)</x:v>
      </x:c>
      <x:c r="C121" s="47" t="str">
        <x:v>Resolution MSC.385(94), adopted 21 Nov 2014; consolidated with MEPC.264(68), adopted 15 May 2015</x:v>
      </x:c>
      <x:c r="D121" s="59" t="n">
        <x:v>24</x:v>
      </x:c>
      <x:c r="E121" s="47" t="str">
        <x:v>8.3.2.2</x:v>
      </x:c>
      <x:c r="F121" s="47" t="str">
        <x:v>Static</x:v>
      </x:c>
      <x:c r="G121" s="48" t="str">
        <x:v>Stage 2 candidate - direct/deterministic</x:v>
      </x:c>
      <x:c r="H121" s="47" t="str">
        <x:v>High</x:v>
      </x:c>
      <x:c r="I121" s="47" t="str">
        <x:v>No</x:v>
      </x:c>
      <x:c r="J121" s="47" t="str">
        <x:v>ELIGIBLE</x:v>
      </x:c>
      <x:c r="K121" s="47" t="str">
        <x:v>NOT_RUN</x:v>
      </x:c>
    </x:row>
    <x:row r="122">
      <x:c r="A122" s="47" t="str">
        <x:v>IMO-070</x:v>
      </x:c>
      <x:c r="B122" s="48" t="str">
        <x:v>International Code for Ships Operating in Polar Waters (Polar Code)</x:v>
      </x:c>
      <x:c r="C122" s="47" t="str">
        <x:v>Resolution MSC.385(94), adopted 21 Nov 2014; consolidated with MEPC.264(68), adopted 15 May 2015</x:v>
      </x:c>
      <x:c r="D122" s="59" t="n">
        <x:v>24</x:v>
      </x:c>
      <x:c r="E122" s="47" t="str">
        <x:v>8.3.3.1.1</x:v>
      </x:c>
      <x:c r="F122" s="47" t="str">
        <x:v>Static</x:v>
      </x:c>
      <x:c r="G122" s="48" t="str">
        <x:v>Stage 2 candidate - direct/deterministic</x:v>
      </x:c>
      <x:c r="H122" s="47" t="str">
        <x:v>High</x:v>
      </x:c>
      <x:c r="I122" s="47" t="str">
        <x:v>No</x:v>
      </x:c>
      <x:c r="J122" s="47" t="str">
        <x:v>ELIGIBLE</x:v>
      </x:c>
      <x:c r="K122" s="47" t="str">
        <x:v>NOT_RUN</x:v>
      </x:c>
    </x:row>
    <x:row r="123">
      <x:c r="A123" s="47" t="str">
        <x:v>IMO-071</x:v>
      </x:c>
      <x:c r="B123" s="48" t="str">
        <x:v>International Code for Ships Operating in Polar Waters (Polar Code)</x:v>
      </x:c>
      <x:c r="C123" s="47" t="str">
        <x:v>Resolution MSC.385(94), adopted 21 Nov 2014; consolidated with MEPC.264(68), adopted 15 May 2015</x:v>
      </x:c>
      <x:c r="D123" s="59" t="n">
        <x:v>24</x:v>
      </x:c>
      <x:c r="E123" s="47" t="str">
        <x:v>8.3.3.1.2</x:v>
      </x:c>
      <x:c r="F123" s="47" t="str">
        <x:v>Static</x:v>
      </x:c>
      <x:c r="G123" s="48" t="str">
        <x:v>Stage 2 candidate - direct/deterministic</x:v>
      </x:c>
      <x:c r="H123" s="47" t="str">
        <x:v>High</x:v>
      </x:c>
      <x:c r="I123" s="47" t="str">
        <x:v>No</x:v>
      </x:c>
      <x:c r="J123" s="47" t="str">
        <x:v>ELIGIBLE</x:v>
      </x:c>
      <x:c r="K123" s="47" t="str">
        <x:v>NOT_RUN</x:v>
      </x:c>
    </x:row>
    <x:row r="124">
      <x:c r="A124" s="47" t="str">
        <x:v>IMO-072</x:v>
      </x:c>
      <x:c r="B124" s="48" t="str">
        <x:v>International Code for Ships Operating in Polar Waters (Polar Code)</x:v>
      </x:c>
      <x:c r="C124" s="47" t="str">
        <x:v>Resolution MSC.385(94), adopted 21 Nov 2014; consolidated with MEPC.264(68), adopted 15 May 2015</x:v>
      </x:c>
      <x:c r="D124" s="59" t="n">
        <x:v>25</x:v>
      </x:c>
      <x:c r="E124" s="47" t="str">
        <x:v>8.3.3.2</x:v>
      </x:c>
      <x:c r="F124" s="47" t="str">
        <x:v>Static</x:v>
      </x:c>
      <x:c r="G124" s="48" t="str">
        <x:v>Stage 2 candidate - direct/deterministic</x:v>
      </x:c>
      <x:c r="H124" s="47" t="str">
        <x:v>High</x:v>
      </x:c>
      <x:c r="I124" s="47" t="str">
        <x:v>No</x:v>
      </x:c>
      <x:c r="J124" s="47" t="str">
        <x:v>ELIGIBLE</x:v>
      </x:c>
      <x:c r="K124" s="47" t="str">
        <x:v>NOT_RUN</x:v>
      </x:c>
    </x:row>
    <x:row r="125">
      <x:c r="A125" s="47" t="str">
        <x:v>IMO-073</x:v>
      </x:c>
      <x:c r="B125" s="48" t="str">
        <x:v>International Code for Ships Operating in Polar Waters (Polar Code)</x:v>
      </x:c>
      <x:c r="C125" s="47" t="str">
        <x:v>Resolution MSC.385(94), adopted 21 Nov 2014; consolidated with MEPC.264(68), adopted 15 May 2015</x:v>
      </x:c>
      <x:c r="D125" s="59" t="n">
        <x:v>25</x:v>
      </x:c>
      <x:c r="E125" s="47" t="str">
        <x:v>8.3.3.3.1</x:v>
      </x:c>
      <x:c r="F125" s="47" t="str">
        <x:v>Static</x:v>
      </x:c>
      <x:c r="G125" s="48" t="str">
        <x:v>Stage 2 candidate - direct/deterministic</x:v>
      </x:c>
      <x:c r="H125" s="47" t="str">
        <x:v>High</x:v>
      </x:c>
      <x:c r="I125" s="47" t="str">
        <x:v>No</x:v>
      </x:c>
      <x:c r="J125" s="47" t="str">
        <x:v>ELIGIBLE</x:v>
      </x:c>
      <x:c r="K125" s="47" t="str">
        <x:v>NOT_RUN</x:v>
      </x:c>
    </x:row>
    <x:row r="126">
      <x:c r="A126" s="47" t="str">
        <x:v>IMO-074</x:v>
      </x:c>
      <x:c r="B126" s="48" t="str">
        <x:v>International Code for Ships Operating in Polar Waters (Polar Code)</x:v>
      </x:c>
      <x:c r="C126" s="47" t="str">
        <x:v>Resolution MSC.385(94), adopted 21 Nov 2014; consolidated with MEPC.264(68), adopted 15 May 2015</x:v>
      </x:c>
      <x:c r="D126" s="59" t="n">
        <x:v>25</x:v>
      </x:c>
      <x:c r="E126" s="47" t="str">
        <x:v>8.3.3.3.3.1</x:v>
      </x:c>
      <x:c r="F126" s="47" t="str">
        <x:v>Static</x:v>
      </x:c>
      <x:c r="G126" s="48" t="str">
        <x:v>Stage 2 candidate - direct/deterministic</x:v>
      </x:c>
      <x:c r="H126" s="47" t="str">
        <x:v>Medium</x:v>
      </x:c>
      <x:c r="I126" s="47" t="str">
        <x:v>No</x:v>
      </x:c>
      <x:c r="J126" s="47" t="str">
        <x:v>ELIGIBLE</x:v>
      </x:c>
      <x:c r="K126" s="47" t="str">
        <x:v>NOT_RUN</x:v>
      </x:c>
    </x:row>
    <x:row r="127">
      <x:c r="A127" s="47" t="str">
        <x:v>IMO-075</x:v>
      </x:c>
      <x:c r="B127" s="48" t="str">
        <x:v>International Code for Ships Operating in Polar Waters (Polar Code)</x:v>
      </x:c>
      <x:c r="C127" s="47" t="str">
        <x:v>Resolution MSC.385(94), adopted 21 Nov 2014; consolidated with MEPC.264(68), adopted 15 May 2015</x:v>
      </x:c>
      <x:c r="D127" s="59" t="n">
        <x:v>25</x:v>
      </x:c>
      <x:c r="E127" s="47" t="str">
        <x:v>8.3.3.3.3.2</x:v>
      </x:c>
      <x:c r="F127" s="47" t="str">
        <x:v>Static Calculation</x:v>
      </x:c>
      <x:c r="G127" s="48" t="str">
        <x:v>Stage 2 candidate - direct/deterministic</x:v>
      </x:c>
      <x:c r="H127" s="47" t="str">
        <x:v>High</x:v>
      </x:c>
      <x:c r="I127" s="47" t="str">
        <x:v>No</x:v>
      </x:c>
      <x:c r="J127" s="47" t="str">
        <x:v>ELIGIBLE</x:v>
      </x:c>
      <x:c r="K127" s="47" t="str">
        <x:v>NOT_RUN</x:v>
      </x:c>
    </x:row>
    <x:row r="128">
      <x:c r="A128" s="47" t="str">
        <x:v>IMO-076</x:v>
      </x:c>
      <x:c r="B128" s="48" t="str">
        <x:v>International Code for Ships Operating in Polar Waters (Polar Code)</x:v>
      </x:c>
      <x:c r="C128" s="47" t="str">
        <x:v>Resolution MSC.385(94), adopted 21 Nov 2014; consolidated with MEPC.264(68), adopted 15 May 2015</x:v>
      </x:c>
      <x:c r="D128" s="59" t="n">
        <x:v>25</x:v>
      </x:c>
      <x:c r="E128" s="47" t="str">
        <x:v>8.3.3.3.3.3</x:v>
      </x:c>
      <x:c r="F128" s="47" t="str">
        <x:v>Physical Test</x:v>
      </x:c>
      <x:c r="G128" s="48" t="str">
        <x:v>Evidence-only - physical result not inferred by SHACL</x:v>
      </x:c>
      <x:c r="H128" s="47" t="str">
        <x:v>Medium</x:v>
      </x:c>
      <x:c r="I128" s="47" t="str">
        <x:v>No</x:v>
      </x:c>
      <x:c r="J128" s="47" t="str">
        <x:v>DEFERRED</x:v>
      </x:c>
      <x:c r="K128" s="47" t="str">
        <x:v>NOT_RUN</x:v>
      </x:c>
    </x:row>
    <x:row r="129">
      <x:c r="A129" s="47" t="str">
        <x:v>IMO-077</x:v>
      </x:c>
      <x:c r="B129" s="48" t="str">
        <x:v>International Code for Ships Operating in Polar Waters (Polar Code)</x:v>
      </x:c>
      <x:c r="C129" s="47" t="str">
        <x:v>Resolution MSC.385(94), adopted 21 Nov 2014; consolidated with MEPC.264(68), adopted 15 May 2015</x:v>
      </x:c>
      <x:c r="D129" s="59" t="n">
        <x:v>25</x:v>
      </x:c>
      <x:c r="E129" s="47" t="str">
        <x:v>8.3.3.3.3.5</x:v>
      </x:c>
      <x:c r="F129" s="47" t="str">
        <x:v>Static Calculation</x:v>
      </x:c>
      <x:c r="G129" s="48" t="str">
        <x:v>Stage 2 candidate - direct/deterministic</x:v>
      </x:c>
      <x:c r="H129" s="47" t="str">
        <x:v>High</x:v>
      </x:c>
      <x:c r="I129" s="47" t="str">
        <x:v>No</x:v>
      </x:c>
      <x:c r="J129" s="47" t="str">
        <x:v>ELIGIBLE</x:v>
      </x:c>
      <x:c r="K129" s="47" t="str">
        <x:v>NOT_RUN</x:v>
      </x:c>
    </x:row>
    <x:row r="130">
      <x:c r="A130" s="47" t="str">
        <x:v>IMO-078</x:v>
      </x:c>
      <x:c r="B130" s="48" t="str">
        <x:v>International Code for Ships Operating in Polar Waters (Polar Code)</x:v>
      </x:c>
      <x:c r="C130" s="47" t="str">
        <x:v>Resolution MSC.385(94), adopted 21 Nov 2014; consolidated with MEPC.264(68), adopted 15 May 2015</x:v>
      </x:c>
      <x:c r="D130" s="59" t="n">
        <x:v>25</x:v>
      </x:c>
      <x:c r="E130" s="47" t="str">
        <x:v>8.3.3.3.3.6-.7</x:v>
      </x:c>
      <x:c r="F130" s="47" t="str">
        <x:v>Static</x:v>
      </x:c>
      <x:c r="G130" s="48" t="str">
        <x:v>Stage 2 candidate - direct/deterministic</x:v>
      </x:c>
      <x:c r="H130" s="47" t="str">
        <x:v>High</x:v>
      </x:c>
      <x:c r="I130" s="47" t="str">
        <x:v>No</x:v>
      </x:c>
      <x:c r="J130" s="47" t="str">
        <x:v>ELIGIBLE</x:v>
      </x:c>
      <x:c r="K130" s="47" t="str">
        <x:v>NOT_RUN</x:v>
      </x:c>
    </x:row>
    <x:row r="131">
      <x:c r="A131" s="47" t="str">
        <x:v>IMO-079</x:v>
      </x:c>
      <x:c r="B131" s="48" t="str">
        <x:v>International Code for Ships Operating in Polar Waters (Polar Code)</x:v>
      </x:c>
      <x:c r="C131" s="47" t="str">
        <x:v>Resolution MSC.385(94), adopted 21 Nov 2014; consolidated with MEPC.264(68), adopted 15 May 2015</x:v>
      </x:c>
      <x:c r="D131" s="59" t="n">
        <x:v>25</x:v>
      </x:c>
      <x:c r="E131" s="47" t="str">
        <x:v>8.3.3.4</x:v>
      </x:c>
      <x:c r="F131" s="47" t="str">
        <x:v>Static Calculation</x:v>
      </x:c>
      <x:c r="G131" s="48" t="str">
        <x:v>Stage 2 candidate - direct/deterministic</x:v>
      </x:c>
      <x:c r="H131" s="47" t="str">
        <x:v>High</x:v>
      </x:c>
      <x:c r="I131" s="47" t="str">
        <x:v>No</x:v>
      </x:c>
      <x:c r="J131" s="47" t="str">
        <x:v>ELIGIBLE</x:v>
      </x:c>
      <x:c r="K131" s="47" t="str">
        <x:v>NOT_RUN</x:v>
      </x:c>
    </x:row>
    <x:row r="132">
      <x:c r="A132" s="47" t="str">
        <x:v>IMO-080</x:v>
      </x:c>
      <x:c r="B132" s="48" t="str">
        <x:v>International Code for Ships Operating in Polar Waters (Polar Code)</x:v>
      </x:c>
      <x:c r="C132" s="47" t="str">
        <x:v>Resolution MSC.385(94), adopted 21 Nov 2014; consolidated with MEPC.264(68), adopted 15 May 2015</x:v>
      </x:c>
      <x:c r="D132" s="59" t="n">
        <x:v>26</x:v>
      </x:c>
      <x:c r="E132" s="47" t="str">
        <x:v>9.3.1</x:v>
      </x:c>
      <x:c r="F132" s="47" t="str">
        <x:v>Dynamic</x:v>
      </x:c>
      <x:c r="G132" s="48" t="str">
        <x:v>Deferred - observation/history/simulation design required</x:v>
      </x:c>
      <x:c r="H132" s="47" t="str">
        <x:v>Medium</x:v>
      </x:c>
      <x:c r="I132" s="47" t="str">
        <x:v>No</x:v>
      </x:c>
      <x:c r="J132" s="47" t="str">
        <x:v>DEFERRED</x:v>
      </x:c>
      <x:c r="K132" s="47" t="str">
        <x:v>NOT_RUN</x:v>
      </x:c>
    </x:row>
    <x:row r="133">
      <x:c r="A133" s="47" t="str">
        <x:v>IMO-081</x:v>
      </x:c>
      <x:c r="B133" s="48" t="str">
        <x:v>International Code for Ships Operating in Polar Waters (Polar Code)</x:v>
      </x:c>
      <x:c r="C133" s="47" t="str">
        <x:v>Resolution MSC.385(94), adopted 21 Nov 2014; consolidated with MEPC.264(68), adopted 15 May 2015</x:v>
      </x:c>
      <x:c r="D133" s="59" t="n">
        <x:v>26</x:v>
      </x:c>
      <x:c r="E133" s="47" t="str">
        <x:v>9.3.2.1.1</x:v>
      </x:c>
      <x:c r="F133" s="47" t="str">
        <x:v>Static</x:v>
      </x:c>
      <x:c r="G133" s="48" t="str">
        <x:v>Stage 2 candidate - direct/deterministic</x:v>
      </x:c>
      <x:c r="H133" s="47" t="str">
        <x:v>High</x:v>
      </x:c>
      <x:c r="I133" s="47" t="str">
        <x:v>No</x:v>
      </x:c>
      <x:c r="J133" s="47" t="str">
        <x:v>ELIGIBLE</x:v>
      </x:c>
      <x:c r="K133" s="47" t="str">
        <x:v>NOT_RUN</x:v>
      </x:c>
    </x:row>
    <x:row r="134">
      <x:c r="A134" s="47" t="str">
        <x:v>IMO-082</x:v>
      </x:c>
      <x:c r="B134" s="48" t="str">
        <x:v>International Code for Ships Operating in Polar Waters (Polar Code)</x:v>
      </x:c>
      <x:c r="C134" s="47" t="str">
        <x:v>Resolution MSC.385(94), adopted 21 Nov 2014; consolidated with MEPC.264(68), adopted 15 May 2015</x:v>
      </x:c>
      <x:c r="D134" s="59" t="n">
        <x:v>26</x:v>
      </x:c>
      <x:c r="E134" s="47" t="str">
        <x:v>9.3.2.1.2</x:v>
      </x:c>
      <x:c r="F134" s="47" t="str">
        <x:v>Static</x:v>
      </x:c>
      <x:c r="G134" s="48" t="str">
        <x:v>Stage 2 candidate - direct/deterministic</x:v>
      </x:c>
      <x:c r="H134" s="47" t="str">
        <x:v>Medium</x:v>
      </x:c>
      <x:c r="I134" s="47" t="str">
        <x:v>No</x:v>
      </x:c>
      <x:c r="J134" s="47" t="str">
        <x:v>ELIGIBLE</x:v>
      </x:c>
      <x:c r="K134" s="47" t="str">
        <x:v>NOT_RUN</x:v>
      </x:c>
    </x:row>
    <x:row r="135">
      <x:c r="A135" s="47" t="str">
        <x:v>IMO-083</x:v>
      </x:c>
      <x:c r="B135" s="48" t="str">
        <x:v>International Code for Ships Operating in Polar Waters (Polar Code)</x:v>
      </x:c>
      <x:c r="C135" s="47" t="str">
        <x:v>Resolution MSC.385(94), adopted 21 Nov 2014; consolidated with MEPC.264(68), adopted 15 May 2015</x:v>
      </x:c>
      <x:c r="D135" s="59" t="n">
        <x:v>27</x:v>
      </x:c>
      <x:c r="E135" s="47" t="str">
        <x:v>9.3.2.1.3</x:v>
      </x:c>
      <x:c r="F135" s="47" t="str">
        <x:v>Static</x:v>
      </x:c>
      <x:c r="G135" s="48" t="str">
        <x:v>Stage 2 candidate - direct/deterministic</x:v>
      </x:c>
      <x:c r="H135" s="47" t="str">
        <x:v>High</x:v>
      </x:c>
      <x:c r="I135" s="47" t="str">
        <x:v>No</x:v>
      </x:c>
      <x:c r="J135" s="47" t="str">
        <x:v>ELIGIBLE</x:v>
      </x:c>
      <x:c r="K135" s="47" t="str">
        <x:v>NOT_RUN</x:v>
      </x:c>
    </x:row>
    <x:row r="136">
      <x:c r="A136" s="47" t="str">
        <x:v>IMO-084</x:v>
      </x:c>
      <x:c r="B136" s="48" t="str">
        <x:v>International Code for Ships Operating in Polar Waters (Polar Code)</x:v>
      </x:c>
      <x:c r="C136" s="47" t="str">
        <x:v>Resolution MSC.385(94), adopted 21 Nov 2014; consolidated with MEPC.264(68), adopted 15 May 2015</x:v>
      </x:c>
      <x:c r="D136" s="59" t="n">
        <x:v>27</x:v>
      </x:c>
      <x:c r="E136" s="47" t="str">
        <x:v>9.3.2.1.4.1</x:v>
      </x:c>
      <x:c r="F136" s="47" t="str">
        <x:v>Static</x:v>
      </x:c>
      <x:c r="G136" s="48" t="str">
        <x:v>Stage 2 candidate - direct/deterministic</x:v>
      </x:c>
      <x:c r="H136" s="47" t="str">
        <x:v>High</x:v>
      </x:c>
      <x:c r="I136" s="47" t="str">
        <x:v>No</x:v>
      </x:c>
      <x:c r="J136" s="47" t="str">
        <x:v>ELIGIBLE</x:v>
      </x:c>
      <x:c r="K136" s="47" t="str">
        <x:v>NOT_RUN</x:v>
      </x:c>
    </x:row>
    <x:row r="137">
      <x:c r="A137" s="47" t="str">
        <x:v>IMO-085</x:v>
      </x:c>
      <x:c r="B137" s="48" t="str">
        <x:v>International Code for Ships Operating in Polar Waters (Polar Code)</x:v>
      </x:c>
      <x:c r="C137" s="47" t="str">
        <x:v>Resolution MSC.385(94), adopted 21 Nov 2014; consolidated with MEPC.264(68), adopted 15 May 2015</x:v>
      </x:c>
      <x:c r="D137" s="59" t="n">
        <x:v>27</x:v>
      </x:c>
      <x:c r="E137" s="47" t="str">
        <x:v>9.3.2.1.4.2</x:v>
      </x:c>
      <x:c r="F137" s="47" t="str">
        <x:v>Static</x:v>
      </x:c>
      <x:c r="G137" s="48" t="str">
        <x:v>Stage 2 candidate - direct/deterministic</x:v>
      </x:c>
      <x:c r="H137" s="47" t="str">
        <x:v>High</x:v>
      </x:c>
      <x:c r="I137" s="47" t="str">
        <x:v>No</x:v>
      </x:c>
      <x:c r="J137" s="47" t="str">
        <x:v>ELIGIBLE</x:v>
      </x:c>
      <x:c r="K137" s="47" t="str">
        <x:v>NOT_RUN</x:v>
      </x:c>
    </x:row>
    <x:row r="138">
      <x:c r="A138" s="47" t="str">
        <x:v>IMO-086</x:v>
      </x:c>
      <x:c r="B138" s="48" t="str">
        <x:v>International Code for Ships Operating in Polar Waters (Polar Code)</x:v>
      </x:c>
      <x:c r="C138" s="47" t="str">
        <x:v>Resolution MSC.385(94), adopted 21 Nov 2014; consolidated with MEPC.264(68), adopted 15 May 2015</x:v>
      </x:c>
      <x:c r="D138" s="59" t="n">
        <x:v>27</x:v>
      </x:c>
      <x:c r="E138" s="47" t="str">
        <x:v>9.3.2.2.1</x:v>
      </x:c>
      <x:c r="F138" s="47" t="str">
        <x:v>Static</x:v>
      </x:c>
      <x:c r="G138" s="48" t="str">
        <x:v>Stage 2 candidate - direct/deterministic</x:v>
      </x:c>
      <x:c r="H138" s="47" t="str">
        <x:v>High</x:v>
      </x:c>
      <x:c r="I138" s="47" t="str">
        <x:v>No</x:v>
      </x:c>
      <x:c r="J138" s="47" t="str">
        <x:v>ELIGIBLE</x:v>
      </x:c>
      <x:c r="K138" s="47" t="str">
        <x:v>NOT_RUN</x:v>
      </x:c>
    </x:row>
    <x:row r="139">
      <x:c r="A139" s="47" t="str">
        <x:v>IMO-087</x:v>
      </x:c>
      <x:c r="B139" s="48" t="str">
        <x:v>International Code for Ships Operating in Polar Waters (Polar Code)</x:v>
      </x:c>
      <x:c r="C139" s="47" t="str">
        <x:v>Resolution MSC.385(94), adopted 21 Nov 2014; consolidated with MEPC.264(68), adopted 15 May 2015</x:v>
      </x:c>
      <x:c r="D139" s="59" t="n">
        <x:v>27</x:v>
      </x:c>
      <x:c r="E139" s="47" t="str">
        <x:v>9.3.2.2.2</x:v>
      </x:c>
      <x:c r="F139" s="47" t="str">
        <x:v>Static</x:v>
      </x:c>
      <x:c r="G139" s="48" t="str">
        <x:v>Stage 2 candidate - direct/deterministic</x:v>
      </x:c>
      <x:c r="H139" s="47" t="str">
        <x:v>High</x:v>
      </x:c>
      <x:c r="I139" s="47" t="str">
        <x:v>No</x:v>
      </x:c>
      <x:c r="J139" s="47" t="str">
        <x:v>ELIGIBLE</x:v>
      </x:c>
      <x:c r="K139" s="47" t="str">
        <x:v>NOT_RUN</x:v>
      </x:c>
    </x:row>
    <x:row r="140">
      <x:c r="A140" s="47" t="str">
        <x:v>IMO-088</x:v>
      </x:c>
      <x:c r="B140" s="48" t="str">
        <x:v>International Code for Ships Operating in Polar Waters (Polar Code)</x:v>
      </x:c>
      <x:c r="C140" s="47" t="str">
        <x:v>Resolution MSC.385(94), adopted 21 Nov 2014; consolidated with MEPC.264(68), adopted 15 May 2015</x:v>
      </x:c>
      <x:c r="D140" s="59" t="n">
        <x:v>27</x:v>
      </x:c>
      <x:c r="E140" s="47" t="str">
        <x:v>9.3.3.1</x:v>
      </x:c>
      <x:c r="F140" s="47" t="str">
        <x:v>Static</x:v>
      </x:c>
      <x:c r="G140" s="48" t="str">
        <x:v>Stage 2 candidate - direct/deterministic</x:v>
      </x:c>
      <x:c r="H140" s="47" t="str">
        <x:v>High</x:v>
      </x:c>
      <x:c r="I140" s="47" t="str">
        <x:v>No</x:v>
      </x:c>
      <x:c r="J140" s="47" t="str">
        <x:v>ELIGIBLE</x:v>
      </x:c>
      <x:c r="K140" s="47" t="str">
        <x:v>NOT_RUN</x:v>
      </x:c>
    </x:row>
    <x:row r="141">
      <x:c r="A141" s="47" t="str">
        <x:v>IMO-089</x:v>
      </x:c>
      <x:c r="B141" s="48" t="str">
        <x:v>International Code for Ships Operating in Polar Waters (Polar Code)</x:v>
      </x:c>
      <x:c r="C141" s="47" t="str">
        <x:v>Resolution MSC.385(94), adopted 21 Nov 2014; consolidated with MEPC.264(68), adopted 15 May 2015</x:v>
      </x:c>
      <x:c r="D141" s="59" t="n">
        <x:v>27</x:v>
      </x:c>
      <x:c r="E141" s="47" t="str">
        <x:v>9.3.3.2</x:v>
      </x:c>
      <x:c r="F141" s="47" t="str">
        <x:v>Static</x:v>
      </x:c>
      <x:c r="G141" s="48" t="str">
        <x:v>Stage 2 candidate - direct/deterministic</x:v>
      </x:c>
      <x:c r="H141" s="47" t="str">
        <x:v>High</x:v>
      </x:c>
      <x:c r="I141" s="47" t="str">
        <x:v>No</x:v>
      </x:c>
      <x:c r="J141" s="47" t="str">
        <x:v>ELIGIBLE</x:v>
      </x:c>
      <x:c r="K141" s="47" t="str">
        <x:v>NOT_RUN</x:v>
      </x:c>
    </x:row>
    <x:row r="142">
      <x:c r="A142" s="47" t="str">
        <x:v>IMO-090</x:v>
      </x:c>
      <x:c r="B142" s="48" t="str">
        <x:v>International Code for Ships Operating in Polar Waters (Polar Code)</x:v>
      </x:c>
      <x:c r="C142" s="47" t="str">
        <x:v>Resolution MSC.385(94), adopted 21 Nov 2014; consolidated with MEPC.264(68), adopted 15 May 2015</x:v>
      </x:c>
      <x:c r="D142" s="59" t="n">
        <x:v>28</x:v>
      </x:c>
      <x:c r="E142" s="47" t="str">
        <x:v>10.2.1.1</x:v>
      </x:c>
      <x:c r="F142" s="47" t="str">
        <x:v>Dynamic</x:v>
      </x:c>
      <x:c r="G142" s="48" t="str">
        <x:v>Deferred - observation/history/simulation design required</x:v>
      </x:c>
      <x:c r="H142" s="47" t="str">
        <x:v>Medium</x:v>
      </x:c>
      <x:c r="I142" s="47" t="str">
        <x:v>No</x:v>
      </x:c>
      <x:c r="J142" s="47" t="str">
        <x:v>DEFERRED</x:v>
      </x:c>
      <x:c r="K142" s="47" t="str">
        <x:v>NOT_RUN</x:v>
      </x:c>
    </x:row>
    <x:row r="143">
      <x:c r="A143" s="47" t="str">
        <x:v>IMO-091</x:v>
      </x:c>
      <x:c r="B143" s="48" t="str">
        <x:v>International Code for Ships Operating in Polar Waters (Polar Code)</x:v>
      </x:c>
      <x:c r="C143" s="47" t="str">
        <x:v>Resolution MSC.385(94), adopted 21 Nov 2014; consolidated with MEPC.264(68), adopted 15 May 2015</x:v>
      </x:c>
      <x:c r="D143" s="59" t="n">
        <x:v>28</x:v>
      </x:c>
      <x:c r="E143" s="47" t="str">
        <x:v>10.2.1.3</x:v>
      </x:c>
      <x:c r="F143" s="47" t="str">
        <x:v>Static</x:v>
      </x:c>
      <x:c r="G143" s="48" t="str">
        <x:v>Stage 2 candidate - direct/deterministic</x:v>
      </x:c>
      <x:c r="H143" s="47" t="str">
        <x:v>High</x:v>
      </x:c>
      <x:c r="I143" s="47" t="str">
        <x:v>No</x:v>
      </x:c>
      <x:c r="J143" s="47" t="str">
        <x:v>ELIGIBLE</x:v>
      </x:c>
      <x:c r="K143" s="47" t="str">
        <x:v>NOT_RUN</x:v>
      </x:c>
    </x:row>
    <x:row r="144">
      <x:c r="A144" s="47" t="str">
        <x:v>IMO-092</x:v>
      </x:c>
      <x:c r="B144" s="48" t="str">
        <x:v>International Code for Ships Operating in Polar Waters (Polar Code)</x:v>
      </x:c>
      <x:c r="C144" s="47" t="str">
        <x:v>Resolution MSC.385(94), adopted 21 Nov 2014; consolidated with MEPC.264(68), adopted 15 May 2015</x:v>
      </x:c>
      <x:c r="D144" s="59" t="n">
        <x:v>28</x:v>
      </x:c>
      <x:c r="E144" s="47" t="str">
        <x:v>10.2.1.4</x:v>
      </x:c>
      <x:c r="F144" s="47" t="str">
        <x:v>Static</x:v>
      </x:c>
      <x:c r="G144" s="48" t="str">
        <x:v>Stage 2 candidate - direct/deterministic</x:v>
      </x:c>
      <x:c r="H144" s="47" t="str">
        <x:v>High</x:v>
      </x:c>
      <x:c r="I144" s="47" t="str">
        <x:v>No</x:v>
      </x:c>
      <x:c r="J144" s="47" t="str">
        <x:v>ELIGIBLE</x:v>
      </x:c>
      <x:c r="K144" s="47" t="str">
        <x:v>NOT_RUN</x:v>
      </x:c>
    </x:row>
    <x:row r="145">
      <x:c r="A145" s="47" t="str">
        <x:v>IMO-093</x:v>
      </x:c>
      <x:c r="B145" s="48" t="str">
        <x:v>International Code for Ships Operating in Polar Waters (Polar Code)</x:v>
      </x:c>
      <x:c r="C145" s="47" t="str">
        <x:v>Resolution MSC.385(94), adopted 21 Nov 2014; consolidated with MEPC.264(68), adopted 15 May 2015</x:v>
      </x:c>
      <x:c r="D145" s="59" t="n">
        <x:v>28</x:v>
      </x:c>
      <x:c r="E145" s="47" t="str">
        <x:v>10.2.2.3</x:v>
      </x:c>
      <x:c r="F145" s="47" t="str">
        <x:v>Physical Test</x:v>
      </x:c>
      <x:c r="G145" s="48" t="str">
        <x:v>Evidence-only - physical result not inferred by SHACL</x:v>
      </x:c>
      <x:c r="H145" s="47" t="str">
        <x:v>Medium</x:v>
      </x:c>
      <x:c r="I145" s="47" t="str">
        <x:v>No</x:v>
      </x:c>
      <x:c r="J145" s="47" t="str">
        <x:v>DEFERRED</x:v>
      </x:c>
      <x:c r="K145" s="47" t="str">
        <x:v>NOT_RUN</x:v>
      </x:c>
    </x:row>
    <x:row r="146">
      <x:c r="A146" s="47" t="str">
        <x:v>IMO-094</x:v>
      </x:c>
      <x:c r="B146" s="48" t="str">
        <x:v>International Code for Ships Operating in Polar Waters (Polar Code)</x:v>
      </x:c>
      <x:c r="C146" s="47" t="str">
        <x:v>Resolution MSC.385(94), adopted 21 Nov 2014; consolidated with MEPC.264(68), adopted 15 May 2015</x:v>
      </x:c>
      <x:c r="D146" s="59" t="n">
        <x:v>28</x:v>
      </x:c>
      <x:c r="E146" s="47" t="str">
        <x:v>10.3.1.2</x:v>
      </x:c>
      <x:c r="F146" s="47" t="str">
        <x:v>Static</x:v>
      </x:c>
      <x:c r="G146" s="48" t="str">
        <x:v>Stage 2 candidate - direct/deterministic</x:v>
      </x:c>
      <x:c r="H146" s="47" t="str">
        <x:v>High</x:v>
      </x:c>
      <x:c r="I146" s="47" t="str">
        <x:v>No</x:v>
      </x:c>
      <x:c r="J146" s="47" t="str">
        <x:v>ELIGIBLE</x:v>
      </x:c>
      <x:c r="K146" s="47" t="str">
        <x:v>NOT_RUN</x:v>
      </x:c>
    </x:row>
    <x:row r="147">
      <x:c r="A147" s="47" t="str">
        <x:v>IMO-095</x:v>
      </x:c>
      <x:c r="B147" s="48" t="str">
        <x:v>International Code for Ships Operating in Polar Waters (Polar Code)</x:v>
      </x:c>
      <x:c r="C147" s="47" t="str">
        <x:v>Resolution MSC.385(94), adopted 21 Nov 2014; consolidated with MEPC.264(68), adopted 15 May 2015</x:v>
      </x:c>
      <x:c r="D147" s="59" t="n">
        <x:v>28</x:v>
      </x:c>
      <x:c r="E147" s="47" t="str">
        <x:v>10.3.1.3</x:v>
      </x:c>
      <x:c r="F147" s="47" t="str">
        <x:v>Static</x:v>
      </x:c>
      <x:c r="G147" s="48" t="str">
        <x:v>Stage 2 candidate - direct/deterministic</x:v>
      </x:c>
      <x:c r="H147" s="47" t="str">
        <x:v>High</x:v>
      </x:c>
      <x:c r="I147" s="47" t="str">
        <x:v>No</x:v>
      </x:c>
      <x:c r="J147" s="47" t="str">
        <x:v>ELIGIBLE</x:v>
      </x:c>
      <x:c r="K147" s="47" t="str">
        <x:v>NOT_RUN</x:v>
      </x:c>
    </x:row>
    <x:row r="148">
      <x:c r="A148" s="47" t="str">
        <x:v>IMO-096</x:v>
      </x:c>
      <x:c r="B148" s="48" t="str">
        <x:v>International Code for Ships Operating in Polar Waters (Polar Code)</x:v>
      </x:c>
      <x:c r="C148" s="47" t="str">
        <x:v>Resolution MSC.385(94), adopted 21 Nov 2014; consolidated with MEPC.264(68), adopted 15 May 2015</x:v>
      </x:c>
      <x:c r="D148" s="59" t="n">
        <x:v>28</x:v>
      </x:c>
      <x:c r="E148" s="47" t="str">
        <x:v>10.3.1.4</x:v>
      </x:c>
      <x:c r="F148" s="47" t="str">
        <x:v>Static</x:v>
      </x:c>
      <x:c r="G148" s="48" t="str">
        <x:v>Stage 2 candidate - direct/deterministic</x:v>
      </x:c>
      <x:c r="H148" s="47" t="str">
        <x:v>High</x:v>
      </x:c>
      <x:c r="I148" s="47" t="str">
        <x:v>No</x:v>
      </x:c>
      <x:c r="J148" s="47" t="str">
        <x:v>ELIGIBLE</x:v>
      </x:c>
      <x:c r="K148" s="47" t="str">
        <x:v>NOT_RUN</x:v>
      </x:c>
    </x:row>
    <x:row r="149">
      <x:c r="A149" s="47" t="str">
        <x:v>IMO-097</x:v>
      </x:c>
      <x:c r="B149" s="48" t="str">
        <x:v>International Code for Ships Operating in Polar Waters (Polar Code)</x:v>
      </x:c>
      <x:c r="C149" s="47" t="str">
        <x:v>Resolution MSC.385(94), adopted 21 Nov 2014; consolidated with MEPC.264(68), adopted 15 May 2015</x:v>
      </x:c>
      <x:c r="D149" s="59" t="n">
        <x:v>29</x:v>
      </x:c>
      <x:c r="E149" s="47" t="str">
        <x:v>10.3.2.1</x:v>
      </x:c>
      <x:c r="F149" s="47" t="str">
        <x:v>Static</x:v>
      </x:c>
      <x:c r="G149" s="48" t="str">
        <x:v>Stage 2 candidate - direct/deterministic</x:v>
      </x:c>
      <x:c r="H149" s="47" t="str">
        <x:v>High</x:v>
      </x:c>
      <x:c r="I149" s="47" t="str">
        <x:v>No</x:v>
      </x:c>
      <x:c r="J149" s="47" t="str">
        <x:v>ELIGIBLE</x:v>
      </x:c>
      <x:c r="K149" s="47" t="str">
        <x:v>NOT_RUN</x:v>
      </x:c>
    </x:row>
    <x:row r="150">
      <x:c r="A150" s="47" t="str">
        <x:v>IMO-098</x:v>
      </x:c>
      <x:c r="B150" s="48" t="str">
        <x:v>International Code for Ships Operating in Polar Waters (Polar Code)</x:v>
      </x:c>
      <x:c r="C150" s="47" t="str">
        <x:v>Resolution MSC.385(94), adopted 21 Nov 2014; consolidated with MEPC.264(68), adopted 15 May 2015</x:v>
      </x:c>
      <x:c r="D150" s="59" t="n">
        <x:v>29</x:v>
      </x:c>
      <x:c r="E150" s="47" t="str">
        <x:v>10.3.2.2</x:v>
      </x:c>
      <x:c r="F150" s="47" t="str">
        <x:v>Static</x:v>
      </x:c>
      <x:c r="G150" s="48" t="str">
        <x:v>Stage 2 candidate - direct/deterministic</x:v>
      </x:c>
      <x:c r="H150" s="47" t="str">
        <x:v>High</x:v>
      </x:c>
      <x:c r="I150" s="47" t="str">
        <x:v>No</x:v>
      </x:c>
      <x:c r="J150" s="47" t="str">
        <x:v>ELIGIBLE</x:v>
      </x:c>
      <x:c r="K150" s="47" t="str">
        <x:v>NOT_RUN</x:v>
      </x:c>
    </x:row>
    <x:row r="151">
      <x:c r="A151" s="47" t="str">
        <x:v>IMO-099</x:v>
      </x:c>
      <x:c r="B151" s="48" t="str">
        <x:v>International Code for Ships Operating in Polar Waters (Polar Code)</x:v>
      </x:c>
      <x:c r="C151" s="47" t="str">
        <x:v>Resolution MSC.385(94), adopted 21 Nov 2014; consolidated with MEPC.264(68), adopted 15 May 2015</x:v>
      </x:c>
      <x:c r="D151" s="59" t="n">
        <x:v>29</x:v>
      </x:c>
      <x:c r="E151" s="47" t="str">
        <x:v>10.3.2.3</x:v>
      </x:c>
      <x:c r="F151" s="47" t="str">
        <x:v>Static</x:v>
      </x:c>
      <x:c r="G151" s="48" t="str">
        <x:v>Stage 2 candidate - direct static</x:v>
      </x:c>
      <x:c r="H151" s="47" t="str">
        <x:v>Direct static</x:v>
      </x:c>
      <x:c r="I151" s="47" t="str">
        <x:v>No</x:v>
      </x:c>
      <x:c r="J151" s="47" t="str">
        <x:v>ELIGIBLE</x:v>
      </x:c>
      <x:c r="K151" s="47" t="str">
        <x:v>NOT_RUN</x:v>
      </x:c>
    </x:row>
    <x:row r="152">
      <x:c r="A152" s="47" t="str">
        <x:v>IMO-100</x:v>
      </x:c>
      <x:c r="B152" s="48" t="str">
        <x:v>International Code for Ships Operating in Polar Waters (Polar Code)</x:v>
      </x:c>
      <x:c r="C152" s="47" t="str">
        <x:v>Resolution MSC.385(94), adopted 21 Nov 2014; consolidated with MEPC.264(68), adopted 15 May 2015</x:v>
      </x:c>
      <x:c r="D152" s="59" t="n">
        <x:v>29</x:v>
      </x:c>
      <x:c r="E152" s="47" t="str">
        <x:v>11.2</x:v>
      </x:c>
      <x:c r="F152" s="47" t="str">
        <x:v>Static</x:v>
      </x:c>
      <x:c r="G152" s="48" t="str">
        <x:v>Stage 2 candidate - direct static</x:v>
      </x:c>
      <x:c r="H152" s="47" t="str">
        <x:v>Direct static</x:v>
      </x:c>
      <x:c r="I152" s="47" t="str">
        <x:v>No</x:v>
      </x:c>
      <x:c r="J152" s="47" t="str">
        <x:v>ELIGIBLE</x:v>
      </x:c>
      <x:c r="K152" s="47" t="str">
        <x:v>NOT_RUN</x:v>
      </x:c>
    </x:row>
    <x:row r="153">
      <x:c r="A153" s="47" t="str">
        <x:v>IMO-101</x:v>
      </x:c>
      <x:c r="B153" s="48" t="str">
        <x:v>International Code for Ships Operating in Polar Waters (Polar Code)</x:v>
      </x:c>
      <x:c r="C153" s="47" t="str">
        <x:v>Resolution MSC.385(94), adopted 21 Nov 2014; consolidated with MEPC.264(68), adopted 15 May 2015</x:v>
      </x:c>
      <x:c r="D153" s="59" t="str">
        <x:v>29-30</x:v>
      </x:c>
      <x:c r="E153" s="47" t="str">
        <x:v>11.3.1-11.3.9</x:v>
      </x:c>
      <x:c r="F153" s="47" t="str">
        <x:v>Static</x:v>
      </x:c>
      <x:c r="G153" s="48" t="str">
        <x:v>Stage 2 candidate - direct static</x:v>
      </x:c>
      <x:c r="H153" s="47" t="str">
        <x:v>Direct static</x:v>
      </x:c>
      <x:c r="I153" s="47" t="str">
        <x:v>No</x:v>
      </x:c>
      <x:c r="J153" s="47" t="str">
        <x:v>ELIGIBLE</x:v>
      </x:c>
      <x:c r="K153" s="47" t="str">
        <x:v>NOT_RUN</x:v>
      </x:c>
    </x:row>
    <x:row r="154">
      <x:c r="A154" s="47" t="str">
        <x:v>IMO-102</x:v>
      </x:c>
      <x:c r="B154" s="48" t="str">
        <x:v>International Code for Ships Operating in Polar Waters (Polar Code)</x:v>
      </x:c>
      <x:c r="C154" s="47" t="str">
        <x:v>Resolution MSC.385(94), adopted 21 Nov 2014; consolidated with MEPC.264(68), adopted 15 May 2015</x:v>
      </x:c>
      <x:c r="D154" s="59" t="n">
        <x:v>30</x:v>
      </x:c>
      <x:c r="E154" s="47" t="str">
        <x:v>12.3.1</x:v>
      </x:c>
      <x:c r="F154" s="47" t="str">
        <x:v>Static</x:v>
      </x:c>
      <x:c r="G154" s="48" t="str">
        <x:v>Stage 2 candidate - direct/deterministic</x:v>
      </x:c>
      <x:c r="H154" s="47" t="str">
        <x:v>High</x:v>
      </x:c>
      <x:c r="I154" s="47" t="str">
        <x:v>No</x:v>
      </x:c>
      <x:c r="J154" s="47" t="str">
        <x:v>ELIGIBLE</x:v>
      </x:c>
      <x:c r="K154" s="47" t="str">
        <x:v>NOT_RUN</x:v>
      </x:c>
    </x:row>
    <x:row r="155">
      <x:c r="A155" s="47" t="str">
        <x:v>IMO-103</x:v>
      </x:c>
      <x:c r="B155" s="48" t="str">
        <x:v>International Code for Ships Operating in Polar Waters (Polar Code)</x:v>
      </x:c>
      <x:c r="C155" s="47" t="str">
        <x:v>Resolution MSC.385(94), adopted 21 Nov 2014; consolidated with MEPC.264(68), adopted 15 May 2015</x:v>
      </x:c>
      <x:c r="D155" s="59" t="n">
        <x:v>31</x:v>
      </x:c>
      <x:c r="E155" s="47" t="str">
        <x:v>12.3.2</x:v>
      </x:c>
      <x:c r="F155" s="47" t="str">
        <x:v>Static</x:v>
      </x:c>
      <x:c r="G155" s="48" t="str">
        <x:v>Stage 2 candidate - direct static</x:v>
      </x:c>
      <x:c r="H155" s="47" t="str">
        <x:v>Direct static</x:v>
      </x:c>
      <x:c r="I155" s="47" t="str">
        <x:v>No</x:v>
      </x:c>
      <x:c r="J155" s="47" t="str">
        <x:v>ELIGIBLE</x:v>
      </x:c>
      <x:c r="K155" s="47" t="str">
        <x:v>NOT_RUN</x:v>
      </x:c>
    </x:row>
    <x:row r="156">
      <x:c r="A156" s="47" t="str">
        <x:v>IMO-104</x:v>
      </x:c>
      <x:c r="B156" s="48" t="str">
        <x:v>International Code for Ships Operating in Polar Waters (Polar Code)</x:v>
      </x:c>
      <x:c r="C156" s="47" t="str">
        <x:v>Resolution MSC.385(94), adopted 21 Nov 2014; consolidated with MEPC.264(68), adopted 15 May 2015</x:v>
      </x:c>
      <x:c r="D156" s="59" t="n">
        <x:v>31</x:v>
      </x:c>
      <x:c r="E156" s="47" t="str">
        <x:v>12.3.4</x:v>
      </x:c>
      <x:c r="F156" s="47" t="str">
        <x:v>Static</x:v>
      </x:c>
      <x:c r="G156" s="48" t="str">
        <x:v>Stage 2 candidate - direct/deterministic</x:v>
      </x:c>
      <x:c r="H156" s="47" t="str">
        <x:v>High</x:v>
      </x:c>
      <x:c r="I156" s="47" t="str">
        <x:v>No</x:v>
      </x:c>
      <x:c r="J156" s="47" t="str">
        <x:v>ELIGIBLE</x:v>
      </x:c>
      <x:c r="K156" s="47" t="str">
        <x:v>NOT_RUN</x:v>
      </x:c>
    </x:row>
    <x:row r="157">
      <x:c r="A157" s="47" t="str">
        <x:v>IMO-105</x:v>
      </x:c>
      <x:c r="B157" s="48" t="str">
        <x:v>International Code for Ships Operating in Polar Waters (Polar Code)</x:v>
      </x:c>
      <x:c r="C157" s="47" t="str">
        <x:v>Resolution MSC.385(94), adopted 21 Nov 2014; consolidated with MEPC.264(68), adopted 15 May 2015</x:v>
      </x:c>
      <x:c r="D157" s="59" t="n">
        <x:v>41</x:v>
      </x:c>
      <x:c r="E157" s="47" t="str">
        <x:v>1.1.1</x:v>
      </x:c>
      <x:c r="F157" s="47" t="str">
        <x:v>Static</x:v>
      </x:c>
      <x:c r="G157" s="48" t="str">
        <x:v>Stage 2 candidate - direct/deterministic</x:v>
      </x:c>
      <x:c r="H157" s="47" t="str">
        <x:v>High</x:v>
      </x:c>
      <x:c r="I157" s="47" t="str">
        <x:v>No</x:v>
      </x:c>
      <x:c r="J157" s="47" t="str">
        <x:v>ELIGIBLE</x:v>
      </x:c>
      <x:c r="K157" s="47" t="str">
        <x:v>NOT_RUN</x:v>
      </x:c>
    </x:row>
    <x:row r="158">
      <x:c r="A158" s="47" t="str">
        <x:v>IMO-106</x:v>
      </x:c>
      <x:c r="B158" s="48" t="str">
        <x:v>International Code for Ships Operating in Polar Waters (Polar Code)</x:v>
      </x:c>
      <x:c r="C158" s="47" t="str">
        <x:v>Resolution MSC.385(94), adopted 21 Nov 2014; consolidated with MEPC.264(68), adopted 15 May 2015</x:v>
      </x:c>
      <x:c r="D158" s="59" t="n">
        <x:v>41</x:v>
      </x:c>
      <x:c r="E158" s="47" t="str">
        <x:v>1.1.2</x:v>
      </x:c>
      <x:c r="F158" s="47" t="str">
        <x:v>Static</x:v>
      </x:c>
      <x:c r="G158" s="48" t="str">
        <x:v>Stage 2 candidate - direct/deterministic</x:v>
      </x:c>
      <x:c r="H158" s="47" t="str">
        <x:v>High</x:v>
      </x:c>
      <x:c r="I158" s="47" t="str">
        <x:v>No</x:v>
      </x:c>
      <x:c r="J158" s="47" t="str">
        <x:v>ELIGIBLE</x:v>
      </x:c>
      <x:c r="K158" s="47" t="str">
        <x:v>NOT_RUN</x:v>
      </x:c>
    </x:row>
    <x:row r="159">
      <x:c r="A159" s="47" t="str">
        <x:v>IMO-107</x:v>
      </x:c>
      <x:c r="B159" s="48" t="str">
        <x:v>International Code for Ships Operating in Polar Waters (Polar Code)</x:v>
      </x:c>
      <x:c r="C159" s="47" t="str">
        <x:v>Resolution MSC.385(94), adopted 21 Nov 2014; consolidated with MEPC.264(68), adopted 15 May 2015</x:v>
      </x:c>
      <x:c r="D159" s="59" t="n">
        <x:v>41</x:v>
      </x:c>
      <x:c r="E159" s="47" t="str">
        <x:v>1.1.4</x:v>
      </x:c>
      <x:c r="F159" s="47" t="str">
        <x:v>Static</x:v>
      </x:c>
      <x:c r="G159" s="48" t="str">
        <x:v>Stage 2 candidate - direct/deterministic</x:v>
      </x:c>
      <x:c r="H159" s="47" t="str">
        <x:v>High</x:v>
      </x:c>
      <x:c r="I159" s="47" t="str">
        <x:v>No</x:v>
      </x:c>
      <x:c r="J159" s="47" t="str">
        <x:v>ELIGIBLE</x:v>
      </x:c>
      <x:c r="K159" s="47" t="str">
        <x:v>NOT_RUN</x:v>
      </x:c>
    </x:row>
    <x:row r="160">
      <x:c r="A160" s="47" t="str">
        <x:v>IMO-108</x:v>
      </x:c>
      <x:c r="B160" s="48" t="str">
        <x:v>International Code for Ships Operating in Polar Waters (Polar Code)</x:v>
      </x:c>
      <x:c r="C160" s="47" t="str">
        <x:v>Resolution MSC.385(94), adopted 21 Nov 2014; consolidated with MEPC.264(68), adopted 15 May 2015</x:v>
      </x:c>
      <x:c r="D160" s="59" t="n">
        <x:v>41</x:v>
      </x:c>
      <x:c r="E160" s="47" t="str">
        <x:v>1.2.1</x:v>
      </x:c>
      <x:c r="F160" s="47" t="str">
        <x:v>Static</x:v>
      </x:c>
      <x:c r="G160" s="48" t="str">
        <x:v>Stage 2 candidate - direct static</x:v>
      </x:c>
      <x:c r="H160" s="47" t="str">
        <x:v>Direct static</x:v>
      </x:c>
      <x:c r="I160" s="47" t="str">
        <x:v>No</x:v>
      </x:c>
      <x:c r="J160" s="47" t="str">
        <x:v>ELIGIBLE</x:v>
      </x:c>
      <x:c r="K160" s="47" t="str">
        <x:v>NOT_RUN</x:v>
      </x:c>
    </x:row>
    <x:row r="161">
      <x:c r="A161" s="47" t="str">
        <x:v>IMO-109</x:v>
      </x:c>
      <x:c r="B161" s="48" t="str">
        <x:v>International Code for Ships Operating in Polar Waters (Polar Code)</x:v>
      </x:c>
      <x:c r="C161" s="47" t="str">
        <x:v>Resolution MSC.385(94), adopted 21 Nov 2014; consolidated with MEPC.264(68), adopted 15 May 2015</x:v>
      </x:c>
      <x:c r="D161" s="59" t="n">
        <x:v>41</x:v>
      </x:c>
      <x:c r="E161" s="47" t="str">
        <x:v>1.2.2</x:v>
      </x:c>
      <x:c r="F161" s="47" t="str">
        <x:v>Static</x:v>
      </x:c>
      <x:c r="G161" s="48" t="str">
        <x:v>Stage 2 candidate - direct static</x:v>
      </x:c>
      <x:c r="H161" s="47" t="str">
        <x:v>Direct static</x:v>
      </x:c>
      <x:c r="I161" s="47" t="str">
        <x:v>No</x:v>
      </x:c>
      <x:c r="J161" s="47" t="str">
        <x:v>ELIGIBLE</x:v>
      </x:c>
      <x:c r="K161" s="47" t="str">
        <x:v>NOT_RUN</x:v>
      </x:c>
    </x:row>
    <x:row r="162">
      <x:c r="A162" s="47" t="str">
        <x:v>IMO-110</x:v>
      </x:c>
      <x:c r="B162" s="48" t="str">
        <x:v>International Code for Ships Operating in Polar Waters (Polar Code)</x:v>
      </x:c>
      <x:c r="C162" s="47" t="str">
        <x:v>Resolution MSC.385(94), adopted 21 Nov 2014; consolidated with MEPC.264(68), adopted 15 May 2015</x:v>
      </x:c>
      <x:c r="D162" s="59" t="n">
        <x:v>41</x:v>
      </x:c>
      <x:c r="E162" s="47" t="str">
        <x:v>1.2.3</x:v>
      </x:c>
      <x:c r="F162" s="47" t="str">
        <x:v>Static</x:v>
      </x:c>
      <x:c r="G162" s="48" t="str">
        <x:v>Stage 2 candidate - direct static</x:v>
      </x:c>
      <x:c r="H162" s="47" t="str">
        <x:v>Direct static</x:v>
      </x:c>
      <x:c r="I162" s="47" t="str">
        <x:v>No</x:v>
      </x:c>
      <x:c r="J162" s="47" t="str">
        <x:v>ELIGIBLE</x:v>
      </x:c>
      <x:c r="K162" s="47" t="str">
        <x:v>NOT_RUN</x:v>
      </x:c>
    </x:row>
    <x:row r="163">
      <x:c r="A163" s="47" t="str">
        <x:v>IMO-111</x:v>
      </x:c>
      <x:c r="B163" s="48" t="str">
        <x:v>International Code for Ships Operating in Polar Waters (Polar Code)</x:v>
      </x:c>
      <x:c r="C163" s="47" t="str">
        <x:v>Resolution MSC.385(94), adopted 21 Nov 2014; consolidated with MEPC.264(68), adopted 15 May 2015</x:v>
      </x:c>
      <x:c r="D163" s="59" t="n">
        <x:v>41</x:v>
      </x:c>
      <x:c r="E163" s="47" t="str">
        <x:v>1.2.4</x:v>
      </x:c>
      <x:c r="F163" s="47" t="str">
        <x:v>Static</x:v>
      </x:c>
      <x:c r="G163" s="48" t="str">
        <x:v>Stage 2 candidate - direct static</x:v>
      </x:c>
      <x:c r="H163" s="47" t="str">
        <x:v>Direct static</x:v>
      </x:c>
      <x:c r="I163" s="47" t="str">
        <x:v>No</x:v>
      </x:c>
      <x:c r="J163" s="47" t="str">
        <x:v>ELIGIBLE</x:v>
      </x:c>
      <x:c r="K163" s="47" t="str">
        <x:v>NOT_RUN</x:v>
      </x:c>
    </x:row>
    <x:row r="164">
      <x:c r="A164" s="47" t="str">
        <x:v>IMO-112</x:v>
      </x:c>
      <x:c r="B164" s="48" t="str">
        <x:v>International Code for Ships Operating in Polar Waters (Polar Code)</x:v>
      </x:c>
      <x:c r="C164" s="47" t="str">
        <x:v>Resolution MSC.385(94), adopted 21 Nov 2014; consolidated with MEPC.264(68), adopted 15 May 2015</x:v>
      </x:c>
      <x:c r="D164" s="59" t="n">
        <x:v>42</x:v>
      </x:c>
      <x:c r="E164" s="47" t="str">
        <x:v>2.1.1</x:v>
      </x:c>
      <x:c r="F164" s="47" t="str">
        <x:v>Static</x:v>
      </x:c>
      <x:c r="G164" s="48" t="str">
        <x:v>Stage 2 candidate - direct/deterministic</x:v>
      </x:c>
      <x:c r="H164" s="47" t="str">
        <x:v>High</x:v>
      </x:c>
      <x:c r="I164" s="47" t="str">
        <x:v>No</x:v>
      </x:c>
      <x:c r="J164" s="47" t="str">
        <x:v>ELIGIBLE</x:v>
      </x:c>
      <x:c r="K164" s="47" t="str">
        <x:v>NOT_RUN</x:v>
      </x:c>
    </x:row>
    <x:row r="165">
      <x:c r="A165" s="47" t="str">
        <x:v>IMO-113</x:v>
      </x:c>
      <x:c r="B165" s="48" t="str">
        <x:v>International Code for Ships Operating in Polar Waters (Polar Code)</x:v>
      </x:c>
      <x:c r="C165" s="47" t="str">
        <x:v>Resolution MSC.385(94), adopted 21 Nov 2014; consolidated with MEPC.264(68), adopted 15 May 2015</x:v>
      </x:c>
      <x:c r="D165" s="59" t="n">
        <x:v>42</x:v>
      </x:c>
      <x:c r="E165" s="47" t="str">
        <x:v>2.1.2</x:v>
      </x:c>
      <x:c r="F165" s="47" t="str">
        <x:v>Static</x:v>
      </x:c>
      <x:c r="G165" s="48" t="str">
        <x:v>Stage 2 candidate - direct/deterministic</x:v>
      </x:c>
      <x:c r="H165" s="47" t="str">
        <x:v>High</x:v>
      </x:c>
      <x:c r="I165" s="47" t="str">
        <x:v>No</x:v>
      </x:c>
      <x:c r="J165" s="47" t="str">
        <x:v>ELIGIBLE</x:v>
      </x:c>
      <x:c r="K165" s="47" t="str">
        <x:v>NOT_RUN</x:v>
      </x:c>
    </x:row>
    <x:row r="166">
      <x:c r="A166" s="47" t="str">
        <x:v>IMO-114</x:v>
      </x:c>
      <x:c r="B166" s="48" t="str">
        <x:v>International Code for Ships Operating in Polar Waters (Polar Code)</x:v>
      </x:c>
      <x:c r="C166" s="47" t="str">
        <x:v>Resolution MSC.385(94), adopted 21 Nov 2014; consolidated with MEPC.264(68), adopted 15 May 2015</x:v>
      </x:c>
      <x:c r="D166" s="59" t="n">
        <x:v>42</x:v>
      </x:c>
      <x:c r="E166" s="47" t="str">
        <x:v>2.1.3</x:v>
      </x:c>
      <x:c r="F166" s="47" t="str">
        <x:v>Static</x:v>
      </x:c>
      <x:c r="G166" s="48" t="str">
        <x:v>Stage 2 candidate - direct static</x:v>
      </x:c>
      <x:c r="H166" s="47" t="str">
        <x:v>Direct static</x:v>
      </x:c>
      <x:c r="I166" s="47" t="str">
        <x:v>No</x:v>
      </x:c>
      <x:c r="J166" s="47" t="str">
        <x:v>ELIGIBLE</x:v>
      </x:c>
      <x:c r="K166" s="47" t="str">
        <x:v>NOT_RUN</x:v>
      </x:c>
    </x:row>
    <x:row r="167">
      <x:c r="A167" s="47" t="str">
        <x:v>IMO-115</x:v>
      </x:c>
      <x:c r="B167" s="48" t="str">
        <x:v>International Code for Ships Operating in Polar Waters (Polar Code)</x:v>
      </x:c>
      <x:c r="C167" s="47" t="str">
        <x:v>Resolution MSC.385(94), adopted 21 Nov 2014; consolidated with MEPC.264(68), adopted 15 May 2015</x:v>
      </x:c>
      <x:c r="D167" s="59" t="n">
        <x:v>42</x:v>
      </x:c>
      <x:c r="E167" s="47" t="str">
        <x:v>4.2.1.1</x:v>
      </x:c>
      <x:c r="F167" s="47" t="str">
        <x:v>Static</x:v>
      </x:c>
      <x:c r="G167" s="48" t="str">
        <x:v>Stage 2 candidate - direct static</x:v>
      </x:c>
      <x:c r="H167" s="47" t="str">
        <x:v>Direct static</x:v>
      </x:c>
      <x:c r="I167" s="47" t="str">
        <x:v>No</x:v>
      </x:c>
      <x:c r="J167" s="47" t="str">
        <x:v>ELIGIBLE</x:v>
      </x:c>
      <x:c r="K167" s="47" t="str">
        <x:v>NOT_RUN</x:v>
      </x:c>
    </x:row>
    <x:row r="168">
      <x:c r="A168" s="47" t="str">
        <x:v>IMO-116</x:v>
      </x:c>
      <x:c r="B168" s="48" t="str">
        <x:v>International Code for Ships Operating in Polar Waters (Polar Code)</x:v>
      </x:c>
      <x:c r="C168" s="47" t="str">
        <x:v>Resolution MSC.385(94), adopted 21 Nov 2014; consolidated with MEPC.264(68), adopted 15 May 2015</x:v>
      </x:c>
      <x:c r="D168" s="59" t="n">
        <x:v>42</x:v>
      </x:c>
      <x:c r="E168" s="47" t="str">
        <x:v>4.2.1.2</x:v>
      </x:c>
      <x:c r="F168" s="47" t="str">
        <x:v>Static</x:v>
      </x:c>
      <x:c r="G168" s="48" t="str">
        <x:v>Stage 2 candidate - direct static</x:v>
      </x:c>
      <x:c r="H168" s="47" t="str">
        <x:v>Direct static</x:v>
      </x:c>
      <x:c r="I168" s="47" t="str">
        <x:v>No</x:v>
      </x:c>
      <x:c r="J168" s="47" t="str">
        <x:v>ELIGIBLE</x:v>
      </x:c>
      <x:c r="K168" s="47" t="str">
        <x:v>NOT_RUN</x:v>
      </x:c>
    </x:row>
    <x:row r="169">
      <x:c r="A169" s="47" t="str">
        <x:v>IMO-117</x:v>
      </x:c>
      <x:c r="B169" s="48" t="str">
        <x:v>International Code for Ships Operating in Polar Waters (Polar Code)</x:v>
      </x:c>
      <x:c r="C169" s="47" t="str">
        <x:v>Resolution MSC.385(94), adopted 21 Nov 2014; consolidated with MEPC.264(68), adopted 15 May 2015</x:v>
      </x:c>
      <x:c r="D169" s="59" t="n">
        <x:v>43</x:v>
      </x:c>
      <x:c r="E169" s="47" t="str">
        <x:v>4.2.1.3</x:v>
      </x:c>
      <x:c r="F169" s="47" t="str">
        <x:v>Static</x:v>
      </x:c>
      <x:c r="G169" s="48" t="str">
        <x:v>Stage 2 candidate - direct static</x:v>
      </x:c>
      <x:c r="H169" s="47" t="str">
        <x:v>Direct static</x:v>
      </x:c>
      <x:c r="I169" s="47" t="str">
        <x:v>No</x:v>
      </x:c>
      <x:c r="J169" s="47" t="str">
        <x:v>ELIGIBLE</x:v>
      </x:c>
      <x:c r="K169" s="47" t="str">
        <x:v>NOT_RUN</x:v>
      </x:c>
    </x:row>
    <x:row r="170">
      <x:c r="A170" s="47" t="str">
        <x:v>IMO-118</x:v>
      </x:c>
      <x:c r="B170" s="48" t="str">
        <x:v>International Code for Ships Operating in Polar Waters (Polar Code)</x:v>
      </x:c>
      <x:c r="C170" s="47" t="str">
        <x:v>Resolution MSC.385(94), adopted 21 Nov 2014; consolidated with MEPC.264(68), adopted 15 May 2015</x:v>
      </x:c>
      <x:c r="D170" s="59" t="n">
        <x:v>43</x:v>
      </x:c>
      <x:c r="E170" s="47" t="str">
        <x:v>4.2.2</x:v>
      </x:c>
      <x:c r="F170" s="47" t="str">
        <x:v>Static</x:v>
      </x:c>
      <x:c r="G170" s="48" t="str">
        <x:v>Stage 2 candidate - direct/deterministic</x:v>
      </x:c>
      <x:c r="H170" s="47" t="str">
        <x:v>High</x:v>
      </x:c>
      <x:c r="I170" s="47" t="str">
        <x:v>No</x:v>
      </x:c>
      <x:c r="J170" s="47" t="str">
        <x:v>ELIGIBLE</x:v>
      </x:c>
      <x:c r="K170" s="47" t="str">
        <x:v>NOT_RUN</x:v>
      </x:c>
    </x:row>
    <x:row r="171">
      <x:c r="A171" s="47" t="str">
        <x:v>IMO-119</x:v>
      </x:c>
      <x:c r="B171" s="48" t="str">
        <x:v>International Code for Ships Operating in Polar Waters (Polar Code)</x:v>
      </x:c>
      <x:c r="C171" s="47" t="str">
        <x:v>Resolution MSC.385(94), adopted 21 Nov 2014; consolidated with MEPC.264(68), adopted 15 May 2015</x:v>
      </x:c>
      <x:c r="D171" s="59" t="n">
        <x:v>43</x:v>
      </x:c>
      <x:c r="E171" s="47" t="str">
        <x:v>4.2.3</x:v>
      </x:c>
      <x:c r="F171" s="47" t="str">
        <x:v>Static</x:v>
      </x:c>
      <x:c r="G171" s="48" t="str">
        <x:v>Stage 2 candidate - direct static</x:v>
      </x:c>
      <x:c r="H171" s="47" t="str">
        <x:v>Direct static</x:v>
      </x:c>
      <x:c r="I171" s="47" t="str">
        <x:v>No</x:v>
      </x:c>
      <x:c r="J171" s="47" t="str">
        <x:v>ELIGIBLE</x:v>
      </x:c>
      <x:c r="K171" s="47" t="str">
        <x:v>NOT_RUN</x:v>
      </x:c>
    </x:row>
    <x:row r="172">
      <x:c r="A172" s="47" t="str">
        <x:v>IMO-120</x:v>
      </x:c>
      <x:c r="B172" s="48" t="str">
        <x:v>International Code for Ships Operating in Polar Waters (Polar Code)</x:v>
      </x:c>
      <x:c r="C172" s="47" t="str">
        <x:v>Resolution MSC.385(94), adopted 21 Nov 2014; consolidated with MEPC.264(68), adopted 15 May 2015</x:v>
      </x:c>
      <x:c r="D172" s="59" t="n">
        <x:v>43</x:v>
      </x:c>
      <x:c r="E172" s="47" t="str">
        <x:v>5.2.1.1</x:v>
      </x:c>
      <x:c r="F172" s="47" t="str">
        <x:v>Static</x:v>
      </x:c>
      <x:c r="G172" s="48" t="str">
        <x:v>Stage 2 candidate - direct static</x:v>
      </x:c>
      <x:c r="H172" s="47" t="str">
        <x:v>Direct static</x:v>
      </x:c>
      <x:c r="I172" s="47" t="str">
        <x:v>No</x:v>
      </x:c>
      <x:c r="J172" s="47" t="str">
        <x:v>ELIGIBLE</x:v>
      </x:c>
      <x:c r="K172" s="47" t="str">
        <x:v>NOT_RUN</x:v>
      </x:c>
    </x:row>
    <x:row r="173">
      <x:c r="A173" s="47" t="str">
        <x:v>IMO-121</x:v>
      </x:c>
      <x:c r="B173" s="48" t="str">
        <x:v>International Code for Ships Operating in Polar Waters (Polar Code)</x:v>
      </x:c>
      <x:c r="C173" s="47" t="str">
        <x:v>Resolution MSC.385(94), adopted 21 Nov 2014; consolidated with MEPC.264(68), adopted 15 May 2015</x:v>
      </x:c>
      <x:c r="D173" s="59" t="n">
        <x:v>43</x:v>
      </x:c>
      <x:c r="E173" s="47" t="str">
        <x:v>5.2.1.2</x:v>
      </x:c>
      <x:c r="F173" s="47" t="str">
        <x:v>Static</x:v>
      </x:c>
      <x:c r="G173" s="48" t="str">
        <x:v>Stage 2 candidate - direct/deterministic</x:v>
      </x:c>
      <x:c r="H173" s="47" t="str">
        <x:v>High</x:v>
      </x:c>
      <x:c r="I173" s="47" t="str">
        <x:v>No</x:v>
      </x:c>
      <x:c r="J173" s="47" t="str">
        <x:v>ELIGIBLE</x:v>
      </x:c>
      <x:c r="K173" s="47" t="str">
        <x:v>NOT_RUN</x:v>
      </x:c>
    </x:row>
    <x:row r="174">
      <x:c r="A174" s="47" t="str">
        <x:v>IMO-122</x:v>
      </x:c>
      <x:c r="B174" s="48" t="str">
        <x:v>International Code for Ships Operating in Polar Waters (Polar Code)</x:v>
      </x:c>
      <x:c r="C174" s="47" t="str">
        <x:v>Resolution MSC.385(94), adopted 21 Nov 2014; consolidated with MEPC.264(68), adopted 15 May 2015</x:v>
      </x:c>
      <x:c r="D174" s="59" t="n">
        <x:v>43</x:v>
      </x:c>
      <x:c r="E174" s="47" t="str">
        <x:v>5.2.1.3-.4</x:v>
      </x:c>
      <x:c r="F174" s="47" t="str">
        <x:v>Static</x:v>
      </x:c>
      <x:c r="G174" s="48" t="str">
        <x:v>Stage 2 candidate - direct/deterministic</x:v>
      </x:c>
      <x:c r="H174" s="47" t="str">
        <x:v>High</x:v>
      </x:c>
      <x:c r="I174" s="47" t="str">
        <x:v>No</x:v>
      </x:c>
      <x:c r="J174" s="47" t="str">
        <x:v>ELIGIBLE</x:v>
      </x:c>
      <x:c r="K174" s="47" t="str">
        <x:v>NOT_RUN</x:v>
      </x:c>
    </x:row>
    <x:row r="175">
      <x:c r="A175" s="47" t="str">
        <x:v>IMO-123</x:v>
      </x:c>
      <x:c r="B175" s="48" t="str">
        <x:v>International Code for Ships Operating in Polar Waters (Polar Code)</x:v>
      </x:c>
      <x:c r="C175" s="47" t="str">
        <x:v>Resolution MSC.385(94), adopted 21 Nov 2014; consolidated with MEPC.264(68), adopted 15 May 2015</x:v>
      </x:c>
      <x:c r="D175" s="59" t="str">
        <x:v>43-44</x:v>
      </x:c>
      <x:c r="E175" s="47" t="str">
        <x:v>5.2.1.5</x:v>
      </x:c>
      <x:c r="F175" s="47" t="str">
        <x:v>Static</x:v>
      </x:c>
      <x:c r="G175" s="48" t="str">
        <x:v>Stage 2 candidate - direct static</x:v>
      </x:c>
      <x:c r="H175" s="47" t="str">
        <x:v>Direct static</x:v>
      </x:c>
      <x:c r="I175" s="47" t="str">
        <x:v>No</x:v>
      </x:c>
      <x:c r="J175" s="47" t="str">
        <x:v>ELIGIBLE</x:v>
      </x:c>
      <x:c r="K175" s="47" t="str">
        <x:v>NOT_RUN</x:v>
      </x:c>
    </x:row>
    <x:row r="176">
      <x:c r="A176" s="47" t="str">
        <x:v>IMO-124</x:v>
      </x:c>
      <x:c r="B176" s="48" t="str">
        <x:v>International Code for Ships Operating in Polar Waters (Polar Code)</x:v>
      </x:c>
      <x:c r="C176" s="47" t="str">
        <x:v>Resolution MSC.385(94), adopted 21 Nov 2014; consolidated with MEPC.264(68), adopted 15 May 2015</x:v>
      </x:c>
      <x:c r="D176" s="59" t="n">
        <x:v>44</x:v>
      </x:c>
      <x:c r="E176" s="47" t="str">
        <x:v>5.2.2.1-.2</x:v>
      </x:c>
      <x:c r="F176" s="47" t="str">
        <x:v>Static</x:v>
      </x:c>
      <x:c r="G176" s="48" t="str">
        <x:v>Stage 2 candidate - direct static</x:v>
      </x:c>
      <x:c r="H176" s="47" t="str">
        <x:v>Direct static</x:v>
      </x:c>
      <x:c r="I176" s="47" t="str">
        <x:v>No</x:v>
      </x:c>
      <x:c r="J176" s="47" t="str">
        <x:v>ELIGIBLE</x:v>
      </x:c>
      <x:c r="K176" s="47" t="str">
        <x:v>NOT_RUN</x:v>
      </x:c>
    </x:row>
    <x:row r="177">
      <x:c r="A177" s="47" t="str">
        <x:v>IMO-125</x:v>
      </x:c>
      <x:c r="B177" s="48" t="str">
        <x:v>International Code for Ships Operating in Polar Waters (Polar Code)</x:v>
      </x:c>
      <x:c r="C177" s="47" t="str">
        <x:v>Resolution MSC.385(94), adopted 21 Nov 2014; consolidated with MEPC.264(68), adopted 15 May 2015</x:v>
      </x:c>
      <x:c r="D177" s="59" t="n">
        <x:v>44</x:v>
      </x:c>
      <x:c r="E177" s="47" t="str">
        <x:v>5.2.3</x:v>
      </x:c>
      <x:c r="F177" s="47" t="str">
        <x:v>Static</x:v>
      </x:c>
      <x:c r="G177" s="48" t="str">
        <x:v>Stage 2 candidate - direct/deterministic</x:v>
      </x:c>
      <x:c r="H177" s="47" t="str">
        <x:v>High</x:v>
      </x:c>
      <x:c r="I177" s="47" t="str">
        <x:v>No</x:v>
      </x:c>
      <x:c r="J177" s="47" t="str">
        <x:v>ELIGIBLE</x:v>
      </x:c>
      <x:c r="K177" s="47" t="str">
        <x:v>NOT_RUN</x:v>
      </x:c>
    </x:row>
    <x:row r="178">
      <x:c r="A178" s="47" t="str">
        <x:v>IMO26-001</x:v>
      </x:c>
      <x:c r="B178" s="48" t="str">
        <x:v>Polar Code January 2026 Supplement - Resolution MSC.538(107)</x:v>
      </x:c>
      <x:c r="C178" s="47" t="str">
        <x:v>January 2026 Supplement; effective 1 Jan 2026</x:v>
      </x:c>
      <x:c r="D178" s="59" t="n">
        <x:v>1</x:v>
      </x:c>
      <x:c r="E178" s="47" t="str">
        <x:v>Amendment 2</x:v>
      </x:c>
      <x:c r="F178" s="47" t="str">
        <x:v>Static</x:v>
      </x:c>
      <x:c r="G178" s="48" t="str">
        <x:v>Stage 2 candidate - direct/deterministic</x:v>
      </x:c>
      <x:c r="H178" s="47" t="str">
        <x:v>High</x:v>
      </x:c>
      <x:c r="I178" s="47" t="str">
        <x:v>No</x:v>
      </x:c>
      <x:c r="J178" s="47" t="str">
        <x:v>ELIGIBLE</x:v>
      </x:c>
      <x:c r="K178" s="47" t="str">
        <x:v>NOT_RUN</x:v>
      </x:c>
    </x:row>
    <x:row r="179">
      <x:c r="A179" s="47" t="str">
        <x:v>IMO26-002</x:v>
      </x:c>
      <x:c r="B179" s="48" t="str">
        <x:v>Polar Code January 2026 Supplement - Resolution MSC.538(107)</x:v>
      </x:c>
      <x:c r="C179" s="47" t="str">
        <x:v>January 2026 Supplement; effective 1 Jan 2026</x:v>
      </x:c>
      <x:c r="D179" s="59" t="n">
        <x:v>2</x:v>
      </x:c>
      <x:c r="E179" s="47" t="str">
        <x:v>Chapter 9-1 applicability</x:v>
      </x:c>
      <x:c r="F179" s="47" t="str">
        <x:v>Static</x:v>
      </x:c>
      <x:c r="G179" s="48" t="str">
        <x:v>Stage 2 candidate - direct/deterministic</x:v>
      </x:c>
      <x:c r="H179" s="47" t="str">
        <x:v>High</x:v>
      </x:c>
      <x:c r="I179" s="47" t="str">
        <x:v>No</x:v>
      </x:c>
      <x:c r="J179" s="47" t="str">
        <x:v>ELIGIBLE</x:v>
      </x:c>
      <x:c r="K179" s="47" t="str">
        <x:v>NOT_RUN</x:v>
      </x:c>
    </x:row>
    <x:row r="180">
      <x:c r="A180" s="47" t="str">
        <x:v>IMO26-003</x:v>
      </x:c>
      <x:c r="B180" s="48" t="str">
        <x:v>Polar Code January 2026 Supplement - Resolution MSC.538(107)</x:v>
      </x:c>
      <x:c r="C180" s="47" t="str">
        <x:v>January 2026 Supplement; effective 1 Jan 2026</x:v>
      </x:c>
      <x:c r="D180" s="59" t="n">
        <x:v>2</x:v>
      </x:c>
      <x:c r="E180" s="47" t="str">
        <x:v>9-1.2.1</x:v>
      </x:c>
      <x:c r="F180" s="47" t="str">
        <x:v>Dynamic</x:v>
      </x:c>
      <x:c r="G180" s="48" t="str">
        <x:v>Deferred - observation/history/simulation design required</x:v>
      </x:c>
      <x:c r="H180" s="47" t="str">
        <x:v>Medium</x:v>
      </x:c>
      <x:c r="I180" s="47" t="str">
        <x:v>No</x:v>
      </x:c>
      <x:c r="J180" s="47" t="str">
        <x:v>DEFERRED</x:v>
      </x:c>
      <x:c r="K180" s="47" t="str">
        <x:v>NOT_RUN</x:v>
      </x:c>
    </x:row>
    <x:row r="181">
      <x:c r="A181" s="47" t="str">
        <x:v>IMO26-004</x:v>
      </x:c>
      <x:c r="B181" s="48" t="str">
        <x:v>Polar Code January 2026 Supplement - Resolution MSC.538(107)</x:v>
      </x:c>
      <x:c r="C181" s="47" t="str">
        <x:v>January 2026 Supplement; effective 1 Jan 2026</x:v>
      </x:c>
      <x:c r="D181" s="59" t="n">
        <x:v>2</x:v>
      </x:c>
      <x:c r="E181" s="47" t="str">
        <x:v>9-1.2.2.1</x:v>
      </x:c>
      <x:c r="F181" s="47" t="str">
        <x:v>Physical Test</x:v>
      </x:c>
      <x:c r="G181" s="48" t="str">
        <x:v>Evidence-only - physical result not inferred by SHACL</x:v>
      </x:c>
      <x:c r="H181" s="47" t="str">
        <x:v>Medium</x:v>
      </x:c>
      <x:c r="I181" s="47" t="str">
        <x:v>No</x:v>
      </x:c>
      <x:c r="J181" s="47" t="str">
        <x:v>DEFERRED</x:v>
      </x:c>
      <x:c r="K181" s="47" t="str">
        <x:v>NOT_RUN</x:v>
      </x:c>
    </x:row>
    <x:row r="182">
      <x:c r="A182" s="47" t="str">
        <x:v>IMO26-005</x:v>
      </x:c>
      <x:c r="B182" s="48" t="str">
        <x:v>Polar Code January 2026 Supplement - Resolution MSC.538(107)</x:v>
      </x:c>
      <x:c r="C182" s="47" t="str">
        <x:v>January 2026 Supplement; effective 1 Jan 2026</x:v>
      </x:c>
      <x:c r="D182" s="59" t="n">
        <x:v>2</x:v>
      </x:c>
      <x:c r="E182" s="47" t="str">
        <x:v>9-1.2.2.2</x:v>
      </x:c>
      <x:c r="F182" s="47" t="str">
        <x:v>Static</x:v>
      </x:c>
      <x:c r="G182" s="48" t="str">
        <x:v>Stage 2 candidate - direct/deterministic</x:v>
      </x:c>
      <x:c r="H182" s="47" t="str">
        <x:v>Medium</x:v>
      </x:c>
      <x:c r="I182" s="47" t="str">
        <x:v>No</x:v>
      </x:c>
      <x:c r="J182" s="47" t="str">
        <x:v>ELIGIBLE</x:v>
      </x:c>
      <x:c r="K182" s="47" t="str">
        <x:v>NOT_RUN</x:v>
      </x:c>
    </x:row>
    <x:row r="183">
      <x:c r="A183" s="47" t="str">
        <x:v>IMO26-006</x:v>
      </x:c>
      <x:c r="B183" s="48" t="str">
        <x:v>Polar Code January 2026 Supplement - Resolution MSC.538(107)</x:v>
      </x:c>
      <x:c r="C183" s="47" t="str">
        <x:v>January 2026 Supplement; effective 1 Jan 2026</x:v>
      </x:c>
      <x:c r="D183" s="59" t="n">
        <x:v>3</x:v>
      </x:c>
      <x:c r="E183" s="47" t="str">
        <x:v>9-1.3.1</x:v>
      </x:c>
      <x:c r="F183" s="47" t="str">
        <x:v>Dynamic</x:v>
      </x:c>
      <x:c r="G183" s="48" t="str">
        <x:v>Deferred - observation/history/simulation design required</x:v>
      </x:c>
      <x:c r="H183" s="47" t="str">
        <x:v>Medium</x:v>
      </x:c>
      <x:c r="I183" s="47" t="str">
        <x:v>No</x:v>
      </x:c>
      <x:c r="J183" s="47" t="str">
        <x:v>DEFERRED</x:v>
      </x:c>
      <x:c r="K183" s="47" t="str">
        <x:v>NOT_RUN</x:v>
      </x:c>
    </x:row>
    <x:row r="184">
      <x:c r="A184" s="47" t="str">
        <x:v>IMO26-007</x:v>
      </x:c>
      <x:c r="B184" s="48" t="str">
        <x:v>Polar Code January 2026 Supplement - Resolution MSC.538(107)</x:v>
      </x:c>
      <x:c r="C184" s="47" t="str">
        <x:v>January 2026 Supplement; effective 1 Jan 2026</x:v>
      </x:c>
      <x:c r="D184" s="59" t="n">
        <x:v>3</x:v>
      </x:c>
      <x:c r="E184" s="47" t="str">
        <x:v>9-1.3.2.1.1</x:v>
      </x:c>
      <x:c r="F184" s="47" t="str">
        <x:v>Static</x:v>
      </x:c>
      <x:c r="G184" s="48" t="str">
        <x:v>Stage 2 candidate - direct static</x:v>
      </x:c>
      <x:c r="H184" s="47" t="str">
        <x:v>Direct static</x:v>
      </x:c>
      <x:c r="I184" s="47" t="str">
        <x:v>No</x:v>
      </x:c>
      <x:c r="J184" s="47" t="str">
        <x:v>ELIGIBLE</x:v>
      </x:c>
      <x:c r="K184" s="47" t="str">
        <x:v>NOT_RUN</x:v>
      </x:c>
    </x:row>
    <x:row r="185">
      <x:c r="A185" s="47" t="str">
        <x:v>IMO26-008</x:v>
      </x:c>
      <x:c r="B185" s="48" t="str">
        <x:v>Polar Code January 2026 Supplement - Resolution MSC.538(107)</x:v>
      </x:c>
      <x:c r="C185" s="47" t="str">
        <x:v>January 2026 Supplement; effective 1 Jan 2026</x:v>
      </x:c>
      <x:c r="D185" s="59" t="n">
        <x:v>3</x:v>
      </x:c>
      <x:c r="E185" s="47" t="str">
        <x:v>9-1.3.2.1.2</x:v>
      </x:c>
      <x:c r="F185" s="47" t="str">
        <x:v>Static</x:v>
      </x:c>
      <x:c r="G185" s="48" t="str">
        <x:v>Stage 2 candidate - direct static</x:v>
      </x:c>
      <x:c r="H185" s="47" t="str">
        <x:v>Direct static</x:v>
      </x:c>
      <x:c r="I185" s="47" t="str">
        <x:v>No</x:v>
      </x:c>
      <x:c r="J185" s="47" t="str">
        <x:v>ELIGIBLE</x:v>
      </x:c>
      <x:c r="K185" s="47" t="str">
        <x:v>NOT_RUN</x:v>
      </x:c>
    </x:row>
    <x:row r="186">
      <x:c r="A186" s="47" t="str">
        <x:v>IMO26-009</x:v>
      </x:c>
      <x:c r="B186" s="48" t="str">
        <x:v>Polar Code January 2026 Supplement - Resolution MSC.538(107)</x:v>
      </x:c>
      <x:c r="C186" s="47" t="str">
        <x:v>January 2026 Supplement; effective 1 Jan 2026</x:v>
      </x:c>
      <x:c r="D186" s="59" t="n">
        <x:v>3</x:v>
      </x:c>
      <x:c r="E186" s="47" t="str">
        <x:v>9-1.3.2.1.3</x:v>
      </x:c>
      <x:c r="F186" s="47" t="str">
        <x:v>Static</x:v>
      </x:c>
      <x:c r="G186" s="48" t="str">
        <x:v>Stage 2 candidate - direct/deterministic</x:v>
      </x:c>
      <x:c r="H186" s="47" t="str">
        <x:v>High</x:v>
      </x:c>
      <x:c r="I186" s="47" t="str">
        <x:v>No</x:v>
      </x:c>
      <x:c r="J186" s="47" t="str">
        <x:v>ELIGIBLE</x:v>
      </x:c>
      <x:c r="K186" s="47" t="str">
        <x:v>NOT_RUN</x:v>
      </x:c>
    </x:row>
    <x:row r="187">
      <x:c r="A187" s="47" t="str">
        <x:v>IMO26-010</x:v>
      </x:c>
      <x:c r="B187" s="48" t="str">
        <x:v>Polar Code January 2026 Supplement - Resolution MSC.538(107)</x:v>
      </x:c>
      <x:c r="C187" s="47" t="str">
        <x:v>January 2026 Supplement; effective 1 Jan 2026</x:v>
      </x:c>
      <x:c r="D187" s="59" t="n">
        <x:v>3</x:v>
      </x:c>
      <x:c r="E187" s="47" t="str">
        <x:v>9-1.3.2.1.4.1</x:v>
      </x:c>
      <x:c r="F187" s="47" t="str">
        <x:v>Static</x:v>
      </x:c>
      <x:c r="G187" s="48" t="str">
        <x:v>Stage 2 candidate - direct/deterministic</x:v>
      </x:c>
      <x:c r="H187" s="47" t="str">
        <x:v>High</x:v>
      </x:c>
      <x:c r="I187" s="47" t="str">
        <x:v>No</x:v>
      </x:c>
      <x:c r="J187" s="47" t="str">
        <x:v>ELIGIBLE</x:v>
      </x:c>
      <x:c r="K187" s="47" t="str">
        <x:v>NOT_RUN</x:v>
      </x:c>
    </x:row>
    <x:row r="188">
      <x:c r="A188" s="47" t="str">
        <x:v>IMO26-011</x:v>
      </x:c>
      <x:c r="B188" s="48" t="str">
        <x:v>Polar Code January 2026 Supplement - Resolution MSC.538(107)</x:v>
      </x:c>
      <x:c r="C188" s="47" t="str">
        <x:v>January 2026 Supplement; effective 1 Jan 2026</x:v>
      </x:c>
      <x:c r="D188" s="59" t="n">
        <x:v>4</x:v>
      </x:c>
      <x:c r="E188" s="47" t="str">
        <x:v>9-1.3.2.1.4.2</x:v>
      </x:c>
      <x:c r="F188" s="47" t="str">
        <x:v>Static</x:v>
      </x:c>
      <x:c r="G188" s="48" t="str">
        <x:v>Stage 2 candidate - direct static</x:v>
      </x:c>
      <x:c r="H188" s="47" t="str">
        <x:v>Direct static</x:v>
      </x:c>
      <x:c r="I188" s="47" t="str">
        <x:v>No</x:v>
      </x:c>
      <x:c r="J188" s="47" t="str">
        <x:v>ELIGIBLE</x:v>
      </x:c>
      <x:c r="K188" s="47" t="str">
        <x:v>NOT_RUN</x:v>
      </x:c>
    </x:row>
    <x:row r="189">
      <x:c r="A189" s="47" t="str">
        <x:v>IMO26-012</x:v>
      </x:c>
      <x:c r="B189" s="48" t="str">
        <x:v>Polar Code January 2026 Supplement - Resolution MSC.538(107)</x:v>
      </x:c>
      <x:c r="C189" s="47" t="str">
        <x:v>January 2026 Supplement; effective 1 Jan 2026</x:v>
      </x:c>
      <x:c r="D189" s="59" t="n">
        <x:v>4</x:v>
      </x:c>
      <x:c r="E189" s="47" t="str">
        <x:v>9-1.3.2.2.1</x:v>
      </x:c>
      <x:c r="F189" s="47" t="str">
        <x:v>Static</x:v>
      </x:c>
      <x:c r="G189" s="48" t="str">
        <x:v>Stage 2 candidate - direct/deterministic</x:v>
      </x:c>
      <x:c r="H189" s="47" t="str">
        <x:v>High</x:v>
      </x:c>
      <x:c r="I189" s="47" t="str">
        <x:v>No</x:v>
      </x:c>
      <x:c r="J189" s="47" t="str">
        <x:v>ELIGIBLE</x:v>
      </x:c>
      <x:c r="K189" s="47" t="str">
        <x:v>NOT_RUN</x:v>
      </x:c>
    </x:row>
    <x:row r="190">
      <x:c r="A190" s="47" t="str">
        <x:v>IMO26-013</x:v>
      </x:c>
      <x:c r="B190" s="48" t="str">
        <x:v>Polar Code January 2026 Supplement - Resolution MSC.538(107)</x:v>
      </x:c>
      <x:c r="C190" s="47" t="str">
        <x:v>January 2026 Supplement; effective 1 Jan 2026</x:v>
      </x:c>
      <x:c r="D190" s="59" t="n">
        <x:v>4</x:v>
      </x:c>
      <x:c r="E190" s="47" t="str">
        <x:v>9-1.3.2.2.2</x:v>
      </x:c>
      <x:c r="F190" s="47" t="str">
        <x:v>Static</x:v>
      </x:c>
      <x:c r="G190" s="48" t="str">
        <x:v>Stage 2 candidate - direct/deterministic</x:v>
      </x:c>
      <x:c r="H190" s="47" t="str">
        <x:v>High</x:v>
      </x:c>
      <x:c r="I190" s="47" t="str">
        <x:v>No</x:v>
      </x:c>
      <x:c r="J190" s="47" t="str">
        <x:v>ELIGIBLE</x:v>
      </x:c>
      <x:c r="K190" s="47" t="str">
        <x:v>NOT_RUN</x:v>
      </x:c>
    </x:row>
    <x:row r="191">
      <x:c r="A191" s="47" t="str">
        <x:v>IMO26-014</x:v>
      </x:c>
      <x:c r="B191" s="48" t="str">
        <x:v>Polar Code January 2026 Supplement - Resolution MSC.538(107)</x:v>
      </x:c>
      <x:c r="C191" s="47" t="str">
        <x:v>January 2026 Supplement; effective 1 Jan 2026</x:v>
      </x:c>
      <x:c r="D191" s="59" t="n">
        <x:v>4</x:v>
      </x:c>
      <x:c r="E191" s="47" t="str">
        <x:v>9-1.3.3</x:v>
      </x:c>
      <x:c r="F191" s="47" t="str">
        <x:v>Static</x:v>
      </x:c>
      <x:c r="G191" s="48" t="str">
        <x:v>Stage 2 candidate - direct/deterministic</x:v>
      </x:c>
      <x:c r="H191" s="47" t="str">
        <x:v>High</x:v>
      </x:c>
      <x:c r="I191" s="47" t="str">
        <x:v>No</x:v>
      </x:c>
      <x:c r="J191" s="47" t="str">
        <x:v>ELIGIBLE</x:v>
      </x:c>
      <x:c r="K191" s="47" t="str">
        <x:v>NOT_RUN</x:v>
      </x:c>
    </x:row>
    <x:row r="192">
      <x:c r="A192" s="47" t="str">
        <x:v>IMO26-015</x:v>
      </x:c>
      <x:c r="B192" s="48" t="str">
        <x:v>Polar Code January 2026 Supplement - Resolution MSC.538(107)</x:v>
      </x:c>
      <x:c r="C192" s="47" t="str">
        <x:v>January 2026 Supplement; effective 1 Jan 2026</x:v>
      </x:c>
      <x:c r="D192" s="59" t="n">
        <x:v>5</x:v>
      </x:c>
      <x:c r="E192" s="47" t="str">
        <x:v>Amendment 5</x:v>
      </x:c>
      <x:c r="F192" s="47" t="str">
        <x:v>Static</x:v>
      </x:c>
      <x:c r="G192" s="48" t="str">
        <x:v>Stage 2 candidate - direct/deterministic</x:v>
      </x:c>
      <x:c r="H192" s="47" t="str">
        <x:v>High</x:v>
      </x:c>
      <x:c r="I192" s="47" t="str">
        <x:v>No</x:v>
      </x:c>
      <x:c r="J192" s="47" t="str">
        <x:v>ELIGIBLE</x:v>
      </x:c>
      <x:c r="K192" s="47" t="str">
        <x:v>NOT_RUN</x:v>
      </x:c>
    </x:row>
    <x:row r="193">
      <x:c r="A193" s="47" t="str">
        <x:v>IMO26-016</x:v>
      </x:c>
      <x:c r="B193" s="48" t="str">
        <x:v>Polar Code January 2026 Supplement - Resolution MSC.538(107)</x:v>
      </x:c>
      <x:c r="C193" s="47" t="str">
        <x:v>January 2026 Supplement; effective 1 Jan 2026</x:v>
      </x:c>
      <x:c r="D193" s="59" t="n">
        <x:v>5</x:v>
      </x:c>
      <x:c r="E193" s="47" t="str">
        <x:v>Chapter 11-1 applicability</x:v>
      </x:c>
      <x:c r="F193" s="47" t="str">
        <x:v>Static</x:v>
      </x:c>
      <x:c r="G193" s="48" t="str">
        <x:v>Stage 2 candidate - direct/deterministic</x:v>
      </x:c>
      <x:c r="H193" s="47" t="str">
        <x:v>High</x:v>
      </x:c>
      <x:c r="I193" s="47" t="str">
        <x:v>No</x:v>
      </x:c>
      <x:c r="J193" s="47" t="str">
        <x:v>ELIGIBLE</x:v>
      </x:c>
      <x:c r="K193" s="47" t="str">
        <x:v>NOT_RUN</x:v>
      </x:c>
    </x:row>
    <x:row r="194">
      <x:c r="A194" s="47" t="str">
        <x:v>IMO26-017</x:v>
      </x:c>
      <x:c r="B194" s="48" t="str">
        <x:v>Polar Code January 2026 Supplement - Resolution MSC.538(107)</x:v>
      </x:c>
      <x:c r="C194" s="47" t="str">
        <x:v>January 2026 Supplement; effective 1 Jan 2026</x:v>
      </x:c>
      <x:c r="D194" s="59" t="n">
        <x:v>5</x:v>
      </x:c>
      <x:c r="E194" s="47" t="str">
        <x:v>11-1.2</x:v>
      </x:c>
      <x:c r="F194" s="47" t="str">
        <x:v>Static</x:v>
      </x:c>
      <x:c r="G194" s="48" t="str">
        <x:v>Stage 2 candidate - direct static</x:v>
      </x:c>
      <x:c r="H194" s="47" t="str">
        <x:v>Direct static</x:v>
      </x:c>
      <x:c r="I194" s="47" t="str">
        <x:v>No</x:v>
      </x:c>
      <x:c r="J194" s="47" t="str">
        <x:v>ELIGIBLE</x:v>
      </x:c>
      <x:c r="K194" s="47" t="str">
        <x:v>NOT_RUN</x:v>
      </x:c>
    </x:row>
    <x:row r="195">
      <x:c r="A195" s="47" t="str">
        <x:v>IMO26-018</x:v>
      </x:c>
      <x:c r="B195" s="48" t="str">
        <x:v>Polar Code January 2026 Supplement - Resolution MSC.538(107)</x:v>
      </x:c>
      <x:c r="C195" s="47" t="str">
        <x:v>January 2026 Supplement; effective 1 Jan 2026</x:v>
      </x:c>
      <x:c r="D195" s="59" t="n">
        <x:v>6</x:v>
      </x:c>
      <x:c r="E195" s="47" t="str">
        <x:v>11-1.3.1-11-1.3.9</x:v>
      </x:c>
      <x:c r="F195" s="47" t="str">
        <x:v>Static</x:v>
      </x:c>
      <x:c r="G195" s="48" t="str">
        <x:v>Stage 2 candidate - direct static</x:v>
      </x:c>
      <x:c r="H195" s="47" t="str">
        <x:v>Direct static</x:v>
      </x:c>
      <x:c r="I195" s="47" t="str">
        <x:v>No</x:v>
      </x:c>
      <x:c r="J195" s="47" t="str">
        <x:v>ELIGIBLE</x:v>
      </x:c>
      <x:c r="K195" s="47" t="str">
        <x:v>NOT_RUN</x:v>
      </x:c>
    </x:row>
    <x:row r="196">
      <x:c r="A196" s="47" t="str">
        <x:v>TRF-001</x:v>
      </x:c>
      <x:c r="B196" s="48" t="str">
        <x:v>Ice Class Regulations and the Application Thereof</x:v>
      </x:c>
      <x:c r="C196" s="47" t="str">
        <x:v>TRAFICOM/68863/03.04.01.00/2021</x:v>
      </x:c>
      <x:c r="D196" s="59" t="n">
        <x:v>5</x:v>
      </x:c>
      <x:c r="E196" s="47" t="str">
        <x:v>1.1</x:v>
      </x:c>
      <x:c r="F196" s="47" t="str">
        <x:v>Static</x:v>
      </x:c>
      <x:c r="G196" s="48" t="str">
        <x:v>Stage 2 candidate - direct/deterministic</x:v>
      </x:c>
      <x:c r="H196" s="47" t="str">
        <x:v>High</x:v>
      </x:c>
      <x:c r="I196" s="47" t="str">
        <x:v>No</x:v>
      </x:c>
      <x:c r="J196" s="47" t="str">
        <x:v>ELIGIBLE</x:v>
      </x:c>
      <x:c r="K196" s="47" t="str">
        <x:v>NOT_RUN</x:v>
      </x:c>
    </x:row>
    <x:row r="197">
      <x:c r="A197" s="47" t="str">
        <x:v>TRF-002</x:v>
      </x:c>
      <x:c r="B197" s="48" t="str">
        <x:v>Ice Class Regulations and the Application Thereof</x:v>
      </x:c>
      <x:c r="C197" s="47" t="str">
        <x:v>TRAFICOM/68863/03.04.01.00/2021</x:v>
      </x:c>
      <x:c r="D197" s="59" t="n">
        <x:v>5</x:v>
      </x:c>
      <x:c r="E197" s="47" t="str">
        <x:v>1.2</x:v>
      </x:c>
      <x:c r="F197" s="47" t="str">
        <x:v>Static</x:v>
      </x:c>
      <x:c r="G197" s="48" t="str">
        <x:v>Stage 2 candidate - direct/deterministic</x:v>
      </x:c>
      <x:c r="H197" s="47" t="str">
        <x:v>High</x:v>
      </x:c>
      <x:c r="I197" s="47" t="str">
        <x:v>No</x:v>
      </x:c>
      <x:c r="J197" s="47" t="str">
        <x:v>ELIGIBLE</x:v>
      </x:c>
      <x:c r="K197" s="47" t="str">
        <x:v>NOT_RUN</x:v>
      </x:c>
    </x:row>
    <x:row r="198">
      <x:c r="A198" s="47" t="str">
        <x:v>TRF-003</x:v>
      </x:c>
      <x:c r="B198" s="48" t="str">
        <x:v>Ice Class Regulations and the Application Thereof</x:v>
      </x:c>
      <x:c r="C198" s="47" t="str">
        <x:v>TRAFICOM/68863/03.04.01.00/2021</x:v>
      </x:c>
      <x:c r="D198" s="59" t="n">
        <x:v>5</x:v>
      </x:c>
      <x:c r="E198" s="47" t="str">
        <x:v>1.3</x:v>
      </x:c>
      <x:c r="F198" s="47" t="str">
        <x:v>Static</x:v>
      </x:c>
      <x:c r="G198" s="48" t="str">
        <x:v>Stage 2 candidate - direct/deterministic</x:v>
      </x:c>
      <x:c r="H198" s="47" t="str">
        <x:v>High</x:v>
      </x:c>
      <x:c r="I198" s="47" t="str">
        <x:v>No</x:v>
      </x:c>
      <x:c r="J198" s="47" t="str">
        <x:v>ELIGIBLE</x:v>
      </x:c>
      <x:c r="K198" s="47" t="str">
        <x:v>NOT_RUN</x:v>
      </x:c>
    </x:row>
    <x:row r="199">
      <x:c r="A199" s="47" t="str">
        <x:v>TRF-004</x:v>
      </x:c>
      <x:c r="B199" s="48" t="str">
        <x:v>Ice Class Regulations and the Application Thereof</x:v>
      </x:c>
      <x:c r="C199" s="47" t="str">
        <x:v>TRAFICOM/68863/03.04.01.00/2021</x:v>
      </x:c>
      <x:c r="D199" s="59" t="n">
        <x:v>5</x:v>
      </x:c>
      <x:c r="E199" s="47" t="str">
        <x:v>1.4</x:v>
      </x:c>
      <x:c r="F199" s="47" t="str">
        <x:v>Static</x:v>
      </x:c>
      <x:c r="G199" s="48" t="str">
        <x:v>Stage 2 candidate - direct/deterministic</x:v>
      </x:c>
      <x:c r="H199" s="47" t="str">
        <x:v>Medium</x:v>
      </x:c>
      <x:c r="I199" s="47" t="str">
        <x:v>No</x:v>
      </x:c>
      <x:c r="J199" s="47" t="str">
        <x:v>ELIGIBLE</x:v>
      </x:c>
      <x:c r="K199" s="47" t="str">
        <x:v>NOT_RUN</x:v>
      </x:c>
    </x:row>
    <x:row r="200">
      <x:c r="A200" s="47" t="str">
        <x:v>TRF-005</x:v>
      </x:c>
      <x:c r="B200" s="48" t="str">
        <x:v>Ice Class Regulations and the Application Thereof</x:v>
      </x:c>
      <x:c r="C200" s="47" t="str">
        <x:v>TRAFICOM/68863/03.04.01.00/2021</x:v>
      </x:c>
      <x:c r="D200" s="59" t="n">
        <x:v>5</x:v>
      </x:c>
      <x:c r="E200" s="47" t="str">
        <x:v>1.5</x:v>
      </x:c>
      <x:c r="F200" s="47" t="str">
        <x:v>Static</x:v>
      </x:c>
      <x:c r="G200" s="48" t="str">
        <x:v>Stage 2 candidate - direct/deterministic</x:v>
      </x:c>
      <x:c r="H200" s="47" t="str">
        <x:v>Medium</x:v>
      </x:c>
      <x:c r="I200" s="47" t="str">
        <x:v>No</x:v>
      </x:c>
      <x:c r="J200" s="47" t="str">
        <x:v>ELIGIBLE</x:v>
      </x:c>
      <x:c r="K200" s="47" t="str">
        <x:v>NOT_RUN</x:v>
      </x:c>
    </x:row>
    <x:row r="201">
      <x:c r="A201" s="47" t="str">
        <x:v>TRF-006</x:v>
      </x:c>
      <x:c r="B201" s="48" t="str">
        <x:v>Ice Class Regulations and the Application Thereof</x:v>
      </x:c>
      <x:c r="C201" s="47" t="str">
        <x:v>TRAFICOM/68863/03.04.01.00/2021</x:v>
      </x:c>
      <x:c r="D201" s="59" t="n">
        <x:v>5</x:v>
      </x:c>
      <x:c r="E201" s="47" t="str">
        <x:v>1.6</x:v>
      </x:c>
      <x:c r="F201" s="47" t="str">
        <x:v>Static</x:v>
      </x:c>
      <x:c r="G201" s="48" t="str">
        <x:v>Stage 2 candidate - direct/deterministic</x:v>
      </x:c>
      <x:c r="H201" s="47" t="str">
        <x:v>High</x:v>
      </x:c>
      <x:c r="I201" s="47" t="str">
        <x:v>No</x:v>
      </x:c>
      <x:c r="J201" s="47" t="str">
        <x:v>ELIGIBLE</x:v>
      </x:c>
      <x:c r="K201" s="47" t="str">
        <x:v>NOT_RUN</x:v>
      </x:c>
    </x:row>
    <x:row r="202">
      <x:c r="A202" s="47" t="str">
        <x:v>TRF-007</x:v>
      </x:c>
      <x:c r="B202" s="48" t="str">
        <x:v>Ice Class Regulations and the Application Thereof</x:v>
      </x:c>
      <x:c r="C202" s="47" t="str">
        <x:v>TRAFICOM/68863/03.04.01.00/2021</x:v>
      </x:c>
      <x:c r="D202" s="59" t="n">
        <x:v>5</x:v>
      </x:c>
      <x:c r="E202" s="47" t="str">
        <x:v>1.6</x:v>
      </x:c>
      <x:c r="F202" s="47" t="str">
        <x:v>Static</x:v>
      </x:c>
      <x:c r="G202" s="48" t="str">
        <x:v>Stage 2 candidate - direct/deterministic</x:v>
      </x:c>
      <x:c r="H202" s="47" t="str">
        <x:v>High</x:v>
      </x:c>
      <x:c r="I202" s="47" t="str">
        <x:v>No</x:v>
      </x:c>
      <x:c r="J202" s="47" t="str">
        <x:v>ELIGIBLE</x:v>
      </x:c>
      <x:c r="K202" s="47" t="str">
        <x:v>NOT_RUN</x:v>
      </x:c>
    </x:row>
    <x:row r="203">
      <x:c r="A203" s="47" t="str">
        <x:v>TRF-009</x:v>
      </x:c>
      <x:c r="B203" s="48" t="str">
        <x:v>Ice Class Regulations and the Application Thereof</x:v>
      </x:c>
      <x:c r="C203" s="47" t="str">
        <x:v>TRAFICOM/68863/03.04.01.00/2021</x:v>
      </x:c>
      <x:c r="D203" s="59" t="n">
        <x:v>6</x:v>
      </x:c>
      <x:c r="E203" s="47" t="str">
        <x:v>1.7</x:v>
      </x:c>
      <x:c r="F203" s="47" t="str">
        <x:v>Static</x:v>
      </x:c>
      <x:c r="G203" s="48" t="str">
        <x:v>Stage 2 candidate - direct/deterministic</x:v>
      </x:c>
      <x:c r="H203" s="47" t="str">
        <x:v>High</x:v>
      </x:c>
      <x:c r="I203" s="47" t="str">
        <x:v>No</x:v>
      </x:c>
      <x:c r="J203" s="47" t="str">
        <x:v>ELIGIBLE</x:v>
      </x:c>
      <x:c r="K203" s="47" t="str">
        <x:v>NOT_RUN</x:v>
      </x:c>
    </x:row>
    <x:row r="204">
      <x:c r="A204" s="47" t="str">
        <x:v>TRF-010</x:v>
      </x:c>
      <x:c r="B204" s="48" t="str">
        <x:v>Ice Class Regulations and the Application Thereof</x:v>
      </x:c>
      <x:c r="C204" s="47" t="str">
        <x:v>TRAFICOM/68863/03.04.01.00/2021</x:v>
      </x:c>
      <x:c r="D204" s="59" t="n">
        <x:v>6</x:v>
      </x:c>
      <x:c r="E204" s="47" t="str">
        <x:v>1.8</x:v>
      </x:c>
      <x:c r="F204" s="47" t="str">
        <x:v>Static</x:v>
      </x:c>
      <x:c r="G204" s="48" t="str">
        <x:v>Stage 2 candidate - direct/deterministic</x:v>
      </x:c>
      <x:c r="H204" s="47" t="str">
        <x:v>High</x:v>
      </x:c>
      <x:c r="I204" s="47" t="str">
        <x:v>No</x:v>
      </x:c>
      <x:c r="J204" s="47" t="str">
        <x:v>ELIGIBLE</x:v>
      </x:c>
      <x:c r="K204" s="47" t="str">
        <x:v>NOT_RUN</x:v>
      </x:c>
    </x:row>
    <x:row r="205">
      <x:c r="A205" s="47" t="str">
        <x:v>TRF-011</x:v>
      </x:c>
      <x:c r="B205" s="48" t="str">
        <x:v>Ice Class Regulations and the Application Thereof</x:v>
      </x:c>
      <x:c r="C205" s="47" t="str">
        <x:v>TRAFICOM/68863/03.04.01.00/2021</x:v>
      </x:c>
      <x:c r="D205" s="59" t="n">
        <x:v>6</x:v>
      </x:c>
      <x:c r="E205" s="47" t="str">
        <x:v>2.1</x:v>
      </x:c>
      <x:c r="F205" s="47" t="str">
        <x:v>Static</x:v>
      </x:c>
      <x:c r="G205" s="48" t="str">
        <x:v>Stage 2 candidate - direct/deterministic</x:v>
      </x:c>
      <x:c r="H205" s="47" t="str">
        <x:v>High</x:v>
      </x:c>
      <x:c r="I205" s="47" t="str">
        <x:v>No</x:v>
      </x:c>
      <x:c r="J205" s="47" t="str">
        <x:v>ELIGIBLE</x:v>
      </x:c>
      <x:c r="K205" s="47" t="str">
        <x:v>NOT_RUN</x:v>
      </x:c>
    </x:row>
    <x:row r="206">
      <x:c r="A206" s="47" t="str">
        <x:v>TRF-012</x:v>
      </x:c>
      <x:c r="B206" s="48" t="str">
        <x:v>Ice Class Regulations and the Application Thereof</x:v>
      </x:c>
      <x:c r="C206" s="47" t="str">
        <x:v>TRAFICOM/68863/03.04.01.00/2021</x:v>
      </x:c>
      <x:c r="D206" s="59" t="n">
        <x:v>6</x:v>
      </x:c>
      <x:c r="E206" s="47" t="str">
        <x:v>2.1</x:v>
      </x:c>
      <x:c r="F206" s="47" t="str">
        <x:v>Complex</x:v>
      </x:c>
      <x:c r="G206" s="48" t="str">
        <x:v>Stage 2 candidate - complex readiness</x:v>
      </x:c>
      <x:c r="H206" s="47" t="str">
        <x:v>Complex readiness</x:v>
      </x:c>
      <x:c r="I206" s="47" t="str">
        <x:v>No</x:v>
      </x:c>
      <x:c r="J206" s="47" t="str">
        <x:v>ELIGIBLE</x:v>
      </x:c>
      <x:c r="K206" s="47" t="str">
        <x:v>NOT_RUN</x:v>
      </x:c>
    </x:row>
    <x:row r="207">
      <x:c r="A207" s="47" t="str">
        <x:v>TRF-013</x:v>
      </x:c>
      <x:c r="B207" s="48" t="str">
        <x:v>Ice Class Regulations and the Application Thereof</x:v>
      </x:c>
      <x:c r="C207" s="47" t="str">
        <x:v>TRAFICOM/68863/03.04.01.00/2021</x:v>
      </x:c>
      <x:c r="D207" s="59" t="n">
        <x:v>7</x:v>
      </x:c>
      <x:c r="E207" s="47" t="str">
        <x:v>2.2</x:v>
      </x:c>
      <x:c r="F207" s="47" t="str">
        <x:v>Static</x:v>
      </x:c>
      <x:c r="G207" s="48" t="str">
        <x:v>Stage 2 candidate - direct/deterministic</x:v>
      </x:c>
      <x:c r="H207" s="47" t="str">
        <x:v>High</x:v>
      </x:c>
      <x:c r="I207" s="47" t="str">
        <x:v>No</x:v>
      </x:c>
      <x:c r="J207" s="47" t="str">
        <x:v>ELIGIBLE</x:v>
      </x:c>
      <x:c r="K207" s="47" t="str">
        <x:v>NOT_RUN</x:v>
      </x:c>
    </x:row>
    <x:row r="208">
      <x:c r="A208" s="47" t="str">
        <x:v>TRF-014</x:v>
      </x:c>
      <x:c r="B208" s="48" t="str">
        <x:v>Ice Class Regulations and the Application Thereof</x:v>
      </x:c>
      <x:c r="C208" s="47" t="str">
        <x:v>TRAFICOM/68863/03.04.01.00/2021</x:v>
      </x:c>
      <x:c r="D208" s="59" t="n">
        <x:v>7</x:v>
      </x:c>
      <x:c r="E208" s="47" t="str">
        <x:v>2.2</x:v>
      </x:c>
      <x:c r="F208" s="47" t="str">
        <x:v>Static</x:v>
      </x:c>
      <x:c r="G208" s="48" t="str">
        <x:v>Stage 2 candidate - direct/deterministic</x:v>
      </x:c>
      <x:c r="H208" s="47" t="str">
        <x:v>High</x:v>
      </x:c>
      <x:c r="I208" s="47" t="str">
        <x:v>No</x:v>
      </x:c>
      <x:c r="J208" s="47" t="str">
        <x:v>ELIGIBLE</x:v>
      </x:c>
      <x:c r="K208" s="47" t="str">
        <x:v>NOT_RUN</x:v>
      </x:c>
    </x:row>
    <x:row r="209">
      <x:c r="A209" s="47" t="str">
        <x:v>TRF-015</x:v>
      </x:c>
      <x:c r="B209" s="48" t="str">
        <x:v>Ice Class Regulations and the Application Thereof</x:v>
      </x:c>
      <x:c r="C209" s="47" t="str">
        <x:v>TRAFICOM/68863/03.04.01.00/2021</x:v>
      </x:c>
      <x:c r="D209" s="59" t="n">
        <x:v>7</x:v>
      </x:c>
      <x:c r="E209" s="47" t="str">
        <x:v>2.2</x:v>
      </x:c>
      <x:c r="F209" s="47" t="str">
        <x:v>Static</x:v>
      </x:c>
      <x:c r="G209" s="48" t="str">
        <x:v>Stage 2 candidate - direct/deterministic</x:v>
      </x:c>
      <x:c r="H209" s="47" t="str">
        <x:v>High</x:v>
      </x:c>
      <x:c r="I209" s="47" t="str">
        <x:v>No</x:v>
      </x:c>
      <x:c r="J209" s="47" t="str">
        <x:v>ELIGIBLE</x:v>
      </x:c>
      <x:c r="K209" s="47" t="str">
        <x:v>NOT_RUN</x:v>
      </x:c>
    </x:row>
    <x:row r="210">
      <x:c r="A210" s="47" t="str">
        <x:v>TRF-016</x:v>
      </x:c>
      <x:c r="B210" s="48" t="str">
        <x:v>Ice Class Regulations and the Application Thereof</x:v>
      </x:c>
      <x:c r="C210" s="47" t="str">
        <x:v>TRAFICOM/68863/03.04.01.00/2021</x:v>
      </x:c>
      <x:c r="D210" s="59" t="n">
        <x:v>7</x:v>
      </x:c>
      <x:c r="E210" s="47" t="str">
        <x:v>2.2</x:v>
      </x:c>
      <x:c r="F210" s="47" t="str">
        <x:v>Static Calculation</x:v>
      </x:c>
      <x:c r="G210" s="48" t="str">
        <x:v>Stage 2 candidate - direct/deterministic</x:v>
      </x:c>
      <x:c r="H210" s="47" t="str">
        <x:v>High</x:v>
      </x:c>
      <x:c r="I210" s="47" t="str">
        <x:v>No</x:v>
      </x:c>
      <x:c r="J210" s="47" t="str">
        <x:v>ELIGIBLE</x:v>
      </x:c>
      <x:c r="K210" s="47" t="str">
        <x:v>NOT_RUN</x:v>
      </x:c>
    </x:row>
    <x:row r="211">
      <x:c r="A211" s="47" t="str">
        <x:v>TRF-017</x:v>
      </x:c>
      <x:c r="B211" s="48" t="str">
        <x:v>Ice Class Regulations and the Application Thereof</x:v>
      </x:c>
      <x:c r="C211" s="47" t="str">
        <x:v>TRAFICOM/68863/03.04.01.00/2021</x:v>
      </x:c>
      <x:c r="D211" s="59" t="n">
        <x:v>7</x:v>
      </x:c>
      <x:c r="E211" s="47" t="str">
        <x:v>3.1</x:v>
      </x:c>
      <x:c r="F211" s="47" t="str">
        <x:v>Static</x:v>
      </x:c>
      <x:c r="G211" s="48" t="str">
        <x:v>Stage 2 candidate - direct/deterministic</x:v>
      </x:c>
      <x:c r="H211" s="47" t="str">
        <x:v>High</x:v>
      </x:c>
      <x:c r="I211" s="47" t="str">
        <x:v>No</x:v>
      </x:c>
      <x:c r="J211" s="47" t="str">
        <x:v>ELIGIBLE</x:v>
      </x:c>
      <x:c r="K211" s="47" t="str">
        <x:v>NOT_RUN</x:v>
      </x:c>
    </x:row>
    <x:row r="212">
      <x:c r="A212" s="47" t="str">
        <x:v>TRF-018</x:v>
      </x:c>
      <x:c r="B212" s="48" t="str">
        <x:v>Ice Class Regulations and the Application Thereof</x:v>
      </x:c>
      <x:c r="C212" s="47" t="str">
        <x:v>TRAFICOM/68863/03.04.01.00/2021</x:v>
      </x:c>
      <x:c r="D212" s="59" t="n">
        <x:v>8</x:v>
      </x:c>
      <x:c r="E212" s="47" t="str">
        <x:v>3.2</x:v>
      </x:c>
      <x:c r="F212" s="47" t="str">
        <x:v>Static Calculation</x:v>
      </x:c>
      <x:c r="G212" s="48" t="str">
        <x:v>Stage 2 candidate - direct/deterministic</x:v>
      </x:c>
      <x:c r="H212" s="47" t="str">
        <x:v>High</x:v>
      </x:c>
      <x:c r="I212" s="47" t="str">
        <x:v>No</x:v>
      </x:c>
      <x:c r="J212" s="47" t="str">
        <x:v>ELIGIBLE</x:v>
      </x:c>
      <x:c r="K212" s="47" t="str">
        <x:v>NOT_RUN</x:v>
      </x:c>
    </x:row>
    <x:row r="213">
      <x:c r="A213" s="47" t="str">
        <x:v>TRF-020</x:v>
      </x:c>
      <x:c r="B213" s="48" t="str">
        <x:v>Ice Class Regulations and the Application Thereof</x:v>
      </x:c>
      <x:c r="C213" s="47" t="str">
        <x:v>TRAFICOM/68863/03.04.01.00/2021</x:v>
      </x:c>
      <x:c r="D213" s="59" t="str">
        <x:v>8-9</x:v>
      </x:c>
      <x:c r="E213" s="47" t="str">
        <x:v>3.2.2</x:v>
      </x:c>
      <x:c r="F213" s="47" t="str">
        <x:v>Complex</x:v>
      </x:c>
      <x:c r="G213" s="48" t="str">
        <x:v>Stage 2 candidate - complex readiness</x:v>
      </x:c>
      <x:c r="H213" s="47" t="str">
        <x:v>Complex readiness</x:v>
      </x:c>
      <x:c r="I213" s="47" t="str">
        <x:v>No</x:v>
      </x:c>
      <x:c r="J213" s="47" t="str">
        <x:v>ELIGIBLE</x:v>
      </x:c>
      <x:c r="K213" s="47" t="str">
        <x:v>NOT_RUN</x:v>
      </x:c>
    </x:row>
    <x:row r="214">
      <x:c r="A214" s="47" t="str">
        <x:v>TRF-022</x:v>
      </x:c>
      <x:c r="B214" s="48" t="str">
        <x:v>Ice Class Regulations and the Application Thereof</x:v>
      </x:c>
      <x:c r="C214" s="47" t="str">
        <x:v>TRAFICOM/68863/03.04.01.00/2021</x:v>
      </x:c>
      <x:c r="D214" s="59" t="n">
        <x:v>10</x:v>
      </x:c>
      <x:c r="E214" s="47" t="str">
        <x:v>3.2.2</x:v>
      </x:c>
      <x:c r="F214" s="47" t="str">
        <x:v>Complex</x:v>
      </x:c>
      <x:c r="G214" s="48" t="str">
        <x:v>Stage 2 candidate - complex readiness</x:v>
      </x:c>
      <x:c r="H214" s="47" t="str">
        <x:v>Complex readiness</x:v>
      </x:c>
      <x:c r="I214" s="47" t="str">
        <x:v>No</x:v>
      </x:c>
      <x:c r="J214" s="47" t="str">
        <x:v>ELIGIBLE</x:v>
      </x:c>
      <x:c r="K214" s="47" t="str">
        <x:v>NOT_RUN</x:v>
      </x:c>
    </x:row>
    <x:row r="215">
      <x:c r="A215" s="47" t="str">
        <x:v>TRF-023</x:v>
      </x:c>
      <x:c r="B215" s="48" t="str">
        <x:v>Ice Class Regulations and the Application Thereof</x:v>
      </x:c>
      <x:c r="C215" s="47" t="str">
        <x:v>TRAFICOM/68863/03.04.01.00/2021</x:v>
      </x:c>
      <x:c r="D215" s="59" t="n">
        <x:v>10</x:v>
      </x:c>
      <x:c r="E215" s="47" t="str">
        <x:v>3.2.3</x:v>
      </x:c>
      <x:c r="F215" s="47" t="str">
        <x:v>Static</x:v>
      </x:c>
      <x:c r="G215" s="48" t="str">
        <x:v>Stage 2 candidate - direct/deterministic</x:v>
      </x:c>
      <x:c r="H215" s="47" t="str">
        <x:v>High</x:v>
      </x:c>
      <x:c r="I215" s="47" t="str">
        <x:v>No</x:v>
      </x:c>
      <x:c r="J215" s="47" t="str">
        <x:v>ELIGIBLE</x:v>
      </x:c>
      <x:c r="K215" s="47" t="str">
        <x:v>NOT_RUN</x:v>
      </x:c>
    </x:row>
    <x:row r="216">
      <x:c r="A216" s="47" t="str">
        <x:v>TRF-024</x:v>
      </x:c>
      <x:c r="B216" s="48" t="str">
        <x:v>Ice Class Regulations and the Application Thereof</x:v>
      </x:c>
      <x:c r="C216" s="47" t="str">
        <x:v>TRAFICOM/68863/03.04.01.00/2021</x:v>
      </x:c>
      <x:c r="D216" s="59" t="n">
        <x:v>10</x:v>
      </x:c>
      <x:c r="E216" s="47" t="str">
        <x:v>3.2.4</x:v>
      </x:c>
      <x:c r="F216" s="47" t="str">
        <x:v>Static</x:v>
      </x:c>
      <x:c r="G216" s="48" t="str">
        <x:v>Stage 2 candidate - direct/deterministic</x:v>
      </x:c>
      <x:c r="H216" s="47" t="str">
        <x:v>High</x:v>
      </x:c>
      <x:c r="I216" s="47" t="str">
        <x:v>No</x:v>
      </x:c>
      <x:c r="J216" s="47" t="str">
        <x:v>ELIGIBLE</x:v>
      </x:c>
      <x:c r="K216" s="47" t="str">
        <x:v>NOT_RUN</x:v>
      </x:c>
    </x:row>
    <x:row r="217">
      <x:c r="A217" s="47" t="str">
        <x:v>TRF-025</x:v>
      </x:c>
      <x:c r="B217" s="48" t="str">
        <x:v>Ice Class Regulations and the Application Thereof</x:v>
      </x:c>
      <x:c r="C217" s="47" t="str">
        <x:v>TRAFICOM/68863/03.04.01.00/2021</x:v>
      </x:c>
      <x:c r="D217" s="59" t="n">
        <x:v>10</x:v>
      </x:c>
      <x:c r="E217" s="47" t="str">
        <x:v>3.2.4</x:v>
      </x:c>
      <x:c r="F217" s="47" t="str">
        <x:v>Complex</x:v>
      </x:c>
      <x:c r="G217" s="48" t="str">
        <x:v>Stage 2 candidate - complex readiness</x:v>
      </x:c>
      <x:c r="H217" s="47" t="str">
        <x:v>Complex readiness</x:v>
      </x:c>
      <x:c r="I217" s="47" t="str">
        <x:v>No</x:v>
      </x:c>
      <x:c r="J217" s="47" t="str">
        <x:v>ELIGIBLE</x:v>
      </x:c>
      <x:c r="K217" s="47" t="str">
        <x:v>NOT_RUN</x:v>
      </x:c>
    </x:row>
    <x:row r="218">
      <x:c r="A218" s="47" t="str">
        <x:v>TRF-026</x:v>
      </x:c>
      <x:c r="B218" s="48" t="str">
        <x:v>Ice Class Regulations and the Application Thereof</x:v>
      </x:c>
      <x:c r="C218" s="47" t="str">
        <x:v>TRAFICOM/68863/03.04.01.00/2021</x:v>
      </x:c>
      <x:c r="D218" s="59" t="n">
        <x:v>11</x:v>
      </x:c>
      <x:c r="E218" s="47" t="str">
        <x:v>3.2.4</x:v>
      </x:c>
      <x:c r="F218" s="47" t="str">
        <x:v>Complex</x:v>
      </x:c>
      <x:c r="G218" s="48" t="str">
        <x:v>Stage 2 candidate - complex readiness</x:v>
      </x:c>
      <x:c r="H218" s="47" t="str">
        <x:v>Complex readiness</x:v>
      </x:c>
      <x:c r="I218" s="47" t="str">
        <x:v>No</x:v>
      </x:c>
      <x:c r="J218" s="47" t="str">
        <x:v>ELIGIBLE</x:v>
      </x:c>
      <x:c r="K218" s="47" t="str">
        <x:v>NOT_RUN</x:v>
      </x:c>
    </x:row>
    <x:row r="219">
      <x:c r="A219" s="47" t="str">
        <x:v>TRF-027</x:v>
      </x:c>
      <x:c r="B219" s="48" t="str">
        <x:v>Ice Class Regulations and the Application Thereof</x:v>
      </x:c>
      <x:c r="C219" s="47" t="str">
        <x:v>TRAFICOM/68863/03.04.01.00/2021</x:v>
      </x:c>
      <x:c r="D219" s="59" t="n">
        <x:v>11</x:v>
      </x:c>
      <x:c r="E219" s="47" t="str">
        <x:v>3.2.4</x:v>
      </x:c>
      <x:c r="F219" s="47" t="str">
        <x:v>Static Calculation</x:v>
      </x:c>
      <x:c r="G219" s="48" t="str">
        <x:v>Stage 2 candidate - direct/deterministic</x:v>
      </x:c>
      <x:c r="H219" s="47" t="str">
        <x:v>Medium</x:v>
      </x:c>
      <x:c r="I219" s="47" t="str">
        <x:v>No</x:v>
      </x:c>
      <x:c r="J219" s="47" t="str">
        <x:v>ELIGIBLE</x:v>
      </x:c>
      <x:c r="K219" s="47" t="str">
        <x:v>NOT_RUN</x:v>
      </x:c>
    </x:row>
    <x:row r="220">
      <x:c r="A220" s="47" t="str">
        <x:v>TRF-028</x:v>
      </x:c>
      <x:c r="B220" s="48" t="str">
        <x:v>Ice Class Regulations and the Application Thereof</x:v>
      </x:c>
      <x:c r="C220" s="47" t="str">
        <x:v>TRAFICOM/68863/03.04.01.00/2021</x:v>
      </x:c>
      <x:c r="D220" s="59" t="n">
        <x:v>11</x:v>
      </x:c>
      <x:c r="E220" s="47" t="str">
        <x:v>3.2.5</x:v>
      </x:c>
      <x:c r="F220" s="47" t="str">
        <x:v>Complex</x:v>
      </x:c>
      <x:c r="G220" s="48" t="str">
        <x:v>Stage 2 candidate - complex readiness</x:v>
      </x:c>
      <x:c r="H220" s="47" t="str">
        <x:v>Complex readiness</x:v>
      </x:c>
      <x:c r="I220" s="47" t="str">
        <x:v>No</x:v>
      </x:c>
      <x:c r="J220" s="47" t="str">
        <x:v>ELIGIBLE</x:v>
      </x:c>
      <x:c r="K220" s="47" t="str">
        <x:v>NOT_RUN</x:v>
      </x:c>
    </x:row>
    <x:row r="221">
      <x:c r="A221" s="47" t="str">
        <x:v>TRF-029</x:v>
      </x:c>
      <x:c r="B221" s="48" t="str">
        <x:v>Ice Class Regulations and the Application Thereof</x:v>
      </x:c>
      <x:c r="C221" s="47" t="str">
        <x:v>TRAFICOM/68863/03.04.01.00/2021</x:v>
      </x:c>
      <x:c r="D221" s="59" t="n">
        <x:v>12</x:v>
      </x:c>
      <x:c r="E221" s="47" t="str">
        <x:v>4.1</x:v>
      </x:c>
      <x:c r="F221" s="47" t="str">
        <x:v>Static</x:v>
      </x:c>
      <x:c r="G221" s="48" t="str">
        <x:v>Stage 2 candidate - direct static</x:v>
      </x:c>
      <x:c r="H221" s="47" t="str">
        <x:v>Direct static</x:v>
      </x:c>
      <x:c r="I221" s="47" t="str">
        <x:v>No</x:v>
      </x:c>
      <x:c r="J221" s="47" t="str">
        <x:v>ELIGIBLE</x:v>
      </x:c>
      <x:c r="K221" s="47" t="str">
        <x:v>NOT_RUN</x:v>
      </x:c>
    </x:row>
    <x:row r="222">
      <x:c r="A222" s="47" t="str">
        <x:v>TRF-030</x:v>
      </x:c>
      <x:c r="B222" s="48" t="str">
        <x:v>Ice Class Regulations and the Application Thereof</x:v>
      </x:c>
      <x:c r="C222" s="47" t="str">
        <x:v>TRAFICOM/68863/03.04.01.00/2021</x:v>
      </x:c>
      <x:c r="D222" s="59" t="n">
        <x:v>12</x:v>
      </x:c>
      <x:c r="E222" s="47" t="str">
        <x:v>4.1</x:v>
      </x:c>
      <x:c r="F222" s="47" t="str">
        <x:v>Complex</x:v>
      </x:c>
      <x:c r="G222" s="48" t="str">
        <x:v>Stage 2 candidate - complex readiness</x:v>
      </x:c>
      <x:c r="H222" s="47" t="str">
        <x:v>Complex readiness</x:v>
      </x:c>
      <x:c r="I222" s="47" t="str">
        <x:v>No</x:v>
      </x:c>
      <x:c r="J222" s="47" t="str">
        <x:v>ELIGIBLE</x:v>
      </x:c>
      <x:c r="K222" s="47" t="str">
        <x:v>NOT_RUN</x:v>
      </x:c>
    </x:row>
    <x:row r="223">
      <x:c r="A223" s="47" t="str">
        <x:v>TRF-031</x:v>
      </x:c>
      <x:c r="B223" s="48" t="str">
        <x:v>Ice Class Regulations and the Application Thereof</x:v>
      </x:c>
      <x:c r="C223" s="47" t="str">
        <x:v>TRAFICOM/68863/03.04.01.00/2021</x:v>
      </x:c>
      <x:c r="D223" s="59" t="n">
        <x:v>12</x:v>
      </x:c>
      <x:c r="E223" s="47" t="str">
        <x:v>4.1</x:v>
      </x:c>
      <x:c r="F223" s="47" t="str">
        <x:v>Static Calculation</x:v>
      </x:c>
      <x:c r="G223" s="48" t="str">
        <x:v>Stage 2 candidate - direct/deterministic</x:v>
      </x:c>
      <x:c r="H223" s="47" t="str">
        <x:v>Medium</x:v>
      </x:c>
      <x:c r="I223" s="47" t="str">
        <x:v>No</x:v>
      </x:c>
      <x:c r="J223" s="47" t="str">
        <x:v>ELIGIBLE</x:v>
      </x:c>
      <x:c r="K223" s="47" t="str">
        <x:v>NOT_RUN</x:v>
      </x:c>
    </x:row>
    <x:row r="224">
      <x:c r="A224" s="47" t="str">
        <x:v>TRF-032</x:v>
      </x:c>
      <x:c r="B224" s="48" t="str">
        <x:v>Ice Class Regulations and the Application Thereof</x:v>
      </x:c>
      <x:c r="C224" s="47" t="str">
        <x:v>TRAFICOM/68863/03.04.01.00/2021</x:v>
      </x:c>
      <x:c r="D224" s="59" t="n">
        <x:v>12</x:v>
      </x:c>
      <x:c r="E224" s="47" t="str">
        <x:v>4.1</x:v>
      </x:c>
      <x:c r="F224" s="47" t="str">
        <x:v>Static</x:v>
      </x:c>
      <x:c r="G224" s="48" t="str">
        <x:v>Stage 2 candidate - direct/deterministic</x:v>
      </x:c>
      <x:c r="H224" s="47" t="str">
        <x:v>Medium</x:v>
      </x:c>
      <x:c r="I224" s="47" t="str">
        <x:v>No</x:v>
      </x:c>
      <x:c r="J224" s="47" t="str">
        <x:v>ELIGIBLE</x:v>
      </x:c>
      <x:c r="K224" s="47" t="str">
        <x:v>NOT_RUN</x:v>
      </x:c>
    </x:row>
    <x:row r="225">
      <x:c r="A225" s="47" t="str">
        <x:v>TRF-034</x:v>
      </x:c>
      <x:c r="B225" s="48" t="str">
        <x:v>Ice Class Regulations and the Application Thereof</x:v>
      </x:c>
      <x:c r="C225" s="47" t="str">
        <x:v>TRAFICOM/68863/03.04.01.00/2021</x:v>
      </x:c>
      <x:c r="D225" s="59" t="n">
        <x:v>13</x:v>
      </x:c>
      <x:c r="E225" s="47" t="str">
        <x:v>4.1</x:v>
      </x:c>
      <x:c r="F225" s="47" t="str">
        <x:v>Complex</x:v>
      </x:c>
      <x:c r="G225" s="48" t="str">
        <x:v>Stage 2 candidate - complex readiness</x:v>
      </x:c>
      <x:c r="H225" s="47" t="str">
        <x:v>Complex readiness</x:v>
      </x:c>
      <x:c r="I225" s="47" t="str">
        <x:v>No</x:v>
      </x:c>
      <x:c r="J225" s="47" t="str">
        <x:v>ELIGIBLE</x:v>
      </x:c>
      <x:c r="K225" s="47" t="str">
        <x:v>NOT_RUN</x:v>
      </x:c>
    </x:row>
    <x:row r="226">
      <x:c r="A226" s="47" t="str">
        <x:v>TRF-035</x:v>
      </x:c>
      <x:c r="B226" s="48" t="str">
        <x:v>Ice Class Regulations and the Application Thereof</x:v>
      </x:c>
      <x:c r="C226" s="47" t="str">
        <x:v>TRAFICOM/68863/03.04.01.00/2021</x:v>
      </x:c>
      <x:c r="D226" s="59" t="n">
        <x:v>13</x:v>
      </x:c>
      <x:c r="E226" s="47" t="str">
        <x:v>4.1.1</x:v>
      </x:c>
      <x:c r="F226" s="47" t="str">
        <x:v>Static</x:v>
      </x:c>
      <x:c r="G226" s="48" t="str">
        <x:v>Stage 2 candidate - direct/deterministic</x:v>
      </x:c>
      <x:c r="H226" s="47" t="str">
        <x:v>Medium</x:v>
      </x:c>
      <x:c r="I226" s="47" t="str">
        <x:v>No</x:v>
      </x:c>
      <x:c r="J226" s="47" t="str">
        <x:v>ELIGIBLE</x:v>
      </x:c>
      <x:c r="K226" s="47" t="str">
        <x:v>NOT_RUN</x:v>
      </x:c>
    </x:row>
    <x:row r="227">
      <x:c r="A227" s="47" t="str">
        <x:v>TRF-036</x:v>
      </x:c>
      <x:c r="B227" s="48" t="str">
        <x:v>Ice Class Regulations and the Application Thereof</x:v>
      </x:c>
      <x:c r="C227" s="47" t="str">
        <x:v>TRAFICOM/68863/03.04.01.00/2021</x:v>
      </x:c>
      <x:c r="D227" s="59" t="n">
        <x:v>14</x:v>
      </x:c>
      <x:c r="E227" s="47" t="str">
        <x:v>4.2.1</x:v>
      </x:c>
      <x:c r="F227" s="47" t="str">
        <x:v>Static</x:v>
      </x:c>
      <x:c r="G227" s="48" t="str">
        <x:v>Stage 2 candidate - direct static</x:v>
      </x:c>
      <x:c r="H227" s="47" t="str">
        <x:v>Direct static</x:v>
      </x:c>
      <x:c r="I227" s="47" t="str">
        <x:v>No</x:v>
      </x:c>
      <x:c r="J227" s="47" t="str">
        <x:v>ELIGIBLE</x:v>
      </x:c>
      <x:c r="K227" s="47" t="str">
        <x:v>NOT_RUN</x:v>
      </x:c>
    </x:row>
    <x:row r="228">
      <x:c r="A228" s="47" t="str">
        <x:v>TRF-037</x:v>
      </x:c>
      <x:c r="B228" s="48" t="str">
        <x:v>Ice Class Regulations and the Application Thereof</x:v>
      </x:c>
      <x:c r="C228" s="47" t="str">
        <x:v>TRAFICOM/68863/03.04.01.00/2021</x:v>
      </x:c>
      <x:c r="D228" s="59" t="n">
        <x:v>14</x:v>
      </x:c>
      <x:c r="E228" s="47" t="str">
        <x:v>4.2.2</x:v>
      </x:c>
      <x:c r="F228" s="47" t="str">
        <x:v>Static Calculation</x:v>
      </x:c>
      <x:c r="G228" s="48" t="str">
        <x:v>Stage 2 candidate - direct/deterministic</x:v>
      </x:c>
      <x:c r="H228" s="47" t="str">
        <x:v>Medium</x:v>
      </x:c>
      <x:c r="I228" s="47" t="str">
        <x:v>No</x:v>
      </x:c>
      <x:c r="J228" s="47" t="str">
        <x:v>ELIGIBLE</x:v>
      </x:c>
      <x:c r="K228" s="47" t="str">
        <x:v>NOT_RUN</x:v>
      </x:c>
    </x:row>
    <x:row r="229">
      <x:c r="A229" s="47" t="str">
        <x:v>TRF-039</x:v>
      </x:c>
      <x:c r="B229" s="48" t="str">
        <x:v>Ice Class Regulations and the Application Thereof</x:v>
      </x:c>
      <x:c r="C229" s="47" t="str">
        <x:v>TRAFICOM/68863/03.04.01.00/2021</x:v>
      </x:c>
      <x:c r="D229" s="59" t="n">
        <x:v>15</x:v>
      </x:c>
      <x:c r="E229" s="47" t="str">
        <x:v>4.2.2</x:v>
      </x:c>
      <x:c r="F229" s="47" t="str">
        <x:v>Static Calculation</x:v>
      </x:c>
      <x:c r="G229" s="48" t="str">
        <x:v>Deferred - existing vocabulary insufficient</x:v>
      </x:c>
      <x:c r="H229" s="47" t="str">
        <x:v>Deferred</x:v>
      </x:c>
      <x:c r="I229" s="47" t="str">
        <x:v>No</x:v>
      </x:c>
      <x:c r="J229" s="47" t="str">
        <x:v>DEFERRED</x:v>
      </x:c>
      <x:c r="K229" s="47" t="str">
        <x:v>NOT_RUN</x:v>
      </x:c>
    </x:row>
    <x:row r="230">
      <x:c r="A230" s="47" t="str">
        <x:v>TRF-040</x:v>
      </x:c>
      <x:c r="B230" s="48" t="str">
        <x:v>Ice Class Regulations and the Application Thereof</x:v>
      </x:c>
      <x:c r="C230" s="47" t="str">
        <x:v>TRAFICOM/68863/03.04.01.00/2021</x:v>
      </x:c>
      <x:c r="D230" s="59" t="n">
        <x:v>16</x:v>
      </x:c>
      <x:c r="E230" s="47" t="str">
        <x:v>4.3.1</x:v>
      </x:c>
      <x:c r="F230" s="47" t="str">
        <x:v>Static</x:v>
      </x:c>
      <x:c r="G230" s="48" t="str">
        <x:v>Stage 2 candidate - direct static</x:v>
      </x:c>
      <x:c r="H230" s="47" t="str">
        <x:v>Direct static</x:v>
      </x:c>
      <x:c r="I230" s="47" t="str">
        <x:v>No</x:v>
      </x:c>
      <x:c r="J230" s="47" t="str">
        <x:v>ELIGIBLE</x:v>
      </x:c>
      <x:c r="K230" s="47" t="str">
        <x:v>NOT_RUN</x:v>
      </x:c>
    </x:row>
    <x:row r="231">
      <x:c r="A231" s="47" t="str">
        <x:v>TRF-041</x:v>
      </x:c>
      <x:c r="B231" s="48" t="str">
        <x:v>Ice Class Regulations and the Application Thereof</x:v>
      </x:c>
      <x:c r="C231" s="47" t="str">
        <x:v>TRAFICOM/68863/03.04.01.00/2021</x:v>
      </x:c>
      <x:c r="D231" s="59" t="n">
        <x:v>17</x:v>
      </x:c>
      <x:c r="E231" s="47" t="str">
        <x:v>4.3.2</x:v>
      </x:c>
      <x:c r="F231" s="47" t="str">
        <x:v>Complex</x:v>
      </x:c>
      <x:c r="G231" s="48" t="str">
        <x:v>Stage 2 candidate - complex readiness</x:v>
      </x:c>
      <x:c r="H231" s="47" t="str">
        <x:v>Complex readiness</x:v>
      </x:c>
      <x:c r="I231" s="47" t="str">
        <x:v>No</x:v>
      </x:c>
      <x:c r="J231" s="47" t="str">
        <x:v>ELIGIBLE</x:v>
      </x:c>
      <x:c r="K231" s="47" t="str">
        <x:v>NOT_RUN</x:v>
      </x:c>
    </x:row>
    <x:row r="232">
      <x:c r="A232" s="47" t="str">
        <x:v>TRF-042</x:v>
      </x:c>
      <x:c r="B232" s="48" t="str">
        <x:v>Ice Class Regulations and the Application Thereof</x:v>
      </x:c>
      <x:c r="C232" s="47" t="str">
        <x:v>TRAFICOM/68863/03.04.01.00/2021</x:v>
      </x:c>
      <x:c r="D232" s="59" t="n">
        <x:v>17</x:v>
      </x:c>
      <x:c r="E232" s="47" t="str">
        <x:v>4.3.2</x:v>
      </x:c>
      <x:c r="F232" s="47" t="str">
        <x:v>Static Calculation</x:v>
      </x:c>
      <x:c r="G232" s="48" t="str">
        <x:v>Stage 2 candidate - direct/deterministic</x:v>
      </x:c>
      <x:c r="H232" s="47" t="str">
        <x:v>Medium</x:v>
      </x:c>
      <x:c r="I232" s="47" t="str">
        <x:v>No</x:v>
      </x:c>
      <x:c r="J232" s="47" t="str">
        <x:v>ELIGIBLE</x:v>
      </x:c>
      <x:c r="K232" s="47" t="str">
        <x:v>NOT_RUN</x:v>
      </x:c>
    </x:row>
    <x:row r="233">
      <x:c r="A233" s="47" t="str">
        <x:v>TRF-043</x:v>
      </x:c>
      <x:c r="B233" s="48" t="str">
        <x:v>Ice Class Regulations and the Application Thereof</x:v>
      </x:c>
      <x:c r="C233" s="47" t="str">
        <x:v>TRAFICOM/68863/03.04.01.00/2021</x:v>
      </x:c>
      <x:c r="D233" s="59" t="n">
        <x:v>18</x:v>
      </x:c>
      <x:c r="E233" s="47" t="str">
        <x:v>4.4.1</x:v>
      </x:c>
      <x:c r="F233" s="47" t="str">
        <x:v>Static</x:v>
      </x:c>
      <x:c r="G233" s="48" t="str">
        <x:v>Stage 2 candidate - direct/deterministic</x:v>
      </x:c>
      <x:c r="H233" s="47" t="str">
        <x:v>Medium</x:v>
      </x:c>
      <x:c r="I233" s="47" t="str">
        <x:v>No</x:v>
      </x:c>
      <x:c r="J233" s="47" t="str">
        <x:v>ELIGIBLE</x:v>
      </x:c>
      <x:c r="K233" s="47" t="str">
        <x:v>NOT_RUN</x:v>
      </x:c>
    </x:row>
    <x:row r="234">
      <x:c r="A234" s="47" t="str">
        <x:v>TRF-044</x:v>
      </x:c>
      <x:c r="B234" s="48" t="str">
        <x:v>Ice Class Regulations and the Application Thereof</x:v>
      </x:c>
      <x:c r="C234" s="47" t="str">
        <x:v>TRAFICOM/68863/03.04.01.00/2021</x:v>
      </x:c>
      <x:c r="D234" s="59" t="str">
        <x:v>18-19</x:v>
      </x:c>
      <x:c r="E234" s="47" t="str">
        <x:v>4.4.2.1</x:v>
      </x:c>
      <x:c r="F234" s="47" t="str">
        <x:v>Static Calculation</x:v>
      </x:c>
      <x:c r="G234" s="48" t="str">
        <x:v>Stage 2 candidate - direct/deterministic</x:v>
      </x:c>
      <x:c r="H234" s="47" t="str">
        <x:v>Medium</x:v>
      </x:c>
      <x:c r="I234" s="47" t="str">
        <x:v>No</x:v>
      </x:c>
      <x:c r="J234" s="47" t="str">
        <x:v>ELIGIBLE</x:v>
      </x:c>
      <x:c r="K234" s="47" t="str">
        <x:v>NOT_RUN</x:v>
      </x:c>
    </x:row>
    <x:row r="235">
      <x:c r="A235" s="47" t="str">
        <x:v>TRF-045</x:v>
      </x:c>
      <x:c r="B235" s="48" t="str">
        <x:v>Ice Class Regulations and the Application Thereof</x:v>
      </x:c>
      <x:c r="C235" s="47" t="str">
        <x:v>TRAFICOM/68863/03.04.01.00/2021</x:v>
      </x:c>
      <x:c r="D235" s="59" t="n">
        <x:v>19</x:v>
      </x:c>
      <x:c r="E235" s="47" t="str">
        <x:v>4.4.2.1</x:v>
      </x:c>
      <x:c r="F235" s="47" t="str">
        <x:v>Static</x:v>
      </x:c>
      <x:c r="G235" s="48" t="str">
        <x:v>Stage 2 candidate - direct/deterministic</x:v>
      </x:c>
      <x:c r="H235" s="47" t="str">
        <x:v>High</x:v>
      </x:c>
      <x:c r="I235" s="47" t="str">
        <x:v>No</x:v>
      </x:c>
      <x:c r="J235" s="47" t="str">
        <x:v>ELIGIBLE</x:v>
      </x:c>
      <x:c r="K235" s="47" t="str">
        <x:v>NOT_RUN</x:v>
      </x:c>
    </x:row>
    <x:row r="236">
      <x:c r="A236" s="47" t="str">
        <x:v>TRF-046</x:v>
      </x:c>
      <x:c r="B236" s="48" t="str">
        <x:v>Ice Class Regulations and the Application Thereof</x:v>
      </x:c>
      <x:c r="C236" s="47" t="str">
        <x:v>TRAFICOM/68863/03.04.01.00/2021</x:v>
      </x:c>
      <x:c r="D236" s="59" t="n">
        <x:v>19</x:v>
      </x:c>
      <x:c r="E236" s="47" t="str">
        <x:v>4.4.2.2</x:v>
      </x:c>
      <x:c r="F236" s="47" t="str">
        <x:v>Static</x:v>
      </x:c>
      <x:c r="G236" s="48" t="str">
        <x:v>Stage 2 candidate - direct/deterministic</x:v>
      </x:c>
      <x:c r="H236" s="47" t="str">
        <x:v>Medium</x:v>
      </x:c>
      <x:c r="I236" s="47" t="str">
        <x:v>No</x:v>
      </x:c>
      <x:c r="J236" s="47" t="str">
        <x:v>ELIGIBLE</x:v>
      </x:c>
      <x:c r="K236" s="47" t="str">
        <x:v>NOT_RUN</x:v>
      </x:c>
    </x:row>
    <x:row r="237">
      <x:c r="A237" s="47" t="str">
        <x:v>TRF-047</x:v>
      </x:c>
      <x:c r="B237" s="48" t="str">
        <x:v>Ice Class Regulations and the Application Thereof</x:v>
      </x:c>
      <x:c r="C237" s="47" t="str">
        <x:v>TRAFICOM/68863/03.04.01.00/2021</x:v>
      </x:c>
      <x:c r="D237" s="59" t="n">
        <x:v>20</x:v>
      </x:c>
      <x:c r="E237" s="47" t="str">
        <x:v>4.4.2.3</x:v>
      </x:c>
      <x:c r="F237" s="47" t="str">
        <x:v>Static</x:v>
      </x:c>
      <x:c r="G237" s="48" t="str">
        <x:v>Stage 2 candidate - direct/deterministic</x:v>
      </x:c>
      <x:c r="H237" s="47" t="str">
        <x:v>High</x:v>
      </x:c>
      <x:c r="I237" s="47" t="str">
        <x:v>No</x:v>
      </x:c>
      <x:c r="J237" s="47" t="str">
        <x:v>ELIGIBLE</x:v>
      </x:c>
      <x:c r="K237" s="47" t="str">
        <x:v>NOT_RUN</x:v>
      </x:c>
    </x:row>
    <x:row r="238">
      <x:c r="A238" s="47" t="str">
        <x:v>TRF-048</x:v>
      </x:c>
      <x:c r="B238" s="48" t="str">
        <x:v>Ice Class Regulations and the Application Thereof</x:v>
      </x:c>
      <x:c r="C238" s="47" t="str">
        <x:v>TRAFICOM/68863/03.04.01.00/2021</x:v>
      </x:c>
      <x:c r="D238" s="59" t="n">
        <x:v>20</x:v>
      </x:c>
      <x:c r="E238" s="47" t="str">
        <x:v>4.4.3</x:v>
      </x:c>
      <x:c r="F238" s="47" t="str">
        <x:v>Static Calculation</x:v>
      </x:c>
      <x:c r="G238" s="48" t="str">
        <x:v>Stage 2 candidate - direct/deterministic</x:v>
      </x:c>
      <x:c r="H238" s="47" t="str">
        <x:v>High</x:v>
      </x:c>
      <x:c r="I238" s="47" t="str">
        <x:v>No</x:v>
      </x:c>
      <x:c r="J238" s="47" t="str">
        <x:v>ELIGIBLE</x:v>
      </x:c>
      <x:c r="K238" s="47" t="str">
        <x:v>NOT_RUN</x:v>
      </x:c>
    </x:row>
    <x:row r="239">
      <x:c r="A239" s="47" t="str">
        <x:v>TRF-049</x:v>
      </x:c>
      <x:c r="B239" s="48" t="str">
        <x:v>Ice Class Regulations and the Application Thereof</x:v>
      </x:c>
      <x:c r="C239" s="47" t="str">
        <x:v>TRAFICOM/68863/03.04.01.00/2021</x:v>
      </x:c>
      <x:c r="D239" s="59" t="n">
        <x:v>21</x:v>
      </x:c>
      <x:c r="E239" s="47" t="str">
        <x:v>4.4.4.1</x:v>
      </x:c>
      <x:c r="F239" s="47" t="str">
        <x:v>Static</x:v>
      </x:c>
      <x:c r="G239" s="48" t="str">
        <x:v>Stage 2 candidate - direct static</x:v>
      </x:c>
      <x:c r="H239" s="47" t="str">
        <x:v>Direct static</x:v>
      </x:c>
      <x:c r="I239" s="47" t="str">
        <x:v>No</x:v>
      </x:c>
      <x:c r="J239" s="47" t="str">
        <x:v>ELIGIBLE</x:v>
      </x:c>
      <x:c r="K239" s="47" t="str">
        <x:v>NOT_RUN</x:v>
      </x:c>
    </x:row>
    <x:row r="240">
      <x:c r="A240" s="47" t="str">
        <x:v>TRF-050</x:v>
      </x:c>
      <x:c r="B240" s="48" t="str">
        <x:v>Ice Class Regulations and the Application Thereof</x:v>
      </x:c>
      <x:c r="C240" s="47" t="str">
        <x:v>TRAFICOM/68863/03.04.01.00/2021</x:v>
      </x:c>
      <x:c r="D240" s="59" t="n">
        <x:v>21</x:v>
      </x:c>
      <x:c r="E240" s="47" t="str">
        <x:v>4.4.4.2</x:v>
      </x:c>
      <x:c r="F240" s="47" t="str">
        <x:v>Static</x:v>
      </x:c>
      <x:c r="G240" s="48" t="str">
        <x:v>Stage 2 candidate - direct/deterministic</x:v>
      </x:c>
      <x:c r="H240" s="47" t="str">
        <x:v>High</x:v>
      </x:c>
      <x:c r="I240" s="47" t="str">
        <x:v>No</x:v>
      </x:c>
      <x:c r="J240" s="47" t="str">
        <x:v>ELIGIBLE</x:v>
      </x:c>
      <x:c r="K240" s="47" t="str">
        <x:v>NOT_RUN</x:v>
      </x:c>
    </x:row>
    <x:row r="241">
      <x:c r="A241" s="47" t="str">
        <x:v>TRF-051</x:v>
      </x:c>
      <x:c r="B241" s="48" t="str">
        <x:v>Ice Class Regulations and the Application Thereof</x:v>
      </x:c>
      <x:c r="C241" s="47" t="str">
        <x:v>TRAFICOM/68863/03.04.01.00/2021</x:v>
      </x:c>
      <x:c r="D241" s="59" t="n">
        <x:v>21</x:v>
      </x:c>
      <x:c r="E241" s="47" t="str">
        <x:v>4.4.4.2</x:v>
      </x:c>
      <x:c r="F241" s="47" t="str">
        <x:v>Complex</x:v>
      </x:c>
      <x:c r="G241" s="48" t="str">
        <x:v>Stage 2 candidate - complex readiness</x:v>
      </x:c>
      <x:c r="H241" s="47" t="str">
        <x:v>Complex readiness</x:v>
      </x:c>
      <x:c r="I241" s="47" t="str">
        <x:v>No</x:v>
      </x:c>
      <x:c r="J241" s="47" t="str">
        <x:v>ELIGIBLE</x:v>
      </x:c>
      <x:c r="K241" s="47" t="str">
        <x:v>NOT_RUN</x:v>
      </x:c>
    </x:row>
    <x:row r="242">
      <x:c r="A242" s="47" t="str">
        <x:v>TRF-052</x:v>
      </x:c>
      <x:c r="B242" s="48" t="str">
        <x:v>Ice Class Regulations and the Application Thereof</x:v>
      </x:c>
      <x:c r="C242" s="47" t="str">
        <x:v>TRAFICOM/68863/03.04.01.00/2021</x:v>
      </x:c>
      <x:c r="D242" s="59" t="n">
        <x:v>21</x:v>
      </x:c>
      <x:c r="E242" s="47" t="str">
        <x:v>4.4.4.2</x:v>
      </x:c>
      <x:c r="F242" s="47" t="str">
        <x:v>Static</x:v>
      </x:c>
      <x:c r="G242" s="48" t="str">
        <x:v>Stage 2 candidate - direct/deterministic</x:v>
      </x:c>
      <x:c r="H242" s="47" t="str">
        <x:v>High</x:v>
      </x:c>
      <x:c r="I242" s="47" t="str">
        <x:v>No</x:v>
      </x:c>
      <x:c r="J242" s="47" t="str">
        <x:v>ELIGIBLE</x:v>
      </x:c>
      <x:c r="K242" s="47" t="str">
        <x:v>NOT_RUN</x:v>
      </x:c>
    </x:row>
    <x:row r="243">
      <x:c r="A243" s="47" t="str">
        <x:v>TRF-053</x:v>
      </x:c>
      <x:c r="B243" s="48" t="str">
        <x:v>Ice Class Regulations and the Application Thereof</x:v>
      </x:c>
      <x:c r="C243" s="47" t="str">
        <x:v>TRAFICOM/68863/03.04.01.00/2021</x:v>
      </x:c>
      <x:c r="D243" s="59" t="str">
        <x:v>21-22</x:v>
      </x:c>
      <x:c r="E243" s="47" t="str">
        <x:v>4.5.1</x:v>
      </x:c>
      <x:c r="F243" s="47" t="str">
        <x:v>Static Calculation</x:v>
      </x:c>
      <x:c r="G243" s="48" t="str">
        <x:v>Stage 2 candidate - direct/deterministic</x:v>
      </x:c>
      <x:c r="H243" s="47" t="str">
        <x:v>High</x:v>
      </x:c>
      <x:c r="I243" s="47" t="str">
        <x:v>No</x:v>
      </x:c>
      <x:c r="J243" s="47" t="str">
        <x:v>ELIGIBLE</x:v>
      </x:c>
      <x:c r="K243" s="47" t="str">
        <x:v>NOT_RUN</x:v>
      </x:c>
    </x:row>
    <x:row r="244">
      <x:c r="A244" s="47" t="str">
        <x:v>TRF-054</x:v>
      </x:c>
      <x:c r="B244" s="48" t="str">
        <x:v>Ice Class Regulations and the Application Thereof</x:v>
      </x:c>
      <x:c r="C244" s="47" t="str">
        <x:v>TRAFICOM/68863/03.04.01.00/2021</x:v>
      </x:c>
      <x:c r="D244" s="59" t="str">
        <x:v>22-23</x:v>
      </x:c>
      <x:c r="E244" s="47" t="str">
        <x:v>4.5.2</x:v>
      </x:c>
      <x:c r="F244" s="47" t="str">
        <x:v>Static Calculation</x:v>
      </x:c>
      <x:c r="G244" s="48" t="str">
        <x:v>Stage 2 candidate - direct/deterministic</x:v>
      </x:c>
      <x:c r="H244" s="47" t="str">
        <x:v>High</x:v>
      </x:c>
      <x:c r="I244" s="47" t="str">
        <x:v>No</x:v>
      </x:c>
      <x:c r="J244" s="47" t="str">
        <x:v>ELIGIBLE</x:v>
      </x:c>
      <x:c r="K244" s="47" t="str">
        <x:v>NOT_RUN</x:v>
      </x:c>
    </x:row>
    <x:row r="245">
      <x:c r="A245" s="47" t="str">
        <x:v>TRF-055</x:v>
      </x:c>
      <x:c r="B245" s="48" t="str">
        <x:v>Ice Class Regulations and the Application Thereof</x:v>
      </x:c>
      <x:c r="C245" s="47" t="str">
        <x:v>TRAFICOM/68863/03.04.01.00/2021</x:v>
      </x:c>
      <x:c r="D245" s="59" t="n">
        <x:v>23</x:v>
      </x:c>
      <x:c r="E245" s="47" t="str">
        <x:v>4.5.3</x:v>
      </x:c>
      <x:c r="F245" s="47" t="str">
        <x:v>Static</x:v>
      </x:c>
      <x:c r="G245" s="48" t="str">
        <x:v>Stage 2 candidate - direct/deterministic static verification</x:v>
      </x:c>
      <x:c r="H245" s="47" t="str">
        <x:v>Medium</x:v>
      </x:c>
      <x:c r="I245" s="47" t="str">
        <x:v>No</x:v>
      </x:c>
      <x:c r="J245" s="47" t="str">
        <x:v>ELIGIBLE</x:v>
      </x:c>
      <x:c r="K245" s="47" t="str">
        <x:v>NOT_RUN</x:v>
      </x:c>
    </x:row>
    <x:row r="246">
      <x:c r="A246" s="47" t="str">
        <x:v>TRF-056</x:v>
      </x:c>
      <x:c r="B246" s="48" t="str">
        <x:v>Ice Class Regulations and the Application Thereof</x:v>
      </x:c>
      <x:c r="C246" s="47" t="str">
        <x:v>TRAFICOM/68863/03.04.01.00/2021</x:v>
      </x:c>
      <x:c r="D246" s="59" t="n">
        <x:v>23</x:v>
      </x:c>
      <x:c r="E246" s="47" t="str">
        <x:v>4.5.3</x:v>
      </x:c>
      <x:c r="F246" s="47" t="str">
        <x:v>Static</x:v>
      </x:c>
      <x:c r="G246" s="48" t="str">
        <x:v>Stage 2 candidate - direct static</x:v>
      </x:c>
      <x:c r="H246" s="47" t="str">
        <x:v>Direct static</x:v>
      </x:c>
      <x:c r="I246" s="47" t="str">
        <x:v>No</x:v>
      </x:c>
      <x:c r="J246" s="47" t="str">
        <x:v>ELIGIBLE</x:v>
      </x:c>
      <x:c r="K246" s="47" t="str">
        <x:v>NOT_RUN</x:v>
      </x:c>
    </x:row>
    <x:row r="247">
      <x:c r="A247" s="47" t="str">
        <x:v>TRF-057</x:v>
      </x:c>
      <x:c r="B247" s="48" t="str">
        <x:v>Ice Class Regulations and the Application Thereof</x:v>
      </x:c>
      <x:c r="C247" s="47" t="str">
        <x:v>TRAFICOM/68863/03.04.01.00/2021</x:v>
      </x:c>
      <x:c r="D247" s="59" t="n">
        <x:v>23</x:v>
      </x:c>
      <x:c r="E247" s="47" t="str">
        <x:v>4.6.1</x:v>
      </x:c>
      <x:c r="F247" s="47" t="str">
        <x:v>Static Calculation</x:v>
      </x:c>
      <x:c r="G247" s="48" t="str">
        <x:v>Stage 2 candidate - direct/deterministic</x:v>
      </x:c>
      <x:c r="H247" s="47" t="str">
        <x:v>Medium</x:v>
      </x:c>
      <x:c r="I247" s="47" t="str">
        <x:v>No</x:v>
      </x:c>
      <x:c r="J247" s="47" t="str">
        <x:v>ELIGIBLE</x:v>
      </x:c>
      <x:c r="K247" s="47" t="str">
        <x:v>NOT_RUN</x:v>
      </x:c>
    </x:row>
    <x:row r="248">
      <x:c r="A248" s="47" t="str">
        <x:v>TRF-058</x:v>
      </x:c>
      <x:c r="B248" s="48" t="str">
        <x:v>Ice Class Regulations and the Application Thereof</x:v>
      </x:c>
      <x:c r="C248" s="47" t="str">
        <x:v>TRAFICOM/68863/03.04.01.00/2021</x:v>
      </x:c>
      <x:c r="D248" s="59" t="n">
        <x:v>23</x:v>
      </x:c>
      <x:c r="E248" s="47" t="str">
        <x:v>4.6.1</x:v>
      </x:c>
      <x:c r="F248" s="47" t="str">
        <x:v>Static Calculation</x:v>
      </x:c>
      <x:c r="G248" s="48" t="str">
        <x:v>Stage 2 candidate - direct/deterministic</x:v>
      </x:c>
      <x:c r="H248" s="47" t="str">
        <x:v>High</x:v>
      </x:c>
      <x:c r="I248" s="47" t="str">
        <x:v>No</x:v>
      </x:c>
      <x:c r="J248" s="47" t="str">
        <x:v>ELIGIBLE</x:v>
      </x:c>
      <x:c r="K248" s="47" t="str">
        <x:v>NOT_RUN</x:v>
      </x:c>
    </x:row>
    <x:row r="249">
      <x:c r="A249" s="47" t="str">
        <x:v>TRF-059</x:v>
      </x:c>
      <x:c r="B249" s="48" t="str">
        <x:v>Ice Class Regulations and the Application Thereof</x:v>
      </x:c>
      <x:c r="C249" s="47" t="str">
        <x:v>TRAFICOM/68863/03.04.01.00/2021</x:v>
      </x:c>
      <x:c r="D249" s="59" t="n">
        <x:v>23</x:v>
      </x:c>
      <x:c r="E249" s="47" t="str">
        <x:v>4.6.2</x:v>
      </x:c>
      <x:c r="F249" s="47" t="str">
        <x:v>Static Calculation</x:v>
      </x:c>
      <x:c r="G249" s="48" t="str">
        <x:v>Stage 2 candidate - direct/deterministic</x:v>
      </x:c>
      <x:c r="H249" s="47" t="str">
        <x:v>High</x:v>
      </x:c>
      <x:c r="I249" s="47" t="str">
        <x:v>No</x:v>
      </x:c>
      <x:c r="J249" s="47" t="str">
        <x:v>ELIGIBLE</x:v>
      </x:c>
      <x:c r="K249" s="47" t="str">
        <x:v>NOT_RUN</x:v>
      </x:c>
    </x:row>
    <x:row r="250">
      <x:c r="A250" s="47" t="str">
        <x:v>TRF-060</x:v>
      </x:c>
      <x:c r="B250" s="48" t="str">
        <x:v>Ice Class Regulations and the Application Thereof</x:v>
      </x:c>
      <x:c r="C250" s="47" t="str">
        <x:v>TRAFICOM/68863/03.04.01.00/2021</x:v>
      </x:c>
      <x:c r="D250" s="59" t="n">
        <x:v>24</x:v>
      </x:c>
      <x:c r="E250" s="47" t="str">
        <x:v>4.6.2</x:v>
      </x:c>
      <x:c r="F250" s="47" t="str">
        <x:v>Complex</x:v>
      </x:c>
      <x:c r="G250" s="48" t="str">
        <x:v>Stage 2 candidate - complex readiness</x:v>
      </x:c>
      <x:c r="H250" s="47" t="str">
        <x:v>Complex readiness</x:v>
      </x:c>
      <x:c r="I250" s="47" t="str">
        <x:v>No</x:v>
      </x:c>
      <x:c r="J250" s="47" t="str">
        <x:v>ELIGIBLE</x:v>
      </x:c>
      <x:c r="K250" s="47" t="str">
        <x:v>NOT_RUN</x:v>
      </x:c>
    </x:row>
    <x:row r="251">
      <x:c r="A251" s="47" t="str">
        <x:v>TRF-061</x:v>
      </x:c>
      <x:c r="B251" s="48" t="str">
        <x:v>Ice Class Regulations and the Application Thereof</x:v>
      </x:c>
      <x:c r="C251" s="47" t="str">
        <x:v>TRAFICOM/68863/03.04.01.00/2021</x:v>
      </x:c>
      <x:c r="D251" s="59" t="n">
        <x:v>25</x:v>
      </x:c>
      <x:c r="E251" s="47" t="str">
        <x:v>4.7</x:v>
      </x:c>
      <x:c r="F251" s="47" t="str">
        <x:v>Complex</x:v>
      </x:c>
      <x:c r="G251" s="48" t="str">
        <x:v>Deferred - composite/evidence workflow review</x:v>
      </x:c>
      <x:c r="H251" s="47" t="str">
        <x:v>Medium</x:v>
      </x:c>
      <x:c r="I251" s="47" t="str">
        <x:v>No</x:v>
      </x:c>
      <x:c r="J251" s="47" t="str">
        <x:v>DEFERRED</x:v>
      </x:c>
      <x:c r="K251" s="47" t="str">
        <x:v>NOT_RUN</x:v>
      </x:c>
    </x:row>
    <x:row r="252">
      <x:c r="A252" s="47" t="str">
        <x:v>TRF-062</x:v>
      </x:c>
      <x:c r="B252" s="48" t="str">
        <x:v>Ice Class Regulations and the Application Thereof</x:v>
      </x:c>
      <x:c r="C252" s="47" t="str">
        <x:v>TRAFICOM/68863/03.04.01.00/2021</x:v>
      </x:c>
      <x:c r="D252" s="59" t="n">
        <x:v>25</x:v>
      </x:c>
      <x:c r="E252" s="47" t="str">
        <x:v>4.8</x:v>
      </x:c>
      <x:c r="F252" s="47" t="str">
        <x:v>Static</x:v>
      </x:c>
      <x:c r="G252" s="48" t="str">
        <x:v>Stage 2 candidate - direct/deterministic</x:v>
      </x:c>
      <x:c r="H252" s="47" t="str">
        <x:v>High</x:v>
      </x:c>
      <x:c r="I252" s="47" t="str">
        <x:v>No</x:v>
      </x:c>
      <x:c r="J252" s="47" t="str">
        <x:v>ELIGIBLE</x:v>
      </x:c>
      <x:c r="K252" s="47" t="str">
        <x:v>NOT_RUN</x:v>
      </x:c>
    </x:row>
    <x:row r="253">
      <x:c r="A253" s="47" t="str">
        <x:v>TRF-063</x:v>
      </x:c>
      <x:c r="B253" s="48" t="str">
        <x:v>Ice Class Regulations and the Application Thereof</x:v>
      </x:c>
      <x:c r="C253" s="47" t="str">
        <x:v>TRAFICOM/68863/03.04.01.00/2021</x:v>
      </x:c>
      <x:c r="D253" s="59" t="n">
        <x:v>25</x:v>
      </x:c>
      <x:c r="E253" s="47" t="str">
        <x:v>4.8</x:v>
      </x:c>
      <x:c r="F253" s="47" t="str">
        <x:v>Static</x:v>
      </x:c>
      <x:c r="G253" s="48" t="str">
        <x:v>Stage 2 candidate - direct/deterministic</x:v>
      </x:c>
      <x:c r="H253" s="47" t="str">
        <x:v>High</x:v>
      </x:c>
      <x:c r="I253" s="47" t="str">
        <x:v>No</x:v>
      </x:c>
      <x:c r="J253" s="47" t="str">
        <x:v>ELIGIBLE</x:v>
      </x:c>
      <x:c r="K253" s="47" t="str">
        <x:v>NOT_RUN</x:v>
      </x:c>
    </x:row>
    <x:row r="254">
      <x:c r="A254" s="47" t="str">
        <x:v>TRF-064</x:v>
      </x:c>
      <x:c r="B254" s="48" t="str">
        <x:v>Ice Class Regulations and the Application Thereof</x:v>
      </x:c>
      <x:c r="C254" s="47" t="str">
        <x:v>TRAFICOM/68863/03.04.01.00/2021</x:v>
      </x:c>
      <x:c r="D254" s="59" t="n">
        <x:v>26</x:v>
      </x:c>
      <x:c r="E254" s="47" t="str">
        <x:v>4.8</x:v>
      </x:c>
      <x:c r="F254" s="47" t="str">
        <x:v>Static</x:v>
      </x:c>
      <x:c r="G254" s="48" t="str">
        <x:v>Stage 2 candidate - direct/deterministic</x:v>
      </x:c>
      <x:c r="H254" s="47" t="str">
        <x:v>High</x:v>
      </x:c>
      <x:c r="I254" s="47" t="str">
        <x:v>No</x:v>
      </x:c>
      <x:c r="J254" s="47" t="str">
        <x:v>ELIGIBLE</x:v>
      </x:c>
      <x:c r="K254" s="47" t="str">
        <x:v>NOT_RUN</x:v>
      </x:c>
    </x:row>
    <x:row r="255">
      <x:c r="A255" s="47" t="str">
        <x:v>TRF-065</x:v>
      </x:c>
      <x:c r="B255" s="48" t="str">
        <x:v>Ice Class Regulations and the Application Thereof</x:v>
      </x:c>
      <x:c r="C255" s="47" t="str">
        <x:v>TRAFICOM/68863/03.04.01.00/2021</x:v>
      </x:c>
      <x:c r="D255" s="59" t="n">
        <x:v>26</x:v>
      </x:c>
      <x:c r="E255" s="47" t="str">
        <x:v>5</x:v>
      </x:c>
      <x:c r="F255" s="47" t="str">
        <x:v>Complex</x:v>
      </x:c>
      <x:c r="G255" s="48" t="str">
        <x:v>Deferred - composite/evidence workflow review</x:v>
      </x:c>
      <x:c r="H255" s="47" t="str">
        <x:v>Medium</x:v>
      </x:c>
      <x:c r="I255" s="47" t="str">
        <x:v>No</x:v>
      </x:c>
      <x:c r="J255" s="47" t="str">
        <x:v>DEFERRED</x:v>
      </x:c>
      <x:c r="K255" s="47" t="str">
        <x:v>NOT_RUN</x:v>
      </x:c>
    </x:row>
    <x:row r="256">
      <x:c r="A256" s="47" t="str">
        <x:v>TRF-066</x:v>
      </x:c>
      <x:c r="B256" s="48" t="str">
        <x:v>Ice Class Regulations and the Application Thereof</x:v>
      </x:c>
      <x:c r="C256" s="47" t="str">
        <x:v>TRAFICOM/68863/03.04.01.00/2021</x:v>
      </x:c>
      <x:c r="D256" s="59" t="n">
        <x:v>26</x:v>
      </x:c>
      <x:c r="E256" s="47" t="str">
        <x:v>5</x:v>
      </x:c>
      <x:c r="F256" s="47" t="str">
        <x:v>Static</x:v>
      </x:c>
      <x:c r="G256" s="48" t="str">
        <x:v>Stage 2 candidate - direct/deterministic</x:v>
      </x:c>
      <x:c r="H256" s="47" t="str">
        <x:v>High</x:v>
      </x:c>
      <x:c r="I256" s="47" t="str">
        <x:v>No</x:v>
      </x:c>
      <x:c r="J256" s="47" t="str">
        <x:v>ELIGIBLE</x:v>
      </x:c>
      <x:c r="K256" s="47" t="str">
        <x:v>NOT_RUN</x:v>
      </x:c>
    </x:row>
    <x:row r="257">
      <x:c r="A257" s="47" t="str">
        <x:v>TRF-067</x:v>
      </x:c>
      <x:c r="B257" s="48" t="str">
        <x:v>Ice Class Regulations and the Application Thereof</x:v>
      </x:c>
      <x:c r="C257" s="47" t="str">
        <x:v>TRAFICOM/68863/03.04.01.00/2021</x:v>
      </x:c>
      <x:c r="D257" s="59" t="n">
        <x:v>26</x:v>
      </x:c>
      <x:c r="E257" s="47" t="str">
        <x:v>5</x:v>
      </x:c>
      <x:c r="F257" s="47" t="str">
        <x:v>Static</x:v>
      </x:c>
      <x:c r="G257" s="48" t="str">
        <x:v>Stage 2 candidate - direct/deterministic</x:v>
      </x:c>
      <x:c r="H257" s="47" t="str">
        <x:v>High</x:v>
      </x:c>
      <x:c r="I257" s="47" t="str">
        <x:v>No</x:v>
      </x:c>
      <x:c r="J257" s="47" t="str">
        <x:v>ELIGIBLE</x:v>
      </x:c>
      <x:c r="K257" s="47" t="str">
        <x:v>NOT_RUN</x:v>
      </x:c>
    </x:row>
    <x:row r="258">
      <x:c r="A258" s="47" t="str">
        <x:v>TRF-068</x:v>
      </x:c>
      <x:c r="B258" s="48" t="str">
        <x:v>Ice Class Regulations and the Application Thereof</x:v>
      </x:c>
      <x:c r="C258" s="47" t="str">
        <x:v>TRAFICOM/68863/03.04.01.00/2021</x:v>
      </x:c>
      <x:c r="D258" s="59" t="n">
        <x:v>26</x:v>
      </x:c>
      <x:c r="E258" s="47" t="str">
        <x:v>5</x:v>
      </x:c>
      <x:c r="F258" s="47" t="str">
        <x:v>Complex</x:v>
      </x:c>
      <x:c r="G258" s="48" t="str">
        <x:v>Deferred - composite/evidence workflow review</x:v>
      </x:c>
      <x:c r="H258" s="47" t="str">
        <x:v>High</x:v>
      </x:c>
      <x:c r="I258" s="47" t="str">
        <x:v>No</x:v>
      </x:c>
      <x:c r="J258" s="47" t="str">
        <x:v>DEFERRED</x:v>
      </x:c>
      <x:c r="K258" s="47" t="str">
        <x:v>NOT_RUN</x:v>
      </x:c>
    </x:row>
    <x:row r="259">
      <x:c r="A259" s="47" t="str">
        <x:v>TRF-069</x:v>
      </x:c>
      <x:c r="B259" s="48" t="str">
        <x:v>Ice Class Regulations and the Application Thereof</x:v>
      </x:c>
      <x:c r="C259" s="47" t="str">
        <x:v>TRAFICOM/68863/03.04.01.00/2021</x:v>
      </x:c>
      <x:c r="D259" s="59" t="n">
        <x:v>26</x:v>
      </x:c>
      <x:c r="E259" s="47" t="str">
        <x:v>6.1</x:v>
      </x:c>
      <x:c r="F259" s="47" t="str">
        <x:v>Static</x:v>
      </x:c>
      <x:c r="G259" s="48" t="str">
        <x:v>Stage 2 candidate - direct/deterministic</x:v>
      </x:c>
      <x:c r="H259" s="47" t="str">
        <x:v>High</x:v>
      </x:c>
      <x:c r="I259" s="47" t="str">
        <x:v>No</x:v>
      </x:c>
      <x:c r="J259" s="47" t="str">
        <x:v>ELIGIBLE</x:v>
      </x:c>
      <x:c r="K259" s="47" t="str">
        <x:v>NOT_RUN</x:v>
      </x:c>
    </x:row>
    <x:row r="260">
      <x:c r="A260" s="47" t="str">
        <x:v>TRF-070</x:v>
      </x:c>
      <x:c r="B260" s="48" t="str">
        <x:v>Ice Class Regulations and the Application Thereof</x:v>
      </x:c>
      <x:c r="C260" s="47" t="str">
        <x:v>TRAFICOM/68863/03.04.01.00/2021</x:v>
      </x:c>
      <x:c r="D260" s="59" t="str">
        <x:v>26-27</x:v>
      </x:c>
      <x:c r="E260" s="47" t="str">
        <x:v>6.1</x:v>
      </x:c>
      <x:c r="F260" s="47" t="str">
        <x:v>Complex</x:v>
      </x:c>
      <x:c r="G260" s="48" t="str">
        <x:v>Stage 2 candidate - complex readiness</x:v>
      </x:c>
      <x:c r="H260" s="47" t="str">
        <x:v>Complex readiness</x:v>
      </x:c>
      <x:c r="I260" s="47" t="str">
        <x:v>No</x:v>
      </x:c>
      <x:c r="J260" s="47" t="str">
        <x:v>ELIGIBLE</x:v>
      </x:c>
      <x:c r="K260" s="47" t="str">
        <x:v>NOT_RUN</x:v>
      </x:c>
    </x:row>
    <x:row r="261">
      <x:c r="A261" s="47" t="str">
        <x:v>TRF-072</x:v>
      </x:c>
      <x:c r="B261" s="48" t="str">
        <x:v>Ice Class Regulations and the Application Thereof</x:v>
      </x:c>
      <x:c r="C261" s="47" t="str">
        <x:v>TRAFICOM/68863/03.04.01.00/2021</x:v>
      </x:c>
      <x:c r="D261" s="59" t="n">
        <x:v>31</x:v>
      </x:c>
      <x:c r="E261" s="47" t="str">
        <x:v>6.4.1</x:v>
      </x:c>
      <x:c r="F261" s="47" t="str">
        <x:v>Physical Test</x:v>
      </x:c>
      <x:c r="G261" s="48" t="str">
        <x:v>Evidence-only - physical result not inferred by SHACL</x:v>
      </x:c>
      <x:c r="H261" s="47" t="str">
        <x:v>High</x:v>
      </x:c>
      <x:c r="I261" s="47" t="str">
        <x:v>No</x:v>
      </x:c>
      <x:c r="J261" s="47" t="str">
        <x:v>DEFERRED</x:v>
      </x:c>
      <x:c r="K261" s="47" t="str">
        <x:v>NOT_RUN</x:v>
      </x:c>
    </x:row>
    <x:row r="262">
      <x:c r="A262" s="47" t="str">
        <x:v>TRF-073</x:v>
      </x:c>
      <x:c r="B262" s="48" t="str">
        <x:v>Ice Class Regulations and the Application Thereof</x:v>
      </x:c>
      <x:c r="C262" s="47" t="str">
        <x:v>TRAFICOM/68863/03.04.01.00/2021</x:v>
      </x:c>
      <x:c r="D262" s="59" t="n">
        <x:v>31</x:v>
      </x:c>
      <x:c r="E262" s="47" t="str">
        <x:v>6.4.2</x:v>
      </x:c>
      <x:c r="F262" s="47" t="str">
        <x:v>Physical Test</x:v>
      </x:c>
      <x:c r="G262" s="48" t="str">
        <x:v>Evidence-only - physical result not inferred by SHACL</x:v>
      </x:c>
      <x:c r="H262" s="47" t="str">
        <x:v>High</x:v>
      </x:c>
      <x:c r="I262" s="47" t="str">
        <x:v>No</x:v>
      </x:c>
      <x:c r="J262" s="47" t="str">
        <x:v>DEFERRED</x:v>
      </x:c>
      <x:c r="K262" s="47" t="str">
        <x:v>NOT_RUN</x:v>
      </x:c>
    </x:row>
    <x:row r="263">
      <x:c r="A263" s="47" t="str">
        <x:v>TRF-074</x:v>
      </x:c>
      <x:c r="B263" s="48" t="str">
        <x:v>Ice Class Regulations and the Application Thereof</x:v>
      </x:c>
      <x:c r="C263" s="47" t="str">
        <x:v>TRAFICOM/68863/03.04.01.00/2021</x:v>
      </x:c>
      <x:c r="D263" s="59" t="n">
        <x:v>32</x:v>
      </x:c>
      <x:c r="E263" s="47" t="str">
        <x:v>6.5</x:v>
      </x:c>
      <x:c r="F263" s="47" t="str">
        <x:v>Static</x:v>
      </x:c>
      <x:c r="G263" s="48" t="str">
        <x:v>Stage 2 candidate - direct/deterministic</x:v>
      </x:c>
      <x:c r="H263" s="47" t="str">
        <x:v>High</x:v>
      </x:c>
      <x:c r="I263" s="47" t="str">
        <x:v>No</x:v>
      </x:c>
      <x:c r="J263" s="47" t="str">
        <x:v>ELIGIBLE</x:v>
      </x:c>
      <x:c r="K263" s="47" t="str">
        <x:v>NOT_RUN</x:v>
      </x:c>
    </x:row>
    <x:row r="264">
      <x:c r="A264" s="47" t="str">
        <x:v>TRF-075</x:v>
      </x:c>
      <x:c r="B264" s="48" t="str">
        <x:v>Ice Class Regulations and the Application Thereof</x:v>
      </x:c>
      <x:c r="C264" s="47" t="str">
        <x:v>TRAFICOM/68863/03.04.01.00/2021</x:v>
      </x:c>
      <x:c r="D264" s="59" t="n">
        <x:v>32</x:v>
      </x:c>
      <x:c r="E264" s="47" t="str">
        <x:v>6.5.1</x:v>
      </x:c>
      <x:c r="F264" s="47" t="str">
        <x:v>Static</x:v>
      </x:c>
      <x:c r="G264" s="48" t="str">
        <x:v>Stage 2 candidate - direct static</x:v>
      </x:c>
      <x:c r="H264" s="47" t="str">
        <x:v>Direct static</x:v>
      </x:c>
      <x:c r="I264" s="47" t="str">
        <x:v>No</x:v>
      </x:c>
      <x:c r="J264" s="47" t="str">
        <x:v>ELIGIBLE</x:v>
      </x:c>
      <x:c r="K264" s="47" t="str">
        <x:v>NOT_RUN</x:v>
      </x:c>
    </x:row>
    <x:row r="265">
      <x:c r="A265" s="47" t="str">
        <x:v>TRF-076</x:v>
      </x:c>
      <x:c r="B265" s="48" t="str">
        <x:v>Ice Class Regulations and the Application Thereof</x:v>
      </x:c>
      <x:c r="C265" s="47" t="str">
        <x:v>TRAFICOM/68863/03.04.01.00/2021</x:v>
      </x:c>
      <x:c r="D265" s="59" t="n">
        <x:v>32</x:v>
      </x:c>
      <x:c r="E265" s="47" t="str">
        <x:v>6.5.1.3</x:v>
      </x:c>
      <x:c r="F265" s="47" t="str">
        <x:v>Static</x:v>
      </x:c>
      <x:c r="G265" s="48" t="str">
        <x:v>Stage 2 candidate - direct/deterministic</x:v>
      </x:c>
      <x:c r="H265" s="47" t="str">
        <x:v>Medium</x:v>
      </x:c>
      <x:c r="I265" s="47" t="str">
        <x:v>No</x:v>
      </x:c>
      <x:c r="J265" s="47" t="str">
        <x:v>ELIGIBLE</x:v>
      </x:c>
      <x:c r="K265" s="47" t="str">
        <x:v>NOT_RUN</x:v>
      </x:c>
    </x:row>
    <x:row r="266">
      <x:c r="A266" s="47" t="str">
        <x:v>TRF-077</x:v>
      </x:c>
      <x:c r="B266" s="48" t="str">
        <x:v>Ice Class Regulations and the Application Thereof</x:v>
      </x:c>
      <x:c r="C266" s="47" t="str">
        <x:v>TRAFICOM/68863/03.04.01.00/2021</x:v>
      </x:c>
      <x:c r="D266" s="59" t="n">
        <x:v>36</x:v>
      </x:c>
      <x:c r="E266" s="47" t="str">
        <x:v>6.5.1.8</x:v>
      </x:c>
      <x:c r="F266" s="47" t="str">
        <x:v>Static</x:v>
      </x:c>
      <x:c r="G266" s="48" t="str">
        <x:v>Stage 2 candidate - direct static</x:v>
      </x:c>
      <x:c r="H266" s="47" t="str">
        <x:v>Direct static</x:v>
      </x:c>
      <x:c r="I266" s="47" t="str">
        <x:v>No</x:v>
      </x:c>
      <x:c r="J266" s="47" t="str">
        <x:v>ELIGIBLE</x:v>
      </x:c>
      <x:c r="K266" s="47" t="str">
        <x:v>NOT_RUN</x:v>
      </x:c>
    </x:row>
    <x:row r="267">
      <x:c r="A267" s="47" t="str">
        <x:v>TRF-078</x:v>
      </x:c>
      <x:c r="B267" s="48" t="str">
        <x:v>Ice Class Regulations and the Application Thereof</x:v>
      </x:c>
      <x:c r="C267" s="47" t="str">
        <x:v>TRAFICOM/68863/03.04.01.00/2021</x:v>
      </x:c>
      <x:c r="D267" s="59" t="n">
        <x:v>36</x:v>
      </x:c>
      <x:c r="E267" s="47" t="str">
        <x:v>6.5.1.9</x:v>
      </x:c>
      <x:c r="F267" s="47" t="str">
        <x:v>Static Calculation</x:v>
      </x:c>
      <x:c r="G267" s="48" t="str">
        <x:v>Stage 2 candidate - direct/deterministic</x:v>
      </x:c>
      <x:c r="H267" s="47" t="str">
        <x:v>Medium</x:v>
      </x:c>
      <x:c r="I267" s="47" t="str">
        <x:v>No</x:v>
      </x:c>
      <x:c r="J267" s="47" t="str">
        <x:v>ELIGIBLE</x:v>
      </x:c>
      <x:c r="K267" s="47" t="str">
        <x:v>NOT_RUN</x:v>
      </x:c>
    </x:row>
    <x:row r="268">
      <x:c r="A268" s="47" t="str">
        <x:v>TRF-079</x:v>
      </x:c>
      <x:c r="B268" s="48" t="str">
        <x:v>Ice Class Regulations and the Application Thereof</x:v>
      </x:c>
      <x:c r="C268" s="47" t="str">
        <x:v>TRAFICOM/68863/03.04.01.00/2021</x:v>
      </x:c>
      <x:c r="D268" s="59" t="n">
        <x:v>37</x:v>
      </x:c>
      <x:c r="E268" s="47" t="str">
        <x:v>6.5.1.9</x:v>
      </x:c>
      <x:c r="F268" s="47" t="str">
        <x:v>Static Calculation</x:v>
      </x:c>
      <x:c r="G268" s="48" t="str">
        <x:v>Stage 2 candidate - direct/deterministic</x:v>
      </x:c>
      <x:c r="H268" s="47" t="str">
        <x:v>Medium</x:v>
      </x:c>
      <x:c r="I268" s="47" t="str">
        <x:v>No</x:v>
      </x:c>
      <x:c r="J268" s="47" t="str">
        <x:v>ELIGIBLE</x:v>
      </x:c>
      <x:c r="K268" s="47" t="str">
        <x:v>NOT_RUN</x:v>
      </x:c>
    </x:row>
    <x:row r="269">
      <x:c r="A269" s="47" t="str">
        <x:v>TRF-080</x:v>
      </x:c>
      <x:c r="B269" s="48" t="str">
        <x:v>Ice Class Regulations and the Application Thereof</x:v>
      </x:c>
      <x:c r="C269" s="47" t="str">
        <x:v>TRAFICOM/68863/03.04.01.00/2021</x:v>
      </x:c>
      <x:c r="D269" s="59" t="n">
        <x:v>37</x:v>
      </x:c>
      <x:c r="E269" s="47" t="str">
        <x:v>6.5.1.9</x:v>
      </x:c>
      <x:c r="F269" s="47" t="str">
        <x:v>Static Calculation</x:v>
      </x:c>
      <x:c r="G269" s="48" t="str">
        <x:v>Stage 2 candidate - direct calculation</x:v>
      </x:c>
      <x:c r="H269" s="47" t="str">
        <x:v>Direct calculation</x:v>
      </x:c>
      <x:c r="I269" s="47" t="str">
        <x:v>No</x:v>
      </x:c>
      <x:c r="J269" s="47" t="str">
        <x:v>ELIGIBLE</x:v>
      </x:c>
      <x:c r="K269" s="47" t="str">
        <x:v>NOT_RUN</x:v>
      </x:c>
    </x:row>
    <x:row r="270">
      <x:c r="A270" s="47" t="str">
        <x:v>TRF-081</x:v>
      </x:c>
      <x:c r="B270" s="48" t="str">
        <x:v>Ice Class Regulations and the Application Thereof</x:v>
      </x:c>
      <x:c r="C270" s="47" t="str">
        <x:v>TRAFICOM/68863/03.04.01.00/2021</x:v>
      </x:c>
      <x:c r="D270" s="59" t="n">
        <x:v>37</x:v>
      </x:c>
      <x:c r="E270" s="47" t="str">
        <x:v>6.5.2.1-6.5.2.2</x:v>
      </x:c>
      <x:c r="F270" s="47" t="str">
        <x:v>Static Calculation</x:v>
      </x:c>
      <x:c r="G270" s="48" t="str">
        <x:v>Stage 2 candidate - direct/deterministic</x:v>
      </x:c>
      <x:c r="H270" s="47" t="str">
        <x:v>High</x:v>
      </x:c>
      <x:c r="I270" s="47" t="str">
        <x:v>No</x:v>
      </x:c>
      <x:c r="J270" s="47" t="str">
        <x:v>ELIGIBLE</x:v>
      </x:c>
      <x:c r="K270" s="47" t="str">
        <x:v>NOT_RUN</x:v>
      </x:c>
    </x:row>
    <x:row r="271">
      <x:c r="A271" s="47" t="str">
        <x:v>TRF-082</x:v>
      </x:c>
      <x:c r="B271" s="48" t="str">
        <x:v>Ice Class Regulations and the Application Thereof</x:v>
      </x:c>
      <x:c r="C271" s="47" t="str">
        <x:v>TRAFICOM/68863/03.04.01.00/2021</x:v>
      </x:c>
      <x:c r="D271" s="59" t="n">
        <x:v>37</x:v>
      </x:c>
      <x:c r="E271" s="47" t="str">
        <x:v>6.5.2.2</x:v>
      </x:c>
      <x:c r="F271" s="47" t="str">
        <x:v>Static</x:v>
      </x:c>
      <x:c r="G271" s="48" t="str">
        <x:v>Stage 2 candidate - direct/deterministic</x:v>
      </x:c>
      <x:c r="H271" s="47" t="str">
        <x:v>Medium</x:v>
      </x:c>
      <x:c r="I271" s="47" t="str">
        <x:v>No</x:v>
      </x:c>
      <x:c r="J271" s="47" t="str">
        <x:v>ELIGIBLE</x:v>
      </x:c>
      <x:c r="K271" s="47" t="str">
        <x:v>NOT_RUN</x:v>
      </x:c>
    </x:row>
    <x:row r="272">
      <x:c r="A272" s="47" t="str">
        <x:v>TRF-083</x:v>
      </x:c>
      <x:c r="B272" s="48" t="str">
        <x:v>Ice Class Regulations and the Application Thereof</x:v>
      </x:c>
      <x:c r="C272" s="47" t="str">
        <x:v>TRAFICOM/68863/03.04.01.00/2021</x:v>
      </x:c>
      <x:c r="D272" s="59" t="n">
        <x:v>38</x:v>
      </x:c>
      <x:c r="E272" s="47" t="str">
        <x:v>6.5.3.1</x:v>
      </x:c>
      <x:c r="F272" s="47" t="str">
        <x:v>Static</x:v>
      </x:c>
      <x:c r="G272" s="48" t="str">
        <x:v>Stage 2 candidate - direct/deterministic</x:v>
      </x:c>
      <x:c r="H272" s="47" t="str">
        <x:v>Medium</x:v>
      </x:c>
      <x:c r="I272" s="47" t="str">
        <x:v>No</x:v>
      </x:c>
      <x:c r="J272" s="47" t="str">
        <x:v>ELIGIBLE</x:v>
      </x:c>
      <x:c r="K272" s="47" t="str">
        <x:v>NOT_RUN</x:v>
      </x:c>
    </x:row>
    <x:row r="273">
      <x:c r="A273" s="47" t="str">
        <x:v>TRF-084</x:v>
      </x:c>
      <x:c r="B273" s="48" t="str">
        <x:v>Ice Class Regulations and the Application Thereof</x:v>
      </x:c>
      <x:c r="C273" s="47" t="str">
        <x:v>TRAFICOM/68863/03.04.01.00/2021</x:v>
      </x:c>
      <x:c r="D273" s="59" t="n">
        <x:v>38</x:v>
      </x:c>
      <x:c r="E273" s="47" t="str">
        <x:v>6.5.3.1</x:v>
      </x:c>
      <x:c r="F273" s="47" t="str">
        <x:v>Static Calculation</x:v>
      </x:c>
      <x:c r="G273" s="48" t="str">
        <x:v>Stage 2 candidate - direct calculation</x:v>
      </x:c>
      <x:c r="H273" s="47" t="str">
        <x:v>Direct calculation</x:v>
      </x:c>
      <x:c r="I273" s="47" t="str">
        <x:v>No</x:v>
      </x:c>
      <x:c r="J273" s="47" t="str">
        <x:v>ELIGIBLE</x:v>
      </x:c>
      <x:c r="K273" s="47" t="str">
        <x:v>NOT_RUN</x:v>
      </x:c>
    </x:row>
    <x:row r="274">
      <x:c r="A274" s="47" t="str">
        <x:v>TRF-085</x:v>
      </x:c>
      <x:c r="B274" s="48" t="str">
        <x:v>Ice Class Regulations and the Application Thereof</x:v>
      </x:c>
      <x:c r="C274" s="47" t="str">
        <x:v>TRAFICOM/68863/03.04.01.00/2021</x:v>
      </x:c>
      <x:c r="D274" s="59" t="n">
        <x:v>39</x:v>
      </x:c>
      <x:c r="E274" s="47" t="str">
        <x:v>6.5.3.2</x:v>
      </x:c>
      <x:c r="F274" s="47" t="str">
        <x:v>Static</x:v>
      </x:c>
      <x:c r="G274" s="48" t="str">
        <x:v>Stage 2 candidate - direct/deterministic</x:v>
      </x:c>
      <x:c r="H274" s="47" t="str">
        <x:v>Medium</x:v>
      </x:c>
      <x:c r="I274" s="47" t="str">
        <x:v>No</x:v>
      </x:c>
      <x:c r="J274" s="47" t="str">
        <x:v>ELIGIBLE</x:v>
      </x:c>
      <x:c r="K274" s="47" t="str">
        <x:v>NOT_RUN</x:v>
      </x:c>
    </x:row>
    <x:row r="275">
      <x:c r="A275" s="47" t="str">
        <x:v>TRF-086</x:v>
      </x:c>
      <x:c r="B275" s="48" t="str">
        <x:v>Ice Class Regulations and the Application Thereof</x:v>
      </x:c>
      <x:c r="C275" s="47" t="str">
        <x:v>TRAFICOM/68863/03.04.01.00/2021</x:v>
      </x:c>
      <x:c r="D275" s="59" t="n">
        <x:v>39</x:v>
      </x:c>
      <x:c r="E275" s="47" t="str">
        <x:v>6.5.3.2</x:v>
      </x:c>
      <x:c r="F275" s="47" t="str">
        <x:v>Static Calculation</x:v>
      </x:c>
      <x:c r="G275" s="48" t="str">
        <x:v>Stage 2 candidate - direct calculation</x:v>
      </x:c>
      <x:c r="H275" s="47" t="str">
        <x:v>Direct calculation</x:v>
      </x:c>
      <x:c r="I275" s="47" t="str">
        <x:v>No</x:v>
      </x:c>
      <x:c r="J275" s="47" t="str">
        <x:v>ELIGIBLE</x:v>
      </x:c>
      <x:c r="K275" s="47" t="str">
        <x:v>NOT_RUN</x:v>
      </x:c>
    </x:row>
    <x:row r="276">
      <x:c r="A276" s="47" t="str">
        <x:v>TRF-087</x:v>
      </x:c>
      <x:c r="B276" s="48" t="str">
        <x:v>Ice Class Regulations and the Application Thereof</x:v>
      </x:c>
      <x:c r="C276" s="47" t="str">
        <x:v>TRAFICOM/68863/03.04.01.00/2021</x:v>
      </x:c>
      <x:c r="D276" s="59" t="n">
        <x:v>39</x:v>
      </x:c>
      <x:c r="E276" s="47" t="str">
        <x:v>6.5.3.3</x:v>
      </x:c>
      <x:c r="F276" s="47" t="str">
        <x:v>Static</x:v>
      </x:c>
      <x:c r="G276" s="48" t="str">
        <x:v>Stage 2 candidate - direct/deterministic</x:v>
      </x:c>
      <x:c r="H276" s="47" t="str">
        <x:v>High</x:v>
      </x:c>
      <x:c r="I276" s="47" t="str">
        <x:v>No</x:v>
      </x:c>
      <x:c r="J276" s="47" t="str">
        <x:v>ELIGIBLE</x:v>
      </x:c>
      <x:c r="K276" s="47" t="str">
        <x:v>NOT_RUN</x:v>
      </x:c>
    </x:row>
    <x:row r="277">
      <x:c r="A277" s="47" t="str">
        <x:v>TRF-088</x:v>
      </x:c>
      <x:c r="B277" s="48" t="str">
        <x:v>Ice Class Regulations and the Application Thereof</x:v>
      </x:c>
      <x:c r="C277" s="47" t="str">
        <x:v>TRAFICOM/68863/03.04.01.00/2021</x:v>
      </x:c>
      <x:c r="D277" s="59" t="n">
        <x:v>39</x:v>
      </x:c>
      <x:c r="E277" s="47" t="str">
        <x:v>6.5.3.3</x:v>
      </x:c>
      <x:c r="F277" s="47" t="str">
        <x:v>Static</x:v>
      </x:c>
      <x:c r="G277" s="48" t="str">
        <x:v>Stage 2 candidate - direct static</x:v>
      </x:c>
      <x:c r="H277" s="47" t="str">
        <x:v>Direct static</x:v>
      </x:c>
      <x:c r="I277" s="47" t="str">
        <x:v>No</x:v>
      </x:c>
      <x:c r="J277" s="47" t="str">
        <x:v>ELIGIBLE</x:v>
      </x:c>
      <x:c r="K277" s="47" t="str">
        <x:v>NOT_RUN</x:v>
      </x:c>
    </x:row>
    <x:row r="278">
      <x:c r="A278" s="47" t="str">
        <x:v>TRF-089</x:v>
      </x:c>
      <x:c r="B278" s="48" t="str">
        <x:v>Ice Class Regulations and the Application Thereof</x:v>
      </x:c>
      <x:c r="C278" s="47" t="str">
        <x:v>TRAFICOM/68863/03.04.01.00/2021</x:v>
      </x:c>
      <x:c r="D278" s="59" t="n">
        <x:v>39</x:v>
      </x:c>
      <x:c r="E278" s="47" t="str">
        <x:v>6.5.3.4</x:v>
      </x:c>
      <x:c r="F278" s="47" t="str">
        <x:v>Dynamic</x:v>
      </x:c>
      <x:c r="G278" s="48" t="str">
        <x:v>Deferred - observation/history/simulation design required</x:v>
      </x:c>
      <x:c r="H278" s="47" t="str">
        <x:v>Medium</x:v>
      </x:c>
      <x:c r="I278" s="47" t="str">
        <x:v>No</x:v>
      </x:c>
      <x:c r="J278" s="47" t="str">
        <x:v>DEFERRED</x:v>
      </x:c>
      <x:c r="K278" s="47" t="str">
        <x:v>NOT_RUN</x:v>
      </x:c>
    </x:row>
    <x:row r="279">
      <x:c r="A279" s="47" t="str">
        <x:v>TRF-090</x:v>
      </x:c>
      <x:c r="B279" s="48" t="str">
        <x:v>Ice Class Regulations and the Application Thereof</x:v>
      </x:c>
      <x:c r="C279" s="47" t="str">
        <x:v>TRAFICOM/68863/03.04.01.00/2021</x:v>
      </x:c>
      <x:c r="D279" s="59" t="n">
        <x:v>40</x:v>
      </x:c>
      <x:c r="E279" s="47" t="str">
        <x:v>6.5.3.4</x:v>
      </x:c>
      <x:c r="F279" s="47" t="str">
        <x:v>Dynamic</x:v>
      </x:c>
      <x:c r="G279" s="48" t="str">
        <x:v>Deferred - observation/history/simulation design required</x:v>
      </x:c>
      <x:c r="H279" s="47" t="str">
        <x:v>Medium</x:v>
      </x:c>
      <x:c r="I279" s="47" t="str">
        <x:v>No</x:v>
      </x:c>
      <x:c r="J279" s="47" t="str">
        <x:v>DEFERRED</x:v>
      </x:c>
      <x:c r="K279" s="47" t="str">
        <x:v>NOT_RUN</x:v>
      </x:c>
    </x:row>
    <x:row r="280">
      <x:c r="A280" s="47" t="str">
        <x:v>TRF-091</x:v>
      </x:c>
      <x:c r="B280" s="48" t="str">
        <x:v>Ice Class Regulations and the Application Thereof</x:v>
      </x:c>
      <x:c r="C280" s="47" t="str">
        <x:v>TRAFICOM/68863/03.04.01.00/2021</x:v>
      </x:c>
      <x:c r="D280" s="59" t="n">
        <x:v>40</x:v>
      </x:c>
      <x:c r="E280" s="47" t="str">
        <x:v>6.5.3.4</x:v>
      </x:c>
      <x:c r="F280" s="47" t="str">
        <x:v>Static</x:v>
      </x:c>
      <x:c r="G280" s="48" t="str">
        <x:v>Stage 2 candidate - direct/deterministic</x:v>
      </x:c>
      <x:c r="H280" s="47" t="str">
        <x:v>High</x:v>
      </x:c>
      <x:c r="I280" s="47" t="str">
        <x:v>No</x:v>
      </x:c>
      <x:c r="J280" s="47" t="str">
        <x:v>ELIGIBLE</x:v>
      </x:c>
      <x:c r="K280" s="47" t="str">
        <x:v>NOT_RUN</x:v>
      </x:c>
    </x:row>
    <x:row r="281">
      <x:c r="A281" s="47" t="str">
        <x:v>TRF-092</x:v>
      </x:c>
      <x:c r="B281" s="48" t="str">
        <x:v>Ice Class Regulations and the Application Thereof</x:v>
      </x:c>
      <x:c r="C281" s="47" t="str">
        <x:v>TRAFICOM/68863/03.04.01.00/2021</x:v>
      </x:c>
      <x:c r="D281" s="59" t="n">
        <x:v>40</x:v>
      </x:c>
      <x:c r="E281" s="47" t="str">
        <x:v>6.5.3.4</x:v>
      </x:c>
      <x:c r="F281" s="47" t="str">
        <x:v>Dynamic</x:v>
      </x:c>
      <x:c r="G281" s="48" t="str">
        <x:v>Deferred - observation/history/simulation design required</x:v>
      </x:c>
      <x:c r="H281" s="47" t="str">
        <x:v>Deferred</x:v>
      </x:c>
      <x:c r="I281" s="47" t="str">
        <x:v>No</x:v>
      </x:c>
      <x:c r="J281" s="47" t="str">
        <x:v>DEFERRED</x:v>
      </x:c>
      <x:c r="K281" s="47" t="str">
        <x:v>NOT_RUN</x:v>
      </x:c>
    </x:row>
    <x:row r="282">
      <x:c r="A282" s="47" t="str">
        <x:v>TRF-093</x:v>
      </x:c>
      <x:c r="B282" s="48" t="str">
        <x:v>Ice Class Regulations and the Application Thereof</x:v>
      </x:c>
      <x:c r="C282" s="47" t="str">
        <x:v>TRAFICOM/68863/03.04.01.00/2021</x:v>
      </x:c>
      <x:c r="D282" s="59" t="n">
        <x:v>40</x:v>
      </x:c>
      <x:c r="E282" s="47" t="str">
        <x:v>6.5.3.4</x:v>
      </x:c>
      <x:c r="F282" s="47" t="str">
        <x:v>Dynamic</x:v>
      </x:c>
      <x:c r="G282" s="48" t="str">
        <x:v>Deferred - observation/history/simulation design required</x:v>
      </x:c>
      <x:c r="H282" s="47" t="str">
        <x:v>Medium</x:v>
      </x:c>
      <x:c r="I282" s="47" t="str">
        <x:v>No</x:v>
      </x:c>
      <x:c r="J282" s="47" t="str">
        <x:v>DEFERRED</x:v>
      </x:c>
      <x:c r="K282" s="47" t="str">
        <x:v>NOT_RUN</x:v>
      </x:c>
    </x:row>
    <x:row r="283">
      <x:c r="A283" s="47" t="str">
        <x:v>TRF-094</x:v>
      </x:c>
      <x:c r="B283" s="48" t="str">
        <x:v>Ice Class Regulations and the Application Thereof</x:v>
      </x:c>
      <x:c r="C283" s="47" t="str">
        <x:v>TRAFICOM/68863/03.04.01.00/2021</x:v>
      </x:c>
      <x:c r="D283" s="59" t="n">
        <x:v>40</x:v>
      </x:c>
      <x:c r="E283" s="47" t="str">
        <x:v>6.5.3.4</x:v>
      </x:c>
      <x:c r="F283" s="47" t="str">
        <x:v>Dynamic</x:v>
      </x:c>
      <x:c r="G283" s="48" t="str">
        <x:v>Deferred - observation/history/simulation design required</x:v>
      </x:c>
      <x:c r="H283" s="47" t="str">
        <x:v>Medium</x:v>
      </x:c>
      <x:c r="I283" s="47" t="str">
        <x:v>No</x:v>
      </x:c>
      <x:c r="J283" s="47" t="str">
        <x:v>DEFERRED</x:v>
      </x:c>
      <x:c r="K283" s="47" t="str">
        <x:v>NOT_RUN</x:v>
      </x:c>
    </x:row>
    <x:row r="284">
      <x:c r="A284" s="47" t="str">
        <x:v>TRF-095</x:v>
      </x:c>
      <x:c r="B284" s="48" t="str">
        <x:v>Ice Class Regulations and the Application Thereof</x:v>
      </x:c>
      <x:c r="C284" s="47" t="str">
        <x:v>TRAFICOM/68863/03.04.01.00/2021</x:v>
      </x:c>
      <x:c r="D284" s="59" t="n">
        <x:v>40</x:v>
      </x:c>
      <x:c r="E284" s="47" t="str">
        <x:v>6.5.3.4</x:v>
      </x:c>
      <x:c r="F284" s="47" t="str">
        <x:v>Dynamic</x:v>
      </x:c>
      <x:c r="G284" s="48" t="str">
        <x:v>Deferred - observation/history/simulation design required</x:v>
      </x:c>
      <x:c r="H284" s="47" t="str">
        <x:v>Medium</x:v>
      </x:c>
      <x:c r="I284" s="47" t="str">
        <x:v>No</x:v>
      </x:c>
      <x:c r="J284" s="47" t="str">
        <x:v>DEFERRED</x:v>
      </x:c>
      <x:c r="K284" s="47" t="str">
        <x:v>NOT_RUN</x:v>
      </x:c>
    </x:row>
    <x:row r="285">
      <x:c r="A285" s="47" t="str">
        <x:v>TRF-096</x:v>
      </x:c>
      <x:c r="B285" s="48" t="str">
        <x:v>Ice Class Regulations and the Application Thereof</x:v>
      </x:c>
      <x:c r="C285" s="47" t="str">
        <x:v>TRAFICOM/68863/03.04.01.00/2021</x:v>
      </x:c>
      <x:c r="D285" s="59" t="n">
        <x:v>41</x:v>
      </x:c>
      <x:c r="E285" s="47" t="str">
        <x:v>6.5.3.4</x:v>
      </x:c>
      <x:c r="F285" s="47" t="str">
        <x:v>Dynamic</x:v>
      </x:c>
      <x:c r="G285" s="48" t="str">
        <x:v>Deferred - observation/history/simulation design required</x:v>
      </x:c>
      <x:c r="H285" s="47" t="str">
        <x:v>Deferred</x:v>
      </x:c>
      <x:c r="I285" s="47" t="str">
        <x:v>No</x:v>
      </x:c>
      <x:c r="J285" s="47" t="str">
        <x:v>DEFERRED</x:v>
      </x:c>
      <x:c r="K285" s="47" t="str">
        <x:v>NOT_RUN</x:v>
      </x:c>
    </x:row>
    <x:row r="286">
      <x:c r="A286" s="47" t="str">
        <x:v>TRF-097</x:v>
      </x:c>
      <x:c r="B286" s="48" t="str">
        <x:v>Ice Class Regulations and the Application Thereof</x:v>
      </x:c>
      <x:c r="C286" s="47" t="str">
        <x:v>TRAFICOM/68863/03.04.01.00/2021</x:v>
      </x:c>
      <x:c r="D286" s="59" t="str">
        <x:v>43-44</x:v>
      </x:c>
      <x:c r="E286" s="47" t="str">
        <x:v>6.5.3.4</x:v>
      </x:c>
      <x:c r="F286" s="47" t="str">
        <x:v>Dynamic</x:v>
      </x:c>
      <x:c r="G286" s="48" t="str">
        <x:v>Deferred - observation/history/simulation design required</x:v>
      </x:c>
      <x:c r="H286" s="47" t="str">
        <x:v>Medium</x:v>
      </x:c>
      <x:c r="I286" s="47" t="str">
        <x:v>No</x:v>
      </x:c>
      <x:c r="J286" s="47" t="str">
        <x:v>DEFERRED</x:v>
      </x:c>
      <x:c r="K286" s="47" t="str">
        <x:v>NOT_RUN</x:v>
      </x:c>
    </x:row>
    <x:row r="287">
      <x:c r="A287" s="47" t="str">
        <x:v>TRF-098</x:v>
      </x:c>
      <x:c r="B287" s="48" t="str">
        <x:v>Ice Class Regulations and the Application Thereof</x:v>
      </x:c>
      <x:c r="C287" s="47" t="str">
        <x:v>TRAFICOM/68863/03.04.01.00/2021</x:v>
      </x:c>
      <x:c r="D287" s="59" t="n">
        <x:v>44</x:v>
      </x:c>
      <x:c r="E287" s="47" t="str">
        <x:v>6.5.3.4</x:v>
      </x:c>
      <x:c r="F287" s="47" t="str">
        <x:v>Dynamic</x:v>
      </x:c>
      <x:c r="G287" s="48" t="str">
        <x:v>Deferred - observation/history/simulation design required</x:v>
      </x:c>
      <x:c r="H287" s="47" t="str">
        <x:v>Medium</x:v>
      </x:c>
      <x:c r="I287" s="47" t="str">
        <x:v>No</x:v>
      </x:c>
      <x:c r="J287" s="47" t="str">
        <x:v>DEFERRED</x:v>
      </x:c>
      <x:c r="K287" s="47" t="str">
        <x:v>NOT_RUN</x:v>
      </x:c>
    </x:row>
    <x:row r="288">
      <x:c r="A288" s="47" t="str">
        <x:v>TRF-099</x:v>
      </x:c>
      <x:c r="B288" s="48" t="str">
        <x:v>Ice Class Regulations and the Application Thereof</x:v>
      </x:c>
      <x:c r="C288" s="47" t="str">
        <x:v>TRAFICOM/68863/03.04.01.00/2021</x:v>
      </x:c>
      <x:c r="D288" s="59" t="n">
        <x:v>45</x:v>
      </x:c>
      <x:c r="E288" s="47" t="str">
        <x:v>6.5.3.4</x:v>
      </x:c>
      <x:c r="F288" s="47" t="str">
        <x:v>Dynamic</x:v>
      </x:c>
      <x:c r="G288" s="48" t="str">
        <x:v>Deferred - observation/history/simulation design required</x:v>
      </x:c>
      <x:c r="H288" s="47" t="str">
        <x:v>Medium</x:v>
      </x:c>
      <x:c r="I288" s="47" t="str">
        <x:v>No</x:v>
      </x:c>
      <x:c r="J288" s="47" t="str">
        <x:v>DEFERRED</x:v>
      </x:c>
      <x:c r="K288" s="47" t="str">
        <x:v>NOT_RUN</x:v>
      </x:c>
    </x:row>
    <x:row r="289">
      <x:c r="A289" s="47" t="str">
        <x:v>TRF-100</x:v>
      </x:c>
      <x:c r="B289" s="48" t="str">
        <x:v>Ice Class Regulations and the Application Thereof</x:v>
      </x:c>
      <x:c r="C289" s="47" t="str">
        <x:v>TRAFICOM/68863/03.04.01.00/2021</x:v>
      </x:c>
      <x:c r="D289" s="59" t="n">
        <x:v>45</x:v>
      </x:c>
      <x:c r="E289" s="47" t="str">
        <x:v>6.5.3.4</x:v>
      </x:c>
      <x:c r="F289" s="47" t="str">
        <x:v>Dynamic</x:v>
      </x:c>
      <x:c r="G289" s="48" t="str">
        <x:v>Deferred - observation/history/simulation design required</x:v>
      </x:c>
      <x:c r="H289" s="47" t="str">
        <x:v>Medium</x:v>
      </x:c>
      <x:c r="I289" s="47" t="str">
        <x:v>No</x:v>
      </x:c>
      <x:c r="J289" s="47" t="str">
        <x:v>DEFERRED</x:v>
      </x:c>
      <x:c r="K289" s="47" t="str">
        <x:v>NOT_RUN</x:v>
      </x:c>
    </x:row>
    <x:row r="290">
      <x:c r="A290" s="47" t="str">
        <x:v>TRF-101</x:v>
      </x:c>
      <x:c r="B290" s="48" t="str">
        <x:v>Ice Class Regulations and the Application Thereof</x:v>
      </x:c>
      <x:c r="C290" s="47" t="str">
        <x:v>TRAFICOM/68863/03.04.01.00/2021</x:v>
      </x:c>
      <x:c r="D290" s="59" t="str">
        <x:v>45-46</x:v>
      </x:c>
      <x:c r="E290" s="47" t="str">
        <x:v>6.5.4.1</x:v>
      </x:c>
      <x:c r="F290" s="47" t="str">
        <x:v>Static Calculation</x:v>
      </x:c>
      <x:c r="G290" s="48" t="str">
        <x:v>Stage 2 candidate - direct/deterministic</x:v>
      </x:c>
      <x:c r="H290" s="47" t="str">
        <x:v>Medium</x:v>
      </x:c>
      <x:c r="I290" s="47" t="str">
        <x:v>No</x:v>
      </x:c>
      <x:c r="J290" s="47" t="str">
        <x:v>ELIGIBLE</x:v>
      </x:c>
      <x:c r="K290" s="47" t="str">
        <x:v>NOT_RUN</x:v>
      </x:c>
    </x:row>
    <x:row r="291">
      <x:c r="A291" s="47" t="str">
        <x:v>TRF-102</x:v>
      </x:c>
      <x:c r="B291" s="48" t="str">
        <x:v>Ice Class Regulations and the Application Thereof</x:v>
      </x:c>
      <x:c r="C291" s="47" t="str">
        <x:v>TRAFICOM/68863/03.04.01.00/2021</x:v>
      </x:c>
      <x:c r="D291" s="59" t="n">
        <x:v>46</x:v>
      </x:c>
      <x:c r="E291" s="47" t="str">
        <x:v>6.5.4.2</x:v>
      </x:c>
      <x:c r="F291" s="47" t="str">
        <x:v>Static Calculation</x:v>
      </x:c>
      <x:c r="G291" s="48" t="str">
        <x:v>Stage 2 candidate - direct/deterministic</x:v>
      </x:c>
      <x:c r="H291" s="47" t="str">
        <x:v>Medium</x:v>
      </x:c>
      <x:c r="I291" s="47" t="str">
        <x:v>No</x:v>
      </x:c>
      <x:c r="J291" s="47" t="str">
        <x:v>ELIGIBLE</x:v>
      </x:c>
      <x:c r="K291" s="47" t="str">
        <x:v>NOT_RUN</x:v>
      </x:c>
    </x:row>
    <x:row r="292">
      <x:c r="A292" s="47" t="str">
        <x:v>TRF-103</x:v>
      </x:c>
      <x:c r="B292" s="48" t="str">
        <x:v>Ice Class Regulations and the Application Thereof</x:v>
      </x:c>
      <x:c r="C292" s="47" t="str">
        <x:v>TRAFICOM/68863/03.04.01.00/2021</x:v>
      </x:c>
      <x:c r="D292" s="59" t="n">
        <x:v>46</x:v>
      </x:c>
      <x:c r="E292" s="47" t="str">
        <x:v>6.5.4.2</x:v>
      </x:c>
      <x:c r="F292" s="47" t="str">
        <x:v>Static</x:v>
      </x:c>
      <x:c r="G292" s="48" t="str">
        <x:v>Stage 2 candidate - direct static</x:v>
      </x:c>
      <x:c r="H292" s="47" t="str">
        <x:v>Direct static</x:v>
      </x:c>
      <x:c r="I292" s="47" t="str">
        <x:v>No</x:v>
      </x:c>
      <x:c r="J292" s="47" t="str">
        <x:v>ELIGIBLE</x:v>
      </x:c>
      <x:c r="K292" s="47" t="str">
        <x:v>NOT_RUN</x:v>
      </x:c>
    </x:row>
    <x:row r="293">
      <x:c r="A293" s="47" t="str">
        <x:v>TRF-104</x:v>
      </x:c>
      <x:c r="B293" s="48" t="str">
        <x:v>Ice Class Regulations and the Application Thereof</x:v>
      </x:c>
      <x:c r="C293" s="47" t="str">
        <x:v>TRAFICOM/68863/03.04.01.00/2021</x:v>
      </x:c>
      <x:c r="D293" s="59" t="n">
        <x:v>47</x:v>
      </x:c>
      <x:c r="E293" s="47" t="str">
        <x:v>6.6.1</x:v>
      </x:c>
      <x:c r="F293" s="47" t="str">
        <x:v>Static</x:v>
      </x:c>
      <x:c r="G293" s="48" t="str">
        <x:v>Stage 2 candidate - direct/deterministic</x:v>
      </x:c>
      <x:c r="H293" s="47" t="str">
        <x:v>High</x:v>
      </x:c>
      <x:c r="I293" s="47" t="str">
        <x:v>No</x:v>
      </x:c>
      <x:c r="J293" s="47" t="str">
        <x:v>ELIGIBLE</x:v>
      </x:c>
      <x:c r="K293" s="47" t="str">
        <x:v>NOT_RUN</x:v>
      </x:c>
    </x:row>
    <x:row r="294">
      <x:c r="A294" s="47" t="str">
        <x:v>TRF-105</x:v>
      </x:c>
      <x:c r="B294" s="48" t="str">
        <x:v>Ice Class Regulations and the Application Thereof</x:v>
      </x:c>
      <x:c r="C294" s="47" t="str">
        <x:v>TRAFICOM/68863/03.04.01.00/2021</x:v>
      </x:c>
      <x:c r="D294" s="59" t="n">
        <x:v>47</x:v>
      </x:c>
      <x:c r="E294" s="47" t="str">
        <x:v>6.6.2.1</x:v>
      </x:c>
      <x:c r="F294" s="47" t="str">
        <x:v>Complex</x:v>
      </x:c>
      <x:c r="G294" s="48" t="str">
        <x:v>Deferred - composite/evidence workflow review</x:v>
      </x:c>
      <x:c r="H294" s="47" t="str">
        <x:v>Medium</x:v>
      </x:c>
      <x:c r="I294" s="47" t="str">
        <x:v>No</x:v>
      </x:c>
      <x:c r="J294" s="47" t="str">
        <x:v>DEFERRED</x:v>
      </x:c>
      <x:c r="K294" s="47" t="str">
        <x:v>NOT_RUN</x:v>
      </x:c>
    </x:row>
    <x:row r="295">
      <x:c r="A295" s="47" t="str">
        <x:v>TRF-106</x:v>
      </x:c>
      <x:c r="B295" s="48" t="str">
        <x:v>Ice Class Regulations and the Application Thereof</x:v>
      </x:c>
      <x:c r="C295" s="47" t="str">
        <x:v>TRAFICOM/68863/03.04.01.00/2021</x:v>
      </x:c>
      <x:c r="D295" s="59" t="n">
        <x:v>48</x:v>
      </x:c>
      <x:c r="E295" s="47" t="str">
        <x:v>6.6.2.2-6.6.2.3</x:v>
      </x:c>
      <x:c r="F295" s="47" t="str">
        <x:v>Complex</x:v>
      </x:c>
      <x:c r="G295" s="48" t="str">
        <x:v>Deferred - composite/evidence workflow review</x:v>
      </x:c>
      <x:c r="H295" s="47" t="str">
        <x:v>Medium</x:v>
      </x:c>
      <x:c r="I295" s="47" t="str">
        <x:v>No</x:v>
      </x:c>
      <x:c r="J295" s="47" t="str">
        <x:v>DEFERRED</x:v>
      </x:c>
      <x:c r="K295" s="47" t="str">
        <x:v>NOT_RUN</x:v>
      </x:c>
    </x:row>
    <x:row r="296">
      <x:c r="A296" s="47" t="str">
        <x:v>TRF-108</x:v>
      </x:c>
      <x:c r="B296" s="48" t="str">
        <x:v>Ice Class Regulations and the Application Thereof</x:v>
      </x:c>
      <x:c r="C296" s="47" t="str">
        <x:v>TRAFICOM/68863/03.04.01.00/2021</x:v>
      </x:c>
      <x:c r="D296" s="59" t="n">
        <x:v>48</x:v>
      </x:c>
      <x:c r="E296" s="47" t="str">
        <x:v>6.6.2.3</x:v>
      </x:c>
      <x:c r="F296" s="47" t="str">
        <x:v>Static</x:v>
      </x:c>
      <x:c r="G296" s="48" t="str">
        <x:v>Stage 2 candidate - direct/deterministic</x:v>
      </x:c>
      <x:c r="H296" s="47" t="str">
        <x:v>High</x:v>
      </x:c>
      <x:c r="I296" s="47" t="str">
        <x:v>No</x:v>
      </x:c>
      <x:c r="J296" s="47" t="str">
        <x:v>ELIGIBLE</x:v>
      </x:c>
      <x:c r="K296" s="47" t="str">
        <x:v>NOT_RUN</x:v>
      </x:c>
    </x:row>
    <x:row r="297">
      <x:c r="A297" s="47" t="str">
        <x:v>TRF-109</x:v>
      </x:c>
      <x:c r="B297" s="48" t="str">
        <x:v>Ice Class Regulations and the Application Thereof</x:v>
      </x:c>
      <x:c r="C297" s="47" t="str">
        <x:v>TRAFICOM/68863/03.04.01.00/2021</x:v>
      </x:c>
      <x:c r="D297" s="59" t="n">
        <x:v>50</x:v>
      </x:c>
      <x:c r="E297" s="47" t="str">
        <x:v>6.6.2.3</x:v>
      </x:c>
      <x:c r="F297" s="47" t="str">
        <x:v>Static</x:v>
      </x:c>
      <x:c r="G297" s="48" t="str">
        <x:v>Stage 2 candidate - direct/deterministic</x:v>
      </x:c>
      <x:c r="H297" s="47" t="str">
        <x:v>Medium</x:v>
      </x:c>
      <x:c r="I297" s="47" t="str">
        <x:v>No</x:v>
      </x:c>
      <x:c r="J297" s="47" t="str">
        <x:v>ELIGIBLE</x:v>
      </x:c>
      <x:c r="K297" s="47" t="str">
        <x:v>NOT_RUN</x:v>
      </x:c>
    </x:row>
    <x:row r="298">
      <x:c r="A298" s="47" t="str">
        <x:v>TRF-110</x:v>
      </x:c>
      <x:c r="B298" s="48" t="str">
        <x:v>Ice Class Regulations and the Application Thereof</x:v>
      </x:c>
      <x:c r="C298" s="47" t="str">
        <x:v>TRAFICOM/68863/03.04.01.00/2021</x:v>
      </x:c>
      <x:c r="D298" s="59" t="n">
        <x:v>51</x:v>
      </x:c>
      <x:c r="E298" s="47" t="str">
        <x:v>6.6.2.4; 6.6.3</x:v>
      </x:c>
      <x:c r="F298" s="47" t="str">
        <x:v>Complex</x:v>
      </x:c>
      <x:c r="G298" s="48" t="str">
        <x:v>Deferred - composite/evidence workflow review</x:v>
      </x:c>
      <x:c r="H298" s="47" t="str">
        <x:v>Medium</x:v>
      </x:c>
      <x:c r="I298" s="47" t="str">
        <x:v>No</x:v>
      </x:c>
      <x:c r="J298" s="47" t="str">
        <x:v>DEFERRED</x:v>
      </x:c>
      <x:c r="K298" s="47" t="str">
        <x:v>NOT_RUN</x:v>
      </x:c>
    </x:row>
    <x:row r="299">
      <x:c r="A299" s="47" t="str">
        <x:v>TRF-111</x:v>
      </x:c>
      <x:c r="B299" s="48" t="str">
        <x:v>Ice Class Regulations and the Application Thereof</x:v>
      </x:c>
      <x:c r="C299" s="47" t="str">
        <x:v>TRAFICOM/68863/03.04.01.00/2021</x:v>
      </x:c>
      <x:c r="D299" s="59" t="n">
        <x:v>51</x:v>
      </x:c>
      <x:c r="E299" s="47" t="str">
        <x:v>6.6.4</x:v>
      </x:c>
      <x:c r="F299" s="47" t="str">
        <x:v>Complex</x:v>
      </x:c>
      <x:c r="G299" s="48" t="str">
        <x:v>Stage 2 candidate - complex readiness</x:v>
      </x:c>
      <x:c r="H299" s="47" t="str">
        <x:v>Complex readiness</x:v>
      </x:c>
      <x:c r="I299" s="47" t="str">
        <x:v>No</x:v>
      </x:c>
      <x:c r="J299" s="47" t="str">
        <x:v>ELIGIBLE</x:v>
      </x:c>
      <x:c r="K299" s="47" t="str">
        <x:v>NOT_RUN</x:v>
      </x:c>
    </x:row>
    <x:row r="300">
      <x:c r="A300" s="47" t="str">
        <x:v>TRF-112</x:v>
      </x:c>
      <x:c r="B300" s="48" t="str">
        <x:v>Ice Class Regulations and the Application Thereof</x:v>
      </x:c>
      <x:c r="C300" s="47" t="str">
        <x:v>TRAFICOM/68863/03.04.01.00/2021</x:v>
      </x:c>
      <x:c r="D300" s="59" t="n">
        <x:v>52</x:v>
      </x:c>
      <x:c r="E300" s="47" t="str">
        <x:v>6.6.4.1</x:v>
      </x:c>
      <x:c r="F300" s="47" t="str">
        <x:v>Complex</x:v>
      </x:c>
      <x:c r="G300" s="48" t="str">
        <x:v>Stage 2 candidate - complex readiness</x:v>
      </x:c>
      <x:c r="H300" s="47" t="str">
        <x:v>Complex readiness</x:v>
      </x:c>
      <x:c r="I300" s="47" t="str">
        <x:v>No</x:v>
      </x:c>
      <x:c r="J300" s="47" t="str">
        <x:v>ELIGIBLE</x:v>
      </x:c>
      <x:c r="K300" s="47" t="str">
        <x:v>NOT_RUN</x:v>
      </x:c>
    </x:row>
    <x:row r="301">
      <x:c r="A301" s="47" t="str">
        <x:v>TRF-113</x:v>
      </x:c>
      <x:c r="B301" s="48" t="str">
        <x:v>Ice Class Regulations and the Application Thereof</x:v>
      </x:c>
      <x:c r="C301" s="47" t="str">
        <x:v>TRAFICOM/68863/03.04.01.00/2021</x:v>
      </x:c>
      <x:c r="D301" s="59" t="n">
        <x:v>52</x:v>
      </x:c>
      <x:c r="E301" s="47" t="str">
        <x:v>6.6.5.1</x:v>
      </x:c>
      <x:c r="F301" s="47" t="str">
        <x:v>Static</x:v>
      </x:c>
      <x:c r="G301" s="48" t="str">
        <x:v>Stage 2 candidate - direct/deterministic</x:v>
      </x:c>
      <x:c r="H301" s="47" t="str">
        <x:v>High</x:v>
      </x:c>
      <x:c r="I301" s="47" t="str">
        <x:v>No</x:v>
      </x:c>
      <x:c r="J301" s="47" t="str">
        <x:v>ELIGIBLE</x:v>
      </x:c>
      <x:c r="K301" s="47" t="str">
        <x:v>NOT_RUN</x:v>
      </x:c>
    </x:row>
    <x:row r="302">
      <x:c r="A302" s="47" t="str">
        <x:v>TRF-114</x:v>
      </x:c>
      <x:c r="B302" s="48" t="str">
        <x:v>Ice Class Regulations and the Application Thereof</x:v>
      </x:c>
      <x:c r="C302" s="47" t="str">
        <x:v>TRAFICOM/68863/03.04.01.00/2021</x:v>
      </x:c>
      <x:c r="D302" s="59" t="n">
        <x:v>53</x:v>
      </x:c>
      <x:c r="E302" s="47" t="str">
        <x:v>6.6.5.2</x:v>
      </x:c>
      <x:c r="F302" s="47" t="str">
        <x:v>Complex</x:v>
      </x:c>
      <x:c r="G302" s="48" t="str">
        <x:v>Stage 2 candidate - complex readiness</x:v>
      </x:c>
      <x:c r="H302" s="47" t="str">
        <x:v>Complex readiness</x:v>
      </x:c>
      <x:c r="I302" s="47" t="str">
        <x:v>No</x:v>
      </x:c>
      <x:c r="J302" s="47" t="str">
        <x:v>ELIGIBLE</x:v>
      </x:c>
      <x:c r="K302" s="47" t="str">
        <x:v>NOT_RUN</x:v>
      </x:c>
    </x:row>
    <x:row r="303">
      <x:c r="A303" s="47" t="str">
        <x:v>TRF-116</x:v>
      </x:c>
      <x:c r="B303" s="48" t="str">
        <x:v>Ice Class Regulations and the Application Thereof</x:v>
      </x:c>
      <x:c r="C303" s="47" t="str">
        <x:v>TRAFICOM/68863/03.04.01.00/2021</x:v>
      </x:c>
      <x:c r="D303" s="59" t="n">
        <x:v>56</x:v>
      </x:c>
      <x:c r="E303" s="47" t="str">
        <x:v>6.6.5.2</x:v>
      </x:c>
      <x:c r="F303" s="47" t="str">
        <x:v>Complex</x:v>
      </x:c>
      <x:c r="G303" s="48" t="str">
        <x:v>Stage 2 candidate - complex readiness</x:v>
      </x:c>
      <x:c r="H303" s="47" t="str">
        <x:v>Complex readiness</x:v>
      </x:c>
      <x:c r="I303" s="47" t="str">
        <x:v>No</x:v>
      </x:c>
      <x:c r="J303" s="47" t="str">
        <x:v>ELIGIBLE</x:v>
      </x:c>
      <x:c r="K303" s="47" t="str">
        <x:v>NOT_RUN</x:v>
      </x:c>
    </x:row>
    <x:row r="304">
      <x:c r="A304" s="47" t="str">
        <x:v>TRF-118</x:v>
      </x:c>
      <x:c r="B304" s="48" t="str">
        <x:v>Ice Class Regulations and the Application Thereof</x:v>
      </x:c>
      <x:c r="C304" s="47" t="str">
        <x:v>TRAFICOM/68863/03.04.01.00/2021</x:v>
      </x:c>
      <x:c r="D304" s="59" t="n">
        <x:v>60</x:v>
      </x:c>
      <x:c r="E304" s="47" t="str">
        <x:v>6.6.5.4</x:v>
      </x:c>
      <x:c r="F304" s="47" t="str">
        <x:v>Complex</x:v>
      </x:c>
      <x:c r="G304" s="48" t="str">
        <x:v>Stage 2 candidate - complex readiness</x:v>
      </x:c>
      <x:c r="H304" s="47" t="str">
        <x:v>Complex readiness</x:v>
      </x:c>
      <x:c r="I304" s="47" t="str">
        <x:v>No</x:v>
      </x:c>
      <x:c r="J304" s="47" t="str">
        <x:v>ELIGIBLE</x:v>
      </x:c>
      <x:c r="K304" s="47" t="str">
        <x:v>NOT_RUN</x:v>
      </x:c>
    </x:row>
    <x:row r="305">
      <x:c r="A305" s="47" t="str">
        <x:v>TRF-119</x:v>
      </x:c>
      <x:c r="B305" s="48" t="str">
        <x:v>Ice Class Regulations and the Application Thereof</x:v>
      </x:c>
      <x:c r="C305" s="47" t="str">
        <x:v>TRAFICOM/68863/03.04.01.00/2021</x:v>
      </x:c>
      <x:c r="D305" s="59" t="n">
        <x:v>60</x:v>
      </x:c>
      <x:c r="E305" s="47" t="str">
        <x:v>6.6.5.5</x:v>
      </x:c>
      <x:c r="F305" s="47" t="str">
        <x:v>Dynamic</x:v>
      </x:c>
      <x:c r="G305" s="48" t="str">
        <x:v>Deferred - observation/history/simulation design required</x:v>
      </x:c>
      <x:c r="H305" s="47" t="str">
        <x:v>Medium</x:v>
      </x:c>
      <x:c r="I305" s="47" t="str">
        <x:v>No</x:v>
      </x:c>
      <x:c r="J305" s="47" t="str">
        <x:v>DEFERRED</x:v>
      </x:c>
      <x:c r="K305" s="47" t="str">
        <x:v>NOT_RUN</x:v>
      </x:c>
    </x:row>
    <x:row r="306">
      <x:c r="A306" s="47" t="str">
        <x:v>TRF-120</x:v>
      </x:c>
      <x:c r="B306" s="48" t="str">
        <x:v>Ice Class Regulations and the Application Thereof</x:v>
      </x:c>
      <x:c r="C306" s="47" t="str">
        <x:v>TRAFICOM/68863/03.04.01.00/2021</x:v>
      </x:c>
      <x:c r="D306" s="59" t="n">
        <x:v>60</x:v>
      </x:c>
      <x:c r="E306" s="47" t="str">
        <x:v>6.6.5.5</x:v>
      </x:c>
      <x:c r="F306" s="47" t="str">
        <x:v>Static</x:v>
      </x:c>
      <x:c r="G306" s="48" t="str">
        <x:v>Stage 2 candidate - direct/deterministic</x:v>
      </x:c>
      <x:c r="H306" s="47" t="str">
        <x:v>High</x:v>
      </x:c>
      <x:c r="I306" s="47" t="str">
        <x:v>No</x:v>
      </x:c>
      <x:c r="J306" s="47" t="str">
        <x:v>ELIGIBLE</x:v>
      </x:c>
      <x:c r="K306" s="47" t="str">
        <x:v>NOT_RUN</x:v>
      </x:c>
    </x:row>
    <x:row r="307">
      <x:c r="A307" s="47" t="str">
        <x:v>TRF-121</x:v>
      </x:c>
      <x:c r="B307" s="48" t="str">
        <x:v>Ice Class Regulations and the Application Thereof</x:v>
      </x:c>
      <x:c r="C307" s="47" t="str">
        <x:v>TRAFICOM/68863/03.04.01.00/2021</x:v>
      </x:c>
      <x:c r="D307" s="59" t="n">
        <x:v>61</x:v>
      </x:c>
      <x:c r="E307" s="47" t="str">
        <x:v>6.7.1</x:v>
      </x:c>
      <x:c r="F307" s="47" t="str">
        <x:v>Complex</x:v>
      </x:c>
      <x:c r="G307" s="48" t="str">
        <x:v>Deferred - composite/evidence workflow review</x:v>
      </x:c>
      <x:c r="H307" s="47" t="str">
        <x:v>Medium</x:v>
      </x:c>
      <x:c r="I307" s="47" t="str">
        <x:v>No</x:v>
      </x:c>
      <x:c r="J307" s="47" t="str">
        <x:v>DEFERRED</x:v>
      </x:c>
      <x:c r="K307" s="47" t="str">
        <x:v>NOT_RUN</x:v>
      </x:c>
    </x:row>
    <x:row r="308">
      <x:c r="A308" s="47" t="str">
        <x:v>TRF-123</x:v>
      </x:c>
      <x:c r="B308" s="48" t="str">
        <x:v>Ice Class Regulations and the Application Thereof</x:v>
      </x:c>
      <x:c r="C308" s="47" t="str">
        <x:v>TRAFICOM/68863/03.04.01.00/2021</x:v>
      </x:c>
      <x:c r="D308" s="59" t="n">
        <x:v>61</x:v>
      </x:c>
      <x:c r="E308" s="47" t="str">
        <x:v>6.7.3</x:v>
      </x:c>
      <x:c r="F308" s="47" t="str">
        <x:v>Complex</x:v>
      </x:c>
      <x:c r="G308" s="48" t="str">
        <x:v>Stage 2 candidate - complex readiness</x:v>
      </x:c>
      <x:c r="H308" s="47" t="str">
        <x:v>Complex readiness</x:v>
      </x:c>
      <x:c r="I308" s="47" t="str">
        <x:v>No</x:v>
      </x:c>
      <x:c r="J308" s="47" t="str">
        <x:v>ELIGIBLE</x:v>
      </x:c>
      <x:c r="K308" s="47" t="str">
        <x:v>NOT_RUN</x:v>
      </x:c>
    </x:row>
    <x:row r="309">
      <x:c r="A309" s="47" t="str">
        <x:v>TRF-125</x:v>
      </x:c>
      <x:c r="B309" s="48" t="str">
        <x:v>Ice Class Regulations and the Application Thereof</x:v>
      </x:c>
      <x:c r="C309" s="47" t="str">
        <x:v>TRAFICOM/68863/03.04.01.00/2021</x:v>
      </x:c>
      <x:c r="D309" s="59" t="n">
        <x:v>61</x:v>
      </x:c>
      <x:c r="E309" s="47" t="str">
        <x:v>6.7.3</x:v>
      </x:c>
      <x:c r="F309" s="47" t="str">
        <x:v>Dynamic</x:v>
      </x:c>
      <x:c r="G309" s="48" t="str">
        <x:v>Deferred - observation/history/simulation design required</x:v>
      </x:c>
      <x:c r="H309" s="47" t="str">
        <x:v>Medium</x:v>
      </x:c>
      <x:c r="I309" s="47" t="str">
        <x:v>No</x:v>
      </x:c>
      <x:c r="J309" s="47" t="str">
        <x:v>DEFERRED</x:v>
      </x:c>
      <x:c r="K309" s="47" t="str">
        <x:v>NOT_RUN</x:v>
      </x:c>
    </x:row>
    <x:row r="310">
      <x:c r="A310" s="47" t="str">
        <x:v>TRF-126</x:v>
      </x:c>
      <x:c r="B310" s="48" t="str">
        <x:v>Ice Class Regulations and the Application Thereof</x:v>
      </x:c>
      <x:c r="C310" s="47" t="str">
        <x:v>TRAFICOM/68863/03.04.01.00/2021</x:v>
      </x:c>
      <x:c r="D310" s="59" t="n">
        <x:v>61</x:v>
      </x:c>
      <x:c r="E310" s="47" t="str">
        <x:v>7.1</x:v>
      </x:c>
      <x:c r="F310" s="47" t="str">
        <x:v>Static</x:v>
      </x:c>
      <x:c r="G310" s="48" t="str">
        <x:v>Stage 2 candidate - direct/deterministic</x:v>
      </x:c>
      <x:c r="H310" s="47" t="str">
        <x:v>High</x:v>
      </x:c>
      <x:c r="I310" s="47" t="str">
        <x:v>No</x:v>
      </x:c>
      <x:c r="J310" s="47" t="str">
        <x:v>ELIGIBLE</x:v>
      </x:c>
      <x:c r="K310" s="47" t="str">
        <x:v>NOT_RUN</x:v>
      </x:c>
    </x:row>
    <x:row r="311">
      <x:c r="A311" s="47" t="str">
        <x:v>TRF-127</x:v>
      </x:c>
      <x:c r="B311" s="48" t="str">
        <x:v>Ice Class Regulations and the Application Thereof</x:v>
      </x:c>
      <x:c r="C311" s="47" t="str">
        <x:v>TRAFICOM/68863/03.04.01.00/2021</x:v>
      </x:c>
      <x:c r="D311" s="59" t="n">
        <x:v>61</x:v>
      </x:c>
      <x:c r="E311" s="47" t="str">
        <x:v>7.1</x:v>
      </x:c>
      <x:c r="F311" s="47" t="str">
        <x:v>Static</x:v>
      </x:c>
      <x:c r="G311" s="48" t="str">
        <x:v>Stage 2 candidate - direct/deterministic</x:v>
      </x:c>
      <x:c r="H311" s="47" t="str">
        <x:v>High</x:v>
      </x:c>
      <x:c r="I311" s="47" t="str">
        <x:v>No</x:v>
      </x:c>
      <x:c r="J311" s="47" t="str">
        <x:v>ELIGIBLE</x:v>
      </x:c>
      <x:c r="K311" s="47" t="str">
        <x:v>NOT_RUN</x:v>
      </x:c>
    </x:row>
    <x:row r="312">
      <x:c r="A312" s="47" t="str">
        <x:v>TRF-128</x:v>
      </x:c>
      <x:c r="B312" s="48" t="str">
        <x:v>Ice Class Regulations and the Application Thereof</x:v>
      </x:c>
      <x:c r="C312" s="47" t="str">
        <x:v>TRAFICOM/68863/03.04.01.00/2021</x:v>
      </x:c>
      <x:c r="D312" s="59" t="n">
        <x:v>61</x:v>
      </x:c>
      <x:c r="E312" s="47" t="str">
        <x:v>7.1</x:v>
      </x:c>
      <x:c r="F312" s="47" t="str">
        <x:v>Static</x:v>
      </x:c>
      <x:c r="G312" s="48" t="str">
        <x:v>Stage 2 candidate - direct static</x:v>
      </x:c>
      <x:c r="H312" s="47" t="str">
        <x:v>Direct static</x:v>
      </x:c>
      <x:c r="I312" s="47" t="str">
        <x:v>No</x:v>
      </x:c>
      <x:c r="J312" s="47" t="str">
        <x:v>ELIGIBLE</x:v>
      </x:c>
      <x:c r="K312" s="47" t="str">
        <x:v>NOT_RUN</x:v>
      </x:c>
    </x:row>
    <x:row r="313">
      <x:c r="A313" s="47" t="str">
        <x:v>TRF-129</x:v>
      </x:c>
      <x:c r="B313" s="48" t="str">
        <x:v>Ice Class Regulations and the Application Thereof</x:v>
      </x:c>
      <x:c r="C313" s="47" t="str">
        <x:v>TRAFICOM/68863/03.04.01.00/2021</x:v>
      </x:c>
      <x:c r="D313" s="59" t="n">
        <x:v>61</x:v>
      </x:c>
      <x:c r="E313" s="47" t="str">
        <x:v>7.2</x:v>
      </x:c>
      <x:c r="F313" s="47" t="str">
        <x:v>Static</x:v>
      </x:c>
      <x:c r="G313" s="48" t="str">
        <x:v>Stage 2 candidate - direct/deterministic</x:v>
      </x:c>
      <x:c r="H313" s="47" t="str">
        <x:v>High</x:v>
      </x:c>
      <x:c r="I313" s="47" t="str">
        <x:v>No</x:v>
      </x:c>
      <x:c r="J313" s="47" t="str">
        <x:v>ELIGIBLE</x:v>
      </x:c>
      <x:c r="K313" s="47" t="str">
        <x:v>NOT_RUN</x:v>
      </x:c>
    </x:row>
    <x:row r="314">
      <x:c r="A314" s="47" t="str">
        <x:v>TRF-130</x:v>
      </x:c>
      <x:c r="B314" s="48" t="str">
        <x:v>Ice Class Regulations and the Application Thereof</x:v>
      </x:c>
      <x:c r="C314" s="47" t="str">
        <x:v>TRAFICOM/68863/03.04.01.00/2021</x:v>
      </x:c>
      <x:c r="D314" s="59" t="n">
        <x:v>62</x:v>
      </x:c>
      <x:c r="E314" s="47" t="str">
        <x:v>7.2</x:v>
      </x:c>
      <x:c r="F314" s="47" t="str">
        <x:v>Static Calculation</x:v>
      </x:c>
      <x:c r="G314" s="48" t="str">
        <x:v>Stage 2 candidate - direct calculation</x:v>
      </x:c>
      <x:c r="H314" s="47" t="str">
        <x:v>Direct calculation</x:v>
      </x:c>
      <x:c r="I314" s="47" t="str">
        <x:v>No</x:v>
      </x:c>
      <x:c r="J314" s="47" t="str">
        <x:v>ELIGIBLE</x:v>
      </x:c>
      <x:c r="K314" s="47" t="str">
        <x:v>NOT_RUN</x:v>
      </x:c>
    </x:row>
    <x:row r="315">
      <x:c r="A315" s="47" t="str">
        <x:v>TRF-131</x:v>
      </x:c>
      <x:c r="B315" s="48" t="str">
        <x:v>Ice Class Regulations and the Application Thereof</x:v>
      </x:c>
      <x:c r="C315" s="47" t="str">
        <x:v>TRAFICOM/68863/03.04.01.00/2021</x:v>
      </x:c>
      <x:c r="D315" s="59" t="n">
        <x:v>62</x:v>
      </x:c>
      <x:c r="E315" s="47" t="str">
        <x:v>7.2</x:v>
      </x:c>
      <x:c r="F315" s="47" t="str">
        <x:v>Static</x:v>
      </x:c>
      <x:c r="G315" s="48" t="str">
        <x:v>Stage 2 candidate - direct/deterministic</x:v>
      </x:c>
      <x:c r="H315" s="47" t="str">
        <x:v>High</x:v>
      </x:c>
      <x:c r="I315" s="47" t="str">
        <x:v>No</x:v>
      </x:c>
      <x:c r="J315" s="47" t="str">
        <x:v>ELIGIBLE</x:v>
      </x:c>
      <x:c r="K315" s="47" t="str">
        <x:v>NOT_RUN</x:v>
      </x:c>
    </x:row>
    <x:row r="316">
      <x:c r="A316" s="47" t="str">
        <x:v>TRF-132</x:v>
      </x:c>
      <x:c r="B316" s="48" t="str">
        <x:v>Ice Class Regulations and the Application Thereof</x:v>
      </x:c>
      <x:c r="C316" s="47" t="str">
        <x:v>TRAFICOM/68863/03.04.01.00/2021</x:v>
      </x:c>
      <x:c r="D316" s="59" t="n">
        <x:v>64</x:v>
      </x:c>
      <x:c r="E316" s="47" t="str">
        <x:v>8</x:v>
      </x:c>
      <x:c r="F316" s="47" t="str">
        <x:v>Static Calculation</x:v>
      </x:c>
      <x:c r="G316" s="48" t="str">
        <x:v>Stage 2 candidate - direct/deterministic</x:v>
      </x:c>
      <x:c r="H316" s="47" t="str">
        <x:v>High</x:v>
      </x:c>
      <x:c r="I316" s="47" t="str">
        <x:v>No</x:v>
      </x:c>
      <x:c r="J316" s="47" t="str">
        <x:v>ELIGIBLE</x:v>
      </x:c>
      <x:c r="K316" s="47" t="str">
        <x:v>NOT_RUN</x:v>
      </x:c>
    </x:row>
    <x:row r="317">
      <x:c r="A317" s="49" t="str">
        <x:v>TRF-133</x:v>
      </x:c>
      <x:c r="B317" s="50" t="str">
        <x:v>Ice Class Regulations and the Application Thereof</x:v>
      </x:c>
      <x:c r="C317" s="49" t="str">
        <x:v>TRAFICOM/68863/03.04.01.00/2021</x:v>
      </x:c>
      <x:c r="D317" s="60" t="n">
        <x:v>65</x:v>
      </x:c>
      <x:c r="E317" s="49" t="str">
        <x:v>8</x:v>
      </x:c>
      <x:c r="F317" s="49" t="str">
        <x:v>Static</x:v>
      </x:c>
      <x:c r="G317" s="50" t="str">
        <x:v>Stage 2 candidate - direct/deterministic</x:v>
      </x:c>
      <x:c r="H317" s="49" t="str">
        <x:v>High</x:v>
      </x:c>
      <x:c r="I317" s="49" t="str">
        <x:v>No</x:v>
      </x:c>
      <x:c r="J317" s="49" t="str">
        <x:v>ELIGIBLE</x:v>
      </x:c>
      <x:c r="K317" s="49" t="str">
        <x:v>NOT_RUN</x:v>
      </x:c>
    </x:row>
  </x:sheetData>
  <x:conditionalFormatting sqref="G5:G317">
    <x:cfRule type="containsText" dxfId="0" priority="1" operator="containsText" text="ACCEPT"/>
    <x:cfRule type="containsText" dxfId="1" priority="2" operator="containsText" text="ELIGIBLE"/>
    <x:cfRule type="containsText" dxfId="2" priority="3" operator="containsText" text="PASS"/>
    <x:cfRule type="containsText" dxfId="3" priority="4" operator="containsText" text="GAP"/>
    <x:cfRule type="containsText" dxfId="4" priority="5" operator="containsText" text="FAIL"/>
    <x:cfRule type="containsText" dxfId="5" priority="6" operator="containsText" text="DEFERRED"/>
  </x:conditionalFormatting>
  <x:conditionalFormatting sqref="J5:J317">
    <x:cfRule type="containsText" dxfId="6" priority="7" operator="containsText" text="ACCEPT"/>
    <x:cfRule type="containsText" dxfId="7" priority="8" operator="containsText" text="ELIGIBLE"/>
    <x:cfRule type="containsText" dxfId="8" priority="9" operator="containsText" text="PASS"/>
    <x:cfRule type="containsText" dxfId="9" priority="10" operator="containsText" text="GAP"/>
    <x:cfRule type="containsText" dxfId="10" priority="11" operator="containsText" text="FAIL"/>
    <x:cfRule type="containsText" dxfId="11" priority="12" operator="containsText" text="DEFERRED"/>
  </x:conditionalFormatting>
  <x:conditionalFormatting sqref="K5:K317">
    <x:cfRule type="containsText" dxfId="12" priority="13" operator="containsText" text="ACCEPT"/>
    <x:cfRule type="containsText" dxfId="13" priority="14" operator="containsText" text="ELIGIBLE"/>
    <x:cfRule type="containsText" dxfId="14" priority="15" operator="containsText" text="PASS"/>
    <x:cfRule type="containsText" dxfId="15" priority="16" operator="containsText" text="GAP"/>
    <x:cfRule type="containsText" dxfId="16" priority="17" operator="containsText" text="FAIL"/>
    <x:cfRule type="containsText" dxfId="17" priority="18" operator="containsText" text="DEFERRED"/>
  </x:conditionalFormatting>
  <x:pageMargins left="0.7" right="0.7" top="0.75" bottom="0.75" header="0.3" footer="0.3"/>
  <x:tableParts count="1">
    <x:tablePart xmlns:r="http://schemas.openxmlformats.org/officeDocument/2006/relationships" r:id="Rb0708f2136c745f6"/>
  </x:tableParts>
</x:worksheet>
</file>

<file path=xl/worksheets/sheet4.xml><?xml version="1.0" encoding="utf-8"?>
<x:worksheet xmlns:x="http://schemas.openxmlformats.org/spreadsheetml/2006/main">
  <x:sheetViews>
    <x:sheetView showGridLines="0" workbookViewId="0"/>
  </x:sheetViews>
  <x:sheetFormatPr defaultRowHeight="15"/>
  <x:cols>
    <x:col min="1" max="1" width="36" hidden="0" customWidth="1"/>
    <x:col min="2" max="2" width="42" hidden="0" customWidth="1"/>
    <x:col min="3" max="3" width="18" hidden="0" customWidth="1"/>
    <x:col min="4" max="4" width="25" hidden="0" customWidth="1"/>
    <x:col min="5" max="5" width="25" hidden="0" customWidth="1"/>
    <x:col min="6" max="6" width="23" hidden="0" customWidth="1"/>
    <x:col min="7" max="7" width="24" hidden="0" customWidth="1"/>
    <x:col min="8" max="8" width="11" hidden="0" customWidth="1"/>
    <x:col min="9" max="9" width="21" hidden="0" customWidth="1"/>
    <x:col min="10" max="10" width="11" hidden="0" customWidth="1"/>
    <x:col min="11" max="11" width="23" hidden="0" customWidth="1"/>
    <x:col min="12" max="12" width="52" hidden="0" customWidth="1"/>
  </x:cols>
  <x:sheetData>
    <x:row r="1">
      <x:c r="A1" s="18" t="str">
        <x:v>NLTL SHACL Pipeline Run Tracker</x:v>
      </x:c>
      <x:c r="B1" s="19"/>
      <x:c r="C1" s="19"/>
      <x:c r="D1" s="19"/>
      <x:c r="E1" s="19"/>
      <x:c r="F1" s="19"/>
      <x:c r="G1" s="19"/>
      <x:c r="H1" s="19"/>
      <x:c r="I1" s="19"/>
      <x:c r="J1" s="19"/>
      <x:c r="K1" s="19"/>
      <x:c r="L1" s="19"/>
    </x:row>
    <x:row r="2">
      <x:c r="A2" s="20" t="str">
        <x:v>RUNS | Run folder: RUN-IMO-062-20260827T205554837770Z</x:v>
      </x:c>
      <x:c r="B2" s="20"/>
      <x:c r="C2" s="20"/>
      <x:c r="D2" s="20"/>
      <x:c r="E2" s="20"/>
      <x:c r="F2" s="20"/>
      <x:c r="G2" s="20"/>
      <x:c r="H2" s="20"/>
      <x:c r="I2" s="20"/>
      <x:c r="J2" s="20"/>
      <x:c r="K2" s="20"/>
      <x:c r="L2" s="20"/>
    </x:row>
    <x:row r="3">
      <x:c r="A3" s="21"/>
      <x:c r="B3" s="21"/>
      <x:c r="C3" s="21"/>
      <x:c r="D3" s="21"/>
      <x:c r="E3" s="21"/>
      <x:c r="F3" s="21"/>
      <x:c r="G3" s="21"/>
      <x:c r="H3" s="21"/>
      <x:c r="I3" s="21"/>
      <x:c r="J3" s="21"/>
      <x:c r="K3" s="21"/>
      <x:c r="L3" s="21"/>
    </x:row>
    <x:row r="4" ht="30" customHeight="1">
      <x:c r="A4" s="43" t="str">
        <x:v>SESSION_ID</x:v>
      </x:c>
      <x:c r="B4" s="57" t="str">
        <x:v>RUN_ID</x:v>
      </x:c>
      <x:c r="C4" s="57" t="str">
        <x:v>REQUIREMENT_ID</x:v>
      </x:c>
      <x:c r="D4" s="57" t="str">
        <x:v>STARTED_UTC</x:v>
      </x:c>
      <x:c r="E4" s="57" t="str">
        <x:v>FINISHED_UTC</x:v>
      </x:c>
      <x:c r="F4" s="57" t="str">
        <x:v>PIPELINE_VERSION</x:v>
      </x:c>
      <x:c r="G4" s="57" t="str">
        <x:v>VOCABULARY_LOCK_ID</x:v>
      </x:c>
      <x:c r="H4" s="57" t="str">
        <x:v>ATTEMPTS</x:v>
      </x:c>
      <x:c r="I4" s="57" t="str">
        <x:v>FINAL_STATUS</x:v>
      </x:c>
      <x:c r="J4" s="57" t="str">
        <x:v>ACCEPTED</x:v>
      </x:c>
      <x:c r="K4" s="57" t="str">
        <x:v>FINAL_SHAPE</x:v>
      </x:c>
      <x:c r="L4" s="44" t="str">
        <x:v>FINAL_FEEDBACK</x:v>
      </x:c>
    </x:row>
    <x:row r="5">
      <x:c r="A5" s="69" t="str">
        <x:v>SESSION-BATCH-20260827T190357989787Z</x:v>
      </x:c>
      <x:c r="B5" s="69" t="str">
        <x:v>RUN-IMO-062-20260827T205554837770Z</x:v>
      </x:c>
      <x:c r="C5" s="69" t="str">
        <x:v>IMO-062</x:v>
      </x:c>
      <x:c r="D5" s="70" t="n">
        <x:v>46261.87216247685</x:v>
      </x:c>
      <x:c r="E5" s="70" t="n">
        <x:v>46261.873044085645</x:v>
      </x:c>
      <x:c r="F5" s="69" t="str">
        <x:v>final-luna-main-run02</x:v>
      </x:c>
      <x:c r="G5" s="69" t="str">
        <x:v>VOCAB-LOCK-2026-08-22-R13</x:v>
      </x:c>
      <x:c r="H5" s="71" t="n">
        <x:v>3</x:v>
      </x:c>
      <x:c r="I5" s="69" t="str">
        <x:v>GENERATION_ACCEPTED</x:v>
      </x:c>
      <x:c r="J5" s="72" t="b">
        <x:v>1</x:v>
      </x:c>
      <x:c r="K5" s="69" t="str">
        <x:v>final/final_shape.ttl</x:v>
      </x:c>
      <x:c r="L5" s="73" t="str">
        <x:v>The candidate is semantically faithful and deterministic validation is valid. It preserves the required ship-level iceSnowMitigationCoverage operand with an inclusive true constraint, applies route accessibility and safety checks to exposed escape routes, and requires the declared mitigation-evidence relationship and evidence artifact without duplicating route facts across owners.</x:v>
      </x:c>
    </x:row>
  </x:sheetData>
  <x:conditionalFormatting sqref="I5:I5">
    <x:cfRule type="containsText" dxfId="18" priority="1" operator="containsText" text="ACCEPT"/>
    <x:cfRule type="containsText" dxfId="19" priority="2" operator="containsText" text="ELIGIBLE"/>
    <x:cfRule type="containsText" dxfId="20" priority="3" operator="containsText" text="PASS"/>
    <x:cfRule type="containsText" dxfId="21" priority="4" operator="containsText" text="GAP"/>
    <x:cfRule type="containsText" dxfId="22" priority="5" operator="containsText" text="FAIL"/>
    <x:cfRule type="containsText" dxfId="23" priority="6" operator="containsText" text="DEFERRED"/>
  </x:conditionalFormatting>
  <x:pageMargins left="0.7" right="0.7" top="0.75" bottom="0.75" header="0.3" footer="0.3"/>
  <x:tableParts count="1">
    <x:tablePart xmlns:r="http://schemas.openxmlformats.org/officeDocument/2006/relationships" r:id="Ra2a6a49484a34839"/>
  </x:tableParts>
</x:worksheet>
</file>

<file path=xl/worksheets/sheet5.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4" hidden="0" customWidth="1"/>
    <x:col min="5" max="5" width="18" hidden="0" customWidth="1"/>
    <x:col min="6" max="6" width="19" hidden="0" customWidth="1"/>
    <x:col min="7" max="7" width="11" hidden="0" customWidth="1"/>
    <x:col min="8" max="8" width="52" hidden="0" customWidth="1"/>
    <x:col min="9" max="9" width="22" hidden="0" customWidth="1"/>
    <x:col min="10" max="10" width="22" hidden="0" customWidth="1"/>
  </x:cols>
  <x:sheetData>
    <x:row r="1">
      <x:c r="A1" s="18" t="str">
        <x:v>NLTL SHACL Pipeline Run Tracker</x:v>
      </x:c>
      <x:c r="B1" s="19"/>
      <x:c r="C1" s="19"/>
      <x:c r="D1" s="19"/>
      <x:c r="E1" s="19"/>
      <x:c r="F1" s="19"/>
      <x:c r="G1" s="19"/>
      <x:c r="H1" s="19"/>
      <x:c r="I1" s="19"/>
      <x:c r="J1" s="19"/>
    </x:row>
    <x:row r="2">
      <x:c r="A2" s="20" t="str">
        <x:v>ITERATIONS | Run folder: RUN-IMO-062-20260827T205554837770Z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STATIC_VALID</x:v>
      </x:c>
      <x:c r="E4" s="57" t="str">
        <x:v>VALIDATOR_ACCEPT</x:v>
      </x:c>
      <x:c r="F4" s="57" t="str">
        <x:v>MATCHER_ACTIVATED</x:v>
      </x:c>
      <x:c r="G4" s="57" t="str">
        <x:v>DECISION</x:v>
      </x:c>
      <x:c r="H4" s="57" t="str">
        <x:v>FEEDBACK</x:v>
      </x:c>
      <x:c r="I4" s="57" t="str">
        <x:v>GENERATOR_ELAPSED_MS</x:v>
      </x:c>
      <x:c r="J4" s="44" t="str">
        <x:v>VALIDATOR_ELAPSED_MS</x:v>
      </x:c>
    </x:row>
    <x:row r="5">
      <x:c r="A5" s="45" t="str">
        <x:v>RUN-IMO-062-20260827T205554837770Z</x:v>
      </x:c>
      <x:c r="B5" s="45" t="str">
        <x:v>IMO-062</x:v>
      </x:c>
      <x:c r="C5" s="58" t="n">
        <x:v>1</x:v>
      </x:c>
      <x:c r="D5" s="83" t="b">
        <x:v>1</x:v>
      </x:c>
      <x:c r="E5" s="83" t="b">
        <x:v>0</x:v>
      </x:c>
      <x:c r="F5" s="83" t="b">
        <x:v>0</x:v>
      </x:c>
      <x:c r="G5" s="45" t="str">
        <x:v>REVISE</x:v>
      </x:c>
      <x:c r="H5" s="46" t="str">
        <x:v>The graph duplicates the route requirement with ship-level accessibleStatus, safeStatus, and iceSnowMitigationCoverage checks. Those ship-level booleans do not establish the required condition for every exposed escape route and impose an additional aggregate requirement. Encode the declared operand terms only at their authoritative owner, and use the exposed-route shape plus its required evidence relationship to enforce the per-route requirement; do not duplicate the same accessibility, safety, or mitigation fact across ship and route nodes.</x:v>
      </x:c>
      <x:c r="I5" s="84" t="n">
        <x:v>9294.964</x:v>
      </x:c>
      <x:c r="J5" s="84" t="n">
        <x:v>19268.342</x:v>
      </x:c>
    </x:row>
    <x:row r="6">
      <x:c r="A6" s="47" t="str">
        <x:v>RUN-IMO-062-20260827T205554837770Z</x:v>
      </x:c>
      <x:c r="B6" s="47" t="str">
        <x:v>IMO-062</x:v>
      </x:c>
      <x:c r="C6" s="59" t="n">
        <x:v>2</x:v>
      </x:c>
      <x:c r="D6" s="85" t="b">
        <x:v>1</x:v>
      </x:c>
      <x:c r="E6" s="85" t="b">
        <x:v>0</x:v>
      </x:c>
      <x:c r="F6" s="85" t="b">
        <x:v>0</x:v>
      </x:c>
      <x:c r="G6" s="47" t="str">
        <x:v>REVISE</x:v>
      </x:c>
      <x:c r="H6" s="48" t="str">
        <x:v>The candidate correctly removes the obsolete ship-level status duplicates and enforces the per-route evidence relationship, but it omits the declared operand term iceSnowMitigationCoverage from the COMPLETE dependency contract. Encode that supplied canonical boolean at its authoritative declared owner (ship) with the required true constraint, while retaining the exposed-route accessibility, safety, and evidence checks; do not relocate it to the route or invent a replacement term.</x:v>
      </x:c>
      <x:c r="I6" s="86" t="n">
        <x:v>12795.947</x:v>
      </x:c>
      <x:c r="J6" s="86" t="n">
        <x:v>14779.553</x:v>
      </x:c>
    </x:row>
    <x:row r="7">
      <x:c r="A7" s="49" t="str">
        <x:v>RUN-IMO-062-20260827T205554837770Z</x:v>
      </x:c>
      <x:c r="B7" s="49" t="str">
        <x:v>IMO-062</x:v>
      </x:c>
      <x:c r="C7" s="60" t="n">
        <x:v>3</x:v>
      </x:c>
      <x:c r="D7" s="87" t="b">
        <x:v>1</x:v>
      </x:c>
      <x:c r="E7" s="87" t="b">
        <x:v>1</x:v>
      </x:c>
      <x:c r="F7" s="87" t="b">
        <x:v>0</x:v>
      </x:c>
      <x:c r="G7" s="49" t="str">
        <x:v>ACCEPT</x:v>
      </x:c>
      <x:c r="H7" s="50" t="str">
        <x:v>The candidate is semantically faithful and deterministic validation is valid. It preserves the required ship-level iceSnowMitigationCoverage operand with an inclusive true constraint, applies route accessibility and safety checks to exposed escape routes, and requires the declared mitigation-evidence relationship and evidence artifact without duplicating route facts across owners.</x:v>
      </x:c>
      <x:c r="I7" s="88" t="n">
        <x:v>12431.617</x:v>
      </x:c>
      <x:c r="J7" s="88" t="n">
        <x:v>7348.425</x:v>
      </x:c>
    </x:row>
  </x:sheetData>
  <x:conditionalFormatting sqref="G5:G7">
    <x:cfRule type="containsText" dxfId="24" priority="1" operator="containsText" text="ACCEPT"/>
    <x:cfRule type="containsText" dxfId="25" priority="2" operator="containsText" text="ELIGIBLE"/>
    <x:cfRule type="containsText" dxfId="26" priority="3" operator="containsText" text="PASS"/>
    <x:cfRule type="containsText" dxfId="27" priority="4" operator="containsText" text="GAP"/>
    <x:cfRule type="containsText" dxfId="28" priority="5" operator="containsText" text="FAIL"/>
    <x:cfRule type="containsText" dxfId="29" priority="6" operator="containsText" text="DEFERRED"/>
  </x:conditionalFormatting>
  <x:pageMargins left="0.7" right="0.7" top="0.75" bottom="0.75" header="0.3" footer="0.3"/>
  <x:tableParts count="1">
    <x:tablePart xmlns:r="http://schemas.openxmlformats.org/officeDocument/2006/relationships" r:id="R8b56903f86494a30"/>
  </x:tableParts>
</x:worksheet>
</file>

<file path=xl/worksheets/sheet6.xml><?xml version="1.0" encoding="utf-8"?>
<x:worksheet xmlns:x="http://schemas.openxmlformats.org/spreadsheetml/2006/main">
  <x:sheetViews>
    <x:sheetView showGridLines="0" workbookViewId="0"/>
  </x:sheetViews>
  <x:sheetFormatPr defaultRowHeight="15"/>
  <x:cols>
    <x:col min="1" max="1" width="16" hidden="0" customWidth="1"/>
    <x:col min="2" max="2" width="42" hidden="0" customWidth="1"/>
    <x:col min="3" max="3" width="18" hidden="0" customWidth="1"/>
    <x:col min="4" max="4" width="25" hidden="0" customWidth="1"/>
    <x:col min="5" max="5" width="11" hidden="0" customWidth="1"/>
    <x:col min="6" max="6" width="30" hidden="0" customWidth="1"/>
    <x:col min="7" max="7" width="19" hidden="0" customWidth="1"/>
    <x:col min="8" max="8" width="11" hidden="0" customWidth="1"/>
    <x:col min="9" max="9" width="24" hidden="0" customWidth="1"/>
    <x:col min="10" max="10" width="20" hidden="0" customWidth="1"/>
    <x:col min="11" max="11" width="12" hidden="0" customWidth="1"/>
    <x:col min="12" max="12" width="11" hidden="0" customWidth="1"/>
    <x:col min="13" max="13" width="24" hidden="0" customWidth="1"/>
    <x:col min="14" max="14" width="14" hidden="0" customWidth="1"/>
    <x:col min="15" max="15" width="15" hidden="0" customWidth="1"/>
    <x:col min="16" max="16" width="14" hidden="0" customWidth="1"/>
  </x:cols>
  <x:sheetData>
    <x:row r="1">
      <x:c r="A1" s="18" t="str">
        <x:v>NLTL SHACL Pipeline Run Tracker</x:v>
      </x:c>
      <x:c r="B1" s="19"/>
      <x:c r="C1" s="19"/>
      <x:c r="D1" s="19"/>
      <x:c r="E1" s="19"/>
      <x:c r="F1" s="19"/>
      <x:c r="G1" s="19"/>
      <x:c r="H1" s="19"/>
      <x:c r="I1" s="19"/>
      <x:c r="J1" s="19"/>
      <x:c r="K1" s="19"/>
      <x:c r="L1" s="19"/>
      <x:c r="M1" s="19"/>
      <x:c r="N1" s="19"/>
      <x:c r="O1" s="19"/>
      <x:c r="P1" s="19"/>
    </x:row>
    <x:row r="2">
      <x:c r="A2" s="20" t="str">
        <x:v>API_CALLS | Run folder: RUN-IMO-062-20260827T205554837770Z</x:v>
      </x:c>
      <x:c r="B2" s="20"/>
      <x:c r="C2" s="20"/>
      <x:c r="D2" s="20"/>
      <x:c r="E2" s="20"/>
      <x:c r="F2" s="20"/>
      <x:c r="G2" s="20"/>
      <x:c r="H2" s="20"/>
      <x:c r="I2" s="20"/>
      <x:c r="J2" s="20"/>
      <x:c r="K2" s="20"/>
      <x:c r="L2" s="20"/>
      <x:c r="M2" s="20"/>
      <x:c r="N2" s="20"/>
      <x:c r="O2" s="20"/>
      <x:c r="P2" s="20"/>
    </x:row>
    <x:row r="3">
      <x:c r="A3" s="21"/>
      <x:c r="B3" s="21"/>
      <x:c r="C3" s="21"/>
      <x:c r="D3" s="21"/>
      <x:c r="E3" s="21"/>
      <x:c r="F3" s="21"/>
      <x:c r="G3" s="21"/>
      <x:c r="H3" s="21"/>
      <x:c r="I3" s="21"/>
      <x:c r="J3" s="21"/>
      <x:c r="K3" s="21"/>
      <x:c r="L3" s="21"/>
      <x:c r="M3" s="21"/>
      <x:c r="N3" s="21"/>
      <x:c r="O3" s="21"/>
      <x:c r="P3" s="21"/>
    </x:row>
    <x:row r="4" ht="30" customHeight="1">
      <x:c r="A4" s="43" t="str">
        <x:v>EVENT_ID</x:v>
      </x:c>
      <x:c r="B4" s="57" t="str">
        <x:v>RUN_ID</x:v>
      </x:c>
      <x:c r="C4" s="57" t="str">
        <x:v>REQUIREMENT_ID</x:v>
      </x:c>
      <x:c r="D4" s="57" t="str">
        <x:v>TIMESTAMP_UTC</x:v>
      </x:c>
      <x:c r="E4" s="57" t="str">
        <x:v>ROLE</x:v>
      </x:c>
      <x:c r="F4" s="57" t="str">
        <x:v>MODEL</x:v>
      </x:c>
      <x:c r="G4" s="57" t="str">
        <x:v>TRANSPORT_ATTEMPT</x:v>
      </x:c>
      <x:c r="H4" s="57" t="str">
        <x:v>STATUS</x:v>
      </x:c>
      <x:c r="I4" s="57" t="str">
        <x:v>AUTH_HEADER_NAME</x:v>
      </x:c>
      <x:c r="J4" s="57" t="str">
        <x:v>RATE_LIMIT_WAIT_MS</x:v>
      </x:c>
      <x:c r="K4" s="57" t="str">
        <x:v>ELAPSED_MS</x:v>
      </x:c>
      <x:c r="L4" s="57" t="str">
        <x:v>RETRYING</x:v>
      </x:c>
      <x:c r="M4" s="57" t="str">
        <x:v>RESPONSE_ID</x:v>
      </x:c>
      <x:c r="N4" s="57" t="str">
        <x:v>INPUT_TOKENS</x:v>
      </x:c>
      <x:c r="O4" s="57" t="str">
        <x:v>OUTPUT_TOKENS</x:v>
      </x:c>
      <x:c r="P4" s="44" t="str">
        <x:v>TOTAL_TOKENS</x:v>
      </x:c>
    </x:row>
    <x:row r="5">
      <x:c r="A5" s="45" t="str">
        <x:v>EVT-000019</x:v>
      </x:c>
      <x:c r="B5" s="45" t="str">
        <x:v>RUN-IMO-062-20260827T205554837770Z</x:v>
      </x:c>
      <x:c r="C5" s="45" t="str">
        <x:v>IMO-062</x:v>
      </x:c>
      <x:c r="D5" s="92" t="n">
        <x:v>46261.87227006944</x:v>
      </x:c>
      <x:c r="E5" s="45" t="str">
        <x:v>generator</x:v>
      </x:c>
      <x:c r="F5" s="45" t="str">
        <x:v>gpt-5.6-luna-2026-07-09</x:v>
      </x:c>
      <x:c r="G5" s="45" t="n">
        <x:v>1</x:v>
      </x:c>
      <x:c r="H5" s="45" t="n">
        <x:v>200</x:v>
      </x:c>
      <x:c r="I5" s="45" t="str">
        <x:v>Ocp-Apim-Subscription-Key</x:v>
      </x:c>
      <x:c r="J5" s="84" t="n">
        <x:v>0</x:v>
      </x:c>
      <x:c r="K5" s="84" t="n">
        <x:v>9293.355</x:v>
      </x:c>
      <x:c r="L5" s="83" t="b">
        <x:v>0</x:v>
      </x:c>
      <x:c r="M5" s="45" t="str"/>
      <x:c r="N5" s="58" t="str"/>
      <x:c r="O5" s="58" t="str"/>
      <x:c r="P5" s="58" t="str"/>
    </x:row>
    <x:row r="6">
      <x:c r="A6" s="47" t="str">
        <x:v>EVT-000020</x:v>
      </x:c>
      <x:c r="B6" s="47" t="str">
        <x:v>RUN-IMO-062-20260827T205554837770Z</x:v>
      </x:c>
      <x:c r="C6" s="47" t="str">
        <x:v>IMO-062</x:v>
      </x:c>
      <x:c r="D6" s="93" t="n">
        <x:v>46261.87227008102</x:v>
      </x:c>
      <x:c r="E6" s="47" t="str">
        <x:v>generator</x:v>
      </x:c>
      <x:c r="F6" s="47" t="str">
        <x:v>gpt-5.6-luna-2026-07-09</x:v>
      </x:c>
      <x:c r="G6" s="47" t="n">
        <x:v>1</x:v>
      </x:c>
      <x:c r="H6" s="47" t="str">
        <x:v>COMPLETED</x:v>
      </x:c>
      <x:c r="I6" s="47" t="str"/>
      <x:c r="J6" s="86" t="n">
        <x:v>0</x:v>
      </x:c>
      <x:c r="K6" s="86" t="n">
        <x:v>9294.964</x:v>
      </x:c>
      <x:c r="L6" s="85" t="b">
        <x:v>0</x:v>
      </x:c>
      <x:c r="M6" s="47" t="str">
        <x:v>resp_0b7e13b9a6e3359c006a90a45aee0c81958b40667557cc5831</x:v>
      </x:c>
      <x:c r="N6" s="59" t="n">
        <x:v>7157</x:v>
      </x:c>
      <x:c r="O6" s="59" t="n">
        <x:v>1083</x:v>
      </x:c>
      <x:c r="P6" s="59" t="n">
        <x:v>8240</x:v>
      </x:c>
    </x:row>
    <x:row r="7">
      <x:c r="A7" s="47" t="str">
        <x:v>EVT-000027</x:v>
      </x:c>
      <x:c r="B7" s="47" t="str">
        <x:v>RUN-IMO-062-20260827T205554837770Z</x:v>
      </x:c>
      <x:c r="C7" s="47" t="str">
        <x:v>IMO-062</x:v>
      </x:c>
      <x:c r="D7" s="93" t="n">
        <x:v>46261.8724940625</x:v>
      </x:c>
      <x:c r="E7" s="47" t="str">
        <x:v>validator</x:v>
      </x:c>
      <x:c r="F7" s="47" t="str">
        <x:v>gpt-5.6-luna-2026-07-09</x:v>
      </x:c>
      <x:c r="G7" s="47" t="n">
        <x:v>1</x:v>
      </x:c>
      <x:c r="H7" s="47" t="n">
        <x:v>200</x:v>
      </x:c>
      <x:c r="I7" s="47" t="str">
        <x:v>Ocp-Apim-Subscription-Key</x:v>
      </x:c>
      <x:c r="J7" s="86" t="n">
        <x:v>0</x:v>
      </x:c>
      <x:c r="K7" s="86" t="n">
        <x:v>19266.846</x:v>
      </x:c>
      <x:c r="L7" s="85" t="b">
        <x:v>0</x:v>
      </x:c>
      <x:c r="M7" s="47" t="str"/>
      <x:c r="N7" s="59" t="str"/>
      <x:c r="O7" s="59" t="str"/>
      <x:c r="P7" s="59" t="str"/>
    </x:row>
    <x:row r="8">
      <x:c r="A8" s="47" t="str">
        <x:v>EVT-000028</x:v>
      </x:c>
      <x:c r="B8" s="47" t="str">
        <x:v>RUN-IMO-062-20260827T205554837770Z</x:v>
      </x:c>
      <x:c r="C8" s="47" t="str">
        <x:v>IMO-062</x:v>
      </x:c>
      <x:c r="D8" s="93" t="n">
        <x:v>46261.87249408565</x:v>
      </x:c>
      <x:c r="E8" s="47" t="str">
        <x:v>validator</x:v>
      </x:c>
      <x:c r="F8" s="47" t="str">
        <x:v>gpt-5.6-luna-2026-07-09</x:v>
      </x:c>
      <x:c r="G8" s="47" t="n">
        <x:v>1</x:v>
      </x:c>
      <x:c r="H8" s="47" t="str">
        <x:v>COMPLETED</x:v>
      </x:c>
      <x:c r="I8" s="47" t="str"/>
      <x:c r="J8" s="86" t="n">
        <x:v>0</x:v>
      </x:c>
      <x:c r="K8" s="86" t="n">
        <x:v>19268.342</x:v>
      </x:c>
      <x:c r="L8" s="85" t="b">
        <x:v>0</x:v>
      </x:c>
      <x:c r="M8" s="47" t="str">
        <x:v>resp_03671f9cae32cab8006a90a4644fe081908e9782158e635dde</x:v>
      </x:c>
      <x:c r="N8" s="59" t="n">
        <x:v>7085</x:v>
      </x:c>
      <x:c r="O8" s="59" t="n">
        <x:v>1667</x:v>
      </x:c>
      <x:c r="P8" s="59" t="n">
        <x:v>8752</x:v>
      </x:c>
    </x:row>
    <x:row r="9">
      <x:c r="A9" s="47" t="str">
        <x:v>EVT-000033</x:v>
      </x:c>
      <x:c r="B9" s="47" t="str">
        <x:v>RUN-IMO-062-20260827T205554837770Z</x:v>
      </x:c>
      <x:c r="C9" s="47" t="str">
        <x:v>IMO-062</x:v>
      </x:c>
      <x:c r="D9" s="93" t="n">
        <x:v>46261.87264223379</x:v>
      </x:c>
      <x:c r="E9" s="47" t="str">
        <x:v>generator</x:v>
      </x:c>
      <x:c r="F9" s="47" t="str">
        <x:v>gpt-5.6-luna-2026-07-09</x:v>
      </x:c>
      <x:c r="G9" s="47" t="n">
        <x:v>1</x:v>
      </x:c>
      <x:c r="H9" s="47" t="n">
        <x:v>200</x:v>
      </x:c>
      <x:c r="I9" s="47" t="str">
        <x:v>Ocp-Apim-Subscription-Key</x:v>
      </x:c>
      <x:c r="J9" s="86" t="n">
        <x:v>0</x:v>
      </x:c>
      <x:c r="K9" s="86" t="n">
        <x:v>12794.482</x:v>
      </x:c>
      <x:c r="L9" s="85" t="b">
        <x:v>0</x:v>
      </x:c>
      <x:c r="M9" s="47" t="str"/>
      <x:c r="N9" s="59" t="str"/>
      <x:c r="O9" s="59" t="str"/>
      <x:c r="P9" s="59" t="str"/>
    </x:row>
    <x:row r="10">
      <x:c r="A10" s="47" t="str">
        <x:v>EVT-000034</x:v>
      </x:c>
      <x:c r="B10" s="47" t="str">
        <x:v>RUN-IMO-062-20260827T205554837770Z</x:v>
      </x:c>
      <x:c r="C10" s="47" t="str">
        <x:v>IMO-062</x:v>
      </x:c>
      <x:c r="D10" s="93" t="n">
        <x:v>46261.87264224537</x:v>
      </x:c>
      <x:c r="E10" s="47" t="str">
        <x:v>generator</x:v>
      </x:c>
      <x:c r="F10" s="47" t="str">
        <x:v>gpt-5.6-luna-2026-07-09</x:v>
      </x:c>
      <x:c r="G10" s="47" t="n">
        <x:v>1</x:v>
      </x:c>
      <x:c r="H10" s="47" t="str">
        <x:v>COMPLETED</x:v>
      </x:c>
      <x:c r="I10" s="47" t="str"/>
      <x:c r="J10" s="86" t="n">
        <x:v>0</x:v>
      </x:c>
      <x:c r="K10" s="86" t="n">
        <x:v>12795.947</x:v>
      </x:c>
      <x:c r="L10" s="85" t="b">
        <x:v>0</x:v>
      </x:c>
      <x:c r="M10" s="47" t="str">
        <x:v>resp_077166fdf04785a3006a90a477a4148195ad29eab5683c05ea</x:v>
      </x:c>
      <x:c r="N10" s="59" t="n">
        <x:v>7251</x:v>
      </x:c>
      <x:c r="O10" s="59" t="n">
        <x:v>1222</x:v>
      </x:c>
      <x:c r="P10" s="59" t="n">
        <x:v>8473</x:v>
      </x:c>
    </x:row>
    <x:row r="11">
      <x:c r="A11" s="47" t="str">
        <x:v>EVT-000041</x:v>
      </x:c>
      <x:c r="B11" s="47" t="str">
        <x:v>RUN-IMO-062-20260827T205554837770Z</x:v>
      </x:c>
      <x:c r="C11" s="47" t="str">
        <x:v>IMO-062</x:v>
      </x:c>
      <x:c r="D11" s="93" t="n">
        <x:v>46261.87281408565</x:v>
      </x:c>
      <x:c r="E11" s="47" t="str">
        <x:v>validator</x:v>
      </x:c>
      <x:c r="F11" s="47" t="str">
        <x:v>gpt-5.6-luna-2026-07-09</x:v>
      </x:c>
      <x:c r="G11" s="47" t="n">
        <x:v>1</x:v>
      </x:c>
      <x:c r="H11" s="47" t="n">
        <x:v>200</x:v>
      </x:c>
      <x:c r="I11" s="47" t="str">
        <x:v>Ocp-Apim-Subscription-Key</x:v>
      </x:c>
      <x:c r="J11" s="86" t="n">
        <x:v>0</x:v>
      </x:c>
      <x:c r="K11" s="86" t="n">
        <x:v>14778.073</x:v>
      </x:c>
      <x:c r="L11" s="85" t="b">
        <x:v>0</x:v>
      </x:c>
      <x:c r="M11" s="47" t="str"/>
      <x:c r="N11" s="59" t="str"/>
      <x:c r="O11" s="59" t="str"/>
      <x:c r="P11" s="59" t="str"/>
    </x:row>
    <x:row r="12">
      <x:c r="A12" s="47" t="str">
        <x:v>EVT-000042</x:v>
      </x:c>
      <x:c r="B12" s="47" t="str">
        <x:v>RUN-IMO-062-20260827T205554837770Z</x:v>
      </x:c>
      <x:c r="C12" s="47" t="str">
        <x:v>IMO-062</x:v>
      </x:c>
      <x:c r="D12" s="93" t="n">
        <x:v>46261.8728141088</x:v>
      </x:c>
      <x:c r="E12" s="47" t="str">
        <x:v>validator</x:v>
      </x:c>
      <x:c r="F12" s="47" t="str">
        <x:v>gpt-5.6-luna-2026-07-09</x:v>
      </x:c>
      <x:c r="G12" s="47" t="n">
        <x:v>1</x:v>
      </x:c>
      <x:c r="H12" s="47" t="str">
        <x:v>COMPLETED</x:v>
      </x:c>
      <x:c r="I12" s="47" t="str"/>
      <x:c r="J12" s="86" t="n">
        <x:v>0</x:v>
      </x:c>
      <x:c r="K12" s="86" t="n">
        <x:v>14779.553</x:v>
      </x:c>
      <x:c r="L12" s="85" t="b">
        <x:v>0</x:v>
      </x:c>
      <x:c r="M12" s="47" t="str">
        <x:v>resp_0d4315f2c41dfdc8006a90a484717881968b4621b5a5d6d677</x:v>
      </x:c>
      <x:c r="N12" s="59" t="n">
        <x:v>6576</x:v>
      </x:c>
      <x:c r="O12" s="59" t="n">
        <x:v>1138</x:v>
      </x:c>
      <x:c r="P12" s="59" t="n">
        <x:v>7714</x:v>
      </x:c>
    </x:row>
    <x:row r="13">
      <x:c r="A13" s="47" t="str">
        <x:v>EVT-000047</x:v>
      </x:c>
      <x:c r="B13" s="47" t="str">
        <x:v>RUN-IMO-062-20260827T205554837770Z</x:v>
      </x:c>
      <x:c r="C13" s="47" t="str">
        <x:v>IMO-062</x:v>
      </x:c>
      <x:c r="D13" s="93" t="n">
        <x:v>46261.87295804398</x:v>
      </x:c>
      <x:c r="E13" s="47" t="str">
        <x:v>generator</x:v>
      </x:c>
      <x:c r="F13" s="47" t="str">
        <x:v>gpt-5.6-luna-2026-07-09</x:v>
      </x:c>
      <x:c r="G13" s="47" t="n">
        <x:v>1</x:v>
      </x:c>
      <x:c r="H13" s="47" t="n">
        <x:v>200</x:v>
      </x:c>
      <x:c r="I13" s="47" t="str">
        <x:v>Ocp-Apim-Subscription-Key</x:v>
      </x:c>
      <x:c r="J13" s="86" t="n">
        <x:v>0</x:v>
      </x:c>
      <x:c r="K13" s="86" t="n">
        <x:v>12430.22</x:v>
      </x:c>
      <x:c r="L13" s="85" t="b">
        <x:v>0</x:v>
      </x:c>
      <x:c r="M13" s="47" t="str"/>
      <x:c r="N13" s="59" t="str"/>
      <x:c r="O13" s="59" t="str"/>
      <x:c r="P13" s="59" t="str"/>
    </x:row>
    <x:row r="14">
      <x:c r="A14" s="47" t="str">
        <x:v>EVT-000048</x:v>
      </x:c>
      <x:c r="B14" s="47" t="str">
        <x:v>RUN-IMO-062-20260827T205554837770Z</x:v>
      </x:c>
      <x:c r="C14" s="47" t="str">
        <x:v>IMO-062</x:v>
      </x:c>
      <x:c r="D14" s="93" t="n">
        <x:v>46261.87295806713</x:v>
      </x:c>
      <x:c r="E14" s="47" t="str">
        <x:v>generator</x:v>
      </x:c>
      <x:c r="F14" s="47" t="str">
        <x:v>gpt-5.6-luna-2026-07-09</x:v>
      </x:c>
      <x:c r="G14" s="47" t="n">
        <x:v>1</x:v>
      </x:c>
      <x:c r="H14" s="47" t="str">
        <x:v>COMPLETED</x:v>
      </x:c>
      <x:c r="I14" s="47" t="str"/>
      <x:c r="J14" s="86" t="n">
        <x:v>0</x:v>
      </x:c>
      <x:c r="K14" s="86" t="n">
        <x:v>12431.617</x:v>
      </x:c>
      <x:c r="L14" s="85" t="b">
        <x:v>0</x:v>
      </x:c>
      <x:c r="M14" s="47" t="str">
        <x:v>resp_011bed8a82f50bb9006a90a4934ecc8197b2c3d3dca21c6dd3</x:v>
      </x:c>
      <x:c r="N14" s="59" t="n">
        <x:v>7338</x:v>
      </x:c>
      <x:c r="O14" s="59" t="n">
        <x:v>1295</x:v>
      </x:c>
      <x:c r="P14" s="59" t="n">
        <x:v>8633</x:v>
      </x:c>
    </x:row>
    <x:row r="15">
      <x:c r="A15" s="47" t="str">
        <x:v>EVT-000055</x:v>
      </x:c>
      <x:c r="B15" s="47" t="str">
        <x:v>RUN-IMO-062-20260827T205554837770Z</x:v>
      </x:c>
      <x:c r="C15" s="47" t="str">
        <x:v>IMO-062</x:v>
      </x:c>
      <x:c r="D15" s="93" t="n">
        <x:v>46261.87304400463</x:v>
      </x:c>
      <x:c r="E15" s="47" t="str">
        <x:v>validator</x:v>
      </x:c>
      <x:c r="F15" s="47" t="str">
        <x:v>gpt-5.6-luna-2026-07-09</x:v>
      </x:c>
      <x:c r="G15" s="47" t="n">
        <x:v>1</x:v>
      </x:c>
      <x:c r="H15" s="47" t="n">
        <x:v>200</x:v>
      </x:c>
      <x:c r="I15" s="47" t="str">
        <x:v>Ocp-Apim-Subscription-Key</x:v>
      </x:c>
      <x:c r="J15" s="86" t="n">
        <x:v>0</x:v>
      </x:c>
      <x:c r="K15" s="86" t="n">
        <x:v>7346.915</x:v>
      </x:c>
      <x:c r="L15" s="85" t="b">
        <x:v>0</x:v>
      </x:c>
      <x:c r="M15" s="47" t="str"/>
      <x:c r="N15" s="59" t="str"/>
      <x:c r="O15" s="59" t="str"/>
      <x:c r="P15" s="59" t="str"/>
    </x:row>
    <x:row r="16">
      <x:c r="A16" s="49" t="str">
        <x:v>EVT-000056</x:v>
      </x:c>
      <x:c r="B16" s="49" t="str">
        <x:v>RUN-IMO-062-20260827T205554837770Z</x:v>
      </x:c>
      <x:c r="C16" s="49" t="str">
        <x:v>IMO-062</x:v>
      </x:c>
      <x:c r="D16" s="94" t="n">
        <x:v>46261.87304402778</x:v>
      </x:c>
      <x:c r="E16" s="49" t="str">
        <x:v>validator</x:v>
      </x:c>
      <x:c r="F16" s="49" t="str">
        <x:v>gpt-5.6-luna-2026-07-09</x:v>
      </x:c>
      <x:c r="G16" s="49" t="n">
        <x:v>1</x:v>
      </x:c>
      <x:c r="H16" s="49" t="str">
        <x:v>COMPLETED</x:v>
      </x:c>
      <x:c r="I16" s="49" t="str"/>
      <x:c r="J16" s="88" t="n">
        <x:v>0</x:v>
      </x:c>
      <x:c r="K16" s="88" t="n">
        <x:v>7348.425</x:v>
      </x:c>
      <x:c r="L16" s="87" t="b">
        <x:v>0</x:v>
      </x:c>
      <x:c r="M16" s="49" t="str">
        <x:v>resp_0280983aab040ad8006a90a49fba1c8197b4a4e0da71c41524</x:v>
      </x:c>
      <x:c r="N16" s="60" t="n">
        <x:v>6896</x:v>
      </x:c>
      <x:c r="O16" s="60" t="n">
        <x:v>597</x:v>
      </x:c>
      <x:c r="P16" s="60" t="n">
        <x:v>7493</x:v>
      </x:c>
    </x:row>
  </x:sheetData>
  <x:conditionalFormatting sqref="H5:H16">
    <x:cfRule type="containsText" dxfId="30" priority="1" operator="containsText" text="ACCEPT"/>
    <x:cfRule type="containsText" dxfId="31" priority="2" operator="containsText" text="ELIGIBLE"/>
    <x:cfRule type="containsText" dxfId="32" priority="3" operator="containsText" text="PASS"/>
    <x:cfRule type="containsText" dxfId="33" priority="4" operator="containsText" text="GAP"/>
    <x:cfRule type="containsText" dxfId="34" priority="5" operator="containsText" text="FAIL"/>
    <x:cfRule type="containsText" dxfId="35" priority="6" operator="containsText" text="DEFERRED"/>
  </x:conditionalFormatting>
  <x:pageMargins left="0.7" right="0.7" top="0.75" bottom="0.75" header="0.3" footer="0.3"/>
  <x:tableParts count="1">
    <x:tablePart xmlns:r="http://schemas.openxmlformats.org/officeDocument/2006/relationships" r:id="R16d5974a6cef4a91"/>
  </x:tableParts>
</x:worksheet>
</file>

<file path=xl/worksheets/sheet7.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38" hidden="0" customWidth="1"/>
    <x:col min="4" max="4" width="52" hidden="0" customWidth="1"/>
    <x:col min="5" max="5" width="18" hidden="0" customWidth="1"/>
    <x:col min="6" max="6" width="13" hidden="0" customWidth="1"/>
    <x:col min="7" max="7" width="46" hidden="0" customWidth="1"/>
    <x:col min="8" max="8" width="18" hidden="0" customWidth="1"/>
    <x:col min="9" max="9" width="52" hidden="0" customWidth="1"/>
    <x:col min="10" max="10" width="17" hidden="0" customWidth="1"/>
  </x:cols>
  <x:sheetData>
    <x:row r="1">
      <x:c r="A1" s="18" t="str">
        <x:v>NLTL SHACL Pipeline Run Tracker</x:v>
      </x:c>
      <x:c r="B1" s="19"/>
      <x:c r="C1" s="19"/>
      <x:c r="D1" s="19"/>
      <x:c r="E1" s="19"/>
      <x:c r="F1" s="19"/>
      <x:c r="G1" s="19"/>
      <x:c r="H1" s="19"/>
      <x:c r="I1" s="19"/>
      <x:c r="J1" s="19"/>
    </x:row>
    <x:row r="2">
      <x:c r="A2" s="20" t="str">
        <x:v>TERM_RETRIEVAL | Run folder: RUN-IMO-062-20260827T205554837770Z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LOCAL_NAME</x:v>
      </x:c>
      <x:c r="D4" s="57" t="str">
        <x:v>IRI</x:v>
      </x:c>
      <x:c r="E4" s="57" t="str">
        <x:v>KIND</x:v>
      </x:c>
      <x:c r="F4" s="57" t="str">
        <x:v>DATATYPE</x:v>
      </x:c>
      <x:c r="G4" s="57" t="str">
        <x:v>RANGE</x:v>
      </x:c>
      <x:c r="H4" s="57" t="str">
        <x:v>RECOMMENDED_UNIT</x:v>
      </x:c>
      <x:c r="I4" s="57" t="str">
        <x:v>SELECTION_REASON</x:v>
      </x:c>
      <x:c r="J4" s="44" t="str">
        <x:v>ITERATION_ADDED</x:v>
      </x:c>
    </x:row>
    <x:row r="5">
      <x:c r="A5" s="45" t="str">
        <x:v>RUN-IMO-062-20260827T205554837770Z</x:v>
      </x:c>
      <x:c r="B5" s="45" t="str">
        <x:v>IMO-062</x:v>
      </x:c>
      <x:c r="C5" s="45" t="str">
        <x:v>accessibleStatus</x:v>
      </x:c>
      <x:c r="D5" s="46" t="str">
        <x:v>https://w3id.org/nltl/vocab#accessibleStatus</x:v>
      </x:c>
      <x:c r="E5" s="45" t="str">
        <x:v>DatatypeProperty</x:v>
      </x:c>
      <x:c r="F5" s="45" t="str">
        <x:v>xsd:boolean</x:v>
      </x:c>
      <x:c r="G5" s="45" t="str">
        <x:v>http://www.w3.org/2001/XMLSchema#boolean</x:v>
      </x:c>
      <x:c r="H5" s="45" t="str"/>
      <x:c r="I5" s="46" t="str">
        <x:v>linked by the locked 313-requirement index</x:v>
      </x:c>
      <x:c r="J5" s="45" t="n">
        <x:v>0</x:v>
      </x:c>
    </x:row>
    <x:row r="6">
      <x:c r="A6" s="47" t="str">
        <x:v>RUN-IMO-062-20260827T205554837770Z</x:v>
      </x:c>
      <x:c r="B6" s="47" t="str">
        <x:v>IMO-062</x:v>
      </x:c>
      <x:c r="C6" s="47" t="str">
        <x:v>benchmarkEntity</x:v>
      </x:c>
      <x:c r="D6" s="48" t="str">
        <x:v>https://w3id.org/nltl/vocab#benchmarkEntity</x:v>
      </x:c>
      <x:c r="E6" s="47" t="str">
        <x:v>Class</x:v>
      </x:c>
      <x:c r="F6" s="47" t="str"/>
      <x:c r="G6" s="47" t="str"/>
      <x:c r="H6" s="47" t="str"/>
      <x:c r="I6" s="48" t="str">
        <x:v>baseline target infrastructure; domain dependency of accessibleStatus; domain dependency of iceSnowMitigationCoverage; domain dependency of safeStatus; range dependency of exposedEscapeRoute</x:v>
      </x:c>
      <x:c r="J6" s="47" t="n">
        <x:v>0</x:v>
      </x:c>
    </x:row>
    <x:row r="7">
      <x:c r="A7" s="47" t="str">
        <x:v>RUN-IMO-062-20260827T205554837770Z</x:v>
      </x:c>
      <x:c r="B7" s="47" t="str">
        <x:v>IMO-062</x:v>
      </x:c>
      <x:c r="C7" s="47" t="str">
        <x:v>escapeRouteAccessibleStatus</x:v>
      </x:c>
      <x:c r="D7" s="48" t="str">
        <x:v>https://w3id.org/nltl/vocab#escapeRouteAccessibleStatus</x:v>
      </x:c>
      <x:c r="E7" s="47" t="str">
        <x:v>DatatypeProperty</x:v>
      </x:c>
      <x:c r="F7" s="47" t="str">
        <x:v>xsd:boolean</x:v>
      </x:c>
      <x:c r="G7" s="47" t="str">
        <x:v>http://www.w3.org/2001/XMLSchema#boolean</x:v>
      </x:c>
      <x:c r="H7" s="47" t="str"/>
      <x:c r="I7" s="48" t="str">
        <x:v>linked by the locked 313-requirement index</x:v>
      </x:c>
      <x:c r="J7" s="47" t="n">
        <x:v>0</x:v>
      </x:c>
    </x:row>
    <x:row r="8">
      <x:c r="A8" s="47" t="str">
        <x:v>RUN-IMO-062-20260827T205554837770Z</x:v>
      </x:c>
      <x:c r="B8" s="47" t="str">
        <x:v>IMO-062</x:v>
      </x:c>
      <x:c r="C8" s="47" t="str">
        <x:v>escapeRouteSafeStatus</x:v>
      </x:c>
      <x:c r="D8" s="48" t="str">
        <x:v>https://w3id.org/nltl/vocab#escapeRouteSafeStatus</x:v>
      </x:c>
      <x:c r="E8" s="47" t="str">
        <x:v>DatatypeProperty</x:v>
      </x:c>
      <x:c r="F8" s="47" t="str">
        <x:v>xsd:boolean</x:v>
      </x:c>
      <x:c r="G8" s="47" t="str">
        <x:v>http://www.w3.org/2001/XMLSchema#boolean</x:v>
      </x:c>
      <x:c r="H8" s="47" t="str"/>
      <x:c r="I8" s="48" t="str">
        <x:v>linked by the locked 313-requirement index</x:v>
      </x:c>
      <x:c r="J8" s="47" t="n">
        <x:v>0</x:v>
      </x:c>
    </x:row>
    <x:row r="9">
      <x:c r="A9" s="47" t="str">
        <x:v>RUN-IMO-062-20260827T205554837770Z</x:v>
      </x:c>
      <x:c r="B9" s="47" t="str">
        <x:v>IMO-062</x:v>
      </x:c>
      <x:c r="C9" s="47" t="str">
        <x:v>evidenceArtifact</x:v>
      </x:c>
      <x:c r="D9" s="48" t="str">
        <x:v>https://w3id.org/nltl/vocab#evidenceArtifact</x:v>
      </x:c>
      <x:c r="E9" s="47" t="str">
        <x:v>Class</x:v>
      </x:c>
      <x:c r="F9" s="47" t="str"/>
      <x:c r="G9" s="47" t="str"/>
      <x:c r="H9" s="47" t="str"/>
      <x:c r="I9" s="48" t="str">
        <x:v>range dependency of hasEscapeRouteIceSnowMitigationEvidence</x:v>
      </x:c>
      <x:c r="J9" s="47" t="n">
        <x:v>0</x:v>
      </x:c>
    </x:row>
    <x:row r="10">
      <x:c r="A10" s="47" t="str">
        <x:v>RUN-IMO-062-20260827T205554837770Z</x:v>
      </x:c>
      <x:c r="B10" s="47" t="str">
        <x:v>IMO-062</x:v>
      </x:c>
      <x:c r="C10" s="47" t="str">
        <x:v>exposedEscapeRoute</x:v>
      </x:c>
      <x:c r="D10" s="48" t="str">
        <x:v>https://w3id.org/nltl/vocab#exposedEscapeRoute</x:v>
      </x:c>
      <x:c r="E10" s="47" t="str">
        <x:v>Class</x:v>
      </x:c>
      <x:c r="F10" s="47" t="str"/>
      <x:c r="G10" s="47" t="str">
        <x:v>https://w3id.org/nltl/vocab#benchmarkEntity</x:v>
      </x:c>
      <x:c r="H10" s="47" t="str"/>
      <x:c r="I10" s="48" t="str">
        <x:v>authoritative required owner class; domain dependency of escapeRouteAccessibleStatus; domain dependency of escapeRouteSafeStatus; domain dependency of hasEscapeRouteIceSnowMitigationEvidence; linked by the locked 313-requirement index; range dependency of hasExposedEscapeRoute</x:v>
      </x:c>
      <x:c r="J10" s="47" t="n">
        <x:v>0</x:v>
      </x:c>
    </x:row>
    <x:row r="11">
      <x:c r="A11" s="47" t="str">
        <x:v>RUN-IMO-062-20260827T205554837770Z</x:v>
      </x:c>
      <x:c r="B11" s="47" t="str">
        <x:v>IMO-062</x:v>
      </x:c>
      <x:c r="C11" s="47" t="str">
        <x:v>hasEscapeRouteIceSnowMitigationEvidence</x:v>
      </x:c>
      <x:c r="D11" s="48" t="str">
        <x:v>https://w3id.org/nltl/vocab#hasEscapeRouteIceSnowMitigationEvidence</x:v>
      </x:c>
      <x:c r="E11" s="47" t="str">
        <x:v>ObjectProperty</x:v>
      </x:c>
      <x:c r="F11" s="47" t="str"/>
      <x:c r="G11" s="47" t="str">
        <x:v>https://w3id.org/nltl/vocab#evidenceArtifact</x:v>
      </x:c>
      <x:c r="H11" s="47" t="str"/>
      <x:c r="I11" s="48" t="str">
        <x:v>linked by the locked 313-requirement index</x:v>
      </x:c>
      <x:c r="J11" s="47" t="n">
        <x:v>0</x:v>
      </x:c>
    </x:row>
    <x:row r="12">
      <x:c r="A12" s="47" t="str">
        <x:v>RUN-IMO-062-20260827T205554837770Z</x:v>
      </x:c>
      <x:c r="B12" s="47" t="str">
        <x:v>IMO-062</x:v>
      </x:c>
      <x:c r="C12" s="47" t="str">
        <x:v>hasExposedEscapeRoute</x:v>
      </x:c>
      <x:c r="D12" s="48" t="str">
        <x:v>https://w3id.org/nltl/vocab#hasExposedEscapeRoute</x:v>
      </x:c>
      <x:c r="E12" s="47" t="str">
        <x:v>ObjectProperty</x:v>
      </x:c>
      <x:c r="F12" s="47" t="str"/>
      <x:c r="G12" s="47" t="str">
        <x:v>https://w3id.org/nltl/vocab#exposedEscapeRoute</x:v>
      </x:c>
      <x:c r="H12" s="47" t="str"/>
      <x:c r="I12" s="48" t="str">
        <x:v>canonical path from target owner ship to required owner exposedEscapeRoute; linked by the locked 313-requirement index</x:v>
      </x:c>
      <x:c r="J12" s="47" t="n">
        <x:v>0</x:v>
      </x:c>
    </x:row>
    <x:row r="13">
      <x:c r="A13" s="47" t="str">
        <x:v>RUN-IMO-062-20260827T205554837770Z</x:v>
      </x:c>
      <x:c r="B13" s="47" t="str">
        <x:v>IMO-062</x:v>
      </x:c>
      <x:c r="C13" s="47" t="str">
        <x:v>iceSnowMitigationCoverage</x:v>
      </x:c>
      <x:c r="D13" s="48" t="str">
        <x:v>https://w3id.org/nltl/vocab#iceSnowMitigationCoverage</x:v>
      </x:c>
      <x:c r="E13" s="47" t="str">
        <x:v>DatatypeProperty</x:v>
      </x:c>
      <x:c r="F13" s="47" t="str">
        <x:v>xsd:boolean</x:v>
      </x:c>
      <x:c r="G13" s="47" t="str">
        <x:v>http://www.w3.org/2001/XMLSchema#boolean</x:v>
      </x:c>
      <x:c r="H13" s="47" t="str"/>
      <x:c r="I13" s="48" t="str">
        <x:v>linked by the locked 313-requirement index</x:v>
      </x:c>
      <x:c r="J13" s="47" t="n">
        <x:v>0</x:v>
      </x:c>
    </x:row>
    <x:row r="14">
      <x:c r="A14" s="47" t="str">
        <x:v>RUN-IMO-062-20260827T205554837770Z</x:v>
      </x:c>
      <x:c r="B14" s="47" t="str">
        <x:v>IMO-062</x:v>
      </x:c>
      <x:c r="C14" s="47" t="str">
        <x:v>safeStatus</x:v>
      </x:c>
      <x:c r="D14" s="48" t="str">
        <x:v>https://w3id.org/nltl/vocab#safeStatus</x:v>
      </x:c>
      <x:c r="E14" s="47" t="str">
        <x:v>DatatypeProperty</x:v>
      </x:c>
      <x:c r="F14" s="47" t="str">
        <x:v>xsd:boolean</x:v>
      </x:c>
      <x:c r="G14" s="47" t="str">
        <x:v>http://www.w3.org/2001/XMLSchema#boolean</x:v>
      </x:c>
      <x:c r="H14" s="47" t="str"/>
      <x:c r="I14" s="48" t="str">
        <x:v>linked by the locked 313-requirement index</x:v>
      </x:c>
      <x:c r="J14" s="47" t="n">
        <x:v>0</x:v>
      </x:c>
    </x:row>
    <x:row r="15">
      <x:c r="A15" s="49" t="str">
        <x:v>RUN-IMO-062-20260827T205554837770Z</x:v>
      </x:c>
      <x:c r="B15" s="49" t="str">
        <x:v>IMO-062</x:v>
      </x:c>
      <x:c r="C15" s="49" t="str">
        <x:v>ship</x:v>
      </x:c>
      <x:c r="D15" s="50" t="str">
        <x:v>https://w3id.org/nltl/vocab#ship</x:v>
      </x:c>
      <x:c r="E15" s="49" t="str">
        <x:v>Class</x:v>
      </x:c>
      <x:c r="F15" s="49" t="str"/>
      <x:c r="G15" s="49" t="str"/>
      <x:c r="H15" s="49" t="str"/>
      <x:c r="I15" s="50" t="str">
        <x:v>authoritative required owner class; authoritative requirement target owner; baseline target infrastructure; domain dependency of hasExposedEscapeRoute</x:v>
      </x:c>
      <x:c r="J15" s="49" t="n">
        <x:v>0</x:v>
      </x:c>
    </x:row>
  </x:sheetData>
  <x:pageMargins left="0.7" right="0.7" top="0.75" bottom="0.75" header="0.3" footer="0.3"/>
  <x:tableParts count="1">
    <x:tablePart xmlns:r="http://schemas.openxmlformats.org/officeDocument/2006/relationships" r:id="R615ff96ae8c44a0c"/>
  </x:tableParts>
</x:worksheet>
</file>

<file path=xl/worksheets/sheet8.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2" hidden="0" customWidth="1"/>
    <x:col min="4" max="4" width="15" hidden="0" customWidth="1"/>
    <x:col min="5" max="5" width="11" hidden="0" customWidth="1"/>
    <x:col min="6" max="6" width="24" hidden="0" customWidth="1"/>
    <x:col min="7" max="7" width="24" hidden="0" customWidth="1"/>
  </x:cols>
  <x:sheetData>
    <x:row r="1">
      <x:c r="A1" s="18" t="str">
        <x:v>NLTL SHACL Pipeline Run Tracker</x:v>
      </x:c>
      <x:c r="B1" s="19"/>
      <x:c r="C1" s="19"/>
      <x:c r="D1" s="19"/>
      <x:c r="E1" s="19"/>
      <x:c r="F1" s="19"/>
      <x:c r="G1" s="19"/>
    </x:row>
    <x:row r="2">
      <x:c r="A2" s="20" t="str">
        <x:v>FEW_SHOT_SELECTION | Run folder: RUN-IMO-062-20260827T205554837770Z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EXAMPLE_ID</x:v>
      </x:c>
      <x:c r="D4" s="57" t="str">
        <x:v>CASE_ID</x:v>
      </x:c>
      <x:c r="E4" s="57" t="str">
        <x:v>SCORE</x:v>
      </x:c>
      <x:c r="F4" s="57" t="str">
        <x:v>MATCHED_TAGS</x:v>
      </x:c>
      <x:c r="G4" s="44" t="str">
        <x:v>STATUS</x:v>
      </x:c>
    </x:row>
    <x:row r="5">
      <x:c r="A5" s="45" t="str">
        <x:v>RUN-IMO-062-20260827T205554837770Z</x:v>
      </x:c>
      <x:c r="B5" s="45" t="str">
        <x:v>IMO-062</x:v>
      </x:c>
      <x:c r="C5" s="45" t="str">
        <x:v>FS-BOOL-01</x:v>
      </x:c>
      <x:c r="D5" s="45" t="str">
        <x:v>boolean_state</x:v>
      </x:c>
      <x:c r="E5" s="97" t="n">
        <x:v>0.078947</x:v>
      </x:c>
      <x:c r="F5" s="45" t="str">
        <x:v>boolean | required | value</x:v>
      </x:c>
      <x:c r="G5" s="45" t="str">
        <x:v>synthetic-few-shot-not-benchmark-ground-truth</x:v>
      </x:c>
    </x:row>
    <x:row r="6">
      <x:c r="A6" s="49" t="str">
        <x:v>RUN-IMO-062-20260827T205554837770Z</x:v>
      </x:c>
      <x:c r="B6" s="49" t="str">
        <x:v>IMO-062</x:v>
      </x:c>
      <x:c r="C6" s="49" t="str">
        <x:v>FS-BOOL-02</x:v>
      </x:c>
      <x:c r="D6" s="49" t="str">
        <x:v>boolean_state</x:v>
      </x:c>
      <x:c r="E6" s="98" t="n">
        <x:v>0.078947</x:v>
      </x:c>
      <x:c r="F6" s="49" t="str">
        <x:v>boolean | required | value</x:v>
      </x:c>
      <x:c r="G6" s="49" t="str">
        <x:v>synthetic-few-shot-not-benchmark-ground-truth</x:v>
      </x:c>
    </x:row>
  </x:sheetData>
  <x:conditionalFormatting sqref="G5:G6">
    <x:cfRule type="containsText" dxfId="36" priority="1" operator="containsText" text="ACCEPT"/>
    <x:cfRule type="containsText" dxfId="37" priority="2" operator="containsText" text="ELIGIBLE"/>
    <x:cfRule type="containsText" dxfId="38" priority="3" operator="containsText" text="PASS"/>
    <x:cfRule type="containsText" dxfId="39" priority="4" operator="containsText" text="GAP"/>
    <x:cfRule type="containsText" dxfId="40" priority="5" operator="containsText" text="FAIL"/>
    <x:cfRule type="containsText" dxfId="41" priority="6" operator="containsText" text="DEFERRED"/>
  </x:conditionalFormatting>
  <x:pageMargins left="0.7" right="0.7" top="0.75" bottom="0.75" header="0.3" footer="0.3"/>
  <x:tableParts count="1">
    <x:tablePart xmlns:r="http://schemas.openxmlformats.org/officeDocument/2006/relationships" r:id="Rf28220571acb4922"/>
  </x:tableParts>
</x:worksheet>
</file>

<file path=xl/worksheets/sheet9.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11" hidden="0" customWidth="1"/>
    <x:col min="5" max="5" width="18" hidden="0" customWidth="1"/>
    <x:col min="6" max="6" width="14" hidden="0" customWidth="1"/>
    <x:col min="7" max="7" width="23" hidden="0" customWidth="1"/>
    <x:col min="8" max="8" width="18" hidden="0" customWidth="1"/>
    <x:col min="9" max="9" width="18" hidden="0" customWidth="1"/>
    <x:col min="10" max="10" width="21" hidden="0" customWidth="1"/>
    <x:col min="11" max="11" width="20" hidden="0" customWidth="1"/>
    <x:col min="12" max="12" width="20" hidden="0" customWidth="1"/>
    <x:col min="13" max="13" width="20" hidden="0" customWidth="1"/>
    <x:col min="14" max="14" width="52" hidden="0" customWidth="1"/>
    <x:col min="15" max="15" width="20" hidden="0" customWidth="1"/>
    <x:col min="16" max="16" width="20" hidden="0" customWidth="1"/>
    <x:col min="17" max="17" width="26" hidden="0" customWidth="1"/>
  </x:cols>
  <x:sheetData>
    <x:row r="1">
      <x:c r="A1" s="18" t="str">
        <x:v>NLTL SHACL Pipeline Run Tracker</x:v>
      </x:c>
      <x:c r="B1" s="19"/>
      <x:c r="C1" s="19"/>
      <x:c r="D1" s="19"/>
      <x:c r="E1" s="19"/>
      <x:c r="F1" s="19"/>
      <x:c r="G1" s="19"/>
      <x:c r="H1" s="19"/>
      <x:c r="I1" s="19"/>
      <x:c r="J1" s="19"/>
      <x:c r="K1" s="19"/>
      <x:c r="L1" s="19"/>
      <x:c r="M1" s="19"/>
      <x:c r="N1" s="19"/>
      <x:c r="O1" s="19"/>
      <x:c r="P1" s="19"/>
      <x:c r="Q1" s="19"/>
    </x:row>
    <x:row r="2">
      <x:c r="A2" s="20" t="str">
        <x:v>VALIDATION | Run folder: RUN-IMO-062-20260827T205554837770Z</x:v>
      </x:c>
      <x:c r="B2" s="20"/>
      <x:c r="C2" s="20"/>
      <x:c r="D2" s="20"/>
      <x:c r="E2" s="20"/>
      <x:c r="F2" s="20"/>
      <x:c r="G2" s="20"/>
      <x:c r="H2" s="20"/>
      <x:c r="I2" s="20"/>
      <x:c r="J2" s="20"/>
      <x:c r="K2" s="20"/>
      <x:c r="L2" s="20"/>
      <x:c r="M2" s="20"/>
      <x:c r="N2" s="20"/>
      <x:c r="O2" s="20"/>
      <x:c r="P2" s="20"/>
      <x:c r="Q2" s="20"/>
    </x:row>
    <x:row r="3">
      <x:c r="A3" s="21"/>
      <x:c r="B3" s="21"/>
      <x:c r="C3" s="21"/>
      <x:c r="D3" s="21"/>
      <x:c r="E3" s="21"/>
      <x:c r="F3" s="21"/>
      <x:c r="G3" s="21"/>
      <x:c r="H3" s="21"/>
      <x:c r="I3" s="21"/>
      <x:c r="J3" s="21"/>
      <x:c r="K3" s="21"/>
      <x:c r="L3" s="21"/>
      <x:c r="M3" s="21"/>
      <x:c r="N3" s="21"/>
      <x:c r="O3" s="21"/>
      <x:c r="P3" s="21"/>
      <x:c r="Q3" s="21"/>
    </x:row>
    <x:row r="4" ht="30" customHeight="1">
      <x:c r="A4" s="43" t="str">
        <x:v>RUN_ID</x:v>
      </x:c>
      <x:c r="B4" s="57" t="str">
        <x:v>REQUIREMENT_ID</x:v>
      </x:c>
      <x:c r="C4" s="57" t="str">
        <x:v>ITERATION</x:v>
      </x:c>
      <x:c r="D4" s="57" t="str">
        <x:v>VALID</x:v>
      </x:c>
      <x:c r="E4" s="57" t="str">
        <x:v>EXTRACTION_VALID</x:v>
      </x:c>
      <x:c r="F4" s="57" t="str">
        <x:v>TURTLE_VALID</x:v>
      </x:c>
      <x:c r="G4" s="57" t="str">
        <x:v>SHACL_STRUCTURE_VALID</x:v>
      </x:c>
      <x:c r="H4" s="57" t="str">
        <x:v>META_SHACL_VALID</x:v>
      </x:c>
      <x:c r="I4" s="57" t="str">
        <x:v>VOCABULARY_VALID</x:v>
      </x:c>
      <x:c r="J4" s="57" t="str">
        <x:v>DATATYPE_UNIT_VALID</x:v>
      </x:c>
      <x:c r="K4" s="57" t="str">
        <x:v>TARGET_PATH_VALID</x:v>
      </x:c>
      <x:c r="L4" s="57" t="str">
        <x:v>ERRORS</x:v>
      </x:c>
      <x:c r="M4" s="57" t="str">
        <x:v>WARNINGS</x:v>
      </x:c>
      <x:c r="N4" s="57" t="str">
        <x:v>USED_CANONICAL_IRIS</x:v>
      </x:c>
      <x:c r="O4" s="57" t="str">
        <x:v>UNKNOWN_IRIS</x:v>
      </x:c>
      <x:c r="P4" s="57" t="str">
        <x:v>OUT_OF_SCOPE_IRIS</x:v>
      </x:c>
      <x:c r="Q4" s="44" t="str">
        <x:v>SUSPICIOUS_EXTERNAL_IRIS</x:v>
      </x:c>
    </x:row>
    <x:row r="5">
      <x:c r="A5" s="45" t="str">
        <x:v>RUN-IMO-062-20260827T205554837770Z</x:v>
      </x:c>
      <x:c r="B5" s="45" t="str">
        <x:v>IMO-062</x:v>
      </x:c>
      <x:c r="C5" s="58" t="n">
        <x:v>1</x:v>
      </x:c>
      <x:c r="D5" s="83" t="b">
        <x:v>1</x:v>
      </x:c>
      <x:c r="E5" s="83" t="b">
        <x:v>1</x:v>
      </x:c>
      <x:c r="F5" s="83" t="b">
        <x:v>1</x:v>
      </x:c>
      <x:c r="G5" s="83" t="b">
        <x:v>1</x:v>
      </x:c>
      <x:c r="H5" s="83" t="b">
        <x:v>1</x:v>
      </x:c>
      <x:c r="I5" s="83" t="b">
        <x:v>1</x:v>
      </x:c>
      <x:c r="J5" s="83" t="b">
        <x:v>1</x:v>
      </x:c>
      <x:c r="K5" s="102" t="b">
        <x:v>1</x:v>
      </x:c>
      <x:c r="L5" s="46" t="str"/>
      <x:c r="M5" s="46" t="str"/>
      <x:c r="N5" s="46" t="str">
        <x:v>https://w3id.org/nltl/vocab#accessibleStatus | https://w3id.org/nltl/vocab#escapeRouteAccessibleStatus | https://w3id.org/nltl/vocab#escapeRouteSafeStatus | https://w3id.org/nltl/vocab#evidenceArtifact | https://w3id.org/nltl/vocab#exposedEscapeRoute | https://w3id.org/nltl/vocab#hasEscapeRouteIceSnowMitigationEvidence | https://w3id.org/nltl/vocab#hasExposedEscapeRoute | https://w3id.org/nltl/vocab#iceSnowMitigationCoverage | https://w3id.org/nltl/vocab#safeStatus | https://w3id.org/nltl/vocab#ship</x:v>
      </x:c>
      <x:c r="O5" s="46" t="str"/>
      <x:c r="P5" s="46" t="str"/>
      <x:c r="Q5" s="46" t="str"/>
    </x:row>
    <x:row r="6">
      <x:c r="A6" s="47" t="str">
        <x:v>RUN-IMO-062-20260827T205554837770Z</x:v>
      </x:c>
      <x:c r="B6" s="47" t="str">
        <x:v>IMO-062</x:v>
      </x:c>
      <x:c r="C6" s="59" t="n">
        <x:v>2</x:v>
      </x:c>
      <x:c r="D6" s="85" t="b">
        <x:v>1</x:v>
      </x:c>
      <x:c r="E6" s="85" t="b">
        <x:v>1</x:v>
      </x:c>
      <x:c r="F6" s="85" t="b">
        <x:v>1</x:v>
      </x:c>
      <x:c r="G6" s="85" t="b">
        <x:v>1</x:v>
      </x:c>
      <x:c r="H6" s="85" t="b">
        <x:v>1</x:v>
      </x:c>
      <x:c r="I6" s="85" t="b">
        <x:v>1</x:v>
      </x:c>
      <x:c r="J6" s="85" t="b">
        <x:v>1</x:v>
      </x:c>
      <x:c r="K6" s="103" t="b">
        <x:v>1</x:v>
      </x:c>
      <x:c r="L6" s="48" t="str"/>
      <x:c r="M6" s="48" t="str"/>
      <x:c r="N6" s="48" t="str">
        <x:v>https://w3id.org/nltl/vocab#escapeRouteAccessibleStatus | https://w3id.org/nltl/vocab#escapeRouteSafeStatus | https://w3id.org/nltl/vocab#evidenceArtifact | https://w3id.org/nltl/vocab#exposedEscapeRoute | https://w3id.org/nltl/vocab#hasEscapeRouteIceSnowMitigationEvidence | https://w3id.org/nltl/vocab#hasExposedEscapeRoute | https://w3id.org/nltl/vocab#ship</x:v>
      </x:c>
      <x:c r="O6" s="48" t="str"/>
      <x:c r="P6" s="48" t="str"/>
      <x:c r="Q6" s="48" t="str"/>
    </x:row>
    <x:row r="7">
      <x:c r="A7" s="49" t="str">
        <x:v>RUN-IMO-062-20260827T205554837770Z</x:v>
      </x:c>
      <x:c r="B7" s="49" t="str">
        <x:v>IMO-062</x:v>
      </x:c>
      <x:c r="C7" s="60" t="n">
        <x:v>3</x:v>
      </x:c>
      <x:c r="D7" s="87" t="b">
        <x:v>1</x:v>
      </x:c>
      <x:c r="E7" s="87" t="b">
        <x:v>1</x:v>
      </x:c>
      <x:c r="F7" s="87" t="b">
        <x:v>1</x:v>
      </x:c>
      <x:c r="G7" s="87" t="b">
        <x:v>1</x:v>
      </x:c>
      <x:c r="H7" s="87" t="b">
        <x:v>1</x:v>
      </x:c>
      <x:c r="I7" s="87" t="b">
        <x:v>1</x:v>
      </x:c>
      <x:c r="J7" s="87" t="b">
        <x:v>1</x:v>
      </x:c>
      <x:c r="K7" s="104" t="b">
        <x:v>1</x:v>
      </x:c>
      <x:c r="L7" s="50" t="str"/>
      <x:c r="M7" s="50" t="str"/>
      <x:c r="N7" s="50" t="str">
        <x:v>https://w3id.org/nltl/vocab#escapeRouteAccessibleStatus | https://w3id.org/nltl/vocab#escapeRouteSafeStatus | https://w3id.org/nltl/vocab#evidenceArtifact | https://w3id.org/nltl/vocab#exposedEscapeRoute | https://w3id.org/nltl/vocab#hasEscapeRouteIceSnowMitigationEvidence | https://w3id.org/nltl/vocab#hasExposedEscapeRoute | https://w3id.org/nltl/vocab#iceSnowMitigationCoverage | https://w3id.org/nltl/vocab#ship</x:v>
      </x:c>
      <x:c r="O7" s="50" t="str"/>
      <x:c r="P7" s="50" t="str"/>
      <x:c r="Q7" s="50" t="str"/>
    </x:row>
  </x:sheetData>
  <x:pageMargins left="0.7" right="0.7" top="0.75" bottom="0.75" header="0.3" footer="0.3"/>
  <x:tableParts count="1">
    <x:tablePart xmlns:r="http://schemas.openxmlformats.org/officeDocument/2006/relationships" r:id="Radc4b66524ab4793"/>
  </x:tableParts>
</x:worksheet>
</file>

<file path=xl/worksheets/sheet10.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c r="G1" s="19"/>
      <x:c r="H1" s="19"/>
      <x:c r="I1" s="19"/>
      <x:c r="J1" s="19"/>
    </x:row>
    <x:row r="2">
      <x:c r="A2" s="20" t="str">
        <x:v>VOCAB_MATCHES | Run folder: RUN-IMO-062-20260827T205554837770Z</x:v>
      </x:c>
      <x:c r="B2" s="20"/>
      <x:c r="C2" s="20"/>
      <x:c r="D2" s="20"/>
      <x:c r="E2" s="20"/>
      <x:c r="F2" s="20"/>
      <x:c r="G2" s="20"/>
      <x:c r="H2" s="20"/>
      <x:c r="I2" s="20"/>
      <x:c r="J2" s="20"/>
    </x:row>
    <x:row r="3">
      <x:c r="A3" s="21"/>
      <x:c r="B3" s="21"/>
      <x:c r="C3" s="21"/>
      <x:c r="D3" s="21"/>
      <x:c r="E3" s="21"/>
      <x:c r="F3" s="21"/>
      <x:c r="G3" s="21"/>
      <x:c r="H3" s="21"/>
      <x:c r="I3" s="21"/>
      <x:c r="J3" s="21"/>
    </x:row>
    <x:row r="4" ht="30" customHeight="1">
      <x:c r="A4" s="43" t="str">
        <x:v>RUN_ID</x:v>
      </x:c>
      <x:c r="B4" s="57" t="str">
        <x:v>REQUIREMENT_ID</x:v>
      </x:c>
      <x:c r="C4" s="57" t="str">
        <x:v>ITERATION</x:v>
      </x:c>
      <x:c r="D4" s="57" t="str">
        <x:v>EVENT</x:v>
      </x:c>
      <x:c r="E4" s="57" t="str">
        <x:v>QUERY_FEEDBACK</x:v>
      </x:c>
      <x:c r="F4" s="57" t="str">
        <x:v>CANDIDATE_COUNT</x:v>
      </x:c>
      <x:c r="G4" s="57" t="str">
        <x:v>MATCH_FOUND</x:v>
      </x:c>
      <x:c r="H4" s="57" t="str">
        <x:v>CANONICAL_LOCAL_NAME</x:v>
      </x:c>
      <x:c r="I4" s="57" t="str">
        <x:v>CANONICAL_IRI</x:v>
      </x:c>
      <x:c r="J4" s="44" t="str">
        <x:v>FEEDBACK_APPENDIX</x:v>
      </x:c>
    </x:row>
    <x:row r="5">
      <x:c r="A5" s="106" t="str">
        <x:v>No records for this run.</x:v>
      </x:c>
      <x:c r="B5" s="21"/>
      <x:c r="C5" s="21"/>
      <x:c r="D5" s="21"/>
      <x:c r="E5" s="21"/>
      <x:c r="F5" s="21"/>
      <x:c r="G5" s="21"/>
      <x:c r="H5" s="21"/>
      <x:c r="I5" s="21"/>
      <x:c r="J5" s="21"/>
    </x:row>
  </x:sheetData>
  <x:pageMargins left="0.7" right="0.7" top="0.75" bottom="0.75" header="0.3" footer="0.3"/>
</x:worksheet>
</file>

<file path=xl/worksheets/sheet11.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11" hidden="0" customWidth="1"/>
    <x:col min="4" max="4" width="28" hidden="0" customWidth="1"/>
    <x:col min="5" max="5" width="52" hidden="0" customWidth="1"/>
    <x:col min="6" max="6" width="36" hidden="0" customWidth="1"/>
    <x:col min="7" max="7" width="11" hidden="0" customWidth="1"/>
  </x:cols>
  <x:sheetData>
    <x:row r="1">
      <x:c r="A1" s="18" t="str">
        <x:v>NLTL SHACL Pipeline Run Tracker</x:v>
      </x:c>
      <x:c r="B1" s="19"/>
      <x:c r="C1" s="19"/>
      <x:c r="D1" s="19"/>
      <x:c r="E1" s="19"/>
      <x:c r="F1" s="19"/>
      <x:c r="G1" s="19"/>
    </x:row>
    <x:row r="2">
      <x:c r="A2" s="20" t="str">
        <x:v>ARTIFACTS | Run folder: RUN-IMO-062-20260827T205554837770Z</x:v>
      </x:c>
      <x:c r="B2" s="20"/>
      <x:c r="C2" s="20"/>
      <x:c r="D2" s="20"/>
      <x:c r="E2" s="20"/>
      <x:c r="F2" s="20"/>
      <x:c r="G2" s="20"/>
    </x:row>
    <x:row r="3">
      <x:c r="A3" s="21"/>
      <x:c r="B3" s="21"/>
      <x:c r="C3" s="21"/>
      <x:c r="D3" s="21"/>
      <x:c r="E3" s="21"/>
      <x:c r="F3" s="21"/>
      <x:c r="G3" s="21"/>
    </x:row>
    <x:row r="4" ht="30" customHeight="1">
      <x:c r="A4" s="43" t="str">
        <x:v>RUN_ID</x:v>
      </x:c>
      <x:c r="B4" s="57" t="str">
        <x:v>REQUIREMENT_ID</x:v>
      </x:c>
      <x:c r="C4" s="57" t="str">
        <x:v>ITERATION</x:v>
      </x:c>
      <x:c r="D4" s="57" t="str">
        <x:v>ARTIFACT_TYPE</x:v>
      </x:c>
      <x:c r="E4" s="57" t="str">
        <x:v>ARTIFACT_PATH</x:v>
      </x:c>
      <x:c r="F4" s="57" t="str">
        <x:v>SHA256</x:v>
      </x:c>
      <x:c r="G4" s="44" t="str">
        <x:v>BYTES</x:v>
      </x:c>
    </x:row>
    <x:row r="5">
      <x:c r="A5" s="45" t="str">
        <x:v>RUN-IMO-062-20260827T205554837770Z</x:v>
      </x:c>
      <x:c r="B5" s="45" t="str">
        <x:v>IMO-062</x:v>
      </x:c>
      <x:c r="C5" s="58"/>
      <x:c r="D5" s="45" t="str">
        <x:v>initial_context_pack</x:v>
      </x:c>
      <x:c r="E5" s="46" t="str">
        <x:v>artifacts/context_pack_initial.json</x:v>
      </x:c>
      <x:c r="F5" s="45" t="str">
        <x:v>a79b05936f0995357196e9e64a864b165fe2d42a60d27c4bbdbc1505b7b32ace</x:v>
      </x:c>
      <x:c r="G5" s="58" t="n">
        <x:v>16112</x:v>
      </x:c>
    </x:row>
    <x:row r="6">
      <x:c r="A6" s="47" t="str">
        <x:v>RUN-IMO-062-20260827T205554837770Z</x:v>
      </x:c>
      <x:c r="B6" s="47" t="str">
        <x:v>IMO-062</x:v>
      </x:c>
      <x:c r="C6" s="59"/>
      <x:c r="D6" s="47" t="str">
        <x:v>few_shot_selection</x:v>
      </x:c>
      <x:c r="E6" s="48" t="str">
        <x:v>artifacts/few_shots_selected.json</x:v>
      </x:c>
      <x:c r="F6" s="47" t="str">
        <x:v>b3970bfcba007f8292b76593c03dc8308bea0b9fe01a4ab5305c32b92a2c8d4a</x:v>
      </x:c>
      <x:c r="G6" s="59" t="n">
        <x:v>3110</x:v>
      </x:c>
    </x:row>
    <x:row r="7">
      <x:c r="A7" s="47" t="str">
        <x:v>RUN-IMO-062-20260827T205554837770Z</x:v>
      </x:c>
      <x:c r="B7" s="47" t="str">
        <x:v>IMO-062</x:v>
      </x:c>
      <x:c r="C7" s="59" t="n">
        <x:v>1</x:v>
      </x:c>
      <x:c r="D7" s="47" t="str">
        <x:v>generator_prompt</x:v>
      </x:c>
      <x:c r="E7" s="48" t="str">
        <x:v>artifacts/attempt_01/generator_prompt.txt</x:v>
      </x:c>
      <x:c r="F7" s="47" t="str">
        <x:v>47190e55d881904dea48f34926c4c75392d180ed56e7887248199a7ddfc70d88</x:v>
      </x:c>
      <x:c r="G7" s="59" t="n">
        <x:v>30736</x:v>
      </x:c>
    </x:row>
    <x:row r="8">
      <x:c r="A8" s="47" t="str">
        <x:v>RUN-IMO-062-20260827T205554837770Z</x:v>
      </x:c>
      <x:c r="B8" s="47" t="str">
        <x:v>IMO-062</x:v>
      </x:c>
      <x:c r="C8" s="59" t="n">
        <x:v>1</x:v>
      </x:c>
      <x:c r="D8" s="47" t="str">
        <x:v>generator_raw_response</x:v>
      </x:c>
      <x:c r="E8" s="48" t="str">
        <x:v>artifacts/attempt_01/generator_raw.txt</x:v>
      </x:c>
      <x:c r="F8" s="47" t="str">
        <x:v>db10388695efbedf5e8a13e811af9a701eff305bad9024b918f4e79edec303e5</x:v>
      </x:c>
      <x:c r="G8" s="59" t="n">
        <x:v>2043</x:v>
      </x:c>
    </x:row>
    <x:row r="9">
      <x:c r="A9" s="47" t="str">
        <x:v>RUN-IMO-062-20260827T205554837770Z</x:v>
      </x:c>
      <x:c r="B9" s="47" t="str">
        <x:v>IMO-062</x:v>
      </x:c>
      <x:c r="C9" s="59" t="n">
        <x:v>1</x:v>
      </x:c>
      <x:c r="D9" s="47" t="str">
        <x:v>candidate_shape</x:v>
      </x:c>
      <x:c r="E9" s="48" t="str">
        <x:v>artifacts/attempt_01/candidate_shape.ttl</x:v>
      </x:c>
      <x:c r="F9" s="47" t="str">
        <x:v>c6b4d64f10713840d418dbea645d8c0093b65589f9fc6cb8d981d5e6b4f9dc6c</x:v>
      </x:c>
      <x:c r="G9" s="59" t="n">
        <x:v>2018</x:v>
      </x:c>
    </x:row>
    <x:row r="10">
      <x:c r="A10" s="47" t="str">
        <x:v>RUN-IMO-062-20260827T205554837770Z</x:v>
      </x:c>
      <x:c r="B10" s="47" t="str">
        <x:v>IMO-062</x:v>
      </x:c>
      <x:c r="C10" s="59" t="n">
        <x:v>1</x:v>
      </x:c>
      <x:c r="D10" s="47" t="str">
        <x:v>deterministic_validation</x:v>
      </x:c>
      <x:c r="E10" s="48" t="str">
        <x:v>artifacts/attempt_01/deterministic_validation.json</x:v>
      </x:c>
      <x:c r="F10" s="47" t="str">
        <x:v>6ae2b27c00a7bb5f02912689b5a96dcfe3fc14da41a7cf515d90811304af95fa</x:v>
      </x:c>
      <x:c r="G10" s="59" t="n">
        <x:v>946</x:v>
      </x:c>
    </x:row>
    <x:row r="11">
      <x:c r="A11" s="47" t="str">
        <x:v>RUN-IMO-062-20260827T205554837770Z</x:v>
      </x:c>
      <x:c r="B11" s="47" t="str">
        <x:v>IMO-062</x:v>
      </x:c>
      <x:c r="C11" s="59" t="n">
        <x:v>1</x:v>
      </x:c>
      <x:c r="D11" s="47" t="str">
        <x:v>validator_prompt</x:v>
      </x:c>
      <x:c r="E11" s="48" t="str">
        <x:v>artifacts/attempt_01/validator_prompt_01.txt</x:v>
      </x:c>
      <x:c r="F11" s="47" t="str">
        <x:v>664cfe36b92502a3c9fc653856b31e963141180caf61908b19d86e652dc01ed3</x:v>
      </x:c>
      <x:c r="G11" s="59" t="n">
        <x:v>29280</x:v>
      </x:c>
    </x:row>
    <x:row r="12">
      <x:c r="A12" s="47" t="str">
        <x:v>RUN-IMO-062-20260827T205554837770Z</x:v>
      </x:c>
      <x:c r="B12" s="47" t="str">
        <x:v>IMO-062</x:v>
      </x:c>
      <x:c r="C12" s="59" t="n">
        <x:v>1</x:v>
      </x:c>
      <x:c r="D12" s="47" t="str">
        <x:v>validator_raw_response</x:v>
      </x:c>
      <x:c r="E12" s="48" t="str">
        <x:v>artifacts/attempt_01/validator_raw_01.txt</x:v>
      </x:c>
      <x:c r="F12" s="47" t="str">
        <x:v>8d9dff76e85b108f5c812d56049e8a25f0e6c372526a574f965e6dc9e2cffafa</x:v>
      </x:c>
      <x:c r="G12" s="59" t="n">
        <x:v>611</x:v>
      </x:c>
    </x:row>
    <x:row r="13">
      <x:c r="A13" s="47" t="str">
        <x:v>RUN-IMO-062-20260827T205554837770Z</x:v>
      </x:c>
      <x:c r="B13" s="47" t="str">
        <x:v>IMO-062</x:v>
      </x:c>
      <x:c r="C13" s="59" t="n">
        <x:v>2</x:v>
      </x:c>
      <x:c r="D13" s="47" t="str">
        <x:v>generator_prompt</x:v>
      </x:c>
      <x:c r="E13" s="48" t="str">
        <x:v>artifacts/attempt_02/generator_prompt.txt</x:v>
      </x:c>
      <x:c r="F13" s="47" t="str">
        <x:v>222cfd5683e345483ba5ed27986fd0ee1b890bcab8e4f2d978b67656231f6c47</x:v>
      </x:c>
      <x:c r="G13" s="59" t="n">
        <x:v>31282</x:v>
      </x:c>
    </x:row>
    <x:row r="14">
      <x:c r="A14" s="47" t="str">
        <x:v>RUN-IMO-062-20260827T205554837770Z</x:v>
      </x:c>
      <x:c r="B14" s="47" t="str">
        <x:v>IMO-062</x:v>
      </x:c>
      <x:c r="C14" s="59" t="n">
        <x:v>2</x:v>
      </x:c>
      <x:c r="D14" s="47" t="str">
        <x:v>generator_raw_response</x:v>
      </x:c>
      <x:c r="E14" s="48" t="str">
        <x:v>artifacts/attempt_02/generator_raw.txt</x:v>
      </x:c>
      <x:c r="F14" s="47" t="str">
        <x:v>d13aa2a73c042970eec082f1fb1d38ae679ef3bb662e3d3a3d8e8aa252addbb8</x:v>
      </x:c>
      <x:c r="G14" s="59" t="n">
        <x:v>1306</x:v>
      </x:c>
    </x:row>
    <x:row r="15">
      <x:c r="A15" s="47" t="str">
        <x:v>RUN-IMO-062-20260827T205554837770Z</x:v>
      </x:c>
      <x:c r="B15" s="47" t="str">
        <x:v>IMO-062</x:v>
      </x:c>
      <x:c r="C15" s="59" t="n">
        <x:v>2</x:v>
      </x:c>
      <x:c r="D15" s="47" t="str">
        <x:v>candidate_shape</x:v>
      </x:c>
      <x:c r="E15" s="48" t="str">
        <x:v>artifacts/attempt_02/candidate_shape.ttl</x:v>
      </x:c>
      <x:c r="F15" s="47" t="str">
        <x:v>1404daeeb089a3cc1519090bab32707f193eb6e870a45f71df979e8e743798a5</x:v>
      </x:c>
      <x:c r="G15" s="59" t="n">
        <x:v>1281</x:v>
      </x:c>
    </x:row>
    <x:row r="16">
      <x:c r="A16" s="47" t="str">
        <x:v>RUN-IMO-062-20260827T205554837770Z</x:v>
      </x:c>
      <x:c r="B16" s="47" t="str">
        <x:v>IMO-062</x:v>
      </x:c>
      <x:c r="C16" s="59" t="n">
        <x:v>2</x:v>
      </x:c>
      <x:c r="D16" s="47" t="str">
        <x:v>deterministic_validation</x:v>
      </x:c>
      <x:c r="E16" s="48" t="str">
        <x:v>artifacts/attempt_02/deterministic_validation.json</x:v>
      </x:c>
      <x:c r="F16" s="47" t="str">
        <x:v>94487714ee0618b31f5efcfdf2640f0476a2cd94a6cd3aefb954cc145d15281f</x:v>
      </x:c>
      <x:c r="G16" s="59" t="n">
        <x:v>787</x:v>
      </x:c>
    </x:row>
    <x:row r="17">
      <x:c r="A17" s="47" t="str">
        <x:v>RUN-IMO-062-20260827T205554837770Z</x:v>
      </x:c>
      <x:c r="B17" s="47" t="str">
        <x:v>IMO-062</x:v>
      </x:c>
      <x:c r="C17" s="59" t="n">
        <x:v>2</x:v>
      </x:c>
      <x:c r="D17" s="47" t="str">
        <x:v>validator_prompt</x:v>
      </x:c>
      <x:c r="E17" s="48" t="str">
        <x:v>artifacts/attempt_02/validator_prompt_01.txt</x:v>
      </x:c>
      <x:c r="F17" s="47" t="str">
        <x:v>5effb96f71d0ff64062ee97928a378a35885defa27232bffb3f85586a6c42b1c</x:v>
      </x:c>
      <x:c r="G17" s="59" t="n">
        <x:v>27804</x:v>
      </x:c>
    </x:row>
    <x:row r="18">
      <x:c r="A18" s="47" t="str">
        <x:v>RUN-IMO-062-20260827T205554837770Z</x:v>
      </x:c>
      <x:c r="B18" s="47" t="str">
        <x:v>IMO-062</x:v>
      </x:c>
      <x:c r="C18" s="59" t="n">
        <x:v>2</x:v>
      </x:c>
      <x:c r="D18" s="47" t="str">
        <x:v>validator_raw_response</x:v>
      </x:c>
      <x:c r="E18" s="48" t="str">
        <x:v>artifacts/attempt_02/validator_raw_01.txt</x:v>
      </x:c>
      <x:c r="F18" s="47" t="str">
        <x:v>d446211c2796d08914fe5051546b572970c537cbda86e11cea8bdbc4907ad210</x:v>
      </x:c>
      <x:c r="G18" s="59" t="n">
        <x:v>548</x:v>
      </x:c>
    </x:row>
    <x:row r="19">
      <x:c r="A19" s="47" t="str">
        <x:v>RUN-IMO-062-20260827T205554837770Z</x:v>
      </x:c>
      <x:c r="B19" s="47" t="str">
        <x:v>IMO-062</x:v>
      </x:c>
      <x:c r="C19" s="59" t="n">
        <x:v>3</x:v>
      </x:c>
      <x:c r="D19" s="47" t="str">
        <x:v>generator_prompt</x:v>
      </x:c>
      <x:c r="E19" s="48" t="str">
        <x:v>artifacts/attempt_03/generator_prompt.txt</x:v>
      </x:c>
      <x:c r="F19" s="47" t="str">
        <x:v>ab03f0e31bcb7afe12dc5974dc627843f05138c27264c6153650a71ff6020902</x:v>
      </x:c>
      <x:c r="G19" s="59" t="n">
        <x:v>31773</x:v>
      </x:c>
    </x:row>
    <x:row r="20">
      <x:c r="A20" s="47" t="str">
        <x:v>RUN-IMO-062-20260827T205554837770Z</x:v>
      </x:c>
      <x:c r="B20" s="47" t="str">
        <x:v>IMO-062</x:v>
      </x:c>
      <x:c r="C20" s="59" t="n">
        <x:v>3</x:v>
      </x:c>
      <x:c r="D20" s="47" t="str">
        <x:v>generator_raw_response</x:v>
      </x:c>
      <x:c r="E20" s="48" t="str">
        <x:v>artifacts/attempt_03/generator_raw.txt</x:v>
      </x:c>
      <x:c r="F20" s="47" t="str">
        <x:v>f5d489d9590fd4e28ddb13621f778329c43b804f40b27d3e8ca01979009323a2</x:v>
      </x:c>
      <x:c r="G20" s="59" t="n">
        <x:v>1645</x:v>
      </x:c>
    </x:row>
    <x:row r="21">
      <x:c r="A21" s="47" t="str">
        <x:v>RUN-IMO-062-20260827T205554837770Z</x:v>
      </x:c>
      <x:c r="B21" s="47" t="str">
        <x:v>IMO-062</x:v>
      </x:c>
      <x:c r="C21" s="59" t="n">
        <x:v>3</x:v>
      </x:c>
      <x:c r="D21" s="47" t="str">
        <x:v>candidate_shape</x:v>
      </x:c>
      <x:c r="E21" s="48" t="str">
        <x:v>artifacts/attempt_03/candidate_shape.ttl</x:v>
      </x:c>
      <x:c r="F21" s="47" t="str">
        <x:v>c5e58e54a7d76bd0a193eb0ad852959401736113298b4a3bf279ba48b86dac76</x:v>
      </x:c>
      <x:c r="G21" s="59" t="n">
        <x:v>1620</x:v>
      </x:c>
    </x:row>
    <x:row r="22">
      <x:c r="A22" s="47" t="str">
        <x:v>RUN-IMO-062-20260827T205554837770Z</x:v>
      </x:c>
      <x:c r="B22" s="47" t="str">
        <x:v>IMO-062</x:v>
      </x:c>
      <x:c r="C22" s="59" t="n">
        <x:v>3</x:v>
      </x:c>
      <x:c r="D22" s="47" t="str">
        <x:v>deterministic_validation</x:v>
      </x:c>
      <x:c r="E22" s="48" t="str">
        <x:v>artifacts/attempt_03/deterministic_validation.json</x:v>
      </x:c>
      <x:c r="F22" s="47" t="str">
        <x:v>f13bd0a2ddbe992354a9981ed5164abd8c79d9a87c17c5cad730c904adea1d80</x:v>
      </x:c>
      <x:c r="G22" s="59" t="n">
        <x:v>848</x:v>
      </x:c>
    </x:row>
    <x:row r="23">
      <x:c r="A23" s="47" t="str">
        <x:v>RUN-IMO-062-20260827T205554837770Z</x:v>
      </x:c>
      <x:c r="B23" s="47" t="str">
        <x:v>IMO-062</x:v>
      </x:c>
      <x:c r="C23" s="59" t="n">
        <x:v>3</x:v>
      </x:c>
      <x:c r="D23" s="47" t="str">
        <x:v>validator_prompt</x:v>
      </x:c>
      <x:c r="E23" s="48" t="str">
        <x:v>artifacts/attempt_03/validator_prompt_01.txt</x:v>
      </x:c>
      <x:c r="F23" s="47" t="str">
        <x:v>132a59a7bc5c03e15799dff7cd31eb5364df30bfd45802dd747033cc9dc7ad21</x:v>
      </x:c>
      <x:c r="G23" s="59" t="n">
        <x:v>29111</x:v>
      </x:c>
    </x:row>
    <x:row r="24">
      <x:c r="A24" s="47" t="str">
        <x:v>RUN-IMO-062-20260827T205554837770Z</x:v>
      </x:c>
      <x:c r="B24" s="47" t="str">
        <x:v>IMO-062</x:v>
      </x:c>
      <x:c r="C24" s="59" t="n">
        <x:v>3</x:v>
      </x:c>
      <x:c r="D24" s="47" t="str">
        <x:v>validator_raw_response</x:v>
      </x:c>
      <x:c r="E24" s="48" t="str">
        <x:v>artifacts/attempt_03/validator_raw_01.txt</x:v>
      </x:c>
      <x:c r="F24" s="47" t="str">
        <x:v>d20b560315807ed4ba2e760f1d89dba730b024cf29d3b9ae3dbdb46b405f5e3a</x:v>
      </x:c>
      <x:c r="G24" s="59" t="n">
        <x:v>446</x:v>
      </x:c>
    </x:row>
    <x:row r="25">
      <x:c r="A25" s="49" t="str">
        <x:v>RUN-IMO-062-20260827T205554837770Z</x:v>
      </x:c>
      <x:c r="B25" s="49" t="str">
        <x:v>IMO-062</x:v>
      </x:c>
      <x:c r="C25" s="60" t="n">
        <x:v>3</x:v>
      </x:c>
      <x:c r="D25" s="49" t="str">
        <x:v>final_accepted_shape</x:v>
      </x:c>
      <x:c r="E25" s="50" t="str">
        <x:v>final/final_shape.ttl</x:v>
      </x:c>
      <x:c r="F25" s="49" t="str">
        <x:v>c5e58e54a7d76bd0a193eb0ad852959401736113298b4a3bf279ba48b86dac76</x:v>
      </x:c>
      <x:c r="G25" s="60" t="n">
        <x:v>1620</x:v>
      </x:c>
    </x:row>
  </x:sheetData>
  <x:pageMargins left="0.7" right="0.7" top="0.75" bottom="0.75" header="0.3" footer="0.3"/>
  <x:tableParts count="1">
    <x:tablePart xmlns:r="http://schemas.openxmlformats.org/officeDocument/2006/relationships" r:id="R53bf78e1a3444e1b"/>
  </x:tableParts>
</x:worksheet>
</file>

<file path=xl/worksheets/sheet12.xml><?xml version="1.0" encoding="utf-8"?>
<x:worksheet xmlns:x="http://schemas.openxmlformats.org/spreadsheetml/2006/main">
  <x:sheetViews>
    <x:sheetView showGridLines="0" workbookViewId="0"/>
  </x:sheetViews>
  <x:sheetFormatPr defaultRowHeight="15"/>
  <x:sheetData>
    <x:row r="1">
      <x:c r="A1" s="18" t="str">
        <x:v>NLTL SHACL Pipeline Run Tracker</x:v>
      </x:c>
      <x:c r="B1" s="19"/>
      <x:c r="C1" s="19"/>
      <x:c r="D1" s="19"/>
      <x:c r="E1" s="19"/>
      <x:c r="F1" s="19"/>
    </x:row>
    <x:row r="2">
      <x:c r="A2" s="20" t="str">
        <x:v>UNRESOLVED | Run folder: RUN-IMO-062-20260827T205554837770Z</x:v>
      </x:c>
      <x:c r="B2" s="20"/>
      <x:c r="C2" s="20"/>
      <x:c r="D2" s="20"/>
      <x:c r="E2" s="20"/>
      <x:c r="F2" s="20"/>
    </x:row>
    <x:row r="3">
      <x:c r="A3" s="21"/>
      <x:c r="B3" s="21"/>
      <x:c r="C3" s="21"/>
      <x:c r="D3" s="21"/>
      <x:c r="E3" s="21"/>
      <x:c r="F3" s="21"/>
    </x:row>
    <x:row r="4" ht="30" customHeight="1">
      <x:c r="A4" s="43" t="str">
        <x:v>RUN_ID</x:v>
      </x:c>
      <x:c r="B4" s="57" t="str">
        <x:v>REQUIREMENT_ID</x:v>
      </x:c>
      <x:c r="C4" s="57" t="str">
        <x:v>ITERATION</x:v>
      </x:c>
      <x:c r="D4" s="57" t="str">
        <x:v>ISSUE_TYPE</x:v>
      </x:c>
      <x:c r="E4" s="57" t="str">
        <x:v>DETAIL</x:v>
      </x:c>
      <x:c r="F4" s="44" t="str">
        <x:v>STATUS</x:v>
      </x:c>
    </x:row>
    <x:row r="5">
      <x:c r="A5" s="106" t="str">
        <x:v>No records for this run.</x:v>
      </x:c>
      <x:c r="B5" s="21"/>
      <x:c r="C5" s="21"/>
      <x:c r="D5" s="21"/>
      <x:c r="E5" s="21"/>
      <x:c r="F5" s="21"/>
    </x:row>
  </x:sheetData>
  <x:pageMargins left="0.7" right="0.7" top="0.75" bottom="0.75" header="0.3" footer="0.3"/>
</x:worksheet>
</file>

<file path=xl/worksheets/sheet13.xml><?xml version="1.0" encoding="utf-8"?>
<x:worksheet xmlns:x="http://schemas.openxmlformats.org/spreadsheetml/2006/main">
  <x:sheetViews>
    <x:sheetView showGridLines="0" workbookViewId="0"/>
  </x:sheetViews>
  <x:sheetFormatPr defaultRowHeight="15"/>
  <x:cols>
    <x:col min="1" max="1" width="42" hidden="0" customWidth="1"/>
    <x:col min="2" max="2" width="18" hidden="0" customWidth="1"/>
    <x:col min="3" max="3" width="23" hidden="0" customWidth="1"/>
    <x:col min="4" max="4" width="21" hidden="0" customWidth="1"/>
    <x:col min="5" max="5" width="23" hidden="0" customWidth="1"/>
    <x:col min="6" max="6" width="49" hidden="0" customWidth="1"/>
  </x:cols>
  <x:sheetData>
    <x:row r="1">
      <x:c r="A1" s="18" t="str">
        <x:v>NLTL SHACL Pipeline Run Tracker</x:v>
      </x:c>
      <x:c r="B1" s="19"/>
      <x:c r="C1" s="19"/>
      <x:c r="D1" s="19"/>
      <x:c r="E1" s="19"/>
      <x:c r="F1" s="19"/>
    </x:row>
    <x:row r="2">
      <x:c r="A2" s="20" t="str">
        <x:v>RDF_TEST_QUEUE | Run folder: RUN-IMO-062-20260827T205554837770Z</x:v>
      </x:c>
      <x:c r="B2" s="20"/>
      <x:c r="C2" s="20"/>
      <x:c r="D2" s="20"/>
      <x:c r="E2" s="20"/>
      <x:c r="F2" s="20"/>
    </x:row>
    <x:row r="3">
      <x:c r="A3" s="21"/>
      <x:c r="B3" s="21"/>
      <x:c r="C3" s="21"/>
      <x:c r="D3" s="21"/>
      <x:c r="E3" s="21"/>
      <x:c r="F3" s="21"/>
    </x:row>
    <x:row r="4" ht="30" customHeight="1">
      <x:c r="A4" s="43" t="str">
        <x:v>RUN_ID</x:v>
      </x:c>
      <x:c r="B4" s="57" t="str">
        <x:v>REQUIREMENT_ID</x:v>
      </x:c>
      <x:c r="C4" s="57" t="str">
        <x:v>FINAL_SHAPE</x:v>
      </x:c>
      <x:c r="D4" s="57" t="str">
        <x:v>GENERATION_STATUS</x:v>
      </x:c>
      <x:c r="E4" s="57" t="str">
        <x:v>RDF_EVALUATION_STATUS</x:v>
      </x:c>
      <x:c r="F4" s="44" t="str">
        <x:v>NOTES</x:v>
      </x:c>
    </x:row>
    <x:row r="5">
      <x:c r="A5" s="69" t="str">
        <x:v>RUN-IMO-062-20260827T205554837770Z</x:v>
      </x:c>
      <x:c r="B5" s="69" t="str">
        <x:v>IMO-062</x:v>
      </x:c>
      <x:c r="C5" s="69" t="str">
        <x:v>final/final_shape.ttl</x:v>
      </x:c>
      <x:c r="D5" s="69" t="str">
        <x:v>GENERATION_ACCEPTED</x:v>
      </x:c>
      <x:c r="E5" s="69" t="str">
        <x:v>NOT_RUN</x:v>
      </x:c>
      <x:c r="F5" s="73" t="str">
        <x:v>Run later with the separate bulk RDF evaluator.</x:v>
      </x:c>
    </x:row>
  </x:sheetData>
  <x:conditionalFormatting sqref="D5:D5">
    <x:cfRule type="containsText" dxfId="42" priority="1" operator="containsText" text="ACCEPT"/>
    <x:cfRule type="containsText" dxfId="43" priority="2" operator="containsText" text="ELIGIBLE"/>
    <x:cfRule type="containsText" dxfId="44" priority="3" operator="containsText" text="PASS"/>
    <x:cfRule type="containsText" dxfId="45" priority="4" operator="containsText" text="GAP"/>
    <x:cfRule type="containsText" dxfId="46" priority="5" operator="containsText" text="FAIL"/>
    <x:cfRule type="containsText" dxfId="47" priority="6" operator="containsText" text="DEFERRED"/>
  </x:conditionalFormatting>
  <x:conditionalFormatting sqref="E5:E5">
    <x:cfRule type="containsText" dxfId="48" priority="7" operator="containsText" text="ACCEPT"/>
    <x:cfRule type="containsText" dxfId="49" priority="8" operator="containsText" text="ELIGIBLE"/>
    <x:cfRule type="containsText" dxfId="50" priority="9" operator="containsText" text="PASS"/>
    <x:cfRule type="containsText" dxfId="51" priority="10" operator="containsText" text="GAP"/>
    <x:cfRule type="containsText" dxfId="52" priority="11" operator="containsText" text="FAIL"/>
    <x:cfRule type="containsText" dxfId="53" priority="12" operator="containsText" text="DEFERRED"/>
  </x:conditionalFormatting>
  <x:pageMargins left="0.7" right="0.7" top="0.75" bottom="0.75" header="0.3" footer="0.3"/>
  <x:tableParts count="1">
    <x:tablePart xmlns:r="http://schemas.openxmlformats.org/officeDocument/2006/relationships" r:id="Rd457fd98a0c14afa"/>
  </x:tableParts>
</x:worksheet>
</file>