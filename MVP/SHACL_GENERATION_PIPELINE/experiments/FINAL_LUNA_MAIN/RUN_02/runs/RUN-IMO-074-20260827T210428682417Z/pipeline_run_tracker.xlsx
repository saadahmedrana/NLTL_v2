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2a73c7d3d2c4157" /></Relationships>
</file>

<file path=xl/workbook.xml><?xml version="1.0" encoding="utf-8"?>
<x:workbook xmlns:x="http://schemas.openxmlformats.org/spreadsheetml/2006/main">
  <x:sheets>
    <x:sheet xmlns:r="http://schemas.openxmlformats.org/officeDocument/2006/relationships" name="SUMMARY" sheetId="1" r:id="Reced18d657c0445e"/>
    <x:sheet xmlns:r="http://schemas.openxmlformats.org/officeDocument/2006/relationships" name="README" sheetId="2" r:id="R32a1f4784ef1424f"/>
    <x:sheet xmlns:r="http://schemas.openxmlformats.org/officeDocument/2006/relationships" name="REGULATION_QUEUE" sheetId="3" r:id="R6da49b851ef54110"/>
    <x:sheet xmlns:r="http://schemas.openxmlformats.org/officeDocument/2006/relationships" name="RUNS" sheetId="4" r:id="Reebebfc0782b436a"/>
    <x:sheet xmlns:r="http://schemas.openxmlformats.org/officeDocument/2006/relationships" name="ITERATIONS" sheetId="5" r:id="Rd4ae1651f9c949bd"/>
    <x:sheet xmlns:r="http://schemas.openxmlformats.org/officeDocument/2006/relationships" name="API_CALLS" sheetId="6" r:id="R7e01662bf7e941b9"/>
    <x:sheet xmlns:r="http://schemas.openxmlformats.org/officeDocument/2006/relationships" name="TERM_RETRIEVAL" sheetId="7" r:id="R11f04b183c2f4dff"/>
    <x:sheet xmlns:r="http://schemas.openxmlformats.org/officeDocument/2006/relationships" name="FEW_SHOT_SELECTION" sheetId="8" r:id="R114107741c4a4ccf"/>
    <x:sheet xmlns:r="http://schemas.openxmlformats.org/officeDocument/2006/relationships" name="VALIDATION" sheetId="9" r:id="Rb1a53040039e4c60"/>
    <x:sheet xmlns:r="http://schemas.openxmlformats.org/officeDocument/2006/relationships" name="VOCAB_MATCHES" sheetId="10" r:id="R4a94555946b54e74"/>
    <x:sheet xmlns:r="http://schemas.openxmlformats.org/officeDocument/2006/relationships" name="ARTIFACTS" sheetId="11" r:id="Rf3d680fe4e49489d"/>
    <x:sheet xmlns:r="http://schemas.openxmlformats.org/officeDocument/2006/relationships" name="UNRESOLVED" sheetId="12" r:id="R6d886deeaace4977"/>
    <x:sheet xmlns:r="http://schemas.openxmlformats.org/officeDocument/2006/relationships" name="RDF_TEST_QUEUE" sheetId="13" r:id="R3b4e416ca8214ebd"/>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c18b286589b46eb" /><Relationship Type="http://schemas.openxmlformats.org/officeDocument/2006/relationships/theme" Target="/xl/theme/theme1.xml" Id="Rf51e3820897e48a3" /><Relationship Type="http://schemas.microsoft.com/office/2022/11/relationships/FeaturePropertyBag" Target="/xl/featurePropertyBag/featurePropertyBag.xml" Id="R0bc4a76a548848f2" /><Relationship Type="http://schemas.openxmlformats.org/officeDocument/2006/relationships/sharedStrings" Target="/xl/sharedStrings.xml" Id="Ra9bc0e8ccd334b47" /><Relationship Type="http://schemas.openxmlformats.org/officeDocument/2006/relationships/worksheet" Target="/xl/worksheets/sheet1.xml" Id="Reced18d657c0445e" /><Relationship Type="http://schemas.openxmlformats.org/officeDocument/2006/relationships/worksheet" Target="/xl/worksheets/sheet2.xml" Id="R32a1f4784ef1424f" /><Relationship Type="http://schemas.openxmlformats.org/officeDocument/2006/relationships/worksheet" Target="/xl/worksheets/sheet3.xml" Id="R6da49b851ef54110" /><Relationship Type="http://schemas.openxmlformats.org/officeDocument/2006/relationships/worksheet" Target="/xl/worksheets/sheet4.xml" Id="Reebebfc0782b436a" /><Relationship Type="http://schemas.openxmlformats.org/officeDocument/2006/relationships/worksheet" Target="/xl/worksheets/sheet5.xml" Id="Rd4ae1651f9c949bd" /><Relationship Type="http://schemas.openxmlformats.org/officeDocument/2006/relationships/worksheet" Target="/xl/worksheets/sheet6.xml" Id="R7e01662bf7e941b9" /><Relationship Type="http://schemas.openxmlformats.org/officeDocument/2006/relationships/worksheet" Target="/xl/worksheets/sheet7.xml" Id="R11f04b183c2f4dff" /><Relationship Type="http://schemas.openxmlformats.org/officeDocument/2006/relationships/worksheet" Target="/xl/worksheets/sheet8.xml" Id="R114107741c4a4ccf" /><Relationship Type="http://schemas.openxmlformats.org/officeDocument/2006/relationships/worksheet" Target="/xl/worksheets/sheet9.xml" Id="Rb1a53040039e4c60" /><Relationship Type="http://schemas.openxmlformats.org/officeDocument/2006/relationships/worksheet" Target="/xl/worksheets/sheet10.xml" Id="R4a94555946b54e74" /><Relationship Type="http://schemas.openxmlformats.org/officeDocument/2006/relationships/worksheet" Target="/xl/worksheets/sheet11.xml" Id="Rf3d680fe4e49489d" /><Relationship Type="http://schemas.openxmlformats.org/officeDocument/2006/relationships/worksheet" Target="/xl/worksheets/sheet12.xml" Id="R6d886deeaace4977" /><Relationship Type="http://schemas.openxmlformats.org/officeDocument/2006/relationships/worksheet" Target="/xl/worksheets/sheet13.xml" Id="R3b4e416ca8214ebd"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4"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7"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1"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d9b1c57bf9c64b3c" /></Relationships>
</file>

<file path=xl/worksheets/_rels/sheet3.xml.rels>&#65279;<?xml version="1.0" encoding="utf-8"?><Relationships xmlns="http://schemas.openxmlformats.org/package/2006/relationships"><Relationship Type="http://schemas.openxmlformats.org/officeDocument/2006/relationships/table" Target="/xl/tables/table2.xml" Id="Rbbe5cb4b7f254c54" /></Relationships>
</file>

<file path=xl/worksheets/_rels/sheet4.xml.rels>&#65279;<?xml version="1.0" encoding="utf-8"?><Relationships xmlns="http://schemas.openxmlformats.org/package/2006/relationships"><Relationship Type="http://schemas.openxmlformats.org/officeDocument/2006/relationships/table" Target="/xl/tables/table3.xml" Id="R718760c6e7184538" /></Relationships>
</file>

<file path=xl/worksheets/_rels/sheet5.xml.rels>&#65279;<?xml version="1.0" encoding="utf-8"?><Relationships xmlns="http://schemas.openxmlformats.org/package/2006/relationships"><Relationship Type="http://schemas.openxmlformats.org/officeDocument/2006/relationships/table" Target="/xl/tables/table4.xml" Id="Rbe1f637d5fa64e36" /></Relationships>
</file>

<file path=xl/worksheets/_rels/sheet6.xml.rels>&#65279;<?xml version="1.0" encoding="utf-8"?><Relationships xmlns="http://schemas.openxmlformats.org/package/2006/relationships"><Relationship Type="http://schemas.openxmlformats.org/officeDocument/2006/relationships/table" Target="/xl/tables/table5.xml" Id="R823043b544604d6d" /></Relationships>
</file>

<file path=xl/worksheets/_rels/sheet7.xml.rels>&#65279;<?xml version="1.0" encoding="utf-8"?><Relationships xmlns="http://schemas.openxmlformats.org/package/2006/relationships"><Relationship Type="http://schemas.openxmlformats.org/officeDocument/2006/relationships/table" Target="/xl/tables/table6.xml" Id="R1bdfceb3cee048ae" /></Relationships>
</file>

<file path=xl/worksheets/_rels/sheet8.xml.rels>&#65279;<?xml version="1.0" encoding="utf-8"?><Relationships xmlns="http://schemas.openxmlformats.org/package/2006/relationships"><Relationship Type="http://schemas.openxmlformats.org/officeDocument/2006/relationships/table" Target="/xl/tables/table7.xml" Id="Rdf918fb0ff2c4c6e" /></Relationships>
</file>

<file path=xl/worksheets/_rels/sheet9.xml.rels>&#65279;<?xml version="1.0" encoding="utf-8"?><Relationships xmlns="http://schemas.openxmlformats.org/package/2006/relationships"><Relationship Type="http://schemas.openxmlformats.org/officeDocument/2006/relationships/table" Target="/xl/tables/table8.xml" Id="R9dfa43dedc07470e" /></Relationships>
</file>

<file path=xl/worksheets/_rels/sheet11.xml.rels>&#65279;<?xml version="1.0" encoding="utf-8"?><Relationships xmlns="http://schemas.openxmlformats.org/package/2006/relationships"><Relationship Type="http://schemas.openxmlformats.org/officeDocument/2006/relationships/table" Target="/xl/tables/table9.xml" Id="R90d40b7050eb4acd" /></Relationships>
</file>

<file path=xl/worksheets/_rels/sheet13.xml.rels>&#65279;<?xml version="1.0" encoding="utf-8"?><Relationships xmlns="http://schemas.openxmlformats.org/package/2006/relationships"><Relationship Type="http://schemas.openxmlformats.org/officeDocument/2006/relationships/table" Target="/xl/tables/table10.xml" Id="R33659aa1672747d1"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RUN-IMO-074-20260827T210428682417Z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COUNTA('API_CALLS'!$A$5:$A$14)</x:f>
        <x:v>10</x:v>
      </x:c>
      <x:c r="C9" s="21"/>
      <x:c r="D9" s="21"/>
    </x:row>
    <x:row r="10">
      <x:c r="A10" s="27" t="str">
        <x:v>Mean API/LLM elapsed ms</x:v>
      </x:c>
      <x:c r="B10" s="28" t="n">
        <x:f>IFERROR(AVERAGE('API_CALLS'!$K$5:$K$14),0)</x:f>
        <x:v>7027.020299999999</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RUN-IMO-074-20260827T210428682417Z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d9b1c57bf9c64b3c"/>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RUN-IMO-074-20260827T210428682417Z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GENERATION_ACCEPTED</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bbe5cb4b7f254c54"/>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RUN-IMO-074-20260827T210428682417Z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SESSION-BATCH-20260827T190357989787Z</x:v>
      </x:c>
      <x:c r="B5" s="69" t="str">
        <x:v>RUN-IMO-074-20260827T210428682417Z</x:v>
      </x:c>
      <x:c r="C5" s="69" t="str">
        <x:v>IMO-074</x:v>
      </x:c>
      <x:c r="D5" s="70" t="n">
        <x:v>46261.878109756944</x:v>
      </x:c>
      <x:c r="E5" s="70" t="n">
        <x:v>46261.87851891204</x:v>
      </x:c>
      <x:c r="F5" s="69" t="str">
        <x:v>final-luna-main-run02</x:v>
      </x:c>
      <x:c r="G5" s="69" t="str">
        <x:v>VOCAB-LOCK-2026-08-22-R13</x:v>
      </x:c>
      <x:c r="H5" s="71" t="n">
        <x:v>2</x:v>
      </x:c>
      <x:c r="I5" s="69" t="str">
        <x:v>GENERATION_ACCEPTED</x:v>
      </x:c>
      <x:c r="J5" s="72" t="b">
        <x:v>1</x:v>
      </x:c>
      <x:c r="K5" s="69" t="str">
        <x:v>final/final_shape.ttl</x:v>
      </x:c>
      <x:c r="L5" s="73" t="str">
        <x:v>The candidate faithfully encodes the required implication for the supplied ship owner: when abandonmentOntoIceOrLandPotential is true, either groupSurvivalEquipmentCarried is true or normalLifeSavingEquivalentFunctionalityApprovalStatus is evidenceStateApproved. It preserves the prior instruction by imposing no independent existence or false-value obligation for applicability, uses the canonical namespace and declared datatypes/range, and deterministic validation is valid.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718760c6e7184538"/>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RUN-IMO-074-20260827T210428682417Z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RUN-IMO-074-20260827T210428682417Z</x:v>
      </x:c>
      <x:c r="B5" s="45" t="str">
        <x:v>IMO-074</x:v>
      </x:c>
      <x:c r="C5" s="58" t="n">
        <x:v>1</x:v>
      </x:c>
      <x:c r="D5" s="80" t="b">
        <x:v>1</x:v>
      </x:c>
      <x:c r="E5" s="80" t="b">
        <x:v>0</x:v>
      </x:c>
      <x:c r="F5" s="80" t="b">
        <x:v>0</x:v>
      </x:c>
      <x:c r="G5" s="45" t="str">
        <x:v>REVISE</x:v>
      </x:c>
      <x:c r="H5" s="46" t="str">
        <x:v>The candidate overconstrains applicability by requiring abandonmentOntoIceOrLandPotential to exist exactly once and to be explicitly false whenever the condition is not true. The verified requirement only imposes the consequent when that supplied boolean is true; it does not independently require recording a false value. Remove the invented not-applicable existence/false branch, or otherwise encode only the implication without adding an existence obligation, while retaining the applicable alternative that requires groupSurvivalEquipmentCarried = true OR normalLifeSavingEquivalentFunctionalityApprovalStatus = nltl:evidenceStateApproved.</x:v>
      </x:c>
      <x:c r="I5" s="81" t="n">
        <x:v>9093.594</x:v>
      </x:c>
      <x:c r="J5" s="81" t="n">
        <x:v>7585.816</x:v>
      </x:c>
    </x:row>
    <x:row r="6">
      <x:c r="A6" s="49" t="str">
        <x:v>RUN-IMO-074-20260827T210428682417Z</x:v>
      </x:c>
      <x:c r="B6" s="49" t="str">
        <x:v>IMO-074</x:v>
      </x:c>
      <x:c r="C6" s="60" t="n">
        <x:v>2</x:v>
      </x:c>
      <x:c r="D6" s="82" t="b">
        <x:v>1</x:v>
      </x:c>
      <x:c r="E6" s="82" t="b">
        <x:v>1</x:v>
      </x:c>
      <x:c r="F6" s="82" t="b">
        <x:v>0</x:v>
      </x:c>
      <x:c r="G6" s="49" t="str">
        <x:v>ACCEPT</x:v>
      </x:c>
      <x:c r="H6" s="50" t="str">
        <x:v>The candidate faithfully encodes the required implication for the supplied ship owner: when abandonmentOntoIceOrLandPotential is true, either groupSurvivalEquipmentCarried is true or normalLifeSavingEquivalentFunctionalityApprovalStatus is evidenceStateApproved. It preserves the prior instruction by imposing no independent existence or false-value obligation for applicability, uses the canonical namespace and declared datatypes/range, and deterministic validation is valid.</x:v>
      </x:c>
      <x:c r="I6" s="83" t="n">
        <x:v>11258.378</x:v>
      </x:c>
      <x:c r="J6" s="83" t="n">
        <x:v>4182.686</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be1f637d5fa64e36"/>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RUN-IMO-074-20260827T210428682417Z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EVT-000021</x:v>
      </x:c>
      <x:c r="B5" s="45" t="str">
        <x:v>RUN-IMO-074-20260827T210428682417Z</x:v>
      </x:c>
      <x:c r="C5" s="45" t="str">
        <x:v>IMO-074</x:v>
      </x:c>
      <x:c r="D5" s="90" t="n">
        <x:v>46261.87821501157</x:v>
      </x:c>
      <x:c r="E5" s="45" t="str">
        <x:v>generator</x:v>
      </x:c>
      <x:c r="F5" s="45" t="str">
        <x:v>gpt-5.6-luna-2026-07-09</x:v>
      </x:c>
      <x:c r="G5" s="45" t="n">
        <x:v>1</x:v>
      </x:c>
      <x:c r="H5" s="45" t="n">
        <x:v>200</x:v>
      </x:c>
      <x:c r="I5" s="45" t="str">
        <x:v>Ocp-Apim-Subscription-Key</x:v>
      </x:c>
      <x:c r="J5" s="81" t="n">
        <x:v>0</x:v>
      </x:c>
      <x:c r="K5" s="81" t="n">
        <x:v>9092.053</x:v>
      </x:c>
      <x:c r="L5" s="80" t="b">
        <x:v>0</x:v>
      </x:c>
      <x:c r="M5" s="45" t="str"/>
      <x:c r="N5" s="58" t="str"/>
      <x:c r="O5" s="58" t="str"/>
      <x:c r="P5" s="58" t="str"/>
    </x:row>
    <x:row r="6">
      <x:c r="A6" s="47" t="str">
        <x:v>EVT-000022</x:v>
      </x:c>
      <x:c r="B6" s="47" t="str">
        <x:v>RUN-IMO-074-20260827T210428682417Z</x:v>
      </x:c>
      <x:c r="C6" s="47" t="str">
        <x:v>IMO-074</x:v>
      </x:c>
      <x:c r="D6" s="91" t="n">
        <x:v>46261.87821502315</x:v>
      </x:c>
      <x:c r="E6" s="47" t="str">
        <x:v>generator</x:v>
      </x:c>
      <x:c r="F6" s="47" t="str">
        <x:v>gpt-5.6-luna-2026-07-09</x:v>
      </x:c>
      <x:c r="G6" s="47" t="n">
        <x:v>1</x:v>
      </x:c>
      <x:c r="H6" s="47" t="str">
        <x:v>COMPLETED</x:v>
      </x:c>
      <x:c r="I6" s="47" t="str"/>
      <x:c r="J6" s="92" t="n">
        <x:v>0</x:v>
      </x:c>
      <x:c r="K6" s="92" t="n">
        <x:v>9093.594</x:v>
      </x:c>
      <x:c r="L6" s="93" t="b">
        <x:v>0</x:v>
      </x:c>
      <x:c r="M6" s="47" t="str">
        <x:v>resp_0fe1f88013e817a0006a90a65cc8b88196a57c9d5aafada489</x:v>
      </x:c>
      <x:c r="N6" s="59" t="n">
        <x:v>7082</x:v>
      </x:c>
      <x:c r="O6" s="59" t="n">
        <x:v>1016</x:v>
      </x:c>
      <x:c r="P6" s="59" t="n">
        <x:v>8098</x:v>
      </x:c>
    </x:row>
    <x:row r="7">
      <x:c r="A7" s="47" t="str">
        <x:v>EVT-000029</x:v>
      </x:c>
      <x:c r="B7" s="47" t="str">
        <x:v>RUN-IMO-074-20260827T210428682417Z</x:v>
      </x:c>
      <x:c r="C7" s="47" t="str">
        <x:v>IMO-074</x:v>
      </x:c>
      <x:c r="D7" s="91" t="n">
        <x:v>46261.87830388889</x:v>
      </x:c>
      <x:c r="E7" s="47" t="str">
        <x:v>validator</x:v>
      </x:c>
      <x:c r="F7" s="47" t="str">
        <x:v>gpt-5.6-luna-2026-07-09</x:v>
      </x:c>
      <x:c r="G7" s="47" t="n">
        <x:v>1</x:v>
      </x:c>
      <x:c r="H7" s="47" t="n">
        <x:v>200</x:v>
      </x:c>
      <x:c r="I7" s="47" t="str">
        <x:v>Ocp-Apim-Subscription-Key</x:v>
      </x:c>
      <x:c r="J7" s="92" t="n">
        <x:v>0</x:v>
      </x:c>
      <x:c r="K7" s="92" t="n">
        <x:v>7584.342</x:v>
      </x:c>
      <x:c r="L7" s="93" t="b">
        <x:v>0</x:v>
      </x:c>
      <x:c r="M7" s="47" t="str"/>
      <x:c r="N7" s="59" t="str"/>
      <x:c r="O7" s="59" t="str"/>
      <x:c r="P7" s="59" t="str"/>
    </x:row>
    <x:row r="8">
      <x:c r="A8" s="47" t="str">
        <x:v>EVT-000030</x:v>
      </x:c>
      <x:c r="B8" s="47" t="str">
        <x:v>RUN-IMO-074-20260827T210428682417Z</x:v>
      </x:c>
      <x:c r="C8" s="47" t="str">
        <x:v>IMO-074</x:v>
      </x:c>
      <x:c r="D8" s="91" t="n">
        <x:v>46261.87830391204</x:v>
      </x:c>
      <x:c r="E8" s="47" t="str">
        <x:v>validator</x:v>
      </x:c>
      <x:c r="F8" s="47" t="str">
        <x:v>gpt-5.6-luna-2026-07-09</x:v>
      </x:c>
      <x:c r="G8" s="47" t="n">
        <x:v>1</x:v>
      </x:c>
      <x:c r="H8" s="47" t="str">
        <x:v>COMPLETED</x:v>
      </x:c>
      <x:c r="I8" s="47" t="str"/>
      <x:c r="J8" s="92" t="n">
        <x:v>0</x:v>
      </x:c>
      <x:c r="K8" s="92" t="n">
        <x:v>7585.816</x:v>
      </x:c>
      <x:c r="L8" s="93" t="b">
        <x:v>0</x:v>
      </x:c>
      <x:c r="M8" s="47" t="str">
        <x:v>resp_0b542f99a3ff2836006a90a665f6448195bf7aa869ae159c70</x:v>
      </x:c>
      <x:c r="N8" s="59" t="n">
        <x:v>6454</x:v>
      </x:c>
      <x:c r="O8" s="59" t="n">
        <x:v>650</x:v>
      </x:c>
      <x:c r="P8" s="59" t="n">
        <x:v>7104</x:v>
      </x:c>
    </x:row>
    <x:row r="9">
      <x:c r="A9" s="47" t="str">
        <x:v>EVT-000035</x:v>
      </x:c>
      <x:c r="B9" s="47" t="str">
        <x:v>RUN-IMO-074-20260827T210428682417Z</x:v>
      </x:c>
      <x:c r="C9" s="47" t="str">
        <x:v>IMO-074</x:v>
      </x:c>
      <x:c r="D9" s="91" t="n">
        <x:v>46261.87843425926</x:v>
      </x:c>
      <x:c r="E9" s="47" t="str">
        <x:v>generator</x:v>
      </x:c>
      <x:c r="F9" s="47" t="str">
        <x:v>gpt-5.6-luna-2026-07-09</x:v>
      </x:c>
      <x:c r="G9" s="47" t="n">
        <x:v>1</x:v>
      </x:c>
      <x:c r="H9" s="47" t="n">
        <x:v>200</x:v>
      </x:c>
      <x:c r="I9" s="47" t="str">
        <x:v>Ocp-Apim-Subscription-Key</x:v>
      </x:c>
      <x:c r="J9" s="92" t="n">
        <x:v>0</x:v>
      </x:c>
      <x:c r="K9" s="92" t="n">
        <x:v>11256.885</x:v>
      </x:c>
      <x:c r="L9" s="93" t="b">
        <x:v>0</x:v>
      </x:c>
      <x:c r="M9" s="47" t="str"/>
      <x:c r="N9" s="59" t="str"/>
      <x:c r="O9" s="59" t="str"/>
      <x:c r="P9" s="59" t="str"/>
    </x:row>
    <x:row r="10">
      <x:c r="A10" s="47" t="str">
        <x:v>EVT-000036</x:v>
      </x:c>
      <x:c r="B10" s="47" t="str">
        <x:v>RUN-IMO-074-20260827T210428682417Z</x:v>
      </x:c>
      <x:c r="C10" s="47" t="str">
        <x:v>IMO-074</x:v>
      </x:c>
      <x:c r="D10" s="91" t="n">
        <x:v>46261.87843428241</x:v>
      </x:c>
      <x:c r="E10" s="47" t="str">
        <x:v>generator</x:v>
      </x:c>
      <x:c r="F10" s="47" t="str">
        <x:v>gpt-5.6-luna-2026-07-09</x:v>
      </x:c>
      <x:c r="G10" s="47" t="n">
        <x:v>1</x:v>
      </x:c>
      <x:c r="H10" s="47" t="str">
        <x:v>COMPLETED</x:v>
      </x:c>
      <x:c r="I10" s="47" t="str"/>
      <x:c r="J10" s="92" t="n">
        <x:v>0</x:v>
      </x:c>
      <x:c r="K10" s="92" t="n">
        <x:v>11258.378</x:v>
      </x:c>
      <x:c r="L10" s="93" t="b">
        <x:v>0</x:v>
      </x:c>
      <x:c r="M10" s="47" t="str">
        <x:v>resp_00bf9923767207c4006a90a66d8a708193bc69d687921669cc</x:v>
      </x:c>
      <x:c r="N10" s="59" t="n">
        <x:v>7195</x:v>
      </x:c>
      <x:c r="O10" s="59" t="n">
        <x:v>1143</x:v>
      </x:c>
      <x:c r="P10" s="59" t="n">
        <x:v>8338</x:v>
      </x:c>
    </x:row>
    <x:row r="11">
      <x:c r="A11" s="47" t="str">
        <x:v>EVT-000041</x:v>
      </x:c>
      <x:c r="B11" s="47" t="str">
        <x:v>RUN-IMO-074-20260827T210428682417Z</x:v>
      </x:c>
      <x:c r="C11" s="47" t="str">
        <x:v>IMO-074</x:v>
      </x:c>
      <x:c r="D11" s="91" t="n">
        <x:v>46261.878469814816</x:v>
      </x:c>
      <x:c r="E11" s="47" t="str">
        <x:v>syntax_repair</x:v>
      </x:c>
      <x:c r="F11" s="47" t="str">
        <x:v>gpt-5.6-luna-2026-07-09</x:v>
      </x:c>
      <x:c r="G11" s="47" t="n">
        <x:v>1</x:v>
      </x:c>
      <x:c r="H11" s="47" t="n">
        <x:v>200</x:v>
      </x:c>
      <x:c r="I11" s="47" t="str">
        <x:v>Ocp-Apim-Subscription-Key</x:v>
      </x:c>
      <x:c r="J11" s="92" t="n">
        <x:v>0</x:v>
      </x:c>
      <x:c r="K11" s="92" t="n">
        <x:v>3016.861</x:v>
      </x:c>
      <x:c r="L11" s="93" t="b">
        <x:v>0</x:v>
      </x:c>
      <x:c r="M11" s="47" t="str"/>
      <x:c r="N11" s="59" t="str"/>
      <x:c r="O11" s="59" t="str"/>
      <x:c r="P11" s="59" t="str"/>
    </x:row>
    <x:row r="12">
      <x:c r="A12" s="47" t="str">
        <x:v>EVT-000042</x:v>
      </x:c>
      <x:c r="B12" s="47" t="str">
        <x:v>RUN-IMO-074-20260827T210428682417Z</x:v>
      </x:c>
      <x:c r="C12" s="47" t="str">
        <x:v>IMO-074</x:v>
      </x:c>
      <x:c r="D12" s="91" t="n">
        <x:v>46261.87846983796</x:v>
      </x:c>
      <x:c r="E12" s="47" t="str">
        <x:v>syntax_repair</x:v>
      </x:c>
      <x:c r="F12" s="47" t="str">
        <x:v>gpt-5.6-luna-2026-07-09</x:v>
      </x:c>
      <x:c r="G12" s="47" t="n">
        <x:v>1</x:v>
      </x:c>
      <x:c r="H12" s="47" t="str">
        <x:v>COMPLETED</x:v>
      </x:c>
      <x:c r="I12" s="47" t="str"/>
      <x:c r="J12" s="92" t="n">
        <x:v>0</x:v>
      </x:c>
      <x:c r="K12" s="92" t="n">
        <x:v>3018.349</x:v>
      </x:c>
      <x:c r="L12" s="93" t="b">
        <x:v>0</x:v>
      </x:c>
      <x:c r="M12" s="47" t="str">
        <x:v>resp_0abc974c00888a2e006a90a678dc088194bcb3a0cd0bea5af1</x:v>
      </x:c>
      <x:c r="N12" s="59" t="n">
        <x:v>598</x:v>
      </x:c>
      <x:c r="O12" s="59" t="n">
        <x:v>400</x:v>
      </x:c>
      <x:c r="P12" s="59" t="n">
        <x:v>998</x:v>
      </x:c>
    </x:row>
    <x:row r="13">
      <x:c r="A13" s="47" t="str">
        <x:v>EVT-000050</x:v>
      </x:c>
      <x:c r="B13" s="47" t="str">
        <x:v>RUN-IMO-074-20260827T210428682417Z</x:v>
      </x:c>
      <x:c r="C13" s="47" t="str">
        <x:v>IMO-074</x:v>
      </x:c>
      <x:c r="D13" s="91" t="n">
        <x:v>46261.87851884259</x:v>
      </x:c>
      <x:c r="E13" s="47" t="str">
        <x:v>validator</x:v>
      </x:c>
      <x:c r="F13" s="47" t="str">
        <x:v>gpt-5.6-luna-2026-07-09</x:v>
      </x:c>
      <x:c r="G13" s="47" t="n">
        <x:v>1</x:v>
      </x:c>
      <x:c r="H13" s="47" t="n">
        <x:v>200</x:v>
      </x:c>
      <x:c r="I13" s="47" t="str">
        <x:v>Ocp-Apim-Subscription-Key</x:v>
      </x:c>
      <x:c r="J13" s="92" t="n">
        <x:v>0</x:v>
      </x:c>
      <x:c r="K13" s="92" t="n">
        <x:v>4181.239</x:v>
      </x:c>
      <x:c r="L13" s="93" t="b">
        <x:v>0</x:v>
      </x:c>
      <x:c r="M13" s="47" t="str"/>
      <x:c r="N13" s="59" t="str"/>
      <x:c r="O13" s="59" t="str"/>
      <x:c r="P13" s="59" t="str"/>
    </x:row>
    <x:row r="14">
      <x:c r="A14" s="49" t="str">
        <x:v>EVT-000051</x:v>
      </x:c>
      <x:c r="B14" s="49" t="str">
        <x:v>RUN-IMO-074-20260827T210428682417Z</x:v>
      </x:c>
      <x:c r="C14" s="49" t="str">
        <x:v>IMO-074</x:v>
      </x:c>
      <x:c r="D14" s="94" t="n">
        <x:v>46261.878518854166</x:v>
      </x:c>
      <x:c r="E14" s="49" t="str">
        <x:v>validator</x:v>
      </x:c>
      <x:c r="F14" s="49" t="str">
        <x:v>gpt-5.6-luna-2026-07-09</x:v>
      </x:c>
      <x:c r="G14" s="49" t="n">
        <x:v>1</x:v>
      </x:c>
      <x:c r="H14" s="49" t="str">
        <x:v>COMPLETED</x:v>
      </x:c>
      <x:c r="I14" s="49" t="str"/>
      <x:c r="J14" s="83" t="n">
        <x:v>0</x:v>
      </x:c>
      <x:c r="K14" s="83" t="n">
        <x:v>4182.686</x:v>
      </x:c>
      <x:c r="L14" s="82" t="b">
        <x:v>0</x:v>
      </x:c>
      <x:c r="M14" s="49" t="str">
        <x:v>resp_069fc30df48e10eb006a90a67bebec81908adcdf0a5441f2d5</x:v>
      </x:c>
      <x:c r="N14" s="60" t="n">
        <x:v>6306</x:v>
      </x:c>
      <x:c r="O14" s="60" t="n">
        <x:v>328</x:v>
      </x:c>
      <x:c r="P14" s="60" t="n">
        <x:v>6634</x:v>
      </x:c>
    </x:row>
  </x:sheetData>
  <x:conditionalFormatting sqref="H5:H14">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823043b544604d6d"/>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RUN-IMO-074-20260827T210428682417Z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RUN-IMO-074-20260827T210428682417Z</x:v>
      </x:c>
      <x:c r="B5" s="45" t="str">
        <x:v>IMO-074</x:v>
      </x:c>
      <x:c r="C5" s="45" t="str">
        <x:v>abandonmentOntoIceOrLandPotential</x:v>
      </x:c>
      <x:c r="D5" s="46" t="str">
        <x:v>https://w3id.org/nltl/vocab#abandonmentOntoIceOrLandPotential</x:v>
      </x:c>
      <x:c r="E5" s="45" t="str">
        <x:v>DatatypeProperty</x:v>
      </x:c>
      <x:c r="F5" s="45" t="str">
        <x:v>xsd:boolean</x:v>
      </x:c>
      <x:c r="G5" s="45" t="str">
        <x:v>http://www.w3.org/2001/XMLSchema#boolean</x:v>
      </x:c>
      <x:c r="H5" s="45" t="str"/>
      <x:c r="I5" s="46" t="str">
        <x:v>linked by the locked 313-requirement index</x:v>
      </x:c>
      <x:c r="J5" s="45" t="n">
        <x:v>0</x:v>
      </x:c>
    </x:row>
    <x:row r="6">
      <x:c r="A6" s="47" t="str">
        <x:v>RUN-IMO-074-20260827T210428682417Z</x:v>
      </x:c>
      <x:c r="B6" s="47" t="str">
        <x:v>IMO-074</x:v>
      </x:c>
      <x:c r="C6" s="47" t="str">
        <x:v>benchmarkEntity</x:v>
      </x:c>
      <x:c r="D6" s="48" t="str">
        <x:v>https://w3id.org/nltl/vocab#benchmarkEntity</x:v>
      </x:c>
      <x:c r="E6" s="47" t="str">
        <x:v>Class</x:v>
      </x:c>
      <x:c r="F6" s="47" t="str"/>
      <x:c r="G6" s="47" t="str"/>
      <x:c r="H6" s="47" t="str"/>
      <x:c r="I6" s="48" t="str">
        <x:v>baseline target infrastructure; domain dependency of abandonmentOntoIceOrLandPotential; domain dependency of groupSurvivalEquipmentCarried; domain dependency of normalLifeSavingEquivalentFunctionalityApprovalStatus</x:v>
      </x:c>
      <x:c r="J6" s="47" t="n">
        <x:v>0</x:v>
      </x:c>
    </x:row>
    <x:row r="7">
      <x:c r="A7" s="47" t="str">
        <x:v>RUN-IMO-074-20260827T210428682417Z</x:v>
      </x:c>
      <x:c r="B7" s="47" t="str">
        <x:v>IMO-074</x:v>
      </x:c>
      <x:c r="C7" s="47" t="str">
        <x:v>evidenceState</x:v>
      </x:c>
      <x:c r="D7" s="48" t="str">
        <x:v>https://w3id.org/nltl/vocab#evidenceState</x:v>
      </x:c>
      <x:c r="E7" s="47" t="str">
        <x:v>Class</x:v>
      </x:c>
      <x:c r="F7" s="47" t="str"/>
      <x:c r="G7" s="47" t="str"/>
      <x:c r="H7" s="47" t="str"/>
      <x:c r="I7" s="48" t="str">
        <x:v>range dependency of normalLifeSavingEquivalentFunctionalityApprovalStatus</x:v>
      </x:c>
      <x:c r="J7" s="47" t="n">
        <x:v>0</x:v>
      </x:c>
    </x:row>
    <x:row r="8">
      <x:c r="A8" s="47" t="str">
        <x:v>RUN-IMO-074-20260827T210428682417Z</x:v>
      </x:c>
      <x:c r="B8" s="47" t="str">
        <x:v>IMO-074</x:v>
      </x:c>
      <x:c r="C8" s="47" t="str">
        <x:v>evidenceStateApproved</x:v>
      </x:c>
      <x:c r="D8" s="48" t="str">
        <x:v>https://w3id.org/nltl/vocab#evidenceStateApproved</x:v>
      </x:c>
      <x:c r="E8" s="47" t="str">
        <x:v>NamedIndividual</x:v>
      </x:c>
      <x:c r="F8" s="47" t="str"/>
      <x:c r="G8" s="47" t="str">
        <x:v>https://w3id.org/nltl/vocab#evidenceState</x:v>
      </x:c>
      <x:c r="H8" s="47" t="str"/>
      <x:c r="I8" s="48" t="str">
        <x:v>controlled value permitted by the range of normalLifeSavingEquivalentFunctionalityApprovalStatus</x:v>
      </x:c>
      <x:c r="J8" s="47" t="n">
        <x:v>0</x:v>
      </x:c>
    </x:row>
    <x:row r="9">
      <x:c r="A9" s="47" t="str">
        <x:v>RUN-IMO-074-20260827T210428682417Z</x:v>
      </x:c>
      <x:c r="B9" s="47" t="str">
        <x:v>IMO-074</x:v>
      </x:c>
      <x:c r="C9" s="47" t="str">
        <x:v>evidenceStateDraft</x:v>
      </x:c>
      <x:c r="D9" s="48" t="str">
        <x:v>https://w3id.org/nltl/vocab#evidenceStateDraft</x:v>
      </x:c>
      <x:c r="E9" s="47" t="str">
        <x:v>NamedIndividual</x:v>
      </x:c>
      <x:c r="F9" s="47" t="str"/>
      <x:c r="G9" s="47" t="str">
        <x:v>https://w3id.org/nltl/vocab#evidenceState</x:v>
      </x:c>
      <x:c r="H9" s="47" t="str"/>
      <x:c r="I9" s="48" t="str">
        <x:v>controlled value permitted by the range of normalLifeSavingEquivalentFunctionalityApprovalStatus</x:v>
      </x:c>
      <x:c r="J9" s="47" t="n">
        <x:v>0</x:v>
      </x:c>
    </x:row>
    <x:row r="10">
      <x:c r="A10" s="47" t="str">
        <x:v>RUN-IMO-074-20260827T210428682417Z</x:v>
      </x:c>
      <x:c r="B10" s="47" t="str">
        <x:v>IMO-074</x:v>
      </x:c>
      <x:c r="C10" s="47" t="str">
        <x:v>evidenceStateExpired</x:v>
      </x:c>
      <x:c r="D10" s="48" t="str">
        <x:v>https://w3id.org/nltl/vocab#evidenceStateExpired</x:v>
      </x:c>
      <x:c r="E10" s="47" t="str">
        <x:v>NamedIndividual</x:v>
      </x:c>
      <x:c r="F10" s="47" t="str"/>
      <x:c r="G10" s="47" t="str">
        <x:v>https://w3id.org/nltl/vocab#evidenceState</x:v>
      </x:c>
      <x:c r="H10" s="47" t="str"/>
      <x:c r="I10" s="48" t="str">
        <x:v>controlled value permitted by the range of normalLifeSavingEquivalentFunctionalityApprovalStatus</x:v>
      </x:c>
      <x:c r="J10" s="47" t="n">
        <x:v>0</x:v>
      </x:c>
    </x:row>
    <x:row r="11">
      <x:c r="A11" s="47" t="str">
        <x:v>RUN-IMO-074-20260827T210428682417Z</x:v>
      </x:c>
      <x:c r="B11" s="47" t="str">
        <x:v>IMO-074</x:v>
      </x:c>
      <x:c r="C11" s="47" t="str">
        <x:v>evidenceStateRejected</x:v>
      </x:c>
      <x:c r="D11" s="48" t="str">
        <x:v>https://w3id.org/nltl/vocab#evidenceStateRejected</x:v>
      </x:c>
      <x:c r="E11" s="47" t="str">
        <x:v>NamedIndividual</x:v>
      </x:c>
      <x:c r="F11" s="47" t="str"/>
      <x:c r="G11" s="47" t="str">
        <x:v>https://w3id.org/nltl/vocab#evidenceState</x:v>
      </x:c>
      <x:c r="H11" s="47" t="str"/>
      <x:c r="I11" s="48" t="str">
        <x:v>controlled value permitted by the range of normalLifeSavingEquivalentFunctionalityApprovalStatus</x:v>
      </x:c>
      <x:c r="J11" s="47" t="n">
        <x:v>0</x:v>
      </x:c>
    </x:row>
    <x:row r="12">
      <x:c r="A12" s="47" t="str">
        <x:v>RUN-IMO-074-20260827T210428682417Z</x:v>
      </x:c>
      <x:c r="B12" s="47" t="str">
        <x:v>IMO-074</x:v>
      </x:c>
      <x:c r="C12" s="47" t="str">
        <x:v>evidenceStateRevoked</x:v>
      </x:c>
      <x:c r="D12" s="48" t="str">
        <x:v>https://w3id.org/nltl/vocab#evidenceStateRevoked</x:v>
      </x:c>
      <x:c r="E12" s="47" t="str">
        <x:v>NamedIndividual</x:v>
      </x:c>
      <x:c r="F12" s="47" t="str"/>
      <x:c r="G12" s="47" t="str">
        <x:v>https://w3id.org/nltl/vocab#evidenceState</x:v>
      </x:c>
      <x:c r="H12" s="47" t="str"/>
      <x:c r="I12" s="48" t="str">
        <x:v>controlled value permitted by the range of normalLifeSavingEquivalentFunctionalityApprovalStatus</x:v>
      </x:c>
      <x:c r="J12" s="47" t="n">
        <x:v>0</x:v>
      </x:c>
    </x:row>
    <x:row r="13">
      <x:c r="A13" s="47" t="str">
        <x:v>RUN-IMO-074-20260827T210428682417Z</x:v>
      </x:c>
      <x:c r="B13" s="47" t="str">
        <x:v>IMO-074</x:v>
      </x:c>
      <x:c r="C13" s="47" t="str">
        <x:v>evidenceStateSubmitted</x:v>
      </x:c>
      <x:c r="D13" s="48" t="str">
        <x:v>https://w3id.org/nltl/vocab#evidenceStateSubmitted</x:v>
      </x:c>
      <x:c r="E13" s="47" t="str">
        <x:v>NamedIndividual</x:v>
      </x:c>
      <x:c r="F13" s="47" t="str"/>
      <x:c r="G13" s="47" t="str">
        <x:v>https://w3id.org/nltl/vocab#evidenceState</x:v>
      </x:c>
      <x:c r="H13" s="47" t="str"/>
      <x:c r="I13" s="48" t="str">
        <x:v>controlled value permitted by the range of normalLifeSavingEquivalentFunctionalityApprovalStatus</x:v>
      </x:c>
      <x:c r="J13" s="47" t="n">
        <x:v>0</x:v>
      </x:c>
    </x:row>
    <x:row r="14">
      <x:c r="A14" s="47" t="str">
        <x:v>RUN-IMO-074-20260827T210428682417Z</x:v>
      </x:c>
      <x:c r="B14" s="47" t="str">
        <x:v>IMO-074</x:v>
      </x:c>
      <x:c r="C14" s="47" t="str">
        <x:v>evidenceStateUnderReview</x:v>
      </x:c>
      <x:c r="D14" s="48" t="str">
        <x:v>https://w3id.org/nltl/vocab#evidenceStateUnderReview</x:v>
      </x:c>
      <x:c r="E14" s="47" t="str">
        <x:v>NamedIndividual</x:v>
      </x:c>
      <x:c r="F14" s="47" t="str"/>
      <x:c r="G14" s="47" t="str">
        <x:v>https://w3id.org/nltl/vocab#evidenceState</x:v>
      </x:c>
      <x:c r="H14" s="47" t="str"/>
      <x:c r="I14" s="48" t="str">
        <x:v>controlled value permitted by the range of normalLifeSavingEquivalentFunctionalityApprovalStatus</x:v>
      </x:c>
      <x:c r="J14" s="47" t="n">
        <x:v>0</x:v>
      </x:c>
    </x:row>
    <x:row r="15">
      <x:c r="A15" s="47" t="str">
        <x:v>RUN-IMO-074-20260827T210428682417Z</x:v>
      </x:c>
      <x:c r="B15" s="47" t="str">
        <x:v>IMO-074</x:v>
      </x:c>
      <x:c r="C15" s="47" t="str">
        <x:v>groupSurvivalEquipmentCarried</x:v>
      </x:c>
      <x:c r="D15" s="48" t="str">
        <x:v>https://w3id.org/nltl/vocab#groupSurvivalEquipmentCarried</x:v>
      </x:c>
      <x:c r="E15" s="47" t="str">
        <x:v>DatatypeProperty</x:v>
      </x:c>
      <x:c r="F15" s="47" t="str">
        <x:v>xsd:boolean</x:v>
      </x:c>
      <x:c r="G15" s="47" t="str">
        <x:v>http://www.w3.org/2001/XMLSchema#boolean</x:v>
      </x:c>
      <x:c r="H15" s="47" t="str"/>
      <x:c r="I15" s="48" t="str">
        <x:v>linked by the locked 313-requirement index</x:v>
      </x:c>
      <x:c r="J15" s="47" t="n">
        <x:v>0</x:v>
      </x:c>
    </x:row>
    <x:row r="16">
      <x:c r="A16" s="47" t="str">
        <x:v>RUN-IMO-074-20260827T210428682417Z</x:v>
      </x:c>
      <x:c r="B16" s="47" t="str">
        <x:v>IMO-074</x:v>
      </x:c>
      <x:c r="C16" s="47" t="str">
        <x:v>normalLifeSavingEquivalentFunctionalityApprovalStatus</x:v>
      </x:c>
      <x:c r="D16" s="48" t="str">
        <x:v>https://w3id.org/nltl/vocab#normalLifeSavingEquivalentFunctionalityApprovalStatus</x:v>
      </x:c>
      <x:c r="E16" s="47" t="str">
        <x:v>ObjectProperty</x:v>
      </x:c>
      <x:c r="F16" s="47" t="str"/>
      <x:c r="G16" s="47" t="str">
        <x:v>https://w3id.org/nltl/vocab#evidenceState</x:v>
      </x:c>
      <x:c r="H16" s="47" t="str"/>
      <x:c r="I16" s="48" t="str">
        <x:v>linked by the locked 313-requirement index</x:v>
      </x:c>
      <x:c r="J16" s="47" t="n">
        <x:v>0</x:v>
      </x:c>
    </x:row>
    <x:row r="17">
      <x:c r="A17" s="49" t="str">
        <x:v>RUN-IMO-074-20260827T210428682417Z</x:v>
      </x:c>
      <x:c r="B17" s="49" t="str">
        <x:v>IMO-074</x:v>
      </x:c>
      <x:c r="C17" s="49" t="str">
        <x:v>ship</x:v>
      </x:c>
      <x:c r="D17" s="50" t="str">
        <x:v>https://w3id.org/nltl/vocab#ship</x:v>
      </x:c>
      <x:c r="E17" s="49" t="str">
        <x:v>Class</x:v>
      </x:c>
      <x:c r="F17" s="49" t="str"/>
      <x:c r="G17" s="49" t="str"/>
      <x:c r="H17" s="49" t="str"/>
      <x:c r="I17" s="50" t="str">
        <x:v>authoritative required owner class; authoritative requirement target owner; baseline target infrastructure</x:v>
      </x:c>
      <x:c r="J17" s="49" t="n">
        <x:v>0</x:v>
      </x:c>
    </x:row>
  </x:sheetData>
  <x:pageMargins left="0.7" right="0.7" top="0.75" bottom="0.75" header="0.3" footer="0.3"/>
  <x:tableParts count="1">
    <x:tablePart xmlns:r="http://schemas.openxmlformats.org/officeDocument/2006/relationships" r:id="R1bdfceb3cee048ae"/>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RUN-IMO-074-20260827T210428682417Z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RUN-IMO-074-20260827T210428682417Z</x:v>
      </x:c>
      <x:c r="B5" s="45" t="str">
        <x:v>IMO-074</x:v>
      </x:c>
      <x:c r="C5" s="45" t="str">
        <x:v>FS-BOOL-01</x:v>
      </x:c>
      <x:c r="D5" s="45" t="str">
        <x:v>boolean_state</x:v>
      </x:c>
      <x:c r="E5" s="97" t="n">
        <x:v>0.057692</x:v>
      </x:c>
      <x:c r="F5" s="45" t="str">
        <x:v>boolean | required | value</x:v>
      </x:c>
      <x:c r="G5" s="45" t="str">
        <x:v>synthetic-few-shot-not-benchmark-ground-truth</x:v>
      </x:c>
    </x:row>
    <x:row r="6">
      <x:c r="A6" s="49" t="str">
        <x:v>RUN-IMO-074-20260827T210428682417Z</x:v>
      </x:c>
      <x:c r="B6" s="49" t="str">
        <x:v>IMO-074</x:v>
      </x:c>
      <x:c r="C6" s="49" t="str">
        <x:v>FS-BOOL-02</x:v>
      </x:c>
      <x:c r="D6" s="49" t="str">
        <x:v>boolean_state</x:v>
      </x:c>
      <x:c r="E6" s="98" t="n">
        <x:v>0.057692</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df918fb0ff2c4c6e"/>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RUN-IMO-074-20260827T210428682417Z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RUN-IMO-074-20260827T210428682417Z</x:v>
      </x:c>
      <x:c r="B5" s="45" t="str">
        <x:v>IMO-074</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https://w3id.org/nltl/vocab#abandonmentOntoIceOrLandPotential | https://w3id.org/nltl/vocab#evidenceStateApproved | https://w3id.org/nltl/vocab#groupSurvivalEquipmentCarried | https://w3id.org/nltl/vocab#normalLifeSavingEquivalentFunctionalityApprovalStatus | https://w3id.org/nltl/vocab#ship</x:v>
      </x:c>
      <x:c r="O5" s="46" t="str"/>
      <x:c r="P5" s="46" t="str"/>
      <x:c r="Q5" s="46" t="str"/>
    </x:row>
    <x:row r="6">
      <x:c r="A6" s="49" t="str">
        <x:v>RUN-IMO-074-20260827T210428682417Z</x:v>
      </x:c>
      <x:c r="B6" s="49" t="str">
        <x:v>IMO-074</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https://w3id.org/nltl/vocab#abandonmentOntoIceOrLandPotential | https://w3id.org/nltl/vocab#evidenceStateApproved | https://w3id.org/nltl/vocab#groupSurvivalEquipmentCarried | https://w3id.org/nltl/vocab#normalLifeSavingEquivalentFunctionalityApprovalStatus | https://w3id.org/nltl/vocab#ship</x:v>
      </x:c>
      <x:c r="O6" s="50" t="str"/>
      <x:c r="P6" s="50" t="str"/>
      <x:c r="Q6" s="50" t="str"/>
    </x:row>
  </x:sheetData>
  <x:pageMargins left="0.7" right="0.7" top="0.75" bottom="0.75" header="0.3" footer="0.3"/>
  <x:tableParts count="1">
    <x:tablePart xmlns:r="http://schemas.openxmlformats.org/officeDocument/2006/relationships" r:id="R9dfa43dedc07470e"/>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RUN-IMO-074-20260827T210428682417Z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RUN-IMO-074-20260827T210428682417Z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RUN-IMO-074-20260827T210428682417Z</x:v>
      </x:c>
      <x:c r="B5" s="45" t="str">
        <x:v>IMO-074</x:v>
      </x:c>
      <x:c r="C5" s="58"/>
      <x:c r="D5" s="45" t="str">
        <x:v>initial_context_pack</x:v>
      </x:c>
      <x:c r="E5" s="46" t="str">
        <x:v>artifacts/context_pack_initial.json</x:v>
      </x:c>
      <x:c r="F5" s="45" t="str">
        <x:v>529715415787312b9f3c9215fd4a78bcb2fbd3b38f12744432dea4f442522e28</x:v>
      </x:c>
      <x:c r="G5" s="58" t="n">
        <x:v>15935</x:v>
      </x:c>
    </x:row>
    <x:row r="6">
      <x:c r="A6" s="47" t="str">
        <x:v>RUN-IMO-074-20260827T210428682417Z</x:v>
      </x:c>
      <x:c r="B6" s="47" t="str">
        <x:v>IMO-074</x:v>
      </x:c>
      <x:c r="C6" s="59"/>
      <x:c r="D6" s="47" t="str">
        <x:v>few_shot_selection</x:v>
      </x:c>
      <x:c r="E6" s="48" t="str">
        <x:v>artifacts/few_shots_selected.json</x:v>
      </x:c>
      <x:c r="F6" s="47" t="str">
        <x:v>1f696ca880ec54278db5787f12650735a3304bd867151fb82e00abb82b471d92</x:v>
      </x:c>
      <x:c r="G6" s="59" t="n">
        <x:v>3110</x:v>
      </x:c>
    </x:row>
    <x:row r="7">
      <x:c r="A7" s="47" t="str">
        <x:v>RUN-IMO-074-20260827T210428682417Z</x:v>
      </x:c>
      <x:c r="B7" s="47" t="str">
        <x:v>IMO-074</x:v>
      </x:c>
      <x:c r="C7" s="59" t="n">
        <x:v>1</x:v>
      </x:c>
      <x:c r="D7" s="47" t="str">
        <x:v>generator_prompt</x:v>
      </x:c>
      <x:c r="E7" s="48" t="str">
        <x:v>artifacts/attempt_01/generator_prompt.txt</x:v>
      </x:c>
      <x:c r="F7" s="47" t="str">
        <x:v>c148fe5be975e4549241d586e8b7f1bf3d0fd8e72fd02c72e128684177765256</x:v>
      </x:c>
      <x:c r="G7" s="59" t="n">
        <x:v>30559</x:v>
      </x:c>
    </x:row>
    <x:row r="8">
      <x:c r="A8" s="47" t="str">
        <x:v>RUN-IMO-074-20260827T210428682417Z</x:v>
      </x:c>
      <x:c r="B8" s="47" t="str">
        <x:v>IMO-074</x:v>
      </x:c>
      <x:c r="C8" s="59" t="n">
        <x:v>1</x:v>
      </x:c>
      <x:c r="D8" s="47" t="str">
        <x:v>generator_raw_response</x:v>
      </x:c>
      <x:c r="E8" s="48" t="str">
        <x:v>artifacts/attempt_01/generator_raw.txt</x:v>
      </x:c>
      <x:c r="F8" s="47" t="str">
        <x:v>f72a68fe180a971edf3dbf41f9ffbe35b165d3e92ebf710e03ae8c06cdad183c</x:v>
      </x:c>
      <x:c r="G8" s="59" t="n">
        <x:v>2000</x:v>
      </x:c>
    </x:row>
    <x:row r="9">
      <x:c r="A9" s="47" t="str">
        <x:v>RUN-IMO-074-20260827T210428682417Z</x:v>
      </x:c>
      <x:c r="B9" s="47" t="str">
        <x:v>IMO-074</x:v>
      </x:c>
      <x:c r="C9" s="59" t="n">
        <x:v>1</x:v>
      </x:c>
      <x:c r="D9" s="47" t="str">
        <x:v>candidate_shape</x:v>
      </x:c>
      <x:c r="E9" s="48" t="str">
        <x:v>artifacts/attempt_01/candidate_shape.ttl</x:v>
      </x:c>
      <x:c r="F9" s="47" t="str">
        <x:v>c263d1cb320a27802b185aad1b3c8592f99022775f529b429566c444db720869</x:v>
      </x:c>
      <x:c r="G9" s="59" t="n">
        <x:v>1975</x:v>
      </x:c>
    </x:row>
    <x:row r="10">
      <x:c r="A10" s="47" t="str">
        <x:v>RUN-IMO-074-20260827T210428682417Z</x:v>
      </x:c>
      <x:c r="B10" s="47" t="str">
        <x:v>IMO-074</x:v>
      </x:c>
      <x:c r="C10" s="59" t="n">
        <x:v>1</x:v>
      </x:c>
      <x:c r="D10" s="47" t="str">
        <x:v>deterministic_validation</x:v>
      </x:c>
      <x:c r="E10" s="48" t="str">
        <x:v>artifacts/attempt_01/deterministic_validation.json</x:v>
      </x:c>
      <x:c r="F10" s="47" t="str">
        <x:v>2dad88d6c76e2cff8c3197455737598e83fabe2d9c2e1d8bc3a6f0d7567c2864</x:v>
      </x:c>
      <x:c r="G10" s="59" t="n">
        <x:v>709</x:v>
      </x:c>
    </x:row>
    <x:row r="11">
      <x:c r="A11" s="47" t="str">
        <x:v>RUN-IMO-074-20260827T210428682417Z</x:v>
      </x:c>
      <x:c r="B11" s="47" t="str">
        <x:v>IMO-074</x:v>
      </x:c>
      <x:c r="C11" s="59" t="n">
        <x:v>1</x:v>
      </x:c>
      <x:c r="D11" s="47" t="str">
        <x:v>validator_prompt</x:v>
      </x:c>
      <x:c r="E11" s="48" t="str">
        <x:v>artifacts/attempt_01/validator_prompt_01.txt</x:v>
      </x:c>
      <x:c r="F11" s="47" t="str">
        <x:v>6080c9bb2bcc3e05ba0b72ab609ef524f4a36acd44ad593502816e65efad1856</x:v>
      </x:c>
      <x:c r="G11" s="59" t="n">
        <x:v>27327</x:v>
      </x:c>
    </x:row>
    <x:row r="12">
      <x:c r="A12" s="47" t="str">
        <x:v>RUN-IMO-074-20260827T210428682417Z</x:v>
      </x:c>
      <x:c r="B12" s="47" t="str">
        <x:v>IMO-074</x:v>
      </x:c>
      <x:c r="C12" s="59" t="n">
        <x:v>1</x:v>
      </x:c>
      <x:c r="D12" s="47" t="str">
        <x:v>validator_raw_response</x:v>
      </x:c>
      <x:c r="E12" s="48" t="str">
        <x:v>artifacts/attempt_01/validator_raw_01.txt</x:v>
      </x:c>
      <x:c r="F12" s="47" t="str">
        <x:v>0677ee1ed1817efbd671779c6fff47ff1d9bb5f70be8f72b301feb2a42bd46bb</x:v>
      </x:c>
      <x:c r="G12" s="59" t="n">
        <x:v>707</x:v>
      </x:c>
    </x:row>
    <x:row r="13">
      <x:c r="A13" s="47" t="str">
        <x:v>RUN-IMO-074-20260827T210428682417Z</x:v>
      </x:c>
      <x:c r="B13" s="47" t="str">
        <x:v>IMO-074</x:v>
      </x:c>
      <x:c r="C13" s="59" t="n">
        <x:v>2</x:v>
      </x:c>
      <x:c r="D13" s="47" t="str">
        <x:v>generator_prompt</x:v>
      </x:c>
      <x:c r="E13" s="48" t="str">
        <x:v>artifacts/attempt_02/generator_prompt.txt</x:v>
      </x:c>
      <x:c r="F13" s="47" t="str">
        <x:v>9c22ba22bea8fb234564cd7ba37f994954dd83917ba4ec5eaf0edba1b48209c8</x:v>
      </x:c>
      <x:c r="G13" s="59" t="n">
        <x:v>31201</x:v>
      </x:c>
    </x:row>
    <x:row r="14">
      <x:c r="A14" s="47" t="str">
        <x:v>RUN-IMO-074-20260827T210428682417Z</x:v>
      </x:c>
      <x:c r="B14" s="47" t="str">
        <x:v>IMO-074</x:v>
      </x:c>
      <x:c r="C14" s="59" t="n">
        <x:v>2</x:v>
      </x:c>
      <x:c r="D14" s="47" t="str">
        <x:v>generator_raw_response</x:v>
      </x:c>
      <x:c r="E14" s="48" t="str">
        <x:v>artifacts/attempt_02/generator_raw.txt</x:v>
      </x:c>
      <x:c r="F14" s="47" t="str">
        <x:v>0b82a8ed595e385fd68904f5b29f62fc2c0c6ec8e4927e40529bb211c1a97307</x:v>
      </x:c>
      <x:c r="G14" s="59" t="n">
        <x:v>1181</x:v>
      </x:c>
    </x:row>
    <x:row r="15">
      <x:c r="A15" s="47" t="str">
        <x:v>RUN-IMO-074-20260827T210428682417Z</x:v>
      </x:c>
      <x:c r="B15" s="47" t="str">
        <x:v>IMO-074</x:v>
      </x:c>
      <x:c r="C15" s="59" t="n">
        <x:v>2</x:v>
      </x:c>
      <x:c r="D15" s="47" t="str">
        <x:v>syntax_repair_prompt</x:v>
      </x:c>
      <x:c r="E15" s="48" t="str">
        <x:v>artifacts/attempt_02/syntax_repair_prompt_01.txt</x:v>
      </x:c>
      <x:c r="F15" s="47" t="str">
        <x:v>8f1bdeeac19746ffbc7d22f32a0329c72ed82ded419aba799cfc3f6b818f5988</x:v>
      </x:c>
      <x:c r="G15" s="59" t="n">
        <x:v>2255</x:v>
      </x:c>
    </x:row>
    <x:row r="16">
      <x:c r="A16" s="47" t="str">
        <x:v>RUN-IMO-074-20260827T210428682417Z</x:v>
      </x:c>
      <x:c r="B16" s="47" t="str">
        <x:v>IMO-074</x:v>
      </x:c>
      <x:c r="C16" s="59" t="n">
        <x:v>2</x:v>
      </x:c>
      <x:c r="D16" s="47" t="str">
        <x:v>syntax_repair_raw_response</x:v>
      </x:c>
      <x:c r="E16" s="48" t="str">
        <x:v>artifacts/attempt_02/syntax_repair_raw_01.txt</x:v>
      </x:c>
      <x:c r="F16" s="47" t="str">
        <x:v>3a9efcf3167c3f05e9eaf0b0bd94d0abadbc1ae05631ed553c5eb5de5a8dbd4e</x:v>
      </x:c>
      <x:c r="G16" s="59" t="n">
        <x:v>1238</x:v>
      </x:c>
    </x:row>
    <x:row r="17">
      <x:c r="A17" s="47" t="str">
        <x:v>RUN-IMO-074-20260827T210428682417Z</x:v>
      </x:c>
      <x:c r="B17" s="47" t="str">
        <x:v>IMO-074</x:v>
      </x:c>
      <x:c r="C17" s="59" t="n">
        <x:v>2</x:v>
      </x:c>
      <x:c r="D17" s="47" t="str">
        <x:v>candidate_shape</x:v>
      </x:c>
      <x:c r="E17" s="48" t="str">
        <x:v>artifacts/attempt_02/candidate_shape.ttl</x:v>
      </x:c>
      <x:c r="F17" s="47" t="str">
        <x:v>9b1051ba9e6ea09fd9db4a4c5de3a55e06ab255ea19cc624320e4fbe88af1d60</x:v>
      </x:c>
      <x:c r="G17" s="59" t="n">
        <x:v>1213</x:v>
      </x:c>
    </x:row>
    <x:row r="18">
      <x:c r="A18" s="47" t="str">
        <x:v>RUN-IMO-074-20260827T210428682417Z</x:v>
      </x:c>
      <x:c r="B18" s="47" t="str">
        <x:v>IMO-074</x:v>
      </x:c>
      <x:c r="C18" s="59" t="n">
        <x:v>2</x:v>
      </x:c>
      <x:c r="D18" s="47" t="str">
        <x:v>deterministic_validation</x:v>
      </x:c>
      <x:c r="E18" s="48" t="str">
        <x:v>artifacts/attempt_02/deterministic_validation.json</x:v>
      </x:c>
      <x:c r="F18" s="47" t="str">
        <x:v>2dad88d6c76e2cff8c3197455737598e83fabe2d9c2e1d8bc3a6f0d7567c2864</x:v>
      </x:c>
      <x:c r="G18" s="59" t="n">
        <x:v>709</x:v>
      </x:c>
    </x:row>
    <x:row r="19">
      <x:c r="A19" s="47" t="str">
        <x:v>RUN-IMO-074-20260827T210428682417Z</x:v>
      </x:c>
      <x:c r="B19" s="47" t="str">
        <x:v>IMO-074</x:v>
      </x:c>
      <x:c r="C19" s="59" t="n">
        <x:v>2</x:v>
      </x:c>
      <x:c r="D19" s="47" t="str">
        <x:v>validator_prompt</x:v>
      </x:c>
      <x:c r="E19" s="48" t="str">
        <x:v>artifacts/attempt_02/validator_prompt_01.txt</x:v>
      </x:c>
      <x:c r="F19" s="47" t="str">
        <x:v>0b420af5996c548aa1c73753b685901c256599faddb0ca4fcb50ab5481e781ae</x:v>
      </x:c>
      <x:c r="G19" s="59" t="n">
        <x:v>27196</x:v>
      </x:c>
    </x:row>
    <x:row r="20">
      <x:c r="A20" s="47" t="str">
        <x:v>RUN-IMO-074-20260827T210428682417Z</x:v>
      </x:c>
      <x:c r="B20" s="47" t="str">
        <x:v>IMO-074</x:v>
      </x:c>
      <x:c r="C20" s="59" t="n">
        <x:v>2</x:v>
      </x:c>
      <x:c r="D20" s="47" t="str">
        <x:v>validator_raw_response</x:v>
      </x:c>
      <x:c r="E20" s="48" t="str">
        <x:v>artifacts/attempt_02/validator_raw_01.txt</x:v>
      </x:c>
      <x:c r="F20" s="47" t="str">
        <x:v>eac916fc8923ed78f352fcecba8ee5ac22874dc9d2676aac5804c1bf27d1514c</x:v>
      </x:c>
      <x:c r="G20" s="59" t="n">
        <x:v>540</x:v>
      </x:c>
    </x:row>
    <x:row r="21">
      <x:c r="A21" s="49" t="str">
        <x:v>RUN-IMO-074-20260827T210428682417Z</x:v>
      </x:c>
      <x:c r="B21" s="49" t="str">
        <x:v>IMO-074</x:v>
      </x:c>
      <x:c r="C21" s="60" t="n">
        <x:v>2</x:v>
      </x:c>
      <x:c r="D21" s="49" t="str">
        <x:v>final_accepted_shape</x:v>
      </x:c>
      <x:c r="E21" s="50" t="str">
        <x:v>final/final_shape.ttl</x:v>
      </x:c>
      <x:c r="F21" s="49" t="str">
        <x:v>9b1051ba9e6ea09fd9db4a4c5de3a55e06ab255ea19cc624320e4fbe88af1d60</x:v>
      </x:c>
      <x:c r="G21" s="60" t="n">
        <x:v>1213</x:v>
      </x:c>
    </x:row>
  </x:sheetData>
  <x:pageMargins left="0.7" right="0.7" top="0.75" bottom="0.75" header="0.3" footer="0.3"/>
  <x:tableParts count="1">
    <x:tablePart xmlns:r="http://schemas.openxmlformats.org/officeDocument/2006/relationships" r:id="R90d40b7050eb4acd"/>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RUN-IMO-074-20260827T210428682417Z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RUN-IMO-074-20260827T210428682417Z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RUN-IMO-074-20260827T210428682417Z</x:v>
      </x:c>
      <x:c r="B5" s="69" t="str">
        <x:v>IMO-074</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33659aa1672747d1"/>
  </x:tableParts>
</x:worksheet>
</file>