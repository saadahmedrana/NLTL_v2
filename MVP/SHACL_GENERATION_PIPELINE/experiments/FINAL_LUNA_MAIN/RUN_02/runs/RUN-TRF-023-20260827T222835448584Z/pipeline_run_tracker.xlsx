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tables/table10.xml" ContentType="application/vnd.openxmlformats-officedocument.spreadsheetml.table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14e37f7c2e64cd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c358fdd296c14b08"/>
    <x:sheet xmlns:r="http://schemas.openxmlformats.org/officeDocument/2006/relationships" name="README" sheetId="2" r:id="R9a9483683cbc4375"/>
    <x:sheet xmlns:r="http://schemas.openxmlformats.org/officeDocument/2006/relationships" name="REGULATION_QUEUE" sheetId="3" r:id="Rae89bf8f35af418d"/>
    <x:sheet xmlns:r="http://schemas.openxmlformats.org/officeDocument/2006/relationships" name="RUNS" sheetId="4" r:id="Rc5c97b9d830946ba"/>
    <x:sheet xmlns:r="http://schemas.openxmlformats.org/officeDocument/2006/relationships" name="ITERATIONS" sheetId="5" r:id="Rf377404c0d064657"/>
    <x:sheet xmlns:r="http://schemas.openxmlformats.org/officeDocument/2006/relationships" name="API_CALLS" sheetId="6" r:id="R64c8025209d3433d"/>
    <x:sheet xmlns:r="http://schemas.openxmlformats.org/officeDocument/2006/relationships" name="TERM_RETRIEVAL" sheetId="7" r:id="R1e081d499ef74d10"/>
    <x:sheet xmlns:r="http://schemas.openxmlformats.org/officeDocument/2006/relationships" name="FEW_SHOT_SELECTION" sheetId="8" r:id="R3226ae34065c48a3"/>
    <x:sheet xmlns:r="http://schemas.openxmlformats.org/officeDocument/2006/relationships" name="VALIDATION" sheetId="9" r:id="R26430494468d4334"/>
    <x:sheet xmlns:r="http://schemas.openxmlformats.org/officeDocument/2006/relationships" name="VOCAB_MATCHES" sheetId="10" r:id="R38145503b51e4c9e"/>
    <x:sheet xmlns:r="http://schemas.openxmlformats.org/officeDocument/2006/relationships" name="ARTIFACTS" sheetId="11" r:id="Rca2ee73cfed8432a"/>
    <x:sheet xmlns:r="http://schemas.openxmlformats.org/officeDocument/2006/relationships" name="UNRESOLVED" sheetId="12" r:id="Rb16a9e34b9bb4115"/>
    <x:sheet xmlns:r="http://schemas.openxmlformats.org/officeDocument/2006/relationships" name="RDF_TEST_QUEUE" sheetId="13" r:id="Rcb028b0ace414a1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2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8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3a50e6c8a13453a" /><Relationship Type="http://schemas.openxmlformats.org/officeDocument/2006/relationships/theme" Target="/xl/theme/theme1.xml" Id="Ra91fada32f0845da" /><Relationship Type="http://schemas.microsoft.com/office/2022/11/relationships/FeaturePropertyBag" Target="/xl/featurePropertyBag/featurePropertyBag.xml" Id="R13f74f6cc4e04852" /><Relationship Type="http://schemas.openxmlformats.org/officeDocument/2006/relationships/sharedStrings" Target="/xl/sharedStrings.xml" Id="R0ae61e97ba024f3b" /><Relationship Type="http://schemas.openxmlformats.org/officeDocument/2006/relationships/worksheet" Target="/xl/worksheets/sheet1.xml" Id="Rc358fdd296c14b08" /><Relationship Type="http://schemas.openxmlformats.org/officeDocument/2006/relationships/worksheet" Target="/xl/worksheets/sheet2.xml" Id="R9a9483683cbc4375" /><Relationship Type="http://schemas.openxmlformats.org/officeDocument/2006/relationships/worksheet" Target="/xl/worksheets/sheet3.xml" Id="Rae89bf8f35af418d" /><Relationship Type="http://schemas.openxmlformats.org/officeDocument/2006/relationships/worksheet" Target="/xl/worksheets/sheet4.xml" Id="Rc5c97b9d830946ba" /><Relationship Type="http://schemas.openxmlformats.org/officeDocument/2006/relationships/worksheet" Target="/xl/worksheets/sheet5.xml" Id="Rf377404c0d064657" /><Relationship Type="http://schemas.openxmlformats.org/officeDocument/2006/relationships/worksheet" Target="/xl/worksheets/sheet6.xml" Id="R64c8025209d3433d" /><Relationship Type="http://schemas.openxmlformats.org/officeDocument/2006/relationships/worksheet" Target="/xl/worksheets/sheet7.xml" Id="R1e081d499ef74d10" /><Relationship Type="http://schemas.openxmlformats.org/officeDocument/2006/relationships/worksheet" Target="/xl/worksheets/sheet8.xml" Id="R3226ae34065c48a3" /><Relationship Type="http://schemas.openxmlformats.org/officeDocument/2006/relationships/worksheet" Target="/xl/worksheets/sheet9.xml" Id="R26430494468d4334" /><Relationship Type="http://schemas.openxmlformats.org/officeDocument/2006/relationships/worksheet" Target="/xl/worksheets/sheet10.xml" Id="R38145503b51e4c9e" /><Relationship Type="http://schemas.openxmlformats.org/officeDocument/2006/relationships/worksheet" Target="/xl/worksheets/sheet11.xml" Id="Rca2ee73cfed8432a" /><Relationship Type="http://schemas.openxmlformats.org/officeDocument/2006/relationships/worksheet" Target="/xl/worksheets/sheet12.xml" Id="Rb16a9e34b9bb4115" /><Relationship Type="http://schemas.openxmlformats.org/officeDocument/2006/relationships/worksheet" Target="/xl/worksheets/sheet13.xml" Id="Rcb028b0ace414a18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8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20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6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8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3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1_UNRESOLVED" displayName="T11_UNRESOLVED" ref="A4:F5" headerRowCount="1" totalsRowCount="0" totalsRowShown="0">
  <x:tableColumns count="6">
    <x:tableColumn id="1" name="RUN_ID"/>
    <x:tableColumn id="2" name="REQUIREMENT_ID"/>
    <x:tableColumn id="3" name="ITERATION"/>
    <x:tableColumn id="4" name="ISSUE_TYPE"/>
    <x:tableColumn id="5" name="DETAIL"/>
    <x:tableColumn id="6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1614b589cb5e4b4f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66cb90b7bad74f78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4ca06dab5f754caf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c9af0cc922b64482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5f852ed896704d67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e17fd272344c4e0e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3a5ff2c307d24c32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f7a024d4c4f14dae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952aed79c27d470c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0.xml" Id="Rd22759d66f4242ae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RUN-TRF-023-20260827T222835448584Z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COUNTA('API_CALLS'!$A$5:$A$20)</x:f>
        <x:v>16</x:v>
      </x:c>
      <x:c r="C9" s="21"/>
      <x:c r="D9" s="21"/>
    </x:row>
    <x:row r="10">
      <x:c r="A10" s="27" t="str">
        <x:v>Mean API/LLM elapsed ms</x:v>
      </x:c>
      <x:c r="B10" s="28" t="n">
        <x:f>IFERROR(AVERAGE('API_CALLS'!$K$5:$K$20),0)</x:f>
        <x:v>14773.56875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RUN-TRF-023-20260827T222835448584Z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1614b589cb5e4b4f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RUN-TRF-023-20260827T222835448584Z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MAX_ATTEMPTS_REACHED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6cb90b7bad74f78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2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RUN-TRF-023-20260827T222835448584Z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SESSION-BATCH-20260827T190357989787Z</x:v>
      </x:c>
      <x:c r="B5" s="69" t="str">
        <x:v>RUN-TRF-023-20260827T222835448584Z</x:v>
      </x:c>
      <x:c r="C5" s="69" t="str">
        <x:v>TRF-023</x:v>
      </x:c>
      <x:c r="D5" s="70" t="n">
        <x:v>46261.936521400465</x:v>
      </x:c>
      <x:c r="E5" s="70" t="n">
        <x:v>46261.93789707176</x:v>
      </x:c>
      <x:c r="F5" s="69" t="str">
        <x:v>final-luna-main-run02</x:v>
      </x:c>
      <x:c r="G5" s="69" t="str">
        <x:v>VOCAB-LOCK-2026-08-22-R13</x:v>
      </x:c>
      <x:c r="H5" s="71" t="n">
        <x:v>4</x:v>
      </x:c>
      <x:c r="I5" s="69" t="str">
        <x:v>MAX_ATTEMPTS_REACHED</x:v>
      </x:c>
      <x:c r="J5" s="72" t="b">
        <x:v>0</x:v>
      </x:c>
      <x:c r="K5" s="69" t="str"/>
      <x:c r="L5" s="73" t="str">
        <x:v>Preserve the prior instructions: retain only the IB/IC plus 1985 applicability condition, the supplied ship-owned quantity paths, and kW units. Repair the SPARQL comparison direction: a SHACL SPARQL SELECT reports a violation when it returns a row, but the current query selects when maximumContinuousRatingPower &gt;= requiredPowerUnder1985Rules, so compliant data fails. Select only the violation case, using FILTER (?mcrValue &lt; ?requiredValue) (or an equivalent inclusive-failure test), while retaining the first branch's required quantities and units and the non-applicability branch for ships not having the IB/IC-plus-1985 condition.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ca06dab5f754caf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RUN-TRF-023-20260827T222835448584Z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RUN-TRF-023-20260827T222835448584Z</x:v>
      </x:c>
      <x:c r="B5" s="45" t="str">
        <x:v>TRF-023</x:v>
      </x:c>
      <x:c r="C5" s="58" t="n">
        <x:v>1</x:v>
      </x:c>
      <x:c r="D5" s="83" t="b">
        <x:v>1</x:v>
      </x:c>
      <x:c r="E5" s="83" t="b">
        <x:v>0</x:v>
      </x:c>
      <x:c r="F5" s="83" t="b">
        <x:v>0</x:v>
      </x:c>
      <x:c r="G5" s="45" t="str">
        <x:v>REVISE</x:v>
      </x:c>
      <x:c r="H5" s="46" t="str">
        <x:v>Remove the third sh:or branch: it creates accidental pass logic by allowing any listed ice class OR any later regulation edition, without requiring the IB/IC-plus-1985 applicability condition or the power comparison. Encode the conditional as compliance when iceClass is IB or IC and applicableIceClassRegulationEdition is 1985, otherwise non-applicability, without inventing alternative applicability intersections or requiring power for unrelated cases. Preserve the inclusive comparison maximumContinuousRatingPower &gt;= requiredPowerUnder1985Rules and the supplied ship-owned quantity paths.</x:v>
      </x:c>
      <x:c r="I5" s="84" t="n">
        <x:v>19351.873</x:v>
      </x:c>
      <x:c r="J5" s="84" t="n">
        <x:v>6740.336</x:v>
      </x:c>
    </x:row>
    <x:row r="6">
      <x:c r="A6" s="47" t="str">
        <x:v>RUN-TRF-023-20260827T222835448584Z</x:v>
      </x:c>
      <x:c r="B6" s="47" t="str">
        <x:v>TRF-023</x:v>
      </x:c>
      <x:c r="C6" s="59" t="n">
        <x:v>2</x:v>
      </x:c>
      <x:c r="D6" s="85" t="b">
        <x:v>1</x:v>
      </x:c>
      <x:c r="E6" s="85" t="b">
        <x:v>0</x:v>
      </x:c>
      <x:c r="F6" s="85" t="b">
        <x:v>0</x:v>
      </x:c>
      <x:c r="G6" s="47" t="str">
        <x:v>REVISE</x:v>
      </x:c>
      <x:c r="H6" s="48" t="str">
        <x:v>Preserve the prior instruction: remove the third sh:or branch, which still creates accidental pass logic by allowing any listed later regulation edition without requiring the IB/IC plus 1985 applicability condition and power comparison. Encode compliance only for iceClass IB or IC with applicableIceClassRegulationEdition iceClassRuleEdition1985, enforcing maximumContinuousRatingPower &gt;= requiredPowerUnder1985Rules; unrelated ice classes or editions must be treated as non-applicability rather than as an alternative passing branch.</x:v>
      </x:c>
      <x:c r="I6" s="86" t="n">
        <x:v>25286.959</x:v>
      </x:c>
      <x:c r="J6" s="86" t="n">
        <x:v>3432.689</x:v>
      </x:c>
    </x:row>
    <x:row r="7">
      <x:c r="A7" s="47" t="str">
        <x:v>RUN-TRF-023-20260827T222835448584Z</x:v>
      </x:c>
      <x:c r="B7" s="47" t="str">
        <x:v>TRF-023</x:v>
      </x:c>
      <x:c r="C7" s="59" t="n">
        <x:v>3</x:v>
      </x:c>
      <x:c r="D7" s="85" t="b">
        <x:v>1</x:v>
      </x:c>
      <x:c r="E7" s="85" t="b">
        <x:v>0</x:v>
      </x:c>
      <x:c r="F7" s="85" t="b">
        <x:v>0</x:v>
      </x:c>
      <x:c r="G7" s="47" t="str">
        <x:v>REVISE</x:v>
      </x:c>
      <x:c r="H7" s="48" t="str">
        <x:v>Repair the quantity-unit constraint: qudt:KiloW is not the supplied canonical unit IRI; declare a unit: prefix for http://qudt.org/vocab/unit/ and require unit:KiloW for both quantity nodes. Also remove the guessed xsd:decimal datatype tests, since the canonical quantity metadata declares no datatype; retain the inclusive maximumContinuousRatingPower &gt;= requiredPowerUnder1985Rules comparison and the existing IB/IC plus 1985 applicability condition.</x:v>
      </x:c>
      <x:c r="I7" s="86" t="n">
        <x:v>25081.565</x:v>
      </x:c>
      <x:c r="J7" s="86" t="n">
        <x:v>6778.293</x:v>
      </x:c>
    </x:row>
    <x:row r="8">
      <x:c r="A8" s="49" t="str">
        <x:v>RUN-TRF-023-20260827T222835448584Z</x:v>
      </x:c>
      <x:c r="B8" s="49" t="str">
        <x:v>TRF-023</x:v>
      </x:c>
      <x:c r="C8" s="60" t="n">
        <x:v>4</x:v>
      </x:c>
      <x:c r="D8" s="87" t="b">
        <x:v>1</x:v>
      </x:c>
      <x:c r="E8" s="87" t="b">
        <x:v>0</x:v>
      </x:c>
      <x:c r="F8" s="87" t="b">
        <x:v>0</x:v>
      </x:c>
      <x:c r="G8" s="49" t="str">
        <x:v>REVISE</x:v>
      </x:c>
      <x:c r="H8" s="50" t="str">
        <x:v>Preserve the prior instructions: retain only the IB/IC plus 1985 applicability condition, the supplied ship-owned quantity paths, and kW units. Repair the SPARQL comparison direction: a SHACL SPARQL SELECT reports a violation when it returns a row, but the current query selects when maximumContinuousRatingPower &gt;= requiredPowerUnder1985Rules, so compliant data fails. Select only the violation case, using FILTER (?mcrValue &lt; ?requiredValue) (or an equivalent inclusive-failure test), while retaining the first branch's required quantities and units and the non-applicability branch for ships not having the IB/IC-plus-1985 condition.</x:v>
      </x:c>
      <x:c r="I8" s="88" t="n">
        <x:v>24570.433</x:v>
      </x:c>
      <x:c r="J8" s="88" t="n">
        <x:v>6952.209</x:v>
      </x:c>
    </x:row>
  </x:sheetData>
  <x:conditionalFormatting sqref="G5:G8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9af0cc922b64482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RUN-TRF-023-20260827T222835448584Z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EVT-000030</x:v>
      </x:c>
      <x:c r="B5" s="45" t="str">
        <x:v>RUN-TRF-023-20260827T222835448584Z</x:v>
      </x:c>
      <x:c r="C5" s="45" t="str">
        <x:v>TRF-023</x:v>
      </x:c>
      <x:c r="D5" s="92" t="n">
        <x:v>46261.93674539352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4" t="n">
        <x:v>0</x:v>
      </x:c>
      <x:c r="K5" s="84" t="n">
        <x:v>19350.296</x:v>
      </x:c>
      <x:c r="L5" s="83" t="b">
        <x:v>0</x:v>
      </x:c>
      <x:c r="M5" s="45" t="str"/>
      <x:c r="N5" s="58" t="str"/>
      <x:c r="O5" s="58" t="str"/>
      <x:c r="P5" s="58" t="str"/>
    </x:row>
    <x:row r="6">
      <x:c r="A6" s="47" t="str">
        <x:v>EVT-000031</x:v>
      </x:c>
      <x:c r="B6" s="47" t="str">
        <x:v>RUN-TRF-023-20260827T222835448584Z</x:v>
      </x:c>
      <x:c r="C6" s="47" t="str">
        <x:v>TRF-023</x:v>
      </x:c>
      <x:c r="D6" s="93" t="n">
        <x:v>46261.936745405095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86" t="n">
        <x:v>0</x:v>
      </x:c>
      <x:c r="K6" s="86" t="n">
        <x:v>19351.873</x:v>
      </x:c>
      <x:c r="L6" s="85" t="b">
        <x:v>0</x:v>
      </x:c>
      <x:c r="M6" s="47" t="str">
        <x:v>resp_0b1bb373ccb523f7006a90ba13d47081979f33d8100ac78e13</x:v>
      </x:c>
      <x:c r="N6" s="59" t="n">
        <x:v>10665</x:v>
      </x:c>
      <x:c r="O6" s="59" t="n">
        <x:v>2546</x:v>
      </x:c>
      <x:c r="P6" s="59" t="n">
        <x:v>13211</x:v>
      </x:c>
    </x:row>
    <x:row r="7">
      <x:c r="A7" s="47" t="str">
        <x:v>EVT-000038</x:v>
      </x:c>
      <x:c r="B7" s="47" t="str">
        <x:v>RUN-TRF-023-20260827T222835448584Z</x:v>
      </x:c>
      <x:c r="C7" s="47" t="str">
        <x:v>TRF-023</x:v>
      </x:c>
      <x:c r="D7" s="93" t="n">
        <x:v>46261.93682678241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86" t="n">
        <x:v>0</x:v>
      </x:c>
      <x:c r="K7" s="86" t="n">
        <x:v>6738.909</x:v>
      </x:c>
      <x:c r="L7" s="85" t="b">
        <x:v>0</x:v>
      </x:c>
      <x:c r="M7" s="47" t="str"/>
      <x:c r="N7" s="59" t="str"/>
      <x:c r="O7" s="59" t="str"/>
      <x:c r="P7" s="59" t="str"/>
    </x:row>
    <x:row r="8">
      <x:c r="A8" s="47" t="str">
        <x:v>EVT-000039</x:v>
      </x:c>
      <x:c r="B8" s="47" t="str">
        <x:v>RUN-TRF-023-20260827T222835448584Z</x:v>
      </x:c>
      <x:c r="C8" s="47" t="str">
        <x:v>TRF-023</x:v>
      </x:c>
      <x:c r="D8" s="93" t="n">
        <x:v>46261.936826805555</x:v>
      </x:c>
      <x:c r="E8" s="47" t="str">
        <x:v>validator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86" t="n">
        <x:v>0</x:v>
      </x:c>
      <x:c r="K8" s="86" t="n">
        <x:v>6740.336</x:v>
      </x:c>
      <x:c r="L8" s="85" t="b">
        <x:v>0</x:v>
      </x:c>
      <x:c r="M8" s="47" t="str">
        <x:v>resp_0e0957be36f19e93006a90ba273c348195a7794b81b92e0fcb</x:v>
      </x:c>
      <x:c r="N8" s="59" t="n">
        <x:v>12224</x:v>
      </x:c>
      <x:c r="O8" s="59" t="n">
        <x:v>554</x:v>
      </x:c>
      <x:c r="P8" s="59" t="n">
        <x:v>12778</x:v>
      </x:c>
    </x:row>
    <x:row r="9">
      <x:c r="A9" s="47" t="str">
        <x:v>EVT-000044</x:v>
      </x:c>
      <x:c r="B9" s="47" t="str">
        <x:v>RUN-TRF-023-20260827T222835448584Z</x:v>
      </x:c>
      <x:c r="C9" s="47" t="str">
        <x:v>TRF-023</x:v>
      </x:c>
      <x:c r="D9" s="93" t="n">
        <x:v>46261.937119525464</x:v>
      </x:c>
      <x:c r="E9" s="47" t="str">
        <x:v>generator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86" t="n">
        <x:v>0</x:v>
      </x:c>
      <x:c r="K9" s="86" t="n">
        <x:v>25285.801</x:v>
      </x:c>
      <x:c r="L9" s="85" t="b">
        <x:v>0</x:v>
      </x:c>
      <x:c r="M9" s="47" t="str"/>
      <x:c r="N9" s="59" t="str"/>
      <x:c r="O9" s="59" t="str"/>
      <x:c r="P9" s="59" t="str"/>
    </x:row>
    <x:row r="10">
      <x:c r="A10" s="47" t="str">
        <x:v>EVT-000045</x:v>
      </x:c>
      <x:c r="B10" s="47" t="str">
        <x:v>RUN-TRF-023-20260827T222835448584Z</x:v>
      </x:c>
      <x:c r="C10" s="47" t="str">
        <x:v>TRF-023</x:v>
      </x:c>
      <x:c r="D10" s="93" t="n">
        <x:v>46261.93711953704</x:v>
      </x:c>
      <x:c r="E10" s="47" t="str">
        <x:v>generator</x:v>
      </x:c>
      <x:c r="F10" s="47" t="str">
        <x:v>gpt-5.6-luna-2026-07-09</x:v>
      </x:c>
      <x:c r="G10" s="47" t="n">
        <x:v>1</x:v>
      </x:c>
      <x:c r="H10" s="47" t="str">
        <x:v>COMPLETED</x:v>
      </x:c>
      <x:c r="I10" s="47" t="str"/>
      <x:c r="J10" s="86" t="n">
        <x:v>0</x:v>
      </x:c>
      <x:c r="K10" s="86" t="n">
        <x:v>25286.959</x:v>
      </x:c>
      <x:c r="L10" s="85" t="b">
        <x:v>0</x:v>
      </x:c>
      <x:c r="M10" s="47" t="str">
        <x:v>resp_08378b387d04b407006a90ba2dfd788196a955b73cbef16fb8</x:v>
      </x:c>
      <x:c r="N10" s="59" t="n">
        <x:v>10773</x:v>
      </x:c>
      <x:c r="O10" s="59" t="n">
        <x:v>2974</x:v>
      </x:c>
      <x:c r="P10" s="59" t="n">
        <x:v>13747</x:v>
      </x:c>
    </x:row>
    <x:row r="11">
      <x:c r="A11" s="47" t="str">
        <x:v>EVT-000052</x:v>
      </x:c>
      <x:c r="B11" s="47" t="str">
        <x:v>RUN-TRF-023-20260827T222835448584Z</x:v>
      </x:c>
      <x:c r="C11" s="47" t="str">
        <x:v>TRF-023</x:v>
      </x:c>
      <x:c r="D11" s="93" t="n">
        <x:v>46261.93716100694</x:v>
      </x:c>
      <x:c r="E11" s="47" t="str">
        <x:v>validator</x:v>
      </x:c>
      <x:c r="F11" s="47" t="str">
        <x:v>gpt-5.6-luna-2026-07-09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86" t="n">
        <x:v>0</x:v>
      </x:c>
      <x:c r="K11" s="86" t="n">
        <x:v>3431.343</x:v>
      </x:c>
      <x:c r="L11" s="85" t="b">
        <x:v>0</x:v>
      </x:c>
      <x:c r="M11" s="47" t="str"/>
      <x:c r="N11" s="59" t="str"/>
      <x:c r="O11" s="59" t="str"/>
      <x:c r="P11" s="59" t="str"/>
    </x:row>
    <x:row r="12">
      <x:c r="A12" s="47" t="str">
        <x:v>EVT-000053</x:v>
      </x:c>
      <x:c r="B12" s="47" t="str">
        <x:v>RUN-TRF-023-20260827T222835448584Z</x:v>
      </x:c>
      <x:c r="C12" s="47" t="str">
        <x:v>TRF-023</x:v>
      </x:c>
      <x:c r="D12" s="93" t="n">
        <x:v>46261.93716101852</x:v>
      </x:c>
      <x:c r="E12" s="47" t="str">
        <x:v>validator</x:v>
      </x:c>
      <x:c r="F12" s="47" t="str">
        <x:v>gpt-5.6-luna-2026-07-09</x:v>
      </x:c>
      <x:c r="G12" s="47" t="n">
        <x:v>1</x:v>
      </x:c>
      <x:c r="H12" s="47" t="str">
        <x:v>COMPLETED</x:v>
      </x:c>
      <x:c r="I12" s="47" t="str"/>
      <x:c r="J12" s="86" t="n">
        <x:v>0</x:v>
      </x:c>
      <x:c r="K12" s="86" t="n">
        <x:v>3432.689</x:v>
      </x:c>
      <x:c r="L12" s="85" t="b">
        <x:v>0</x:v>
      </x:c>
      <x:c r="M12" s="47" t="str">
        <x:v>resp_0836709607f607f0006a90ba476e8881968fc3a304c9d1f32c</x:v>
      </x:c>
      <x:c r="N12" s="59" t="n">
        <x:v>11787</x:v>
      </x:c>
      <x:c r="O12" s="59" t="n">
        <x:v>282</x:v>
      </x:c>
      <x:c r="P12" s="59" t="n">
        <x:v>12069</x:v>
      </x:c>
    </x:row>
    <x:row r="13">
      <x:c r="A13" s="47" t="str">
        <x:v>EVT-000059</x:v>
      </x:c>
      <x:c r="B13" s="47" t="str">
        <x:v>RUN-TRF-023-20260827T222835448584Z</x:v>
      </x:c>
      <x:c r="C13" s="47" t="str">
        <x:v>TRF-023</x:v>
      </x:c>
      <x:c r="D13" s="93" t="n">
        <x:v>46261.93745135417</x:v>
      </x:c>
      <x:c r="E13" s="47" t="str">
        <x:v>generator</x:v>
      </x:c>
      <x:c r="F13" s="47" t="str">
        <x:v>gpt-5.6-luna-2026-07-09</x:v>
      </x:c>
      <x:c r="G13" s="47" t="n">
        <x:v>1</x:v>
      </x:c>
      <x:c r="H13" s="47" t="n">
        <x:v>200</x:v>
      </x:c>
      <x:c r="I13" s="47" t="str">
        <x:v>Ocp-Apim-Subscription-Key</x:v>
      </x:c>
      <x:c r="J13" s="86" t="n">
        <x:v>0</x:v>
      </x:c>
      <x:c r="K13" s="86" t="n">
        <x:v>25080.006</x:v>
      </x:c>
      <x:c r="L13" s="85" t="b">
        <x:v>0</x:v>
      </x:c>
      <x:c r="M13" s="47" t="str"/>
      <x:c r="N13" s="59" t="str"/>
      <x:c r="O13" s="59" t="str"/>
      <x:c r="P13" s="59" t="str"/>
    </x:row>
    <x:row r="14">
      <x:c r="A14" s="47" t="str">
        <x:v>EVT-000060</x:v>
      </x:c>
      <x:c r="B14" s="47" t="str">
        <x:v>RUN-TRF-023-20260827T222835448584Z</x:v>
      </x:c>
      <x:c r="C14" s="47" t="str">
        <x:v>TRF-023</x:v>
      </x:c>
      <x:c r="D14" s="93" t="n">
        <x:v>46261.93745136574</x:v>
      </x:c>
      <x:c r="E14" s="47" t="str">
        <x:v>generator</x:v>
      </x:c>
      <x:c r="F14" s="47" t="str">
        <x:v>gpt-5.6-luna-2026-07-09</x:v>
      </x:c>
      <x:c r="G14" s="47" t="n">
        <x:v>1</x:v>
      </x:c>
      <x:c r="H14" s="47" t="str">
        <x:v>COMPLETED</x:v>
      </x:c>
      <x:c r="I14" s="47" t="str"/>
      <x:c r="J14" s="86" t="n">
        <x:v>0</x:v>
      </x:c>
      <x:c r="K14" s="86" t="n">
        <x:v>25081.565</x:v>
      </x:c>
      <x:c r="L14" s="85" t="b">
        <x:v>0</x:v>
      </x:c>
      <x:c r="M14" s="47" t="str">
        <x:v>resp_032698d3842365f9006a90ba4ae29081938accd2b11608df40</x:v>
      </x:c>
      <x:c r="N14" s="59" t="n">
        <x:v>10876</x:v>
      </x:c>
      <x:c r="O14" s="59" t="n">
        <x:v>2630</x:v>
      </x:c>
      <x:c r="P14" s="59" t="n">
        <x:v>13506</x:v>
      </x:c>
    </x:row>
    <x:row r="15">
      <x:c r="A15" s="47" t="str">
        <x:v>EVT-000067</x:v>
      </x:c>
      <x:c r="B15" s="47" t="str">
        <x:v>RUN-TRF-023-20260827T222835448584Z</x:v>
      </x:c>
      <x:c r="C15" s="47" t="str">
        <x:v>TRF-023</x:v>
      </x:c>
      <x:c r="D15" s="93" t="n">
        <x:v>46261.93753077546</x:v>
      </x:c>
      <x:c r="E15" s="47" t="str">
        <x:v>validator</x:v>
      </x:c>
      <x:c r="F15" s="47" t="str">
        <x:v>gpt-5.6-luna-2026-07-09</x:v>
      </x:c>
      <x:c r="G15" s="47" t="n">
        <x:v>1</x:v>
      </x:c>
      <x:c r="H15" s="47" t="n">
        <x:v>200</x:v>
      </x:c>
      <x:c r="I15" s="47" t="str">
        <x:v>Ocp-Apim-Subscription-Key</x:v>
      </x:c>
      <x:c r="J15" s="86" t="n">
        <x:v>0</x:v>
      </x:c>
      <x:c r="K15" s="86" t="n">
        <x:v>6776.776</x:v>
      </x:c>
      <x:c r="L15" s="85" t="b">
        <x:v>0</x:v>
      </x:c>
      <x:c r="M15" s="47" t="str"/>
      <x:c r="N15" s="59" t="str"/>
      <x:c r="O15" s="59" t="str"/>
      <x:c r="P15" s="59" t="str"/>
    </x:row>
    <x:row r="16">
      <x:c r="A16" s="47" t="str">
        <x:v>EVT-000068</x:v>
      </x:c>
      <x:c r="B16" s="47" t="str">
        <x:v>RUN-TRF-023-20260827T222835448584Z</x:v>
      </x:c>
      <x:c r="C16" s="47" t="str">
        <x:v>TRF-023</x:v>
      </x:c>
      <x:c r="D16" s="93" t="n">
        <x:v>46261.93753079861</x:v>
      </x:c>
      <x:c r="E16" s="47" t="str">
        <x:v>validator</x:v>
      </x:c>
      <x:c r="F16" s="47" t="str">
        <x:v>gpt-5.6-luna-2026-07-09</x:v>
      </x:c>
      <x:c r="G16" s="47" t="n">
        <x:v>1</x:v>
      </x:c>
      <x:c r="H16" s="47" t="str">
        <x:v>COMPLETED</x:v>
      </x:c>
      <x:c r="I16" s="47" t="str"/>
      <x:c r="J16" s="86" t="n">
        <x:v>0</x:v>
      </x:c>
      <x:c r="K16" s="86" t="n">
        <x:v>6778.293</x:v>
      </x:c>
      <x:c r="L16" s="85" t="b">
        <x:v>0</x:v>
      </x:c>
      <x:c r="M16" s="47" t="str">
        <x:v>resp_0e9486b0b1f3b1cf006a90ba6405bc8197aa095c97efa885c0</x:v>
      </x:c>
      <x:c r="N16" s="59" t="n">
        <x:v>11657</x:v>
      </x:c>
      <x:c r="O16" s="59" t="n">
        <x:v>633</x:v>
      </x:c>
      <x:c r="P16" s="59" t="n">
        <x:v>12290</x:v>
      </x:c>
    </x:row>
    <x:row r="17">
      <x:c r="A17" s="47" t="str">
        <x:v>EVT-000074</x:v>
      </x:c>
      <x:c r="B17" s="47" t="str">
        <x:v>RUN-TRF-023-20260827T222835448584Z</x:v>
      </x:c>
      <x:c r="C17" s="47" t="str">
        <x:v>TRF-023</x:v>
      </x:c>
      <x:c r="D17" s="93" t="n">
        <x:v>46261.93781523148</x:v>
      </x:c>
      <x:c r="E17" s="47" t="str">
        <x:v>generator</x:v>
      </x:c>
      <x:c r="F17" s="47" t="str">
        <x:v>gpt-5.6-luna-2026-07-09</x:v>
      </x:c>
      <x:c r="G17" s="47" t="n">
        <x:v>1</x:v>
      </x:c>
      <x:c r="H17" s="47" t="n">
        <x:v>200</x:v>
      </x:c>
      <x:c r="I17" s="47" t="str">
        <x:v>Ocp-Apim-Subscription-Key</x:v>
      </x:c>
      <x:c r="J17" s="86" t="n">
        <x:v>0</x:v>
      </x:c>
      <x:c r="K17" s="86" t="n">
        <x:v>24568.902</x:v>
      </x:c>
      <x:c r="L17" s="85" t="b">
        <x:v>0</x:v>
      </x:c>
      <x:c r="M17" s="47" t="str"/>
      <x:c r="N17" s="59" t="str"/>
      <x:c r="O17" s="59" t="str"/>
      <x:c r="P17" s="59" t="str"/>
    </x:row>
    <x:row r="18">
      <x:c r="A18" s="47" t="str">
        <x:v>EVT-000075</x:v>
      </x:c>
      <x:c r="B18" s="47" t="str">
        <x:v>RUN-TRF-023-20260827T222835448584Z</x:v>
      </x:c>
      <x:c r="C18" s="47" t="str">
        <x:v>TRF-023</x:v>
      </x:c>
      <x:c r="D18" s="93" t="n">
        <x:v>46261.93781524306</x:v>
      </x:c>
      <x:c r="E18" s="47" t="str">
        <x:v>generator</x:v>
      </x:c>
      <x:c r="F18" s="47" t="str">
        <x:v>gpt-5.6-luna-2026-07-09</x:v>
      </x:c>
      <x:c r="G18" s="47" t="n">
        <x:v>1</x:v>
      </x:c>
      <x:c r="H18" s="47" t="str">
        <x:v>COMPLETED</x:v>
      </x:c>
      <x:c r="I18" s="47" t="str"/>
      <x:c r="J18" s="86" t="n">
        <x:v>0</x:v>
      </x:c>
      <x:c r="K18" s="86" t="n">
        <x:v>24570.433</x:v>
      </x:c>
      <x:c r="L18" s="85" t="b">
        <x:v>0</x:v>
      </x:c>
      <x:c r="M18" s="47" t="str">
        <x:v>resp_0a1eb03921e00bca006a90ba6acd9c8195bd1b8e02fed6dd60</x:v>
      </x:c>
      <x:c r="N18" s="59" t="n">
        <x:v>10976</x:v>
      </x:c>
      <x:c r="O18" s="59" t="n">
        <x:v>2903</x:v>
      </x:c>
      <x:c r="P18" s="59" t="n">
        <x:v>13879</x:v>
      </x:c>
    </x:row>
    <x:row r="19">
      <x:c r="A19" s="47" t="str">
        <x:v>EVT-000082</x:v>
      </x:c>
      <x:c r="B19" s="47" t="str">
        <x:v>RUN-TRF-023-20260827T222835448584Z</x:v>
      </x:c>
      <x:c r="C19" s="47" t="str">
        <x:v>TRF-023</x:v>
      </x:c>
      <x:c r="D19" s="93" t="n">
        <x:v>46261.93789700232</x:v>
      </x:c>
      <x:c r="E19" s="47" t="str">
        <x:v>validator</x:v>
      </x:c>
      <x:c r="F19" s="47" t="str">
        <x:v>gpt-5.6-luna-2026-07-09</x:v>
      </x:c>
      <x:c r="G19" s="47" t="n">
        <x:v>1</x:v>
      </x:c>
      <x:c r="H19" s="47" t="n">
        <x:v>200</x:v>
      </x:c>
      <x:c r="I19" s="47" t="str">
        <x:v>Ocp-Apim-Subscription-Key</x:v>
      </x:c>
      <x:c r="J19" s="86" t="n">
        <x:v>0</x:v>
      </x:c>
      <x:c r="K19" s="86" t="n">
        <x:v>6950.71</x:v>
      </x:c>
      <x:c r="L19" s="85" t="b">
        <x:v>0</x:v>
      </x:c>
      <x:c r="M19" s="47" t="str"/>
      <x:c r="N19" s="59" t="str"/>
      <x:c r="O19" s="59" t="str"/>
      <x:c r="P19" s="59" t="str"/>
    </x:row>
    <x:row r="20">
      <x:c r="A20" s="49" t="str">
        <x:v>EVT-000083</x:v>
      </x:c>
      <x:c r="B20" s="49" t="str">
        <x:v>RUN-TRF-023-20260827T222835448584Z</x:v>
      </x:c>
      <x:c r="C20" s="49" t="str">
        <x:v>TRF-023</x:v>
      </x:c>
      <x:c r="D20" s="94" t="n">
        <x:v>46261.937897013886</x:v>
      </x:c>
      <x:c r="E20" s="49" t="str">
        <x:v>validator</x:v>
      </x:c>
      <x:c r="F20" s="49" t="str">
        <x:v>gpt-5.6-luna-2026-07-09</x:v>
      </x:c>
      <x:c r="G20" s="49" t="n">
        <x:v>1</x:v>
      </x:c>
      <x:c r="H20" s="49" t="str">
        <x:v>COMPLETED</x:v>
      </x:c>
      <x:c r="I20" s="49" t="str"/>
      <x:c r="J20" s="88" t="n">
        <x:v>0</x:v>
      </x:c>
      <x:c r="K20" s="88" t="n">
        <x:v>6952.209</x:v>
      </x:c>
      <x:c r="L20" s="87" t="b">
        <x:v>0</x:v>
      </x:c>
      <x:c r="M20" s="49" t="str">
        <x:v>resp_0a51ddc6e057fc27006a90ba837dd08195a30f197b541bbd3d</x:v>
      </x:c>
      <x:c r="N20" s="60" t="n">
        <x:v>10832</x:v>
      </x:c>
      <x:c r="O20" s="60" t="n">
        <x:v>405</x:v>
      </x:c>
      <x:c r="P20" s="60" t="n">
        <x:v>11237</x:v>
      </x:c>
    </x:row>
  </x:sheetData>
  <x:conditionalFormatting sqref="H5:H20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f852ed896704d67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RUN-TRF-023-20260827T222835448584Z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RUN-TRF-023-20260827T222835448584Z</x:v>
      </x:c>
      <x:c r="B5" s="45" t="str">
        <x:v>TRF-023</x:v>
      </x:c>
      <x:c r="C5" s="45" t="str">
        <x:v>applicableIceClassRegulationEdition</x:v>
      </x:c>
      <x:c r="D5" s="46" t="str">
        <x:v>https://w3id.org/nltl/vocab#applicableIceClassRegulationEdition</x:v>
      </x:c>
      <x:c r="E5" s="45" t="str">
        <x:v>ObjectProperty</x:v>
      </x:c>
      <x:c r="F5" s="45" t="str"/>
      <x:c r="G5" s="45" t="str">
        <x:v>https://w3id.org/nltl/vocab#iceClassRegulationEditionValue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RUN-TRF-023-20260827T222835448584Z</x:v>
      </x:c>
      <x:c r="B6" s="47" t="str">
        <x:v>TRF-023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applicableIceClassRegulationEdition; domain dependency of iceClass; domain dependency of maximumContinuousRatingPower; domain dependency of requiredPowerUnder1985Rules</x:v>
      </x:c>
      <x:c r="J6" s="47" t="n">
        <x:v>0</x:v>
      </x:c>
    </x:row>
    <x:row r="7">
      <x:c r="A7" s="47" t="str">
        <x:v>RUN-TRF-023-20260827T222835448584Z</x:v>
      </x:c>
      <x:c r="B7" s="47" t="str">
        <x:v>TRF-023</x:v>
      </x:c>
      <x:c r="C7" s="47" t="str">
        <x:v>hasComponent</x:v>
      </x:c>
      <x:c r="D7" s="48" t="str">
        <x:v>https://w3id.org/nltl/vocab#hasComponent</x:v>
      </x:c>
      <x:c r="E7" s="47" t="str">
        <x:v>ObjectProperty</x:v>
      </x:c>
      <x:c r="F7" s="47" t="str"/>
      <x:c r="G7" s="47" t="str">
        <x:v>https://w3id.org/nltl/vocab#shipComponent</x:v>
      </x:c>
      <x:c r="H7" s="47" t="str"/>
      <x:c r="I7" s="48" t="str">
        <x:v>component-path dependency inferred from the linked term module</x:v>
      </x:c>
      <x:c r="J7" s="47" t="n">
        <x:v>0</x:v>
      </x:c>
    </x:row>
    <x:row r="8">
      <x:c r="A8" s="47" t="str">
        <x:v>RUN-TRF-023-20260827T222835448584Z</x:v>
      </x:c>
      <x:c r="B8" s="47" t="str">
        <x:v>TRF-023</x:v>
      </x:c>
      <x:c r="C8" s="47" t="str">
        <x:v>iceClass</x:v>
      </x:c>
      <x:c r="D8" s="48" t="str">
        <x:v>https://w3id.org/nltl/vocab#iceClass</x:v>
      </x:c>
      <x:c r="E8" s="47" t="str">
        <x:v>ObjectProperty</x:v>
      </x:c>
      <x:c r="F8" s="47" t="str"/>
      <x:c r="G8" s="47" t="str">
        <x:v>https://w3id.org/nltl/vocab#iceClassValue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RUN-TRF-023-20260827T222835448584Z</x:v>
      </x:c>
      <x:c r="B9" s="47" t="str">
        <x:v>TRF-023</x:v>
      </x:c>
      <x:c r="C9" s="47" t="str">
        <x:v>iceClassIa</x:v>
      </x:c>
      <x:c r="D9" s="48" t="str">
        <x:v>https://w3id.org/nltl/vocab#iceClassIa</x:v>
      </x:c>
      <x:c r="E9" s="47" t="str">
        <x:v>NamedIndividual</x:v>
      </x:c>
      <x:c r="F9" s="47" t="str"/>
      <x:c r="G9" s="47" t="str">
        <x:v>https://w3id.org/nltl/vocab#iceClassValue</x:v>
      </x:c>
      <x:c r="H9" s="47" t="str"/>
      <x:c r="I9" s="48" t="str">
        <x:v>controlled value permitted by the range of iceClass</x:v>
      </x:c>
      <x:c r="J9" s="47" t="n">
        <x:v>0</x:v>
      </x:c>
    </x:row>
    <x:row r="10">
      <x:c r="A10" s="47" t="str">
        <x:v>RUN-TRF-023-20260827T222835448584Z</x:v>
      </x:c>
      <x:c r="B10" s="47" t="str">
        <x:v>TRF-023</x:v>
      </x:c>
      <x:c r="C10" s="47" t="str">
        <x:v>iceClassIaSuper</x:v>
      </x:c>
      <x:c r="D10" s="48" t="str">
        <x:v>https://w3id.org/nltl/vocab#iceClassIaSuper</x:v>
      </x:c>
      <x:c r="E10" s="47" t="str">
        <x:v>NamedIndividual</x:v>
      </x:c>
      <x:c r="F10" s="47" t="str"/>
      <x:c r="G10" s="47" t="str">
        <x:v>https://w3id.org/nltl/vocab#iceClassValue</x:v>
      </x:c>
      <x:c r="H10" s="47" t="str"/>
      <x:c r="I10" s="48" t="str">
        <x:v>controlled value permitted by the range of iceClass</x:v>
      </x:c>
      <x:c r="J10" s="47" t="n">
        <x:v>0</x:v>
      </x:c>
    </x:row>
    <x:row r="11">
      <x:c r="A11" s="47" t="str">
        <x:v>RUN-TRF-023-20260827T222835448584Z</x:v>
      </x:c>
      <x:c r="B11" s="47" t="str">
        <x:v>TRF-023</x:v>
      </x:c>
      <x:c r="C11" s="47" t="str">
        <x:v>iceClassIb</x:v>
      </x:c>
      <x:c r="D11" s="48" t="str">
        <x:v>https://w3id.org/nltl/vocab#iceClassIb</x:v>
      </x:c>
      <x:c r="E11" s="47" t="str">
        <x:v>NamedIndividual</x:v>
      </x:c>
      <x:c r="F11" s="47" t="str"/>
      <x:c r="G11" s="47" t="str">
        <x:v>https://w3id.org/nltl/vocab#iceClassValue</x:v>
      </x:c>
      <x:c r="H11" s="47" t="str"/>
      <x:c r="I11" s="48" t="str">
        <x:v>controlled value permitted by the range of iceClass</x:v>
      </x:c>
      <x:c r="J11" s="47" t="n">
        <x:v>0</x:v>
      </x:c>
    </x:row>
    <x:row r="12">
      <x:c r="A12" s="47" t="str">
        <x:v>RUN-TRF-023-20260827T222835448584Z</x:v>
      </x:c>
      <x:c r="B12" s="47" t="str">
        <x:v>TRF-023</x:v>
      </x:c>
      <x:c r="C12" s="47" t="str">
        <x:v>iceClassIc</x:v>
      </x:c>
      <x:c r="D12" s="48" t="str">
        <x:v>https://w3id.org/nltl/vocab#iceClassIc</x:v>
      </x:c>
      <x:c r="E12" s="47" t="str">
        <x:v>NamedIndividual</x:v>
      </x:c>
      <x:c r="F12" s="47" t="str"/>
      <x:c r="G12" s="47" t="str">
        <x:v>https://w3id.org/nltl/vocab#iceClassValue</x:v>
      </x:c>
      <x:c r="H12" s="47" t="str"/>
      <x:c r="I12" s="48" t="str">
        <x:v>controlled value permitted by the range of iceClass</x:v>
      </x:c>
      <x:c r="J12" s="47" t="n">
        <x:v>0</x:v>
      </x:c>
    </x:row>
    <x:row r="13">
      <x:c r="A13" s="47" t="str">
        <x:v>RUN-TRF-023-20260827T222835448584Z</x:v>
      </x:c>
      <x:c r="B13" s="47" t="str">
        <x:v>TRF-023</x:v>
      </x:c>
      <x:c r="C13" s="47" t="str">
        <x:v>iceClassIi</x:v>
      </x:c>
      <x:c r="D13" s="48" t="str">
        <x:v>https://w3id.org/nltl/vocab#iceClassIi</x:v>
      </x:c>
      <x:c r="E13" s="47" t="str">
        <x:v>NamedIndividual</x:v>
      </x:c>
      <x:c r="F13" s="47" t="str"/>
      <x:c r="G13" s="47" t="str">
        <x:v>https://w3id.org/nltl/vocab#iceClassValue</x:v>
      </x:c>
      <x:c r="H13" s="47" t="str"/>
      <x:c r="I13" s="48" t="str">
        <x:v>controlled value permitted by the range of iceClass</x:v>
      </x:c>
      <x:c r="J13" s="47" t="n">
        <x:v>0</x:v>
      </x:c>
    </x:row>
    <x:row r="14">
      <x:c r="A14" s="47" t="str">
        <x:v>RUN-TRF-023-20260827T222835448584Z</x:v>
      </x:c>
      <x:c r="B14" s="47" t="str">
        <x:v>TRF-023</x:v>
      </x:c>
      <x:c r="C14" s="47" t="str">
        <x:v>iceClassIii</x:v>
      </x:c>
      <x:c r="D14" s="48" t="str">
        <x:v>https://w3id.org/nltl/vocab#iceClassIii</x:v>
      </x:c>
      <x:c r="E14" s="47" t="str">
        <x:v>NamedIndividual</x:v>
      </x:c>
      <x:c r="F14" s="47" t="str"/>
      <x:c r="G14" s="47" t="str">
        <x:v>https://w3id.org/nltl/vocab#iceClassValue</x:v>
      </x:c>
      <x:c r="H14" s="47" t="str"/>
      <x:c r="I14" s="48" t="str">
        <x:v>controlled value permitted by the range of iceClass</x:v>
      </x:c>
      <x:c r="J14" s="47" t="n">
        <x:v>0</x:v>
      </x:c>
    </x:row>
    <x:row r="15">
      <x:c r="A15" s="47" t="str">
        <x:v>RUN-TRF-023-20260827T222835448584Z</x:v>
      </x:c>
      <x:c r="B15" s="47" t="str">
        <x:v>TRF-023</x:v>
      </x:c>
      <x:c r="C15" s="47" t="str">
        <x:v>iceClassRegulationEdition2002</x:v>
      </x:c>
      <x:c r="D15" s="48" t="str">
        <x:v>https://w3id.org/nltl/vocab#iceClassRegulationEdition2002</x:v>
      </x:c>
      <x:c r="E15" s="47" t="str">
        <x:v>NamedIndividual</x:v>
      </x:c>
      <x:c r="F15" s="47" t="str"/>
      <x:c r="G15" s="47" t="str">
        <x:v>https://w3id.org/nltl/vocab#iceClassRegulationEditionValue</x:v>
      </x:c>
      <x:c r="H15" s="47" t="str"/>
      <x:c r="I15" s="48" t="str">
        <x:v>controlled value permitted by the range of applicableIceClassRegulationEdition; controlled value permitted by the range of iceClassRuleEdition1985</x:v>
      </x:c>
      <x:c r="J15" s="47" t="n">
        <x:v>0</x:v>
      </x:c>
    </x:row>
    <x:row r="16">
      <x:c r="A16" s="47" t="str">
        <x:v>RUN-TRF-023-20260827T222835448584Z</x:v>
      </x:c>
      <x:c r="B16" s="47" t="str">
        <x:v>TRF-023</x:v>
      </x:c>
      <x:c r="C16" s="47" t="str">
        <x:v>iceClassRegulationEdition2008</x:v>
      </x:c>
      <x:c r="D16" s="48" t="str">
        <x:v>https://w3id.org/nltl/vocab#iceClassRegulationEdition2008</x:v>
      </x:c>
      <x:c r="E16" s="47" t="str">
        <x:v>NamedIndividual</x:v>
      </x:c>
      <x:c r="F16" s="47" t="str"/>
      <x:c r="G16" s="47" t="str">
        <x:v>https://w3id.org/nltl/vocab#iceClassRegulationEditionValue</x:v>
      </x:c>
      <x:c r="H16" s="47" t="str"/>
      <x:c r="I16" s="48" t="str">
        <x:v>controlled value permitted by the range of applicableIceClassRegulationEdition; controlled value permitted by the range of iceClassRuleEdition1985</x:v>
      </x:c>
      <x:c r="J16" s="47" t="n">
        <x:v>0</x:v>
      </x:c>
    </x:row>
    <x:row r="17">
      <x:c r="A17" s="47" t="str">
        <x:v>RUN-TRF-023-20260827T222835448584Z</x:v>
      </x:c>
      <x:c r="B17" s="47" t="str">
        <x:v>TRF-023</x:v>
      </x:c>
      <x:c r="C17" s="47" t="str">
        <x:v>iceClassRegulationEdition2010</x:v>
      </x:c>
      <x:c r="D17" s="48" t="str">
        <x:v>https://w3id.org/nltl/vocab#iceClassRegulationEdition2010</x:v>
      </x:c>
      <x:c r="E17" s="47" t="str">
        <x:v>NamedIndividual</x:v>
      </x:c>
      <x:c r="F17" s="47" t="str"/>
      <x:c r="G17" s="47" t="str">
        <x:v>https://w3id.org/nltl/vocab#iceClassRegulationEditionValue</x:v>
      </x:c>
      <x:c r="H17" s="47" t="str"/>
      <x:c r="I17" s="48" t="str">
        <x:v>controlled value permitted by the range of applicableIceClassRegulationEdition; controlled value permitted by the range of iceClassRuleEdition1985</x:v>
      </x:c>
      <x:c r="J17" s="47" t="n">
        <x:v>0</x:v>
      </x:c>
    </x:row>
    <x:row r="18">
      <x:c r="A18" s="47" t="str">
        <x:v>RUN-TRF-023-20260827T222835448584Z</x:v>
      </x:c>
      <x:c r="B18" s="47" t="str">
        <x:v>TRF-023</x:v>
      </x:c>
      <x:c r="C18" s="47" t="str">
        <x:v>iceClassRegulationEdition2017</x:v>
      </x:c>
      <x:c r="D18" s="48" t="str">
        <x:v>https://w3id.org/nltl/vocab#iceClassRegulationEdition2017</x:v>
      </x:c>
      <x:c r="E18" s="47" t="str">
        <x:v>NamedIndividual</x:v>
      </x:c>
      <x:c r="F18" s="47" t="str"/>
      <x:c r="G18" s="47" t="str">
        <x:v>https://w3id.org/nltl/vocab#iceClassRegulationEditionValue</x:v>
      </x:c>
      <x:c r="H18" s="47" t="str"/>
      <x:c r="I18" s="48" t="str">
        <x:v>controlled value permitted by the range of applicableIceClassRegulationEdition; controlled value permitted by the range of iceClassRuleEdition1985</x:v>
      </x:c>
      <x:c r="J18" s="47" t="n">
        <x:v>0</x:v>
      </x:c>
    </x:row>
    <x:row r="19">
      <x:c r="A19" s="47" t="str">
        <x:v>RUN-TRF-023-20260827T222835448584Z</x:v>
      </x:c>
      <x:c r="B19" s="47" t="str">
        <x:v>TRF-023</x:v>
      </x:c>
      <x:c r="C19" s="47" t="str">
        <x:v>iceClassRegulationEdition2021</x:v>
      </x:c>
      <x:c r="D19" s="48" t="str">
        <x:v>https://w3id.org/nltl/vocab#iceClassRegulationEdition2021</x:v>
      </x:c>
      <x:c r="E19" s="47" t="str">
        <x:v>NamedIndividual</x:v>
      </x:c>
      <x:c r="F19" s="47" t="str"/>
      <x:c r="G19" s="47" t="str">
        <x:v>https://w3id.org/nltl/vocab#iceClassRegulationEditionValue</x:v>
      </x:c>
      <x:c r="H19" s="47" t="str"/>
      <x:c r="I19" s="48" t="str">
        <x:v>controlled value permitted by the range of applicableIceClassRegulationEdition; controlled value permitted by the range of iceClassRuleEdition1985</x:v>
      </x:c>
      <x:c r="J19" s="47" t="n">
        <x:v>0</x:v>
      </x:c>
    </x:row>
    <x:row r="20">
      <x:c r="A20" s="47" t="str">
        <x:v>RUN-TRF-023-20260827T222835448584Z</x:v>
      </x:c>
      <x:c r="B20" s="47" t="str">
        <x:v>TRF-023</x:v>
      </x:c>
      <x:c r="C20" s="47" t="str">
        <x:v>iceClassRegulationEditionValue</x:v>
      </x:c>
      <x:c r="D20" s="48" t="str">
        <x:v>https://w3id.org/nltl/vocab#iceClassRegulationEditionValue</x:v>
      </x:c>
      <x:c r="E20" s="47" t="str">
        <x:v>Class</x:v>
      </x:c>
      <x:c r="F20" s="47" t="str"/>
      <x:c r="G20" s="47" t="str">
        <x:v>https://w3id.org/nltl/vocab#benchmarkEntity</x:v>
      </x:c>
      <x:c r="H20" s="47" t="str"/>
      <x:c r="I20" s="48" t="str">
        <x:v>range dependency of applicableIceClassRegulationEdition; range dependency of iceClassRuleEdition1985</x:v>
      </x:c>
      <x:c r="J20" s="47" t="n">
        <x:v>0</x:v>
      </x:c>
    </x:row>
    <x:row r="21">
      <x:c r="A21" s="47" t="str">
        <x:v>RUN-TRF-023-20260827T222835448584Z</x:v>
      </x:c>
      <x:c r="B21" s="47" t="str">
        <x:v>TRF-023</x:v>
      </x:c>
      <x:c r="C21" s="47" t="str">
        <x:v>iceClassRuleEdition1985</x:v>
      </x:c>
      <x:c r="D21" s="48" t="str">
        <x:v>https://w3id.org/nltl/vocab#iceClassRuleEdition1985</x:v>
      </x:c>
      <x:c r="E21" s="47" t="str">
        <x:v>NamedIndividual</x:v>
      </x:c>
      <x:c r="F21" s="47" t="str"/>
      <x:c r="G21" s="47" t="str">
        <x:v>https://w3id.org/nltl/vocab#iceClassRegulationEditionValue</x:v>
      </x:c>
      <x:c r="H21" s="47" t="str"/>
      <x:c r="I21" s="48" t="str">
        <x:v>controlled value permitted by the range of applicableIceClassRegulationEdition; controlled value permitted by the range of iceClassRuleEdition1985; linked by the locked 313-requirement index</x:v>
      </x:c>
      <x:c r="J21" s="47" t="n">
        <x:v>0</x:v>
      </x:c>
    </x:row>
    <x:row r="22">
      <x:c r="A22" s="47" t="str">
        <x:v>RUN-TRF-023-20260827T222835448584Z</x:v>
      </x:c>
      <x:c r="B22" s="47" t="str">
        <x:v>TRF-023</x:v>
      </x:c>
      <x:c r="C22" s="47" t="str">
        <x:v>iceClassValue</x:v>
      </x:c>
      <x:c r="D22" s="48" t="str">
        <x:v>https://w3id.org/nltl/vocab#iceClassValue</x:v>
      </x:c>
      <x:c r="E22" s="47" t="str">
        <x:v>Class</x:v>
      </x:c>
      <x:c r="F22" s="47" t="str"/>
      <x:c r="G22" s="47" t="str"/>
      <x:c r="H22" s="47" t="str"/>
      <x:c r="I22" s="48" t="str">
        <x:v>range dependency of iceClass</x:v>
      </x:c>
      <x:c r="J22" s="47" t="n">
        <x:v>0</x:v>
      </x:c>
    </x:row>
    <x:row r="23">
      <x:c r="A23" s="47" t="str">
        <x:v>RUN-TRF-023-20260827T222835448584Z</x:v>
      </x:c>
      <x:c r="B23" s="47" t="str">
        <x:v>TRF-023</x:v>
      </x:c>
      <x:c r="C23" s="47" t="str">
        <x:v>maximumContinuousRatingPower</x:v>
      </x:c>
      <x:c r="D23" s="48" t="str">
        <x:v>https://w3id.org/nltl/vocab#maximumContinuousRatingPower</x:v>
      </x:c>
      <x:c r="E23" s="47" t="str">
        <x:v>QuantityProperty</x:v>
      </x:c>
      <x:c r="F23" s="47" t="str"/>
      <x:c r="G23" s="47" t="str">
        <x:v>http://qudt.org/schema/qudt/QuantityValue</x:v>
      </x:c>
      <x:c r="H23" s="47" t="str">
        <x:v>http://qudt.org/vocab/unit/KiloW</x:v>
      </x:c>
      <x:c r="I23" s="48" t="str">
        <x:v>linked by the locked 313-requirement index</x:v>
      </x:c>
      <x:c r="J23" s="47" t="n">
        <x:v>0</x:v>
      </x:c>
    </x:row>
    <x:row r="24">
      <x:c r="A24" s="47" t="str">
        <x:v>RUN-TRF-023-20260827T222835448584Z</x:v>
      </x:c>
      <x:c r="B24" s="47" t="str">
        <x:v>TRF-023</x:v>
      </x:c>
      <x:c r="C24" s="47" t="str">
        <x:v>requiredPowerUnder1985Rules</x:v>
      </x:c>
      <x:c r="D24" s="48" t="str">
        <x:v>https://w3id.org/nltl/vocab#requiredPowerUnder1985Rules</x:v>
      </x:c>
      <x:c r="E24" s="47" t="str">
        <x:v>QuantityProperty</x:v>
      </x:c>
      <x:c r="F24" s="47" t="str"/>
      <x:c r="G24" s="47" t="str">
        <x:v>http://qudt.org/schema/qudt/QuantityValue</x:v>
      </x:c>
      <x:c r="H24" s="47" t="str">
        <x:v>http://qudt.org/vocab/unit/KiloW</x:v>
      </x:c>
      <x:c r="I24" s="48" t="str">
        <x:v>linked by the locked 313-requirement index</x:v>
      </x:c>
      <x:c r="J24" s="47" t="n">
        <x:v>0</x:v>
      </x:c>
    </x:row>
    <x:row r="25">
      <x:c r="A25" s="47" t="str">
        <x:v>RUN-TRF-023-20260827T222835448584Z</x:v>
      </x:c>
      <x:c r="B25" s="47" t="str">
        <x:v>TRF-023</x:v>
      </x:c>
      <x:c r="C25" s="47" t="str">
        <x:v>ship</x:v>
      </x:c>
      <x:c r="D25" s="48" t="str">
        <x:v>https://w3id.org/nltl/vocab#ship</x:v>
      </x:c>
      <x:c r="E25" s="47" t="str">
        <x:v>Class</x:v>
      </x:c>
      <x:c r="F25" s="47" t="str"/>
      <x:c r="G25" s="47" t="str"/>
      <x:c r="H25" s="47" t="str"/>
      <x:c r="I25" s="48" t="str">
        <x:v>authoritative required owner class; authoritative requirement target owner; baseline target infrastructure</x:v>
      </x:c>
      <x:c r="J25" s="47" t="n">
        <x:v>0</x:v>
      </x:c>
    </x:row>
    <x:row r="26">
      <x:c r="A26" s="49" t="str">
        <x:v>RUN-TRF-023-20260827T222835448584Z</x:v>
      </x:c>
      <x:c r="B26" s="49" t="str">
        <x:v>TRF-023</x:v>
      </x:c>
      <x:c r="C26" s="49" t="str">
        <x:v>shipComponent</x:v>
      </x:c>
      <x:c r="D26" s="50" t="str">
        <x:v>https://w3id.org/nltl/vocab#shipComponent</x:v>
      </x:c>
      <x:c r="E26" s="49" t="str">
        <x:v>Class</x:v>
      </x:c>
      <x:c r="F26" s="49" t="str"/>
      <x:c r="G26" s="49" t="str"/>
      <x:c r="H26" s="49" t="str"/>
      <x:c r="I26" s="50" t="str">
        <x:v>component-path dependency inferred from the linked term module</x:v>
      </x:c>
      <x:c r="J26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e17fd272344c4e0e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7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RUN-TRF-023-20260827T222835448584Z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RUN-TRF-023-20260827T222835448584Z</x:v>
      </x:c>
      <x:c r="B5" s="45" t="str">
        <x:v>TRF-023</x:v>
      </x:c>
      <x:c r="C5" s="45" t="str">
        <x:v>FS-REL-01</x:v>
      </x:c>
      <x:c r="D5" s="45" t="str">
        <x:v>entity_relation</x:v>
      </x:c>
      <x:c r="E5" s="97" t="n">
        <x:v>0.05</x:v>
      </x:c>
      <x:c r="F5" s="45" t="str">
        <x:v>class | entity | relation</x:v>
      </x:c>
      <x:c r="G5" s="45" t="str">
        <x:v>synthetic-few-shot-not-benchmark-ground-truth</x:v>
      </x:c>
    </x:row>
    <x:row r="6">
      <x:c r="A6" s="49" t="str">
        <x:v>RUN-TRF-023-20260827T222835448584Z</x:v>
      </x:c>
      <x:c r="B6" s="49" t="str">
        <x:v>TRF-023</x:v>
      </x:c>
      <x:c r="C6" s="49" t="str">
        <x:v>FS-REL-02</x:v>
      </x:c>
      <x:c r="D6" s="49" t="str">
        <x:v>entity_relation</x:v>
      </x:c>
      <x:c r="E6" s="98" t="n">
        <x:v>0.05</x:v>
      </x:c>
      <x:c r="F6" s="49" t="str">
        <x:v>class | entity | relation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a5ff2c307d24c32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RUN-TRF-023-20260827T222835448584Z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RUN-TRF-023-20260827T222835448584Z</x:v>
      </x:c>
      <x:c r="B5" s="45" t="str">
        <x:v>TRF-023</x:v>
      </x:c>
      <x:c r="C5" s="58" t="n">
        <x:v>1</x:v>
      </x:c>
      <x:c r="D5" s="83" t="b">
        <x:v>1</x:v>
      </x:c>
      <x:c r="E5" s="83" t="b">
        <x:v>1</x:v>
      </x:c>
      <x:c r="F5" s="83" t="b">
        <x:v>1</x:v>
      </x:c>
      <x:c r="G5" s="83" t="b">
        <x:v>1</x:v>
      </x:c>
      <x:c r="H5" s="83" t="b">
        <x:v>1</x:v>
      </x:c>
      <x:c r="I5" s="83" t="b">
        <x:v>1</x:v>
      </x:c>
      <x:c r="J5" s="83" t="b">
        <x:v>1</x:v>
      </x:c>
      <x:c r="K5" s="102" t="b">
        <x:v>1</x:v>
      </x:c>
      <x:c r="L5" s="46" t="str"/>
      <x:c r="M5" s="46" t="str"/>
      <x:c r="N5" s="46" t="str">
        <x:v>https://w3id.org/nltl/vocab#applicableIceClassRegulationEdition | https://w3id.org/nltl/vocab#iceClass | https://w3id.org/nltl/vocab#iceClassIa | https://w3id.org/nltl/vocab#iceClassIaSuper | https://w3id.org/nltl/vocab#iceClassIb | https://w3id.org/nltl/vocab#iceClassIc | https://w3id.org/nltl/vocab#iceClassIi | https://w3id.org/nltl/vocab#iceClassIii | https://w3id.org/nltl/vocab#iceClassRegulationEdition2002 | https://w3id.org/nltl/vocab#iceClassRegulationEdition2008 | https://w3id.org/nltl/vocab#iceClassRegulationEdition2010 | https://w3id.org/nltl/vocab#iceClassRegulationEdition2017 | https://w3id.org/nltl/vocab#iceClassRegulationEdition2021 | https://w3id.org/nltl/vocab#iceClassRuleEdition1985 | https://w3id.org/nltl/vocab#maximumContinuousRatingPower | https://w3id.org/nltl/vocab#requiredPowerUnder1985Rules | https://w3id.org/nltl/vocab#ship</x:v>
      </x:c>
      <x:c r="O5" s="46" t="str"/>
      <x:c r="P5" s="46" t="str"/>
      <x:c r="Q5" s="46" t="str"/>
    </x:row>
    <x:row r="6">
      <x:c r="A6" s="47" t="str">
        <x:v>RUN-TRF-023-20260827T222835448584Z</x:v>
      </x:c>
      <x:c r="B6" s="47" t="str">
        <x:v>TRF-023</x:v>
      </x:c>
      <x:c r="C6" s="59" t="n">
        <x:v>2</x:v>
      </x:c>
      <x:c r="D6" s="85" t="b">
        <x:v>1</x:v>
      </x:c>
      <x:c r="E6" s="85" t="b">
        <x:v>1</x:v>
      </x:c>
      <x:c r="F6" s="85" t="b">
        <x:v>1</x:v>
      </x:c>
      <x:c r="G6" s="85" t="b">
        <x:v>1</x:v>
      </x:c>
      <x:c r="H6" s="85" t="b">
        <x:v>1</x:v>
      </x:c>
      <x:c r="I6" s="85" t="b">
        <x:v>1</x:v>
      </x:c>
      <x:c r="J6" s="85" t="b">
        <x:v>1</x:v>
      </x:c>
      <x:c r="K6" s="103" t="b">
        <x:v>1</x:v>
      </x:c>
      <x:c r="L6" s="48" t="str"/>
      <x:c r="M6" s="48" t="str"/>
      <x:c r="N6" s="48" t="str">
        <x:v>https://w3id.org/nltl/vocab#applicableIceClassRegulationEdition | https://w3id.org/nltl/vocab#iceClass | https://w3id.org/nltl/vocab#iceClassIa | https://w3id.org/nltl/vocab#iceClassIaSuper | https://w3id.org/nltl/vocab#iceClassIb | https://w3id.org/nltl/vocab#iceClassIc | https://w3id.org/nltl/vocab#iceClassIi | https://w3id.org/nltl/vocab#iceClassIii | https://w3id.org/nltl/vocab#iceClassRegulationEdition2002 | https://w3id.org/nltl/vocab#iceClassRegulationEdition2008 | https://w3id.org/nltl/vocab#iceClassRegulationEdition2010 | https://w3id.org/nltl/vocab#iceClassRegulationEdition2017 | https://w3id.org/nltl/vocab#iceClassRegulationEdition2021 | https://w3id.org/nltl/vocab#iceClassRuleEdition1985 | https://w3id.org/nltl/vocab#maximumContinuousRatingPower | https://w3id.org/nltl/vocab#requiredPowerUnder1985Rules | https://w3id.org/nltl/vocab#ship</x:v>
      </x:c>
      <x:c r="O6" s="48" t="str"/>
      <x:c r="P6" s="48" t="str"/>
      <x:c r="Q6" s="48" t="str"/>
    </x:row>
    <x:row r="7">
      <x:c r="A7" s="47" t="str">
        <x:v>RUN-TRF-023-20260827T222835448584Z</x:v>
      </x:c>
      <x:c r="B7" s="47" t="str">
        <x:v>TRF-023</x:v>
      </x:c>
      <x:c r="C7" s="59" t="n">
        <x:v>3</x:v>
      </x:c>
      <x:c r="D7" s="85" t="b">
        <x:v>1</x:v>
      </x:c>
      <x:c r="E7" s="85" t="b">
        <x:v>1</x:v>
      </x:c>
      <x:c r="F7" s="85" t="b">
        <x:v>1</x:v>
      </x:c>
      <x:c r="G7" s="85" t="b">
        <x:v>1</x:v>
      </x:c>
      <x:c r="H7" s="85" t="b">
        <x:v>1</x:v>
      </x:c>
      <x:c r="I7" s="85" t="b">
        <x:v>1</x:v>
      </x:c>
      <x:c r="J7" s="85" t="b">
        <x:v>1</x:v>
      </x:c>
      <x:c r="K7" s="103" t="b">
        <x:v>1</x:v>
      </x:c>
      <x:c r="L7" s="48" t="str"/>
      <x:c r="M7" s="48" t="str"/>
      <x:c r="N7" s="48" t="str">
        <x:v>https://w3id.org/nltl/vocab#applicableIceClassRegulationEdition | https://w3id.org/nltl/vocab#iceClass | https://w3id.org/nltl/vocab#iceClassIa | https://w3id.org/nltl/vocab#iceClassIaSuper | https://w3id.org/nltl/vocab#iceClassIb | https://w3id.org/nltl/vocab#iceClassIc | https://w3id.org/nltl/vocab#iceClassIi | https://w3id.org/nltl/vocab#iceClassIii | https://w3id.org/nltl/vocab#iceClassRegulationEdition2002 | https://w3id.org/nltl/vocab#iceClassRegulationEdition2008 | https://w3id.org/nltl/vocab#iceClassRegulationEdition2010 | https://w3id.org/nltl/vocab#iceClassRegulationEdition2017 | https://w3id.org/nltl/vocab#iceClassRegulationEdition2021 | https://w3id.org/nltl/vocab#iceClassRuleEdition1985 | https://w3id.org/nltl/vocab#maximumContinuousRatingPower | https://w3id.org/nltl/vocab#requiredPowerUnder1985Rules | https://w3id.org/nltl/vocab#ship</x:v>
      </x:c>
      <x:c r="O7" s="48" t="str"/>
      <x:c r="P7" s="48" t="str"/>
      <x:c r="Q7" s="48" t="str"/>
    </x:row>
    <x:row r="8">
      <x:c r="A8" s="49" t="str">
        <x:v>RUN-TRF-023-20260827T222835448584Z</x:v>
      </x:c>
      <x:c r="B8" s="49" t="str">
        <x:v>TRF-023</x:v>
      </x:c>
      <x:c r="C8" s="60" t="n">
        <x:v>4</x:v>
      </x:c>
      <x:c r="D8" s="87" t="b">
        <x:v>1</x:v>
      </x:c>
      <x:c r="E8" s="87" t="b">
        <x:v>1</x:v>
      </x:c>
      <x:c r="F8" s="87" t="b">
        <x:v>1</x:v>
      </x:c>
      <x:c r="G8" s="87" t="b">
        <x:v>1</x:v>
      </x:c>
      <x:c r="H8" s="87" t="b">
        <x:v>1</x:v>
      </x:c>
      <x:c r="I8" s="87" t="b">
        <x:v>1</x:v>
      </x:c>
      <x:c r="J8" s="87" t="b">
        <x:v>1</x:v>
      </x:c>
      <x:c r="K8" s="104" t="b">
        <x:v>1</x:v>
      </x:c>
      <x:c r="L8" s="50" t="str"/>
      <x:c r="M8" s="50" t="str"/>
      <x:c r="N8" s="50" t="str">
        <x:v>https://w3id.org/nltl/vocab#applicableIceClassRegulationEdition | https://w3id.org/nltl/vocab#iceClass | https://w3id.org/nltl/vocab#iceClassIb | https://w3id.org/nltl/vocab#iceClassIc | https://w3id.org/nltl/vocab#iceClassRuleEdition1985 | https://w3id.org/nltl/vocab#maximumContinuousRatingPower | https://w3id.org/nltl/vocab#requiredPowerUnder1985Rules | https://w3id.org/nltl/vocab#ship</x:v>
      </x:c>
      <x:c r="O8" s="50" t="str"/>
      <x:c r="P8" s="50" t="str"/>
      <x:c r="Q8" s="50" t="str"/>
    </x:row>
  </x:sheetData>
  <x:pageMargins left="0.7" right="0.7" top="0.75" bottom="0.75" header="0.3" footer="0.3"/>
  <x:tableParts count="1">
    <x:tablePart xmlns:r="http://schemas.openxmlformats.org/officeDocument/2006/relationships" r:id="Rf7a024d4c4f14dae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RUN-TRF-023-20260827T222835448584Z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6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RUN-TRF-023-20260827T222835448584Z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RUN-TRF-023-20260827T222835448584Z</x:v>
      </x:c>
      <x:c r="B5" s="45" t="str">
        <x:v>TRF-023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c367f839cd26697eeed8973dc3b15c6c270136694a884bb23a8fa2e9b5f45566</x:v>
      </x:c>
      <x:c r="G5" s="58" t="n">
        <x:v>27773</x:v>
      </x:c>
    </x:row>
    <x:row r="6">
      <x:c r="A6" s="47" t="str">
        <x:v>RUN-TRF-023-20260827T222835448584Z</x:v>
      </x:c>
      <x:c r="B6" s="47" t="str">
        <x:v>TRF-023</x:v>
      </x:c>
      <x:c r="C6" s="59"/>
      <x:c r="D6" s="47" t="str">
        <x:v>few_shot_selection</x:v>
      </x:c>
      <x:c r="E6" s="48" t="str">
        <x:v>artifacts/few_shots_selected.json</x:v>
      </x:c>
      <x:c r="F6" s="47" t="str">
        <x:v>2a2b77fc62e53718a98b27963c07190a87c6f9bc6458c4b6b7b4033bb29f1320</x:v>
      </x:c>
      <x:c r="G6" s="59" t="n">
        <x:v>3812</x:v>
      </x:c>
    </x:row>
    <x:row r="7">
      <x:c r="A7" s="47" t="str">
        <x:v>RUN-TRF-023-20260827T222835448584Z</x:v>
      </x:c>
      <x:c r="B7" s="47" t="str">
        <x:v>TRF-023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3f9139c80b72591f43488cb532e0432450ef68363795284cf87ee962da0e5952</x:v>
      </x:c>
      <x:c r="G7" s="59" t="n">
        <x:v>43139</x:v>
      </x:c>
    </x:row>
    <x:row r="8">
      <x:c r="A8" s="47" t="str">
        <x:v>RUN-TRF-023-20260827T222835448584Z</x:v>
      </x:c>
      <x:c r="B8" s="47" t="str">
        <x:v>TRF-023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1a0397f72ef0cfe59b7ce57fb78dd9af9ae1bb74772ae7669a1b82c055e33223</x:v>
      </x:c>
      <x:c r="G8" s="59" t="n">
        <x:v>6658</x:v>
      </x:c>
    </x:row>
    <x:row r="9">
      <x:c r="A9" s="47" t="str">
        <x:v>RUN-TRF-023-20260827T222835448584Z</x:v>
      </x:c>
      <x:c r="B9" s="47" t="str">
        <x:v>TRF-023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f9e89b58db0391da901bfd2e9c99511fa775fe1a3295bc120a4a2320f99e3d0e</x:v>
      </x:c>
      <x:c r="G9" s="59" t="n">
        <x:v>6633</x:v>
      </x:c>
    </x:row>
    <x:row r="10">
      <x:c r="A10" s="47" t="str">
        <x:v>RUN-TRF-023-20260827T222835448584Z</x:v>
      </x:c>
      <x:c r="B10" s="47" t="str">
        <x:v>TRF-023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1e1067f9fb49c482534beda92bea404099fa3e321d29b9a8fa9331cbc8810962</x:v>
      </x:c>
      <x:c r="G10" s="59" t="n">
        <x:v>1337</x:v>
      </x:c>
    </x:row>
    <x:row r="11">
      <x:c r="A11" s="47" t="str">
        <x:v>RUN-TRF-023-20260827T222835448584Z</x:v>
      </x:c>
      <x:c r="B11" s="47" t="str">
        <x:v>TRF-023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d2a2f9a16232544a5690ab0255d2f6ec02d97828f84ecfa82ff6c6bf8c80e25b</x:v>
      </x:c>
      <x:c r="G11" s="59" t="n">
        <x:v>48334</x:v>
      </x:c>
    </x:row>
    <x:row r="12">
      <x:c r="A12" s="47" t="str">
        <x:v>RUN-TRF-023-20260827T222835448584Z</x:v>
      </x:c>
      <x:c r="B12" s="47" t="str">
        <x:v>TRF-023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bd9d37970ac917dc10186b61fe3949ffcd0d686ce7e618209721955cd07de0b0</x:v>
      </x:c>
      <x:c r="G12" s="59" t="n">
        <x:v>657</x:v>
      </x:c>
    </x:row>
    <x:row r="13">
      <x:c r="A13" s="47" t="str">
        <x:v>RUN-TRF-023-20260827T222835448584Z</x:v>
      </x:c>
      <x:c r="B13" s="47" t="str">
        <x:v>TRF-023</x:v>
      </x:c>
      <x:c r="C13" s="59" t="n">
        <x:v>2</x:v>
      </x:c>
      <x:c r="D13" s="47" t="str">
        <x:v>generator_prompt</x:v>
      </x:c>
      <x:c r="E13" s="48" t="str">
        <x:v>artifacts/attempt_02/generator_prompt.txt</x:v>
      </x:c>
      <x:c r="F13" s="47" t="str">
        <x:v>7fc94152e14df15e1ad1b14edb16d36da689372177b9e01d0d58a0c30d707365</x:v>
      </x:c>
      <x:c r="G13" s="59" t="n">
        <x:v>43731</x:v>
      </x:c>
    </x:row>
    <x:row r="14">
      <x:c r="A14" s="47" t="str">
        <x:v>RUN-TRF-023-20260827T222835448584Z</x:v>
      </x:c>
      <x:c r="B14" s="47" t="str">
        <x:v>TRF-023</x:v>
      </x:c>
      <x:c r="C14" s="59" t="n">
        <x:v>2</x:v>
      </x:c>
      <x:c r="D14" s="47" t="str">
        <x:v>generator_raw_response</x:v>
      </x:c>
      <x:c r="E14" s="48" t="str">
        <x:v>artifacts/attempt_02/generator_raw.txt</x:v>
      </x:c>
      <x:c r="F14" s="47" t="str">
        <x:v>b47cbc1c434e98f9af172dc34c2804e71593eb24f2e8a698a56030649f7c86ad</x:v>
      </x:c>
      <x:c r="G14" s="59" t="n">
        <x:v>4018</x:v>
      </x:c>
    </x:row>
    <x:row r="15">
      <x:c r="A15" s="47" t="str">
        <x:v>RUN-TRF-023-20260827T222835448584Z</x:v>
      </x:c>
      <x:c r="B15" s="47" t="str">
        <x:v>TRF-023</x:v>
      </x:c>
      <x:c r="C15" s="59" t="n">
        <x:v>2</x:v>
      </x:c>
      <x:c r="D15" s="47" t="str">
        <x:v>candidate_shape</x:v>
      </x:c>
      <x:c r="E15" s="48" t="str">
        <x:v>artifacts/attempt_02/candidate_shape.ttl</x:v>
      </x:c>
      <x:c r="F15" s="47" t="str">
        <x:v>4cf5efc5125515fbc053989d7db9c5e511319f791c3e1296d61b0b3120338df5</x:v>
      </x:c>
      <x:c r="G15" s="59" t="n">
        <x:v>3993</x:v>
      </x:c>
    </x:row>
    <x:row r="16">
      <x:c r="A16" s="47" t="str">
        <x:v>RUN-TRF-023-20260827T222835448584Z</x:v>
      </x:c>
      <x:c r="B16" s="47" t="str">
        <x:v>TRF-023</x:v>
      </x:c>
      <x:c r="C16" s="59" t="n">
        <x:v>2</x:v>
      </x:c>
      <x:c r="D16" s="47" t="str">
        <x:v>deterministic_validation</x:v>
      </x:c>
      <x:c r="E16" s="48" t="str">
        <x:v>artifacts/attempt_02/deterministic_validation.json</x:v>
      </x:c>
      <x:c r="F16" s="47" t="str">
        <x:v>1e1067f9fb49c482534beda92bea404099fa3e321d29b9a8fa9331cbc8810962</x:v>
      </x:c>
      <x:c r="G16" s="59" t="n">
        <x:v>1337</x:v>
      </x:c>
    </x:row>
    <x:row r="17">
      <x:c r="A17" s="47" t="str">
        <x:v>RUN-TRF-023-20260827T222835448584Z</x:v>
      </x:c>
      <x:c r="B17" s="47" t="str">
        <x:v>TRF-023</x:v>
      </x:c>
      <x:c r="C17" s="59" t="n">
        <x:v>2</x:v>
      </x:c>
      <x:c r="D17" s="47" t="str">
        <x:v>validator_prompt</x:v>
      </x:c>
      <x:c r="E17" s="48" t="str">
        <x:v>artifacts/attempt_02/validator_prompt_01.txt</x:v>
      </x:c>
      <x:c r="F17" s="47" t="str">
        <x:v>20b952ec61a7b73aadf9cd10e8858b4df4d044491dbbe7721f1bc434546ad605</x:v>
      </x:c>
      <x:c r="G17" s="59" t="n">
        <x:v>46240</x:v>
      </x:c>
    </x:row>
    <x:row r="18">
      <x:c r="A18" s="47" t="str">
        <x:v>RUN-TRF-023-20260827T222835448584Z</x:v>
      </x:c>
      <x:c r="B18" s="47" t="str">
        <x:v>TRF-023</x:v>
      </x:c>
      <x:c r="C18" s="59" t="n">
        <x:v>2</x:v>
      </x:c>
      <x:c r="D18" s="47" t="str">
        <x:v>validator_raw_response</x:v>
      </x:c>
      <x:c r="E18" s="48" t="str">
        <x:v>artifacts/attempt_02/validator_raw_01.txt</x:v>
      </x:c>
      <x:c r="F18" s="47" t="str">
        <x:v>751707a4fde2a66b1fa5ee678a74c7c2918cc55fbedae362486937c6b960724c</x:v>
      </x:c>
      <x:c r="G18" s="59" t="n">
        <x:v>599</x:v>
      </x:c>
    </x:row>
    <x:row r="19">
      <x:c r="A19" s="47" t="str">
        <x:v>RUN-TRF-023-20260827T222835448584Z</x:v>
      </x:c>
      <x:c r="B19" s="47" t="str">
        <x:v>TRF-023</x:v>
      </x:c>
      <x:c r="C19" s="59" t="n">
        <x:v>3</x:v>
      </x:c>
      <x:c r="D19" s="47" t="str">
        <x:v>generator_prompt</x:v>
      </x:c>
      <x:c r="E19" s="48" t="str">
        <x:v>artifacts/attempt_03/generator_prompt.txt</x:v>
      </x:c>
      <x:c r="F19" s="47" t="str">
        <x:v>3ea1de8f293dc4f5bb6da0187f14bad19e146f7db058f81554469371ac5530a5</x:v>
      </x:c>
      <x:c r="G19" s="59" t="n">
        <x:v>44273</x:v>
      </x:c>
    </x:row>
    <x:row r="20">
      <x:c r="A20" s="47" t="str">
        <x:v>RUN-TRF-023-20260827T222835448584Z</x:v>
      </x:c>
      <x:c r="B20" s="47" t="str">
        <x:v>TRF-023</x:v>
      </x:c>
      <x:c r="C20" s="59" t="n">
        <x:v>3</x:v>
      </x:c>
      <x:c r="D20" s="47" t="str">
        <x:v>generator_raw_response</x:v>
      </x:c>
      <x:c r="E20" s="48" t="str">
        <x:v>artifacts/attempt_03/generator_raw.txt</x:v>
      </x:c>
      <x:c r="F20" s="47" t="str">
        <x:v>bc46b3920fd75aef2bb3c24798a3c7e8d0d71943c9e4decfe57bc510253bc063</x:v>
      </x:c>
      <x:c r="G20" s="59" t="n">
        <x:v>2981</x:v>
      </x:c>
    </x:row>
    <x:row r="21">
      <x:c r="A21" s="47" t="str">
        <x:v>RUN-TRF-023-20260827T222835448584Z</x:v>
      </x:c>
      <x:c r="B21" s="47" t="str">
        <x:v>TRF-023</x:v>
      </x:c>
      <x:c r="C21" s="59" t="n">
        <x:v>3</x:v>
      </x:c>
      <x:c r="D21" s="47" t="str">
        <x:v>candidate_shape</x:v>
      </x:c>
      <x:c r="E21" s="48" t="str">
        <x:v>artifacts/attempt_03/candidate_shape.ttl</x:v>
      </x:c>
      <x:c r="F21" s="47" t="str">
        <x:v>d0bfa9d3ca59002c34ea6f098507808289a9ef17d944d558d80ce1082b90bdd4</x:v>
      </x:c>
      <x:c r="G21" s="59" t="n">
        <x:v>2956</x:v>
      </x:c>
    </x:row>
    <x:row r="22">
      <x:c r="A22" s="47" t="str">
        <x:v>RUN-TRF-023-20260827T222835448584Z</x:v>
      </x:c>
      <x:c r="B22" s="47" t="str">
        <x:v>TRF-023</x:v>
      </x:c>
      <x:c r="C22" s="59" t="n">
        <x:v>3</x:v>
      </x:c>
      <x:c r="D22" s="47" t="str">
        <x:v>deterministic_validation</x:v>
      </x:c>
      <x:c r="E22" s="48" t="str">
        <x:v>artifacts/attempt_03/deterministic_validation.json</x:v>
      </x:c>
      <x:c r="F22" s="47" t="str">
        <x:v>1e1067f9fb49c482534beda92bea404099fa3e321d29b9a8fa9331cbc8810962</x:v>
      </x:c>
      <x:c r="G22" s="59" t="n">
        <x:v>1337</x:v>
      </x:c>
    </x:row>
    <x:row r="23">
      <x:c r="A23" s="47" t="str">
        <x:v>RUN-TRF-023-20260827T222835448584Z</x:v>
      </x:c>
      <x:c r="B23" s="47" t="str">
        <x:v>TRF-023</x:v>
      </x:c>
      <x:c r="C23" s="59" t="n">
        <x:v>3</x:v>
      </x:c>
      <x:c r="D23" s="47" t="str">
        <x:v>validator_prompt</x:v>
      </x:c>
      <x:c r="E23" s="48" t="str">
        <x:v>artifacts/attempt_03/validator_prompt_01.txt</x:v>
      </x:c>
      <x:c r="F23" s="47" t="str">
        <x:v>b4381e216ef9a062be46c3f1ad02c628471509db5e38c8b7fc6d38bf000d8860</x:v>
      </x:c>
      <x:c r="G23" s="59" t="n">
        <x:v>45713</x:v>
      </x:c>
    </x:row>
    <x:row r="24">
      <x:c r="A24" s="47" t="str">
        <x:v>RUN-TRF-023-20260827T222835448584Z</x:v>
      </x:c>
      <x:c r="B24" s="47" t="str">
        <x:v>TRF-023</x:v>
      </x:c>
      <x:c r="C24" s="59" t="n">
        <x:v>3</x:v>
      </x:c>
      <x:c r="D24" s="47" t="str">
        <x:v>validator_raw_response</x:v>
      </x:c>
      <x:c r="E24" s="48" t="str">
        <x:v>artifacts/attempt_03/validator_raw_01.txt</x:v>
      </x:c>
      <x:c r="F24" s="47" t="str">
        <x:v>4bc874e9a2e08fad0d4edbb573e8e2812f2eedcf58bc3e3ef51a77423bc7b117</x:v>
      </x:c>
      <x:c r="G24" s="59" t="n">
        <x:v>516</x:v>
      </x:c>
    </x:row>
    <x:row r="25">
      <x:c r="A25" s="47" t="str">
        <x:v>RUN-TRF-023-20260827T222835448584Z</x:v>
      </x:c>
      <x:c r="B25" s="47" t="str">
        <x:v>TRF-023</x:v>
      </x:c>
      <x:c r="C25" s="59" t="n">
        <x:v>4</x:v>
      </x:c>
      <x:c r="D25" s="47" t="str">
        <x:v>generator_prompt</x:v>
      </x:c>
      <x:c r="E25" s="48" t="str">
        <x:v>artifacts/attempt_04/generator_prompt.txt</x:v>
      </x:c>
      <x:c r="F25" s="47" t="str">
        <x:v>94cea79a1eaeb61ed813e656f1fa0f1bf79a65601c72a047b9c14bf733cc22ff</x:v>
      </x:c>
      <x:c r="G25" s="59" t="n">
        <x:v>44732</x:v>
      </x:c>
    </x:row>
    <x:row r="26">
      <x:c r="A26" s="47" t="str">
        <x:v>RUN-TRF-023-20260827T222835448584Z</x:v>
      </x:c>
      <x:c r="B26" s="47" t="str">
        <x:v>TRF-023</x:v>
      </x:c>
      <x:c r="C26" s="59" t="n">
        <x:v>4</x:v>
      </x:c>
      <x:c r="D26" s="47" t="str">
        <x:v>generator_raw_response</x:v>
      </x:c>
      <x:c r="E26" s="48" t="str">
        <x:v>artifacts/attempt_04/generator_raw.txt</x:v>
      </x:c>
      <x:c r="F26" s="47" t="str">
        <x:v>463aded7927f4f56c21f5fc2f80345e3ef2091b88b5adbfedccc93f0dcafc294</x:v>
      </x:c>
      <x:c r="G26" s="59" t="n">
        <x:v>3809</x:v>
      </x:c>
    </x:row>
    <x:row r="27">
      <x:c r="A27" s="47" t="str">
        <x:v>RUN-TRF-023-20260827T222835448584Z</x:v>
      </x:c>
      <x:c r="B27" s="47" t="str">
        <x:v>TRF-023</x:v>
      </x:c>
      <x:c r="C27" s="59" t="n">
        <x:v>4</x:v>
      </x:c>
      <x:c r="D27" s="47" t="str">
        <x:v>candidate_shape</x:v>
      </x:c>
      <x:c r="E27" s="48" t="str">
        <x:v>artifacts/attempt_04/candidate_shape.ttl</x:v>
      </x:c>
      <x:c r="F27" s="47" t="str">
        <x:v>57cf20bea555c692ff126af02b86bca72a6328110e935d3f5af9bcdf59091489</x:v>
      </x:c>
      <x:c r="G27" s="59" t="n">
        <x:v>3784</x:v>
      </x:c>
    </x:row>
    <x:row r="28">
      <x:c r="A28" s="47" t="str">
        <x:v>RUN-TRF-023-20260827T222835448584Z</x:v>
      </x:c>
      <x:c r="B28" s="47" t="str">
        <x:v>TRF-023</x:v>
      </x:c>
      <x:c r="C28" s="59" t="n">
        <x:v>4</x:v>
      </x:c>
      <x:c r="D28" s="47" t="str">
        <x:v>deterministic_validation</x:v>
      </x:c>
      <x:c r="E28" s="48" t="str">
        <x:v>artifacts/attempt_04/deterministic_validation.json</x:v>
      </x:c>
      <x:c r="F28" s="47" t="str">
        <x:v>1544b3e0a77f89d3ad4f43d5ffa868f11af9ccc68ac2d84366c17b8f5854fa6c</x:v>
      </x:c>
      <x:c r="G28" s="59" t="n">
        <x:v>822</x:v>
      </x:c>
    </x:row>
    <x:row r="29">
      <x:c r="A29" s="47" t="str">
        <x:v>RUN-TRF-023-20260827T222835448584Z</x:v>
      </x:c>
      <x:c r="B29" s="47" t="str">
        <x:v>TRF-023</x:v>
      </x:c>
      <x:c r="C29" s="59" t="n">
        <x:v>4</x:v>
      </x:c>
      <x:c r="D29" s="47" t="str">
        <x:v>validator_prompt</x:v>
      </x:c>
      <x:c r="E29" s="48" t="str">
        <x:v>artifacts/attempt_04/validator_prompt_01.txt</x:v>
      </x:c>
      <x:c r="F29" s="47" t="str">
        <x:v>832e5440bfa4e63aa3ada02897cd7ded9d26f5e3b56d58ebd56f5cf99b4a6e15</x:v>
      </x:c>
      <x:c r="G29" s="59" t="n">
        <x:v>43439</x:v>
      </x:c>
    </x:row>
    <x:row r="30">
      <x:c r="A30" s="49" t="str">
        <x:v>RUN-TRF-023-20260827T222835448584Z</x:v>
      </x:c>
      <x:c r="B30" s="49" t="str">
        <x:v>TRF-023</x:v>
      </x:c>
      <x:c r="C30" s="60" t="n">
        <x:v>4</x:v>
      </x:c>
      <x:c r="D30" s="49" t="str">
        <x:v>validator_raw_response</x:v>
      </x:c>
      <x:c r="E30" s="50" t="str">
        <x:v>artifacts/attempt_04/validator_raw_01.txt</x:v>
      </x:c>
      <x:c r="F30" s="49" t="str">
        <x:v>fe047248fb54652ce344a5958c786f73fca4570656583e6328b511220bd6a53c</x:v>
      </x:c>
      <x:c r="G30" s="60" t="n">
        <x:v>700</x:v>
      </x:c>
    </x:row>
  </x:sheetData>
  <x:pageMargins left="0.7" right="0.7" top="0.75" bottom="0.75" header="0.3" footer="0.3"/>
  <x:tableParts count="1">
    <x:tablePart xmlns:r="http://schemas.openxmlformats.org/officeDocument/2006/relationships" r:id="R952aed79c27d470c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4" hidden="0" customWidth="1"/>
    <x:col min="5" max="5" width="52" hidden="0" customWidth="1"/>
    <x:col min="6" max="6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RUN-TRF-023-20260827T222835448584Z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69" t="str">
        <x:v>RUN-TRF-023-20260827T222835448584Z</x:v>
      </x:c>
      <x:c r="B5" s="69" t="str">
        <x:v>TRF-023</x:v>
      </x:c>
      <x:c r="C5" s="71" t="n">
        <x:v>4</x:v>
      </x:c>
      <x:c r="D5" s="69" t="str">
        <x:v>MAX_ATTEMPTS_REACHED</x:v>
      </x:c>
      <x:c r="E5" s="73" t="str">
        <x:v>Preserve the prior instructions: retain only the IB/IC plus 1985 applicability condition, the supplied ship-owned quantity paths, and kW units. Repair the SPARQL comparison direction: a SHACL SPARQL SELECT reports a violation when it returns a row, but the current query selects when maximumContinuousRatingPower &gt;= requiredPowerUnder1985Rules, so compliant data fails. Select only the violation case, using FILTER (?mcrValue &lt; ?requiredValue) (or an equivalent inclusive-failure test), while retaining the first branch's required quantities and units and the non-applicability branch for ships not having the IB/IC-plus-1985 condition.</x:v>
      </x:c>
      <x:c r="F5" s="69" t="str">
        <x:v>OPEN</x:v>
      </x:c>
    </x:row>
  </x:sheetData>
  <x:conditionalFormatting sqref="F5:F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22759d66f4242ae"/>
  </x:tableParts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RUN-TRF-023-20260827T222835448584Z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106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