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featurePropertyBag/featurePropertyBag.xml" ContentType="application/vnd.ms-excel.featurepropertybag+xml"/>
  <Override PartName="/xl/sharedStrings.xml" ContentType="application/vnd.openxmlformats-officedocument.spreadsheetml.sharedStrings+xml"/>
  <Override PartName="/xl/worksheets/sheet1.xml" ContentType="application/vnd.openxmlformats-officedocument.spreadsheetml.worksheet+xml"/>
  <Override PartName="/xl/worksheets/sheet2.xml" ContentType="application/vnd.openxmlformats-officedocument.spreadsheetml.worksheet+xml"/>
  <Override PartName="/xl/tables/table1.xml" ContentType="application/vnd.openxmlformats-officedocument.spreadsheetml.table+xml"/>
  <Override PartName="/xl/worksheets/sheet3.xml" ContentType="application/vnd.openxmlformats-officedocument.spreadsheetml.worksheet+xml"/>
  <Override PartName="/xl/tables/table2.xml" ContentType="application/vnd.openxmlformats-officedocument.spreadsheetml.table+xml"/>
  <Override PartName="/xl/worksheets/sheet4.xml" ContentType="application/vnd.openxmlformats-officedocument.spreadsheetml.worksheet+xml"/>
  <Override PartName="/xl/tables/table3.xml" ContentType="application/vnd.openxmlformats-officedocument.spreadsheetml.table+xml"/>
  <Override PartName="/xl/worksheets/sheet5.xml" ContentType="application/vnd.openxmlformats-officedocument.spreadsheetml.worksheet+xml"/>
  <Override PartName="/xl/tables/table4.xml" ContentType="application/vnd.openxmlformats-officedocument.spreadsheetml.table+xml"/>
  <Override PartName="/xl/worksheets/sheet6.xml" ContentType="application/vnd.openxmlformats-officedocument.spreadsheetml.worksheet+xml"/>
  <Override PartName="/xl/tables/table5.xml" ContentType="application/vnd.openxmlformats-officedocument.spreadsheetml.table+xml"/>
  <Override PartName="/xl/worksheets/sheet7.xml" ContentType="application/vnd.openxmlformats-officedocument.spreadsheetml.worksheet+xml"/>
  <Override PartName="/xl/tables/table6.xml" ContentType="application/vnd.openxmlformats-officedocument.spreadsheetml.table+xml"/>
  <Override PartName="/xl/worksheets/sheet8.xml" ContentType="application/vnd.openxmlformats-officedocument.spreadsheetml.worksheet+xml"/>
  <Override PartName="/xl/tables/table7.xml" ContentType="application/vnd.openxmlformats-officedocument.spreadsheetml.table+xml"/>
  <Override PartName="/xl/worksheets/sheet9.xml" ContentType="application/vnd.openxmlformats-officedocument.spreadsheetml.worksheet+xml"/>
  <Override PartName="/xl/tables/table8.xml" ContentType="application/vnd.openxmlformats-officedocument.spreadsheetml.table+xml"/>
  <Override PartName="/xl/worksheets/sheet10.xml" ContentType="application/vnd.openxmlformats-officedocument.spreadsheetml.worksheet+xml"/>
  <Override PartName="/xl/worksheets/sheet11.xml" ContentType="application/vnd.openxmlformats-officedocument.spreadsheetml.worksheet+xml"/>
  <Override PartName="/xl/tables/table9.xml" ContentType="application/vnd.openxmlformats-officedocument.spreadsheetml.table+xml"/>
  <Override PartName="/xl/worksheets/sheet12.xml" ContentType="application/vnd.openxmlformats-officedocument.spreadsheetml.worksheet+xml"/>
  <Override PartName="/xl/tables/table10.xml" ContentType="application/vnd.openxmlformats-officedocument.spreadsheetml.table+xml"/>
  <Override PartName="/xl/worksheets/sheet13.xml" ContentType="application/vnd.openxmlformats-officedocument.spreadsheetml.worksheet+xml"/>
</Types>
</file>

<file path=_rels/.rels>&#65279;<?xml version="1.0" encoding="utf-8"?><Relationships xmlns="http://schemas.openxmlformats.org/package/2006/relationships"><Relationship Type="http://schemas.openxmlformats.org/officeDocument/2006/relationships/officeDocument" Target="/xl/workbook.xml" Id="Raebd6025f59c4766" /></Relationships>
</file>

<file path=xl/workbook.xml><?xml version="1.0" encoding="utf-8"?>
<x:workbook xmlns:x="http://schemas.openxmlformats.org/spreadsheetml/2006/main">
  <x:sheets>
    <x:sheet xmlns:r="http://schemas.openxmlformats.org/officeDocument/2006/relationships" name="SUMMARY" sheetId="1" r:id="Rd45dc200097e4a83"/>
    <x:sheet xmlns:r="http://schemas.openxmlformats.org/officeDocument/2006/relationships" name="README" sheetId="2" r:id="R17a3658b9d4140c7"/>
    <x:sheet xmlns:r="http://schemas.openxmlformats.org/officeDocument/2006/relationships" name="REGULATION_QUEUE" sheetId="3" r:id="R9ef232c9015046c8"/>
    <x:sheet xmlns:r="http://schemas.openxmlformats.org/officeDocument/2006/relationships" name="RUNS" sheetId="4" r:id="R0b8e20a4beec45af"/>
    <x:sheet xmlns:r="http://schemas.openxmlformats.org/officeDocument/2006/relationships" name="ITERATIONS" sheetId="5" r:id="R52a3f07f7d4846a0"/>
    <x:sheet xmlns:r="http://schemas.openxmlformats.org/officeDocument/2006/relationships" name="API_CALLS" sheetId="6" r:id="Ra94a35d6a0c14de3"/>
    <x:sheet xmlns:r="http://schemas.openxmlformats.org/officeDocument/2006/relationships" name="TERM_RETRIEVAL" sheetId="7" r:id="R0a3116fdb82545fa"/>
    <x:sheet xmlns:r="http://schemas.openxmlformats.org/officeDocument/2006/relationships" name="FEW_SHOT_SELECTION" sheetId="8" r:id="R14c8899612424cf8"/>
    <x:sheet xmlns:r="http://schemas.openxmlformats.org/officeDocument/2006/relationships" name="VALIDATION" sheetId="9" r:id="Rb99878651eda4837"/>
    <x:sheet xmlns:r="http://schemas.openxmlformats.org/officeDocument/2006/relationships" name="VOCAB_MATCHES" sheetId="10" r:id="Rbe9043f2c64b4c1f"/>
    <x:sheet xmlns:r="http://schemas.openxmlformats.org/officeDocument/2006/relationships" name="ARTIFACTS" sheetId="11" r:id="R75c6d87bd1514b07"/>
    <x:sheet xmlns:r="http://schemas.openxmlformats.org/officeDocument/2006/relationships" name="UNRESOLVED" sheetId="12" r:id="Rc5396cceb3824497"/>
    <x:sheet xmlns:r="http://schemas.openxmlformats.org/officeDocument/2006/relationships" name="RDF_TEST_QUEUE" sheetId="13" r:id="R2f5d2f77f31645ca"/>
  </x:sheets>
</x:workbook>
</file>

<file path=xl/sharedStrings.xml><?xml version="1.0" encoding="utf-8"?>
<x:sst xmlns:x="http://schemas.openxmlformats.org/spreadsheetml/2006/main"/>
</file>

<file path=xl/styles.xml><?xml version="1.0" encoding="utf-8"?>
<x:styleSheet xmlns:x="http://schemas.openxmlformats.org/spreadsheetml/2006/main">
  <x:numFmts count="4">
    <x:numFmt numFmtId="200" formatCode="#,##0"/>
    <x:numFmt numFmtId="201" formatCode="#,##0.000"/>
    <x:numFmt numFmtId="202" formatCode="yyyy-mm-dd hh:mm:ss.000"/>
    <x:numFmt numFmtId="203" formatCode="0.000"/>
  </x:numFmts>
  <x:fonts count="10">
    <x:font>
      <x:sz val="11"/>
      <x:name val="Carlito"/>
    </x:font>
    <x:font>
      <x:b/>
      <x:sz val="16"/>
      <x:color rgb="FFFFFFFF"/>
      <x:name val="Carlito"/>
    </x:font>
    <x:font>
      <x:i/>
      <x:sz val="11"/>
      <x:color rgb="FF5B6573"/>
      <x:name val="Carlito"/>
    </x:font>
    <x:font>
      <x:b/>
      <x:sz val="11"/>
      <x:color rgb="FFFFFFFF"/>
      <x:name val="Carlito"/>
    </x:font>
    <x:font>
      <x:b/>
      <x:sz val="11"/>
      <x:color rgb="FF17324D"/>
      <x:name val="Carlito"/>
    </x:font>
    <x:font>
      <x:b/>
      <x:sz val="16"/>
      <x:color rgb="FFFFFFFF"/>
      <x:name val="Aptos"/>
    </x:font>
    <x:font>
      <x:sz val="11"/>
      <x:name val="Aptos"/>
    </x:font>
    <x:font>
      <x:i/>
      <x:sz val="11"/>
      <x:color rgb="FF5B6573"/>
      <x:name val="Aptos"/>
    </x:font>
    <x:font>
      <x:b/>
      <x:sz val="11"/>
      <x:color rgb="FFFFFFFF"/>
      <x:name val="Aptos"/>
    </x:font>
    <x:font>
      <x:b/>
      <x:sz val="11"/>
      <x:color rgb="FF17324D"/>
      <x:name val="Aptos"/>
    </x:font>
  </x:fonts>
  <x:fills count="5">
    <x:fill>
      <x:patternFill patternType="none"/>
    </x:fill>
    <x:fill>
      <x:patternFill patternType="gray125"/>
    </x:fill>
    <x:fill>
      <x:patternFill patternType="solid">
        <x:fgColor rgb="FF17324D"/>
      </x:patternFill>
    </x:fill>
    <x:fill>
      <x:patternFill patternType="solid">
        <x:fgColor rgb="FFE8F1F5"/>
      </x:patternFill>
    </x:fill>
    <x:fill>
      <x:patternFill patternType="solid">
        <x:fgColor rgb="FF0F766E"/>
      </x:patternFill>
    </x:fill>
  </x:fills>
  <x:borders count="6">
    <x:border/>
    <x:border>
      <x:bottom style="thin">
        <x:color rgb="FFCBD5E1"/>
      </x:bottom>
    </x:border>
    <x:border>
      <x:top style="thin">
        <x:color rgb="FFCBD5E1"/>
      </x:top>
      <x:bottom style="thin">
        <x:color rgb="FFCBD5E1"/>
      </x:bottom>
    </x:border>
    <x:border>
      <x:top style="thin">
        <x:color rgb="FFCBD5E1"/>
      </x:top>
    </x:border>
    <x:border>
      <x:left style="thin">
        <x:color rgb="FFCBD5E1"/>
      </x:left>
      <x:top style="thin">
        <x:color rgb="FFCBD5E1"/>
      </x:top>
      <x:bottom style="thin">
        <x:color rgb="FFCBD5E1"/>
      </x:bottom>
    </x:border>
    <x:border>
      <x:right style="thin">
        <x:color rgb="FFCBD5E1"/>
      </x:right>
      <x:top style="thin">
        <x:color rgb="FFCBD5E1"/>
      </x:top>
      <x:bottom style="thin">
        <x:color rgb="FFCBD5E1"/>
      </x:bottom>
    </x:border>
  </x:borders>
  <x:cellStyleXfs count="1">
    <x:xf numFmtId="0" fontId="0" fillId="0" borderId="0"/>
  </x:cellStyleXfs>
  <x:cellXfs count="107">
    <x:xf numFmtId="0" fontId="0" fillId="0" borderId="0" xfId="0"/>
    <x:xf numFmtId="0" fontId="0" fillId="2" borderId="0" xfId="0" applyNumberFormat="1" applyFont="1" applyFill="1" applyBorder="1"/>
    <x:xf numFmtId="0" fontId="1" fillId="2" borderId="0" xfId="0" applyNumberFormat="1" applyFont="1" applyFill="1" applyBorder="1"/>
    <x:xf numFmtId="0" fontId="0" fillId="3" borderId="0" xfId="0" applyNumberFormat="1" applyFont="1" applyFill="1" applyBorder="1"/>
    <x:xf numFmtId="0" fontId="2" fillId="3" borderId="0" xfId="0" applyNumberFormat="1" applyFont="1" applyFill="1" applyBorder="1"/>
    <x:xf numFmtId="0" fontId="0" fillId="4" borderId="0" xfId="0" applyNumberFormat="1" applyFont="1" applyFill="1" applyBorder="1"/>
    <x:xf numFmtId="0" fontId="3" fillId="4" borderId="0" xfId="0" applyNumberFormat="1" applyFont="1" applyFill="1" applyBorder="1"/>
    <x:xf numFmtId="0" fontId="0" fillId="0" borderId="1" xfId="0" applyNumberFormat="1" applyFont="1" applyFill="1" applyBorder="1"/>
    <x:xf numFmtId="0" fontId="0" fillId="0" borderId="2" xfId="0" applyNumberFormat="1" applyFont="1" applyFill="1" applyBorder="1"/>
    <x:xf numFmtId="0" fontId="0" fillId="0" borderId="3" xfId="0" applyNumberFormat="1" applyFont="1" applyFill="1" applyBorder="1"/>
    <x:xf numFmtId="0" fontId="4" fillId="0" borderId="1" xfId="0" applyNumberFormat="1" applyFont="1" applyFill="1" applyBorder="1"/>
    <x:xf numFmtId="0" fontId="4" fillId="0" borderId="2" xfId="0" applyNumberFormat="1" applyFont="1" applyFill="1" applyBorder="1"/>
    <x:xf numFmtId="0" fontId="4" fillId="0" borderId="3" xfId="0" applyNumberFormat="1" applyFont="1" applyFill="1" applyBorder="1"/>
    <x:xf numFmtId="200" fontId="0" fillId="0" borderId="1" xfId="0" applyNumberFormat="1" applyFont="1" applyFill="1" applyBorder="1"/>
    <x:xf numFmtId="200" fontId="0" fillId="0" borderId="2" xfId="0" applyNumberFormat="1" applyFont="1" applyFill="1" applyBorder="1"/>
    <x:xf numFmtId="201" fontId="0" fillId="0" borderId="3" xfId="0" applyNumberFormat="1" applyFont="1" applyFill="1" applyBorder="1"/>
    <x:xf numFmtId="0" fontId="4" fillId="3" borderId="0" xfId="0" applyNumberFormat="1" applyFont="1" applyFill="1" applyBorder="1"/>
    <x:xf numFmtId="0" fontId="0" fillId="0" borderId="0" xfId="0" applyNumberFormat="1" applyFont="1" applyFill="1" applyBorder="1" applyAlignment="1">
      <x:alignment wrapText="1"/>
    </x:xf>
    <x:xf numFmtId="0" fontId="5" fillId="2" borderId="0" xfId="0" applyNumberFormat="1" applyFont="1" applyFill="1" applyBorder="1"/>
    <x:xf numFmtId="0" fontId="6" fillId="2" borderId="0" xfId="0" applyNumberFormat="1" applyFont="1" applyFill="1" applyBorder="1"/>
    <x:xf numFmtId="0" fontId="7" fillId="3" borderId="0" xfId="0" applyNumberFormat="1" applyFont="1" applyFill="1" applyBorder="1"/>
    <x:xf numFmtId="0" fontId="6" fillId="0" borderId="0" xfId="0" applyNumberFormat="1" applyFont="1" applyFill="1" applyBorder="1"/>
    <x:xf numFmtId="0" fontId="8" fillId="4" borderId="0" xfId="0" applyNumberFormat="1" applyFont="1" applyFill="1" applyBorder="1"/>
    <x:xf numFmtId="0" fontId="9" fillId="0" borderId="1" xfId="0" applyNumberFormat="1" applyFont="1" applyFill="1" applyBorder="1"/>
    <x:xf numFmtId="200" fontId="6" fillId="0" borderId="1" xfId="0" applyNumberFormat="1" applyFont="1" applyFill="1" applyBorder="1"/>
    <x:xf numFmtId="0" fontId="9" fillId="0" borderId="2" xfId="0" applyNumberFormat="1" applyFont="1" applyFill="1" applyBorder="1"/>
    <x:xf numFmtId="200" fontId="6" fillId="0" borderId="2" xfId="0" applyNumberFormat="1" applyFont="1" applyFill="1" applyBorder="1"/>
    <x:xf numFmtId="0" fontId="9" fillId="0" borderId="3" xfId="0" applyNumberFormat="1" applyFont="1" applyFill="1" applyBorder="1"/>
    <x:xf numFmtId="201" fontId="6" fillId="0" borderId="3" xfId="0" applyNumberFormat="1" applyFont="1" applyFill="1" applyBorder="1"/>
    <x:xf numFmtId="0" fontId="9" fillId="3" borderId="0" xfId="0" applyNumberFormat="1" applyFont="1" applyFill="1" applyBorder="1"/>
    <x:xf numFmtId="0" fontId="6" fillId="0" borderId="0" xfId="0" applyNumberFormat="1" applyFont="1" applyFill="1" applyBorder="1" applyAlignment="1">
      <x:alignment wrapText="1"/>
    </x:xf>
    <x:xf numFmtId="0" fontId="3" fillId="4" borderId="4" xfId="0" applyNumberFormat="1" applyFont="1" applyFill="1" applyBorder="1"/>
    <x:xf numFmtId="0" fontId="3" fillId="4" borderId="5" xfId="0" applyNumberFormat="1" applyFont="1" applyFill="1" applyBorder="1"/>
    <x:xf numFmtId="0" fontId="3" fillId="4" borderId="4" xfId="0" applyNumberFormat="1" applyFont="1" applyFill="1" applyBorder="1" applyAlignment="1">
      <x:alignment wrapText="1"/>
    </x:xf>
    <x:xf numFmtId="0" fontId="3" fillId="4" borderId="5" xfId="0" applyNumberFormat="1" applyFont="1" applyFill="1" applyBorder="1" applyAlignment="1">
      <x:alignment wrapText="1"/>
    </x:xf>
    <x:xf numFmtId="0" fontId="3" fillId="4" borderId="4" xfId="0" applyNumberFormat="1" applyFont="1" applyFill="1" applyBorder="1" applyAlignment="1">
      <x:alignment vertical="center" wrapText="1"/>
    </x:xf>
    <x:xf numFmtId="0" fontId="3" fillId="4" borderId="5" xfId="0" applyNumberFormat="1" applyFont="1" applyFill="1" applyBorder="1" applyAlignment="1">
      <x:alignment vertical="center" wrapText="1"/>
    </x:xf>
    <x:xf numFmtId="0" fontId="0" fillId="0" borderId="1" xfId="0" applyNumberFormat="1" applyFont="1" applyFill="1" applyBorder="1" applyAlignment="1">
      <x:alignment vertical="top"/>
    </x:xf>
    <x:xf numFmtId="0" fontId="0" fillId="0" borderId="2" xfId="0" applyNumberFormat="1" applyFont="1" applyFill="1" applyBorder="1" applyAlignment="1">
      <x:alignment vertical="top"/>
    </x:xf>
    <x:xf numFmtId="0" fontId="0" fillId="0" borderId="3" xfId="0" applyNumberFormat="1" applyFont="1" applyFill="1" applyBorder="1" applyAlignment="1">
      <x:alignment vertical="top"/>
    </x:xf>
    <x:xf numFmtId="0" fontId="0" fillId="0" borderId="1" xfId="0" applyNumberFormat="1" applyFont="1" applyFill="1" applyBorder="1" applyAlignment="1">
      <x:alignment vertical="top" wrapText="1"/>
    </x:xf>
    <x:xf numFmtId="0" fontId="0" fillId="0" borderId="2" xfId="0" applyNumberFormat="1" applyFont="1" applyFill="1" applyBorder="1" applyAlignment="1">
      <x:alignment vertical="top" wrapText="1"/>
    </x:xf>
    <x:xf numFmtId="0" fontId="0" fillId="0" borderId="3" xfId="0" applyNumberFormat="1" applyFont="1" applyFill="1" applyBorder="1" applyAlignment="1">
      <x:alignment vertical="top" wrapText="1"/>
    </x:xf>
    <x:xf numFmtId="0" fontId="8" fillId="4" borderId="4" xfId="0" applyNumberFormat="1" applyFont="1" applyFill="1" applyBorder="1" applyAlignment="1">
      <x:alignment vertical="center" wrapText="1"/>
    </x:xf>
    <x:xf numFmtId="0" fontId="8" fillId="4" borderId="5" xfId="0" applyNumberFormat="1" applyFont="1" applyFill="1" applyBorder="1" applyAlignment="1">
      <x:alignment vertical="center" wrapText="1"/>
    </x:xf>
    <x:xf numFmtId="0" fontId="6" fillId="0" borderId="1" xfId="0" applyNumberFormat="1" applyFont="1" applyFill="1" applyBorder="1" applyAlignment="1">
      <x:alignment vertical="top"/>
    </x:xf>
    <x:xf numFmtId="0" fontId="6" fillId="0" borderId="1" xfId="0" applyNumberFormat="1" applyFont="1" applyFill="1" applyBorder="1" applyAlignment="1">
      <x:alignment vertical="top" wrapText="1"/>
    </x:xf>
    <x:xf numFmtId="0" fontId="6" fillId="0" borderId="2" xfId="0" applyNumberFormat="1" applyFont="1" applyFill="1" applyBorder="1" applyAlignment="1">
      <x:alignment vertical="top"/>
    </x:xf>
    <x:xf numFmtId="0" fontId="6" fillId="0" borderId="2" xfId="0" applyNumberFormat="1" applyFont="1" applyFill="1" applyBorder="1" applyAlignment="1">
      <x:alignment vertical="top" wrapText="1"/>
    </x:xf>
    <x:xf numFmtId="0" fontId="6" fillId="0" borderId="3" xfId="0" applyNumberFormat="1" applyFont="1" applyFill="1" applyBorder="1" applyAlignment="1">
      <x:alignment vertical="top"/>
    </x:xf>
    <x:xf numFmtId="0" fontId="6" fillId="0" borderId="3" xfId="0" applyNumberFormat="1" applyFont="1" applyFill="1" applyBorder="1" applyAlignment="1">
      <x:alignment vertical="top" wrapText="1"/>
    </x:xf>
    <x:xf numFmtId="0" fontId="3" fillId="4" borderId="2" xfId="0" applyNumberFormat="1" applyFont="1" applyFill="1" applyBorder="1"/>
    <x:xf numFmtId="0" fontId="3" fillId="4" borderId="2" xfId="0" applyNumberFormat="1" applyFont="1" applyFill="1" applyBorder="1" applyAlignment="1">
      <x:alignment wrapText="1"/>
    </x:xf>
    <x:xf numFmtId="0" fontId="3" fillId="4" borderId="2" xfId="0" applyNumberFormat="1" applyFont="1" applyFill="1" applyBorder="1" applyAlignment="1">
      <x:alignment vertical="center" wrapText="1"/>
    </x:xf>
    <x:xf numFmtId="200" fontId="0" fillId="0" borderId="1" xfId="0" applyNumberFormat="1" applyFont="1" applyFill="1" applyBorder="1" applyAlignment="1">
      <x:alignment vertical="top"/>
    </x:xf>
    <x:xf numFmtId="200" fontId="0" fillId="0" borderId="2" xfId="0" applyNumberFormat="1" applyFont="1" applyFill="1" applyBorder="1" applyAlignment="1">
      <x:alignment vertical="top"/>
    </x:xf>
    <x:xf numFmtId="200" fontId="0" fillId="0" borderId="3" xfId="0" applyNumberFormat="1" applyFont="1" applyFill="1" applyBorder="1" applyAlignment="1">
      <x:alignment vertical="top"/>
    </x:xf>
    <x:xf numFmtId="0" fontId="8" fillId="4" borderId="2" xfId="0" applyNumberFormat="1" applyFont="1" applyFill="1" applyBorder="1" applyAlignment="1">
      <x:alignment vertical="center" wrapText="1"/>
    </x:xf>
    <x:xf numFmtId="200" fontId="6" fillId="0" borderId="1" xfId="0" applyNumberFormat="1" applyFont="1" applyFill="1" applyBorder="1" applyAlignment="1">
      <x:alignment vertical="top"/>
    </x:xf>
    <x:xf numFmtId="200" fontId="6" fillId="0" borderId="2" xfId="0" applyNumberFormat="1" applyFont="1" applyFill="1" applyBorder="1" applyAlignment="1">
      <x:alignment vertical="top"/>
    </x:xf>
    <x:xf numFmtId="200" fontId="6" fillId="0" borderId="3" xfId="0" applyNumberFormat="1" applyFont="1" applyFill="1" applyBorder="1" applyAlignment="1">
      <x:alignment vertical="top"/>
    </x:xf>
    <x:xf numFmtId="0" fontId="0" fillId="0" borderId="0" xfId="0">
      <x:extLst>
        <x:ext uri="{C7286773-470A-42A8-94C5-96B5CB345126}">
          <xfpb:xfComplement xmlns:xfpb="http://schemas.microsoft.com/office/spreadsheetml/2022/featurepropertybag" i="0"/>
        </x:ext>
      </x:extLst>
    </x:xf>
    <x:xf numFmtId="0" fontId="0" fillId="0" borderId="0" xfId="0" applyNumberFormat="1" applyFont="1" applyFill="1" applyBorder="1"/>
    <x:xf numFmtId="0" fontId="0" fillId="0" borderId="0" xfId="0" applyNumberFormat="1" applyFont="1" applyFill="1" applyBorder="1">
      <x:extLst>
        <x:ext uri="{C7286773-470A-42A8-94C5-96B5CB345126}">
          <xfpb:xfComplement xmlns:xfpb="http://schemas.microsoft.com/office/spreadsheetml/2022/featurepropertybag" i="0"/>
        </x:ext>
      </x:extLst>
    </x:xf>
    <x:xf numFmtId="0" fontId="0" fillId="0" borderId="0" xfId="0" applyNumberFormat="1" applyFont="1" applyFill="1" applyBorder="1" applyAlignment="1">
      <x:alignment vertical="top"/>
    </x:xf>
    <x:xf numFmtId="0" fontId="0" fillId="0" borderId="0" xfId="0" applyNumberFormat="1" applyFont="1" applyFill="1" applyBorder="1" applyAlignment="1">
      <x:alignment vertical="top"/>
      <x:extLst>
        <x:ext uri="{C7286773-470A-42A8-94C5-96B5CB345126}">
          <xfpb:xfComplement xmlns:xfpb="http://schemas.microsoft.com/office/spreadsheetml/2022/featurepropertybag" i="0"/>
        </x:ext>
      </x:extLst>
    </x:xf>
    <x:xf numFmtId="202" fontId="0" fillId="0" borderId="0" xfId="0" applyNumberFormat="1" applyFont="1" applyFill="1" applyBorder="1" applyAlignment="1">
      <x:alignment vertical="top"/>
    </x:xf>
    <x:xf numFmtId="200" fontId="0" fillId="0" borderId="0" xfId="0" applyNumberFormat="1" applyFont="1" applyFill="1" applyBorder="1" applyAlignment="1">
      <x:alignment vertical="top"/>
    </x:xf>
    <x:xf numFmtId="0" fontId="0" fillId="0" borderId="0" xfId="0" applyNumberFormat="1" applyFont="1" applyFill="1" applyBorder="1" applyAlignment="1">
      <x:alignment vertical="top" wrapText="1"/>
    </x:xf>
    <x:xf numFmtId="0" fontId="6" fillId="0" borderId="0" xfId="0" applyNumberFormat="1" applyFont="1" applyFill="1" applyBorder="1" applyAlignment="1">
      <x:alignment vertical="top"/>
    </x:xf>
    <x:xf numFmtId="202" fontId="6" fillId="0" borderId="0" xfId="0" applyNumberFormat="1" applyFont="1" applyFill="1" applyBorder="1" applyAlignment="1">
      <x:alignment vertical="top"/>
    </x:xf>
    <x:xf numFmtId="200" fontId="6" fillId="0" borderId="0" xfId="0" applyNumberFormat="1" applyFont="1" applyFill="1" applyBorder="1" applyAlignment="1">
      <x:alignment vertical="top"/>
    </x:xf>
    <x:xf numFmtId="0" fontId="6" fillId="0" borderId="0" xfId="0" applyNumberFormat="1" applyFont="1" applyFill="1" applyBorder="1" applyAlignment="1">
      <x:alignment vertical="top"/>
      <x:extLst>
        <x:ext uri="{C7286773-470A-42A8-94C5-96B5CB345126}">
          <xfpb:xfComplement xmlns:xfpb="http://schemas.microsoft.com/office/spreadsheetml/2022/featurepropertybag" i="0"/>
        </x:ext>
      </x:extLst>
    </x:xf>
    <x:xf numFmtId="0" fontId="6" fillId="0" borderId="0" xfId="0" applyNumberFormat="1" applyFont="1" applyFill="1" applyBorder="1" applyAlignment="1">
      <x:alignment vertical="top" wrapText="1"/>
    </x:xf>
    <x:xf numFmtId="0" fontId="0" fillId="0" borderId="1" xfId="0" applyNumberFormat="1" applyFont="1" applyFill="1" applyBorder="1">
      <x:extLst>
        <x:ext uri="{C7286773-470A-42A8-94C5-96B5CB345126}">
          <xfpb:xfComplement xmlns:xfpb="http://schemas.microsoft.com/office/spreadsheetml/2022/featurepropertybag" i="0"/>
        </x:ext>
      </x:extLst>
    </x:xf>
    <x:xf numFmtId="0" fontId="0" fillId="0" borderId="2" xfId="0" applyNumberFormat="1" applyFont="1" applyFill="1" applyBorder="1">
      <x:extLst>
        <x:ext uri="{C7286773-470A-42A8-94C5-96B5CB345126}">
          <xfpb:xfComplement xmlns:xfpb="http://schemas.microsoft.com/office/spreadsheetml/2022/featurepropertybag" i="0"/>
        </x:ext>
      </x:extLst>
    </x:xf>
    <x:xf numFmtId="0" fontId="0" fillId="0" borderId="3" xfId="0" applyNumberFormat="1" applyFont="1" applyFill="1" applyBorder="1">
      <x:extLst>
        <x:ext uri="{C7286773-470A-42A8-94C5-96B5CB345126}">
          <xfpb:xfComplement xmlns:xfpb="http://schemas.microsoft.com/office/spreadsheetml/2022/featurepropertybag" i="0"/>
        </x:ext>
      </x:extLst>
    </x:xf>
    <x:xf numFmtId="0" fontId="0" fillId="0" borderId="1" xfId="0" applyNumberFormat="1" applyFont="1" applyFill="1" applyBorder="1" applyAlignment="1">
      <x:alignment vertical="top"/>
      <x:extLst>
        <x:ext uri="{C7286773-470A-42A8-94C5-96B5CB345126}">
          <xfpb:xfComplement xmlns:xfpb="http://schemas.microsoft.com/office/spreadsheetml/2022/featurepropertybag" i="0"/>
        </x:ext>
      </x:extLst>
    </x:xf>
    <x:xf numFmtId="0" fontId="0" fillId="0" borderId="2" xfId="0" applyNumberFormat="1" applyFont="1" applyFill="1" applyBorder="1" applyAlignment="1">
      <x:alignment vertical="top"/>
      <x:extLst>
        <x:ext uri="{C7286773-470A-42A8-94C5-96B5CB345126}">
          <xfpb:xfComplement xmlns:xfpb="http://schemas.microsoft.com/office/spreadsheetml/2022/featurepropertybag" i="0"/>
        </x:ext>
      </x:extLst>
    </x:xf>
    <x:xf numFmtId="0" fontId="0" fillId="0" borderId="3" xfId="0" applyNumberFormat="1" applyFont="1" applyFill="1" applyBorder="1" applyAlignment="1">
      <x:alignment vertical="top"/>
      <x:extLst>
        <x:ext uri="{C7286773-470A-42A8-94C5-96B5CB345126}">
          <xfpb:xfComplement xmlns:xfpb="http://schemas.microsoft.com/office/spreadsheetml/2022/featurepropertybag" i="0"/>
        </x:ext>
      </x:extLst>
    </x:xf>
    <x:xf numFmtId="201" fontId="0" fillId="0" borderId="1" xfId="0" applyNumberFormat="1" applyFont="1" applyFill="1" applyBorder="1" applyAlignment="1">
      <x:alignment vertical="top"/>
    </x:xf>
    <x:xf numFmtId="201" fontId="0" fillId="0" borderId="2" xfId="0" applyNumberFormat="1" applyFont="1" applyFill="1" applyBorder="1" applyAlignment="1">
      <x:alignment vertical="top"/>
    </x:xf>
    <x:xf numFmtId="201" fontId="0" fillId="0" borderId="3" xfId="0" applyNumberFormat="1" applyFont="1" applyFill="1" applyBorder="1" applyAlignment="1">
      <x:alignment vertical="top"/>
    </x:xf>
    <x:xf numFmtId="0" fontId="6" fillId="0" borderId="1" xfId="0" applyNumberFormat="1" applyFont="1" applyFill="1" applyBorder="1" applyAlignment="1">
      <x:alignment vertical="top"/>
      <x:extLst>
        <x:ext uri="{C7286773-470A-42A8-94C5-96B5CB345126}">
          <xfpb:xfComplement xmlns:xfpb="http://schemas.microsoft.com/office/spreadsheetml/2022/featurepropertybag" i="0"/>
        </x:ext>
      </x:extLst>
    </x:xf>
    <x:xf numFmtId="201" fontId="6" fillId="0" borderId="1" xfId="0" applyNumberFormat="1" applyFont="1" applyFill="1" applyBorder="1" applyAlignment="1">
      <x:alignment vertical="top"/>
    </x:xf>
    <x:xf numFmtId="0" fontId="6" fillId="0" borderId="2" xfId="0" applyNumberFormat="1" applyFont="1" applyFill="1" applyBorder="1" applyAlignment="1">
      <x:alignment vertical="top"/>
      <x:extLst>
        <x:ext uri="{C7286773-470A-42A8-94C5-96B5CB345126}">
          <xfpb:xfComplement xmlns:xfpb="http://schemas.microsoft.com/office/spreadsheetml/2022/featurepropertybag" i="0"/>
        </x:ext>
      </x:extLst>
    </x:xf>
    <x:xf numFmtId="201" fontId="6" fillId="0" borderId="2" xfId="0" applyNumberFormat="1" applyFont="1" applyFill="1" applyBorder="1" applyAlignment="1">
      <x:alignment vertical="top"/>
    </x:xf>
    <x:xf numFmtId="0" fontId="6" fillId="0" borderId="3" xfId="0" applyNumberFormat="1" applyFont="1" applyFill="1" applyBorder="1" applyAlignment="1">
      <x:alignment vertical="top"/>
      <x:extLst>
        <x:ext uri="{C7286773-470A-42A8-94C5-96B5CB345126}">
          <xfpb:xfComplement xmlns:xfpb="http://schemas.microsoft.com/office/spreadsheetml/2022/featurepropertybag" i="0"/>
        </x:ext>
      </x:extLst>
    </x:xf>
    <x:xf numFmtId="201" fontId="6" fillId="0" borderId="3" xfId="0" applyNumberFormat="1" applyFont="1" applyFill="1" applyBorder="1" applyAlignment="1">
      <x:alignment vertical="top"/>
    </x:xf>
    <x:xf numFmtId="202" fontId="0" fillId="0" borderId="1" xfId="0" applyNumberFormat="1" applyFont="1" applyFill="1" applyBorder="1" applyAlignment="1">
      <x:alignment vertical="top"/>
    </x:xf>
    <x:xf numFmtId="202" fontId="0" fillId="0" borderId="2" xfId="0" applyNumberFormat="1" applyFont="1" applyFill="1" applyBorder="1" applyAlignment="1">
      <x:alignment vertical="top"/>
    </x:xf>
    <x:xf numFmtId="202" fontId="0" fillId="0" borderId="3" xfId="0" applyNumberFormat="1" applyFont="1" applyFill="1" applyBorder="1" applyAlignment="1">
      <x:alignment vertical="top"/>
    </x:xf>
    <x:xf numFmtId="202" fontId="6" fillId="0" borderId="1" xfId="0" applyNumberFormat="1" applyFont="1" applyFill="1" applyBorder="1" applyAlignment="1">
      <x:alignment vertical="top"/>
    </x:xf>
    <x:xf numFmtId="202" fontId="6" fillId="0" borderId="2" xfId="0" applyNumberFormat="1" applyFont="1" applyFill="1" applyBorder="1" applyAlignment="1">
      <x:alignment vertical="top"/>
    </x:xf>
    <x:xf numFmtId="202" fontId="6" fillId="0" borderId="3" xfId="0" applyNumberFormat="1" applyFont="1" applyFill="1" applyBorder="1" applyAlignment="1">
      <x:alignment vertical="top"/>
    </x:xf>
    <x:xf numFmtId="203" fontId="0" fillId="0" borderId="1" xfId="0" applyNumberFormat="1" applyFont="1" applyFill="1" applyBorder="1" applyAlignment="1">
      <x:alignment vertical="top"/>
    </x:xf>
    <x:xf numFmtId="203" fontId="0" fillId="0" borderId="3" xfId="0" applyNumberFormat="1" applyFont="1" applyFill="1" applyBorder="1" applyAlignment="1">
      <x:alignment vertical="top"/>
    </x:xf>
    <x:xf numFmtId="203" fontId="6" fillId="0" borderId="1" xfId="0" applyNumberFormat="1" applyFont="1" applyFill="1" applyBorder="1" applyAlignment="1">
      <x:alignment vertical="top"/>
    </x:xf>
    <x:xf numFmtId="203" fontId="6" fillId="0" borderId="3" xfId="0" applyNumberFormat="1" applyFont="1" applyFill="1" applyBorder="1" applyAlignment="1">
      <x:alignment vertical="top"/>
    </x:xf>
    <x:xf numFmtId="0" fontId="0" fillId="0" borderId="1" xfId="0" applyNumberFormat="1" applyFont="1" applyFill="1" applyBorder="1" applyAlignment="1">
      <x:alignment vertical="top" wrapText="1"/>
      <x:extLst>
        <x:ext uri="{C7286773-470A-42A8-94C5-96B5CB345126}">
          <xfpb:xfComplement xmlns:xfpb="http://schemas.microsoft.com/office/spreadsheetml/2022/featurepropertybag" i="0"/>
        </x:ext>
      </x:extLst>
    </x:xf>
    <x:xf numFmtId="0" fontId="0" fillId="0" borderId="2" xfId="0" applyNumberFormat="1" applyFont="1" applyFill="1" applyBorder="1" applyAlignment="1">
      <x:alignment vertical="top" wrapText="1"/>
      <x:extLst>
        <x:ext uri="{C7286773-470A-42A8-94C5-96B5CB345126}">
          <xfpb:xfComplement xmlns:xfpb="http://schemas.microsoft.com/office/spreadsheetml/2022/featurepropertybag" i="0"/>
        </x:ext>
      </x:extLst>
    </x:xf>
    <x:xf numFmtId="0" fontId="0" fillId="0" borderId="3" xfId="0" applyNumberFormat="1" applyFont="1" applyFill="1" applyBorder="1" applyAlignment="1">
      <x:alignment vertical="top" wrapText="1"/>
      <x:extLst>
        <x:ext uri="{C7286773-470A-42A8-94C5-96B5CB345126}">
          <xfpb:xfComplement xmlns:xfpb="http://schemas.microsoft.com/office/spreadsheetml/2022/featurepropertybag" i="0"/>
        </x:ext>
      </x:extLst>
    </x:xf>
    <x:xf numFmtId="0" fontId="6" fillId="0" borderId="1" xfId="0" applyNumberFormat="1" applyFont="1" applyFill="1" applyBorder="1" applyAlignment="1">
      <x:alignment vertical="top" wrapText="1"/>
      <x:extLst>
        <x:ext uri="{C7286773-470A-42A8-94C5-96B5CB345126}">
          <xfpb:xfComplement xmlns:xfpb="http://schemas.microsoft.com/office/spreadsheetml/2022/featurepropertybag" i="0"/>
        </x:ext>
      </x:extLst>
    </x:xf>
    <x:xf numFmtId="0" fontId="6" fillId="0" borderId="2" xfId="0" applyNumberFormat="1" applyFont="1" applyFill="1" applyBorder="1" applyAlignment="1">
      <x:alignment vertical="top" wrapText="1"/>
      <x:extLst>
        <x:ext uri="{C7286773-470A-42A8-94C5-96B5CB345126}">
          <xfpb:xfComplement xmlns:xfpb="http://schemas.microsoft.com/office/spreadsheetml/2022/featurepropertybag" i="0"/>
        </x:ext>
      </x:extLst>
    </x:xf>
    <x:xf numFmtId="0" fontId="6" fillId="0" borderId="3" xfId="0" applyNumberFormat="1" applyFont="1" applyFill="1" applyBorder="1" applyAlignment="1">
      <x:alignment vertical="top" wrapText="1"/>
      <x:extLst>
        <x:ext uri="{C7286773-470A-42A8-94C5-96B5CB345126}">
          <xfpb:xfComplement xmlns:xfpb="http://schemas.microsoft.com/office/spreadsheetml/2022/featurepropertybag" i="0"/>
        </x:ext>
      </x:extLst>
    </x:xf>
    <x:xf numFmtId="0" fontId="2" fillId="0" borderId="0" xfId="0" applyNumberFormat="1" applyFont="1" applyFill="1" applyBorder="1"/>
    <x:xf numFmtId="0" fontId="7" fillId="0" borderId="0" xfId="0" applyNumberFormat="1" applyFont="1" applyFill="1" applyBorder="1"/>
  </x:cellXfs>
  <x:cellStyles count="1">
    <x:cellStyle name="Normal" xfId="0"/>
  </x:cellStyles>
  <x:dxfs count="48">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s>
</x:styleSheet>
</file>

<file path=xl/_rels/workbook.xml.rels>&#65279;<?xml version="1.0" encoding="utf-8"?><Relationships xmlns="http://schemas.openxmlformats.org/package/2006/relationships"><Relationship Type="http://schemas.openxmlformats.org/officeDocument/2006/relationships/styles" Target="/xl/styles.xml" Id="Rcb4c755cba7046a1" /><Relationship Type="http://schemas.openxmlformats.org/officeDocument/2006/relationships/theme" Target="/xl/theme/theme1.xml" Id="R909b72cc08964149" /><Relationship Type="http://schemas.microsoft.com/office/2022/11/relationships/FeaturePropertyBag" Target="/xl/featurePropertyBag/featurePropertyBag.xml" Id="R68698a94b2154001" /><Relationship Type="http://schemas.openxmlformats.org/officeDocument/2006/relationships/sharedStrings" Target="/xl/sharedStrings.xml" Id="Rf4c30f6484a34fcd" /><Relationship Type="http://schemas.openxmlformats.org/officeDocument/2006/relationships/worksheet" Target="/xl/worksheets/sheet1.xml" Id="Rd45dc200097e4a83" /><Relationship Type="http://schemas.openxmlformats.org/officeDocument/2006/relationships/worksheet" Target="/xl/worksheets/sheet2.xml" Id="R17a3658b9d4140c7" /><Relationship Type="http://schemas.openxmlformats.org/officeDocument/2006/relationships/worksheet" Target="/xl/worksheets/sheet3.xml" Id="R9ef232c9015046c8" /><Relationship Type="http://schemas.openxmlformats.org/officeDocument/2006/relationships/worksheet" Target="/xl/worksheets/sheet4.xml" Id="R0b8e20a4beec45af" /><Relationship Type="http://schemas.openxmlformats.org/officeDocument/2006/relationships/worksheet" Target="/xl/worksheets/sheet5.xml" Id="R52a3f07f7d4846a0" /><Relationship Type="http://schemas.openxmlformats.org/officeDocument/2006/relationships/worksheet" Target="/xl/worksheets/sheet6.xml" Id="Ra94a35d6a0c14de3" /><Relationship Type="http://schemas.openxmlformats.org/officeDocument/2006/relationships/worksheet" Target="/xl/worksheets/sheet7.xml" Id="R0a3116fdb82545fa" /><Relationship Type="http://schemas.openxmlformats.org/officeDocument/2006/relationships/worksheet" Target="/xl/worksheets/sheet8.xml" Id="R14c8899612424cf8" /><Relationship Type="http://schemas.openxmlformats.org/officeDocument/2006/relationships/worksheet" Target="/xl/worksheets/sheet9.xml" Id="Rb99878651eda4837" /><Relationship Type="http://schemas.openxmlformats.org/officeDocument/2006/relationships/worksheet" Target="/xl/worksheets/sheet10.xml" Id="Rbe9043f2c64b4c1f" /><Relationship Type="http://schemas.openxmlformats.org/officeDocument/2006/relationships/worksheet" Target="/xl/worksheets/sheet11.xml" Id="R75c6d87bd1514b07" /><Relationship Type="http://schemas.openxmlformats.org/officeDocument/2006/relationships/worksheet" Target="/xl/worksheets/sheet12.xml" Id="Rc5396cceb3824497" /><Relationship Type="http://schemas.openxmlformats.org/officeDocument/2006/relationships/worksheet" Target="/xl/worksheets/sheet13.xml" Id="R2f5d2f77f31645ca" /></Relationships>
</file>

<file path=xl/featurePropertyBag/featurePropertyBag.xml><?xml version="1.0" encoding="utf-8"?>
<xfpb:FeaturePropertyBags xmlns:xfpb="http://schemas.microsoft.com/office/spreadsheetml/2022/featurepropertybag">
  <xfpb:bag type="Checkbox"/>
  <xfpb:bag type="XFControls">
    <xfpb:bagId k="CellControl">0</xfpb:bagId>
  </xfpb:bag>
  <xfpb:bag type="XFComplement">
    <xfpb:bagId k="XFControls">1</xfpb:bagId>
  </xfpb:bag>
  <xfpb:bag type="XFComplements" extRef="XFComplementsMapperExtRef">
    <xfpb:a k="MappedFeaturePropertyBags">
      <xfpb:bagId>2</xfpb:bagId>
    </xfpb:a>
  </xfpb:bag>
</xfpb:FeaturePropertyBags>
</file>

<file path=xl/tables/table1.xml><?xml version="1.0" encoding="utf-8"?>
<x:table xmlns:x="http://schemas.openxmlformats.org/spreadsheetml/2006/main" id="1" name="T1_README" displayName="T1_README" ref="A4:B10" headerRowCount="1" totalsRowCount="0" totalsRowShown="0">
  <x:tableColumns count="2">
    <x:tableColumn id="1" name="SECTION"/>
    <x:tableColumn id="2" name="DETAIL"/>
  </x:tableColumns>
  <x:tableStyleInfo name="TableStyleMedium2" showFirstColumn="0" showLastColumn="0" showRowStripes="1" showColumnStripes="0"/>
</x:table>
</file>

<file path=xl/tables/table2.xml><?xml version="1.0" encoding="utf-8"?>
<x:table xmlns:x="http://schemas.openxmlformats.org/spreadsheetml/2006/main" id="2" name="T2_REGULATIONQUEUE" displayName="T2_REGULATIONQUEUE" ref="A4:K317" headerRowCount="1" totalsRowCount="0" totalsRowShown="0">
  <x:tableColumns count="11">
    <x:tableColumn id="1" name="REQUIREMENT_ID"/>
    <x:tableColumn id="2" name="SOURCE"/>
    <x:tableColumn id="3" name="EDITION"/>
    <x:tableColumn id="4" name="PAGE"/>
    <x:tableColumn id="5" name="CLAUSE"/>
    <x:tableColumn id="6" name="CATEGORY"/>
    <x:tableColumn id="7" name="ACTIVE_STATUS"/>
    <x:tableColumn id="8" name="CODABILITY"/>
    <x:tableColumn id="9" name="FIGURE_DEPENDENT"/>
    <x:tableColumn id="10" name="QUEUE_ELIGIBILITY"/>
    <x:tableColumn id="11" name="RUN_STATUS"/>
  </x:tableColumns>
  <x:tableStyleInfo name="TableStyleMedium2" showFirstColumn="0" showLastColumn="0" showRowStripes="1" showColumnStripes="0"/>
</x:table>
</file>

<file path=xl/tables/table3.xml><?xml version="1.0" encoding="utf-8"?>
<x:table xmlns:x="http://schemas.openxmlformats.org/spreadsheetml/2006/main" id="3" name="T3_RUNS" displayName="T3_RUNS" ref="A4:L5" headerRowCount="1" totalsRowCount="0" totalsRowShown="0">
  <x:tableColumns count="12">
    <x:tableColumn id="1" name="SESSION_ID"/>
    <x:tableColumn id="2" name="RUN_ID"/>
    <x:tableColumn id="3" name="REQUIREMENT_ID"/>
    <x:tableColumn id="4" name="STARTED_UTC"/>
    <x:tableColumn id="5" name="FINISHED_UTC"/>
    <x:tableColumn id="6" name="PIPELINE_VERSION"/>
    <x:tableColumn id="7" name="VOCABULARY_LOCK_ID"/>
    <x:tableColumn id="8" name="ATTEMPTS"/>
    <x:tableColumn id="9" name="FINAL_STATUS"/>
    <x:tableColumn id="10" name="ACCEPTED"/>
    <x:tableColumn id="11" name="FINAL_SHAPE"/>
    <x:tableColumn id="12" name="FINAL_FEEDBACK"/>
  </x:tableColumns>
  <x:tableStyleInfo name="TableStyleMedium2" showFirstColumn="0" showLastColumn="0" showRowStripes="1" showColumnStripes="0"/>
</x:table>
</file>

<file path=xl/tables/table4.xml><?xml version="1.0" encoding="utf-8"?>
<x:table xmlns:x="http://schemas.openxmlformats.org/spreadsheetml/2006/main" id="4" name="T4_ITERATIONS" displayName="T4_ITERATIONS" ref="A4:J8" headerRowCount="1" totalsRowCount="0" totalsRowShown="0">
  <x:tableColumns count="10">
    <x:tableColumn id="1" name="RUN_ID"/>
    <x:tableColumn id="2" name="REQUIREMENT_ID"/>
    <x:tableColumn id="3" name="ITERATION"/>
    <x:tableColumn id="4" name="STATIC_VALID"/>
    <x:tableColumn id="5" name="VALIDATOR_ACCEPT"/>
    <x:tableColumn id="6" name="MATCHER_ACTIVATED"/>
    <x:tableColumn id="7" name="DECISION"/>
    <x:tableColumn id="8" name="FEEDBACK"/>
    <x:tableColumn id="9" name="GENERATOR_ELAPSED_MS"/>
    <x:tableColumn id="10" name="VALIDATOR_ELAPSED_MS"/>
  </x:tableColumns>
  <x:tableStyleInfo name="TableStyleMedium2" showFirstColumn="0" showLastColumn="0" showRowStripes="1" showColumnStripes="0"/>
</x:table>
</file>

<file path=xl/tables/table5.xml><?xml version="1.0" encoding="utf-8"?>
<x:table xmlns:x="http://schemas.openxmlformats.org/spreadsheetml/2006/main" id="5" name="T5_APICALLS" displayName="T5_APICALLS" ref="A4:P22" headerRowCount="1" totalsRowCount="0" totalsRowShown="0">
  <x:tableColumns count="16">
    <x:tableColumn id="1" name="EVENT_ID"/>
    <x:tableColumn id="2" name="RUN_ID"/>
    <x:tableColumn id="3" name="REQUIREMENT_ID"/>
    <x:tableColumn id="4" name="TIMESTAMP_UTC"/>
    <x:tableColumn id="5" name="ROLE"/>
    <x:tableColumn id="6" name="MODEL"/>
    <x:tableColumn id="7" name="TRANSPORT_ATTEMPT"/>
    <x:tableColumn id="8" name="STATUS"/>
    <x:tableColumn id="9" name="AUTH_HEADER_NAME"/>
    <x:tableColumn id="10" name="RATE_LIMIT_WAIT_MS"/>
    <x:tableColumn id="11" name="ELAPSED_MS"/>
    <x:tableColumn id="12" name="RETRYING"/>
    <x:tableColumn id="13" name="RESPONSE_ID"/>
    <x:tableColumn id="14" name="INPUT_TOKENS"/>
    <x:tableColumn id="15" name="OUTPUT_TOKENS"/>
    <x:tableColumn id="16" name="TOTAL_TOKENS"/>
  </x:tableColumns>
  <x:tableStyleInfo name="TableStyleMedium2" showFirstColumn="0" showLastColumn="0" showRowStripes="1" showColumnStripes="0"/>
</x:table>
</file>

<file path=xl/tables/table6.xml><?xml version="1.0" encoding="utf-8"?>
<x:table xmlns:x="http://schemas.openxmlformats.org/spreadsheetml/2006/main" id="6" name="T6_TERMRETRIEVAL" displayName="T6_TERMRETRIEVAL" ref="A4:J30" headerRowCount="1" totalsRowCount="0" totalsRowShown="0">
  <x:tableColumns count="10">
    <x:tableColumn id="1" name="RUN_ID"/>
    <x:tableColumn id="2" name="REQUIREMENT_ID"/>
    <x:tableColumn id="3" name="LOCAL_NAME"/>
    <x:tableColumn id="4" name="IRI"/>
    <x:tableColumn id="5" name="KIND"/>
    <x:tableColumn id="6" name="DATATYPE"/>
    <x:tableColumn id="7" name="RANGE"/>
    <x:tableColumn id="8" name="RECOMMENDED_UNIT"/>
    <x:tableColumn id="9" name="SELECTION_REASON"/>
    <x:tableColumn id="10" name="ITERATION_ADDED"/>
  </x:tableColumns>
  <x:tableStyleInfo name="TableStyleMedium2" showFirstColumn="0" showLastColumn="0" showRowStripes="1" showColumnStripes="0"/>
</x:table>
</file>

<file path=xl/tables/table7.xml><?xml version="1.0" encoding="utf-8"?>
<x:table xmlns:x="http://schemas.openxmlformats.org/spreadsheetml/2006/main" id="7" name="T7_FEWSHOTSELECTION" displayName="T7_FEWSHOTSELECTION" ref="A4:G6" headerRowCount="1" totalsRowCount="0" totalsRowShown="0">
  <x:tableColumns count="7">
    <x:tableColumn id="1" name="RUN_ID"/>
    <x:tableColumn id="2" name="REQUIREMENT_ID"/>
    <x:tableColumn id="3" name="EXAMPLE_ID"/>
    <x:tableColumn id="4" name="CASE_ID"/>
    <x:tableColumn id="5" name="SCORE"/>
    <x:tableColumn id="6" name="MATCHED_TAGS"/>
    <x:tableColumn id="7" name="STATUS"/>
  </x:tableColumns>
  <x:tableStyleInfo name="TableStyleMedium2" showFirstColumn="0" showLastColumn="0" showRowStripes="1" showColumnStripes="0"/>
</x:table>
</file>

<file path=xl/tables/table8.xml><?xml version="1.0" encoding="utf-8"?>
<x:table xmlns:x="http://schemas.openxmlformats.org/spreadsheetml/2006/main" id="8" name="T8_VALIDATION" displayName="T8_VALIDATION" ref="A4:Q8" headerRowCount="1" totalsRowCount="0" totalsRowShown="0">
  <x:tableColumns count="17">
    <x:tableColumn id="1" name="RUN_ID"/>
    <x:tableColumn id="2" name="REQUIREMENT_ID"/>
    <x:tableColumn id="3" name="ITERATION"/>
    <x:tableColumn id="4" name="VALID"/>
    <x:tableColumn id="5" name="EXTRACTION_VALID"/>
    <x:tableColumn id="6" name="TURTLE_VALID"/>
    <x:tableColumn id="7" name="SHACL_STRUCTURE_VALID"/>
    <x:tableColumn id="8" name="META_SHACL_VALID"/>
    <x:tableColumn id="9" name="VOCABULARY_VALID"/>
    <x:tableColumn id="10" name="DATATYPE_UNIT_VALID"/>
    <x:tableColumn id="11" name="TARGET_PATH_VALID"/>
    <x:tableColumn id="12" name="ERRORS"/>
    <x:tableColumn id="13" name="WARNINGS"/>
    <x:tableColumn id="14" name="USED_CANONICAL_IRIS"/>
    <x:tableColumn id="15" name="UNKNOWN_IRIS"/>
    <x:tableColumn id="16" name="OUT_OF_SCOPE_IRIS"/>
    <x:tableColumn id="17" name="SUSPICIOUS_EXTERNAL_IRIS"/>
  </x:tableColumns>
  <x:tableStyleInfo name="TableStyleMedium2" showFirstColumn="0" showLastColumn="0" showRowStripes="1" showColumnStripes="0"/>
</x:table>
</file>

<file path=xl/tables/table9.xml><?xml version="1.0" encoding="utf-8"?>
<x:table xmlns:x="http://schemas.openxmlformats.org/spreadsheetml/2006/main" id="9" name="T10_ARTIFACTS" displayName="T10_ARTIFACTS" ref="A4:G32" headerRowCount="1" totalsRowCount="0" totalsRowShown="0">
  <x:tableColumns count="7">
    <x:tableColumn id="1" name="RUN_ID"/>
    <x:tableColumn id="2" name="REQUIREMENT_ID"/>
    <x:tableColumn id="3" name="ITERATION"/>
    <x:tableColumn id="4" name="ARTIFACT_TYPE"/>
    <x:tableColumn id="5" name="ARTIFACT_PATH"/>
    <x:tableColumn id="6" name="SHA256"/>
    <x:tableColumn id="7" name="BYTES"/>
  </x:tableColumns>
  <x:tableStyleInfo name="TableStyleMedium2" showFirstColumn="0" showLastColumn="0" showRowStripes="1" showColumnStripes="0"/>
</x:table>
</file>

<file path=xl/tables/table10.xml><?xml version="1.0" encoding="utf-8"?>
<x:table xmlns:x="http://schemas.openxmlformats.org/spreadsheetml/2006/main" id="10" name="T11_UNRESOLVED" displayName="T11_UNRESOLVED" ref="A4:F5" headerRowCount="1" totalsRowCount="0" totalsRowShown="0">
  <x:tableColumns count="6">
    <x:tableColumn id="1" name="RUN_ID"/>
    <x:tableColumn id="2" name="REQUIREMENT_ID"/>
    <x:tableColumn id="3" name="ITERATION"/>
    <x:tableColumn id="4" name="ISSUE_TYPE"/>
    <x:tableColumn id="5" name="DETAIL"/>
    <x:tableColumn id="6" name="STATUS"/>
  </x:tableColumns>
  <x:tableStyleInfo name="TableStyleMedium2" showFirstColumn="0" showLastColumn="0" showRowStripes="1" showColumnStripes="0"/>
</x:table>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_rels/sheet2.xml.rels>&#65279;<?xml version="1.0" encoding="utf-8"?><Relationships xmlns="http://schemas.openxmlformats.org/package/2006/relationships"><Relationship Type="http://schemas.openxmlformats.org/officeDocument/2006/relationships/table" Target="/xl/tables/table1.xml" Id="R0b0d13bbde734dea" /></Relationships>
</file>

<file path=xl/worksheets/_rels/sheet3.xml.rels>&#65279;<?xml version="1.0" encoding="utf-8"?><Relationships xmlns="http://schemas.openxmlformats.org/package/2006/relationships"><Relationship Type="http://schemas.openxmlformats.org/officeDocument/2006/relationships/table" Target="/xl/tables/table2.xml" Id="Rb8cdfcb32be4489d" /></Relationships>
</file>

<file path=xl/worksheets/_rels/sheet4.xml.rels>&#65279;<?xml version="1.0" encoding="utf-8"?><Relationships xmlns="http://schemas.openxmlformats.org/package/2006/relationships"><Relationship Type="http://schemas.openxmlformats.org/officeDocument/2006/relationships/table" Target="/xl/tables/table3.xml" Id="R8c5df7358c434d66" /></Relationships>
</file>

<file path=xl/worksheets/_rels/sheet5.xml.rels>&#65279;<?xml version="1.0" encoding="utf-8"?><Relationships xmlns="http://schemas.openxmlformats.org/package/2006/relationships"><Relationship Type="http://schemas.openxmlformats.org/officeDocument/2006/relationships/table" Target="/xl/tables/table4.xml" Id="Rd3d87639ef5f4cc7" /></Relationships>
</file>

<file path=xl/worksheets/_rels/sheet6.xml.rels>&#65279;<?xml version="1.0" encoding="utf-8"?><Relationships xmlns="http://schemas.openxmlformats.org/package/2006/relationships"><Relationship Type="http://schemas.openxmlformats.org/officeDocument/2006/relationships/table" Target="/xl/tables/table5.xml" Id="R8791ad99d8484dcc" /></Relationships>
</file>

<file path=xl/worksheets/_rels/sheet7.xml.rels>&#65279;<?xml version="1.0" encoding="utf-8"?><Relationships xmlns="http://schemas.openxmlformats.org/package/2006/relationships"><Relationship Type="http://schemas.openxmlformats.org/officeDocument/2006/relationships/table" Target="/xl/tables/table6.xml" Id="Reaa46bd9cb044b60" /></Relationships>
</file>

<file path=xl/worksheets/_rels/sheet8.xml.rels>&#65279;<?xml version="1.0" encoding="utf-8"?><Relationships xmlns="http://schemas.openxmlformats.org/package/2006/relationships"><Relationship Type="http://schemas.openxmlformats.org/officeDocument/2006/relationships/table" Target="/xl/tables/table7.xml" Id="R793726d43584450b" /></Relationships>
</file>

<file path=xl/worksheets/_rels/sheet9.xml.rels>&#65279;<?xml version="1.0" encoding="utf-8"?><Relationships xmlns="http://schemas.openxmlformats.org/package/2006/relationships"><Relationship Type="http://schemas.openxmlformats.org/officeDocument/2006/relationships/table" Target="/xl/tables/table8.xml" Id="R3834e2ebce594cd3" /></Relationships>
</file>

<file path=xl/worksheets/_rels/sheet11.xml.rels>&#65279;<?xml version="1.0" encoding="utf-8"?><Relationships xmlns="http://schemas.openxmlformats.org/package/2006/relationships"><Relationship Type="http://schemas.openxmlformats.org/officeDocument/2006/relationships/table" Target="/xl/tables/table9.xml" Id="R365ae1220b0b4819" /></Relationships>
</file>

<file path=xl/worksheets/_rels/sheet12.xml.rels>&#65279;<?xml version="1.0" encoding="utf-8"?><Relationships xmlns="http://schemas.openxmlformats.org/package/2006/relationships"><Relationship Type="http://schemas.openxmlformats.org/officeDocument/2006/relationships/table" Target="/xl/tables/table10.xml" Id="Ra60706f5116849d7" /></Relationships>
</file>

<file path=xl/worksheets/sheet1.xml><?xml version="1.0" encoding="utf-8"?>
<x:worksheet xmlns:x="http://schemas.openxmlformats.org/spreadsheetml/2006/main">
  <x:sheetViews>
    <x:sheetView showGridLines="0" workbookViewId="0"/>
  </x:sheetViews>
  <x:sheetFormatPr defaultRowHeight="15"/>
  <x:cols>
    <x:col min="1" max="1" width="24" hidden="0" customWidth="1"/>
    <x:col min="2" max="2" width="78" hidden="0" customWidth="1"/>
    <x:col min="3" max="3" width="8" hidden="0" customWidth="1"/>
    <x:col min="4" max="4" width="8" hidden="0" customWidth="1"/>
  </x:cols>
  <x:sheetData>
    <x:row r="1">
      <x:c r="A1" s="18" t="str">
        <x:v>NLTL SHACL Pipeline Run Tracker</x:v>
      </x:c>
      <x:c r="B1" s="19"/>
      <x:c r="C1" s="19"/>
      <x:c r="D1" s="19"/>
    </x:row>
    <x:row r="2">
      <x:c r="A2" s="20" t="str">
        <x:v>Run folder: RUN-TRF-025-20260827T223223397676Z</x:v>
      </x:c>
      <x:c r="B2" s="20"/>
      <x:c r="C2" s="20"/>
      <x:c r="D2" s="20"/>
    </x:row>
    <x:row r="3">
      <x:c r="A3" s="21"/>
      <x:c r="B3" s="21"/>
      <x:c r="C3" s="21"/>
      <x:c r="D3" s="21"/>
    </x:row>
    <x:row r="4">
      <x:c r="A4" s="22" t="str">
        <x:v>METRIC</x:v>
      </x:c>
      <x:c r="B4" s="22" t="str">
        <x:v>VALUE</x:v>
      </x:c>
      <x:c r="C4" s="21"/>
      <x:c r="D4" s="21"/>
    </x:row>
    <x:row r="5">
      <x:c r="A5" s="23" t="str">
        <x:v>Requirements tracked</x:v>
      </x:c>
      <x:c r="B5" s="24" t="n">
        <x:f>COUNTA('REGULATION_QUEUE'!$A$5:$A$317)</x:f>
        <x:v>313</x:v>
      </x:c>
      <x:c r="C5" s="21"/>
      <x:c r="D5" s="21"/>
    </x:row>
    <x:row r="6">
      <x:c r="A6" s="25" t="str">
        <x:v>Generation eligible</x:v>
      </x:c>
      <x:c r="B6" s="26" t="n">
        <x:f>COUNTIF('REGULATION_QUEUE'!$J$5:$J$317,"ELIGIBLE")</x:f>
        <x:v>268</x:v>
      </x:c>
      <x:c r="C6" s="21"/>
      <x:c r="D6" s="21"/>
    </x:row>
    <x:row r="7">
      <x:c r="A7" s="25" t="str">
        <x:v>Runs represented</x:v>
      </x:c>
      <x:c r="B7" s="26" t="n">
        <x:f>COUNTA('RUNS'!$A$5:$A$5)</x:f>
        <x:v>1</x:v>
      </x:c>
      <x:c r="C7" s="21"/>
      <x:c r="D7" s="21"/>
    </x:row>
    <x:row r="8">
      <x:c r="A8" s="25" t="str">
        <x:v>Accepted runs</x:v>
      </x:c>
      <x:c r="B8" s="26" t="n">
        <x:f>COUNTIF('RUNS'!$I$5:$I$5,"GENERATION_ACCEPTED")</x:f>
        <x:v>0</x:v>
      </x:c>
      <x:c r="C8" s="21"/>
      <x:c r="D8" s="21"/>
    </x:row>
    <x:row r="9">
      <x:c r="A9" s="25" t="str">
        <x:v>API/LLM records</x:v>
      </x:c>
      <x:c r="B9" s="26" t="n">
        <x:f>COUNTA('API_CALLS'!$A$5:$A$22)</x:f>
        <x:v>18</x:v>
      </x:c>
      <x:c r="C9" s="21"/>
      <x:c r="D9" s="21"/>
    </x:row>
    <x:row r="10">
      <x:c r="A10" s="27" t="str">
        <x:v>Mean API/LLM elapsed ms</x:v>
      </x:c>
      <x:c r="B10" s="28" t="n">
        <x:f>IFERROR(AVERAGE('API_CALLS'!$K$5:$K$22),0)</x:f>
        <x:v>15479.766277777779</x:v>
      </x:c>
      <x:c r="C10" s="21"/>
      <x:c r="D10" s="21"/>
    </x:row>
    <x:row r="11">
      <x:c r="A11" s="21"/>
      <x:c r="B11" s="21"/>
      <x:c r="C11" s="21"/>
      <x:c r="D11" s="21"/>
    </x:row>
    <x:row r="12" ht="38" customHeight="1">
      <x:c r="A12" s="29" t="str">
        <x:v>INTERPRETATION</x:v>
      </x:c>
      <x:c r="B12" s="30" t="str">
        <x:v>Generation acceptance means syntax, structure, vocabulary, datatype/unit, target/path, and semantic review passed. It is not an RDF ship-compliance verdict.</x:v>
      </x:c>
      <x:c r="C12" s="30" t="str"/>
      <x:c r="D12" s="30" t="str"/>
    </x:row>
    <x:row r="13" ht="38" customHeight="1">
      <x:c r="A13" s="29" t="str">
        <x:v>NEXT GATE</x:v>
      </x:c>
      <x:c r="B13" s="30" t="str">
        <x:v>Accepted shapes remain in RDF_TEST_QUEUE until the separate evaluator is run.</x:v>
      </x:c>
      <x:c r="C13" s="30" t="str"/>
      <x:c r="D13" s="30" t="str"/>
    </x:row>
    <x:row r="14" ht="38" customHeight="1">
      <x:c r="A14" s="29" t="str">
        <x:v>RAW AUDIT</x:v>
      </x:c>
      <x:c r="B14" s="30" t="str">
        <x:v>events.jsonl is the durable append-only record for this run.</x:v>
      </x:c>
      <x:c r="C14" s="30" t="str"/>
      <x:c r="D14" s="30" t="str"/>
    </x:row>
    <x:row r="15" ht="38" customHeight="1">
      <x:c r="A15" s="29" t="str">
        <x:v>LOCKING</x:v>
      </x:c>
      <x:c r="B15" s="30" t="str">
        <x:v>Only final/final_shape.ttl is the accepted candidate artifact.</x:v>
      </x:c>
      <x:c r="C15" s="30" t="str"/>
      <x:c r="D15" s="30" t="str"/>
    </x:row>
  </x:sheetData>
  <x:pageMargins left="0.7" right="0.7" top="0.75" bottom="0.75" header="0.3" footer="0.3"/>
</x:worksheet>
</file>

<file path=xl/worksheets/sheet2.xml><?xml version="1.0" encoding="utf-8"?>
<x:worksheet xmlns:x="http://schemas.openxmlformats.org/spreadsheetml/2006/main">
  <x:sheetViews>
    <x:sheetView showGridLines="0" workbookViewId="0"/>
  </x:sheetViews>
  <x:sheetFormatPr defaultRowHeight="15"/>
  <x:cols>
    <x:col min="1" max="1" width="17" hidden="0" customWidth="1"/>
    <x:col min="2" max="2" width="52" hidden="0" customWidth="1"/>
  </x:cols>
  <x:sheetData>
    <x:row r="1">
      <x:c r="A1" s="18" t="str">
        <x:v>NLTL SHACL Pipeline Run Tracker</x:v>
      </x:c>
      <x:c r="B1" s="19"/>
    </x:row>
    <x:row r="2">
      <x:c r="A2" s="20" t="str">
        <x:v>README | Run folder: RUN-TRF-025-20260827T223223397676Z</x:v>
      </x:c>
      <x:c r="B2" s="20"/>
    </x:row>
    <x:row r="3">
      <x:c r="A3" s="21"/>
      <x:c r="B3" s="21"/>
    </x:row>
    <x:row r="4" ht="30" customHeight="1">
      <x:c r="A4" s="43" t="str">
        <x:v>SECTION</x:v>
      </x:c>
      <x:c r="B4" s="44" t="str">
        <x:v>DETAIL</x:v>
      </x:c>
    </x:row>
    <x:row r="5">
      <x:c r="A5" s="45" t="str">
        <x:v>PURPOSE</x:v>
      </x:c>
      <x:c r="B5" s="46" t="str">
        <x:v>Traceability view for one regulation-to-SHACL generation run.</x:v>
      </x:c>
    </x:row>
    <x:row r="6">
      <x:c r="A6" s="47" t="str">
        <x:v>BOUNDARY</x:v>
      </x:c>
      <x:c r="B6" s="48" t="str">
        <x:v>Generation is frozen before RDF execution; no ship graph or hidden expected outcome is used here.</x:v>
      </x:c>
    </x:row>
    <x:row r="7">
      <x:c r="A7" s="47" t="str">
        <x:v>SOURCE OF TRUTH</x:v>
      </x:c>
      <x:c r="B7" s="48" t="str">
        <x:v>events.jsonl is append-only; CSV and Excel sheets are derived views.</x:v>
      </x:c>
    </x:row>
    <x:row r="8">
      <x:c r="A8" s="47" t="str">
        <x:v>ACCEPTED</x:v>
      </x:c>
      <x:c r="B8" s="48" t="str">
        <x:v>Static validation passed and the semantic validator accepted the candidate.</x:v>
      </x:c>
    </x:row>
    <x:row r="9">
      <x:c r="A9" s="47" t="str">
        <x:v>VOCABULARY_GAP</x:v>
      </x:c>
      <x:c r="B9" s="48" t="str">
        <x:v>No verified canonical term was available; the generator was not allowed to invent one.</x:v>
      </x:c>
    </x:row>
    <x:row r="10">
      <x:c r="A10" s="49" t="str">
        <x:v>RDF TEST QUEUE</x:v>
      </x:c>
      <x:c r="B10" s="50" t="str">
        <x:v>Accepted shapes await the separate bulk evaluator.</x:v>
      </x:c>
    </x:row>
  </x:sheetData>
  <x:pageMargins left="0.7" right="0.7" top="0.75" bottom="0.75" header="0.3" footer="0.3"/>
  <x:tableParts count="1">
    <x:tablePart xmlns:r="http://schemas.openxmlformats.org/officeDocument/2006/relationships" r:id="R0b0d13bbde734dea"/>
  </x:tableParts>
</x:worksheet>
</file>

<file path=xl/worksheets/sheet3.xml><?xml version="1.0" encoding="utf-8"?>
<x:worksheet xmlns:x="http://schemas.openxmlformats.org/spreadsheetml/2006/main">
  <x:sheetViews>
    <x:sheetView showGridLines="0" workbookViewId="0"/>
  </x:sheetViews>
  <x:sheetFormatPr defaultRowHeight="15"/>
  <x:cols>
    <x:col min="1" max="1" width="18" hidden="0" customWidth="1"/>
    <x:col min="2" max="2" width="52" hidden="0" customWidth="1"/>
    <x:col min="3" max="3" width="24" hidden="0" customWidth="1"/>
    <x:col min="4" max="4" width="11" hidden="0" customWidth="1"/>
    <x:col min="5" max="5" width="24" hidden="0" customWidth="1"/>
    <x:col min="6" max="6" width="20" hidden="0" customWidth="1"/>
    <x:col min="7" max="7" width="42" hidden="0" customWidth="1"/>
    <x:col min="8" max="8" width="20" hidden="0" customWidth="1"/>
    <x:col min="9" max="9" width="18" hidden="0" customWidth="1"/>
    <x:col min="10" max="10" width="19" hidden="0" customWidth="1"/>
    <x:col min="11" max="11" width="22" hidden="0" customWidth="1"/>
  </x:cols>
  <x:sheetData>
    <x:row r="1">
      <x:c r="A1" s="18" t="str">
        <x:v>NLTL SHACL Pipeline Run Tracker</x:v>
      </x:c>
      <x:c r="B1" s="19"/>
      <x:c r="C1" s="19"/>
      <x:c r="D1" s="19"/>
      <x:c r="E1" s="19"/>
      <x:c r="F1" s="19"/>
      <x:c r="G1" s="19"/>
      <x:c r="H1" s="19"/>
      <x:c r="I1" s="19"/>
      <x:c r="J1" s="19"/>
      <x:c r="K1" s="19"/>
    </x:row>
    <x:row r="2">
      <x:c r="A2" s="20" t="str">
        <x:v>REGULATION_QUEUE | Run folder: RUN-TRF-025-20260827T223223397676Z</x:v>
      </x:c>
      <x:c r="B2" s="20"/>
      <x:c r="C2" s="20"/>
      <x:c r="D2" s="20"/>
      <x:c r="E2" s="20"/>
      <x:c r="F2" s="20"/>
      <x:c r="G2" s="20"/>
      <x:c r="H2" s="20"/>
      <x:c r="I2" s="20"/>
      <x:c r="J2" s="20"/>
      <x:c r="K2" s="20"/>
    </x:row>
    <x:row r="3">
      <x:c r="A3" s="21"/>
      <x:c r="B3" s="21"/>
      <x:c r="C3" s="21"/>
      <x:c r="D3" s="21"/>
      <x:c r="E3" s="21"/>
      <x:c r="F3" s="21"/>
      <x:c r="G3" s="21"/>
      <x:c r="H3" s="21"/>
      <x:c r="I3" s="21"/>
      <x:c r="J3" s="21"/>
      <x:c r="K3" s="21"/>
    </x:row>
    <x:row r="4" ht="30" customHeight="1">
      <x:c r="A4" s="43" t="str">
        <x:v>REQUIREMENT_ID</x:v>
      </x:c>
      <x:c r="B4" s="57" t="str">
        <x:v>SOURCE</x:v>
      </x:c>
      <x:c r="C4" s="57" t="str">
        <x:v>EDITION</x:v>
      </x:c>
      <x:c r="D4" s="57" t="str">
        <x:v>PAGE</x:v>
      </x:c>
      <x:c r="E4" s="57" t="str">
        <x:v>CLAUSE</x:v>
      </x:c>
      <x:c r="F4" s="57" t="str">
        <x:v>CATEGORY</x:v>
      </x:c>
      <x:c r="G4" s="57" t="str">
        <x:v>ACTIVE_STATUS</x:v>
      </x:c>
      <x:c r="H4" s="57" t="str">
        <x:v>CODABILITY</x:v>
      </x:c>
      <x:c r="I4" s="57" t="str">
        <x:v>FIGURE_DEPENDENT</x:v>
      </x:c>
      <x:c r="J4" s="57" t="str">
        <x:v>QUEUE_ELIGIBILITY</x:v>
      </x:c>
      <x:c r="K4" s="44" t="str">
        <x:v>RUN_STATUS</x:v>
      </x:c>
    </x:row>
    <x:row r="5">
      <x:c r="A5" s="45" t="str">
        <x:v>I2-001</x:v>
      </x:c>
      <x:c r="B5" s="46" t="str">
        <x:v>UR I2 Structural Requirements for Polar Class Ships</x:v>
      </x:c>
      <x:c r="C5" s="45" t="str">
        <x:v>Rev.4 Dec 2019</x:v>
      </x:c>
      <x:c r="D5" s="58" t="n">
        <x:v>1</x:v>
      </x:c>
      <x:c r="E5" s="45" t="str">
        <x:v>I2.1.1 Note 6</x:v>
      </x:c>
      <x:c r="F5" s="45" t="str">
        <x:v>Static</x:v>
      </x:c>
      <x:c r="G5" s="46" t="str">
        <x:v>Stage 2 candidate - direct/deterministic</x:v>
      </x:c>
      <x:c r="H5" s="45" t="str">
        <x:v>High</x:v>
      </x:c>
      <x:c r="I5" s="45" t="str">
        <x:v>No</x:v>
      </x:c>
      <x:c r="J5" s="45" t="str">
        <x:v>ELIGIBLE</x:v>
      </x:c>
      <x:c r="K5" s="45" t="str">
        <x:v>NOT_RUN</x:v>
      </x:c>
    </x:row>
    <x:row r="6">
      <x:c r="A6" s="47" t="str">
        <x:v>I2-002</x:v>
      </x:c>
      <x:c r="B6" s="48" t="str">
        <x:v>UR I2 Structural Requirements for Polar Class Ships</x:v>
      </x:c>
      <x:c r="C6" s="47" t="str">
        <x:v>Rev.4 Dec 2019</x:v>
      </x:c>
      <x:c r="D6" s="59" t="n">
        <x:v>1</x:v>
      </x:c>
      <x:c r="E6" s="47" t="str">
        <x:v>I2.1.1</x:v>
      </x:c>
      <x:c r="F6" s="47" t="str">
        <x:v>Static</x:v>
      </x:c>
      <x:c r="G6" s="48" t="str">
        <x:v>Deferred - scope-only requirement</x:v>
      </x:c>
      <x:c r="H6" s="47" t="str">
        <x:v>Deferred</x:v>
      </x:c>
      <x:c r="I6" s="47" t="str">
        <x:v>No</x:v>
      </x:c>
      <x:c r="J6" s="47" t="str">
        <x:v>DEFERRED</x:v>
      </x:c>
      <x:c r="K6" s="47" t="str">
        <x:v>NOT_RUN</x:v>
      </x:c>
    </x:row>
    <x:row r="7">
      <x:c r="A7" s="47" t="str">
        <x:v>I2-003</x:v>
      </x:c>
      <x:c r="B7" s="48" t="str">
        <x:v>UR I2 Structural Requirements for Polar Class Ships</x:v>
      </x:c>
      <x:c r="C7" s="47" t="str">
        <x:v>Rev.4 Dec 2019</x:v>
      </x:c>
      <x:c r="D7" s="59" t="n">
        <x:v>1</x:v>
      </x:c>
      <x:c r="E7" s="47" t="str">
        <x:v>I2.1.2.1</x:v>
      </x:c>
      <x:c r="F7" s="47" t="str">
        <x:v>Static Calculation</x:v>
      </x:c>
      <x:c r="G7" s="48" t="str">
        <x:v>Deferred - existing vocabulary insufficient</x:v>
      </x:c>
      <x:c r="H7" s="47" t="str">
        <x:v>Deferred</x:v>
      </x:c>
      <x:c r="I7" s="47" t="str">
        <x:v>No</x:v>
      </x:c>
      <x:c r="J7" s="47" t="str">
        <x:v>DEFERRED</x:v>
      </x:c>
      <x:c r="K7" s="47" t="str">
        <x:v>NOT_RUN</x:v>
      </x:c>
    </x:row>
    <x:row r="8">
      <x:c r="A8" s="47" t="str">
        <x:v>I2-004</x:v>
      </x:c>
      <x:c r="B8" s="48" t="str">
        <x:v>UR I2 Structural Requirements for Polar Class Ships</x:v>
      </x:c>
      <x:c r="C8" s="47" t="str">
        <x:v>Rev.4 Dec 2019</x:v>
      </x:c>
      <x:c r="D8" s="59" t="n">
        <x:v>1</x:v>
      </x:c>
      <x:c r="E8" s="47" t="str">
        <x:v>I2.1.2.2</x:v>
      </x:c>
      <x:c r="F8" s="47" t="str">
        <x:v>Static</x:v>
      </x:c>
      <x:c r="G8" s="48" t="str">
        <x:v>Stage 2 candidate - direct/deterministic</x:v>
      </x:c>
      <x:c r="H8" s="47" t="str">
        <x:v>High</x:v>
      </x:c>
      <x:c r="I8" s="47" t="str">
        <x:v>No</x:v>
      </x:c>
      <x:c r="J8" s="47" t="str">
        <x:v>ELIGIBLE</x:v>
      </x:c>
      <x:c r="K8" s="47" t="str">
        <x:v>NOT_RUN</x:v>
      </x:c>
    </x:row>
    <x:row r="9">
      <x:c r="A9" s="47" t="str">
        <x:v>I2-005</x:v>
      </x:c>
      <x:c r="B9" s="48" t="str">
        <x:v>UR I2 Structural Requirements for Polar Class Ships</x:v>
      </x:c>
      <x:c r="C9" s="47" t="str">
        <x:v>Rev.4 Dec 2019</x:v>
      </x:c>
      <x:c r="D9" s="59" t="n">
        <x:v>2</x:v>
      </x:c>
      <x:c r="E9" s="47" t="str">
        <x:v>I2.2.5</x:v>
      </x:c>
      <x:c r="F9" s="47" t="str">
        <x:v>Static</x:v>
      </x:c>
      <x:c r="G9" s="48" t="str">
        <x:v>Stage 2 candidate - direct/deterministic</x:v>
      </x:c>
      <x:c r="H9" s="47" t="str">
        <x:v>High</x:v>
      </x:c>
      <x:c r="I9" s="47" t="str">
        <x:v>No</x:v>
      </x:c>
      <x:c r="J9" s="47" t="str">
        <x:v>ELIGIBLE</x:v>
      </x:c>
      <x:c r="K9" s="47" t="str">
        <x:v>NOT_RUN</x:v>
      </x:c>
    </x:row>
    <x:row r="10">
      <x:c r="A10" s="47" t="str">
        <x:v>I2-006</x:v>
      </x:c>
      <x:c r="B10" s="48" t="str">
        <x:v>UR I2 Structural Requirements for Polar Class Ships</x:v>
      </x:c>
      <x:c r="C10" s="47" t="str">
        <x:v>Rev.4 Dec 2019</x:v>
      </x:c>
      <x:c r="D10" s="59" t="n">
        <x:v>2</x:v>
      </x:c>
      <x:c r="E10" s="47" t="str">
        <x:v>I2.2.6</x:v>
      </x:c>
      <x:c r="F10" s="47" t="str">
        <x:v>Static</x:v>
      </x:c>
      <x:c r="G10" s="48" t="str">
        <x:v>Stage 2 candidate - direct/deterministic</x:v>
      </x:c>
      <x:c r="H10" s="47" t="str">
        <x:v>High</x:v>
      </x:c>
      <x:c r="I10" s="47" t="str">
        <x:v>No</x:v>
      </x:c>
      <x:c r="J10" s="47" t="str">
        <x:v>ELIGIBLE</x:v>
      </x:c>
      <x:c r="K10" s="47" t="str">
        <x:v>NOT_RUN</x:v>
      </x:c>
    </x:row>
    <x:row r="11">
      <x:c r="A11" s="47" t="str">
        <x:v>I2-008</x:v>
      </x:c>
      <x:c r="B11" s="48" t="str">
        <x:v>UR I2 Structural Requirements for Polar Class Ships</x:v>
      </x:c>
      <x:c r="C11" s="47" t="str">
        <x:v>Rev.4 Dec 2019</x:v>
      </x:c>
      <x:c r="D11" s="59" t="n">
        <x:v>3</x:v>
      </x:c>
      <x:c r="E11" s="47" t="str">
        <x:v>I2.3.1</x:v>
      </x:c>
      <x:c r="F11" s="47" t="str">
        <x:v>Complex</x:v>
      </x:c>
      <x:c r="G11" s="48" t="str">
        <x:v>Stage 2 candidate - complex readiness</x:v>
      </x:c>
      <x:c r="H11" s="47" t="str">
        <x:v>Complex readiness</x:v>
      </x:c>
      <x:c r="I11" s="47" t="str">
        <x:v>No</x:v>
      </x:c>
      <x:c r="J11" s="47" t="str">
        <x:v>ELIGIBLE</x:v>
      </x:c>
      <x:c r="K11" s="47" t="str">
        <x:v>NOT_RUN</x:v>
      </x:c>
    </x:row>
    <x:row r="12">
      <x:c r="A12" s="47" t="str">
        <x:v>I2-009</x:v>
      </x:c>
      <x:c r="B12" s="48" t="str">
        <x:v>UR I2 Structural Requirements for Polar Class Ships</x:v>
      </x:c>
      <x:c r="C12" s="47" t="str">
        <x:v>Rev.4 Dec 2019</x:v>
      </x:c>
      <x:c r="D12" s="59" t="n">
        <x:v>3</x:v>
      </x:c>
      <x:c r="E12" s="47" t="str">
        <x:v>I2.3.1</x:v>
      </x:c>
      <x:c r="F12" s="47" t="str">
        <x:v>Static</x:v>
      </x:c>
      <x:c r="G12" s="48" t="str">
        <x:v>Stage 2 candidate - direct static</x:v>
      </x:c>
      <x:c r="H12" s="47" t="str">
        <x:v>Direct static</x:v>
      </x:c>
      <x:c r="I12" s="47" t="str">
        <x:v>No</x:v>
      </x:c>
      <x:c r="J12" s="47" t="str">
        <x:v>ELIGIBLE</x:v>
      </x:c>
      <x:c r="K12" s="47" t="str">
        <x:v>NOT_RUN</x:v>
      </x:c>
    </x:row>
    <x:row r="13">
      <x:c r="A13" s="47" t="str">
        <x:v>I2-010</x:v>
      </x:c>
      <x:c r="B13" s="48" t="str">
        <x:v>UR I2 Structural Requirements for Polar Class Ships</x:v>
      </x:c>
      <x:c r="C13" s="47" t="str">
        <x:v>Rev.4 Dec 2019</x:v>
      </x:c>
      <x:c r="D13" s="59" t="n">
        <x:v>3</x:v>
      </x:c>
      <x:c r="E13" s="47" t="str">
        <x:v>I2.3.1</x:v>
      </x:c>
      <x:c r="F13" s="47" t="str">
        <x:v>Static</x:v>
      </x:c>
      <x:c r="G13" s="48" t="str">
        <x:v>Stage 2 candidate - direct static</x:v>
      </x:c>
      <x:c r="H13" s="47" t="str">
        <x:v>Direct static</x:v>
      </x:c>
      <x:c r="I13" s="47" t="str">
        <x:v>No</x:v>
      </x:c>
      <x:c r="J13" s="47" t="str">
        <x:v>ELIGIBLE</x:v>
      </x:c>
      <x:c r="K13" s="47" t="str">
        <x:v>NOT_RUN</x:v>
      </x:c>
    </x:row>
    <x:row r="14">
      <x:c r="A14" s="47" t="str">
        <x:v>I2-011</x:v>
      </x:c>
      <x:c r="B14" s="48" t="str">
        <x:v>UR I2 Structural Requirements for Polar Class Ships</x:v>
      </x:c>
      <x:c r="C14" s="47" t="str">
        <x:v>Rev.4 Dec 2019</x:v>
      </x:c>
      <x:c r="D14" s="59" t="n">
        <x:v>3</x:v>
      </x:c>
      <x:c r="E14" s="47" t="str">
        <x:v>I2.3.1</x:v>
      </x:c>
      <x:c r="F14" s="47" t="str">
        <x:v>Static Calculation</x:v>
      </x:c>
      <x:c r="G14" s="48" t="str">
        <x:v>Stage 2 candidate - direct/deterministic</x:v>
      </x:c>
      <x:c r="H14" s="47" t="str">
        <x:v>High</x:v>
      </x:c>
      <x:c r="I14" s="47" t="str">
        <x:v>No</x:v>
      </x:c>
      <x:c r="J14" s="47" t="str">
        <x:v>ELIGIBLE</x:v>
      </x:c>
      <x:c r="K14" s="47" t="str">
        <x:v>NOT_RUN</x:v>
      </x:c>
    </x:row>
    <x:row r="15">
      <x:c r="A15" s="47" t="str">
        <x:v>I2-013</x:v>
      </x:c>
      <x:c r="B15" s="48" t="str">
        <x:v>UR I2 Structural Requirements for Polar Class Ships</x:v>
      </x:c>
      <x:c r="C15" s="47" t="str">
        <x:v>Rev.4 Dec 2019</x:v>
      </x:c>
      <x:c r="D15" s="59" t="n">
        <x:v>3</x:v>
      </x:c>
      <x:c r="E15" s="47" t="str">
        <x:v>I2.3.1</x:v>
      </x:c>
      <x:c r="F15" s="47" t="str">
        <x:v>Complex</x:v>
      </x:c>
      <x:c r="G15" s="48" t="str">
        <x:v>Stage 2 candidate - complex readiness</x:v>
      </x:c>
      <x:c r="H15" s="47" t="str">
        <x:v>Complex readiness</x:v>
      </x:c>
      <x:c r="I15" s="47" t="str">
        <x:v>No</x:v>
      </x:c>
      <x:c r="J15" s="47" t="str">
        <x:v>ELIGIBLE</x:v>
      </x:c>
      <x:c r="K15" s="47" t="str">
        <x:v>NOT_RUN</x:v>
      </x:c>
    </x:row>
    <x:row r="16">
      <x:c r="A16" s="47" t="str">
        <x:v>I2-014</x:v>
      </x:c>
      <x:c r="B16" s="48" t="str">
        <x:v>UR I2 Structural Requirements for Polar Class Ships</x:v>
      </x:c>
      <x:c r="C16" s="47" t="str">
        <x:v>Rev.4 Dec 2019</x:v>
      </x:c>
      <x:c r="D16" s="59" t="n">
        <x:v>5</x:v>
      </x:c>
      <x:c r="E16" s="47" t="str">
        <x:v>I2.3.2.1</x:v>
      </x:c>
      <x:c r="F16" s="47" t="str">
        <x:v>Static Calculation</x:v>
      </x:c>
      <x:c r="G16" s="48" t="str">
        <x:v>Stage 2 candidate - direct/deterministic</x:v>
      </x:c>
      <x:c r="H16" s="47" t="str">
        <x:v>High</x:v>
      </x:c>
      <x:c r="I16" s="47" t="str">
        <x:v>No</x:v>
      </x:c>
      <x:c r="J16" s="47" t="str">
        <x:v>ELIGIBLE</x:v>
      </x:c>
      <x:c r="K16" s="47" t="str">
        <x:v>NOT_RUN</x:v>
      </x:c>
    </x:row>
    <x:row r="17">
      <x:c r="A17" s="47" t="str">
        <x:v>I2-015</x:v>
      </x:c>
      <x:c r="B17" s="48" t="str">
        <x:v>UR I2 Structural Requirements for Polar Class Ships</x:v>
      </x:c>
      <x:c r="C17" s="47" t="str">
        <x:v>Rev.4 Dec 2019</x:v>
      </x:c>
      <x:c r="D17" s="59" t="n">
        <x:v>5</x:v>
      </x:c>
      <x:c r="E17" s="47" t="str">
        <x:v>I2.3.2.1</x:v>
      </x:c>
      <x:c r="F17" s="47" t="str">
        <x:v>Complex</x:v>
      </x:c>
      <x:c r="G17" s="48" t="str">
        <x:v>Stage 2 candidate - complex readiness</x:v>
      </x:c>
      <x:c r="H17" s="47" t="str">
        <x:v>Complex readiness</x:v>
      </x:c>
      <x:c r="I17" s="47" t="str">
        <x:v>No</x:v>
      </x:c>
      <x:c r="J17" s="47" t="str">
        <x:v>ELIGIBLE</x:v>
      </x:c>
      <x:c r="K17" s="47" t="str">
        <x:v>NOT_RUN</x:v>
      </x:c>
    </x:row>
    <x:row r="18">
      <x:c r="A18" s="47" t="str">
        <x:v>I2-017</x:v>
      </x:c>
      <x:c r="B18" s="48" t="str">
        <x:v>UR I2 Structural Requirements for Polar Class Ships</x:v>
      </x:c>
      <x:c r="C18" s="47" t="str">
        <x:v>Rev.4 Dec 2019</x:v>
      </x:c>
      <x:c r="D18" s="59" t="n">
        <x:v>6</x:v>
      </x:c>
      <x:c r="E18" s="47" t="str">
        <x:v>I2.3.2.2</x:v>
      </x:c>
      <x:c r="F18" s="47" t="str">
        <x:v>Complex</x:v>
      </x:c>
      <x:c r="G18" s="48" t="str">
        <x:v>Stage 2 candidate - complex readiness</x:v>
      </x:c>
      <x:c r="H18" s="47" t="str">
        <x:v>Complex readiness</x:v>
      </x:c>
      <x:c r="I18" s="47" t="str">
        <x:v>No</x:v>
      </x:c>
      <x:c r="J18" s="47" t="str">
        <x:v>ELIGIBLE</x:v>
      </x:c>
      <x:c r="K18" s="47" t="str">
        <x:v>NOT_RUN</x:v>
      </x:c>
    </x:row>
    <x:row r="19">
      <x:c r="A19" s="47" t="str">
        <x:v>I2-018</x:v>
      </x:c>
      <x:c r="B19" s="48" t="str">
        <x:v>UR I2 Structural Requirements for Polar Class Ships</x:v>
      </x:c>
      <x:c r="C19" s="47" t="str">
        <x:v>Rev.4 Dec 2019</x:v>
      </x:c>
      <x:c r="D19" s="59" t="n">
        <x:v>7</x:v>
      </x:c>
      <x:c r="E19" s="47" t="str">
        <x:v>I2.3.4</x:v>
      </x:c>
      <x:c r="F19" s="47" t="str">
        <x:v>Static Calculation</x:v>
      </x:c>
      <x:c r="G19" s="48" t="str">
        <x:v>Stage 2 candidate - direct/deterministic</x:v>
      </x:c>
      <x:c r="H19" s="47" t="str">
        <x:v>Medium</x:v>
      </x:c>
      <x:c r="I19" s="47" t="str">
        <x:v>No</x:v>
      </x:c>
      <x:c r="J19" s="47" t="str">
        <x:v>ELIGIBLE</x:v>
      </x:c>
      <x:c r="K19" s="47" t="str">
        <x:v>NOT_RUN</x:v>
      </x:c>
    </x:row>
    <x:row r="20">
      <x:c r="A20" s="47" t="str">
        <x:v>I2-019</x:v>
      </x:c>
      <x:c r="B20" s="48" t="str">
        <x:v>UR I2 Structural Requirements for Polar Class Ships</x:v>
      </x:c>
      <x:c r="C20" s="47" t="str">
        <x:v>Rev.4 Dec 2019</x:v>
      </x:c>
      <x:c r="D20" s="59" t="n">
        <x:v>7</x:v>
      </x:c>
      <x:c r="E20" s="47" t="str">
        <x:v>I2.3.5</x:v>
      </x:c>
      <x:c r="F20" s="47" t="str">
        <x:v>Static Calculation</x:v>
      </x:c>
      <x:c r="G20" s="48" t="str">
        <x:v>Stage 2 candidate - direct/deterministic</x:v>
      </x:c>
      <x:c r="H20" s="47" t="str">
        <x:v>High</x:v>
      </x:c>
      <x:c r="I20" s="47" t="str">
        <x:v>No</x:v>
      </x:c>
      <x:c r="J20" s="47" t="str">
        <x:v>ELIGIBLE</x:v>
      </x:c>
      <x:c r="K20" s="47" t="str">
        <x:v>NOT_RUN</x:v>
      </x:c>
    </x:row>
    <x:row r="21">
      <x:c r="A21" s="47" t="str">
        <x:v>I2-021</x:v>
      </x:c>
      <x:c r="B21" s="48" t="str">
        <x:v>UR I2 Structural Requirements for Polar Class Ships</x:v>
      </x:c>
      <x:c r="C21" s="47" t="str">
        <x:v>Rev.4 Dec 2019</x:v>
      </x:c>
      <x:c r="D21" s="59" t="n">
        <x:v>8</x:v>
      </x:c>
      <x:c r="E21" s="47" t="str">
        <x:v>I2.4.1</x:v>
      </x:c>
      <x:c r="F21" s="47" t="str">
        <x:v>Static Calculation</x:v>
      </x:c>
      <x:c r="G21" s="48" t="str">
        <x:v>Stage 2 candidate - direct/deterministic</x:v>
      </x:c>
      <x:c r="H21" s="47" t="str">
        <x:v>Medium</x:v>
      </x:c>
      <x:c r="I21" s="47" t="str">
        <x:v>No</x:v>
      </x:c>
      <x:c r="J21" s="47" t="str">
        <x:v>ELIGIBLE</x:v>
      </x:c>
      <x:c r="K21" s="47" t="str">
        <x:v>NOT_RUN</x:v>
      </x:c>
    </x:row>
    <x:row r="22">
      <x:c r="A22" s="47" t="str">
        <x:v>I2-022</x:v>
      </x:c>
      <x:c r="B22" s="48" t="str">
        <x:v>UR I2 Structural Requirements for Polar Class Ships</x:v>
      </x:c>
      <x:c r="C22" s="47" t="str">
        <x:v>Rev.4 Dec 2019</x:v>
      </x:c>
      <x:c r="D22" s="59" t="n">
        <x:v>8</x:v>
      </x:c>
      <x:c r="E22" s="47" t="str">
        <x:v>I2.4.2</x:v>
      </x:c>
      <x:c r="F22" s="47" t="str">
        <x:v>Complex</x:v>
      </x:c>
      <x:c r="G22" s="48" t="str">
        <x:v>Stage 2 candidate - complex readiness</x:v>
      </x:c>
      <x:c r="H22" s="47" t="str">
        <x:v>Complex readiness</x:v>
      </x:c>
      <x:c r="I22" s="47" t="str">
        <x:v>No</x:v>
      </x:c>
      <x:c r="J22" s="47" t="str">
        <x:v>ELIGIBLE</x:v>
      </x:c>
      <x:c r="K22" s="47" t="str">
        <x:v>NOT_RUN</x:v>
      </x:c>
    </x:row>
    <x:row r="23">
      <x:c r="A23" s="47" t="str">
        <x:v>I2-023</x:v>
      </x:c>
      <x:c r="B23" s="48" t="str">
        <x:v>UR I2 Structural Requirements for Polar Class Ships</x:v>
      </x:c>
      <x:c r="C23" s="47" t="str">
        <x:v>Rev.4 Dec 2019</x:v>
      </x:c>
      <x:c r="D23" s="59" t="n">
        <x:v>9</x:v>
      </x:c>
      <x:c r="E23" s="47" t="str">
        <x:v>I2.4.2</x:v>
      </x:c>
      <x:c r="F23" s="47" t="str">
        <x:v>Complex</x:v>
      </x:c>
      <x:c r="G23" s="48" t="str">
        <x:v>Stage 2 candidate - complex readiness</x:v>
      </x:c>
      <x:c r="H23" s="47" t="str">
        <x:v>Complex readiness</x:v>
      </x:c>
      <x:c r="I23" s="47" t="str">
        <x:v>No</x:v>
      </x:c>
      <x:c r="J23" s="47" t="str">
        <x:v>ELIGIBLE</x:v>
      </x:c>
      <x:c r="K23" s="47" t="str">
        <x:v>NOT_RUN</x:v>
      </x:c>
    </x:row>
    <x:row r="24">
      <x:c r="A24" s="47" t="str">
        <x:v>I2-024</x:v>
      </x:c>
      <x:c r="B24" s="48" t="str">
        <x:v>UR I2 Structural Requirements for Polar Class Ships</x:v>
      </x:c>
      <x:c r="C24" s="47" t="str">
        <x:v>Rev.4 Dec 2019</x:v>
      </x:c>
      <x:c r="D24" s="59" t="n">
        <x:v>9</x:v>
      </x:c>
      <x:c r="E24" s="47" t="str">
        <x:v>I2.4.2</x:v>
      </x:c>
      <x:c r="F24" s="47" t="str">
        <x:v>Complex</x:v>
      </x:c>
      <x:c r="G24" s="48" t="str">
        <x:v>Stage 2 candidate - complex readiness</x:v>
      </x:c>
      <x:c r="H24" s="47" t="str">
        <x:v>Complex readiness</x:v>
      </x:c>
      <x:c r="I24" s="47" t="str">
        <x:v>No</x:v>
      </x:c>
      <x:c r="J24" s="47" t="str">
        <x:v>ELIGIBLE</x:v>
      </x:c>
      <x:c r="K24" s="47" t="str">
        <x:v>NOT_RUN</x:v>
      </x:c>
    </x:row>
    <x:row r="25">
      <x:c r="A25" s="47" t="str">
        <x:v>I2-026</x:v>
      </x:c>
      <x:c r="B25" s="48" t="str">
        <x:v>UR I2 Structural Requirements for Polar Class Ships</x:v>
      </x:c>
      <x:c r="C25" s="47" t="str">
        <x:v>Rev.4 Dec 2019</x:v>
      </x:c>
      <x:c r="D25" s="59" t="n">
        <x:v>10</x:v>
      </x:c>
      <x:c r="E25" s="47" t="str">
        <x:v>I2.5.3</x:v>
      </x:c>
      <x:c r="F25" s="47" t="str">
        <x:v>Static</x:v>
      </x:c>
      <x:c r="G25" s="48" t="str">
        <x:v>Stage 2 candidate - direct/deterministic</x:v>
      </x:c>
      <x:c r="H25" s="47" t="str">
        <x:v>High</x:v>
      </x:c>
      <x:c r="I25" s="47" t="str">
        <x:v>No</x:v>
      </x:c>
      <x:c r="J25" s="47" t="str">
        <x:v>ELIGIBLE</x:v>
      </x:c>
      <x:c r="K25" s="47" t="str">
        <x:v>NOT_RUN</x:v>
      </x:c>
    </x:row>
    <x:row r="26">
      <x:c r="A26" s="47" t="str">
        <x:v>I2-029</x:v>
      </x:c>
      <x:c r="B26" s="48" t="str">
        <x:v>UR I2 Structural Requirements for Polar Class Ships</x:v>
      </x:c>
      <x:c r="C26" s="47" t="str">
        <x:v>Rev.4 Dec 2019</x:v>
      </x:c>
      <x:c r="D26" s="59" t="n">
        <x:v>10</x:v>
      </x:c>
      <x:c r="E26" s="47" t="str">
        <x:v>I2.5.6</x:v>
      </x:c>
      <x:c r="F26" s="47" t="str">
        <x:v>Static</x:v>
      </x:c>
      <x:c r="G26" s="48" t="str">
        <x:v>Stage 2 candidate - direct static</x:v>
      </x:c>
      <x:c r="H26" s="47" t="str">
        <x:v>Direct static</x:v>
      </x:c>
      <x:c r="I26" s="47" t="str">
        <x:v>No</x:v>
      </x:c>
      <x:c r="J26" s="47" t="str">
        <x:v>ELIGIBLE</x:v>
      </x:c>
      <x:c r="K26" s="47" t="str">
        <x:v>NOT_RUN</x:v>
      </x:c>
    </x:row>
    <x:row r="27">
      <x:c r="A27" s="47" t="str">
        <x:v>I2-030</x:v>
      </x:c>
      <x:c r="B27" s="48" t="str">
        <x:v>UR I2 Structural Requirements for Polar Class Ships</x:v>
      </x:c>
      <x:c r="C27" s="47" t="str">
        <x:v>Rev.4 Dec 2019</x:v>
      </x:c>
      <x:c r="D27" s="59" t="n">
        <x:v>11</x:v>
      </x:c>
      <x:c r="E27" s="47" t="str">
        <x:v>I2.5.8-I2.5.9</x:v>
      </x:c>
      <x:c r="F27" s="47" t="str">
        <x:v>Complex</x:v>
      </x:c>
      <x:c r="G27" s="48" t="str">
        <x:v>Stage 2 candidate - complex readiness</x:v>
      </x:c>
      <x:c r="H27" s="47" t="str">
        <x:v>Complex readiness</x:v>
      </x:c>
      <x:c r="I27" s="47" t="str">
        <x:v>No</x:v>
      </x:c>
      <x:c r="J27" s="47" t="str">
        <x:v>ELIGIBLE</x:v>
      </x:c>
      <x:c r="K27" s="47" t="str">
        <x:v>NOT_RUN</x:v>
      </x:c>
    </x:row>
    <x:row r="28">
      <x:c r="A28" s="47" t="str">
        <x:v>I2-031</x:v>
      </x:c>
      <x:c r="B28" s="48" t="str">
        <x:v>UR I2 Structural Requirements for Polar Class Ships</x:v>
      </x:c>
      <x:c r="C28" s="47" t="str">
        <x:v>Rev.4 Dec 2019</x:v>
      </x:c>
      <x:c r="D28" s="59" t="n">
        <x:v>12</x:v>
      </x:c>
      <x:c r="E28" s="47" t="str">
        <x:v>I2.6.1</x:v>
      </x:c>
      <x:c r="F28" s="47" t="str">
        <x:v>Static</x:v>
      </x:c>
      <x:c r="G28" s="48" t="str">
        <x:v>Stage 2 candidate - direct/deterministic</x:v>
      </x:c>
      <x:c r="H28" s="47" t="str">
        <x:v>High</x:v>
      </x:c>
      <x:c r="I28" s="47" t="str">
        <x:v>No</x:v>
      </x:c>
      <x:c r="J28" s="47" t="str">
        <x:v>ELIGIBLE</x:v>
      </x:c>
      <x:c r="K28" s="47" t="str">
        <x:v>NOT_RUN</x:v>
      </x:c>
    </x:row>
    <x:row r="29">
      <x:c r="A29" s="47" t="str">
        <x:v>I2-032</x:v>
      </x:c>
      <x:c r="B29" s="48" t="str">
        <x:v>UR I2 Structural Requirements for Polar Class Ships</x:v>
      </x:c>
      <x:c r="C29" s="47" t="str">
        <x:v>Rev.4 Dec 2019</x:v>
      </x:c>
      <x:c r="D29" s="59" t="n">
        <x:v>12</x:v>
      </x:c>
      <x:c r="E29" s="47" t="str">
        <x:v>I2.6.2</x:v>
      </x:c>
      <x:c r="F29" s="47" t="str">
        <x:v>Static Calculation</x:v>
      </x:c>
      <x:c r="G29" s="48" t="str">
        <x:v>Stage 2 candidate - direct/deterministic</x:v>
      </x:c>
      <x:c r="H29" s="47" t="str">
        <x:v>Medium</x:v>
      </x:c>
      <x:c r="I29" s="47" t="str">
        <x:v>No</x:v>
      </x:c>
      <x:c r="J29" s="47" t="str">
        <x:v>ELIGIBLE</x:v>
      </x:c>
      <x:c r="K29" s="47" t="str">
        <x:v>NOT_RUN</x:v>
      </x:c>
    </x:row>
    <x:row r="30">
      <x:c r="A30" s="47" t="str">
        <x:v>I2-034</x:v>
      </x:c>
      <x:c r="B30" s="48" t="str">
        <x:v>UR I2 Structural Requirements for Polar Class Ships</x:v>
      </x:c>
      <x:c r="C30" s="47" t="str">
        <x:v>Rev.4 Dec 2019</x:v>
      </x:c>
      <x:c r="D30" s="59" t="n">
        <x:v>13</x:v>
      </x:c>
      <x:c r="E30" s="47" t="str">
        <x:v>I2.7.1</x:v>
      </x:c>
      <x:c r="F30" s="47" t="str">
        <x:v>Static</x:v>
      </x:c>
      <x:c r="G30" s="48" t="str">
        <x:v>Stage 2 candidate - direct/deterministic</x:v>
      </x:c>
      <x:c r="H30" s="47" t="str">
        <x:v>High</x:v>
      </x:c>
      <x:c r="I30" s="47" t="str">
        <x:v>No</x:v>
      </x:c>
      <x:c r="J30" s="47" t="str">
        <x:v>ELIGIBLE</x:v>
      </x:c>
      <x:c r="K30" s="47" t="str">
        <x:v>NOT_RUN</x:v>
      </x:c>
    </x:row>
    <x:row r="31">
      <x:c r="A31" s="47" t="str">
        <x:v>I2-035</x:v>
      </x:c>
      <x:c r="B31" s="48" t="str">
        <x:v>UR I2 Structural Requirements for Polar Class Ships</x:v>
      </x:c>
      <x:c r="C31" s="47" t="str">
        <x:v>Rev.4 Dec 2019</x:v>
      </x:c>
      <x:c r="D31" s="59" t="n">
        <x:v>13</x:v>
      </x:c>
      <x:c r="E31" s="47" t="str">
        <x:v>I2.7.2</x:v>
      </x:c>
      <x:c r="F31" s="47" t="str">
        <x:v>Static Calculation</x:v>
      </x:c>
      <x:c r="G31" s="48" t="str">
        <x:v>Stage 2 candidate - direct/deterministic</x:v>
      </x:c>
      <x:c r="H31" s="47" t="str">
        <x:v>Medium</x:v>
      </x:c>
      <x:c r="I31" s="47" t="str">
        <x:v>No</x:v>
      </x:c>
      <x:c r="J31" s="47" t="str">
        <x:v>ELIGIBLE</x:v>
      </x:c>
      <x:c r="K31" s="47" t="str">
        <x:v>NOT_RUN</x:v>
      </x:c>
    </x:row>
    <x:row r="32">
      <x:c r="A32" s="47" t="str">
        <x:v>I2-037</x:v>
      </x:c>
      <x:c r="B32" s="48" t="str">
        <x:v>UR I2 Structural Requirements for Polar Class Ships</x:v>
      </x:c>
      <x:c r="C32" s="47" t="str">
        <x:v>Rev.4 Dec 2019</x:v>
      </x:c>
      <x:c r="D32" s="59" t="n">
        <x:v>13</x:v>
      </x:c>
      <x:c r="E32" s="47" t="str">
        <x:v>I2.8.1</x:v>
      </x:c>
      <x:c r="F32" s="47" t="str">
        <x:v>Static</x:v>
      </x:c>
      <x:c r="G32" s="48" t="str">
        <x:v>Stage 2 candidate - direct/deterministic</x:v>
      </x:c>
      <x:c r="H32" s="47" t="str">
        <x:v>High</x:v>
      </x:c>
      <x:c r="I32" s="47" t="str">
        <x:v>No</x:v>
      </x:c>
      <x:c r="J32" s="47" t="str">
        <x:v>ELIGIBLE</x:v>
      </x:c>
      <x:c r="K32" s="47" t="str">
        <x:v>NOT_RUN</x:v>
      </x:c>
    </x:row>
    <x:row r="33">
      <x:c r="A33" s="47" t="str">
        <x:v>I2-040</x:v>
      </x:c>
      <x:c r="B33" s="48" t="str">
        <x:v>UR I2 Structural Requirements for Polar Class Ships</x:v>
      </x:c>
      <x:c r="C33" s="47" t="str">
        <x:v>Rev.4 Dec 2019</x:v>
      </x:c>
      <x:c r="D33" s="59" t="n">
        <x:v>14</x:v>
      </x:c>
      <x:c r="E33" s="47" t="str">
        <x:v>I2.9.1</x:v>
      </x:c>
      <x:c r="F33" s="47" t="str">
        <x:v>Complex</x:v>
      </x:c>
      <x:c r="G33" s="48" t="str">
        <x:v>Stage 2 candidate - complex readiness</x:v>
      </x:c>
      <x:c r="H33" s="47" t="str">
        <x:v>Complex readiness</x:v>
      </x:c>
      <x:c r="I33" s="47" t="str">
        <x:v>No</x:v>
      </x:c>
      <x:c r="J33" s="47" t="str">
        <x:v>ELIGIBLE</x:v>
      </x:c>
      <x:c r="K33" s="47" t="str">
        <x:v>NOT_RUN</x:v>
      </x:c>
    </x:row>
    <x:row r="34">
      <x:c r="A34" s="47" t="str">
        <x:v>I2-041</x:v>
      </x:c>
      <x:c r="B34" s="48" t="str">
        <x:v>UR I2 Structural Requirements for Polar Class Ships</x:v>
      </x:c>
      <x:c r="C34" s="47" t="str">
        <x:v>Rev.4 Dec 2019</x:v>
      </x:c>
      <x:c r="D34" s="59" t="n">
        <x:v>15</x:v>
      </x:c>
      <x:c r="E34" s="47" t="str">
        <x:v>I2.9.3</x:v>
      </x:c>
      <x:c r="F34" s="47" t="str">
        <x:v>Complex</x:v>
      </x:c>
      <x:c r="G34" s="48" t="str">
        <x:v>Stage 2 candidate - complex readiness</x:v>
      </x:c>
      <x:c r="H34" s="47" t="str">
        <x:v>Complex readiness</x:v>
      </x:c>
      <x:c r="I34" s="47" t="str">
        <x:v>No</x:v>
      </x:c>
      <x:c r="J34" s="47" t="str">
        <x:v>ELIGIBLE</x:v>
      </x:c>
      <x:c r="K34" s="47" t="str">
        <x:v>NOT_RUN</x:v>
      </x:c>
    </x:row>
    <x:row r="35">
      <x:c r="A35" s="47" t="str">
        <x:v>I2-042</x:v>
      </x:c>
      <x:c r="B35" s="48" t="str">
        <x:v>UR I2 Structural Requirements for Polar Class Ships</x:v>
      </x:c>
      <x:c r="C35" s="47" t="str">
        <x:v>Rev.4 Dec 2019</x:v>
      </x:c>
      <x:c r="D35" s="59" t="n">
        <x:v>15</x:v>
      </x:c>
      <x:c r="E35" s="47" t="str">
        <x:v>I2.9.4</x:v>
      </x:c>
      <x:c r="F35" s="47" t="str">
        <x:v>Static Calculation</x:v>
      </x:c>
      <x:c r="G35" s="48" t="str">
        <x:v>Stage 2 candidate - direct/deterministic</x:v>
      </x:c>
      <x:c r="H35" s="47" t="str">
        <x:v>High</x:v>
      </x:c>
      <x:c r="I35" s="47" t="str">
        <x:v>No</x:v>
      </x:c>
      <x:c r="J35" s="47" t="str">
        <x:v>ELIGIBLE</x:v>
      </x:c>
      <x:c r="K35" s="47" t="str">
        <x:v>NOT_RUN</x:v>
      </x:c>
    </x:row>
    <x:row r="36">
      <x:c r="A36" s="47" t="str">
        <x:v>I2-043</x:v>
      </x:c>
      <x:c r="B36" s="48" t="str">
        <x:v>UR I2 Structural Requirements for Polar Class Ships</x:v>
      </x:c>
      <x:c r="C36" s="47" t="str">
        <x:v>Rev.4 Dec 2019</x:v>
      </x:c>
      <x:c r="D36" s="59" t="n">
        <x:v>15</x:v>
      </x:c>
      <x:c r="E36" s="47" t="str">
        <x:v>I2.9.4</x:v>
      </x:c>
      <x:c r="F36" s="47" t="str">
        <x:v>Complex</x:v>
      </x:c>
      <x:c r="G36" s="48" t="str">
        <x:v>Stage 2 candidate - complex readiness</x:v>
      </x:c>
      <x:c r="H36" s="47" t="str">
        <x:v>Complex readiness</x:v>
      </x:c>
      <x:c r="I36" s="47" t="str">
        <x:v>No</x:v>
      </x:c>
      <x:c r="J36" s="47" t="str">
        <x:v>ELIGIBLE</x:v>
      </x:c>
      <x:c r="K36" s="47" t="str">
        <x:v>NOT_RUN</x:v>
      </x:c>
    </x:row>
    <x:row r="37">
      <x:c r="A37" s="47" t="str">
        <x:v>I2-046</x:v>
      </x:c>
      <x:c r="B37" s="48" t="str">
        <x:v>UR I2 Structural Requirements for Polar Class Ships</x:v>
      </x:c>
      <x:c r="C37" s="47" t="str">
        <x:v>Rev.4 Dec 2019</x:v>
      </x:c>
      <x:c r="D37" s="59" t="n">
        <x:v>15</x:v>
      </x:c>
      <x:c r="E37" s="47" t="str">
        <x:v>I2.11.3</x:v>
      </x:c>
      <x:c r="F37" s="47" t="str">
        <x:v>Static Calculation</x:v>
      </x:c>
      <x:c r="G37" s="48" t="str">
        <x:v>Stage 2 candidate - direct/deterministic</x:v>
      </x:c>
      <x:c r="H37" s="47" t="str">
        <x:v>High</x:v>
      </x:c>
      <x:c r="I37" s="47" t="str">
        <x:v>No</x:v>
      </x:c>
      <x:c r="J37" s="47" t="str">
        <x:v>ELIGIBLE</x:v>
      </x:c>
      <x:c r="K37" s="47" t="str">
        <x:v>NOT_RUN</x:v>
      </x:c>
    </x:row>
    <x:row r="38">
      <x:c r="A38" s="47" t="str">
        <x:v>I2-047</x:v>
      </x:c>
      <x:c r="B38" s="48" t="str">
        <x:v>UR I2 Structural Requirements for Polar Class Ships</x:v>
      </x:c>
      <x:c r="C38" s="47" t="str">
        <x:v>Rev.4 Dec 2019</x:v>
      </x:c>
      <x:c r="D38" s="59" t="n">
        <x:v>16</x:v>
      </x:c>
      <x:c r="E38" s="47" t="str">
        <x:v>I2.11.4</x:v>
      </x:c>
      <x:c r="F38" s="47" t="str">
        <x:v>Static Calculation</x:v>
      </x:c>
      <x:c r="G38" s="48" t="str">
        <x:v>Stage 2 candidate - direct/deterministic</x:v>
      </x:c>
      <x:c r="H38" s="47" t="str">
        <x:v>High</x:v>
      </x:c>
      <x:c r="I38" s="47" t="str">
        <x:v>No</x:v>
      </x:c>
      <x:c r="J38" s="47" t="str">
        <x:v>ELIGIBLE</x:v>
      </x:c>
      <x:c r="K38" s="47" t="str">
        <x:v>NOT_RUN</x:v>
      </x:c>
    </x:row>
    <x:row r="39">
      <x:c r="A39" s="47" t="str">
        <x:v>I2-048</x:v>
      </x:c>
      <x:c r="B39" s="48" t="str">
        <x:v>UR I2 Structural Requirements for Polar Class Ships</x:v>
      </x:c>
      <x:c r="C39" s="47" t="str">
        <x:v>Rev.4 Dec 2019</x:v>
      </x:c>
      <x:c r="D39" s="59" t="n">
        <x:v>16</x:v>
      </x:c>
      <x:c r="E39" s="47" t="str">
        <x:v>I2.12.1</x:v>
      </x:c>
      <x:c r="F39" s="47" t="str">
        <x:v>Static</x:v>
      </x:c>
      <x:c r="G39" s="48" t="str">
        <x:v>Stage 2 candidate - direct static</x:v>
      </x:c>
      <x:c r="H39" s="47" t="str">
        <x:v>Direct static</x:v>
      </x:c>
      <x:c r="I39" s="47" t="str">
        <x:v>No</x:v>
      </x:c>
      <x:c r="J39" s="47" t="str">
        <x:v>ELIGIBLE</x:v>
      </x:c>
      <x:c r="K39" s="47" t="str">
        <x:v>NOT_RUN</x:v>
      </x:c>
    </x:row>
    <x:row r="40">
      <x:c r="A40" s="47" t="str">
        <x:v>I2-050</x:v>
      </x:c>
      <x:c r="B40" s="48" t="str">
        <x:v>UR I2 Structural Requirements for Polar Class Ships</x:v>
      </x:c>
      <x:c r="C40" s="47" t="str">
        <x:v>Rev.4 Dec 2019</x:v>
      </x:c>
      <x:c r="D40" s="59" t="n">
        <x:v>18</x:v>
      </x:c>
      <x:c r="E40" s="47" t="str">
        <x:v>I2.13.2.1</x:v>
      </x:c>
      <x:c r="F40" s="47" t="str">
        <x:v>Complex</x:v>
      </x:c>
      <x:c r="G40" s="48" t="str">
        <x:v>Stage 2 candidate - complex readiness</x:v>
      </x:c>
      <x:c r="H40" s="47" t="str">
        <x:v>Complex readiness</x:v>
      </x:c>
      <x:c r="I40" s="47" t="str">
        <x:v>No</x:v>
      </x:c>
      <x:c r="J40" s="47" t="str">
        <x:v>ELIGIBLE</x:v>
      </x:c>
      <x:c r="K40" s="47" t="str">
        <x:v>NOT_RUN</x:v>
      </x:c>
    </x:row>
    <x:row r="41">
      <x:c r="A41" s="47" t="str">
        <x:v>I2-051</x:v>
      </x:c>
      <x:c r="B41" s="48" t="str">
        <x:v>UR I2 Structural Requirements for Polar Class Ships</x:v>
      </x:c>
      <x:c r="C41" s="47" t="str">
        <x:v>Rev.4 Dec 2019</x:v>
      </x:c>
      <x:c r="D41" s="59" t="n">
        <x:v>19</x:v>
      </x:c>
      <x:c r="E41" s="47" t="str">
        <x:v>I2.13.3.1</x:v>
      </x:c>
      <x:c r="F41" s="47" t="str">
        <x:v>Static Calculation</x:v>
      </x:c>
      <x:c r="G41" s="48" t="str">
        <x:v>Stage 2 candidate - direct/deterministic</x:v>
      </x:c>
      <x:c r="H41" s="47" t="str">
        <x:v>High</x:v>
      </x:c>
      <x:c r="I41" s="47" t="str">
        <x:v>No</x:v>
      </x:c>
      <x:c r="J41" s="47" t="str">
        <x:v>ELIGIBLE</x:v>
      </x:c>
      <x:c r="K41" s="47" t="str">
        <x:v>NOT_RUN</x:v>
      </x:c>
    </x:row>
    <x:row r="42">
      <x:c r="A42" s="47" t="str">
        <x:v>I2-052</x:v>
      </x:c>
      <x:c r="B42" s="48" t="str">
        <x:v>UR I2 Structural Requirements for Polar Class Ships</x:v>
      </x:c>
      <x:c r="C42" s="47" t="str">
        <x:v>Rev.4 Dec 2019</x:v>
      </x:c>
      <x:c r="D42" s="59" t="n">
        <x:v>19</x:v>
      </x:c>
      <x:c r="E42" s="47" t="str">
        <x:v>I2.13.3.1</x:v>
      </x:c>
      <x:c r="F42" s="47" t="str">
        <x:v>Complex</x:v>
      </x:c>
      <x:c r="G42" s="48" t="str">
        <x:v>Stage 2 candidate - complex readiness</x:v>
      </x:c>
      <x:c r="H42" s="47" t="str">
        <x:v>Complex readiness</x:v>
      </x:c>
      <x:c r="I42" s="47" t="str">
        <x:v>No</x:v>
      </x:c>
      <x:c r="J42" s="47" t="str">
        <x:v>ELIGIBLE</x:v>
      </x:c>
      <x:c r="K42" s="47" t="str">
        <x:v>NOT_RUN</x:v>
      </x:c>
    </x:row>
    <x:row r="43">
      <x:c r="A43" s="47" t="str">
        <x:v>I2-053</x:v>
      </x:c>
      <x:c r="B43" s="48" t="str">
        <x:v>UR I2 Structural Requirements for Polar Class Ships</x:v>
      </x:c>
      <x:c r="C43" s="47" t="str">
        <x:v>Rev.4 Dec 2019</x:v>
      </x:c>
      <x:c r="D43" s="59" t="n">
        <x:v>20</x:v>
      </x:c>
      <x:c r="E43" s="47" t="str">
        <x:v>I2.13.3.2</x:v>
      </x:c>
      <x:c r="F43" s="47" t="str">
        <x:v>Complex</x:v>
      </x:c>
      <x:c r="G43" s="48" t="str">
        <x:v>Deferred - complex readiness owner/path incomplete</x:v>
      </x:c>
      <x:c r="H43" s="47" t="str">
        <x:v>Deferred</x:v>
      </x:c>
      <x:c r="I43" s="47" t="str">
        <x:v>No</x:v>
      </x:c>
      <x:c r="J43" s="47" t="str">
        <x:v>DEFERRED</x:v>
      </x:c>
      <x:c r="K43" s="47" t="str">
        <x:v>NOT_RUN</x:v>
      </x:c>
    </x:row>
    <x:row r="44">
      <x:c r="A44" s="47" t="str">
        <x:v>I2-054</x:v>
      </x:c>
      <x:c r="B44" s="48" t="str">
        <x:v>UR I2 Structural Requirements for Polar Class Ships</x:v>
      </x:c>
      <x:c r="C44" s="47" t="str">
        <x:v>Rev.4 Dec 2019</x:v>
      </x:c>
      <x:c r="D44" s="59" t="n">
        <x:v>20</x:v>
      </x:c>
      <x:c r="E44" s="47" t="str">
        <x:v>I2.13.4.1</x:v>
      </x:c>
      <x:c r="F44" s="47" t="str">
        <x:v>Complex</x:v>
      </x:c>
      <x:c r="G44" s="48" t="str">
        <x:v>Stage 2 candidate - complex readiness</x:v>
      </x:c>
      <x:c r="H44" s="47" t="str">
        <x:v>Complex readiness</x:v>
      </x:c>
      <x:c r="I44" s="47" t="str">
        <x:v>No</x:v>
      </x:c>
      <x:c r="J44" s="47" t="str">
        <x:v>ELIGIBLE</x:v>
      </x:c>
      <x:c r="K44" s="47" t="str">
        <x:v>NOT_RUN</x:v>
      </x:c>
    </x:row>
    <x:row r="45">
      <x:c r="A45" s="47" t="str">
        <x:v>I2-055</x:v>
      </x:c>
      <x:c r="B45" s="48" t="str">
        <x:v>UR I2 Structural Requirements for Polar Class Ships</x:v>
      </x:c>
      <x:c r="C45" s="47" t="str">
        <x:v>Rev.4 Dec 2019</x:v>
      </x:c>
      <x:c r="D45" s="59" t="n">
        <x:v>20</x:v>
      </x:c>
      <x:c r="E45" s="47" t="str">
        <x:v>I2.13.5.1</x:v>
      </x:c>
      <x:c r="F45" s="47" t="str">
        <x:v>Static</x:v>
      </x:c>
      <x:c r="G45" s="48" t="str">
        <x:v>Stage 2 candidate - direct static</x:v>
      </x:c>
      <x:c r="H45" s="47" t="str">
        <x:v>Direct static</x:v>
      </x:c>
      <x:c r="I45" s="47" t="str">
        <x:v>No</x:v>
      </x:c>
      <x:c r="J45" s="47" t="str">
        <x:v>ELIGIBLE</x:v>
      </x:c>
      <x:c r="K45" s="47" t="str">
        <x:v>NOT_RUN</x:v>
      </x:c>
    </x:row>
    <x:row r="46">
      <x:c r="A46" s="47" t="str">
        <x:v>I2-060</x:v>
      </x:c>
      <x:c r="B46" s="48" t="str">
        <x:v>UR I2 Structural Requirements for Polar Class Ships</x:v>
      </x:c>
      <x:c r="C46" s="47" t="str">
        <x:v>Rev.4 Dec 2019</x:v>
      </x:c>
      <x:c r="D46" s="59" t="n">
        <x:v>21</x:v>
      </x:c>
      <x:c r="E46" s="47" t="str">
        <x:v>I2.16.2</x:v>
      </x:c>
      <x:c r="F46" s="47" t="str">
        <x:v>Static</x:v>
      </x:c>
      <x:c r="G46" s="48" t="str">
        <x:v>Stage 2 candidate - direct/deterministic</x:v>
      </x:c>
      <x:c r="H46" s="47" t="str">
        <x:v>High</x:v>
      </x:c>
      <x:c r="I46" s="47" t="str">
        <x:v>No</x:v>
      </x:c>
      <x:c r="J46" s="47" t="str">
        <x:v>ELIGIBLE</x:v>
      </x:c>
      <x:c r="K46" s="47" t="str">
        <x:v>NOT_RUN</x:v>
      </x:c>
    </x:row>
    <x:row r="47">
      <x:c r="A47" s="47" t="str">
        <x:v>I2-061</x:v>
      </x:c>
      <x:c r="B47" s="48" t="str">
        <x:v>UR I2 Structural Requirements for Polar Class Ships</x:v>
      </x:c>
      <x:c r="C47" s="47" t="str">
        <x:v>Rev.4 Dec 2019</x:v>
      </x:c>
      <x:c r="D47" s="59" t="n">
        <x:v>21</x:v>
      </x:c>
      <x:c r="E47" s="47" t="str">
        <x:v>I2.17.1</x:v>
      </x:c>
      <x:c r="F47" s="47" t="str">
        <x:v>Static</x:v>
      </x:c>
      <x:c r="G47" s="48" t="str">
        <x:v>Stage 2 candidate - direct/deterministic</x:v>
      </x:c>
      <x:c r="H47" s="47" t="str">
        <x:v>High</x:v>
      </x:c>
      <x:c r="I47" s="47" t="str">
        <x:v>No</x:v>
      </x:c>
      <x:c r="J47" s="47" t="str">
        <x:v>ELIGIBLE</x:v>
      </x:c>
      <x:c r="K47" s="47" t="str">
        <x:v>NOT_RUN</x:v>
      </x:c>
    </x:row>
    <x:row r="48">
      <x:c r="A48" s="47" t="str">
        <x:v>I2-062</x:v>
      </x:c>
      <x:c r="B48" s="48" t="str">
        <x:v>UR I2 Structural Requirements for Polar Class Ships</x:v>
      </x:c>
      <x:c r="C48" s="47" t="str">
        <x:v>Rev.4 Dec 2019</x:v>
      </x:c>
      <x:c r="D48" s="59" t="n">
        <x:v>21</x:v>
      </x:c>
      <x:c r="E48" s="47" t="str">
        <x:v>I2.17.2</x:v>
      </x:c>
      <x:c r="F48" s="47" t="str">
        <x:v>Complex</x:v>
      </x:c>
      <x:c r="G48" s="48" t="str">
        <x:v>Stage 2 candidate - complex readiness</x:v>
      </x:c>
      <x:c r="H48" s="47" t="str">
        <x:v>Complex readiness</x:v>
      </x:c>
      <x:c r="I48" s="47" t="str">
        <x:v>No</x:v>
      </x:c>
      <x:c r="J48" s="47" t="str">
        <x:v>ELIGIBLE</x:v>
      </x:c>
      <x:c r="K48" s="47" t="str">
        <x:v>NOT_RUN</x:v>
      </x:c>
    </x:row>
    <x:row r="49">
      <x:c r="A49" s="47" t="str">
        <x:v>I2-064</x:v>
      </x:c>
      <x:c r="B49" s="48" t="str">
        <x:v>UR I2 Structural Requirements for Polar Class Ships</x:v>
      </x:c>
      <x:c r="C49" s="47" t="str">
        <x:v>Rev.4 Dec 2019</x:v>
      </x:c>
      <x:c r="D49" s="59" t="n">
        <x:v>21</x:v>
      </x:c>
      <x:c r="E49" s="47" t="str">
        <x:v>I2.17.5</x:v>
      </x:c>
      <x:c r="F49" s="47" t="str">
        <x:v>Complex</x:v>
      </x:c>
      <x:c r="G49" s="48" t="str">
        <x:v>Stage 2 candidate - complex readiness</x:v>
      </x:c>
      <x:c r="H49" s="47" t="str">
        <x:v>Complex readiness</x:v>
      </x:c>
      <x:c r="I49" s="47" t="str">
        <x:v>No</x:v>
      </x:c>
      <x:c r="J49" s="47" t="str">
        <x:v>ELIGIBLE</x:v>
      </x:c>
      <x:c r="K49" s="47" t="str">
        <x:v>NOT_RUN</x:v>
      </x:c>
    </x:row>
    <x:row r="50">
      <x:c r="A50" s="47" t="str">
        <x:v>I2-065</x:v>
      </x:c>
      <x:c r="B50" s="48" t="str">
        <x:v>UR I2 Structural Requirements for Polar Class Ships</x:v>
      </x:c>
      <x:c r="C50" s="47" t="str">
        <x:v>Rev.4 Dec 2019</x:v>
      </x:c>
      <x:c r="D50" s="59" t="n">
        <x:v>22</x:v>
      </x:c>
      <x:c r="E50" s="47" t="str">
        <x:v>I2.17.6</x:v>
      </x:c>
      <x:c r="F50" s="47" t="str">
        <x:v>Complex</x:v>
      </x:c>
      <x:c r="G50" s="48" t="str">
        <x:v>Stage 2 candidate - complex readiness</x:v>
      </x:c>
      <x:c r="H50" s="47" t="str">
        <x:v>Complex readiness</x:v>
      </x:c>
      <x:c r="I50" s="47" t="str">
        <x:v>No</x:v>
      </x:c>
      <x:c r="J50" s="47" t="str">
        <x:v>ELIGIBLE</x:v>
      </x:c>
      <x:c r="K50" s="47" t="str">
        <x:v>NOT_RUN</x:v>
      </x:c>
    </x:row>
    <x:row r="51">
      <x:c r="A51" s="47" t="str">
        <x:v>I2-066</x:v>
      </x:c>
      <x:c r="B51" s="48" t="str">
        <x:v>UR I2 Structural Requirements for Polar Class Ships</x:v>
      </x:c>
      <x:c r="C51" s="47" t="str">
        <x:v>Rev.4 Dec 2019</x:v>
      </x:c>
      <x:c r="D51" s="59" t="n">
        <x:v>22</x:v>
      </x:c>
      <x:c r="E51" s="47" t="str">
        <x:v>I2.18.1</x:v>
      </x:c>
      <x:c r="F51" s="47" t="str">
        <x:v>Static</x:v>
      </x:c>
      <x:c r="G51" s="48" t="str">
        <x:v>Stage 2 candidate - direct/deterministic</x:v>
      </x:c>
      <x:c r="H51" s="47" t="str">
        <x:v>High</x:v>
      </x:c>
      <x:c r="I51" s="47" t="str">
        <x:v>No</x:v>
      </x:c>
      <x:c r="J51" s="47" t="str">
        <x:v>ELIGIBLE</x:v>
      </x:c>
      <x:c r="K51" s="47" t="str">
        <x:v>NOT_RUN</x:v>
      </x:c>
    </x:row>
    <x:row r="52">
      <x:c r="A52" s="47" t="str">
        <x:v>I2-067</x:v>
      </x:c>
      <x:c r="B52" s="48" t="str">
        <x:v>UR I2 Structural Requirements for Polar Class Ships</x:v>
      </x:c>
      <x:c r="C52" s="47" t="str">
        <x:v>Rev.4 Dec 2019</x:v>
      </x:c>
      <x:c r="D52" s="59" t="n">
        <x:v>22</x:v>
      </x:c>
      <x:c r="E52" s="47" t="str">
        <x:v>I2.18.2</x:v>
      </x:c>
      <x:c r="F52" s="47" t="str">
        <x:v>Static</x:v>
      </x:c>
      <x:c r="G52" s="48" t="str">
        <x:v>Stage 2 candidate - direct/deterministic</x:v>
      </x:c>
      <x:c r="H52" s="47" t="str">
        <x:v>High</x:v>
      </x:c>
      <x:c r="I52" s="47" t="str">
        <x:v>No</x:v>
      </x:c>
      <x:c r="J52" s="47" t="str">
        <x:v>ELIGIBLE</x:v>
      </x:c>
      <x:c r="K52" s="47" t="str">
        <x:v>NOT_RUN</x:v>
      </x:c>
    </x:row>
    <x:row r="53">
      <x:c r="A53" s="47" t="str">
        <x:v>IMO-001</x:v>
      </x:c>
      <x:c r="B53" s="48" t="str">
        <x:v>International Code for Ships Operating in Polar Waters (Polar Code)</x:v>
      </x:c>
      <x:c r="C53" s="47" t="str">
        <x:v>Resolution MSC.385(94), adopted 21 Nov 2014; consolidated with MEPC.264(68), adopted 15 May 2015</x:v>
      </x:c>
      <x:c r="D53" s="59" t="n">
        <x:v>9</x:v>
      </x:c>
      <x:c r="E53" s="47" t="str">
        <x:v>2.1</x:v>
      </x:c>
      <x:c r="F53" s="47" t="str">
        <x:v>Static</x:v>
      </x:c>
      <x:c r="G53" s="48" t="str">
        <x:v>Stage 2 candidate - direct/deterministic</x:v>
      </x:c>
      <x:c r="H53" s="47" t="str">
        <x:v>High</x:v>
      </x:c>
      <x:c r="I53" s="47" t="str">
        <x:v>No</x:v>
      </x:c>
      <x:c r="J53" s="47" t="str">
        <x:v>ELIGIBLE</x:v>
      </x:c>
      <x:c r="K53" s="47" t="str">
        <x:v>NOT_RUN</x:v>
      </x:c>
    </x:row>
    <x:row r="54">
      <x:c r="A54" s="47" t="str">
        <x:v>IMO-002</x:v>
      </x:c>
      <x:c r="B54" s="48" t="str">
        <x:v>International Code for Ships Operating in Polar Waters (Polar Code)</x:v>
      </x:c>
      <x:c r="C54" s="47" t="str">
        <x:v>Resolution MSC.385(94), adopted 21 Nov 2014; consolidated with MEPC.264(68), adopted 15 May 2015</x:v>
      </x:c>
      <x:c r="D54" s="59" t="n">
        <x:v>9</x:v>
      </x:c>
      <x:c r="E54" s="47" t="str">
        <x:v>2.2</x:v>
      </x:c>
      <x:c r="F54" s="47" t="str">
        <x:v>Static</x:v>
      </x:c>
      <x:c r="G54" s="48" t="str">
        <x:v>Stage 2 candidate - direct/deterministic</x:v>
      </x:c>
      <x:c r="H54" s="47" t="str">
        <x:v>High</x:v>
      </x:c>
      <x:c r="I54" s="47" t="str">
        <x:v>No</x:v>
      </x:c>
      <x:c r="J54" s="47" t="str">
        <x:v>ELIGIBLE</x:v>
      </x:c>
      <x:c r="K54" s="47" t="str">
        <x:v>NOT_RUN</x:v>
      </x:c>
    </x:row>
    <x:row r="55">
      <x:c r="A55" s="47" t="str">
        <x:v>IMO-003</x:v>
      </x:c>
      <x:c r="B55" s="48" t="str">
        <x:v>International Code for Ships Operating in Polar Waters (Polar Code)</x:v>
      </x:c>
      <x:c r="C55" s="47" t="str">
        <x:v>Resolution MSC.385(94), adopted 21 Nov 2014; consolidated with MEPC.264(68), adopted 15 May 2015</x:v>
      </x:c>
      <x:c r="D55" s="59" t="n">
        <x:v>9</x:v>
      </x:c>
      <x:c r="E55" s="47" t="str">
        <x:v>2.3</x:v>
      </x:c>
      <x:c r="F55" s="47" t="str">
        <x:v>Static</x:v>
      </x:c>
      <x:c r="G55" s="48" t="str">
        <x:v>Stage 2 candidate - direct/deterministic</x:v>
      </x:c>
      <x:c r="H55" s="47" t="str">
        <x:v>High</x:v>
      </x:c>
      <x:c r="I55" s="47" t="str">
        <x:v>No</x:v>
      </x:c>
      <x:c r="J55" s="47" t="str">
        <x:v>ELIGIBLE</x:v>
      </x:c>
      <x:c r="K55" s="47" t="str">
        <x:v>NOT_RUN</x:v>
      </x:c>
    </x:row>
    <x:row r="56">
      <x:c r="A56" s="47" t="str">
        <x:v>IMO-004</x:v>
      </x:c>
      <x:c r="B56" s="48" t="str">
        <x:v>International Code for Ships Operating in Polar Waters (Polar Code)</x:v>
      </x:c>
      <x:c r="C56" s="47" t="str">
        <x:v>Resolution MSC.385(94), adopted 21 Nov 2014; consolidated with MEPC.264(68), adopted 15 May 2015</x:v>
      </x:c>
      <x:c r="D56" s="59" t="n">
        <x:v>9</x:v>
      </x:c>
      <x:c r="E56" s="47" t="str">
        <x:v>2.4</x:v>
      </x:c>
      <x:c r="F56" s="47" t="str">
        <x:v>Static</x:v>
      </x:c>
      <x:c r="G56" s="48" t="str">
        <x:v>Stage 2 candidate - direct/deterministic</x:v>
      </x:c>
      <x:c r="H56" s="47" t="str">
        <x:v>High</x:v>
      </x:c>
      <x:c r="I56" s="47" t="str">
        <x:v>No</x:v>
      </x:c>
      <x:c r="J56" s="47" t="str">
        <x:v>ELIGIBLE</x:v>
      </x:c>
      <x:c r="K56" s="47" t="str">
        <x:v>NOT_RUN</x:v>
      </x:c>
    </x:row>
    <x:row r="57">
      <x:c r="A57" s="47" t="str">
        <x:v>IMO-005</x:v>
      </x:c>
      <x:c r="B57" s="48" t="str">
        <x:v>International Code for Ships Operating in Polar Waters (Polar Code)</x:v>
      </x:c>
      <x:c r="C57" s="47" t="str">
        <x:v>Resolution MSC.385(94), adopted 21 Nov 2014; consolidated with MEPC.264(68), adopted 15 May 2015</x:v>
      </x:c>
      <x:c r="D57" s="59" t="n">
        <x:v>9</x:v>
      </x:c>
      <x:c r="E57" s="47" t="str">
        <x:v>2.5</x:v>
      </x:c>
      <x:c r="F57" s="47" t="str">
        <x:v>Static</x:v>
      </x:c>
      <x:c r="G57" s="48" t="str">
        <x:v>Stage 2 candidate - direct/deterministic</x:v>
      </x:c>
      <x:c r="H57" s="47" t="str">
        <x:v>High</x:v>
      </x:c>
      <x:c r="I57" s="47" t="str">
        <x:v>No</x:v>
      </x:c>
      <x:c r="J57" s="47" t="str">
        <x:v>ELIGIBLE</x:v>
      </x:c>
      <x:c r="K57" s="47" t="str">
        <x:v>NOT_RUN</x:v>
      </x:c>
    </x:row>
    <x:row r="58">
      <x:c r="A58" s="47" t="str">
        <x:v>IMO-006</x:v>
      </x:c>
      <x:c r="B58" s="48" t="str">
        <x:v>International Code for Ships Operating in Polar Waters (Polar Code)</x:v>
      </x:c>
      <x:c r="C58" s="47" t="str">
        <x:v>Resolution MSC.385(94), adopted 21 Nov 2014; consolidated with MEPC.264(68), adopted 15 May 2015</x:v>
      </x:c>
      <x:c r="D58" s="59" t="n">
        <x:v>9</x:v>
      </x:c>
      <x:c r="E58" s="47" t="str">
        <x:v>2.8</x:v>
      </x:c>
      <x:c r="F58" s="47" t="str">
        <x:v>Static</x:v>
      </x:c>
      <x:c r="G58" s="48" t="str">
        <x:v>Stage 2 candidate - direct/deterministic</x:v>
      </x:c>
      <x:c r="H58" s="47" t="str">
        <x:v>High</x:v>
      </x:c>
      <x:c r="I58" s="47" t="str">
        <x:v>No</x:v>
      </x:c>
      <x:c r="J58" s="47" t="str">
        <x:v>ELIGIBLE</x:v>
      </x:c>
      <x:c r="K58" s="47" t="str">
        <x:v>NOT_RUN</x:v>
      </x:c>
    </x:row>
    <x:row r="59">
      <x:c r="A59" s="47" t="str">
        <x:v>IMO-007</x:v>
      </x:c>
      <x:c r="B59" s="48" t="str">
        <x:v>International Code for Ships Operating in Polar Waters (Polar Code)</x:v>
      </x:c>
      <x:c r="C59" s="47" t="str">
        <x:v>Resolution MSC.385(94), adopted 21 Nov 2014; consolidated with MEPC.264(68), adopted 15 May 2015</x:v>
      </x:c>
      <x:c r="D59" s="59" t="n">
        <x:v>9</x:v>
      </x:c>
      <x:c r="E59" s="47" t="str">
        <x:v>2.10</x:v>
      </x:c>
      <x:c r="F59" s="47" t="str">
        <x:v>Static</x:v>
      </x:c>
      <x:c r="G59" s="48" t="str">
        <x:v>Stage 2 candidate - direct/deterministic</x:v>
      </x:c>
      <x:c r="H59" s="47" t="str">
        <x:v>High</x:v>
      </x:c>
      <x:c r="I59" s="47" t="str">
        <x:v>No</x:v>
      </x:c>
      <x:c r="J59" s="47" t="str">
        <x:v>ELIGIBLE</x:v>
      </x:c>
      <x:c r="K59" s="47" t="str">
        <x:v>NOT_RUN</x:v>
      </x:c>
    </x:row>
    <x:row r="60">
      <x:c r="A60" s="47" t="str">
        <x:v>IMO-008</x:v>
      </x:c>
      <x:c r="B60" s="48" t="str">
        <x:v>International Code for Ships Operating in Polar Waters (Polar Code)</x:v>
      </x:c>
      <x:c r="C60" s="47" t="str">
        <x:v>Resolution MSC.385(94), adopted 21 Nov 2014; consolidated with MEPC.264(68), adopted 15 May 2015</x:v>
      </x:c>
      <x:c r="D60" s="59" t="n">
        <x:v>10</x:v>
      </x:c>
      <x:c r="E60" s="47" t="str">
        <x:v>2.15</x:v>
      </x:c>
      <x:c r="F60" s="47" t="str">
        <x:v>Static</x:v>
      </x:c>
      <x:c r="G60" s="48" t="str">
        <x:v>Stage 2 candidate - direct/deterministic</x:v>
      </x:c>
      <x:c r="H60" s="47" t="str">
        <x:v>High</x:v>
      </x:c>
      <x:c r="I60" s="47" t="str">
        <x:v>No</x:v>
      </x:c>
      <x:c r="J60" s="47" t="str">
        <x:v>ELIGIBLE</x:v>
      </x:c>
      <x:c r="K60" s="47" t="str">
        <x:v>NOT_RUN</x:v>
      </x:c>
    </x:row>
    <x:row r="61">
      <x:c r="A61" s="47" t="str">
        <x:v>IMO-009</x:v>
      </x:c>
      <x:c r="B61" s="48" t="str">
        <x:v>International Code for Ships Operating in Polar Waters (Polar Code)</x:v>
      </x:c>
      <x:c r="C61" s="47" t="str">
        <x:v>Resolution MSC.385(94), adopted 21 Nov 2014; consolidated with MEPC.264(68), adopted 15 May 2015</x:v>
      </x:c>
      <x:c r="D61" s="59" t="n">
        <x:v>13</x:v>
      </x:c>
      <x:c r="E61" s="47" t="str">
        <x:v>1.2.1</x:v>
      </x:c>
      <x:c r="F61" s="47" t="str">
        <x:v>Static</x:v>
      </x:c>
      <x:c r="G61" s="48" t="str">
        <x:v>Stage 2 candidate - direct/deterministic</x:v>
      </x:c>
      <x:c r="H61" s="47" t="str">
        <x:v>High</x:v>
      </x:c>
      <x:c r="I61" s="47" t="str">
        <x:v>No</x:v>
      </x:c>
      <x:c r="J61" s="47" t="str">
        <x:v>ELIGIBLE</x:v>
      </x:c>
      <x:c r="K61" s="47" t="str">
        <x:v>NOT_RUN</x:v>
      </x:c>
    </x:row>
    <x:row r="62">
      <x:c r="A62" s="47" t="str">
        <x:v>IMO-010</x:v>
      </x:c>
      <x:c r="B62" s="48" t="str">
        <x:v>International Code for Ships Operating in Polar Waters (Polar Code)</x:v>
      </x:c>
      <x:c r="C62" s="47" t="str">
        <x:v>Resolution MSC.385(94), adopted 21 Nov 2014; consolidated with MEPC.264(68), adopted 15 May 2015</x:v>
      </x:c>
      <x:c r="D62" s="59" t="n">
        <x:v>13</x:v>
      </x:c>
      <x:c r="E62" s="47" t="str">
        <x:v>1.2.7</x:v>
      </x:c>
      <x:c r="F62" s="47" t="str">
        <x:v>Static</x:v>
      </x:c>
      <x:c r="G62" s="48" t="str">
        <x:v>Stage 2 candidate - direct/deterministic</x:v>
      </x:c>
      <x:c r="H62" s="47" t="str">
        <x:v>High</x:v>
      </x:c>
      <x:c r="I62" s="47" t="str">
        <x:v>No</x:v>
      </x:c>
      <x:c r="J62" s="47" t="str">
        <x:v>ELIGIBLE</x:v>
      </x:c>
      <x:c r="K62" s="47" t="str">
        <x:v>NOT_RUN</x:v>
      </x:c>
    </x:row>
    <x:row r="63">
      <x:c r="A63" s="47" t="str">
        <x:v>IMO-011</x:v>
      </x:c>
      <x:c r="B63" s="48" t="str">
        <x:v>International Code for Ships Operating in Polar Waters (Polar Code)</x:v>
      </x:c>
      <x:c r="C63" s="47" t="str">
        <x:v>Resolution MSC.385(94), adopted 21 Nov 2014; consolidated with MEPC.264(68), adopted 15 May 2015</x:v>
      </x:c>
      <x:c r="D63" s="59" t="n">
        <x:v>13</x:v>
      </x:c>
      <x:c r="E63" s="47" t="str">
        <x:v>1.2.9</x:v>
      </x:c>
      <x:c r="F63" s="47" t="str">
        <x:v>Complex</x:v>
      </x:c>
      <x:c r="G63" s="48" t="str">
        <x:v>Stage 2 candidate - complex readiness</x:v>
      </x:c>
      <x:c r="H63" s="47" t="str">
        <x:v>Complex readiness</x:v>
      </x:c>
      <x:c r="I63" s="47" t="str">
        <x:v>No</x:v>
      </x:c>
      <x:c r="J63" s="47" t="str">
        <x:v>ELIGIBLE</x:v>
      </x:c>
      <x:c r="K63" s="47" t="str">
        <x:v>NOT_RUN</x:v>
      </x:c>
    </x:row>
    <x:row r="64">
      <x:c r="A64" s="47" t="str">
        <x:v>IMO-012</x:v>
      </x:c>
      <x:c r="B64" s="48" t="str">
        <x:v>International Code for Ships Operating in Polar Waters (Polar Code)</x:v>
      </x:c>
      <x:c r="C64" s="47" t="str">
        <x:v>Resolution MSC.385(94), adopted 21 Nov 2014; consolidated with MEPC.264(68), adopted 15 May 2015</x:v>
      </x:c>
      <x:c r="D64" s="59" t="n">
        <x:v>14</x:v>
      </x:c>
      <x:c r="E64" s="47" t="str">
        <x:v>1.2.11</x:v>
      </x:c>
      <x:c r="F64" s="47" t="str">
        <x:v>Static Calculation</x:v>
      </x:c>
      <x:c r="G64" s="48" t="str">
        <x:v>Stage 2 candidate - direct/deterministic</x:v>
      </x:c>
      <x:c r="H64" s="47" t="str">
        <x:v>High</x:v>
      </x:c>
      <x:c r="I64" s="47" t="str">
        <x:v>No</x:v>
      </x:c>
      <x:c r="J64" s="47" t="str">
        <x:v>ELIGIBLE</x:v>
      </x:c>
      <x:c r="K64" s="47" t="str">
        <x:v>NOT_RUN</x:v>
      </x:c>
    </x:row>
    <x:row r="65">
      <x:c r="A65" s="47" t="str">
        <x:v>IMO-013</x:v>
      </x:c>
      <x:c r="B65" s="48" t="str">
        <x:v>International Code for Ships Operating in Polar Waters (Polar Code)</x:v>
      </x:c>
      <x:c r="C65" s="47" t="str">
        <x:v>Resolution MSC.385(94), adopted 21 Nov 2014; consolidated with MEPC.264(68), adopted 15 May 2015</x:v>
      </x:c>
      <x:c r="D65" s="59" t="n">
        <x:v>14</x:v>
      </x:c>
      <x:c r="E65" s="47" t="str">
        <x:v>1.2.12</x:v>
      </x:c>
      <x:c r="F65" s="47" t="str">
        <x:v>Static</x:v>
      </x:c>
      <x:c r="G65" s="48" t="str">
        <x:v>Stage 2 candidate - direct/deterministic</x:v>
      </x:c>
      <x:c r="H65" s="47" t="str">
        <x:v>High</x:v>
      </x:c>
      <x:c r="I65" s="47" t="str">
        <x:v>No</x:v>
      </x:c>
      <x:c r="J65" s="47" t="str">
        <x:v>ELIGIBLE</x:v>
      </x:c>
      <x:c r="K65" s="47" t="str">
        <x:v>NOT_RUN</x:v>
      </x:c>
    </x:row>
    <x:row r="66">
      <x:c r="A66" s="47" t="str">
        <x:v>IMO-014</x:v>
      </x:c>
      <x:c r="B66" s="48" t="str">
        <x:v>International Code for Ships Operating in Polar Waters (Polar Code)</x:v>
      </x:c>
      <x:c r="C66" s="47" t="str">
        <x:v>Resolution MSC.385(94), adopted 21 Nov 2014; consolidated with MEPC.264(68), adopted 15 May 2015</x:v>
      </x:c>
      <x:c r="D66" s="59" t="n">
        <x:v>14</x:v>
      </x:c>
      <x:c r="E66" s="47" t="str">
        <x:v>1.3.1</x:v>
      </x:c>
      <x:c r="F66" s="47" t="str">
        <x:v>Static</x:v>
      </x:c>
      <x:c r="G66" s="48" t="str">
        <x:v>Stage 2 candidate - direct/deterministic</x:v>
      </x:c>
      <x:c r="H66" s="47" t="str">
        <x:v>High</x:v>
      </x:c>
      <x:c r="I66" s="47" t="str">
        <x:v>No</x:v>
      </x:c>
      <x:c r="J66" s="47" t="str">
        <x:v>ELIGIBLE</x:v>
      </x:c>
      <x:c r="K66" s="47" t="str">
        <x:v>NOT_RUN</x:v>
      </x:c>
    </x:row>
    <x:row r="67">
      <x:c r="A67" s="47" t="str">
        <x:v>IMO-015</x:v>
      </x:c>
      <x:c r="B67" s="48" t="str">
        <x:v>International Code for Ships Operating in Polar Waters (Polar Code)</x:v>
      </x:c>
      <x:c r="C67" s="47" t="str">
        <x:v>Resolution MSC.385(94), adopted 21 Nov 2014; consolidated with MEPC.264(68), adopted 15 May 2015</x:v>
      </x:c>
      <x:c r="D67" s="59" t="n">
        <x:v>14</x:v>
      </x:c>
      <x:c r="E67" s="47" t="str">
        <x:v>1.3.2</x:v>
      </x:c>
      <x:c r="F67" s="47" t="str">
        <x:v>Physical Test</x:v>
      </x:c>
      <x:c r="G67" s="48" t="str">
        <x:v>Evidence-only - physical result not inferred by SHACL</x:v>
      </x:c>
      <x:c r="H67" s="47" t="str">
        <x:v>Medium</x:v>
      </x:c>
      <x:c r="I67" s="47" t="str">
        <x:v>No</x:v>
      </x:c>
      <x:c r="J67" s="47" t="str">
        <x:v>DEFERRED</x:v>
      </x:c>
      <x:c r="K67" s="47" t="str">
        <x:v>NOT_RUN</x:v>
      </x:c>
    </x:row>
    <x:row r="68">
      <x:c r="A68" s="47" t="str">
        <x:v>IMO-016</x:v>
      </x:c>
      <x:c r="B68" s="48" t="str">
        <x:v>International Code for Ships Operating in Polar Waters (Polar Code)</x:v>
      </x:c>
      <x:c r="C68" s="47" t="str">
        <x:v>Resolution MSC.385(94), adopted 21 Nov 2014; consolidated with MEPC.264(68), adopted 15 May 2015</x:v>
      </x:c>
      <x:c r="D68" s="59" t="n">
        <x:v>14</x:v>
      </x:c>
      <x:c r="E68" s="47" t="str">
        <x:v>1.3.5</x:v>
      </x:c>
      <x:c r="F68" s="47" t="str">
        <x:v>Static</x:v>
      </x:c>
      <x:c r="G68" s="48" t="str">
        <x:v>Stage 2 candidate - direct/deterministic</x:v>
      </x:c>
      <x:c r="H68" s="47" t="str">
        <x:v>High</x:v>
      </x:c>
      <x:c r="I68" s="47" t="str">
        <x:v>No</x:v>
      </x:c>
      <x:c r="J68" s="47" t="str">
        <x:v>ELIGIBLE</x:v>
      </x:c>
      <x:c r="K68" s="47" t="str">
        <x:v>NOT_RUN</x:v>
      </x:c>
    </x:row>
    <x:row r="69">
      <x:c r="A69" s="47" t="str">
        <x:v>IMO-017</x:v>
      </x:c>
      <x:c r="B69" s="48" t="str">
        <x:v>International Code for Ships Operating in Polar Waters (Polar Code)</x:v>
      </x:c>
      <x:c r="C69" s="47" t="str">
        <x:v>Resolution MSC.385(94), adopted 21 Nov 2014; consolidated with MEPC.264(68), adopted 15 May 2015</x:v>
      </x:c>
      <x:c r="D69" s="59" t="n">
        <x:v>14</x:v>
      </x:c>
      <x:c r="E69" s="47" t="str">
        <x:v>1.3.6</x:v>
      </x:c>
      <x:c r="F69" s="47" t="str">
        <x:v>Static</x:v>
      </x:c>
      <x:c r="G69" s="48" t="str">
        <x:v>Stage 2 candidate - direct/deterministic</x:v>
      </x:c>
      <x:c r="H69" s="47" t="str">
        <x:v>Medium</x:v>
      </x:c>
      <x:c r="I69" s="47" t="str">
        <x:v>No</x:v>
      </x:c>
      <x:c r="J69" s="47" t="str">
        <x:v>ELIGIBLE</x:v>
      </x:c>
      <x:c r="K69" s="47" t="str">
        <x:v>NOT_RUN</x:v>
      </x:c>
    </x:row>
    <x:row r="70">
      <x:c r="A70" s="47" t="str">
        <x:v>IMO-018</x:v>
      </x:c>
      <x:c r="B70" s="48" t="str">
        <x:v>International Code for Ships Operating in Polar Waters (Polar Code)</x:v>
      </x:c>
      <x:c r="C70" s="47" t="str">
        <x:v>Resolution MSC.385(94), adopted 21 Nov 2014; consolidated with MEPC.264(68), adopted 15 May 2015</x:v>
      </x:c>
      <x:c r="D70" s="59" t="n">
        <x:v>14</x:v>
      </x:c>
      <x:c r="E70" s="47" t="str">
        <x:v>1.3.7</x:v>
      </x:c>
      <x:c r="F70" s="47" t="str">
        <x:v>Static</x:v>
      </x:c>
      <x:c r="G70" s="48" t="str">
        <x:v>Stage 2 candidate - direct static</x:v>
      </x:c>
      <x:c r="H70" s="47" t="str">
        <x:v>Direct static</x:v>
      </x:c>
      <x:c r="I70" s="47" t="str">
        <x:v>No</x:v>
      </x:c>
      <x:c r="J70" s="47" t="str">
        <x:v>ELIGIBLE</x:v>
      </x:c>
      <x:c r="K70" s="47" t="str">
        <x:v>NOT_RUN</x:v>
      </x:c>
    </x:row>
    <x:row r="71">
      <x:c r="A71" s="47" t="str">
        <x:v>IMO-019</x:v>
      </x:c>
      <x:c r="B71" s="48" t="str">
        <x:v>International Code for Ships Operating in Polar Waters (Polar Code)</x:v>
      </x:c>
      <x:c r="C71" s="47" t="str">
        <x:v>Resolution MSC.385(94), adopted 21 Nov 2014; consolidated with MEPC.264(68), adopted 15 May 2015</x:v>
      </x:c>
      <x:c r="D71" s="59" t="n">
        <x:v>15</x:v>
      </x:c>
      <x:c r="E71" s="47" t="str">
        <x:v>1.4.2</x:v>
      </x:c>
      <x:c r="F71" s="47" t="str">
        <x:v>Static Calculation</x:v>
      </x:c>
      <x:c r="G71" s="48" t="str">
        <x:v>Stage 2 candidate - direct/deterministic</x:v>
      </x:c>
      <x:c r="H71" s="47" t="str">
        <x:v>High</x:v>
      </x:c>
      <x:c r="I71" s="47" t="str">
        <x:v>No</x:v>
      </x:c>
      <x:c r="J71" s="47" t="str">
        <x:v>ELIGIBLE</x:v>
      </x:c>
      <x:c r="K71" s="47" t="str">
        <x:v>NOT_RUN</x:v>
      </x:c>
    </x:row>
    <x:row r="72">
      <x:c r="A72" s="47" t="str">
        <x:v>IMO-020</x:v>
      </x:c>
      <x:c r="B72" s="48" t="str">
        <x:v>International Code for Ships Operating in Polar Waters (Polar Code)</x:v>
      </x:c>
      <x:c r="C72" s="47" t="str">
        <x:v>Resolution MSC.385(94), adopted 21 Nov 2014; consolidated with MEPC.264(68), adopted 15 May 2015</x:v>
      </x:c>
      <x:c r="D72" s="59" t="n">
        <x:v>15</x:v>
      </x:c>
      <x:c r="E72" s="47" t="str">
        <x:v>1.4.3</x:v>
      </x:c>
      <x:c r="F72" s="47" t="str">
        <x:v>Physical Test</x:v>
      </x:c>
      <x:c r="G72" s="48" t="str">
        <x:v>Evidence-only - physical result not inferred by SHACL</x:v>
      </x:c>
      <x:c r="H72" s="47" t="str">
        <x:v>Medium</x:v>
      </x:c>
      <x:c r="I72" s="47" t="str">
        <x:v>No</x:v>
      </x:c>
      <x:c r="J72" s="47" t="str">
        <x:v>DEFERRED</x:v>
      </x:c>
      <x:c r="K72" s="47" t="str">
        <x:v>NOT_RUN</x:v>
      </x:c>
    </x:row>
    <x:row r="73">
      <x:c r="A73" s="47" t="str">
        <x:v>IMO-021</x:v>
      </x:c>
      <x:c r="B73" s="48" t="str">
        <x:v>International Code for Ships Operating in Polar Waters (Polar Code)</x:v>
      </x:c>
      <x:c r="C73" s="47" t="str">
        <x:v>Resolution MSC.385(94), adopted 21 Nov 2014; consolidated with MEPC.264(68), adopted 15 May 2015</x:v>
      </x:c>
      <x:c r="D73" s="59" t="n">
        <x:v>15</x:v>
      </x:c>
      <x:c r="E73" s="47" t="str">
        <x:v>1.5</x:v>
      </x:c>
      <x:c r="F73" s="47" t="str">
        <x:v>Static</x:v>
      </x:c>
      <x:c r="G73" s="48" t="str">
        <x:v>Stage 2 candidate - direct static</x:v>
      </x:c>
      <x:c r="H73" s="47" t="str">
        <x:v>Direct static</x:v>
      </x:c>
      <x:c r="I73" s="47" t="str">
        <x:v>No</x:v>
      </x:c>
      <x:c r="J73" s="47" t="str">
        <x:v>ELIGIBLE</x:v>
      </x:c>
      <x:c r="K73" s="47" t="str">
        <x:v>NOT_RUN</x:v>
      </x:c>
    </x:row>
    <x:row r="74">
      <x:c r="A74" s="47" t="str">
        <x:v>IMO-022</x:v>
      </x:c>
      <x:c r="B74" s="48" t="str">
        <x:v>International Code for Ships Operating in Polar Waters (Polar Code)</x:v>
      </x:c>
      <x:c r="C74" s="47" t="str">
        <x:v>Resolution MSC.385(94), adopted 21 Nov 2014; consolidated with MEPC.264(68), adopted 15 May 2015</x:v>
      </x:c>
      <x:c r="D74" s="59" t="n">
        <x:v>15</x:v>
      </x:c>
      <x:c r="E74" s="47" t="str">
        <x:v>2.2.2</x:v>
      </x:c>
      <x:c r="F74" s="47" t="str">
        <x:v>Static</x:v>
      </x:c>
      <x:c r="G74" s="48" t="str">
        <x:v>Stage 2 candidate - direct/deterministic</x:v>
      </x:c>
      <x:c r="H74" s="47" t="str">
        <x:v>High</x:v>
      </x:c>
      <x:c r="I74" s="47" t="str">
        <x:v>No</x:v>
      </x:c>
      <x:c r="J74" s="47" t="str">
        <x:v>ELIGIBLE</x:v>
      </x:c>
      <x:c r="K74" s="47" t="str">
        <x:v>NOT_RUN</x:v>
      </x:c>
    </x:row>
    <x:row r="75">
      <x:c r="A75" s="47" t="str">
        <x:v>IMO-023</x:v>
      </x:c>
      <x:c r="B75" s="48" t="str">
        <x:v>International Code for Ships Operating in Polar Waters (Polar Code)</x:v>
      </x:c>
      <x:c r="C75" s="47" t="str">
        <x:v>Resolution MSC.385(94), adopted 21 Nov 2014; consolidated with MEPC.264(68), adopted 15 May 2015</x:v>
      </x:c>
      <x:c r="D75" s="59" t="n">
        <x:v>15</x:v>
      </x:c>
      <x:c r="E75" s="47" t="str">
        <x:v>2.2.3</x:v>
      </x:c>
      <x:c r="F75" s="47" t="str">
        <x:v>Static</x:v>
      </x:c>
      <x:c r="G75" s="48" t="str">
        <x:v>Stage 2 candidate - direct/deterministic</x:v>
      </x:c>
      <x:c r="H75" s="47" t="str">
        <x:v>High</x:v>
      </x:c>
      <x:c r="I75" s="47" t="str">
        <x:v>No</x:v>
      </x:c>
      <x:c r="J75" s="47" t="str">
        <x:v>ELIGIBLE</x:v>
      </x:c>
      <x:c r="K75" s="47" t="str">
        <x:v>NOT_RUN</x:v>
      </x:c>
    </x:row>
    <x:row r="76">
      <x:c r="A76" s="47" t="str">
        <x:v>IMO-024</x:v>
      </x:c>
      <x:c r="B76" s="48" t="str">
        <x:v>International Code for Ships Operating in Polar Waters (Polar Code)</x:v>
      </x:c>
      <x:c r="C76" s="47" t="str">
        <x:v>Resolution MSC.385(94), adopted 21 Nov 2014; consolidated with MEPC.264(68), adopted 15 May 2015</x:v>
      </x:c>
      <x:c r="D76" s="59" t="n">
        <x:v>15</x:v>
      </x:c>
      <x:c r="E76" s="47" t="str">
        <x:v>2.2.4</x:v>
      </x:c>
      <x:c r="F76" s="47" t="str">
        <x:v>Static</x:v>
      </x:c>
      <x:c r="G76" s="48" t="str">
        <x:v>Stage 2 candidate - direct/deterministic</x:v>
      </x:c>
      <x:c r="H76" s="47" t="str">
        <x:v>High</x:v>
      </x:c>
      <x:c r="I76" s="47" t="str">
        <x:v>No</x:v>
      </x:c>
      <x:c r="J76" s="47" t="str">
        <x:v>ELIGIBLE</x:v>
      </x:c>
      <x:c r="K76" s="47" t="str">
        <x:v>NOT_RUN</x:v>
      </x:c>
    </x:row>
    <x:row r="77">
      <x:c r="A77" s="47" t="str">
        <x:v>IMO-025</x:v>
      </x:c>
      <x:c r="B77" s="48" t="str">
        <x:v>International Code for Ships Operating in Polar Waters (Polar Code)</x:v>
      </x:c>
      <x:c r="C77" s="47" t="str">
        <x:v>Resolution MSC.385(94), adopted 21 Nov 2014; consolidated with MEPC.264(68), adopted 15 May 2015</x:v>
      </x:c>
      <x:c r="D77" s="59" t="n">
        <x:v>16</x:v>
      </x:c>
      <x:c r="E77" s="47" t="str">
        <x:v>2.3.1</x:v>
      </x:c>
      <x:c r="F77" s="47" t="str">
        <x:v>Static</x:v>
      </x:c>
      <x:c r="G77" s="48" t="str">
        <x:v>Stage 2 candidate - direct/deterministic</x:v>
      </x:c>
      <x:c r="H77" s="47" t="str">
        <x:v>High</x:v>
      </x:c>
      <x:c r="I77" s="47" t="str">
        <x:v>No</x:v>
      </x:c>
      <x:c r="J77" s="47" t="str">
        <x:v>ELIGIBLE</x:v>
      </x:c>
      <x:c r="K77" s="47" t="str">
        <x:v>NOT_RUN</x:v>
      </x:c>
    </x:row>
    <x:row r="78">
      <x:c r="A78" s="47" t="str">
        <x:v>IMO-026</x:v>
      </x:c>
      <x:c r="B78" s="48" t="str">
        <x:v>International Code for Ships Operating in Polar Waters (Polar Code)</x:v>
      </x:c>
      <x:c r="C78" s="47" t="str">
        <x:v>Resolution MSC.385(94), adopted 21 Nov 2014; consolidated with MEPC.264(68), adopted 15 May 2015</x:v>
      </x:c>
      <x:c r="D78" s="59" t="n">
        <x:v>16</x:v>
      </x:c>
      <x:c r="E78" s="47" t="str">
        <x:v>2.3.2</x:v>
      </x:c>
      <x:c r="F78" s="47" t="str">
        <x:v>Static</x:v>
      </x:c>
      <x:c r="G78" s="48" t="str">
        <x:v>Stage 2 candidate - direct/deterministic</x:v>
      </x:c>
      <x:c r="H78" s="47" t="str">
        <x:v>High</x:v>
      </x:c>
      <x:c r="I78" s="47" t="str">
        <x:v>No</x:v>
      </x:c>
      <x:c r="J78" s="47" t="str">
        <x:v>ELIGIBLE</x:v>
      </x:c>
      <x:c r="K78" s="47" t="str">
        <x:v>NOT_RUN</x:v>
      </x:c>
    </x:row>
    <x:row r="79">
      <x:c r="A79" s="47" t="str">
        <x:v>IMO-027</x:v>
      </x:c>
      <x:c r="B79" s="48" t="str">
        <x:v>International Code for Ships Operating in Polar Waters (Polar Code)</x:v>
      </x:c>
      <x:c r="C79" s="47" t="str">
        <x:v>Resolution MSC.385(94), adopted 21 Nov 2014; consolidated with MEPC.264(68), adopted 15 May 2015</x:v>
      </x:c>
      <x:c r="D79" s="59" t="n">
        <x:v>16</x:v>
      </x:c>
      <x:c r="E79" s="47" t="str">
        <x:v>2.3.3</x:v>
      </x:c>
      <x:c r="F79" s="47" t="str">
        <x:v>Static</x:v>
      </x:c>
      <x:c r="G79" s="48" t="str">
        <x:v>Stage 2 candidate - direct static</x:v>
      </x:c>
      <x:c r="H79" s="47" t="str">
        <x:v>Direct static</x:v>
      </x:c>
      <x:c r="I79" s="47" t="str">
        <x:v>No</x:v>
      </x:c>
      <x:c r="J79" s="47" t="str">
        <x:v>ELIGIBLE</x:v>
      </x:c>
      <x:c r="K79" s="47" t="str">
        <x:v>NOT_RUN</x:v>
      </x:c>
    </x:row>
    <x:row r="80">
      <x:c r="A80" s="47" t="str">
        <x:v>IMO-028</x:v>
      </x:c>
      <x:c r="B80" s="48" t="str">
        <x:v>International Code for Ships Operating in Polar Waters (Polar Code)</x:v>
      </x:c>
      <x:c r="C80" s="47" t="str">
        <x:v>Resolution MSC.385(94), adopted 21 Nov 2014; consolidated with MEPC.264(68), adopted 15 May 2015</x:v>
      </x:c>
      <x:c r="D80" s="59" t="n">
        <x:v>16</x:v>
      </x:c>
      <x:c r="E80" s="47" t="str">
        <x:v>2.3.4</x:v>
      </x:c>
      <x:c r="F80" s="47" t="str">
        <x:v>Static</x:v>
      </x:c>
      <x:c r="G80" s="48" t="str">
        <x:v>Stage 2 candidate - direct static</x:v>
      </x:c>
      <x:c r="H80" s="47" t="str">
        <x:v>Direct static</x:v>
      </x:c>
      <x:c r="I80" s="47" t="str">
        <x:v>No</x:v>
      </x:c>
      <x:c r="J80" s="47" t="str">
        <x:v>ELIGIBLE</x:v>
      </x:c>
      <x:c r="K80" s="47" t="str">
        <x:v>NOT_RUN</x:v>
      </x:c>
    </x:row>
    <x:row r="81">
      <x:c r="A81" s="47" t="str">
        <x:v>IMO-029</x:v>
      </x:c>
      <x:c r="B81" s="48" t="str">
        <x:v>International Code for Ships Operating in Polar Waters (Polar Code)</x:v>
      </x:c>
      <x:c r="C81" s="47" t="str">
        <x:v>Resolution MSC.385(94), adopted 21 Nov 2014; consolidated with MEPC.264(68), adopted 15 May 2015</x:v>
      </x:c>
      <x:c r="D81" s="59" t="n">
        <x:v>16</x:v>
      </x:c>
      <x:c r="E81" s="47" t="str">
        <x:v>2.3.5</x:v>
      </x:c>
      <x:c r="F81" s="47" t="str">
        <x:v>Static</x:v>
      </x:c>
      <x:c r="G81" s="48" t="str">
        <x:v>Stage 2 candidate - direct/deterministic</x:v>
      </x:c>
      <x:c r="H81" s="47" t="str">
        <x:v>High</x:v>
      </x:c>
      <x:c r="I81" s="47" t="str">
        <x:v>No</x:v>
      </x:c>
      <x:c r="J81" s="47" t="str">
        <x:v>ELIGIBLE</x:v>
      </x:c>
      <x:c r="K81" s="47" t="str">
        <x:v>NOT_RUN</x:v>
      </x:c>
    </x:row>
    <x:row r="82">
      <x:c r="A82" s="47" t="str">
        <x:v>IMO-030</x:v>
      </x:c>
      <x:c r="B82" s="48" t="str">
        <x:v>International Code for Ships Operating in Polar Waters (Polar Code)</x:v>
      </x:c>
      <x:c r="C82" s="47" t="str">
        <x:v>Resolution MSC.385(94), adopted 21 Nov 2014; consolidated with MEPC.264(68), adopted 15 May 2015</x:v>
      </x:c>
      <x:c r="D82" s="59" t="n">
        <x:v>16</x:v>
      </x:c>
      <x:c r="E82" s="47" t="str">
        <x:v>2.3.6</x:v>
      </x:c>
      <x:c r="F82" s="47" t="str">
        <x:v>Static</x:v>
      </x:c>
      <x:c r="G82" s="48" t="str">
        <x:v>Stage 2 candidate - direct static</x:v>
      </x:c>
      <x:c r="H82" s="47" t="str">
        <x:v>Direct static</x:v>
      </x:c>
      <x:c r="I82" s="47" t="str">
        <x:v>No</x:v>
      </x:c>
      <x:c r="J82" s="47" t="str">
        <x:v>ELIGIBLE</x:v>
      </x:c>
      <x:c r="K82" s="47" t="str">
        <x:v>NOT_RUN</x:v>
      </x:c>
    </x:row>
    <x:row r="83">
      <x:c r="A83" s="47" t="str">
        <x:v>IMO-031</x:v>
      </x:c>
      <x:c r="B83" s="48" t="str">
        <x:v>International Code for Ships Operating in Polar Waters (Polar Code)</x:v>
      </x:c>
      <x:c r="C83" s="47" t="str">
        <x:v>Resolution MSC.385(94), adopted 21 Nov 2014; consolidated with MEPC.264(68), adopted 15 May 2015</x:v>
      </x:c>
      <x:c r="D83" s="59" t="n">
        <x:v>17</x:v>
      </x:c>
      <x:c r="E83" s="47" t="str">
        <x:v>3.3.1</x:v>
      </x:c>
      <x:c r="F83" s="47" t="str">
        <x:v>Static</x:v>
      </x:c>
      <x:c r="G83" s="48" t="str">
        <x:v>Stage 2 candidate - direct static</x:v>
      </x:c>
      <x:c r="H83" s="47" t="str">
        <x:v>Direct static</x:v>
      </x:c>
      <x:c r="I83" s="47" t="str">
        <x:v>No</x:v>
      </x:c>
      <x:c r="J83" s="47" t="str">
        <x:v>ELIGIBLE</x:v>
      </x:c>
      <x:c r="K83" s="47" t="str">
        <x:v>NOT_RUN</x:v>
      </x:c>
    </x:row>
    <x:row r="84">
      <x:c r="A84" s="47" t="str">
        <x:v>IMO-032</x:v>
      </x:c>
      <x:c r="B84" s="48" t="str">
        <x:v>International Code for Ships Operating in Polar Waters (Polar Code)</x:v>
      </x:c>
      <x:c r="C84" s="47" t="str">
        <x:v>Resolution MSC.385(94), adopted 21 Nov 2014; consolidated with MEPC.264(68), adopted 15 May 2015</x:v>
      </x:c>
      <x:c r="D84" s="59" t="n">
        <x:v>17</x:v>
      </x:c>
      <x:c r="E84" s="47" t="str">
        <x:v>3.3.2.1-.3</x:v>
      </x:c>
      <x:c r="F84" s="47" t="str">
        <x:v>Static</x:v>
      </x:c>
      <x:c r="G84" s="48" t="str">
        <x:v>Stage 2 candidate - direct static</x:v>
      </x:c>
      <x:c r="H84" s="47" t="str">
        <x:v>Direct static</x:v>
      </x:c>
      <x:c r="I84" s="47" t="str">
        <x:v>No</x:v>
      </x:c>
      <x:c r="J84" s="47" t="str">
        <x:v>ELIGIBLE</x:v>
      </x:c>
      <x:c r="K84" s="47" t="str">
        <x:v>NOT_RUN</x:v>
      </x:c>
    </x:row>
    <x:row r="85">
      <x:c r="A85" s="47" t="str">
        <x:v>IMO-033</x:v>
      </x:c>
      <x:c r="B85" s="48" t="str">
        <x:v>International Code for Ships Operating in Polar Waters (Polar Code)</x:v>
      </x:c>
      <x:c r="C85" s="47" t="str">
        <x:v>Resolution MSC.385(94), adopted 21 Nov 2014; consolidated with MEPC.264(68), adopted 15 May 2015</x:v>
      </x:c>
      <x:c r="D85" s="59" t="n">
        <x:v>18</x:v>
      </x:c>
      <x:c r="E85" s="47" t="str">
        <x:v>4.3.1.1</x:v>
      </x:c>
      <x:c r="F85" s="47" t="str">
        <x:v>Static Calculation</x:v>
      </x:c>
      <x:c r="G85" s="48" t="str">
        <x:v>Stage 2 candidate - direct/deterministic</x:v>
      </x:c>
      <x:c r="H85" s="47" t="str">
        <x:v>High</x:v>
      </x:c>
      <x:c r="I85" s="47" t="str">
        <x:v>No</x:v>
      </x:c>
      <x:c r="J85" s="47" t="str">
        <x:v>ELIGIBLE</x:v>
      </x:c>
      <x:c r="K85" s="47" t="str">
        <x:v>NOT_RUN</x:v>
      </x:c>
    </x:row>
    <x:row r="86">
      <x:c r="A86" s="47" t="str">
        <x:v>IMO-034</x:v>
      </x:c>
      <x:c r="B86" s="48" t="str">
        <x:v>International Code for Ships Operating in Polar Waters (Polar Code)</x:v>
      </x:c>
      <x:c r="C86" s="47" t="str">
        <x:v>Resolution MSC.385(94), adopted 21 Nov 2014; consolidated with MEPC.264(68), adopted 15 May 2015</x:v>
      </x:c>
      <x:c r="D86" s="59" t="n">
        <x:v>18</x:v>
      </x:c>
      <x:c r="E86" s="47" t="str">
        <x:v>4.3.1.2</x:v>
      </x:c>
      <x:c r="F86" s="47" t="str">
        <x:v>Static</x:v>
      </x:c>
      <x:c r="G86" s="48" t="str">
        <x:v>Stage 2 candidate - direct static</x:v>
      </x:c>
      <x:c r="H86" s="47" t="str">
        <x:v>Direct static</x:v>
      </x:c>
      <x:c r="I86" s="47" t="str">
        <x:v>No</x:v>
      </x:c>
      <x:c r="J86" s="47" t="str">
        <x:v>ELIGIBLE</x:v>
      </x:c>
      <x:c r="K86" s="47" t="str">
        <x:v>NOT_RUN</x:v>
      </x:c>
    </x:row>
    <x:row r="87">
      <x:c r="A87" s="47" t="str">
        <x:v>IMO-035</x:v>
      </x:c>
      <x:c r="B87" s="48" t="str">
        <x:v>International Code for Ships Operating in Polar Waters (Polar Code)</x:v>
      </x:c>
      <x:c r="C87" s="47" t="str">
        <x:v>Resolution MSC.385(94), adopted 21 Nov 2014; consolidated with MEPC.264(68), adopted 15 May 2015</x:v>
      </x:c>
      <x:c r="D87" s="59" t="n">
        <x:v>18</x:v>
      </x:c>
      <x:c r="E87" s="47" t="str">
        <x:v>4.3.1.3</x:v>
      </x:c>
      <x:c r="F87" s="47" t="str">
        <x:v>Static</x:v>
      </x:c>
      <x:c r="G87" s="48" t="str">
        <x:v>Stage 2 candidate - direct/deterministic</x:v>
      </x:c>
      <x:c r="H87" s="47" t="str">
        <x:v>High</x:v>
      </x:c>
      <x:c r="I87" s="47" t="str">
        <x:v>No</x:v>
      </x:c>
      <x:c r="J87" s="47" t="str">
        <x:v>ELIGIBLE</x:v>
      </x:c>
      <x:c r="K87" s="47" t="str">
        <x:v>NOT_RUN</x:v>
      </x:c>
    </x:row>
    <x:row r="88">
      <x:c r="A88" s="47" t="str">
        <x:v>IMO-036</x:v>
      </x:c>
      <x:c r="B88" s="48" t="str">
        <x:v>International Code for Ships Operating in Polar Waters (Polar Code)</x:v>
      </x:c>
      <x:c r="C88" s="47" t="str">
        <x:v>Resolution MSC.385(94), adopted 21 Nov 2014; consolidated with MEPC.264(68), adopted 15 May 2015</x:v>
      </x:c>
      <x:c r="D88" s="59" t="n">
        <x:v>18</x:v>
      </x:c>
      <x:c r="E88" s="47" t="str">
        <x:v>4.3.1.4</x:v>
      </x:c>
      <x:c r="F88" s="47" t="str">
        <x:v>Dynamic</x:v>
      </x:c>
      <x:c r="G88" s="48" t="str">
        <x:v>Deferred - observation/history/simulation design required</x:v>
      </x:c>
      <x:c r="H88" s="47" t="str">
        <x:v>Medium</x:v>
      </x:c>
      <x:c r="I88" s="47" t="str">
        <x:v>No</x:v>
      </x:c>
      <x:c r="J88" s="47" t="str">
        <x:v>DEFERRED</x:v>
      </x:c>
      <x:c r="K88" s="47" t="str">
        <x:v>NOT_RUN</x:v>
      </x:c>
    </x:row>
    <x:row r="89">
      <x:c r="A89" s="47" t="str">
        <x:v>IMO-037</x:v>
      </x:c>
      <x:c r="B89" s="48" t="str">
        <x:v>International Code for Ships Operating in Polar Waters (Polar Code)</x:v>
      </x:c>
      <x:c r="C89" s="47" t="str">
        <x:v>Resolution MSC.385(94), adopted 21 Nov 2014; consolidated with MEPC.264(68), adopted 15 May 2015</x:v>
      </x:c>
      <x:c r="D89" s="59" t="n">
        <x:v>19</x:v>
      </x:c>
      <x:c r="E89" s="47" t="str">
        <x:v>4.3.2.1</x:v>
      </x:c>
      <x:c r="F89" s="47" t="str">
        <x:v>Complex</x:v>
      </x:c>
      <x:c r="G89" s="48" t="str">
        <x:v>Stage 2 candidate - complex readiness</x:v>
      </x:c>
      <x:c r="H89" s="47" t="str">
        <x:v>Complex readiness</x:v>
      </x:c>
      <x:c r="I89" s="47" t="str">
        <x:v>No</x:v>
      </x:c>
      <x:c r="J89" s="47" t="str">
        <x:v>ELIGIBLE</x:v>
      </x:c>
      <x:c r="K89" s="47" t="str">
        <x:v>NOT_RUN</x:v>
      </x:c>
    </x:row>
    <x:row r="90">
      <x:c r="A90" s="47" t="str">
        <x:v>IMO-038</x:v>
      </x:c>
      <x:c r="B90" s="48" t="str">
        <x:v>International Code for Ships Operating in Polar Waters (Polar Code)</x:v>
      </x:c>
      <x:c r="C90" s="47" t="str">
        <x:v>Resolution MSC.385(94), adopted 21 Nov 2014; consolidated with MEPC.264(68), adopted 15 May 2015</x:v>
      </x:c>
      <x:c r="D90" s="59" t="n">
        <x:v>19</x:v>
      </x:c>
      <x:c r="E90" s="47" t="str">
        <x:v>4.3.2.2</x:v>
      </x:c>
      <x:c r="F90" s="47" t="str">
        <x:v>Static Calculation</x:v>
      </x:c>
      <x:c r="G90" s="48" t="str">
        <x:v>Stage 2 candidate - direct/deterministic</x:v>
      </x:c>
      <x:c r="H90" s="47" t="str">
        <x:v>High</x:v>
      </x:c>
      <x:c r="I90" s="47" t="str">
        <x:v>No</x:v>
      </x:c>
      <x:c r="J90" s="47" t="str">
        <x:v>ELIGIBLE</x:v>
      </x:c>
      <x:c r="K90" s="47" t="str">
        <x:v>NOT_RUN</x:v>
      </x:c>
    </x:row>
    <x:row r="91">
      <x:c r="A91" s="47" t="str">
        <x:v>IMO-039</x:v>
      </x:c>
      <x:c r="B91" s="48" t="str">
        <x:v>International Code for Ships Operating in Polar Waters (Polar Code)</x:v>
      </x:c>
      <x:c r="C91" s="47" t="str">
        <x:v>Resolution MSC.385(94), adopted 21 Nov 2014; consolidated with MEPC.264(68), adopted 15 May 2015</x:v>
      </x:c>
      <x:c r="D91" s="59" t="n">
        <x:v>19</x:v>
      </x:c>
      <x:c r="E91" s="47" t="str">
        <x:v>5.2</x:v>
      </x:c>
      <x:c r="F91" s="47" t="str">
        <x:v>Physical Test</x:v>
      </x:c>
      <x:c r="G91" s="48" t="str">
        <x:v>Evidence-only - physical result not inferred by SHACL</x:v>
      </x:c>
      <x:c r="H91" s="47" t="str">
        <x:v>Medium</x:v>
      </x:c>
      <x:c r="I91" s="47" t="str">
        <x:v>No</x:v>
      </x:c>
      <x:c r="J91" s="47" t="str">
        <x:v>DEFERRED</x:v>
      </x:c>
      <x:c r="K91" s="47" t="str">
        <x:v>NOT_RUN</x:v>
      </x:c>
    </x:row>
    <x:row r="92">
      <x:c r="A92" s="47" t="str">
        <x:v>IMO-040</x:v>
      </x:c>
      <x:c r="B92" s="48" t="str">
        <x:v>International Code for Ships Operating in Polar Waters (Polar Code)</x:v>
      </x:c>
      <x:c r="C92" s="47" t="str">
        <x:v>Resolution MSC.385(94), adopted 21 Nov 2014; consolidated with MEPC.264(68), adopted 15 May 2015</x:v>
      </x:c>
      <x:c r="D92" s="59" t="n">
        <x:v>19</x:v>
      </x:c>
      <x:c r="E92" s="47" t="str">
        <x:v>5.3.1</x:v>
      </x:c>
      <x:c r="F92" s="47" t="str">
        <x:v>Static</x:v>
      </x:c>
      <x:c r="G92" s="48" t="str">
        <x:v>Stage 2 candidate - direct/deterministic</x:v>
      </x:c>
      <x:c r="H92" s="47" t="str">
        <x:v>High</x:v>
      </x:c>
      <x:c r="I92" s="47" t="str">
        <x:v>No</x:v>
      </x:c>
      <x:c r="J92" s="47" t="str">
        <x:v>ELIGIBLE</x:v>
      </x:c>
      <x:c r="K92" s="47" t="str">
        <x:v>NOT_RUN</x:v>
      </x:c>
    </x:row>
    <x:row r="93">
      <x:c r="A93" s="47" t="str">
        <x:v>IMO-041</x:v>
      </x:c>
      <x:c r="B93" s="48" t="str">
        <x:v>International Code for Ships Operating in Polar Waters (Polar Code)</x:v>
      </x:c>
      <x:c r="C93" s="47" t="str">
        <x:v>Resolution MSC.385(94), adopted 21 Nov 2014; consolidated with MEPC.264(68), adopted 15 May 2015</x:v>
      </x:c>
      <x:c r="D93" s="59" t="n">
        <x:v>19</x:v>
      </x:c>
      <x:c r="E93" s="47" t="str">
        <x:v>5.3.2.1</x:v>
      </x:c>
      <x:c r="F93" s="47" t="str">
        <x:v>Static</x:v>
      </x:c>
      <x:c r="G93" s="48" t="str">
        <x:v>Stage 2 candidate - direct/deterministic</x:v>
      </x:c>
      <x:c r="H93" s="47" t="str">
        <x:v>High</x:v>
      </x:c>
      <x:c r="I93" s="47" t="str">
        <x:v>No</x:v>
      </x:c>
      <x:c r="J93" s="47" t="str">
        <x:v>ELIGIBLE</x:v>
      </x:c>
      <x:c r="K93" s="47" t="str">
        <x:v>NOT_RUN</x:v>
      </x:c>
    </x:row>
    <x:row r="94">
      <x:c r="A94" s="47" t="str">
        <x:v>IMO-042</x:v>
      </x:c>
      <x:c r="B94" s="48" t="str">
        <x:v>International Code for Ships Operating in Polar Waters (Polar Code)</x:v>
      </x:c>
      <x:c r="C94" s="47" t="str">
        <x:v>Resolution MSC.385(94), adopted 21 Nov 2014; consolidated with MEPC.264(68), adopted 15 May 2015</x:v>
      </x:c>
      <x:c r="D94" s="59" t="n">
        <x:v>20</x:v>
      </x:c>
      <x:c r="E94" s="47" t="str">
        <x:v>5.3.2.2</x:v>
      </x:c>
      <x:c r="F94" s="47" t="str">
        <x:v>Physical Test</x:v>
      </x:c>
      <x:c r="G94" s="48" t="str">
        <x:v>Evidence-only - physical result not inferred by SHACL</x:v>
      </x:c>
      <x:c r="H94" s="47" t="str">
        <x:v>Medium</x:v>
      </x:c>
      <x:c r="I94" s="47" t="str">
        <x:v>No</x:v>
      </x:c>
      <x:c r="J94" s="47" t="str">
        <x:v>DEFERRED</x:v>
      </x:c>
      <x:c r="K94" s="47" t="str">
        <x:v>NOT_RUN</x:v>
      </x:c>
    </x:row>
    <x:row r="95">
      <x:c r="A95" s="47" t="str">
        <x:v>IMO-043</x:v>
      </x:c>
      <x:c r="B95" s="48" t="str">
        <x:v>International Code for Ships Operating in Polar Waters (Polar Code)</x:v>
      </x:c>
      <x:c r="C95" s="47" t="str">
        <x:v>Resolution MSC.385(94), adopted 21 Nov 2014; consolidated with MEPC.264(68), adopted 15 May 2015</x:v>
      </x:c>
      <x:c r="D95" s="59" t="n">
        <x:v>20</x:v>
      </x:c>
      <x:c r="E95" s="47" t="str">
        <x:v>6.3.1.1</x:v>
      </x:c>
      <x:c r="F95" s="47" t="str">
        <x:v>Static</x:v>
      </x:c>
      <x:c r="G95" s="48" t="str">
        <x:v>Stage 2 candidate - direct/deterministic</x:v>
      </x:c>
      <x:c r="H95" s="47" t="str">
        <x:v>Medium</x:v>
      </x:c>
      <x:c r="I95" s="47" t="str">
        <x:v>No</x:v>
      </x:c>
      <x:c r="J95" s="47" t="str">
        <x:v>ELIGIBLE</x:v>
      </x:c>
      <x:c r="K95" s="47" t="str">
        <x:v>NOT_RUN</x:v>
      </x:c>
    </x:row>
    <x:row r="96">
      <x:c r="A96" s="47" t="str">
        <x:v>IMO-044</x:v>
      </x:c>
      <x:c r="B96" s="48" t="str">
        <x:v>International Code for Ships Operating in Polar Waters (Polar Code)</x:v>
      </x:c>
      <x:c r="C96" s="47" t="str">
        <x:v>Resolution MSC.385(94), adopted 21 Nov 2014; consolidated with MEPC.264(68), adopted 15 May 2015</x:v>
      </x:c>
      <x:c r="D96" s="59" t="n">
        <x:v>21</x:v>
      </x:c>
      <x:c r="E96" s="47" t="str">
        <x:v>6.3.1.2</x:v>
      </x:c>
      <x:c r="F96" s="47" t="str">
        <x:v>Dynamic</x:v>
      </x:c>
      <x:c r="G96" s="48" t="str">
        <x:v>Deferred - observation/history/simulation design required</x:v>
      </x:c>
      <x:c r="H96" s="47" t="str">
        <x:v>Medium</x:v>
      </x:c>
      <x:c r="I96" s="47" t="str">
        <x:v>No</x:v>
      </x:c>
      <x:c r="J96" s="47" t="str">
        <x:v>DEFERRED</x:v>
      </x:c>
      <x:c r="K96" s="47" t="str">
        <x:v>NOT_RUN</x:v>
      </x:c>
    </x:row>
    <x:row r="97">
      <x:c r="A97" s="47" t="str">
        <x:v>IMO-045</x:v>
      </x:c>
      <x:c r="B97" s="48" t="str">
        <x:v>International Code for Ships Operating in Polar Waters (Polar Code)</x:v>
      </x:c>
      <x:c r="C97" s="47" t="str">
        <x:v>Resolution MSC.385(94), adopted 21 Nov 2014; consolidated with MEPC.264(68), adopted 15 May 2015</x:v>
      </x:c>
      <x:c r="D97" s="59" t="n">
        <x:v>21</x:v>
      </x:c>
      <x:c r="E97" s="47" t="str">
        <x:v>6.3.1.3</x:v>
      </x:c>
      <x:c r="F97" s="47" t="str">
        <x:v>Static</x:v>
      </x:c>
      <x:c r="G97" s="48" t="str">
        <x:v>Stage 2 candidate - direct/deterministic</x:v>
      </x:c>
      <x:c r="H97" s="47" t="str">
        <x:v>High</x:v>
      </x:c>
      <x:c r="I97" s="47" t="str">
        <x:v>No</x:v>
      </x:c>
      <x:c r="J97" s="47" t="str">
        <x:v>ELIGIBLE</x:v>
      </x:c>
      <x:c r="K97" s="47" t="str">
        <x:v>NOT_RUN</x:v>
      </x:c>
    </x:row>
    <x:row r="98">
      <x:c r="A98" s="47" t="str">
        <x:v>IMO-046</x:v>
      </x:c>
      <x:c r="B98" s="48" t="str">
        <x:v>International Code for Ships Operating in Polar Waters (Polar Code)</x:v>
      </x:c>
      <x:c r="C98" s="47" t="str">
        <x:v>Resolution MSC.385(94), adopted 21 Nov 2014; consolidated with MEPC.264(68), adopted 15 May 2015</x:v>
      </x:c>
      <x:c r="D98" s="59" t="n">
        <x:v>21</x:v>
      </x:c>
      <x:c r="E98" s="47" t="str">
        <x:v>6.3.2.1</x:v>
      </x:c>
      <x:c r="F98" s="47" t="str">
        <x:v>Physical Test</x:v>
      </x:c>
      <x:c r="G98" s="48" t="str">
        <x:v>Evidence-only - physical result not inferred by SHACL</x:v>
      </x:c>
      <x:c r="H98" s="47" t="str">
        <x:v>Medium</x:v>
      </x:c>
      <x:c r="I98" s="47" t="str">
        <x:v>No</x:v>
      </x:c>
      <x:c r="J98" s="47" t="str">
        <x:v>DEFERRED</x:v>
      </x:c>
      <x:c r="K98" s="47" t="str">
        <x:v>NOT_RUN</x:v>
      </x:c>
    </x:row>
    <x:row r="99">
      <x:c r="A99" s="47" t="str">
        <x:v>IMO-047</x:v>
      </x:c>
      <x:c r="B99" s="48" t="str">
        <x:v>International Code for Ships Operating in Polar Waters (Polar Code)</x:v>
      </x:c>
      <x:c r="C99" s="47" t="str">
        <x:v>Resolution MSC.385(94), adopted 21 Nov 2014; consolidated with MEPC.264(68), adopted 15 May 2015</x:v>
      </x:c>
      <x:c r="D99" s="59" t="n">
        <x:v>21</x:v>
      </x:c>
      <x:c r="E99" s="47" t="str">
        <x:v>6.3.2.2</x:v>
      </x:c>
      <x:c r="F99" s="47" t="str">
        <x:v>Static</x:v>
      </x:c>
      <x:c r="G99" s="48" t="str">
        <x:v>Stage 2 candidate - direct/deterministic</x:v>
      </x:c>
      <x:c r="H99" s="47" t="str">
        <x:v>High</x:v>
      </x:c>
      <x:c r="I99" s="47" t="str">
        <x:v>No</x:v>
      </x:c>
      <x:c r="J99" s="47" t="str">
        <x:v>ELIGIBLE</x:v>
      </x:c>
      <x:c r="K99" s="47" t="str">
        <x:v>NOT_RUN</x:v>
      </x:c>
    </x:row>
    <x:row r="100">
      <x:c r="A100" s="47" t="str">
        <x:v>IMO-048</x:v>
      </x:c>
      <x:c r="B100" s="48" t="str">
        <x:v>International Code for Ships Operating in Polar Waters (Polar Code)</x:v>
      </x:c>
      <x:c r="C100" s="47" t="str">
        <x:v>Resolution MSC.385(94), adopted 21 Nov 2014; consolidated with MEPC.264(68), adopted 15 May 2015</x:v>
      </x:c>
      <x:c r="D100" s="59" t="n">
        <x:v>21</x:v>
      </x:c>
      <x:c r="E100" s="47" t="str">
        <x:v>6.3.2.3</x:v>
      </x:c>
      <x:c r="F100" s="47" t="str">
        <x:v>Static</x:v>
      </x:c>
      <x:c r="G100" s="48" t="str">
        <x:v>Stage 2 candidate - direct static</x:v>
      </x:c>
      <x:c r="H100" s="47" t="str">
        <x:v>Direct static</x:v>
      </x:c>
      <x:c r="I100" s="47" t="str">
        <x:v>No</x:v>
      </x:c>
      <x:c r="J100" s="47" t="str">
        <x:v>ELIGIBLE</x:v>
      </x:c>
      <x:c r="K100" s="47" t="str">
        <x:v>NOT_RUN</x:v>
      </x:c>
    </x:row>
    <x:row r="101">
      <x:c r="A101" s="47" t="str">
        <x:v>IMO-049</x:v>
      </x:c>
      <x:c r="B101" s="48" t="str">
        <x:v>International Code for Ships Operating in Polar Waters (Polar Code)</x:v>
      </x:c>
      <x:c r="C101" s="47" t="str">
        <x:v>Resolution MSC.385(94), adopted 21 Nov 2014; consolidated with MEPC.264(68), adopted 15 May 2015</x:v>
      </x:c>
      <x:c r="D101" s="59" t="n">
        <x:v>21</x:v>
      </x:c>
      <x:c r="E101" s="47" t="str">
        <x:v>6.3.3.1-.3</x:v>
      </x:c>
      <x:c r="F101" s="47" t="str">
        <x:v>Static</x:v>
      </x:c>
      <x:c r="G101" s="48" t="str">
        <x:v>Stage 2 candidate - direct static</x:v>
      </x:c>
      <x:c r="H101" s="47" t="str">
        <x:v>Direct static</x:v>
      </x:c>
      <x:c r="I101" s="47" t="str">
        <x:v>No</x:v>
      </x:c>
      <x:c r="J101" s="47" t="str">
        <x:v>ELIGIBLE</x:v>
      </x:c>
      <x:c r="K101" s="47" t="str">
        <x:v>NOT_RUN</x:v>
      </x:c>
    </x:row>
    <x:row r="102">
      <x:c r="A102" s="47" t="str">
        <x:v>IMO-050</x:v>
      </x:c>
      <x:c r="B102" s="48" t="str">
        <x:v>International Code for Ships Operating in Polar Waters (Polar Code)</x:v>
      </x:c>
      <x:c r="C102" s="47" t="str">
        <x:v>Resolution MSC.385(94), adopted 21 Nov 2014; consolidated with MEPC.264(68), adopted 15 May 2015</x:v>
      </x:c>
      <x:c r="D102" s="59" t="n">
        <x:v>22</x:v>
      </x:c>
      <x:c r="E102" s="47" t="str">
        <x:v>7.2.1.1</x:v>
      </x:c>
      <x:c r="F102" s="47" t="str">
        <x:v>Static</x:v>
      </x:c>
      <x:c r="G102" s="48" t="str">
        <x:v>Stage 2 candidate - direct/deterministic</x:v>
      </x:c>
      <x:c r="H102" s="47" t="str">
        <x:v>High</x:v>
      </x:c>
      <x:c r="I102" s="47" t="str">
        <x:v>No</x:v>
      </x:c>
      <x:c r="J102" s="47" t="str">
        <x:v>ELIGIBLE</x:v>
      </x:c>
      <x:c r="K102" s="47" t="str">
        <x:v>NOT_RUN</x:v>
      </x:c>
    </x:row>
    <x:row r="103">
      <x:c r="A103" s="47" t="str">
        <x:v>IMO-051</x:v>
      </x:c>
      <x:c r="B103" s="48" t="str">
        <x:v>International Code for Ships Operating in Polar Waters (Polar Code)</x:v>
      </x:c>
      <x:c r="C103" s="47" t="str">
        <x:v>Resolution MSC.385(94), adopted 21 Nov 2014; consolidated with MEPC.264(68), adopted 15 May 2015</x:v>
      </x:c>
      <x:c r="D103" s="59" t="n">
        <x:v>22</x:v>
      </x:c>
      <x:c r="E103" s="47" t="str">
        <x:v>7.2.1.2</x:v>
      </x:c>
      <x:c r="F103" s="47" t="str">
        <x:v>Static</x:v>
      </x:c>
      <x:c r="G103" s="48" t="str">
        <x:v>Stage 2 candidate - direct/deterministic</x:v>
      </x:c>
      <x:c r="H103" s="47" t="str">
        <x:v>High</x:v>
      </x:c>
      <x:c r="I103" s="47" t="str">
        <x:v>No</x:v>
      </x:c>
      <x:c r="J103" s="47" t="str">
        <x:v>ELIGIBLE</x:v>
      </x:c>
      <x:c r="K103" s="47" t="str">
        <x:v>NOT_RUN</x:v>
      </x:c>
    </x:row>
    <x:row r="104">
      <x:c r="A104" s="47" t="str">
        <x:v>IMO-052</x:v>
      </x:c>
      <x:c r="B104" s="48" t="str">
        <x:v>International Code for Ships Operating in Polar Waters (Polar Code)</x:v>
      </x:c>
      <x:c r="C104" s="47" t="str">
        <x:v>Resolution MSC.385(94), adopted 21 Nov 2014; consolidated with MEPC.264(68), adopted 15 May 2015</x:v>
      </x:c>
      <x:c r="D104" s="59" t="n">
        <x:v>22</x:v>
      </x:c>
      <x:c r="E104" s="47" t="str">
        <x:v>7.2.1.4</x:v>
      </x:c>
      <x:c r="F104" s="47" t="str">
        <x:v>Static</x:v>
      </x:c>
      <x:c r="G104" s="48" t="str">
        <x:v>Stage 2 candidate - direct/deterministic</x:v>
      </x:c>
      <x:c r="H104" s="47" t="str">
        <x:v>High</x:v>
      </x:c>
      <x:c r="I104" s="47" t="str">
        <x:v>No</x:v>
      </x:c>
      <x:c r="J104" s="47" t="str">
        <x:v>ELIGIBLE</x:v>
      </x:c>
      <x:c r="K104" s="47" t="str">
        <x:v>NOT_RUN</x:v>
      </x:c>
    </x:row>
    <x:row r="105">
      <x:c r="A105" s="47" t="str">
        <x:v>IMO-053</x:v>
      </x:c>
      <x:c r="B105" s="48" t="str">
        <x:v>International Code for Ships Operating in Polar Waters (Polar Code)</x:v>
      </x:c>
      <x:c r="C105" s="47" t="str">
        <x:v>Resolution MSC.385(94), adopted 21 Nov 2014; consolidated with MEPC.264(68), adopted 15 May 2015</x:v>
      </x:c>
      <x:c r="D105" s="59" t="n">
        <x:v>22</x:v>
      </x:c>
      <x:c r="E105" s="47" t="str">
        <x:v>7.2.1.5</x:v>
      </x:c>
      <x:c r="F105" s="47" t="str">
        <x:v>Static</x:v>
      </x:c>
      <x:c r="G105" s="48" t="str">
        <x:v>Stage 2 candidate - direct/deterministic</x:v>
      </x:c>
      <x:c r="H105" s="47" t="str">
        <x:v>Medium</x:v>
      </x:c>
      <x:c r="I105" s="47" t="str">
        <x:v>No</x:v>
      </x:c>
      <x:c r="J105" s="47" t="str">
        <x:v>ELIGIBLE</x:v>
      </x:c>
      <x:c r="K105" s="47" t="str">
        <x:v>NOT_RUN</x:v>
      </x:c>
    </x:row>
    <x:row r="106">
      <x:c r="A106" s="47" t="str">
        <x:v>IMO-054</x:v>
      </x:c>
      <x:c r="B106" s="48" t="str">
        <x:v>International Code for Ships Operating in Polar Waters (Polar Code)</x:v>
      </x:c>
      <x:c r="C106" s="47" t="str">
        <x:v>Resolution MSC.385(94), adopted 21 Nov 2014; consolidated with MEPC.264(68), adopted 15 May 2015</x:v>
      </x:c>
      <x:c r="D106" s="59" t="n">
        <x:v>22</x:v>
      </x:c>
      <x:c r="E106" s="47" t="str">
        <x:v>7.2.2.1</x:v>
      </x:c>
      <x:c r="F106" s="47" t="str">
        <x:v>Physical Test</x:v>
      </x:c>
      <x:c r="G106" s="48" t="str">
        <x:v>Evidence-only - physical result not inferred by SHACL</x:v>
      </x:c>
      <x:c r="H106" s="47" t="str">
        <x:v>Medium</x:v>
      </x:c>
      <x:c r="I106" s="47" t="str">
        <x:v>No</x:v>
      </x:c>
      <x:c r="J106" s="47" t="str">
        <x:v>DEFERRED</x:v>
      </x:c>
      <x:c r="K106" s="47" t="str">
        <x:v>NOT_RUN</x:v>
      </x:c>
    </x:row>
    <x:row r="107">
      <x:c r="A107" s="47" t="str">
        <x:v>IMO-055</x:v>
      </x:c>
      <x:c r="B107" s="48" t="str">
        <x:v>International Code for Ships Operating in Polar Waters (Polar Code)</x:v>
      </x:c>
      <x:c r="C107" s="47" t="str">
        <x:v>Resolution MSC.385(94), adopted 21 Nov 2014; consolidated with MEPC.264(68), adopted 15 May 2015</x:v>
      </x:c>
      <x:c r="D107" s="59" t="n">
        <x:v>22</x:v>
      </x:c>
      <x:c r="E107" s="47" t="str">
        <x:v>7.3.1.1</x:v>
      </x:c>
      <x:c r="F107" s="47" t="str">
        <x:v>Static</x:v>
      </x:c>
      <x:c r="G107" s="48" t="str">
        <x:v>Stage 2 candidate - direct/deterministic</x:v>
      </x:c>
      <x:c r="H107" s="47" t="str">
        <x:v>High</x:v>
      </x:c>
      <x:c r="I107" s="47" t="str">
        <x:v>No</x:v>
      </x:c>
      <x:c r="J107" s="47" t="str">
        <x:v>ELIGIBLE</x:v>
      </x:c>
      <x:c r="K107" s="47" t="str">
        <x:v>NOT_RUN</x:v>
      </x:c>
    </x:row>
    <x:row r="108">
      <x:c r="A108" s="47" t="str">
        <x:v>IMO-056</x:v>
      </x:c>
      <x:c r="B108" s="48" t="str">
        <x:v>International Code for Ships Operating in Polar Waters (Polar Code)</x:v>
      </x:c>
      <x:c r="C108" s="47" t="str">
        <x:v>Resolution MSC.385(94), adopted 21 Nov 2014; consolidated with MEPC.264(68), adopted 15 May 2015</x:v>
      </x:c>
      <x:c r="D108" s="59" t="n">
        <x:v>22</x:v>
      </x:c>
      <x:c r="E108" s="47" t="str">
        <x:v>7.3.1.2</x:v>
      </x:c>
      <x:c r="F108" s="47" t="str">
        <x:v>Physical Test</x:v>
      </x:c>
      <x:c r="G108" s="48" t="str">
        <x:v>Evidence-only - physical result not inferred by SHACL</x:v>
      </x:c>
      <x:c r="H108" s="47" t="str">
        <x:v>Medium</x:v>
      </x:c>
      <x:c r="I108" s="47" t="str">
        <x:v>No</x:v>
      </x:c>
      <x:c r="J108" s="47" t="str">
        <x:v>DEFERRED</x:v>
      </x:c>
      <x:c r="K108" s="47" t="str">
        <x:v>NOT_RUN</x:v>
      </x:c>
    </x:row>
    <x:row r="109">
      <x:c r="A109" s="47" t="str">
        <x:v>IMO-057</x:v>
      </x:c>
      <x:c r="B109" s="48" t="str">
        <x:v>International Code for Ships Operating in Polar Waters (Polar Code)</x:v>
      </x:c>
      <x:c r="C109" s="47" t="str">
        <x:v>Resolution MSC.385(94), adopted 21 Nov 2014; consolidated with MEPC.264(68), adopted 15 May 2015</x:v>
      </x:c>
      <x:c r="D109" s="59" t="n">
        <x:v>22</x:v>
      </x:c>
      <x:c r="E109" s="47" t="str">
        <x:v>7.3.2.1</x:v>
      </x:c>
      <x:c r="F109" s="47" t="str">
        <x:v>Static</x:v>
      </x:c>
      <x:c r="G109" s="48" t="str">
        <x:v>Stage 2 candidate - direct/deterministic</x:v>
      </x:c>
      <x:c r="H109" s="47" t="str">
        <x:v>High</x:v>
      </x:c>
      <x:c r="I109" s="47" t="str">
        <x:v>No</x:v>
      </x:c>
      <x:c r="J109" s="47" t="str">
        <x:v>ELIGIBLE</x:v>
      </x:c>
      <x:c r="K109" s="47" t="str">
        <x:v>NOT_RUN</x:v>
      </x:c>
    </x:row>
    <x:row r="110">
      <x:c r="A110" s="47" t="str">
        <x:v>IMO-058</x:v>
      </x:c>
      <x:c r="B110" s="48" t="str">
        <x:v>International Code for Ships Operating in Polar Waters (Polar Code)</x:v>
      </x:c>
      <x:c r="C110" s="47" t="str">
        <x:v>Resolution MSC.385(94), adopted 21 Nov 2014; consolidated with MEPC.264(68), adopted 15 May 2015</x:v>
      </x:c>
      <x:c r="D110" s="59" t="n">
        <x:v>22</x:v>
      </x:c>
      <x:c r="E110" s="47" t="str">
        <x:v>7.3.2.2</x:v>
      </x:c>
      <x:c r="F110" s="47" t="str">
        <x:v>Static</x:v>
      </x:c>
      <x:c r="G110" s="48" t="str">
        <x:v>Stage 2 candidate - direct/deterministic</x:v>
      </x:c>
      <x:c r="H110" s="47" t="str">
        <x:v>High</x:v>
      </x:c>
      <x:c r="I110" s="47" t="str">
        <x:v>No</x:v>
      </x:c>
      <x:c r="J110" s="47" t="str">
        <x:v>ELIGIBLE</x:v>
      </x:c>
      <x:c r="K110" s="47" t="str">
        <x:v>NOT_RUN</x:v>
      </x:c>
    </x:row>
    <x:row r="111">
      <x:c r="A111" s="47" t="str">
        <x:v>IMO-059</x:v>
      </x:c>
      <x:c r="B111" s="48" t="str">
        <x:v>International Code for Ships Operating in Polar Waters (Polar Code)</x:v>
      </x:c>
      <x:c r="C111" s="47" t="str">
        <x:v>Resolution MSC.385(94), adopted 21 Nov 2014; consolidated with MEPC.264(68), adopted 15 May 2015</x:v>
      </x:c>
      <x:c r="D111" s="59" t="n">
        <x:v>22</x:v>
      </x:c>
      <x:c r="E111" s="47" t="str">
        <x:v>7.3.2.3</x:v>
      </x:c>
      <x:c r="F111" s="47" t="str">
        <x:v>Static</x:v>
      </x:c>
      <x:c r="G111" s="48" t="str">
        <x:v>Stage 2 candidate - direct/deterministic</x:v>
      </x:c>
      <x:c r="H111" s="47" t="str">
        <x:v>High</x:v>
      </x:c>
      <x:c r="I111" s="47" t="str">
        <x:v>No</x:v>
      </x:c>
      <x:c r="J111" s="47" t="str">
        <x:v>ELIGIBLE</x:v>
      </x:c>
      <x:c r="K111" s="47" t="str">
        <x:v>NOT_RUN</x:v>
      </x:c>
    </x:row>
    <x:row r="112">
      <x:c r="A112" s="47" t="str">
        <x:v>IMO-060</x:v>
      </x:c>
      <x:c r="B112" s="48" t="str">
        <x:v>International Code for Ships Operating in Polar Waters (Polar Code)</x:v>
      </x:c>
      <x:c r="C112" s="47" t="str">
        <x:v>Resolution MSC.385(94), adopted 21 Nov 2014; consolidated with MEPC.264(68), adopted 15 May 2015</x:v>
      </x:c>
      <x:c r="D112" s="59" t="n">
        <x:v>22</x:v>
      </x:c>
      <x:c r="E112" s="47" t="str">
        <x:v>7.3.2.4</x:v>
      </x:c>
      <x:c r="F112" s="47" t="str">
        <x:v>Static</x:v>
      </x:c>
      <x:c r="G112" s="48" t="str">
        <x:v>Stage 2 candidate - direct/deterministic</x:v>
      </x:c>
      <x:c r="H112" s="47" t="str">
        <x:v>High</x:v>
      </x:c>
      <x:c r="I112" s="47" t="str">
        <x:v>No</x:v>
      </x:c>
      <x:c r="J112" s="47" t="str">
        <x:v>ELIGIBLE</x:v>
      </x:c>
      <x:c r="K112" s="47" t="str">
        <x:v>NOT_RUN</x:v>
      </x:c>
    </x:row>
    <x:row r="113">
      <x:c r="A113" s="47" t="str">
        <x:v>IMO-061</x:v>
      </x:c>
      <x:c r="B113" s="48" t="str">
        <x:v>International Code for Ships Operating in Polar Waters (Polar Code)</x:v>
      </x:c>
      <x:c r="C113" s="47" t="str">
        <x:v>Resolution MSC.385(94), adopted 21 Nov 2014; consolidated with MEPC.264(68), adopted 15 May 2015</x:v>
      </x:c>
      <x:c r="D113" s="59" t="n">
        <x:v>23</x:v>
      </x:c>
      <x:c r="E113" s="47" t="str">
        <x:v>7.3.3.1</x:v>
      </x:c>
      <x:c r="F113" s="47" t="str">
        <x:v>Physical Test</x:v>
      </x:c>
      <x:c r="G113" s="48" t="str">
        <x:v>Evidence-only - physical result not inferred by SHACL</x:v>
      </x:c>
      <x:c r="H113" s="47" t="str">
        <x:v>Medium</x:v>
      </x:c>
      <x:c r="I113" s="47" t="str">
        <x:v>No</x:v>
      </x:c>
      <x:c r="J113" s="47" t="str">
        <x:v>DEFERRED</x:v>
      </x:c>
      <x:c r="K113" s="47" t="str">
        <x:v>NOT_RUN</x:v>
      </x:c>
    </x:row>
    <x:row r="114">
      <x:c r="A114" s="47" t="str">
        <x:v>IMO-062</x:v>
      </x:c>
      <x:c r="B114" s="48" t="str">
        <x:v>International Code for Ships Operating in Polar Waters (Polar Code)</x:v>
      </x:c>
      <x:c r="C114" s="47" t="str">
        <x:v>Resolution MSC.385(94), adopted 21 Nov 2014; consolidated with MEPC.264(68), adopted 15 May 2015</x:v>
      </x:c>
      <x:c r="D114" s="59" t="n">
        <x:v>23</x:v>
      </x:c>
      <x:c r="E114" s="47" t="str">
        <x:v>8.2.1.1</x:v>
      </x:c>
      <x:c r="F114" s="47" t="str">
        <x:v>Static</x:v>
      </x:c>
      <x:c r="G114" s="48" t="str">
        <x:v>Stage 2 candidate - direct/deterministic</x:v>
      </x:c>
      <x:c r="H114" s="47" t="str">
        <x:v>Medium</x:v>
      </x:c>
      <x:c r="I114" s="47" t="str">
        <x:v>No</x:v>
      </x:c>
      <x:c r="J114" s="47" t="str">
        <x:v>ELIGIBLE</x:v>
      </x:c>
      <x:c r="K114" s="47" t="str">
        <x:v>NOT_RUN</x:v>
      </x:c>
    </x:row>
    <x:row r="115">
      <x:c r="A115" s="47" t="str">
        <x:v>IMO-063</x:v>
      </x:c>
      <x:c r="B115" s="48" t="str">
        <x:v>International Code for Ships Operating in Polar Waters (Polar Code)</x:v>
      </x:c>
      <x:c r="C115" s="47" t="str">
        <x:v>Resolution MSC.385(94), adopted 21 Nov 2014; consolidated with MEPC.264(68), adopted 15 May 2015</x:v>
      </x:c>
      <x:c r="D115" s="59" t="n">
        <x:v>23</x:v>
      </x:c>
      <x:c r="E115" s="47" t="str">
        <x:v>8.2.2</x:v>
      </x:c>
      <x:c r="F115" s="47" t="str">
        <x:v>Physical Test</x:v>
      </x:c>
      <x:c r="G115" s="48" t="str">
        <x:v>Evidence-only - physical result not inferred by SHACL</x:v>
      </x:c>
      <x:c r="H115" s="47" t="str">
        <x:v>Medium</x:v>
      </x:c>
      <x:c r="I115" s="47" t="str">
        <x:v>No</x:v>
      </x:c>
      <x:c r="J115" s="47" t="str">
        <x:v>DEFERRED</x:v>
      </x:c>
      <x:c r="K115" s="47" t="str">
        <x:v>NOT_RUN</x:v>
      </x:c>
    </x:row>
    <x:row r="116">
      <x:c r="A116" s="47" t="str">
        <x:v>IMO-064</x:v>
      </x:c>
      <x:c r="B116" s="48" t="str">
        <x:v>International Code for Ships Operating in Polar Waters (Polar Code)</x:v>
      </x:c>
      <x:c r="C116" s="47" t="str">
        <x:v>Resolution MSC.385(94), adopted 21 Nov 2014; consolidated with MEPC.264(68), adopted 15 May 2015</x:v>
      </x:c>
      <x:c r="D116" s="59" t="n">
        <x:v>23</x:v>
      </x:c>
      <x:c r="E116" s="47" t="str">
        <x:v>8.2.3.1</x:v>
      </x:c>
      <x:c r="F116" s="47" t="str">
        <x:v>Static</x:v>
      </x:c>
      <x:c r="G116" s="48" t="str">
        <x:v>Stage 2 candidate - direct/deterministic</x:v>
      </x:c>
      <x:c r="H116" s="47" t="str">
        <x:v>Medium</x:v>
      </x:c>
      <x:c r="I116" s="47" t="str">
        <x:v>No</x:v>
      </x:c>
      <x:c r="J116" s="47" t="str">
        <x:v>ELIGIBLE</x:v>
      </x:c>
      <x:c r="K116" s="47" t="str">
        <x:v>NOT_RUN</x:v>
      </x:c>
    </x:row>
    <x:row r="117">
      <x:c r="A117" s="47" t="str">
        <x:v>IMO-065</x:v>
      </x:c>
      <x:c r="B117" s="48" t="str">
        <x:v>International Code for Ships Operating in Polar Waters (Polar Code)</x:v>
      </x:c>
      <x:c r="C117" s="47" t="str">
        <x:v>Resolution MSC.385(94), adopted 21 Nov 2014; consolidated with MEPC.264(68), adopted 15 May 2015</x:v>
      </x:c>
      <x:c r="D117" s="59" t="str">
        <x:v>23-24</x:v>
      </x:c>
      <x:c r="E117" s="47" t="str">
        <x:v>8.2.3.3</x:v>
      </x:c>
      <x:c r="F117" s="47" t="str">
        <x:v>Static</x:v>
      </x:c>
      <x:c r="G117" s="48" t="str">
        <x:v>Stage 2 candidate - direct static</x:v>
      </x:c>
      <x:c r="H117" s="47" t="str">
        <x:v>Direct static</x:v>
      </x:c>
      <x:c r="I117" s="47" t="str">
        <x:v>No</x:v>
      </x:c>
      <x:c r="J117" s="47" t="str">
        <x:v>ELIGIBLE</x:v>
      </x:c>
      <x:c r="K117" s="47" t="str">
        <x:v>NOT_RUN</x:v>
      </x:c>
    </x:row>
    <x:row r="118">
      <x:c r="A118" s="47" t="str">
        <x:v>IMO-066</x:v>
      </x:c>
      <x:c r="B118" s="48" t="str">
        <x:v>International Code for Ships Operating in Polar Waters (Polar Code)</x:v>
      </x:c>
      <x:c r="C118" s="47" t="str">
        <x:v>Resolution MSC.385(94), adopted 21 Nov 2014; consolidated with MEPC.264(68), adopted 15 May 2015</x:v>
      </x:c>
      <x:c r="D118" s="59" t="n">
        <x:v>24</x:v>
      </x:c>
      <x:c r="E118" s="47" t="str">
        <x:v>8.3.1.1</x:v>
      </x:c>
      <x:c r="F118" s="47" t="str">
        <x:v>Static</x:v>
      </x:c>
      <x:c r="G118" s="48" t="str">
        <x:v>Stage 2 candidate - direct/deterministic</x:v>
      </x:c>
      <x:c r="H118" s="47" t="str">
        <x:v>High</x:v>
      </x:c>
      <x:c r="I118" s="47" t="str">
        <x:v>No</x:v>
      </x:c>
      <x:c r="J118" s="47" t="str">
        <x:v>ELIGIBLE</x:v>
      </x:c>
      <x:c r="K118" s="47" t="str">
        <x:v>NOT_RUN</x:v>
      </x:c>
    </x:row>
    <x:row r="119">
      <x:c r="A119" s="47" t="str">
        <x:v>IMO-067</x:v>
      </x:c>
      <x:c r="B119" s="48" t="str">
        <x:v>International Code for Ships Operating in Polar Waters (Polar Code)</x:v>
      </x:c>
      <x:c r="C119" s="47" t="str">
        <x:v>Resolution MSC.385(94), adopted 21 Nov 2014; consolidated with MEPC.264(68), adopted 15 May 2015</x:v>
      </x:c>
      <x:c r="D119" s="59" t="n">
        <x:v>24</x:v>
      </x:c>
      <x:c r="E119" s="47" t="str">
        <x:v>8.3.1.2</x:v>
      </x:c>
      <x:c r="F119" s="47" t="str">
        <x:v>Physical Test</x:v>
      </x:c>
      <x:c r="G119" s="48" t="str">
        <x:v>Evidence-only - physical result not inferred by SHACL</x:v>
      </x:c>
      <x:c r="H119" s="47" t="str">
        <x:v>Medium</x:v>
      </x:c>
      <x:c r="I119" s="47" t="str">
        <x:v>No</x:v>
      </x:c>
      <x:c r="J119" s="47" t="str">
        <x:v>DEFERRED</x:v>
      </x:c>
      <x:c r="K119" s="47" t="str">
        <x:v>NOT_RUN</x:v>
      </x:c>
    </x:row>
    <x:row r="120">
      <x:c r="A120" s="47" t="str">
        <x:v>IMO-068</x:v>
      </x:c>
      <x:c r="B120" s="48" t="str">
        <x:v>International Code for Ships Operating in Polar Waters (Polar Code)</x:v>
      </x:c>
      <x:c r="C120" s="47" t="str">
        <x:v>Resolution MSC.385(94), adopted 21 Nov 2014; consolidated with MEPC.264(68), adopted 15 May 2015</x:v>
      </x:c>
      <x:c r="D120" s="59" t="n">
        <x:v>24</x:v>
      </x:c>
      <x:c r="E120" s="47" t="str">
        <x:v>8.3.2.1</x:v>
      </x:c>
      <x:c r="F120" s="47" t="str">
        <x:v>Static</x:v>
      </x:c>
      <x:c r="G120" s="48" t="str">
        <x:v>Stage 2 candidate - direct static</x:v>
      </x:c>
      <x:c r="H120" s="47" t="str">
        <x:v>Direct static</x:v>
      </x:c>
      <x:c r="I120" s="47" t="str">
        <x:v>No</x:v>
      </x:c>
      <x:c r="J120" s="47" t="str">
        <x:v>ELIGIBLE</x:v>
      </x:c>
      <x:c r="K120" s="47" t="str">
        <x:v>NOT_RUN</x:v>
      </x:c>
    </x:row>
    <x:row r="121">
      <x:c r="A121" s="47" t="str">
        <x:v>IMO-069</x:v>
      </x:c>
      <x:c r="B121" s="48" t="str">
        <x:v>International Code for Ships Operating in Polar Waters (Polar Code)</x:v>
      </x:c>
      <x:c r="C121" s="47" t="str">
        <x:v>Resolution MSC.385(94), adopted 21 Nov 2014; consolidated with MEPC.264(68), adopted 15 May 2015</x:v>
      </x:c>
      <x:c r="D121" s="59" t="n">
        <x:v>24</x:v>
      </x:c>
      <x:c r="E121" s="47" t="str">
        <x:v>8.3.2.2</x:v>
      </x:c>
      <x:c r="F121" s="47" t="str">
        <x:v>Static</x:v>
      </x:c>
      <x:c r="G121" s="48" t="str">
        <x:v>Stage 2 candidate - direct/deterministic</x:v>
      </x:c>
      <x:c r="H121" s="47" t="str">
        <x:v>High</x:v>
      </x:c>
      <x:c r="I121" s="47" t="str">
        <x:v>No</x:v>
      </x:c>
      <x:c r="J121" s="47" t="str">
        <x:v>ELIGIBLE</x:v>
      </x:c>
      <x:c r="K121" s="47" t="str">
        <x:v>NOT_RUN</x:v>
      </x:c>
    </x:row>
    <x:row r="122">
      <x:c r="A122" s="47" t="str">
        <x:v>IMO-070</x:v>
      </x:c>
      <x:c r="B122" s="48" t="str">
        <x:v>International Code for Ships Operating in Polar Waters (Polar Code)</x:v>
      </x:c>
      <x:c r="C122" s="47" t="str">
        <x:v>Resolution MSC.385(94), adopted 21 Nov 2014; consolidated with MEPC.264(68), adopted 15 May 2015</x:v>
      </x:c>
      <x:c r="D122" s="59" t="n">
        <x:v>24</x:v>
      </x:c>
      <x:c r="E122" s="47" t="str">
        <x:v>8.3.3.1.1</x:v>
      </x:c>
      <x:c r="F122" s="47" t="str">
        <x:v>Static</x:v>
      </x:c>
      <x:c r="G122" s="48" t="str">
        <x:v>Stage 2 candidate - direct/deterministic</x:v>
      </x:c>
      <x:c r="H122" s="47" t="str">
        <x:v>High</x:v>
      </x:c>
      <x:c r="I122" s="47" t="str">
        <x:v>No</x:v>
      </x:c>
      <x:c r="J122" s="47" t="str">
        <x:v>ELIGIBLE</x:v>
      </x:c>
      <x:c r="K122" s="47" t="str">
        <x:v>NOT_RUN</x:v>
      </x:c>
    </x:row>
    <x:row r="123">
      <x:c r="A123" s="47" t="str">
        <x:v>IMO-071</x:v>
      </x:c>
      <x:c r="B123" s="48" t="str">
        <x:v>International Code for Ships Operating in Polar Waters (Polar Code)</x:v>
      </x:c>
      <x:c r="C123" s="47" t="str">
        <x:v>Resolution MSC.385(94), adopted 21 Nov 2014; consolidated with MEPC.264(68), adopted 15 May 2015</x:v>
      </x:c>
      <x:c r="D123" s="59" t="n">
        <x:v>24</x:v>
      </x:c>
      <x:c r="E123" s="47" t="str">
        <x:v>8.3.3.1.2</x:v>
      </x:c>
      <x:c r="F123" s="47" t="str">
        <x:v>Static</x:v>
      </x:c>
      <x:c r="G123" s="48" t="str">
        <x:v>Stage 2 candidate - direct/deterministic</x:v>
      </x:c>
      <x:c r="H123" s="47" t="str">
        <x:v>High</x:v>
      </x:c>
      <x:c r="I123" s="47" t="str">
        <x:v>No</x:v>
      </x:c>
      <x:c r="J123" s="47" t="str">
        <x:v>ELIGIBLE</x:v>
      </x:c>
      <x:c r="K123" s="47" t="str">
        <x:v>NOT_RUN</x:v>
      </x:c>
    </x:row>
    <x:row r="124">
      <x:c r="A124" s="47" t="str">
        <x:v>IMO-072</x:v>
      </x:c>
      <x:c r="B124" s="48" t="str">
        <x:v>International Code for Ships Operating in Polar Waters (Polar Code)</x:v>
      </x:c>
      <x:c r="C124" s="47" t="str">
        <x:v>Resolution MSC.385(94), adopted 21 Nov 2014; consolidated with MEPC.264(68), adopted 15 May 2015</x:v>
      </x:c>
      <x:c r="D124" s="59" t="n">
        <x:v>25</x:v>
      </x:c>
      <x:c r="E124" s="47" t="str">
        <x:v>8.3.3.2</x:v>
      </x:c>
      <x:c r="F124" s="47" t="str">
        <x:v>Static</x:v>
      </x:c>
      <x:c r="G124" s="48" t="str">
        <x:v>Stage 2 candidate - direct/deterministic</x:v>
      </x:c>
      <x:c r="H124" s="47" t="str">
        <x:v>High</x:v>
      </x:c>
      <x:c r="I124" s="47" t="str">
        <x:v>No</x:v>
      </x:c>
      <x:c r="J124" s="47" t="str">
        <x:v>ELIGIBLE</x:v>
      </x:c>
      <x:c r="K124" s="47" t="str">
        <x:v>NOT_RUN</x:v>
      </x:c>
    </x:row>
    <x:row r="125">
      <x:c r="A125" s="47" t="str">
        <x:v>IMO-073</x:v>
      </x:c>
      <x:c r="B125" s="48" t="str">
        <x:v>International Code for Ships Operating in Polar Waters (Polar Code)</x:v>
      </x:c>
      <x:c r="C125" s="47" t="str">
        <x:v>Resolution MSC.385(94), adopted 21 Nov 2014; consolidated with MEPC.264(68), adopted 15 May 2015</x:v>
      </x:c>
      <x:c r="D125" s="59" t="n">
        <x:v>25</x:v>
      </x:c>
      <x:c r="E125" s="47" t="str">
        <x:v>8.3.3.3.1</x:v>
      </x:c>
      <x:c r="F125" s="47" t="str">
        <x:v>Static</x:v>
      </x:c>
      <x:c r="G125" s="48" t="str">
        <x:v>Stage 2 candidate - direct/deterministic</x:v>
      </x:c>
      <x:c r="H125" s="47" t="str">
        <x:v>High</x:v>
      </x:c>
      <x:c r="I125" s="47" t="str">
        <x:v>No</x:v>
      </x:c>
      <x:c r="J125" s="47" t="str">
        <x:v>ELIGIBLE</x:v>
      </x:c>
      <x:c r="K125" s="47" t="str">
        <x:v>NOT_RUN</x:v>
      </x:c>
    </x:row>
    <x:row r="126">
      <x:c r="A126" s="47" t="str">
        <x:v>IMO-074</x:v>
      </x:c>
      <x:c r="B126" s="48" t="str">
        <x:v>International Code for Ships Operating in Polar Waters (Polar Code)</x:v>
      </x:c>
      <x:c r="C126" s="47" t="str">
        <x:v>Resolution MSC.385(94), adopted 21 Nov 2014; consolidated with MEPC.264(68), adopted 15 May 2015</x:v>
      </x:c>
      <x:c r="D126" s="59" t="n">
        <x:v>25</x:v>
      </x:c>
      <x:c r="E126" s="47" t="str">
        <x:v>8.3.3.3.3.1</x:v>
      </x:c>
      <x:c r="F126" s="47" t="str">
        <x:v>Static</x:v>
      </x:c>
      <x:c r="G126" s="48" t="str">
        <x:v>Stage 2 candidate - direct/deterministic</x:v>
      </x:c>
      <x:c r="H126" s="47" t="str">
        <x:v>Medium</x:v>
      </x:c>
      <x:c r="I126" s="47" t="str">
        <x:v>No</x:v>
      </x:c>
      <x:c r="J126" s="47" t="str">
        <x:v>ELIGIBLE</x:v>
      </x:c>
      <x:c r="K126" s="47" t="str">
        <x:v>NOT_RUN</x:v>
      </x:c>
    </x:row>
    <x:row r="127">
      <x:c r="A127" s="47" t="str">
        <x:v>IMO-075</x:v>
      </x:c>
      <x:c r="B127" s="48" t="str">
        <x:v>International Code for Ships Operating in Polar Waters (Polar Code)</x:v>
      </x:c>
      <x:c r="C127" s="47" t="str">
        <x:v>Resolution MSC.385(94), adopted 21 Nov 2014; consolidated with MEPC.264(68), adopted 15 May 2015</x:v>
      </x:c>
      <x:c r="D127" s="59" t="n">
        <x:v>25</x:v>
      </x:c>
      <x:c r="E127" s="47" t="str">
        <x:v>8.3.3.3.3.2</x:v>
      </x:c>
      <x:c r="F127" s="47" t="str">
        <x:v>Static Calculation</x:v>
      </x:c>
      <x:c r="G127" s="48" t="str">
        <x:v>Stage 2 candidate - direct/deterministic</x:v>
      </x:c>
      <x:c r="H127" s="47" t="str">
        <x:v>High</x:v>
      </x:c>
      <x:c r="I127" s="47" t="str">
        <x:v>No</x:v>
      </x:c>
      <x:c r="J127" s="47" t="str">
        <x:v>ELIGIBLE</x:v>
      </x:c>
      <x:c r="K127" s="47" t="str">
        <x:v>NOT_RUN</x:v>
      </x:c>
    </x:row>
    <x:row r="128">
      <x:c r="A128" s="47" t="str">
        <x:v>IMO-076</x:v>
      </x:c>
      <x:c r="B128" s="48" t="str">
        <x:v>International Code for Ships Operating in Polar Waters (Polar Code)</x:v>
      </x:c>
      <x:c r="C128" s="47" t="str">
        <x:v>Resolution MSC.385(94), adopted 21 Nov 2014; consolidated with MEPC.264(68), adopted 15 May 2015</x:v>
      </x:c>
      <x:c r="D128" s="59" t="n">
        <x:v>25</x:v>
      </x:c>
      <x:c r="E128" s="47" t="str">
        <x:v>8.3.3.3.3.3</x:v>
      </x:c>
      <x:c r="F128" s="47" t="str">
        <x:v>Physical Test</x:v>
      </x:c>
      <x:c r="G128" s="48" t="str">
        <x:v>Evidence-only - physical result not inferred by SHACL</x:v>
      </x:c>
      <x:c r="H128" s="47" t="str">
        <x:v>Medium</x:v>
      </x:c>
      <x:c r="I128" s="47" t="str">
        <x:v>No</x:v>
      </x:c>
      <x:c r="J128" s="47" t="str">
        <x:v>DEFERRED</x:v>
      </x:c>
      <x:c r="K128" s="47" t="str">
        <x:v>NOT_RUN</x:v>
      </x:c>
    </x:row>
    <x:row r="129">
      <x:c r="A129" s="47" t="str">
        <x:v>IMO-077</x:v>
      </x:c>
      <x:c r="B129" s="48" t="str">
        <x:v>International Code for Ships Operating in Polar Waters (Polar Code)</x:v>
      </x:c>
      <x:c r="C129" s="47" t="str">
        <x:v>Resolution MSC.385(94), adopted 21 Nov 2014; consolidated with MEPC.264(68), adopted 15 May 2015</x:v>
      </x:c>
      <x:c r="D129" s="59" t="n">
        <x:v>25</x:v>
      </x:c>
      <x:c r="E129" s="47" t="str">
        <x:v>8.3.3.3.3.5</x:v>
      </x:c>
      <x:c r="F129" s="47" t="str">
        <x:v>Static Calculation</x:v>
      </x:c>
      <x:c r="G129" s="48" t="str">
        <x:v>Stage 2 candidate - direct/deterministic</x:v>
      </x:c>
      <x:c r="H129" s="47" t="str">
        <x:v>High</x:v>
      </x:c>
      <x:c r="I129" s="47" t="str">
        <x:v>No</x:v>
      </x:c>
      <x:c r="J129" s="47" t="str">
        <x:v>ELIGIBLE</x:v>
      </x:c>
      <x:c r="K129" s="47" t="str">
        <x:v>NOT_RUN</x:v>
      </x:c>
    </x:row>
    <x:row r="130">
      <x:c r="A130" s="47" t="str">
        <x:v>IMO-078</x:v>
      </x:c>
      <x:c r="B130" s="48" t="str">
        <x:v>International Code for Ships Operating in Polar Waters (Polar Code)</x:v>
      </x:c>
      <x:c r="C130" s="47" t="str">
        <x:v>Resolution MSC.385(94), adopted 21 Nov 2014; consolidated with MEPC.264(68), adopted 15 May 2015</x:v>
      </x:c>
      <x:c r="D130" s="59" t="n">
        <x:v>25</x:v>
      </x:c>
      <x:c r="E130" s="47" t="str">
        <x:v>8.3.3.3.3.6-.7</x:v>
      </x:c>
      <x:c r="F130" s="47" t="str">
        <x:v>Static</x:v>
      </x:c>
      <x:c r="G130" s="48" t="str">
        <x:v>Stage 2 candidate - direct/deterministic</x:v>
      </x:c>
      <x:c r="H130" s="47" t="str">
        <x:v>High</x:v>
      </x:c>
      <x:c r="I130" s="47" t="str">
        <x:v>No</x:v>
      </x:c>
      <x:c r="J130" s="47" t="str">
        <x:v>ELIGIBLE</x:v>
      </x:c>
      <x:c r="K130" s="47" t="str">
        <x:v>NOT_RUN</x:v>
      </x:c>
    </x:row>
    <x:row r="131">
      <x:c r="A131" s="47" t="str">
        <x:v>IMO-079</x:v>
      </x:c>
      <x:c r="B131" s="48" t="str">
        <x:v>International Code for Ships Operating in Polar Waters (Polar Code)</x:v>
      </x:c>
      <x:c r="C131" s="47" t="str">
        <x:v>Resolution MSC.385(94), adopted 21 Nov 2014; consolidated with MEPC.264(68), adopted 15 May 2015</x:v>
      </x:c>
      <x:c r="D131" s="59" t="n">
        <x:v>25</x:v>
      </x:c>
      <x:c r="E131" s="47" t="str">
        <x:v>8.3.3.4</x:v>
      </x:c>
      <x:c r="F131" s="47" t="str">
        <x:v>Static Calculation</x:v>
      </x:c>
      <x:c r="G131" s="48" t="str">
        <x:v>Stage 2 candidate - direct/deterministic</x:v>
      </x:c>
      <x:c r="H131" s="47" t="str">
        <x:v>High</x:v>
      </x:c>
      <x:c r="I131" s="47" t="str">
        <x:v>No</x:v>
      </x:c>
      <x:c r="J131" s="47" t="str">
        <x:v>ELIGIBLE</x:v>
      </x:c>
      <x:c r="K131" s="47" t="str">
        <x:v>NOT_RUN</x:v>
      </x:c>
    </x:row>
    <x:row r="132">
      <x:c r="A132" s="47" t="str">
        <x:v>IMO-080</x:v>
      </x:c>
      <x:c r="B132" s="48" t="str">
        <x:v>International Code for Ships Operating in Polar Waters (Polar Code)</x:v>
      </x:c>
      <x:c r="C132" s="47" t="str">
        <x:v>Resolution MSC.385(94), adopted 21 Nov 2014; consolidated with MEPC.264(68), adopted 15 May 2015</x:v>
      </x:c>
      <x:c r="D132" s="59" t="n">
        <x:v>26</x:v>
      </x:c>
      <x:c r="E132" s="47" t="str">
        <x:v>9.3.1</x:v>
      </x:c>
      <x:c r="F132" s="47" t="str">
        <x:v>Dynamic</x:v>
      </x:c>
      <x:c r="G132" s="48" t="str">
        <x:v>Deferred - observation/history/simulation design required</x:v>
      </x:c>
      <x:c r="H132" s="47" t="str">
        <x:v>Medium</x:v>
      </x:c>
      <x:c r="I132" s="47" t="str">
        <x:v>No</x:v>
      </x:c>
      <x:c r="J132" s="47" t="str">
        <x:v>DEFERRED</x:v>
      </x:c>
      <x:c r="K132" s="47" t="str">
        <x:v>NOT_RUN</x:v>
      </x:c>
    </x:row>
    <x:row r="133">
      <x:c r="A133" s="47" t="str">
        <x:v>IMO-081</x:v>
      </x:c>
      <x:c r="B133" s="48" t="str">
        <x:v>International Code for Ships Operating in Polar Waters (Polar Code)</x:v>
      </x:c>
      <x:c r="C133" s="47" t="str">
        <x:v>Resolution MSC.385(94), adopted 21 Nov 2014; consolidated with MEPC.264(68), adopted 15 May 2015</x:v>
      </x:c>
      <x:c r="D133" s="59" t="n">
        <x:v>26</x:v>
      </x:c>
      <x:c r="E133" s="47" t="str">
        <x:v>9.3.2.1.1</x:v>
      </x:c>
      <x:c r="F133" s="47" t="str">
        <x:v>Static</x:v>
      </x:c>
      <x:c r="G133" s="48" t="str">
        <x:v>Stage 2 candidate - direct/deterministic</x:v>
      </x:c>
      <x:c r="H133" s="47" t="str">
        <x:v>High</x:v>
      </x:c>
      <x:c r="I133" s="47" t="str">
        <x:v>No</x:v>
      </x:c>
      <x:c r="J133" s="47" t="str">
        <x:v>ELIGIBLE</x:v>
      </x:c>
      <x:c r="K133" s="47" t="str">
        <x:v>NOT_RUN</x:v>
      </x:c>
    </x:row>
    <x:row r="134">
      <x:c r="A134" s="47" t="str">
        <x:v>IMO-082</x:v>
      </x:c>
      <x:c r="B134" s="48" t="str">
        <x:v>International Code for Ships Operating in Polar Waters (Polar Code)</x:v>
      </x:c>
      <x:c r="C134" s="47" t="str">
        <x:v>Resolution MSC.385(94), adopted 21 Nov 2014; consolidated with MEPC.264(68), adopted 15 May 2015</x:v>
      </x:c>
      <x:c r="D134" s="59" t="n">
        <x:v>26</x:v>
      </x:c>
      <x:c r="E134" s="47" t="str">
        <x:v>9.3.2.1.2</x:v>
      </x:c>
      <x:c r="F134" s="47" t="str">
        <x:v>Static</x:v>
      </x:c>
      <x:c r="G134" s="48" t="str">
        <x:v>Stage 2 candidate - direct/deterministic</x:v>
      </x:c>
      <x:c r="H134" s="47" t="str">
        <x:v>Medium</x:v>
      </x:c>
      <x:c r="I134" s="47" t="str">
        <x:v>No</x:v>
      </x:c>
      <x:c r="J134" s="47" t="str">
        <x:v>ELIGIBLE</x:v>
      </x:c>
      <x:c r="K134" s="47" t="str">
        <x:v>NOT_RUN</x:v>
      </x:c>
    </x:row>
    <x:row r="135">
      <x:c r="A135" s="47" t="str">
        <x:v>IMO-083</x:v>
      </x:c>
      <x:c r="B135" s="48" t="str">
        <x:v>International Code for Ships Operating in Polar Waters (Polar Code)</x:v>
      </x:c>
      <x:c r="C135" s="47" t="str">
        <x:v>Resolution MSC.385(94), adopted 21 Nov 2014; consolidated with MEPC.264(68), adopted 15 May 2015</x:v>
      </x:c>
      <x:c r="D135" s="59" t="n">
        <x:v>27</x:v>
      </x:c>
      <x:c r="E135" s="47" t="str">
        <x:v>9.3.2.1.3</x:v>
      </x:c>
      <x:c r="F135" s="47" t="str">
        <x:v>Static</x:v>
      </x:c>
      <x:c r="G135" s="48" t="str">
        <x:v>Stage 2 candidate - direct/deterministic</x:v>
      </x:c>
      <x:c r="H135" s="47" t="str">
        <x:v>High</x:v>
      </x:c>
      <x:c r="I135" s="47" t="str">
        <x:v>No</x:v>
      </x:c>
      <x:c r="J135" s="47" t="str">
        <x:v>ELIGIBLE</x:v>
      </x:c>
      <x:c r="K135" s="47" t="str">
        <x:v>NOT_RUN</x:v>
      </x:c>
    </x:row>
    <x:row r="136">
      <x:c r="A136" s="47" t="str">
        <x:v>IMO-084</x:v>
      </x:c>
      <x:c r="B136" s="48" t="str">
        <x:v>International Code for Ships Operating in Polar Waters (Polar Code)</x:v>
      </x:c>
      <x:c r="C136" s="47" t="str">
        <x:v>Resolution MSC.385(94), adopted 21 Nov 2014; consolidated with MEPC.264(68), adopted 15 May 2015</x:v>
      </x:c>
      <x:c r="D136" s="59" t="n">
        <x:v>27</x:v>
      </x:c>
      <x:c r="E136" s="47" t="str">
        <x:v>9.3.2.1.4.1</x:v>
      </x:c>
      <x:c r="F136" s="47" t="str">
        <x:v>Static</x:v>
      </x:c>
      <x:c r="G136" s="48" t="str">
        <x:v>Stage 2 candidate - direct/deterministic</x:v>
      </x:c>
      <x:c r="H136" s="47" t="str">
        <x:v>High</x:v>
      </x:c>
      <x:c r="I136" s="47" t="str">
        <x:v>No</x:v>
      </x:c>
      <x:c r="J136" s="47" t="str">
        <x:v>ELIGIBLE</x:v>
      </x:c>
      <x:c r="K136" s="47" t="str">
        <x:v>NOT_RUN</x:v>
      </x:c>
    </x:row>
    <x:row r="137">
      <x:c r="A137" s="47" t="str">
        <x:v>IMO-085</x:v>
      </x:c>
      <x:c r="B137" s="48" t="str">
        <x:v>International Code for Ships Operating in Polar Waters (Polar Code)</x:v>
      </x:c>
      <x:c r="C137" s="47" t="str">
        <x:v>Resolution MSC.385(94), adopted 21 Nov 2014; consolidated with MEPC.264(68), adopted 15 May 2015</x:v>
      </x:c>
      <x:c r="D137" s="59" t="n">
        <x:v>27</x:v>
      </x:c>
      <x:c r="E137" s="47" t="str">
        <x:v>9.3.2.1.4.2</x:v>
      </x:c>
      <x:c r="F137" s="47" t="str">
        <x:v>Static</x:v>
      </x:c>
      <x:c r="G137" s="48" t="str">
        <x:v>Stage 2 candidate - direct/deterministic</x:v>
      </x:c>
      <x:c r="H137" s="47" t="str">
        <x:v>High</x:v>
      </x:c>
      <x:c r="I137" s="47" t="str">
        <x:v>No</x:v>
      </x:c>
      <x:c r="J137" s="47" t="str">
        <x:v>ELIGIBLE</x:v>
      </x:c>
      <x:c r="K137" s="47" t="str">
        <x:v>NOT_RUN</x:v>
      </x:c>
    </x:row>
    <x:row r="138">
      <x:c r="A138" s="47" t="str">
        <x:v>IMO-086</x:v>
      </x:c>
      <x:c r="B138" s="48" t="str">
        <x:v>International Code for Ships Operating in Polar Waters (Polar Code)</x:v>
      </x:c>
      <x:c r="C138" s="47" t="str">
        <x:v>Resolution MSC.385(94), adopted 21 Nov 2014; consolidated with MEPC.264(68), adopted 15 May 2015</x:v>
      </x:c>
      <x:c r="D138" s="59" t="n">
        <x:v>27</x:v>
      </x:c>
      <x:c r="E138" s="47" t="str">
        <x:v>9.3.2.2.1</x:v>
      </x:c>
      <x:c r="F138" s="47" t="str">
        <x:v>Static</x:v>
      </x:c>
      <x:c r="G138" s="48" t="str">
        <x:v>Stage 2 candidate - direct/deterministic</x:v>
      </x:c>
      <x:c r="H138" s="47" t="str">
        <x:v>High</x:v>
      </x:c>
      <x:c r="I138" s="47" t="str">
        <x:v>No</x:v>
      </x:c>
      <x:c r="J138" s="47" t="str">
        <x:v>ELIGIBLE</x:v>
      </x:c>
      <x:c r="K138" s="47" t="str">
        <x:v>NOT_RUN</x:v>
      </x:c>
    </x:row>
    <x:row r="139">
      <x:c r="A139" s="47" t="str">
        <x:v>IMO-087</x:v>
      </x:c>
      <x:c r="B139" s="48" t="str">
        <x:v>International Code for Ships Operating in Polar Waters (Polar Code)</x:v>
      </x:c>
      <x:c r="C139" s="47" t="str">
        <x:v>Resolution MSC.385(94), adopted 21 Nov 2014; consolidated with MEPC.264(68), adopted 15 May 2015</x:v>
      </x:c>
      <x:c r="D139" s="59" t="n">
        <x:v>27</x:v>
      </x:c>
      <x:c r="E139" s="47" t="str">
        <x:v>9.3.2.2.2</x:v>
      </x:c>
      <x:c r="F139" s="47" t="str">
        <x:v>Static</x:v>
      </x:c>
      <x:c r="G139" s="48" t="str">
        <x:v>Stage 2 candidate - direct/deterministic</x:v>
      </x:c>
      <x:c r="H139" s="47" t="str">
        <x:v>High</x:v>
      </x:c>
      <x:c r="I139" s="47" t="str">
        <x:v>No</x:v>
      </x:c>
      <x:c r="J139" s="47" t="str">
        <x:v>ELIGIBLE</x:v>
      </x:c>
      <x:c r="K139" s="47" t="str">
        <x:v>NOT_RUN</x:v>
      </x:c>
    </x:row>
    <x:row r="140">
      <x:c r="A140" s="47" t="str">
        <x:v>IMO-088</x:v>
      </x:c>
      <x:c r="B140" s="48" t="str">
        <x:v>International Code for Ships Operating in Polar Waters (Polar Code)</x:v>
      </x:c>
      <x:c r="C140" s="47" t="str">
        <x:v>Resolution MSC.385(94), adopted 21 Nov 2014; consolidated with MEPC.264(68), adopted 15 May 2015</x:v>
      </x:c>
      <x:c r="D140" s="59" t="n">
        <x:v>27</x:v>
      </x:c>
      <x:c r="E140" s="47" t="str">
        <x:v>9.3.3.1</x:v>
      </x:c>
      <x:c r="F140" s="47" t="str">
        <x:v>Static</x:v>
      </x:c>
      <x:c r="G140" s="48" t="str">
        <x:v>Stage 2 candidate - direct/deterministic</x:v>
      </x:c>
      <x:c r="H140" s="47" t="str">
        <x:v>High</x:v>
      </x:c>
      <x:c r="I140" s="47" t="str">
        <x:v>No</x:v>
      </x:c>
      <x:c r="J140" s="47" t="str">
        <x:v>ELIGIBLE</x:v>
      </x:c>
      <x:c r="K140" s="47" t="str">
        <x:v>NOT_RUN</x:v>
      </x:c>
    </x:row>
    <x:row r="141">
      <x:c r="A141" s="47" t="str">
        <x:v>IMO-089</x:v>
      </x:c>
      <x:c r="B141" s="48" t="str">
        <x:v>International Code for Ships Operating in Polar Waters (Polar Code)</x:v>
      </x:c>
      <x:c r="C141" s="47" t="str">
        <x:v>Resolution MSC.385(94), adopted 21 Nov 2014; consolidated with MEPC.264(68), adopted 15 May 2015</x:v>
      </x:c>
      <x:c r="D141" s="59" t="n">
        <x:v>27</x:v>
      </x:c>
      <x:c r="E141" s="47" t="str">
        <x:v>9.3.3.2</x:v>
      </x:c>
      <x:c r="F141" s="47" t="str">
        <x:v>Static</x:v>
      </x:c>
      <x:c r="G141" s="48" t="str">
        <x:v>Stage 2 candidate - direct/deterministic</x:v>
      </x:c>
      <x:c r="H141" s="47" t="str">
        <x:v>High</x:v>
      </x:c>
      <x:c r="I141" s="47" t="str">
        <x:v>No</x:v>
      </x:c>
      <x:c r="J141" s="47" t="str">
        <x:v>ELIGIBLE</x:v>
      </x:c>
      <x:c r="K141" s="47" t="str">
        <x:v>NOT_RUN</x:v>
      </x:c>
    </x:row>
    <x:row r="142">
      <x:c r="A142" s="47" t="str">
        <x:v>IMO-090</x:v>
      </x:c>
      <x:c r="B142" s="48" t="str">
        <x:v>International Code for Ships Operating in Polar Waters (Polar Code)</x:v>
      </x:c>
      <x:c r="C142" s="47" t="str">
        <x:v>Resolution MSC.385(94), adopted 21 Nov 2014; consolidated with MEPC.264(68), adopted 15 May 2015</x:v>
      </x:c>
      <x:c r="D142" s="59" t="n">
        <x:v>28</x:v>
      </x:c>
      <x:c r="E142" s="47" t="str">
        <x:v>10.2.1.1</x:v>
      </x:c>
      <x:c r="F142" s="47" t="str">
        <x:v>Dynamic</x:v>
      </x:c>
      <x:c r="G142" s="48" t="str">
        <x:v>Deferred - observation/history/simulation design required</x:v>
      </x:c>
      <x:c r="H142" s="47" t="str">
        <x:v>Medium</x:v>
      </x:c>
      <x:c r="I142" s="47" t="str">
        <x:v>No</x:v>
      </x:c>
      <x:c r="J142" s="47" t="str">
        <x:v>DEFERRED</x:v>
      </x:c>
      <x:c r="K142" s="47" t="str">
        <x:v>NOT_RUN</x:v>
      </x:c>
    </x:row>
    <x:row r="143">
      <x:c r="A143" s="47" t="str">
        <x:v>IMO-091</x:v>
      </x:c>
      <x:c r="B143" s="48" t="str">
        <x:v>International Code for Ships Operating in Polar Waters (Polar Code)</x:v>
      </x:c>
      <x:c r="C143" s="47" t="str">
        <x:v>Resolution MSC.385(94), adopted 21 Nov 2014; consolidated with MEPC.264(68), adopted 15 May 2015</x:v>
      </x:c>
      <x:c r="D143" s="59" t="n">
        <x:v>28</x:v>
      </x:c>
      <x:c r="E143" s="47" t="str">
        <x:v>10.2.1.3</x:v>
      </x:c>
      <x:c r="F143" s="47" t="str">
        <x:v>Static</x:v>
      </x:c>
      <x:c r="G143" s="48" t="str">
        <x:v>Stage 2 candidate - direct/deterministic</x:v>
      </x:c>
      <x:c r="H143" s="47" t="str">
        <x:v>High</x:v>
      </x:c>
      <x:c r="I143" s="47" t="str">
        <x:v>No</x:v>
      </x:c>
      <x:c r="J143" s="47" t="str">
        <x:v>ELIGIBLE</x:v>
      </x:c>
      <x:c r="K143" s="47" t="str">
        <x:v>NOT_RUN</x:v>
      </x:c>
    </x:row>
    <x:row r="144">
      <x:c r="A144" s="47" t="str">
        <x:v>IMO-092</x:v>
      </x:c>
      <x:c r="B144" s="48" t="str">
        <x:v>International Code for Ships Operating in Polar Waters (Polar Code)</x:v>
      </x:c>
      <x:c r="C144" s="47" t="str">
        <x:v>Resolution MSC.385(94), adopted 21 Nov 2014; consolidated with MEPC.264(68), adopted 15 May 2015</x:v>
      </x:c>
      <x:c r="D144" s="59" t="n">
        <x:v>28</x:v>
      </x:c>
      <x:c r="E144" s="47" t="str">
        <x:v>10.2.1.4</x:v>
      </x:c>
      <x:c r="F144" s="47" t="str">
        <x:v>Static</x:v>
      </x:c>
      <x:c r="G144" s="48" t="str">
        <x:v>Stage 2 candidate - direct/deterministic</x:v>
      </x:c>
      <x:c r="H144" s="47" t="str">
        <x:v>High</x:v>
      </x:c>
      <x:c r="I144" s="47" t="str">
        <x:v>No</x:v>
      </x:c>
      <x:c r="J144" s="47" t="str">
        <x:v>ELIGIBLE</x:v>
      </x:c>
      <x:c r="K144" s="47" t="str">
        <x:v>NOT_RUN</x:v>
      </x:c>
    </x:row>
    <x:row r="145">
      <x:c r="A145" s="47" t="str">
        <x:v>IMO-093</x:v>
      </x:c>
      <x:c r="B145" s="48" t="str">
        <x:v>International Code for Ships Operating in Polar Waters (Polar Code)</x:v>
      </x:c>
      <x:c r="C145" s="47" t="str">
        <x:v>Resolution MSC.385(94), adopted 21 Nov 2014; consolidated with MEPC.264(68), adopted 15 May 2015</x:v>
      </x:c>
      <x:c r="D145" s="59" t="n">
        <x:v>28</x:v>
      </x:c>
      <x:c r="E145" s="47" t="str">
        <x:v>10.2.2.3</x:v>
      </x:c>
      <x:c r="F145" s="47" t="str">
        <x:v>Physical Test</x:v>
      </x:c>
      <x:c r="G145" s="48" t="str">
        <x:v>Evidence-only - physical result not inferred by SHACL</x:v>
      </x:c>
      <x:c r="H145" s="47" t="str">
        <x:v>Medium</x:v>
      </x:c>
      <x:c r="I145" s="47" t="str">
        <x:v>No</x:v>
      </x:c>
      <x:c r="J145" s="47" t="str">
        <x:v>DEFERRED</x:v>
      </x:c>
      <x:c r="K145" s="47" t="str">
        <x:v>NOT_RUN</x:v>
      </x:c>
    </x:row>
    <x:row r="146">
      <x:c r="A146" s="47" t="str">
        <x:v>IMO-094</x:v>
      </x:c>
      <x:c r="B146" s="48" t="str">
        <x:v>International Code for Ships Operating in Polar Waters (Polar Code)</x:v>
      </x:c>
      <x:c r="C146" s="47" t="str">
        <x:v>Resolution MSC.385(94), adopted 21 Nov 2014; consolidated with MEPC.264(68), adopted 15 May 2015</x:v>
      </x:c>
      <x:c r="D146" s="59" t="n">
        <x:v>28</x:v>
      </x:c>
      <x:c r="E146" s="47" t="str">
        <x:v>10.3.1.2</x:v>
      </x:c>
      <x:c r="F146" s="47" t="str">
        <x:v>Static</x:v>
      </x:c>
      <x:c r="G146" s="48" t="str">
        <x:v>Stage 2 candidate - direct/deterministic</x:v>
      </x:c>
      <x:c r="H146" s="47" t="str">
        <x:v>High</x:v>
      </x:c>
      <x:c r="I146" s="47" t="str">
        <x:v>No</x:v>
      </x:c>
      <x:c r="J146" s="47" t="str">
        <x:v>ELIGIBLE</x:v>
      </x:c>
      <x:c r="K146" s="47" t="str">
        <x:v>NOT_RUN</x:v>
      </x:c>
    </x:row>
    <x:row r="147">
      <x:c r="A147" s="47" t="str">
        <x:v>IMO-095</x:v>
      </x:c>
      <x:c r="B147" s="48" t="str">
        <x:v>International Code for Ships Operating in Polar Waters (Polar Code)</x:v>
      </x:c>
      <x:c r="C147" s="47" t="str">
        <x:v>Resolution MSC.385(94), adopted 21 Nov 2014; consolidated with MEPC.264(68), adopted 15 May 2015</x:v>
      </x:c>
      <x:c r="D147" s="59" t="n">
        <x:v>28</x:v>
      </x:c>
      <x:c r="E147" s="47" t="str">
        <x:v>10.3.1.3</x:v>
      </x:c>
      <x:c r="F147" s="47" t="str">
        <x:v>Static</x:v>
      </x:c>
      <x:c r="G147" s="48" t="str">
        <x:v>Stage 2 candidate - direct/deterministic</x:v>
      </x:c>
      <x:c r="H147" s="47" t="str">
        <x:v>High</x:v>
      </x:c>
      <x:c r="I147" s="47" t="str">
        <x:v>No</x:v>
      </x:c>
      <x:c r="J147" s="47" t="str">
        <x:v>ELIGIBLE</x:v>
      </x:c>
      <x:c r="K147" s="47" t="str">
        <x:v>NOT_RUN</x:v>
      </x:c>
    </x:row>
    <x:row r="148">
      <x:c r="A148" s="47" t="str">
        <x:v>IMO-096</x:v>
      </x:c>
      <x:c r="B148" s="48" t="str">
        <x:v>International Code for Ships Operating in Polar Waters (Polar Code)</x:v>
      </x:c>
      <x:c r="C148" s="47" t="str">
        <x:v>Resolution MSC.385(94), adopted 21 Nov 2014; consolidated with MEPC.264(68), adopted 15 May 2015</x:v>
      </x:c>
      <x:c r="D148" s="59" t="n">
        <x:v>28</x:v>
      </x:c>
      <x:c r="E148" s="47" t="str">
        <x:v>10.3.1.4</x:v>
      </x:c>
      <x:c r="F148" s="47" t="str">
        <x:v>Static</x:v>
      </x:c>
      <x:c r="G148" s="48" t="str">
        <x:v>Stage 2 candidate - direct/deterministic</x:v>
      </x:c>
      <x:c r="H148" s="47" t="str">
        <x:v>High</x:v>
      </x:c>
      <x:c r="I148" s="47" t="str">
        <x:v>No</x:v>
      </x:c>
      <x:c r="J148" s="47" t="str">
        <x:v>ELIGIBLE</x:v>
      </x:c>
      <x:c r="K148" s="47" t="str">
        <x:v>NOT_RUN</x:v>
      </x:c>
    </x:row>
    <x:row r="149">
      <x:c r="A149" s="47" t="str">
        <x:v>IMO-097</x:v>
      </x:c>
      <x:c r="B149" s="48" t="str">
        <x:v>International Code for Ships Operating in Polar Waters (Polar Code)</x:v>
      </x:c>
      <x:c r="C149" s="47" t="str">
        <x:v>Resolution MSC.385(94), adopted 21 Nov 2014; consolidated with MEPC.264(68), adopted 15 May 2015</x:v>
      </x:c>
      <x:c r="D149" s="59" t="n">
        <x:v>29</x:v>
      </x:c>
      <x:c r="E149" s="47" t="str">
        <x:v>10.3.2.1</x:v>
      </x:c>
      <x:c r="F149" s="47" t="str">
        <x:v>Static</x:v>
      </x:c>
      <x:c r="G149" s="48" t="str">
        <x:v>Stage 2 candidate - direct/deterministic</x:v>
      </x:c>
      <x:c r="H149" s="47" t="str">
        <x:v>High</x:v>
      </x:c>
      <x:c r="I149" s="47" t="str">
        <x:v>No</x:v>
      </x:c>
      <x:c r="J149" s="47" t="str">
        <x:v>ELIGIBLE</x:v>
      </x:c>
      <x:c r="K149" s="47" t="str">
        <x:v>NOT_RUN</x:v>
      </x:c>
    </x:row>
    <x:row r="150">
      <x:c r="A150" s="47" t="str">
        <x:v>IMO-098</x:v>
      </x:c>
      <x:c r="B150" s="48" t="str">
        <x:v>International Code for Ships Operating in Polar Waters (Polar Code)</x:v>
      </x:c>
      <x:c r="C150" s="47" t="str">
        <x:v>Resolution MSC.385(94), adopted 21 Nov 2014; consolidated with MEPC.264(68), adopted 15 May 2015</x:v>
      </x:c>
      <x:c r="D150" s="59" t="n">
        <x:v>29</x:v>
      </x:c>
      <x:c r="E150" s="47" t="str">
        <x:v>10.3.2.2</x:v>
      </x:c>
      <x:c r="F150" s="47" t="str">
        <x:v>Static</x:v>
      </x:c>
      <x:c r="G150" s="48" t="str">
        <x:v>Stage 2 candidate - direct/deterministic</x:v>
      </x:c>
      <x:c r="H150" s="47" t="str">
        <x:v>High</x:v>
      </x:c>
      <x:c r="I150" s="47" t="str">
        <x:v>No</x:v>
      </x:c>
      <x:c r="J150" s="47" t="str">
        <x:v>ELIGIBLE</x:v>
      </x:c>
      <x:c r="K150" s="47" t="str">
        <x:v>NOT_RUN</x:v>
      </x:c>
    </x:row>
    <x:row r="151">
      <x:c r="A151" s="47" t="str">
        <x:v>IMO-099</x:v>
      </x:c>
      <x:c r="B151" s="48" t="str">
        <x:v>International Code for Ships Operating in Polar Waters (Polar Code)</x:v>
      </x:c>
      <x:c r="C151" s="47" t="str">
        <x:v>Resolution MSC.385(94), adopted 21 Nov 2014; consolidated with MEPC.264(68), adopted 15 May 2015</x:v>
      </x:c>
      <x:c r="D151" s="59" t="n">
        <x:v>29</x:v>
      </x:c>
      <x:c r="E151" s="47" t="str">
        <x:v>10.3.2.3</x:v>
      </x:c>
      <x:c r="F151" s="47" t="str">
        <x:v>Static</x:v>
      </x:c>
      <x:c r="G151" s="48" t="str">
        <x:v>Stage 2 candidate - direct static</x:v>
      </x:c>
      <x:c r="H151" s="47" t="str">
        <x:v>Direct static</x:v>
      </x:c>
      <x:c r="I151" s="47" t="str">
        <x:v>No</x:v>
      </x:c>
      <x:c r="J151" s="47" t="str">
        <x:v>ELIGIBLE</x:v>
      </x:c>
      <x:c r="K151" s="47" t="str">
        <x:v>NOT_RUN</x:v>
      </x:c>
    </x:row>
    <x:row r="152">
      <x:c r="A152" s="47" t="str">
        <x:v>IMO-100</x:v>
      </x:c>
      <x:c r="B152" s="48" t="str">
        <x:v>International Code for Ships Operating in Polar Waters (Polar Code)</x:v>
      </x:c>
      <x:c r="C152" s="47" t="str">
        <x:v>Resolution MSC.385(94), adopted 21 Nov 2014; consolidated with MEPC.264(68), adopted 15 May 2015</x:v>
      </x:c>
      <x:c r="D152" s="59" t="n">
        <x:v>29</x:v>
      </x:c>
      <x:c r="E152" s="47" t="str">
        <x:v>11.2</x:v>
      </x:c>
      <x:c r="F152" s="47" t="str">
        <x:v>Static</x:v>
      </x:c>
      <x:c r="G152" s="48" t="str">
        <x:v>Stage 2 candidate - direct static</x:v>
      </x:c>
      <x:c r="H152" s="47" t="str">
        <x:v>Direct static</x:v>
      </x:c>
      <x:c r="I152" s="47" t="str">
        <x:v>No</x:v>
      </x:c>
      <x:c r="J152" s="47" t="str">
        <x:v>ELIGIBLE</x:v>
      </x:c>
      <x:c r="K152" s="47" t="str">
        <x:v>NOT_RUN</x:v>
      </x:c>
    </x:row>
    <x:row r="153">
      <x:c r="A153" s="47" t="str">
        <x:v>IMO-101</x:v>
      </x:c>
      <x:c r="B153" s="48" t="str">
        <x:v>International Code for Ships Operating in Polar Waters (Polar Code)</x:v>
      </x:c>
      <x:c r="C153" s="47" t="str">
        <x:v>Resolution MSC.385(94), adopted 21 Nov 2014; consolidated with MEPC.264(68), adopted 15 May 2015</x:v>
      </x:c>
      <x:c r="D153" s="59" t="str">
        <x:v>29-30</x:v>
      </x:c>
      <x:c r="E153" s="47" t="str">
        <x:v>11.3.1-11.3.9</x:v>
      </x:c>
      <x:c r="F153" s="47" t="str">
        <x:v>Static</x:v>
      </x:c>
      <x:c r="G153" s="48" t="str">
        <x:v>Stage 2 candidate - direct static</x:v>
      </x:c>
      <x:c r="H153" s="47" t="str">
        <x:v>Direct static</x:v>
      </x:c>
      <x:c r="I153" s="47" t="str">
        <x:v>No</x:v>
      </x:c>
      <x:c r="J153" s="47" t="str">
        <x:v>ELIGIBLE</x:v>
      </x:c>
      <x:c r="K153" s="47" t="str">
        <x:v>NOT_RUN</x:v>
      </x:c>
    </x:row>
    <x:row r="154">
      <x:c r="A154" s="47" t="str">
        <x:v>IMO-102</x:v>
      </x:c>
      <x:c r="B154" s="48" t="str">
        <x:v>International Code for Ships Operating in Polar Waters (Polar Code)</x:v>
      </x:c>
      <x:c r="C154" s="47" t="str">
        <x:v>Resolution MSC.385(94), adopted 21 Nov 2014; consolidated with MEPC.264(68), adopted 15 May 2015</x:v>
      </x:c>
      <x:c r="D154" s="59" t="n">
        <x:v>30</x:v>
      </x:c>
      <x:c r="E154" s="47" t="str">
        <x:v>12.3.1</x:v>
      </x:c>
      <x:c r="F154" s="47" t="str">
        <x:v>Static</x:v>
      </x:c>
      <x:c r="G154" s="48" t="str">
        <x:v>Stage 2 candidate - direct/deterministic</x:v>
      </x:c>
      <x:c r="H154" s="47" t="str">
        <x:v>High</x:v>
      </x:c>
      <x:c r="I154" s="47" t="str">
        <x:v>No</x:v>
      </x:c>
      <x:c r="J154" s="47" t="str">
        <x:v>ELIGIBLE</x:v>
      </x:c>
      <x:c r="K154" s="47" t="str">
        <x:v>NOT_RUN</x:v>
      </x:c>
    </x:row>
    <x:row r="155">
      <x:c r="A155" s="47" t="str">
        <x:v>IMO-103</x:v>
      </x:c>
      <x:c r="B155" s="48" t="str">
        <x:v>International Code for Ships Operating in Polar Waters (Polar Code)</x:v>
      </x:c>
      <x:c r="C155" s="47" t="str">
        <x:v>Resolution MSC.385(94), adopted 21 Nov 2014; consolidated with MEPC.264(68), adopted 15 May 2015</x:v>
      </x:c>
      <x:c r="D155" s="59" t="n">
        <x:v>31</x:v>
      </x:c>
      <x:c r="E155" s="47" t="str">
        <x:v>12.3.2</x:v>
      </x:c>
      <x:c r="F155" s="47" t="str">
        <x:v>Static</x:v>
      </x:c>
      <x:c r="G155" s="48" t="str">
        <x:v>Stage 2 candidate - direct static</x:v>
      </x:c>
      <x:c r="H155" s="47" t="str">
        <x:v>Direct static</x:v>
      </x:c>
      <x:c r="I155" s="47" t="str">
        <x:v>No</x:v>
      </x:c>
      <x:c r="J155" s="47" t="str">
        <x:v>ELIGIBLE</x:v>
      </x:c>
      <x:c r="K155" s="47" t="str">
        <x:v>NOT_RUN</x:v>
      </x:c>
    </x:row>
    <x:row r="156">
      <x:c r="A156" s="47" t="str">
        <x:v>IMO-104</x:v>
      </x:c>
      <x:c r="B156" s="48" t="str">
        <x:v>International Code for Ships Operating in Polar Waters (Polar Code)</x:v>
      </x:c>
      <x:c r="C156" s="47" t="str">
        <x:v>Resolution MSC.385(94), adopted 21 Nov 2014; consolidated with MEPC.264(68), adopted 15 May 2015</x:v>
      </x:c>
      <x:c r="D156" s="59" t="n">
        <x:v>31</x:v>
      </x:c>
      <x:c r="E156" s="47" t="str">
        <x:v>12.3.4</x:v>
      </x:c>
      <x:c r="F156" s="47" t="str">
        <x:v>Static</x:v>
      </x:c>
      <x:c r="G156" s="48" t="str">
        <x:v>Stage 2 candidate - direct/deterministic</x:v>
      </x:c>
      <x:c r="H156" s="47" t="str">
        <x:v>High</x:v>
      </x:c>
      <x:c r="I156" s="47" t="str">
        <x:v>No</x:v>
      </x:c>
      <x:c r="J156" s="47" t="str">
        <x:v>ELIGIBLE</x:v>
      </x:c>
      <x:c r="K156" s="47" t="str">
        <x:v>NOT_RUN</x:v>
      </x:c>
    </x:row>
    <x:row r="157">
      <x:c r="A157" s="47" t="str">
        <x:v>IMO-105</x:v>
      </x:c>
      <x:c r="B157" s="48" t="str">
        <x:v>International Code for Ships Operating in Polar Waters (Polar Code)</x:v>
      </x:c>
      <x:c r="C157" s="47" t="str">
        <x:v>Resolution MSC.385(94), adopted 21 Nov 2014; consolidated with MEPC.264(68), adopted 15 May 2015</x:v>
      </x:c>
      <x:c r="D157" s="59" t="n">
        <x:v>41</x:v>
      </x:c>
      <x:c r="E157" s="47" t="str">
        <x:v>1.1.1</x:v>
      </x:c>
      <x:c r="F157" s="47" t="str">
        <x:v>Static</x:v>
      </x:c>
      <x:c r="G157" s="48" t="str">
        <x:v>Stage 2 candidate - direct/deterministic</x:v>
      </x:c>
      <x:c r="H157" s="47" t="str">
        <x:v>High</x:v>
      </x:c>
      <x:c r="I157" s="47" t="str">
        <x:v>No</x:v>
      </x:c>
      <x:c r="J157" s="47" t="str">
        <x:v>ELIGIBLE</x:v>
      </x:c>
      <x:c r="K157" s="47" t="str">
        <x:v>NOT_RUN</x:v>
      </x:c>
    </x:row>
    <x:row r="158">
      <x:c r="A158" s="47" t="str">
        <x:v>IMO-106</x:v>
      </x:c>
      <x:c r="B158" s="48" t="str">
        <x:v>International Code for Ships Operating in Polar Waters (Polar Code)</x:v>
      </x:c>
      <x:c r="C158" s="47" t="str">
        <x:v>Resolution MSC.385(94), adopted 21 Nov 2014; consolidated with MEPC.264(68), adopted 15 May 2015</x:v>
      </x:c>
      <x:c r="D158" s="59" t="n">
        <x:v>41</x:v>
      </x:c>
      <x:c r="E158" s="47" t="str">
        <x:v>1.1.2</x:v>
      </x:c>
      <x:c r="F158" s="47" t="str">
        <x:v>Static</x:v>
      </x:c>
      <x:c r="G158" s="48" t="str">
        <x:v>Stage 2 candidate - direct/deterministic</x:v>
      </x:c>
      <x:c r="H158" s="47" t="str">
        <x:v>High</x:v>
      </x:c>
      <x:c r="I158" s="47" t="str">
        <x:v>No</x:v>
      </x:c>
      <x:c r="J158" s="47" t="str">
        <x:v>ELIGIBLE</x:v>
      </x:c>
      <x:c r="K158" s="47" t="str">
        <x:v>NOT_RUN</x:v>
      </x:c>
    </x:row>
    <x:row r="159">
      <x:c r="A159" s="47" t="str">
        <x:v>IMO-107</x:v>
      </x:c>
      <x:c r="B159" s="48" t="str">
        <x:v>International Code for Ships Operating in Polar Waters (Polar Code)</x:v>
      </x:c>
      <x:c r="C159" s="47" t="str">
        <x:v>Resolution MSC.385(94), adopted 21 Nov 2014; consolidated with MEPC.264(68), adopted 15 May 2015</x:v>
      </x:c>
      <x:c r="D159" s="59" t="n">
        <x:v>41</x:v>
      </x:c>
      <x:c r="E159" s="47" t="str">
        <x:v>1.1.4</x:v>
      </x:c>
      <x:c r="F159" s="47" t="str">
        <x:v>Static</x:v>
      </x:c>
      <x:c r="G159" s="48" t="str">
        <x:v>Stage 2 candidate - direct/deterministic</x:v>
      </x:c>
      <x:c r="H159" s="47" t="str">
        <x:v>High</x:v>
      </x:c>
      <x:c r="I159" s="47" t="str">
        <x:v>No</x:v>
      </x:c>
      <x:c r="J159" s="47" t="str">
        <x:v>ELIGIBLE</x:v>
      </x:c>
      <x:c r="K159" s="47" t="str">
        <x:v>NOT_RUN</x:v>
      </x:c>
    </x:row>
    <x:row r="160">
      <x:c r="A160" s="47" t="str">
        <x:v>IMO-108</x:v>
      </x:c>
      <x:c r="B160" s="48" t="str">
        <x:v>International Code for Ships Operating in Polar Waters (Polar Code)</x:v>
      </x:c>
      <x:c r="C160" s="47" t="str">
        <x:v>Resolution MSC.385(94), adopted 21 Nov 2014; consolidated with MEPC.264(68), adopted 15 May 2015</x:v>
      </x:c>
      <x:c r="D160" s="59" t="n">
        <x:v>41</x:v>
      </x:c>
      <x:c r="E160" s="47" t="str">
        <x:v>1.2.1</x:v>
      </x:c>
      <x:c r="F160" s="47" t="str">
        <x:v>Static</x:v>
      </x:c>
      <x:c r="G160" s="48" t="str">
        <x:v>Stage 2 candidate - direct static</x:v>
      </x:c>
      <x:c r="H160" s="47" t="str">
        <x:v>Direct static</x:v>
      </x:c>
      <x:c r="I160" s="47" t="str">
        <x:v>No</x:v>
      </x:c>
      <x:c r="J160" s="47" t="str">
        <x:v>ELIGIBLE</x:v>
      </x:c>
      <x:c r="K160" s="47" t="str">
        <x:v>NOT_RUN</x:v>
      </x:c>
    </x:row>
    <x:row r="161">
      <x:c r="A161" s="47" t="str">
        <x:v>IMO-109</x:v>
      </x:c>
      <x:c r="B161" s="48" t="str">
        <x:v>International Code for Ships Operating in Polar Waters (Polar Code)</x:v>
      </x:c>
      <x:c r="C161" s="47" t="str">
        <x:v>Resolution MSC.385(94), adopted 21 Nov 2014; consolidated with MEPC.264(68), adopted 15 May 2015</x:v>
      </x:c>
      <x:c r="D161" s="59" t="n">
        <x:v>41</x:v>
      </x:c>
      <x:c r="E161" s="47" t="str">
        <x:v>1.2.2</x:v>
      </x:c>
      <x:c r="F161" s="47" t="str">
        <x:v>Static</x:v>
      </x:c>
      <x:c r="G161" s="48" t="str">
        <x:v>Stage 2 candidate - direct static</x:v>
      </x:c>
      <x:c r="H161" s="47" t="str">
        <x:v>Direct static</x:v>
      </x:c>
      <x:c r="I161" s="47" t="str">
        <x:v>No</x:v>
      </x:c>
      <x:c r="J161" s="47" t="str">
        <x:v>ELIGIBLE</x:v>
      </x:c>
      <x:c r="K161" s="47" t="str">
        <x:v>NOT_RUN</x:v>
      </x:c>
    </x:row>
    <x:row r="162">
      <x:c r="A162" s="47" t="str">
        <x:v>IMO-110</x:v>
      </x:c>
      <x:c r="B162" s="48" t="str">
        <x:v>International Code for Ships Operating in Polar Waters (Polar Code)</x:v>
      </x:c>
      <x:c r="C162" s="47" t="str">
        <x:v>Resolution MSC.385(94), adopted 21 Nov 2014; consolidated with MEPC.264(68), adopted 15 May 2015</x:v>
      </x:c>
      <x:c r="D162" s="59" t="n">
        <x:v>41</x:v>
      </x:c>
      <x:c r="E162" s="47" t="str">
        <x:v>1.2.3</x:v>
      </x:c>
      <x:c r="F162" s="47" t="str">
        <x:v>Static</x:v>
      </x:c>
      <x:c r="G162" s="48" t="str">
        <x:v>Stage 2 candidate - direct static</x:v>
      </x:c>
      <x:c r="H162" s="47" t="str">
        <x:v>Direct static</x:v>
      </x:c>
      <x:c r="I162" s="47" t="str">
        <x:v>No</x:v>
      </x:c>
      <x:c r="J162" s="47" t="str">
        <x:v>ELIGIBLE</x:v>
      </x:c>
      <x:c r="K162" s="47" t="str">
        <x:v>NOT_RUN</x:v>
      </x:c>
    </x:row>
    <x:row r="163">
      <x:c r="A163" s="47" t="str">
        <x:v>IMO-111</x:v>
      </x:c>
      <x:c r="B163" s="48" t="str">
        <x:v>International Code for Ships Operating in Polar Waters (Polar Code)</x:v>
      </x:c>
      <x:c r="C163" s="47" t="str">
        <x:v>Resolution MSC.385(94), adopted 21 Nov 2014; consolidated with MEPC.264(68), adopted 15 May 2015</x:v>
      </x:c>
      <x:c r="D163" s="59" t="n">
        <x:v>41</x:v>
      </x:c>
      <x:c r="E163" s="47" t="str">
        <x:v>1.2.4</x:v>
      </x:c>
      <x:c r="F163" s="47" t="str">
        <x:v>Static</x:v>
      </x:c>
      <x:c r="G163" s="48" t="str">
        <x:v>Stage 2 candidate - direct static</x:v>
      </x:c>
      <x:c r="H163" s="47" t="str">
        <x:v>Direct static</x:v>
      </x:c>
      <x:c r="I163" s="47" t="str">
        <x:v>No</x:v>
      </x:c>
      <x:c r="J163" s="47" t="str">
        <x:v>ELIGIBLE</x:v>
      </x:c>
      <x:c r="K163" s="47" t="str">
        <x:v>NOT_RUN</x:v>
      </x:c>
    </x:row>
    <x:row r="164">
      <x:c r="A164" s="47" t="str">
        <x:v>IMO-112</x:v>
      </x:c>
      <x:c r="B164" s="48" t="str">
        <x:v>International Code for Ships Operating in Polar Waters (Polar Code)</x:v>
      </x:c>
      <x:c r="C164" s="47" t="str">
        <x:v>Resolution MSC.385(94), adopted 21 Nov 2014; consolidated with MEPC.264(68), adopted 15 May 2015</x:v>
      </x:c>
      <x:c r="D164" s="59" t="n">
        <x:v>42</x:v>
      </x:c>
      <x:c r="E164" s="47" t="str">
        <x:v>2.1.1</x:v>
      </x:c>
      <x:c r="F164" s="47" t="str">
        <x:v>Static</x:v>
      </x:c>
      <x:c r="G164" s="48" t="str">
        <x:v>Stage 2 candidate - direct/deterministic</x:v>
      </x:c>
      <x:c r="H164" s="47" t="str">
        <x:v>High</x:v>
      </x:c>
      <x:c r="I164" s="47" t="str">
        <x:v>No</x:v>
      </x:c>
      <x:c r="J164" s="47" t="str">
        <x:v>ELIGIBLE</x:v>
      </x:c>
      <x:c r="K164" s="47" t="str">
        <x:v>NOT_RUN</x:v>
      </x:c>
    </x:row>
    <x:row r="165">
      <x:c r="A165" s="47" t="str">
        <x:v>IMO-113</x:v>
      </x:c>
      <x:c r="B165" s="48" t="str">
        <x:v>International Code for Ships Operating in Polar Waters (Polar Code)</x:v>
      </x:c>
      <x:c r="C165" s="47" t="str">
        <x:v>Resolution MSC.385(94), adopted 21 Nov 2014; consolidated with MEPC.264(68), adopted 15 May 2015</x:v>
      </x:c>
      <x:c r="D165" s="59" t="n">
        <x:v>42</x:v>
      </x:c>
      <x:c r="E165" s="47" t="str">
        <x:v>2.1.2</x:v>
      </x:c>
      <x:c r="F165" s="47" t="str">
        <x:v>Static</x:v>
      </x:c>
      <x:c r="G165" s="48" t="str">
        <x:v>Stage 2 candidate - direct/deterministic</x:v>
      </x:c>
      <x:c r="H165" s="47" t="str">
        <x:v>High</x:v>
      </x:c>
      <x:c r="I165" s="47" t="str">
        <x:v>No</x:v>
      </x:c>
      <x:c r="J165" s="47" t="str">
        <x:v>ELIGIBLE</x:v>
      </x:c>
      <x:c r="K165" s="47" t="str">
        <x:v>NOT_RUN</x:v>
      </x:c>
    </x:row>
    <x:row r="166">
      <x:c r="A166" s="47" t="str">
        <x:v>IMO-114</x:v>
      </x:c>
      <x:c r="B166" s="48" t="str">
        <x:v>International Code for Ships Operating in Polar Waters (Polar Code)</x:v>
      </x:c>
      <x:c r="C166" s="47" t="str">
        <x:v>Resolution MSC.385(94), adopted 21 Nov 2014; consolidated with MEPC.264(68), adopted 15 May 2015</x:v>
      </x:c>
      <x:c r="D166" s="59" t="n">
        <x:v>42</x:v>
      </x:c>
      <x:c r="E166" s="47" t="str">
        <x:v>2.1.3</x:v>
      </x:c>
      <x:c r="F166" s="47" t="str">
        <x:v>Static</x:v>
      </x:c>
      <x:c r="G166" s="48" t="str">
        <x:v>Stage 2 candidate - direct static</x:v>
      </x:c>
      <x:c r="H166" s="47" t="str">
        <x:v>Direct static</x:v>
      </x:c>
      <x:c r="I166" s="47" t="str">
        <x:v>No</x:v>
      </x:c>
      <x:c r="J166" s="47" t="str">
        <x:v>ELIGIBLE</x:v>
      </x:c>
      <x:c r="K166" s="47" t="str">
        <x:v>NOT_RUN</x:v>
      </x:c>
    </x:row>
    <x:row r="167">
      <x:c r="A167" s="47" t="str">
        <x:v>IMO-115</x:v>
      </x:c>
      <x:c r="B167" s="48" t="str">
        <x:v>International Code for Ships Operating in Polar Waters (Polar Code)</x:v>
      </x:c>
      <x:c r="C167" s="47" t="str">
        <x:v>Resolution MSC.385(94), adopted 21 Nov 2014; consolidated with MEPC.264(68), adopted 15 May 2015</x:v>
      </x:c>
      <x:c r="D167" s="59" t="n">
        <x:v>42</x:v>
      </x:c>
      <x:c r="E167" s="47" t="str">
        <x:v>4.2.1.1</x:v>
      </x:c>
      <x:c r="F167" s="47" t="str">
        <x:v>Static</x:v>
      </x:c>
      <x:c r="G167" s="48" t="str">
        <x:v>Stage 2 candidate - direct static</x:v>
      </x:c>
      <x:c r="H167" s="47" t="str">
        <x:v>Direct static</x:v>
      </x:c>
      <x:c r="I167" s="47" t="str">
        <x:v>No</x:v>
      </x:c>
      <x:c r="J167" s="47" t="str">
        <x:v>ELIGIBLE</x:v>
      </x:c>
      <x:c r="K167" s="47" t="str">
        <x:v>NOT_RUN</x:v>
      </x:c>
    </x:row>
    <x:row r="168">
      <x:c r="A168" s="47" t="str">
        <x:v>IMO-116</x:v>
      </x:c>
      <x:c r="B168" s="48" t="str">
        <x:v>International Code for Ships Operating in Polar Waters (Polar Code)</x:v>
      </x:c>
      <x:c r="C168" s="47" t="str">
        <x:v>Resolution MSC.385(94), adopted 21 Nov 2014; consolidated with MEPC.264(68), adopted 15 May 2015</x:v>
      </x:c>
      <x:c r="D168" s="59" t="n">
        <x:v>42</x:v>
      </x:c>
      <x:c r="E168" s="47" t="str">
        <x:v>4.2.1.2</x:v>
      </x:c>
      <x:c r="F168" s="47" t="str">
        <x:v>Static</x:v>
      </x:c>
      <x:c r="G168" s="48" t="str">
        <x:v>Stage 2 candidate - direct static</x:v>
      </x:c>
      <x:c r="H168" s="47" t="str">
        <x:v>Direct static</x:v>
      </x:c>
      <x:c r="I168" s="47" t="str">
        <x:v>No</x:v>
      </x:c>
      <x:c r="J168" s="47" t="str">
        <x:v>ELIGIBLE</x:v>
      </x:c>
      <x:c r="K168" s="47" t="str">
        <x:v>NOT_RUN</x:v>
      </x:c>
    </x:row>
    <x:row r="169">
      <x:c r="A169" s="47" t="str">
        <x:v>IMO-117</x:v>
      </x:c>
      <x:c r="B169" s="48" t="str">
        <x:v>International Code for Ships Operating in Polar Waters (Polar Code)</x:v>
      </x:c>
      <x:c r="C169" s="47" t="str">
        <x:v>Resolution MSC.385(94), adopted 21 Nov 2014; consolidated with MEPC.264(68), adopted 15 May 2015</x:v>
      </x:c>
      <x:c r="D169" s="59" t="n">
        <x:v>43</x:v>
      </x:c>
      <x:c r="E169" s="47" t="str">
        <x:v>4.2.1.3</x:v>
      </x:c>
      <x:c r="F169" s="47" t="str">
        <x:v>Static</x:v>
      </x:c>
      <x:c r="G169" s="48" t="str">
        <x:v>Stage 2 candidate - direct static</x:v>
      </x:c>
      <x:c r="H169" s="47" t="str">
        <x:v>Direct static</x:v>
      </x:c>
      <x:c r="I169" s="47" t="str">
        <x:v>No</x:v>
      </x:c>
      <x:c r="J169" s="47" t="str">
        <x:v>ELIGIBLE</x:v>
      </x:c>
      <x:c r="K169" s="47" t="str">
        <x:v>NOT_RUN</x:v>
      </x:c>
    </x:row>
    <x:row r="170">
      <x:c r="A170" s="47" t="str">
        <x:v>IMO-118</x:v>
      </x:c>
      <x:c r="B170" s="48" t="str">
        <x:v>International Code for Ships Operating in Polar Waters (Polar Code)</x:v>
      </x:c>
      <x:c r="C170" s="47" t="str">
        <x:v>Resolution MSC.385(94), adopted 21 Nov 2014; consolidated with MEPC.264(68), adopted 15 May 2015</x:v>
      </x:c>
      <x:c r="D170" s="59" t="n">
        <x:v>43</x:v>
      </x:c>
      <x:c r="E170" s="47" t="str">
        <x:v>4.2.2</x:v>
      </x:c>
      <x:c r="F170" s="47" t="str">
        <x:v>Static</x:v>
      </x:c>
      <x:c r="G170" s="48" t="str">
        <x:v>Stage 2 candidate - direct/deterministic</x:v>
      </x:c>
      <x:c r="H170" s="47" t="str">
        <x:v>High</x:v>
      </x:c>
      <x:c r="I170" s="47" t="str">
        <x:v>No</x:v>
      </x:c>
      <x:c r="J170" s="47" t="str">
        <x:v>ELIGIBLE</x:v>
      </x:c>
      <x:c r="K170" s="47" t="str">
        <x:v>NOT_RUN</x:v>
      </x:c>
    </x:row>
    <x:row r="171">
      <x:c r="A171" s="47" t="str">
        <x:v>IMO-119</x:v>
      </x:c>
      <x:c r="B171" s="48" t="str">
        <x:v>International Code for Ships Operating in Polar Waters (Polar Code)</x:v>
      </x:c>
      <x:c r="C171" s="47" t="str">
        <x:v>Resolution MSC.385(94), adopted 21 Nov 2014; consolidated with MEPC.264(68), adopted 15 May 2015</x:v>
      </x:c>
      <x:c r="D171" s="59" t="n">
        <x:v>43</x:v>
      </x:c>
      <x:c r="E171" s="47" t="str">
        <x:v>4.2.3</x:v>
      </x:c>
      <x:c r="F171" s="47" t="str">
        <x:v>Static</x:v>
      </x:c>
      <x:c r="G171" s="48" t="str">
        <x:v>Stage 2 candidate - direct static</x:v>
      </x:c>
      <x:c r="H171" s="47" t="str">
        <x:v>Direct static</x:v>
      </x:c>
      <x:c r="I171" s="47" t="str">
        <x:v>No</x:v>
      </x:c>
      <x:c r="J171" s="47" t="str">
        <x:v>ELIGIBLE</x:v>
      </x:c>
      <x:c r="K171" s="47" t="str">
        <x:v>NOT_RUN</x:v>
      </x:c>
    </x:row>
    <x:row r="172">
      <x:c r="A172" s="47" t="str">
        <x:v>IMO-120</x:v>
      </x:c>
      <x:c r="B172" s="48" t="str">
        <x:v>International Code for Ships Operating in Polar Waters (Polar Code)</x:v>
      </x:c>
      <x:c r="C172" s="47" t="str">
        <x:v>Resolution MSC.385(94), adopted 21 Nov 2014; consolidated with MEPC.264(68), adopted 15 May 2015</x:v>
      </x:c>
      <x:c r="D172" s="59" t="n">
        <x:v>43</x:v>
      </x:c>
      <x:c r="E172" s="47" t="str">
        <x:v>5.2.1.1</x:v>
      </x:c>
      <x:c r="F172" s="47" t="str">
        <x:v>Static</x:v>
      </x:c>
      <x:c r="G172" s="48" t="str">
        <x:v>Stage 2 candidate - direct static</x:v>
      </x:c>
      <x:c r="H172" s="47" t="str">
        <x:v>Direct static</x:v>
      </x:c>
      <x:c r="I172" s="47" t="str">
        <x:v>No</x:v>
      </x:c>
      <x:c r="J172" s="47" t="str">
        <x:v>ELIGIBLE</x:v>
      </x:c>
      <x:c r="K172" s="47" t="str">
        <x:v>NOT_RUN</x:v>
      </x:c>
    </x:row>
    <x:row r="173">
      <x:c r="A173" s="47" t="str">
        <x:v>IMO-121</x:v>
      </x:c>
      <x:c r="B173" s="48" t="str">
        <x:v>International Code for Ships Operating in Polar Waters (Polar Code)</x:v>
      </x:c>
      <x:c r="C173" s="47" t="str">
        <x:v>Resolution MSC.385(94), adopted 21 Nov 2014; consolidated with MEPC.264(68), adopted 15 May 2015</x:v>
      </x:c>
      <x:c r="D173" s="59" t="n">
        <x:v>43</x:v>
      </x:c>
      <x:c r="E173" s="47" t="str">
        <x:v>5.2.1.2</x:v>
      </x:c>
      <x:c r="F173" s="47" t="str">
        <x:v>Static</x:v>
      </x:c>
      <x:c r="G173" s="48" t="str">
        <x:v>Stage 2 candidate - direct/deterministic</x:v>
      </x:c>
      <x:c r="H173" s="47" t="str">
        <x:v>High</x:v>
      </x:c>
      <x:c r="I173" s="47" t="str">
        <x:v>No</x:v>
      </x:c>
      <x:c r="J173" s="47" t="str">
        <x:v>ELIGIBLE</x:v>
      </x:c>
      <x:c r="K173" s="47" t="str">
        <x:v>NOT_RUN</x:v>
      </x:c>
    </x:row>
    <x:row r="174">
      <x:c r="A174" s="47" t="str">
        <x:v>IMO-122</x:v>
      </x:c>
      <x:c r="B174" s="48" t="str">
        <x:v>International Code for Ships Operating in Polar Waters (Polar Code)</x:v>
      </x:c>
      <x:c r="C174" s="47" t="str">
        <x:v>Resolution MSC.385(94), adopted 21 Nov 2014; consolidated with MEPC.264(68), adopted 15 May 2015</x:v>
      </x:c>
      <x:c r="D174" s="59" t="n">
        <x:v>43</x:v>
      </x:c>
      <x:c r="E174" s="47" t="str">
        <x:v>5.2.1.3-.4</x:v>
      </x:c>
      <x:c r="F174" s="47" t="str">
        <x:v>Static</x:v>
      </x:c>
      <x:c r="G174" s="48" t="str">
        <x:v>Stage 2 candidate - direct/deterministic</x:v>
      </x:c>
      <x:c r="H174" s="47" t="str">
        <x:v>High</x:v>
      </x:c>
      <x:c r="I174" s="47" t="str">
        <x:v>No</x:v>
      </x:c>
      <x:c r="J174" s="47" t="str">
        <x:v>ELIGIBLE</x:v>
      </x:c>
      <x:c r="K174" s="47" t="str">
        <x:v>NOT_RUN</x:v>
      </x:c>
    </x:row>
    <x:row r="175">
      <x:c r="A175" s="47" t="str">
        <x:v>IMO-123</x:v>
      </x:c>
      <x:c r="B175" s="48" t="str">
        <x:v>International Code for Ships Operating in Polar Waters (Polar Code)</x:v>
      </x:c>
      <x:c r="C175" s="47" t="str">
        <x:v>Resolution MSC.385(94), adopted 21 Nov 2014; consolidated with MEPC.264(68), adopted 15 May 2015</x:v>
      </x:c>
      <x:c r="D175" s="59" t="str">
        <x:v>43-44</x:v>
      </x:c>
      <x:c r="E175" s="47" t="str">
        <x:v>5.2.1.5</x:v>
      </x:c>
      <x:c r="F175" s="47" t="str">
        <x:v>Static</x:v>
      </x:c>
      <x:c r="G175" s="48" t="str">
        <x:v>Stage 2 candidate - direct static</x:v>
      </x:c>
      <x:c r="H175" s="47" t="str">
        <x:v>Direct static</x:v>
      </x:c>
      <x:c r="I175" s="47" t="str">
        <x:v>No</x:v>
      </x:c>
      <x:c r="J175" s="47" t="str">
        <x:v>ELIGIBLE</x:v>
      </x:c>
      <x:c r="K175" s="47" t="str">
        <x:v>NOT_RUN</x:v>
      </x:c>
    </x:row>
    <x:row r="176">
      <x:c r="A176" s="47" t="str">
        <x:v>IMO-124</x:v>
      </x:c>
      <x:c r="B176" s="48" t="str">
        <x:v>International Code for Ships Operating in Polar Waters (Polar Code)</x:v>
      </x:c>
      <x:c r="C176" s="47" t="str">
        <x:v>Resolution MSC.385(94), adopted 21 Nov 2014; consolidated with MEPC.264(68), adopted 15 May 2015</x:v>
      </x:c>
      <x:c r="D176" s="59" t="n">
        <x:v>44</x:v>
      </x:c>
      <x:c r="E176" s="47" t="str">
        <x:v>5.2.2.1-.2</x:v>
      </x:c>
      <x:c r="F176" s="47" t="str">
        <x:v>Static</x:v>
      </x:c>
      <x:c r="G176" s="48" t="str">
        <x:v>Stage 2 candidate - direct static</x:v>
      </x:c>
      <x:c r="H176" s="47" t="str">
        <x:v>Direct static</x:v>
      </x:c>
      <x:c r="I176" s="47" t="str">
        <x:v>No</x:v>
      </x:c>
      <x:c r="J176" s="47" t="str">
        <x:v>ELIGIBLE</x:v>
      </x:c>
      <x:c r="K176" s="47" t="str">
        <x:v>NOT_RUN</x:v>
      </x:c>
    </x:row>
    <x:row r="177">
      <x:c r="A177" s="47" t="str">
        <x:v>IMO-125</x:v>
      </x:c>
      <x:c r="B177" s="48" t="str">
        <x:v>International Code for Ships Operating in Polar Waters (Polar Code)</x:v>
      </x:c>
      <x:c r="C177" s="47" t="str">
        <x:v>Resolution MSC.385(94), adopted 21 Nov 2014; consolidated with MEPC.264(68), adopted 15 May 2015</x:v>
      </x:c>
      <x:c r="D177" s="59" t="n">
        <x:v>44</x:v>
      </x:c>
      <x:c r="E177" s="47" t="str">
        <x:v>5.2.3</x:v>
      </x:c>
      <x:c r="F177" s="47" t="str">
        <x:v>Static</x:v>
      </x:c>
      <x:c r="G177" s="48" t="str">
        <x:v>Stage 2 candidate - direct/deterministic</x:v>
      </x:c>
      <x:c r="H177" s="47" t="str">
        <x:v>High</x:v>
      </x:c>
      <x:c r="I177" s="47" t="str">
        <x:v>No</x:v>
      </x:c>
      <x:c r="J177" s="47" t="str">
        <x:v>ELIGIBLE</x:v>
      </x:c>
      <x:c r="K177" s="47" t="str">
        <x:v>NOT_RUN</x:v>
      </x:c>
    </x:row>
    <x:row r="178">
      <x:c r="A178" s="47" t="str">
        <x:v>IMO26-001</x:v>
      </x:c>
      <x:c r="B178" s="48" t="str">
        <x:v>Polar Code January 2026 Supplement - Resolution MSC.538(107)</x:v>
      </x:c>
      <x:c r="C178" s="47" t="str">
        <x:v>January 2026 Supplement; effective 1 Jan 2026</x:v>
      </x:c>
      <x:c r="D178" s="59" t="n">
        <x:v>1</x:v>
      </x:c>
      <x:c r="E178" s="47" t="str">
        <x:v>Amendment 2</x:v>
      </x:c>
      <x:c r="F178" s="47" t="str">
        <x:v>Static</x:v>
      </x:c>
      <x:c r="G178" s="48" t="str">
        <x:v>Stage 2 candidate - direct/deterministic</x:v>
      </x:c>
      <x:c r="H178" s="47" t="str">
        <x:v>High</x:v>
      </x:c>
      <x:c r="I178" s="47" t="str">
        <x:v>No</x:v>
      </x:c>
      <x:c r="J178" s="47" t="str">
        <x:v>ELIGIBLE</x:v>
      </x:c>
      <x:c r="K178" s="47" t="str">
        <x:v>NOT_RUN</x:v>
      </x:c>
    </x:row>
    <x:row r="179">
      <x:c r="A179" s="47" t="str">
        <x:v>IMO26-002</x:v>
      </x:c>
      <x:c r="B179" s="48" t="str">
        <x:v>Polar Code January 2026 Supplement - Resolution MSC.538(107)</x:v>
      </x:c>
      <x:c r="C179" s="47" t="str">
        <x:v>January 2026 Supplement; effective 1 Jan 2026</x:v>
      </x:c>
      <x:c r="D179" s="59" t="n">
        <x:v>2</x:v>
      </x:c>
      <x:c r="E179" s="47" t="str">
        <x:v>Chapter 9-1 applicability</x:v>
      </x:c>
      <x:c r="F179" s="47" t="str">
        <x:v>Static</x:v>
      </x:c>
      <x:c r="G179" s="48" t="str">
        <x:v>Stage 2 candidate - direct/deterministic</x:v>
      </x:c>
      <x:c r="H179" s="47" t="str">
        <x:v>High</x:v>
      </x:c>
      <x:c r="I179" s="47" t="str">
        <x:v>No</x:v>
      </x:c>
      <x:c r="J179" s="47" t="str">
        <x:v>ELIGIBLE</x:v>
      </x:c>
      <x:c r="K179" s="47" t="str">
        <x:v>NOT_RUN</x:v>
      </x:c>
    </x:row>
    <x:row r="180">
      <x:c r="A180" s="47" t="str">
        <x:v>IMO26-003</x:v>
      </x:c>
      <x:c r="B180" s="48" t="str">
        <x:v>Polar Code January 2026 Supplement - Resolution MSC.538(107)</x:v>
      </x:c>
      <x:c r="C180" s="47" t="str">
        <x:v>January 2026 Supplement; effective 1 Jan 2026</x:v>
      </x:c>
      <x:c r="D180" s="59" t="n">
        <x:v>2</x:v>
      </x:c>
      <x:c r="E180" s="47" t="str">
        <x:v>9-1.2.1</x:v>
      </x:c>
      <x:c r="F180" s="47" t="str">
        <x:v>Dynamic</x:v>
      </x:c>
      <x:c r="G180" s="48" t="str">
        <x:v>Deferred - observation/history/simulation design required</x:v>
      </x:c>
      <x:c r="H180" s="47" t="str">
        <x:v>Medium</x:v>
      </x:c>
      <x:c r="I180" s="47" t="str">
        <x:v>No</x:v>
      </x:c>
      <x:c r="J180" s="47" t="str">
        <x:v>DEFERRED</x:v>
      </x:c>
      <x:c r="K180" s="47" t="str">
        <x:v>NOT_RUN</x:v>
      </x:c>
    </x:row>
    <x:row r="181">
      <x:c r="A181" s="47" t="str">
        <x:v>IMO26-004</x:v>
      </x:c>
      <x:c r="B181" s="48" t="str">
        <x:v>Polar Code January 2026 Supplement - Resolution MSC.538(107)</x:v>
      </x:c>
      <x:c r="C181" s="47" t="str">
        <x:v>January 2026 Supplement; effective 1 Jan 2026</x:v>
      </x:c>
      <x:c r="D181" s="59" t="n">
        <x:v>2</x:v>
      </x:c>
      <x:c r="E181" s="47" t="str">
        <x:v>9-1.2.2.1</x:v>
      </x:c>
      <x:c r="F181" s="47" t="str">
        <x:v>Physical Test</x:v>
      </x:c>
      <x:c r="G181" s="48" t="str">
        <x:v>Evidence-only - physical result not inferred by SHACL</x:v>
      </x:c>
      <x:c r="H181" s="47" t="str">
        <x:v>Medium</x:v>
      </x:c>
      <x:c r="I181" s="47" t="str">
        <x:v>No</x:v>
      </x:c>
      <x:c r="J181" s="47" t="str">
        <x:v>DEFERRED</x:v>
      </x:c>
      <x:c r="K181" s="47" t="str">
        <x:v>NOT_RUN</x:v>
      </x:c>
    </x:row>
    <x:row r="182">
      <x:c r="A182" s="47" t="str">
        <x:v>IMO26-005</x:v>
      </x:c>
      <x:c r="B182" s="48" t="str">
        <x:v>Polar Code January 2026 Supplement - Resolution MSC.538(107)</x:v>
      </x:c>
      <x:c r="C182" s="47" t="str">
        <x:v>January 2026 Supplement; effective 1 Jan 2026</x:v>
      </x:c>
      <x:c r="D182" s="59" t="n">
        <x:v>2</x:v>
      </x:c>
      <x:c r="E182" s="47" t="str">
        <x:v>9-1.2.2.2</x:v>
      </x:c>
      <x:c r="F182" s="47" t="str">
        <x:v>Static</x:v>
      </x:c>
      <x:c r="G182" s="48" t="str">
        <x:v>Stage 2 candidate - direct/deterministic</x:v>
      </x:c>
      <x:c r="H182" s="47" t="str">
        <x:v>Medium</x:v>
      </x:c>
      <x:c r="I182" s="47" t="str">
        <x:v>No</x:v>
      </x:c>
      <x:c r="J182" s="47" t="str">
        <x:v>ELIGIBLE</x:v>
      </x:c>
      <x:c r="K182" s="47" t="str">
        <x:v>NOT_RUN</x:v>
      </x:c>
    </x:row>
    <x:row r="183">
      <x:c r="A183" s="47" t="str">
        <x:v>IMO26-006</x:v>
      </x:c>
      <x:c r="B183" s="48" t="str">
        <x:v>Polar Code January 2026 Supplement - Resolution MSC.538(107)</x:v>
      </x:c>
      <x:c r="C183" s="47" t="str">
        <x:v>January 2026 Supplement; effective 1 Jan 2026</x:v>
      </x:c>
      <x:c r="D183" s="59" t="n">
        <x:v>3</x:v>
      </x:c>
      <x:c r="E183" s="47" t="str">
        <x:v>9-1.3.1</x:v>
      </x:c>
      <x:c r="F183" s="47" t="str">
        <x:v>Dynamic</x:v>
      </x:c>
      <x:c r="G183" s="48" t="str">
        <x:v>Deferred - observation/history/simulation design required</x:v>
      </x:c>
      <x:c r="H183" s="47" t="str">
        <x:v>Medium</x:v>
      </x:c>
      <x:c r="I183" s="47" t="str">
        <x:v>No</x:v>
      </x:c>
      <x:c r="J183" s="47" t="str">
        <x:v>DEFERRED</x:v>
      </x:c>
      <x:c r="K183" s="47" t="str">
        <x:v>NOT_RUN</x:v>
      </x:c>
    </x:row>
    <x:row r="184">
      <x:c r="A184" s="47" t="str">
        <x:v>IMO26-007</x:v>
      </x:c>
      <x:c r="B184" s="48" t="str">
        <x:v>Polar Code January 2026 Supplement - Resolution MSC.538(107)</x:v>
      </x:c>
      <x:c r="C184" s="47" t="str">
        <x:v>January 2026 Supplement; effective 1 Jan 2026</x:v>
      </x:c>
      <x:c r="D184" s="59" t="n">
        <x:v>3</x:v>
      </x:c>
      <x:c r="E184" s="47" t="str">
        <x:v>9-1.3.2.1.1</x:v>
      </x:c>
      <x:c r="F184" s="47" t="str">
        <x:v>Static</x:v>
      </x:c>
      <x:c r="G184" s="48" t="str">
        <x:v>Stage 2 candidate - direct static</x:v>
      </x:c>
      <x:c r="H184" s="47" t="str">
        <x:v>Direct static</x:v>
      </x:c>
      <x:c r="I184" s="47" t="str">
        <x:v>No</x:v>
      </x:c>
      <x:c r="J184" s="47" t="str">
        <x:v>ELIGIBLE</x:v>
      </x:c>
      <x:c r="K184" s="47" t="str">
        <x:v>NOT_RUN</x:v>
      </x:c>
    </x:row>
    <x:row r="185">
      <x:c r="A185" s="47" t="str">
        <x:v>IMO26-008</x:v>
      </x:c>
      <x:c r="B185" s="48" t="str">
        <x:v>Polar Code January 2026 Supplement - Resolution MSC.538(107)</x:v>
      </x:c>
      <x:c r="C185" s="47" t="str">
        <x:v>January 2026 Supplement; effective 1 Jan 2026</x:v>
      </x:c>
      <x:c r="D185" s="59" t="n">
        <x:v>3</x:v>
      </x:c>
      <x:c r="E185" s="47" t="str">
        <x:v>9-1.3.2.1.2</x:v>
      </x:c>
      <x:c r="F185" s="47" t="str">
        <x:v>Static</x:v>
      </x:c>
      <x:c r="G185" s="48" t="str">
        <x:v>Stage 2 candidate - direct static</x:v>
      </x:c>
      <x:c r="H185" s="47" t="str">
        <x:v>Direct static</x:v>
      </x:c>
      <x:c r="I185" s="47" t="str">
        <x:v>No</x:v>
      </x:c>
      <x:c r="J185" s="47" t="str">
        <x:v>ELIGIBLE</x:v>
      </x:c>
      <x:c r="K185" s="47" t="str">
        <x:v>NOT_RUN</x:v>
      </x:c>
    </x:row>
    <x:row r="186">
      <x:c r="A186" s="47" t="str">
        <x:v>IMO26-009</x:v>
      </x:c>
      <x:c r="B186" s="48" t="str">
        <x:v>Polar Code January 2026 Supplement - Resolution MSC.538(107)</x:v>
      </x:c>
      <x:c r="C186" s="47" t="str">
        <x:v>January 2026 Supplement; effective 1 Jan 2026</x:v>
      </x:c>
      <x:c r="D186" s="59" t="n">
        <x:v>3</x:v>
      </x:c>
      <x:c r="E186" s="47" t="str">
        <x:v>9-1.3.2.1.3</x:v>
      </x:c>
      <x:c r="F186" s="47" t="str">
        <x:v>Static</x:v>
      </x:c>
      <x:c r="G186" s="48" t="str">
        <x:v>Stage 2 candidate - direct/deterministic</x:v>
      </x:c>
      <x:c r="H186" s="47" t="str">
        <x:v>High</x:v>
      </x:c>
      <x:c r="I186" s="47" t="str">
        <x:v>No</x:v>
      </x:c>
      <x:c r="J186" s="47" t="str">
        <x:v>ELIGIBLE</x:v>
      </x:c>
      <x:c r="K186" s="47" t="str">
        <x:v>NOT_RUN</x:v>
      </x:c>
    </x:row>
    <x:row r="187">
      <x:c r="A187" s="47" t="str">
        <x:v>IMO26-010</x:v>
      </x:c>
      <x:c r="B187" s="48" t="str">
        <x:v>Polar Code January 2026 Supplement - Resolution MSC.538(107)</x:v>
      </x:c>
      <x:c r="C187" s="47" t="str">
        <x:v>January 2026 Supplement; effective 1 Jan 2026</x:v>
      </x:c>
      <x:c r="D187" s="59" t="n">
        <x:v>3</x:v>
      </x:c>
      <x:c r="E187" s="47" t="str">
        <x:v>9-1.3.2.1.4.1</x:v>
      </x:c>
      <x:c r="F187" s="47" t="str">
        <x:v>Static</x:v>
      </x:c>
      <x:c r="G187" s="48" t="str">
        <x:v>Stage 2 candidate - direct/deterministic</x:v>
      </x:c>
      <x:c r="H187" s="47" t="str">
        <x:v>High</x:v>
      </x:c>
      <x:c r="I187" s="47" t="str">
        <x:v>No</x:v>
      </x:c>
      <x:c r="J187" s="47" t="str">
        <x:v>ELIGIBLE</x:v>
      </x:c>
      <x:c r="K187" s="47" t="str">
        <x:v>NOT_RUN</x:v>
      </x:c>
    </x:row>
    <x:row r="188">
      <x:c r="A188" s="47" t="str">
        <x:v>IMO26-011</x:v>
      </x:c>
      <x:c r="B188" s="48" t="str">
        <x:v>Polar Code January 2026 Supplement - Resolution MSC.538(107)</x:v>
      </x:c>
      <x:c r="C188" s="47" t="str">
        <x:v>January 2026 Supplement; effective 1 Jan 2026</x:v>
      </x:c>
      <x:c r="D188" s="59" t="n">
        <x:v>4</x:v>
      </x:c>
      <x:c r="E188" s="47" t="str">
        <x:v>9-1.3.2.1.4.2</x:v>
      </x:c>
      <x:c r="F188" s="47" t="str">
        <x:v>Static</x:v>
      </x:c>
      <x:c r="G188" s="48" t="str">
        <x:v>Stage 2 candidate - direct static</x:v>
      </x:c>
      <x:c r="H188" s="47" t="str">
        <x:v>Direct static</x:v>
      </x:c>
      <x:c r="I188" s="47" t="str">
        <x:v>No</x:v>
      </x:c>
      <x:c r="J188" s="47" t="str">
        <x:v>ELIGIBLE</x:v>
      </x:c>
      <x:c r="K188" s="47" t="str">
        <x:v>NOT_RUN</x:v>
      </x:c>
    </x:row>
    <x:row r="189">
      <x:c r="A189" s="47" t="str">
        <x:v>IMO26-012</x:v>
      </x:c>
      <x:c r="B189" s="48" t="str">
        <x:v>Polar Code January 2026 Supplement - Resolution MSC.538(107)</x:v>
      </x:c>
      <x:c r="C189" s="47" t="str">
        <x:v>January 2026 Supplement; effective 1 Jan 2026</x:v>
      </x:c>
      <x:c r="D189" s="59" t="n">
        <x:v>4</x:v>
      </x:c>
      <x:c r="E189" s="47" t="str">
        <x:v>9-1.3.2.2.1</x:v>
      </x:c>
      <x:c r="F189" s="47" t="str">
        <x:v>Static</x:v>
      </x:c>
      <x:c r="G189" s="48" t="str">
        <x:v>Stage 2 candidate - direct/deterministic</x:v>
      </x:c>
      <x:c r="H189" s="47" t="str">
        <x:v>High</x:v>
      </x:c>
      <x:c r="I189" s="47" t="str">
        <x:v>No</x:v>
      </x:c>
      <x:c r="J189" s="47" t="str">
        <x:v>ELIGIBLE</x:v>
      </x:c>
      <x:c r="K189" s="47" t="str">
        <x:v>NOT_RUN</x:v>
      </x:c>
    </x:row>
    <x:row r="190">
      <x:c r="A190" s="47" t="str">
        <x:v>IMO26-013</x:v>
      </x:c>
      <x:c r="B190" s="48" t="str">
        <x:v>Polar Code January 2026 Supplement - Resolution MSC.538(107)</x:v>
      </x:c>
      <x:c r="C190" s="47" t="str">
        <x:v>January 2026 Supplement; effective 1 Jan 2026</x:v>
      </x:c>
      <x:c r="D190" s="59" t="n">
        <x:v>4</x:v>
      </x:c>
      <x:c r="E190" s="47" t="str">
        <x:v>9-1.3.2.2.2</x:v>
      </x:c>
      <x:c r="F190" s="47" t="str">
        <x:v>Static</x:v>
      </x:c>
      <x:c r="G190" s="48" t="str">
        <x:v>Stage 2 candidate - direct/deterministic</x:v>
      </x:c>
      <x:c r="H190" s="47" t="str">
        <x:v>High</x:v>
      </x:c>
      <x:c r="I190" s="47" t="str">
        <x:v>No</x:v>
      </x:c>
      <x:c r="J190" s="47" t="str">
        <x:v>ELIGIBLE</x:v>
      </x:c>
      <x:c r="K190" s="47" t="str">
        <x:v>NOT_RUN</x:v>
      </x:c>
    </x:row>
    <x:row r="191">
      <x:c r="A191" s="47" t="str">
        <x:v>IMO26-014</x:v>
      </x:c>
      <x:c r="B191" s="48" t="str">
        <x:v>Polar Code January 2026 Supplement - Resolution MSC.538(107)</x:v>
      </x:c>
      <x:c r="C191" s="47" t="str">
        <x:v>January 2026 Supplement; effective 1 Jan 2026</x:v>
      </x:c>
      <x:c r="D191" s="59" t="n">
        <x:v>4</x:v>
      </x:c>
      <x:c r="E191" s="47" t="str">
        <x:v>9-1.3.3</x:v>
      </x:c>
      <x:c r="F191" s="47" t="str">
        <x:v>Static</x:v>
      </x:c>
      <x:c r="G191" s="48" t="str">
        <x:v>Stage 2 candidate - direct/deterministic</x:v>
      </x:c>
      <x:c r="H191" s="47" t="str">
        <x:v>High</x:v>
      </x:c>
      <x:c r="I191" s="47" t="str">
        <x:v>No</x:v>
      </x:c>
      <x:c r="J191" s="47" t="str">
        <x:v>ELIGIBLE</x:v>
      </x:c>
      <x:c r="K191" s="47" t="str">
        <x:v>NOT_RUN</x:v>
      </x:c>
    </x:row>
    <x:row r="192">
      <x:c r="A192" s="47" t="str">
        <x:v>IMO26-015</x:v>
      </x:c>
      <x:c r="B192" s="48" t="str">
        <x:v>Polar Code January 2026 Supplement - Resolution MSC.538(107)</x:v>
      </x:c>
      <x:c r="C192" s="47" t="str">
        <x:v>January 2026 Supplement; effective 1 Jan 2026</x:v>
      </x:c>
      <x:c r="D192" s="59" t="n">
        <x:v>5</x:v>
      </x:c>
      <x:c r="E192" s="47" t="str">
        <x:v>Amendment 5</x:v>
      </x:c>
      <x:c r="F192" s="47" t="str">
        <x:v>Static</x:v>
      </x:c>
      <x:c r="G192" s="48" t="str">
        <x:v>Stage 2 candidate - direct/deterministic</x:v>
      </x:c>
      <x:c r="H192" s="47" t="str">
        <x:v>High</x:v>
      </x:c>
      <x:c r="I192" s="47" t="str">
        <x:v>No</x:v>
      </x:c>
      <x:c r="J192" s="47" t="str">
        <x:v>ELIGIBLE</x:v>
      </x:c>
      <x:c r="K192" s="47" t="str">
        <x:v>NOT_RUN</x:v>
      </x:c>
    </x:row>
    <x:row r="193">
      <x:c r="A193" s="47" t="str">
        <x:v>IMO26-016</x:v>
      </x:c>
      <x:c r="B193" s="48" t="str">
        <x:v>Polar Code January 2026 Supplement - Resolution MSC.538(107)</x:v>
      </x:c>
      <x:c r="C193" s="47" t="str">
        <x:v>January 2026 Supplement; effective 1 Jan 2026</x:v>
      </x:c>
      <x:c r="D193" s="59" t="n">
        <x:v>5</x:v>
      </x:c>
      <x:c r="E193" s="47" t="str">
        <x:v>Chapter 11-1 applicability</x:v>
      </x:c>
      <x:c r="F193" s="47" t="str">
        <x:v>Static</x:v>
      </x:c>
      <x:c r="G193" s="48" t="str">
        <x:v>Stage 2 candidate - direct/deterministic</x:v>
      </x:c>
      <x:c r="H193" s="47" t="str">
        <x:v>High</x:v>
      </x:c>
      <x:c r="I193" s="47" t="str">
        <x:v>No</x:v>
      </x:c>
      <x:c r="J193" s="47" t="str">
        <x:v>ELIGIBLE</x:v>
      </x:c>
      <x:c r="K193" s="47" t="str">
        <x:v>NOT_RUN</x:v>
      </x:c>
    </x:row>
    <x:row r="194">
      <x:c r="A194" s="47" t="str">
        <x:v>IMO26-017</x:v>
      </x:c>
      <x:c r="B194" s="48" t="str">
        <x:v>Polar Code January 2026 Supplement - Resolution MSC.538(107)</x:v>
      </x:c>
      <x:c r="C194" s="47" t="str">
        <x:v>January 2026 Supplement; effective 1 Jan 2026</x:v>
      </x:c>
      <x:c r="D194" s="59" t="n">
        <x:v>5</x:v>
      </x:c>
      <x:c r="E194" s="47" t="str">
        <x:v>11-1.2</x:v>
      </x:c>
      <x:c r="F194" s="47" t="str">
        <x:v>Static</x:v>
      </x:c>
      <x:c r="G194" s="48" t="str">
        <x:v>Stage 2 candidate - direct static</x:v>
      </x:c>
      <x:c r="H194" s="47" t="str">
        <x:v>Direct static</x:v>
      </x:c>
      <x:c r="I194" s="47" t="str">
        <x:v>No</x:v>
      </x:c>
      <x:c r="J194" s="47" t="str">
        <x:v>ELIGIBLE</x:v>
      </x:c>
      <x:c r="K194" s="47" t="str">
        <x:v>NOT_RUN</x:v>
      </x:c>
    </x:row>
    <x:row r="195">
      <x:c r="A195" s="47" t="str">
        <x:v>IMO26-018</x:v>
      </x:c>
      <x:c r="B195" s="48" t="str">
        <x:v>Polar Code January 2026 Supplement - Resolution MSC.538(107)</x:v>
      </x:c>
      <x:c r="C195" s="47" t="str">
        <x:v>January 2026 Supplement; effective 1 Jan 2026</x:v>
      </x:c>
      <x:c r="D195" s="59" t="n">
        <x:v>6</x:v>
      </x:c>
      <x:c r="E195" s="47" t="str">
        <x:v>11-1.3.1-11-1.3.9</x:v>
      </x:c>
      <x:c r="F195" s="47" t="str">
        <x:v>Static</x:v>
      </x:c>
      <x:c r="G195" s="48" t="str">
        <x:v>Stage 2 candidate - direct static</x:v>
      </x:c>
      <x:c r="H195" s="47" t="str">
        <x:v>Direct static</x:v>
      </x:c>
      <x:c r="I195" s="47" t="str">
        <x:v>No</x:v>
      </x:c>
      <x:c r="J195" s="47" t="str">
        <x:v>ELIGIBLE</x:v>
      </x:c>
      <x:c r="K195" s="47" t="str">
        <x:v>NOT_RUN</x:v>
      </x:c>
    </x:row>
    <x:row r="196">
      <x:c r="A196" s="47" t="str">
        <x:v>TRF-001</x:v>
      </x:c>
      <x:c r="B196" s="48" t="str">
        <x:v>Ice Class Regulations and the Application Thereof</x:v>
      </x:c>
      <x:c r="C196" s="47" t="str">
        <x:v>TRAFICOM/68863/03.04.01.00/2021</x:v>
      </x:c>
      <x:c r="D196" s="59" t="n">
        <x:v>5</x:v>
      </x:c>
      <x:c r="E196" s="47" t="str">
        <x:v>1.1</x:v>
      </x:c>
      <x:c r="F196" s="47" t="str">
        <x:v>Static</x:v>
      </x:c>
      <x:c r="G196" s="48" t="str">
        <x:v>Stage 2 candidate - direct/deterministic</x:v>
      </x:c>
      <x:c r="H196" s="47" t="str">
        <x:v>High</x:v>
      </x:c>
      <x:c r="I196" s="47" t="str">
        <x:v>No</x:v>
      </x:c>
      <x:c r="J196" s="47" t="str">
        <x:v>ELIGIBLE</x:v>
      </x:c>
      <x:c r="K196" s="47" t="str">
        <x:v>NOT_RUN</x:v>
      </x:c>
    </x:row>
    <x:row r="197">
      <x:c r="A197" s="47" t="str">
        <x:v>TRF-002</x:v>
      </x:c>
      <x:c r="B197" s="48" t="str">
        <x:v>Ice Class Regulations and the Application Thereof</x:v>
      </x:c>
      <x:c r="C197" s="47" t="str">
        <x:v>TRAFICOM/68863/03.04.01.00/2021</x:v>
      </x:c>
      <x:c r="D197" s="59" t="n">
        <x:v>5</x:v>
      </x:c>
      <x:c r="E197" s="47" t="str">
        <x:v>1.2</x:v>
      </x:c>
      <x:c r="F197" s="47" t="str">
        <x:v>Static</x:v>
      </x:c>
      <x:c r="G197" s="48" t="str">
        <x:v>Stage 2 candidate - direct/deterministic</x:v>
      </x:c>
      <x:c r="H197" s="47" t="str">
        <x:v>High</x:v>
      </x:c>
      <x:c r="I197" s="47" t="str">
        <x:v>No</x:v>
      </x:c>
      <x:c r="J197" s="47" t="str">
        <x:v>ELIGIBLE</x:v>
      </x:c>
      <x:c r="K197" s="47" t="str">
        <x:v>NOT_RUN</x:v>
      </x:c>
    </x:row>
    <x:row r="198">
      <x:c r="A198" s="47" t="str">
        <x:v>TRF-003</x:v>
      </x:c>
      <x:c r="B198" s="48" t="str">
        <x:v>Ice Class Regulations and the Application Thereof</x:v>
      </x:c>
      <x:c r="C198" s="47" t="str">
        <x:v>TRAFICOM/68863/03.04.01.00/2021</x:v>
      </x:c>
      <x:c r="D198" s="59" t="n">
        <x:v>5</x:v>
      </x:c>
      <x:c r="E198" s="47" t="str">
        <x:v>1.3</x:v>
      </x:c>
      <x:c r="F198" s="47" t="str">
        <x:v>Static</x:v>
      </x:c>
      <x:c r="G198" s="48" t="str">
        <x:v>Stage 2 candidate - direct/deterministic</x:v>
      </x:c>
      <x:c r="H198" s="47" t="str">
        <x:v>High</x:v>
      </x:c>
      <x:c r="I198" s="47" t="str">
        <x:v>No</x:v>
      </x:c>
      <x:c r="J198" s="47" t="str">
        <x:v>ELIGIBLE</x:v>
      </x:c>
      <x:c r="K198" s="47" t="str">
        <x:v>NOT_RUN</x:v>
      </x:c>
    </x:row>
    <x:row r="199">
      <x:c r="A199" s="47" t="str">
        <x:v>TRF-004</x:v>
      </x:c>
      <x:c r="B199" s="48" t="str">
        <x:v>Ice Class Regulations and the Application Thereof</x:v>
      </x:c>
      <x:c r="C199" s="47" t="str">
        <x:v>TRAFICOM/68863/03.04.01.00/2021</x:v>
      </x:c>
      <x:c r="D199" s="59" t="n">
        <x:v>5</x:v>
      </x:c>
      <x:c r="E199" s="47" t="str">
        <x:v>1.4</x:v>
      </x:c>
      <x:c r="F199" s="47" t="str">
        <x:v>Static</x:v>
      </x:c>
      <x:c r="G199" s="48" t="str">
        <x:v>Stage 2 candidate - direct/deterministic</x:v>
      </x:c>
      <x:c r="H199" s="47" t="str">
        <x:v>Medium</x:v>
      </x:c>
      <x:c r="I199" s="47" t="str">
        <x:v>No</x:v>
      </x:c>
      <x:c r="J199" s="47" t="str">
        <x:v>ELIGIBLE</x:v>
      </x:c>
      <x:c r="K199" s="47" t="str">
        <x:v>NOT_RUN</x:v>
      </x:c>
    </x:row>
    <x:row r="200">
      <x:c r="A200" s="47" t="str">
        <x:v>TRF-005</x:v>
      </x:c>
      <x:c r="B200" s="48" t="str">
        <x:v>Ice Class Regulations and the Application Thereof</x:v>
      </x:c>
      <x:c r="C200" s="47" t="str">
        <x:v>TRAFICOM/68863/03.04.01.00/2021</x:v>
      </x:c>
      <x:c r="D200" s="59" t="n">
        <x:v>5</x:v>
      </x:c>
      <x:c r="E200" s="47" t="str">
        <x:v>1.5</x:v>
      </x:c>
      <x:c r="F200" s="47" t="str">
        <x:v>Static</x:v>
      </x:c>
      <x:c r="G200" s="48" t="str">
        <x:v>Stage 2 candidate - direct/deterministic</x:v>
      </x:c>
      <x:c r="H200" s="47" t="str">
        <x:v>Medium</x:v>
      </x:c>
      <x:c r="I200" s="47" t="str">
        <x:v>No</x:v>
      </x:c>
      <x:c r="J200" s="47" t="str">
        <x:v>ELIGIBLE</x:v>
      </x:c>
      <x:c r="K200" s="47" t="str">
        <x:v>NOT_RUN</x:v>
      </x:c>
    </x:row>
    <x:row r="201">
      <x:c r="A201" s="47" t="str">
        <x:v>TRF-006</x:v>
      </x:c>
      <x:c r="B201" s="48" t="str">
        <x:v>Ice Class Regulations and the Application Thereof</x:v>
      </x:c>
      <x:c r="C201" s="47" t="str">
        <x:v>TRAFICOM/68863/03.04.01.00/2021</x:v>
      </x:c>
      <x:c r="D201" s="59" t="n">
        <x:v>5</x:v>
      </x:c>
      <x:c r="E201" s="47" t="str">
        <x:v>1.6</x:v>
      </x:c>
      <x:c r="F201" s="47" t="str">
        <x:v>Static</x:v>
      </x:c>
      <x:c r="G201" s="48" t="str">
        <x:v>Stage 2 candidate - direct/deterministic</x:v>
      </x:c>
      <x:c r="H201" s="47" t="str">
        <x:v>High</x:v>
      </x:c>
      <x:c r="I201" s="47" t="str">
        <x:v>No</x:v>
      </x:c>
      <x:c r="J201" s="47" t="str">
        <x:v>ELIGIBLE</x:v>
      </x:c>
      <x:c r="K201" s="47" t="str">
        <x:v>NOT_RUN</x:v>
      </x:c>
    </x:row>
    <x:row r="202">
      <x:c r="A202" s="47" t="str">
        <x:v>TRF-007</x:v>
      </x:c>
      <x:c r="B202" s="48" t="str">
        <x:v>Ice Class Regulations and the Application Thereof</x:v>
      </x:c>
      <x:c r="C202" s="47" t="str">
        <x:v>TRAFICOM/68863/03.04.01.00/2021</x:v>
      </x:c>
      <x:c r="D202" s="59" t="n">
        <x:v>5</x:v>
      </x:c>
      <x:c r="E202" s="47" t="str">
        <x:v>1.6</x:v>
      </x:c>
      <x:c r="F202" s="47" t="str">
        <x:v>Static</x:v>
      </x:c>
      <x:c r="G202" s="48" t="str">
        <x:v>Stage 2 candidate - direct/deterministic</x:v>
      </x:c>
      <x:c r="H202" s="47" t="str">
        <x:v>High</x:v>
      </x:c>
      <x:c r="I202" s="47" t="str">
        <x:v>No</x:v>
      </x:c>
      <x:c r="J202" s="47" t="str">
        <x:v>ELIGIBLE</x:v>
      </x:c>
      <x:c r="K202" s="47" t="str">
        <x:v>NOT_RUN</x:v>
      </x:c>
    </x:row>
    <x:row r="203">
      <x:c r="A203" s="47" t="str">
        <x:v>TRF-009</x:v>
      </x:c>
      <x:c r="B203" s="48" t="str">
        <x:v>Ice Class Regulations and the Application Thereof</x:v>
      </x:c>
      <x:c r="C203" s="47" t="str">
        <x:v>TRAFICOM/68863/03.04.01.00/2021</x:v>
      </x:c>
      <x:c r="D203" s="59" t="n">
        <x:v>6</x:v>
      </x:c>
      <x:c r="E203" s="47" t="str">
        <x:v>1.7</x:v>
      </x:c>
      <x:c r="F203" s="47" t="str">
        <x:v>Static</x:v>
      </x:c>
      <x:c r="G203" s="48" t="str">
        <x:v>Stage 2 candidate - direct/deterministic</x:v>
      </x:c>
      <x:c r="H203" s="47" t="str">
        <x:v>High</x:v>
      </x:c>
      <x:c r="I203" s="47" t="str">
        <x:v>No</x:v>
      </x:c>
      <x:c r="J203" s="47" t="str">
        <x:v>ELIGIBLE</x:v>
      </x:c>
      <x:c r="K203" s="47" t="str">
        <x:v>NOT_RUN</x:v>
      </x:c>
    </x:row>
    <x:row r="204">
      <x:c r="A204" s="47" t="str">
        <x:v>TRF-010</x:v>
      </x:c>
      <x:c r="B204" s="48" t="str">
        <x:v>Ice Class Regulations and the Application Thereof</x:v>
      </x:c>
      <x:c r="C204" s="47" t="str">
        <x:v>TRAFICOM/68863/03.04.01.00/2021</x:v>
      </x:c>
      <x:c r="D204" s="59" t="n">
        <x:v>6</x:v>
      </x:c>
      <x:c r="E204" s="47" t="str">
        <x:v>1.8</x:v>
      </x:c>
      <x:c r="F204" s="47" t="str">
        <x:v>Static</x:v>
      </x:c>
      <x:c r="G204" s="48" t="str">
        <x:v>Stage 2 candidate - direct/deterministic</x:v>
      </x:c>
      <x:c r="H204" s="47" t="str">
        <x:v>High</x:v>
      </x:c>
      <x:c r="I204" s="47" t="str">
        <x:v>No</x:v>
      </x:c>
      <x:c r="J204" s="47" t="str">
        <x:v>ELIGIBLE</x:v>
      </x:c>
      <x:c r="K204" s="47" t="str">
        <x:v>NOT_RUN</x:v>
      </x:c>
    </x:row>
    <x:row r="205">
      <x:c r="A205" s="47" t="str">
        <x:v>TRF-011</x:v>
      </x:c>
      <x:c r="B205" s="48" t="str">
        <x:v>Ice Class Regulations and the Application Thereof</x:v>
      </x:c>
      <x:c r="C205" s="47" t="str">
        <x:v>TRAFICOM/68863/03.04.01.00/2021</x:v>
      </x:c>
      <x:c r="D205" s="59" t="n">
        <x:v>6</x:v>
      </x:c>
      <x:c r="E205" s="47" t="str">
        <x:v>2.1</x:v>
      </x:c>
      <x:c r="F205" s="47" t="str">
        <x:v>Static</x:v>
      </x:c>
      <x:c r="G205" s="48" t="str">
        <x:v>Stage 2 candidate - direct/deterministic</x:v>
      </x:c>
      <x:c r="H205" s="47" t="str">
        <x:v>High</x:v>
      </x:c>
      <x:c r="I205" s="47" t="str">
        <x:v>No</x:v>
      </x:c>
      <x:c r="J205" s="47" t="str">
        <x:v>ELIGIBLE</x:v>
      </x:c>
      <x:c r="K205" s="47" t="str">
        <x:v>NOT_RUN</x:v>
      </x:c>
    </x:row>
    <x:row r="206">
      <x:c r="A206" s="47" t="str">
        <x:v>TRF-012</x:v>
      </x:c>
      <x:c r="B206" s="48" t="str">
        <x:v>Ice Class Regulations and the Application Thereof</x:v>
      </x:c>
      <x:c r="C206" s="47" t="str">
        <x:v>TRAFICOM/68863/03.04.01.00/2021</x:v>
      </x:c>
      <x:c r="D206" s="59" t="n">
        <x:v>6</x:v>
      </x:c>
      <x:c r="E206" s="47" t="str">
        <x:v>2.1</x:v>
      </x:c>
      <x:c r="F206" s="47" t="str">
        <x:v>Complex</x:v>
      </x:c>
      <x:c r="G206" s="48" t="str">
        <x:v>Stage 2 candidate - complex readiness</x:v>
      </x:c>
      <x:c r="H206" s="47" t="str">
        <x:v>Complex readiness</x:v>
      </x:c>
      <x:c r="I206" s="47" t="str">
        <x:v>No</x:v>
      </x:c>
      <x:c r="J206" s="47" t="str">
        <x:v>ELIGIBLE</x:v>
      </x:c>
      <x:c r="K206" s="47" t="str">
        <x:v>NOT_RUN</x:v>
      </x:c>
    </x:row>
    <x:row r="207">
      <x:c r="A207" s="47" t="str">
        <x:v>TRF-013</x:v>
      </x:c>
      <x:c r="B207" s="48" t="str">
        <x:v>Ice Class Regulations and the Application Thereof</x:v>
      </x:c>
      <x:c r="C207" s="47" t="str">
        <x:v>TRAFICOM/68863/03.04.01.00/2021</x:v>
      </x:c>
      <x:c r="D207" s="59" t="n">
        <x:v>7</x:v>
      </x:c>
      <x:c r="E207" s="47" t="str">
        <x:v>2.2</x:v>
      </x:c>
      <x:c r="F207" s="47" t="str">
        <x:v>Static</x:v>
      </x:c>
      <x:c r="G207" s="48" t="str">
        <x:v>Stage 2 candidate - direct/deterministic</x:v>
      </x:c>
      <x:c r="H207" s="47" t="str">
        <x:v>High</x:v>
      </x:c>
      <x:c r="I207" s="47" t="str">
        <x:v>No</x:v>
      </x:c>
      <x:c r="J207" s="47" t="str">
        <x:v>ELIGIBLE</x:v>
      </x:c>
      <x:c r="K207" s="47" t="str">
        <x:v>NOT_RUN</x:v>
      </x:c>
    </x:row>
    <x:row r="208">
      <x:c r="A208" s="47" t="str">
        <x:v>TRF-014</x:v>
      </x:c>
      <x:c r="B208" s="48" t="str">
        <x:v>Ice Class Regulations and the Application Thereof</x:v>
      </x:c>
      <x:c r="C208" s="47" t="str">
        <x:v>TRAFICOM/68863/03.04.01.00/2021</x:v>
      </x:c>
      <x:c r="D208" s="59" t="n">
        <x:v>7</x:v>
      </x:c>
      <x:c r="E208" s="47" t="str">
        <x:v>2.2</x:v>
      </x:c>
      <x:c r="F208" s="47" t="str">
        <x:v>Static</x:v>
      </x:c>
      <x:c r="G208" s="48" t="str">
        <x:v>Stage 2 candidate - direct/deterministic</x:v>
      </x:c>
      <x:c r="H208" s="47" t="str">
        <x:v>High</x:v>
      </x:c>
      <x:c r="I208" s="47" t="str">
        <x:v>No</x:v>
      </x:c>
      <x:c r="J208" s="47" t="str">
        <x:v>ELIGIBLE</x:v>
      </x:c>
      <x:c r="K208" s="47" t="str">
        <x:v>NOT_RUN</x:v>
      </x:c>
    </x:row>
    <x:row r="209">
      <x:c r="A209" s="47" t="str">
        <x:v>TRF-015</x:v>
      </x:c>
      <x:c r="B209" s="48" t="str">
        <x:v>Ice Class Regulations and the Application Thereof</x:v>
      </x:c>
      <x:c r="C209" s="47" t="str">
        <x:v>TRAFICOM/68863/03.04.01.00/2021</x:v>
      </x:c>
      <x:c r="D209" s="59" t="n">
        <x:v>7</x:v>
      </x:c>
      <x:c r="E209" s="47" t="str">
        <x:v>2.2</x:v>
      </x:c>
      <x:c r="F209" s="47" t="str">
        <x:v>Static</x:v>
      </x:c>
      <x:c r="G209" s="48" t="str">
        <x:v>Stage 2 candidate - direct/deterministic</x:v>
      </x:c>
      <x:c r="H209" s="47" t="str">
        <x:v>High</x:v>
      </x:c>
      <x:c r="I209" s="47" t="str">
        <x:v>No</x:v>
      </x:c>
      <x:c r="J209" s="47" t="str">
        <x:v>ELIGIBLE</x:v>
      </x:c>
      <x:c r="K209" s="47" t="str">
        <x:v>NOT_RUN</x:v>
      </x:c>
    </x:row>
    <x:row r="210">
      <x:c r="A210" s="47" t="str">
        <x:v>TRF-016</x:v>
      </x:c>
      <x:c r="B210" s="48" t="str">
        <x:v>Ice Class Regulations and the Application Thereof</x:v>
      </x:c>
      <x:c r="C210" s="47" t="str">
        <x:v>TRAFICOM/68863/03.04.01.00/2021</x:v>
      </x:c>
      <x:c r="D210" s="59" t="n">
        <x:v>7</x:v>
      </x:c>
      <x:c r="E210" s="47" t="str">
        <x:v>2.2</x:v>
      </x:c>
      <x:c r="F210" s="47" t="str">
        <x:v>Static Calculation</x:v>
      </x:c>
      <x:c r="G210" s="48" t="str">
        <x:v>Stage 2 candidate - direct/deterministic</x:v>
      </x:c>
      <x:c r="H210" s="47" t="str">
        <x:v>High</x:v>
      </x:c>
      <x:c r="I210" s="47" t="str">
        <x:v>No</x:v>
      </x:c>
      <x:c r="J210" s="47" t="str">
        <x:v>ELIGIBLE</x:v>
      </x:c>
      <x:c r="K210" s="47" t="str">
        <x:v>NOT_RUN</x:v>
      </x:c>
    </x:row>
    <x:row r="211">
      <x:c r="A211" s="47" t="str">
        <x:v>TRF-017</x:v>
      </x:c>
      <x:c r="B211" s="48" t="str">
        <x:v>Ice Class Regulations and the Application Thereof</x:v>
      </x:c>
      <x:c r="C211" s="47" t="str">
        <x:v>TRAFICOM/68863/03.04.01.00/2021</x:v>
      </x:c>
      <x:c r="D211" s="59" t="n">
        <x:v>7</x:v>
      </x:c>
      <x:c r="E211" s="47" t="str">
        <x:v>3.1</x:v>
      </x:c>
      <x:c r="F211" s="47" t="str">
        <x:v>Static</x:v>
      </x:c>
      <x:c r="G211" s="48" t="str">
        <x:v>Stage 2 candidate - direct/deterministic</x:v>
      </x:c>
      <x:c r="H211" s="47" t="str">
        <x:v>High</x:v>
      </x:c>
      <x:c r="I211" s="47" t="str">
        <x:v>No</x:v>
      </x:c>
      <x:c r="J211" s="47" t="str">
        <x:v>ELIGIBLE</x:v>
      </x:c>
      <x:c r="K211" s="47" t="str">
        <x:v>NOT_RUN</x:v>
      </x:c>
    </x:row>
    <x:row r="212">
      <x:c r="A212" s="47" t="str">
        <x:v>TRF-018</x:v>
      </x:c>
      <x:c r="B212" s="48" t="str">
        <x:v>Ice Class Regulations and the Application Thereof</x:v>
      </x:c>
      <x:c r="C212" s="47" t="str">
        <x:v>TRAFICOM/68863/03.04.01.00/2021</x:v>
      </x:c>
      <x:c r="D212" s="59" t="n">
        <x:v>8</x:v>
      </x:c>
      <x:c r="E212" s="47" t="str">
        <x:v>3.2</x:v>
      </x:c>
      <x:c r="F212" s="47" t="str">
        <x:v>Static Calculation</x:v>
      </x:c>
      <x:c r="G212" s="48" t="str">
        <x:v>Stage 2 candidate - direct/deterministic</x:v>
      </x:c>
      <x:c r="H212" s="47" t="str">
        <x:v>High</x:v>
      </x:c>
      <x:c r="I212" s="47" t="str">
        <x:v>No</x:v>
      </x:c>
      <x:c r="J212" s="47" t="str">
        <x:v>ELIGIBLE</x:v>
      </x:c>
      <x:c r="K212" s="47" t="str">
        <x:v>NOT_RUN</x:v>
      </x:c>
    </x:row>
    <x:row r="213">
      <x:c r="A213" s="47" t="str">
        <x:v>TRF-020</x:v>
      </x:c>
      <x:c r="B213" s="48" t="str">
        <x:v>Ice Class Regulations and the Application Thereof</x:v>
      </x:c>
      <x:c r="C213" s="47" t="str">
        <x:v>TRAFICOM/68863/03.04.01.00/2021</x:v>
      </x:c>
      <x:c r="D213" s="59" t="str">
        <x:v>8-9</x:v>
      </x:c>
      <x:c r="E213" s="47" t="str">
        <x:v>3.2.2</x:v>
      </x:c>
      <x:c r="F213" s="47" t="str">
        <x:v>Complex</x:v>
      </x:c>
      <x:c r="G213" s="48" t="str">
        <x:v>Stage 2 candidate - complex readiness</x:v>
      </x:c>
      <x:c r="H213" s="47" t="str">
        <x:v>Complex readiness</x:v>
      </x:c>
      <x:c r="I213" s="47" t="str">
        <x:v>No</x:v>
      </x:c>
      <x:c r="J213" s="47" t="str">
        <x:v>ELIGIBLE</x:v>
      </x:c>
      <x:c r="K213" s="47" t="str">
        <x:v>NOT_RUN</x:v>
      </x:c>
    </x:row>
    <x:row r="214">
      <x:c r="A214" s="47" t="str">
        <x:v>TRF-022</x:v>
      </x:c>
      <x:c r="B214" s="48" t="str">
        <x:v>Ice Class Regulations and the Application Thereof</x:v>
      </x:c>
      <x:c r="C214" s="47" t="str">
        <x:v>TRAFICOM/68863/03.04.01.00/2021</x:v>
      </x:c>
      <x:c r="D214" s="59" t="n">
        <x:v>10</x:v>
      </x:c>
      <x:c r="E214" s="47" t="str">
        <x:v>3.2.2</x:v>
      </x:c>
      <x:c r="F214" s="47" t="str">
        <x:v>Complex</x:v>
      </x:c>
      <x:c r="G214" s="48" t="str">
        <x:v>Stage 2 candidate - complex readiness</x:v>
      </x:c>
      <x:c r="H214" s="47" t="str">
        <x:v>Complex readiness</x:v>
      </x:c>
      <x:c r="I214" s="47" t="str">
        <x:v>No</x:v>
      </x:c>
      <x:c r="J214" s="47" t="str">
        <x:v>ELIGIBLE</x:v>
      </x:c>
      <x:c r="K214" s="47" t="str">
        <x:v>NOT_RUN</x:v>
      </x:c>
    </x:row>
    <x:row r="215">
      <x:c r="A215" s="47" t="str">
        <x:v>TRF-023</x:v>
      </x:c>
      <x:c r="B215" s="48" t="str">
        <x:v>Ice Class Regulations and the Application Thereof</x:v>
      </x:c>
      <x:c r="C215" s="47" t="str">
        <x:v>TRAFICOM/68863/03.04.01.00/2021</x:v>
      </x:c>
      <x:c r="D215" s="59" t="n">
        <x:v>10</x:v>
      </x:c>
      <x:c r="E215" s="47" t="str">
        <x:v>3.2.3</x:v>
      </x:c>
      <x:c r="F215" s="47" t="str">
        <x:v>Static</x:v>
      </x:c>
      <x:c r="G215" s="48" t="str">
        <x:v>Stage 2 candidate - direct/deterministic</x:v>
      </x:c>
      <x:c r="H215" s="47" t="str">
        <x:v>High</x:v>
      </x:c>
      <x:c r="I215" s="47" t="str">
        <x:v>No</x:v>
      </x:c>
      <x:c r="J215" s="47" t="str">
        <x:v>ELIGIBLE</x:v>
      </x:c>
      <x:c r="K215" s="47" t="str">
        <x:v>NOT_RUN</x:v>
      </x:c>
    </x:row>
    <x:row r="216">
      <x:c r="A216" s="47" t="str">
        <x:v>TRF-024</x:v>
      </x:c>
      <x:c r="B216" s="48" t="str">
        <x:v>Ice Class Regulations and the Application Thereof</x:v>
      </x:c>
      <x:c r="C216" s="47" t="str">
        <x:v>TRAFICOM/68863/03.04.01.00/2021</x:v>
      </x:c>
      <x:c r="D216" s="59" t="n">
        <x:v>10</x:v>
      </x:c>
      <x:c r="E216" s="47" t="str">
        <x:v>3.2.4</x:v>
      </x:c>
      <x:c r="F216" s="47" t="str">
        <x:v>Static</x:v>
      </x:c>
      <x:c r="G216" s="48" t="str">
        <x:v>Stage 2 candidate - direct/deterministic</x:v>
      </x:c>
      <x:c r="H216" s="47" t="str">
        <x:v>High</x:v>
      </x:c>
      <x:c r="I216" s="47" t="str">
        <x:v>No</x:v>
      </x:c>
      <x:c r="J216" s="47" t="str">
        <x:v>ELIGIBLE</x:v>
      </x:c>
      <x:c r="K216" s="47" t="str">
        <x:v>NOT_RUN</x:v>
      </x:c>
    </x:row>
    <x:row r="217">
      <x:c r="A217" s="47" t="str">
        <x:v>TRF-025</x:v>
      </x:c>
      <x:c r="B217" s="48" t="str">
        <x:v>Ice Class Regulations and the Application Thereof</x:v>
      </x:c>
      <x:c r="C217" s="47" t="str">
        <x:v>TRAFICOM/68863/03.04.01.00/2021</x:v>
      </x:c>
      <x:c r="D217" s="59" t="n">
        <x:v>10</x:v>
      </x:c>
      <x:c r="E217" s="47" t="str">
        <x:v>3.2.4</x:v>
      </x:c>
      <x:c r="F217" s="47" t="str">
        <x:v>Complex</x:v>
      </x:c>
      <x:c r="G217" s="48" t="str">
        <x:v>Stage 2 candidate - complex readiness</x:v>
      </x:c>
      <x:c r="H217" s="47" t="str">
        <x:v>Complex readiness</x:v>
      </x:c>
      <x:c r="I217" s="47" t="str">
        <x:v>No</x:v>
      </x:c>
      <x:c r="J217" s="47" t="str">
        <x:v>ELIGIBLE</x:v>
      </x:c>
      <x:c r="K217" s="47" t="str">
        <x:v>MAX_ATTEMPTS_REACHED</x:v>
      </x:c>
    </x:row>
    <x:row r="218">
      <x:c r="A218" s="47" t="str">
        <x:v>TRF-026</x:v>
      </x:c>
      <x:c r="B218" s="48" t="str">
        <x:v>Ice Class Regulations and the Application Thereof</x:v>
      </x:c>
      <x:c r="C218" s="47" t="str">
        <x:v>TRAFICOM/68863/03.04.01.00/2021</x:v>
      </x:c>
      <x:c r="D218" s="59" t="n">
        <x:v>11</x:v>
      </x:c>
      <x:c r="E218" s="47" t="str">
        <x:v>3.2.4</x:v>
      </x:c>
      <x:c r="F218" s="47" t="str">
        <x:v>Complex</x:v>
      </x:c>
      <x:c r="G218" s="48" t="str">
        <x:v>Stage 2 candidate - complex readiness</x:v>
      </x:c>
      <x:c r="H218" s="47" t="str">
        <x:v>Complex readiness</x:v>
      </x:c>
      <x:c r="I218" s="47" t="str">
        <x:v>No</x:v>
      </x:c>
      <x:c r="J218" s="47" t="str">
        <x:v>ELIGIBLE</x:v>
      </x:c>
      <x:c r="K218" s="47" t="str">
        <x:v>NOT_RUN</x:v>
      </x:c>
    </x:row>
    <x:row r="219">
      <x:c r="A219" s="47" t="str">
        <x:v>TRF-027</x:v>
      </x:c>
      <x:c r="B219" s="48" t="str">
        <x:v>Ice Class Regulations and the Application Thereof</x:v>
      </x:c>
      <x:c r="C219" s="47" t="str">
        <x:v>TRAFICOM/68863/03.04.01.00/2021</x:v>
      </x:c>
      <x:c r="D219" s="59" t="n">
        <x:v>11</x:v>
      </x:c>
      <x:c r="E219" s="47" t="str">
        <x:v>3.2.4</x:v>
      </x:c>
      <x:c r="F219" s="47" t="str">
        <x:v>Static Calculation</x:v>
      </x:c>
      <x:c r="G219" s="48" t="str">
        <x:v>Stage 2 candidate - direct/deterministic</x:v>
      </x:c>
      <x:c r="H219" s="47" t="str">
        <x:v>Medium</x:v>
      </x:c>
      <x:c r="I219" s="47" t="str">
        <x:v>No</x:v>
      </x:c>
      <x:c r="J219" s="47" t="str">
        <x:v>ELIGIBLE</x:v>
      </x:c>
      <x:c r="K219" s="47" t="str">
        <x:v>NOT_RUN</x:v>
      </x:c>
    </x:row>
    <x:row r="220">
      <x:c r="A220" s="47" t="str">
        <x:v>TRF-028</x:v>
      </x:c>
      <x:c r="B220" s="48" t="str">
        <x:v>Ice Class Regulations and the Application Thereof</x:v>
      </x:c>
      <x:c r="C220" s="47" t="str">
        <x:v>TRAFICOM/68863/03.04.01.00/2021</x:v>
      </x:c>
      <x:c r="D220" s="59" t="n">
        <x:v>11</x:v>
      </x:c>
      <x:c r="E220" s="47" t="str">
        <x:v>3.2.5</x:v>
      </x:c>
      <x:c r="F220" s="47" t="str">
        <x:v>Complex</x:v>
      </x:c>
      <x:c r="G220" s="48" t="str">
        <x:v>Stage 2 candidate - complex readiness</x:v>
      </x:c>
      <x:c r="H220" s="47" t="str">
        <x:v>Complex readiness</x:v>
      </x:c>
      <x:c r="I220" s="47" t="str">
        <x:v>No</x:v>
      </x:c>
      <x:c r="J220" s="47" t="str">
        <x:v>ELIGIBLE</x:v>
      </x:c>
      <x:c r="K220" s="47" t="str">
        <x:v>NOT_RUN</x:v>
      </x:c>
    </x:row>
    <x:row r="221">
      <x:c r="A221" s="47" t="str">
        <x:v>TRF-029</x:v>
      </x:c>
      <x:c r="B221" s="48" t="str">
        <x:v>Ice Class Regulations and the Application Thereof</x:v>
      </x:c>
      <x:c r="C221" s="47" t="str">
        <x:v>TRAFICOM/68863/03.04.01.00/2021</x:v>
      </x:c>
      <x:c r="D221" s="59" t="n">
        <x:v>12</x:v>
      </x:c>
      <x:c r="E221" s="47" t="str">
        <x:v>4.1</x:v>
      </x:c>
      <x:c r="F221" s="47" t="str">
        <x:v>Static</x:v>
      </x:c>
      <x:c r="G221" s="48" t="str">
        <x:v>Stage 2 candidate - direct static</x:v>
      </x:c>
      <x:c r="H221" s="47" t="str">
        <x:v>Direct static</x:v>
      </x:c>
      <x:c r="I221" s="47" t="str">
        <x:v>No</x:v>
      </x:c>
      <x:c r="J221" s="47" t="str">
        <x:v>ELIGIBLE</x:v>
      </x:c>
      <x:c r="K221" s="47" t="str">
        <x:v>NOT_RUN</x:v>
      </x:c>
    </x:row>
    <x:row r="222">
      <x:c r="A222" s="47" t="str">
        <x:v>TRF-030</x:v>
      </x:c>
      <x:c r="B222" s="48" t="str">
        <x:v>Ice Class Regulations and the Application Thereof</x:v>
      </x:c>
      <x:c r="C222" s="47" t="str">
        <x:v>TRAFICOM/68863/03.04.01.00/2021</x:v>
      </x:c>
      <x:c r="D222" s="59" t="n">
        <x:v>12</x:v>
      </x:c>
      <x:c r="E222" s="47" t="str">
        <x:v>4.1</x:v>
      </x:c>
      <x:c r="F222" s="47" t="str">
        <x:v>Complex</x:v>
      </x:c>
      <x:c r="G222" s="48" t="str">
        <x:v>Stage 2 candidate - complex readiness</x:v>
      </x:c>
      <x:c r="H222" s="47" t="str">
        <x:v>Complex readiness</x:v>
      </x:c>
      <x:c r="I222" s="47" t="str">
        <x:v>No</x:v>
      </x:c>
      <x:c r="J222" s="47" t="str">
        <x:v>ELIGIBLE</x:v>
      </x:c>
      <x:c r="K222" s="47" t="str">
        <x:v>NOT_RUN</x:v>
      </x:c>
    </x:row>
    <x:row r="223">
      <x:c r="A223" s="47" t="str">
        <x:v>TRF-031</x:v>
      </x:c>
      <x:c r="B223" s="48" t="str">
        <x:v>Ice Class Regulations and the Application Thereof</x:v>
      </x:c>
      <x:c r="C223" s="47" t="str">
        <x:v>TRAFICOM/68863/03.04.01.00/2021</x:v>
      </x:c>
      <x:c r="D223" s="59" t="n">
        <x:v>12</x:v>
      </x:c>
      <x:c r="E223" s="47" t="str">
        <x:v>4.1</x:v>
      </x:c>
      <x:c r="F223" s="47" t="str">
        <x:v>Static Calculation</x:v>
      </x:c>
      <x:c r="G223" s="48" t="str">
        <x:v>Stage 2 candidate - direct/deterministic</x:v>
      </x:c>
      <x:c r="H223" s="47" t="str">
        <x:v>Medium</x:v>
      </x:c>
      <x:c r="I223" s="47" t="str">
        <x:v>No</x:v>
      </x:c>
      <x:c r="J223" s="47" t="str">
        <x:v>ELIGIBLE</x:v>
      </x:c>
      <x:c r="K223" s="47" t="str">
        <x:v>NOT_RUN</x:v>
      </x:c>
    </x:row>
    <x:row r="224">
      <x:c r="A224" s="47" t="str">
        <x:v>TRF-032</x:v>
      </x:c>
      <x:c r="B224" s="48" t="str">
        <x:v>Ice Class Regulations and the Application Thereof</x:v>
      </x:c>
      <x:c r="C224" s="47" t="str">
        <x:v>TRAFICOM/68863/03.04.01.00/2021</x:v>
      </x:c>
      <x:c r="D224" s="59" t="n">
        <x:v>12</x:v>
      </x:c>
      <x:c r="E224" s="47" t="str">
        <x:v>4.1</x:v>
      </x:c>
      <x:c r="F224" s="47" t="str">
        <x:v>Static</x:v>
      </x:c>
      <x:c r="G224" s="48" t="str">
        <x:v>Stage 2 candidate - direct/deterministic</x:v>
      </x:c>
      <x:c r="H224" s="47" t="str">
        <x:v>Medium</x:v>
      </x:c>
      <x:c r="I224" s="47" t="str">
        <x:v>No</x:v>
      </x:c>
      <x:c r="J224" s="47" t="str">
        <x:v>ELIGIBLE</x:v>
      </x:c>
      <x:c r="K224" s="47" t="str">
        <x:v>NOT_RUN</x:v>
      </x:c>
    </x:row>
    <x:row r="225">
      <x:c r="A225" s="47" t="str">
        <x:v>TRF-034</x:v>
      </x:c>
      <x:c r="B225" s="48" t="str">
        <x:v>Ice Class Regulations and the Application Thereof</x:v>
      </x:c>
      <x:c r="C225" s="47" t="str">
        <x:v>TRAFICOM/68863/03.04.01.00/2021</x:v>
      </x:c>
      <x:c r="D225" s="59" t="n">
        <x:v>13</x:v>
      </x:c>
      <x:c r="E225" s="47" t="str">
        <x:v>4.1</x:v>
      </x:c>
      <x:c r="F225" s="47" t="str">
        <x:v>Complex</x:v>
      </x:c>
      <x:c r="G225" s="48" t="str">
        <x:v>Stage 2 candidate - complex readiness</x:v>
      </x:c>
      <x:c r="H225" s="47" t="str">
        <x:v>Complex readiness</x:v>
      </x:c>
      <x:c r="I225" s="47" t="str">
        <x:v>No</x:v>
      </x:c>
      <x:c r="J225" s="47" t="str">
        <x:v>ELIGIBLE</x:v>
      </x:c>
      <x:c r="K225" s="47" t="str">
        <x:v>NOT_RUN</x:v>
      </x:c>
    </x:row>
    <x:row r="226">
      <x:c r="A226" s="47" t="str">
        <x:v>TRF-035</x:v>
      </x:c>
      <x:c r="B226" s="48" t="str">
        <x:v>Ice Class Regulations and the Application Thereof</x:v>
      </x:c>
      <x:c r="C226" s="47" t="str">
        <x:v>TRAFICOM/68863/03.04.01.00/2021</x:v>
      </x:c>
      <x:c r="D226" s="59" t="n">
        <x:v>13</x:v>
      </x:c>
      <x:c r="E226" s="47" t="str">
        <x:v>4.1.1</x:v>
      </x:c>
      <x:c r="F226" s="47" t="str">
        <x:v>Static</x:v>
      </x:c>
      <x:c r="G226" s="48" t="str">
        <x:v>Stage 2 candidate - direct/deterministic</x:v>
      </x:c>
      <x:c r="H226" s="47" t="str">
        <x:v>Medium</x:v>
      </x:c>
      <x:c r="I226" s="47" t="str">
        <x:v>No</x:v>
      </x:c>
      <x:c r="J226" s="47" t="str">
        <x:v>ELIGIBLE</x:v>
      </x:c>
      <x:c r="K226" s="47" t="str">
        <x:v>NOT_RUN</x:v>
      </x:c>
    </x:row>
    <x:row r="227">
      <x:c r="A227" s="47" t="str">
        <x:v>TRF-036</x:v>
      </x:c>
      <x:c r="B227" s="48" t="str">
        <x:v>Ice Class Regulations and the Application Thereof</x:v>
      </x:c>
      <x:c r="C227" s="47" t="str">
        <x:v>TRAFICOM/68863/03.04.01.00/2021</x:v>
      </x:c>
      <x:c r="D227" s="59" t="n">
        <x:v>14</x:v>
      </x:c>
      <x:c r="E227" s="47" t="str">
        <x:v>4.2.1</x:v>
      </x:c>
      <x:c r="F227" s="47" t="str">
        <x:v>Static</x:v>
      </x:c>
      <x:c r="G227" s="48" t="str">
        <x:v>Stage 2 candidate - direct static</x:v>
      </x:c>
      <x:c r="H227" s="47" t="str">
        <x:v>Direct static</x:v>
      </x:c>
      <x:c r="I227" s="47" t="str">
        <x:v>No</x:v>
      </x:c>
      <x:c r="J227" s="47" t="str">
        <x:v>ELIGIBLE</x:v>
      </x:c>
      <x:c r="K227" s="47" t="str">
        <x:v>NOT_RUN</x:v>
      </x:c>
    </x:row>
    <x:row r="228">
      <x:c r="A228" s="47" t="str">
        <x:v>TRF-037</x:v>
      </x:c>
      <x:c r="B228" s="48" t="str">
        <x:v>Ice Class Regulations and the Application Thereof</x:v>
      </x:c>
      <x:c r="C228" s="47" t="str">
        <x:v>TRAFICOM/68863/03.04.01.00/2021</x:v>
      </x:c>
      <x:c r="D228" s="59" t="n">
        <x:v>14</x:v>
      </x:c>
      <x:c r="E228" s="47" t="str">
        <x:v>4.2.2</x:v>
      </x:c>
      <x:c r="F228" s="47" t="str">
        <x:v>Static Calculation</x:v>
      </x:c>
      <x:c r="G228" s="48" t="str">
        <x:v>Stage 2 candidate - direct/deterministic</x:v>
      </x:c>
      <x:c r="H228" s="47" t="str">
        <x:v>Medium</x:v>
      </x:c>
      <x:c r="I228" s="47" t="str">
        <x:v>No</x:v>
      </x:c>
      <x:c r="J228" s="47" t="str">
        <x:v>ELIGIBLE</x:v>
      </x:c>
      <x:c r="K228" s="47" t="str">
        <x:v>NOT_RUN</x:v>
      </x:c>
    </x:row>
    <x:row r="229">
      <x:c r="A229" s="47" t="str">
        <x:v>TRF-039</x:v>
      </x:c>
      <x:c r="B229" s="48" t="str">
        <x:v>Ice Class Regulations and the Application Thereof</x:v>
      </x:c>
      <x:c r="C229" s="47" t="str">
        <x:v>TRAFICOM/68863/03.04.01.00/2021</x:v>
      </x:c>
      <x:c r="D229" s="59" t="n">
        <x:v>15</x:v>
      </x:c>
      <x:c r="E229" s="47" t="str">
        <x:v>4.2.2</x:v>
      </x:c>
      <x:c r="F229" s="47" t="str">
        <x:v>Static Calculation</x:v>
      </x:c>
      <x:c r="G229" s="48" t="str">
        <x:v>Deferred - existing vocabulary insufficient</x:v>
      </x:c>
      <x:c r="H229" s="47" t="str">
        <x:v>Deferred</x:v>
      </x:c>
      <x:c r="I229" s="47" t="str">
        <x:v>No</x:v>
      </x:c>
      <x:c r="J229" s="47" t="str">
        <x:v>DEFERRED</x:v>
      </x:c>
      <x:c r="K229" s="47" t="str">
        <x:v>NOT_RUN</x:v>
      </x:c>
    </x:row>
    <x:row r="230">
      <x:c r="A230" s="47" t="str">
        <x:v>TRF-040</x:v>
      </x:c>
      <x:c r="B230" s="48" t="str">
        <x:v>Ice Class Regulations and the Application Thereof</x:v>
      </x:c>
      <x:c r="C230" s="47" t="str">
        <x:v>TRAFICOM/68863/03.04.01.00/2021</x:v>
      </x:c>
      <x:c r="D230" s="59" t="n">
        <x:v>16</x:v>
      </x:c>
      <x:c r="E230" s="47" t="str">
        <x:v>4.3.1</x:v>
      </x:c>
      <x:c r="F230" s="47" t="str">
        <x:v>Static</x:v>
      </x:c>
      <x:c r="G230" s="48" t="str">
        <x:v>Stage 2 candidate - direct static</x:v>
      </x:c>
      <x:c r="H230" s="47" t="str">
        <x:v>Direct static</x:v>
      </x:c>
      <x:c r="I230" s="47" t="str">
        <x:v>No</x:v>
      </x:c>
      <x:c r="J230" s="47" t="str">
        <x:v>ELIGIBLE</x:v>
      </x:c>
      <x:c r="K230" s="47" t="str">
        <x:v>NOT_RUN</x:v>
      </x:c>
    </x:row>
    <x:row r="231">
      <x:c r="A231" s="47" t="str">
        <x:v>TRF-041</x:v>
      </x:c>
      <x:c r="B231" s="48" t="str">
        <x:v>Ice Class Regulations and the Application Thereof</x:v>
      </x:c>
      <x:c r="C231" s="47" t="str">
        <x:v>TRAFICOM/68863/03.04.01.00/2021</x:v>
      </x:c>
      <x:c r="D231" s="59" t="n">
        <x:v>17</x:v>
      </x:c>
      <x:c r="E231" s="47" t="str">
        <x:v>4.3.2</x:v>
      </x:c>
      <x:c r="F231" s="47" t="str">
        <x:v>Complex</x:v>
      </x:c>
      <x:c r="G231" s="48" t="str">
        <x:v>Stage 2 candidate - complex readiness</x:v>
      </x:c>
      <x:c r="H231" s="47" t="str">
        <x:v>Complex readiness</x:v>
      </x:c>
      <x:c r="I231" s="47" t="str">
        <x:v>No</x:v>
      </x:c>
      <x:c r="J231" s="47" t="str">
        <x:v>ELIGIBLE</x:v>
      </x:c>
      <x:c r="K231" s="47" t="str">
        <x:v>NOT_RUN</x:v>
      </x:c>
    </x:row>
    <x:row r="232">
      <x:c r="A232" s="47" t="str">
        <x:v>TRF-042</x:v>
      </x:c>
      <x:c r="B232" s="48" t="str">
        <x:v>Ice Class Regulations and the Application Thereof</x:v>
      </x:c>
      <x:c r="C232" s="47" t="str">
        <x:v>TRAFICOM/68863/03.04.01.00/2021</x:v>
      </x:c>
      <x:c r="D232" s="59" t="n">
        <x:v>17</x:v>
      </x:c>
      <x:c r="E232" s="47" t="str">
        <x:v>4.3.2</x:v>
      </x:c>
      <x:c r="F232" s="47" t="str">
        <x:v>Static Calculation</x:v>
      </x:c>
      <x:c r="G232" s="48" t="str">
        <x:v>Stage 2 candidate - direct/deterministic</x:v>
      </x:c>
      <x:c r="H232" s="47" t="str">
        <x:v>Medium</x:v>
      </x:c>
      <x:c r="I232" s="47" t="str">
        <x:v>No</x:v>
      </x:c>
      <x:c r="J232" s="47" t="str">
        <x:v>ELIGIBLE</x:v>
      </x:c>
      <x:c r="K232" s="47" t="str">
        <x:v>NOT_RUN</x:v>
      </x:c>
    </x:row>
    <x:row r="233">
      <x:c r="A233" s="47" t="str">
        <x:v>TRF-043</x:v>
      </x:c>
      <x:c r="B233" s="48" t="str">
        <x:v>Ice Class Regulations and the Application Thereof</x:v>
      </x:c>
      <x:c r="C233" s="47" t="str">
        <x:v>TRAFICOM/68863/03.04.01.00/2021</x:v>
      </x:c>
      <x:c r="D233" s="59" t="n">
        <x:v>18</x:v>
      </x:c>
      <x:c r="E233" s="47" t="str">
        <x:v>4.4.1</x:v>
      </x:c>
      <x:c r="F233" s="47" t="str">
        <x:v>Static</x:v>
      </x:c>
      <x:c r="G233" s="48" t="str">
        <x:v>Stage 2 candidate - direct/deterministic</x:v>
      </x:c>
      <x:c r="H233" s="47" t="str">
        <x:v>Medium</x:v>
      </x:c>
      <x:c r="I233" s="47" t="str">
        <x:v>No</x:v>
      </x:c>
      <x:c r="J233" s="47" t="str">
        <x:v>ELIGIBLE</x:v>
      </x:c>
      <x:c r="K233" s="47" t="str">
        <x:v>NOT_RUN</x:v>
      </x:c>
    </x:row>
    <x:row r="234">
      <x:c r="A234" s="47" t="str">
        <x:v>TRF-044</x:v>
      </x:c>
      <x:c r="B234" s="48" t="str">
        <x:v>Ice Class Regulations and the Application Thereof</x:v>
      </x:c>
      <x:c r="C234" s="47" t="str">
        <x:v>TRAFICOM/68863/03.04.01.00/2021</x:v>
      </x:c>
      <x:c r="D234" s="59" t="str">
        <x:v>18-19</x:v>
      </x:c>
      <x:c r="E234" s="47" t="str">
        <x:v>4.4.2.1</x:v>
      </x:c>
      <x:c r="F234" s="47" t="str">
        <x:v>Static Calculation</x:v>
      </x:c>
      <x:c r="G234" s="48" t="str">
        <x:v>Stage 2 candidate - direct/deterministic</x:v>
      </x:c>
      <x:c r="H234" s="47" t="str">
        <x:v>Medium</x:v>
      </x:c>
      <x:c r="I234" s="47" t="str">
        <x:v>No</x:v>
      </x:c>
      <x:c r="J234" s="47" t="str">
        <x:v>ELIGIBLE</x:v>
      </x:c>
      <x:c r="K234" s="47" t="str">
        <x:v>NOT_RUN</x:v>
      </x:c>
    </x:row>
    <x:row r="235">
      <x:c r="A235" s="47" t="str">
        <x:v>TRF-045</x:v>
      </x:c>
      <x:c r="B235" s="48" t="str">
        <x:v>Ice Class Regulations and the Application Thereof</x:v>
      </x:c>
      <x:c r="C235" s="47" t="str">
        <x:v>TRAFICOM/68863/03.04.01.00/2021</x:v>
      </x:c>
      <x:c r="D235" s="59" t="n">
        <x:v>19</x:v>
      </x:c>
      <x:c r="E235" s="47" t="str">
        <x:v>4.4.2.1</x:v>
      </x:c>
      <x:c r="F235" s="47" t="str">
        <x:v>Static</x:v>
      </x:c>
      <x:c r="G235" s="48" t="str">
        <x:v>Stage 2 candidate - direct/deterministic</x:v>
      </x:c>
      <x:c r="H235" s="47" t="str">
        <x:v>High</x:v>
      </x:c>
      <x:c r="I235" s="47" t="str">
        <x:v>No</x:v>
      </x:c>
      <x:c r="J235" s="47" t="str">
        <x:v>ELIGIBLE</x:v>
      </x:c>
      <x:c r="K235" s="47" t="str">
        <x:v>NOT_RUN</x:v>
      </x:c>
    </x:row>
    <x:row r="236">
      <x:c r="A236" s="47" t="str">
        <x:v>TRF-046</x:v>
      </x:c>
      <x:c r="B236" s="48" t="str">
        <x:v>Ice Class Regulations and the Application Thereof</x:v>
      </x:c>
      <x:c r="C236" s="47" t="str">
        <x:v>TRAFICOM/68863/03.04.01.00/2021</x:v>
      </x:c>
      <x:c r="D236" s="59" t="n">
        <x:v>19</x:v>
      </x:c>
      <x:c r="E236" s="47" t="str">
        <x:v>4.4.2.2</x:v>
      </x:c>
      <x:c r="F236" s="47" t="str">
        <x:v>Static</x:v>
      </x:c>
      <x:c r="G236" s="48" t="str">
        <x:v>Stage 2 candidate - direct/deterministic</x:v>
      </x:c>
      <x:c r="H236" s="47" t="str">
        <x:v>Medium</x:v>
      </x:c>
      <x:c r="I236" s="47" t="str">
        <x:v>No</x:v>
      </x:c>
      <x:c r="J236" s="47" t="str">
        <x:v>ELIGIBLE</x:v>
      </x:c>
      <x:c r="K236" s="47" t="str">
        <x:v>NOT_RUN</x:v>
      </x:c>
    </x:row>
    <x:row r="237">
      <x:c r="A237" s="47" t="str">
        <x:v>TRF-047</x:v>
      </x:c>
      <x:c r="B237" s="48" t="str">
        <x:v>Ice Class Regulations and the Application Thereof</x:v>
      </x:c>
      <x:c r="C237" s="47" t="str">
        <x:v>TRAFICOM/68863/03.04.01.00/2021</x:v>
      </x:c>
      <x:c r="D237" s="59" t="n">
        <x:v>20</x:v>
      </x:c>
      <x:c r="E237" s="47" t="str">
        <x:v>4.4.2.3</x:v>
      </x:c>
      <x:c r="F237" s="47" t="str">
        <x:v>Static</x:v>
      </x:c>
      <x:c r="G237" s="48" t="str">
        <x:v>Stage 2 candidate - direct/deterministic</x:v>
      </x:c>
      <x:c r="H237" s="47" t="str">
        <x:v>High</x:v>
      </x:c>
      <x:c r="I237" s="47" t="str">
        <x:v>No</x:v>
      </x:c>
      <x:c r="J237" s="47" t="str">
        <x:v>ELIGIBLE</x:v>
      </x:c>
      <x:c r="K237" s="47" t="str">
        <x:v>NOT_RUN</x:v>
      </x:c>
    </x:row>
    <x:row r="238">
      <x:c r="A238" s="47" t="str">
        <x:v>TRF-048</x:v>
      </x:c>
      <x:c r="B238" s="48" t="str">
        <x:v>Ice Class Regulations and the Application Thereof</x:v>
      </x:c>
      <x:c r="C238" s="47" t="str">
        <x:v>TRAFICOM/68863/03.04.01.00/2021</x:v>
      </x:c>
      <x:c r="D238" s="59" t="n">
        <x:v>20</x:v>
      </x:c>
      <x:c r="E238" s="47" t="str">
        <x:v>4.4.3</x:v>
      </x:c>
      <x:c r="F238" s="47" t="str">
        <x:v>Static Calculation</x:v>
      </x:c>
      <x:c r="G238" s="48" t="str">
        <x:v>Stage 2 candidate - direct/deterministic</x:v>
      </x:c>
      <x:c r="H238" s="47" t="str">
        <x:v>High</x:v>
      </x:c>
      <x:c r="I238" s="47" t="str">
        <x:v>No</x:v>
      </x:c>
      <x:c r="J238" s="47" t="str">
        <x:v>ELIGIBLE</x:v>
      </x:c>
      <x:c r="K238" s="47" t="str">
        <x:v>NOT_RUN</x:v>
      </x:c>
    </x:row>
    <x:row r="239">
      <x:c r="A239" s="47" t="str">
        <x:v>TRF-049</x:v>
      </x:c>
      <x:c r="B239" s="48" t="str">
        <x:v>Ice Class Regulations and the Application Thereof</x:v>
      </x:c>
      <x:c r="C239" s="47" t="str">
        <x:v>TRAFICOM/68863/03.04.01.00/2021</x:v>
      </x:c>
      <x:c r="D239" s="59" t="n">
        <x:v>21</x:v>
      </x:c>
      <x:c r="E239" s="47" t="str">
        <x:v>4.4.4.1</x:v>
      </x:c>
      <x:c r="F239" s="47" t="str">
        <x:v>Static</x:v>
      </x:c>
      <x:c r="G239" s="48" t="str">
        <x:v>Stage 2 candidate - direct static</x:v>
      </x:c>
      <x:c r="H239" s="47" t="str">
        <x:v>Direct static</x:v>
      </x:c>
      <x:c r="I239" s="47" t="str">
        <x:v>No</x:v>
      </x:c>
      <x:c r="J239" s="47" t="str">
        <x:v>ELIGIBLE</x:v>
      </x:c>
      <x:c r="K239" s="47" t="str">
        <x:v>NOT_RUN</x:v>
      </x:c>
    </x:row>
    <x:row r="240">
      <x:c r="A240" s="47" t="str">
        <x:v>TRF-050</x:v>
      </x:c>
      <x:c r="B240" s="48" t="str">
        <x:v>Ice Class Regulations and the Application Thereof</x:v>
      </x:c>
      <x:c r="C240" s="47" t="str">
        <x:v>TRAFICOM/68863/03.04.01.00/2021</x:v>
      </x:c>
      <x:c r="D240" s="59" t="n">
        <x:v>21</x:v>
      </x:c>
      <x:c r="E240" s="47" t="str">
        <x:v>4.4.4.2</x:v>
      </x:c>
      <x:c r="F240" s="47" t="str">
        <x:v>Static</x:v>
      </x:c>
      <x:c r="G240" s="48" t="str">
        <x:v>Stage 2 candidate - direct/deterministic</x:v>
      </x:c>
      <x:c r="H240" s="47" t="str">
        <x:v>High</x:v>
      </x:c>
      <x:c r="I240" s="47" t="str">
        <x:v>No</x:v>
      </x:c>
      <x:c r="J240" s="47" t="str">
        <x:v>ELIGIBLE</x:v>
      </x:c>
      <x:c r="K240" s="47" t="str">
        <x:v>NOT_RUN</x:v>
      </x:c>
    </x:row>
    <x:row r="241">
      <x:c r="A241" s="47" t="str">
        <x:v>TRF-051</x:v>
      </x:c>
      <x:c r="B241" s="48" t="str">
        <x:v>Ice Class Regulations and the Application Thereof</x:v>
      </x:c>
      <x:c r="C241" s="47" t="str">
        <x:v>TRAFICOM/68863/03.04.01.00/2021</x:v>
      </x:c>
      <x:c r="D241" s="59" t="n">
        <x:v>21</x:v>
      </x:c>
      <x:c r="E241" s="47" t="str">
        <x:v>4.4.4.2</x:v>
      </x:c>
      <x:c r="F241" s="47" t="str">
        <x:v>Complex</x:v>
      </x:c>
      <x:c r="G241" s="48" t="str">
        <x:v>Stage 2 candidate - complex readiness</x:v>
      </x:c>
      <x:c r="H241" s="47" t="str">
        <x:v>Complex readiness</x:v>
      </x:c>
      <x:c r="I241" s="47" t="str">
        <x:v>No</x:v>
      </x:c>
      <x:c r="J241" s="47" t="str">
        <x:v>ELIGIBLE</x:v>
      </x:c>
      <x:c r="K241" s="47" t="str">
        <x:v>NOT_RUN</x:v>
      </x:c>
    </x:row>
    <x:row r="242">
      <x:c r="A242" s="47" t="str">
        <x:v>TRF-052</x:v>
      </x:c>
      <x:c r="B242" s="48" t="str">
        <x:v>Ice Class Regulations and the Application Thereof</x:v>
      </x:c>
      <x:c r="C242" s="47" t="str">
        <x:v>TRAFICOM/68863/03.04.01.00/2021</x:v>
      </x:c>
      <x:c r="D242" s="59" t="n">
        <x:v>21</x:v>
      </x:c>
      <x:c r="E242" s="47" t="str">
        <x:v>4.4.4.2</x:v>
      </x:c>
      <x:c r="F242" s="47" t="str">
        <x:v>Static</x:v>
      </x:c>
      <x:c r="G242" s="48" t="str">
        <x:v>Stage 2 candidate - direct/deterministic</x:v>
      </x:c>
      <x:c r="H242" s="47" t="str">
        <x:v>High</x:v>
      </x:c>
      <x:c r="I242" s="47" t="str">
        <x:v>No</x:v>
      </x:c>
      <x:c r="J242" s="47" t="str">
        <x:v>ELIGIBLE</x:v>
      </x:c>
      <x:c r="K242" s="47" t="str">
        <x:v>NOT_RUN</x:v>
      </x:c>
    </x:row>
    <x:row r="243">
      <x:c r="A243" s="47" t="str">
        <x:v>TRF-053</x:v>
      </x:c>
      <x:c r="B243" s="48" t="str">
        <x:v>Ice Class Regulations and the Application Thereof</x:v>
      </x:c>
      <x:c r="C243" s="47" t="str">
        <x:v>TRAFICOM/68863/03.04.01.00/2021</x:v>
      </x:c>
      <x:c r="D243" s="59" t="str">
        <x:v>21-22</x:v>
      </x:c>
      <x:c r="E243" s="47" t="str">
        <x:v>4.5.1</x:v>
      </x:c>
      <x:c r="F243" s="47" t="str">
        <x:v>Static Calculation</x:v>
      </x:c>
      <x:c r="G243" s="48" t="str">
        <x:v>Stage 2 candidate - direct/deterministic</x:v>
      </x:c>
      <x:c r="H243" s="47" t="str">
        <x:v>High</x:v>
      </x:c>
      <x:c r="I243" s="47" t="str">
        <x:v>No</x:v>
      </x:c>
      <x:c r="J243" s="47" t="str">
        <x:v>ELIGIBLE</x:v>
      </x:c>
      <x:c r="K243" s="47" t="str">
        <x:v>NOT_RUN</x:v>
      </x:c>
    </x:row>
    <x:row r="244">
      <x:c r="A244" s="47" t="str">
        <x:v>TRF-054</x:v>
      </x:c>
      <x:c r="B244" s="48" t="str">
        <x:v>Ice Class Regulations and the Application Thereof</x:v>
      </x:c>
      <x:c r="C244" s="47" t="str">
        <x:v>TRAFICOM/68863/03.04.01.00/2021</x:v>
      </x:c>
      <x:c r="D244" s="59" t="str">
        <x:v>22-23</x:v>
      </x:c>
      <x:c r="E244" s="47" t="str">
        <x:v>4.5.2</x:v>
      </x:c>
      <x:c r="F244" s="47" t="str">
        <x:v>Static Calculation</x:v>
      </x:c>
      <x:c r="G244" s="48" t="str">
        <x:v>Stage 2 candidate - direct/deterministic</x:v>
      </x:c>
      <x:c r="H244" s="47" t="str">
        <x:v>High</x:v>
      </x:c>
      <x:c r="I244" s="47" t="str">
        <x:v>No</x:v>
      </x:c>
      <x:c r="J244" s="47" t="str">
        <x:v>ELIGIBLE</x:v>
      </x:c>
      <x:c r="K244" s="47" t="str">
        <x:v>NOT_RUN</x:v>
      </x:c>
    </x:row>
    <x:row r="245">
      <x:c r="A245" s="47" t="str">
        <x:v>TRF-055</x:v>
      </x:c>
      <x:c r="B245" s="48" t="str">
        <x:v>Ice Class Regulations and the Application Thereof</x:v>
      </x:c>
      <x:c r="C245" s="47" t="str">
        <x:v>TRAFICOM/68863/03.04.01.00/2021</x:v>
      </x:c>
      <x:c r="D245" s="59" t="n">
        <x:v>23</x:v>
      </x:c>
      <x:c r="E245" s="47" t="str">
        <x:v>4.5.3</x:v>
      </x:c>
      <x:c r="F245" s="47" t="str">
        <x:v>Static</x:v>
      </x:c>
      <x:c r="G245" s="48" t="str">
        <x:v>Stage 2 candidate - direct/deterministic static verification</x:v>
      </x:c>
      <x:c r="H245" s="47" t="str">
        <x:v>Medium</x:v>
      </x:c>
      <x:c r="I245" s="47" t="str">
        <x:v>No</x:v>
      </x:c>
      <x:c r="J245" s="47" t="str">
        <x:v>ELIGIBLE</x:v>
      </x:c>
      <x:c r="K245" s="47" t="str">
        <x:v>NOT_RUN</x:v>
      </x:c>
    </x:row>
    <x:row r="246">
      <x:c r="A246" s="47" t="str">
        <x:v>TRF-056</x:v>
      </x:c>
      <x:c r="B246" s="48" t="str">
        <x:v>Ice Class Regulations and the Application Thereof</x:v>
      </x:c>
      <x:c r="C246" s="47" t="str">
        <x:v>TRAFICOM/68863/03.04.01.00/2021</x:v>
      </x:c>
      <x:c r="D246" s="59" t="n">
        <x:v>23</x:v>
      </x:c>
      <x:c r="E246" s="47" t="str">
        <x:v>4.5.3</x:v>
      </x:c>
      <x:c r="F246" s="47" t="str">
        <x:v>Static</x:v>
      </x:c>
      <x:c r="G246" s="48" t="str">
        <x:v>Stage 2 candidate - direct static</x:v>
      </x:c>
      <x:c r="H246" s="47" t="str">
        <x:v>Direct static</x:v>
      </x:c>
      <x:c r="I246" s="47" t="str">
        <x:v>No</x:v>
      </x:c>
      <x:c r="J246" s="47" t="str">
        <x:v>ELIGIBLE</x:v>
      </x:c>
      <x:c r="K246" s="47" t="str">
        <x:v>NOT_RUN</x:v>
      </x:c>
    </x:row>
    <x:row r="247">
      <x:c r="A247" s="47" t="str">
        <x:v>TRF-057</x:v>
      </x:c>
      <x:c r="B247" s="48" t="str">
        <x:v>Ice Class Regulations and the Application Thereof</x:v>
      </x:c>
      <x:c r="C247" s="47" t="str">
        <x:v>TRAFICOM/68863/03.04.01.00/2021</x:v>
      </x:c>
      <x:c r="D247" s="59" t="n">
        <x:v>23</x:v>
      </x:c>
      <x:c r="E247" s="47" t="str">
        <x:v>4.6.1</x:v>
      </x:c>
      <x:c r="F247" s="47" t="str">
        <x:v>Static Calculation</x:v>
      </x:c>
      <x:c r="G247" s="48" t="str">
        <x:v>Stage 2 candidate - direct/deterministic</x:v>
      </x:c>
      <x:c r="H247" s="47" t="str">
        <x:v>Medium</x:v>
      </x:c>
      <x:c r="I247" s="47" t="str">
        <x:v>No</x:v>
      </x:c>
      <x:c r="J247" s="47" t="str">
        <x:v>ELIGIBLE</x:v>
      </x:c>
      <x:c r="K247" s="47" t="str">
        <x:v>NOT_RUN</x:v>
      </x:c>
    </x:row>
    <x:row r="248">
      <x:c r="A248" s="47" t="str">
        <x:v>TRF-058</x:v>
      </x:c>
      <x:c r="B248" s="48" t="str">
        <x:v>Ice Class Regulations and the Application Thereof</x:v>
      </x:c>
      <x:c r="C248" s="47" t="str">
        <x:v>TRAFICOM/68863/03.04.01.00/2021</x:v>
      </x:c>
      <x:c r="D248" s="59" t="n">
        <x:v>23</x:v>
      </x:c>
      <x:c r="E248" s="47" t="str">
        <x:v>4.6.1</x:v>
      </x:c>
      <x:c r="F248" s="47" t="str">
        <x:v>Static Calculation</x:v>
      </x:c>
      <x:c r="G248" s="48" t="str">
        <x:v>Stage 2 candidate - direct/deterministic</x:v>
      </x:c>
      <x:c r="H248" s="47" t="str">
        <x:v>High</x:v>
      </x:c>
      <x:c r="I248" s="47" t="str">
        <x:v>No</x:v>
      </x:c>
      <x:c r="J248" s="47" t="str">
        <x:v>ELIGIBLE</x:v>
      </x:c>
      <x:c r="K248" s="47" t="str">
        <x:v>NOT_RUN</x:v>
      </x:c>
    </x:row>
    <x:row r="249">
      <x:c r="A249" s="47" t="str">
        <x:v>TRF-059</x:v>
      </x:c>
      <x:c r="B249" s="48" t="str">
        <x:v>Ice Class Regulations and the Application Thereof</x:v>
      </x:c>
      <x:c r="C249" s="47" t="str">
        <x:v>TRAFICOM/68863/03.04.01.00/2021</x:v>
      </x:c>
      <x:c r="D249" s="59" t="n">
        <x:v>23</x:v>
      </x:c>
      <x:c r="E249" s="47" t="str">
        <x:v>4.6.2</x:v>
      </x:c>
      <x:c r="F249" s="47" t="str">
        <x:v>Static Calculation</x:v>
      </x:c>
      <x:c r="G249" s="48" t="str">
        <x:v>Stage 2 candidate - direct/deterministic</x:v>
      </x:c>
      <x:c r="H249" s="47" t="str">
        <x:v>High</x:v>
      </x:c>
      <x:c r="I249" s="47" t="str">
        <x:v>No</x:v>
      </x:c>
      <x:c r="J249" s="47" t="str">
        <x:v>ELIGIBLE</x:v>
      </x:c>
      <x:c r="K249" s="47" t="str">
        <x:v>NOT_RUN</x:v>
      </x:c>
    </x:row>
    <x:row r="250">
      <x:c r="A250" s="47" t="str">
        <x:v>TRF-060</x:v>
      </x:c>
      <x:c r="B250" s="48" t="str">
        <x:v>Ice Class Regulations and the Application Thereof</x:v>
      </x:c>
      <x:c r="C250" s="47" t="str">
        <x:v>TRAFICOM/68863/03.04.01.00/2021</x:v>
      </x:c>
      <x:c r="D250" s="59" t="n">
        <x:v>24</x:v>
      </x:c>
      <x:c r="E250" s="47" t="str">
        <x:v>4.6.2</x:v>
      </x:c>
      <x:c r="F250" s="47" t="str">
        <x:v>Complex</x:v>
      </x:c>
      <x:c r="G250" s="48" t="str">
        <x:v>Stage 2 candidate - complex readiness</x:v>
      </x:c>
      <x:c r="H250" s="47" t="str">
        <x:v>Complex readiness</x:v>
      </x:c>
      <x:c r="I250" s="47" t="str">
        <x:v>No</x:v>
      </x:c>
      <x:c r="J250" s="47" t="str">
        <x:v>ELIGIBLE</x:v>
      </x:c>
      <x:c r="K250" s="47" t="str">
        <x:v>NOT_RUN</x:v>
      </x:c>
    </x:row>
    <x:row r="251">
      <x:c r="A251" s="47" t="str">
        <x:v>TRF-061</x:v>
      </x:c>
      <x:c r="B251" s="48" t="str">
        <x:v>Ice Class Regulations and the Application Thereof</x:v>
      </x:c>
      <x:c r="C251" s="47" t="str">
        <x:v>TRAFICOM/68863/03.04.01.00/2021</x:v>
      </x:c>
      <x:c r="D251" s="59" t="n">
        <x:v>25</x:v>
      </x:c>
      <x:c r="E251" s="47" t="str">
        <x:v>4.7</x:v>
      </x:c>
      <x:c r="F251" s="47" t="str">
        <x:v>Complex</x:v>
      </x:c>
      <x:c r="G251" s="48" t="str">
        <x:v>Deferred - composite/evidence workflow review</x:v>
      </x:c>
      <x:c r="H251" s="47" t="str">
        <x:v>Medium</x:v>
      </x:c>
      <x:c r="I251" s="47" t="str">
        <x:v>No</x:v>
      </x:c>
      <x:c r="J251" s="47" t="str">
        <x:v>DEFERRED</x:v>
      </x:c>
      <x:c r="K251" s="47" t="str">
        <x:v>NOT_RUN</x:v>
      </x:c>
    </x:row>
    <x:row r="252">
      <x:c r="A252" s="47" t="str">
        <x:v>TRF-062</x:v>
      </x:c>
      <x:c r="B252" s="48" t="str">
        <x:v>Ice Class Regulations and the Application Thereof</x:v>
      </x:c>
      <x:c r="C252" s="47" t="str">
        <x:v>TRAFICOM/68863/03.04.01.00/2021</x:v>
      </x:c>
      <x:c r="D252" s="59" t="n">
        <x:v>25</x:v>
      </x:c>
      <x:c r="E252" s="47" t="str">
        <x:v>4.8</x:v>
      </x:c>
      <x:c r="F252" s="47" t="str">
        <x:v>Static</x:v>
      </x:c>
      <x:c r="G252" s="48" t="str">
        <x:v>Stage 2 candidate - direct/deterministic</x:v>
      </x:c>
      <x:c r="H252" s="47" t="str">
        <x:v>High</x:v>
      </x:c>
      <x:c r="I252" s="47" t="str">
        <x:v>No</x:v>
      </x:c>
      <x:c r="J252" s="47" t="str">
        <x:v>ELIGIBLE</x:v>
      </x:c>
      <x:c r="K252" s="47" t="str">
        <x:v>NOT_RUN</x:v>
      </x:c>
    </x:row>
    <x:row r="253">
      <x:c r="A253" s="47" t="str">
        <x:v>TRF-063</x:v>
      </x:c>
      <x:c r="B253" s="48" t="str">
        <x:v>Ice Class Regulations and the Application Thereof</x:v>
      </x:c>
      <x:c r="C253" s="47" t="str">
        <x:v>TRAFICOM/68863/03.04.01.00/2021</x:v>
      </x:c>
      <x:c r="D253" s="59" t="n">
        <x:v>25</x:v>
      </x:c>
      <x:c r="E253" s="47" t="str">
        <x:v>4.8</x:v>
      </x:c>
      <x:c r="F253" s="47" t="str">
        <x:v>Static</x:v>
      </x:c>
      <x:c r="G253" s="48" t="str">
        <x:v>Stage 2 candidate - direct/deterministic</x:v>
      </x:c>
      <x:c r="H253" s="47" t="str">
        <x:v>High</x:v>
      </x:c>
      <x:c r="I253" s="47" t="str">
        <x:v>No</x:v>
      </x:c>
      <x:c r="J253" s="47" t="str">
        <x:v>ELIGIBLE</x:v>
      </x:c>
      <x:c r="K253" s="47" t="str">
        <x:v>NOT_RUN</x:v>
      </x:c>
    </x:row>
    <x:row r="254">
      <x:c r="A254" s="47" t="str">
        <x:v>TRF-064</x:v>
      </x:c>
      <x:c r="B254" s="48" t="str">
        <x:v>Ice Class Regulations and the Application Thereof</x:v>
      </x:c>
      <x:c r="C254" s="47" t="str">
        <x:v>TRAFICOM/68863/03.04.01.00/2021</x:v>
      </x:c>
      <x:c r="D254" s="59" t="n">
        <x:v>26</x:v>
      </x:c>
      <x:c r="E254" s="47" t="str">
        <x:v>4.8</x:v>
      </x:c>
      <x:c r="F254" s="47" t="str">
        <x:v>Static</x:v>
      </x:c>
      <x:c r="G254" s="48" t="str">
        <x:v>Stage 2 candidate - direct/deterministic</x:v>
      </x:c>
      <x:c r="H254" s="47" t="str">
        <x:v>High</x:v>
      </x:c>
      <x:c r="I254" s="47" t="str">
        <x:v>No</x:v>
      </x:c>
      <x:c r="J254" s="47" t="str">
        <x:v>ELIGIBLE</x:v>
      </x:c>
      <x:c r="K254" s="47" t="str">
        <x:v>NOT_RUN</x:v>
      </x:c>
    </x:row>
    <x:row r="255">
      <x:c r="A255" s="47" t="str">
        <x:v>TRF-065</x:v>
      </x:c>
      <x:c r="B255" s="48" t="str">
        <x:v>Ice Class Regulations and the Application Thereof</x:v>
      </x:c>
      <x:c r="C255" s="47" t="str">
        <x:v>TRAFICOM/68863/03.04.01.00/2021</x:v>
      </x:c>
      <x:c r="D255" s="59" t="n">
        <x:v>26</x:v>
      </x:c>
      <x:c r="E255" s="47" t="str">
        <x:v>5</x:v>
      </x:c>
      <x:c r="F255" s="47" t="str">
        <x:v>Complex</x:v>
      </x:c>
      <x:c r="G255" s="48" t="str">
        <x:v>Deferred - composite/evidence workflow review</x:v>
      </x:c>
      <x:c r="H255" s="47" t="str">
        <x:v>Medium</x:v>
      </x:c>
      <x:c r="I255" s="47" t="str">
        <x:v>No</x:v>
      </x:c>
      <x:c r="J255" s="47" t="str">
        <x:v>DEFERRED</x:v>
      </x:c>
      <x:c r="K255" s="47" t="str">
        <x:v>NOT_RUN</x:v>
      </x:c>
    </x:row>
    <x:row r="256">
      <x:c r="A256" s="47" t="str">
        <x:v>TRF-066</x:v>
      </x:c>
      <x:c r="B256" s="48" t="str">
        <x:v>Ice Class Regulations and the Application Thereof</x:v>
      </x:c>
      <x:c r="C256" s="47" t="str">
        <x:v>TRAFICOM/68863/03.04.01.00/2021</x:v>
      </x:c>
      <x:c r="D256" s="59" t="n">
        <x:v>26</x:v>
      </x:c>
      <x:c r="E256" s="47" t="str">
        <x:v>5</x:v>
      </x:c>
      <x:c r="F256" s="47" t="str">
        <x:v>Static</x:v>
      </x:c>
      <x:c r="G256" s="48" t="str">
        <x:v>Stage 2 candidate - direct/deterministic</x:v>
      </x:c>
      <x:c r="H256" s="47" t="str">
        <x:v>High</x:v>
      </x:c>
      <x:c r="I256" s="47" t="str">
        <x:v>No</x:v>
      </x:c>
      <x:c r="J256" s="47" t="str">
        <x:v>ELIGIBLE</x:v>
      </x:c>
      <x:c r="K256" s="47" t="str">
        <x:v>NOT_RUN</x:v>
      </x:c>
    </x:row>
    <x:row r="257">
      <x:c r="A257" s="47" t="str">
        <x:v>TRF-067</x:v>
      </x:c>
      <x:c r="B257" s="48" t="str">
        <x:v>Ice Class Regulations and the Application Thereof</x:v>
      </x:c>
      <x:c r="C257" s="47" t="str">
        <x:v>TRAFICOM/68863/03.04.01.00/2021</x:v>
      </x:c>
      <x:c r="D257" s="59" t="n">
        <x:v>26</x:v>
      </x:c>
      <x:c r="E257" s="47" t="str">
        <x:v>5</x:v>
      </x:c>
      <x:c r="F257" s="47" t="str">
        <x:v>Static</x:v>
      </x:c>
      <x:c r="G257" s="48" t="str">
        <x:v>Stage 2 candidate - direct/deterministic</x:v>
      </x:c>
      <x:c r="H257" s="47" t="str">
        <x:v>High</x:v>
      </x:c>
      <x:c r="I257" s="47" t="str">
        <x:v>No</x:v>
      </x:c>
      <x:c r="J257" s="47" t="str">
        <x:v>ELIGIBLE</x:v>
      </x:c>
      <x:c r="K257" s="47" t="str">
        <x:v>NOT_RUN</x:v>
      </x:c>
    </x:row>
    <x:row r="258">
      <x:c r="A258" s="47" t="str">
        <x:v>TRF-068</x:v>
      </x:c>
      <x:c r="B258" s="48" t="str">
        <x:v>Ice Class Regulations and the Application Thereof</x:v>
      </x:c>
      <x:c r="C258" s="47" t="str">
        <x:v>TRAFICOM/68863/03.04.01.00/2021</x:v>
      </x:c>
      <x:c r="D258" s="59" t="n">
        <x:v>26</x:v>
      </x:c>
      <x:c r="E258" s="47" t="str">
        <x:v>5</x:v>
      </x:c>
      <x:c r="F258" s="47" t="str">
        <x:v>Complex</x:v>
      </x:c>
      <x:c r="G258" s="48" t="str">
        <x:v>Deferred - composite/evidence workflow review</x:v>
      </x:c>
      <x:c r="H258" s="47" t="str">
        <x:v>High</x:v>
      </x:c>
      <x:c r="I258" s="47" t="str">
        <x:v>No</x:v>
      </x:c>
      <x:c r="J258" s="47" t="str">
        <x:v>DEFERRED</x:v>
      </x:c>
      <x:c r="K258" s="47" t="str">
        <x:v>NOT_RUN</x:v>
      </x:c>
    </x:row>
    <x:row r="259">
      <x:c r="A259" s="47" t="str">
        <x:v>TRF-069</x:v>
      </x:c>
      <x:c r="B259" s="48" t="str">
        <x:v>Ice Class Regulations and the Application Thereof</x:v>
      </x:c>
      <x:c r="C259" s="47" t="str">
        <x:v>TRAFICOM/68863/03.04.01.00/2021</x:v>
      </x:c>
      <x:c r="D259" s="59" t="n">
        <x:v>26</x:v>
      </x:c>
      <x:c r="E259" s="47" t="str">
        <x:v>6.1</x:v>
      </x:c>
      <x:c r="F259" s="47" t="str">
        <x:v>Static</x:v>
      </x:c>
      <x:c r="G259" s="48" t="str">
        <x:v>Stage 2 candidate - direct/deterministic</x:v>
      </x:c>
      <x:c r="H259" s="47" t="str">
        <x:v>High</x:v>
      </x:c>
      <x:c r="I259" s="47" t="str">
        <x:v>No</x:v>
      </x:c>
      <x:c r="J259" s="47" t="str">
        <x:v>ELIGIBLE</x:v>
      </x:c>
      <x:c r="K259" s="47" t="str">
        <x:v>NOT_RUN</x:v>
      </x:c>
    </x:row>
    <x:row r="260">
      <x:c r="A260" s="47" t="str">
        <x:v>TRF-070</x:v>
      </x:c>
      <x:c r="B260" s="48" t="str">
        <x:v>Ice Class Regulations and the Application Thereof</x:v>
      </x:c>
      <x:c r="C260" s="47" t="str">
        <x:v>TRAFICOM/68863/03.04.01.00/2021</x:v>
      </x:c>
      <x:c r="D260" s="59" t="str">
        <x:v>26-27</x:v>
      </x:c>
      <x:c r="E260" s="47" t="str">
        <x:v>6.1</x:v>
      </x:c>
      <x:c r="F260" s="47" t="str">
        <x:v>Complex</x:v>
      </x:c>
      <x:c r="G260" s="48" t="str">
        <x:v>Stage 2 candidate - complex readiness</x:v>
      </x:c>
      <x:c r="H260" s="47" t="str">
        <x:v>Complex readiness</x:v>
      </x:c>
      <x:c r="I260" s="47" t="str">
        <x:v>No</x:v>
      </x:c>
      <x:c r="J260" s="47" t="str">
        <x:v>ELIGIBLE</x:v>
      </x:c>
      <x:c r="K260" s="47" t="str">
        <x:v>NOT_RUN</x:v>
      </x:c>
    </x:row>
    <x:row r="261">
      <x:c r="A261" s="47" t="str">
        <x:v>TRF-072</x:v>
      </x:c>
      <x:c r="B261" s="48" t="str">
        <x:v>Ice Class Regulations and the Application Thereof</x:v>
      </x:c>
      <x:c r="C261" s="47" t="str">
        <x:v>TRAFICOM/68863/03.04.01.00/2021</x:v>
      </x:c>
      <x:c r="D261" s="59" t="n">
        <x:v>31</x:v>
      </x:c>
      <x:c r="E261" s="47" t="str">
        <x:v>6.4.1</x:v>
      </x:c>
      <x:c r="F261" s="47" t="str">
        <x:v>Physical Test</x:v>
      </x:c>
      <x:c r="G261" s="48" t="str">
        <x:v>Evidence-only - physical result not inferred by SHACL</x:v>
      </x:c>
      <x:c r="H261" s="47" t="str">
        <x:v>High</x:v>
      </x:c>
      <x:c r="I261" s="47" t="str">
        <x:v>No</x:v>
      </x:c>
      <x:c r="J261" s="47" t="str">
        <x:v>DEFERRED</x:v>
      </x:c>
      <x:c r="K261" s="47" t="str">
        <x:v>NOT_RUN</x:v>
      </x:c>
    </x:row>
    <x:row r="262">
      <x:c r="A262" s="47" t="str">
        <x:v>TRF-073</x:v>
      </x:c>
      <x:c r="B262" s="48" t="str">
        <x:v>Ice Class Regulations and the Application Thereof</x:v>
      </x:c>
      <x:c r="C262" s="47" t="str">
        <x:v>TRAFICOM/68863/03.04.01.00/2021</x:v>
      </x:c>
      <x:c r="D262" s="59" t="n">
        <x:v>31</x:v>
      </x:c>
      <x:c r="E262" s="47" t="str">
        <x:v>6.4.2</x:v>
      </x:c>
      <x:c r="F262" s="47" t="str">
        <x:v>Physical Test</x:v>
      </x:c>
      <x:c r="G262" s="48" t="str">
        <x:v>Evidence-only - physical result not inferred by SHACL</x:v>
      </x:c>
      <x:c r="H262" s="47" t="str">
        <x:v>High</x:v>
      </x:c>
      <x:c r="I262" s="47" t="str">
        <x:v>No</x:v>
      </x:c>
      <x:c r="J262" s="47" t="str">
        <x:v>DEFERRED</x:v>
      </x:c>
      <x:c r="K262" s="47" t="str">
        <x:v>NOT_RUN</x:v>
      </x:c>
    </x:row>
    <x:row r="263">
      <x:c r="A263" s="47" t="str">
        <x:v>TRF-074</x:v>
      </x:c>
      <x:c r="B263" s="48" t="str">
        <x:v>Ice Class Regulations and the Application Thereof</x:v>
      </x:c>
      <x:c r="C263" s="47" t="str">
        <x:v>TRAFICOM/68863/03.04.01.00/2021</x:v>
      </x:c>
      <x:c r="D263" s="59" t="n">
        <x:v>32</x:v>
      </x:c>
      <x:c r="E263" s="47" t="str">
        <x:v>6.5</x:v>
      </x:c>
      <x:c r="F263" s="47" t="str">
        <x:v>Static</x:v>
      </x:c>
      <x:c r="G263" s="48" t="str">
        <x:v>Stage 2 candidate - direct/deterministic</x:v>
      </x:c>
      <x:c r="H263" s="47" t="str">
        <x:v>High</x:v>
      </x:c>
      <x:c r="I263" s="47" t="str">
        <x:v>No</x:v>
      </x:c>
      <x:c r="J263" s="47" t="str">
        <x:v>ELIGIBLE</x:v>
      </x:c>
      <x:c r="K263" s="47" t="str">
        <x:v>NOT_RUN</x:v>
      </x:c>
    </x:row>
    <x:row r="264">
      <x:c r="A264" s="47" t="str">
        <x:v>TRF-075</x:v>
      </x:c>
      <x:c r="B264" s="48" t="str">
        <x:v>Ice Class Regulations and the Application Thereof</x:v>
      </x:c>
      <x:c r="C264" s="47" t="str">
        <x:v>TRAFICOM/68863/03.04.01.00/2021</x:v>
      </x:c>
      <x:c r="D264" s="59" t="n">
        <x:v>32</x:v>
      </x:c>
      <x:c r="E264" s="47" t="str">
        <x:v>6.5.1</x:v>
      </x:c>
      <x:c r="F264" s="47" t="str">
        <x:v>Static</x:v>
      </x:c>
      <x:c r="G264" s="48" t="str">
        <x:v>Stage 2 candidate - direct static</x:v>
      </x:c>
      <x:c r="H264" s="47" t="str">
        <x:v>Direct static</x:v>
      </x:c>
      <x:c r="I264" s="47" t="str">
        <x:v>No</x:v>
      </x:c>
      <x:c r="J264" s="47" t="str">
        <x:v>ELIGIBLE</x:v>
      </x:c>
      <x:c r="K264" s="47" t="str">
        <x:v>NOT_RUN</x:v>
      </x:c>
    </x:row>
    <x:row r="265">
      <x:c r="A265" s="47" t="str">
        <x:v>TRF-076</x:v>
      </x:c>
      <x:c r="B265" s="48" t="str">
        <x:v>Ice Class Regulations and the Application Thereof</x:v>
      </x:c>
      <x:c r="C265" s="47" t="str">
        <x:v>TRAFICOM/68863/03.04.01.00/2021</x:v>
      </x:c>
      <x:c r="D265" s="59" t="n">
        <x:v>32</x:v>
      </x:c>
      <x:c r="E265" s="47" t="str">
        <x:v>6.5.1.3</x:v>
      </x:c>
      <x:c r="F265" s="47" t="str">
        <x:v>Static</x:v>
      </x:c>
      <x:c r="G265" s="48" t="str">
        <x:v>Stage 2 candidate - direct/deterministic</x:v>
      </x:c>
      <x:c r="H265" s="47" t="str">
        <x:v>Medium</x:v>
      </x:c>
      <x:c r="I265" s="47" t="str">
        <x:v>No</x:v>
      </x:c>
      <x:c r="J265" s="47" t="str">
        <x:v>ELIGIBLE</x:v>
      </x:c>
      <x:c r="K265" s="47" t="str">
        <x:v>NOT_RUN</x:v>
      </x:c>
    </x:row>
    <x:row r="266">
      <x:c r="A266" s="47" t="str">
        <x:v>TRF-077</x:v>
      </x:c>
      <x:c r="B266" s="48" t="str">
        <x:v>Ice Class Regulations and the Application Thereof</x:v>
      </x:c>
      <x:c r="C266" s="47" t="str">
        <x:v>TRAFICOM/68863/03.04.01.00/2021</x:v>
      </x:c>
      <x:c r="D266" s="59" t="n">
        <x:v>36</x:v>
      </x:c>
      <x:c r="E266" s="47" t="str">
        <x:v>6.5.1.8</x:v>
      </x:c>
      <x:c r="F266" s="47" t="str">
        <x:v>Static</x:v>
      </x:c>
      <x:c r="G266" s="48" t="str">
        <x:v>Stage 2 candidate - direct static</x:v>
      </x:c>
      <x:c r="H266" s="47" t="str">
        <x:v>Direct static</x:v>
      </x:c>
      <x:c r="I266" s="47" t="str">
        <x:v>No</x:v>
      </x:c>
      <x:c r="J266" s="47" t="str">
        <x:v>ELIGIBLE</x:v>
      </x:c>
      <x:c r="K266" s="47" t="str">
        <x:v>NOT_RUN</x:v>
      </x:c>
    </x:row>
    <x:row r="267">
      <x:c r="A267" s="47" t="str">
        <x:v>TRF-078</x:v>
      </x:c>
      <x:c r="B267" s="48" t="str">
        <x:v>Ice Class Regulations and the Application Thereof</x:v>
      </x:c>
      <x:c r="C267" s="47" t="str">
        <x:v>TRAFICOM/68863/03.04.01.00/2021</x:v>
      </x:c>
      <x:c r="D267" s="59" t="n">
        <x:v>36</x:v>
      </x:c>
      <x:c r="E267" s="47" t="str">
        <x:v>6.5.1.9</x:v>
      </x:c>
      <x:c r="F267" s="47" t="str">
        <x:v>Static Calculation</x:v>
      </x:c>
      <x:c r="G267" s="48" t="str">
        <x:v>Stage 2 candidate - direct/deterministic</x:v>
      </x:c>
      <x:c r="H267" s="47" t="str">
        <x:v>Medium</x:v>
      </x:c>
      <x:c r="I267" s="47" t="str">
        <x:v>No</x:v>
      </x:c>
      <x:c r="J267" s="47" t="str">
        <x:v>ELIGIBLE</x:v>
      </x:c>
      <x:c r="K267" s="47" t="str">
        <x:v>NOT_RUN</x:v>
      </x:c>
    </x:row>
    <x:row r="268">
      <x:c r="A268" s="47" t="str">
        <x:v>TRF-079</x:v>
      </x:c>
      <x:c r="B268" s="48" t="str">
        <x:v>Ice Class Regulations and the Application Thereof</x:v>
      </x:c>
      <x:c r="C268" s="47" t="str">
        <x:v>TRAFICOM/68863/03.04.01.00/2021</x:v>
      </x:c>
      <x:c r="D268" s="59" t="n">
        <x:v>37</x:v>
      </x:c>
      <x:c r="E268" s="47" t="str">
        <x:v>6.5.1.9</x:v>
      </x:c>
      <x:c r="F268" s="47" t="str">
        <x:v>Static Calculation</x:v>
      </x:c>
      <x:c r="G268" s="48" t="str">
        <x:v>Stage 2 candidate - direct/deterministic</x:v>
      </x:c>
      <x:c r="H268" s="47" t="str">
        <x:v>Medium</x:v>
      </x:c>
      <x:c r="I268" s="47" t="str">
        <x:v>No</x:v>
      </x:c>
      <x:c r="J268" s="47" t="str">
        <x:v>ELIGIBLE</x:v>
      </x:c>
      <x:c r="K268" s="47" t="str">
        <x:v>NOT_RUN</x:v>
      </x:c>
    </x:row>
    <x:row r="269">
      <x:c r="A269" s="47" t="str">
        <x:v>TRF-080</x:v>
      </x:c>
      <x:c r="B269" s="48" t="str">
        <x:v>Ice Class Regulations and the Application Thereof</x:v>
      </x:c>
      <x:c r="C269" s="47" t="str">
        <x:v>TRAFICOM/68863/03.04.01.00/2021</x:v>
      </x:c>
      <x:c r="D269" s="59" t="n">
        <x:v>37</x:v>
      </x:c>
      <x:c r="E269" s="47" t="str">
        <x:v>6.5.1.9</x:v>
      </x:c>
      <x:c r="F269" s="47" t="str">
        <x:v>Static Calculation</x:v>
      </x:c>
      <x:c r="G269" s="48" t="str">
        <x:v>Stage 2 candidate - direct calculation</x:v>
      </x:c>
      <x:c r="H269" s="47" t="str">
        <x:v>Direct calculation</x:v>
      </x:c>
      <x:c r="I269" s="47" t="str">
        <x:v>No</x:v>
      </x:c>
      <x:c r="J269" s="47" t="str">
        <x:v>ELIGIBLE</x:v>
      </x:c>
      <x:c r="K269" s="47" t="str">
        <x:v>NOT_RUN</x:v>
      </x:c>
    </x:row>
    <x:row r="270">
      <x:c r="A270" s="47" t="str">
        <x:v>TRF-081</x:v>
      </x:c>
      <x:c r="B270" s="48" t="str">
        <x:v>Ice Class Regulations and the Application Thereof</x:v>
      </x:c>
      <x:c r="C270" s="47" t="str">
        <x:v>TRAFICOM/68863/03.04.01.00/2021</x:v>
      </x:c>
      <x:c r="D270" s="59" t="n">
        <x:v>37</x:v>
      </x:c>
      <x:c r="E270" s="47" t="str">
        <x:v>6.5.2.1-6.5.2.2</x:v>
      </x:c>
      <x:c r="F270" s="47" t="str">
        <x:v>Static Calculation</x:v>
      </x:c>
      <x:c r="G270" s="48" t="str">
        <x:v>Stage 2 candidate - direct/deterministic</x:v>
      </x:c>
      <x:c r="H270" s="47" t="str">
        <x:v>High</x:v>
      </x:c>
      <x:c r="I270" s="47" t="str">
        <x:v>No</x:v>
      </x:c>
      <x:c r="J270" s="47" t="str">
        <x:v>ELIGIBLE</x:v>
      </x:c>
      <x:c r="K270" s="47" t="str">
        <x:v>NOT_RUN</x:v>
      </x:c>
    </x:row>
    <x:row r="271">
      <x:c r="A271" s="47" t="str">
        <x:v>TRF-082</x:v>
      </x:c>
      <x:c r="B271" s="48" t="str">
        <x:v>Ice Class Regulations and the Application Thereof</x:v>
      </x:c>
      <x:c r="C271" s="47" t="str">
        <x:v>TRAFICOM/68863/03.04.01.00/2021</x:v>
      </x:c>
      <x:c r="D271" s="59" t="n">
        <x:v>37</x:v>
      </x:c>
      <x:c r="E271" s="47" t="str">
        <x:v>6.5.2.2</x:v>
      </x:c>
      <x:c r="F271" s="47" t="str">
        <x:v>Static</x:v>
      </x:c>
      <x:c r="G271" s="48" t="str">
        <x:v>Stage 2 candidate - direct/deterministic</x:v>
      </x:c>
      <x:c r="H271" s="47" t="str">
        <x:v>Medium</x:v>
      </x:c>
      <x:c r="I271" s="47" t="str">
        <x:v>No</x:v>
      </x:c>
      <x:c r="J271" s="47" t="str">
        <x:v>ELIGIBLE</x:v>
      </x:c>
      <x:c r="K271" s="47" t="str">
        <x:v>NOT_RUN</x:v>
      </x:c>
    </x:row>
    <x:row r="272">
      <x:c r="A272" s="47" t="str">
        <x:v>TRF-083</x:v>
      </x:c>
      <x:c r="B272" s="48" t="str">
        <x:v>Ice Class Regulations and the Application Thereof</x:v>
      </x:c>
      <x:c r="C272" s="47" t="str">
        <x:v>TRAFICOM/68863/03.04.01.00/2021</x:v>
      </x:c>
      <x:c r="D272" s="59" t="n">
        <x:v>38</x:v>
      </x:c>
      <x:c r="E272" s="47" t="str">
        <x:v>6.5.3.1</x:v>
      </x:c>
      <x:c r="F272" s="47" t="str">
        <x:v>Static</x:v>
      </x:c>
      <x:c r="G272" s="48" t="str">
        <x:v>Stage 2 candidate - direct/deterministic</x:v>
      </x:c>
      <x:c r="H272" s="47" t="str">
        <x:v>Medium</x:v>
      </x:c>
      <x:c r="I272" s="47" t="str">
        <x:v>No</x:v>
      </x:c>
      <x:c r="J272" s="47" t="str">
        <x:v>ELIGIBLE</x:v>
      </x:c>
      <x:c r="K272" s="47" t="str">
        <x:v>NOT_RUN</x:v>
      </x:c>
    </x:row>
    <x:row r="273">
      <x:c r="A273" s="47" t="str">
        <x:v>TRF-084</x:v>
      </x:c>
      <x:c r="B273" s="48" t="str">
        <x:v>Ice Class Regulations and the Application Thereof</x:v>
      </x:c>
      <x:c r="C273" s="47" t="str">
        <x:v>TRAFICOM/68863/03.04.01.00/2021</x:v>
      </x:c>
      <x:c r="D273" s="59" t="n">
        <x:v>38</x:v>
      </x:c>
      <x:c r="E273" s="47" t="str">
        <x:v>6.5.3.1</x:v>
      </x:c>
      <x:c r="F273" s="47" t="str">
        <x:v>Static Calculation</x:v>
      </x:c>
      <x:c r="G273" s="48" t="str">
        <x:v>Stage 2 candidate - direct calculation</x:v>
      </x:c>
      <x:c r="H273" s="47" t="str">
        <x:v>Direct calculation</x:v>
      </x:c>
      <x:c r="I273" s="47" t="str">
        <x:v>No</x:v>
      </x:c>
      <x:c r="J273" s="47" t="str">
        <x:v>ELIGIBLE</x:v>
      </x:c>
      <x:c r="K273" s="47" t="str">
        <x:v>NOT_RUN</x:v>
      </x:c>
    </x:row>
    <x:row r="274">
      <x:c r="A274" s="47" t="str">
        <x:v>TRF-085</x:v>
      </x:c>
      <x:c r="B274" s="48" t="str">
        <x:v>Ice Class Regulations and the Application Thereof</x:v>
      </x:c>
      <x:c r="C274" s="47" t="str">
        <x:v>TRAFICOM/68863/03.04.01.00/2021</x:v>
      </x:c>
      <x:c r="D274" s="59" t="n">
        <x:v>39</x:v>
      </x:c>
      <x:c r="E274" s="47" t="str">
        <x:v>6.5.3.2</x:v>
      </x:c>
      <x:c r="F274" s="47" t="str">
        <x:v>Static</x:v>
      </x:c>
      <x:c r="G274" s="48" t="str">
        <x:v>Stage 2 candidate - direct/deterministic</x:v>
      </x:c>
      <x:c r="H274" s="47" t="str">
        <x:v>Medium</x:v>
      </x:c>
      <x:c r="I274" s="47" t="str">
        <x:v>No</x:v>
      </x:c>
      <x:c r="J274" s="47" t="str">
        <x:v>ELIGIBLE</x:v>
      </x:c>
      <x:c r="K274" s="47" t="str">
        <x:v>NOT_RUN</x:v>
      </x:c>
    </x:row>
    <x:row r="275">
      <x:c r="A275" s="47" t="str">
        <x:v>TRF-086</x:v>
      </x:c>
      <x:c r="B275" s="48" t="str">
        <x:v>Ice Class Regulations and the Application Thereof</x:v>
      </x:c>
      <x:c r="C275" s="47" t="str">
        <x:v>TRAFICOM/68863/03.04.01.00/2021</x:v>
      </x:c>
      <x:c r="D275" s="59" t="n">
        <x:v>39</x:v>
      </x:c>
      <x:c r="E275" s="47" t="str">
        <x:v>6.5.3.2</x:v>
      </x:c>
      <x:c r="F275" s="47" t="str">
        <x:v>Static Calculation</x:v>
      </x:c>
      <x:c r="G275" s="48" t="str">
        <x:v>Stage 2 candidate - direct calculation</x:v>
      </x:c>
      <x:c r="H275" s="47" t="str">
        <x:v>Direct calculation</x:v>
      </x:c>
      <x:c r="I275" s="47" t="str">
        <x:v>No</x:v>
      </x:c>
      <x:c r="J275" s="47" t="str">
        <x:v>ELIGIBLE</x:v>
      </x:c>
      <x:c r="K275" s="47" t="str">
        <x:v>NOT_RUN</x:v>
      </x:c>
    </x:row>
    <x:row r="276">
      <x:c r="A276" s="47" t="str">
        <x:v>TRF-087</x:v>
      </x:c>
      <x:c r="B276" s="48" t="str">
        <x:v>Ice Class Regulations and the Application Thereof</x:v>
      </x:c>
      <x:c r="C276" s="47" t="str">
        <x:v>TRAFICOM/68863/03.04.01.00/2021</x:v>
      </x:c>
      <x:c r="D276" s="59" t="n">
        <x:v>39</x:v>
      </x:c>
      <x:c r="E276" s="47" t="str">
        <x:v>6.5.3.3</x:v>
      </x:c>
      <x:c r="F276" s="47" t="str">
        <x:v>Static</x:v>
      </x:c>
      <x:c r="G276" s="48" t="str">
        <x:v>Stage 2 candidate - direct/deterministic</x:v>
      </x:c>
      <x:c r="H276" s="47" t="str">
        <x:v>High</x:v>
      </x:c>
      <x:c r="I276" s="47" t="str">
        <x:v>No</x:v>
      </x:c>
      <x:c r="J276" s="47" t="str">
        <x:v>ELIGIBLE</x:v>
      </x:c>
      <x:c r="K276" s="47" t="str">
        <x:v>NOT_RUN</x:v>
      </x:c>
    </x:row>
    <x:row r="277">
      <x:c r="A277" s="47" t="str">
        <x:v>TRF-088</x:v>
      </x:c>
      <x:c r="B277" s="48" t="str">
        <x:v>Ice Class Regulations and the Application Thereof</x:v>
      </x:c>
      <x:c r="C277" s="47" t="str">
        <x:v>TRAFICOM/68863/03.04.01.00/2021</x:v>
      </x:c>
      <x:c r="D277" s="59" t="n">
        <x:v>39</x:v>
      </x:c>
      <x:c r="E277" s="47" t="str">
        <x:v>6.5.3.3</x:v>
      </x:c>
      <x:c r="F277" s="47" t="str">
        <x:v>Static</x:v>
      </x:c>
      <x:c r="G277" s="48" t="str">
        <x:v>Stage 2 candidate - direct static</x:v>
      </x:c>
      <x:c r="H277" s="47" t="str">
        <x:v>Direct static</x:v>
      </x:c>
      <x:c r="I277" s="47" t="str">
        <x:v>No</x:v>
      </x:c>
      <x:c r="J277" s="47" t="str">
        <x:v>ELIGIBLE</x:v>
      </x:c>
      <x:c r="K277" s="47" t="str">
        <x:v>NOT_RUN</x:v>
      </x:c>
    </x:row>
    <x:row r="278">
      <x:c r="A278" s="47" t="str">
        <x:v>TRF-089</x:v>
      </x:c>
      <x:c r="B278" s="48" t="str">
        <x:v>Ice Class Regulations and the Application Thereof</x:v>
      </x:c>
      <x:c r="C278" s="47" t="str">
        <x:v>TRAFICOM/68863/03.04.01.00/2021</x:v>
      </x:c>
      <x:c r="D278" s="59" t="n">
        <x:v>39</x:v>
      </x:c>
      <x:c r="E278" s="47" t="str">
        <x:v>6.5.3.4</x:v>
      </x:c>
      <x:c r="F278" s="47" t="str">
        <x:v>Dynamic</x:v>
      </x:c>
      <x:c r="G278" s="48" t="str">
        <x:v>Deferred - observation/history/simulation design required</x:v>
      </x:c>
      <x:c r="H278" s="47" t="str">
        <x:v>Medium</x:v>
      </x:c>
      <x:c r="I278" s="47" t="str">
        <x:v>No</x:v>
      </x:c>
      <x:c r="J278" s="47" t="str">
        <x:v>DEFERRED</x:v>
      </x:c>
      <x:c r="K278" s="47" t="str">
        <x:v>NOT_RUN</x:v>
      </x:c>
    </x:row>
    <x:row r="279">
      <x:c r="A279" s="47" t="str">
        <x:v>TRF-090</x:v>
      </x:c>
      <x:c r="B279" s="48" t="str">
        <x:v>Ice Class Regulations and the Application Thereof</x:v>
      </x:c>
      <x:c r="C279" s="47" t="str">
        <x:v>TRAFICOM/68863/03.04.01.00/2021</x:v>
      </x:c>
      <x:c r="D279" s="59" t="n">
        <x:v>40</x:v>
      </x:c>
      <x:c r="E279" s="47" t="str">
        <x:v>6.5.3.4</x:v>
      </x:c>
      <x:c r="F279" s="47" t="str">
        <x:v>Dynamic</x:v>
      </x:c>
      <x:c r="G279" s="48" t="str">
        <x:v>Deferred - observation/history/simulation design required</x:v>
      </x:c>
      <x:c r="H279" s="47" t="str">
        <x:v>Medium</x:v>
      </x:c>
      <x:c r="I279" s="47" t="str">
        <x:v>No</x:v>
      </x:c>
      <x:c r="J279" s="47" t="str">
        <x:v>DEFERRED</x:v>
      </x:c>
      <x:c r="K279" s="47" t="str">
        <x:v>NOT_RUN</x:v>
      </x:c>
    </x:row>
    <x:row r="280">
      <x:c r="A280" s="47" t="str">
        <x:v>TRF-091</x:v>
      </x:c>
      <x:c r="B280" s="48" t="str">
        <x:v>Ice Class Regulations and the Application Thereof</x:v>
      </x:c>
      <x:c r="C280" s="47" t="str">
        <x:v>TRAFICOM/68863/03.04.01.00/2021</x:v>
      </x:c>
      <x:c r="D280" s="59" t="n">
        <x:v>40</x:v>
      </x:c>
      <x:c r="E280" s="47" t="str">
        <x:v>6.5.3.4</x:v>
      </x:c>
      <x:c r="F280" s="47" t="str">
        <x:v>Static</x:v>
      </x:c>
      <x:c r="G280" s="48" t="str">
        <x:v>Stage 2 candidate - direct/deterministic</x:v>
      </x:c>
      <x:c r="H280" s="47" t="str">
        <x:v>High</x:v>
      </x:c>
      <x:c r="I280" s="47" t="str">
        <x:v>No</x:v>
      </x:c>
      <x:c r="J280" s="47" t="str">
        <x:v>ELIGIBLE</x:v>
      </x:c>
      <x:c r="K280" s="47" t="str">
        <x:v>NOT_RUN</x:v>
      </x:c>
    </x:row>
    <x:row r="281">
      <x:c r="A281" s="47" t="str">
        <x:v>TRF-092</x:v>
      </x:c>
      <x:c r="B281" s="48" t="str">
        <x:v>Ice Class Regulations and the Application Thereof</x:v>
      </x:c>
      <x:c r="C281" s="47" t="str">
        <x:v>TRAFICOM/68863/03.04.01.00/2021</x:v>
      </x:c>
      <x:c r="D281" s="59" t="n">
        <x:v>40</x:v>
      </x:c>
      <x:c r="E281" s="47" t="str">
        <x:v>6.5.3.4</x:v>
      </x:c>
      <x:c r="F281" s="47" t="str">
        <x:v>Dynamic</x:v>
      </x:c>
      <x:c r="G281" s="48" t="str">
        <x:v>Deferred - observation/history/simulation design required</x:v>
      </x:c>
      <x:c r="H281" s="47" t="str">
        <x:v>Deferred</x:v>
      </x:c>
      <x:c r="I281" s="47" t="str">
        <x:v>No</x:v>
      </x:c>
      <x:c r="J281" s="47" t="str">
        <x:v>DEFERRED</x:v>
      </x:c>
      <x:c r="K281" s="47" t="str">
        <x:v>NOT_RUN</x:v>
      </x:c>
    </x:row>
    <x:row r="282">
      <x:c r="A282" s="47" t="str">
        <x:v>TRF-093</x:v>
      </x:c>
      <x:c r="B282" s="48" t="str">
        <x:v>Ice Class Regulations and the Application Thereof</x:v>
      </x:c>
      <x:c r="C282" s="47" t="str">
        <x:v>TRAFICOM/68863/03.04.01.00/2021</x:v>
      </x:c>
      <x:c r="D282" s="59" t="n">
        <x:v>40</x:v>
      </x:c>
      <x:c r="E282" s="47" t="str">
        <x:v>6.5.3.4</x:v>
      </x:c>
      <x:c r="F282" s="47" t="str">
        <x:v>Dynamic</x:v>
      </x:c>
      <x:c r="G282" s="48" t="str">
        <x:v>Deferred - observation/history/simulation design required</x:v>
      </x:c>
      <x:c r="H282" s="47" t="str">
        <x:v>Medium</x:v>
      </x:c>
      <x:c r="I282" s="47" t="str">
        <x:v>No</x:v>
      </x:c>
      <x:c r="J282" s="47" t="str">
        <x:v>DEFERRED</x:v>
      </x:c>
      <x:c r="K282" s="47" t="str">
        <x:v>NOT_RUN</x:v>
      </x:c>
    </x:row>
    <x:row r="283">
      <x:c r="A283" s="47" t="str">
        <x:v>TRF-094</x:v>
      </x:c>
      <x:c r="B283" s="48" t="str">
        <x:v>Ice Class Regulations and the Application Thereof</x:v>
      </x:c>
      <x:c r="C283" s="47" t="str">
        <x:v>TRAFICOM/68863/03.04.01.00/2021</x:v>
      </x:c>
      <x:c r="D283" s="59" t="n">
        <x:v>40</x:v>
      </x:c>
      <x:c r="E283" s="47" t="str">
        <x:v>6.5.3.4</x:v>
      </x:c>
      <x:c r="F283" s="47" t="str">
        <x:v>Dynamic</x:v>
      </x:c>
      <x:c r="G283" s="48" t="str">
        <x:v>Deferred - observation/history/simulation design required</x:v>
      </x:c>
      <x:c r="H283" s="47" t="str">
        <x:v>Medium</x:v>
      </x:c>
      <x:c r="I283" s="47" t="str">
        <x:v>No</x:v>
      </x:c>
      <x:c r="J283" s="47" t="str">
        <x:v>DEFERRED</x:v>
      </x:c>
      <x:c r="K283" s="47" t="str">
        <x:v>NOT_RUN</x:v>
      </x:c>
    </x:row>
    <x:row r="284">
      <x:c r="A284" s="47" t="str">
        <x:v>TRF-095</x:v>
      </x:c>
      <x:c r="B284" s="48" t="str">
        <x:v>Ice Class Regulations and the Application Thereof</x:v>
      </x:c>
      <x:c r="C284" s="47" t="str">
        <x:v>TRAFICOM/68863/03.04.01.00/2021</x:v>
      </x:c>
      <x:c r="D284" s="59" t="n">
        <x:v>40</x:v>
      </x:c>
      <x:c r="E284" s="47" t="str">
        <x:v>6.5.3.4</x:v>
      </x:c>
      <x:c r="F284" s="47" t="str">
        <x:v>Dynamic</x:v>
      </x:c>
      <x:c r="G284" s="48" t="str">
        <x:v>Deferred - observation/history/simulation design required</x:v>
      </x:c>
      <x:c r="H284" s="47" t="str">
        <x:v>Medium</x:v>
      </x:c>
      <x:c r="I284" s="47" t="str">
        <x:v>No</x:v>
      </x:c>
      <x:c r="J284" s="47" t="str">
        <x:v>DEFERRED</x:v>
      </x:c>
      <x:c r="K284" s="47" t="str">
        <x:v>NOT_RUN</x:v>
      </x:c>
    </x:row>
    <x:row r="285">
      <x:c r="A285" s="47" t="str">
        <x:v>TRF-096</x:v>
      </x:c>
      <x:c r="B285" s="48" t="str">
        <x:v>Ice Class Regulations and the Application Thereof</x:v>
      </x:c>
      <x:c r="C285" s="47" t="str">
        <x:v>TRAFICOM/68863/03.04.01.00/2021</x:v>
      </x:c>
      <x:c r="D285" s="59" t="n">
        <x:v>41</x:v>
      </x:c>
      <x:c r="E285" s="47" t="str">
        <x:v>6.5.3.4</x:v>
      </x:c>
      <x:c r="F285" s="47" t="str">
        <x:v>Dynamic</x:v>
      </x:c>
      <x:c r="G285" s="48" t="str">
        <x:v>Deferred - observation/history/simulation design required</x:v>
      </x:c>
      <x:c r="H285" s="47" t="str">
        <x:v>Deferred</x:v>
      </x:c>
      <x:c r="I285" s="47" t="str">
        <x:v>No</x:v>
      </x:c>
      <x:c r="J285" s="47" t="str">
        <x:v>DEFERRED</x:v>
      </x:c>
      <x:c r="K285" s="47" t="str">
        <x:v>NOT_RUN</x:v>
      </x:c>
    </x:row>
    <x:row r="286">
      <x:c r="A286" s="47" t="str">
        <x:v>TRF-097</x:v>
      </x:c>
      <x:c r="B286" s="48" t="str">
        <x:v>Ice Class Regulations and the Application Thereof</x:v>
      </x:c>
      <x:c r="C286" s="47" t="str">
        <x:v>TRAFICOM/68863/03.04.01.00/2021</x:v>
      </x:c>
      <x:c r="D286" s="59" t="str">
        <x:v>43-44</x:v>
      </x:c>
      <x:c r="E286" s="47" t="str">
        <x:v>6.5.3.4</x:v>
      </x:c>
      <x:c r="F286" s="47" t="str">
        <x:v>Dynamic</x:v>
      </x:c>
      <x:c r="G286" s="48" t="str">
        <x:v>Deferred - observation/history/simulation design required</x:v>
      </x:c>
      <x:c r="H286" s="47" t="str">
        <x:v>Medium</x:v>
      </x:c>
      <x:c r="I286" s="47" t="str">
        <x:v>No</x:v>
      </x:c>
      <x:c r="J286" s="47" t="str">
        <x:v>DEFERRED</x:v>
      </x:c>
      <x:c r="K286" s="47" t="str">
        <x:v>NOT_RUN</x:v>
      </x:c>
    </x:row>
    <x:row r="287">
      <x:c r="A287" s="47" t="str">
        <x:v>TRF-098</x:v>
      </x:c>
      <x:c r="B287" s="48" t="str">
        <x:v>Ice Class Regulations and the Application Thereof</x:v>
      </x:c>
      <x:c r="C287" s="47" t="str">
        <x:v>TRAFICOM/68863/03.04.01.00/2021</x:v>
      </x:c>
      <x:c r="D287" s="59" t="n">
        <x:v>44</x:v>
      </x:c>
      <x:c r="E287" s="47" t="str">
        <x:v>6.5.3.4</x:v>
      </x:c>
      <x:c r="F287" s="47" t="str">
        <x:v>Dynamic</x:v>
      </x:c>
      <x:c r="G287" s="48" t="str">
        <x:v>Deferred - observation/history/simulation design required</x:v>
      </x:c>
      <x:c r="H287" s="47" t="str">
        <x:v>Medium</x:v>
      </x:c>
      <x:c r="I287" s="47" t="str">
        <x:v>No</x:v>
      </x:c>
      <x:c r="J287" s="47" t="str">
        <x:v>DEFERRED</x:v>
      </x:c>
      <x:c r="K287" s="47" t="str">
        <x:v>NOT_RUN</x:v>
      </x:c>
    </x:row>
    <x:row r="288">
      <x:c r="A288" s="47" t="str">
        <x:v>TRF-099</x:v>
      </x:c>
      <x:c r="B288" s="48" t="str">
        <x:v>Ice Class Regulations and the Application Thereof</x:v>
      </x:c>
      <x:c r="C288" s="47" t="str">
        <x:v>TRAFICOM/68863/03.04.01.00/2021</x:v>
      </x:c>
      <x:c r="D288" s="59" t="n">
        <x:v>45</x:v>
      </x:c>
      <x:c r="E288" s="47" t="str">
        <x:v>6.5.3.4</x:v>
      </x:c>
      <x:c r="F288" s="47" t="str">
        <x:v>Dynamic</x:v>
      </x:c>
      <x:c r="G288" s="48" t="str">
        <x:v>Deferred - observation/history/simulation design required</x:v>
      </x:c>
      <x:c r="H288" s="47" t="str">
        <x:v>Medium</x:v>
      </x:c>
      <x:c r="I288" s="47" t="str">
        <x:v>No</x:v>
      </x:c>
      <x:c r="J288" s="47" t="str">
        <x:v>DEFERRED</x:v>
      </x:c>
      <x:c r="K288" s="47" t="str">
        <x:v>NOT_RUN</x:v>
      </x:c>
    </x:row>
    <x:row r="289">
      <x:c r="A289" s="47" t="str">
        <x:v>TRF-100</x:v>
      </x:c>
      <x:c r="B289" s="48" t="str">
        <x:v>Ice Class Regulations and the Application Thereof</x:v>
      </x:c>
      <x:c r="C289" s="47" t="str">
        <x:v>TRAFICOM/68863/03.04.01.00/2021</x:v>
      </x:c>
      <x:c r="D289" s="59" t="n">
        <x:v>45</x:v>
      </x:c>
      <x:c r="E289" s="47" t="str">
        <x:v>6.5.3.4</x:v>
      </x:c>
      <x:c r="F289" s="47" t="str">
        <x:v>Dynamic</x:v>
      </x:c>
      <x:c r="G289" s="48" t="str">
        <x:v>Deferred - observation/history/simulation design required</x:v>
      </x:c>
      <x:c r="H289" s="47" t="str">
        <x:v>Medium</x:v>
      </x:c>
      <x:c r="I289" s="47" t="str">
        <x:v>No</x:v>
      </x:c>
      <x:c r="J289" s="47" t="str">
        <x:v>DEFERRED</x:v>
      </x:c>
      <x:c r="K289" s="47" t="str">
        <x:v>NOT_RUN</x:v>
      </x:c>
    </x:row>
    <x:row r="290">
      <x:c r="A290" s="47" t="str">
        <x:v>TRF-101</x:v>
      </x:c>
      <x:c r="B290" s="48" t="str">
        <x:v>Ice Class Regulations and the Application Thereof</x:v>
      </x:c>
      <x:c r="C290" s="47" t="str">
        <x:v>TRAFICOM/68863/03.04.01.00/2021</x:v>
      </x:c>
      <x:c r="D290" s="59" t="str">
        <x:v>45-46</x:v>
      </x:c>
      <x:c r="E290" s="47" t="str">
        <x:v>6.5.4.1</x:v>
      </x:c>
      <x:c r="F290" s="47" t="str">
        <x:v>Static Calculation</x:v>
      </x:c>
      <x:c r="G290" s="48" t="str">
        <x:v>Stage 2 candidate - direct/deterministic</x:v>
      </x:c>
      <x:c r="H290" s="47" t="str">
        <x:v>Medium</x:v>
      </x:c>
      <x:c r="I290" s="47" t="str">
        <x:v>No</x:v>
      </x:c>
      <x:c r="J290" s="47" t="str">
        <x:v>ELIGIBLE</x:v>
      </x:c>
      <x:c r="K290" s="47" t="str">
        <x:v>NOT_RUN</x:v>
      </x:c>
    </x:row>
    <x:row r="291">
      <x:c r="A291" s="47" t="str">
        <x:v>TRF-102</x:v>
      </x:c>
      <x:c r="B291" s="48" t="str">
        <x:v>Ice Class Regulations and the Application Thereof</x:v>
      </x:c>
      <x:c r="C291" s="47" t="str">
        <x:v>TRAFICOM/68863/03.04.01.00/2021</x:v>
      </x:c>
      <x:c r="D291" s="59" t="n">
        <x:v>46</x:v>
      </x:c>
      <x:c r="E291" s="47" t="str">
        <x:v>6.5.4.2</x:v>
      </x:c>
      <x:c r="F291" s="47" t="str">
        <x:v>Static Calculation</x:v>
      </x:c>
      <x:c r="G291" s="48" t="str">
        <x:v>Stage 2 candidate - direct/deterministic</x:v>
      </x:c>
      <x:c r="H291" s="47" t="str">
        <x:v>Medium</x:v>
      </x:c>
      <x:c r="I291" s="47" t="str">
        <x:v>No</x:v>
      </x:c>
      <x:c r="J291" s="47" t="str">
        <x:v>ELIGIBLE</x:v>
      </x:c>
      <x:c r="K291" s="47" t="str">
        <x:v>NOT_RUN</x:v>
      </x:c>
    </x:row>
    <x:row r="292">
      <x:c r="A292" s="47" t="str">
        <x:v>TRF-103</x:v>
      </x:c>
      <x:c r="B292" s="48" t="str">
        <x:v>Ice Class Regulations and the Application Thereof</x:v>
      </x:c>
      <x:c r="C292" s="47" t="str">
        <x:v>TRAFICOM/68863/03.04.01.00/2021</x:v>
      </x:c>
      <x:c r="D292" s="59" t="n">
        <x:v>46</x:v>
      </x:c>
      <x:c r="E292" s="47" t="str">
        <x:v>6.5.4.2</x:v>
      </x:c>
      <x:c r="F292" s="47" t="str">
        <x:v>Static</x:v>
      </x:c>
      <x:c r="G292" s="48" t="str">
        <x:v>Stage 2 candidate - direct static</x:v>
      </x:c>
      <x:c r="H292" s="47" t="str">
        <x:v>Direct static</x:v>
      </x:c>
      <x:c r="I292" s="47" t="str">
        <x:v>No</x:v>
      </x:c>
      <x:c r="J292" s="47" t="str">
        <x:v>ELIGIBLE</x:v>
      </x:c>
      <x:c r="K292" s="47" t="str">
        <x:v>NOT_RUN</x:v>
      </x:c>
    </x:row>
    <x:row r="293">
      <x:c r="A293" s="47" t="str">
        <x:v>TRF-104</x:v>
      </x:c>
      <x:c r="B293" s="48" t="str">
        <x:v>Ice Class Regulations and the Application Thereof</x:v>
      </x:c>
      <x:c r="C293" s="47" t="str">
        <x:v>TRAFICOM/68863/03.04.01.00/2021</x:v>
      </x:c>
      <x:c r="D293" s="59" t="n">
        <x:v>47</x:v>
      </x:c>
      <x:c r="E293" s="47" t="str">
        <x:v>6.6.1</x:v>
      </x:c>
      <x:c r="F293" s="47" t="str">
        <x:v>Static</x:v>
      </x:c>
      <x:c r="G293" s="48" t="str">
        <x:v>Stage 2 candidate - direct/deterministic</x:v>
      </x:c>
      <x:c r="H293" s="47" t="str">
        <x:v>High</x:v>
      </x:c>
      <x:c r="I293" s="47" t="str">
        <x:v>No</x:v>
      </x:c>
      <x:c r="J293" s="47" t="str">
        <x:v>ELIGIBLE</x:v>
      </x:c>
      <x:c r="K293" s="47" t="str">
        <x:v>NOT_RUN</x:v>
      </x:c>
    </x:row>
    <x:row r="294">
      <x:c r="A294" s="47" t="str">
        <x:v>TRF-105</x:v>
      </x:c>
      <x:c r="B294" s="48" t="str">
        <x:v>Ice Class Regulations and the Application Thereof</x:v>
      </x:c>
      <x:c r="C294" s="47" t="str">
        <x:v>TRAFICOM/68863/03.04.01.00/2021</x:v>
      </x:c>
      <x:c r="D294" s="59" t="n">
        <x:v>47</x:v>
      </x:c>
      <x:c r="E294" s="47" t="str">
        <x:v>6.6.2.1</x:v>
      </x:c>
      <x:c r="F294" s="47" t="str">
        <x:v>Complex</x:v>
      </x:c>
      <x:c r="G294" s="48" t="str">
        <x:v>Deferred - composite/evidence workflow review</x:v>
      </x:c>
      <x:c r="H294" s="47" t="str">
        <x:v>Medium</x:v>
      </x:c>
      <x:c r="I294" s="47" t="str">
        <x:v>No</x:v>
      </x:c>
      <x:c r="J294" s="47" t="str">
        <x:v>DEFERRED</x:v>
      </x:c>
      <x:c r="K294" s="47" t="str">
        <x:v>NOT_RUN</x:v>
      </x:c>
    </x:row>
    <x:row r="295">
      <x:c r="A295" s="47" t="str">
        <x:v>TRF-106</x:v>
      </x:c>
      <x:c r="B295" s="48" t="str">
        <x:v>Ice Class Regulations and the Application Thereof</x:v>
      </x:c>
      <x:c r="C295" s="47" t="str">
        <x:v>TRAFICOM/68863/03.04.01.00/2021</x:v>
      </x:c>
      <x:c r="D295" s="59" t="n">
        <x:v>48</x:v>
      </x:c>
      <x:c r="E295" s="47" t="str">
        <x:v>6.6.2.2-6.6.2.3</x:v>
      </x:c>
      <x:c r="F295" s="47" t="str">
        <x:v>Complex</x:v>
      </x:c>
      <x:c r="G295" s="48" t="str">
        <x:v>Deferred - composite/evidence workflow review</x:v>
      </x:c>
      <x:c r="H295" s="47" t="str">
        <x:v>Medium</x:v>
      </x:c>
      <x:c r="I295" s="47" t="str">
        <x:v>No</x:v>
      </x:c>
      <x:c r="J295" s="47" t="str">
        <x:v>DEFERRED</x:v>
      </x:c>
      <x:c r="K295" s="47" t="str">
        <x:v>NOT_RUN</x:v>
      </x:c>
    </x:row>
    <x:row r="296">
      <x:c r="A296" s="47" t="str">
        <x:v>TRF-108</x:v>
      </x:c>
      <x:c r="B296" s="48" t="str">
        <x:v>Ice Class Regulations and the Application Thereof</x:v>
      </x:c>
      <x:c r="C296" s="47" t="str">
        <x:v>TRAFICOM/68863/03.04.01.00/2021</x:v>
      </x:c>
      <x:c r="D296" s="59" t="n">
        <x:v>48</x:v>
      </x:c>
      <x:c r="E296" s="47" t="str">
        <x:v>6.6.2.3</x:v>
      </x:c>
      <x:c r="F296" s="47" t="str">
        <x:v>Static</x:v>
      </x:c>
      <x:c r="G296" s="48" t="str">
        <x:v>Stage 2 candidate - direct/deterministic</x:v>
      </x:c>
      <x:c r="H296" s="47" t="str">
        <x:v>High</x:v>
      </x:c>
      <x:c r="I296" s="47" t="str">
        <x:v>No</x:v>
      </x:c>
      <x:c r="J296" s="47" t="str">
        <x:v>ELIGIBLE</x:v>
      </x:c>
      <x:c r="K296" s="47" t="str">
        <x:v>NOT_RUN</x:v>
      </x:c>
    </x:row>
    <x:row r="297">
      <x:c r="A297" s="47" t="str">
        <x:v>TRF-109</x:v>
      </x:c>
      <x:c r="B297" s="48" t="str">
        <x:v>Ice Class Regulations and the Application Thereof</x:v>
      </x:c>
      <x:c r="C297" s="47" t="str">
        <x:v>TRAFICOM/68863/03.04.01.00/2021</x:v>
      </x:c>
      <x:c r="D297" s="59" t="n">
        <x:v>50</x:v>
      </x:c>
      <x:c r="E297" s="47" t="str">
        <x:v>6.6.2.3</x:v>
      </x:c>
      <x:c r="F297" s="47" t="str">
        <x:v>Static</x:v>
      </x:c>
      <x:c r="G297" s="48" t="str">
        <x:v>Stage 2 candidate - direct/deterministic</x:v>
      </x:c>
      <x:c r="H297" s="47" t="str">
        <x:v>Medium</x:v>
      </x:c>
      <x:c r="I297" s="47" t="str">
        <x:v>No</x:v>
      </x:c>
      <x:c r="J297" s="47" t="str">
        <x:v>ELIGIBLE</x:v>
      </x:c>
      <x:c r="K297" s="47" t="str">
        <x:v>NOT_RUN</x:v>
      </x:c>
    </x:row>
    <x:row r="298">
      <x:c r="A298" s="47" t="str">
        <x:v>TRF-110</x:v>
      </x:c>
      <x:c r="B298" s="48" t="str">
        <x:v>Ice Class Regulations and the Application Thereof</x:v>
      </x:c>
      <x:c r="C298" s="47" t="str">
        <x:v>TRAFICOM/68863/03.04.01.00/2021</x:v>
      </x:c>
      <x:c r="D298" s="59" t="n">
        <x:v>51</x:v>
      </x:c>
      <x:c r="E298" s="47" t="str">
        <x:v>6.6.2.4; 6.6.3</x:v>
      </x:c>
      <x:c r="F298" s="47" t="str">
        <x:v>Complex</x:v>
      </x:c>
      <x:c r="G298" s="48" t="str">
        <x:v>Deferred - composite/evidence workflow review</x:v>
      </x:c>
      <x:c r="H298" s="47" t="str">
        <x:v>Medium</x:v>
      </x:c>
      <x:c r="I298" s="47" t="str">
        <x:v>No</x:v>
      </x:c>
      <x:c r="J298" s="47" t="str">
        <x:v>DEFERRED</x:v>
      </x:c>
      <x:c r="K298" s="47" t="str">
        <x:v>NOT_RUN</x:v>
      </x:c>
    </x:row>
    <x:row r="299">
      <x:c r="A299" s="47" t="str">
        <x:v>TRF-111</x:v>
      </x:c>
      <x:c r="B299" s="48" t="str">
        <x:v>Ice Class Regulations and the Application Thereof</x:v>
      </x:c>
      <x:c r="C299" s="47" t="str">
        <x:v>TRAFICOM/68863/03.04.01.00/2021</x:v>
      </x:c>
      <x:c r="D299" s="59" t="n">
        <x:v>51</x:v>
      </x:c>
      <x:c r="E299" s="47" t="str">
        <x:v>6.6.4</x:v>
      </x:c>
      <x:c r="F299" s="47" t="str">
        <x:v>Complex</x:v>
      </x:c>
      <x:c r="G299" s="48" t="str">
        <x:v>Stage 2 candidate - complex readiness</x:v>
      </x:c>
      <x:c r="H299" s="47" t="str">
        <x:v>Complex readiness</x:v>
      </x:c>
      <x:c r="I299" s="47" t="str">
        <x:v>No</x:v>
      </x:c>
      <x:c r="J299" s="47" t="str">
        <x:v>ELIGIBLE</x:v>
      </x:c>
      <x:c r="K299" s="47" t="str">
        <x:v>NOT_RUN</x:v>
      </x:c>
    </x:row>
    <x:row r="300">
      <x:c r="A300" s="47" t="str">
        <x:v>TRF-112</x:v>
      </x:c>
      <x:c r="B300" s="48" t="str">
        <x:v>Ice Class Regulations and the Application Thereof</x:v>
      </x:c>
      <x:c r="C300" s="47" t="str">
        <x:v>TRAFICOM/68863/03.04.01.00/2021</x:v>
      </x:c>
      <x:c r="D300" s="59" t="n">
        <x:v>52</x:v>
      </x:c>
      <x:c r="E300" s="47" t="str">
        <x:v>6.6.4.1</x:v>
      </x:c>
      <x:c r="F300" s="47" t="str">
        <x:v>Complex</x:v>
      </x:c>
      <x:c r="G300" s="48" t="str">
        <x:v>Stage 2 candidate - complex readiness</x:v>
      </x:c>
      <x:c r="H300" s="47" t="str">
        <x:v>Complex readiness</x:v>
      </x:c>
      <x:c r="I300" s="47" t="str">
        <x:v>No</x:v>
      </x:c>
      <x:c r="J300" s="47" t="str">
        <x:v>ELIGIBLE</x:v>
      </x:c>
      <x:c r="K300" s="47" t="str">
        <x:v>NOT_RUN</x:v>
      </x:c>
    </x:row>
    <x:row r="301">
      <x:c r="A301" s="47" t="str">
        <x:v>TRF-113</x:v>
      </x:c>
      <x:c r="B301" s="48" t="str">
        <x:v>Ice Class Regulations and the Application Thereof</x:v>
      </x:c>
      <x:c r="C301" s="47" t="str">
        <x:v>TRAFICOM/68863/03.04.01.00/2021</x:v>
      </x:c>
      <x:c r="D301" s="59" t="n">
        <x:v>52</x:v>
      </x:c>
      <x:c r="E301" s="47" t="str">
        <x:v>6.6.5.1</x:v>
      </x:c>
      <x:c r="F301" s="47" t="str">
        <x:v>Static</x:v>
      </x:c>
      <x:c r="G301" s="48" t="str">
        <x:v>Stage 2 candidate - direct/deterministic</x:v>
      </x:c>
      <x:c r="H301" s="47" t="str">
        <x:v>High</x:v>
      </x:c>
      <x:c r="I301" s="47" t="str">
        <x:v>No</x:v>
      </x:c>
      <x:c r="J301" s="47" t="str">
        <x:v>ELIGIBLE</x:v>
      </x:c>
      <x:c r="K301" s="47" t="str">
        <x:v>NOT_RUN</x:v>
      </x:c>
    </x:row>
    <x:row r="302">
      <x:c r="A302" s="47" t="str">
        <x:v>TRF-114</x:v>
      </x:c>
      <x:c r="B302" s="48" t="str">
        <x:v>Ice Class Regulations and the Application Thereof</x:v>
      </x:c>
      <x:c r="C302" s="47" t="str">
        <x:v>TRAFICOM/68863/03.04.01.00/2021</x:v>
      </x:c>
      <x:c r="D302" s="59" t="n">
        <x:v>53</x:v>
      </x:c>
      <x:c r="E302" s="47" t="str">
        <x:v>6.6.5.2</x:v>
      </x:c>
      <x:c r="F302" s="47" t="str">
        <x:v>Complex</x:v>
      </x:c>
      <x:c r="G302" s="48" t="str">
        <x:v>Stage 2 candidate - complex readiness</x:v>
      </x:c>
      <x:c r="H302" s="47" t="str">
        <x:v>Complex readiness</x:v>
      </x:c>
      <x:c r="I302" s="47" t="str">
        <x:v>No</x:v>
      </x:c>
      <x:c r="J302" s="47" t="str">
        <x:v>ELIGIBLE</x:v>
      </x:c>
      <x:c r="K302" s="47" t="str">
        <x:v>NOT_RUN</x:v>
      </x:c>
    </x:row>
    <x:row r="303">
      <x:c r="A303" s="47" t="str">
        <x:v>TRF-116</x:v>
      </x:c>
      <x:c r="B303" s="48" t="str">
        <x:v>Ice Class Regulations and the Application Thereof</x:v>
      </x:c>
      <x:c r="C303" s="47" t="str">
        <x:v>TRAFICOM/68863/03.04.01.00/2021</x:v>
      </x:c>
      <x:c r="D303" s="59" t="n">
        <x:v>56</x:v>
      </x:c>
      <x:c r="E303" s="47" t="str">
        <x:v>6.6.5.2</x:v>
      </x:c>
      <x:c r="F303" s="47" t="str">
        <x:v>Complex</x:v>
      </x:c>
      <x:c r="G303" s="48" t="str">
        <x:v>Stage 2 candidate - complex readiness</x:v>
      </x:c>
      <x:c r="H303" s="47" t="str">
        <x:v>Complex readiness</x:v>
      </x:c>
      <x:c r="I303" s="47" t="str">
        <x:v>No</x:v>
      </x:c>
      <x:c r="J303" s="47" t="str">
        <x:v>ELIGIBLE</x:v>
      </x:c>
      <x:c r="K303" s="47" t="str">
        <x:v>NOT_RUN</x:v>
      </x:c>
    </x:row>
    <x:row r="304">
      <x:c r="A304" s="47" t="str">
        <x:v>TRF-118</x:v>
      </x:c>
      <x:c r="B304" s="48" t="str">
        <x:v>Ice Class Regulations and the Application Thereof</x:v>
      </x:c>
      <x:c r="C304" s="47" t="str">
        <x:v>TRAFICOM/68863/03.04.01.00/2021</x:v>
      </x:c>
      <x:c r="D304" s="59" t="n">
        <x:v>60</x:v>
      </x:c>
      <x:c r="E304" s="47" t="str">
        <x:v>6.6.5.4</x:v>
      </x:c>
      <x:c r="F304" s="47" t="str">
        <x:v>Complex</x:v>
      </x:c>
      <x:c r="G304" s="48" t="str">
        <x:v>Stage 2 candidate - complex readiness</x:v>
      </x:c>
      <x:c r="H304" s="47" t="str">
        <x:v>Complex readiness</x:v>
      </x:c>
      <x:c r="I304" s="47" t="str">
        <x:v>No</x:v>
      </x:c>
      <x:c r="J304" s="47" t="str">
        <x:v>ELIGIBLE</x:v>
      </x:c>
      <x:c r="K304" s="47" t="str">
        <x:v>NOT_RUN</x:v>
      </x:c>
    </x:row>
    <x:row r="305">
      <x:c r="A305" s="47" t="str">
        <x:v>TRF-119</x:v>
      </x:c>
      <x:c r="B305" s="48" t="str">
        <x:v>Ice Class Regulations and the Application Thereof</x:v>
      </x:c>
      <x:c r="C305" s="47" t="str">
        <x:v>TRAFICOM/68863/03.04.01.00/2021</x:v>
      </x:c>
      <x:c r="D305" s="59" t="n">
        <x:v>60</x:v>
      </x:c>
      <x:c r="E305" s="47" t="str">
        <x:v>6.6.5.5</x:v>
      </x:c>
      <x:c r="F305" s="47" t="str">
        <x:v>Dynamic</x:v>
      </x:c>
      <x:c r="G305" s="48" t="str">
        <x:v>Deferred - observation/history/simulation design required</x:v>
      </x:c>
      <x:c r="H305" s="47" t="str">
        <x:v>Medium</x:v>
      </x:c>
      <x:c r="I305" s="47" t="str">
        <x:v>No</x:v>
      </x:c>
      <x:c r="J305" s="47" t="str">
        <x:v>DEFERRED</x:v>
      </x:c>
      <x:c r="K305" s="47" t="str">
        <x:v>NOT_RUN</x:v>
      </x:c>
    </x:row>
    <x:row r="306">
      <x:c r="A306" s="47" t="str">
        <x:v>TRF-120</x:v>
      </x:c>
      <x:c r="B306" s="48" t="str">
        <x:v>Ice Class Regulations and the Application Thereof</x:v>
      </x:c>
      <x:c r="C306" s="47" t="str">
        <x:v>TRAFICOM/68863/03.04.01.00/2021</x:v>
      </x:c>
      <x:c r="D306" s="59" t="n">
        <x:v>60</x:v>
      </x:c>
      <x:c r="E306" s="47" t="str">
        <x:v>6.6.5.5</x:v>
      </x:c>
      <x:c r="F306" s="47" t="str">
        <x:v>Static</x:v>
      </x:c>
      <x:c r="G306" s="48" t="str">
        <x:v>Stage 2 candidate - direct/deterministic</x:v>
      </x:c>
      <x:c r="H306" s="47" t="str">
        <x:v>High</x:v>
      </x:c>
      <x:c r="I306" s="47" t="str">
        <x:v>No</x:v>
      </x:c>
      <x:c r="J306" s="47" t="str">
        <x:v>ELIGIBLE</x:v>
      </x:c>
      <x:c r="K306" s="47" t="str">
        <x:v>NOT_RUN</x:v>
      </x:c>
    </x:row>
    <x:row r="307">
      <x:c r="A307" s="47" t="str">
        <x:v>TRF-121</x:v>
      </x:c>
      <x:c r="B307" s="48" t="str">
        <x:v>Ice Class Regulations and the Application Thereof</x:v>
      </x:c>
      <x:c r="C307" s="47" t="str">
        <x:v>TRAFICOM/68863/03.04.01.00/2021</x:v>
      </x:c>
      <x:c r="D307" s="59" t="n">
        <x:v>61</x:v>
      </x:c>
      <x:c r="E307" s="47" t="str">
        <x:v>6.7.1</x:v>
      </x:c>
      <x:c r="F307" s="47" t="str">
        <x:v>Complex</x:v>
      </x:c>
      <x:c r="G307" s="48" t="str">
        <x:v>Deferred - composite/evidence workflow review</x:v>
      </x:c>
      <x:c r="H307" s="47" t="str">
        <x:v>Medium</x:v>
      </x:c>
      <x:c r="I307" s="47" t="str">
        <x:v>No</x:v>
      </x:c>
      <x:c r="J307" s="47" t="str">
        <x:v>DEFERRED</x:v>
      </x:c>
      <x:c r="K307" s="47" t="str">
        <x:v>NOT_RUN</x:v>
      </x:c>
    </x:row>
    <x:row r="308">
      <x:c r="A308" s="47" t="str">
        <x:v>TRF-123</x:v>
      </x:c>
      <x:c r="B308" s="48" t="str">
        <x:v>Ice Class Regulations and the Application Thereof</x:v>
      </x:c>
      <x:c r="C308" s="47" t="str">
        <x:v>TRAFICOM/68863/03.04.01.00/2021</x:v>
      </x:c>
      <x:c r="D308" s="59" t="n">
        <x:v>61</x:v>
      </x:c>
      <x:c r="E308" s="47" t="str">
        <x:v>6.7.3</x:v>
      </x:c>
      <x:c r="F308" s="47" t="str">
        <x:v>Complex</x:v>
      </x:c>
      <x:c r="G308" s="48" t="str">
        <x:v>Stage 2 candidate - complex readiness</x:v>
      </x:c>
      <x:c r="H308" s="47" t="str">
        <x:v>Complex readiness</x:v>
      </x:c>
      <x:c r="I308" s="47" t="str">
        <x:v>No</x:v>
      </x:c>
      <x:c r="J308" s="47" t="str">
        <x:v>ELIGIBLE</x:v>
      </x:c>
      <x:c r="K308" s="47" t="str">
        <x:v>NOT_RUN</x:v>
      </x:c>
    </x:row>
    <x:row r="309">
      <x:c r="A309" s="47" t="str">
        <x:v>TRF-125</x:v>
      </x:c>
      <x:c r="B309" s="48" t="str">
        <x:v>Ice Class Regulations and the Application Thereof</x:v>
      </x:c>
      <x:c r="C309" s="47" t="str">
        <x:v>TRAFICOM/68863/03.04.01.00/2021</x:v>
      </x:c>
      <x:c r="D309" s="59" t="n">
        <x:v>61</x:v>
      </x:c>
      <x:c r="E309" s="47" t="str">
        <x:v>6.7.3</x:v>
      </x:c>
      <x:c r="F309" s="47" t="str">
        <x:v>Dynamic</x:v>
      </x:c>
      <x:c r="G309" s="48" t="str">
        <x:v>Deferred - observation/history/simulation design required</x:v>
      </x:c>
      <x:c r="H309" s="47" t="str">
        <x:v>Medium</x:v>
      </x:c>
      <x:c r="I309" s="47" t="str">
        <x:v>No</x:v>
      </x:c>
      <x:c r="J309" s="47" t="str">
        <x:v>DEFERRED</x:v>
      </x:c>
      <x:c r="K309" s="47" t="str">
        <x:v>NOT_RUN</x:v>
      </x:c>
    </x:row>
    <x:row r="310">
      <x:c r="A310" s="47" t="str">
        <x:v>TRF-126</x:v>
      </x:c>
      <x:c r="B310" s="48" t="str">
        <x:v>Ice Class Regulations and the Application Thereof</x:v>
      </x:c>
      <x:c r="C310" s="47" t="str">
        <x:v>TRAFICOM/68863/03.04.01.00/2021</x:v>
      </x:c>
      <x:c r="D310" s="59" t="n">
        <x:v>61</x:v>
      </x:c>
      <x:c r="E310" s="47" t="str">
        <x:v>7.1</x:v>
      </x:c>
      <x:c r="F310" s="47" t="str">
        <x:v>Static</x:v>
      </x:c>
      <x:c r="G310" s="48" t="str">
        <x:v>Stage 2 candidate - direct/deterministic</x:v>
      </x:c>
      <x:c r="H310" s="47" t="str">
        <x:v>High</x:v>
      </x:c>
      <x:c r="I310" s="47" t="str">
        <x:v>No</x:v>
      </x:c>
      <x:c r="J310" s="47" t="str">
        <x:v>ELIGIBLE</x:v>
      </x:c>
      <x:c r="K310" s="47" t="str">
        <x:v>NOT_RUN</x:v>
      </x:c>
    </x:row>
    <x:row r="311">
      <x:c r="A311" s="47" t="str">
        <x:v>TRF-127</x:v>
      </x:c>
      <x:c r="B311" s="48" t="str">
        <x:v>Ice Class Regulations and the Application Thereof</x:v>
      </x:c>
      <x:c r="C311" s="47" t="str">
        <x:v>TRAFICOM/68863/03.04.01.00/2021</x:v>
      </x:c>
      <x:c r="D311" s="59" t="n">
        <x:v>61</x:v>
      </x:c>
      <x:c r="E311" s="47" t="str">
        <x:v>7.1</x:v>
      </x:c>
      <x:c r="F311" s="47" t="str">
        <x:v>Static</x:v>
      </x:c>
      <x:c r="G311" s="48" t="str">
        <x:v>Stage 2 candidate - direct/deterministic</x:v>
      </x:c>
      <x:c r="H311" s="47" t="str">
        <x:v>High</x:v>
      </x:c>
      <x:c r="I311" s="47" t="str">
        <x:v>No</x:v>
      </x:c>
      <x:c r="J311" s="47" t="str">
        <x:v>ELIGIBLE</x:v>
      </x:c>
      <x:c r="K311" s="47" t="str">
        <x:v>NOT_RUN</x:v>
      </x:c>
    </x:row>
    <x:row r="312">
      <x:c r="A312" s="47" t="str">
        <x:v>TRF-128</x:v>
      </x:c>
      <x:c r="B312" s="48" t="str">
        <x:v>Ice Class Regulations and the Application Thereof</x:v>
      </x:c>
      <x:c r="C312" s="47" t="str">
        <x:v>TRAFICOM/68863/03.04.01.00/2021</x:v>
      </x:c>
      <x:c r="D312" s="59" t="n">
        <x:v>61</x:v>
      </x:c>
      <x:c r="E312" s="47" t="str">
        <x:v>7.1</x:v>
      </x:c>
      <x:c r="F312" s="47" t="str">
        <x:v>Static</x:v>
      </x:c>
      <x:c r="G312" s="48" t="str">
        <x:v>Stage 2 candidate - direct static</x:v>
      </x:c>
      <x:c r="H312" s="47" t="str">
        <x:v>Direct static</x:v>
      </x:c>
      <x:c r="I312" s="47" t="str">
        <x:v>No</x:v>
      </x:c>
      <x:c r="J312" s="47" t="str">
        <x:v>ELIGIBLE</x:v>
      </x:c>
      <x:c r="K312" s="47" t="str">
        <x:v>NOT_RUN</x:v>
      </x:c>
    </x:row>
    <x:row r="313">
      <x:c r="A313" s="47" t="str">
        <x:v>TRF-129</x:v>
      </x:c>
      <x:c r="B313" s="48" t="str">
        <x:v>Ice Class Regulations and the Application Thereof</x:v>
      </x:c>
      <x:c r="C313" s="47" t="str">
        <x:v>TRAFICOM/68863/03.04.01.00/2021</x:v>
      </x:c>
      <x:c r="D313" s="59" t="n">
        <x:v>61</x:v>
      </x:c>
      <x:c r="E313" s="47" t="str">
        <x:v>7.2</x:v>
      </x:c>
      <x:c r="F313" s="47" t="str">
        <x:v>Static</x:v>
      </x:c>
      <x:c r="G313" s="48" t="str">
        <x:v>Stage 2 candidate - direct/deterministic</x:v>
      </x:c>
      <x:c r="H313" s="47" t="str">
        <x:v>High</x:v>
      </x:c>
      <x:c r="I313" s="47" t="str">
        <x:v>No</x:v>
      </x:c>
      <x:c r="J313" s="47" t="str">
        <x:v>ELIGIBLE</x:v>
      </x:c>
      <x:c r="K313" s="47" t="str">
        <x:v>NOT_RUN</x:v>
      </x:c>
    </x:row>
    <x:row r="314">
      <x:c r="A314" s="47" t="str">
        <x:v>TRF-130</x:v>
      </x:c>
      <x:c r="B314" s="48" t="str">
        <x:v>Ice Class Regulations and the Application Thereof</x:v>
      </x:c>
      <x:c r="C314" s="47" t="str">
        <x:v>TRAFICOM/68863/03.04.01.00/2021</x:v>
      </x:c>
      <x:c r="D314" s="59" t="n">
        <x:v>62</x:v>
      </x:c>
      <x:c r="E314" s="47" t="str">
        <x:v>7.2</x:v>
      </x:c>
      <x:c r="F314" s="47" t="str">
        <x:v>Static Calculation</x:v>
      </x:c>
      <x:c r="G314" s="48" t="str">
        <x:v>Stage 2 candidate - direct calculation</x:v>
      </x:c>
      <x:c r="H314" s="47" t="str">
        <x:v>Direct calculation</x:v>
      </x:c>
      <x:c r="I314" s="47" t="str">
        <x:v>No</x:v>
      </x:c>
      <x:c r="J314" s="47" t="str">
        <x:v>ELIGIBLE</x:v>
      </x:c>
      <x:c r="K314" s="47" t="str">
        <x:v>NOT_RUN</x:v>
      </x:c>
    </x:row>
    <x:row r="315">
      <x:c r="A315" s="47" t="str">
        <x:v>TRF-131</x:v>
      </x:c>
      <x:c r="B315" s="48" t="str">
        <x:v>Ice Class Regulations and the Application Thereof</x:v>
      </x:c>
      <x:c r="C315" s="47" t="str">
        <x:v>TRAFICOM/68863/03.04.01.00/2021</x:v>
      </x:c>
      <x:c r="D315" s="59" t="n">
        <x:v>62</x:v>
      </x:c>
      <x:c r="E315" s="47" t="str">
        <x:v>7.2</x:v>
      </x:c>
      <x:c r="F315" s="47" t="str">
        <x:v>Static</x:v>
      </x:c>
      <x:c r="G315" s="48" t="str">
        <x:v>Stage 2 candidate - direct/deterministic</x:v>
      </x:c>
      <x:c r="H315" s="47" t="str">
        <x:v>High</x:v>
      </x:c>
      <x:c r="I315" s="47" t="str">
        <x:v>No</x:v>
      </x:c>
      <x:c r="J315" s="47" t="str">
        <x:v>ELIGIBLE</x:v>
      </x:c>
      <x:c r="K315" s="47" t="str">
        <x:v>NOT_RUN</x:v>
      </x:c>
    </x:row>
    <x:row r="316">
      <x:c r="A316" s="47" t="str">
        <x:v>TRF-132</x:v>
      </x:c>
      <x:c r="B316" s="48" t="str">
        <x:v>Ice Class Regulations and the Application Thereof</x:v>
      </x:c>
      <x:c r="C316" s="47" t="str">
        <x:v>TRAFICOM/68863/03.04.01.00/2021</x:v>
      </x:c>
      <x:c r="D316" s="59" t="n">
        <x:v>64</x:v>
      </x:c>
      <x:c r="E316" s="47" t="str">
        <x:v>8</x:v>
      </x:c>
      <x:c r="F316" s="47" t="str">
        <x:v>Static Calculation</x:v>
      </x:c>
      <x:c r="G316" s="48" t="str">
        <x:v>Stage 2 candidate - direct/deterministic</x:v>
      </x:c>
      <x:c r="H316" s="47" t="str">
        <x:v>High</x:v>
      </x:c>
      <x:c r="I316" s="47" t="str">
        <x:v>No</x:v>
      </x:c>
      <x:c r="J316" s="47" t="str">
        <x:v>ELIGIBLE</x:v>
      </x:c>
      <x:c r="K316" s="47" t="str">
        <x:v>NOT_RUN</x:v>
      </x:c>
    </x:row>
    <x:row r="317">
      <x:c r="A317" s="49" t="str">
        <x:v>TRF-133</x:v>
      </x:c>
      <x:c r="B317" s="50" t="str">
        <x:v>Ice Class Regulations and the Application Thereof</x:v>
      </x:c>
      <x:c r="C317" s="49" t="str">
        <x:v>TRAFICOM/68863/03.04.01.00/2021</x:v>
      </x:c>
      <x:c r="D317" s="60" t="n">
        <x:v>65</x:v>
      </x:c>
      <x:c r="E317" s="49" t="str">
        <x:v>8</x:v>
      </x:c>
      <x:c r="F317" s="49" t="str">
        <x:v>Static</x:v>
      </x:c>
      <x:c r="G317" s="50" t="str">
        <x:v>Stage 2 candidate - direct/deterministic</x:v>
      </x:c>
      <x:c r="H317" s="49" t="str">
        <x:v>High</x:v>
      </x:c>
      <x:c r="I317" s="49" t="str">
        <x:v>No</x:v>
      </x:c>
      <x:c r="J317" s="49" t="str">
        <x:v>ELIGIBLE</x:v>
      </x:c>
      <x:c r="K317" s="49" t="str">
        <x:v>NOT_RUN</x:v>
      </x:c>
    </x:row>
  </x:sheetData>
  <x:conditionalFormatting sqref="G5:G317">
    <x:cfRule type="containsText" dxfId="0" priority="1" operator="containsText" text="ACCEPT"/>
    <x:cfRule type="containsText" dxfId="1" priority="2" operator="containsText" text="ELIGIBLE"/>
    <x:cfRule type="containsText" dxfId="2" priority="3" operator="containsText" text="PASS"/>
    <x:cfRule type="containsText" dxfId="3" priority="4" operator="containsText" text="GAP"/>
    <x:cfRule type="containsText" dxfId="4" priority="5" operator="containsText" text="FAIL"/>
    <x:cfRule type="containsText" dxfId="5" priority="6" operator="containsText" text="DEFERRED"/>
  </x:conditionalFormatting>
  <x:conditionalFormatting sqref="J5:J317">
    <x:cfRule type="containsText" dxfId="6" priority="7" operator="containsText" text="ACCEPT"/>
    <x:cfRule type="containsText" dxfId="7" priority="8" operator="containsText" text="ELIGIBLE"/>
    <x:cfRule type="containsText" dxfId="8" priority="9" operator="containsText" text="PASS"/>
    <x:cfRule type="containsText" dxfId="9" priority="10" operator="containsText" text="GAP"/>
    <x:cfRule type="containsText" dxfId="10" priority="11" operator="containsText" text="FAIL"/>
    <x:cfRule type="containsText" dxfId="11" priority="12" operator="containsText" text="DEFERRED"/>
  </x:conditionalFormatting>
  <x:conditionalFormatting sqref="K5:K317">
    <x:cfRule type="containsText" dxfId="12" priority="13" operator="containsText" text="ACCEPT"/>
    <x:cfRule type="containsText" dxfId="13" priority="14" operator="containsText" text="ELIGIBLE"/>
    <x:cfRule type="containsText" dxfId="14" priority="15" operator="containsText" text="PASS"/>
    <x:cfRule type="containsText" dxfId="15" priority="16" operator="containsText" text="GAP"/>
    <x:cfRule type="containsText" dxfId="16" priority="17" operator="containsText" text="FAIL"/>
    <x:cfRule type="containsText" dxfId="17" priority="18" operator="containsText" text="DEFERRED"/>
  </x:conditionalFormatting>
  <x:pageMargins left="0.7" right="0.7" top="0.75" bottom="0.75" header="0.3" footer="0.3"/>
  <x:tableParts count="1">
    <x:tablePart xmlns:r="http://schemas.openxmlformats.org/officeDocument/2006/relationships" r:id="Rb8cdfcb32be4489d"/>
  </x:tableParts>
</x:worksheet>
</file>

<file path=xl/worksheets/sheet4.xml><?xml version="1.0" encoding="utf-8"?>
<x:worksheet xmlns:x="http://schemas.openxmlformats.org/spreadsheetml/2006/main">
  <x:sheetViews>
    <x:sheetView showGridLines="0" workbookViewId="0"/>
  </x:sheetViews>
  <x:sheetFormatPr defaultRowHeight="15"/>
  <x:cols>
    <x:col min="1" max="1" width="36" hidden="0" customWidth="1"/>
    <x:col min="2" max="2" width="42" hidden="0" customWidth="1"/>
    <x:col min="3" max="3" width="18" hidden="0" customWidth="1"/>
    <x:col min="4" max="4" width="25" hidden="0" customWidth="1"/>
    <x:col min="5" max="5" width="25" hidden="0" customWidth="1"/>
    <x:col min="6" max="6" width="23" hidden="0" customWidth="1"/>
    <x:col min="7" max="7" width="24" hidden="0" customWidth="1"/>
    <x:col min="8" max="8" width="11" hidden="0" customWidth="1"/>
    <x:col min="9" max="9" width="22" hidden="0" customWidth="1"/>
    <x:col min="10" max="10" width="11" hidden="0" customWidth="1"/>
    <x:col min="11" max="11" width="13" hidden="0" customWidth="1"/>
    <x:col min="12" max="12" width="52" hidden="0" customWidth="1"/>
  </x:cols>
  <x:sheetData>
    <x:row r="1">
      <x:c r="A1" s="18" t="str">
        <x:v>NLTL SHACL Pipeline Run Tracker</x:v>
      </x:c>
      <x:c r="B1" s="19"/>
      <x:c r="C1" s="19"/>
      <x:c r="D1" s="19"/>
      <x:c r="E1" s="19"/>
      <x:c r="F1" s="19"/>
      <x:c r="G1" s="19"/>
      <x:c r="H1" s="19"/>
      <x:c r="I1" s="19"/>
      <x:c r="J1" s="19"/>
      <x:c r="K1" s="19"/>
      <x:c r="L1" s="19"/>
    </x:row>
    <x:row r="2">
      <x:c r="A2" s="20" t="str">
        <x:v>RUNS | Run folder: RUN-TRF-025-20260827T223223397676Z</x:v>
      </x:c>
      <x:c r="B2" s="20"/>
      <x:c r="C2" s="20"/>
      <x:c r="D2" s="20"/>
      <x:c r="E2" s="20"/>
      <x:c r="F2" s="20"/>
      <x:c r="G2" s="20"/>
      <x:c r="H2" s="20"/>
      <x:c r="I2" s="20"/>
      <x:c r="J2" s="20"/>
      <x:c r="K2" s="20"/>
      <x:c r="L2" s="20"/>
    </x:row>
    <x:row r="3">
      <x:c r="A3" s="21"/>
      <x:c r="B3" s="21"/>
      <x:c r="C3" s="21"/>
      <x:c r="D3" s="21"/>
      <x:c r="E3" s="21"/>
      <x:c r="F3" s="21"/>
      <x:c r="G3" s="21"/>
      <x:c r="H3" s="21"/>
      <x:c r="I3" s="21"/>
      <x:c r="J3" s="21"/>
      <x:c r="K3" s="21"/>
      <x:c r="L3" s="21"/>
    </x:row>
    <x:row r="4" ht="30" customHeight="1">
      <x:c r="A4" s="43" t="str">
        <x:v>SESSION_ID</x:v>
      </x:c>
      <x:c r="B4" s="57" t="str">
        <x:v>RUN_ID</x:v>
      </x:c>
      <x:c r="C4" s="57" t="str">
        <x:v>REQUIREMENT_ID</x:v>
      </x:c>
      <x:c r="D4" s="57" t="str">
        <x:v>STARTED_UTC</x:v>
      </x:c>
      <x:c r="E4" s="57" t="str">
        <x:v>FINISHED_UTC</x:v>
      </x:c>
      <x:c r="F4" s="57" t="str">
        <x:v>PIPELINE_VERSION</x:v>
      </x:c>
      <x:c r="G4" s="57" t="str">
        <x:v>VOCABULARY_LOCK_ID</x:v>
      </x:c>
      <x:c r="H4" s="57" t="str">
        <x:v>ATTEMPTS</x:v>
      </x:c>
      <x:c r="I4" s="57" t="str">
        <x:v>FINAL_STATUS</x:v>
      </x:c>
      <x:c r="J4" s="57" t="str">
        <x:v>ACCEPTED</x:v>
      </x:c>
      <x:c r="K4" s="57" t="str">
        <x:v>FINAL_SHAPE</x:v>
      </x:c>
      <x:c r="L4" s="44" t="str">
        <x:v>FINAL_FEEDBACK</x:v>
      </x:c>
    </x:row>
    <x:row r="5">
      <x:c r="A5" s="69" t="str">
        <x:v>SESSION-BATCH-20260827T190357989787Z</x:v>
      </x:c>
      <x:c r="B5" s="69" t="str">
        <x:v>RUN-TRF-025-20260827T223223397676Z</x:v>
      </x:c>
      <x:c r="C5" s="69" t="str">
        <x:v>TRF-025</x:v>
      </x:c>
      <x:c r="D5" s="70" t="n">
        <x:v>46261.939159699075</x:v>
      </x:c>
      <x:c r="E5" s="70" t="n">
        <x:v>46261.94078561343</x:v>
      </x:c>
      <x:c r="F5" s="69" t="str">
        <x:v>final-luna-main-run02</x:v>
      </x:c>
      <x:c r="G5" s="69" t="str">
        <x:v>VOCAB-LOCK-2026-08-22-R13</x:v>
      </x:c>
      <x:c r="H5" s="71" t="n">
        <x:v>4</x:v>
      </x:c>
      <x:c r="I5" s="69" t="str">
        <x:v>MAX_ATTEMPTS_REACHED</x:v>
      </x:c>
      <x:c r="J5" s="72" t="b">
        <x:v>0</x:v>
      </x:c>
      <x:c r="K5" s="69" t="str"/>
      <x:c r="L5" s="73" t="str">
        <x:v>Preserve the existing IA Super/false-bulb applicability, exactly-one controlled iceClass and boolean checks, ship ownership, all operands, required units/datatypes, and strictly positive L/B/T constraints. Repair the SPARQL constraint's pass logic: its SELECT currently returns the ship when every required fact exists, so compliant data is reported as a violation while missing data can pass; select violations for missing, malformed, non-unique, or invalid facts instead. Also add the required numerical-tolerance validation for both derived C1 and C2 results, scaled from their expected formula results rather than using presence/unit checks only. Retain the COMPLEX_READINESS boundary: do not invent a mandatory formula execution or additional evidence obligation.</x:v>
      </x:c>
    </x:row>
  </x:sheetData>
  <x:conditionalFormatting sqref="I5:I5">
    <x:cfRule type="containsText" dxfId="18" priority="1" operator="containsText" text="ACCEPT"/>
    <x:cfRule type="containsText" dxfId="19" priority="2" operator="containsText" text="ELIGIBLE"/>
    <x:cfRule type="containsText" dxfId="20" priority="3" operator="containsText" text="PASS"/>
    <x:cfRule type="containsText" dxfId="21" priority="4" operator="containsText" text="GAP"/>
    <x:cfRule type="containsText" dxfId="22" priority="5" operator="containsText" text="FAIL"/>
    <x:cfRule type="containsText" dxfId="23" priority="6" operator="containsText" text="DEFERRED"/>
  </x:conditionalFormatting>
  <x:pageMargins left="0.7" right="0.7" top="0.75" bottom="0.75" header="0.3" footer="0.3"/>
  <x:tableParts count="1">
    <x:tablePart xmlns:r="http://schemas.openxmlformats.org/officeDocument/2006/relationships" r:id="R8c5df7358c434d66"/>
  </x:tableParts>
</x:worksheet>
</file>

<file path=xl/worksheets/sheet5.xml><?xml version="1.0" encoding="utf-8"?>
<x:worksheet xmlns:x="http://schemas.openxmlformats.org/spreadsheetml/2006/main">
  <x:sheetViews>
    <x:sheetView showGridLines="0" workbookViewId="0"/>
  </x:sheetViews>
  <x:sheetFormatPr defaultRowHeight="15"/>
  <x:cols>
    <x:col min="1" max="1" width="42" hidden="0" customWidth="1"/>
    <x:col min="2" max="2" width="18" hidden="0" customWidth="1"/>
    <x:col min="3" max="3" width="11" hidden="0" customWidth="1"/>
    <x:col min="4" max="4" width="14" hidden="0" customWidth="1"/>
    <x:col min="5" max="5" width="18" hidden="0" customWidth="1"/>
    <x:col min="6" max="6" width="19" hidden="0" customWidth="1"/>
    <x:col min="7" max="7" width="11" hidden="0" customWidth="1"/>
    <x:col min="8" max="8" width="52" hidden="0" customWidth="1"/>
    <x:col min="9" max="9" width="22" hidden="0" customWidth="1"/>
    <x:col min="10" max="10" width="22" hidden="0" customWidth="1"/>
  </x:cols>
  <x:sheetData>
    <x:row r="1">
      <x:c r="A1" s="18" t="str">
        <x:v>NLTL SHACL Pipeline Run Tracker</x:v>
      </x:c>
      <x:c r="B1" s="19"/>
      <x:c r="C1" s="19"/>
      <x:c r="D1" s="19"/>
      <x:c r="E1" s="19"/>
      <x:c r="F1" s="19"/>
      <x:c r="G1" s="19"/>
      <x:c r="H1" s="19"/>
      <x:c r="I1" s="19"/>
      <x:c r="J1" s="19"/>
    </x:row>
    <x:row r="2">
      <x:c r="A2" s="20" t="str">
        <x:v>ITERATIONS | Run folder: RUN-TRF-025-20260827T223223397676Z</x:v>
      </x:c>
      <x:c r="B2" s="20"/>
      <x:c r="C2" s="20"/>
      <x:c r="D2" s="20"/>
      <x:c r="E2" s="20"/>
      <x:c r="F2" s="20"/>
      <x:c r="G2" s="20"/>
      <x:c r="H2" s="20"/>
      <x:c r="I2" s="20"/>
      <x:c r="J2" s="20"/>
    </x:row>
    <x:row r="3">
      <x:c r="A3" s="21"/>
      <x:c r="B3" s="21"/>
      <x:c r="C3" s="21"/>
      <x:c r="D3" s="21"/>
      <x:c r="E3" s="21"/>
      <x:c r="F3" s="21"/>
      <x:c r="G3" s="21"/>
      <x:c r="H3" s="21"/>
      <x:c r="I3" s="21"/>
      <x:c r="J3" s="21"/>
    </x:row>
    <x:row r="4" ht="30" customHeight="1">
      <x:c r="A4" s="43" t="str">
        <x:v>RUN_ID</x:v>
      </x:c>
      <x:c r="B4" s="57" t="str">
        <x:v>REQUIREMENT_ID</x:v>
      </x:c>
      <x:c r="C4" s="57" t="str">
        <x:v>ITERATION</x:v>
      </x:c>
      <x:c r="D4" s="57" t="str">
        <x:v>STATIC_VALID</x:v>
      </x:c>
      <x:c r="E4" s="57" t="str">
        <x:v>VALIDATOR_ACCEPT</x:v>
      </x:c>
      <x:c r="F4" s="57" t="str">
        <x:v>MATCHER_ACTIVATED</x:v>
      </x:c>
      <x:c r="G4" s="57" t="str">
        <x:v>DECISION</x:v>
      </x:c>
      <x:c r="H4" s="57" t="str">
        <x:v>FEEDBACK</x:v>
      </x:c>
      <x:c r="I4" s="57" t="str">
        <x:v>GENERATOR_ELAPSED_MS</x:v>
      </x:c>
      <x:c r="J4" s="44" t="str">
        <x:v>VALIDATOR_ELAPSED_MS</x:v>
      </x:c>
    </x:row>
    <x:row r="5">
      <x:c r="A5" s="45" t="str">
        <x:v>RUN-TRF-025-20260827T223223397676Z</x:v>
      </x:c>
      <x:c r="B5" s="45" t="str">
        <x:v>TRF-025</x:v>
      </x:c>
      <x:c r="C5" s="58" t="n">
        <x:v>1</x:v>
      </x:c>
      <x:c r="D5" s="83" t="b">
        <x:v>1</x:v>
      </x:c>
      <x:c r="E5" s="83" t="b">
        <x:v>0</x:v>
      </x:c>
      <x:c r="F5" s="83" t="b">
        <x:v>0</x:v>
      </x:c>
      <x:c r="G5" s="45" t="str">
        <x:v>REVISE</x:v>
      </x:c>
      <x:c r="H5" s="46" t="str">
        <x:v>Repair the applicability logic: do not use OR branches for IA, IB, IC, II, III, or bulbousBowPresent=true, because they allow non-applicable ships to pass and do not require complete branch-selection evidence. Apply the readiness constraints only when iceClass=iceClassIaSuper and bulbousBowPresent=false, while retaining exactly one controlled iceClass and one boolean bulbousBowPresent. In that applicable branch, require both result terms C1 and C2 in their declared QuantityValue domains with the required units and numerical-tolerance validation, retain all declared formula operands, and enforce positive shipLength, shipBreadth, and iceClassDraught operands. The candidate currently checks only presence/units for C1/C2 and omits the required tolerance/result validation.</x:v>
      </x:c>
      <x:c r="I5" s="84" t="n">
        <x:v>21293.033</x:v>
      </x:c>
      <x:c r="J5" s="84" t="n">
        <x:v>9713.001</x:v>
      </x:c>
    </x:row>
    <x:row r="6">
      <x:c r="A6" s="47" t="str">
        <x:v>RUN-TRF-025-20260827T223223397676Z</x:v>
      </x:c>
      <x:c r="B6" s="47" t="str">
        <x:v>TRF-025</x:v>
      </x:c>
      <x:c r="C6" s="59" t="n">
        <x:v>2</x:v>
      </x:c>
      <x:c r="D6" s="85" t="b">
        <x:v>1</x:v>
      </x:c>
      <x:c r="E6" s="85" t="b">
        <x:v>0</x:v>
      </x:c>
      <x:c r="F6" s="85" t="b">
        <x:v>0</x:v>
      </x:c>
      <x:c r="G6" s="47" t="str">
        <x:v>REVISE</x:v>
      </x:c>
      <x:c r="H6" s="48" t="str">
        <x:v>Repair the applicability and readiness logic while preserving the prior instruction: remove the permissive OR alternatives that allow IA, IB, IC, II, III, or bulbousBowPresent=true ships to pass. Apply the readiness constraints only when the ship has exactly one controlled iceClass equal to nltl:iceClassIaSuper and exactly one xsd:boolean nltl:bulbousBowPresent value equal to false. In that applicable case, retain all declared formula operands and result terms C1/C2 in their canonical QuantityValue domains and units, add numerical-tolerance validation for both derived results, and change shipLength, shipBreadth, and iceClassDraught from sh:minInclusive 0 to strictly positive constraints (sh:minExclusive 0).</x:v>
      </x:c>
      <x:c r="I6" s="86" t="n">
        <x:v>22214.639</x:v>
      </x:c>
      <x:c r="J6" s="86" t="n">
        <x:v>6461.578</x:v>
      </x:c>
    </x:row>
    <x:row r="7">
      <x:c r="A7" s="47" t="str">
        <x:v>RUN-TRF-025-20260827T223223397676Z</x:v>
      </x:c>
      <x:c r="B7" s="47" t="str">
        <x:v>TRF-025</x:v>
      </x:c>
      <x:c r="C7" s="59" t="n">
        <x:v>3</x:v>
      </x:c>
      <x:c r="D7" s="85" t="b">
        <x:v>1</x:v>
      </x:c>
      <x:c r="E7" s="85" t="b">
        <x:v>0</x:v>
      </x:c>
      <x:c r="F7" s="85" t="b">
        <x:v>0</x:v>
      </x:c>
      <x:c r="G7" s="47" t="str">
        <x:v>REVISE</x:v>
      </x:c>
      <x:c r="H7" s="48" t="str">
        <x:v>Preserve the existing applicability, controlled-value, owner/path, operand-presence, unit, datatype, and strictly-positive L/B/T checks. The candidate still fails the prior requirement for derived-result validation: for applicable IA Super ships without a bulb, validate both C1 and C2 against their declared QuantityValue domains and units using numerical tolerances scaled from the expected formula results, not merely presence, datatype, and unit. Do not use exact equality for these derived decimal results; retain the readiness boundary and do not invent additional evidence or formula obligations.</x:v>
      </x:c>
      <x:c r="I7" s="86" t="n">
        <x:v>24983.924</x:v>
      </x:c>
      <x:c r="J7" s="86" t="n">
        <x:v>6824.298</x:v>
      </x:c>
    </x:row>
    <x:row r="8">
      <x:c r="A8" s="49" t="str">
        <x:v>RUN-TRF-025-20260827T223223397676Z</x:v>
      </x:c>
      <x:c r="B8" s="49" t="str">
        <x:v>TRF-025</x:v>
      </x:c>
      <x:c r="C8" s="60" t="n">
        <x:v>4</x:v>
      </x:c>
      <x:c r="D8" s="87" t="b">
        <x:v>1</x:v>
      </x:c>
      <x:c r="E8" s="87" t="b">
        <x:v>0</x:v>
      </x:c>
      <x:c r="F8" s="87" t="b">
        <x:v>0</x:v>
      </x:c>
      <x:c r="G8" s="49" t="str">
        <x:v>REVISE</x:v>
      </x:c>
      <x:c r="H8" s="50" t="str">
        <x:v>Preserve the existing IA Super/false-bulb applicability, exactly-one controlled iceClass and boolean checks, ship ownership, all operands, required units/datatypes, and strictly positive L/B/T constraints. Repair the SPARQL constraint's pass logic: its SELECT currently returns the ship when every required fact exists, so compliant data is reported as a violation while missing data can pass; select violations for missing, malformed, non-unique, or invalid facts instead. Also add the required numerical-tolerance validation for both derived C1 and C2 results, scaled from their expected formula results rather than using presence/unit checks only. Retain the COMPLEX_READINESS boundary: do not invent a mandatory formula execution or additional evidence obligation.</x:v>
      </x:c>
      <x:c r="I8" s="88" t="n">
        <x:v>27648.878</x:v>
      </x:c>
      <x:c r="J8" s="88" t="n">
        <x:v>7124.133</x:v>
      </x:c>
    </x:row>
  </x:sheetData>
  <x:conditionalFormatting sqref="G5:G8">
    <x:cfRule type="containsText" dxfId="24" priority="1" operator="containsText" text="ACCEPT"/>
    <x:cfRule type="containsText" dxfId="25" priority="2" operator="containsText" text="ELIGIBLE"/>
    <x:cfRule type="containsText" dxfId="26" priority="3" operator="containsText" text="PASS"/>
    <x:cfRule type="containsText" dxfId="27" priority="4" operator="containsText" text="GAP"/>
    <x:cfRule type="containsText" dxfId="28" priority="5" operator="containsText" text="FAIL"/>
    <x:cfRule type="containsText" dxfId="29" priority="6" operator="containsText" text="DEFERRED"/>
  </x:conditionalFormatting>
  <x:pageMargins left="0.7" right="0.7" top="0.75" bottom="0.75" header="0.3" footer="0.3"/>
  <x:tableParts count="1">
    <x:tablePart xmlns:r="http://schemas.openxmlformats.org/officeDocument/2006/relationships" r:id="Rd3d87639ef5f4cc7"/>
  </x:tableParts>
</x:worksheet>
</file>

<file path=xl/worksheets/sheet6.xml><?xml version="1.0" encoding="utf-8"?>
<x:worksheet xmlns:x="http://schemas.openxmlformats.org/spreadsheetml/2006/main">
  <x:sheetViews>
    <x:sheetView showGridLines="0" workbookViewId="0"/>
  </x:sheetViews>
  <x:sheetFormatPr defaultRowHeight="15"/>
  <x:cols>
    <x:col min="1" max="1" width="16" hidden="0" customWidth="1"/>
    <x:col min="2" max="2" width="42" hidden="0" customWidth="1"/>
    <x:col min="3" max="3" width="18" hidden="0" customWidth="1"/>
    <x:col min="4" max="4" width="25" hidden="0" customWidth="1"/>
    <x:col min="5" max="5" width="15" hidden="0" customWidth="1"/>
    <x:col min="6" max="6" width="30" hidden="0" customWidth="1"/>
    <x:col min="7" max="7" width="19" hidden="0" customWidth="1"/>
    <x:col min="8" max="8" width="11" hidden="0" customWidth="1"/>
    <x:col min="9" max="9" width="24" hidden="0" customWidth="1"/>
    <x:col min="10" max="10" width="20" hidden="0" customWidth="1"/>
    <x:col min="11" max="11" width="12" hidden="0" customWidth="1"/>
    <x:col min="12" max="12" width="11" hidden="0" customWidth="1"/>
    <x:col min="13" max="13" width="24" hidden="0" customWidth="1"/>
    <x:col min="14" max="14" width="14" hidden="0" customWidth="1"/>
    <x:col min="15" max="15" width="15" hidden="0" customWidth="1"/>
    <x:col min="16" max="16" width="14" hidden="0" customWidth="1"/>
  </x:cols>
  <x:sheetData>
    <x:row r="1">
      <x:c r="A1" s="18" t="str">
        <x:v>NLTL SHACL Pipeline Run Tracker</x:v>
      </x:c>
      <x:c r="B1" s="19"/>
      <x:c r="C1" s="19"/>
      <x:c r="D1" s="19"/>
      <x:c r="E1" s="19"/>
      <x:c r="F1" s="19"/>
      <x:c r="G1" s="19"/>
      <x:c r="H1" s="19"/>
      <x:c r="I1" s="19"/>
      <x:c r="J1" s="19"/>
      <x:c r="K1" s="19"/>
      <x:c r="L1" s="19"/>
      <x:c r="M1" s="19"/>
      <x:c r="N1" s="19"/>
      <x:c r="O1" s="19"/>
      <x:c r="P1" s="19"/>
    </x:row>
    <x:row r="2">
      <x:c r="A2" s="20" t="str">
        <x:v>API_CALLS | Run folder: RUN-TRF-025-20260827T223223397676Z</x:v>
      </x:c>
      <x:c r="B2" s="20"/>
      <x:c r="C2" s="20"/>
      <x:c r="D2" s="20"/>
      <x:c r="E2" s="20"/>
      <x:c r="F2" s="20"/>
      <x:c r="G2" s="20"/>
      <x:c r="H2" s="20"/>
      <x:c r="I2" s="20"/>
      <x:c r="J2" s="20"/>
      <x:c r="K2" s="20"/>
      <x:c r="L2" s="20"/>
      <x:c r="M2" s="20"/>
      <x:c r="N2" s="20"/>
      <x:c r="O2" s="20"/>
      <x:c r="P2" s="20"/>
    </x:row>
    <x:row r="3">
      <x:c r="A3" s="21"/>
      <x:c r="B3" s="21"/>
      <x:c r="C3" s="21"/>
      <x:c r="D3" s="21"/>
      <x:c r="E3" s="21"/>
      <x:c r="F3" s="21"/>
      <x:c r="G3" s="21"/>
      <x:c r="H3" s="21"/>
      <x:c r="I3" s="21"/>
      <x:c r="J3" s="21"/>
      <x:c r="K3" s="21"/>
      <x:c r="L3" s="21"/>
      <x:c r="M3" s="21"/>
      <x:c r="N3" s="21"/>
      <x:c r="O3" s="21"/>
      <x:c r="P3" s="21"/>
    </x:row>
    <x:row r="4" ht="30" customHeight="1">
      <x:c r="A4" s="43" t="str">
        <x:v>EVENT_ID</x:v>
      </x:c>
      <x:c r="B4" s="57" t="str">
        <x:v>RUN_ID</x:v>
      </x:c>
      <x:c r="C4" s="57" t="str">
        <x:v>REQUIREMENT_ID</x:v>
      </x:c>
      <x:c r="D4" s="57" t="str">
        <x:v>TIMESTAMP_UTC</x:v>
      </x:c>
      <x:c r="E4" s="57" t="str">
        <x:v>ROLE</x:v>
      </x:c>
      <x:c r="F4" s="57" t="str">
        <x:v>MODEL</x:v>
      </x:c>
      <x:c r="G4" s="57" t="str">
        <x:v>TRANSPORT_ATTEMPT</x:v>
      </x:c>
      <x:c r="H4" s="57" t="str">
        <x:v>STATUS</x:v>
      </x:c>
      <x:c r="I4" s="57" t="str">
        <x:v>AUTH_HEADER_NAME</x:v>
      </x:c>
      <x:c r="J4" s="57" t="str">
        <x:v>RATE_LIMIT_WAIT_MS</x:v>
      </x:c>
      <x:c r="K4" s="57" t="str">
        <x:v>ELAPSED_MS</x:v>
      </x:c>
      <x:c r="L4" s="57" t="str">
        <x:v>RETRYING</x:v>
      </x:c>
      <x:c r="M4" s="57" t="str">
        <x:v>RESPONSE_ID</x:v>
      </x:c>
      <x:c r="N4" s="57" t="str">
        <x:v>INPUT_TOKENS</x:v>
      </x:c>
      <x:c r="O4" s="57" t="str">
        <x:v>OUTPUT_TOKENS</x:v>
      </x:c>
      <x:c r="P4" s="44" t="str">
        <x:v>TOTAL_TOKENS</x:v>
      </x:c>
    </x:row>
    <x:row r="5">
      <x:c r="A5" s="45" t="str">
        <x:v>EVT-000034</x:v>
      </x:c>
      <x:c r="B5" s="45" t="str">
        <x:v>RUN-TRF-025-20260827T223223397676Z</x:v>
      </x:c>
      <x:c r="C5" s="45" t="str">
        <x:v>TRF-025</x:v>
      </x:c>
      <x:c r="D5" s="92" t="n">
        <x:v>46261.93940616898</x:v>
      </x:c>
      <x:c r="E5" s="45" t="str">
        <x:v>generator</x:v>
      </x:c>
      <x:c r="F5" s="45" t="str">
        <x:v>gpt-5.6-luna-2026-07-09</x:v>
      </x:c>
      <x:c r="G5" s="45" t="n">
        <x:v>1</x:v>
      </x:c>
      <x:c r="H5" s="45" t="n">
        <x:v>200</x:v>
      </x:c>
      <x:c r="I5" s="45" t="str">
        <x:v>Ocp-Apim-Subscription-Key</x:v>
      </x:c>
      <x:c r="J5" s="84" t="n">
        <x:v>0</x:v>
      </x:c>
      <x:c r="K5" s="84" t="n">
        <x:v>21292.098</x:v>
      </x:c>
      <x:c r="L5" s="83" t="b">
        <x:v>0</x:v>
      </x:c>
      <x:c r="M5" s="45" t="str"/>
      <x:c r="N5" s="58" t="str"/>
      <x:c r="O5" s="58" t="str"/>
      <x:c r="P5" s="58" t="str"/>
    </x:row>
    <x:row r="6">
      <x:c r="A6" s="47" t="str">
        <x:v>EVT-000035</x:v>
      </x:c>
      <x:c r="B6" s="47" t="str">
        <x:v>RUN-TRF-025-20260827T223223397676Z</x:v>
      </x:c>
      <x:c r="C6" s="47" t="str">
        <x:v>TRF-025</x:v>
      </x:c>
      <x:c r="D6" s="93" t="n">
        <x:v>46261.93940618056</x:v>
      </x:c>
      <x:c r="E6" s="47" t="str">
        <x:v>generator</x:v>
      </x:c>
      <x:c r="F6" s="47" t="str">
        <x:v>gpt-5.6-luna-2026-07-09</x:v>
      </x:c>
      <x:c r="G6" s="47" t="n">
        <x:v>1</x:v>
      </x:c>
      <x:c r="H6" s="47" t="str">
        <x:v>COMPLETED</x:v>
      </x:c>
      <x:c r="I6" s="47" t="str"/>
      <x:c r="J6" s="86" t="n">
        <x:v>0</x:v>
      </x:c>
      <x:c r="K6" s="86" t="n">
        <x:v>21293.033</x:v>
      </x:c>
      <x:c r="L6" s="85" t="b">
        <x:v>0</x:v>
      </x:c>
      <x:c r="M6" s="47" t="str">
        <x:v>resp_044f7f00abd5c16f006a90baf78a848190898e02675b19b824</x:v>
      </x:c>
      <x:c r="N6" s="59" t="n">
        <x:v>12560</x:v>
      </x:c>
      <x:c r="O6" s="59" t="n">
        <x:v>3333</x:v>
      </x:c>
      <x:c r="P6" s="59" t="n">
        <x:v>15893</x:v>
      </x:c>
    </x:row>
    <x:row r="7">
      <x:c r="A7" s="47" t="str">
        <x:v>EVT-000040</x:v>
      </x:c>
      <x:c r="B7" s="47" t="str">
        <x:v>RUN-TRF-025-20260827T223223397676Z</x:v>
      </x:c>
      <x:c r="C7" s="47" t="str">
        <x:v>TRF-025</x:v>
      </x:c>
      <x:c r="D7" s="93" t="n">
        <x:v>46261.93955744213</x:v>
      </x:c>
      <x:c r="E7" s="47" t="str">
        <x:v>syntax_repair</x:v>
      </x:c>
      <x:c r="F7" s="47" t="str">
        <x:v>gpt-5.6-luna-2026-07-09</x:v>
      </x:c>
      <x:c r="G7" s="47" t="n">
        <x:v>1</x:v>
      </x:c>
      <x:c r="H7" s="47" t="n">
        <x:v>200</x:v>
      </x:c>
      <x:c r="I7" s="47" t="str">
        <x:v>Ocp-Apim-Subscription-Key</x:v>
      </x:c>
      <x:c r="J7" s="86" t="n">
        <x:v>0</x:v>
      </x:c>
      <x:c r="K7" s="86" t="n">
        <x:v>13058.759</x:v>
      </x:c>
      <x:c r="L7" s="85" t="b">
        <x:v>0</x:v>
      </x:c>
      <x:c r="M7" s="47" t="str"/>
      <x:c r="N7" s="59" t="str"/>
      <x:c r="O7" s="59" t="str"/>
      <x:c r="P7" s="59" t="str"/>
    </x:row>
    <x:row r="8">
      <x:c r="A8" s="47" t="str">
        <x:v>EVT-000041</x:v>
      </x:c>
      <x:c r="B8" s="47" t="str">
        <x:v>RUN-TRF-025-20260827T223223397676Z</x:v>
      </x:c>
      <x:c r="C8" s="47" t="str">
        <x:v>TRF-025</x:v>
      </x:c>
      <x:c r="D8" s="93" t="n">
        <x:v>46261.93955746528</x:v>
      </x:c>
      <x:c r="E8" s="47" t="str">
        <x:v>syntax_repair</x:v>
      </x:c>
      <x:c r="F8" s="47" t="str">
        <x:v>gpt-5.6-luna-2026-07-09</x:v>
      </x:c>
      <x:c r="G8" s="47" t="n">
        <x:v>1</x:v>
      </x:c>
      <x:c r="H8" s="47" t="str">
        <x:v>COMPLETED</x:v>
      </x:c>
      <x:c r="I8" s="47" t="str"/>
      <x:c r="J8" s="86" t="n">
        <x:v>0</x:v>
      </x:c>
      <x:c r="K8" s="86" t="n">
        <x:v>13060.273</x:v>
      </x:c>
      <x:c r="L8" s="85" t="b">
        <x:v>0</x:v>
      </x:c>
      <x:c r="M8" s="47" t="str">
        <x:v>resp_01501c2c771ea240006a90bb0cd91c8190b2ababe88fcb5982</x:v>
      </x:c>
      <x:c r="N8" s="59" t="n">
        <x:v>3037</x:v>
      </x:c>
      <x:c r="O8" s="59" t="n">
        <x:v>2453</x:v>
      </x:c>
      <x:c r="P8" s="59" t="n">
        <x:v>5490</x:v>
      </x:c>
    </x:row>
    <x:row r="9">
      <x:c r="A9" s="47" t="str">
        <x:v>EVT-000049</x:v>
      </x:c>
      <x:c r="B9" s="47" t="str">
        <x:v>RUN-TRF-025-20260827T223223397676Z</x:v>
      </x:c>
      <x:c r="C9" s="47" t="str">
        <x:v>TRF-025</x:v>
      </x:c>
      <x:c r="D9" s="93" t="n">
        <x:v>46261.93967475695</x:v>
      </x:c>
      <x:c r="E9" s="47" t="str">
        <x:v>validator</x:v>
      </x:c>
      <x:c r="F9" s="47" t="str">
        <x:v>gpt-5.6-luna-2026-07-09</x:v>
      </x:c>
      <x:c r="G9" s="47" t="n">
        <x:v>1</x:v>
      </x:c>
      <x:c r="H9" s="47" t="n">
        <x:v>200</x:v>
      </x:c>
      <x:c r="I9" s="47" t="str">
        <x:v>Ocp-Apim-Subscription-Key</x:v>
      </x:c>
      <x:c r="J9" s="86" t="n">
        <x:v>0</x:v>
      </x:c>
      <x:c r="K9" s="86" t="n">
        <x:v>9711.507</x:v>
      </x:c>
      <x:c r="L9" s="85" t="b">
        <x:v>0</x:v>
      </x:c>
      <x:c r="M9" s="47" t="str"/>
      <x:c r="N9" s="59" t="str"/>
      <x:c r="O9" s="59" t="str"/>
      <x:c r="P9" s="59" t="str"/>
    </x:row>
    <x:row r="10">
      <x:c r="A10" s="47" t="str">
        <x:v>EVT-000050</x:v>
      </x:c>
      <x:c r="B10" s="47" t="str">
        <x:v>RUN-TRF-025-20260827T223223397676Z</x:v>
      </x:c>
      <x:c r="C10" s="47" t="str">
        <x:v>TRF-025</x:v>
      </x:c>
      <x:c r="D10" s="93" t="n">
        <x:v>46261.93967478009</x:v>
      </x:c>
      <x:c r="E10" s="47" t="str">
        <x:v>validator</x:v>
      </x:c>
      <x:c r="F10" s="47" t="str">
        <x:v>gpt-5.6-luna-2026-07-09</x:v>
      </x:c>
      <x:c r="G10" s="47" t="n">
        <x:v>1</x:v>
      </x:c>
      <x:c r="H10" s="47" t="str">
        <x:v>COMPLETED</x:v>
      </x:c>
      <x:c r="I10" s="47" t="str"/>
      <x:c r="J10" s="86" t="n">
        <x:v>0</x:v>
      </x:c>
      <x:c r="K10" s="86" t="n">
        <x:v>9713.001</x:v>
      </x:c>
      <x:c r="L10" s="85" t="b">
        <x:v>0</x:v>
      </x:c>
      <x:c r="M10" s="47" t="str">
        <x:v>resp_0d2cdadf31af376f006a90bb1adb948193bd163859a67f26c5</x:v>
      </x:c>
      <x:c r="N10" s="59" t="n">
        <x:v>15241</x:v>
      </x:c>
      <x:c r="O10" s="59" t="n">
        <x:v>694</x:v>
      </x:c>
      <x:c r="P10" s="59" t="n">
        <x:v>15935</x:v>
      </x:c>
    </x:row>
    <x:row r="11">
      <x:c r="A11" s="47" t="str">
        <x:v>EVT-000055</x:v>
      </x:c>
      <x:c r="B11" s="47" t="str">
        <x:v>RUN-TRF-025-20260827T223223397676Z</x:v>
      </x:c>
      <x:c r="C11" s="47" t="str">
        <x:v>TRF-025</x:v>
      </x:c>
      <x:c r="D11" s="93" t="n">
        <x:v>46261.93993193287</x:v>
      </x:c>
      <x:c r="E11" s="47" t="str">
        <x:v>generator</x:v>
      </x:c>
      <x:c r="F11" s="47" t="str">
        <x:v>gpt-5.6-luna-2026-07-09</x:v>
      </x:c>
      <x:c r="G11" s="47" t="n">
        <x:v>1</x:v>
      </x:c>
      <x:c r="H11" s="47" t="n">
        <x:v>200</x:v>
      </x:c>
      <x:c r="I11" s="47" t="str">
        <x:v>Ocp-Apim-Subscription-Key</x:v>
      </x:c>
      <x:c r="J11" s="86" t="n">
        <x:v>0</x:v>
      </x:c>
      <x:c r="K11" s="86" t="n">
        <x:v>22213.046</x:v>
      </x:c>
      <x:c r="L11" s="85" t="b">
        <x:v>0</x:v>
      </x:c>
      <x:c r="M11" s="47" t="str"/>
      <x:c r="N11" s="59" t="str"/>
      <x:c r="O11" s="59" t="str"/>
      <x:c r="P11" s="59" t="str"/>
    </x:row>
    <x:row r="12">
      <x:c r="A12" s="47" t="str">
        <x:v>EVT-000056</x:v>
      </x:c>
      <x:c r="B12" s="47" t="str">
        <x:v>RUN-TRF-025-20260827T223223397676Z</x:v>
      </x:c>
      <x:c r="C12" s="47" t="str">
        <x:v>TRF-025</x:v>
      </x:c>
      <x:c r="D12" s="93" t="n">
        <x:v>46261.93993195602</x:v>
      </x:c>
      <x:c r="E12" s="47" t="str">
        <x:v>generator</x:v>
      </x:c>
      <x:c r="F12" s="47" t="str">
        <x:v>gpt-5.6-luna-2026-07-09</x:v>
      </x:c>
      <x:c r="G12" s="47" t="n">
        <x:v>1</x:v>
      </x:c>
      <x:c r="H12" s="47" t="str">
        <x:v>COMPLETED</x:v>
      </x:c>
      <x:c r="I12" s="47" t="str"/>
      <x:c r="J12" s="86" t="n">
        <x:v>0</x:v>
      </x:c>
      <x:c r="K12" s="86" t="n">
        <x:v>22214.639</x:v>
      </x:c>
      <x:c r="L12" s="85" t="b">
        <x:v>0</x:v>
      </x:c>
      <x:c r="M12" s="47" t="str">
        <x:v>resp_0affafc78fa0455c006a90bb241af48194bbfba912a51a13fd</x:v>
      </x:c>
      <x:c r="N12" s="59" t="n">
        <x:v>12717</x:v>
      </x:c>
      <x:c r="O12" s="59" t="n">
        <x:v>3297</x:v>
      </x:c>
      <x:c r="P12" s="59" t="n">
        <x:v>16014</x:v>
      </x:c>
    </x:row>
    <x:row r="13">
      <x:c r="A13" s="47" t="str">
        <x:v>EVT-000063</x:v>
      </x:c>
      <x:c r="B13" s="47" t="str">
        <x:v>RUN-TRF-025-20260827T223223397676Z</x:v>
      </x:c>
      <x:c r="C13" s="47" t="str">
        <x:v>TRF-025</x:v>
      </x:c>
      <x:c r="D13" s="93" t="n">
        <x:v>46261.94001135416</x:v>
      </x:c>
      <x:c r="E13" s="47" t="str">
        <x:v>validator</x:v>
      </x:c>
      <x:c r="F13" s="47" t="str">
        <x:v>gpt-5.6-luna-2026-07-09</x:v>
      </x:c>
      <x:c r="G13" s="47" t="n">
        <x:v>1</x:v>
      </x:c>
      <x:c r="H13" s="47" t="n">
        <x:v>200</x:v>
      </x:c>
      <x:c r="I13" s="47" t="str">
        <x:v>Ocp-Apim-Subscription-Key</x:v>
      </x:c>
      <x:c r="J13" s="86" t="n">
        <x:v>0</x:v>
      </x:c>
      <x:c r="K13" s="86" t="n">
        <x:v>6460.373</x:v>
      </x:c>
      <x:c r="L13" s="85" t="b">
        <x:v>0</x:v>
      </x:c>
      <x:c r="M13" s="47" t="str"/>
      <x:c r="N13" s="59" t="str"/>
      <x:c r="O13" s="59" t="str"/>
      <x:c r="P13" s="59" t="str"/>
    </x:row>
    <x:row r="14">
      <x:c r="A14" s="47" t="str">
        <x:v>EVT-000064</x:v>
      </x:c>
      <x:c r="B14" s="47" t="str">
        <x:v>RUN-TRF-025-20260827T223223397676Z</x:v>
      </x:c>
      <x:c r="C14" s="47" t="str">
        <x:v>TRF-025</x:v>
      </x:c>
      <x:c r="D14" s="93" t="n">
        <x:v>46261.94001136574</x:v>
      </x:c>
      <x:c r="E14" s="47" t="str">
        <x:v>validator</x:v>
      </x:c>
      <x:c r="F14" s="47" t="str">
        <x:v>gpt-5.6-luna-2026-07-09</x:v>
      </x:c>
      <x:c r="G14" s="47" t="n">
        <x:v>1</x:v>
      </x:c>
      <x:c r="H14" s="47" t="str">
        <x:v>COMPLETED</x:v>
      </x:c>
      <x:c r="I14" s="47" t="str"/>
      <x:c r="J14" s="86" t="n">
        <x:v>0</x:v>
      </x:c>
      <x:c r="K14" s="86" t="n">
        <x:v>6461.578</x:v>
      </x:c>
      <x:c r="L14" s="85" t="b">
        <x:v>0</x:v>
      </x:c>
      <x:c r="M14" s="47" t="str">
        <x:v>resp_0d1f34988a8ac047006a90bb3aaa4081908165af0cb5f5ffb5</x:v>
      </x:c>
      <x:c r="N14" s="59" t="n">
        <x:v>15385</x:v>
      </x:c>
      <x:c r="O14" s="59" t="n">
        <x:v>595</x:v>
      </x:c>
      <x:c r="P14" s="59" t="n">
        <x:v>15980</x:v>
      </x:c>
    </x:row>
    <x:row r="15">
      <x:c r="A15" s="47" t="str">
        <x:v>EVT-000069</x:v>
      </x:c>
      <x:c r="B15" s="47" t="str">
        <x:v>RUN-TRF-025-20260827T223223397676Z</x:v>
      </x:c>
      <x:c r="C15" s="47" t="str">
        <x:v>TRF-025</x:v>
      </x:c>
      <x:c r="D15" s="93" t="n">
        <x:v>46261.94030056713</x:v>
      </x:c>
      <x:c r="E15" s="47" t="str">
        <x:v>generator</x:v>
      </x:c>
      <x:c r="F15" s="47" t="str">
        <x:v>gpt-5.6-luna-2026-07-09</x:v>
      </x:c>
      <x:c r="G15" s="47" t="n">
        <x:v>1</x:v>
      </x:c>
      <x:c r="H15" s="47" t="n">
        <x:v>200</x:v>
      </x:c>
      <x:c r="I15" s="47" t="str">
        <x:v>Ocp-Apim-Subscription-Key</x:v>
      </x:c>
      <x:c r="J15" s="86" t="n">
        <x:v>0</x:v>
      </x:c>
      <x:c r="K15" s="86" t="n">
        <x:v>24982.375</x:v>
      </x:c>
      <x:c r="L15" s="85" t="b">
        <x:v>0</x:v>
      </x:c>
      <x:c r="M15" s="47" t="str"/>
      <x:c r="N15" s="59" t="str"/>
      <x:c r="O15" s="59" t="str"/>
      <x:c r="P15" s="59" t="str"/>
    </x:row>
    <x:row r="16">
      <x:c r="A16" s="47" t="str">
        <x:v>EVT-000070</x:v>
      </x:c>
      <x:c r="B16" s="47" t="str">
        <x:v>RUN-TRF-025-20260827T223223397676Z</x:v>
      </x:c>
      <x:c r="C16" s="47" t="str">
        <x:v>TRF-025</x:v>
      </x:c>
      <x:c r="D16" s="93" t="n">
        <x:v>46261.9403005787</x:v>
      </x:c>
      <x:c r="E16" s="47" t="str">
        <x:v>generator</x:v>
      </x:c>
      <x:c r="F16" s="47" t="str">
        <x:v>gpt-5.6-luna-2026-07-09</x:v>
      </x:c>
      <x:c r="G16" s="47" t="n">
        <x:v>1</x:v>
      </x:c>
      <x:c r="H16" s="47" t="str">
        <x:v>COMPLETED</x:v>
      </x:c>
      <x:c r="I16" s="47" t="str"/>
      <x:c r="J16" s="86" t="n">
        <x:v>0</x:v>
      </x:c>
      <x:c r="K16" s="86" t="n">
        <x:v>24983.924</x:v>
      </x:c>
      <x:c r="L16" s="85" t="b">
        <x:v>0</x:v>
      </x:c>
      <x:c r="M16" s="47" t="str">
        <x:v>resp_0528ec422af9e7e0006a90bb4125dc8197915e9883713f9a64</x:v>
      </x:c>
      <x:c r="N16" s="59" t="n">
        <x:v>12874</x:v>
      </x:c>
      <x:c r="O16" s="59" t="n">
        <x:v>3004</x:v>
      </x:c>
      <x:c r="P16" s="59" t="n">
        <x:v>15878</x:v>
      </x:c>
    </x:row>
    <x:row r="17">
      <x:c r="A17" s="47" t="str">
        <x:v>EVT-000077</x:v>
      </x:c>
      <x:c r="B17" s="47" t="str">
        <x:v>RUN-TRF-025-20260827T223223397676Z</x:v>
      </x:c>
      <x:c r="C17" s="47" t="str">
        <x:v>TRF-025</x:v>
      </x:c>
      <x:c r="D17" s="93" t="n">
        <x:v>46261.940381099535</x:v>
      </x:c>
      <x:c r="E17" s="47" t="str">
        <x:v>validator</x:v>
      </x:c>
      <x:c r="F17" s="47" t="str">
        <x:v>gpt-5.6-luna-2026-07-09</x:v>
      </x:c>
      <x:c r="G17" s="47" t="n">
        <x:v>1</x:v>
      </x:c>
      <x:c r="H17" s="47" t="n">
        <x:v>200</x:v>
      </x:c>
      <x:c r="I17" s="47" t="str">
        <x:v>Ocp-Apim-Subscription-Key</x:v>
      </x:c>
      <x:c r="J17" s="86" t="n">
        <x:v>0</x:v>
      </x:c>
      <x:c r="K17" s="86" t="n">
        <x:v>6823.626</x:v>
      </x:c>
      <x:c r="L17" s="85" t="b">
        <x:v>0</x:v>
      </x:c>
      <x:c r="M17" s="47" t="str"/>
      <x:c r="N17" s="59" t="str"/>
      <x:c r="O17" s="59" t="str"/>
      <x:c r="P17" s="59" t="str"/>
    </x:row>
    <x:row r="18">
      <x:c r="A18" s="47" t="str">
        <x:v>EVT-000078</x:v>
      </x:c>
      <x:c r="B18" s="47" t="str">
        <x:v>RUN-TRF-025-20260827T223223397676Z</x:v>
      </x:c>
      <x:c r="C18" s="47" t="str">
        <x:v>TRF-025</x:v>
      </x:c>
      <x:c r="D18" s="93" t="n">
        <x:v>46261.94038111111</x:v>
      </x:c>
      <x:c r="E18" s="47" t="str">
        <x:v>validator</x:v>
      </x:c>
      <x:c r="F18" s="47" t="str">
        <x:v>gpt-5.6-luna-2026-07-09</x:v>
      </x:c>
      <x:c r="G18" s="47" t="n">
        <x:v>1</x:v>
      </x:c>
      <x:c r="H18" s="47" t="str">
        <x:v>COMPLETED</x:v>
      </x:c>
      <x:c r="I18" s="47" t="str"/>
      <x:c r="J18" s="86" t="n">
        <x:v>0</x:v>
      </x:c>
      <x:c r="K18" s="86" t="n">
        <x:v>6824.298</x:v>
      </x:c>
      <x:c r="L18" s="85" t="b">
        <x:v>0</x:v>
      </x:c>
      <x:c r="M18" s="47" t="str">
        <x:v>resp_01c2d2775a14236a006a90bb5a3f248197adaf5b1f7ae13061</x:v>
      </x:c>
      <x:c r="N18" s="59" t="n">
        <x:v>14420</x:v>
      </x:c>
      <x:c r="O18" s="59" t="n">
        <x:v>532</x:v>
      </x:c>
      <x:c r="P18" s="59" t="n">
        <x:v>14952</x:v>
      </x:c>
    </x:row>
    <x:row r="19">
      <x:c r="A19" s="47" t="str">
        <x:v>EVT-000084</x:v>
      </x:c>
      <x:c r="B19" s="47" t="str">
        <x:v>RUN-TRF-025-20260827T223223397676Z</x:v>
      </x:c>
      <x:c r="C19" s="47" t="str">
        <x:v>TRF-025</x:v>
      </x:c>
      <x:c r="D19" s="93" t="n">
        <x:v>46261.94070113426</x:v>
      </x:c>
      <x:c r="E19" s="47" t="str">
        <x:v>generator</x:v>
      </x:c>
      <x:c r="F19" s="47" t="str">
        <x:v>gpt-5.6-luna-2026-07-09</x:v>
      </x:c>
      <x:c r="G19" s="47" t="n">
        <x:v>1</x:v>
      </x:c>
      <x:c r="H19" s="47" t="n">
        <x:v>200</x:v>
      </x:c>
      <x:c r="I19" s="47" t="str">
        <x:v>Ocp-Apim-Subscription-Key</x:v>
      </x:c>
      <x:c r="J19" s="86" t="n">
        <x:v>0</x:v>
      </x:c>
      <x:c r="K19" s="86" t="n">
        <x:v>27647.46</x:v>
      </x:c>
      <x:c r="L19" s="85" t="b">
        <x:v>0</x:v>
      </x:c>
      <x:c r="M19" s="47" t="str"/>
      <x:c r="N19" s="59" t="str"/>
      <x:c r="O19" s="59" t="str"/>
      <x:c r="P19" s="59" t="str"/>
    </x:row>
    <x:row r="20">
      <x:c r="A20" s="47" t="str">
        <x:v>EVT-000085</x:v>
      </x:c>
      <x:c r="B20" s="47" t="str">
        <x:v>RUN-TRF-025-20260827T223223397676Z</x:v>
      </x:c>
      <x:c r="C20" s="47" t="str">
        <x:v>TRF-025</x:v>
      </x:c>
      <x:c r="D20" s="93" t="n">
        <x:v>46261.94070115741</x:v>
      </x:c>
      <x:c r="E20" s="47" t="str">
        <x:v>generator</x:v>
      </x:c>
      <x:c r="F20" s="47" t="str">
        <x:v>gpt-5.6-luna-2026-07-09</x:v>
      </x:c>
      <x:c r="G20" s="47" t="n">
        <x:v>1</x:v>
      </x:c>
      <x:c r="H20" s="47" t="str">
        <x:v>COMPLETED</x:v>
      </x:c>
      <x:c r="I20" s="47" t="str"/>
      <x:c r="J20" s="86" t="n">
        <x:v>0</x:v>
      </x:c>
      <x:c r="K20" s="86" t="n">
        <x:v>27648.878</x:v>
      </x:c>
      <x:c r="L20" s="85" t="b">
        <x:v>0</x:v>
      </x:c>
      <x:c r="M20" s="47" t="str">
        <x:v>resp_033f7179ee1ef8d0006a90bb613e408197b5b635fba863d3b1</x:v>
      </x:c>
      <x:c r="N20" s="59" t="n">
        <x:v>12985</x:v>
      </x:c>
      <x:c r="O20" s="59" t="n">
        <x:v>3256</x:v>
      </x:c>
      <x:c r="P20" s="59" t="n">
        <x:v>16241</x:v>
      </x:c>
    </x:row>
    <x:row r="21">
      <x:c r="A21" s="47" t="str">
        <x:v>EVT-000092</x:v>
      </x:c>
      <x:c r="B21" s="47" t="str">
        <x:v>RUN-TRF-025-20260827T223223397676Z</x:v>
      </x:c>
      <x:c r="C21" s="47" t="str">
        <x:v>TRF-025</x:v>
      </x:c>
      <x:c r="D21" s="93" t="n">
        <x:v>46261.94078554398</x:v>
      </x:c>
      <x:c r="E21" s="47" t="str">
        <x:v>validator</x:v>
      </x:c>
      <x:c r="F21" s="47" t="str">
        <x:v>gpt-5.6-luna-2026-07-09</x:v>
      </x:c>
      <x:c r="G21" s="47" t="n">
        <x:v>1</x:v>
      </x:c>
      <x:c r="H21" s="47" t="n">
        <x:v>200</x:v>
      </x:c>
      <x:c r="I21" s="47" t="str">
        <x:v>Ocp-Apim-Subscription-Key</x:v>
      </x:c>
      <x:c r="J21" s="86" t="n">
        <x:v>0</x:v>
      </x:c>
      <x:c r="K21" s="86" t="n">
        <x:v>7122.792</x:v>
      </x:c>
      <x:c r="L21" s="85" t="b">
        <x:v>0</x:v>
      </x:c>
      <x:c r="M21" s="47" t="str"/>
      <x:c r="N21" s="59" t="str"/>
      <x:c r="O21" s="59" t="str"/>
      <x:c r="P21" s="59" t="str"/>
    </x:row>
    <x:row r="22">
      <x:c r="A22" s="49" t="str">
        <x:v>EVT-000093</x:v>
      </x:c>
      <x:c r="B22" s="49" t="str">
        <x:v>RUN-TRF-025-20260827T223223397676Z</x:v>
      </x:c>
      <x:c r="C22" s="49" t="str">
        <x:v>TRF-025</x:v>
      </x:c>
      <x:c r="D22" s="94" t="n">
        <x:v>46261.940785555555</x:v>
      </x:c>
      <x:c r="E22" s="49" t="str">
        <x:v>validator</x:v>
      </x:c>
      <x:c r="F22" s="49" t="str">
        <x:v>gpt-5.6-luna-2026-07-09</x:v>
      </x:c>
      <x:c r="G22" s="49" t="n">
        <x:v>1</x:v>
      </x:c>
      <x:c r="H22" s="49" t="str">
        <x:v>COMPLETED</x:v>
      </x:c>
      <x:c r="I22" s="49" t="str"/>
      <x:c r="J22" s="88" t="n">
        <x:v>0</x:v>
      </x:c>
      <x:c r="K22" s="88" t="n">
        <x:v>7124.133</x:v>
      </x:c>
      <x:c r="L22" s="87" t="b">
        <x:v>0</x:v>
      </x:c>
      <x:c r="M22" s="49" t="str">
        <x:v>resp_072093672f75f3b4006a90bb7ce3dc8196b76d2d587fdb48db</x:v>
      </x:c>
      <x:c r="N22" s="60" t="n">
        <x:v>14781</x:v>
      </x:c>
      <x:c r="O22" s="60" t="n">
        <x:v>551</x:v>
      </x:c>
      <x:c r="P22" s="60" t="n">
        <x:v>15332</x:v>
      </x:c>
    </x:row>
  </x:sheetData>
  <x:conditionalFormatting sqref="H5:H22">
    <x:cfRule type="containsText" dxfId="30" priority="1" operator="containsText" text="ACCEPT"/>
    <x:cfRule type="containsText" dxfId="31" priority="2" operator="containsText" text="ELIGIBLE"/>
    <x:cfRule type="containsText" dxfId="32" priority="3" operator="containsText" text="PASS"/>
    <x:cfRule type="containsText" dxfId="33" priority="4" operator="containsText" text="GAP"/>
    <x:cfRule type="containsText" dxfId="34" priority="5" operator="containsText" text="FAIL"/>
    <x:cfRule type="containsText" dxfId="35" priority="6" operator="containsText" text="DEFERRED"/>
  </x:conditionalFormatting>
  <x:pageMargins left="0.7" right="0.7" top="0.75" bottom="0.75" header="0.3" footer="0.3"/>
  <x:tableParts count="1">
    <x:tablePart xmlns:r="http://schemas.openxmlformats.org/officeDocument/2006/relationships" r:id="R8791ad99d8484dcc"/>
  </x:tableParts>
</x:worksheet>
</file>

<file path=xl/worksheets/sheet7.xml><?xml version="1.0" encoding="utf-8"?>
<x:worksheet xmlns:x="http://schemas.openxmlformats.org/spreadsheetml/2006/main">
  <x:sheetViews>
    <x:sheetView showGridLines="0" workbookViewId="0"/>
  </x:sheetViews>
  <x:sheetFormatPr defaultRowHeight="15"/>
  <x:cols>
    <x:col min="1" max="1" width="42" hidden="0" customWidth="1"/>
    <x:col min="2" max="2" width="18" hidden="0" customWidth="1"/>
    <x:col min="3" max="3" width="38" hidden="0" customWidth="1"/>
    <x:col min="4" max="4" width="52" hidden="0" customWidth="1"/>
    <x:col min="5" max="5" width="18" hidden="0" customWidth="1"/>
    <x:col min="6" max="6" width="13" hidden="0" customWidth="1"/>
    <x:col min="7" max="7" width="46" hidden="0" customWidth="1"/>
    <x:col min="8" max="8" width="24" hidden="0" customWidth="1"/>
    <x:col min="9" max="9" width="52" hidden="0" customWidth="1"/>
    <x:col min="10" max="10" width="17" hidden="0" customWidth="1"/>
  </x:cols>
  <x:sheetData>
    <x:row r="1">
      <x:c r="A1" s="18" t="str">
        <x:v>NLTL SHACL Pipeline Run Tracker</x:v>
      </x:c>
      <x:c r="B1" s="19"/>
      <x:c r="C1" s="19"/>
      <x:c r="D1" s="19"/>
      <x:c r="E1" s="19"/>
      <x:c r="F1" s="19"/>
      <x:c r="G1" s="19"/>
      <x:c r="H1" s="19"/>
      <x:c r="I1" s="19"/>
      <x:c r="J1" s="19"/>
    </x:row>
    <x:row r="2">
      <x:c r="A2" s="20" t="str">
        <x:v>TERM_RETRIEVAL | Run folder: RUN-TRF-025-20260827T223223397676Z</x:v>
      </x:c>
      <x:c r="B2" s="20"/>
      <x:c r="C2" s="20"/>
      <x:c r="D2" s="20"/>
      <x:c r="E2" s="20"/>
      <x:c r="F2" s="20"/>
      <x:c r="G2" s="20"/>
      <x:c r="H2" s="20"/>
      <x:c r="I2" s="20"/>
      <x:c r="J2" s="20"/>
    </x:row>
    <x:row r="3">
      <x:c r="A3" s="21"/>
      <x:c r="B3" s="21"/>
      <x:c r="C3" s="21"/>
      <x:c r="D3" s="21"/>
      <x:c r="E3" s="21"/>
      <x:c r="F3" s="21"/>
      <x:c r="G3" s="21"/>
      <x:c r="H3" s="21"/>
      <x:c r="I3" s="21"/>
      <x:c r="J3" s="21"/>
    </x:row>
    <x:row r="4" ht="30" customHeight="1">
      <x:c r="A4" s="43" t="str">
        <x:v>RUN_ID</x:v>
      </x:c>
      <x:c r="B4" s="57" t="str">
        <x:v>REQUIREMENT_ID</x:v>
      </x:c>
      <x:c r="C4" s="57" t="str">
        <x:v>LOCAL_NAME</x:v>
      </x:c>
      <x:c r="D4" s="57" t="str">
        <x:v>IRI</x:v>
      </x:c>
      <x:c r="E4" s="57" t="str">
        <x:v>KIND</x:v>
      </x:c>
      <x:c r="F4" s="57" t="str">
        <x:v>DATATYPE</x:v>
      </x:c>
      <x:c r="G4" s="57" t="str">
        <x:v>RANGE</x:v>
      </x:c>
      <x:c r="H4" s="57" t="str">
        <x:v>RECOMMENDED_UNIT</x:v>
      </x:c>
      <x:c r="I4" s="57" t="str">
        <x:v>SELECTION_REASON</x:v>
      </x:c>
      <x:c r="J4" s="44" t="str">
        <x:v>ITERATION_ADDED</x:v>
      </x:c>
    </x:row>
    <x:row r="5">
      <x:c r="A5" s="45" t="str">
        <x:v>RUN-TRF-025-20260827T223223397676Z</x:v>
      </x:c>
      <x:c r="B5" s="45" t="str">
        <x:v>TRF-025</x:v>
      </x:c>
      <x:c r="C5" s="45" t="str">
        <x:v>benchmarkEntity</x:v>
      </x:c>
      <x:c r="D5" s="46" t="str">
        <x:v>https://w3id.org/nltl/vocab#benchmarkEntity</x:v>
      </x:c>
      <x:c r="E5" s="45" t="str">
        <x:v>Class</x:v>
      </x:c>
      <x:c r="F5" s="45" t="str"/>
      <x:c r="G5" s="45" t="str"/>
      <x:c r="H5" s="45" t="str"/>
      <x:c r="I5" s="46" t="str">
        <x:v>baseline target infrastructure; domain dependency of brashIceResistanceCoefficientC1; domain dependency of brashIceResistanceCoefficientC2; domain dependency of bulbousBowPresent; domain dependency of coefficientF1; domain dependency of coefficientF2; domain dependency of coefficientF3; domain dependency of coefficientF4; domain dependency of coefficientG1; domain dependency of coefficientG2; domain dependency of coefficientG3; domain dependency of iceClass; domain dependency of iceClassDraught; domain dependency of shipBreadth; domain dependency of shipLength</x:v>
      </x:c>
      <x:c r="J5" s="45" t="n">
        <x:v>0</x:v>
      </x:c>
    </x:row>
    <x:row r="6">
      <x:c r="A6" s="47" t="str">
        <x:v>RUN-TRF-025-20260827T223223397676Z</x:v>
      </x:c>
      <x:c r="B6" s="47" t="str">
        <x:v>TRF-025</x:v>
      </x:c>
      <x:c r="C6" s="47" t="str">
        <x:v>brashIceResistanceCoefficientC1</x:v>
      </x:c>
      <x:c r="D6" s="48" t="str">
        <x:v>https://w3id.org/nltl/vocab#brashIceResistanceCoefficientC1</x:v>
      </x:c>
      <x:c r="E6" s="47" t="str">
        <x:v>QuantityProperty</x:v>
      </x:c>
      <x:c r="F6" s="47" t="str"/>
      <x:c r="G6" s="47" t="str">
        <x:v>http://qudt.org/schema/qudt/QuantityValue</x:v>
      </x:c>
      <x:c r="H6" s="47" t="str">
        <x:v>http://qudt.org/vocab/unit/N</x:v>
      </x:c>
      <x:c r="I6" s="48" t="str">
        <x:v>linked by the locked 313-requirement index</x:v>
      </x:c>
      <x:c r="J6" s="47" t="n">
        <x:v>0</x:v>
      </x:c>
    </x:row>
    <x:row r="7">
      <x:c r="A7" s="47" t="str">
        <x:v>RUN-TRF-025-20260827T223223397676Z</x:v>
      </x:c>
      <x:c r="B7" s="47" t="str">
        <x:v>TRF-025</x:v>
      </x:c>
      <x:c r="C7" s="47" t="str">
        <x:v>brashIceResistanceCoefficientC2</x:v>
      </x:c>
      <x:c r="D7" s="48" t="str">
        <x:v>https://w3id.org/nltl/vocab#brashIceResistanceCoefficientC2</x:v>
      </x:c>
      <x:c r="E7" s="47" t="str">
        <x:v>QuantityProperty</x:v>
      </x:c>
      <x:c r="F7" s="47" t="str"/>
      <x:c r="G7" s="47" t="str">
        <x:v>http://qudt.org/schema/qudt/QuantityValue</x:v>
      </x:c>
      <x:c r="H7" s="47" t="str">
        <x:v>http://qudt.org/vocab/unit/N</x:v>
      </x:c>
      <x:c r="I7" s="48" t="str">
        <x:v>linked by the locked 313-requirement index</x:v>
      </x:c>
      <x:c r="J7" s="47" t="n">
        <x:v>0</x:v>
      </x:c>
    </x:row>
    <x:row r="8">
      <x:c r="A8" s="47" t="str">
        <x:v>RUN-TRF-025-20260827T223223397676Z</x:v>
      </x:c>
      <x:c r="B8" s="47" t="str">
        <x:v>TRF-025</x:v>
      </x:c>
      <x:c r="C8" s="47" t="str">
        <x:v>bulbousBowPresent</x:v>
      </x:c>
      <x:c r="D8" s="48" t="str">
        <x:v>https://w3id.org/nltl/vocab#bulbousBowPresent</x:v>
      </x:c>
      <x:c r="E8" s="47" t="str">
        <x:v>DatatypeProperty</x:v>
      </x:c>
      <x:c r="F8" s="47" t="str">
        <x:v>xsd:boolean</x:v>
      </x:c>
      <x:c r="G8" s="47" t="str">
        <x:v>http://www.w3.org/2001/XMLSchema#boolean</x:v>
      </x:c>
      <x:c r="H8" s="47" t="str"/>
      <x:c r="I8" s="48" t="str">
        <x:v>linked by the locked 313-requirement index</x:v>
      </x:c>
      <x:c r="J8" s="47" t="n">
        <x:v>0</x:v>
      </x:c>
    </x:row>
    <x:row r="9">
      <x:c r="A9" s="47" t="str">
        <x:v>RUN-TRF-025-20260827T223223397676Z</x:v>
      </x:c>
      <x:c r="B9" s="47" t="str">
        <x:v>TRF-025</x:v>
      </x:c>
      <x:c r="C9" s="47" t="str">
        <x:v>coefficientF1</x:v>
      </x:c>
      <x:c r="D9" s="48" t="str">
        <x:v>https://w3id.org/nltl/vocab#coefficientF1</x:v>
      </x:c>
      <x:c r="E9" s="47" t="str">
        <x:v>QuantityProperty</x:v>
      </x:c>
      <x:c r="F9" s="47" t="str"/>
      <x:c r="G9" s="47" t="str">
        <x:v>http://qudt.org/schema/qudt/QuantityValue</x:v>
      </x:c>
      <x:c r="H9" s="47" t="str">
        <x:v>http://qudt.org/vocab/unit/N-PER-M2</x:v>
      </x:c>
      <x:c r="I9" s="48" t="str">
        <x:v>linked by the locked 313-requirement index</x:v>
      </x:c>
      <x:c r="J9" s="47" t="n">
        <x:v>0</x:v>
      </x:c>
    </x:row>
    <x:row r="10">
      <x:c r="A10" s="47" t="str">
        <x:v>RUN-TRF-025-20260827T223223397676Z</x:v>
      </x:c>
      <x:c r="B10" s="47" t="str">
        <x:v>TRF-025</x:v>
      </x:c>
      <x:c r="C10" s="47" t="str">
        <x:v>coefficientF2</x:v>
      </x:c>
      <x:c r="D10" s="48" t="str">
        <x:v>https://w3id.org/nltl/vocab#coefficientF2</x:v>
      </x:c>
      <x:c r="E10" s="47" t="str">
        <x:v>QuantityProperty</x:v>
      </x:c>
      <x:c r="F10" s="47" t="str"/>
      <x:c r="G10" s="47" t="str">
        <x:v>http://qudt.org/schema/qudt/QuantityValue</x:v>
      </x:c>
      <x:c r="H10" s="47" t="str">
        <x:v>http://qudt.org/vocab/unit/N-PER-M</x:v>
      </x:c>
      <x:c r="I10" s="48" t="str">
        <x:v>linked by the locked 313-requirement index</x:v>
      </x:c>
      <x:c r="J10" s="47" t="n">
        <x:v>0</x:v>
      </x:c>
    </x:row>
    <x:row r="11">
      <x:c r="A11" s="47" t="str">
        <x:v>RUN-TRF-025-20260827T223223397676Z</x:v>
      </x:c>
      <x:c r="B11" s="47" t="str">
        <x:v>TRF-025</x:v>
      </x:c>
      <x:c r="C11" s="47" t="str">
        <x:v>coefficientF3</x:v>
      </x:c>
      <x:c r="D11" s="48" t="str">
        <x:v>https://w3id.org/nltl/vocab#coefficientF3</x:v>
      </x:c>
      <x:c r="E11" s="47" t="str">
        <x:v>QuantityProperty</x:v>
      </x:c>
      <x:c r="F11" s="47" t="str"/>
      <x:c r="G11" s="47" t="str">
        <x:v>http://qudt.org/schema/qudt/QuantityValue</x:v>
      </x:c>
      <x:c r="H11" s="47" t="str">
        <x:v>http://qudt.org/vocab/unit/N-PER-M</x:v>
      </x:c>
      <x:c r="I11" s="48" t="str">
        <x:v>linked by the locked 313-requirement index</x:v>
      </x:c>
      <x:c r="J11" s="47" t="n">
        <x:v>0</x:v>
      </x:c>
    </x:row>
    <x:row r="12">
      <x:c r="A12" s="47" t="str">
        <x:v>RUN-TRF-025-20260827T223223397676Z</x:v>
      </x:c>
      <x:c r="B12" s="47" t="str">
        <x:v>TRF-025</x:v>
      </x:c>
      <x:c r="C12" s="47" t="str">
        <x:v>coefficientF4</x:v>
      </x:c>
      <x:c r="D12" s="48" t="str">
        <x:v>https://w3id.org/nltl/vocab#coefficientF4</x:v>
      </x:c>
      <x:c r="E12" s="47" t="str">
        <x:v>QuantityProperty</x:v>
      </x:c>
      <x:c r="F12" s="47" t="str"/>
      <x:c r="G12" s="47" t="str">
        <x:v>http://qudt.org/schema/qudt/QuantityValue</x:v>
      </x:c>
      <x:c r="H12" s="47" t="str">
        <x:v>http://qudt.org/vocab/unit/N-PER-M2</x:v>
      </x:c>
      <x:c r="I12" s="48" t="str">
        <x:v>linked by the locked 313-requirement index</x:v>
      </x:c>
      <x:c r="J12" s="47" t="n">
        <x:v>0</x:v>
      </x:c>
    </x:row>
    <x:row r="13">
      <x:c r="A13" s="47" t="str">
        <x:v>RUN-TRF-025-20260827T223223397676Z</x:v>
      </x:c>
      <x:c r="B13" s="47" t="str">
        <x:v>TRF-025</x:v>
      </x:c>
      <x:c r="C13" s="47" t="str">
        <x:v>coefficientG1</x:v>
      </x:c>
      <x:c r="D13" s="48" t="str">
        <x:v>https://w3id.org/nltl/vocab#coefficientG1</x:v>
      </x:c>
      <x:c r="E13" s="47" t="str">
        <x:v>QuantityProperty</x:v>
      </x:c>
      <x:c r="F13" s="47" t="str"/>
      <x:c r="G13" s="47" t="str">
        <x:v>http://qudt.org/schema/qudt/QuantityValue</x:v>
      </x:c>
      <x:c r="H13" s="47" t="str">
        <x:v>http://qudt.org/vocab/unit/N</x:v>
      </x:c>
      <x:c r="I13" s="48" t="str">
        <x:v>linked by the locked 313-requirement index</x:v>
      </x:c>
      <x:c r="J13" s="47" t="n">
        <x:v>0</x:v>
      </x:c>
    </x:row>
    <x:row r="14">
      <x:c r="A14" s="47" t="str">
        <x:v>RUN-TRF-025-20260827T223223397676Z</x:v>
      </x:c>
      <x:c r="B14" s="47" t="str">
        <x:v>TRF-025</x:v>
      </x:c>
      <x:c r="C14" s="47" t="str">
        <x:v>coefficientG2</x:v>
      </x:c>
      <x:c r="D14" s="48" t="str">
        <x:v>https://w3id.org/nltl/vocab#coefficientG2</x:v>
      </x:c>
      <x:c r="E14" s="47" t="str">
        <x:v>QuantityProperty</x:v>
      </x:c>
      <x:c r="F14" s="47" t="str"/>
      <x:c r="G14" s="47" t="str">
        <x:v>http://qudt.org/schema/qudt/QuantityValue</x:v>
      </x:c>
      <x:c r="H14" s="47" t="str">
        <x:v>http://qudt.org/vocab/unit/N-PER-M</x:v>
      </x:c>
      <x:c r="I14" s="48" t="str">
        <x:v>linked by the locked 313-requirement index</x:v>
      </x:c>
      <x:c r="J14" s="47" t="n">
        <x:v>0</x:v>
      </x:c>
    </x:row>
    <x:row r="15">
      <x:c r="A15" s="47" t="str">
        <x:v>RUN-TRF-025-20260827T223223397676Z</x:v>
      </x:c>
      <x:c r="B15" s="47" t="str">
        <x:v>TRF-025</x:v>
      </x:c>
      <x:c r="C15" s="47" t="str">
        <x:v>coefficientG3</x:v>
      </x:c>
      <x:c r="D15" s="48" t="str">
        <x:v>https://w3id.org/nltl/vocab#coefficientG3</x:v>
      </x:c>
      <x:c r="E15" s="47" t="str">
        <x:v>QuantityProperty</x:v>
      </x:c>
      <x:c r="F15" s="47" t="str"/>
      <x:c r="G15" s="47" t="str">
        <x:v>http://qudt.org/schema/qudt/QuantityValue</x:v>
      </x:c>
      <x:c r="H15" s="47" t="str">
        <x:v>https://w3id.org/nltl/vocab#newtonPerMetreToPowerOnePointFiveUnit</x:v>
      </x:c>
      <x:c r="I15" s="48" t="str">
        <x:v>linked by the locked 313-requirement index</x:v>
      </x:c>
      <x:c r="J15" s="47" t="n">
        <x:v>0</x:v>
      </x:c>
    </x:row>
    <x:row r="16">
      <x:c r="A16" s="47" t="str">
        <x:v>RUN-TRF-025-20260827T223223397676Z</x:v>
      </x:c>
      <x:c r="B16" s="47" t="str">
        <x:v>TRF-025</x:v>
      </x:c>
      <x:c r="C16" s="47" t="str">
        <x:v>hasComponent</x:v>
      </x:c>
      <x:c r="D16" s="48" t="str">
        <x:v>https://w3id.org/nltl/vocab#hasComponent</x:v>
      </x:c>
      <x:c r="E16" s="47" t="str">
        <x:v>ObjectProperty</x:v>
      </x:c>
      <x:c r="F16" s="47" t="str"/>
      <x:c r="G16" s="47" t="str">
        <x:v>https://w3id.org/nltl/vocab#shipComponent</x:v>
      </x:c>
      <x:c r="H16" s="47" t="str"/>
      <x:c r="I16" s="48" t="str">
        <x:v>component-path dependency inferred from the linked term module</x:v>
      </x:c>
      <x:c r="J16" s="47" t="n">
        <x:v>0</x:v>
      </x:c>
    </x:row>
    <x:row r="17">
      <x:c r="A17" s="47" t="str">
        <x:v>RUN-TRF-025-20260827T223223397676Z</x:v>
      </x:c>
      <x:c r="B17" s="47" t="str">
        <x:v>TRF-025</x:v>
      </x:c>
      <x:c r="C17" s="47" t="str">
        <x:v>iceClass</x:v>
      </x:c>
      <x:c r="D17" s="48" t="str">
        <x:v>https://w3id.org/nltl/vocab#iceClass</x:v>
      </x:c>
      <x:c r="E17" s="47" t="str">
        <x:v>ObjectProperty</x:v>
      </x:c>
      <x:c r="F17" s="47" t="str"/>
      <x:c r="G17" s="47" t="str">
        <x:v>https://w3id.org/nltl/vocab#iceClassValue</x:v>
      </x:c>
      <x:c r="H17" s="47" t="str"/>
      <x:c r="I17" s="48" t="str">
        <x:v>linked by the locked 313-requirement index</x:v>
      </x:c>
      <x:c r="J17" s="47" t="n">
        <x:v>0</x:v>
      </x:c>
    </x:row>
    <x:row r="18">
      <x:c r="A18" s="47" t="str">
        <x:v>RUN-TRF-025-20260827T223223397676Z</x:v>
      </x:c>
      <x:c r="B18" s="47" t="str">
        <x:v>TRF-025</x:v>
      </x:c>
      <x:c r="C18" s="47" t="str">
        <x:v>iceClassDraught</x:v>
      </x:c>
      <x:c r="D18" s="48" t="str">
        <x:v>https://w3id.org/nltl/vocab#iceClassDraught</x:v>
      </x:c>
      <x:c r="E18" s="47" t="str">
        <x:v>QuantityProperty</x:v>
      </x:c>
      <x:c r="F18" s="47" t="str"/>
      <x:c r="G18" s="47" t="str">
        <x:v>http://qudt.org/schema/qudt/QuantityValue</x:v>
      </x:c>
      <x:c r="H18" s="47" t="str">
        <x:v>http://qudt.org/vocab/unit/M</x:v>
      </x:c>
      <x:c r="I18" s="48" t="str">
        <x:v>linked by the locked 313-requirement index</x:v>
      </x:c>
      <x:c r="J18" s="47" t="n">
        <x:v>0</x:v>
      </x:c>
    </x:row>
    <x:row r="19">
      <x:c r="A19" s="47" t="str">
        <x:v>RUN-TRF-025-20260827T223223397676Z</x:v>
      </x:c>
      <x:c r="B19" s="47" t="str">
        <x:v>TRF-025</x:v>
      </x:c>
      <x:c r="C19" s="47" t="str">
        <x:v>iceClassIa</x:v>
      </x:c>
      <x:c r="D19" s="48" t="str">
        <x:v>https://w3id.org/nltl/vocab#iceClassIa</x:v>
      </x:c>
      <x:c r="E19" s="47" t="str">
        <x:v>NamedIndividual</x:v>
      </x:c>
      <x:c r="F19" s="47" t="str"/>
      <x:c r="G19" s="47" t="str">
        <x:v>https://w3id.org/nltl/vocab#iceClassValue</x:v>
      </x:c>
      <x:c r="H19" s="47" t="str"/>
      <x:c r="I19" s="48" t="str">
        <x:v>controlled value permitted by the range of iceClass</x:v>
      </x:c>
      <x:c r="J19" s="47" t="n">
        <x:v>0</x:v>
      </x:c>
    </x:row>
    <x:row r="20">
      <x:c r="A20" s="47" t="str">
        <x:v>RUN-TRF-025-20260827T223223397676Z</x:v>
      </x:c>
      <x:c r="B20" s="47" t="str">
        <x:v>TRF-025</x:v>
      </x:c>
      <x:c r="C20" s="47" t="str">
        <x:v>iceClassIaSuper</x:v>
      </x:c>
      <x:c r="D20" s="48" t="str">
        <x:v>https://w3id.org/nltl/vocab#iceClassIaSuper</x:v>
      </x:c>
      <x:c r="E20" s="47" t="str">
        <x:v>NamedIndividual</x:v>
      </x:c>
      <x:c r="F20" s="47" t="str"/>
      <x:c r="G20" s="47" t="str">
        <x:v>https://w3id.org/nltl/vocab#iceClassValue</x:v>
      </x:c>
      <x:c r="H20" s="47" t="str"/>
      <x:c r="I20" s="48" t="str">
        <x:v>controlled value permitted by the range of iceClass</x:v>
      </x:c>
      <x:c r="J20" s="47" t="n">
        <x:v>0</x:v>
      </x:c>
    </x:row>
    <x:row r="21">
      <x:c r="A21" s="47" t="str">
        <x:v>RUN-TRF-025-20260827T223223397676Z</x:v>
      </x:c>
      <x:c r="B21" s="47" t="str">
        <x:v>TRF-025</x:v>
      </x:c>
      <x:c r="C21" s="47" t="str">
        <x:v>iceClassIb</x:v>
      </x:c>
      <x:c r="D21" s="48" t="str">
        <x:v>https://w3id.org/nltl/vocab#iceClassIb</x:v>
      </x:c>
      <x:c r="E21" s="47" t="str">
        <x:v>NamedIndividual</x:v>
      </x:c>
      <x:c r="F21" s="47" t="str"/>
      <x:c r="G21" s="47" t="str">
        <x:v>https://w3id.org/nltl/vocab#iceClassValue</x:v>
      </x:c>
      <x:c r="H21" s="47" t="str"/>
      <x:c r="I21" s="48" t="str">
        <x:v>controlled value permitted by the range of iceClass</x:v>
      </x:c>
      <x:c r="J21" s="47" t="n">
        <x:v>0</x:v>
      </x:c>
    </x:row>
    <x:row r="22">
      <x:c r="A22" s="47" t="str">
        <x:v>RUN-TRF-025-20260827T223223397676Z</x:v>
      </x:c>
      <x:c r="B22" s="47" t="str">
        <x:v>TRF-025</x:v>
      </x:c>
      <x:c r="C22" s="47" t="str">
        <x:v>iceClassIc</x:v>
      </x:c>
      <x:c r="D22" s="48" t="str">
        <x:v>https://w3id.org/nltl/vocab#iceClassIc</x:v>
      </x:c>
      <x:c r="E22" s="47" t="str">
        <x:v>NamedIndividual</x:v>
      </x:c>
      <x:c r="F22" s="47" t="str"/>
      <x:c r="G22" s="47" t="str">
        <x:v>https://w3id.org/nltl/vocab#iceClassValue</x:v>
      </x:c>
      <x:c r="H22" s="47" t="str"/>
      <x:c r="I22" s="48" t="str">
        <x:v>controlled value permitted by the range of iceClass</x:v>
      </x:c>
      <x:c r="J22" s="47" t="n">
        <x:v>0</x:v>
      </x:c>
    </x:row>
    <x:row r="23">
      <x:c r="A23" s="47" t="str">
        <x:v>RUN-TRF-025-20260827T223223397676Z</x:v>
      </x:c>
      <x:c r="B23" s="47" t="str">
        <x:v>TRF-025</x:v>
      </x:c>
      <x:c r="C23" s="47" t="str">
        <x:v>iceClassIi</x:v>
      </x:c>
      <x:c r="D23" s="48" t="str">
        <x:v>https://w3id.org/nltl/vocab#iceClassIi</x:v>
      </x:c>
      <x:c r="E23" s="47" t="str">
        <x:v>NamedIndividual</x:v>
      </x:c>
      <x:c r="F23" s="47" t="str"/>
      <x:c r="G23" s="47" t="str">
        <x:v>https://w3id.org/nltl/vocab#iceClassValue</x:v>
      </x:c>
      <x:c r="H23" s="47" t="str"/>
      <x:c r="I23" s="48" t="str">
        <x:v>controlled value permitted by the range of iceClass</x:v>
      </x:c>
      <x:c r="J23" s="47" t="n">
        <x:v>0</x:v>
      </x:c>
    </x:row>
    <x:row r="24">
      <x:c r="A24" s="47" t="str">
        <x:v>RUN-TRF-025-20260827T223223397676Z</x:v>
      </x:c>
      <x:c r="B24" s="47" t="str">
        <x:v>TRF-025</x:v>
      </x:c>
      <x:c r="C24" s="47" t="str">
        <x:v>iceClassIii</x:v>
      </x:c>
      <x:c r="D24" s="48" t="str">
        <x:v>https://w3id.org/nltl/vocab#iceClassIii</x:v>
      </x:c>
      <x:c r="E24" s="47" t="str">
        <x:v>NamedIndividual</x:v>
      </x:c>
      <x:c r="F24" s="47" t="str"/>
      <x:c r="G24" s="47" t="str">
        <x:v>https://w3id.org/nltl/vocab#iceClassValue</x:v>
      </x:c>
      <x:c r="H24" s="47" t="str"/>
      <x:c r="I24" s="48" t="str">
        <x:v>controlled value permitted by the range of iceClass</x:v>
      </x:c>
      <x:c r="J24" s="47" t="n">
        <x:v>0</x:v>
      </x:c>
    </x:row>
    <x:row r="25">
      <x:c r="A25" s="47" t="str">
        <x:v>RUN-TRF-025-20260827T223223397676Z</x:v>
      </x:c>
      <x:c r="B25" s="47" t="str">
        <x:v>TRF-025</x:v>
      </x:c>
      <x:c r="C25" s="47" t="str">
        <x:v>iceClassValue</x:v>
      </x:c>
      <x:c r="D25" s="48" t="str">
        <x:v>https://w3id.org/nltl/vocab#iceClassValue</x:v>
      </x:c>
      <x:c r="E25" s="47" t="str">
        <x:v>Class</x:v>
      </x:c>
      <x:c r="F25" s="47" t="str"/>
      <x:c r="G25" s="47" t="str"/>
      <x:c r="H25" s="47" t="str"/>
      <x:c r="I25" s="48" t="str">
        <x:v>range dependency of iceClass</x:v>
      </x:c>
      <x:c r="J25" s="47" t="n">
        <x:v>0</x:v>
      </x:c>
    </x:row>
    <x:row r="26">
      <x:c r="A26" s="47" t="str">
        <x:v>RUN-TRF-025-20260827T223223397676Z</x:v>
      </x:c>
      <x:c r="B26" s="47" t="str">
        <x:v>TRF-025</x:v>
      </x:c>
      <x:c r="C26" s="47" t="str">
        <x:v>newtonPerMetreToPowerOnePointFiveUnit</x:v>
      </x:c>
      <x:c r="D26" s="48" t="str">
        <x:v>https://w3id.org/nltl/vocab#newtonPerMetreToPowerOnePointFiveUnit</x:v>
      </x:c>
      <x:c r="E26" s="47" t="str">
        <x:v>NamedIndividual</x:v>
      </x:c>
      <x:c r="F26" s="47" t="str"/>
      <x:c r="G26" s="47" t="str">
        <x:v>http://qudt.org/schema/qudt/Unit</x:v>
      </x:c>
      <x:c r="H26" s="47" t="str"/>
      <x:c r="I26" s="48" t="str">
        <x:v>linked by the locked 313-requirement index</x:v>
      </x:c>
      <x:c r="J26" s="47" t="n">
        <x:v>0</x:v>
      </x:c>
    </x:row>
    <x:row r="27">
      <x:c r="A27" s="47" t="str">
        <x:v>RUN-TRF-025-20260827T223223397676Z</x:v>
      </x:c>
      <x:c r="B27" s="47" t="str">
        <x:v>TRF-025</x:v>
      </x:c>
      <x:c r="C27" s="47" t="str">
        <x:v>ship</x:v>
      </x:c>
      <x:c r="D27" s="48" t="str">
        <x:v>https://w3id.org/nltl/vocab#ship</x:v>
      </x:c>
      <x:c r="E27" s="47" t="str">
        <x:v>Class</x:v>
      </x:c>
      <x:c r="F27" s="47" t="str"/>
      <x:c r="G27" s="47" t="str"/>
      <x:c r="H27" s="47" t="str"/>
      <x:c r="I27" s="48" t="str">
        <x:v>authoritative required owner class; authoritative requirement target owner; baseline target infrastructure</x:v>
      </x:c>
      <x:c r="J27" s="47" t="n">
        <x:v>0</x:v>
      </x:c>
    </x:row>
    <x:row r="28">
      <x:c r="A28" s="47" t="str">
        <x:v>RUN-TRF-025-20260827T223223397676Z</x:v>
      </x:c>
      <x:c r="B28" s="47" t="str">
        <x:v>TRF-025</x:v>
      </x:c>
      <x:c r="C28" s="47" t="str">
        <x:v>shipBreadth</x:v>
      </x:c>
      <x:c r="D28" s="48" t="str">
        <x:v>https://w3id.org/nltl/vocab#shipBreadth</x:v>
      </x:c>
      <x:c r="E28" s="47" t="str">
        <x:v>QuantityProperty</x:v>
      </x:c>
      <x:c r="F28" s="47" t="str"/>
      <x:c r="G28" s="47" t="str">
        <x:v>http://qudt.org/schema/qudt/QuantityValue</x:v>
      </x:c>
      <x:c r="H28" s="47" t="str">
        <x:v>http://qudt.org/vocab/unit/M</x:v>
      </x:c>
      <x:c r="I28" s="48" t="str">
        <x:v>linked by the locked 313-requirement index</x:v>
      </x:c>
      <x:c r="J28" s="47" t="n">
        <x:v>0</x:v>
      </x:c>
    </x:row>
    <x:row r="29">
      <x:c r="A29" s="47" t="str">
        <x:v>RUN-TRF-025-20260827T223223397676Z</x:v>
      </x:c>
      <x:c r="B29" s="47" t="str">
        <x:v>TRF-025</x:v>
      </x:c>
      <x:c r="C29" s="47" t="str">
        <x:v>shipComponent</x:v>
      </x:c>
      <x:c r="D29" s="48" t="str">
        <x:v>https://w3id.org/nltl/vocab#shipComponent</x:v>
      </x:c>
      <x:c r="E29" s="47" t="str">
        <x:v>Class</x:v>
      </x:c>
      <x:c r="F29" s="47" t="str"/>
      <x:c r="G29" s="47" t="str"/>
      <x:c r="H29" s="47" t="str"/>
      <x:c r="I29" s="48" t="str">
        <x:v>component-path dependency inferred from the linked term module</x:v>
      </x:c>
      <x:c r="J29" s="47" t="n">
        <x:v>0</x:v>
      </x:c>
    </x:row>
    <x:row r="30">
      <x:c r="A30" s="49" t="str">
        <x:v>RUN-TRF-025-20260827T223223397676Z</x:v>
      </x:c>
      <x:c r="B30" s="49" t="str">
        <x:v>TRF-025</x:v>
      </x:c>
      <x:c r="C30" s="49" t="str">
        <x:v>shipLength</x:v>
      </x:c>
      <x:c r="D30" s="50" t="str">
        <x:v>https://w3id.org/nltl/vocab#shipLength</x:v>
      </x:c>
      <x:c r="E30" s="49" t="str">
        <x:v>QuantityProperty</x:v>
      </x:c>
      <x:c r="F30" s="49" t="str"/>
      <x:c r="G30" s="49" t="str">
        <x:v>http://qudt.org/schema/qudt/QuantityValue</x:v>
      </x:c>
      <x:c r="H30" s="49" t="str">
        <x:v>http://qudt.org/vocab/unit/M</x:v>
      </x:c>
      <x:c r="I30" s="50" t="str">
        <x:v>linked by the locked 313-requirement index</x:v>
      </x:c>
      <x:c r="J30" s="49" t="n">
        <x:v>0</x:v>
      </x:c>
    </x:row>
  </x:sheetData>
  <x:pageMargins left="0.7" right="0.7" top="0.75" bottom="0.75" header="0.3" footer="0.3"/>
  <x:tableParts count="1">
    <x:tablePart xmlns:r="http://schemas.openxmlformats.org/officeDocument/2006/relationships" r:id="Reaa46bd9cb044b60"/>
  </x:tableParts>
</x:worksheet>
</file>

<file path=xl/worksheets/sheet8.xml><?xml version="1.0" encoding="utf-8"?>
<x:worksheet xmlns:x="http://schemas.openxmlformats.org/spreadsheetml/2006/main">
  <x:sheetViews>
    <x:sheetView showGridLines="0" workbookViewId="0"/>
  </x:sheetViews>
  <x:sheetFormatPr defaultRowHeight="15"/>
  <x:cols>
    <x:col min="1" max="1" width="42" hidden="0" customWidth="1"/>
    <x:col min="2" max="2" width="18" hidden="0" customWidth="1"/>
    <x:col min="3" max="3" width="24" hidden="0" customWidth="1"/>
    <x:col min="4" max="4" width="24" hidden="0" customWidth="1"/>
    <x:col min="5" max="5" width="11" hidden="0" customWidth="1"/>
    <x:col min="6" max="6" width="24" hidden="0" customWidth="1"/>
    <x:col min="7" max="7" width="24" hidden="0" customWidth="1"/>
  </x:cols>
  <x:sheetData>
    <x:row r="1">
      <x:c r="A1" s="18" t="str">
        <x:v>NLTL SHACL Pipeline Run Tracker</x:v>
      </x:c>
      <x:c r="B1" s="19"/>
      <x:c r="C1" s="19"/>
      <x:c r="D1" s="19"/>
      <x:c r="E1" s="19"/>
      <x:c r="F1" s="19"/>
      <x:c r="G1" s="19"/>
    </x:row>
    <x:row r="2">
      <x:c r="A2" s="20" t="str">
        <x:v>FEW_SHOT_SELECTION | Run folder: RUN-TRF-025-20260827T223223397676Z</x:v>
      </x:c>
      <x:c r="B2" s="20"/>
      <x:c r="C2" s="20"/>
      <x:c r="D2" s="20"/>
      <x:c r="E2" s="20"/>
      <x:c r="F2" s="20"/>
      <x:c r="G2" s="20"/>
    </x:row>
    <x:row r="3">
      <x:c r="A3" s="21"/>
      <x:c r="B3" s="21"/>
      <x:c r="C3" s="21"/>
      <x:c r="D3" s="21"/>
      <x:c r="E3" s="21"/>
      <x:c r="F3" s="21"/>
      <x:c r="G3" s="21"/>
    </x:row>
    <x:row r="4" ht="30" customHeight="1">
      <x:c r="A4" s="43" t="str">
        <x:v>RUN_ID</x:v>
      </x:c>
      <x:c r="B4" s="57" t="str">
        <x:v>REQUIREMENT_ID</x:v>
      </x:c>
      <x:c r="C4" s="57" t="str">
        <x:v>EXAMPLE_ID</x:v>
      </x:c>
      <x:c r="D4" s="57" t="str">
        <x:v>CASE_ID</x:v>
      </x:c>
      <x:c r="E4" s="57" t="str">
        <x:v>SCORE</x:v>
      </x:c>
      <x:c r="F4" s="57" t="str">
        <x:v>MATCHED_TAGS</x:v>
      </x:c>
      <x:c r="G4" s="44" t="str">
        <x:v>STATUS</x:v>
      </x:c>
    </x:row>
    <x:row r="5">
      <x:c r="A5" s="45" t="str">
        <x:v>RUN-TRF-025-20260827T223223397676Z</x:v>
      </x:c>
      <x:c r="B5" s="45" t="str">
        <x:v>TRF-025</x:v>
      </x:c>
      <x:c r="C5" s="45" t="str">
        <x:v>FS-COMPLEX-READINESS-01</x:v>
      </x:c>
      <x:c r="D5" s="45" t="str">
        <x:v>complex_readiness_external_calculation</x:v>
      </x:c>
      <x:c r="E5" s="97" t="n">
        <x:v>2.166667</x:v>
      </x:c>
      <x:c r="F5" s="45" t="str">
        <x:v>calculation | complex | engineering | evidence | external | inputs | readiness | results</x:v>
      </x:c>
      <x:c r="G5" s="45" t="str">
        <x:v>synthetic-few-shot-not-benchmark-ground-truth</x:v>
      </x:c>
    </x:row>
    <x:row r="6">
      <x:c r="A6" s="49" t="str">
        <x:v>RUN-TRF-025-20260827T223223397676Z</x:v>
      </x:c>
      <x:c r="B6" s="49" t="str">
        <x:v>TRF-025</x:v>
      </x:c>
      <x:c r="C6" s="49" t="str">
        <x:v>FS-COMPLEX-READINESS-02</x:v>
      </x:c>
      <x:c r="D6" s="49" t="str">
        <x:v>complex_readiness_with_direct_residual_check</x:v>
      </x:c>
      <x:c r="E6" s="98" t="n">
        <x:v>2.074074</x:v>
      </x:c>
      <x:c r="F6" s="49" t="str">
        <x:v>complex | engineering | evidence | readiness</x:v>
      </x:c>
      <x:c r="G6" s="49" t="str">
        <x:v>synthetic-few-shot-not-benchmark-ground-truth</x:v>
      </x:c>
    </x:row>
  </x:sheetData>
  <x:conditionalFormatting sqref="G5:G6">
    <x:cfRule type="containsText" dxfId="36" priority="1" operator="containsText" text="ACCEPT"/>
    <x:cfRule type="containsText" dxfId="37" priority="2" operator="containsText" text="ELIGIBLE"/>
    <x:cfRule type="containsText" dxfId="38" priority="3" operator="containsText" text="PASS"/>
    <x:cfRule type="containsText" dxfId="39" priority="4" operator="containsText" text="GAP"/>
    <x:cfRule type="containsText" dxfId="40" priority="5" operator="containsText" text="FAIL"/>
    <x:cfRule type="containsText" dxfId="41" priority="6" operator="containsText" text="DEFERRED"/>
  </x:conditionalFormatting>
  <x:pageMargins left="0.7" right="0.7" top="0.75" bottom="0.75" header="0.3" footer="0.3"/>
  <x:tableParts count="1">
    <x:tablePart xmlns:r="http://schemas.openxmlformats.org/officeDocument/2006/relationships" r:id="R793726d43584450b"/>
  </x:tableParts>
</x:worksheet>
</file>

<file path=xl/worksheets/sheet9.xml><?xml version="1.0" encoding="utf-8"?>
<x:worksheet xmlns:x="http://schemas.openxmlformats.org/spreadsheetml/2006/main">
  <x:sheetViews>
    <x:sheetView showGridLines="0" workbookViewId="0"/>
  </x:sheetViews>
  <x:sheetFormatPr defaultRowHeight="15"/>
  <x:cols>
    <x:col min="1" max="1" width="42" hidden="0" customWidth="1"/>
    <x:col min="2" max="2" width="18" hidden="0" customWidth="1"/>
    <x:col min="3" max="3" width="11" hidden="0" customWidth="1"/>
    <x:col min="4" max="4" width="11" hidden="0" customWidth="1"/>
    <x:col min="5" max="5" width="18" hidden="0" customWidth="1"/>
    <x:col min="6" max="6" width="14" hidden="0" customWidth="1"/>
    <x:col min="7" max="7" width="23" hidden="0" customWidth="1"/>
    <x:col min="8" max="8" width="18" hidden="0" customWidth="1"/>
    <x:col min="9" max="9" width="18" hidden="0" customWidth="1"/>
    <x:col min="10" max="10" width="21" hidden="0" customWidth="1"/>
    <x:col min="11" max="11" width="20" hidden="0" customWidth="1"/>
    <x:col min="12" max="12" width="20" hidden="0" customWidth="1"/>
    <x:col min="13" max="13" width="20" hidden="0" customWidth="1"/>
    <x:col min="14" max="14" width="52" hidden="0" customWidth="1"/>
    <x:col min="15" max="15" width="20" hidden="0" customWidth="1"/>
    <x:col min="16" max="16" width="20" hidden="0" customWidth="1"/>
    <x:col min="17" max="17" width="26" hidden="0" customWidth="1"/>
  </x:cols>
  <x:sheetData>
    <x:row r="1">
      <x:c r="A1" s="18" t="str">
        <x:v>NLTL SHACL Pipeline Run Tracker</x:v>
      </x:c>
      <x:c r="B1" s="19"/>
      <x:c r="C1" s="19"/>
      <x:c r="D1" s="19"/>
      <x:c r="E1" s="19"/>
      <x:c r="F1" s="19"/>
      <x:c r="G1" s="19"/>
      <x:c r="H1" s="19"/>
      <x:c r="I1" s="19"/>
      <x:c r="J1" s="19"/>
      <x:c r="K1" s="19"/>
      <x:c r="L1" s="19"/>
      <x:c r="M1" s="19"/>
      <x:c r="N1" s="19"/>
      <x:c r="O1" s="19"/>
      <x:c r="P1" s="19"/>
      <x:c r="Q1" s="19"/>
    </x:row>
    <x:row r="2">
      <x:c r="A2" s="20" t="str">
        <x:v>VALIDATION | Run folder: RUN-TRF-025-20260827T223223397676Z</x:v>
      </x:c>
      <x:c r="B2" s="20"/>
      <x:c r="C2" s="20"/>
      <x:c r="D2" s="20"/>
      <x:c r="E2" s="20"/>
      <x:c r="F2" s="20"/>
      <x:c r="G2" s="20"/>
      <x:c r="H2" s="20"/>
      <x:c r="I2" s="20"/>
      <x:c r="J2" s="20"/>
      <x:c r="K2" s="20"/>
      <x:c r="L2" s="20"/>
      <x:c r="M2" s="20"/>
      <x:c r="N2" s="20"/>
      <x:c r="O2" s="20"/>
      <x:c r="P2" s="20"/>
      <x:c r="Q2" s="20"/>
    </x:row>
    <x:row r="3">
      <x:c r="A3" s="21"/>
      <x:c r="B3" s="21"/>
      <x:c r="C3" s="21"/>
      <x:c r="D3" s="21"/>
      <x:c r="E3" s="21"/>
      <x:c r="F3" s="21"/>
      <x:c r="G3" s="21"/>
      <x:c r="H3" s="21"/>
      <x:c r="I3" s="21"/>
      <x:c r="J3" s="21"/>
      <x:c r="K3" s="21"/>
      <x:c r="L3" s="21"/>
      <x:c r="M3" s="21"/>
      <x:c r="N3" s="21"/>
      <x:c r="O3" s="21"/>
      <x:c r="P3" s="21"/>
      <x:c r="Q3" s="21"/>
    </x:row>
    <x:row r="4" ht="30" customHeight="1">
      <x:c r="A4" s="43" t="str">
        <x:v>RUN_ID</x:v>
      </x:c>
      <x:c r="B4" s="57" t="str">
        <x:v>REQUIREMENT_ID</x:v>
      </x:c>
      <x:c r="C4" s="57" t="str">
        <x:v>ITERATION</x:v>
      </x:c>
      <x:c r="D4" s="57" t="str">
        <x:v>VALID</x:v>
      </x:c>
      <x:c r="E4" s="57" t="str">
        <x:v>EXTRACTION_VALID</x:v>
      </x:c>
      <x:c r="F4" s="57" t="str">
        <x:v>TURTLE_VALID</x:v>
      </x:c>
      <x:c r="G4" s="57" t="str">
        <x:v>SHACL_STRUCTURE_VALID</x:v>
      </x:c>
      <x:c r="H4" s="57" t="str">
        <x:v>META_SHACL_VALID</x:v>
      </x:c>
      <x:c r="I4" s="57" t="str">
        <x:v>VOCABULARY_VALID</x:v>
      </x:c>
      <x:c r="J4" s="57" t="str">
        <x:v>DATATYPE_UNIT_VALID</x:v>
      </x:c>
      <x:c r="K4" s="57" t="str">
        <x:v>TARGET_PATH_VALID</x:v>
      </x:c>
      <x:c r="L4" s="57" t="str">
        <x:v>ERRORS</x:v>
      </x:c>
      <x:c r="M4" s="57" t="str">
        <x:v>WARNINGS</x:v>
      </x:c>
      <x:c r="N4" s="57" t="str">
        <x:v>USED_CANONICAL_IRIS</x:v>
      </x:c>
      <x:c r="O4" s="57" t="str">
        <x:v>UNKNOWN_IRIS</x:v>
      </x:c>
      <x:c r="P4" s="57" t="str">
        <x:v>OUT_OF_SCOPE_IRIS</x:v>
      </x:c>
      <x:c r="Q4" s="44" t="str">
        <x:v>SUSPICIOUS_EXTERNAL_IRIS</x:v>
      </x:c>
    </x:row>
    <x:row r="5">
      <x:c r="A5" s="45" t="str">
        <x:v>RUN-TRF-025-20260827T223223397676Z</x:v>
      </x:c>
      <x:c r="B5" s="45" t="str">
        <x:v>TRF-025</x:v>
      </x:c>
      <x:c r="C5" s="58" t="n">
        <x:v>1</x:v>
      </x:c>
      <x:c r="D5" s="83" t="b">
        <x:v>1</x:v>
      </x:c>
      <x:c r="E5" s="83" t="b">
        <x:v>1</x:v>
      </x:c>
      <x:c r="F5" s="83" t="b">
        <x:v>1</x:v>
      </x:c>
      <x:c r="G5" s="83" t="b">
        <x:v>1</x:v>
      </x:c>
      <x:c r="H5" s="83" t="b">
        <x:v>1</x:v>
      </x:c>
      <x:c r="I5" s="83" t="b">
        <x:v>1</x:v>
      </x:c>
      <x:c r="J5" s="83" t="b">
        <x:v>1</x:v>
      </x:c>
      <x:c r="K5" s="102" t="b">
        <x:v>1</x:v>
      </x:c>
      <x:c r="L5" s="46" t="str"/>
      <x:c r="M5" s="46" t="str"/>
      <x:c r="N5" s="46" t="str">
        <x:v>https://w3id.org/nltl/vocab#brashIceResistanceCoefficientC1 | https://w3id.org/nltl/vocab#brashIceResistanceCoefficientC2 | https://w3id.org/nltl/vocab#bulbousBowPresent | https://w3id.org/nltl/vocab#coefficientF1 | https://w3id.org/nltl/vocab#coefficientF2 | https://w3id.org/nltl/vocab#coefficientF3 | https://w3id.org/nltl/vocab#coefficientF4 | https://w3id.org/nltl/vocab#coefficientG1 | https://w3id.org/nltl/vocab#coefficientG2 | https://w3id.org/nltl/vocab#coefficientG3 | https://w3id.org/nltl/vocab#iceClass | https://w3id.org/nltl/vocab#iceClassDraught | https://w3id.org/nltl/vocab#iceClassIa | https://w3id.org/nltl/vocab#iceClassIaSuper | https://w3id.org/nltl/vocab#iceClassIb | https://w3id.org/nltl/vocab#iceClassIc | https://w3id.org/nltl/vocab#iceClassIi | https://w3id.org/nltl/vocab#iceClassIii | https://w3id.org/nltl/vocab#iceClassValue | https://w3id.org/nltl/vocab#newtonPerMetreToPowerOnePointFiveUnit | https://w3id.org/nltl/vocab#ship | https://w3id.org/nltl/vocab#shipBreadth | https://w3id.org/nltl/vocab#shipLength</x:v>
      </x:c>
      <x:c r="O5" s="46" t="str"/>
      <x:c r="P5" s="46" t="str"/>
      <x:c r="Q5" s="46" t="str"/>
    </x:row>
    <x:row r="6">
      <x:c r="A6" s="47" t="str">
        <x:v>RUN-TRF-025-20260827T223223397676Z</x:v>
      </x:c>
      <x:c r="B6" s="47" t="str">
        <x:v>TRF-025</x:v>
      </x:c>
      <x:c r="C6" s="59" t="n">
        <x:v>2</x:v>
      </x:c>
      <x:c r="D6" s="85" t="b">
        <x:v>1</x:v>
      </x:c>
      <x:c r="E6" s="85" t="b">
        <x:v>1</x:v>
      </x:c>
      <x:c r="F6" s="85" t="b">
        <x:v>1</x:v>
      </x:c>
      <x:c r="G6" s="85" t="b">
        <x:v>1</x:v>
      </x:c>
      <x:c r="H6" s="85" t="b">
        <x:v>1</x:v>
      </x:c>
      <x:c r="I6" s="85" t="b">
        <x:v>1</x:v>
      </x:c>
      <x:c r="J6" s="85" t="b">
        <x:v>1</x:v>
      </x:c>
      <x:c r="K6" s="103" t="b">
        <x:v>1</x:v>
      </x:c>
      <x:c r="L6" s="48" t="str"/>
      <x:c r="M6" s="48" t="str"/>
      <x:c r="N6" s="48" t="str">
        <x:v>https://w3id.org/nltl/vocab#brashIceResistanceCoefficientC1 | https://w3id.org/nltl/vocab#brashIceResistanceCoefficientC2 | https://w3id.org/nltl/vocab#bulbousBowPresent | https://w3id.org/nltl/vocab#coefficientF1 | https://w3id.org/nltl/vocab#coefficientF2 | https://w3id.org/nltl/vocab#coefficientF3 | https://w3id.org/nltl/vocab#coefficientF4 | https://w3id.org/nltl/vocab#coefficientG1 | https://w3id.org/nltl/vocab#coefficientG2 | https://w3id.org/nltl/vocab#coefficientG3 | https://w3id.org/nltl/vocab#iceClass | https://w3id.org/nltl/vocab#iceClassDraught | https://w3id.org/nltl/vocab#iceClassIa | https://w3id.org/nltl/vocab#iceClassIaSuper | https://w3id.org/nltl/vocab#iceClassIb | https://w3id.org/nltl/vocab#iceClassIc | https://w3id.org/nltl/vocab#iceClassIi | https://w3id.org/nltl/vocab#iceClassIii | https://w3id.org/nltl/vocab#newtonPerMetreToPowerOnePointFiveUnit | https://w3id.org/nltl/vocab#ship | https://w3id.org/nltl/vocab#shipBreadth | https://w3id.org/nltl/vocab#shipLength</x:v>
      </x:c>
      <x:c r="O6" s="48" t="str"/>
      <x:c r="P6" s="48" t="str"/>
      <x:c r="Q6" s="48" t="str"/>
    </x:row>
    <x:row r="7">
      <x:c r="A7" s="47" t="str">
        <x:v>RUN-TRF-025-20260827T223223397676Z</x:v>
      </x:c>
      <x:c r="B7" s="47" t="str">
        <x:v>TRF-025</x:v>
      </x:c>
      <x:c r="C7" s="59" t="n">
        <x:v>3</x:v>
      </x:c>
      <x:c r="D7" s="85" t="b">
        <x:v>1</x:v>
      </x:c>
      <x:c r="E7" s="85" t="b">
        <x:v>1</x:v>
      </x:c>
      <x:c r="F7" s="85" t="b">
        <x:v>1</x:v>
      </x:c>
      <x:c r="G7" s="85" t="b">
        <x:v>1</x:v>
      </x:c>
      <x:c r="H7" s="85" t="b">
        <x:v>1</x:v>
      </x:c>
      <x:c r="I7" s="85" t="b">
        <x:v>1</x:v>
      </x:c>
      <x:c r="J7" s="85" t="b">
        <x:v>1</x:v>
      </x:c>
      <x:c r="K7" s="103" t="b">
        <x:v>1</x:v>
      </x:c>
      <x:c r="L7" s="48" t="str"/>
      <x:c r="M7" s="48" t="str"/>
      <x:c r="N7" s="48" t="str">
        <x:v>https://w3id.org/nltl/vocab#brashIceResistanceCoefficientC1 | https://w3id.org/nltl/vocab#brashIceResistanceCoefficientC2 | https://w3id.org/nltl/vocab#bulbousBowPresent | https://w3id.org/nltl/vocab#coefficientF1 | https://w3id.org/nltl/vocab#coefficientF2 | https://w3id.org/nltl/vocab#coefficientF3 | https://w3id.org/nltl/vocab#coefficientF4 | https://w3id.org/nltl/vocab#coefficientG1 | https://w3id.org/nltl/vocab#coefficientG2 | https://w3id.org/nltl/vocab#coefficientG3 | https://w3id.org/nltl/vocab#iceClass | https://w3id.org/nltl/vocab#iceClassDraught | https://w3id.org/nltl/vocab#iceClassIa | https://w3id.org/nltl/vocab#iceClassIaSuper | https://w3id.org/nltl/vocab#iceClassIb | https://w3id.org/nltl/vocab#iceClassIc | https://w3id.org/nltl/vocab#iceClassIi | https://w3id.org/nltl/vocab#iceClassIii | https://w3id.org/nltl/vocab#newtonPerMetreToPowerOnePointFiveUnit | https://w3id.org/nltl/vocab#ship | https://w3id.org/nltl/vocab#shipBreadth | https://w3id.org/nltl/vocab#shipLength</x:v>
      </x:c>
      <x:c r="O7" s="48" t="str"/>
      <x:c r="P7" s="48" t="str"/>
      <x:c r="Q7" s="48" t="str"/>
    </x:row>
    <x:row r="8">
      <x:c r="A8" s="49" t="str">
        <x:v>RUN-TRF-025-20260827T223223397676Z</x:v>
      </x:c>
      <x:c r="B8" s="49" t="str">
        <x:v>TRF-025</x:v>
      </x:c>
      <x:c r="C8" s="60" t="n">
        <x:v>4</x:v>
      </x:c>
      <x:c r="D8" s="87" t="b">
        <x:v>1</x:v>
      </x:c>
      <x:c r="E8" s="87" t="b">
        <x:v>1</x:v>
      </x:c>
      <x:c r="F8" s="87" t="b">
        <x:v>1</x:v>
      </x:c>
      <x:c r="G8" s="87" t="b">
        <x:v>1</x:v>
      </x:c>
      <x:c r="H8" s="87" t="b">
        <x:v>1</x:v>
      </x:c>
      <x:c r="I8" s="87" t="b">
        <x:v>1</x:v>
      </x:c>
      <x:c r="J8" s="87" t="b">
        <x:v>1</x:v>
      </x:c>
      <x:c r="K8" s="104" t="b">
        <x:v>1</x:v>
      </x:c>
      <x:c r="L8" s="50" t="str"/>
      <x:c r="M8" s="50" t="str"/>
      <x:c r="N8" s="50" t="str">
        <x:v>https://w3id.org/nltl/vocab#brashIceResistanceCoefficientC1 | https://w3id.org/nltl/vocab#brashIceResistanceCoefficientC2 | https://w3id.org/nltl/vocab#bulbousBowPresent | https://w3id.org/nltl/vocab#coefficientF1 | https://w3id.org/nltl/vocab#coefficientF2 | https://w3id.org/nltl/vocab#coefficientF3 | https://w3id.org/nltl/vocab#coefficientF4 | https://w3id.org/nltl/vocab#coefficientG1 | https://w3id.org/nltl/vocab#coefficientG2 | https://w3id.org/nltl/vocab#coefficientG3 | https://w3id.org/nltl/vocab#iceClass | https://w3id.org/nltl/vocab#iceClassDraught | https://w3id.org/nltl/vocab#iceClassIa | https://w3id.org/nltl/vocab#iceClassIaSuper | https://w3id.org/nltl/vocab#iceClassIb | https://w3id.org/nltl/vocab#iceClassIc | https://w3id.org/nltl/vocab#iceClassIi | https://w3id.org/nltl/vocab#iceClassIii | https://w3id.org/nltl/vocab#newtonPerMetreToPowerOnePointFiveUnit | https://w3id.org/nltl/vocab#ship | https://w3id.org/nltl/vocab#shipBreadth | https://w3id.org/nltl/vocab#shipLength</x:v>
      </x:c>
      <x:c r="O8" s="50" t="str"/>
      <x:c r="P8" s="50" t="str"/>
      <x:c r="Q8" s="50" t="str"/>
    </x:row>
  </x:sheetData>
  <x:pageMargins left="0.7" right="0.7" top="0.75" bottom="0.75" header="0.3" footer="0.3"/>
  <x:tableParts count="1">
    <x:tablePart xmlns:r="http://schemas.openxmlformats.org/officeDocument/2006/relationships" r:id="R3834e2ebce594cd3"/>
  </x:tableParts>
</x:worksheet>
</file>

<file path=xl/worksheets/sheet10.xml><?xml version="1.0" encoding="utf-8"?>
<x:worksheet xmlns:x="http://schemas.openxmlformats.org/spreadsheetml/2006/main">
  <x:sheetViews>
    <x:sheetView showGridLines="0" workbookViewId="0"/>
  </x:sheetViews>
  <x:sheetFormatPr defaultRowHeight="15"/>
  <x:sheetData>
    <x:row r="1">
      <x:c r="A1" s="18" t="str">
        <x:v>NLTL SHACL Pipeline Run Tracker</x:v>
      </x:c>
      <x:c r="B1" s="19"/>
      <x:c r="C1" s="19"/>
      <x:c r="D1" s="19"/>
      <x:c r="E1" s="19"/>
      <x:c r="F1" s="19"/>
      <x:c r="G1" s="19"/>
      <x:c r="H1" s="19"/>
      <x:c r="I1" s="19"/>
      <x:c r="J1" s="19"/>
    </x:row>
    <x:row r="2">
      <x:c r="A2" s="20" t="str">
        <x:v>VOCAB_MATCHES | Run folder: RUN-TRF-025-20260827T223223397676Z</x:v>
      </x:c>
      <x:c r="B2" s="20"/>
      <x:c r="C2" s="20"/>
      <x:c r="D2" s="20"/>
      <x:c r="E2" s="20"/>
      <x:c r="F2" s="20"/>
      <x:c r="G2" s="20"/>
      <x:c r="H2" s="20"/>
      <x:c r="I2" s="20"/>
      <x:c r="J2" s="20"/>
    </x:row>
    <x:row r="3">
      <x:c r="A3" s="21"/>
      <x:c r="B3" s="21"/>
      <x:c r="C3" s="21"/>
      <x:c r="D3" s="21"/>
      <x:c r="E3" s="21"/>
      <x:c r="F3" s="21"/>
      <x:c r="G3" s="21"/>
      <x:c r="H3" s="21"/>
      <x:c r="I3" s="21"/>
      <x:c r="J3" s="21"/>
    </x:row>
    <x:row r="4" ht="30" customHeight="1">
      <x:c r="A4" s="43" t="str">
        <x:v>RUN_ID</x:v>
      </x:c>
      <x:c r="B4" s="57" t="str">
        <x:v>REQUIREMENT_ID</x:v>
      </x:c>
      <x:c r="C4" s="57" t="str">
        <x:v>ITERATION</x:v>
      </x:c>
      <x:c r="D4" s="57" t="str">
        <x:v>EVENT</x:v>
      </x:c>
      <x:c r="E4" s="57" t="str">
        <x:v>QUERY_FEEDBACK</x:v>
      </x:c>
      <x:c r="F4" s="57" t="str">
        <x:v>CANDIDATE_COUNT</x:v>
      </x:c>
      <x:c r="G4" s="57" t="str">
        <x:v>MATCH_FOUND</x:v>
      </x:c>
      <x:c r="H4" s="57" t="str">
        <x:v>CANONICAL_LOCAL_NAME</x:v>
      </x:c>
      <x:c r="I4" s="57" t="str">
        <x:v>CANONICAL_IRI</x:v>
      </x:c>
      <x:c r="J4" s="44" t="str">
        <x:v>FEEDBACK_APPENDIX</x:v>
      </x:c>
    </x:row>
    <x:row r="5">
      <x:c r="A5" s="106" t="str">
        <x:v>No records for this run.</x:v>
      </x:c>
      <x:c r="B5" s="21"/>
      <x:c r="C5" s="21"/>
      <x:c r="D5" s="21"/>
      <x:c r="E5" s="21"/>
      <x:c r="F5" s="21"/>
      <x:c r="G5" s="21"/>
      <x:c r="H5" s="21"/>
      <x:c r="I5" s="21"/>
      <x:c r="J5" s="21"/>
    </x:row>
  </x:sheetData>
  <x:pageMargins left="0.7" right="0.7" top="0.75" bottom="0.75" header="0.3" footer="0.3"/>
</x:worksheet>
</file>

<file path=xl/worksheets/sheet11.xml><?xml version="1.0" encoding="utf-8"?>
<x:worksheet xmlns:x="http://schemas.openxmlformats.org/spreadsheetml/2006/main">
  <x:sheetViews>
    <x:sheetView showGridLines="0" workbookViewId="0"/>
  </x:sheetViews>
  <x:sheetFormatPr defaultRowHeight="15"/>
  <x:cols>
    <x:col min="1" max="1" width="42" hidden="0" customWidth="1"/>
    <x:col min="2" max="2" width="18" hidden="0" customWidth="1"/>
    <x:col min="3" max="3" width="11" hidden="0" customWidth="1"/>
    <x:col min="4" max="4" width="28" hidden="0" customWidth="1"/>
    <x:col min="5" max="5" width="52" hidden="0" customWidth="1"/>
    <x:col min="6" max="6" width="36" hidden="0" customWidth="1"/>
    <x:col min="7" max="7" width="11" hidden="0" customWidth="1"/>
  </x:cols>
  <x:sheetData>
    <x:row r="1">
      <x:c r="A1" s="18" t="str">
        <x:v>NLTL SHACL Pipeline Run Tracker</x:v>
      </x:c>
      <x:c r="B1" s="19"/>
      <x:c r="C1" s="19"/>
      <x:c r="D1" s="19"/>
      <x:c r="E1" s="19"/>
      <x:c r="F1" s="19"/>
      <x:c r="G1" s="19"/>
    </x:row>
    <x:row r="2">
      <x:c r="A2" s="20" t="str">
        <x:v>ARTIFACTS | Run folder: RUN-TRF-025-20260827T223223397676Z</x:v>
      </x:c>
      <x:c r="B2" s="20"/>
      <x:c r="C2" s="20"/>
      <x:c r="D2" s="20"/>
      <x:c r="E2" s="20"/>
      <x:c r="F2" s="20"/>
      <x:c r="G2" s="20"/>
    </x:row>
    <x:row r="3">
      <x:c r="A3" s="21"/>
      <x:c r="B3" s="21"/>
      <x:c r="C3" s="21"/>
      <x:c r="D3" s="21"/>
      <x:c r="E3" s="21"/>
      <x:c r="F3" s="21"/>
      <x:c r="G3" s="21"/>
    </x:row>
    <x:row r="4" ht="30" customHeight="1">
      <x:c r="A4" s="43" t="str">
        <x:v>RUN_ID</x:v>
      </x:c>
      <x:c r="B4" s="57" t="str">
        <x:v>REQUIREMENT_ID</x:v>
      </x:c>
      <x:c r="C4" s="57" t="str">
        <x:v>ITERATION</x:v>
      </x:c>
      <x:c r="D4" s="57" t="str">
        <x:v>ARTIFACT_TYPE</x:v>
      </x:c>
      <x:c r="E4" s="57" t="str">
        <x:v>ARTIFACT_PATH</x:v>
      </x:c>
      <x:c r="F4" s="57" t="str">
        <x:v>SHA256</x:v>
      </x:c>
      <x:c r="G4" s="44" t="str">
        <x:v>BYTES</x:v>
      </x:c>
    </x:row>
    <x:row r="5">
      <x:c r="A5" s="45" t="str">
        <x:v>RUN-TRF-025-20260827T223223397676Z</x:v>
      </x:c>
      <x:c r="B5" s="45" t="str">
        <x:v>TRF-025</x:v>
      </x:c>
      <x:c r="C5" s="58"/>
      <x:c r="D5" s="45" t="str">
        <x:v>initial_context_pack</x:v>
      </x:c>
      <x:c r="E5" s="46" t="str">
        <x:v>artifacts/context_pack_initial.json</x:v>
      </x:c>
      <x:c r="F5" s="45" t="str">
        <x:v>cf567b2fa52bf4a43127733e6cc03ae3ce82503d464029c668a2b6065399b548</x:v>
      </x:c>
      <x:c r="G5" s="58" t="n">
        <x:v>31420</x:v>
      </x:c>
    </x:row>
    <x:row r="6">
      <x:c r="A6" s="47" t="str">
        <x:v>RUN-TRF-025-20260827T223223397676Z</x:v>
      </x:c>
      <x:c r="B6" s="47" t="str">
        <x:v>TRF-025</x:v>
      </x:c>
      <x:c r="C6" s="59"/>
      <x:c r="D6" s="47" t="str">
        <x:v>few_shot_selection</x:v>
      </x:c>
      <x:c r="E6" s="48" t="str">
        <x:v>artifacts/few_shots_selected.json</x:v>
      </x:c>
      <x:c r="F6" s="47" t="str">
        <x:v>40b774953f02b98e3fe7022ff30c78298481b7de33816d0ede7bc7e7cccab5c0</x:v>
      </x:c>
      <x:c r="G6" s="59" t="n">
        <x:v>6555</x:v>
      </x:c>
    </x:row>
    <x:row r="7">
      <x:c r="A7" s="47" t="str">
        <x:v>RUN-TRF-025-20260827T223223397676Z</x:v>
      </x:c>
      <x:c r="B7" s="47" t="str">
        <x:v>TRF-025</x:v>
      </x:c>
      <x:c r="C7" s="59" t="n">
        <x:v>1</x:v>
      </x:c>
      <x:c r="D7" s="47" t="str">
        <x:v>generator_prompt</x:v>
      </x:c>
      <x:c r="E7" s="48" t="str">
        <x:v>artifacts/attempt_01/generator_prompt.txt</x:v>
      </x:c>
      <x:c r="F7" s="47" t="str">
        <x:v>ea2635ff0a43537376f0b9eda1f934376b686a6b44ae81233b99b35dc4f77483</x:v>
      </x:c>
      <x:c r="G7" s="59" t="n">
        <x:v>49619</x:v>
      </x:c>
    </x:row>
    <x:row r="8">
      <x:c r="A8" s="47" t="str">
        <x:v>RUN-TRF-025-20260827T223223397676Z</x:v>
      </x:c>
      <x:c r="B8" s="47" t="str">
        <x:v>TRF-025</x:v>
      </x:c>
      <x:c r="C8" s="59" t="n">
        <x:v>1</x:v>
      </x:c>
      <x:c r="D8" s="47" t="str">
        <x:v>generator_raw_response</x:v>
      </x:c>
      <x:c r="E8" s="48" t="str">
        <x:v>artifacts/attempt_01/generator_raw.txt</x:v>
      </x:c>
      <x:c r="F8" s="47" t="str">
        <x:v>141358c90813d0ddd5ccb61688fdb2635a2f5144ea07cfd04b8c8b4021ac6644</x:v>
      </x:c>
      <x:c r="G8" s="59" t="n">
        <x:v>10630</x:v>
      </x:c>
    </x:row>
    <x:row r="9">
      <x:c r="A9" s="47" t="str">
        <x:v>RUN-TRF-025-20260827T223223397676Z</x:v>
      </x:c>
      <x:c r="B9" s="47" t="str">
        <x:v>TRF-025</x:v>
      </x:c>
      <x:c r="C9" s="59" t="n">
        <x:v>1</x:v>
      </x:c>
      <x:c r="D9" s="47" t="str">
        <x:v>syntax_repair_prompt</x:v>
      </x:c>
      <x:c r="E9" s="48" t="str">
        <x:v>artifacts/attempt_01/syntax_repair_prompt_01.txt</x:v>
      </x:c>
      <x:c r="F9" s="47" t="str">
        <x:v>01b402a7c992ededed537f7aeeceef8b3bd9691437967eb8f1d155eea6d55721</x:v>
      </x:c>
      <x:c r="G9" s="59" t="n">
        <x:v>12153</x:v>
      </x:c>
    </x:row>
    <x:row r="10">
      <x:c r="A10" s="47" t="str">
        <x:v>RUN-TRF-025-20260827T223223397676Z</x:v>
      </x:c>
      <x:c r="B10" s="47" t="str">
        <x:v>TRF-025</x:v>
      </x:c>
      <x:c r="C10" s="59" t="n">
        <x:v>1</x:v>
      </x:c>
      <x:c r="D10" s="47" t="str">
        <x:v>syntax_repair_raw_response</x:v>
      </x:c>
      <x:c r="E10" s="48" t="str">
        <x:v>artifacts/attempt_01/syntax_repair_raw_01.txt</x:v>
      </x:c>
      <x:c r="F10" s="47" t="str">
        <x:v>81f2efb8869ba49757f94e39f698443e0d79aa5d72c6e189ac2e272e179f3335</x:v>
      </x:c>
      <x:c r="G10" s="59" t="n">
        <x:v>10618</x:v>
      </x:c>
    </x:row>
    <x:row r="11">
      <x:c r="A11" s="47" t="str">
        <x:v>RUN-TRF-025-20260827T223223397676Z</x:v>
      </x:c>
      <x:c r="B11" s="47" t="str">
        <x:v>TRF-025</x:v>
      </x:c>
      <x:c r="C11" s="59" t="n">
        <x:v>1</x:v>
      </x:c>
      <x:c r="D11" s="47" t="str">
        <x:v>candidate_shape</x:v>
      </x:c>
      <x:c r="E11" s="48" t="str">
        <x:v>artifacts/attempt_01/candidate_shape.ttl</x:v>
      </x:c>
      <x:c r="F11" s="47" t="str">
        <x:v>4a55512c12fc32acda20d75cdf8f5d822f5a851588a503b51ce34050be781559</x:v>
      </x:c>
      <x:c r="G11" s="59" t="n">
        <x:v>10593</x:v>
      </x:c>
    </x:row>
    <x:row r="12">
      <x:c r="A12" s="47" t="str">
        <x:v>RUN-TRF-025-20260827T223223397676Z</x:v>
      </x:c>
      <x:c r="B12" s="47" t="str">
        <x:v>TRF-025</x:v>
      </x:c>
      <x:c r="C12" s="59" t="n">
        <x:v>1</x:v>
      </x:c>
      <x:c r="D12" s="47" t="str">
        <x:v>deterministic_validation</x:v>
      </x:c>
      <x:c r="E12" s="48" t="str">
        <x:v>artifacts/attempt_01/deterministic_validation.json</x:v>
      </x:c>
      <x:c r="F12" s="47" t="str">
        <x:v>dbbc091c5e19c01b3e1ceae23df3ae68b94c731348d52b203f635c293c70d25d</x:v>
      </x:c>
      <x:c r="G12" s="59" t="n">
        <x:v>1551</x:v>
      </x:c>
    </x:row>
    <x:row r="13">
      <x:c r="A13" s="47" t="str">
        <x:v>RUN-TRF-025-20260827T223223397676Z</x:v>
      </x:c>
      <x:c r="B13" s="47" t="str">
        <x:v>TRF-025</x:v>
      </x:c>
      <x:c r="C13" s="59" t="n">
        <x:v>1</x:v>
      </x:c>
      <x:c r="D13" s="47" t="str">
        <x:v>validator_prompt</x:v>
      </x:c>
      <x:c r="E13" s="48" t="str">
        <x:v>artifacts/attempt_01/validator_prompt_01.txt</x:v>
      </x:c>
      <x:c r="F13" s="47" t="str">
        <x:v>3a5c804d80d44e5cbc8e77238e8f6a871b300a25060dcc9b67f4cd6f99bf7583</x:v>
      </x:c>
      <x:c r="G13" s="59" t="n">
        <x:v>58300</x:v>
      </x:c>
    </x:row>
    <x:row r="14">
      <x:c r="A14" s="47" t="str">
        <x:v>RUN-TRF-025-20260827T223223397676Z</x:v>
      </x:c>
      <x:c r="B14" s="47" t="str">
        <x:v>TRF-025</x:v>
      </x:c>
      <x:c r="C14" s="59" t="n">
        <x:v>1</x:v>
      </x:c>
      <x:c r="D14" s="47" t="str">
        <x:v>validator_raw_response</x:v>
      </x:c>
      <x:c r="E14" s="48" t="str">
        <x:v>artifacts/attempt_01/validator_raw_01.txt</x:v>
      </x:c>
      <x:c r="F14" s="47" t="str">
        <x:v>a4dfb4142a1e4e6115d4b76bd23e9c7d383bb64953316c52b06375b3a7bf6a43</x:v>
      </x:c>
      <x:c r="G14" s="59" t="n">
        <x:v>842</x:v>
      </x:c>
    </x:row>
    <x:row r="15">
      <x:c r="A15" s="47" t="str">
        <x:v>RUN-TRF-025-20260827T223223397676Z</x:v>
      </x:c>
      <x:c r="B15" s="47" t="str">
        <x:v>TRF-025</x:v>
      </x:c>
      <x:c r="C15" s="59" t="n">
        <x:v>2</x:v>
      </x:c>
      <x:c r="D15" s="47" t="str">
        <x:v>generator_prompt</x:v>
      </x:c>
      <x:c r="E15" s="48" t="str">
        <x:v>artifacts/attempt_02/generator_prompt.txt</x:v>
      </x:c>
      <x:c r="F15" s="47" t="str">
        <x:v>bb7113a5aa9fcdfe5d4b6022b70994eff4a4889a76770b3225ef52abc71e4782</x:v>
      </x:c>
      <x:c r="G15" s="59" t="n">
        <x:v>50396</x:v>
      </x:c>
    </x:row>
    <x:row r="16">
      <x:c r="A16" s="47" t="str">
        <x:v>RUN-TRF-025-20260827T223223397676Z</x:v>
      </x:c>
      <x:c r="B16" s="47" t="str">
        <x:v>TRF-025</x:v>
      </x:c>
      <x:c r="C16" s="59" t="n">
        <x:v>2</x:v>
      </x:c>
      <x:c r="D16" s="47" t="str">
        <x:v>generator_raw_response</x:v>
      </x:c>
      <x:c r="E16" s="48" t="str">
        <x:v>artifacts/attempt_02/generator_raw.txt</x:v>
      </x:c>
      <x:c r="F16" s="47" t="str">
        <x:v>fd15be45fe2762d12157b05927f9c6d43d7083e9987ddaa2e58e48dca3674dd9</x:v>
      </x:c>
      <x:c r="G16" s="59" t="n">
        <x:v>11092</x:v>
      </x:c>
    </x:row>
    <x:row r="17">
      <x:c r="A17" s="47" t="str">
        <x:v>RUN-TRF-025-20260827T223223397676Z</x:v>
      </x:c>
      <x:c r="B17" s="47" t="str">
        <x:v>TRF-025</x:v>
      </x:c>
      <x:c r="C17" s="59" t="n">
        <x:v>2</x:v>
      </x:c>
      <x:c r="D17" s="47" t="str">
        <x:v>candidate_shape</x:v>
      </x:c>
      <x:c r="E17" s="48" t="str">
        <x:v>artifacts/attempt_02/candidate_shape.ttl</x:v>
      </x:c>
      <x:c r="F17" s="47" t="str">
        <x:v>b1c1327fa1857a11a24ad85e64a59d75a9ea67c83257dd63ba921ad7797054f4</x:v>
      </x:c>
      <x:c r="G17" s="59" t="n">
        <x:v>11067</x:v>
      </x:c>
    </x:row>
    <x:row r="18">
      <x:c r="A18" s="47" t="str">
        <x:v>RUN-TRF-025-20260827T223223397676Z</x:v>
      </x:c>
      <x:c r="B18" s="47" t="str">
        <x:v>TRF-025</x:v>
      </x:c>
      <x:c r="C18" s="59" t="n">
        <x:v>2</x:v>
      </x:c>
      <x:c r="D18" s="47" t="str">
        <x:v>deterministic_validation</x:v>
      </x:c>
      <x:c r="E18" s="48" t="str">
        <x:v>artifacts/attempt_02/deterministic_validation.json</x:v>
      </x:c>
      <x:c r="F18" s="47" t="str">
        <x:v>6de15a0ae693d165518559e28799cf862639446fe414d6824cc9c316be728617</x:v>
      </x:c>
      <x:c r="G18" s="59" t="n">
        <x:v>1502</x:v>
      </x:c>
    </x:row>
    <x:row r="19">
      <x:c r="A19" s="47" t="str">
        <x:v>RUN-TRF-025-20260827T223223397676Z</x:v>
      </x:c>
      <x:c r="B19" s="47" t="str">
        <x:v>TRF-025</x:v>
      </x:c>
      <x:c r="C19" s="59" t="n">
        <x:v>2</x:v>
      </x:c>
      <x:c r="D19" s="47" t="str">
        <x:v>validator_prompt</x:v>
      </x:c>
      <x:c r="E19" s="48" t="str">
        <x:v>artifacts/attempt_02/validator_prompt_01.txt</x:v>
      </x:c>
      <x:c r="F19" s="47" t="str">
        <x:v>9e1bfdc966b4ba1ba4914e6e3cadea938864a6b5ae39fb9aa9bc2f7b5db7d10a</x:v>
      </x:c>
      <x:c r="G19" s="59" t="n">
        <x:v>59243</x:v>
      </x:c>
    </x:row>
    <x:row r="20">
      <x:c r="A20" s="47" t="str">
        <x:v>RUN-TRF-025-20260827T223223397676Z</x:v>
      </x:c>
      <x:c r="B20" s="47" t="str">
        <x:v>TRF-025</x:v>
      </x:c>
      <x:c r="C20" s="59" t="n">
        <x:v>2</x:v>
      </x:c>
      <x:c r="D20" s="47" t="str">
        <x:v>validator_raw_response</x:v>
      </x:c>
      <x:c r="E20" s="48" t="str">
        <x:v>artifacts/attempt_02/validator_raw_01.txt</x:v>
      </x:c>
      <x:c r="F20" s="47" t="str">
        <x:v>b9a33d302f7d3481e3565eda1823876025172baee05d184e57c44f5b2e3ec613</x:v>
      </x:c>
      <x:c r="G20" s="59" t="n">
        <x:v>780</x:v>
      </x:c>
    </x:row>
    <x:row r="21">
      <x:c r="A21" s="47" t="str">
        <x:v>RUN-TRF-025-20260827T223223397676Z</x:v>
      </x:c>
      <x:c r="B21" s="47" t="str">
        <x:v>TRF-025</x:v>
      </x:c>
      <x:c r="C21" s="59" t="n">
        <x:v>3</x:v>
      </x:c>
      <x:c r="D21" s="47" t="str">
        <x:v>generator_prompt</x:v>
      </x:c>
      <x:c r="E21" s="48" t="str">
        <x:v>artifacts/attempt_03/generator_prompt.txt</x:v>
      </x:c>
      <x:c r="F21" s="47" t="str">
        <x:v>68c26055c55533e9d6daff3c93bac36dc6ca6b50f1e3abd05c128d719eaaaf63</x:v>
      </x:c>
      <x:c r="G21" s="59" t="n">
        <x:v>51119</x:v>
      </x:c>
    </x:row>
    <x:row r="22">
      <x:c r="A22" s="47" t="str">
        <x:v>RUN-TRF-025-20260827T223223397676Z</x:v>
      </x:c>
      <x:c r="B22" s="47" t="str">
        <x:v>TRF-025</x:v>
      </x:c>
      <x:c r="C22" s="59" t="n">
        <x:v>3</x:v>
      </x:c>
      <x:c r="D22" s="47" t="str">
        <x:v>generator_raw_response</x:v>
      </x:c>
      <x:c r="E22" s="48" t="str">
        <x:v>artifacts/attempt_03/generator_raw.txt</x:v>
      </x:c>
      <x:c r="F22" s="47" t="str">
        <x:v>92a464f699bf0d906f8ec0ae222051412f03a244c45b7ccea3b4b430c61b8c5c</x:v>
      </x:c>
      <x:c r="G22" s="59" t="n">
        <x:v>6307</x:v>
      </x:c>
    </x:row>
    <x:row r="23">
      <x:c r="A23" s="47" t="str">
        <x:v>RUN-TRF-025-20260827T223223397676Z</x:v>
      </x:c>
      <x:c r="B23" s="47" t="str">
        <x:v>TRF-025</x:v>
      </x:c>
      <x:c r="C23" s="59" t="n">
        <x:v>3</x:v>
      </x:c>
      <x:c r="D23" s="47" t="str">
        <x:v>candidate_shape</x:v>
      </x:c>
      <x:c r="E23" s="48" t="str">
        <x:v>artifacts/attempt_03/candidate_shape.ttl</x:v>
      </x:c>
      <x:c r="F23" s="47" t="str">
        <x:v>881a56b68f9f6b001e260a935033629e15cc772af3ba47be2a24528dc05d75b3</x:v>
      </x:c>
      <x:c r="G23" s="59" t="n">
        <x:v>6282</x:v>
      </x:c>
    </x:row>
    <x:row r="24">
      <x:c r="A24" s="47" t="str">
        <x:v>RUN-TRF-025-20260827T223223397676Z</x:v>
      </x:c>
      <x:c r="B24" s="47" t="str">
        <x:v>TRF-025</x:v>
      </x:c>
      <x:c r="C24" s="59" t="n">
        <x:v>3</x:v>
      </x:c>
      <x:c r="D24" s="47" t="str">
        <x:v>deterministic_validation</x:v>
      </x:c>
      <x:c r="E24" s="48" t="str">
        <x:v>artifacts/attempt_03/deterministic_validation.json</x:v>
      </x:c>
      <x:c r="F24" s="47" t="str">
        <x:v>6de15a0ae693d165518559e28799cf862639446fe414d6824cc9c316be728617</x:v>
      </x:c>
      <x:c r="G24" s="59" t="n">
        <x:v>1502</x:v>
      </x:c>
    </x:row>
    <x:row r="25">
      <x:c r="A25" s="47" t="str">
        <x:v>RUN-TRF-025-20260827T223223397676Z</x:v>
      </x:c>
      <x:c r="B25" s="47" t="str">
        <x:v>TRF-025</x:v>
      </x:c>
      <x:c r="C25" s="59" t="n">
        <x:v>3</x:v>
      </x:c>
      <x:c r="D25" s="47" t="str">
        <x:v>validator_prompt</x:v>
      </x:c>
      <x:c r="E25" s="48" t="str">
        <x:v>artifacts/attempt_03/validator_prompt_01.txt</x:v>
      </x:c>
      <x:c r="F25" s="47" t="str">
        <x:v>f9be2af41643400d9ded9333b9cfe7f081629426bb268aa62092e311e9ad0c55</x:v>
      </x:c>
      <x:c r="G25" s="59" t="n">
        <x:v>55017</x:v>
      </x:c>
    </x:row>
    <x:row r="26">
      <x:c r="A26" s="47" t="str">
        <x:v>RUN-TRF-025-20260827T223223397676Z</x:v>
      </x:c>
      <x:c r="B26" s="47" t="str">
        <x:v>TRF-025</x:v>
      </x:c>
      <x:c r="C26" s="59" t="n">
        <x:v>3</x:v>
      </x:c>
      <x:c r="D26" s="47" t="str">
        <x:v>validator_raw_response</x:v>
      </x:c>
      <x:c r="E26" s="48" t="str">
        <x:v>artifacts/attempt_03/validator_raw_01.txt</x:v>
      </x:c>
      <x:c r="F26" s="47" t="str">
        <x:v>1ebaa584008062e8ef1ba31fd6d69d4b2f5682d27f7a92fb87da62f79dcd784c</x:v>
      </x:c>
      <x:c r="G26" s="59" t="n">
        <x:v>667</x:v>
      </x:c>
    </x:row>
    <x:row r="27">
      <x:c r="A27" s="47" t="str">
        <x:v>RUN-TRF-025-20260827T223223397676Z</x:v>
      </x:c>
      <x:c r="B27" s="47" t="str">
        <x:v>TRF-025</x:v>
      </x:c>
      <x:c r="C27" s="59" t="n">
        <x:v>4</x:v>
      </x:c>
      <x:c r="D27" s="47" t="str">
        <x:v>generator_prompt</x:v>
      </x:c>
      <x:c r="E27" s="48" t="str">
        <x:v>artifacts/attempt_04/generator_prompt.txt</x:v>
      </x:c>
      <x:c r="F27" s="47" t="str">
        <x:v>b74a5ae45b853a14b0f4ce73da39e31dfa14dfea639a10346a08147734bd3ff3</x:v>
      </x:c>
      <x:c r="G27" s="59" t="n">
        <x:v>51729</x:v>
      </x:c>
    </x:row>
    <x:row r="28">
      <x:c r="A28" s="47" t="str">
        <x:v>RUN-TRF-025-20260827T223223397676Z</x:v>
      </x:c>
      <x:c r="B28" s="47" t="str">
        <x:v>TRF-025</x:v>
      </x:c>
      <x:c r="C28" s="59" t="n">
        <x:v>4</x:v>
      </x:c>
      <x:c r="D28" s="47" t="str">
        <x:v>generator_raw_response</x:v>
      </x:c>
      <x:c r="E28" s="48" t="str">
        <x:v>artifacts/attempt_04/generator_raw.txt</x:v>
      </x:c>
      <x:c r="F28" s="47" t="str">
        <x:v>1aedfd7d8f72eb05a2c8903d78aed841d69fc1bc06a6578929a9d7c92132978b</x:v>
      </x:c>
      <x:c r="G28" s="59" t="n">
        <x:v>6953</x:v>
      </x:c>
    </x:row>
    <x:row r="29">
      <x:c r="A29" s="47" t="str">
        <x:v>RUN-TRF-025-20260827T223223397676Z</x:v>
      </x:c>
      <x:c r="B29" s="47" t="str">
        <x:v>TRF-025</x:v>
      </x:c>
      <x:c r="C29" s="59" t="n">
        <x:v>4</x:v>
      </x:c>
      <x:c r="D29" s="47" t="str">
        <x:v>candidate_shape</x:v>
      </x:c>
      <x:c r="E29" s="48" t="str">
        <x:v>artifacts/attempt_04/candidate_shape.ttl</x:v>
      </x:c>
      <x:c r="F29" s="47" t="str">
        <x:v>ea6d06fbb530d56918122d2305475d4616c6f0f02a77ca5a6be0f788cb6548cd</x:v>
      </x:c>
      <x:c r="G29" s="59" t="n">
        <x:v>6928</x:v>
      </x:c>
    </x:row>
    <x:row r="30">
      <x:c r="A30" s="47" t="str">
        <x:v>RUN-TRF-025-20260827T223223397676Z</x:v>
      </x:c>
      <x:c r="B30" s="47" t="str">
        <x:v>TRF-025</x:v>
      </x:c>
      <x:c r="C30" s="59" t="n">
        <x:v>4</x:v>
      </x:c>
      <x:c r="D30" s="47" t="str">
        <x:v>deterministic_validation</x:v>
      </x:c>
      <x:c r="E30" s="48" t="str">
        <x:v>artifacts/attempt_04/deterministic_validation.json</x:v>
      </x:c>
      <x:c r="F30" s="47" t="str">
        <x:v>6de15a0ae693d165518559e28799cf862639446fe414d6824cc9c316be728617</x:v>
      </x:c>
      <x:c r="G30" s="59" t="n">
        <x:v>1502</x:v>
      </x:c>
    </x:row>
    <x:row r="31">
      <x:c r="A31" s="47" t="str">
        <x:v>RUN-TRF-025-20260827T223223397676Z</x:v>
      </x:c>
      <x:c r="B31" s="47" t="str">
        <x:v>TRF-025</x:v>
      </x:c>
      <x:c r="C31" s="59" t="n">
        <x:v>4</x:v>
      </x:c>
      <x:c r="D31" s="47" t="str">
        <x:v>validator_prompt</x:v>
      </x:c>
      <x:c r="E31" s="48" t="str">
        <x:v>artifacts/attempt_04/validator_prompt_01.txt</x:v>
      </x:c>
      <x:c r="F31" s="47" t="str">
        <x:v>37ff3fd8181f73fe68d84e5bad7ce75a66136735555a43cb463bc6f9220fc736</x:v>
      </x:c>
      <x:c r="G31" s="59" t="n">
        <x:v>56285</x:v>
      </x:c>
    </x:row>
    <x:row r="32">
      <x:c r="A32" s="49" t="str">
        <x:v>RUN-TRF-025-20260827T223223397676Z</x:v>
      </x:c>
      <x:c r="B32" s="49" t="str">
        <x:v>TRF-025</x:v>
      </x:c>
      <x:c r="C32" s="60" t="n">
        <x:v>4</x:v>
      </x:c>
      <x:c r="D32" s="49" t="str">
        <x:v>validator_raw_response</x:v>
      </x:c>
      <x:c r="E32" s="50" t="str">
        <x:v>artifacts/attempt_04/validator_raw_01.txt</x:v>
      </x:c>
      <x:c r="F32" s="49" t="str">
        <x:v>fbfd273eb33ba6b8afadc8fd5dcd2213ef4264c8a58ad59cf6f30d8948f4daae</x:v>
      </x:c>
      <x:c r="G32" s="60" t="n">
        <x:v>832</x:v>
      </x:c>
    </x:row>
  </x:sheetData>
  <x:pageMargins left="0.7" right="0.7" top="0.75" bottom="0.75" header="0.3" footer="0.3"/>
  <x:tableParts count="1">
    <x:tablePart xmlns:r="http://schemas.openxmlformats.org/officeDocument/2006/relationships" r:id="R365ae1220b0b4819"/>
  </x:tableParts>
</x:worksheet>
</file>

<file path=xl/worksheets/sheet12.xml><?xml version="1.0" encoding="utf-8"?>
<x:worksheet xmlns:x="http://schemas.openxmlformats.org/spreadsheetml/2006/main">
  <x:sheetViews>
    <x:sheetView showGridLines="0" workbookViewId="0"/>
  </x:sheetViews>
  <x:sheetFormatPr defaultRowHeight="15"/>
  <x:cols>
    <x:col min="1" max="1" width="42" hidden="0" customWidth="1"/>
    <x:col min="2" max="2" width="18" hidden="0" customWidth="1"/>
    <x:col min="3" max="3" width="11" hidden="0" customWidth="1"/>
    <x:col min="4" max="4" width="24" hidden="0" customWidth="1"/>
    <x:col min="5" max="5" width="52" hidden="0" customWidth="1"/>
    <x:col min="6" max="6" width="11" hidden="0" customWidth="1"/>
  </x:cols>
  <x:sheetData>
    <x:row r="1">
      <x:c r="A1" s="18" t="str">
        <x:v>NLTL SHACL Pipeline Run Tracker</x:v>
      </x:c>
      <x:c r="B1" s="19"/>
      <x:c r="C1" s="19"/>
      <x:c r="D1" s="19"/>
      <x:c r="E1" s="19"/>
      <x:c r="F1" s="19"/>
    </x:row>
    <x:row r="2">
      <x:c r="A2" s="20" t="str">
        <x:v>UNRESOLVED | Run folder: RUN-TRF-025-20260827T223223397676Z</x:v>
      </x:c>
      <x:c r="B2" s="20"/>
      <x:c r="C2" s="20"/>
      <x:c r="D2" s="20"/>
      <x:c r="E2" s="20"/>
      <x:c r="F2" s="20"/>
    </x:row>
    <x:row r="3">
      <x:c r="A3" s="21"/>
      <x:c r="B3" s="21"/>
      <x:c r="C3" s="21"/>
      <x:c r="D3" s="21"/>
      <x:c r="E3" s="21"/>
      <x:c r="F3" s="21"/>
    </x:row>
    <x:row r="4" ht="30" customHeight="1">
      <x:c r="A4" s="43" t="str">
        <x:v>RUN_ID</x:v>
      </x:c>
      <x:c r="B4" s="57" t="str">
        <x:v>REQUIREMENT_ID</x:v>
      </x:c>
      <x:c r="C4" s="57" t="str">
        <x:v>ITERATION</x:v>
      </x:c>
      <x:c r="D4" s="57" t="str">
        <x:v>ISSUE_TYPE</x:v>
      </x:c>
      <x:c r="E4" s="57" t="str">
        <x:v>DETAIL</x:v>
      </x:c>
      <x:c r="F4" s="44" t="str">
        <x:v>STATUS</x:v>
      </x:c>
    </x:row>
    <x:row r="5">
      <x:c r="A5" s="69" t="str">
        <x:v>RUN-TRF-025-20260827T223223397676Z</x:v>
      </x:c>
      <x:c r="B5" s="69" t="str">
        <x:v>TRF-025</x:v>
      </x:c>
      <x:c r="C5" s="71" t="n">
        <x:v>4</x:v>
      </x:c>
      <x:c r="D5" s="69" t="str">
        <x:v>MAX_ATTEMPTS_REACHED</x:v>
      </x:c>
      <x:c r="E5" s="73" t="str">
        <x:v>Preserve the existing IA Super/false-bulb applicability, exactly-one controlled iceClass and boolean checks, ship ownership, all operands, required units/datatypes, and strictly positive L/B/T constraints. Repair the SPARQL constraint's pass logic: its SELECT currently returns the ship when every required fact exists, so compliant data is reported as a violation while missing data can pass; select violations for missing, malformed, non-unique, or invalid facts instead. Also add the required numerical-tolerance validation for both derived C1 and C2 results, scaled from their expected formula results rather than using presence/unit checks only. Retain the COMPLEX_READINESS boundary: do not invent a mandatory formula execution or additional evidence obligation.</x:v>
      </x:c>
      <x:c r="F5" s="69" t="str">
        <x:v>OPEN</x:v>
      </x:c>
    </x:row>
  </x:sheetData>
  <x:conditionalFormatting sqref="F5:F5">
    <x:cfRule type="containsText" dxfId="42" priority="1" operator="containsText" text="ACCEPT"/>
    <x:cfRule type="containsText" dxfId="43" priority="2" operator="containsText" text="ELIGIBLE"/>
    <x:cfRule type="containsText" dxfId="44" priority="3" operator="containsText" text="PASS"/>
    <x:cfRule type="containsText" dxfId="45" priority="4" operator="containsText" text="GAP"/>
    <x:cfRule type="containsText" dxfId="46" priority="5" operator="containsText" text="FAIL"/>
    <x:cfRule type="containsText" dxfId="47" priority="6" operator="containsText" text="DEFERRED"/>
  </x:conditionalFormatting>
  <x:pageMargins left="0.7" right="0.7" top="0.75" bottom="0.75" header="0.3" footer="0.3"/>
  <x:tableParts count="1">
    <x:tablePart xmlns:r="http://schemas.openxmlformats.org/officeDocument/2006/relationships" r:id="Ra60706f5116849d7"/>
  </x:tableParts>
</x:worksheet>
</file>

<file path=xl/worksheets/sheet13.xml><?xml version="1.0" encoding="utf-8"?>
<x:worksheet xmlns:x="http://schemas.openxmlformats.org/spreadsheetml/2006/main">
  <x:sheetViews>
    <x:sheetView showGridLines="0" workbookViewId="0"/>
  </x:sheetViews>
  <x:sheetFormatPr defaultRowHeight="15"/>
  <x:sheetData>
    <x:row r="1">
      <x:c r="A1" s="18" t="str">
        <x:v>NLTL SHACL Pipeline Run Tracker</x:v>
      </x:c>
      <x:c r="B1" s="19"/>
      <x:c r="C1" s="19"/>
      <x:c r="D1" s="19"/>
      <x:c r="E1" s="19"/>
      <x:c r="F1" s="19"/>
    </x:row>
    <x:row r="2">
      <x:c r="A2" s="20" t="str">
        <x:v>RDF_TEST_QUEUE | Run folder: RUN-TRF-025-20260827T223223397676Z</x:v>
      </x:c>
      <x:c r="B2" s="20"/>
      <x:c r="C2" s="20"/>
      <x:c r="D2" s="20"/>
      <x:c r="E2" s="20"/>
      <x:c r="F2" s="20"/>
    </x:row>
    <x:row r="3">
      <x:c r="A3" s="21"/>
      <x:c r="B3" s="21"/>
      <x:c r="C3" s="21"/>
      <x:c r="D3" s="21"/>
      <x:c r="E3" s="21"/>
      <x:c r="F3" s="21"/>
    </x:row>
    <x:row r="4" ht="30" customHeight="1">
      <x:c r="A4" s="43" t="str">
        <x:v>RUN_ID</x:v>
      </x:c>
      <x:c r="B4" s="57" t="str">
        <x:v>REQUIREMENT_ID</x:v>
      </x:c>
      <x:c r="C4" s="57" t="str">
        <x:v>FINAL_SHAPE</x:v>
      </x:c>
      <x:c r="D4" s="57" t="str">
        <x:v>GENERATION_STATUS</x:v>
      </x:c>
      <x:c r="E4" s="57" t="str">
        <x:v>RDF_EVALUATION_STATUS</x:v>
      </x:c>
      <x:c r="F4" s="44" t="str">
        <x:v>NOTES</x:v>
      </x:c>
    </x:row>
    <x:row r="5">
      <x:c r="A5" s="106" t="str">
        <x:v>No records for this run.</x:v>
      </x:c>
      <x:c r="B5" s="21"/>
      <x:c r="C5" s="21"/>
      <x:c r="D5" s="21"/>
      <x:c r="E5" s="21"/>
      <x:c r="F5" s="21"/>
    </x:row>
  </x:sheetData>
  <x:pageMargins left="0.7" right="0.7" top="0.75" bottom="0.75" header="0.3" footer="0.3"/>
</x:worksheet>
</file>