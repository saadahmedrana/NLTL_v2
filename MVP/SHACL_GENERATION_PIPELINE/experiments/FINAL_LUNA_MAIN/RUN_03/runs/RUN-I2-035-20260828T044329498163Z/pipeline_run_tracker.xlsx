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d903410fe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3ae2da345946cb"/>
    <x:sheet xmlns:r="http://schemas.openxmlformats.org/officeDocument/2006/relationships" name="README" sheetId="2" r:id="Reda9b267dd714860"/>
    <x:sheet xmlns:r="http://schemas.openxmlformats.org/officeDocument/2006/relationships" name="REGULATION_QUEUE" sheetId="3" r:id="Rc9a3a328372d4631"/>
    <x:sheet xmlns:r="http://schemas.openxmlformats.org/officeDocument/2006/relationships" name="RUNS" sheetId="4" r:id="R8ff487d4c9a54c01"/>
    <x:sheet xmlns:r="http://schemas.openxmlformats.org/officeDocument/2006/relationships" name="ITERATIONS" sheetId="5" r:id="R5180ce3ba64e40a9"/>
    <x:sheet xmlns:r="http://schemas.openxmlformats.org/officeDocument/2006/relationships" name="API_CALLS" sheetId="6" r:id="Rec9371d765a24a37"/>
    <x:sheet xmlns:r="http://schemas.openxmlformats.org/officeDocument/2006/relationships" name="TERM_RETRIEVAL" sheetId="7" r:id="R36ada2f9a1ca4edf"/>
    <x:sheet xmlns:r="http://schemas.openxmlformats.org/officeDocument/2006/relationships" name="FEW_SHOT_SELECTION" sheetId="8" r:id="Rc6c430fba1954de4"/>
    <x:sheet xmlns:r="http://schemas.openxmlformats.org/officeDocument/2006/relationships" name="VALIDATION" sheetId="9" r:id="R0fcdaaebb74445a4"/>
    <x:sheet xmlns:r="http://schemas.openxmlformats.org/officeDocument/2006/relationships" name="VOCAB_MATCHES" sheetId="10" r:id="R14c1d14acfb24be0"/>
    <x:sheet xmlns:r="http://schemas.openxmlformats.org/officeDocument/2006/relationships" name="ARTIFACTS" sheetId="11" r:id="Rf2d66b1478d545cd"/>
    <x:sheet xmlns:r="http://schemas.openxmlformats.org/officeDocument/2006/relationships" name="UNRESOLVED" sheetId="12" r:id="Ra1887accb90841f3"/>
    <x:sheet xmlns:r="http://schemas.openxmlformats.org/officeDocument/2006/relationships" name="RDF_TEST_QUEUE" sheetId="13" r:id="Ra178ba99ca59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5693274844c03" /><Relationship Type="http://schemas.openxmlformats.org/officeDocument/2006/relationships/theme" Target="/xl/theme/theme1.xml" Id="R97bebe290e4747b8" /><Relationship Type="http://schemas.microsoft.com/office/2022/11/relationships/FeaturePropertyBag" Target="/xl/featurePropertyBag/featurePropertyBag.xml" Id="R521a24c86e5d4797" /><Relationship Type="http://schemas.openxmlformats.org/officeDocument/2006/relationships/sharedStrings" Target="/xl/sharedStrings.xml" Id="Rb1d975ac28014722" /><Relationship Type="http://schemas.openxmlformats.org/officeDocument/2006/relationships/worksheet" Target="/xl/worksheets/sheet1.xml" Id="R223ae2da345946cb" /><Relationship Type="http://schemas.openxmlformats.org/officeDocument/2006/relationships/worksheet" Target="/xl/worksheets/sheet2.xml" Id="Reda9b267dd714860" /><Relationship Type="http://schemas.openxmlformats.org/officeDocument/2006/relationships/worksheet" Target="/xl/worksheets/sheet3.xml" Id="Rc9a3a328372d4631" /><Relationship Type="http://schemas.openxmlformats.org/officeDocument/2006/relationships/worksheet" Target="/xl/worksheets/sheet4.xml" Id="R8ff487d4c9a54c01" /><Relationship Type="http://schemas.openxmlformats.org/officeDocument/2006/relationships/worksheet" Target="/xl/worksheets/sheet5.xml" Id="R5180ce3ba64e40a9" /><Relationship Type="http://schemas.openxmlformats.org/officeDocument/2006/relationships/worksheet" Target="/xl/worksheets/sheet6.xml" Id="Rec9371d765a24a37" /><Relationship Type="http://schemas.openxmlformats.org/officeDocument/2006/relationships/worksheet" Target="/xl/worksheets/sheet7.xml" Id="R36ada2f9a1ca4edf" /><Relationship Type="http://schemas.openxmlformats.org/officeDocument/2006/relationships/worksheet" Target="/xl/worksheets/sheet8.xml" Id="Rc6c430fba1954de4" /><Relationship Type="http://schemas.openxmlformats.org/officeDocument/2006/relationships/worksheet" Target="/xl/worksheets/sheet9.xml" Id="R0fcdaaebb74445a4" /><Relationship Type="http://schemas.openxmlformats.org/officeDocument/2006/relationships/worksheet" Target="/xl/worksheets/sheet10.xml" Id="R14c1d14acfb24be0" /><Relationship Type="http://schemas.openxmlformats.org/officeDocument/2006/relationships/worksheet" Target="/xl/worksheets/sheet11.xml" Id="Rf2d66b1478d545cd" /><Relationship Type="http://schemas.openxmlformats.org/officeDocument/2006/relationships/worksheet" Target="/xl/worksheets/sheet12.xml" Id="Ra1887accb90841f3" /><Relationship Type="http://schemas.openxmlformats.org/officeDocument/2006/relationships/worksheet" Target="/xl/worksheets/sheet13.xml" Id="Ra178ba99ca5944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9_VOCABMATCHES" displayName="T9_VOCABMATCHES" ref="A4:J5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98524efe0f4e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9db9e3155d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2887d6f6734a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38c1989584d4f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b5bbdad328744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7964a0696da41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b50a933512d4d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c6df0a27a9345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87f89a18bd4c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f89144b87414d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RUN-I2-035-20260828T044329498163Z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20798.9536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RUN-I2-035-20260828T044329498163Z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98524efe0f4e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PIPELINE_ERROR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db9e3155d4f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RUN-I2-035-20260828T044329498163Z</x:v>
      </x:c>
      <x:c r="C5" s="69" t="str">
        <x:v>I2-035</x:v>
      </x:c>
      <x:c r="D5" s="70" t="n">
        <x:v>46262.19686920139</x:v>
      </x:c>
      <x:c r="E5" s="70" t="n">
        <x:v>46262.19754363426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887d6f6734a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RUN-I2-035-20260828T044329498163Z</x:v>
      </x:c>
      <x:c r="C5" s="45" t="str">
        <x:v>I2-035</x:v>
      </x:c>
      <x:c r="D5" s="88" t="n">
        <x:v>46262.197257962966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33588.124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RUN-I2-035-20260828T044329498163Z</x:v>
      </x:c>
      <x:c r="C6" s="47" t="str">
        <x:v>I2-035</x:v>
      </x:c>
      <x:c r="D6" s="91" t="n">
        <x:v>46262.19725798611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33590.008</x:v>
      </x:c>
      <x:c r="L6" s="93" t="b">
        <x:v>0</x:v>
      </x:c>
      <x:c r="M6" s="47" t="str">
        <x:v>resp_03e75ae6d18b1e62006a9111f194c481909892e55791b61e86</x:v>
      </x:c>
      <x:c r="N6" s="59" t="n">
        <x:v>10691</x:v>
      </x:c>
      <x:c r="O6" s="59" t="n">
        <x:v>3656</x:v>
      </x:c>
      <x:c r="P6" s="59" t="n">
        <x:v>14347</x:v>
      </x:c>
    </x:row>
    <x:row r="7">
      <x:c r="A7" s="47" t="str">
        <x:v>EVT-000033</x:v>
      </x:c>
      <x:c r="B7" s="47" t="str">
        <x:v>RUN-I2-035-20260828T044329498163Z</x:v>
      </x:c>
      <x:c r="C7" s="47" t="str">
        <x:v>I2-035</x:v>
      </x:c>
      <x:c r="D7" s="91" t="n">
        <x:v>46262.19742033565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13761.456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RUN-I2-035-20260828T044329498163Z</x:v>
      </x:c>
      <x:c r="C8" s="47" t="str">
        <x:v>I2-035</x:v>
      </x:c>
      <x:c r="D8" s="91" t="n">
        <x:v>46262.197420358796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13762.909</x:v>
      </x:c>
      <x:c r="L8" s="93" t="b">
        <x:v>0</x:v>
      </x:c>
      <x:c r="M8" s="47" t="str">
        <x:v>resp_0c46c3b217284a1d006a91121374fc8190b0585ee21645807a</x:v>
      </x:c>
      <x:c r="N8" s="59" t="n">
        <x:v>11619</x:v>
      </x:c>
      <x:c r="O8" s="59" t="n">
        <x:v>1179</x:v>
      </x:c>
      <x:c r="P8" s="59" t="n">
        <x:v>12798</x:v>
      </x:c>
    </x:row>
    <x:row r="9">
      <x:c r="A9" s="49" t="str">
        <x:v>EVT-000040</x:v>
      </x:c>
      <x:c r="B9" s="49" t="str">
        <x:v>RUN-I2-035-20260828T044329498163Z</x:v>
      </x:c>
      <x:c r="C9" s="49" t="str">
        <x:v>I2-035</x:v>
      </x:c>
      <x:c r="D9" s="94" t="n">
        <x:v>46262.19754361111</x:v>
      </x:c>
      <x:c r="E9" s="49" t="str">
        <x:v>vocabulary_matcher</x:v>
      </x:c>
      <x:c r="F9" s="49" t="str">
        <x:v>gpt-5.6-luna-2026-07-09</x:v>
      </x:c>
      <x:c r="G9" s="49" t="n">
        <x:v>1</x:v>
      </x:c>
      <x:c r="H9" s="49" t="n">
        <x:v>200</x:v>
      </x:c>
      <x:c r="I9" s="49" t="str">
        <x:v>Ocp-Apim-Subscription-Key</x:v>
      </x:c>
      <x:c r="J9" s="95" t="n">
        <x:v>0</x:v>
      </x:c>
      <x:c r="K9" s="95" t="n">
        <x:v>9292.271</x:v>
      </x:c>
      <x:c r="L9" s="96" t="b">
        <x:v>0</x:v>
      </x:c>
      <x:c r="M9" s="49" t="str"/>
      <x:c r="N9" s="60" t="str"/>
      <x:c r="O9" s="60" t="str"/>
      <x:c r="P9" s="60" t="str"/>
    </x:row>
  </x:sheetData>
  <x:conditionalFormatting sqref="H5:H9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c1989584d4f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RUN-I2-035-20260828T044329498163Z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RUN-I2-035-20260828T044329498163Z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RUN-I2-035-20260828T044329498163Z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RUN-I2-035-20260828T044329498163Z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RUN-I2-035-20260828T044329498163Z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RUN-I2-035-20260828T044329498163Z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RUN-I2-035-20260828T044329498163Z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RUN-I2-035-20260828T044329498163Z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RUN-I2-035-20260828T044329498163Z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RUN-I2-035-20260828T044329498163Z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RUN-I2-035-20260828T044329498163Z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RUN-I2-035-20260828T044329498163Z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RUN-I2-035-20260828T044329498163Z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RUN-I2-035-20260828T044329498163Z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RUN-I2-035-20260828T044329498163Z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RUN-I2-035-20260828T044329498163Z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RUN-I2-035-20260828T044329498163Z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5bbdad328744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RUN-I2-035-20260828T044329498163Z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RUN-I2-035-20260828T044329498163Z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RUN-I2-035-20260828T044329498163Z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64a0696da41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RUN-I2-035-20260828T044329498163Z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50a933512d4d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6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RUN-I2-035-20260828T044329498163Z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69" t="str">
        <x:v>RUN-I2-035-20260828T044329498163Z</x:v>
      </x:c>
      <x:c r="B5" s="69" t="str">
        <x:v>I2-035</x:v>
      </x:c>
      <x:c r="C5" s="71" t="n">
        <x:v>1</x:v>
      </x:c>
      <x:c r="D5" s="69" t="str">
        <x:v>matcher_search</x:v>
      </x:c>
      <x:c r="E5" s="73" t="str">
        <x:v>Repair the formula operand mapping. The SPARQL incorrectly hard-codes b_prime as frameSpacing/frameSpacing (=1) and computes b2 from frameSpacing, whereas the requirement requires b_prime=b/s and b2=b*(1-0.25*b_prime) when b_prime&lt;2, otherwise b2=s. Represent and bind the distinct b and s operands, and bind a separately as required by the formula; do not reuse frameSpacing or frameSpan for multiple undeclared roles unless canonical metadata explicitly establishes that mapping. Add the missing canonical operand term/path and include it in the dependency contract if it is genuinely absent from the scoped vocabulary; retain the &gt;= comparison between actual shearArea and the derived required area and the scaled tolerance for the reported derived result.</x:v>
      </x:c>
      <x:c r="F5" s="71" t="n">
        <x:v>7</x:v>
      </x:c>
      <x:c r="G5" s="69" t="str"/>
      <x:c r="H5" s="69" t="str"/>
      <x:c r="I5" s="73" t="str"/>
      <x:c r="J5" s="73" t="str"/>
    </x:row>
  </x:sheetData>
  <x:pageMargins left="0.7" right="0.7" top="0.75" bottom="0.75" header="0.3" footer="0.3"/>
  <x:tableParts count="1">
    <x:tablePart xmlns:r="http://schemas.openxmlformats.org/officeDocument/2006/relationships" r:id="R3c6df0a27a9345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RUN-I2-035-20260828T044329498163Z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RUN-I2-035-20260828T044329498163Z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RUN-I2-035-20260828T044329498163Z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RUN-I2-035-20260828T044329498163Z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RUN-I2-035-20260828T044329498163Z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57ade3af998835e100fb17bd2278d884d3db5bccf34923a1e7fa93ede7e3ebd2</x:v>
      </x:c>
      <x:c r="G8" s="59" t="n">
        <x:v>7477</x:v>
      </x:c>
    </x:row>
    <x:row r="9">
      <x:c r="A9" s="47" t="str">
        <x:v>RUN-I2-035-20260828T044329498163Z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69f797af3de6d367fa2ddf4fd3adec623bd1815ac0ec0965b4c261f0595762b5</x:v>
      </x:c>
      <x:c r="G9" s="59" t="n">
        <x:v>7452</x:v>
      </x:c>
    </x:row>
    <x:row r="10">
      <x:c r="A10" s="47" t="str">
        <x:v>RUN-I2-035-20260828T044329498163Z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1e3fdd6557237843001c9d90ba5b637bb7a915ce5aaae5261d2741fdb31e27bf</x:v>
      </x:c>
      <x:c r="G10" s="59" t="n">
        <x:v>959</x:v>
      </x:c>
    </x:row>
    <x:row r="11">
      <x:c r="A11" s="47" t="str">
        <x:v>RUN-I2-035-20260828T044329498163Z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624f8a5a552a427876cd246b71193d809f3cac4b30b11907e10647e392193a6e</x:v>
      </x:c>
      <x:c r="G11" s="59" t="n">
        <x:v>43277</x:v>
      </x:c>
    </x:row>
    <x:row r="12">
      <x:c r="A12" s="47" t="str">
        <x:v>RUN-I2-035-20260828T044329498163Z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d01bea0e6304d464f109ab42e4a793b5dda6c336ff96f3532f25e4a9815f7a26</x:v>
      </x:c>
      <x:c r="G12" s="59" t="n">
        <x:v>822</x:v>
      </x:c>
    </x:row>
    <x:row r="13">
      <x:c r="A13" s="47" t="str">
        <x:v>RUN-I2-035-20260828T044329498163Z</x:v>
      </x:c>
      <x:c r="B13" s="47" t="str">
        <x:v>I2-035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36b3597cfb0c9f261985a41b273b43a120f1dc3544e5c643baaf2718e73d4e1e</x:v>
      </x:c>
      <x:c r="G13" s="59" t="n">
        <x:v>5008</x:v>
      </x:c>
    </x:row>
    <x:row r="14">
      <x:c r="A14" s="49" t="str">
        <x:v>RUN-I2-035-20260828T044329498163Z</x:v>
      </x:c>
      <x:c r="B14" s="49" t="str">
        <x:v>I2-035</x:v>
      </x:c>
      <x:c r="C14" s="60" t="n">
        <x:v>1</x:v>
      </x:c>
      <x:c r="D14" s="49" t="str">
        <x:v>vocabulary_matcher_prompt</x:v>
      </x:c>
      <x:c r="E14" s="50" t="str">
        <x:v>artifacts/attempt_01/vocabulary_matcher_prompt_01.txt</x:v>
      </x:c>
      <x:c r="F14" s="49" t="str">
        <x:v>a4f73becd0a8298773aa61c44fadc177ed97a1b636729998a2eed0a7ea481286</x:v>
      </x:c>
      <x:c r="G14" s="60" t="n">
        <x:v>10845</x:v>
      </x:c>
    </x:row>
  </x:sheetData>
  <x:pageMargins left="0.7" right="0.7" top="0.75" bottom="0.75" header="0.3" footer="0.3"/>
  <x:tableParts count="1">
    <x:tablePart xmlns:r="http://schemas.openxmlformats.org/officeDocument/2006/relationships" r:id="R1187f89a18bd4c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RUN-I2-035-20260828T044329498163Z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RUN-I2-035-20260828T044329498163Z</x:v>
      </x:c>
      <x:c r="B5" s="69" t="str">
        <x:v>I2-035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9144b87414d5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RUN-I2-035-20260828T044329498163Z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