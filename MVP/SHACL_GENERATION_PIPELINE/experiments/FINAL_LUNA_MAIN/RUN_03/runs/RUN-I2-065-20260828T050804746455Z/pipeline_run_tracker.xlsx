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fe438833cb40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a90ecd6194e42f7"/>
    <x:sheet xmlns:r="http://schemas.openxmlformats.org/officeDocument/2006/relationships" name="README" sheetId="2" r:id="Rb1223e8581504daf"/>
    <x:sheet xmlns:r="http://schemas.openxmlformats.org/officeDocument/2006/relationships" name="REGULATION_QUEUE" sheetId="3" r:id="R7c6ef026acfb4bfa"/>
    <x:sheet xmlns:r="http://schemas.openxmlformats.org/officeDocument/2006/relationships" name="RUNS" sheetId="4" r:id="R7f2b1d8a9be4494d"/>
    <x:sheet xmlns:r="http://schemas.openxmlformats.org/officeDocument/2006/relationships" name="ITERATIONS" sheetId="5" r:id="Rd80a68dca5f9427e"/>
    <x:sheet xmlns:r="http://schemas.openxmlformats.org/officeDocument/2006/relationships" name="API_CALLS" sheetId="6" r:id="R6a43da108d4c4a55"/>
    <x:sheet xmlns:r="http://schemas.openxmlformats.org/officeDocument/2006/relationships" name="TERM_RETRIEVAL" sheetId="7" r:id="R44c334eda23a405a"/>
    <x:sheet xmlns:r="http://schemas.openxmlformats.org/officeDocument/2006/relationships" name="FEW_SHOT_SELECTION" sheetId="8" r:id="R858e9fe6581b4f04"/>
    <x:sheet xmlns:r="http://schemas.openxmlformats.org/officeDocument/2006/relationships" name="VALIDATION" sheetId="9" r:id="Rf0137a4a8c404267"/>
    <x:sheet xmlns:r="http://schemas.openxmlformats.org/officeDocument/2006/relationships" name="VOCAB_MATCHES" sheetId="10" r:id="R2a197988038e4ef5"/>
    <x:sheet xmlns:r="http://schemas.openxmlformats.org/officeDocument/2006/relationships" name="ARTIFACTS" sheetId="11" r:id="R920140be1b644f01"/>
    <x:sheet xmlns:r="http://schemas.openxmlformats.org/officeDocument/2006/relationships" name="UNRESOLVED" sheetId="12" r:id="Rbadec4ec1eb747dc"/>
    <x:sheet xmlns:r="http://schemas.openxmlformats.org/officeDocument/2006/relationships" name="RDF_TEST_QUEUE" sheetId="13" r:id="R76fc7a952afe485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4b0d61784d4b31" /><Relationship Type="http://schemas.openxmlformats.org/officeDocument/2006/relationships/theme" Target="/xl/theme/theme1.xml" Id="R5c4134fb57f845ca" /><Relationship Type="http://schemas.microsoft.com/office/2022/11/relationships/FeaturePropertyBag" Target="/xl/featurePropertyBag/featurePropertyBag.xml" Id="R2b0fb4ace76447dd" /><Relationship Type="http://schemas.openxmlformats.org/officeDocument/2006/relationships/sharedStrings" Target="/xl/sharedStrings.xml" Id="R20709d304b424079" /><Relationship Type="http://schemas.openxmlformats.org/officeDocument/2006/relationships/worksheet" Target="/xl/worksheets/sheet1.xml" Id="R1a90ecd6194e42f7" /><Relationship Type="http://schemas.openxmlformats.org/officeDocument/2006/relationships/worksheet" Target="/xl/worksheets/sheet2.xml" Id="Rb1223e8581504daf" /><Relationship Type="http://schemas.openxmlformats.org/officeDocument/2006/relationships/worksheet" Target="/xl/worksheets/sheet3.xml" Id="R7c6ef026acfb4bfa" /><Relationship Type="http://schemas.openxmlformats.org/officeDocument/2006/relationships/worksheet" Target="/xl/worksheets/sheet4.xml" Id="R7f2b1d8a9be4494d" /><Relationship Type="http://schemas.openxmlformats.org/officeDocument/2006/relationships/worksheet" Target="/xl/worksheets/sheet5.xml" Id="Rd80a68dca5f9427e" /><Relationship Type="http://schemas.openxmlformats.org/officeDocument/2006/relationships/worksheet" Target="/xl/worksheets/sheet6.xml" Id="R6a43da108d4c4a55" /><Relationship Type="http://schemas.openxmlformats.org/officeDocument/2006/relationships/worksheet" Target="/xl/worksheets/sheet7.xml" Id="R44c334eda23a405a" /><Relationship Type="http://schemas.openxmlformats.org/officeDocument/2006/relationships/worksheet" Target="/xl/worksheets/sheet8.xml" Id="R858e9fe6581b4f04" /><Relationship Type="http://schemas.openxmlformats.org/officeDocument/2006/relationships/worksheet" Target="/xl/worksheets/sheet9.xml" Id="Rf0137a4a8c404267" /><Relationship Type="http://schemas.openxmlformats.org/officeDocument/2006/relationships/worksheet" Target="/xl/worksheets/sheet10.xml" Id="R2a197988038e4ef5" /><Relationship Type="http://schemas.openxmlformats.org/officeDocument/2006/relationships/worksheet" Target="/xl/worksheets/sheet11.xml" Id="R920140be1b644f01" /><Relationship Type="http://schemas.openxmlformats.org/officeDocument/2006/relationships/worksheet" Target="/xl/worksheets/sheet12.xml" Id="Rbadec4ec1eb747dc" /><Relationship Type="http://schemas.openxmlformats.org/officeDocument/2006/relationships/worksheet" Target="/xl/worksheets/sheet13.xml" Id="R76fc7a952afe485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5cff032c2f3493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c2cc2466a08415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671f7dde7cf450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cd46e9540054bf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7210b401378408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e6cd66a290d41e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b18de8e6b02466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d352f7079814e9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6875c376dae4b1a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cf5be4d5c9ed4da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RUN-I2-065-20260828T050804746455Z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26489.162624999997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RUN-I2-065-20260828T050804746455Z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5cff032c2f3493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RUN-I2-065-20260828T050804746455Z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GENERATION_ACCEPTED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c2cc2466a08415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RUN-I2-065-20260828T050804746455Z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SESSION-BATCH-20260828T040224480510Z</x:v>
      </x:c>
      <x:c r="B5" s="69" t="str">
        <x:v>RUN-I2-065-20260828T050804746455Z</x:v>
      </x:c>
      <x:c r="C5" s="69" t="str">
        <x:v>I2-065</x:v>
      </x:c>
      <x:c r="D5" s="70" t="n">
        <x:v>46262.21394383102</x:v>
      </x:c>
      <x:c r="E5" s="70" t="n">
        <x:v>46262.21517340278</x:v>
      </x:c>
      <x:c r="F5" s="69" t="str">
        <x:v>final-luna-main-run03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conditional complex-readiness requirement: nonlinear applicability is selected through the calculation method, all declared operand quantities use the supplied owners and units, the required assessment result and evidence are present, and ship-to-calculation-case and case-to-evidence paths are preserved. Deterministic validation is valid; no vocabulary repair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671f7dde7cf450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RUN-I2-065-20260828T050804746455Z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RUN-I2-065-20260828T050804746455Z</x:v>
      </x:c>
      <x:c r="B5" s="45" t="str">
        <x:v>I2-065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Repair applicability: do not impose sh:minCount 1 on nltl:hasCalculationCase for every ship, because the requirement applies only when the structure is evaluated by a nonlinear method. Encode a conditional readiness branch selected by nltl:calculationMethod nltl:nonlinearCalculationMethodValue; when that branch is present, require the calculation case, all declared operand quantities with the stated datatypes and units, nltl:minorPermanentDeformationAssessmentSatisfied=true, and nltl:nonlinearAnalysisAcceptanceEvidence/evidenceArtifact. Preserve the supplied ship-to-calculationCase and calculationCase-to-evidence ownership paths and do not invent a deformation ratio or nonlinear formula.</x:v>
      </x:c>
      <x:c r="I5" s="81" t="n">
        <x:v>30552.191</x:v>
      </x:c>
      <x:c r="J5" s="81" t="n">
        <x:v>12911.746</x:v>
      </x:c>
    </x:row>
    <x:row r="6">
      <x:c r="A6" s="49" t="str">
        <x:v>RUN-I2-065-20260828T050804746455Z</x:v>
      </x:c>
      <x:c r="B6" s="49" t="str">
        <x:v>I2-065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encodes the conditional complex-readiness requirement: nonlinear applicability is selected through the calculation method, all declared operand quantities use the supplied owners and units, the required assessment result and evidence are present, and ship-to-calculation-case and case-to-evidence paths are preserved. Deterministic validation is valid; no vocabulary repair is required.</x:v>
      </x:c>
      <x:c r="I6" s="83" t="n">
        <x:v>46994.895</x:v>
      </x:c>
      <x:c r="J6" s="83" t="n">
        <x:v>15500.692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cd46e9540054bf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RUN-I2-065-20260828T050804746455Z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EVT-000033</x:v>
      </x:c>
      <x:c r="B5" s="45" t="str">
        <x:v>RUN-I2-065-20260828T050804746455Z</x:v>
      </x:c>
      <x:c r="C5" s="45" t="str">
        <x:v>I2-065</x:v>
      </x:c>
      <x:c r="D5" s="90" t="n">
        <x:v>46262.214297453706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30550.725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EVT-000034</x:v>
      </x:c>
      <x:c r="B6" s="47" t="str">
        <x:v>RUN-I2-065-20260828T050804746455Z</x:v>
      </x:c>
      <x:c r="C6" s="47" t="str">
        <x:v>I2-065</x:v>
      </x:c>
      <x:c r="D6" s="91" t="n">
        <x:v>46262.21429747685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30552.191</x:v>
      </x:c>
      <x:c r="L6" s="93" t="b">
        <x:v>0</x:v>
      </x:c>
      <x:c r="M6" s="47" t="str">
        <x:v>resp_0068432cbce757fe006a9117b4e0808196ab149b0446fe4030</x:v>
      </x:c>
      <x:c r="N6" s="59" t="n">
        <x:v>12215</x:v>
      </x:c>
      <x:c r="O6" s="59" t="n">
        <x:v>3094</x:v>
      </x:c>
      <x:c r="P6" s="59" t="n">
        <x:v>15309</x:v>
      </x:c>
    </x:row>
    <x:row r="7">
      <x:c r="A7" s="47" t="str">
        <x:v>EVT-000041</x:v>
      </x:c>
      <x:c r="B7" s="47" t="str">
        <x:v>RUN-I2-065-20260828T050804746455Z</x:v>
      </x:c>
      <x:c r="C7" s="47" t="str">
        <x:v>I2-065</x:v>
      </x:c>
      <x:c r="D7" s="91" t="n">
        <x:v>46262.21444800926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12910.579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EVT-000042</x:v>
      </x:c>
      <x:c r="B8" s="47" t="str">
        <x:v>RUN-I2-065-20260828T050804746455Z</x:v>
      </x:c>
      <x:c r="C8" s="47" t="str">
        <x:v>I2-065</x:v>
      </x:c>
      <x:c r="D8" s="91" t="n">
        <x:v>46262.21444802083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12911.746</x:v>
      </x:c>
      <x:c r="L8" s="93" t="b">
        <x:v>0</x:v>
      </x:c>
      <x:c r="M8" s="47" t="str">
        <x:v>resp_0da2dccf3d14c816006a9117d37b7081969461ca4cd75f2afd</x:v>
      </x:c>
      <x:c r="N8" s="59" t="n">
        <x:v>12230</x:v>
      </x:c>
      <x:c r="O8" s="59" t="n">
        <x:v>1193</x:v>
      </x:c>
      <x:c r="P8" s="59" t="n">
        <x:v>13423</x:v>
      </x:c>
    </x:row>
    <x:row r="9">
      <x:c r="A9" s="47" t="str">
        <x:v>EVT-000047</x:v>
      </x:c>
      <x:c r="B9" s="47" t="str">
        <x:v>RUN-I2-065-20260828T050804746455Z</x:v>
      </x:c>
      <x:c r="C9" s="47" t="str">
        <x:v>I2-065</x:v>
      </x:c>
      <x:c r="D9" s="91" t="n">
        <x:v>46262.21499199074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46993.228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EVT-000048</x:v>
      </x:c>
      <x:c r="B10" s="47" t="str">
        <x:v>RUN-I2-065-20260828T050804746455Z</x:v>
      </x:c>
      <x:c r="C10" s="47" t="str">
        <x:v>I2-065</x:v>
      </x:c>
      <x:c r="D10" s="91" t="n">
        <x:v>46262.21499201389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46994.895</x:v>
      </x:c>
      <x:c r="L10" s="93" t="b">
        <x:v>0</x:v>
      </x:c>
      <x:c r="M10" s="47" t="str">
        <x:v>resp_0a4b357dfc47c60d006a9117e0715c8190967b412eb0299ee4</x:v>
      </x:c>
      <x:c r="N10" s="59" t="n">
        <x:v>12353</x:v>
      </x:c>
      <x:c r="O10" s="59" t="n">
        <x:v>4354</x:v>
      </x:c>
      <x:c r="P10" s="59" t="n">
        <x:v>16707</x:v>
      </x:c>
    </x:row>
    <x:row r="11">
      <x:c r="A11" s="47" t="str">
        <x:v>EVT-000055</x:v>
      </x:c>
      <x:c r="B11" s="47" t="str">
        <x:v>RUN-I2-065-20260828T050804746455Z</x:v>
      </x:c>
      <x:c r="C11" s="47" t="str">
        <x:v>I2-065</x:v>
      </x:c>
      <x:c r="D11" s="91" t="n">
        <x:v>46262.21517332176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15499.245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EVT-000056</x:v>
      </x:c>
      <x:c r="B12" s="49" t="str">
        <x:v>RUN-I2-065-20260828T050804746455Z</x:v>
      </x:c>
      <x:c r="C12" s="49" t="str">
        <x:v>I2-065</x:v>
      </x:c>
      <x:c r="D12" s="94" t="n">
        <x:v>46262.215173344906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15500.692</x:v>
      </x:c>
      <x:c r="L12" s="82" t="b">
        <x:v>0</x:v>
      </x:c>
      <x:c r="M12" s="49" t="str">
        <x:v>resp_0a69b7ece88db990006a91180f92d08197b783bc9843e339ae</x:v>
      </x:c>
      <x:c r="N12" s="60" t="n">
        <x:v>12471</x:v>
      </x:c>
      <x:c r="O12" s="60" t="n">
        <x:v>1238</x:v>
      </x:c>
      <x:c r="P12" s="60" t="n">
        <x:v>13709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7210b401378408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RUN-I2-065-20260828T050804746455Z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RUN-I2-065-20260828T050804746455Z</x:v>
      </x:c>
      <x:c r="B5" s="45" t="str">
        <x:v>I2-065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bucklingResponse; domain dependency of fractureMargin; domain dependency of majorBucklingMargin; domain dependency of nonlinearCalculationMethod; domain dependency of permanentDeformation; domain dependency of plasticDeformation; domain dependency of yieldingMargin; range dependency of calculationMethodValue</x:v>
      </x:c>
      <x:c r="J5" s="45" t="n">
        <x:v>0</x:v>
      </x:c>
    </x:row>
    <x:row r="6">
      <x:c r="A6" s="47" t="str">
        <x:v>RUN-I2-065-20260828T050804746455Z</x:v>
      </x:c>
      <x:c r="B6" s="47" t="str">
        <x:v>I2-065</x:v>
      </x:c>
      <x:c r="C6" s="47" t="str">
        <x:v>bucklingResponse</x:v>
      </x:c>
      <x:c r="D6" s="48" t="str">
        <x:v>https://w3id.org/nltl/vocab#bucklingResponse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RUN-I2-065-20260828T050804746455Z</x:v>
      </x:c>
      <x:c r="B7" s="47" t="str">
        <x:v>I2-065</x:v>
      </x:c>
      <x:c r="C7" s="47" t="str">
        <x:v>calculationCase</x:v>
      </x:c>
      <x:c r="D7" s="48" t="str">
        <x:v>https://w3id.org/nltl/vocab#calculationCase</x:v>
      </x:c>
      <x:c r="E7" s="47" t="str">
        <x:v>Class</x:v>
      </x:c>
      <x:c r="F7" s="47" t="str"/>
      <x:c r="G7" s="47" t="str">
        <x:v>https://w3id.org/nltl/vocab#benchmarkEntity</x:v>
      </x:c>
      <x:c r="H7" s="47" t="str"/>
      <x:c r="I7" s="48" t="str">
        <x:v>authoritative required owner class; domain dependency of calculationMethod; domain dependency of minorPermanentDeformationAssessmentSatisfied; domain dependency of nonlinearAnalysisAcceptanceEvidence; domain dependency of permanentLateralDeformation; domain dependency of permanentOutOfPlaneDeformation; domain dependency of relevantStructuralDimension; range dependency of hasCalculationCase</x:v>
      </x:c>
      <x:c r="J7" s="47" t="n">
        <x:v>0</x:v>
      </x:c>
    </x:row>
    <x:row r="8">
      <x:c r="A8" s="47" t="str">
        <x:v>RUN-I2-065-20260828T050804746455Z</x:v>
      </x:c>
      <x:c r="B8" s="47" t="str">
        <x:v>I2-065</x:v>
      </x:c>
      <x:c r="C8" s="47" t="str">
        <x:v>calculationMethod</x:v>
      </x:c>
      <x:c r="D8" s="48" t="str">
        <x:v>https://w3id.org/nltl/vocab#calculationMethod</x:v>
      </x:c>
      <x:c r="E8" s="47" t="str">
        <x:v>ObjectProperty</x:v>
      </x:c>
      <x:c r="F8" s="47" t="str"/>
      <x:c r="G8" s="47" t="str">
        <x:v>https://w3id.org/nltl/vocab#calculationMethodValue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RUN-I2-065-20260828T050804746455Z</x:v>
      </x:c>
      <x:c r="B9" s="47" t="str">
        <x:v>I2-065</x:v>
      </x:c>
      <x:c r="C9" s="47" t="str">
        <x:v>calculationMethodValue</x:v>
      </x:c>
      <x:c r="D9" s="48" t="str">
        <x:v>https://w3id.org/nltl/vocab#calculationMethodValue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linked by the locked 313-requirement index; range dependency of calculationMethod; range dependency of nonlinearCalculationMethodValue</x:v>
      </x:c>
      <x:c r="J9" s="47" t="n">
        <x:v>0</x:v>
      </x:c>
    </x:row>
    <x:row r="10">
      <x:c r="A10" s="47" t="str">
        <x:v>RUN-I2-065-20260828T050804746455Z</x:v>
      </x:c>
      <x:c r="B10" s="47" t="str">
        <x:v>I2-065</x:v>
      </x:c>
      <x:c r="C10" s="47" t="str">
        <x:v>directCalculationMethodValue</x:v>
      </x:c>
      <x:c r="D10" s="48" t="str">
        <x:v>https://w3id.org/nltl/vocab#directCalculationMethodValue</x:v>
      </x:c>
      <x:c r="E10" s="47" t="str">
        <x:v>NamedIndividual</x:v>
      </x:c>
      <x:c r="F10" s="47" t="str"/>
      <x:c r="G10" s="47" t="str">
        <x:v>https://w3id.org/nltl/vocab#calculationMethodValue</x:v>
      </x:c>
      <x:c r="H10" s="47" t="str"/>
      <x:c r="I10" s="48" t="str">
        <x:v>controlled value permitted by the range of calculationMethod; controlled value permitted by the range of nonlinearCalculationMethodValue</x:v>
      </x:c>
      <x:c r="J10" s="47" t="n">
        <x:v>0</x:v>
      </x:c>
    </x:row>
    <x:row r="11">
      <x:c r="A11" s="47" t="str">
        <x:v>RUN-I2-065-20260828T050804746455Z</x:v>
      </x:c>
      <x:c r="B11" s="47" t="str">
        <x:v>I2-065</x:v>
      </x:c>
      <x:c r="C11" s="47" t="str">
        <x:v>evidenceArtifact</x:v>
      </x:c>
      <x:c r="D11" s="48" t="str">
        <x:v>https://w3id.org/nltl/vocab#evidenceArtifact</x:v>
      </x:c>
      <x:c r="E11" s="47" t="str">
        <x:v>Class</x:v>
      </x:c>
      <x:c r="F11" s="47" t="str"/>
      <x:c r="G11" s="47" t="str"/>
      <x:c r="H11" s="47" t="str"/>
      <x:c r="I11" s="48" t="str">
        <x:v>range dependency of nonlinearAnalysisAcceptanceEvidence</x:v>
      </x:c>
      <x:c r="J11" s="47" t="n">
        <x:v>0</x:v>
      </x:c>
    </x:row>
    <x:row r="12">
      <x:c r="A12" s="47" t="str">
        <x:v>RUN-I2-065-20260828T050804746455Z</x:v>
      </x:c>
      <x:c r="B12" s="47" t="str">
        <x:v>I2-065</x:v>
      </x:c>
      <x:c r="C12" s="47" t="str">
        <x:v>fractureMargin</x:v>
      </x:c>
      <x:c r="D12" s="48" t="str">
        <x:v>https://w3id.org/nltl/vocab#fractureMargin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http://qudt.org/vocab/unit/UNITLESS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RUN-I2-065-20260828T050804746455Z</x:v>
      </x:c>
      <x:c r="B13" s="47" t="str">
        <x:v>I2-065</x:v>
      </x:c>
      <x:c r="C13" s="47" t="str">
        <x:v>hasCalculationCase</x:v>
      </x:c>
      <x:c r="D13" s="48" t="str">
        <x:v>https://w3id.org/nltl/vocab#hasCalculationCase</x:v>
      </x:c>
      <x:c r="E13" s="47" t="str">
        <x:v>ObjectProperty</x:v>
      </x:c>
      <x:c r="F13" s="47" t="str"/>
      <x:c r="G13" s="47" t="str">
        <x:v>https://w3id.org/nltl/vocab#calculationCase</x:v>
      </x:c>
      <x:c r="H13" s="47" t="str"/>
      <x:c r="I13" s="48" t="str">
        <x:v>canonical path from target owner ship to required owner calculationCase; linked by the locked 313-requirement index</x:v>
      </x:c>
      <x:c r="J13" s="47" t="n">
        <x:v>0</x:v>
      </x:c>
    </x:row>
    <x:row r="14">
      <x:c r="A14" s="47" t="str">
        <x:v>RUN-I2-065-20260828T050804746455Z</x:v>
      </x:c>
      <x:c r="B14" s="47" t="str">
        <x:v>I2-065</x:v>
      </x:c>
      <x:c r="C14" s="47" t="str">
        <x:v>hasComponent</x:v>
      </x:c>
      <x:c r="D14" s="48" t="str">
        <x:v>https://w3id.org/nltl/vocab#hasComponent</x:v>
      </x:c>
      <x:c r="E14" s="47" t="str">
        <x:v>ObjectProperty</x:v>
      </x:c>
      <x:c r="F14" s="47" t="str"/>
      <x:c r="G14" s="47" t="str">
        <x:v>https://w3id.org/nltl/vocab#shipComponent</x:v>
      </x:c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7" t="str">
        <x:v>RUN-I2-065-20260828T050804746455Z</x:v>
      </x:c>
      <x:c r="B15" s="47" t="str">
        <x:v>I2-065</x:v>
      </x:c>
      <x:c r="C15" s="47" t="str">
        <x:v>linearCalculationMethodValue</x:v>
      </x:c>
      <x:c r="D15" s="48" t="str">
        <x:v>https://w3id.org/nltl/vocab#linearCalculationMethodValue</x:v>
      </x:c>
      <x:c r="E15" s="47" t="str">
        <x:v>NamedIndividual</x:v>
      </x:c>
      <x:c r="F15" s="47" t="str"/>
      <x:c r="G15" s="47" t="str">
        <x:v>https://w3id.org/nltl/vocab#calculationMethodValue</x:v>
      </x:c>
      <x:c r="H15" s="47" t="str"/>
      <x:c r="I15" s="48" t="str">
        <x:v>controlled value permitted by the range of calculationMethod; controlled value permitted by the range of nonlinearCalculationMethodValue</x:v>
      </x:c>
      <x:c r="J15" s="47" t="n">
        <x:v>0</x:v>
      </x:c>
    </x:row>
    <x:row r="16">
      <x:c r="A16" s="47" t="str">
        <x:v>RUN-I2-065-20260828T050804746455Z</x:v>
      </x:c>
      <x:c r="B16" s="47" t="str">
        <x:v>I2-065</x:v>
      </x:c>
      <x:c r="C16" s="47" t="str">
        <x:v>majorBucklingMargin</x:v>
      </x:c>
      <x:c r="D16" s="48" t="str">
        <x:v>https://w3id.org/nltl/vocab#majorBucklingMargin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http://qudt.org/vocab/unit/UNITLESS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RUN-I2-065-20260828T050804746455Z</x:v>
      </x:c>
      <x:c r="B17" s="47" t="str">
        <x:v>I2-065</x:v>
      </x:c>
      <x:c r="C17" s="47" t="str">
        <x:v>minorPermanentDeformationAssessmentSatisfied</x:v>
      </x:c>
      <x:c r="D17" s="48" t="str">
        <x:v>https://w3id.org/nltl/vocab#minorPermanentDeformationAssessmentSatisfied</x:v>
      </x:c>
      <x:c r="E17" s="47" t="str">
        <x:v>DatatypeProperty</x:v>
      </x:c>
      <x:c r="F17" s="47" t="str">
        <x:v>xsd:boolean</x:v>
      </x:c>
      <x:c r="G17" s="47" t="str">
        <x:v>http://www.w3.org/2001/XMLSchema#boolean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RUN-I2-065-20260828T050804746455Z</x:v>
      </x:c>
      <x:c r="B18" s="47" t="str">
        <x:v>I2-065</x:v>
      </x:c>
      <x:c r="C18" s="47" t="str">
        <x:v>nonlinearAnalysisAcceptanceEvidence</x:v>
      </x:c>
      <x:c r="D18" s="48" t="str">
        <x:v>https://w3id.org/nltl/vocab#nonlinearAnalysisAcceptanceEvidence</x:v>
      </x:c>
      <x:c r="E18" s="47" t="str">
        <x:v>ObjectProperty</x:v>
      </x:c>
      <x:c r="F18" s="47" t="str"/>
      <x:c r="G18" s="47" t="str">
        <x:v>https://w3id.org/nltl/vocab#evidenceArtifact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RUN-I2-065-20260828T050804746455Z</x:v>
      </x:c>
      <x:c r="B19" s="47" t="str">
        <x:v>I2-065</x:v>
      </x:c>
      <x:c r="C19" s="47" t="str">
        <x:v>nonlinearCalculationMethod</x:v>
      </x:c>
      <x:c r="D19" s="48" t="str">
        <x:v>https://w3id.org/nltl/vocab#nonlinearCalculationMethod</x:v>
      </x:c>
      <x:c r="E19" s="47" t="str">
        <x:v>DatatypeProperty</x:v>
      </x:c>
      <x:c r="F19" s="47" t="str">
        <x:v>xsd:string</x:v>
      </x:c>
      <x:c r="G19" s="47" t="str">
        <x:v>http://www.w3.org/2001/XMLSchema#string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RUN-I2-065-20260828T050804746455Z</x:v>
      </x:c>
      <x:c r="B20" s="47" t="str">
        <x:v>I2-065</x:v>
      </x:c>
      <x:c r="C20" s="47" t="str">
        <x:v>nonlinearCalculationMethodValue</x:v>
      </x:c>
      <x:c r="D20" s="48" t="str">
        <x:v>https://w3id.org/nltl/vocab#nonlinearCalculationMethodValue</x:v>
      </x:c>
      <x:c r="E20" s="47" t="str">
        <x:v>NamedIndividual</x:v>
      </x:c>
      <x:c r="F20" s="47" t="str"/>
      <x:c r="G20" s="47" t="str">
        <x:v>https://w3id.org/nltl/vocab#calculationMethodValue</x:v>
      </x:c>
      <x:c r="H20" s="47" t="str"/>
      <x:c r="I20" s="48" t="str">
        <x:v>controlled value permitted by the range of calculationMethod; controlled value permitted by the range of nonlinearCalculationMethodValue; linked by the locked 313-requirement index</x:v>
      </x:c>
      <x:c r="J20" s="47" t="n">
        <x:v>0</x:v>
      </x:c>
    </x:row>
    <x:row r="21">
      <x:c r="A21" s="47" t="str">
        <x:v>RUN-I2-065-20260828T050804746455Z</x:v>
      </x:c>
      <x:c r="B21" s="47" t="str">
        <x:v>I2-065</x:v>
      </x:c>
      <x:c r="C21" s="47" t="str">
        <x:v>permanentDeformation</x:v>
      </x:c>
      <x:c r="D21" s="48" t="str">
        <x:v>https://w3id.org/nltl/vocab#permanentDeformation</x:v>
      </x:c>
      <x:c r="E21" s="47" t="str">
        <x:v>DatatypeProperty</x:v>
      </x:c>
      <x:c r="F21" s="47" t="str">
        <x:v>xsd:string</x:v>
      </x:c>
      <x:c r="G21" s="47" t="str">
        <x:v>http://www.w3.org/2001/XMLSchema#string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RUN-I2-065-20260828T050804746455Z</x:v>
      </x:c>
      <x:c r="B22" s="47" t="str">
        <x:v>I2-065</x:v>
      </x:c>
      <x:c r="C22" s="47" t="str">
        <x:v>permanentLateralDeformation</x:v>
      </x:c>
      <x:c r="D22" s="48" t="str">
        <x:v>https://w3id.org/nltl/vocab#permanentLateralDeformation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http://qudt.org/vocab/unit/MilliM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RUN-I2-065-20260828T050804746455Z</x:v>
      </x:c>
      <x:c r="B23" s="47" t="str">
        <x:v>I2-065</x:v>
      </x:c>
      <x:c r="C23" s="47" t="str">
        <x:v>permanentOutOfPlaneDeformation</x:v>
      </x:c>
      <x:c r="D23" s="48" t="str">
        <x:v>https://w3id.org/nltl/vocab#permanentOutOfPlaneDeformation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http://qudt.org/vocab/unit/MilliM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RUN-I2-065-20260828T050804746455Z</x:v>
      </x:c>
      <x:c r="B24" s="47" t="str">
        <x:v>I2-065</x:v>
      </x:c>
      <x:c r="C24" s="47" t="str">
        <x:v>plasticDeformation</x:v>
      </x:c>
      <x:c r="D24" s="48" t="str">
        <x:v>https://w3id.org/nltl/vocab#plasticDeformation</x:v>
      </x:c>
      <x:c r="E24" s="47" t="str">
        <x:v>DatatypeProperty</x:v>
      </x:c>
      <x:c r="F24" s="47" t="str">
        <x:v>xsd:string</x:v>
      </x:c>
      <x:c r="G24" s="47" t="str">
        <x:v>http://www.w3.org/2001/XMLSchema#string</x:v>
      </x:c>
      <x:c r="H24" s="47" t="str"/>
      <x:c r="I24" s="48" t="str">
        <x:v>linked by the locked 313-requirement index</x:v>
      </x:c>
      <x:c r="J24" s="47" t="n">
        <x:v>0</x:v>
      </x:c>
    </x:row>
    <x:row r="25">
      <x:c r="A25" s="47" t="str">
        <x:v>RUN-I2-065-20260828T050804746455Z</x:v>
      </x:c>
      <x:c r="B25" s="47" t="str">
        <x:v>I2-065</x:v>
      </x:c>
      <x:c r="C25" s="47" t="str">
        <x:v>prescribedAnalyticalProcedure</x:v>
      </x:c>
      <x:c r="D25" s="48" t="str">
        <x:v>https://w3id.org/nltl/vocab#prescribedAnalyticalProcedure</x:v>
      </x:c>
      <x:c r="E25" s="47" t="str">
        <x:v>NamedIndividual</x:v>
      </x:c>
      <x:c r="F25" s="47" t="str"/>
      <x:c r="G25" s="47" t="str">
        <x:v>https://w3id.org/nltl/vocab#calculationMethodValue</x:v>
      </x:c>
      <x:c r="H25" s="47" t="str"/>
      <x:c r="I25" s="48" t="str">
        <x:v>controlled value permitted by the range of calculationMethod; controlled value permitted by the range of nonlinearCalculationMethodValue</x:v>
      </x:c>
      <x:c r="J25" s="47" t="n">
        <x:v>0</x:v>
      </x:c>
    </x:row>
    <x:row r="26">
      <x:c r="A26" s="47" t="str">
        <x:v>RUN-I2-065-20260828T050804746455Z</x:v>
      </x:c>
      <x:c r="B26" s="47" t="str">
        <x:v>I2-065</x:v>
      </x:c>
      <x:c r="C26" s="47" t="str">
        <x:v>relevantStructuralDimension</x:v>
      </x:c>
      <x:c r="D26" s="48" t="str">
        <x:v>https://w3id.org/nltl/vocab#relevantStructuralDimension</x:v>
      </x:c>
      <x:c r="E26" s="47" t="str">
        <x:v>QuantityProperty</x:v>
      </x:c>
      <x:c r="F26" s="47" t="str"/>
      <x:c r="G26" s="47" t="str">
        <x:v>http://qudt.org/schema/qudt/QuantityValue</x:v>
      </x:c>
      <x:c r="H26" s="47" t="str">
        <x:v>http://qudt.org/vocab/unit/MilliM</x:v>
      </x:c>
      <x:c r="I26" s="48" t="str">
        <x:v>linked by the locked 313-requirement index</x:v>
      </x:c>
      <x:c r="J26" s="47" t="n">
        <x:v>0</x:v>
      </x:c>
    </x:row>
    <x:row r="27">
      <x:c r="A27" s="47" t="str">
        <x:v>RUN-I2-065-20260828T050804746455Z</x:v>
      </x:c>
      <x:c r="B27" s="47" t="str">
        <x:v>I2-065</x:v>
      </x:c>
      <x:c r="C27" s="47" t="str">
        <x:v>ship</x:v>
      </x:c>
      <x:c r="D27" s="48" t="str">
        <x:v>https://w3id.org/nltl/vocab#ship</x:v>
      </x:c>
      <x:c r="E27" s="47" t="str">
        <x:v>Class</x:v>
      </x:c>
      <x:c r="F27" s="47" t="str"/>
      <x:c r="G27" s="47" t="str"/>
      <x:c r="H27" s="47" t="str"/>
      <x:c r="I27" s="48" t="str">
        <x:v>authoritative required owner class; authoritative requirement target owner; baseline target infrastructure; domain dependency of hasCalculationCase</x:v>
      </x:c>
      <x:c r="J27" s="47" t="n">
        <x:v>0</x:v>
      </x:c>
    </x:row>
    <x:row r="28">
      <x:c r="A28" s="47" t="str">
        <x:v>RUN-I2-065-20260828T050804746455Z</x:v>
      </x:c>
      <x:c r="B28" s="47" t="str">
        <x:v>I2-065</x:v>
      </x:c>
      <x:c r="C28" s="47" t="str">
        <x:v>shipComponent</x:v>
      </x:c>
      <x:c r="D28" s="48" t="str">
        <x:v>https://w3id.org/nltl/vocab#shipComponent</x:v>
      </x:c>
      <x:c r="E28" s="47" t="str">
        <x:v>Class</x:v>
      </x:c>
      <x:c r="F28" s="47" t="str"/>
      <x:c r="G28" s="47" t="str"/>
      <x:c r="H28" s="47" t="str"/>
      <x:c r="I28" s="48" t="str">
        <x:v>component-path dependency inferred from the linked term module</x:v>
      </x:c>
      <x:c r="J28" s="47" t="n">
        <x:v>0</x:v>
      </x:c>
    </x:row>
    <x:row r="29">
      <x:c r="A29" s="49" t="str">
        <x:v>RUN-I2-065-20260828T050804746455Z</x:v>
      </x:c>
      <x:c r="B29" s="49" t="str">
        <x:v>I2-065</x:v>
      </x:c>
      <x:c r="C29" s="49" t="str">
        <x:v>yieldingMargin</x:v>
      </x:c>
      <x:c r="D29" s="50" t="str">
        <x:v>https://w3id.org/nltl/vocab#yieldingMargin</x:v>
      </x:c>
      <x:c r="E29" s="49" t="str">
        <x:v>QuantityProperty</x:v>
      </x:c>
      <x:c r="F29" s="49" t="str"/>
      <x:c r="G29" s="49" t="str">
        <x:v>http://qudt.org/schema/qudt/QuantityValue</x:v>
      </x:c>
      <x:c r="H29" s="49" t="str">
        <x:v>http://qudt.org/vocab/unit/UNITLESS</x:v>
      </x:c>
      <x:c r="I29" s="50" t="str">
        <x:v>linked by the locked 313-requirement index</x:v>
      </x:c>
      <x:c r="J2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e6cd66a290d41e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RUN-I2-065-20260828T050804746455Z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RUN-I2-065-20260828T050804746455Z</x:v>
      </x:c>
      <x:c r="B5" s="45" t="str">
        <x:v>I2-065</x:v>
      </x:c>
      <x:c r="C5" s="45" t="str">
        <x:v>FS-COMPLEX-READINESS-01</x:v>
      </x:c>
      <x:c r="D5" s="45" t="str">
        <x:v>complex_readiness_external_calculation</x:v>
      </x:c>
      <x:c r="E5" s="97" t="n">
        <x:v>2.115942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RUN-I2-065-20260828T050804746455Z</x:v>
      </x:c>
      <x:c r="B6" s="49" t="str">
        <x:v>I2-065</x:v>
      </x:c>
      <x:c r="C6" s="49" t="str">
        <x:v>FS-COMPLEX-READINESS-02</x:v>
      </x:c>
      <x:c r="D6" s="49" t="str">
        <x:v>complex_readiness_with_direct_residual_check</x:v>
      </x:c>
      <x:c r="E6" s="98" t="n">
        <x:v>2.067568</x:v>
      </x:c>
      <x:c r="F6" s="49" t="str">
        <x:v>analysis | 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b18de8e6b02466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RUN-I2-065-20260828T050804746455Z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RUN-I2-065-20260828T050804746455Z</x:v>
      </x:c>
      <x:c r="B5" s="45" t="str">
        <x:v>I2-065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https://w3id.org/nltl/vocab#calculationCase | https://w3id.org/nltl/vocab#calculationMethod | https://w3id.org/nltl/vocab#calculationMethodValue | https://w3id.org/nltl/vocab#evidenceArtifact | https://w3id.org/nltl/vocab#fractureMargin | https://w3id.org/nltl/vocab#hasCalculationCase | https://w3id.org/nltl/vocab#majorBucklingMargin | https://w3id.org/nltl/vocab#minorPermanentDeformationAssessmentSatisfied | https://w3id.org/nltl/vocab#nonlinearAnalysisAcceptanceEvidence | https://w3id.org/nltl/vocab#nonlinearCalculationMethodValue | https://w3id.org/nltl/vocab#permanentLateralDeformation | https://w3id.org/nltl/vocab#permanentOutOfPlaneDeformation | https://w3id.org/nltl/vocab#relevantStructuralDimension | https://w3id.org/nltl/vocab#ship | https://w3id.org/nltl/vocab#yieldingMargin</x:v>
      </x:c>
      <x:c r="O5" s="46" t="str"/>
      <x:c r="P5" s="46" t="str"/>
      <x:c r="Q5" s="46" t="str"/>
    </x:row>
    <x:row r="6">
      <x:c r="A6" s="49" t="str">
        <x:v>RUN-I2-065-20260828T050804746455Z</x:v>
      </x:c>
      <x:c r="B6" s="49" t="str">
        <x:v>I2-065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https://w3id.org/nltl/vocab#calculationCase | https://w3id.org/nltl/vocab#calculationMethod | https://w3id.org/nltl/vocab#evidenceArtifact | https://w3id.org/nltl/vocab#fractureMargin | https://w3id.org/nltl/vocab#hasCalculationCase | https://w3id.org/nltl/vocab#majorBucklingMargin | https://w3id.org/nltl/vocab#minorPermanentDeformationAssessmentSatisfied | https://w3id.org/nltl/vocab#nonlinearAnalysisAcceptanceEvidence | https://w3id.org/nltl/vocab#nonlinearCalculationMethodValue | https://w3id.org/nltl/vocab#permanentLateralDeformation | https://w3id.org/nltl/vocab#permanentOutOfPlaneDeformation | https://w3id.org/nltl/vocab#relevantStructuralDimension | https://w3id.org/nltl/vocab#ship | https://w3id.org/nltl/vocab#yieldingMargin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4d352f7079814e9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RUN-I2-065-20260828T050804746455Z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RUN-I2-065-20260828T050804746455Z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RUN-I2-065-20260828T050804746455Z</x:v>
      </x:c>
      <x:c r="B5" s="45" t="str">
        <x:v>I2-065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5e28f52f0d5c0ff25c84922bf8eb2a923757a74484800e1a59484d08bcb9887e</x:v>
      </x:c>
      <x:c r="G5" s="58" t="n">
        <x:v>34229</x:v>
      </x:c>
    </x:row>
    <x:row r="6">
      <x:c r="A6" s="47" t="str">
        <x:v>RUN-I2-065-20260828T050804746455Z</x:v>
      </x:c>
      <x:c r="B6" s="47" t="str">
        <x:v>I2-065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068812fd5399c46efd3d82741c62625c3eb16b79830d26d6a49f510f2bf996a3</x:v>
      </x:c>
      <x:c r="G6" s="59" t="n">
        <x:v>6573</x:v>
      </x:c>
    </x:row>
    <x:row r="7">
      <x:c r="A7" s="47" t="str">
        <x:v>RUN-I2-065-20260828T050804746455Z</x:v>
      </x:c>
      <x:c r="B7" s="47" t="str">
        <x:v>I2-065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b0f77e73ff4a706e0de64957954e8ad66b10acb8788605cd000aed0614a1f750</x:v>
      </x:c>
      <x:c r="G7" s="59" t="n">
        <x:v>52448</x:v>
      </x:c>
    </x:row>
    <x:row r="8">
      <x:c r="A8" s="47" t="str">
        <x:v>RUN-I2-065-20260828T050804746455Z</x:v>
      </x:c>
      <x:c r="B8" s="47" t="str">
        <x:v>I2-065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2812338e2ca1c532d4fe72f0a5af450a9506250c81d16885c821dbd3cc9a6a1a</x:v>
      </x:c>
      <x:c r="G8" s="59" t="n">
        <x:v>4240</x:v>
      </x:c>
    </x:row>
    <x:row r="9">
      <x:c r="A9" s="47" t="str">
        <x:v>RUN-I2-065-20260828T050804746455Z</x:v>
      </x:c>
      <x:c r="B9" s="47" t="str">
        <x:v>I2-065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fd5544ed7765d888356e2ce2ddf1b80ed1acaf8e959ed672c59100b5f72ff8d1</x:v>
      </x:c>
      <x:c r="G9" s="59" t="n">
        <x:v>4215</x:v>
      </x:c>
    </x:row>
    <x:row r="10">
      <x:c r="A10" s="47" t="str">
        <x:v>RUN-I2-065-20260828T050804746455Z</x:v>
      </x:c>
      <x:c r="B10" s="47" t="str">
        <x:v>I2-065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6e7335c11ae092e71b97b7855eaab736f09aa0bdba9d10660fb7608fe289cdbc</x:v>
      </x:c>
      <x:c r="G10" s="59" t="n">
        <x:v>1262</x:v>
      </x:c>
    </x:row>
    <x:row r="11">
      <x:c r="A11" s="47" t="str">
        <x:v>RUN-I2-065-20260828T050804746455Z</x:v>
      </x:c>
      <x:c r="B11" s="47" t="str">
        <x:v>I2-065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299cbc460a271aaef44b011c3cb59a55f8082dbecd83b57dd1449fcf75201dfe</x:v>
      </x:c>
      <x:c r="G11" s="59" t="n">
        <x:v>51649</x:v>
      </x:c>
    </x:row>
    <x:row r="12">
      <x:c r="A12" s="47" t="str">
        <x:v>RUN-I2-065-20260828T050804746455Z</x:v>
      </x:c>
      <x:c r="B12" s="47" t="str">
        <x:v>I2-065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bd61f61aff225a3005f43d991e51c5750f052a55c54afc18f669bd99aac9fbd8</x:v>
      </x:c>
      <x:c r="G12" s="59" t="n">
        <x:v>760</x:v>
      </x:c>
    </x:row>
    <x:row r="13">
      <x:c r="A13" s="47" t="str">
        <x:v>RUN-I2-065-20260828T050804746455Z</x:v>
      </x:c>
      <x:c r="B13" s="47" t="str">
        <x:v>I2-065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47613120f5798469fbde3734a6c83251b4ec7260fe5d588377d48a7fd83205b4</x:v>
      </x:c>
      <x:c r="G13" s="59" t="n">
        <x:v>53143</x:v>
      </x:c>
    </x:row>
    <x:row r="14">
      <x:c r="A14" s="47" t="str">
        <x:v>RUN-I2-065-20260828T050804746455Z</x:v>
      </x:c>
      <x:c r="B14" s="47" t="str">
        <x:v>I2-065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83ddd991cb90a69e5842afe75e42ac67f28f4f5e033f17aa09a04eb7467df907</x:v>
      </x:c>
      <x:c r="G14" s="59" t="n">
        <x:v>3809</x:v>
      </x:c>
    </x:row>
    <x:row r="15">
      <x:c r="A15" s="47" t="str">
        <x:v>RUN-I2-065-20260828T050804746455Z</x:v>
      </x:c>
      <x:c r="B15" s="47" t="str">
        <x:v>I2-065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f3ad236f8a7a02b8e3e07249cde308bb5b24e66e65ca1d53b01a99c2fe334ccd</x:v>
      </x:c>
      <x:c r="G15" s="59" t="n">
        <x:v>3783</x:v>
      </x:c>
    </x:row>
    <x:row r="16">
      <x:c r="A16" s="47" t="str">
        <x:v>RUN-I2-065-20260828T050804746455Z</x:v>
      </x:c>
      <x:c r="B16" s="47" t="str">
        <x:v>I2-065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16262ef29b33fce9fe635f8ecb4dd5d2719d553a885b53a19ebbd2848cba7c48</x:v>
      </x:c>
      <x:c r="G16" s="59" t="n">
        <x:v>1204</x:v>
      </x:c>
    </x:row>
    <x:row r="17">
      <x:c r="A17" s="47" t="str">
        <x:v>RUN-I2-065-20260828T050804746455Z</x:v>
      </x:c>
      <x:c r="B17" s="47" t="str">
        <x:v>I2-065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e746f3b9af1519758614ec3505b89f40dd805f32593b808454cd2fb26258736a</x:v>
      </x:c>
      <x:c r="G17" s="59" t="n">
        <x:v>51587</x:v>
      </x:c>
    </x:row>
    <x:row r="18">
      <x:c r="A18" s="47" t="str">
        <x:v>RUN-I2-065-20260828T050804746455Z</x:v>
      </x:c>
      <x:c r="B18" s="47" t="str">
        <x:v>I2-065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38e0dd9475f47fc0b3ceb7f5dcf51c1a0b0786ac867aa151e133fcabf1d03471</x:v>
      </x:c>
      <x:c r="G18" s="59" t="n">
        <x:v>470</x:v>
      </x:c>
    </x:row>
    <x:row r="19">
      <x:c r="A19" s="49" t="str">
        <x:v>RUN-I2-065-20260828T050804746455Z</x:v>
      </x:c>
      <x:c r="B19" s="49" t="str">
        <x:v>I2-065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f3ad236f8a7a02b8e3e07249cde308bb5b24e66e65ca1d53b01a99c2fe334ccd</x:v>
      </x:c>
      <x:c r="G19" s="60" t="n">
        <x:v>3783</x:v>
      </x:c>
    </x:row>
  </x:sheetData>
  <x:pageMargins left="0.7" right="0.7" top="0.75" bottom="0.75" header="0.3" footer="0.3"/>
  <x:tableParts count="1">
    <x:tablePart xmlns:r="http://schemas.openxmlformats.org/officeDocument/2006/relationships" r:id="Rd6875c376dae4b1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RUN-I2-065-20260828T050804746455Z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RUN-I2-065-20260828T050804746455Z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RUN-I2-065-20260828T050804746455Z</x:v>
      </x:c>
      <x:c r="B5" s="69" t="str">
        <x:v>I2-065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f5be4d5c9ed4da7"/>
  </x:tableParts>
</x:worksheet>
</file>