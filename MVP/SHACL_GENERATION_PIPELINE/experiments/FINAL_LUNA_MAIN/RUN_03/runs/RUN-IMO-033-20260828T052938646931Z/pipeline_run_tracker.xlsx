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a41f1974b4e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ae9bd59dad4ba5"/>
    <x:sheet xmlns:r="http://schemas.openxmlformats.org/officeDocument/2006/relationships" name="README" sheetId="2" r:id="R29a26555127c4e98"/>
    <x:sheet xmlns:r="http://schemas.openxmlformats.org/officeDocument/2006/relationships" name="REGULATION_QUEUE" sheetId="3" r:id="R61ca62819f904188"/>
    <x:sheet xmlns:r="http://schemas.openxmlformats.org/officeDocument/2006/relationships" name="RUNS" sheetId="4" r:id="Rbbe57f8ab773438c"/>
    <x:sheet xmlns:r="http://schemas.openxmlformats.org/officeDocument/2006/relationships" name="ITERATIONS" sheetId="5" r:id="R96d13198553f457f"/>
    <x:sheet xmlns:r="http://schemas.openxmlformats.org/officeDocument/2006/relationships" name="API_CALLS" sheetId="6" r:id="Rc9c43c255b324021"/>
    <x:sheet xmlns:r="http://schemas.openxmlformats.org/officeDocument/2006/relationships" name="TERM_RETRIEVAL" sheetId="7" r:id="R413b77d4d8f14115"/>
    <x:sheet xmlns:r="http://schemas.openxmlformats.org/officeDocument/2006/relationships" name="FEW_SHOT_SELECTION" sheetId="8" r:id="R3731f2a21de74d9f"/>
    <x:sheet xmlns:r="http://schemas.openxmlformats.org/officeDocument/2006/relationships" name="VALIDATION" sheetId="9" r:id="Rdb26742055ec4a03"/>
    <x:sheet xmlns:r="http://schemas.openxmlformats.org/officeDocument/2006/relationships" name="VOCAB_MATCHES" sheetId="10" r:id="Ra8417763f8d04f28"/>
    <x:sheet xmlns:r="http://schemas.openxmlformats.org/officeDocument/2006/relationships" name="ARTIFACTS" sheetId="11" r:id="Rdb5358dd2c02463f"/>
    <x:sheet xmlns:r="http://schemas.openxmlformats.org/officeDocument/2006/relationships" name="UNRESOLVED" sheetId="12" r:id="R920bbcd285964958"/>
    <x:sheet xmlns:r="http://schemas.openxmlformats.org/officeDocument/2006/relationships" name="RDF_TEST_QUEUE" sheetId="13" r:id="R1725625dc135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27fb2826f4f4a" /><Relationship Type="http://schemas.openxmlformats.org/officeDocument/2006/relationships/theme" Target="/xl/theme/theme1.xml" Id="Rdff6b6391a9249fc" /><Relationship Type="http://schemas.microsoft.com/office/2022/11/relationships/FeaturePropertyBag" Target="/xl/featurePropertyBag/featurePropertyBag.xml" Id="R407e920862ae40ac" /><Relationship Type="http://schemas.openxmlformats.org/officeDocument/2006/relationships/sharedStrings" Target="/xl/sharedStrings.xml" Id="R685683225c1648af" /><Relationship Type="http://schemas.openxmlformats.org/officeDocument/2006/relationships/worksheet" Target="/xl/worksheets/sheet1.xml" Id="R0cae9bd59dad4ba5" /><Relationship Type="http://schemas.openxmlformats.org/officeDocument/2006/relationships/worksheet" Target="/xl/worksheets/sheet2.xml" Id="R29a26555127c4e98" /><Relationship Type="http://schemas.openxmlformats.org/officeDocument/2006/relationships/worksheet" Target="/xl/worksheets/sheet3.xml" Id="R61ca62819f904188" /><Relationship Type="http://schemas.openxmlformats.org/officeDocument/2006/relationships/worksheet" Target="/xl/worksheets/sheet4.xml" Id="Rbbe57f8ab773438c" /><Relationship Type="http://schemas.openxmlformats.org/officeDocument/2006/relationships/worksheet" Target="/xl/worksheets/sheet5.xml" Id="R96d13198553f457f" /><Relationship Type="http://schemas.openxmlformats.org/officeDocument/2006/relationships/worksheet" Target="/xl/worksheets/sheet6.xml" Id="Rc9c43c255b324021" /><Relationship Type="http://schemas.openxmlformats.org/officeDocument/2006/relationships/worksheet" Target="/xl/worksheets/sheet7.xml" Id="R413b77d4d8f14115" /><Relationship Type="http://schemas.openxmlformats.org/officeDocument/2006/relationships/worksheet" Target="/xl/worksheets/sheet8.xml" Id="R3731f2a21de74d9f" /><Relationship Type="http://schemas.openxmlformats.org/officeDocument/2006/relationships/worksheet" Target="/xl/worksheets/sheet9.xml" Id="Rdb26742055ec4a03" /><Relationship Type="http://schemas.openxmlformats.org/officeDocument/2006/relationships/worksheet" Target="/xl/worksheets/sheet10.xml" Id="Ra8417763f8d04f28" /><Relationship Type="http://schemas.openxmlformats.org/officeDocument/2006/relationships/worksheet" Target="/xl/worksheets/sheet11.xml" Id="Rdb5358dd2c02463f" /><Relationship Type="http://schemas.openxmlformats.org/officeDocument/2006/relationships/worksheet" Target="/xl/worksheets/sheet12.xml" Id="R920bbcd285964958" /><Relationship Type="http://schemas.openxmlformats.org/officeDocument/2006/relationships/worksheet" Target="/xl/worksheets/sheet13.xml" Id="R1725625dc1354a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c5e3923f4143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dd045dcbca49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b85ae750d246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91ace61c164e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48c284549a41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bb30d5b23648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85d42aba944a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72b8a15e4e4b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145a58c1074c4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d64518a89214c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RUN-IMO-033-20260828T052938646931Z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15772.552499999998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RUN-IMO-033-20260828T052938646931Z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c5e3923f4143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RUN-IMO-033-20260828T052938646931Z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dd045dcbca49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RUN-IMO-033-20260828T052938646931Z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RUN-IMO-033-20260828T052938646931Z</x:v>
      </x:c>
      <x:c r="C5" s="69" t="str">
        <x:v>IMO-033</x:v>
      </x:c>
      <x:c r="D5" s="70" t="n">
        <x:v>46262.22891952546</x:v>
      </x:c>
      <x:c r="E5" s="70" t="n">
        <x:v>46262.22965565972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satisfies the prior repair: both derived-value checks use permitted arithmetic and comparison branches without ABS(), preserve the expected-value-scaled tolerance, retain the correct operands and formula factors, and use the correct failure-query direction. Applicability, owners, constants, datatypes, units, and required result relationships are faithfully encoded;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b85ae750d246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RUN-IMO-033-20260828T052938646931Z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RUN-IMO-033-20260828T052938646931Z</x:v>
      </x:c>
      <x:c r="B5" s="45" t="str">
        <x:v>IMO-033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both SPARQL FILTER expressions using ABS(), because DIRECT_CALCULATION permits only the registered arithmetic/comparison operations and simple branches, not ABS(). Preserve the required tolerance scaled from the expected formula result by expressing the two-sided tolerance with permitted comparisons (or an explicitly supported piecewise equivalent), while retaining the current expected-value operands, formula factors, units, and failure-query direction.</x:v>
      </x:c>
      <x:c r="I5" s="81" t="n">
        <x:v>21062.024</x:v>
      </x:c>
      <x:c r="J5" s="81" t="n">
        <x:v>7861.342</x:v>
      </x:c>
    </x:row>
    <x:row r="6">
      <x:c r="A6" s="49" t="str">
        <x:v>RUN-IMO-033-20260828T052938646931Z</x:v>
      </x:c>
      <x:c r="B6" s="49" t="str">
        <x:v>IMO-033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satisfies the prior repair: both derived-value checks use permitted arithmetic and comparison branches without ABS(), preserve the expected-value-scaled tolerance, retain the correct operands and formula factors, and use the correct failure-query direction. Applicability, owners, constants, datatypes, units, and required result relationships are faithfully encoded; freeze for later RDF evaluation.</x:v>
      </x:c>
      <x:c r="I6" s="83" t="n">
        <x:v>25393.007</x:v>
      </x:c>
      <x:c r="J6" s="83" t="n">
        <x:v>8776.582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1ace61c164e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RUN-IMO-033-20260828T052938646931Z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RUN-IMO-033-20260828T052938646931Z</x:v>
      </x:c>
      <x:c r="C5" s="45" t="str">
        <x:v>IMO-033</x:v>
      </x:c>
      <x:c r="D5" s="90" t="n">
        <x:v>46262.229163310185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21060.71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RUN-IMO-033-20260828T052938646931Z</x:v>
      </x:c>
      <x:c r="C6" s="47" t="str">
        <x:v>IMO-033</x:v>
      </x:c>
      <x:c r="D6" s="91" t="n">
        <x:v>46262.22916332176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21062.024</x:v>
      </x:c>
      <x:c r="L6" s="93" t="b">
        <x:v>0</x:v>
      </x:c>
      <x:c r="M6" s="47" t="str">
        <x:v>resp_06d9bf5b9b25dade006a911cc2c2348197861918a84939d81c</x:v>
      </x:c>
      <x:c r="N6" s="59" t="n">
        <x:v>8353</x:v>
      </x:c>
      <x:c r="O6" s="59" t="n">
        <x:v>2704</x:v>
      </x:c>
      <x:c r="P6" s="59" t="n">
        <x:v>11057</x:v>
      </x:c>
    </x:row>
    <x:row r="7">
      <x:c r="A7" s="47" t="str">
        <x:v>EVT-000025</x:v>
      </x:c>
      <x:c r="B7" s="47" t="str">
        <x:v>RUN-IMO-033-20260828T052938646931Z</x:v>
      </x:c>
      <x:c r="C7" s="47" t="str">
        <x:v>IMO-033</x:v>
      </x:c>
      <x:c r="D7" s="91" t="n">
        <x:v>46262.22925693287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7860.128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RUN-IMO-033-20260828T052938646931Z</x:v>
      </x:c>
      <x:c r="C8" s="47" t="str">
        <x:v>IMO-033</x:v>
      </x:c>
      <x:c r="D8" s="91" t="n">
        <x:v>46262.22925694445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7861.342</x:v>
      </x:c>
      <x:c r="L8" s="93" t="b">
        <x:v>0</x:v>
      </x:c>
      <x:c r="M8" s="47" t="str">
        <x:v>resp_009e9d67724105de006a911cd8032481939a7322be7aef47ed</x:v>
      </x:c>
      <x:c r="N8" s="59" t="n">
        <x:v>8244</x:v>
      </x:c>
      <x:c r="O8" s="59" t="n">
        <x:v>613</x:v>
      </x:c>
      <x:c r="P8" s="59" t="n">
        <x:v>8857</x:v>
      </x:c>
    </x:row>
    <x:row r="9">
      <x:c r="A9" s="47" t="str">
        <x:v>EVT-000031</x:v>
      </x:c>
      <x:c r="B9" s="47" t="str">
        <x:v>RUN-IMO-033-20260828T052938646931Z</x:v>
      </x:c>
      <x:c r="C9" s="47" t="str">
        <x:v>IMO-033</x:v>
      </x:c>
      <x:c r="D9" s="91" t="n">
        <x:v>46262.229550868055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25391.485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RUN-IMO-033-20260828T052938646931Z</x:v>
      </x:c>
      <x:c r="C10" s="47" t="str">
        <x:v>IMO-033</x:v>
      </x:c>
      <x:c r="D10" s="91" t="n">
        <x:v>46262.22955087963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25393.007</x:v>
      </x:c>
      <x:c r="L10" s="93" t="b">
        <x:v>0</x:v>
      </x:c>
      <x:c r="M10" s="47" t="str">
        <x:v>resp_048cd784f78496dc006a911cdff00c8195a6262f07abacf277</x:v>
      </x:c>
      <x:c r="N10" s="59" t="n">
        <x:v>8429</x:v>
      </x:c>
      <x:c r="O10" s="59" t="n">
        <x:v>3014</x:v>
      </x:c>
      <x:c r="P10" s="59" t="n">
        <x:v>11443</x:v>
      </x:c>
    </x:row>
    <x:row r="11">
      <x:c r="A11" s="47" t="str">
        <x:v>EVT-000039</x:v>
      </x:c>
      <x:c r="B11" s="47" t="str">
        <x:v>RUN-IMO-033-20260828T052938646931Z</x:v>
      </x:c>
      <x:c r="C11" s="47" t="str">
        <x:v>IMO-033</x:v>
      </x:c>
      <x:c r="D11" s="91" t="n">
        <x:v>46262.22965559028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8775.142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RUN-IMO-033-20260828T052938646931Z</x:v>
      </x:c>
      <x:c r="C12" s="49" t="str">
        <x:v>IMO-033</x:v>
      </x:c>
      <x:c r="D12" s="94" t="n">
        <x:v>46262.229655601855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8776.582</x:v>
      </x:c>
      <x:c r="L12" s="82" t="b">
        <x:v>0</x:v>
      </x:c>
      <x:c r="M12" s="49" t="str">
        <x:v>resp_08b57938a99d458d006a911cf991048190b0e73ba141c92bb0</x:v>
      </x:c>
      <x:c r="N12" s="60" t="n">
        <x:v>8435</x:v>
      </x:c>
      <x:c r="O12" s="60" t="n">
        <x:v>666</x:v>
      </x:c>
      <x:c r="P12" s="60" t="n">
        <x:v>9101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48c284549a41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RUN-IMO-033-20260828T052938646931Z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RUN-IMO-033-20260828T052938646931Z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RUN-IMO-033-20260828T052938646931Z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RUN-IMO-033-20260828T052938646931Z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RUN-IMO-033-20260828T052938646931Z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RUN-IMO-033-20260828T052938646931Z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RUN-IMO-033-20260828T052938646931Z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RUN-IMO-033-20260828T052938646931Z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RUN-IMO-033-20260828T052938646931Z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RUN-IMO-033-20260828T052938646931Z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bb30d5b23648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RUN-IMO-033-20260828T052938646931Z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RUN-IMO-033-20260828T052938646931Z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7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RUN-IMO-033-20260828T052938646931Z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8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5d42aba944a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RUN-IMO-033-20260828T052938646931Z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RUN-IMO-033-20260828T052938646931Z</x:v>
      </x:c>
      <x:c r="B5" s="45" t="str">
        <x:v>IMO-033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46" t="str"/>
      <x:c r="P5" s="46" t="str"/>
      <x:c r="Q5" s="46" t="str"/>
    </x:row>
    <x:row r="6">
      <x:c r="A6" s="49" t="str">
        <x:v>RUN-IMO-033-20260828T052938646931Z</x:v>
      </x:c>
      <x:c r="B6" s="49" t="str">
        <x:v>IMO-033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f72b8a15e4e4b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RUN-IMO-033-20260828T052938646931Z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RUN-IMO-033-20260828T052938646931Z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RUN-IMO-033-20260828T052938646931Z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RUN-IMO-033-20260828T052938646931Z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RUN-IMO-033-20260828T052938646931Z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RUN-IMO-033-20260828T052938646931Z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179af0e89f57de09a09886096d7128ebd81a2dede6afa57948fd2e95817752a6</x:v>
      </x:c>
      <x:c r="G8" s="59" t="n">
        <x:v>8485</x:v>
      </x:c>
    </x:row>
    <x:row r="9">
      <x:c r="A9" s="47" t="str">
        <x:v>RUN-IMO-033-20260828T052938646931Z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e34fa8369c64a04f7143cf56716976d234779e48907ef719961bbe6c65d42001</x:v>
      </x:c>
      <x:c r="G9" s="59" t="n">
        <x:v>8460</x:v>
      </x:c>
    </x:row>
    <x:row r="10">
      <x:c r="A10" s="47" t="str">
        <x:v>RUN-IMO-033-20260828T052938646931Z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b6bfed7eb4c515974fa68ccd1cf3b563df37fbbf6925f7756a97d9c6c9589ae2</x:v>
      </x:c>
      <x:c r="G10" s="59" t="n">
        <x:v>859</x:v>
      </x:c>
    </x:row>
    <x:row r="11">
      <x:c r="A11" s="47" t="str">
        <x:v>RUN-IMO-033-20260828T052938646931Z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31bbb1552d86946010c76a6a96c1a9d10c30bdb6e2c0d05e55b9c65cbb50e51d</x:v>
      </x:c>
      <x:c r="G11" s="59" t="n">
        <x:v>34590</x:v>
      </x:c>
    </x:row>
    <x:row r="12">
      <x:c r="A12" s="47" t="str">
        <x:v>RUN-IMO-033-20260828T052938646931Z</x:v>
      </x:c>
      <x:c r="B12" s="47" t="str">
        <x:v>IMO-033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6bec5bf969148d1a25197e46c91f5f638b90b229606b602266af724474bb1712</x:v>
      </x:c>
      <x:c r="G12" s="59" t="n">
        <x:v>529</x:v>
      </x:c>
    </x:row>
    <x:row r="13">
      <x:c r="A13" s="47" t="str">
        <x:v>RUN-IMO-033-20260828T052938646931Z</x:v>
      </x:c>
      <x:c r="B13" s="47" t="str">
        <x:v>IMO-033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2cbf80041855a9f38e9b1397f2e03c59bfd501ba4f5229337a915fcebbb94839</x:v>
      </x:c>
      <x:c r="G13" s="59" t="n">
        <x:v>35031</x:v>
      </x:c>
    </x:row>
    <x:row r="14">
      <x:c r="A14" s="47" t="str">
        <x:v>RUN-IMO-033-20260828T052938646931Z</x:v>
      </x:c>
      <x:c r="B14" s="47" t="str">
        <x:v>IMO-033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f0c106659a877bad2b8a64c7eb80605ae5c5a18c7d82cb11f3530320e03a3286</x:v>
      </x:c>
      <x:c r="G14" s="59" t="n">
        <x:v>7401</x:v>
      </x:c>
    </x:row>
    <x:row r="15">
      <x:c r="A15" s="47" t="str">
        <x:v>RUN-IMO-033-20260828T052938646931Z</x:v>
      </x:c>
      <x:c r="B15" s="47" t="str">
        <x:v>IMO-033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9668fb1a841fc74ccfb6896398f1dbe0ccd8075c6c2d924aec7a9f1a5027efa9</x:v>
      </x:c>
      <x:c r="G15" s="59" t="n">
        <x:v>7376</x:v>
      </x:c>
    </x:row>
    <x:row r="16">
      <x:c r="A16" s="47" t="str">
        <x:v>RUN-IMO-033-20260828T052938646931Z</x:v>
      </x:c>
      <x:c r="B16" s="47" t="str">
        <x:v>IMO-033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b6bfed7eb4c515974fa68ccd1cf3b563df37fbbf6925f7756a97d9c6c9589ae2</x:v>
      </x:c>
      <x:c r="G16" s="59" t="n">
        <x:v>859</x:v>
      </x:c>
    </x:row>
    <x:row r="17">
      <x:c r="A17" s="47" t="str">
        <x:v>RUN-IMO-033-20260828T052938646931Z</x:v>
      </x:c>
      <x:c r="B17" s="47" t="str">
        <x:v>IMO-033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26f373ac940d0c6a3f1ec4bc7acbc4ae07ee9ee0d642dcbaae7374e4d287d6cf</x:v>
      </x:c>
      <x:c r="G17" s="59" t="n">
        <x:v>33984</x:v>
      </x:c>
    </x:row>
    <x:row r="18">
      <x:c r="A18" s="47" t="str">
        <x:v>RUN-IMO-033-20260828T052938646931Z</x:v>
      </x:c>
      <x:c r="B18" s="47" t="str">
        <x:v>IMO-033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1c315d1f6e42b37c7837e756e7e4088b6ee21a29a69d67ac086d92409d1817b3</x:v>
      </x:c>
      <x:c r="G18" s="59" t="n">
        <x:v>481</x:v>
      </x:c>
    </x:row>
    <x:row r="19">
      <x:c r="A19" s="49" t="str">
        <x:v>RUN-IMO-033-20260828T052938646931Z</x:v>
      </x:c>
      <x:c r="B19" s="49" t="str">
        <x:v>IMO-033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9668fb1a841fc74ccfb6896398f1dbe0ccd8075c6c2d924aec7a9f1a5027efa9</x:v>
      </x:c>
      <x:c r="G19" s="60" t="n">
        <x:v>7376</x:v>
      </x:c>
    </x:row>
  </x:sheetData>
  <x:pageMargins left="0.7" right="0.7" top="0.75" bottom="0.75" header="0.3" footer="0.3"/>
  <x:tableParts count="1">
    <x:tablePart xmlns:r="http://schemas.openxmlformats.org/officeDocument/2006/relationships" r:id="Rbb145a58c1074c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RUN-IMO-033-20260828T052938646931Z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RUN-IMO-033-20260828T052938646931Z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RUN-IMO-033-20260828T052938646931Z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64518a89214c71"/>
  </x:tableParts>
</x:worksheet>
</file>