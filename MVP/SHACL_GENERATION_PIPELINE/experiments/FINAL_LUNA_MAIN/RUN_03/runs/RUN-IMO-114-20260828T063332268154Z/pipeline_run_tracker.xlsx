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a2f167295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97d8e0f4c54f16"/>
    <x:sheet xmlns:r="http://schemas.openxmlformats.org/officeDocument/2006/relationships" name="README" sheetId="2" r:id="R7da6afb58a894653"/>
    <x:sheet xmlns:r="http://schemas.openxmlformats.org/officeDocument/2006/relationships" name="REGULATION_QUEUE" sheetId="3" r:id="R661d6fabcc374210"/>
    <x:sheet xmlns:r="http://schemas.openxmlformats.org/officeDocument/2006/relationships" name="RUNS" sheetId="4" r:id="R62023fad9ae24099"/>
    <x:sheet xmlns:r="http://schemas.openxmlformats.org/officeDocument/2006/relationships" name="ITERATIONS" sheetId="5" r:id="Rc7fae0159f514279"/>
    <x:sheet xmlns:r="http://schemas.openxmlformats.org/officeDocument/2006/relationships" name="API_CALLS" sheetId="6" r:id="R5a34e08e12744e82"/>
    <x:sheet xmlns:r="http://schemas.openxmlformats.org/officeDocument/2006/relationships" name="TERM_RETRIEVAL" sheetId="7" r:id="R44c633f5d53642ca"/>
    <x:sheet xmlns:r="http://schemas.openxmlformats.org/officeDocument/2006/relationships" name="FEW_SHOT_SELECTION" sheetId="8" r:id="R88c192c8b2854cf1"/>
    <x:sheet xmlns:r="http://schemas.openxmlformats.org/officeDocument/2006/relationships" name="VALIDATION" sheetId="9" r:id="Rdc20f4d462604fdf"/>
    <x:sheet xmlns:r="http://schemas.openxmlformats.org/officeDocument/2006/relationships" name="VOCAB_MATCHES" sheetId="10" r:id="R11fb3bc16e034fa6"/>
    <x:sheet xmlns:r="http://schemas.openxmlformats.org/officeDocument/2006/relationships" name="ARTIFACTS" sheetId="11" r:id="R6abd6be923f04ded"/>
    <x:sheet xmlns:r="http://schemas.openxmlformats.org/officeDocument/2006/relationships" name="UNRESOLVED" sheetId="12" r:id="R554a764f44bc4874"/>
    <x:sheet xmlns:r="http://schemas.openxmlformats.org/officeDocument/2006/relationships" name="RDF_TEST_QUEUE" sheetId="13" r:id="Rb9e5ce1a663048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97cf797c14b95" /><Relationship Type="http://schemas.openxmlformats.org/officeDocument/2006/relationships/theme" Target="/xl/theme/theme1.xml" Id="R9794ee55c9824ae5" /><Relationship Type="http://schemas.microsoft.com/office/2022/11/relationships/FeaturePropertyBag" Target="/xl/featurePropertyBag/featurePropertyBag.xml" Id="R5dcf1939808c4ddc" /><Relationship Type="http://schemas.openxmlformats.org/officeDocument/2006/relationships/sharedStrings" Target="/xl/sharedStrings.xml" Id="R25f9ac39be0d41d3" /><Relationship Type="http://schemas.openxmlformats.org/officeDocument/2006/relationships/worksheet" Target="/xl/worksheets/sheet1.xml" Id="R6c97d8e0f4c54f16" /><Relationship Type="http://schemas.openxmlformats.org/officeDocument/2006/relationships/worksheet" Target="/xl/worksheets/sheet2.xml" Id="R7da6afb58a894653" /><Relationship Type="http://schemas.openxmlformats.org/officeDocument/2006/relationships/worksheet" Target="/xl/worksheets/sheet3.xml" Id="R661d6fabcc374210" /><Relationship Type="http://schemas.openxmlformats.org/officeDocument/2006/relationships/worksheet" Target="/xl/worksheets/sheet4.xml" Id="R62023fad9ae24099" /><Relationship Type="http://schemas.openxmlformats.org/officeDocument/2006/relationships/worksheet" Target="/xl/worksheets/sheet5.xml" Id="Rc7fae0159f514279" /><Relationship Type="http://schemas.openxmlformats.org/officeDocument/2006/relationships/worksheet" Target="/xl/worksheets/sheet6.xml" Id="R5a34e08e12744e82" /><Relationship Type="http://schemas.openxmlformats.org/officeDocument/2006/relationships/worksheet" Target="/xl/worksheets/sheet7.xml" Id="R44c633f5d53642ca" /><Relationship Type="http://schemas.openxmlformats.org/officeDocument/2006/relationships/worksheet" Target="/xl/worksheets/sheet8.xml" Id="R88c192c8b2854cf1" /><Relationship Type="http://schemas.openxmlformats.org/officeDocument/2006/relationships/worksheet" Target="/xl/worksheets/sheet9.xml" Id="Rdc20f4d462604fdf" /><Relationship Type="http://schemas.openxmlformats.org/officeDocument/2006/relationships/worksheet" Target="/xl/worksheets/sheet10.xml" Id="R11fb3bc16e034fa6" /><Relationship Type="http://schemas.openxmlformats.org/officeDocument/2006/relationships/worksheet" Target="/xl/worksheets/sheet11.xml" Id="R6abd6be923f04ded" /><Relationship Type="http://schemas.openxmlformats.org/officeDocument/2006/relationships/worksheet" Target="/xl/worksheets/sheet12.xml" Id="R554a764f44bc4874" /><Relationship Type="http://schemas.openxmlformats.org/officeDocument/2006/relationships/worksheet" Target="/xl/worksheets/sheet13.xml" Id="Rb9e5ce1a663048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098cc04aae40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f1e32d95034d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d97f12bd1d41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94292c818a4d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0f411c954646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27411d85714e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c6ef4b59f44f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cced07d8c24d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acc3b63c82e43d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c68047ca34a41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RUN-IMO-114-20260828T063332268154Z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18121.361125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RUN-IMO-114-20260828T063332268154Z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098cc04aae40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RUN-IMO-114-20260828T063332268154Z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GENERATION_ACCEPTED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f1e32d95034d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RUN-IMO-114-20260828T063332268154Z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RUN-IMO-114-20260828T063332268154Z</x:v>
      </x:c>
      <x:c r="C5" s="69" t="str">
        <x:v>IMO-114</x:v>
      </x:c>
      <x:c r="D5" s="70" t="n">
        <x:v>46262.273290150464</x:v>
      </x:c>
      <x:c r="E5" s="70" t="n">
        <x:v>46262.27413273148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correctly encodes the complete applicability conjunction, both required consequences, and explicit non-applicability alternatives for each antecedent, including the repaired cargoTankType != "3" branch, with the declared ship owner, canonical namespace, datatypes, and controlled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d97f12bd1d41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RUN-IMO-114-20260828T063332268154Z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RUN-IMO-114-20260828T063332268154Z</x:v>
      </x:c>
      <x:c r="B5" s="45" t="str">
        <x:v>IMO-114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implication alternatives. The cargoTankType alternative is inverted: its SPARQL FILTER currently selects value "3" while the message says and the requirement requires a value different from 3; constrain this branch to an explicitly present non-3 value (or use a portable SHACL Core negation). Ensure every non-applicable alternative is a genuine negation of one antecedent and cannot pass with missing branch-selection evidence. The current OR therefore permits the requirement to pass without the approval and certificate-entry constraints when cargoTankType is 3, and the cargo branch does not establish non-applicability. Preserve the first branch's complete antecedent and both required consequences.</x:v>
      </x:c>
      <x:c r="I5" s="81" t="n">
        <x:v>28451.139</x:v>
      </x:c>
      <x:c r="J5" s="81" t="n">
        <x:v>9886.23</x:v>
      </x:c>
    </x:row>
    <x:row r="6">
      <x:c r="A6" s="49" t="str">
        <x:v>RUN-IMO-114-20260828T063332268154Z</x:v>
      </x:c>
      <x:c r="B6" s="49" t="str">
        <x:v>IMO-114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correctly encodes the complete applicability conjunction, both required consequences, and explicit non-applicability alternatives for each antecedent, including the repaired cargoTankType != "3" branch, with the declared ship owner, canonical namespace, datatypes, and controlled values.</x:v>
      </x:c>
      <x:c r="I6" s="83" t="n">
        <x:v>26712.607</x:v>
      </x:c>
      <x:c r="J6" s="83" t="n">
        <x:v>7438.481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4292c818a4d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RUN-IMO-114-20260828T063332268154Z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RUN-IMO-114-20260828T063332268154Z</x:v>
      </x:c>
      <x:c r="C5" s="45" t="str">
        <x:v>IMO-114</x:v>
      </x:c>
      <x:c r="D5" s="90" t="n">
        <x:v>46262.273619444444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28449.561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RUN-IMO-114-20260828T063332268154Z</x:v>
      </x:c>
      <x:c r="C6" s="47" t="str">
        <x:v>IMO-114</x:v>
      </x:c>
      <x:c r="D6" s="91" t="n">
        <x:v>46262.27361946759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28451.139</x:v>
      </x:c>
      <x:c r="L6" s="93" t="b">
        <x:v>0</x:v>
      </x:c>
      <x:c r="M6" s="47" t="str">
        <x:v>resp_0d8a3e6a8d82a767006a912bbc637081908bd9e95e9d72373a</x:v>
      </x:c>
      <x:c r="N6" s="59" t="n">
        <x:v>10738</x:v>
      </x:c>
      <x:c r="O6" s="59" t="n">
        <x:v>2180</x:v>
      </x:c>
      <x:c r="P6" s="59" t="n">
        <x:v>12918</x:v>
      </x:c>
    </x:row>
    <x:row r="7">
      <x:c r="A7" s="47" t="str">
        <x:v>EVT-000038</x:v>
      </x:c>
      <x:c r="B7" s="47" t="str">
        <x:v>RUN-IMO-114-20260828T063332268154Z</x:v>
      </x:c>
      <x:c r="C7" s="47" t="str">
        <x:v>IMO-114</x:v>
      </x:c>
      <x:c r="D7" s="91" t="n">
        <x:v>46262.27373556713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9884.834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RUN-IMO-114-20260828T063332268154Z</x:v>
      </x:c>
      <x:c r="C8" s="47" t="str">
        <x:v>IMO-114</x:v>
      </x:c>
      <x:c r="D8" s="91" t="n">
        <x:v>46262.27373559028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9886.23</x:v>
      </x:c>
      <x:c r="L8" s="93" t="b">
        <x:v>0</x:v>
      </x:c>
      <x:c r="M8" s="47" t="str">
        <x:v>resp_0e83cfd724fb53ca006a912bd9020c8197b42a934c03993ed4</x:v>
      </x:c>
      <x:c r="N8" s="59" t="n">
        <x:v>10285</x:v>
      </x:c>
      <x:c r="O8" s="59" t="n">
        <x:v>671</x:v>
      </x:c>
      <x:c r="P8" s="59" t="n">
        <x:v>10956</x:v>
      </x:c>
    </x:row>
    <x:row r="9">
      <x:c r="A9" s="47" t="str">
        <x:v>EVT-000044</x:v>
      </x:c>
      <x:c r="B9" s="47" t="str">
        <x:v>RUN-IMO-114-20260828T063332268154Z</x:v>
      </x:c>
      <x:c r="C9" s="47" t="str">
        <x:v>IMO-114</x:v>
      </x:c>
      <x:c r="D9" s="91" t="n">
        <x:v>46262.27404480324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26711.069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RUN-IMO-114-20260828T063332268154Z</x:v>
      </x:c>
      <x:c r="C10" s="47" t="str">
        <x:v>IMO-114</x:v>
      </x:c>
      <x:c r="D10" s="91" t="n">
        <x:v>46262.27404482639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26712.607</x:v>
      </x:c>
      <x:c r="L10" s="93" t="b">
        <x:v>0</x:v>
      </x:c>
      <x:c r="M10" s="47" t="str">
        <x:v>resp_038405f2ae7712ee006a912be2e01c81948b1f69ea18d7610b</x:v>
      </x:c>
      <x:c r="N10" s="59" t="n">
        <x:v>10872</x:v>
      </x:c>
      <x:c r="O10" s="59" t="n">
        <x:v>2395</x:v>
      </x:c>
      <x:c r="P10" s="59" t="n">
        <x:v>13267</x:v>
      </x:c>
    </x:row>
    <x:row r="11">
      <x:c r="A11" s="47" t="str">
        <x:v>EVT-000052</x:v>
      </x:c>
      <x:c r="B11" s="47" t="str">
        <x:v>RUN-IMO-114-20260828T063332268154Z</x:v>
      </x:c>
      <x:c r="C11" s="47" t="str">
        <x:v>IMO-114</x:v>
      </x:c>
      <x:c r="D11" s="91" t="n">
        <x:v>46262.27413265046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7436.968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RUN-IMO-114-20260828T063332268154Z</x:v>
      </x:c>
      <x:c r="C12" s="49" t="str">
        <x:v>IMO-114</x:v>
      </x:c>
      <x:c r="D12" s="94" t="n">
        <x:v>46262.274132673614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7438.481</x:v>
      </x:c>
      <x:c r="L12" s="82" t="b">
        <x:v>0</x:v>
      </x:c>
      <x:c r="M12" s="49" t="str">
        <x:v>resp_0f79e2560c71b599006a912bfdbaa08194bcdcf2be2cac5163</x:v>
      </x:c>
      <x:c r="N12" s="60" t="n">
        <x:v>10582</x:v>
      </x:c>
      <x:c r="O12" s="60" t="n">
        <x:v>459</x:v>
      </x:c>
      <x:c r="P12" s="60" t="n">
        <x:v>11041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0f411c954646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RUN-IMO-114-20260828T063332268154Z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RUN-IMO-114-20260828T063332268154Z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RUN-IMO-114-20260828T063332268154Z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RUN-IMO-114-20260828T063332268154Z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RUN-IMO-114-20260828T063332268154Z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RUN-IMO-114-20260828T063332268154Z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RUN-IMO-114-20260828T063332268154Z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RUN-IMO-114-20260828T063332268154Z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RUN-IMO-114-20260828T063332268154Z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RUN-IMO-114-20260828T063332268154Z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RUN-IMO-114-20260828T063332268154Z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RUN-IMO-114-20260828T063332268154Z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RUN-IMO-114-20260828T063332268154Z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RUN-IMO-114-20260828T063332268154Z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RUN-IMO-114-20260828T063332268154Z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RUN-IMO-114-20260828T063332268154Z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RUN-IMO-114-20260828T063332268154Z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RUN-IMO-114-20260828T063332268154Z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RUN-IMO-114-20260828T063332268154Z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RUN-IMO-114-20260828T063332268154Z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RUN-IMO-114-20260828T063332268154Z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RUN-IMO-114-20260828T063332268154Z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RUN-IMO-114-20260828T063332268154Z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27411d85714e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RUN-IMO-114-20260828T063332268154Z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RUN-IMO-114-20260828T063332268154Z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7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RUN-IMO-114-20260828T063332268154Z</x:v>
      </x:c>
      <x:c r="B6" s="49" t="str">
        <x:v>IMO-114</x:v>
      </x:c>
      <x:c r="C6" s="49" t="str">
        <x:v>FS-BOOL-01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c6ef4b59f44f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RUN-IMO-114-20260828T063332268154Z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RUN-IMO-114-20260828T063332268154Z</x:v>
      </x:c>
      <x:c r="B5" s="45" t="str">
        <x:v>IMO-114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https://w3id.org/nltl/vocab#polarShipCategoryC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RUN-IMO-114-20260828T063332268154Z</x:v>
      </x:c>
      <x:c r="B6" s="49" t="str">
        <x:v>IMO-114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ccced07d8c24d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RUN-IMO-114-20260828T063332268154Z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RUN-IMO-114-20260828T063332268154Z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RUN-IMO-114-20260828T063332268154Z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RUN-IMO-114-20260828T063332268154Z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RUN-IMO-114-20260828T063332268154Z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RUN-IMO-114-20260828T063332268154Z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d5d0b9c14976bd90b442f56418fd1d19fdd327010dc33460ee770562f3e4adf5</x:v>
      </x:c>
      <x:c r="G8" s="59" t="n">
        <x:v>3622</x:v>
      </x:c>
    </x:row>
    <x:row r="9">
      <x:c r="A9" s="47" t="str">
        <x:v>RUN-IMO-114-20260828T063332268154Z</x:v>
      </x:c>
      <x:c r="B9" s="47" t="str">
        <x:v>IMO-114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d5987567cfe38c32aa471a5cb238c2a86790895d4076739ebfd8d67c98e81ca2</x:v>
      </x:c>
      <x:c r="G9" s="59" t="n">
        <x:v>3597</x:v>
      </x:c>
    </x:row>
    <x:row r="10">
      <x:c r="A10" s="47" t="str">
        <x:v>RUN-IMO-114-20260828T063332268154Z</x:v>
      </x:c>
      <x:c r="B10" s="47" t="str">
        <x:v>IMO-114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28772f4aa99927b15659359aeabaee2c49906baa95c5e0bf1aee68ca66a0add5</x:v>
      </x:c>
      <x:c r="G10" s="59" t="n">
        <x:v>1034</x:v>
      </x:c>
    </x:row>
    <x:row r="11">
      <x:c r="A11" s="47" t="str">
        <x:v>RUN-IMO-114-20260828T063332268154Z</x:v>
      </x:c>
      <x:c r="B11" s="47" t="str">
        <x:v>IMO-114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0a2332b9bad62542ec878745c99a272d116015770e6ca595e93d77e38443fa64</x:v>
      </x:c>
      <x:c r="G11" s="59" t="n">
        <x:v>41756</x:v>
      </x:c>
    </x:row>
    <x:row r="12">
      <x:c r="A12" s="47" t="str">
        <x:v>RUN-IMO-114-20260828T063332268154Z</x:v>
      </x:c>
      <x:c r="B12" s="47" t="str">
        <x:v>IMO-114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3e002cf315807e51bb6b55ea1310d4961bca7784dbd7073995ecd5f31e3274ba</x:v>
      </x:c>
      <x:c r="G12" s="59" t="n">
        <x:v>781</x:v>
      </x:c>
    </x:row>
    <x:row r="13">
      <x:c r="A13" s="47" t="str">
        <x:v>RUN-IMO-114-20260828T063332268154Z</x:v>
      </x:c>
      <x:c r="B13" s="47" t="str">
        <x:v>IMO-114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64a5b774410146ca4769137990a8a9a3ebe4e01a4da5141754e418a84c9d682d</x:v>
      </x:c>
      <x:c r="G13" s="59" t="n">
        <x:v>44769</x:v>
      </x:c>
    </x:row>
    <x:row r="14">
      <x:c r="A14" s="47" t="str">
        <x:v>RUN-IMO-114-20260828T063332268154Z</x:v>
      </x:c>
      <x:c r="B14" s="47" t="str">
        <x:v>IMO-114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fbd6eaae0da6bc586e01613f48adc0845a1f53efd312af3a1f0c9758d1db1d77</x:v>
      </x:c>
      <x:c r="G14" s="59" t="n">
        <x:v>4674</x:v>
      </x:c>
    </x:row>
    <x:row r="15">
      <x:c r="A15" s="47" t="str">
        <x:v>RUN-IMO-114-20260828T063332268154Z</x:v>
      </x:c>
      <x:c r="B15" s="47" t="str">
        <x:v>IMO-114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446365b7fafad3fe24f3ba4425c8a5a3d9560ba7a3a5877036f05e3474170c93</x:v>
      </x:c>
      <x:c r="G15" s="59" t="n">
        <x:v>4649</x:v>
      </x:c>
    </x:row>
    <x:row r="16">
      <x:c r="A16" s="47" t="str">
        <x:v>RUN-IMO-114-20260828T063332268154Z</x:v>
      </x:c>
      <x:c r="B16" s="47" t="str">
        <x:v>IMO-114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235088b5708d41c05d2adab33f82bab81b9b34611eabdb3009cf3f4e386f7600</x:v>
      </x:c>
      <x:c r="G16" s="59" t="n">
        <x:v>980</x:v>
      </x:c>
    </x:row>
    <x:row r="17">
      <x:c r="A17" s="47" t="str">
        <x:v>RUN-IMO-114-20260828T063332268154Z</x:v>
      </x:c>
      <x:c r="B17" s="47" t="str">
        <x:v>IMO-114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b5077dff883cd7898905f1bf06efcea51a11ce52cac0dc46438a4848ca19e805</x:v>
      </x:c>
      <x:c r="G17" s="59" t="n">
        <x:v>43192</x:v>
      </x:c>
    </x:row>
    <x:row r="18">
      <x:c r="A18" s="47" t="str">
        <x:v>RUN-IMO-114-20260828T063332268154Z</x:v>
      </x:c>
      <x:c r="B18" s="47" t="str">
        <x:v>IMO-114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68088ea99d3e0c9213cf5d4d097db31a6c22a02f4c11b763e021c01937545d2c</x:v>
      </x:c>
      <x:c r="G18" s="59" t="n">
        <x:v>433</x:v>
      </x:c>
    </x:row>
    <x:row r="19">
      <x:c r="A19" s="49" t="str">
        <x:v>RUN-IMO-114-20260828T063332268154Z</x:v>
      </x:c>
      <x:c r="B19" s="49" t="str">
        <x:v>IMO-114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446365b7fafad3fe24f3ba4425c8a5a3d9560ba7a3a5877036f05e3474170c93</x:v>
      </x:c>
      <x:c r="G19" s="60" t="n">
        <x:v>4649</x:v>
      </x:c>
    </x:row>
  </x:sheetData>
  <x:pageMargins left="0.7" right="0.7" top="0.75" bottom="0.75" header="0.3" footer="0.3"/>
  <x:tableParts count="1">
    <x:tablePart xmlns:r="http://schemas.openxmlformats.org/officeDocument/2006/relationships" r:id="R4acc3b63c82e43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RUN-IMO-114-20260828T063332268154Z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RUN-IMO-114-20260828T063332268154Z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RUN-IMO-114-20260828T063332268154Z</x:v>
      </x:c>
      <x:c r="B5" s="69" t="str">
        <x:v>IMO-114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68047ca34a41af"/>
  </x:tableParts>
</x:worksheet>
</file>