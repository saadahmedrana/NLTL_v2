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77c424a798547e7" /></Relationships>
</file>

<file path=xl/workbook.xml><?xml version="1.0" encoding="utf-8"?>
<x:workbook xmlns:x="http://schemas.openxmlformats.org/spreadsheetml/2006/main">
  <x:sheets>
    <x:sheet xmlns:r="http://schemas.openxmlformats.org/officeDocument/2006/relationships" name="SUMMARY" sheetId="1" r:id="Rdbe0904e45564b05"/>
    <x:sheet xmlns:r="http://schemas.openxmlformats.org/officeDocument/2006/relationships" name="README" sheetId="2" r:id="R8e4498da0c184a80"/>
    <x:sheet xmlns:r="http://schemas.openxmlformats.org/officeDocument/2006/relationships" name="REGULATION_QUEUE" sheetId="3" r:id="Reb46c6b27a614c31"/>
    <x:sheet xmlns:r="http://schemas.openxmlformats.org/officeDocument/2006/relationships" name="RUNS" sheetId="4" r:id="Rbad84e876ab047b8"/>
    <x:sheet xmlns:r="http://schemas.openxmlformats.org/officeDocument/2006/relationships" name="ITERATIONS" sheetId="5" r:id="Rc61a62112b78497c"/>
    <x:sheet xmlns:r="http://schemas.openxmlformats.org/officeDocument/2006/relationships" name="API_CALLS" sheetId="6" r:id="R93b1102d923a4357"/>
    <x:sheet xmlns:r="http://schemas.openxmlformats.org/officeDocument/2006/relationships" name="TERM_RETRIEVAL" sheetId="7" r:id="R6aa26cf581bd43fe"/>
    <x:sheet xmlns:r="http://schemas.openxmlformats.org/officeDocument/2006/relationships" name="FEW_SHOT_SELECTION" sheetId="8" r:id="Rba74d04eaf6040c0"/>
    <x:sheet xmlns:r="http://schemas.openxmlformats.org/officeDocument/2006/relationships" name="VALIDATION" sheetId="9" r:id="Rdc8697fad3a44988"/>
    <x:sheet xmlns:r="http://schemas.openxmlformats.org/officeDocument/2006/relationships" name="VOCAB_MATCHES" sheetId="10" r:id="R602fba39051b4ca2"/>
    <x:sheet xmlns:r="http://schemas.openxmlformats.org/officeDocument/2006/relationships" name="ARTIFACTS" sheetId="11" r:id="R36890b6c44294f76"/>
    <x:sheet xmlns:r="http://schemas.openxmlformats.org/officeDocument/2006/relationships" name="UNRESOLVED" sheetId="12" r:id="Rdf27fd53ec564fa3"/>
    <x:sheet xmlns:r="http://schemas.openxmlformats.org/officeDocument/2006/relationships" name="RDF_TEST_QUEUE" sheetId="13" r:id="Rd5f80585255543b5"/>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118ce66752684e10" /><Relationship Type="http://schemas.openxmlformats.org/officeDocument/2006/relationships/theme" Target="/xl/theme/theme1.xml" Id="R8368ad6d7e9241a2" /><Relationship Type="http://schemas.microsoft.com/office/2022/11/relationships/FeaturePropertyBag" Target="/xl/featurePropertyBag/featurePropertyBag.xml" Id="R2284325417864e65" /><Relationship Type="http://schemas.openxmlformats.org/officeDocument/2006/relationships/sharedStrings" Target="/xl/sharedStrings.xml" Id="R9a607f22c36a46ba" /><Relationship Type="http://schemas.openxmlformats.org/officeDocument/2006/relationships/worksheet" Target="/xl/worksheets/sheet1.xml" Id="Rdbe0904e45564b05" /><Relationship Type="http://schemas.openxmlformats.org/officeDocument/2006/relationships/worksheet" Target="/xl/worksheets/sheet2.xml" Id="R8e4498da0c184a80" /><Relationship Type="http://schemas.openxmlformats.org/officeDocument/2006/relationships/worksheet" Target="/xl/worksheets/sheet3.xml" Id="Reb46c6b27a614c31" /><Relationship Type="http://schemas.openxmlformats.org/officeDocument/2006/relationships/worksheet" Target="/xl/worksheets/sheet4.xml" Id="Rbad84e876ab047b8" /><Relationship Type="http://schemas.openxmlformats.org/officeDocument/2006/relationships/worksheet" Target="/xl/worksheets/sheet5.xml" Id="Rc61a62112b78497c" /><Relationship Type="http://schemas.openxmlformats.org/officeDocument/2006/relationships/worksheet" Target="/xl/worksheets/sheet6.xml" Id="R93b1102d923a4357" /><Relationship Type="http://schemas.openxmlformats.org/officeDocument/2006/relationships/worksheet" Target="/xl/worksheets/sheet7.xml" Id="R6aa26cf581bd43fe" /><Relationship Type="http://schemas.openxmlformats.org/officeDocument/2006/relationships/worksheet" Target="/xl/worksheets/sheet8.xml" Id="Rba74d04eaf6040c0" /><Relationship Type="http://schemas.openxmlformats.org/officeDocument/2006/relationships/worksheet" Target="/xl/worksheets/sheet9.xml" Id="Rdc8697fad3a44988" /><Relationship Type="http://schemas.openxmlformats.org/officeDocument/2006/relationships/worksheet" Target="/xl/worksheets/sheet10.xml" Id="R602fba39051b4ca2" /><Relationship Type="http://schemas.openxmlformats.org/officeDocument/2006/relationships/worksheet" Target="/xl/worksheets/sheet11.xml" Id="R36890b6c44294f76" /><Relationship Type="http://schemas.openxmlformats.org/officeDocument/2006/relationships/worksheet" Target="/xl/worksheets/sheet12.xml" Id="Rdf27fd53ec564fa3" /><Relationship Type="http://schemas.openxmlformats.org/officeDocument/2006/relationships/worksheet" Target="/xl/worksheets/sheet13.xml" Id="Rd5f80585255543b5"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8"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4"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8"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32"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6f373a2996214a3d" /></Relationships>
</file>

<file path=xl/worksheets/_rels/sheet3.xml.rels>&#65279;<?xml version="1.0" encoding="utf-8"?><Relationships xmlns="http://schemas.openxmlformats.org/package/2006/relationships"><Relationship Type="http://schemas.openxmlformats.org/officeDocument/2006/relationships/table" Target="/xl/tables/table2.xml" Id="R807ec65f7cf145ab" /></Relationships>
</file>

<file path=xl/worksheets/_rels/sheet4.xml.rels>&#65279;<?xml version="1.0" encoding="utf-8"?><Relationships xmlns="http://schemas.openxmlformats.org/package/2006/relationships"><Relationship Type="http://schemas.openxmlformats.org/officeDocument/2006/relationships/table" Target="/xl/tables/table3.xml" Id="Ra5f7da529f804630" /></Relationships>
</file>

<file path=xl/worksheets/_rels/sheet5.xml.rels>&#65279;<?xml version="1.0" encoding="utf-8"?><Relationships xmlns="http://schemas.openxmlformats.org/package/2006/relationships"><Relationship Type="http://schemas.openxmlformats.org/officeDocument/2006/relationships/table" Target="/xl/tables/table4.xml" Id="Ref8311f2d4e74d8b" /></Relationships>
</file>

<file path=xl/worksheets/_rels/sheet6.xml.rels>&#65279;<?xml version="1.0" encoding="utf-8"?><Relationships xmlns="http://schemas.openxmlformats.org/package/2006/relationships"><Relationship Type="http://schemas.openxmlformats.org/officeDocument/2006/relationships/table" Target="/xl/tables/table5.xml" Id="R686c1b46ef1b4653" /></Relationships>
</file>

<file path=xl/worksheets/_rels/sheet7.xml.rels>&#65279;<?xml version="1.0" encoding="utf-8"?><Relationships xmlns="http://schemas.openxmlformats.org/package/2006/relationships"><Relationship Type="http://schemas.openxmlformats.org/officeDocument/2006/relationships/table" Target="/xl/tables/table6.xml" Id="R02cc9f1e1ef14c81" /></Relationships>
</file>

<file path=xl/worksheets/_rels/sheet8.xml.rels>&#65279;<?xml version="1.0" encoding="utf-8"?><Relationships xmlns="http://schemas.openxmlformats.org/package/2006/relationships"><Relationship Type="http://schemas.openxmlformats.org/officeDocument/2006/relationships/table" Target="/xl/tables/table7.xml" Id="R3eea51d5bb794cec" /></Relationships>
</file>

<file path=xl/worksheets/_rels/sheet9.xml.rels>&#65279;<?xml version="1.0" encoding="utf-8"?><Relationships xmlns="http://schemas.openxmlformats.org/package/2006/relationships"><Relationship Type="http://schemas.openxmlformats.org/officeDocument/2006/relationships/table" Target="/xl/tables/table8.xml" Id="R45bde12f65094057" /></Relationships>
</file>

<file path=xl/worksheets/_rels/sheet11.xml.rels>&#65279;<?xml version="1.0" encoding="utf-8"?><Relationships xmlns="http://schemas.openxmlformats.org/package/2006/relationships"><Relationship Type="http://schemas.openxmlformats.org/officeDocument/2006/relationships/table" Target="/xl/tables/table9.xml" Id="R675f32ac40c94c75" /></Relationships>
</file>

<file path=xl/worksheets/_rels/sheet12.xml.rels>&#65279;<?xml version="1.0" encoding="utf-8"?><Relationships xmlns="http://schemas.openxmlformats.org/package/2006/relationships"><Relationship Type="http://schemas.openxmlformats.org/officeDocument/2006/relationships/table" Target="/xl/tables/table10.xml" Id="R27fe231ed4584a16"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RUN-IMO-124-20260828T064814869936Z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COUNTA('API_CALLS'!$A$5:$A$22)</x:f>
        <x:v>18</x:v>
      </x:c>
      <x:c r="C9" s="21"/>
      <x:c r="D9" s="21"/>
    </x:row>
    <x:row r="10">
      <x:c r="A10" s="27" t="str">
        <x:v>Mean API/LLM elapsed ms</x:v>
      </x:c>
      <x:c r="B10" s="28" t="n">
        <x:f>IFERROR(AVERAGE('API_CALLS'!$K$5:$K$22),0)</x:f>
        <x:v>26874.889833333335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RUN-IMO-124-20260828T064814869936Z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6f373a2996214a3d"/>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2" hidden="0" customWidth="1"/>
  </x:cols>
  <x:sheetData>
    <x:row r="1">
      <x:c r="A1" s="18" t="str">
        <x:v>NLTL SHACL Pipeline Run Tracker</x:v>
      </x:c>
      <x:c r="B1" s="19"/>
      <x:c r="C1" s="19"/>
      <x:c r="D1" s="19"/>
      <x:c r="E1" s="19"/>
      <x:c r="F1" s="19"/>
      <x:c r="G1" s="19"/>
      <x:c r="H1" s="19"/>
      <x:c r="I1" s="19"/>
      <x:c r="J1" s="19"/>
      <x:c r="K1" s="19"/>
    </x:row>
    <x:row r="2">
      <x:c r="A2" s="20" t="str">
        <x:v>REGULATION_QUEUE | Run folder: RUN-IMO-124-20260828T064814869936Z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MAX_ATTEMPTS_REACHED</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807ec65f7cf145ab"/>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2"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RUN-IMO-124-20260828T064814869936Z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SESSION-BATCH-20260828T040224480510Z</x:v>
      </x:c>
      <x:c r="B5" s="69" t="str">
        <x:v>RUN-IMO-124-20260828T064814869936Z</x:v>
      </x:c>
      <x:c r="C5" s="69" t="str">
        <x:v>IMO-124</x:v>
      </x:c>
      <x:c r="D5" s="70" t="n">
        <x:v>46262.28350543982</x:v>
      </x:c>
      <x:c r="E5" s="70" t="n">
        <x:v>46262.28631412037</x:v>
      </x:c>
      <x:c r="F5" s="69" t="str">
        <x:v>final-luna-main-run03</x:v>
      </x:c>
      <x:c r="G5" s="69" t="str">
        <x:v>VOCAB-LOCK-2026-08-22-R13</x:v>
      </x:c>
      <x:c r="H5" s="71" t="n">
        <x:v>4</x:v>
      </x:c>
      <x:c r="I5" s="69" t="str">
        <x:v>MAX_ATTEMPTS_REACHED</x:v>
      </x:c>
      <x:c r="J5" s="72" t="b">
        <x:v>0</x:v>
      </x:c>
      <x:c r="K5" s="69" t="str"/>
      <x:c r="L5" s="73" t="str">
        <x:v>Do not freeze yet. Preserve the prior repairs: keep explicit operatingArea = "Antarctic_area", antarcticArea = "Antarctic_area", and discharge = true applicability, require distanceToNearestFastIce &gt;= 12 in MI_N, require the distinct distanceFromAreaWithIceConcentrationAboveOneTenth record in MI_N, require nearbyIceConcentration and iceConcentration context, and require foodWasteDischargeOntoIce = false without adding a numeric datatype to qudt:numericValue. The active SPARQL constraint is inverted: its SELECT currently reports a violation when the valid nearby concentration/distance pattern exists, and it also incorrectly makes nearbyIceConcentration &gt; 1 function as an applicability gate. Replace it with a positive semantic-connection check that reports a violation only when the required recorded distance is not connected to the supplied concentration context, with the concentration-above-one-tenth condition represented as the operand/context requirement rather than applicability. Do not leave the operands as mere co-occurring unused properties. Keep the inactive branch explicitly evidence-based and unable to pass with missing applicability inputs.</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a5f7da529f804630"/>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RUN-IMO-124-20260828T064814869936Z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RUN-IMO-124-20260828T064814869936Z</x:v>
      </x:c>
      <x:c r="B5" s="45" t="str">
        <x:v>IMO-124</x:v>
      </x:c>
      <x:c r="C5" s="58" t="n">
        <x:v>1</x:v>
      </x:c>
      <x:c r="D5" s="83" t="b">
        <x:v>1</x:v>
      </x:c>
      <x:c r="E5" s="83" t="b">
        <x:v>0</x:v>
      </x:c>
      <x:c r="F5" s="83" t="b">
        <x:v>0</x:v>
      </x:c>
      <x:c r="G5" s="45" t="str">
        <x:v>REVISE</x:v>
      </x:c>
      <x:c r="H5" s="46" t="str">
        <x:v>Repair the conditional semantics: under operatingArea = Antarctic_area and MARPOL Annex V regulation 6.1 discharge = true, require distanceToNearestFastIce with a decimal numeric value in MI_N to be &gt;= 12, require the distanceFromAreaWithIceConcentrationAboveOneTenth record to be present (the current FILTER NOT EXISTS incorrectly rejects its presence), and require foodWasteDischargeOntoIce to be explicitly false. Do not make applicability depend on nearbyIceConcentration being &gt; 1; encode the declared applicability selector antarcticArea as required by the dependency contract, or otherwise use the supplied applicability terms consistently. Ensure the nearbyIceConcentration/iceConcentration operand and the distance record are semantically connected as required rather than merely declaring unused properties. Remove guessed xsd:decimal constraints from qudt:numericValue unless that datatype is canonically declared.</x:v>
      </x:c>
      <x:c r="I5" s="84" t="n">
        <x:v>41959.269</x:v>
      </x:c>
      <x:c r="J5" s="84" t="n">
        <x:v>18041.634</x:v>
      </x:c>
    </x:row>
    <x:row r="6">
      <x:c r="A6" s="47" t="str">
        <x:v>RUN-IMO-124-20260828T064814869936Z</x:v>
      </x:c>
      <x:c r="B6" s="47" t="str">
        <x:v>IMO-124</x:v>
      </x:c>
      <x:c r="C6" s="59" t="n">
        <x:v>2</x:v>
      </x:c>
      <x:c r="D6" s="85" t="b">
        <x:v>1</x:v>
      </x:c>
      <x:c r="E6" s="85" t="b">
        <x:v>0</x:v>
      </x:c>
      <x:c r="F6" s="85" t="b">
        <x:v>0</x:v>
      </x:c>
      <x:c r="G6" s="47" t="str">
        <x:v>REVISE</x:v>
      </x:c>
      <x:c r="H6" s="48" t="str">
        <x:v>Repair the conditional SHACL logic. Remove the empty alternative [ ] from sh:or because it makes every ship pass and bypasses all requirements. Use an active branch requiring operatingArea = "Antarctic_area", antarcticArea = "Antarctic_area" (the declared applicability selector), and marpolAnnexVRegulation6Point1DischargeOccurs = true, with an inactive branch that is explicitly selected only when the applicability condition is false; do not make missing branch-selection evidence pass. Keep distanceToNearestFastIce in MI_N and enforce numericValue &gt;= 12. Require distanceFromAreaWithIceConcentrationAboveOneTenth in MI_N as the distinct recorded distance, and include nearbyIceConcentration as the declared operand/context with its value semantically connected to that recorded concentration-area distance; do not use nearbyIceConcentration &gt; 1 as an applicability condition or incorrectly substitute it for the distinct distance record. Replace the second FILTER NOT EXISTS with a direct requirement that foodWasteDischargeOntoIce is explicitly false; the current query has the prohibition direction reversed and permits the forbidden false value. Avoid adding any datatype to qudt:numericValue unless canonically declared.</x:v>
      </x:c>
      <x:c r="I6" s="86" t="n">
        <x:v>50375.634</x:v>
      </x:c>
      <x:c r="J6" s="86" t="n">
        <x:v>18296.685</x:v>
      </x:c>
    </x:row>
    <x:row r="7">
      <x:c r="A7" s="47" t="str">
        <x:v>RUN-IMO-124-20260828T064814869936Z</x:v>
      </x:c>
      <x:c r="B7" s="47" t="str">
        <x:v>IMO-124</x:v>
      </x:c>
      <x:c r="C7" s="59" t="n">
        <x:v>3</x:v>
      </x:c>
      <x:c r="D7" s="85" t="b">
        <x:v>1</x:v>
      </x:c>
      <x:c r="E7" s="85" t="b">
        <x:v>0</x:v>
      </x:c>
      <x:c r="F7" s="85" t="b">
        <x:v>0</x:v>
      </x:c>
      <x:c r="G7" s="47" t="str">
        <x:v>REVISE</x:v>
      </x:c>
      <x:c r="H7" s="48" t="str">
        <x:v>Repair the remaining semantic gap before freezing. The active branch must enforce the &gt;= 12 nautical-mile threshold and explicitly false foodWasteDischargeOntoIce as already required, but the SPARQL currently only co-occurs nearbyIceConcentration, iceConcentration, and distanceFromAreaWithIceConcentrationAboveOneTenth on the ship; it does not semantically connect the concentration exceeding one tenth to the recorded distance. Encode the declared nearbyIceConcentration operand and the distinct recorded concentration-area distance as the required relationship/context, without making applicability depend on nearbyIceConcentration or adding an invented requirement that iceConcentration must also exceed one. Preserve the explicit operatingArea, antarcticArea, and discharge applicability selection and the non-active branch that cannot pass with missing applicability evidence. Do not add a datatype to qudt:numericValue unless canonically declared.</x:v>
      </x:c>
      <x:c r="I7" s="86" t="n">
        <x:v>35753.168</x:v>
      </x:c>
      <x:c r="J7" s="86" t="n">
        <x:v>9567.322</x:v>
      </x:c>
    </x:row>
    <x:row r="8">
      <x:c r="A8" s="49" t="str">
        <x:v>RUN-IMO-124-20260828T064814869936Z</x:v>
      </x:c>
      <x:c r="B8" s="49" t="str">
        <x:v>IMO-124</x:v>
      </x:c>
      <x:c r="C8" s="60" t="n">
        <x:v>4</x:v>
      </x:c>
      <x:c r="D8" s="87" t="b">
        <x:v>1</x:v>
      </x:c>
      <x:c r="E8" s="87" t="b">
        <x:v>0</x:v>
      </x:c>
      <x:c r="F8" s="87" t="b">
        <x:v>0</x:v>
      </x:c>
      <x:c r="G8" s="49" t="str">
        <x:v>REVISE</x:v>
      </x:c>
      <x:c r="H8" s="50" t="str">
        <x:v>Do not freeze yet. Preserve the prior repairs: keep explicit operatingArea = "Antarctic_area", antarcticArea = "Antarctic_area", and discharge = true applicability, require distanceToNearestFastIce &gt;= 12 in MI_N, require the distinct distanceFromAreaWithIceConcentrationAboveOneTenth record in MI_N, require nearbyIceConcentration and iceConcentration context, and require foodWasteDischargeOntoIce = false without adding a numeric datatype to qudt:numericValue. The active SPARQL constraint is inverted: its SELECT currently reports a violation when the valid nearby concentration/distance pattern exists, and it also incorrectly makes nearbyIceConcentration &gt; 1 function as an applicability gate. Replace it with a positive semantic-connection check that reports a violation only when the required recorded distance is not connected to the supplied concentration context, with the concentration-above-one-tenth condition represented as the operand/context requirement rather than applicability. Do not leave the operands as mere co-occurring unused properties. Keep the inactive branch explicitly evidence-based and unable to pass with missing applicability inputs.</x:v>
      </x:c>
      <x:c r="I8" s="88" t="n">
        <x:v>39871.418</x:v>
      </x:c>
      <x:c r="J8" s="88" t="n">
        <x:v>18332.36</x:v>
      </x:c>
    </x:row>
  </x:sheetData>
  <x:conditionalFormatting sqref="G5:G8">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ef8311f2d4e74d8b"/>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5"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RUN-IMO-124-20260828T064814869936Z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EVT-000018</x:v>
      </x:c>
      <x:c r="B5" s="45" t="str">
        <x:v>RUN-IMO-124-20260828T064814869936Z</x:v>
      </x:c>
      <x:c r="C5" s="45" t="str">
        <x:v>IMO-124</x:v>
      </x:c>
      <x:c r="D5" s="92" t="n">
        <x:v>46262.28399107639</x:v>
      </x:c>
      <x:c r="E5" s="45" t="str">
        <x:v>generator</x:v>
      </x:c>
      <x:c r="F5" s="45" t="str">
        <x:v>gpt-5.6-luna-2026-07-09</x:v>
      </x:c>
      <x:c r="G5" s="45" t="n">
        <x:v>1</x:v>
      </x:c>
      <x:c r="H5" s="45" t="n">
        <x:v>200</x:v>
      </x:c>
      <x:c r="I5" s="45" t="str">
        <x:v>Ocp-Apim-Subscription-Key</x:v>
      </x:c>
      <x:c r="J5" s="84" t="n">
        <x:v>0</x:v>
      </x:c>
      <x:c r="K5" s="84" t="n">
        <x:v>41957.654</x:v>
      </x:c>
      <x:c r="L5" s="83" t="b">
        <x:v>0</x:v>
      </x:c>
      <x:c r="M5" s="45" t="str"/>
      <x:c r="N5" s="58" t="str"/>
      <x:c r="O5" s="58" t="str"/>
      <x:c r="P5" s="58" t="str"/>
    </x:row>
    <x:row r="6">
      <x:c r="A6" s="47" t="str">
        <x:v>EVT-000019</x:v>
      </x:c>
      <x:c r="B6" s="47" t="str">
        <x:v>RUN-IMO-124-20260828T064814869936Z</x:v>
      </x:c>
      <x:c r="C6" s="47" t="str">
        <x:v>IMO-124</x:v>
      </x:c>
      <x:c r="D6" s="93" t="n">
        <x:v>46262.28399109954</x:v>
      </x:c>
      <x:c r="E6" s="47" t="str">
        <x:v>generator</x:v>
      </x:c>
      <x:c r="F6" s="47" t="str">
        <x:v>gpt-5.6-luna-2026-07-09</x:v>
      </x:c>
      <x:c r="G6" s="47" t="n">
        <x:v>1</x:v>
      </x:c>
      <x:c r="H6" s="47" t="str">
        <x:v>COMPLETED</x:v>
      </x:c>
      <x:c r="I6" s="47" t="str"/>
      <x:c r="J6" s="86" t="n">
        <x:v>0</x:v>
      </x:c>
      <x:c r="K6" s="86" t="n">
        <x:v>41959.269</x:v>
      </x:c>
      <x:c r="L6" s="85" t="b">
        <x:v>0</x:v>
      </x:c>
      <x:c r="M6" s="47" t="str">
        <x:v>resp_04cdf1913b89a0ce006a912f2efb3481958133066aea709ee5</x:v>
      </x:c>
      <x:c r="N6" s="59" t="n">
        <x:v>8667</x:v>
      </x:c>
      <x:c r="O6" s="59" t="n">
        <x:v>3751</x:v>
      </x:c>
      <x:c r="P6" s="59" t="n">
        <x:v>12418</x:v>
      </x:c>
    </x:row>
    <x:row r="7">
      <x:c r="A7" s="47" t="str">
        <x:v>EVT-000026</x:v>
      </x:c>
      <x:c r="B7" s="47" t="str">
        <x:v>RUN-IMO-124-20260828T064814869936Z</x:v>
      </x:c>
      <x:c r="C7" s="47" t="str">
        <x:v>IMO-124</x:v>
      </x:c>
      <x:c r="D7" s="93" t="n">
        <x:v>46262.28420204861</x:v>
      </x:c>
      <x:c r="E7" s="47" t="str">
        <x:v>validator</x:v>
      </x:c>
      <x:c r="F7" s="47" t="str">
        <x:v>gpt-5.6-luna-2026-07-09</x:v>
      </x:c>
      <x:c r="G7" s="47" t="n">
        <x:v>1</x:v>
      </x:c>
      <x:c r="H7" s="47" t="n">
        <x:v>200</x:v>
      </x:c>
      <x:c r="I7" s="47" t="str">
        <x:v>Ocp-Apim-Subscription-Key</x:v>
      </x:c>
      <x:c r="J7" s="86" t="n">
        <x:v>0</x:v>
      </x:c>
      <x:c r="K7" s="86" t="n">
        <x:v>18040.136</x:v>
      </x:c>
      <x:c r="L7" s="85" t="b">
        <x:v>0</x:v>
      </x:c>
      <x:c r="M7" s="47" t="str"/>
      <x:c r="N7" s="59" t="str"/>
      <x:c r="O7" s="59" t="str"/>
      <x:c r="P7" s="59" t="str"/>
    </x:row>
    <x:row r="8">
      <x:c r="A8" s="47" t="str">
        <x:v>EVT-000027</x:v>
      </x:c>
      <x:c r="B8" s="47" t="str">
        <x:v>RUN-IMO-124-20260828T064814869936Z</x:v>
      </x:c>
      <x:c r="C8" s="47" t="str">
        <x:v>IMO-124</x:v>
      </x:c>
      <x:c r="D8" s="93" t="n">
        <x:v>46262.28420206018</x:v>
      </x:c>
      <x:c r="E8" s="47" t="str">
        <x:v>validator</x:v>
      </x:c>
      <x:c r="F8" s="47" t="str">
        <x:v>gpt-5.6-luna-2026-07-09</x:v>
      </x:c>
      <x:c r="G8" s="47" t="n">
        <x:v>1</x:v>
      </x:c>
      <x:c r="H8" s="47" t="str">
        <x:v>COMPLETED</x:v>
      </x:c>
      <x:c r="I8" s="47" t="str"/>
      <x:c r="J8" s="86" t="n">
        <x:v>0</x:v>
      </x:c>
      <x:c r="K8" s="86" t="n">
        <x:v>18041.634</x:v>
      </x:c>
      <x:c r="L8" s="85" t="b">
        <x:v>0</x:v>
      </x:c>
      <x:c r="M8" s="47" t="str">
        <x:v>resp_0de624becce4712f006a912f5953948196bb1a06806ce61ac6</x:v>
      </x:c>
      <x:c r="N8" s="59" t="n">
        <x:v>8448</x:v>
      </x:c>
      <x:c r="O8" s="59" t="n">
        <x:v>1230</x:v>
      </x:c>
      <x:c r="P8" s="59" t="n">
        <x:v>9678</x:v>
      </x:c>
    </x:row>
    <x:row r="9">
      <x:c r="A9" s="47" t="str">
        <x:v>EVT-000032</x:v>
      </x:c>
      <x:c r="B9" s="47" t="str">
        <x:v>RUN-IMO-124-20260828T064814869936Z</x:v>
      </x:c>
      <x:c r="C9" s="47" t="str">
        <x:v>IMO-124</x:v>
      </x:c>
      <x:c r="D9" s="93" t="n">
        <x:v>46262.28478516204</x:v>
      </x:c>
      <x:c r="E9" s="47" t="str">
        <x:v>generator</x:v>
      </x:c>
      <x:c r="F9" s="47" t="str">
        <x:v>gpt-5.6-luna-2026-07-09</x:v>
      </x:c>
      <x:c r="G9" s="47" t="n">
        <x:v>1</x:v>
      </x:c>
      <x:c r="H9" s="47" t="n">
        <x:v>200</x:v>
      </x:c>
      <x:c r="I9" s="47" t="str">
        <x:v>Ocp-Apim-Subscription-Key</x:v>
      </x:c>
      <x:c r="J9" s="86" t="n">
        <x:v>0</x:v>
      </x:c>
      <x:c r="K9" s="86" t="n">
        <x:v>50374.473</x:v>
      </x:c>
      <x:c r="L9" s="85" t="b">
        <x:v>0</x:v>
      </x:c>
      <x:c r="M9" s="47" t="str"/>
      <x:c r="N9" s="59" t="str"/>
      <x:c r="O9" s="59" t="str"/>
      <x:c r="P9" s="59" t="str"/>
    </x:row>
    <x:row r="10">
      <x:c r="A10" s="47" t="str">
        <x:v>EVT-000033</x:v>
      </x:c>
      <x:c r="B10" s="47" t="str">
        <x:v>RUN-IMO-124-20260828T064814869936Z</x:v>
      </x:c>
      <x:c r="C10" s="47" t="str">
        <x:v>IMO-124</x:v>
      </x:c>
      <x:c r="D10" s="93" t="n">
        <x:v>46262.28478517361</x:v>
      </x:c>
      <x:c r="E10" s="47" t="str">
        <x:v>generator</x:v>
      </x:c>
      <x:c r="F10" s="47" t="str">
        <x:v>gpt-5.6-luna-2026-07-09</x:v>
      </x:c>
      <x:c r="G10" s="47" t="n">
        <x:v>1</x:v>
      </x:c>
      <x:c r="H10" s="47" t="str">
        <x:v>COMPLETED</x:v>
      </x:c>
      <x:c r="I10" s="47" t="str"/>
      <x:c r="J10" s="86" t="n">
        <x:v>0</x:v>
      </x:c>
      <x:c r="K10" s="86" t="n">
        <x:v>50375.634</x:v>
      </x:c>
      <x:c r="L10" s="85" t="b">
        <x:v>0</x:v>
      </x:c>
      <x:c r="M10" s="47" t="str">
        <x:v>resp_06fe58e6ccb5f823006a912f6b32c88197a4476ff69ad7c2f6</x:v>
      </x:c>
      <x:c r="N10" s="59" t="n">
        <x:v>8842</x:v>
      </x:c>
      <x:c r="O10" s="59" t="n">
        <x:v>3317</x:v>
      </x:c>
      <x:c r="P10" s="59" t="n">
        <x:v>12159</x:v>
      </x:c>
    </x:row>
    <x:row r="11">
      <x:c r="A11" s="47" t="str">
        <x:v>EVT-000038</x:v>
      </x:c>
      <x:c r="B11" s="47" t="str">
        <x:v>RUN-IMO-124-20260828T064814869936Z</x:v>
      </x:c>
      <x:c r="C11" s="47" t="str">
        <x:v>IMO-124</x:v>
      </x:c>
      <x:c r="D11" s="93" t="n">
        <x:v>46262.28489728009</x:v>
      </x:c>
      <x:c r="E11" s="47" t="str">
        <x:v>syntax_repair</x:v>
      </x:c>
      <x:c r="F11" s="47" t="str">
        <x:v>gpt-5.6-luna-2026-07-09</x:v>
      </x:c>
      <x:c r="G11" s="47" t="n">
        <x:v>1</x:v>
      </x:c>
      <x:c r="H11" s="47" t="n">
        <x:v>200</x:v>
      </x:c>
      <x:c r="I11" s="47" t="str">
        <x:v>Ocp-Apim-Subscription-Key</x:v>
      </x:c>
      <x:c r="J11" s="86" t="n">
        <x:v>0</x:v>
      </x:c>
      <x:c r="K11" s="86" t="n">
        <x:v>9681.235</x:v>
      </x:c>
      <x:c r="L11" s="85" t="b">
        <x:v>0</x:v>
      </x:c>
      <x:c r="M11" s="47" t="str"/>
      <x:c r="N11" s="59" t="str"/>
      <x:c r="O11" s="59" t="str"/>
      <x:c r="P11" s="59" t="str"/>
    </x:row>
    <x:row r="12">
      <x:c r="A12" s="47" t="str">
        <x:v>EVT-000039</x:v>
      </x:c>
      <x:c r="B12" s="47" t="str">
        <x:v>RUN-IMO-124-20260828T064814869936Z</x:v>
      </x:c>
      <x:c r="C12" s="47" t="str">
        <x:v>IMO-124</x:v>
      </x:c>
      <x:c r="D12" s="93" t="n">
        <x:v>46262.28489729167</x:v>
      </x:c>
      <x:c r="E12" s="47" t="str">
        <x:v>syntax_repair</x:v>
      </x:c>
      <x:c r="F12" s="47" t="str">
        <x:v>gpt-5.6-luna-2026-07-09</x:v>
      </x:c>
      <x:c r="G12" s="47" t="n">
        <x:v>1</x:v>
      </x:c>
      <x:c r="H12" s="47" t="str">
        <x:v>COMPLETED</x:v>
      </x:c>
      <x:c r="I12" s="47" t="str"/>
      <x:c r="J12" s="86" t="n">
        <x:v>0</x:v>
      </x:c>
      <x:c r="K12" s="86" t="n">
        <x:v>9682.675</x:v>
      </x:c>
      <x:c r="L12" s="85" t="b">
        <x:v>0</x:v>
      </x:c>
      <x:c r="M12" s="47" t="str">
        <x:v>resp_0da03f25c66010f1006a912f9d8e8881979d3741548ecc470f</x:v>
      </x:c>
      <x:c r="N12" s="59" t="n">
        <x:v>1753</x:v>
      </x:c>
      <x:c r="O12" s="59" t="n">
        <x:v>1403</x:v>
      </x:c>
      <x:c r="P12" s="59" t="n">
        <x:v>3156</x:v>
      </x:c>
    </x:row>
    <x:row r="13">
      <x:c r="A13" s="47" t="str">
        <x:v>EVT-000047</x:v>
      </x:c>
      <x:c r="B13" s="47" t="str">
        <x:v>RUN-IMO-124-20260828T064814869936Z</x:v>
      </x:c>
      <x:c r="C13" s="47" t="str">
        <x:v>IMO-124</x:v>
      </x:c>
      <x:c r="D13" s="93" t="n">
        <x:v>46262.28511105324</x:v>
      </x:c>
      <x:c r="E13" s="47" t="str">
        <x:v>validator</x:v>
      </x:c>
      <x:c r="F13" s="47" t="str">
        <x:v>gpt-5.6-luna-2026-07-09</x:v>
      </x:c>
      <x:c r="G13" s="47" t="n">
        <x:v>1</x:v>
      </x:c>
      <x:c r="H13" s="47" t="n">
        <x:v>200</x:v>
      </x:c>
      <x:c r="I13" s="47" t="str">
        <x:v>Ocp-Apim-Subscription-Key</x:v>
      </x:c>
      <x:c r="J13" s="86" t="n">
        <x:v>0</x:v>
      </x:c>
      <x:c r="K13" s="86" t="n">
        <x:v>18296.277</x:v>
      </x:c>
      <x:c r="L13" s="85" t="b">
        <x:v>0</x:v>
      </x:c>
      <x:c r="M13" s="47" t="str"/>
      <x:c r="N13" s="59" t="str"/>
      <x:c r="O13" s="59" t="str"/>
      <x:c r="P13" s="59" t="str"/>
    </x:row>
    <x:row r="14">
      <x:c r="A14" s="47" t="str">
        <x:v>EVT-000048</x:v>
      </x:c>
      <x:c r="B14" s="47" t="str">
        <x:v>RUN-IMO-124-20260828T064814869936Z</x:v>
      </x:c>
      <x:c r="C14" s="47" t="str">
        <x:v>IMO-124</x:v>
      </x:c>
      <x:c r="D14" s="93" t="n">
        <x:v>46262.28511105324</x:v>
      </x:c>
      <x:c r="E14" s="47" t="str">
        <x:v>validator</x:v>
      </x:c>
      <x:c r="F14" s="47" t="str">
        <x:v>gpt-5.6-luna-2026-07-09</x:v>
      </x:c>
      <x:c r="G14" s="47" t="n">
        <x:v>1</x:v>
      </x:c>
      <x:c r="H14" s="47" t="str">
        <x:v>COMPLETED</x:v>
      </x:c>
      <x:c r="I14" s="47" t="str"/>
      <x:c r="J14" s="86" t="n">
        <x:v>0</x:v>
      </x:c>
      <x:c r="K14" s="86" t="n">
        <x:v>18296.685</x:v>
      </x:c>
      <x:c r="L14" s="85" t="b">
        <x:v>0</x:v>
      </x:c>
      <x:c r="M14" s="47" t="str">
        <x:v>resp_02180bad54cfe0a1006a912fa76b9881909bfc8dfb65a0778a</x:v>
      </x:c>
      <x:c r="N14" s="59" t="n">
        <x:v>8603</x:v>
      </x:c>
      <x:c r="O14" s="59" t="n">
        <x:v>1294</x:v>
      </x:c>
      <x:c r="P14" s="59" t="n">
        <x:v>9897</x:v>
      </x:c>
    </x:row>
    <x:row r="15">
      <x:c r="A15" s="47" t="str">
        <x:v>EVT-000053</x:v>
      </x:c>
      <x:c r="B15" s="47" t="str">
        <x:v>RUN-IMO-124-20260828T064814869936Z</x:v>
      </x:c>
      <x:c r="C15" s="47" t="str">
        <x:v>IMO-124</x:v>
      </x:c>
      <x:c r="D15" s="93" t="n">
        <x:v>46262.285524872685</x:v>
      </x:c>
      <x:c r="E15" s="47" t="str">
        <x:v>generator</x:v>
      </x:c>
      <x:c r="F15" s="47" t="str">
        <x:v>gpt-5.6-luna-2026-07-09</x:v>
      </x:c>
      <x:c r="G15" s="47" t="n">
        <x:v>1</x:v>
      </x:c>
      <x:c r="H15" s="47" t="n">
        <x:v>200</x:v>
      </x:c>
      <x:c r="I15" s="47" t="str">
        <x:v>Ocp-Apim-Subscription-Key</x:v>
      </x:c>
      <x:c r="J15" s="86" t="n">
        <x:v>0</x:v>
      </x:c>
      <x:c r="K15" s="86" t="n">
        <x:v>35751.608</x:v>
      </x:c>
      <x:c r="L15" s="85" t="b">
        <x:v>0</x:v>
      </x:c>
      <x:c r="M15" s="47" t="str"/>
      <x:c r="N15" s="59" t="str"/>
      <x:c r="O15" s="59" t="str"/>
      <x:c r="P15" s="59" t="str"/>
    </x:row>
    <x:row r="16">
      <x:c r="A16" s="47" t="str">
        <x:v>EVT-000054</x:v>
      </x:c>
      <x:c r="B16" s="47" t="str">
        <x:v>RUN-IMO-124-20260828T064814869936Z</x:v>
      </x:c>
      <x:c r="C16" s="47" t="str">
        <x:v>IMO-124</x:v>
      </x:c>
      <x:c r="D16" s="93" t="n">
        <x:v>46262.28552489584</x:v>
      </x:c>
      <x:c r="E16" s="47" t="str">
        <x:v>generator</x:v>
      </x:c>
      <x:c r="F16" s="47" t="str">
        <x:v>gpt-5.6-luna-2026-07-09</x:v>
      </x:c>
      <x:c r="G16" s="47" t="n">
        <x:v>1</x:v>
      </x:c>
      <x:c r="H16" s="47" t="str">
        <x:v>COMPLETED</x:v>
      </x:c>
      <x:c r="I16" s="47" t="str"/>
      <x:c r="J16" s="86" t="n">
        <x:v>0</x:v>
      </x:c>
      <x:c r="K16" s="86" t="n">
        <x:v>35753.168</x:v>
      </x:c>
      <x:c r="L16" s="85" t="b">
        <x:v>0</x:v>
      </x:c>
      <x:c r="M16" s="47" t="str">
        <x:v>resp_068e75fd615c38e0006a912fb9bda481968f1a23aca9657b37</x:v>
      </x:c>
      <x:c r="N16" s="59" t="n">
        <x:v>9085</x:v>
      </x:c>
      <x:c r="O16" s="59" t="n">
        <x:v>3563</x:v>
      </x:c>
      <x:c r="P16" s="59" t="n">
        <x:v>12648</x:v>
      </x:c>
    </x:row>
    <x:row r="17">
      <x:c r="A17" s="47" t="str">
        <x:v>EVT-000061</x:v>
      </x:c>
      <x:c r="B17" s="47" t="str">
        <x:v>RUN-IMO-124-20260828T064814869936Z</x:v>
      </x:c>
      <x:c r="C17" s="47" t="str">
        <x:v>IMO-124</x:v>
      </x:c>
      <x:c r="D17" s="93" t="n">
        <x:v>46262.285638009256</x:v>
      </x:c>
      <x:c r="E17" s="47" t="str">
        <x:v>validator</x:v>
      </x:c>
      <x:c r="F17" s="47" t="str">
        <x:v>gpt-5.6-luna-2026-07-09</x:v>
      </x:c>
      <x:c r="G17" s="47" t="n">
        <x:v>1</x:v>
      </x:c>
      <x:c r="H17" s="47" t="n">
        <x:v>200</x:v>
      </x:c>
      <x:c r="I17" s="47" t="str">
        <x:v>Ocp-Apim-Subscription-Key</x:v>
      </x:c>
      <x:c r="J17" s="86" t="n">
        <x:v>0</x:v>
      </x:c>
      <x:c r="K17" s="86" t="n">
        <x:v>9565.846</x:v>
      </x:c>
      <x:c r="L17" s="85" t="b">
        <x:v>0</x:v>
      </x:c>
      <x:c r="M17" s="47" t="str"/>
      <x:c r="N17" s="59" t="str"/>
      <x:c r="O17" s="59" t="str"/>
      <x:c r="P17" s="59" t="str"/>
    </x:row>
    <x:row r="18">
      <x:c r="A18" s="47" t="str">
        <x:v>EVT-000062</x:v>
      </x:c>
      <x:c r="B18" s="47" t="str">
        <x:v>RUN-IMO-124-20260828T064814869936Z</x:v>
      </x:c>
      <x:c r="C18" s="47" t="str">
        <x:v>IMO-124</x:v>
      </x:c>
      <x:c r="D18" s="93" t="n">
        <x:v>46262.28563802083</x:v>
      </x:c>
      <x:c r="E18" s="47" t="str">
        <x:v>validator</x:v>
      </x:c>
      <x:c r="F18" s="47" t="str">
        <x:v>gpt-5.6-luna-2026-07-09</x:v>
      </x:c>
      <x:c r="G18" s="47" t="n">
        <x:v>1</x:v>
      </x:c>
      <x:c r="H18" s="47" t="str">
        <x:v>COMPLETED</x:v>
      </x:c>
      <x:c r="I18" s="47" t="str"/>
      <x:c r="J18" s="86" t="n">
        <x:v>0</x:v>
      </x:c>
      <x:c r="K18" s="86" t="n">
        <x:v>9567.322</x:v>
      </x:c>
      <x:c r="L18" s="85" t="b">
        <x:v>0</x:v>
      </x:c>
      <x:c r="M18" s="47" t="str">
        <x:v>resp_04f7ed8e16020ddd006a912fddb170819495175523370b1101</x:v>
      </x:c>
      <x:c r="N18" s="59" t="n">
        <x:v>9279</x:v>
      </x:c>
      <x:c r="O18" s="59" t="n">
        <x:v>709</x:v>
      </x:c>
      <x:c r="P18" s="59" t="n">
        <x:v>9988</x:v>
      </x:c>
    </x:row>
    <x:row r="19">
      <x:c r="A19" s="47" t="str">
        <x:v>EVT-000068</x:v>
      </x:c>
      <x:c r="B19" s="47" t="str">
        <x:v>RUN-IMO-124-20260828T064814869936Z</x:v>
      </x:c>
      <x:c r="C19" s="47" t="str">
        <x:v>IMO-124</x:v>
      </x:c>
      <x:c r="D19" s="93" t="n">
        <x:v>46262.286099537036</x:v>
      </x:c>
      <x:c r="E19" s="47" t="str">
        <x:v>generator</x:v>
      </x:c>
      <x:c r="F19" s="47" t="str">
        <x:v>gpt-5.6-luna-2026-07-09</x:v>
      </x:c>
      <x:c r="G19" s="47" t="n">
        <x:v>1</x:v>
      </x:c>
      <x:c r="H19" s="47" t="n">
        <x:v>200</x:v>
      </x:c>
      <x:c r="I19" s="47" t="str">
        <x:v>Ocp-Apim-Subscription-Key</x:v>
      </x:c>
      <x:c r="J19" s="86" t="n">
        <x:v>0</x:v>
      </x:c>
      <x:c r="K19" s="86" t="n">
        <x:v>39869.821</x:v>
      </x:c>
      <x:c r="L19" s="85" t="b">
        <x:v>0</x:v>
      </x:c>
      <x:c r="M19" s="47" t="str"/>
      <x:c r="N19" s="59" t="str"/>
      <x:c r="O19" s="59" t="str"/>
      <x:c r="P19" s="59" t="str"/>
    </x:row>
    <x:row r="20">
      <x:c r="A20" s="47" t="str">
        <x:v>EVT-000069</x:v>
      </x:c>
      <x:c r="B20" s="47" t="str">
        <x:v>RUN-IMO-124-20260828T064814869936Z</x:v>
      </x:c>
      <x:c r="C20" s="47" t="str">
        <x:v>IMO-124</x:v>
      </x:c>
      <x:c r="D20" s="93" t="n">
        <x:v>46262.28609956019</x:v>
      </x:c>
      <x:c r="E20" s="47" t="str">
        <x:v>generator</x:v>
      </x:c>
      <x:c r="F20" s="47" t="str">
        <x:v>gpt-5.6-luna-2026-07-09</x:v>
      </x:c>
      <x:c r="G20" s="47" t="n">
        <x:v>1</x:v>
      </x:c>
      <x:c r="H20" s="47" t="str">
        <x:v>COMPLETED</x:v>
      </x:c>
      <x:c r="I20" s="47" t="str"/>
      <x:c r="J20" s="86" t="n">
        <x:v>0</x:v>
      </x:c>
      <x:c r="K20" s="86" t="n">
        <x:v>39871.418</x:v>
      </x:c>
      <x:c r="L20" s="85" t="b">
        <x:v>0</x:v>
      </x:c>
      <x:c r="M20" s="47" t="str">
        <x:v>resp_0e5bbb6cdccfec0e006a912fe73dc88194b7d00a49f5962674</x:v>
      </x:c>
      <x:c r="N20" s="59" t="n">
        <x:v>9261</x:v>
      </x:c>
      <x:c r="O20" s="59" t="n">
        <x:v>3847</x:v>
      </x:c>
      <x:c r="P20" s="59" t="n">
        <x:v>13108</x:v>
      </x:c>
    </x:row>
    <x:row r="21">
      <x:c r="A21" s="47" t="str">
        <x:v>EVT-000076</x:v>
      </x:c>
      <x:c r="B21" s="47" t="str">
        <x:v>RUN-IMO-124-20260828T064814869936Z</x:v>
      </x:c>
      <x:c r="C21" s="47" t="str">
        <x:v>IMO-124</x:v>
      </x:c>
      <x:c r="D21" s="93" t="n">
        <x:v>46262.28631405093</x:v>
      </x:c>
      <x:c r="E21" s="47" t="str">
        <x:v>validator</x:v>
      </x:c>
      <x:c r="F21" s="47" t="str">
        <x:v>gpt-5.6-luna-2026-07-09</x:v>
      </x:c>
      <x:c r="G21" s="47" t="n">
        <x:v>1</x:v>
      </x:c>
      <x:c r="H21" s="47" t="n">
        <x:v>200</x:v>
      </x:c>
      <x:c r="I21" s="47" t="str">
        <x:v>Ocp-Apim-Subscription-Key</x:v>
      </x:c>
      <x:c r="J21" s="86" t="n">
        <x:v>0</x:v>
      </x:c>
      <x:c r="K21" s="86" t="n">
        <x:v>18330.802</x:v>
      </x:c>
      <x:c r="L21" s="85" t="b">
        <x:v>0</x:v>
      </x:c>
      <x:c r="M21" s="47" t="str"/>
      <x:c r="N21" s="59" t="str"/>
      <x:c r="O21" s="59" t="str"/>
      <x:c r="P21" s="59" t="str"/>
    </x:row>
    <x:row r="22">
      <x:c r="A22" s="49" t="str">
        <x:v>EVT-000077</x:v>
      </x:c>
      <x:c r="B22" s="49" t="str">
        <x:v>RUN-IMO-124-20260828T064814869936Z</x:v>
      </x:c>
      <x:c r="C22" s="49" t="str">
        <x:v>IMO-124</x:v>
      </x:c>
      <x:c r="D22" s="94" t="n">
        <x:v>46262.2863140625</x:v>
      </x:c>
      <x:c r="E22" s="49" t="str">
        <x:v>validator</x:v>
      </x:c>
      <x:c r="F22" s="49" t="str">
        <x:v>gpt-5.6-luna-2026-07-09</x:v>
      </x:c>
      <x:c r="G22" s="49" t="n">
        <x:v>1</x:v>
      </x:c>
      <x:c r="H22" s="49" t="str">
        <x:v>COMPLETED</x:v>
      </x:c>
      <x:c r="I22" s="49" t="str"/>
      <x:c r="J22" s="88" t="n">
        <x:v>0</x:v>
      </x:c>
      <x:c r="K22" s="88" t="n">
        <x:v>18332.36</x:v>
      </x:c>
      <x:c r="L22" s="87" t="b">
        <x:v>0</x:v>
      </x:c>
      <x:c r="M22" s="49" t="str">
        <x:v>resp_00e1cf11bdc7b055006a91300f54e48193baed3a190c0edef2</x:v>
      </x:c>
      <x:c r="N22" s="60" t="n">
        <x:v>9375</x:v>
      </x:c>
      <x:c r="O22" s="60" t="n">
        <x:v>1277</x:v>
      </x:c>
      <x:c r="P22" s="60" t="n">
        <x:v>10652</x:v>
      </x:c>
    </x:row>
  </x:sheetData>
  <x:conditionalFormatting sqref="H5:H2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686c1b46ef1b4653"/>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RUN-IMO-124-20260828T064814869936Z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RUN-IMO-124-20260828T064814869936Z</x:v>
      </x:c>
      <x:c r="B5" s="45" t="str">
        <x:v>IMO-124</x:v>
      </x:c>
      <x:c r="C5" s="45" t="str">
        <x:v>antarcticArea</x:v>
      </x:c>
      <x:c r="D5" s="46" t="str">
        <x:v>https://w3id.org/nltl/vocab#antarcticArea</x:v>
      </x:c>
      <x:c r="E5" s="45" t="str">
        <x:v>DatatypeProperty</x:v>
      </x:c>
      <x:c r="F5" s="45" t="str">
        <x:v>xsd:string</x:v>
      </x:c>
      <x:c r="G5" s="45" t="str">
        <x:v>http://www.w3.org/2001/XMLSchema#string</x:v>
      </x:c>
      <x:c r="H5" s="45" t="str"/>
      <x:c r="I5" s="46" t="str">
        <x:v>linked by the locked 313-requirement index</x:v>
      </x:c>
      <x:c r="J5" s="45" t="n">
        <x:v>0</x:v>
      </x:c>
    </x:row>
    <x:row r="6">
      <x:c r="A6" s="47" t="str">
        <x:v>RUN-IMO-124-20260828T064814869936Z</x:v>
      </x:c>
      <x:c r="B6" s="47" t="str">
        <x:v>IMO-124</x:v>
      </x:c>
      <x:c r="C6" s="47" t="str">
        <x:v>benchmarkEntity</x:v>
      </x:c>
      <x:c r="D6" s="48" t="str">
        <x:v>https://w3id.org/nltl/vocab#benchmarkEntity</x:v>
      </x:c>
      <x:c r="E6" s="47" t="str">
        <x:v>Class</x:v>
      </x:c>
      <x:c r="F6" s="47" t="str"/>
      <x:c r="G6" s="47" t="str"/>
      <x:c r="H6" s="47" t="str"/>
      <x:c r="I6" s="48" t="str">
        <x:v>baseline target infrastructure; domain dependency of antarcticArea; domain dependency of distanceToNearestFastIce; domain dependency of foodWasteDischargeOntoIce; domain dependency of iceConcentration; domain dependency of marpolAnnexVRegulation6Point1DischargeOccurs; domain dependency of nearbyIceConcentration; domain dependency of operatingArea</x:v>
      </x:c>
      <x:c r="J6" s="47" t="n">
        <x:v>0</x:v>
      </x:c>
    </x:row>
    <x:row r="7">
      <x:c r="A7" s="47" t="str">
        <x:v>RUN-IMO-124-20260828T064814869936Z</x:v>
      </x:c>
      <x:c r="B7" s="47" t="str">
        <x:v>IMO-124</x:v>
      </x:c>
      <x:c r="C7" s="47" t="str">
        <x:v>distanceFromAreaWithIceConcentrationAboveOneTenth</x:v>
      </x:c>
      <x:c r="D7" s="48" t="str">
        <x:v>https://w3id.org/nltl/vocab#distanceFromAreaWithIceConcentrationAboveOneTenth</x:v>
      </x:c>
      <x:c r="E7" s="47" t="str">
        <x:v>QuantityProperty</x:v>
      </x:c>
      <x:c r="F7" s="47" t="str"/>
      <x:c r="G7" s="47" t="str">
        <x:v>http://qudt.org/schema/qudt/QuantityValue</x:v>
      </x:c>
      <x:c r="H7" s="47" t="str">
        <x:v>http://qudt.org/vocab/unit/MI_N</x:v>
      </x:c>
      <x:c r="I7" s="48" t="str">
        <x:v>linked by the locked 313-requirement index</x:v>
      </x:c>
      <x:c r="J7" s="47" t="n">
        <x:v>0</x:v>
      </x:c>
    </x:row>
    <x:row r="8">
      <x:c r="A8" s="47" t="str">
        <x:v>RUN-IMO-124-20260828T064814869936Z</x:v>
      </x:c>
      <x:c r="B8" s="47" t="str">
        <x:v>IMO-124</x:v>
      </x:c>
      <x:c r="C8" s="47" t="str">
        <x:v>distanceToNearestFastIce</x:v>
      </x:c>
      <x:c r="D8" s="48" t="str">
        <x:v>https://w3id.org/nltl/vocab#distanceToNearestFastIce</x:v>
      </x:c>
      <x:c r="E8" s="47" t="str">
        <x:v>QuantityProperty</x:v>
      </x:c>
      <x:c r="F8" s="47" t="str"/>
      <x:c r="G8" s="47" t="str">
        <x:v>http://qudt.org/schema/qudt/QuantityValue</x:v>
      </x:c>
      <x:c r="H8" s="47" t="str">
        <x:v>http://qudt.org/vocab/unit/MI_N</x:v>
      </x:c>
      <x:c r="I8" s="48" t="str">
        <x:v>linked by the locked 313-requirement index</x:v>
      </x:c>
      <x:c r="J8" s="47" t="n">
        <x:v>0</x:v>
      </x:c>
    </x:row>
    <x:row r="9">
      <x:c r="A9" s="47" t="str">
        <x:v>RUN-IMO-124-20260828T064814869936Z</x:v>
      </x:c>
      <x:c r="B9" s="47" t="str">
        <x:v>IMO-124</x:v>
      </x:c>
      <x:c r="C9" s="47" t="str">
        <x:v>foodWasteDischargeOntoIce</x:v>
      </x:c>
      <x:c r="D9" s="48" t="str">
        <x:v>https://w3id.org/nltl/vocab#foodWasteDischargeOntoIce</x:v>
      </x:c>
      <x:c r="E9" s="47" t="str">
        <x:v>DatatypeProperty</x:v>
      </x:c>
      <x:c r="F9" s="47" t="str">
        <x:v>xsd:boolean</x:v>
      </x:c>
      <x:c r="G9" s="47" t="str">
        <x:v>http://www.w3.org/2001/XMLSchema#boolean</x:v>
      </x:c>
      <x:c r="H9" s="47" t="str"/>
      <x:c r="I9" s="48" t="str">
        <x:v>linked by the locked 313-requirement index</x:v>
      </x:c>
      <x:c r="J9" s="47" t="n">
        <x:v>0</x:v>
      </x:c>
    </x:row>
    <x:row r="10">
      <x:c r="A10" s="47" t="str">
        <x:v>RUN-IMO-124-20260828T064814869936Z</x:v>
      </x:c>
      <x:c r="B10" s="47" t="str">
        <x:v>IMO-124</x:v>
      </x:c>
      <x:c r="C10" s="47" t="str">
        <x:v>iceConcentration</x:v>
      </x:c>
      <x:c r="D10" s="48" t="str">
        <x:v>https://w3id.org/nltl/vocab#iceConcentration</x:v>
      </x:c>
      <x:c r="E10" s="47" t="str">
        <x:v>QuantityProperty</x:v>
      </x:c>
      <x:c r="F10" s="47" t="str"/>
      <x:c r="G10" s="47" t="str">
        <x:v>http://qudt.org/schema/qudt/QuantityValue</x:v>
      </x:c>
      <x:c r="H10" s="47" t="str">
        <x:v>http://qudt.org/vocab/unit/UNITLESS</x:v>
      </x:c>
      <x:c r="I10" s="48" t="str">
        <x:v>linked by the locked 313-requirement index</x:v>
      </x:c>
      <x:c r="J10" s="47" t="n">
        <x:v>0</x:v>
      </x:c>
    </x:row>
    <x:row r="11">
      <x:c r="A11" s="47" t="str">
        <x:v>RUN-IMO-124-20260828T064814869936Z</x:v>
      </x:c>
      <x:c r="B11" s="47" t="str">
        <x:v>IMO-124</x:v>
      </x:c>
      <x:c r="C11" s="47" t="str">
        <x:v>marpolAnnexVRegulation6Point1DischargeOccurs</x:v>
      </x:c>
      <x:c r="D11" s="48" t="str">
        <x:v>https://w3id.org/nltl/vocab#marpolAnnexVRegulation6Point1DischargeOccurs</x:v>
      </x:c>
      <x:c r="E11" s="47" t="str">
        <x:v>DatatypeProperty</x:v>
      </x:c>
      <x:c r="F11" s="47" t="str">
        <x:v>xsd:boolean</x:v>
      </x:c>
      <x:c r="G11" s="47" t="str">
        <x:v>http://www.w3.org/2001/XMLSchema#boolean</x:v>
      </x:c>
      <x:c r="H11" s="47" t="str"/>
      <x:c r="I11" s="48" t="str">
        <x:v>linked by the locked 313-requirement index</x:v>
      </x:c>
      <x:c r="J11" s="47" t="n">
        <x:v>0</x:v>
      </x:c>
    </x:row>
    <x:row r="12">
      <x:c r="A12" s="47" t="str">
        <x:v>RUN-IMO-124-20260828T064814869936Z</x:v>
      </x:c>
      <x:c r="B12" s="47" t="str">
        <x:v>IMO-124</x:v>
      </x:c>
      <x:c r="C12" s="47" t="str">
        <x:v>nearbyIceConcentration</x:v>
      </x:c>
      <x:c r="D12" s="48" t="str">
        <x:v>https://w3id.org/nltl/vocab#nearbyIceConcentration</x:v>
      </x:c>
      <x:c r="E12" s="47" t="str">
        <x:v>QuantityProperty</x:v>
      </x:c>
      <x:c r="F12" s="47" t="str"/>
      <x:c r="G12" s="47" t="str">
        <x:v>http://qudt.org/schema/qudt/QuantityValue</x:v>
      </x:c>
      <x:c r="H12" s="47" t="str">
        <x:v>http://qudt.org/vocab/unit/UNITLESS</x:v>
      </x:c>
      <x:c r="I12" s="48" t="str">
        <x:v>linked by the locked 313-requirement index</x:v>
      </x:c>
      <x:c r="J12" s="47" t="n">
        <x:v>0</x:v>
      </x:c>
    </x:row>
    <x:row r="13">
      <x:c r="A13" s="47" t="str">
        <x:v>RUN-IMO-124-20260828T064814869936Z</x:v>
      </x:c>
      <x:c r="B13" s="47" t="str">
        <x:v>IMO-124</x:v>
      </x:c>
      <x:c r="C13" s="47" t="str">
        <x:v>operatingArea</x:v>
      </x:c>
      <x:c r="D13" s="48" t="str">
        <x:v>https://w3id.org/nltl/vocab#operatingArea</x:v>
      </x:c>
      <x:c r="E13" s="47" t="str">
        <x:v>DatatypeProperty</x:v>
      </x:c>
      <x:c r="F13" s="47" t="str">
        <x:v>xsd:string</x:v>
      </x:c>
      <x:c r="G13" s="47" t="str">
        <x:v>http://www.w3.org/2001/XMLSchema#string</x:v>
      </x:c>
      <x:c r="H13" s="47" t="str"/>
      <x:c r="I13" s="48" t="str">
        <x:v>linked by the locked 313-requirement index</x:v>
      </x:c>
      <x:c r="J13" s="47" t="n">
        <x:v>0</x:v>
      </x:c>
    </x:row>
    <x:row r="14">
      <x:c r="A14" s="49" t="str">
        <x:v>RUN-IMO-124-20260828T064814869936Z</x:v>
      </x:c>
      <x:c r="B14" s="49" t="str">
        <x:v>IMO-124</x:v>
      </x:c>
      <x:c r="C14" s="49" t="str">
        <x:v>ship</x:v>
      </x:c>
      <x:c r="D14" s="50" t="str">
        <x:v>https://w3id.org/nltl/vocab#ship</x:v>
      </x:c>
      <x:c r="E14" s="49" t="str">
        <x:v>Class</x:v>
      </x:c>
      <x:c r="F14" s="49" t="str"/>
      <x:c r="G14" s="49" t="str"/>
      <x:c r="H14" s="49" t="str"/>
      <x:c r="I14" s="50" t="str">
        <x:v>authoritative required owner class; authoritative requirement target owner; baseline target infrastructure; domain dependency of distanceFromAreaWithIceConcentrationAboveOneTenth</x:v>
      </x:c>
      <x:c r="J14" s="49" t="n">
        <x:v>0</x:v>
      </x:c>
    </x:row>
  </x:sheetData>
  <x:pageMargins left="0.7" right="0.7" top="0.75" bottom="0.75" header="0.3" footer="0.3"/>
  <x:tableParts count="1">
    <x:tablePart xmlns:r="http://schemas.openxmlformats.org/officeDocument/2006/relationships" r:id="R02cc9f1e1ef14c81"/>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RUN-IMO-124-20260828T064814869936Z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RUN-IMO-124-20260828T064814869936Z</x:v>
      </x:c>
      <x:c r="B5" s="45" t="str">
        <x:v>IMO-124</x:v>
      </x:c>
      <x:c r="C5" s="45" t="str">
        <x:v>FS-INT-02</x:v>
      </x:c>
      <x:c r="D5" s="45" t="str">
        <x:v>conditional_integrated</x:v>
      </x:c>
      <x:c r="E5" s="97" t="n">
        <x:v>0.060606</x:v>
      </x:c>
      <x:c r="F5" s="45" t="str">
        <x:v>boolean | conditional | quantity | value</x:v>
      </x:c>
      <x:c r="G5" s="45" t="str">
        <x:v>synthetic-few-shot-not-benchmark-ground-truth</x:v>
      </x:c>
    </x:row>
    <x:row r="6">
      <x:c r="A6" s="49" t="str">
        <x:v>RUN-IMO-124-20260828T064814869936Z</x:v>
      </x:c>
      <x:c r="B6" s="49" t="str">
        <x:v>IMO-124</x:v>
      </x:c>
      <x:c r="C6" s="49" t="str">
        <x:v>FS-BOOL-01</x:v>
      </x:c>
      <x:c r="D6" s="49" t="str">
        <x:v>boolean_state</x:v>
      </x:c>
      <x:c r="E6" s="98" t="n">
        <x:v>0.046154</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3eea51d5bb794cec"/>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RUN-IMO-124-20260828T064814869936Z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RUN-IMO-124-20260828T064814869936Z</x:v>
      </x:c>
      <x:c r="B5" s="45" t="str">
        <x:v>IMO-124</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https://w3id.org/nltl/vocab#antarcticArea | https://w3id.org/nltl/vocab#distanceFromAreaWithIceConcentrationAboveOneTenth | https://w3id.org/nltl/vocab#distanceToNearestFastIce | https://w3id.org/nltl/vocab#foodWasteDischargeOntoIce | https://w3id.org/nltl/vocab#iceConcentration | https://w3id.org/nltl/vocab#marpolAnnexVRegulation6Point1DischargeOccurs | https://w3id.org/nltl/vocab#nearbyIceConcentration | https://w3id.org/nltl/vocab#operatingArea | https://w3id.org/nltl/vocab#ship</x:v>
      </x:c>
      <x:c r="O5" s="46" t="str"/>
      <x:c r="P5" s="46" t="str"/>
      <x:c r="Q5" s="46" t="str"/>
    </x:row>
    <x:row r="6">
      <x:c r="A6" s="47" t="str">
        <x:v>RUN-IMO-124-20260828T064814869936Z</x:v>
      </x:c>
      <x:c r="B6" s="47" t="str">
        <x:v>IMO-124</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https://w3id.org/nltl/vocab#antarcticArea | https://w3id.org/nltl/vocab#distanceFromAreaWithIceConcentrationAboveOneTenth | https://w3id.org/nltl/vocab#distanceToNearestFastIce | https://w3id.org/nltl/vocab#foodWasteDischargeOntoIce | https://w3id.org/nltl/vocab#marpolAnnexVRegulation6Point1DischargeOccurs | https://w3id.org/nltl/vocab#nearbyIceConcentration | https://w3id.org/nltl/vocab#operatingArea | https://w3id.org/nltl/vocab#ship</x:v>
      </x:c>
      <x:c r="O6" s="48" t="str"/>
      <x:c r="P6" s="48" t="str"/>
      <x:c r="Q6" s="48" t="str"/>
    </x:row>
    <x:row r="7">
      <x:c r="A7" s="47" t="str">
        <x:v>RUN-IMO-124-20260828T064814869936Z</x:v>
      </x:c>
      <x:c r="B7" s="47" t="str">
        <x:v>IMO-124</x:v>
      </x:c>
      <x:c r="C7" s="59" t="n">
        <x:v>3</x:v>
      </x:c>
      <x:c r="D7" s="85" t="b">
        <x:v>1</x:v>
      </x:c>
      <x:c r="E7" s="85" t="b">
        <x:v>1</x:v>
      </x:c>
      <x:c r="F7" s="85" t="b">
        <x:v>1</x:v>
      </x:c>
      <x:c r="G7" s="85" t="b">
        <x:v>1</x:v>
      </x:c>
      <x:c r="H7" s="85" t="b">
        <x:v>1</x:v>
      </x:c>
      <x:c r="I7" s="85" t="b">
        <x:v>1</x:v>
      </x:c>
      <x:c r="J7" s="85" t="b">
        <x:v>1</x:v>
      </x:c>
      <x:c r="K7" s="103" t="b">
        <x:v>1</x:v>
      </x:c>
      <x:c r="L7" s="48" t="str"/>
      <x:c r="M7" s="48" t="str"/>
      <x:c r="N7" s="48" t="str">
        <x:v>https://w3id.org/nltl/vocab#antarcticArea | https://w3id.org/nltl/vocab#distanceFromAreaWithIceConcentrationAboveOneTenth | https://w3id.org/nltl/vocab#distanceToNearestFastIce | https://w3id.org/nltl/vocab#foodWasteDischargeOntoIce | https://w3id.org/nltl/vocab#iceConcentration | https://w3id.org/nltl/vocab#marpolAnnexVRegulation6Point1DischargeOccurs | https://w3id.org/nltl/vocab#nearbyIceConcentration | https://w3id.org/nltl/vocab#operatingArea | https://w3id.org/nltl/vocab#ship</x:v>
      </x:c>
      <x:c r="O7" s="48" t="str"/>
      <x:c r="P7" s="48" t="str"/>
      <x:c r="Q7" s="48" t="str"/>
    </x:row>
    <x:row r="8">
      <x:c r="A8" s="49" t="str">
        <x:v>RUN-IMO-124-20260828T064814869936Z</x:v>
      </x:c>
      <x:c r="B8" s="49" t="str">
        <x:v>IMO-124</x:v>
      </x:c>
      <x:c r="C8" s="60" t="n">
        <x:v>4</x:v>
      </x:c>
      <x:c r="D8" s="87" t="b">
        <x:v>1</x:v>
      </x:c>
      <x:c r="E8" s="87" t="b">
        <x:v>1</x:v>
      </x:c>
      <x:c r="F8" s="87" t="b">
        <x:v>1</x:v>
      </x:c>
      <x:c r="G8" s="87" t="b">
        <x:v>1</x:v>
      </x:c>
      <x:c r="H8" s="87" t="b">
        <x:v>1</x:v>
      </x:c>
      <x:c r="I8" s="87" t="b">
        <x:v>1</x:v>
      </x:c>
      <x:c r="J8" s="87" t="b">
        <x:v>1</x:v>
      </x:c>
      <x:c r="K8" s="104" t="b">
        <x:v>1</x:v>
      </x:c>
      <x:c r="L8" s="50" t="str"/>
      <x:c r="M8" s="50" t="str"/>
      <x:c r="N8" s="50" t="str">
        <x:v>https://w3id.org/nltl/vocab#antarcticArea | https://w3id.org/nltl/vocab#distanceFromAreaWithIceConcentrationAboveOneTenth | https://w3id.org/nltl/vocab#distanceToNearestFastIce | https://w3id.org/nltl/vocab#foodWasteDischargeOntoIce | https://w3id.org/nltl/vocab#iceConcentration | https://w3id.org/nltl/vocab#marpolAnnexVRegulation6Point1DischargeOccurs | https://w3id.org/nltl/vocab#nearbyIceConcentration | https://w3id.org/nltl/vocab#operatingArea | https://w3id.org/nltl/vocab#ship</x:v>
      </x:c>
      <x:c r="O8" s="50" t="str"/>
      <x:c r="P8" s="50" t="str"/>
      <x:c r="Q8" s="50" t="str"/>
    </x:row>
  </x:sheetData>
  <x:pageMargins left="0.7" right="0.7" top="0.75" bottom="0.75" header="0.3" footer="0.3"/>
  <x:tableParts count="1">
    <x:tablePart xmlns:r="http://schemas.openxmlformats.org/officeDocument/2006/relationships" r:id="R45bde12f65094057"/>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RUN-IMO-124-20260828T064814869936Z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RUN-IMO-124-20260828T064814869936Z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RUN-IMO-124-20260828T064814869936Z</x:v>
      </x:c>
      <x:c r="B5" s="45" t="str">
        <x:v>IMO-124</x:v>
      </x:c>
      <x:c r="C5" s="58"/>
      <x:c r="D5" s="45" t="str">
        <x:v>initial_context_pack</x:v>
      </x:c>
      <x:c r="E5" s="46" t="str">
        <x:v>artifacts/context_pack_initial.json</x:v>
      </x:c>
      <x:c r="F5" s="45" t="str">
        <x:v>5a5d6160c5bc2b4ed0b979afcc7222739a52e32f44ef0a293b1693eedcacc4ec</x:v>
      </x:c>
      <x:c r="G5" s="58" t="n">
        <x:v>17392</x:v>
      </x:c>
    </x:row>
    <x:row r="6">
      <x:c r="A6" s="47" t="str">
        <x:v>RUN-IMO-124-20260828T064814869936Z</x:v>
      </x:c>
      <x:c r="B6" s="47" t="str">
        <x:v>IMO-124</x:v>
      </x:c>
      <x:c r="C6" s="59"/>
      <x:c r="D6" s="47" t="str">
        <x:v>few_shot_selection</x:v>
      </x:c>
      <x:c r="E6" s="48" t="str">
        <x:v>artifacts/few_shots_selected.json</x:v>
      </x:c>
      <x:c r="F6" s="47" t="str">
        <x:v>1d67402b08e62d4f2f621617009e3b4d3cfa281669aa570987a98e9cd5a2701b</x:v>
      </x:c>
      <x:c r="G6" s="59" t="n">
        <x:v>6149</x:v>
      </x:c>
    </x:row>
    <x:row r="7">
      <x:c r="A7" s="47" t="str">
        <x:v>RUN-IMO-124-20260828T064814869936Z</x:v>
      </x:c>
      <x:c r="B7" s="47" t="str">
        <x:v>IMO-124</x:v>
      </x:c>
      <x:c r="C7" s="59" t="n">
        <x:v>1</x:v>
      </x:c>
      <x:c r="D7" s="47" t="str">
        <x:v>generator_prompt</x:v>
      </x:c>
      <x:c r="E7" s="48" t="str">
        <x:v>artifacts/attempt_01/generator_prompt.txt</x:v>
      </x:c>
      <x:c r="F7" s="47" t="str">
        <x:v>1d068d2a52872ea96d4a73db3e50696f346b3e26a664436471a8b14738609427</x:v>
      </x:c>
      <x:c r="G7" s="59" t="n">
        <x:v>35155</x:v>
      </x:c>
    </x:row>
    <x:row r="8">
      <x:c r="A8" s="47" t="str">
        <x:v>RUN-IMO-124-20260828T064814869936Z</x:v>
      </x:c>
      <x:c r="B8" s="47" t="str">
        <x:v>IMO-124</x:v>
      </x:c>
      <x:c r="C8" s="59" t="n">
        <x:v>1</x:v>
      </x:c>
      <x:c r="D8" s="47" t="str">
        <x:v>generator_raw_response</x:v>
      </x:c>
      <x:c r="E8" s="48" t="str">
        <x:v>artifacts/attempt_01/generator_raw.txt</x:v>
      </x:c>
      <x:c r="F8" s="47" t="str">
        <x:v>b9744c2666e6d4c36c8f6365fc6a671dff6d55791a08e07f0f4f7c790d9c7216</x:v>
      </x:c>
      <x:c r="G8" s="59" t="n">
        <x:v>4890</x:v>
      </x:c>
    </x:row>
    <x:row r="9">
      <x:c r="A9" s="47" t="str">
        <x:v>RUN-IMO-124-20260828T064814869936Z</x:v>
      </x:c>
      <x:c r="B9" s="47" t="str">
        <x:v>IMO-124</x:v>
      </x:c>
      <x:c r="C9" s="59" t="n">
        <x:v>1</x:v>
      </x:c>
      <x:c r="D9" s="47" t="str">
        <x:v>candidate_shape</x:v>
      </x:c>
      <x:c r="E9" s="48" t="str">
        <x:v>artifacts/attempt_01/candidate_shape.ttl</x:v>
      </x:c>
      <x:c r="F9" s="47" t="str">
        <x:v>aa72dcb620252081cea12dc816d0677912aedb0f0a7abdafb4958dcdb6b19b92</x:v>
      </x:c>
      <x:c r="G9" s="59" t="n">
        <x:v>4865</x:v>
      </x:c>
    </x:row>
    <x:row r="10">
      <x:c r="A10" s="47" t="str">
        <x:v>RUN-IMO-124-20260828T064814869936Z</x:v>
      </x:c>
      <x:c r="B10" s="47" t="str">
        <x:v>IMO-124</x:v>
      </x:c>
      <x:c r="C10" s="59" t="n">
        <x:v>1</x:v>
      </x:c>
      <x:c r="D10" s="47" t="str">
        <x:v>deterministic_validation</x:v>
      </x:c>
      <x:c r="E10" s="48" t="str">
        <x:v>artifacts/attempt_01/deterministic_validation.json</x:v>
      </x:c>
      <x:c r="F10" s="47" t="str">
        <x:v>bf1e726dd36a986ec9984194c86dd506b496658d6250a71807c6e03bd3fa993e</x:v>
      </x:c>
      <x:c r="G10" s="59" t="n">
        <x:v>923</x:v>
      </x:c>
    </x:row>
    <x:row r="11">
      <x:c r="A11" s="47" t="str">
        <x:v>RUN-IMO-124-20260828T064814869936Z</x:v>
      </x:c>
      <x:c r="B11" s="47" t="str">
        <x:v>IMO-124</x:v>
      </x:c>
      <x:c r="C11" s="59" t="n">
        <x:v>1</x:v>
      </x:c>
      <x:c r="D11" s="47" t="str">
        <x:v>validator_prompt</x:v>
      </x:c>
      <x:c r="E11" s="48" t="str">
        <x:v>artifacts/attempt_01/validator_prompt_01.txt</x:v>
      </x:c>
      <x:c r="F11" s="47" t="str">
        <x:v>1f9d5889c9faa82119d65bfe4f29ab8ac1650a266135c2359027b184b10dccda</x:v>
      </x:c>
      <x:c r="G11" s="59" t="n">
        <x:v>33466</x:v>
      </x:c>
    </x:row>
    <x:row r="12">
      <x:c r="A12" s="47" t="str">
        <x:v>RUN-IMO-124-20260828T064814869936Z</x:v>
      </x:c>
      <x:c r="B12" s="47" t="str">
        <x:v>IMO-124</x:v>
      </x:c>
      <x:c r="C12" s="59" t="n">
        <x:v>1</x:v>
      </x:c>
      <x:c r="D12" s="47" t="str">
        <x:v>validator_raw_response</x:v>
      </x:c>
      <x:c r="E12" s="48" t="str">
        <x:v>artifacts/attempt_01/validator_raw_01.txt</x:v>
      </x:c>
      <x:c r="F12" s="47" t="str">
        <x:v>8be32d821b32159a24832fe0815df51e0488142536df65d35cf61b0299e3c473</x:v>
      </x:c>
      <x:c r="G12" s="59" t="n">
        <x:v>989</x:v>
      </x:c>
    </x:row>
    <x:row r="13">
      <x:c r="A13" s="47" t="str">
        <x:v>RUN-IMO-124-20260828T064814869936Z</x:v>
      </x:c>
      <x:c r="B13" s="47" t="str">
        <x:v>IMO-124</x:v>
      </x:c>
      <x:c r="C13" s="59" t="n">
        <x:v>2</x:v>
      </x:c>
      <x:c r="D13" s="47" t="str">
        <x:v>generator_prompt</x:v>
      </x:c>
      <x:c r="E13" s="48" t="str">
        <x:v>artifacts/attempt_02/generator_prompt.txt</x:v>
      </x:c>
      <x:c r="F13" s="47" t="str">
        <x:v>c0d8b315103f6244fb93219ed472047ecc395e0067617d702b7c49975ec6381e</x:v>
      </x:c>
      <x:c r="G13" s="59" t="n">
        <x:v>36079</x:v>
      </x:c>
    </x:row>
    <x:row r="14">
      <x:c r="A14" s="47" t="str">
        <x:v>RUN-IMO-124-20260828T064814869936Z</x:v>
      </x:c>
      <x:c r="B14" s="47" t="str">
        <x:v>IMO-124</x:v>
      </x:c>
      <x:c r="C14" s="59" t="n">
        <x:v>2</x:v>
      </x:c>
      <x:c r="D14" s="47" t="str">
        <x:v>generator_raw_response</x:v>
      </x:c>
      <x:c r="E14" s="48" t="str">
        <x:v>artifacts/attempt_02/generator_raw.txt</x:v>
      </x:c>
      <x:c r="F14" s="47" t="str">
        <x:v>9818d5ccbde767bbca6bec16f196ce64d11094dd27e52100aec162c07ad62b5d</x:v>
      </x:c>
      <x:c r="G14" s="59" t="n">
        <x:v>5374</x:v>
      </x:c>
    </x:row>
    <x:row r="15">
      <x:c r="A15" s="47" t="str">
        <x:v>RUN-IMO-124-20260828T064814869936Z</x:v>
      </x:c>
      <x:c r="B15" s="47" t="str">
        <x:v>IMO-124</x:v>
      </x:c>
      <x:c r="C15" s="59" t="n">
        <x:v>2</x:v>
      </x:c>
      <x:c r="D15" s="47" t="str">
        <x:v>syntax_repair_prompt</x:v>
      </x:c>
      <x:c r="E15" s="48" t="str">
        <x:v>artifacts/attempt_02/syntax_repair_prompt_01.txt</x:v>
      </x:c>
      <x:c r="F15" s="47" t="str">
        <x:v>59e224c82138015127c728384b8acaba9ea5e69d6ac86bb6f94a3d199d9f0107</x:v>
      </x:c>
      <x:c r="G15" s="59" t="n">
        <x:v>6587</x:v>
      </x:c>
    </x:row>
    <x:row r="16">
      <x:c r="A16" s="47" t="str">
        <x:v>RUN-IMO-124-20260828T064814869936Z</x:v>
      </x:c>
      <x:c r="B16" s="47" t="str">
        <x:v>IMO-124</x:v>
      </x:c>
      <x:c r="C16" s="59" t="n">
        <x:v>2</x:v>
      </x:c>
      <x:c r="D16" s="47" t="str">
        <x:v>syntax_repair_raw_response</x:v>
      </x:c>
      <x:c r="E16" s="48" t="str">
        <x:v>artifacts/attempt_02/syntax_repair_raw_01.txt</x:v>
      </x:c>
      <x:c r="F16" s="47" t="str">
        <x:v>636a07bf0e232a53ccc5d745304f921126d27851439fc473008abc06948d6c6b</x:v>
      </x:c>
      <x:c r="G16" s="59" t="n">
        <x:v>5372</x:v>
      </x:c>
    </x:row>
    <x:row r="17">
      <x:c r="A17" s="47" t="str">
        <x:v>RUN-IMO-124-20260828T064814869936Z</x:v>
      </x:c>
      <x:c r="B17" s="47" t="str">
        <x:v>IMO-124</x:v>
      </x:c>
      <x:c r="C17" s="59" t="n">
        <x:v>2</x:v>
      </x:c>
      <x:c r="D17" s="47" t="str">
        <x:v>candidate_shape</x:v>
      </x:c>
      <x:c r="E17" s="48" t="str">
        <x:v>artifacts/attempt_02/candidate_shape.ttl</x:v>
      </x:c>
      <x:c r="F17" s="47" t="str">
        <x:v>0e8496f2eda0e7fb06b99fde8740c11c4e61cd36a55d47148e45fd38a974e899</x:v>
      </x:c>
      <x:c r="G17" s="59" t="n">
        <x:v>5347</x:v>
      </x:c>
    </x:row>
    <x:row r="18">
      <x:c r="A18" s="47" t="str">
        <x:v>RUN-IMO-124-20260828T064814869936Z</x:v>
      </x:c>
      <x:c r="B18" s="47" t="str">
        <x:v>IMO-124</x:v>
      </x:c>
      <x:c r="C18" s="59" t="n">
        <x:v>2</x:v>
      </x:c>
      <x:c r="D18" s="47" t="str">
        <x:v>deterministic_validation</x:v>
      </x:c>
      <x:c r="E18" s="48" t="str">
        <x:v>artifacts/attempt_02/deterministic_validation.json</x:v>
      </x:c>
      <x:c r="F18" s="47" t="str">
        <x:v>7207932e57a67dfcc9f5f03827549d534b32af3bb337f6c3c80db542010a3f93</x:v>
      </x:c>
      <x:c r="G18" s="59" t="n">
        <x:v>871</x:v>
      </x:c>
    </x:row>
    <x:row r="19">
      <x:c r="A19" s="47" t="str">
        <x:v>RUN-IMO-124-20260828T064814869936Z</x:v>
      </x:c>
      <x:c r="B19" s="47" t="str">
        <x:v>IMO-124</x:v>
      </x:c>
      <x:c r="C19" s="59" t="n">
        <x:v>2</x:v>
      </x:c>
      <x:c r="D19" s="47" t="str">
        <x:v>validator_prompt</x:v>
      </x:c>
      <x:c r="E19" s="48" t="str">
        <x:v>artifacts/attempt_02/validator_prompt_01.txt</x:v>
      </x:c>
      <x:c r="F19" s="47" t="str">
        <x:v>84189776a5ff7989ce32123062f2cd589ae4cda67f0e73d153269ccdffd47ba8</x:v>
      </x:c>
      <x:c r="G19" s="59" t="n">
        <x:v>34445</x:v>
      </x:c>
    </x:row>
    <x:row r="20">
      <x:c r="A20" s="47" t="str">
        <x:v>RUN-IMO-124-20260828T064814869936Z</x:v>
      </x:c>
      <x:c r="B20" s="47" t="str">
        <x:v>IMO-124</x:v>
      </x:c>
      <x:c r="C20" s="59" t="n">
        <x:v>2</x:v>
      </x:c>
      <x:c r="D20" s="47" t="str">
        <x:v>validator_raw_response</x:v>
      </x:c>
      <x:c r="E20" s="48" t="str">
        <x:v>artifacts/attempt_02/validator_raw_01.txt</x:v>
      </x:c>
      <x:c r="F20" s="47" t="str">
        <x:v>17e8b42f4ab337e7bcc6b0b52981cd89908e0a37587b93801dc38c4dd445a83f</x:v>
      </x:c>
      <x:c r="G20" s="59" t="n">
        <x:v>1297</x:v>
      </x:c>
    </x:row>
    <x:row r="21">
      <x:c r="A21" s="47" t="str">
        <x:v>RUN-IMO-124-20260828T064814869936Z</x:v>
      </x:c>
      <x:c r="B21" s="47" t="str">
        <x:v>IMO-124</x:v>
      </x:c>
      <x:c r="C21" s="59" t="n">
        <x:v>3</x:v>
      </x:c>
      <x:c r="D21" s="47" t="str">
        <x:v>generator_prompt</x:v>
      </x:c>
      <x:c r="E21" s="48" t="str">
        <x:v>artifacts/attempt_03/generator_prompt.txt</x:v>
      </x:c>
      <x:c r="F21" s="47" t="str">
        <x:v>a5e4cb46069bcf6d0037df425c0730e4784b86281c4f46c2d5ee6ec9afbc31c5</x:v>
      </x:c>
      <x:c r="G21" s="59" t="n">
        <x:v>37319</x:v>
      </x:c>
    </x:row>
    <x:row r="22">
      <x:c r="A22" s="47" t="str">
        <x:v>RUN-IMO-124-20260828T064814869936Z</x:v>
      </x:c>
      <x:c r="B22" s="47" t="str">
        <x:v>IMO-124</x:v>
      </x:c>
      <x:c r="C22" s="59" t="n">
        <x:v>3</x:v>
      </x:c>
      <x:c r="D22" s="47" t="str">
        <x:v>generator_raw_response</x:v>
      </x:c>
      <x:c r="E22" s="48" t="str">
        <x:v>artifacts/attempt_03/generator_raw.txt</x:v>
      </x:c>
      <x:c r="F22" s="47" t="str">
        <x:v>76df7392ac31b67665af7311741bf08c50cabc58efe2aba4510ecb828f27dd7f</x:v>
      </x:c>
      <x:c r="G22" s="59" t="n">
        <x:v>5802</x:v>
      </x:c>
    </x:row>
    <x:row r="23">
      <x:c r="A23" s="47" t="str">
        <x:v>RUN-IMO-124-20260828T064814869936Z</x:v>
      </x:c>
      <x:c r="B23" s="47" t="str">
        <x:v>IMO-124</x:v>
      </x:c>
      <x:c r="C23" s="59" t="n">
        <x:v>3</x:v>
      </x:c>
      <x:c r="D23" s="47" t="str">
        <x:v>candidate_shape</x:v>
      </x:c>
      <x:c r="E23" s="48" t="str">
        <x:v>artifacts/attempt_03/candidate_shape.ttl</x:v>
      </x:c>
      <x:c r="F23" s="47" t="str">
        <x:v>72ea6872dfbc0d69e60a3743e98d3956497e8a349662a8782d66a2b307e4d5a7</x:v>
      </x:c>
      <x:c r="G23" s="59" t="n">
        <x:v>5777</x:v>
      </x:c>
    </x:row>
    <x:row r="24">
      <x:c r="A24" s="47" t="str">
        <x:v>RUN-IMO-124-20260828T064814869936Z</x:v>
      </x:c>
      <x:c r="B24" s="47" t="str">
        <x:v>IMO-124</x:v>
      </x:c>
      <x:c r="C24" s="59" t="n">
        <x:v>3</x:v>
      </x:c>
      <x:c r="D24" s="47" t="str">
        <x:v>deterministic_validation</x:v>
      </x:c>
      <x:c r="E24" s="48" t="str">
        <x:v>artifacts/attempt_03/deterministic_validation.json</x:v>
      </x:c>
      <x:c r="F24" s="47" t="str">
        <x:v>bf1e726dd36a986ec9984194c86dd506b496658d6250a71807c6e03bd3fa993e</x:v>
      </x:c>
      <x:c r="G24" s="59" t="n">
        <x:v>923</x:v>
      </x:c>
    </x:row>
    <x:row r="25">
      <x:c r="A25" s="47" t="str">
        <x:v>RUN-IMO-124-20260828T064814869936Z</x:v>
      </x:c>
      <x:c r="B25" s="47" t="str">
        <x:v>IMO-124</x:v>
      </x:c>
      <x:c r="C25" s="59" t="n">
        <x:v>3</x:v>
      </x:c>
      <x:c r="D25" s="47" t="str">
        <x:v>validator_prompt</x:v>
      </x:c>
      <x:c r="E25" s="48" t="str">
        <x:v>artifacts/attempt_03/validator_prompt_01.txt</x:v>
      </x:c>
      <x:c r="F25" s="47" t="str">
        <x:v>b31eb0c3f1ebdb2587ae2b72e40029e377a82cef0230e4c7895a172606e94939</x:v>
      </x:c>
      <x:c r="G25" s="59" t="n">
        <x:v>36605</x:v>
      </x:c>
    </x:row>
    <x:row r="26">
      <x:c r="A26" s="47" t="str">
        <x:v>RUN-IMO-124-20260828T064814869936Z</x:v>
      </x:c>
      <x:c r="B26" s="47" t="str">
        <x:v>IMO-124</x:v>
      </x:c>
      <x:c r="C26" s="59" t="n">
        <x:v>3</x:v>
      </x:c>
      <x:c r="D26" s="47" t="str">
        <x:v>validator_raw_response</x:v>
      </x:c>
      <x:c r="E26" s="48" t="str">
        <x:v>artifacts/attempt_03/validator_raw_01.txt</x:v>
      </x:c>
      <x:c r="F26" s="47" t="str">
        <x:v>7dcadf066e32d2850aac70b5c352ddfae9f932f5bc0582175b1cb83a37bd2f52</x:v>
      </x:c>
      <x:c r="G26" s="59" t="n">
        <x:v>1018</x:v>
      </x:c>
    </x:row>
    <x:row r="27">
      <x:c r="A27" s="47" t="str">
        <x:v>RUN-IMO-124-20260828T064814869936Z</x:v>
      </x:c>
      <x:c r="B27" s="47" t="str">
        <x:v>IMO-124</x:v>
      </x:c>
      <x:c r="C27" s="59" t="n">
        <x:v>4</x:v>
      </x:c>
      <x:c r="D27" s="47" t="str">
        <x:v>generator_prompt</x:v>
      </x:c>
      <x:c r="E27" s="48" t="str">
        <x:v>artifacts/attempt_04/generator_prompt.txt</x:v>
      </x:c>
      <x:c r="F27" s="47" t="str">
        <x:v>e3ed735c30b70fc490d9929cfa8f88d6f2019c2ed098de9fc0ec909d9b4ba7b8</x:v>
      </x:c>
      <x:c r="G27" s="59" t="n">
        <x:v>38280</x:v>
      </x:c>
    </x:row>
    <x:row r="28">
      <x:c r="A28" s="47" t="str">
        <x:v>RUN-IMO-124-20260828T064814869936Z</x:v>
      </x:c>
      <x:c r="B28" s="47" t="str">
        <x:v>IMO-124</x:v>
      </x:c>
      <x:c r="C28" s="59" t="n">
        <x:v>4</x:v>
      </x:c>
      <x:c r="D28" s="47" t="str">
        <x:v>generator_raw_response</x:v>
      </x:c>
      <x:c r="E28" s="48" t="str">
        <x:v>artifacts/attempt_04/generator_raw.txt</x:v>
      </x:c>
      <x:c r="F28" s="47" t="str">
        <x:v>d2ddd66e547c496e10ea0028d1cb3064e6b6773f1846c6566b19f23d07ce839b</x:v>
      </x:c>
      <x:c r="G28" s="59" t="n">
        <x:v>5547</x:v>
      </x:c>
    </x:row>
    <x:row r="29">
      <x:c r="A29" s="47" t="str">
        <x:v>RUN-IMO-124-20260828T064814869936Z</x:v>
      </x:c>
      <x:c r="B29" s="47" t="str">
        <x:v>IMO-124</x:v>
      </x:c>
      <x:c r="C29" s="59" t="n">
        <x:v>4</x:v>
      </x:c>
      <x:c r="D29" s="47" t="str">
        <x:v>candidate_shape</x:v>
      </x:c>
      <x:c r="E29" s="48" t="str">
        <x:v>artifacts/attempt_04/candidate_shape.ttl</x:v>
      </x:c>
      <x:c r="F29" s="47" t="str">
        <x:v>af03002a27e3f344eccd8c3f7b78c15e513b0371443a684e9f22e54faa5aefd0</x:v>
      </x:c>
      <x:c r="G29" s="59" t="n">
        <x:v>5522</x:v>
      </x:c>
    </x:row>
    <x:row r="30">
      <x:c r="A30" s="47" t="str">
        <x:v>RUN-IMO-124-20260828T064814869936Z</x:v>
      </x:c>
      <x:c r="B30" s="47" t="str">
        <x:v>IMO-124</x:v>
      </x:c>
      <x:c r="C30" s="59" t="n">
        <x:v>4</x:v>
      </x:c>
      <x:c r="D30" s="47" t="str">
        <x:v>deterministic_validation</x:v>
      </x:c>
      <x:c r="E30" s="48" t="str">
        <x:v>artifacts/attempt_04/deterministic_validation.json</x:v>
      </x:c>
      <x:c r="F30" s="47" t="str">
        <x:v>bf1e726dd36a986ec9984194c86dd506b496658d6250a71807c6e03bd3fa993e</x:v>
      </x:c>
      <x:c r="G30" s="59" t="n">
        <x:v>923</x:v>
      </x:c>
    </x:row>
    <x:row r="31">
      <x:c r="A31" s="47" t="str">
        <x:v>RUN-IMO-124-20260828T064814869936Z</x:v>
      </x:c>
      <x:c r="B31" s="47" t="str">
        <x:v>IMO-124</x:v>
      </x:c>
      <x:c r="C31" s="59" t="n">
        <x:v>4</x:v>
      </x:c>
      <x:c r="D31" s="47" t="str">
        <x:v>validator_prompt</x:v>
      </x:c>
      <x:c r="E31" s="48" t="str">
        <x:v>artifacts/attempt_04/validator_prompt_01.txt</x:v>
      </x:c>
      <x:c r="F31" s="47" t="str">
        <x:v>513f2aba00f4be277ff21a5a85c694a92084b37bfa0e0d3b7c375df354b7a14c</x:v>
      </x:c>
      <x:c r="G31" s="59" t="n">
        <x:v>37301</x:v>
      </x:c>
    </x:row>
    <x:row r="32">
      <x:c r="A32" s="49" t="str">
        <x:v>RUN-IMO-124-20260828T064814869936Z</x:v>
      </x:c>
      <x:c r="B32" s="49" t="str">
        <x:v>IMO-124</x:v>
      </x:c>
      <x:c r="C32" s="60" t="n">
        <x:v>4</x:v>
      </x:c>
      <x:c r="D32" s="49" t="str">
        <x:v>validator_raw_response</x:v>
      </x:c>
      <x:c r="E32" s="50" t="str">
        <x:v>artifacts/attempt_04/validator_raw_01.txt</x:v>
      </x:c>
      <x:c r="F32" s="49" t="str">
        <x:v>dd88586b4fb76bf49b00f8aaa8b506decbd3c07d1e5a31c5b15f148c3371db05</x:v>
      </x:c>
      <x:c r="G32" s="60" t="n">
        <x:v>1235</x:v>
      </x:c>
    </x:row>
  </x:sheetData>
  <x:pageMargins left="0.7" right="0.7" top="0.75" bottom="0.75" header="0.3" footer="0.3"/>
  <x:tableParts count="1">
    <x:tablePart xmlns:r="http://schemas.openxmlformats.org/officeDocument/2006/relationships" r:id="R675f32ac40c94c75"/>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RUN-IMO-124-20260828T064814869936Z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RUN-IMO-124-20260828T064814869936Z</x:v>
      </x:c>
      <x:c r="B5" s="69" t="str">
        <x:v>IMO-124</x:v>
      </x:c>
      <x:c r="C5" s="71" t="n">
        <x:v>4</x:v>
      </x:c>
      <x:c r="D5" s="69" t="str">
        <x:v>MAX_ATTEMPTS_REACHED</x:v>
      </x:c>
      <x:c r="E5" s="73" t="str">
        <x:v>Do not freeze yet. Preserve the prior repairs: keep explicit operatingArea = "Antarctic_area", antarcticArea = "Antarctic_area", and discharge = true applicability, require distanceToNearestFastIce &gt;= 12 in MI_N, require the distinct distanceFromAreaWithIceConcentrationAboveOneTenth record in MI_N, require nearbyIceConcentration and iceConcentration context, and require foodWasteDischargeOntoIce = false without adding a numeric datatype to qudt:numericValue. The active SPARQL constraint is inverted: its SELECT currently reports a violation when the valid nearby concentration/distance pattern exists, and it also incorrectly makes nearbyIceConcentration &gt; 1 function as an applicability gate. Replace it with a positive semantic-connection check that reports a violation only when the required recorded distance is not connected to the supplied concentration context, with the concentration-above-one-tenth condition represented as the operand/context requirement rather than applicability. Do not leave the operands as mere co-occurring unused properties. Keep the inactive branch explicitly evidence-based and unable to pass with missing applicability inputs.</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27fe231ed4584a16"/>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RUN-IMO-124-20260828T064814869936Z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