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029e20ef4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dffd379b894b35"/>
    <x:sheet xmlns:r="http://schemas.openxmlformats.org/officeDocument/2006/relationships" name="README" sheetId="2" r:id="R1ff4ddfce25d4f84"/>
    <x:sheet xmlns:r="http://schemas.openxmlformats.org/officeDocument/2006/relationships" name="REGULATION_QUEUE" sheetId="3" r:id="R2a8daa11f509453a"/>
    <x:sheet xmlns:r="http://schemas.openxmlformats.org/officeDocument/2006/relationships" name="RUNS" sheetId="4" r:id="Re277ef7ea9e848b9"/>
    <x:sheet xmlns:r="http://schemas.openxmlformats.org/officeDocument/2006/relationships" name="ITERATIONS" sheetId="5" r:id="R3c8c2f43584c4c0e"/>
    <x:sheet xmlns:r="http://schemas.openxmlformats.org/officeDocument/2006/relationships" name="API_CALLS" sheetId="6" r:id="Rc511b58443d34345"/>
    <x:sheet xmlns:r="http://schemas.openxmlformats.org/officeDocument/2006/relationships" name="TERM_RETRIEVAL" sheetId="7" r:id="Rf8d333cf4fc34077"/>
    <x:sheet xmlns:r="http://schemas.openxmlformats.org/officeDocument/2006/relationships" name="FEW_SHOT_SELECTION" sheetId="8" r:id="R0e070bd391e1455e"/>
    <x:sheet xmlns:r="http://schemas.openxmlformats.org/officeDocument/2006/relationships" name="VALIDATION" sheetId="9" r:id="R3493ffac2da24996"/>
    <x:sheet xmlns:r="http://schemas.openxmlformats.org/officeDocument/2006/relationships" name="VOCAB_MATCHES" sheetId="10" r:id="R1d102ae1edd74588"/>
    <x:sheet xmlns:r="http://schemas.openxmlformats.org/officeDocument/2006/relationships" name="ARTIFACTS" sheetId="11" r:id="Rf3acd3435fcf4fe5"/>
    <x:sheet xmlns:r="http://schemas.openxmlformats.org/officeDocument/2006/relationships" name="UNRESOLVED" sheetId="12" r:id="Rc2bae52642b3489f"/>
    <x:sheet xmlns:r="http://schemas.openxmlformats.org/officeDocument/2006/relationships" name="RDF_TEST_QUEUE" sheetId="13" r:id="R446e2ce0ec2a45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370ed12824a1b" /><Relationship Type="http://schemas.openxmlformats.org/officeDocument/2006/relationships/theme" Target="/xl/theme/theme1.xml" Id="R3bd432919b874178" /><Relationship Type="http://schemas.microsoft.com/office/2022/11/relationships/FeaturePropertyBag" Target="/xl/featurePropertyBag/featurePropertyBag.xml" Id="Rc5766029262d4a93" /><Relationship Type="http://schemas.openxmlformats.org/officeDocument/2006/relationships/sharedStrings" Target="/xl/sharedStrings.xml" Id="R614e2339fa614f4a" /><Relationship Type="http://schemas.openxmlformats.org/officeDocument/2006/relationships/worksheet" Target="/xl/worksheets/sheet1.xml" Id="Rb0dffd379b894b35" /><Relationship Type="http://schemas.openxmlformats.org/officeDocument/2006/relationships/worksheet" Target="/xl/worksheets/sheet2.xml" Id="R1ff4ddfce25d4f84" /><Relationship Type="http://schemas.openxmlformats.org/officeDocument/2006/relationships/worksheet" Target="/xl/worksheets/sheet3.xml" Id="R2a8daa11f509453a" /><Relationship Type="http://schemas.openxmlformats.org/officeDocument/2006/relationships/worksheet" Target="/xl/worksheets/sheet4.xml" Id="Re277ef7ea9e848b9" /><Relationship Type="http://schemas.openxmlformats.org/officeDocument/2006/relationships/worksheet" Target="/xl/worksheets/sheet5.xml" Id="R3c8c2f43584c4c0e" /><Relationship Type="http://schemas.openxmlformats.org/officeDocument/2006/relationships/worksheet" Target="/xl/worksheets/sheet6.xml" Id="Rc511b58443d34345" /><Relationship Type="http://schemas.openxmlformats.org/officeDocument/2006/relationships/worksheet" Target="/xl/worksheets/sheet7.xml" Id="Rf8d333cf4fc34077" /><Relationship Type="http://schemas.openxmlformats.org/officeDocument/2006/relationships/worksheet" Target="/xl/worksheets/sheet8.xml" Id="R0e070bd391e1455e" /><Relationship Type="http://schemas.openxmlformats.org/officeDocument/2006/relationships/worksheet" Target="/xl/worksheets/sheet9.xml" Id="R3493ffac2da24996" /><Relationship Type="http://schemas.openxmlformats.org/officeDocument/2006/relationships/worksheet" Target="/xl/worksheets/sheet10.xml" Id="R1d102ae1edd74588" /><Relationship Type="http://schemas.openxmlformats.org/officeDocument/2006/relationships/worksheet" Target="/xl/worksheets/sheet11.xml" Id="Rf3acd3435fcf4fe5" /><Relationship Type="http://schemas.openxmlformats.org/officeDocument/2006/relationships/worksheet" Target="/xl/worksheets/sheet12.xml" Id="Rc2bae52642b3489f" /><Relationship Type="http://schemas.openxmlformats.org/officeDocument/2006/relationships/worksheet" Target="/xl/worksheets/sheet13.xml" Id="R446e2ce0ec2a45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9bf8e9c13a49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e2c4cfc9094a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0f3328b99441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bd9432eeaa44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ea9bfc48504e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488342d1fc4a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8b5729bf2f45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a2bdc76a854f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9228fa145340a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89a2bac798b47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RUN-TRF-081-20260828T091457476800Z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18128.113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RUN-TRF-081-20260828T091457476800Z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9bf8e9c13a49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RUN-TRF-081-20260828T091457476800Z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GENERATION_ACCEPTED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e2c4cfc9094a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RUN-TRF-081-20260828T091457476800Z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RUN-TRF-081-20260828T091457476800Z</x:v>
      </x:c>
      <x:c r="C5" s="69" t="str">
        <x:v>TRF-081</x:v>
      </x:c>
      <x:c r="D5" s="70" t="n">
        <x:v>46262.38538746528</x:v>
      </x:c>
      <x:c r="E5" s="70" t="n">
        <x:v>46262.38623258102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TRF-081 for the authoritative ship owner: all declared operands and result terms are present, units and datatypes are valid, the forward/backward formulas and max-based design thrust are correct, and derived results use tolerance scaled from expected values with an absolute fallback. The prior ABS-replacement instruction is preserved and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0f3328b99441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RUN-TRF-081-20260828T091457476800Z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RUN-TRF-081-20260828T091457476800Z</x:v>
      </x:c>
      <x:c r="B5" s="45" t="str">
        <x:v>TRF-081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every SPARQL ABS(...) call with supported simple piecewise arithmetic, such as IF(?x &gt;= 0, ?x, -?x), including both the result difference and the absolute expected-result term in each tolerance comparison. DIRECT_CALCULATION permits only the registered arithmetic, comparisons, min/max, and simple piecewise operations; ABS is not an allowed calculation function. Preserve the existing tolerance scaled from each expected formula result and the max-based design-thrust logic.</x:v>
      </x:c>
      <x:c r="I5" s="81" t="n">
        <x:v>27072.743</x:v>
      </x:c>
      <x:c r="J5" s="81" t="n">
        <x:v>11135.268</x:v>
      </x:c>
    </x:row>
    <x:row r="6">
      <x:c r="A6" s="49" t="str">
        <x:v>RUN-TRF-081-20260828T091457476800Z</x:v>
      </x:c>
      <x:c r="B6" s="49" t="str">
        <x:v>TRF-081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TRF-081 for the authoritative ship owner: all declared operands and result terms are present, units and datatypes are valid, the forward/backward formulas and max-based design thrust are correct, and derived results use tolerance scaled from expected values with an absolute fallback. The prior ABS-replacement instruction is preserved and satisfied.</x:v>
      </x:c>
      <x:c r="I6" s="83" t="n">
        <x:v>24776.376</x:v>
      </x:c>
      <x:c r="J6" s="83" t="n">
        <x:v>9530.956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bd9432eeaa44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RUN-TRF-081-20260828T091457476800Z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RUN-TRF-081-20260828T091457476800Z</x:v>
      </x:c>
      <x:c r="C5" s="45" t="str">
        <x:v>TRF-081</x:v>
      </x:c>
      <x:c r="D5" s="90" t="n">
        <x:v>46262.385700810184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27071.12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RUN-TRF-081-20260828T091457476800Z</x:v>
      </x:c>
      <x:c r="C6" s="47" t="str">
        <x:v>TRF-081</x:v>
      </x:c>
      <x:c r="D6" s="91" t="n">
        <x:v>46262.385700833336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27072.743</x:v>
      </x:c>
      <x:c r="L6" s="93" t="b">
        <x:v>0</x:v>
      </x:c>
      <x:c r="M6" s="47" t="str">
        <x:v>resp_0b5690835e21d8ef006a915191b3088193adf7075b0b77254b</x:v>
      </x:c>
      <x:c r="N6" s="59" t="n">
        <x:v>8651</x:v>
      </x:c>
      <x:c r="O6" s="59" t="n">
        <x:v>2873</x:v>
      </x:c>
      <x:c r="P6" s="59" t="n">
        <x:v>11524</x:v>
      </x:c>
    </x:row>
    <x:row r="7">
      <x:c r="A7" s="47" t="str">
        <x:v>EVT-000028</x:v>
      </x:c>
      <x:c r="B7" s="47" t="str">
        <x:v>RUN-TRF-081-20260828T091457476800Z</x:v>
      </x:c>
      <x:c r="C7" s="47" t="str">
        <x:v>TRF-081</x:v>
      </x:c>
      <x:c r="D7" s="91" t="n">
        <x:v>46262.3858328125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11133.621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RUN-TRF-081-20260828T091457476800Z</x:v>
      </x:c>
      <x:c r="C8" s="47" t="str">
        <x:v>TRF-081</x:v>
      </x:c>
      <x:c r="D8" s="91" t="n">
        <x:v>46262.38583283565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11135.268</x:v>
      </x:c>
      <x:c r="L8" s="93" t="b">
        <x:v>0</x:v>
      </x:c>
      <x:c r="M8" s="47" t="str">
        <x:v>resp_0d0ffd0e37c2b695006a9151acfd848197b0a012dff9691917</x:v>
      </x:c>
      <x:c r="N8" s="59" t="n">
        <x:v>9717</x:v>
      </x:c>
      <x:c r="O8" s="59" t="n">
        <x:v>632</x:v>
      </x:c>
      <x:c r="P8" s="59" t="n">
        <x:v>10349</x:v>
      </x:c>
    </x:row>
    <x:row r="9">
      <x:c r="A9" s="47" t="str">
        <x:v>EVT-000034</x:v>
      </x:c>
      <x:c r="B9" s="47" t="str">
        <x:v>RUN-TRF-081-20260828T091457476800Z</x:v>
      </x:c>
      <x:c r="C9" s="47" t="str">
        <x:v>TRF-081</x:v>
      </x:c>
      <x:c r="D9" s="91" t="n">
        <x:v>46262.3861196412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24774.855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RUN-TRF-081-20260828T091457476800Z</x:v>
      </x:c>
      <x:c r="C10" s="47" t="str">
        <x:v>TRF-081</x:v>
      </x:c>
      <x:c r="D10" s="91" t="n">
        <x:v>46262.38611966435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24776.376</x:v>
      </x:c>
      <x:c r="L10" s="93" t="b">
        <x:v>0</x:v>
      </x:c>
      <x:c r="M10" s="47" t="str">
        <x:v>resp_036a8e3b86cb2418006a9151b8383c81948ea579a1ac1f7384</x:v>
      </x:c>
      <x:c r="N10" s="59" t="n">
        <x:v>8746</x:v>
      </x:c>
      <x:c r="O10" s="59" t="n">
        <x:v>2284</x:v>
      </x:c>
      <x:c r="P10" s="59" t="n">
        <x:v>11030</x:v>
      </x:c>
    </x:row>
    <x:row r="11">
      <x:c r="A11" s="47" t="str">
        <x:v>EVT-000042</x:v>
      </x:c>
      <x:c r="B11" s="47" t="str">
        <x:v>RUN-TRF-081-20260828T091457476800Z</x:v>
      </x:c>
      <x:c r="C11" s="47" t="str">
        <x:v>TRF-081</x:v>
      </x:c>
      <x:c r="D11" s="91" t="n">
        <x:v>46262.38623253472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9529.965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RUN-TRF-081-20260828T091457476800Z</x:v>
      </x:c>
      <x:c r="C12" s="49" t="str">
        <x:v>TRF-081</x:v>
      </x:c>
      <x:c r="D12" s="94" t="n">
        <x:v>46262.3862325463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9530.956</x:v>
      </x:c>
      <x:c r="L12" s="82" t="b">
        <x:v>0</x:v>
      </x:c>
      <x:c r="M12" s="49" t="str">
        <x:v>resp_09c060d9efc26a7a006a9151d1213081969b5e72e3881ec850</x:v>
      </x:c>
      <x:c r="N12" s="60" t="n">
        <x:v>9273</x:v>
      </x:c>
      <x:c r="O12" s="60" t="n">
        <x:v>606</x:v>
      </x:c>
      <x:c r="P12" s="60" t="n">
        <x:v>9879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ea9bfc48504e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RUN-TRF-081-20260828T091457476800Z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RUN-TRF-081-20260828T091457476800Z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RUN-TRF-081-20260828T091457476800Z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RUN-TRF-081-20260828T091457476800Z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RUN-TRF-081-20260828T091457476800Z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RUN-TRF-081-20260828T091457476800Z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RUN-TRF-081-20260828T091457476800Z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RUN-TRF-081-20260828T091457476800Z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RUN-TRF-081-20260828T091457476800Z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RUN-TRF-081-20260828T091457476800Z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RUN-TRF-081-20260828T091457476800Z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RUN-TRF-081-20260828T091457476800Z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RUN-TRF-081-20260828T091457476800Z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488342d1fc4a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RUN-TRF-081-20260828T091457476800Z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RUN-TRF-081-20260828T091457476800Z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7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RUN-TRF-081-20260828T091457476800Z</x:v>
      </x:c>
      <x:c r="B6" s="49" t="str">
        <x:v>TRF-081</x:v>
      </x:c>
      <x:c r="C6" s="49" t="str">
        <x:v>FS-QTY-01</x:v>
      </x:c>
      <x:c r="D6" s="49" t="str">
        <x:v>qudt_quantity</x:v>
      </x:c>
      <x:c r="E6" s="98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8b5729bf2f45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RUN-TRF-081-20260828T091457476800Z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RUN-TRF-081-20260828T091457476800Z</x:v>
      </x:c>
      <x:c r="B5" s="45" t="str">
        <x:v>TRF-081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46" t="str"/>
      <x:c r="P5" s="46" t="str"/>
      <x:c r="Q5" s="46" t="str"/>
    </x:row>
    <x:row r="6">
      <x:c r="A6" s="49" t="str">
        <x:v>RUN-TRF-081-20260828T091457476800Z</x:v>
      </x:c>
      <x:c r="B6" s="49" t="str">
        <x:v>TRF-081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1a2bdc76a854f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RUN-TRF-081-20260828T091457476800Z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RUN-TRF-081-20260828T091457476800Z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RUN-TRF-081-20260828T091457476800Z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RUN-TRF-081-20260828T091457476800Z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RUN-TRF-081-20260828T091457476800Z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RUN-TRF-081-20260828T091457476800Z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3dd0c411ee557e86c7b723f7fe1f9014823e03407f35a028521c67bf4f982395</x:v>
      </x:c>
      <x:c r="G8" s="59" t="n">
        <x:v>7828</x:v>
      </x:c>
    </x:row>
    <x:row r="9">
      <x:c r="A9" s="47" t="str">
        <x:v>RUN-TRF-081-20260828T091457476800Z</x:v>
      </x:c>
      <x:c r="B9" s="47" t="str">
        <x:v>TRF-081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fa9ec6d97ed9f1e025e56b69c4ecefb9b5308c1317f4877527e982b58f24d5f3</x:v>
      </x:c>
      <x:c r="G9" s="59" t="n">
        <x:v>7803</x:v>
      </x:c>
    </x:row>
    <x:row r="10">
      <x:c r="A10" s="47" t="str">
        <x:v>RUN-TRF-081-20260828T091457476800Z</x:v>
      </x:c>
      <x:c r="B10" s="47" t="str">
        <x:v>TRF-081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1bf0f59f4919eb5ecfe4a895ede2451bf2d2425e20205da4a8c962a319284daf</x:v>
      </x:c>
      <x:c r="G10" s="59" t="n">
        <x:v>903</x:v>
      </x:c>
    </x:row>
    <x:row r="11">
      <x:c r="A11" s="47" t="str">
        <x:v>RUN-TRF-081-20260828T091457476800Z</x:v>
      </x:c>
      <x:c r="B11" s="47" t="str">
        <x:v>TRF-081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0e09c4d1fb998dbae0ba43ffe89caa6d115d10f09ba7692c42837549f2a0008d</x:v>
      </x:c>
      <x:c r="G11" s="59" t="n">
        <x:v>37331</x:v>
      </x:c>
    </x:row>
    <x:row r="12">
      <x:c r="A12" s="47" t="str">
        <x:v>RUN-TRF-081-20260828T091457476800Z</x:v>
      </x:c>
      <x:c r="B12" s="47" t="str">
        <x:v>TRF-081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df293418c3d655e2971d3a8fdf0481caefbdc9486d8cf472711040fecc40a41a</x:v>
      </x:c>
      <x:c r="G12" s="59" t="n">
        <x:v>547</x:v>
      </x:c>
    </x:row>
    <x:row r="13">
      <x:c r="A13" s="47" t="str">
        <x:v>RUN-TRF-081-20260828T091457476800Z</x:v>
      </x:c>
      <x:c r="B13" s="47" t="str">
        <x:v>TRF-081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01dddaf313bc828e19a6fd7a48c8a621252fc8a9297b20da7a9b9bfc63080514</x:v>
      </x:c>
      <x:c r="G13" s="59" t="n">
        <x:v>35234</x:v>
      </x:c>
    </x:row>
    <x:row r="14">
      <x:c r="A14" s="47" t="str">
        <x:v>RUN-TRF-081-20260828T091457476800Z</x:v>
      </x:c>
      <x:c r="B14" s="47" t="str">
        <x:v>TRF-081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6473cc9a7a192bd4a4f284368f09644fec884d43027da3faae0ebf7081d9ce66</x:v>
      </x:c>
      <x:c r="G14" s="59" t="n">
        <x:v>5547</x:v>
      </x:c>
    </x:row>
    <x:row r="15">
      <x:c r="A15" s="47" t="str">
        <x:v>RUN-TRF-081-20260828T091457476800Z</x:v>
      </x:c>
      <x:c r="B15" s="47" t="str">
        <x:v>TRF-081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ab8562dfac2cc8e706477d5fef046f5d8650e7a6531d40535ce50f9e6510e195</x:v>
      </x:c>
      <x:c r="G15" s="59" t="n">
        <x:v>5522</x:v>
      </x:c>
    </x:row>
    <x:row r="16">
      <x:c r="A16" s="47" t="str">
        <x:v>RUN-TRF-081-20260828T091457476800Z</x:v>
      </x:c>
      <x:c r="B16" s="47" t="str">
        <x:v>TRF-081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1bf0f59f4919eb5ecfe4a895ede2451bf2d2425e20205da4a8c962a319284daf</x:v>
      </x:c>
      <x:c r="G16" s="59" t="n">
        <x:v>903</x:v>
      </x:c>
    </x:row>
    <x:row r="17">
      <x:c r="A17" s="47" t="str">
        <x:v>RUN-TRF-081-20260828T091457476800Z</x:v>
      </x:c>
      <x:c r="B17" s="47" t="str">
        <x:v>TRF-081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e83019e129621d81d24f56519d9760b386c5706c42a9377f35222ad231070a99</x:v>
      </x:c>
      <x:c r="G17" s="59" t="n">
        <x:v>35450</x:v>
      </x:c>
    </x:row>
    <x:row r="18">
      <x:c r="A18" s="47" t="str">
        <x:v>RUN-TRF-081-20260828T091457476800Z</x:v>
      </x:c>
      <x:c r="B18" s="47" t="str">
        <x:v>TRF-081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abade4fe7d363ee19cd0329ae3f4beb8ba0131c02d5f01ce70b240f200b989b7</x:v>
      </x:c>
      <x:c r="G18" s="59" t="n">
        <x:v>446</x:v>
      </x:c>
    </x:row>
    <x:row r="19">
      <x:c r="A19" s="49" t="str">
        <x:v>RUN-TRF-081-20260828T091457476800Z</x:v>
      </x:c>
      <x:c r="B19" s="49" t="str">
        <x:v>TRF-081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ab8562dfac2cc8e706477d5fef046f5d8650e7a6531d40535ce50f9e6510e195</x:v>
      </x:c>
      <x:c r="G19" s="60" t="n">
        <x:v>5522</x:v>
      </x:c>
    </x:row>
  </x:sheetData>
  <x:pageMargins left="0.7" right="0.7" top="0.75" bottom="0.75" header="0.3" footer="0.3"/>
  <x:tableParts count="1">
    <x:tablePart xmlns:r="http://schemas.openxmlformats.org/officeDocument/2006/relationships" r:id="R3d9228fa145340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RUN-TRF-081-20260828T091457476800Z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RUN-TRF-081-20260828T091457476800Z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RUN-TRF-081-20260828T091457476800Z</x:v>
      </x:c>
      <x:c r="B5" s="69" t="str">
        <x:v>TRF-081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9a2bac798b47a3"/>
  </x:tableParts>
</x:worksheet>
</file>