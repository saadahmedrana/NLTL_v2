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92cc49d0b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4aa19215ee4e77"/>
    <x:sheet xmlns:r="http://schemas.openxmlformats.org/officeDocument/2006/relationships" name="README" sheetId="2" r:id="Ref8676395ed44a6a"/>
    <x:sheet xmlns:r="http://schemas.openxmlformats.org/officeDocument/2006/relationships" name="REGULATION_QUEUE" sheetId="3" r:id="Rd3ee3ecf765c47cd"/>
    <x:sheet xmlns:r="http://schemas.openxmlformats.org/officeDocument/2006/relationships" name="RUNS" sheetId="4" r:id="R1f61608fa2e74694"/>
    <x:sheet xmlns:r="http://schemas.openxmlformats.org/officeDocument/2006/relationships" name="ITERATIONS" sheetId="5" r:id="R90fa0d81c1d34a25"/>
    <x:sheet xmlns:r="http://schemas.openxmlformats.org/officeDocument/2006/relationships" name="API_CALLS" sheetId="6" r:id="R6521c5deb60a49a4"/>
    <x:sheet xmlns:r="http://schemas.openxmlformats.org/officeDocument/2006/relationships" name="TERM_RETRIEVAL" sheetId="7" r:id="R6ac550a31b104526"/>
    <x:sheet xmlns:r="http://schemas.openxmlformats.org/officeDocument/2006/relationships" name="FEW_SHOT_SELECTION" sheetId="8" r:id="R6caf1489bbf94cb2"/>
    <x:sheet xmlns:r="http://schemas.openxmlformats.org/officeDocument/2006/relationships" name="VALIDATION" sheetId="9" r:id="R37e681dfecb348db"/>
    <x:sheet xmlns:r="http://schemas.openxmlformats.org/officeDocument/2006/relationships" name="VOCAB_MATCHES" sheetId="10" r:id="R92c3fe65f8254606"/>
    <x:sheet xmlns:r="http://schemas.openxmlformats.org/officeDocument/2006/relationships" name="ARTIFACTS" sheetId="11" r:id="Ra2eb4b26ce8f4aa1"/>
    <x:sheet xmlns:r="http://schemas.openxmlformats.org/officeDocument/2006/relationships" name="UNRESOLVED" sheetId="12" r:id="Ra39e5a249e2e4ac4"/>
    <x:sheet xmlns:r="http://schemas.openxmlformats.org/officeDocument/2006/relationships" name="RDF_TEST_QUEUE" sheetId="13" r:id="R48aa2628a878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37632aadc4dd2" /><Relationship Type="http://schemas.openxmlformats.org/officeDocument/2006/relationships/theme" Target="/xl/theme/theme1.xml" Id="R58753d31835b4105" /><Relationship Type="http://schemas.microsoft.com/office/2022/11/relationships/FeaturePropertyBag" Target="/xl/featurePropertyBag/featurePropertyBag.xml" Id="R89da618f04d54ea8" /><Relationship Type="http://schemas.openxmlformats.org/officeDocument/2006/relationships/sharedStrings" Target="/xl/sharedStrings.xml" Id="Rca3cf8a85a18482d" /><Relationship Type="http://schemas.openxmlformats.org/officeDocument/2006/relationships/worksheet" Target="/xl/worksheets/sheet1.xml" Id="Rd44aa19215ee4e77" /><Relationship Type="http://schemas.openxmlformats.org/officeDocument/2006/relationships/worksheet" Target="/xl/worksheets/sheet2.xml" Id="Ref8676395ed44a6a" /><Relationship Type="http://schemas.openxmlformats.org/officeDocument/2006/relationships/worksheet" Target="/xl/worksheets/sheet3.xml" Id="Rd3ee3ecf765c47cd" /><Relationship Type="http://schemas.openxmlformats.org/officeDocument/2006/relationships/worksheet" Target="/xl/worksheets/sheet4.xml" Id="R1f61608fa2e74694" /><Relationship Type="http://schemas.openxmlformats.org/officeDocument/2006/relationships/worksheet" Target="/xl/worksheets/sheet5.xml" Id="R90fa0d81c1d34a25" /><Relationship Type="http://schemas.openxmlformats.org/officeDocument/2006/relationships/worksheet" Target="/xl/worksheets/sheet6.xml" Id="R6521c5deb60a49a4" /><Relationship Type="http://schemas.openxmlformats.org/officeDocument/2006/relationships/worksheet" Target="/xl/worksheets/sheet7.xml" Id="R6ac550a31b104526" /><Relationship Type="http://schemas.openxmlformats.org/officeDocument/2006/relationships/worksheet" Target="/xl/worksheets/sheet8.xml" Id="R6caf1489bbf94cb2" /><Relationship Type="http://schemas.openxmlformats.org/officeDocument/2006/relationships/worksheet" Target="/xl/worksheets/sheet9.xml" Id="R37e681dfecb348db" /><Relationship Type="http://schemas.openxmlformats.org/officeDocument/2006/relationships/worksheet" Target="/xl/worksheets/sheet10.xml" Id="R92c3fe65f8254606" /><Relationship Type="http://schemas.openxmlformats.org/officeDocument/2006/relationships/worksheet" Target="/xl/worksheets/sheet11.xml" Id="Ra2eb4b26ce8f4aa1" /><Relationship Type="http://schemas.openxmlformats.org/officeDocument/2006/relationships/worksheet" Target="/xl/worksheets/sheet12.xml" Id="Ra39e5a249e2e4ac4" /><Relationship Type="http://schemas.openxmlformats.org/officeDocument/2006/relationships/worksheet" Target="/xl/worksheets/sheet13.xml" Id="R48aa2628a87843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c8ff75ee1941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07c7d8fef14f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170f26f9264c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11effa17f54e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96ccfbde9e49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b0d139068a44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def8dd2d0643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6223f9044741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339b735d36440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61350ef5cc14a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RUN-TRF-101-20260828T093225552076Z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30036.509687499998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RUN-TRF-101-20260828T093225552076Z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c8ff75ee1941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RUN-TRF-101-20260828T093225552076Z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MAX_ATTEMPTS_REACHED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07c7d8fef14f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RUN-TRF-101-20260828T093225552076Z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RUN-TRF-101-20260828T093225552076Z</x:v>
      </x:c>
      <x:c r="C5" s="69" t="str">
        <x:v>TRF-101</x:v>
      </x:c>
      <x:c r="D5" s="70" t="n">
        <x:v>46262.39751797454</x:v>
      </x:c>
      <x:c r="E5" s="70" t="n">
        <x:v>46262.40031511574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semantic constraints before freezing. Constrain bladeFailureLoadApplicationRadiusRatio on its QuantityValue numericValue to exactly 0.8 using equal inclusive bounds (sh:minInclusive and sh:maxInclusive), while retaining its dimensionless unit; the current shape permits any ratio and therefore does not encode application at 0.8R. Require nltl:bladeFailureStatus on the ship with xsd:boolean and minCount 1/maxCount 1, so absence cannot pass; retain the SPARQL biconditional for failure exactly when bladeTipOffset exceeds 0.10*propellerDiameter. In the formula branch, use separate expected-result-scaled tolerances for expectedReferenceStrength and expectedLoad rather than one tolerance derived from expectedLoad and applied to both results; keep direct arithmetic/comparison operations only and preserve the exclusive approved-analysis versus computation alternatives, shared load-case ratio and weakest-direction obligations, and all declared formula operands/results.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70f26f9264c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RUN-TRF-101-20260828T093225552076Z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RUN-TRF-101-20260828T093225552076Z</x:v>
      </x:c>
      <x:c r="B5" s="45" t="str">
        <x:v>TRF-101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alternative structure so the approved-analysis branch does not also require formula-only result and operand values globally; formula-specific quantities and the formula comparison must be mandatory only in the computation branch, while shared load-application and status obligations remain enforced. Replace ABS-based tolerance calculations in the DIRECT_CALCULATION SPARQL with supported direct arithmetic/comparison bounds (or equivalent min/max/piecewise logic), since ABS is outside the permitted calculation operations. Preserve the approved nonlinear analysis relationship, the 0.8 dimensionless load-case ratio, weakest-direction confirmation, and the expected-result-scaled tolerance.</x:v>
      </x:c>
      <x:c r="I5" s="84" t="n">
        <x:v>43126.695</x:v>
      </x:c>
      <x:c r="J5" s="84" t="n">
        <x:v>19776.061</x:v>
      </x:c>
    </x:row>
    <x:row r="6">
      <x:c r="A6" s="47" t="str">
        <x:v>RUN-TRF-101-20260828T093225552076Z</x:v>
      </x:c>
      <x:c r="B6" s="47" t="str">
        <x:v>TRF-101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Quantity property propellerDiameter must point to a QUDT QuantityValue node, not a direct literal datatype | Quantity property bladeTipOffset must point to a QUDT QuantityValue node, not a direct literal datatype | Quantity property bladeFailureLoadApplicationRadiusRatio must point to a QUDT QuantityValue node, not a direct literal datatype | Quantity property bladeChordLengthAtWeakestSection must point to a QUDT QuantityValue node, not a direct literal datatype | Quantity property bladeMaximumThicknessAtWeakestSection must point to a QUDT QuantityValue node, not a direct literal datatype | Quantity property bladeCylindricalRootRadius must point to a QUDT QuantityValue node, not a direct literal datatype | Quantity property bladeMinimumYieldStrength must point to a QUDT QuantityValue node, not a direct literal datatype | Quantity property bladeUltimateTensileStrength must point to a QUDT QuantityValue node, not a direct literal datatype | Quantity property bladeReferenceStrength1 must point to a QUDT QuantityValue node, not a direct literal datatype | Quantity property bladeFailureUltimateLoad must point to a QUDT QuantityValue node, not a direct literal datatype
Semantic validator feedback: Repair the QUDT quantity constraints: remove sh:datatype qdt:QuantityValue from every quantity property (propellerDiameter, bladeTipOffset, bladeFailureLoadApplicationRadiusRatio, and all formula operands/results), because these properties must point to QuantityValue nodes. Keep the existing sh:node structures with qdt:numericValue as xsd:decimal and the declared unit constraints. Preserve the prior valid repair: keep approved analysis and formula computation as exclusive alternatives, retain shared load-case ratio and weakest-direction obligations, use only supported direct arithmetic/comparison bounds, and ensure derived-result tolerances are scaled from the expected results.</x:v>
      </x:c>
      <x:c r="I6" s="86" t="n">
        <x:v>38599.506</x:v>
      </x:c>
      <x:c r="J6" s="86" t="n">
        <x:v>19255.292</x:v>
      </x:c>
    </x:row>
    <x:row r="7">
      <x:c r="A7" s="47" t="str">
        <x:v>RUN-TRF-101-20260828T093225552076Z</x:v>
      </x:c>
      <x:c r="B7" s="47" t="str">
        <x:v>TRF-101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Unapproved external/generated IRI(s): http://qudt.org/schema/qudt, http://qudt.org/schema/qudtnumericValue, http://qudt.org/schema/qudtunit
Semantic validator feedback: Deterministic validation is invalid because the QUDT prefix lacks a terminating slash or hash, expanding qudt:numericValue and qudt:unit to unapproved IRIs such as http://qudt.org/schema/qudtnumericValue and http://qudt.org/schema/qudtunit. Declare the QUDT namespace with the canonical terminating delimiter matching the supplied QUDT range, then retain the existing QuantityValue node, decimal numericValue, and unit constraints. The approved-analysis/formula alternatives, load-case ownership, 0.8 ratio, weakest-direction confirmation, status comparison, and expected-result-scaled tolerances are otherwise preserved.</x:v>
      </x:c>
      <x:c r="I7" s="86" t="n">
        <x:v>45961.628</x:v>
      </x:c>
      <x:c r="J7" s="86" t="n">
        <x:v>17289.284</x:v>
      </x:c>
    </x:row>
    <x:row r="8">
      <x:c r="A8" s="49" t="str">
        <x:v>RUN-TRF-101-20260828T093225552076Z</x:v>
      </x:c>
      <x:c r="B8" s="49" t="str">
        <x:v>TRF-101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semantic constraints before freezing. Constrain bladeFailureLoadApplicationRadiusRatio on its QuantityValue numericValue to exactly 0.8 using equal inclusive bounds (sh:minInclusive and sh:maxInclusive), while retaining its dimensionless unit; the current shape permits any ratio and therefore does not encode application at 0.8R. Require nltl:bladeFailureStatus on the ship with xsd:boolean and minCount 1/maxCount 1, so absence cannot pass; retain the SPARQL biconditional for failure exactly when bladeTipOffset exceeds 0.10*propellerDiameter. In the formula branch, use separate expected-result-scaled tolerances for expectedReferenceStrength and expectedLoad rather than one tolerance derived from expectedLoad and applied to both results; keep direct arithmetic/comparison operations only and preserve the exclusive approved-analysis versus computation alternatives, shared load-case ratio and weakest-direction obligations, and all declared formula operands/results.</x:v>
      </x:c>
      <x:c r="I8" s="88" t="n">
        <x:v>36775.848</x:v>
      </x:c>
      <x:c r="J8" s="88" t="n">
        <x:v>19513.788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11effa17f54e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RUN-TRF-101-20260828T093225552076Z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RUN-TRF-101-20260828T093225552076Z</x:v>
      </x:c>
      <x:c r="C5" s="45" t="str">
        <x:v>TRF-101</x:v>
      </x:c>
      <x:c r="D5" s="92" t="n">
        <x:v>46262.39801712963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43124.979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RUN-TRF-101-20260828T093225552076Z</x:v>
      </x:c>
      <x:c r="C6" s="47" t="str">
        <x:v>TRF-101</x:v>
      </x:c>
      <x:c r="D6" s="93" t="n">
        <x:v>46262.39801715278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43126.695</x:v>
      </x:c>
      <x:c r="L6" s="85" t="b">
        <x:v>0</x:v>
      </x:c>
      <x:c r="M6" s="47" t="str">
        <x:v>resp_0007c66a3eacc070006a9155a9c48081938f022f446513aade</x:v>
      </x:c>
      <x:c r="N6" s="59" t="n">
        <x:v>10874</x:v>
      </x:c>
      <x:c r="O6" s="59" t="n">
        <x:v>3804</x:v>
      </x:c>
      <x:c r="P6" s="59" t="n">
        <x:v>14678</x:v>
      </x:c>
    </x:row>
    <x:row r="7">
      <x:c r="A7" s="47" t="str">
        <x:v>EVT-000037</x:v>
      </x:c>
      <x:c r="B7" s="47" t="str">
        <x:v>RUN-TRF-101-20260828T093225552076Z</x:v>
      </x:c>
      <x:c r="C7" s="47" t="str">
        <x:v>TRF-101</x:v>
      </x:c>
      <x:c r="D7" s="93" t="n">
        <x:v>46262.39825005787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19774.457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RUN-TRF-101-20260828T093225552076Z</x:v>
      </x:c>
      <x:c r="C8" s="47" t="str">
        <x:v>TRF-101</x:v>
      </x:c>
      <x:c r="D8" s="93" t="n">
        <x:v>46262.398250081016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19776.061</x:v>
      </x:c>
      <x:c r="L8" s="85" t="b">
        <x:v>0</x:v>
      </x:c>
      <x:c r="M8" s="47" t="str">
        <x:v>resp_00753b6b9aec49f4006a9155d537b48197b6444568a457f0b9</x:v>
      </x:c>
      <x:c r="N8" s="59" t="n">
        <x:v>13366</x:v>
      </x:c>
      <x:c r="O8" s="59" t="n">
        <x:v>1173</x:v>
      </x:c>
      <x:c r="P8" s="59" t="n">
        <x:v>14539</x:v>
      </x:c>
    </x:row>
    <x:row r="9">
      <x:c r="A9" s="47" t="str">
        <x:v>EVT-000043</x:v>
      </x:c>
      <x:c r="B9" s="47" t="str">
        <x:v>RUN-TRF-101-20260828T093225552076Z</x:v>
      </x:c>
      <x:c r="C9" s="47" t="str">
        <x:v>TRF-101</x:v>
      </x:c>
      <x:c r="D9" s="93" t="n">
        <x:v>46262.398696875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38597.969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RUN-TRF-101-20260828T093225552076Z</x:v>
      </x:c>
      <x:c r="C10" s="47" t="str">
        <x:v>TRF-101</x:v>
      </x:c>
      <x:c r="D10" s="93" t="n">
        <x:v>46262.39869689815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38599.506</x:v>
      </x:c>
      <x:c r="L10" s="85" t="b">
        <x:v>0</x:v>
      </x:c>
      <x:c r="M10" s="47" t="str">
        <x:v>resp_0236e91b5e060a1b006a9155e8f99c81908e154afc752a44f2</x:v>
      </x:c>
      <x:c r="N10" s="59" t="n">
        <x:v>10992</x:v>
      </x:c>
      <x:c r="O10" s="59" t="n">
        <x:v>3831</x:v>
      </x:c>
      <x:c r="P10" s="59" t="n">
        <x:v>14823</x:v>
      </x:c>
    </x:row>
    <x:row r="11">
      <x:c r="A11" s="47" t="str">
        <x:v>EVT-000051</x:v>
      </x:c>
      <x:c r="B11" s="47" t="str">
        <x:v>RUN-TRF-101-20260828T093225552076Z</x:v>
      </x:c>
      <x:c r="C11" s="47" t="str">
        <x:v>TRF-101</x:v>
      </x:c>
      <x:c r="D11" s="93" t="n">
        <x:v>46262.398923900466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19253.735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RUN-TRF-101-20260828T093225552076Z</x:v>
      </x:c>
      <x:c r="C12" s="47" t="str">
        <x:v>TRF-101</x:v>
      </x:c>
      <x:c r="D12" s="93" t="n">
        <x:v>46262.39892392361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19255.292</x:v>
      </x:c>
      <x:c r="L12" s="85" t="b">
        <x:v>0</x:v>
      </x:c>
      <x:c r="M12" s="47" t="str">
        <x:v>resp_0255e19e3f2fe5fd006a91560ff06c8194a2b3596b5b89947b</x:v>
      </x:c>
      <x:c r="N12" s="59" t="n">
        <x:v>13902</x:v>
      </x:c>
      <x:c r="O12" s="59" t="n">
        <x:v>1174</x:v>
      </x:c>
      <x:c r="P12" s="59" t="n">
        <x:v>15076</x:v>
      </x:c>
    </x:row>
    <x:row r="13">
      <x:c r="A13" s="47" t="str">
        <x:v>EVT-000058</x:v>
      </x:c>
      <x:c r="B13" s="47" t="str">
        <x:v>RUN-TRF-101-20260828T093225552076Z</x:v>
      </x:c>
      <x:c r="C13" s="47" t="str">
        <x:v>TRF-101</x:v>
      </x:c>
      <x:c r="D13" s="93" t="n">
        <x:v>46262.3994559375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45960.05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RUN-TRF-101-20260828T093225552076Z</x:v>
      </x:c>
      <x:c r="C14" s="47" t="str">
        <x:v>TRF-101</x:v>
      </x:c>
      <x:c r="D14" s="93" t="n">
        <x:v>46262.39945596065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45961.628</x:v>
      </x:c>
      <x:c r="L14" s="85" t="b">
        <x:v>0</x:v>
      </x:c>
      <x:c r="M14" s="47" t="str">
        <x:v>resp_05c59879e54bcfd7006a9156233324819792c1b1f27f954c7b</x:v>
      </x:c>
      <x:c r="N14" s="59" t="n">
        <x:v>11375</x:v>
      </x:c>
      <x:c r="O14" s="59" t="n">
        <x:v>4267</x:v>
      </x:c>
      <x:c r="P14" s="59" t="n">
        <x:v>15642</x:v>
      </x:c>
    </x:row>
    <x:row r="15">
      <x:c r="A15" s="47" t="str">
        <x:v>EVT-000066</x:v>
      </x:c>
      <x:c r="B15" s="47" t="str">
        <x:v>RUN-TRF-101-20260828T093225552076Z</x:v>
      </x:c>
      <x:c r="C15" s="47" t="str">
        <x:v>TRF-101</x:v>
      </x:c>
      <x:c r="D15" s="93" t="n">
        <x:v>46262.39966028935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17287.859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RUN-TRF-101-20260828T093225552076Z</x:v>
      </x:c>
      <x:c r="C16" s="47" t="str">
        <x:v>TRF-101</x:v>
      </x:c>
      <x:c r="D16" s="93" t="n">
        <x:v>46262.3996603125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17289.284</x:v>
      </x:c>
      <x:c r="L16" s="85" t="b">
        <x:v>0</x:v>
      </x:c>
      <x:c r="M16" s="47" t="str">
        <x:v>resp_0557a461c1833e1b006a915651880c819690b0e1b2b49c647c</x:v>
      </x:c>
      <x:c r="N16" s="59" t="n">
        <x:v>14455</x:v>
      </x:c>
      <x:c r="O16" s="59" t="n">
        <x:v>1184</x:v>
      </x:c>
      <x:c r="P16" s="59" t="n">
        <x:v>15639</x:v>
      </x:c>
    </x:row>
    <x:row r="17">
      <x:c r="A17" s="47" t="str">
        <x:v>EVT-000073</x:v>
      </x:c>
      <x:c r="B17" s="47" t="str">
        <x:v>RUN-TRF-101-20260828T093225552076Z</x:v>
      </x:c>
      <x:c r="C17" s="47" t="str">
        <x:v>TRF-101</x:v>
      </x:c>
      <x:c r="D17" s="93" t="n">
        <x:v>46262.400085995374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36774.397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EVT-000074</x:v>
      </x:c>
      <x:c r="B18" s="47" t="str">
        <x:v>RUN-TRF-101-20260828T093225552076Z</x:v>
      </x:c>
      <x:c r="C18" s="47" t="str">
        <x:v>TRF-101</x:v>
      </x:c>
      <x:c r="D18" s="93" t="n">
        <x:v>46262.40008601852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36775.848</x:v>
      </x:c>
      <x:c r="L18" s="85" t="b">
        <x:v>0</x:v>
      </x:c>
      <x:c r="M18" s="47" t="str">
        <x:v>resp_09cfd7841e76400d006a915662d41c81909285387ff4366891</x:v>
      </x:c>
      <x:c r="N18" s="59" t="n">
        <x:v>11560</x:v>
      </x:c>
      <x:c r="O18" s="59" t="n">
        <x:v>3468</x:v>
      </x:c>
      <x:c r="P18" s="59" t="n">
        <x:v>15028</x:v>
      </x:c>
    </x:row>
    <x:row r="19">
      <x:c r="A19" s="47" t="str">
        <x:v>EVT-000081</x:v>
      </x:c>
      <x:c r="B19" s="47" t="str">
        <x:v>RUN-TRF-101-20260828T093225552076Z</x:v>
      </x:c>
      <x:c r="C19" s="47" t="str">
        <x:v>TRF-101</x:v>
      </x:c>
      <x:c r="D19" s="93" t="n">
        <x:v>46262.40031506945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19512.607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EVT-000082</x:v>
      </x:c>
      <x:c r="B20" s="49" t="str">
        <x:v>RUN-TRF-101-20260828T093225552076Z</x:v>
      </x:c>
      <x:c r="C20" s="49" t="str">
        <x:v>TRF-101</x:v>
      </x:c>
      <x:c r="D20" s="94" t="n">
        <x:v>46262.40031508102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19513.788</x:v>
      </x:c>
      <x:c r="L20" s="87" t="b">
        <x:v>0</x:v>
      </x:c>
      <x:c r="M20" s="49" t="str">
        <x:v>resp_0c10de306bf87b90006a915687fb1c819099c91774c9d3b483</x:v>
      </x:c>
      <x:c r="N20" s="60" t="n">
        <x:v>13697</x:v>
      </x:c>
      <x:c r="O20" s="60" t="n">
        <x:v>1243</x:v>
      </x:c>
      <x:c r="P20" s="60" t="n">
        <x:v>14940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96ccfbde9e49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RUN-TRF-101-20260828T093225552076Z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RUN-TRF-101-20260828T093225552076Z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RUN-TRF-101-20260828T093225552076Z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RUN-TRF-101-20260828T093225552076Z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RUN-TRF-101-20260828T093225552076Z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RUN-TRF-101-20260828T093225552076Z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RUN-TRF-101-20260828T093225552076Z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RUN-TRF-101-20260828T093225552076Z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RUN-TRF-101-20260828T093225552076Z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RUN-TRF-101-20260828T093225552076Z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RUN-TRF-101-20260828T093225552076Z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RUN-TRF-101-20260828T093225552076Z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RUN-TRF-101-20260828T093225552076Z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RUN-TRF-101-20260828T093225552076Z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RUN-TRF-101-20260828T093225552076Z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RUN-TRF-101-20260828T093225552076Z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RUN-TRF-101-20260828T093225552076Z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RUN-TRF-101-20260828T093225552076Z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RUN-TRF-101-20260828T093225552076Z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RUN-TRF-101-20260828T093225552076Z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RUN-TRF-101-20260828T093225552076Z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RUN-TRF-101-20260828T093225552076Z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b0d139068a44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RUN-TRF-101-20260828T093225552076Z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RUN-TRF-101-20260828T093225552076Z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RUN-TRF-101-20260828T093225552076Z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ef8dd2d0643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RUN-TRF-101-20260828T093225552076Z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RUN-TRF-101-20260828T093225552076Z</x:v>
      </x:c>
      <x:c r="B5" s="45" t="str">
        <x:v>TRF-101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5" s="46" t="str"/>
      <x:c r="P5" s="46" t="str"/>
      <x:c r="Q5" s="46" t="str"/>
    </x:row>
    <x:row r="6">
      <x:c r="A6" s="47" t="str">
        <x:v>RUN-TRF-101-20260828T093225552076Z</x:v>
      </x:c>
      <x:c r="B6" s="47" t="str">
        <x:v>TRF-101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48" t="str">
        <x:v>Quantity property propellerDiameter must point to a QUDT QuantityValue node, not a direct literal datatype | Quantity property bladeTipOffset must point to a QUDT QuantityValue node, not a direct literal datatype | Quantity property bladeFailureLoadApplicationRadiusRatio must point to a QUDT QuantityValue node, not a direct literal datatype | Quantity property bladeChordLengthAtWeakestSection must point to a QUDT QuantityValue node, not a direct literal datatype | Quantity property bladeMaximumThicknessAtWeakestSection must point to a QUDT QuantityValue node, not a direct literal datatype | Quantity property bladeCylindricalRootRadius must point to a QUDT QuantityValue node, not a direct literal datatype | Quantity property bladeMinimumYieldStrength must point to a QUDT QuantityValue node, not a direct literal datatype | Quantity property bladeUltimateTensileStrength must point to a QUDT QuantityValue node, not a direct literal datatype | Quantity property bladeReferenceStrength1 must point to a QUDT QuantityValue node, not a direct literal datatype | Quantity property bladeFailureUltimateLoad must point to a QUDT QuantityValue node, not a direct literal datatype</x:v>
      </x:c>
      <x:c r="M6" s="48" t="str"/>
      <x:c r="N6" s="48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6" s="48" t="str"/>
      <x:c r="P6" s="48" t="str"/>
      <x:c r="Q6" s="48" t="str"/>
    </x:row>
    <x:row r="7">
      <x:c r="A7" s="47" t="str">
        <x:v>RUN-TRF-101-20260828T093225552076Z</x:v>
      </x:c>
      <x:c r="B7" s="47" t="str">
        <x:v>TRF-101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48" t="str">
        <x:v>Unapproved external/generated IRI(s): http://qudt.org/schema/qudt, http://qudt.org/schema/qudtnumericValue, http://qudt.org/schema/qudtunit</x:v>
      </x:c>
      <x:c r="M7" s="48" t="str"/>
      <x:c r="N7" s="48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7" s="48" t="str"/>
      <x:c r="P7" s="48" t="str"/>
      <x:c r="Q7" s="48" t="str">
        <x:v>http://qudt.org/schema/qudt | http://qudt.org/schema/qudtnumericValue | http://qudt.org/schema/qudtunit</x:v>
      </x:c>
    </x:row>
    <x:row r="8">
      <x:c r="A8" s="49" t="str">
        <x:v>RUN-TRF-101-20260828T093225552076Z</x:v>
      </x:c>
      <x:c r="B8" s="49" t="str">
        <x:v>TRF-101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86223f9044741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RUN-TRF-101-20260828T093225552076Z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RUN-TRF-101-20260828T093225552076Z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RUN-TRF-101-20260828T093225552076Z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RUN-TRF-101-20260828T093225552076Z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RUN-TRF-101-20260828T093225552076Z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RUN-TRF-101-20260828T093225552076Z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cf9fb2fea99a542967131c2103a1846c8b1bfad57eb113d134d11c1df43f61d6</x:v>
      </x:c>
      <x:c r="G8" s="59" t="n">
        <x:v>9400</x:v>
      </x:c>
    </x:row>
    <x:row r="9">
      <x:c r="A9" s="47" t="str">
        <x:v>RUN-TRF-101-20260828T093225552076Z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5b0d0db61126e808e1d2f17d813a58023ba1083ce872dc38abc9c139564e7f2d</x:v>
      </x:c>
      <x:c r="G9" s="59" t="n">
        <x:v>9375</x:v>
      </x:c>
    </x:row>
    <x:row r="10">
      <x:c r="A10" s="47" t="str">
        <x:v>RUN-TRF-101-20260828T093225552076Z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9432471ec24e196c9ef0cc4780cb19b5cca4140d6df4b4a49aff3e0e9b84e5c6</x:v>
      </x:c>
      <x:c r="G10" s="59" t="n">
        <x:v>1397</x:v>
      </x:c>
    </x:row>
    <x:row r="11">
      <x:c r="A11" s="47" t="str">
        <x:v>RUN-TRF-101-20260828T093225552076Z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0dd19d344b09212225934f015b0cb6b81f5416b3b1d5c6c47d3ddf64430d03e2</x:v>
      </x:c>
      <x:c r="G11" s="59" t="n">
        <x:v>53024</x:v>
      </x:c>
    </x:row>
    <x:row r="12">
      <x:c r="A12" s="47" t="str">
        <x:v>RUN-TRF-101-20260828T093225552076Z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5a163b1e570aaacee4d1edd70cd1f627ef4a50c8cd44416ec11648df1e48ca35</x:v>
      </x:c>
      <x:c r="G12" s="59" t="n">
        <x:v>767</x:v>
      </x:c>
    </x:row>
    <x:row r="13">
      <x:c r="A13" s="47" t="str">
        <x:v>RUN-TRF-101-20260828T093225552076Z</x:v>
      </x:c>
      <x:c r="B13" s="47" t="str">
        <x:v>TRF-101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93cfaecec1800d2dc4adf3ed5084505af3666d033b369bd20619bf9a3ed1910d</x:v>
      </x:c>
      <x:c r="G13" s="59" t="n">
        <x:v>45987</x:v>
      </x:c>
    </x:row>
    <x:row r="14">
      <x:c r="A14" s="47" t="str">
        <x:v>RUN-TRF-101-20260828T093225552076Z</x:v>
      </x:c>
      <x:c r="B14" s="47" t="str">
        <x:v>TRF-101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d2e023a7532c520ad4387c6769c8fef3389b7a7a2205190cd48a5a4876f1ad02</x:v>
      </x:c>
      <x:c r="G14" s="59" t="n">
        <x:v>11629</x:v>
      </x:c>
    </x:row>
    <x:row r="15">
      <x:c r="A15" s="47" t="str">
        <x:v>RUN-TRF-101-20260828T093225552076Z</x:v>
      </x:c>
      <x:c r="B15" s="47" t="str">
        <x:v>TRF-101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596dcce1d15f1e4da1e888f84579f7eabfe3c2ed6895e826c29fc72935a11290</x:v>
      </x:c>
      <x:c r="G15" s="59" t="n">
        <x:v>11604</x:v>
      </x:c>
    </x:row>
    <x:row r="16">
      <x:c r="A16" s="47" t="str">
        <x:v>RUN-TRF-101-20260828T093225552076Z</x:v>
      </x:c>
      <x:c r="B16" s="47" t="str">
        <x:v>TRF-101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d1916db34c3468fdb2b0db96d58b8af5243b87a2a07932b12d109b1f65ebe2fc</x:v>
      </x:c>
      <x:c r="G16" s="59" t="n">
        <x:v>2591</x:v>
      </x:c>
    </x:row>
    <x:row r="17">
      <x:c r="A17" s="47" t="str">
        <x:v>RUN-TRF-101-20260828T093225552076Z</x:v>
      </x:c>
      <x:c r="B17" s="47" t="str">
        <x:v>TRF-101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f11912baa730ab7f99bbf4a65cdcab91b5e76573bc6b73cb9d62f7b585fdd99c</x:v>
      </x:c>
      <x:c r="G17" s="59" t="n">
        <x:v>56911</x:v>
      </x:c>
    </x:row>
    <x:row r="18">
      <x:c r="A18" s="47" t="str">
        <x:v>RUN-TRF-101-20260828T093225552076Z</x:v>
      </x:c>
      <x:c r="B18" s="47" t="str">
        <x:v>TRF-101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276f6f139e91b3a97b47388bbf91fb7fc9acfede93a995681e2278c9674bc657</x:v>
      </x:c>
      <x:c r="G18" s="59" t="n">
        <x:v>750</x:v>
      </x:c>
    </x:row>
    <x:row r="19">
      <x:c r="A19" s="47" t="str">
        <x:v>RUN-TRF-101-20260828T093225552076Z</x:v>
      </x:c>
      <x:c r="B19" s="47" t="str">
        <x:v>TRF-101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71a6d91abc3a94099cab301786ca73b4ffdd06f49020f5198cf998ef13b649ba</x:v>
      </x:c>
      <x:c r="G19" s="59" t="n">
        <x:v>47943</x:v>
      </x:c>
    </x:row>
    <x:row r="20">
      <x:c r="A20" s="47" t="str">
        <x:v>RUN-TRF-101-20260828T093225552076Z</x:v>
      </x:c>
      <x:c r="B20" s="47" t="str">
        <x:v>TRF-101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fa9597fc1f80735c185146fbf81071bf9463761491ab4046d365a80db3fd9ed4</x:v>
      </x:c>
      <x:c r="G20" s="59" t="n">
        <x:v>11258</x:v>
      </x:c>
    </x:row>
    <x:row r="21">
      <x:c r="A21" s="47" t="str">
        <x:v>RUN-TRF-101-20260828T093225552076Z</x:v>
      </x:c>
      <x:c r="B21" s="47" t="str">
        <x:v>TRF-101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7ae630621dcd4565aa54ba199e9a3a47e143c058ab83e69346e3daf2b1d27f9f</x:v>
      </x:c>
      <x:c r="G21" s="59" t="n">
        <x:v>11233</x:v>
      </x:c>
    </x:row>
    <x:row r="22">
      <x:c r="A22" s="47" t="str">
        <x:v>RUN-TRF-101-20260828T093225552076Z</x:v>
      </x:c>
      <x:c r="B22" s="47" t="str">
        <x:v>TRF-101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1c445290a1f237832385ba19e06c90202b1006927179a11d7295e3054856a544</x:v>
      </x:c>
      <x:c r="G22" s="59" t="n">
        <x:v>1627</x:v>
      </x:c>
    </x:row>
    <x:row r="23">
      <x:c r="A23" s="47" t="str">
        <x:v>RUN-TRF-101-20260828T093225552076Z</x:v>
      </x:c>
      <x:c r="B23" s="47" t="str">
        <x:v>TRF-101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a7b1f4a67a68b729bc5616e58f0c78f2e44eb9ed4369d452ef06295ec5d1b1f1</x:v>
      </x:c>
      <x:c r="G23" s="59" t="n">
        <x:v>57553</x:v>
      </x:c>
    </x:row>
    <x:row r="24">
      <x:c r="A24" s="47" t="str">
        <x:v>RUN-TRF-101-20260828T093225552076Z</x:v>
      </x:c>
      <x:c r="B24" s="47" t="str">
        <x:v>TRF-101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07f73c5cacce0914c44098c7bc2bcad8f4e716e3c82dafdd9f35b87a89f633b8</x:v>
      </x:c>
      <x:c r="G24" s="59" t="n">
        <x:v>685</x:v>
      </x:c>
    </x:row>
    <x:row r="25">
      <x:c r="A25" s="47" t="str">
        <x:v>RUN-TRF-101-20260828T093225552076Z</x:v>
      </x:c>
      <x:c r="B25" s="47" t="str">
        <x:v>TRF-101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74402eeb9afe9f73089a36faf0c3dd860844e1b74e588a64b5051660be6a707f</x:v>
      </x:c>
      <x:c r="G25" s="59" t="n">
        <x:v>48792</x:v>
      </x:c>
    </x:row>
    <x:row r="26">
      <x:c r="A26" s="47" t="str">
        <x:v>RUN-TRF-101-20260828T093225552076Z</x:v>
      </x:c>
      <x:c r="B26" s="47" t="str">
        <x:v>TRF-101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b0e6aead4803308abfe239b0bea57caf532aa121dbe7ec4f3f62c94c9bdc0962</x:v>
      </x:c>
      <x:c r="G26" s="59" t="n">
        <x:v>8520</x:v>
      </x:c>
    </x:row>
    <x:row r="27">
      <x:c r="A27" s="47" t="str">
        <x:v>RUN-TRF-101-20260828T093225552076Z</x:v>
      </x:c>
      <x:c r="B27" s="47" t="str">
        <x:v>TRF-101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3de4b366889b976d7ca976141bf540473b146bd5fb3864b8b4dc1a4cd7648d20</x:v>
      </x:c>
      <x:c r="G27" s="59" t="n">
        <x:v>8495</x:v>
      </x:c>
    </x:row>
    <x:row r="28">
      <x:c r="A28" s="47" t="str">
        <x:v>RUN-TRF-101-20260828T093225552076Z</x:v>
      </x:c>
      <x:c r="B28" s="47" t="str">
        <x:v>TRF-101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6b5ebd435dff54d826d9a7c86129cc3fc0ba27a80806bcdd63d3b5e0391c5cc1</x:v>
      </x:c>
      <x:c r="G28" s="59" t="n">
        <x:v>1353</x:v>
      </x:c>
    </x:row>
    <x:row r="29">
      <x:c r="A29" s="47" t="str">
        <x:v>RUN-TRF-101-20260828T093225552076Z</x:v>
      </x:c>
      <x:c r="B29" s="47" t="str">
        <x:v>TRF-101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b30de74254c871f1a61cd76391e7a39b6b09c2bc52eb45b2eac27cbb01d9045e</x:v>
      </x:c>
      <x:c r="G29" s="59" t="n">
        <x:v>55261</x:v>
      </x:c>
    </x:row>
    <x:row r="30">
      <x:c r="A30" s="49" t="str">
        <x:v>RUN-TRF-101-20260828T093225552076Z</x:v>
      </x:c>
      <x:c r="B30" s="49" t="str">
        <x:v>TRF-101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a9408228bedcec6a97b92a36220861c23504c2853129f20757c9cbcc803ee848</x:v>
      </x:c>
      <x:c r="G30" s="60" t="n">
        <x:v>1048</x:v>
      </x:c>
    </x:row>
  </x:sheetData>
  <x:pageMargins left="0.7" right="0.7" top="0.75" bottom="0.75" header="0.3" footer="0.3"/>
  <x:tableParts count="1">
    <x:tablePart xmlns:r="http://schemas.openxmlformats.org/officeDocument/2006/relationships" r:id="R8a339b735d3644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RUN-TRF-101-20260828T093225552076Z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RUN-TRF-101-20260828T093225552076Z</x:v>
      </x:c>
      <x:c r="B5" s="69" t="str">
        <x:v>TRF-101</x:v>
      </x:c>
      <x:c r="C5" s="71" t="n">
        <x:v>4</x:v>
      </x:c>
      <x:c r="D5" s="69" t="str">
        <x:v>MAX_ATTEMPTS_REACHED</x:v>
      </x:c>
      <x:c r="E5" s="73" t="str">
        <x:v>Repair the semantic constraints before freezing. Constrain bladeFailureLoadApplicationRadiusRatio on its QuantityValue numericValue to exactly 0.8 using equal inclusive bounds (sh:minInclusive and sh:maxInclusive), while retaining its dimensionless unit; the current shape permits any ratio and therefore does not encode application at 0.8R. Require nltl:bladeFailureStatus on the ship with xsd:boolean and minCount 1/maxCount 1, so absence cannot pass; retain the SPARQL biconditional for failure exactly when bladeTipOffset exceeds 0.10*propellerDiameter. In the formula branch, use separate expected-result-scaled tolerances for expectedReferenceStrength and expectedLoad rather than one tolerance derived from expectedLoad and applied to both results; keep direct arithmetic/comparison operations only and preserve the exclusive approved-analysis versus computation alternatives, shared load-case ratio and weakest-direction obligations, and all declared formula operands/results.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350ef5cc14af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RUN-TRF-101-20260828T093225552076Z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