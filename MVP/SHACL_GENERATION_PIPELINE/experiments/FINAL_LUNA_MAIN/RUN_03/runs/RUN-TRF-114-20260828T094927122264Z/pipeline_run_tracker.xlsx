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c233da2ea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6d09eaf1b04deb"/>
    <x:sheet xmlns:r="http://schemas.openxmlformats.org/officeDocument/2006/relationships" name="README" sheetId="2" r:id="R19d6f0d45aa1498d"/>
    <x:sheet xmlns:r="http://schemas.openxmlformats.org/officeDocument/2006/relationships" name="REGULATION_QUEUE" sheetId="3" r:id="R39570e0d328e47fb"/>
    <x:sheet xmlns:r="http://schemas.openxmlformats.org/officeDocument/2006/relationships" name="RUNS" sheetId="4" r:id="R19f742dd0c2e40cd"/>
    <x:sheet xmlns:r="http://schemas.openxmlformats.org/officeDocument/2006/relationships" name="ITERATIONS" sheetId="5" r:id="Rd88e16a1de8449c7"/>
    <x:sheet xmlns:r="http://schemas.openxmlformats.org/officeDocument/2006/relationships" name="API_CALLS" sheetId="6" r:id="Rbe861e68fd23435f"/>
    <x:sheet xmlns:r="http://schemas.openxmlformats.org/officeDocument/2006/relationships" name="TERM_RETRIEVAL" sheetId="7" r:id="R49a93f6654f34abc"/>
    <x:sheet xmlns:r="http://schemas.openxmlformats.org/officeDocument/2006/relationships" name="FEW_SHOT_SELECTION" sheetId="8" r:id="R8795fe77c5f94137"/>
    <x:sheet xmlns:r="http://schemas.openxmlformats.org/officeDocument/2006/relationships" name="VALIDATION" sheetId="9" r:id="R3d59862272924c7c"/>
    <x:sheet xmlns:r="http://schemas.openxmlformats.org/officeDocument/2006/relationships" name="VOCAB_MATCHES" sheetId="10" r:id="R1ce4f0a637a643b1"/>
    <x:sheet xmlns:r="http://schemas.openxmlformats.org/officeDocument/2006/relationships" name="ARTIFACTS" sheetId="11" r:id="Ra0e6ceb702d645f9"/>
    <x:sheet xmlns:r="http://schemas.openxmlformats.org/officeDocument/2006/relationships" name="UNRESOLVED" sheetId="12" r:id="Re8bfc161b8994b6e"/>
    <x:sheet xmlns:r="http://schemas.openxmlformats.org/officeDocument/2006/relationships" name="RDF_TEST_QUEUE" sheetId="13" r:id="R2f4888706fc1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93ca554b94ae8" /><Relationship Type="http://schemas.openxmlformats.org/officeDocument/2006/relationships/theme" Target="/xl/theme/theme1.xml" Id="R400847b732ff4b5e" /><Relationship Type="http://schemas.microsoft.com/office/2022/11/relationships/FeaturePropertyBag" Target="/xl/featurePropertyBag/featurePropertyBag.xml" Id="R98f7d420ef494e97" /><Relationship Type="http://schemas.openxmlformats.org/officeDocument/2006/relationships/sharedStrings" Target="/xl/sharedStrings.xml" Id="R56e6818b47f943a5" /><Relationship Type="http://schemas.openxmlformats.org/officeDocument/2006/relationships/worksheet" Target="/xl/worksheets/sheet1.xml" Id="R686d09eaf1b04deb" /><Relationship Type="http://schemas.openxmlformats.org/officeDocument/2006/relationships/worksheet" Target="/xl/worksheets/sheet2.xml" Id="R19d6f0d45aa1498d" /><Relationship Type="http://schemas.openxmlformats.org/officeDocument/2006/relationships/worksheet" Target="/xl/worksheets/sheet3.xml" Id="R39570e0d328e47fb" /><Relationship Type="http://schemas.openxmlformats.org/officeDocument/2006/relationships/worksheet" Target="/xl/worksheets/sheet4.xml" Id="R19f742dd0c2e40cd" /><Relationship Type="http://schemas.openxmlformats.org/officeDocument/2006/relationships/worksheet" Target="/xl/worksheets/sheet5.xml" Id="Rd88e16a1de8449c7" /><Relationship Type="http://schemas.openxmlformats.org/officeDocument/2006/relationships/worksheet" Target="/xl/worksheets/sheet6.xml" Id="Rbe861e68fd23435f" /><Relationship Type="http://schemas.openxmlformats.org/officeDocument/2006/relationships/worksheet" Target="/xl/worksheets/sheet7.xml" Id="R49a93f6654f34abc" /><Relationship Type="http://schemas.openxmlformats.org/officeDocument/2006/relationships/worksheet" Target="/xl/worksheets/sheet8.xml" Id="R8795fe77c5f94137" /><Relationship Type="http://schemas.openxmlformats.org/officeDocument/2006/relationships/worksheet" Target="/xl/worksheets/sheet9.xml" Id="R3d59862272924c7c" /><Relationship Type="http://schemas.openxmlformats.org/officeDocument/2006/relationships/worksheet" Target="/xl/worksheets/sheet10.xml" Id="R1ce4f0a637a643b1" /><Relationship Type="http://schemas.openxmlformats.org/officeDocument/2006/relationships/worksheet" Target="/xl/worksheets/sheet11.xml" Id="Ra0e6ceb702d645f9" /><Relationship Type="http://schemas.openxmlformats.org/officeDocument/2006/relationships/worksheet" Target="/xl/worksheets/sheet12.xml" Id="Re8bfc161b8994b6e" /><Relationship Type="http://schemas.openxmlformats.org/officeDocument/2006/relationships/worksheet" Target="/xl/worksheets/sheet13.xml" Id="R2f4888706fc149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23ded269a1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e2a7788413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55317295c748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528548f0ab43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f596248785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7ad1c5a04841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f368f5242d45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d9df0e70a940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997e49e07045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e671dc482a4c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RUN-TRF-114-20260828T094927122264Z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25296.156625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RUN-TRF-114-20260828T094927122264Z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23ded269a1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2a77884134d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RUN-TRF-114-20260828T094927122264Z</x:v>
      </x:c>
      <x:c r="C5" s="69" t="str">
        <x:v>TRF-114</x:v>
      </x:c>
      <x:c r="D5" s="70" t="n">
        <x:v>46262.40934171296</x:v>
      </x:c>
      <x:c r="E5" s="70" t="n">
        <x:v>46262.410518414355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ship-to-load-case and load-case-to-thruster-body ownership paths, required operands, table references, units, evidence boundary, controlled geometry alternatives, conditional non-hemispherical radius and correspondence evidence, and the corrected capacity-at-least-demand violation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5317295c748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RUN-TRF-114-20260828T094927122264Z</x:v>
      </x:c>
      <x:c r="B5" s="45" t="str">
        <x:v>TRF-114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resistance-capacity SPARQL constraint: SHACL SPARQL selects violations, but the current query selects rows where capacity &gt;= demand, reversing the intended pass/fail logic. Select the case (or ship) only when the decimal capacity is less than the decimal demand, or when no compliant capacity comparison exists. Also repair contactGeometryClassification: the nested sh:or members with sh:hasValue are applied as shapes to the classification value and do not reliably enforce the controlled alternatives or the conditional evidence. Use sh:in (nltl:hemisphericalContactGeometry nltl:nonHemisphericalContactGeometry) for the property, and add a violation constraint that, for non-hemispherical cases, requires both the ship-owned equivalentImpactSphereRadius and the load-case-owned contactGeometryCorrespondenceEvidence. Preserve the existing load-case paths, owners, units, and readiness operands.</x:v>
      </x:c>
      <x:c r="I5" s="81" t="n">
        <x:v>32746.576</x:v>
      </x:c>
      <x:c r="J5" s="81" t="n">
        <x:v>21359.762</x:v>
      </x:c>
    </x:row>
    <x:row r="6">
      <x:c r="A6" s="49" t="str">
        <x:v>RUN-TRF-114-20260828T094927122264Z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the ship-to-load-case and load-case-to-thruster-body ownership paths, required operands, table references, units, evidence boundary, controlled geometry alternatives, conditional non-hemispherical radius and correspondence evidence, and the corrected capacity-at-least-demand violation logic.</x:v>
      </x:c>
      <x:c r="I6" s="83" t="n">
        <x:v>37677.464</x:v>
      </x:c>
      <x:c r="J6" s="83" t="n">
        <x:v>9403.829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28548f0ab43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RUN-TRF-114-20260828T094927122264Z</x:v>
      </x:c>
      <x:c r="C5" s="45" t="str">
        <x:v>TRF-114</x:v>
      </x:c>
      <x:c r="D5" s="90" t="n">
        <x:v>46262.409720752315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32744.983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RUN-TRF-114-20260828T094927122264Z</x:v>
      </x:c>
      <x:c r="C6" s="47" t="str">
        <x:v>TRF-114</x:v>
      </x:c>
      <x:c r="D6" s="91" t="n">
        <x:v>46262.40972077546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32746.576</x:v>
      </x:c>
      <x:c r="L6" s="93" t="b">
        <x:v>0</x:v>
      </x:c>
      <x:c r="M6" s="47" t="str">
        <x:v>resp_0138e03e029b679c006a9159a7453c8195907ef4cde8754553</x:v>
      </x:c>
      <x:c r="N6" s="59" t="n">
        <x:v>16635</x:v>
      </x:c>
      <x:c r="O6" s="59" t="n">
        <x:v>3180</x:v>
      </x:c>
      <x:c r="P6" s="59" t="n">
        <x:v>19815</x:v>
      </x:c>
    </x:row>
    <x:row r="7">
      <x:c r="A7" s="47" t="str">
        <x:v>EVT-000053</x:v>
      </x:c>
      <x:c r="B7" s="47" t="str">
        <x:v>RUN-TRF-114-20260828T094927122264Z</x:v>
      </x:c>
      <x:c r="C7" s="47" t="str">
        <x:v>TRF-114</x:v>
      </x:c>
      <x:c r="D7" s="91" t="n">
        <x:v>46262.409970787034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21358.217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RUN-TRF-114-20260828T094927122264Z</x:v>
      </x:c>
      <x:c r="C8" s="47" t="str">
        <x:v>TRF-114</x:v>
      </x:c>
      <x:c r="D8" s="91" t="n">
        <x:v>46262.409970810186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21359.762</x:v>
      </x:c>
      <x:c r="L8" s="93" t="b">
        <x:v>0</x:v>
      </x:c>
      <x:c r="M8" s="47" t="str">
        <x:v>resp_01c5929240d9e5d1006a9159c853548196ac207f35c1f96f6d</x:v>
      </x:c>
      <x:c r="N8" s="59" t="n">
        <x:v>18415</x:v>
      </x:c>
      <x:c r="O8" s="59" t="n">
        <x:v>1442</x:v>
      </x:c>
      <x:c r="P8" s="59" t="n">
        <x:v>19857</x:v>
      </x:c>
    </x:row>
    <x:row r="9">
      <x:c r="A9" s="47" t="str">
        <x:v>EVT-000059</x:v>
      </x:c>
      <x:c r="B9" s="47" t="str">
        <x:v>RUN-TRF-114-20260828T094927122264Z</x:v>
      </x:c>
      <x:c r="C9" s="47" t="str">
        <x:v>TRF-114</x:v>
      </x:c>
      <x:c r="D9" s="91" t="n">
        <x:v>46262.41040693287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37676.071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RUN-TRF-114-20260828T094927122264Z</x:v>
      </x:c>
      <x:c r="C10" s="47" t="str">
        <x:v>TRF-114</x:v>
      </x:c>
      <x:c r="D10" s="91" t="n">
        <x:v>46262.41040695602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37677.464</x:v>
      </x:c>
      <x:c r="L10" s="93" t="b">
        <x:v>0</x:v>
      </x:c>
      <x:c r="M10" s="47" t="str">
        <x:v>resp_0cf7e0701bf7032e006a9159ddad3481968fe6d8b0199e0613</x:v>
      </x:c>
      <x:c r="N10" s="59" t="n">
        <x:v>16816</x:v>
      </x:c>
      <x:c r="O10" s="59" t="n">
        <x:v>3367</x:v>
      </x:c>
      <x:c r="P10" s="59" t="n">
        <x:v>20183</x:v>
      </x:c>
    </x:row>
    <x:row r="11">
      <x:c r="A11" s="47" t="str">
        <x:v>EVT-000067</x:v>
      </x:c>
      <x:c r="B11" s="47" t="str">
        <x:v>RUN-TRF-114-20260828T094927122264Z</x:v>
      </x:c>
      <x:c r="C11" s="47" t="str">
        <x:v>TRF-114</x:v>
      </x:c>
      <x:c r="D11" s="91" t="n">
        <x:v>46262.41051833333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9402.351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EVT-000068</x:v>
      </x:c>
      <x:c r="B12" s="49" t="str">
        <x:v>RUN-TRF-114-20260828T094927122264Z</x:v>
      </x:c>
      <x:c r="C12" s="49" t="str">
        <x:v>TRF-114</x:v>
      </x:c>
      <x:c r="D12" s="94" t="n">
        <x:v>46262.41051835648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9403.829</x:v>
      </x:c>
      <x:c r="L12" s="82" t="b">
        <x:v>0</x:v>
      </x:c>
      <x:c r="M12" s="49" t="str">
        <x:v>resp_0760ea304dc3bf38006a915a0393a48197b738b7ca5eef8bbe</x:v>
      </x:c>
      <x:c r="N12" s="60" t="n">
        <x:v>18620</x:v>
      </x:c>
      <x:c r="O12" s="60" t="n">
        <x:v>604</x:v>
      </x:c>
      <x:c r="P12" s="60" t="n">
        <x:v>19224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f59624878545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RUN-TRF-114-20260828T094927122264Z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RUN-TRF-114-20260828T094927122264Z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RUN-TRF-114-20260828T094927122264Z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RUN-TRF-114-20260828T094927122264Z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RUN-TRF-114-20260828T094927122264Z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RUN-TRF-114-20260828T094927122264Z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RUN-TRF-114-20260828T094927122264Z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RUN-TRF-114-20260828T094927122264Z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RUN-TRF-114-20260828T094927122264Z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RUN-TRF-114-20260828T094927122264Z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RUN-TRF-114-20260828T094927122264Z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RUN-TRF-114-20260828T094927122264Z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RUN-TRF-114-20260828T094927122264Z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RUN-TRF-114-20260828T094927122264Z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RUN-TRF-114-20260828T094927122264Z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RUN-TRF-114-20260828T094927122264Z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RUN-TRF-114-20260828T094927122264Z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RUN-TRF-114-20260828T094927122264Z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RUN-TRF-114-20260828T094927122264Z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RUN-TRF-114-20260828T094927122264Z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RUN-TRF-114-20260828T094927122264Z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RUN-TRF-114-20260828T094927122264Z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RUN-TRF-114-20260828T094927122264Z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RUN-TRF-114-20260828T094927122264Z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RUN-TRF-114-20260828T094927122264Z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RUN-TRF-114-20260828T094927122264Z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RUN-TRF-114-20260828T094927122264Z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RUN-TRF-114-20260828T094927122264Z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RUN-TRF-114-20260828T094927122264Z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RUN-TRF-114-20260828T094927122264Z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RUN-TRF-114-20260828T094927122264Z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RUN-TRF-114-20260828T094927122264Z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RUN-TRF-114-20260828T094927122264Z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RUN-TRF-114-20260828T094927122264Z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RUN-TRF-114-20260828T094927122264Z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RUN-TRF-114-20260828T094927122264Z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RUN-TRF-114-20260828T094927122264Z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7ad1c5a04841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RUN-TRF-114-20260828T094927122264Z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RUN-TRF-114-20260828T094927122264Z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RUN-TRF-114-20260828T094927122264Z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368f5242d45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RUN-TRF-114-20260828T094927122264Z</x:v>
      </x:c>
      <x:c r="B5" s="45" t="str">
        <x:v>TRF-114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9" t="str">
        <x:v>RUN-TRF-114-20260828T094927122264Z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0d9df0e70a940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RUN-TRF-114-20260828T094927122264Z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RUN-TRF-114-20260828T094927122264Z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RUN-TRF-114-20260828T094927122264Z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RUN-TRF-114-20260828T094927122264Z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RUN-TRF-114-20260828T094927122264Z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RUN-TRF-114-20260828T094927122264Z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62a21fa100df30890e8cd6aefa3672a494adf381f998451aae9b25e3b19ee85e</x:v>
      </x:c>
      <x:c r="G8" s="59" t="n">
        <x:v>6836</x:v>
      </x:c>
    </x:row>
    <x:row r="9">
      <x:c r="A9" s="47" t="str">
        <x:v>RUN-TRF-114-20260828T094927122264Z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8a6de978925f0c3f0e0916e9ab6229da7a4a8eb942df4168ed1356cfd736070a</x:v>
      </x:c>
      <x:c r="G9" s="59" t="n">
        <x:v>6811</x:v>
      </x:c>
    </x:row>
    <x:row r="10">
      <x:c r="A10" s="47" t="str">
        <x:v>RUN-TRF-114-20260828T094927122264Z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c3c328e34fc3c1de78ab3e0a678bab2e59ca0e59f65231ee56c8ce4eb34c9218</x:v>
      </x:c>
      <x:c r="G10" s="59" t="n">
        <x:v>1684</x:v>
      </x:c>
    </x:row>
    <x:row r="11">
      <x:c r="A11" s="47" t="str">
        <x:v>RUN-TRF-114-20260828T094927122264Z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5e6de16d727e2a0278ff8ed777d7e932605327e1d60456e3c70e91a1e8a0c0bc</x:v>
      </x:c>
      <x:c r="G11" s="59" t="n">
        <x:v>75409</x:v>
      </x:c>
    </x:row>
    <x:row r="12">
      <x:c r="A12" s="47" t="str">
        <x:v>RUN-TRF-114-20260828T094927122264Z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143e819ca5e94806b4bbd957debcf9628a8d376301f7e6f25093cc25f2671243</x:v>
      </x:c>
      <x:c r="G12" s="59" t="n">
        <x:v>972</x:v>
      </x:c>
    </x:row>
    <x:row r="13">
      <x:c r="A13" s="47" t="str">
        <x:v>RUN-TRF-114-20260828T094927122264Z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c99ea49faf298985917a9f0a980dfaa91648481fabd17a5427fc6a5176e653f8</x:v>
      </x:c>
      <x:c r="G13" s="59" t="n">
        <x:v>71558</x:v>
      </x:c>
    </x:row>
    <x:row r="14">
      <x:c r="A14" s="47" t="str">
        <x:v>RUN-TRF-114-20260828T094927122264Z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4df07b337d9bf8a65b0093e5b1426cf35addd0dabe46febc37e458df1614356d</x:v>
      </x:c>
      <x:c r="G14" s="59" t="n">
        <x:v>7655</x:v>
      </x:c>
    </x:row>
    <x:row r="15">
      <x:c r="A15" s="47" t="str">
        <x:v>RUN-TRF-114-20260828T094927122264Z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2f81bf0ecee3012029345f2e03ad5a29d4a3f904f41668d85edf179e6eb15696</x:v>
      </x:c>
      <x:c r="G15" s="59" t="n">
        <x:v>7630</x:v>
      </x:c>
    </x:row>
    <x:row r="16">
      <x:c r="A16" s="47" t="str">
        <x:v>RUN-TRF-114-20260828T094927122264Z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9e5b24d7e43798786a4fcf73445889872b8604c1f3c60e939639f05a2a57880f</x:v>
      </x:c>
      <x:c r="G16" s="59" t="n">
        <x:v>1613</x:v>
      </x:c>
    </x:row>
    <x:row r="17">
      <x:c r="A17" s="47" t="str">
        <x:v>RUN-TRF-114-20260828T094927122264Z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3a7bbda61bf2ee53d18e72993461ce188fa280bcd6181bd1ea6b21ec032c90c7</x:v>
      </x:c>
      <x:c r="G17" s="59" t="n">
        <x:v>76717</x:v>
      </x:c>
    </x:row>
    <x:row r="18">
      <x:c r="A18" s="47" t="str">
        <x:v>RUN-TRF-114-20260828T094927122264Z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7c758cb0691d77bac8cab066a78a286ec679214ef33fe7868a8392a76a67cd39</x:v>
      </x:c>
      <x:c r="G18" s="59" t="n">
        <x:v>446</x:v>
      </x:c>
    </x:row>
    <x:row r="19">
      <x:c r="A19" s="49" t="str">
        <x:v>RUN-TRF-114-20260828T094927122264Z</x:v>
      </x:c>
      <x:c r="B19" s="49" t="str">
        <x:v>TRF-114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2f81bf0ecee3012029345f2e03ad5a29d4a3f904f41668d85edf179e6eb15696</x:v>
      </x:c>
      <x:c r="G19" s="60" t="n">
        <x:v>7630</x:v>
      </x:c>
    </x:row>
  </x:sheetData>
  <x:pageMargins left="0.7" right="0.7" top="0.75" bottom="0.75" header="0.3" footer="0.3"/>
  <x:tableParts count="1">
    <x:tablePart xmlns:r="http://schemas.openxmlformats.org/officeDocument/2006/relationships" r:id="R82997e49e07045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RUN-TRF-114-20260828T094927122264Z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RUN-TRF-114-20260828T094927122264Z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RUN-TRF-114-20260828T094927122264Z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671dc482a4cae"/>
  </x:tableParts>
</x:worksheet>
</file>