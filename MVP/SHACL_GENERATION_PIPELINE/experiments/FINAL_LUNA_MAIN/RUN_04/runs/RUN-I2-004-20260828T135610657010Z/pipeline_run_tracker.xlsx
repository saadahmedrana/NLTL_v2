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310771bff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b3304288ac4323"/>
    <x:sheet xmlns:r="http://schemas.openxmlformats.org/officeDocument/2006/relationships" name="README" sheetId="2" r:id="Rf4af7ea6e9ab45f9"/>
    <x:sheet xmlns:r="http://schemas.openxmlformats.org/officeDocument/2006/relationships" name="REGULATION_QUEUE" sheetId="3" r:id="R90995c15dfc3492d"/>
    <x:sheet xmlns:r="http://schemas.openxmlformats.org/officeDocument/2006/relationships" name="RUNS" sheetId="4" r:id="Rfa3272a1fed641fb"/>
    <x:sheet xmlns:r="http://schemas.openxmlformats.org/officeDocument/2006/relationships" name="ITERATIONS" sheetId="5" r:id="R22459427c65e4587"/>
    <x:sheet xmlns:r="http://schemas.openxmlformats.org/officeDocument/2006/relationships" name="API_CALLS" sheetId="6" r:id="Rfb5b5fc2086f47ea"/>
    <x:sheet xmlns:r="http://schemas.openxmlformats.org/officeDocument/2006/relationships" name="TERM_RETRIEVAL" sheetId="7" r:id="R8d047af936af4c22"/>
    <x:sheet xmlns:r="http://schemas.openxmlformats.org/officeDocument/2006/relationships" name="FEW_SHOT_SELECTION" sheetId="8" r:id="R2f4153fca25743d0"/>
    <x:sheet xmlns:r="http://schemas.openxmlformats.org/officeDocument/2006/relationships" name="VALIDATION" sheetId="9" r:id="R9316a2e225d048ac"/>
    <x:sheet xmlns:r="http://schemas.openxmlformats.org/officeDocument/2006/relationships" name="VOCAB_MATCHES" sheetId="10" r:id="R18a51ae34ad148e9"/>
    <x:sheet xmlns:r="http://schemas.openxmlformats.org/officeDocument/2006/relationships" name="ARTIFACTS" sheetId="11" r:id="Rdf1db71ea49a4d18"/>
    <x:sheet xmlns:r="http://schemas.openxmlformats.org/officeDocument/2006/relationships" name="UNRESOLVED" sheetId="12" r:id="R72a86ec5540a4a5b"/>
    <x:sheet xmlns:r="http://schemas.openxmlformats.org/officeDocument/2006/relationships" name="RDF_TEST_QUEUE" sheetId="13" r:id="R9871fb30b519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e07e7de4d46fc" /><Relationship Type="http://schemas.openxmlformats.org/officeDocument/2006/relationships/theme" Target="/xl/theme/theme1.xml" Id="R6c9b406d2182454b" /><Relationship Type="http://schemas.microsoft.com/office/2022/11/relationships/FeaturePropertyBag" Target="/xl/featurePropertyBag/featurePropertyBag.xml" Id="Rbf0e1a584b2841a7" /><Relationship Type="http://schemas.openxmlformats.org/officeDocument/2006/relationships/sharedStrings" Target="/xl/sharedStrings.xml" Id="R38f6f1dc25a24e7d" /><Relationship Type="http://schemas.openxmlformats.org/officeDocument/2006/relationships/worksheet" Target="/xl/worksheets/sheet1.xml" Id="Rb7b3304288ac4323" /><Relationship Type="http://schemas.openxmlformats.org/officeDocument/2006/relationships/worksheet" Target="/xl/worksheets/sheet2.xml" Id="Rf4af7ea6e9ab45f9" /><Relationship Type="http://schemas.openxmlformats.org/officeDocument/2006/relationships/worksheet" Target="/xl/worksheets/sheet3.xml" Id="R90995c15dfc3492d" /><Relationship Type="http://schemas.openxmlformats.org/officeDocument/2006/relationships/worksheet" Target="/xl/worksheets/sheet4.xml" Id="Rfa3272a1fed641fb" /><Relationship Type="http://schemas.openxmlformats.org/officeDocument/2006/relationships/worksheet" Target="/xl/worksheets/sheet5.xml" Id="R22459427c65e4587" /><Relationship Type="http://schemas.openxmlformats.org/officeDocument/2006/relationships/worksheet" Target="/xl/worksheets/sheet6.xml" Id="Rfb5b5fc2086f47ea" /><Relationship Type="http://schemas.openxmlformats.org/officeDocument/2006/relationships/worksheet" Target="/xl/worksheets/sheet7.xml" Id="R8d047af936af4c22" /><Relationship Type="http://schemas.openxmlformats.org/officeDocument/2006/relationships/worksheet" Target="/xl/worksheets/sheet8.xml" Id="R2f4153fca25743d0" /><Relationship Type="http://schemas.openxmlformats.org/officeDocument/2006/relationships/worksheet" Target="/xl/worksheets/sheet9.xml" Id="R9316a2e225d048ac" /><Relationship Type="http://schemas.openxmlformats.org/officeDocument/2006/relationships/worksheet" Target="/xl/worksheets/sheet10.xml" Id="R18a51ae34ad148e9" /><Relationship Type="http://schemas.openxmlformats.org/officeDocument/2006/relationships/worksheet" Target="/xl/worksheets/sheet11.xml" Id="Rdf1db71ea49a4d18" /><Relationship Type="http://schemas.openxmlformats.org/officeDocument/2006/relationships/worksheet" Target="/xl/worksheets/sheet12.xml" Id="R72a86ec5540a4a5b" /><Relationship Type="http://schemas.openxmlformats.org/officeDocument/2006/relationships/worksheet" Target="/xl/worksheets/sheet13.xml" Id="R9871fb30b5194a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4038df5ad4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b13d09ca95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11dd522980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02afbc6e0943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38dec8787d4f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38372bcdb747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fbd2c7760346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f9f548a01b4b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1ba20f676542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fdaa16a94ee4b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052804189c34c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RUN-I2-004-20260828T135610657010Z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15852.051199999998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RUN-I2-004-20260828T135610657010Z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4038df5ad446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TERM_RESOLUTION_UNRESOLVED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13d09ca954d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RUN-I2-004-20260828T135610657010Z</x:v>
      </x:c>
      <x:c r="C5" s="69" t="str">
        <x:v>I2-004</x:v>
      </x:c>
      <x:c r="D5" s="70" t="n">
        <x:v>46262.58067891204</x:v>
      </x:c>
      <x:c r="E5" s="70" t="n">
        <x:v>46262.581616400465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Repair the greatest-displacement query: it currently rejects an equal matching case and therefore permits DUI values greater than every case. Require a matching case value equal to DUI and no linked case value greater than DUI, using portable SHACL/SPARQL without OPTIONAL inside FILTER NOT EXISTS. Preserve the UIWL input as required on the ship, but do not make a multiple-waterline case universally mandatory: the current query requires a case even though the requirement makes cases conditional. Establish the correspondence between each case and the ship's UIWL with a canonical relationship or property; no supplied canonical term currently encodes that link, so locate one with the matcher. Constrain only corresponding cases when multiple waterlines are used, retain the declared owners and metric-kiloton units, and do not duplicate the displacement fact.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1dd522980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RUN-I2-004-20260828T135610657010Z</x:v>
      </x:c>
      <x:c r="B5" s="45" t="str">
        <x:v>I2-004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does not encode the declared UIWL input: add nltl:upperIceWaterline on the ship with its canonical xsd:string datatype and require it as the applicability/selection basis. Also represent and constrain which upper-ice-waterline case corresponds to that UIWL; the current maximum-displacement query compares all linked cases without establishing their correspondence to the ship's UIWL, so it can validate an unrelated case set. Preserve the greatest-displacement selection and its comparison direction, but do not make a conditional multiple-waterline mechanism universally mandatory unless the verified model explicitly requires at least one case.</x:v>
      </x:c>
      <x:c r="I5" s="81" t="n">
        <x:v>18056.138</x:v>
      </x:c>
      <x:c r="J5" s="81" t="n">
        <x:v>19757.581</x:v>
      </x:c>
    </x:row>
    <x:row r="6">
      <x:c r="A6" s="49" t="str">
        <x:v>RUN-I2-004-20260828T135610657010Z</x:v>
      </x:c>
      <x:c r="B6" s="49" t="str">
        <x:v>I2-004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the greatest-displacement query: it currently rejects an equal matching case and therefore permits DUI values greater than every case. Require a matching case value equal to DUI and no linked case value greater than DUI, using portable SHACL/SPARQL without OPTIONAL inside FILTER NOT EXISTS. Preserve the UIWL input as required on the ship, but do not make a multiple-waterline case universally mandatory: the current query requires a case even though the requirement makes cases conditional. Establish the correspondence between each case and the ship's UIWL with a canonical relationship or property; no supplied canonical term currently encodes that link, so locate one with the matcher. Constrain only corresponding cases when multiple waterlines are used, retain the declared owners and metric-kiloton units, and do not duplicate the displacement fact.</x:v>
      </x:c>
      <x:c r="I6" s="83" t="n">
        <x:v>27847.16</x:v>
      </x:c>
      <x:c r="J6" s="83" t="n">
        <x:v>11351.251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2afbc6e0943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RUN-I2-004-20260828T135610657010Z</x:v>
      </x:c>
      <x:c r="C5" s="45" t="str">
        <x:v>I2-004</x:v>
      </x:c>
      <x:c r="D5" s="90" t="n">
        <x:v>46262.580887881944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18054.265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RUN-I2-004-20260828T135610657010Z</x:v>
      </x:c>
      <x:c r="C6" s="47" t="str">
        <x:v>I2-004</x:v>
      </x:c>
      <x:c r="D6" s="91" t="n">
        <x:v>46262.58088790509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18056.138</x:v>
      </x:c>
      <x:c r="L6" s="93" t="b">
        <x:v>0</x:v>
      </x:c>
      <x:c r="M6" s="47" t="str">
        <x:v>resp_04c567869ce00ca7006a91937abe9c8195bcd8cc1b9bc6b8a8</x:v>
      </x:c>
      <x:c r="N6" s="59" t="n">
        <x:v>7204</x:v>
      </x:c>
      <x:c r="O6" s="59" t="n">
        <x:v>1773</x:v>
      </x:c>
      <x:c r="P6" s="59" t="n">
        <x:v>8977</x:v>
      </x:c>
    </x:row>
    <x:row r="7">
      <x:c r="A7" s="47" t="str">
        <x:v>EVT-000026</x:v>
      </x:c>
      <x:c r="B7" s="47" t="str">
        <x:v>RUN-I2-004-20260828T135610657010Z</x:v>
      </x:c>
      <x:c r="C7" s="47" t="str">
        <x:v>I2-004</x:v>
      </x:c>
      <x:c r="D7" s="91" t="n">
        <x:v>46262.581117800924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19755.783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RUN-I2-004-20260828T135610657010Z</x:v>
      </x:c>
      <x:c r="C8" s="47" t="str">
        <x:v>I2-004</x:v>
      </x:c>
      <x:c r="D8" s="91" t="n">
        <x:v>46262.58111782408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19757.581</x:v>
      </x:c>
      <x:c r="L8" s="93" t="b">
        <x:v>0</x:v>
      </x:c>
      <x:c r="M8" s="47" t="str">
        <x:v>resp_0f9a80efb1039cff006a91938cea748195ac047f34a95461bf</x:v>
      </x:c>
      <x:c r="N8" s="59" t="n">
        <x:v>6396</x:v>
      </x:c>
      <x:c r="O8" s="59" t="n">
        <x:v>1176</x:v>
      </x:c>
      <x:c r="P8" s="59" t="n">
        <x:v>7572</x:v>
      </x:c>
    </x:row>
    <x:row r="9">
      <x:c r="A9" s="47" t="str">
        <x:v>EVT-000032</x:v>
      </x:c>
      <x:c r="B9" s="47" t="str">
        <x:v>RUN-I2-004-20260828T135610657010Z</x:v>
      </x:c>
      <x:c r="C9" s="47" t="str">
        <x:v>I2-004</x:v>
      </x:c>
      <x:c r="D9" s="91" t="n">
        <x:v>46262.58144017361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27845.441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RUN-I2-004-20260828T135610657010Z</x:v>
      </x:c>
      <x:c r="C10" s="47" t="str">
        <x:v>I2-004</x:v>
      </x:c>
      <x:c r="D10" s="91" t="n">
        <x:v>46262.58144018518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27847.16</x:v>
      </x:c>
      <x:c r="L10" s="93" t="b">
        <x:v>0</x:v>
      </x:c>
      <x:c r="M10" s="47" t="str">
        <x:v>resp_0e663e269e78c5f5006a9193a0fde08190a9382e8203230c71</x:v>
      </x:c>
      <x:c r="N10" s="59" t="n">
        <x:v>7325</x:v>
      </x:c>
      <x:c r="O10" s="59" t="n">
        <x:v>2403</x:v>
      </x:c>
      <x:c r="P10" s="59" t="n">
        <x:v>9728</x:v>
      </x:c>
    </x:row>
    <x:row r="11">
      <x:c r="A11" s="47" t="str">
        <x:v>EVT-000040</x:v>
      </x:c>
      <x:c r="B11" s="47" t="str">
        <x:v>RUN-I2-004-20260828T135610657010Z</x:v>
      </x:c>
      <x:c r="C11" s="47" t="str">
        <x:v>I2-004</x:v>
      </x:c>
      <x:c r="D11" s="91" t="n">
        <x:v>46262.58157292824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11349.571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RUN-I2-004-20260828T135610657010Z</x:v>
      </x:c>
      <x:c r="C12" s="47" t="str">
        <x:v>I2-004</x:v>
      </x:c>
      <x:c r="D12" s="91" t="n">
        <x:v>46262.58157293982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11351.251</x:v>
      </x:c>
      <x:c r="L12" s="93" t="b">
        <x:v>0</x:v>
      </x:c>
      <x:c r="M12" s="47" t="str">
        <x:v>resp_0e81c5a3b2fe50f0006a9193bca3348194b715fc9d21a00be5</x:v>
      </x:c>
      <x:c r="N12" s="59" t="n">
        <x:v>6842</x:v>
      </x:c>
      <x:c r="O12" s="59" t="n">
        <x:v>696</x:v>
      </x:c>
      <x:c r="P12" s="59" t="n">
        <x:v>7538</x:v>
      </x:c>
    </x:row>
    <x:row r="13">
      <x:c r="A13" s="47" t="str">
        <x:v>EVT-000048</x:v>
      </x:c>
      <x:c r="B13" s="47" t="str">
        <x:v>RUN-I2-004-20260828T135610657010Z</x:v>
      </x:c>
      <x:c r="C13" s="47" t="str">
        <x:v>I2-004</x:v>
      </x:c>
      <x:c r="D13" s="91" t="n">
        <x:v>46262.58161635417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2251.081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RUN-I2-004-20260828T135610657010Z</x:v>
      </x:c>
      <x:c r="C14" s="49" t="str">
        <x:v>I2-004</x:v>
      </x:c>
      <x:c r="D14" s="94" t="n">
        <x:v>46262.581616365744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2252.241</x:v>
      </x:c>
      <x:c r="L14" s="82" t="b">
        <x:v>0</x:v>
      </x:c>
      <x:c r="M14" s="49" t="str">
        <x:v>resp_0b075972e41bd465006a9193c9812081949a4be8fe5c97f212</x:v>
      </x:c>
      <x:c r="N14" s="60" t="n">
        <x:v>1636</x:v>
      </x:c>
      <x:c r="O14" s="60" t="n">
        <x:v>140</x:v>
      </x:c>
      <x:c r="P14" s="60" t="n">
        <x:v>1776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8dec8787d4f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RUN-I2-004-20260828T135610657010Z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RUN-I2-004-20260828T135610657010Z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RUN-I2-004-20260828T135610657010Z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RUN-I2-004-20260828T135610657010Z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RUN-I2-004-20260828T135610657010Z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RUN-I2-004-20260828T135610657010Z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RUN-I2-004-20260828T135610657010Z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RUN-I2-004-20260828T135610657010Z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RUN-I2-004-20260828T135610657010Z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RUN-I2-004-20260828T135610657010Z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38372bcdb747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RUN-I2-004-20260828T135610657010Z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RUN-I2-004-20260828T135610657010Z</x:v>
      </x:c>
      <x:c r="B5" s="45" t="str">
        <x:v>I2-004</x:v>
      </x:c>
      <x:c r="C5" s="45" t="str">
        <x:v>FS-QTY-01</x:v>
      </x:c>
      <x:c r="D5" s="45" t="str">
        <x:v>qudt_quantity</x:v>
      </x:c>
      <x:c r="E5" s="97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RUN-I2-004-20260828T135610657010Z</x:v>
      </x:c>
      <x:c r="B6" s="49" t="str">
        <x:v>I2-004</x:v>
      </x:c>
      <x:c r="C6" s="49" t="str">
        <x:v>FS-QTY-02</x:v>
      </x:c>
      <x:c r="D6" s="49" t="str">
        <x:v>qudt_quantity</x:v>
      </x:c>
      <x:c r="E6" s="98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bd2c7760346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RUN-I2-004-20260828T135610657010Z</x:v>
      </x:c>
      <x:c r="B5" s="45" t="str">
        <x:v>I2-004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46" t="str"/>
      <x:c r="P5" s="46" t="str"/>
      <x:c r="Q5" s="46" t="str"/>
    </x:row>
    <x:row r="6">
      <x:c r="A6" s="49" t="str">
        <x:v>RUN-I2-004-20260828T135610657010Z</x:v>
      </x:c>
      <x:c r="B6" s="49" t="str">
        <x:v>I2-004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bf9f548a01b4b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RUN-I2-004-20260828T135610657010Z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RUN-I2-004-20260828T135610657010Z</x:v>
      </x:c>
      <x:c r="B5" s="45" t="str">
        <x:v>I2-004</x:v>
      </x:c>
      <x:c r="C5" s="58" t="n">
        <x:v>2</x:v>
      </x:c>
      <x:c r="D5" s="45" t="str">
        <x:v>matcher_search</x:v>
      </x:c>
      <x:c r="E5" s="46" t="str">
        <x:v>Repair the greatest-displacement query: it currently rejects an equal matching case and therefore permits DUI values greater than every case. Require a matching case value equal to DUI and no linked case value greater than DUI, using portable SHACL/SPARQL without OPTIONAL inside FILTER NOT EXISTS. Preserve the UIWL input as required on the ship, but do not make a multiple-waterline case universally mandatory: the current query requires a case even though the requirement makes cases conditional. Establish the correspondence between each case and the ship's UIWL with a canonical relationship or property; no supplied canonical term currently encodes that link, so locate one with the matcher. Constrain only corresponding cases when multiple waterlines are used, retain the declared owners and metric-kiloton units, and do not duplicate the displacement fact.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RUN-I2-004-20260828T135610657010Z</x:v>
      </x:c>
      <x:c r="B6" s="49" t="str">
        <x:v>I2-004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ba1ba20f6765429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RUN-I2-004-20260828T135610657010Z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RUN-I2-004-20260828T135610657010Z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RUN-I2-004-20260828T135610657010Z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RUN-I2-004-20260828T135610657010Z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RUN-I2-004-20260828T135610657010Z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87c024df0691ac66bef3dd488cfc0e7eec0d987fc028f750c8ef2ab79f971516</x:v>
      </x:c>
      <x:c r="G8" s="59" t="n">
        <x:v>2817</x:v>
      </x:c>
    </x:row>
    <x:row r="9">
      <x:c r="A9" s="47" t="str">
        <x:v>RUN-I2-004-20260828T135610657010Z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6f32487512621236f087b4ffa808d75ac3b0520ca120886a496dc710dc94148e</x:v>
      </x:c>
      <x:c r="G9" s="59" t="n">
        <x:v>2792</x:v>
      </x:c>
    </x:row>
    <x:row r="10">
      <x:c r="A10" s="47" t="str">
        <x:v>RUN-I2-004-20260828T135610657010Z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RUN-I2-004-20260828T135610657010Z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1bfae5aeb2bf6eca5e22caf91a48d0440d3dcb7b8d4771ef9105d815bb80491c</x:v>
      </x:c>
      <x:c r="G11" s="59" t="n">
        <x:v>26332</x:v>
      </x:c>
    </x:row>
    <x:row r="12">
      <x:c r="A12" s="47" t="str">
        <x:v>RUN-I2-004-20260828T135610657010Z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b5beabdb56dc00869490809aa34e6638653544a8c1bff5dc21d6f551010fd048</x:v>
      </x:c>
      <x:c r="G12" s="59" t="n">
        <x:v>721</x:v>
      </x:c>
    </x:row>
    <x:row r="13">
      <x:c r="A13" s="47" t="str">
        <x:v>RUN-I2-004-20260828T135610657010Z</x:v>
      </x:c>
      <x:c r="B13" s="47" t="str">
        <x:v>I2-004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20c4b89dd74b6821ae07e798f2870c25984d4cbe998980cb5a3fed8dcfdf11fb</x:v>
      </x:c>
      <x:c r="G13" s="59" t="n">
        <x:v>30970</x:v>
      </x:c>
    </x:row>
    <x:row r="14">
      <x:c r="A14" s="47" t="str">
        <x:v>RUN-I2-004-20260828T135610657010Z</x:v>
      </x:c>
      <x:c r="B14" s="47" t="str">
        <x:v>I2-004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0a340b1afb1832fd6eda7e9a03cfaf1566ee7baeba77ed869489da97dc2e9a7c</x:v>
      </x:c>
      <x:c r="G14" s="59" t="n">
        <x:v>3534</x:v>
      </x:c>
    </x:row>
    <x:row r="15">
      <x:c r="A15" s="47" t="str">
        <x:v>RUN-I2-004-20260828T135610657010Z</x:v>
      </x:c>
      <x:c r="B15" s="47" t="str">
        <x:v>I2-004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de788486e8589f38729efb040ac96cc64c1c642d0e0cec55792c0d00f818b3c8</x:v>
      </x:c>
      <x:c r="G15" s="59" t="n">
        <x:v>3509</x:v>
      </x:c>
    </x:row>
    <x:row r="16">
      <x:c r="A16" s="47" t="str">
        <x:v>RUN-I2-004-20260828T135610657010Z</x:v>
      </x:c>
      <x:c r="B16" s="47" t="str">
        <x:v>I2-004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d7857704cb34f2ceda8089f121c8c98e738878d1f23448541ac4503d74c525a2</x:v>
      </x:c>
      <x:c r="G16" s="59" t="n">
        <x:v>725</x:v>
      </x:c>
    </x:row>
    <x:row r="17">
      <x:c r="A17" s="47" t="str">
        <x:v>RUN-I2-004-20260828T135610657010Z</x:v>
      </x:c>
      <x:c r="B17" s="47" t="str">
        <x:v>I2-004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be90654cd45e0356a6d24edddb4e47fab12d0b8abd539cbc54acd6cd91573e02</x:v>
      </x:c>
      <x:c r="G17" s="59" t="n">
        <x:v>28138</x:v>
      </x:c>
    </x:row>
    <x:row r="18">
      <x:c r="A18" s="47" t="str">
        <x:v>RUN-I2-004-20260828T135610657010Z</x:v>
      </x:c>
      <x:c r="B18" s="47" t="str">
        <x:v>I2-004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98a9ae537e76605f05fb6f747bbf3a1a13be37c74c9b477d0c27024248ff1ada</x:v>
      </x:c>
      <x:c r="G18" s="59" t="n">
        <x:v>927</x:v>
      </x:c>
    </x:row>
    <x:row r="19">
      <x:c r="A19" s="47" t="str">
        <x:v>RUN-I2-004-20260828T135610657010Z</x:v>
      </x:c>
      <x:c r="B19" s="47" t="str">
        <x:v>I2-004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fbea97961abd92594f26256f2260dab6c40b99a3c71fe25d9b2a78e0511d021f</x:v>
      </x:c>
      <x:c r="G19" s="59" t="n">
        <x:v>1294</x:v>
      </x:c>
    </x:row>
    <x:row r="20">
      <x:c r="A20" s="47" t="str">
        <x:v>RUN-I2-004-20260828T135610657010Z</x:v>
      </x:c>
      <x:c r="B20" s="47" t="str">
        <x:v>I2-004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45f395871e2e7347a98b6e5e78f6d3ae19b55a5b5619e91cc5afebd35792cdda</x:v>
      </x:c>
      <x:c r="G20" s="59" t="n">
        <x:v>6448</x:v>
      </x:c>
    </x:row>
    <x:row r="21">
      <x:c r="A21" s="49" t="str">
        <x:v>RUN-I2-004-20260828T135610657010Z</x:v>
      </x:c>
      <x:c r="B21" s="49" t="str">
        <x:v>I2-004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2fdaa16a94ee4b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RUN-I2-004-20260828T135610657010Z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RUN-I2-004-20260828T135610657010Z</x:v>
      </x:c>
      <x:c r="B5" s="69" t="str">
        <x:v>I2-004</x:v>
      </x:c>
      <x:c r="C5" s="71" t="n">
        <x:v>2</x:v>
      </x:c>
      <x:c r="D5" s="69" t="str">
        <x:v>TERM_RESOLUTION_UNRESOLVED</x:v>
      </x:c>
      <x:c r="E5" s="73" t="str">
        <x:v>Repair the greatest-displacement query: it currently rejects an equal matching case and therefore permits DUI values greater than every case. Require a matching case value equal to DUI and no linked case value greater than DUI, using portable SHACL/SPARQL without OPTIONAL inside FILTER NOT EXISTS. Preserve the UIWL input as required on the ship, but do not make a multiple-waterline case universally mandatory: the current query requires a case even though the requirement makes cases conditional. Establish the correspondence between each case and the ship's UIWL with a canonical relationship or property; no supplied canonical term currently encodes that link, so locate one with the matcher. Constrain only corresponding cases when multiple waterlines are used, retain the declared owners and metric-kiloton units, and do not duplicate the displacement fact.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52804189c34c0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RUN-I2-004-20260828T135610657010Z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