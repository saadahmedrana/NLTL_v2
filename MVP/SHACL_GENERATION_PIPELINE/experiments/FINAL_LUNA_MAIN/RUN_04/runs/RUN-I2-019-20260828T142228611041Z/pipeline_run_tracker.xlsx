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fcbccc26d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06df2f0aaf4cec"/>
    <x:sheet xmlns:r="http://schemas.openxmlformats.org/officeDocument/2006/relationships" name="README" sheetId="2" r:id="Rd3cbad49a84e40e3"/>
    <x:sheet xmlns:r="http://schemas.openxmlformats.org/officeDocument/2006/relationships" name="REGULATION_QUEUE" sheetId="3" r:id="Rb7379b0186154c99"/>
    <x:sheet xmlns:r="http://schemas.openxmlformats.org/officeDocument/2006/relationships" name="RUNS" sheetId="4" r:id="R29b820c33aed4517"/>
    <x:sheet xmlns:r="http://schemas.openxmlformats.org/officeDocument/2006/relationships" name="ITERATIONS" sheetId="5" r:id="R186f5dcafd37473e"/>
    <x:sheet xmlns:r="http://schemas.openxmlformats.org/officeDocument/2006/relationships" name="API_CALLS" sheetId="6" r:id="R94cfd6f1e822434f"/>
    <x:sheet xmlns:r="http://schemas.openxmlformats.org/officeDocument/2006/relationships" name="TERM_RETRIEVAL" sheetId="7" r:id="R97280a15e1d34fed"/>
    <x:sheet xmlns:r="http://schemas.openxmlformats.org/officeDocument/2006/relationships" name="FEW_SHOT_SELECTION" sheetId="8" r:id="R4a878d18491a49cc"/>
    <x:sheet xmlns:r="http://schemas.openxmlformats.org/officeDocument/2006/relationships" name="VALIDATION" sheetId="9" r:id="R776fdd3ed5c847c1"/>
    <x:sheet xmlns:r="http://schemas.openxmlformats.org/officeDocument/2006/relationships" name="VOCAB_MATCHES" sheetId="10" r:id="R27662ce6473e4496"/>
    <x:sheet xmlns:r="http://schemas.openxmlformats.org/officeDocument/2006/relationships" name="ARTIFACTS" sheetId="11" r:id="Rad714bd15a3f4cda"/>
    <x:sheet xmlns:r="http://schemas.openxmlformats.org/officeDocument/2006/relationships" name="UNRESOLVED" sheetId="12" r:id="R7e96f046690b417f"/>
    <x:sheet xmlns:r="http://schemas.openxmlformats.org/officeDocument/2006/relationships" name="RDF_TEST_QUEUE" sheetId="13" r:id="Rcd11fbc85c2a43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ccdce20f24cb0" /><Relationship Type="http://schemas.openxmlformats.org/officeDocument/2006/relationships/theme" Target="/xl/theme/theme1.xml" Id="Rb7d0b6d9eb4d40ab" /><Relationship Type="http://schemas.microsoft.com/office/2022/11/relationships/FeaturePropertyBag" Target="/xl/featurePropertyBag/featurePropertyBag.xml" Id="R05de6b08b5a348d0" /><Relationship Type="http://schemas.openxmlformats.org/officeDocument/2006/relationships/sharedStrings" Target="/xl/sharedStrings.xml" Id="Rcb570f96acd74d91" /><Relationship Type="http://schemas.openxmlformats.org/officeDocument/2006/relationships/worksheet" Target="/xl/worksheets/sheet1.xml" Id="Rda06df2f0aaf4cec" /><Relationship Type="http://schemas.openxmlformats.org/officeDocument/2006/relationships/worksheet" Target="/xl/worksheets/sheet2.xml" Id="Rd3cbad49a84e40e3" /><Relationship Type="http://schemas.openxmlformats.org/officeDocument/2006/relationships/worksheet" Target="/xl/worksheets/sheet3.xml" Id="Rb7379b0186154c99" /><Relationship Type="http://schemas.openxmlformats.org/officeDocument/2006/relationships/worksheet" Target="/xl/worksheets/sheet4.xml" Id="R29b820c33aed4517" /><Relationship Type="http://schemas.openxmlformats.org/officeDocument/2006/relationships/worksheet" Target="/xl/worksheets/sheet5.xml" Id="R186f5dcafd37473e" /><Relationship Type="http://schemas.openxmlformats.org/officeDocument/2006/relationships/worksheet" Target="/xl/worksheets/sheet6.xml" Id="R94cfd6f1e822434f" /><Relationship Type="http://schemas.openxmlformats.org/officeDocument/2006/relationships/worksheet" Target="/xl/worksheets/sheet7.xml" Id="R97280a15e1d34fed" /><Relationship Type="http://schemas.openxmlformats.org/officeDocument/2006/relationships/worksheet" Target="/xl/worksheets/sheet8.xml" Id="R4a878d18491a49cc" /><Relationship Type="http://schemas.openxmlformats.org/officeDocument/2006/relationships/worksheet" Target="/xl/worksheets/sheet9.xml" Id="R776fdd3ed5c847c1" /><Relationship Type="http://schemas.openxmlformats.org/officeDocument/2006/relationships/worksheet" Target="/xl/worksheets/sheet10.xml" Id="R27662ce6473e4496" /><Relationship Type="http://schemas.openxmlformats.org/officeDocument/2006/relationships/worksheet" Target="/xl/worksheets/sheet11.xml" Id="Rad714bd15a3f4cda" /><Relationship Type="http://schemas.openxmlformats.org/officeDocument/2006/relationships/worksheet" Target="/xl/worksheets/sheet12.xml" Id="R7e96f046690b417f" /><Relationship Type="http://schemas.openxmlformats.org/officeDocument/2006/relationships/worksheet" Target="/xl/worksheets/sheet13.xml" Id="Rcd11fbc85c2a43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d5ade913a34a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bce945a4ae42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e614391cd34e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14a7db91b84b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1a1eb6d5e048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76e072143144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436c2c74f94d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a6b32d276d42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2466ba78c444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32465923c346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RUN-I2-019-20260828T142228611041Z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18728.91175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RUN-I2-019-20260828T142228611041Z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d5ade913a34a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RUN-I2-019-20260828T142228611041Z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GENERATION_ACCEPTED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ce945a4ae42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RUN-I2-019-20260828T142228611041Z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RUN-I2-019-20260828T142228611041Z</x:v>
      </x:c>
      <x:c r="C5" s="69" t="str">
        <x:v>I2-019</x:v>
      </x:c>
      <x:c r="D5" s="70" t="n">
        <x:v>46262.598942268516</x:v>
      </x:c>
      <x:c r="E5" s="70" t="n">
        <x:v>46262.59981260417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DIRECT_CALCULATION contract: it targets ships, reaches structural members through hasStructuralMember, applies the spanning condition through hasSpannedHullArea, requires unitless decimal hull-area factors, requires selectedHullAreaFactor only in the applicable alternative, excludes both values when no hull area is spanned, and compares the selected value with the per-member maximum using an expected-result-scaled tolerance. The MAX aggregation is correlated to the current structural member, preserving the prior repair instruction.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614391cd34e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RUN-I2-019-20260828T142228611041Z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RUN-I2-019-20260828T142228611041Z</x:v>
      </x:c>
      <x:c r="B5" s="45" t="str">
        <x:v>I2-019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direct-calculation constraint: correlate the MAX aggregation to the current structural member ($this), because the subquery currently groups an unconstrained ?member and can compare the selected factor against another member's maximum, causing accidental passes. Also make the no-spanned-area alternative prohibit nltl:selectedHullAreaFactor (sh:maxCount 0), or otherwise enforce that the result is present only when hasSpannedHullArea is present; the current sh:or permits an unpaired selected factor. Preserve the supplied owners, canonical terms, unitless quantity structure, and tolerance-based comparison.</x:v>
      </x:c>
      <x:c r="I5" s="81" t="n">
        <x:v>28393.96</x:v>
      </x:c>
      <x:c r="J5" s="81" t="n">
        <x:v>10412.934</x:v>
      </x:c>
    </x:row>
    <x:row r="6">
      <x:c r="A6" s="49" t="str">
        <x:v>RUN-I2-019-20260828T142228611041Z</x:v>
      </x:c>
      <x:c r="B6" s="49" t="str">
        <x:v>I2-019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DIRECT_CALCULATION contract: it targets ships, reaches structural members through hasStructuralMember, applies the spanning condition through hasSpannedHullArea, requires unitless decimal hull-area factors, requires selectedHullAreaFactor only in the applicable alternative, excludes both values when no hull area is spanned, and compares the selected value with the per-member maximum using an expected-result-scaled tolerance. The MAX aggregation is correlated to the current structural member, preserving the prior repair instruction.</x:v>
      </x:c>
      <x:c r="I6" s="83" t="n">
        <x:v>25084.821</x:v>
      </x:c>
      <x:c r="J6" s="83" t="n">
        <x:v>11027.013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14a7db91b84b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RUN-I2-019-20260828T142228611041Z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RUN-I2-019-20260828T142228611041Z</x:v>
      </x:c>
      <x:c r="C5" s="45" t="str">
        <x:v>I2-019</x:v>
      </x:c>
      <x:c r="D5" s="90" t="n">
        <x:v>46262.59927090278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28392.297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RUN-I2-019-20260828T142228611041Z</x:v>
      </x:c>
      <x:c r="C6" s="47" t="str">
        <x:v>I2-019</x:v>
      </x:c>
      <x:c r="D6" s="91" t="n">
        <x:v>46262.59927092592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28393.96</x:v>
      </x:c>
      <x:c r="L6" s="93" t="b">
        <x:v>0</x:v>
      </x:c>
      <x:c r="M6" s="47" t="str">
        <x:v>resp_0b6cac87a597d09e006a9199a51edc8195957073ed8ecf937a</x:v>
      </x:c>
      <x:c r="N6" s="59" t="n">
        <x:v>9303</x:v>
      </x:c>
      <x:c r="O6" s="59" t="n">
        <x:v>2335</x:v>
      </x:c>
      <x:c r="P6" s="59" t="n">
        <x:v>11638</x:v>
      </x:c>
    </x:row>
    <x:row r="7">
      <x:c r="A7" s="47" t="str">
        <x:v>EVT-000032</x:v>
      </x:c>
      <x:c r="B7" s="47" t="str">
        <x:v>RUN-I2-019-20260828T142228611041Z</x:v>
      </x:c>
      <x:c r="C7" s="47" t="str">
        <x:v>I2-019</x:v>
      </x:c>
      <x:c r="D7" s="91" t="n">
        <x:v>46262.599392951386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10411.418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RUN-I2-019-20260828T142228611041Z</x:v>
      </x:c>
      <x:c r="C8" s="47" t="str">
        <x:v>I2-019</x:v>
      </x:c>
      <x:c r="D8" s="91" t="n">
        <x:v>46262.59939297454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10412.934</x:v>
      </x:c>
      <x:c r="L8" s="93" t="b">
        <x:v>0</x:v>
      </x:c>
      <x:c r="M8" s="47" t="str">
        <x:v>resp_019570a9ee6cd2a0006a9199c1fd5c8195aa82c171f2f983fc</x:v>
      </x:c>
      <x:c r="N8" s="59" t="n">
        <x:v>8540</x:v>
      </x:c>
      <x:c r="O8" s="59" t="n">
        <x:v>654</x:v>
      </x:c>
      <x:c r="P8" s="59" t="n">
        <x:v>9194</x:v>
      </x:c>
    </x:row>
    <x:row r="9">
      <x:c r="A9" s="47" t="str">
        <x:v>EVT-000038</x:v>
      </x:c>
      <x:c r="B9" s="47" t="str">
        <x:v>RUN-I2-019-20260828T142228611041Z</x:v>
      </x:c>
      <x:c r="C9" s="47" t="str">
        <x:v>I2-019</x:v>
      </x:c>
      <x:c r="D9" s="91" t="n">
        <x:v>46262.59968334491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25083.315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RUN-I2-019-20260828T142228611041Z</x:v>
      </x:c>
      <x:c r="C10" s="47" t="str">
        <x:v>I2-019</x:v>
      </x:c>
      <x:c r="D10" s="91" t="n">
        <x:v>46262.59968335648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25084.821</x:v>
      </x:c>
      <x:c r="L10" s="93" t="b">
        <x:v>0</x:v>
      </x:c>
      <x:c r="M10" s="47" t="str">
        <x:v>resp_0d2364ba0b4a483f006a9199cbaeac8190a3a1adf7592172c6</x:v>
      </x:c>
      <x:c r="N10" s="59" t="n">
        <x:v>9420</x:v>
      </x:c>
      <x:c r="O10" s="59" t="n">
        <x:v>2202</x:v>
      </x:c>
      <x:c r="P10" s="59" t="n">
        <x:v>11622</x:v>
      </x:c>
    </x:row>
    <x:row r="11">
      <x:c r="A11" s="47" t="str">
        <x:v>EVT-000046</x:v>
      </x:c>
      <x:c r="B11" s="47" t="str">
        <x:v>RUN-I2-019-20260828T142228611041Z</x:v>
      </x:c>
      <x:c r="C11" s="47" t="str">
        <x:v>I2-019</x:v>
      </x:c>
      <x:c r="D11" s="91" t="n">
        <x:v>46262.59981252315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11025.536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RUN-I2-019-20260828T142228611041Z</x:v>
      </x:c>
      <x:c r="C12" s="49" t="str">
        <x:v>I2-019</x:v>
      </x:c>
      <x:c r="D12" s="94" t="n">
        <x:v>46262.599812546294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11027.013</x:v>
      </x:c>
      <x:c r="L12" s="82" t="b">
        <x:v>0</x:v>
      </x:c>
      <x:c r="M12" s="49" t="str">
        <x:v>resp_0a53a463db3277d4006a9199e4fe408190a125ac448ef9132f</x:v>
      </x:c>
      <x:c r="N12" s="60" t="n">
        <x:v>8704</x:v>
      </x:c>
      <x:c r="O12" s="60" t="n">
        <x:v>638</x:v>
      </x:c>
      <x:c r="P12" s="60" t="n">
        <x:v>9342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1a1eb6d5e048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RUN-I2-019-20260828T142228611041Z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RUN-I2-019-20260828T142228611041Z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RUN-I2-019-20260828T142228611041Z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RUN-I2-019-20260828T142228611041Z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RUN-I2-019-20260828T142228611041Z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RUN-I2-019-20260828T142228611041Z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RUN-I2-019-20260828T142228611041Z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RUN-I2-019-20260828T142228611041Z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RUN-I2-019-20260828T142228611041Z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RUN-I2-019-20260828T142228611041Z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RUN-I2-019-20260828T142228611041Z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RUN-I2-019-20260828T142228611041Z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RUN-I2-019-20260828T142228611041Z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RUN-I2-019-20260828T142228611041Z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RUN-I2-019-20260828T142228611041Z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RUN-I2-019-20260828T142228611041Z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RUN-I2-019-20260828T142228611041Z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76e072143144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RUN-I2-019-20260828T142228611041Z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RUN-I2-019-20260828T142228611041Z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7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RUN-I2-019-20260828T142228611041Z</x:v>
      </x:c>
      <x:c r="B6" s="49" t="str">
        <x:v>I2-019</x:v>
      </x:c>
      <x:c r="C6" s="49" t="str">
        <x:v>FS-QTY-01</x:v>
      </x:c>
      <x:c r="D6" s="49" t="str">
        <x:v>qudt_quantity</x:v>
      </x:c>
      <x:c r="E6" s="98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436c2c74f94d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RUN-I2-019-20260828T142228611041Z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RUN-I2-019-20260828T142228611041Z</x:v>
      </x:c>
      <x:c r="B5" s="45" t="str">
        <x:v>I2-019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46" t="str"/>
      <x:c r="P5" s="46" t="str"/>
      <x:c r="Q5" s="46" t="str"/>
    </x:row>
    <x:row r="6">
      <x:c r="A6" s="49" t="str">
        <x:v>RUN-I2-019-20260828T142228611041Z</x:v>
      </x:c>
      <x:c r="B6" s="49" t="str">
        <x:v>I2-019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1a6b32d276d42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RUN-I2-019-20260828T142228611041Z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RUN-I2-019-20260828T142228611041Z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RUN-I2-019-20260828T142228611041Z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RUN-I2-019-20260828T142228611041Z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RUN-I2-019-20260828T142228611041Z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RUN-I2-019-20260828T142228611041Z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8815b6c6943612580581f9629c4bf207a5cf18f58c94dedcc44a9e8f3f24efb2</x:v>
      </x:c>
      <x:c r="G8" s="59" t="n">
        <x:v>4536</x:v>
      </x:c>
    </x:row>
    <x:row r="9">
      <x:c r="A9" s="47" t="str">
        <x:v>RUN-I2-019-20260828T142228611041Z</x:v>
      </x:c>
      <x:c r="B9" s="47" t="str">
        <x:v>I2-019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457c36f69c3bb1eebd6b51eb5f539d7a00710044e46b9dcd40715265156d7af5</x:v>
      </x:c>
      <x:c r="G9" s="59" t="n">
        <x:v>4511</x:v>
      </x:c>
    </x:row>
    <x:row r="10">
      <x:c r="A10" s="47" t="str">
        <x:v>RUN-I2-019-20260828T142228611041Z</x:v>
      </x:c>
      <x:c r="B10" s="47" t="str">
        <x:v>I2-019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451f97977dd03c30e4103510e271e5d6c19a0044ae397c354b4ab83a04ee436e</x:v>
      </x:c>
      <x:c r="G10" s="59" t="n">
        <x:v>747</x:v>
      </x:c>
    </x:row>
    <x:row r="11">
      <x:c r="A11" s="47" t="str">
        <x:v>RUN-I2-019-20260828T142228611041Z</x:v>
      </x:c>
      <x:c r="B11" s="47" t="str">
        <x:v>I2-019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8999ef057e7943d3d3d0b03e0c3e353b5c967f2a1d30897b544dab46cf3c86a0</x:v>
      </x:c>
      <x:c r="G11" s="59" t="n">
        <x:v>35743</x:v>
      </x:c>
    </x:row>
    <x:row r="12">
      <x:c r="A12" s="47" t="str">
        <x:v>RUN-I2-019-20260828T142228611041Z</x:v>
      </x:c>
      <x:c r="B12" s="47" t="str">
        <x:v>I2-019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bcbc4a9ff65f502205b6f9706e08a2afb597debaa780510cde306c794ea7fcc4</x:v>
      </x:c>
      <x:c r="G12" s="59" t="n">
        <x:v>685</x:v>
      </x:c>
    </x:row>
    <x:row r="13">
      <x:c r="A13" s="47" t="str">
        <x:v>RUN-I2-019-20260828T142228611041Z</x:v>
      </x:c>
      <x:c r="B13" s="47" t="str">
        <x:v>I2-019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21b2f88498712d3faab99cdc1cbbf57abca9d39ba0463bfa0e0506d6e54d477d</x:v>
      </x:c>
      <x:c r="G13" s="59" t="n">
        <x:v>38945</x:v>
      </x:c>
    </x:row>
    <x:row r="14">
      <x:c r="A14" s="47" t="str">
        <x:v>RUN-I2-019-20260828T142228611041Z</x:v>
      </x:c>
      <x:c r="B14" s="47" t="str">
        <x:v>I2-019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80e2647acdad92bad9e8d846667b70bc1ede7361b83e33cbb4c4de8799de2575</x:v>
      </x:c>
      <x:c r="G14" s="59" t="n">
        <x:v>4722</x:v>
      </x:c>
    </x:row>
    <x:row r="15">
      <x:c r="A15" s="47" t="str">
        <x:v>RUN-I2-019-20260828T142228611041Z</x:v>
      </x:c>
      <x:c r="B15" s="47" t="str">
        <x:v>I2-019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8524cd443be2cb696edf5babdefcbff367b14888d40c460e52fabb6af620d6b7</x:v>
      </x:c>
      <x:c r="G15" s="59" t="n">
        <x:v>4697</x:v>
      </x:c>
    </x:row>
    <x:row r="16">
      <x:c r="A16" s="47" t="str">
        <x:v>RUN-I2-019-20260828T142228611041Z</x:v>
      </x:c>
      <x:c r="B16" s="47" t="str">
        <x:v>I2-019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451f97977dd03c30e4103510e271e5d6c19a0044ae397c354b4ab83a04ee436e</x:v>
      </x:c>
      <x:c r="G16" s="59" t="n">
        <x:v>747</x:v>
      </x:c>
    </x:row>
    <x:row r="17">
      <x:c r="A17" s="47" t="str">
        <x:v>RUN-I2-019-20260828T142228611041Z</x:v>
      </x:c>
      <x:c r="B17" s="47" t="str">
        <x:v>I2-019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307e98a9934daec8c5bc077043c4b960557b26ef6580604c90b38077d4158044</x:v>
      </x:c>
      <x:c r="G17" s="59" t="n">
        <x:v>36561</x:v>
      </x:c>
    </x:row>
    <x:row r="18">
      <x:c r="A18" s="47" t="str">
        <x:v>RUN-I2-019-20260828T142228611041Z</x:v>
      </x:c>
      <x:c r="B18" s="47" t="str">
        <x:v>I2-019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1fed889a74e181d124f4cd5886adf5f5dcfa7566fb7a7c8d8ac6b1c8a198957d</x:v>
      </x:c>
      <x:c r="G18" s="59" t="n">
        <x:v>646</x:v>
      </x:c>
    </x:row>
    <x:row r="19">
      <x:c r="A19" s="49" t="str">
        <x:v>RUN-I2-019-20260828T142228611041Z</x:v>
      </x:c>
      <x:c r="B19" s="49" t="str">
        <x:v>I2-019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8524cd443be2cb696edf5babdefcbff367b14888d40c460e52fabb6af620d6b7</x:v>
      </x:c>
      <x:c r="G19" s="60" t="n">
        <x:v>4697</x:v>
      </x:c>
    </x:row>
  </x:sheetData>
  <x:pageMargins left="0.7" right="0.7" top="0.75" bottom="0.75" header="0.3" footer="0.3"/>
  <x:tableParts count="1">
    <x:tablePart xmlns:r="http://schemas.openxmlformats.org/officeDocument/2006/relationships" r:id="Rc22466ba78c444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RUN-I2-019-20260828T142228611041Z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RUN-I2-019-20260828T142228611041Z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RUN-I2-019-20260828T142228611041Z</x:v>
      </x:c>
      <x:c r="B5" s="69" t="str">
        <x:v>I2-019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2465923c34622"/>
  </x:tableParts>
</x:worksheet>
</file>