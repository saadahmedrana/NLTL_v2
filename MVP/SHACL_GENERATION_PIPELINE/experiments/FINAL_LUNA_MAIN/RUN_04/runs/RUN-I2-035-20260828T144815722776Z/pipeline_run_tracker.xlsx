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b6a31c7a2144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d4283df33d4f5f"/>
    <x:sheet xmlns:r="http://schemas.openxmlformats.org/officeDocument/2006/relationships" name="README" sheetId="2" r:id="R2b04a467b04d4e1c"/>
    <x:sheet xmlns:r="http://schemas.openxmlformats.org/officeDocument/2006/relationships" name="REGULATION_QUEUE" sheetId="3" r:id="Rbf1c2bd94b3343c2"/>
    <x:sheet xmlns:r="http://schemas.openxmlformats.org/officeDocument/2006/relationships" name="RUNS" sheetId="4" r:id="Rfd78d98d2834424d"/>
    <x:sheet xmlns:r="http://schemas.openxmlformats.org/officeDocument/2006/relationships" name="ITERATIONS" sheetId="5" r:id="R5f5f1b674ce842b1"/>
    <x:sheet xmlns:r="http://schemas.openxmlformats.org/officeDocument/2006/relationships" name="API_CALLS" sheetId="6" r:id="R1f6f3eb43404493f"/>
    <x:sheet xmlns:r="http://schemas.openxmlformats.org/officeDocument/2006/relationships" name="TERM_RETRIEVAL" sheetId="7" r:id="R298db5d18d0944ce"/>
    <x:sheet xmlns:r="http://schemas.openxmlformats.org/officeDocument/2006/relationships" name="FEW_SHOT_SELECTION" sheetId="8" r:id="R7b60c3f4f69e4477"/>
    <x:sheet xmlns:r="http://schemas.openxmlformats.org/officeDocument/2006/relationships" name="VALIDATION" sheetId="9" r:id="Re537d020edbf4097"/>
    <x:sheet xmlns:r="http://schemas.openxmlformats.org/officeDocument/2006/relationships" name="VOCAB_MATCHES" sheetId="10" r:id="R43cea80c86064279"/>
    <x:sheet xmlns:r="http://schemas.openxmlformats.org/officeDocument/2006/relationships" name="ARTIFACTS" sheetId="11" r:id="R34a60d5aec0c4e0b"/>
    <x:sheet xmlns:r="http://schemas.openxmlformats.org/officeDocument/2006/relationships" name="UNRESOLVED" sheetId="12" r:id="Re21e0c775b3547c1"/>
    <x:sheet xmlns:r="http://schemas.openxmlformats.org/officeDocument/2006/relationships" name="RDF_TEST_QUEUE" sheetId="13" r:id="Rb1f63264455c47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d9aa8991a146a5" /><Relationship Type="http://schemas.openxmlformats.org/officeDocument/2006/relationships/theme" Target="/xl/theme/theme1.xml" Id="R607d66d86ac3439e" /><Relationship Type="http://schemas.microsoft.com/office/2022/11/relationships/FeaturePropertyBag" Target="/xl/featurePropertyBag/featurePropertyBag.xml" Id="R2b34eae4f93b44c9" /><Relationship Type="http://schemas.openxmlformats.org/officeDocument/2006/relationships/sharedStrings" Target="/xl/sharedStrings.xml" Id="R53a9a15253584a96" /><Relationship Type="http://schemas.openxmlformats.org/officeDocument/2006/relationships/worksheet" Target="/xl/worksheets/sheet1.xml" Id="Rb2d4283df33d4f5f" /><Relationship Type="http://schemas.openxmlformats.org/officeDocument/2006/relationships/worksheet" Target="/xl/worksheets/sheet2.xml" Id="R2b04a467b04d4e1c" /><Relationship Type="http://schemas.openxmlformats.org/officeDocument/2006/relationships/worksheet" Target="/xl/worksheets/sheet3.xml" Id="Rbf1c2bd94b3343c2" /><Relationship Type="http://schemas.openxmlformats.org/officeDocument/2006/relationships/worksheet" Target="/xl/worksheets/sheet4.xml" Id="Rfd78d98d2834424d" /><Relationship Type="http://schemas.openxmlformats.org/officeDocument/2006/relationships/worksheet" Target="/xl/worksheets/sheet5.xml" Id="R5f5f1b674ce842b1" /><Relationship Type="http://schemas.openxmlformats.org/officeDocument/2006/relationships/worksheet" Target="/xl/worksheets/sheet6.xml" Id="R1f6f3eb43404493f" /><Relationship Type="http://schemas.openxmlformats.org/officeDocument/2006/relationships/worksheet" Target="/xl/worksheets/sheet7.xml" Id="R298db5d18d0944ce" /><Relationship Type="http://schemas.openxmlformats.org/officeDocument/2006/relationships/worksheet" Target="/xl/worksheets/sheet8.xml" Id="R7b60c3f4f69e4477" /><Relationship Type="http://schemas.openxmlformats.org/officeDocument/2006/relationships/worksheet" Target="/xl/worksheets/sheet9.xml" Id="Re537d020edbf4097" /><Relationship Type="http://schemas.openxmlformats.org/officeDocument/2006/relationships/worksheet" Target="/xl/worksheets/sheet10.xml" Id="R43cea80c86064279" /><Relationship Type="http://schemas.openxmlformats.org/officeDocument/2006/relationships/worksheet" Target="/xl/worksheets/sheet11.xml" Id="R34a60d5aec0c4e0b" /><Relationship Type="http://schemas.openxmlformats.org/officeDocument/2006/relationships/worksheet" Target="/xl/worksheets/sheet12.xml" Id="Re21e0c775b3547c1" /><Relationship Type="http://schemas.openxmlformats.org/officeDocument/2006/relationships/worksheet" Target="/xl/worksheets/sheet13.xml" Id="Rb1f63264455c47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40cc95cf614d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fae8c8198a47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5a88b4522843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2635c9cc6c84c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384ac994a9247f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28a7f9852a341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6984d20547f49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cd8e40c542d418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48deb95b33842e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aac12ce725f48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RUN-I2-035-20260828T144815722776Z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24611.126277777774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RUN-I2-035-20260828T144815722776Z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e40cc95cf614d0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RUN-I2-035-20260828T144815722776Z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GENERATION_ACCEPTED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fae8c8198a47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RUN-I2-035-20260828T144815722776Z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RUN-I2-035-20260828T144815722776Z</x:v>
      </x:c>
      <x:c r="C5" s="69" t="str">
        <x:v>I2-035</x:v>
      </x:c>
      <x:c r="D5" s="70" t="n">
        <x:v>46262.616848645834</x:v>
      </x:c>
      <x:c r="E5" s="70" t="n">
        <x:v>46262.61942898148</x:v>
      </x:c>
      <x:c r="F5" s="69" t="str">
        <x:v>final-luna-main-run04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implements the verified DIRECT_CALCULATION requirement: it preserves the authoritative ship and structuralMember ownership, uses the canonical namespace and terms, includes all declared operands and the complete b_prime/b_2/b_1 formula, converts shearArea from m² to cm², enforces A_w &gt;= A_L, and compares the reported derived result using tolerance scaled from the expected result.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5a88b4522843f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RUN-I2-035-20260828T144815722776Z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RUN-I2-035-20260828T144815722776Z</x:v>
      </x:c>
      <x:c r="B5" s="45" t="str">
        <x:v>I2-035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comparison formula to reconcile units: shearArea is supplied in m², while requiredLongitudinalFrameShearArea and the formula result are in cm². Convert the actual Aw numeric value by 10000 before comparing it with the cm²-derived A_L (or otherwise perform an explicit registered unit conversion). Preserve the authoritative ownership: ship-level shearArea and ship inputs, structuralMember-level frameSpacing, selectedHullAreaFactor, and requiredLongitudinalFrameShearArea. The current FILTER compares raw m² and cm² numerics, so it does not faithfully implement Aw &gt;= A_L.</x:v>
      </x:c>
      <x:c r="I5" s="84" t="n">
        <x:v>42400.255</x:v>
      </x:c>
      <x:c r="J5" s="84" t="n">
        <x:v>11078.286</x:v>
      </x:c>
    </x:row>
    <x:row r="6">
      <x:c r="A6" s="47" t="str">
        <x:v>RUN-I2-035-20260828T144815722776Z</x:v>
      </x:c>
      <x:c r="B6" s="47" t="str">
        <x:v>I2-035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unit-conversion instruction: convert the ship-level shearArea numeric value from m² to cm² by multiplying by 10000 before comparing it with requiredLongitudinalFrameShearArea in cm². Replace the dummy qudt:dummy SPARQL, which produces no validation rows and therefore accidentally passes, with a bounded direct-calculation check implementing the complete formula, including b_prime = frameSpan/frameSpacing and the conditional b_2 branch, using all declared operands: averageIcePressure, frameSpacing, frameSpan, loadPatchHeight, peakPressureFactor, selectedHullAreaFactor, yieldStrength, and shearArea. Enforce actual A_w &gt;= calculated A_L and reconcile the reported requiredLongitudinalFrameShearArea with the calculated A_L using a relative tolerance scaled from the expected formula result; do not use exact equality for the derived decimal.</x:v>
      </x:c>
      <x:c r="I6" s="86" t="n">
        <x:v>50174.136</x:v>
      </x:c>
      <x:c r="J6" s="86" t="n">
        <x:v>8850.652</x:v>
      </x:c>
    </x:row>
    <x:row r="7">
      <x:c r="A7" s="47" t="str">
        <x:v>RUN-I2-035-20260828T144815722776Z</x:v>
      </x:c>
      <x:c r="B7" s="47" t="str">
        <x:v>I2-035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prior unit-conversion and complete-formula instructions, but replace the SPARQL ABS(...) calls in the tolerance check. DIRECT_CALCULATION permits only the registered arithmetic, comparisons, min/max, simple piecewise branches, integer powers, constants, and table lookup operations; ABS is not an allowed operation. Since the formula result is expected to be nonnegative, express the derived-result tolerance with permitted comparisons/arithmetic (or an explicitly supported equivalent), while retaining the 10000 conversion of shearArea from m² to cm², the b_prime conditional branch, all operands, actual A_w &gt;= calculated A_L, and tolerance scaled from the expected result.</x:v>
      </x:c>
      <x:c r="I7" s="86" t="n">
        <x:v>33688.247</x:v>
      </x:c>
      <x:c r="J7" s="86" t="n">
        <x:v>12199.571</x:v>
      </x:c>
    </x:row>
    <x:row r="8">
      <x:c r="A8" s="49" t="str">
        <x:v>RUN-I2-035-20260828T144815722776Z</x:v>
      </x:c>
      <x:c r="B8" s="49" t="str">
        <x:v>I2-035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Candidate faithfully implements the verified DIRECT_CALCULATION requirement: it preserves the authoritative ship and structuralMember ownership, uses the canonical namespace and terms, includes all declared operands and the complete b_prime/b_2/b_1 formula, converts shearArea from m² to cm², enforces A_w &gt;= A_L, and compares the reported derived result using tolerance scaled from the expected result. No repair is required.</x:v>
      </x:c>
      <x:c r="I8" s="88" t="n">
        <x:v>32356.66</x:v>
      </x:c>
      <x:c r="J8" s="88" t="n">
        <x:v>10047.592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635c9cc6c84c7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RUN-I2-035-20260828T144815722776Z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RUN-I2-035-20260828T144815722776Z</x:v>
      </x:c>
      <x:c r="C5" s="45" t="str">
        <x:v>I2-035</x:v>
      </x:c>
      <x:c r="D5" s="92" t="n">
        <x:v>46262.61733939815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42398.636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RUN-I2-035-20260828T144815722776Z</x:v>
      </x:c>
      <x:c r="C6" s="47" t="str">
        <x:v>I2-035</x:v>
      </x:c>
      <x:c r="D6" s="93" t="n">
        <x:v>46262.6173394213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42400.255</x:v>
      </x:c>
      <x:c r="L6" s="85" t="b">
        <x:v>0</x:v>
      </x:c>
      <x:c r="M6" s="47" t="str">
        <x:v>resp_040f95f7cafad322006a919fafd4b8819797bc576efde06754</x:v>
      </x:c>
      <x:c r="N6" s="59" t="n">
        <x:v>10691</x:v>
      </x:c>
      <x:c r="O6" s="59" t="n">
        <x:v>3522</x:v>
      </x:c>
      <x:c r="P6" s="59" t="n">
        <x:v>14213</x:v>
      </x:c>
    </x:row>
    <x:row r="7">
      <x:c r="A7" s="47" t="str">
        <x:v>EVT-000031</x:v>
      </x:c>
      <x:c r="B7" s="47" t="str">
        <x:v>RUN-I2-035-20260828T144815722776Z</x:v>
      </x:c>
      <x:c r="C7" s="47" t="str">
        <x:v>I2-035</x:v>
      </x:c>
      <x:c r="D7" s="93" t="n">
        <x:v>46262.61758236111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20709.25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RUN-I2-035-20260828T144815722776Z</x:v>
      </x:c>
      <x:c r="C8" s="47" t="str">
        <x:v>I2-035</x:v>
      </x:c>
      <x:c r="D8" s="93" t="n">
        <x:v>46262.61758238426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20710.794</x:v>
      </x:c>
      <x:c r="L8" s="85" t="b">
        <x:v>0</x:v>
      </x:c>
      <x:c r="M8" s="47" t="str">
        <x:v>resp_03b154062081d0a2006a919fda82cc81958059d86734ee878a</x:v>
      </x:c>
      <x:c r="N8" s="59" t="n">
        <x:v>2877</x:v>
      </x:c>
      <x:c r="O8" s="59" t="n">
        <x:v>2202</x:v>
      </x:c>
      <x:c r="P8" s="59" t="n">
        <x:v>5079</x:v>
      </x:c>
    </x:row>
    <x:row r="9">
      <x:c r="A9" s="47" t="str">
        <x:v>EVT-000040</x:v>
      </x:c>
      <x:c r="B9" s="47" t="str">
        <x:v>RUN-I2-035-20260828T144815722776Z</x:v>
      </x:c>
      <x:c r="C9" s="47" t="str">
        <x:v>I2-035</x:v>
      </x:c>
      <x:c r="D9" s="93" t="n">
        <x:v>46262.617713912034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11076.799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RUN-I2-035-20260828T144815722776Z</x:v>
      </x:c>
      <x:c r="C10" s="47" t="str">
        <x:v>I2-035</x:v>
      </x:c>
      <x:c r="D10" s="93" t="n">
        <x:v>46262.617713935186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11078.286</x:v>
      </x:c>
      <x:c r="L10" s="85" t="b">
        <x:v>0</x:v>
      </x:c>
      <x:c r="M10" s="47" t="str">
        <x:v>resp_05255ab7d1fbf13c006a919fef93bc819697fd904882f8aaed</x:v>
      </x:c>
      <x:c r="N10" s="59" t="n">
        <x:v>11809</x:v>
      </x:c>
      <x:c r="O10" s="59" t="n">
        <x:v>659</x:v>
      </x:c>
      <x:c r="P10" s="59" t="n">
        <x:v>12468</x:v>
      </x:c>
    </x:row>
    <x:row r="11">
      <x:c r="A11" s="47" t="str">
        <x:v>EVT-000046</x:v>
      </x:c>
      <x:c r="B11" s="47" t="str">
        <x:v>RUN-I2-035-20260828T144815722776Z</x:v>
      </x:c>
      <x:c r="C11" s="47" t="str">
        <x:v>I2-035</x:v>
      </x:c>
      <x:c r="D11" s="93" t="n">
        <x:v>46262.618294699074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50172.592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RUN-I2-035-20260828T144815722776Z</x:v>
      </x:c>
      <x:c r="C12" s="47" t="str">
        <x:v>I2-035</x:v>
      </x:c>
      <x:c r="D12" s="93" t="n">
        <x:v>46262.61829471065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50174.136</x:v>
      </x:c>
      <x:c r="L12" s="85" t="b">
        <x:v>0</x:v>
      </x:c>
      <x:c r="M12" s="47" t="str">
        <x:v>resp_0129e61fed637709006a919ffa97e08195adfa5babcd2c77e5</x:v>
      </x:c>
      <x:c r="N12" s="59" t="n">
        <x:v>10828</x:v>
      </x:c>
      <x:c r="O12" s="59" t="n">
        <x:v>3830</x:v>
      </x:c>
      <x:c r="P12" s="59" t="n">
        <x:v>14658</x:v>
      </x:c>
    </x:row>
    <x:row r="13">
      <x:c r="A13" s="47" t="str">
        <x:v>EVT-000054</x:v>
      </x:c>
      <x:c r="B13" s="47" t="str">
        <x:v>RUN-I2-035-20260828T144815722776Z</x:v>
      </x:c>
      <x:c r="C13" s="47" t="str">
        <x:v>I2-035</x:v>
      </x:c>
      <x:c r="D13" s="93" t="n">
        <x:v>46262.618400127314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8849.861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EVT-000055</x:v>
      </x:c>
      <x:c r="B14" s="47" t="str">
        <x:v>RUN-I2-035-20260828T144815722776Z</x:v>
      </x:c>
      <x:c r="C14" s="47" t="str">
        <x:v>I2-035</x:v>
      </x:c>
      <x:c r="D14" s="93" t="n">
        <x:v>46262.61840013889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8850.652</x:v>
      </x:c>
      <x:c r="L14" s="85" t="b">
        <x:v>0</x:v>
      </x:c>
      <x:c r="M14" s="47" t="str">
        <x:v>resp_00fa50dabceee588006a91a02d08e08195bd4bb0880dac75be</x:v>
      </x:c>
      <x:c r="N14" s="59" t="n">
        <x:v>11669</x:v>
      </x:c>
      <x:c r="O14" s="59" t="n">
        <x:v>546</x:v>
      </x:c>
      <x:c r="P14" s="59" t="n">
        <x:v>12215</x:v>
      </x:c>
    </x:row>
    <x:row r="15">
      <x:c r="A15" s="47" t="str">
        <x:v>EVT-000060</x:v>
      </x:c>
      <x:c r="B15" s="47" t="str">
        <x:v>RUN-I2-035-20260828T144815722776Z</x:v>
      </x:c>
      <x:c r="C15" s="47" t="str">
        <x:v>I2-035</x:v>
      </x:c>
      <x:c r="D15" s="93" t="n">
        <x:v>46262.61879008102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33686.739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EVT-000061</x:v>
      </x:c>
      <x:c r="B16" s="47" t="str">
        <x:v>RUN-I2-035-20260828T144815722776Z</x:v>
      </x:c>
      <x:c r="C16" s="47" t="str">
        <x:v>I2-035</x:v>
      </x:c>
      <x:c r="D16" s="93" t="n">
        <x:v>46262.61879010416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33688.247</x:v>
      </x:c>
      <x:c r="L16" s="85" t="b">
        <x:v>0</x:v>
      </x:c>
      <x:c r="M16" s="47" t="str">
        <x:v>resp_0239699023ccdaaa006a91a035e2b881978a1597d6d0117f64</x:v>
      </x:c>
      <x:c r="N16" s="59" t="n">
        <x:v>11016</x:v>
      </x:c>
      <x:c r="O16" s="59" t="n">
        <x:v>2738</x:v>
      </x:c>
      <x:c r="P16" s="59" t="n">
        <x:v>13754</x:v>
      </x:c>
    </x:row>
    <x:row r="17">
      <x:c r="A17" s="47" t="str">
        <x:v>EVT-000068</x:v>
      </x:c>
      <x:c r="B17" s="47" t="str">
        <x:v>RUN-I2-035-20260828T144815722776Z</x:v>
      </x:c>
      <x:c r="C17" s="47" t="str">
        <x:v>I2-035</x:v>
      </x:c>
      <x:c r="D17" s="93" t="n">
        <x:v>46262.618934652775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12198.851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EVT-000069</x:v>
      </x:c>
      <x:c r="B18" s="47" t="str">
        <x:v>RUN-I2-035-20260828T144815722776Z</x:v>
      </x:c>
      <x:c r="C18" s="47" t="str">
        <x:v>I2-035</x:v>
      </x:c>
      <x:c r="D18" s="93" t="n">
        <x:v>46262.61893466435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12199.571</x:v>
      </x:c>
      <x:c r="L18" s="85" t="b">
        <x:v>0</x:v>
      </x:c>
      <x:c r="M18" s="47" t="str">
        <x:v>resp_0f2ee2b9b8374adc006a91a057dba48197b53086d696f75d40</x:v>
      </x:c>
      <x:c r="N18" s="59" t="n">
        <x:v>12297</x:v>
      </x:c>
      <x:c r="O18" s="59" t="n">
        <x:v>671</x:v>
      </x:c>
      <x:c r="P18" s="59" t="n">
        <x:v>12968</x:v>
      </x:c>
    </x:row>
    <x:row r="19">
      <x:c r="A19" s="47" t="str">
        <x:v>EVT-000074</x:v>
      </x:c>
      <x:c r="B19" s="47" t="str">
        <x:v>RUN-I2-035-20260828T144815722776Z</x:v>
      </x:c>
      <x:c r="C19" s="47" t="str">
        <x:v>I2-035</x:v>
      </x:c>
      <x:c r="D19" s="93" t="n">
        <x:v>46262.61930917824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32355.187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EVT-000075</x:v>
      </x:c>
      <x:c r="B20" s="47" t="str">
        <x:v>RUN-I2-035-20260828T144815722776Z</x:v>
      </x:c>
      <x:c r="C20" s="47" t="str">
        <x:v>I2-035</x:v>
      </x:c>
      <x:c r="D20" s="93" t="n">
        <x:v>46262.619309201385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32356.66</x:v>
      </x:c>
      <x:c r="L20" s="85" t="b">
        <x:v>0</x:v>
      </x:c>
      <x:c r="M20" s="47" t="str">
        <x:v>resp_0579a11b01bb2139006a91a0640fa081938d24c5ca5e809b65</x:v>
      </x:c>
      <x:c r="N20" s="59" t="n">
        <x:v>11159</x:v>
      </x:c>
      <x:c r="O20" s="59" t="n">
        <x:v>2921</x:v>
      </x:c>
      <x:c r="P20" s="59" t="n">
        <x:v>14080</x:v>
      </x:c>
    </x:row>
    <x:row r="21">
      <x:c r="A21" s="47" t="str">
        <x:v>EVT-000082</x:v>
      </x:c>
      <x:c r="B21" s="47" t="str">
        <x:v>RUN-I2-035-20260828T144815722776Z</x:v>
      </x:c>
      <x:c r="C21" s="47" t="str">
        <x:v>I2-035</x:v>
      </x:c>
      <x:c r="D21" s="93" t="n">
        <x:v>46262.61942890046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10046.165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EVT-000083</x:v>
      </x:c>
      <x:c r="B22" s="49" t="str">
        <x:v>RUN-I2-035-20260828T144815722776Z</x:v>
      </x:c>
      <x:c r="C22" s="49" t="str">
        <x:v>I2-035</x:v>
      </x:c>
      <x:c r="D22" s="94" t="n">
        <x:v>46262.61942892361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10047.592</x:v>
      </x:c>
      <x:c r="L22" s="87" t="b">
        <x:v>0</x:v>
      </x:c>
      <x:c r="M22" s="49" t="str">
        <x:v>resp_0d529b387086f6df006a91a084be0c8194bebb3715325c5b1d</x:v>
      </x:c>
      <x:c r="N22" s="60" t="n">
        <x:v>12431</x:v>
      </x:c>
      <x:c r="O22" s="60" t="n">
        <x:v>619</x:v>
      </x:c>
      <x:c r="P22" s="60" t="n">
        <x:v>13050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84ac994a9247f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RUN-I2-035-20260828T144815722776Z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RUN-I2-035-20260828T144815722776Z</x:v>
      </x:c>
      <x:c r="B5" s="45" t="str">
        <x:v>I2-035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RUN-I2-035-20260828T144815722776Z</x:v>
      </x:c>
      <x:c r="B6" s="47" t="str">
        <x:v>I2-035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yieldStrength</x:v>
      </x:c>
      <x:c r="J6" s="47" t="n">
        <x:v>0</x:v>
      </x:c>
    </x:row>
    <x:row r="7">
      <x:c r="A7" s="47" t="str">
        <x:v>RUN-I2-035-20260828T144815722776Z</x:v>
      </x:c>
      <x:c r="B7" s="47" t="str">
        <x:v>I2-035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RUN-I2-035-20260828T144815722776Z</x:v>
      </x:c>
      <x:c r="B8" s="47" t="str">
        <x:v>I2-035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RUN-I2-035-20260828T144815722776Z</x:v>
      </x:c>
      <x:c r="B9" s="47" t="str">
        <x:v>I2-035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RUN-I2-035-20260828T144815722776Z</x:v>
      </x:c>
      <x:c r="B10" s="47" t="str">
        <x:v>I2-035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RUN-I2-035-20260828T144815722776Z</x:v>
      </x:c>
      <x:c r="B11" s="47" t="str">
        <x:v>I2-035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RUN-I2-035-20260828T144815722776Z</x:v>
      </x:c>
      <x:c r="B12" s="47" t="str">
        <x:v>I2-035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RUN-I2-035-20260828T144815722776Z</x:v>
      </x:c>
      <x:c r="B13" s="47" t="str">
        <x:v>I2-035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RUN-I2-035-20260828T144815722776Z</x:v>
      </x:c>
      <x:c r="B14" s="47" t="str">
        <x:v>I2-035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RUN-I2-035-20260828T144815722776Z</x:v>
      </x:c>
      <x:c r="B15" s="47" t="str">
        <x:v>I2-035</x:v>
      </x:c>
      <x:c r="C15" s="47" t="str">
        <x:v>requiredLongitudinalFrameShearArea</x:v>
      </x:c>
      <x:c r="D15" s="48" t="str">
        <x:v>https://w3id.org/nltl/vocab#requiredLongitudinalFrameShearArea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RUN-I2-035-20260828T144815722776Z</x:v>
      </x:c>
      <x:c r="B16" s="47" t="str">
        <x:v>I2-035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RUN-I2-035-20260828T144815722776Z</x:v>
      </x:c>
      <x:c r="B17" s="47" t="str">
        <x:v>I2-035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RUN-I2-035-20260828T144815722776Z</x:v>
      </x:c>
      <x:c r="B18" s="47" t="str">
        <x:v>I2-035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RUN-I2-035-20260828T144815722776Z</x:v>
      </x:c>
      <x:c r="B19" s="47" t="str">
        <x:v>I2-035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RUN-I2-035-20260828T144815722776Z</x:v>
      </x:c>
      <x:c r="B20" s="47" t="str">
        <x:v>I2-035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frameSpacing; domain dependency of requiredLongitudinalFrameShearArea; domain dependency of selectedHullAreaFactor</x:v>
      </x:c>
      <x:c r="J20" s="47" t="n">
        <x:v>0</x:v>
      </x:c>
    </x:row>
    <x:row r="21">
      <x:c r="A21" s="49" t="str">
        <x:v>RUN-I2-035-20260828T144815722776Z</x:v>
      </x:c>
      <x:c r="B21" s="49" t="str">
        <x:v>I2-035</x:v>
      </x:c>
      <x:c r="C21" s="49" t="str">
        <x:v>yieldStrength</x:v>
      </x:c>
      <x:c r="D21" s="50" t="str">
        <x:v>https://w3id.org/nltl/vocab#yieldStrength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http://qudt.org/vocab/unit/MegaPA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28a7f9852a3410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RUN-I2-035-20260828T144815722776Z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RUN-I2-035-20260828T144815722776Z</x:v>
      </x:c>
      <x:c r="B5" s="45" t="str">
        <x:v>I2-035</x:v>
      </x:c>
      <x:c r="C5" s="45" t="str">
        <x:v>FS-CALC-02</x:v>
      </x:c>
      <x:c r="D5" s="45" t="str">
        <x:v>comparison_calculation</x:v>
      </x:c>
      <x:c r="E5" s="97" t="n">
        <x:v>0.072727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RUN-I2-035-20260828T144815722776Z</x:v>
      </x:c>
      <x:c r="B6" s="49" t="str">
        <x:v>I2-035</x:v>
      </x:c>
      <x:c r="C6" s="49" t="str">
        <x:v>FS-QTY-01</x:v>
      </x:c>
      <x:c r="D6" s="49" t="str">
        <x:v>qudt_quantity</x:v>
      </x:c>
      <x:c r="E6" s="98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984d20547f49b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RUN-I2-035-20260828T144815722776Z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RUN-I2-035-20260828T144815722776Z</x:v>
      </x:c>
      <x:c r="B5" s="45" t="str">
        <x:v>I2-035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https://w3id.org/nltl/vocab#averageIcePressure | https://w3id.org/nltl/vocab#frameSpacing | https://w3id.org/nltl/vocab#frameSpan | https://w3id.org/nltl/vocab#hasStructuralMember | https://w3id.org/nltl/vocab#peakPressureFactor | https://w3id.org/nltl/vocab#requiredLongitudinalFrameShearArea | https://w3id.org/nltl/vocab#selectedHullAreaFactor | https://w3id.org/nltl/vocab#shearArea | https://w3id.org/nltl/vocab#ship | https://w3id.org/nltl/vocab#yieldStrength</x:v>
      </x:c>
      <x:c r="O5" s="46" t="str"/>
      <x:c r="P5" s="46" t="str"/>
      <x:c r="Q5" s="46" t="str"/>
    </x:row>
    <x:row r="6">
      <x:c r="A6" s="47" t="str">
        <x:v>RUN-I2-035-20260828T144815722776Z</x:v>
      </x:c>
      <x:c r="B6" s="47" t="str">
        <x:v>I2-035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https://w3id.org/nltl/vocab#averageIcePressure | https://w3id.org/nltl/vocab#frameSpacing | https://w3id.org/nltl/vocab#frameSpan | https://w3id.org/nltl/vocab#hasStructuralMember | https://w3id.org/nltl/vocab#loadPatchHeight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6" s="48" t="str"/>
      <x:c r="P6" s="48" t="str"/>
      <x:c r="Q6" s="48" t="str"/>
    </x:row>
    <x:row r="7">
      <x:c r="A7" s="47" t="str">
        <x:v>RUN-I2-035-20260828T144815722776Z</x:v>
      </x:c>
      <x:c r="B7" s="47" t="str">
        <x:v>I2-035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https://w3id.org/nltl/vocab#averageIcePressure | https://w3id.org/nltl/vocab#frameSpacing | https://w3id.org/nltl/vocab#frameSpan | https://w3id.org/nltl/vocab#hasStructuralMember | https://w3id.org/nltl/vocab#loadPatchHeight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7" s="48" t="str"/>
      <x:c r="P7" s="48" t="str"/>
      <x:c r="Q7" s="48" t="str"/>
    </x:row>
    <x:row r="8">
      <x:c r="A8" s="49" t="str">
        <x:v>RUN-I2-035-20260828T144815722776Z</x:v>
      </x:c>
      <x:c r="B8" s="49" t="str">
        <x:v>I2-035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https://w3id.org/nltl/vocab#averageIcePressure | https://w3id.org/nltl/vocab#frameSpacing | https://w3id.org/nltl/vocab#frameSpan | https://w3id.org/nltl/vocab#hasStructuralMember | https://w3id.org/nltl/vocab#loadPatchHeight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dcd8e40c542d418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RUN-I2-035-20260828T144815722776Z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RUN-I2-035-20260828T144815722776Z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RUN-I2-035-20260828T144815722776Z</x:v>
      </x:c>
      <x:c r="B5" s="45" t="str">
        <x:v>I2-035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6c79bf7cb9fc7ef439408b69c42c6b44ca9dbc8446327a21f3240a368a3df4f6</x:v>
      </x:c>
      <x:c r="G5" s="58" t="n">
        <x:v>23988</x:v>
      </x:c>
    </x:row>
    <x:row r="6">
      <x:c r="A6" s="47" t="str">
        <x:v>RUN-I2-035-20260828T144815722776Z</x:v>
      </x:c>
      <x:c r="B6" s="47" t="str">
        <x:v>I2-035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f3e6b10b6727b43b95b3823ef35b9539690d3e96915ed71a003772b838d2d844</x:v>
      </x:c>
      <x:c r="G6" s="59" t="n">
        <x:v>5255</x:v>
      </x:c>
    </x:row>
    <x:row r="7">
      <x:c r="A7" s="47" t="str">
        <x:v>RUN-I2-035-20260828T144815722776Z</x:v>
      </x:c>
      <x:c r="B7" s="47" t="str">
        <x:v>I2-035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b00b1d1cfd3d80e19c00c06ce13d1387d57d3b43146ed5422764bc036dcc5200</x:v>
      </x:c>
      <x:c r="G7" s="59" t="n">
        <x:v>40797</x:v>
      </x:c>
    </x:row>
    <x:row r="8">
      <x:c r="A8" s="47" t="str">
        <x:v>RUN-I2-035-20260828T144815722776Z</x:v>
      </x:c>
      <x:c r="B8" s="47" t="str">
        <x:v>I2-035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72aca1ae40ea83930b949618c3762299c6a3a7d79b90d5b5f8717caf74225b1f</x:v>
      </x:c>
      <x:c r="G8" s="59" t="n">
        <x:v>7617</x:v>
      </x:c>
    </x:row>
    <x:row r="9">
      <x:c r="A9" s="47" t="str">
        <x:v>RUN-I2-035-20260828T144815722776Z</x:v>
      </x:c>
      <x:c r="B9" s="47" t="str">
        <x:v>I2-035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27adfd6b293c69e51f81376d48e0c1b405d804a8c680a50557f3cce62016b18f</x:v>
      </x:c>
      <x:c r="G9" s="59" t="n">
        <x:v>9782</x:v>
      </x:c>
    </x:row>
    <x:row r="10">
      <x:c r="A10" s="47" t="str">
        <x:v>RUN-I2-035-20260828T144815722776Z</x:v>
      </x:c>
      <x:c r="B10" s="47" t="str">
        <x:v>I2-035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8f241b667d2f88eb1e7f8cf580dfa50ab10f03128c9f8715621121b67720aa4f</x:v>
      </x:c>
      <x:c r="G10" s="59" t="n">
        <x:v>7734</x:v>
      </x:c>
    </x:row>
    <x:row r="11">
      <x:c r="A11" s="47" t="str">
        <x:v>RUN-I2-035-20260828T144815722776Z</x:v>
      </x:c>
      <x:c r="B11" s="47" t="str">
        <x:v>I2-035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c74ef0895f2d7dbb1a6a50654bc0c1cf61a8b56f0901b7af1c9cd6cbe4ddd81c</x:v>
      </x:c>
      <x:c r="G11" s="59" t="n">
        <x:v>7709</x:v>
      </x:c>
    </x:row>
    <x:row r="12">
      <x:c r="A12" s="47" t="str">
        <x:v>RUN-I2-035-20260828T144815722776Z</x:v>
      </x:c>
      <x:c r="B12" s="47" t="str">
        <x:v>I2-035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ff1adbba74b4ef4438715fe313b6571fce0791aa1195363189d7dea3af40d1e1</x:v>
      </x:c>
      <x:c r="G12" s="59" t="n">
        <x:v>907</x:v>
      </x:c>
    </x:row>
    <x:row r="13">
      <x:c r="A13" s="47" t="str">
        <x:v>RUN-I2-035-20260828T144815722776Z</x:v>
      </x:c>
      <x:c r="B13" s="47" t="str">
        <x:v>I2-035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7ad7b041ba24f74c96943511ed22b4434bfd67858e50ae03a8139a6a21494a07</x:v>
      </x:c>
      <x:c r="G13" s="59" t="n">
        <x:v>43157</x:v>
      </x:c>
    </x:row>
    <x:row r="14">
      <x:c r="A14" s="47" t="str">
        <x:v>RUN-I2-035-20260828T144815722776Z</x:v>
      </x:c>
      <x:c r="B14" s="47" t="str">
        <x:v>I2-035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3621ab6a38859e2768fb0679491d9a03e06535ec3bfa25a2f9974fcd82c51f03</x:v>
      </x:c>
      <x:c r="G14" s="59" t="n">
        <x:v>653</x:v>
      </x:c>
    </x:row>
    <x:row r="15">
      <x:c r="A15" s="47" t="str">
        <x:v>RUN-I2-035-20260828T144815722776Z</x:v>
      </x:c>
      <x:c r="B15" s="47" t="str">
        <x:v>I2-035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e7c460575955e77b9dfe051924494056a998ec9d19a53db1a33694d71389f533</x:v>
      </x:c>
      <x:c r="G15" s="59" t="n">
        <x:v>41405</x:v>
      </x:c>
    </x:row>
    <x:row r="16">
      <x:c r="A16" s="47" t="str">
        <x:v>RUN-I2-035-20260828T144815722776Z</x:v>
      </x:c>
      <x:c r="B16" s="47" t="str">
        <x:v>I2-035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dd26c8e4bd225082186ef49c12852b453ba6810e88359b10d1caac077b266e18</x:v>
      </x:c>
      <x:c r="G16" s="59" t="n">
        <x:v>6160</x:v>
      </x:c>
    </x:row>
    <x:row r="17">
      <x:c r="A17" s="47" t="str">
        <x:v>RUN-I2-035-20260828T144815722776Z</x:v>
      </x:c>
      <x:c r="B17" s="47" t="str">
        <x:v>I2-035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045066afc207bc9876f76260b174cd47349f0d726a85974e572ac0aca74bb1d0</x:v>
      </x:c>
      <x:c r="G17" s="59" t="n">
        <x:v>6135</x:v>
      </x:c>
    </x:row>
    <x:row r="18">
      <x:c r="A18" s="47" t="str">
        <x:v>RUN-I2-035-20260828T144815722776Z</x:v>
      </x:c>
      <x:c r="B18" s="47" t="str">
        <x:v>I2-035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2ce6159a240235bfd7ef5c9668516aad7a9b4aa23ab9303fb58f8f1a0018ceb3</x:v>
      </x:c>
      <x:c r="G18" s="59" t="n">
        <x:v>1010</x:v>
      </x:c>
    </x:row>
    <x:row r="19">
      <x:c r="A19" s="47" t="str">
        <x:v>RUN-I2-035-20260828T144815722776Z</x:v>
      </x:c>
      <x:c r="B19" s="47" t="str">
        <x:v>I2-035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0a54b27b544ae9f984c70a931f63e1a0248a82f4cb39e2531379cc05c1efc43b</x:v>
      </x:c>
      <x:c r="G19" s="59" t="n">
        <x:v>42996</x:v>
      </x:c>
    </x:row>
    <x:row r="20">
      <x:c r="A20" s="47" t="str">
        <x:v>RUN-I2-035-20260828T144815722776Z</x:v>
      </x:c>
      <x:c r="B20" s="47" t="str">
        <x:v>I2-035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9c329bb281bfde09571c9d0012dd1e4ce4349ec3cf0a1538c48a2d5d96ddaefd</x:v>
      </x:c>
      <x:c r="G20" s="59" t="n">
        <x:v>931</x:v>
      </x:c>
    </x:row>
    <x:row r="21">
      <x:c r="A21" s="47" t="str">
        <x:v>RUN-I2-035-20260828T144815722776Z</x:v>
      </x:c>
      <x:c r="B21" s="47" t="str">
        <x:v>I2-035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7ec8b91da1d615e6f425fb63831bf6cb22b6d8fac17954c4867c837ec50db95c</x:v>
      </x:c>
      <x:c r="G21" s="59" t="n">
        <x:v>42291</x:v>
      </x:c>
    </x:row>
    <x:row r="22">
      <x:c r="A22" s="47" t="str">
        <x:v>RUN-I2-035-20260828T144815722776Z</x:v>
      </x:c>
      <x:c r="B22" s="47" t="str">
        <x:v>I2-035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e6d6edea655a0f04fa75b4e2f3f631098fc4c10316ad1795e7cb6ecf7a05c8a2</x:v>
      </x:c>
      <x:c r="G22" s="59" t="n">
        <x:v>7581</x:v>
      </x:c>
    </x:row>
    <x:row r="23">
      <x:c r="A23" s="47" t="str">
        <x:v>RUN-I2-035-20260828T144815722776Z</x:v>
      </x:c>
      <x:c r="B23" s="47" t="str">
        <x:v>I2-035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275c204426cb6f1700052f78889b39547bcd4f5954ebca76b600cd6b97e29aa6</x:v>
      </x:c>
      <x:c r="G23" s="59" t="n">
        <x:v>7556</x:v>
      </x:c>
    </x:row>
    <x:row r="24">
      <x:c r="A24" s="47" t="str">
        <x:v>RUN-I2-035-20260828T144815722776Z</x:v>
      </x:c>
      <x:c r="B24" s="47" t="str">
        <x:v>I2-035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2ce6159a240235bfd7ef5c9668516aad7a9b4aa23ab9303fb58f8f1a0018ceb3</x:v>
      </x:c>
      <x:c r="G24" s="59" t="n">
        <x:v>1010</x:v>
      </x:c>
    </x:row>
    <x:row r="25">
      <x:c r="A25" s="47" t="str">
        <x:v>RUN-I2-035-20260828T144815722776Z</x:v>
      </x:c>
      <x:c r="B25" s="47" t="str">
        <x:v>I2-035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23522f62a50070237617248e2fae51abb3f0e15f8132981259de8091c116132f</x:v>
      </x:c>
      <x:c r="G25" s="59" t="n">
        <x:v>45338</x:v>
      </x:c>
    </x:row>
    <x:row r="26">
      <x:c r="A26" s="47" t="str">
        <x:v>RUN-I2-035-20260828T144815722776Z</x:v>
      </x:c>
      <x:c r="B26" s="47" t="str">
        <x:v>I2-035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89c126599266712160e57c5f15caf30b49e3dec1c91f370fea5bb42c37fb36fb</x:v>
      </x:c>
      <x:c r="G26" s="59" t="n">
        <x:v>755</x:v>
      </x:c>
    </x:row>
    <x:row r="27">
      <x:c r="A27" s="47" t="str">
        <x:v>RUN-I2-035-20260828T144815722776Z</x:v>
      </x:c>
      <x:c r="B27" s="47" t="str">
        <x:v>I2-035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b44afab820c7f3bd39e84b2d2209348f6065273226625bf874abc1099af5020b</x:v>
      </x:c>
      <x:c r="G27" s="59" t="n">
        <x:v>42997</x:v>
      </x:c>
    </x:row>
    <x:row r="28">
      <x:c r="A28" s="47" t="str">
        <x:v>RUN-I2-035-20260828T144815722776Z</x:v>
      </x:c>
      <x:c r="B28" s="47" t="str">
        <x:v>I2-035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d31698b0c1efa14f21ef925319a3b591af6da12a8341d3bd7b43ec644464fd39</x:v>
      </x:c>
      <x:c r="G28" s="59" t="n">
        <x:v>8029</x:v>
      </x:c>
    </x:row>
    <x:row r="29">
      <x:c r="A29" s="47" t="str">
        <x:v>RUN-I2-035-20260828T144815722776Z</x:v>
      </x:c>
      <x:c r="B29" s="47" t="str">
        <x:v>I2-035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baa87f28865a2ecb8ca6ee39c268382dbd71f31e56cc45da8223ab2b7e6e3549</x:v>
      </x:c>
      <x:c r="G29" s="59" t="n">
        <x:v>8004</x:v>
      </x:c>
    </x:row>
    <x:row r="30">
      <x:c r="A30" s="47" t="str">
        <x:v>RUN-I2-035-20260828T144815722776Z</x:v>
      </x:c>
      <x:c r="B30" s="47" t="str">
        <x:v>I2-035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2ce6159a240235bfd7ef5c9668516aad7a9b4aa23ab9303fb58f8f1a0018ceb3</x:v>
      </x:c>
      <x:c r="G30" s="59" t="n">
        <x:v>1010</x:v>
      </x:c>
    </x:row>
    <x:row r="31">
      <x:c r="A31" s="47" t="str">
        <x:v>RUN-I2-035-20260828T144815722776Z</x:v>
      </x:c>
      <x:c r="B31" s="47" t="str">
        <x:v>I2-035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75bb861dd59bbdd8117148acae8d6cdf60e13355e6331ed65ee2b16729c51efb</x:v>
      </x:c>
      <x:c r="G31" s="59" t="n">
        <x:v>46490</x:v>
      </x:c>
    </x:row>
    <x:row r="32">
      <x:c r="A32" s="47" t="str">
        <x:v>RUN-I2-035-20260828T144815722776Z</x:v>
      </x:c>
      <x:c r="B32" s="47" t="str">
        <x:v>I2-035</x:v>
      </x:c>
      <x:c r="C32" s="59" t="n">
        <x:v>4</x:v>
      </x:c>
      <x:c r="D32" s="47" t="str">
        <x:v>validator_raw_response</x:v>
      </x:c>
      <x:c r="E32" s="48" t="str">
        <x:v>artifacts/attempt_04/validator_raw_01.txt</x:v>
      </x:c>
      <x:c r="F32" s="47" t="str">
        <x:v>f58d61c617ffb258aca6e6f680178ac8c38724145e112e2eb00fa74862405fbc</x:v>
      </x:c>
      <x:c r="G32" s="59" t="n">
        <x:v>491</x:v>
      </x:c>
    </x:row>
    <x:row r="33">
      <x:c r="A33" s="49" t="str">
        <x:v>RUN-I2-035-20260828T144815722776Z</x:v>
      </x:c>
      <x:c r="B33" s="49" t="str">
        <x:v>I2-035</x:v>
      </x:c>
      <x:c r="C33" s="60" t="n">
        <x:v>4</x:v>
      </x:c>
      <x:c r="D33" s="49" t="str">
        <x:v>final_accepted_shape</x:v>
      </x:c>
      <x:c r="E33" s="50" t="str">
        <x:v>final/final_shape.ttl</x:v>
      </x:c>
      <x:c r="F33" s="49" t="str">
        <x:v>baa87f28865a2ecb8ca6ee39c268382dbd71f31e56cc45da8223ab2b7e6e3549</x:v>
      </x:c>
      <x:c r="G33" s="60" t="n">
        <x:v>8004</x:v>
      </x:c>
    </x:row>
  </x:sheetData>
  <x:pageMargins left="0.7" right="0.7" top="0.75" bottom="0.75" header="0.3" footer="0.3"/>
  <x:tableParts count="1">
    <x:tablePart xmlns:r="http://schemas.openxmlformats.org/officeDocument/2006/relationships" r:id="Ra48deb95b33842e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RUN-I2-035-20260828T144815722776Z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RUN-I2-035-20260828T144815722776Z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RUN-I2-035-20260828T144815722776Z</x:v>
      </x:c>
      <x:c r="B5" s="69" t="str">
        <x:v>I2-035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ac12ce725f4866"/>
  </x:tableParts>
</x:worksheet>
</file>