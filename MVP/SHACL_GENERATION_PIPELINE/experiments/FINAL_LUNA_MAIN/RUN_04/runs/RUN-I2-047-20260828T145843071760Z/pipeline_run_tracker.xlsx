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tables/table9.xml" ContentType="application/vnd.openxmlformats-officedocument.spreadsheetml.table+xml"/>
  <Override PartName="/xl/worksheets/sheet11.xml" ContentType="application/vnd.openxmlformats-officedocument.spreadsheetml.worksheet+xml"/>
  <Override PartName="/xl/tables/table10.xml" ContentType="application/vnd.openxmlformats-officedocument.spreadsheetml.table+xml"/>
  <Override PartName="/xl/worksheets/sheet12.xml" ContentType="application/vnd.openxmlformats-officedocument.spreadsheetml.worksheet+xml"/>
  <Override PartName="/xl/tables/table11.xml" ContentType="application/vnd.openxmlformats-officedocument.spreadsheetml.table+xml"/>
  <Override PartName="/xl/worksheets/sheet13.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0d65cfbdc1574a52" /></Relationships>
</file>

<file path=xl/workbook.xml><?xml version="1.0" encoding="utf-8"?>
<x:workbook xmlns:x="http://schemas.openxmlformats.org/spreadsheetml/2006/main">
  <x:sheets>
    <x:sheet xmlns:r="http://schemas.openxmlformats.org/officeDocument/2006/relationships" name="SUMMARY" sheetId="1" r:id="R611c272346ab48ac"/>
    <x:sheet xmlns:r="http://schemas.openxmlformats.org/officeDocument/2006/relationships" name="README" sheetId="2" r:id="R21c7f5bca0c94baf"/>
    <x:sheet xmlns:r="http://schemas.openxmlformats.org/officeDocument/2006/relationships" name="REGULATION_QUEUE" sheetId="3" r:id="Rfc773dc5a62d4f82"/>
    <x:sheet xmlns:r="http://schemas.openxmlformats.org/officeDocument/2006/relationships" name="RUNS" sheetId="4" r:id="Rec6cab8ca4774eac"/>
    <x:sheet xmlns:r="http://schemas.openxmlformats.org/officeDocument/2006/relationships" name="ITERATIONS" sheetId="5" r:id="R71b736ee28744adf"/>
    <x:sheet xmlns:r="http://schemas.openxmlformats.org/officeDocument/2006/relationships" name="API_CALLS" sheetId="6" r:id="R9bd63c1122ff49d0"/>
    <x:sheet xmlns:r="http://schemas.openxmlformats.org/officeDocument/2006/relationships" name="TERM_RETRIEVAL" sheetId="7" r:id="R602ac56662f7474a"/>
    <x:sheet xmlns:r="http://schemas.openxmlformats.org/officeDocument/2006/relationships" name="FEW_SHOT_SELECTION" sheetId="8" r:id="R0188acb90a054df7"/>
    <x:sheet xmlns:r="http://schemas.openxmlformats.org/officeDocument/2006/relationships" name="VALIDATION" sheetId="9" r:id="Rf607ee7739194d1a"/>
    <x:sheet xmlns:r="http://schemas.openxmlformats.org/officeDocument/2006/relationships" name="VOCAB_MATCHES" sheetId="10" r:id="R373b9fef4f7842e6"/>
    <x:sheet xmlns:r="http://schemas.openxmlformats.org/officeDocument/2006/relationships" name="ARTIFACTS" sheetId="11" r:id="R1c39be0e6ecd4990"/>
    <x:sheet xmlns:r="http://schemas.openxmlformats.org/officeDocument/2006/relationships" name="UNRESOLVED" sheetId="12" r:id="Rc63e25beafc74e1c"/>
    <x:sheet xmlns:r="http://schemas.openxmlformats.org/officeDocument/2006/relationships" name="RDF_TEST_QUEUE" sheetId="13" r:id="R943c2f77ad874600"/>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
    <x:numFmt numFmtId="201" formatCode="#,##0.000"/>
    <x:numFmt numFmtId="202" formatCode="yyyy-mm-dd hh:mm:ss.000"/>
    <x:numFmt numFmtId="203" formatCode="0.000"/>
  </x:numFmts>
  <x:fonts count="10">
    <x:font>
      <x:sz val="11"/>
      <x:name val="Carlito"/>
    </x:font>
    <x:font>
      <x:b/>
      <x:sz val="16"/>
      <x:color rgb="FFFFFFFF"/>
      <x:name val="Carlito"/>
    </x:font>
    <x:font>
      <x:i/>
      <x:sz val="11"/>
      <x:color rgb="FF5B6573"/>
      <x:name val="Carlito"/>
    </x:font>
    <x:font>
      <x:b/>
      <x:sz val="11"/>
      <x:color rgb="FFFFFFFF"/>
      <x:name val="Carlito"/>
    </x:font>
    <x:font>
      <x:b/>
      <x:sz val="11"/>
      <x:color rgb="FF17324D"/>
      <x:name val="Carlito"/>
    </x:font>
    <x:font>
      <x:b/>
      <x:sz val="16"/>
      <x:color rgb="FFFFFFFF"/>
      <x:name val="Aptos"/>
    </x:font>
    <x:font>
      <x:sz val="11"/>
      <x:name val="Aptos"/>
    </x:font>
    <x:font>
      <x:i/>
      <x:sz val="11"/>
      <x:color rgb="FF5B6573"/>
      <x:name val="Aptos"/>
    </x:font>
    <x:font>
      <x:b/>
      <x:sz val="11"/>
      <x:color rgb="FFFFFFFF"/>
      <x:name val="Aptos"/>
    </x:font>
    <x:font>
      <x:b/>
      <x:sz val="11"/>
      <x:color rgb="FF17324D"/>
      <x:name val="Aptos"/>
    </x:font>
  </x:fonts>
  <x:fills count="5">
    <x:fill>
      <x:patternFill patternType="none"/>
    </x:fill>
    <x:fill>
      <x:patternFill patternType="gray125"/>
    </x:fill>
    <x:fill>
      <x:patternFill patternType="solid">
        <x:fgColor rgb="FF17324D"/>
      </x:patternFill>
    </x:fill>
    <x:fill>
      <x:patternFill patternType="solid">
        <x:fgColor rgb="FFE8F1F5"/>
      </x:patternFill>
    </x:fill>
    <x:fill>
      <x:patternFill patternType="solid">
        <x:fgColor rgb="FF0F766E"/>
      </x:patternFill>
    </x:fill>
  </x:fills>
  <x:borders count="6">
    <x:border/>
    <x:border>
      <x:bottom style="thin">
        <x:color rgb="FFCBD5E1"/>
      </x:bottom>
    </x:border>
    <x:border>
      <x:top style="thin">
        <x:color rgb="FFCBD5E1"/>
      </x:top>
      <x:bottom style="thin">
        <x:color rgb="FFCBD5E1"/>
      </x:bottom>
    </x:border>
    <x:border>
      <x:top style="thin">
        <x:color rgb="FFCBD5E1"/>
      </x:top>
    </x:border>
    <x:border>
      <x:left style="thin">
        <x:color rgb="FFCBD5E1"/>
      </x:left>
      <x:top style="thin">
        <x:color rgb="FFCBD5E1"/>
      </x:top>
      <x:bottom style="thin">
        <x:color rgb="FFCBD5E1"/>
      </x:bottom>
    </x:border>
    <x:border>
      <x:right style="thin">
        <x:color rgb="FFCBD5E1"/>
      </x:right>
      <x:top style="thin">
        <x:color rgb="FFCBD5E1"/>
      </x:top>
      <x:bottom style="thin">
        <x:color rgb="FFCBD5E1"/>
      </x:bottom>
    </x:border>
  </x:borders>
  <x:cellStyleXfs count="1">
    <x:xf numFmtId="0" fontId="0" fillId="0" borderId="0"/>
  </x:cellStyleXfs>
  <x:cellXfs count="107">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0" fillId="0" borderId="1" xfId="0" applyNumberFormat="1" applyFont="1" applyFill="1" applyBorder="1"/>
    <x:xf numFmtId="0" fontId="0" fillId="0" borderId="2" xfId="0" applyNumberFormat="1" applyFont="1" applyFill="1" applyBorder="1"/>
    <x:xf numFmtId="0" fontId="0" fillId="0" borderId="3" xfId="0" applyNumberFormat="1" applyFont="1" applyFill="1" applyBorder="1"/>
    <x:xf numFmtId="0" fontId="4" fillId="0" borderId="1" xfId="0" applyNumberFormat="1" applyFont="1" applyFill="1" applyBorder="1"/>
    <x:xf numFmtId="0" fontId="4" fillId="0" borderId="2" xfId="0" applyNumberFormat="1" applyFont="1" applyFill="1" applyBorder="1"/>
    <x:xf numFmtId="0" fontId="4" fillId="0" borderId="3" xfId="0" applyNumberFormat="1" applyFont="1" applyFill="1" applyBorder="1"/>
    <x:xf numFmtId="200" fontId="0" fillId="0" borderId="1" xfId="0" applyNumberFormat="1" applyFont="1" applyFill="1" applyBorder="1"/>
    <x:xf numFmtId="200" fontId="0" fillId="0" borderId="2" xfId="0" applyNumberFormat="1" applyFont="1" applyFill="1" applyBorder="1"/>
    <x:xf numFmtId="201" fontId="0" fillId="0" borderId="3" xfId="0" applyNumberFormat="1" applyFont="1" applyFill="1" applyBorder="1"/>
    <x:xf numFmtId="0" fontId="4" fillId="3" borderId="0" xfId="0" applyNumberFormat="1" applyFont="1" applyFill="1" applyBorder="1"/>
    <x:xf numFmtId="0" fontId="0" fillId="0" borderId="0" xfId="0" applyNumberFormat="1" applyFont="1" applyFill="1" applyBorder="1" applyAlignment="1">
      <x:alignment wrapText="1"/>
    </x:xf>
    <x:xf numFmtId="0" fontId="5" fillId="2" borderId="0" xfId="0" applyNumberFormat="1" applyFont="1" applyFill="1" applyBorder="1"/>
    <x:xf numFmtId="0" fontId="6" fillId="2" borderId="0" xfId="0" applyNumberFormat="1" applyFont="1" applyFill="1" applyBorder="1"/>
    <x:xf numFmtId="0" fontId="7" fillId="3" borderId="0" xfId="0" applyNumberFormat="1" applyFont="1" applyFill="1" applyBorder="1"/>
    <x:xf numFmtId="0" fontId="6" fillId="0" borderId="0" xfId="0" applyNumberFormat="1" applyFont="1" applyFill="1" applyBorder="1"/>
    <x:xf numFmtId="0" fontId="8" fillId="4" borderId="0" xfId="0" applyNumberFormat="1" applyFont="1" applyFill="1" applyBorder="1"/>
    <x:xf numFmtId="0" fontId="9" fillId="0" borderId="1" xfId="0" applyNumberFormat="1" applyFont="1" applyFill="1" applyBorder="1"/>
    <x:xf numFmtId="200" fontId="6" fillId="0" borderId="1" xfId="0" applyNumberFormat="1" applyFont="1" applyFill="1" applyBorder="1"/>
    <x:xf numFmtId="0" fontId="9" fillId="0" borderId="2" xfId="0" applyNumberFormat="1" applyFont="1" applyFill="1" applyBorder="1"/>
    <x:xf numFmtId="200" fontId="6" fillId="0" borderId="2" xfId="0" applyNumberFormat="1" applyFont="1" applyFill="1" applyBorder="1"/>
    <x:xf numFmtId="0" fontId="9" fillId="0" borderId="3" xfId="0" applyNumberFormat="1" applyFont="1" applyFill="1" applyBorder="1"/>
    <x:xf numFmtId="201" fontId="6" fillId="0" borderId="3" xfId="0" applyNumberFormat="1" applyFont="1" applyFill="1" applyBorder="1"/>
    <x:xf numFmtId="0" fontId="9" fillId="3" borderId="0" xfId="0" applyNumberFormat="1" applyFont="1" applyFill="1" applyBorder="1"/>
    <x:xf numFmtId="0" fontId="6" fillId="0" borderId="0" xfId="0" applyNumberFormat="1" applyFont="1" applyFill="1" applyBorder="1" applyAlignment="1">
      <x:alignment wrapText="1"/>
    </x:xf>
    <x:xf numFmtId="0" fontId="3" fillId="4" borderId="4" xfId="0" applyNumberFormat="1" applyFont="1" applyFill="1" applyBorder="1"/>
    <x:xf numFmtId="0" fontId="3" fillId="4" borderId="5" xfId="0" applyNumberFormat="1" applyFont="1" applyFill="1" applyBorder="1"/>
    <x:xf numFmtId="0" fontId="3" fillId="4" borderId="4" xfId="0" applyNumberFormat="1" applyFont="1" applyFill="1" applyBorder="1" applyAlignment="1">
      <x:alignment wrapText="1"/>
    </x:xf>
    <x:xf numFmtId="0" fontId="3" fillId="4" borderId="5" xfId="0" applyNumberFormat="1" applyFont="1" applyFill="1" applyBorder="1" applyAlignment="1">
      <x:alignment wrapText="1"/>
    </x:xf>
    <x:xf numFmtId="0" fontId="3" fillId="4" borderId="4" xfId="0" applyNumberFormat="1" applyFont="1" applyFill="1" applyBorder="1" applyAlignment="1">
      <x:alignment vertical="center" wrapText="1"/>
    </x:xf>
    <x:xf numFmtId="0" fontId="3" fillId="4" borderId="5" xfId="0" applyNumberFormat="1" applyFont="1" applyFill="1" applyBorder="1" applyAlignment="1">
      <x:alignment vertical="center" wrapText="1"/>
    </x:xf>
    <x:xf numFmtId="0" fontId="0" fillId="0" borderId="1" xfId="0" applyNumberFormat="1" applyFont="1" applyFill="1" applyBorder="1" applyAlignment="1">
      <x:alignment vertical="top"/>
    </x:xf>
    <x:xf numFmtId="0" fontId="0" fillId="0" borderId="2" xfId="0" applyNumberFormat="1" applyFont="1" applyFill="1" applyBorder="1" applyAlignment="1">
      <x:alignment vertical="top"/>
    </x:xf>
    <x:xf numFmtId="0" fontId="0" fillId="0" borderId="3" xfId="0" applyNumberFormat="1" applyFont="1" applyFill="1" applyBorder="1" applyAlignment="1">
      <x:alignment vertical="top"/>
    </x:xf>
    <x:xf numFmtId="0" fontId="0" fillId="0" borderId="1" xfId="0" applyNumberFormat="1" applyFont="1" applyFill="1" applyBorder="1" applyAlignment="1">
      <x:alignment vertical="top" wrapText="1"/>
    </x:xf>
    <x:xf numFmtId="0" fontId="0" fillId="0" borderId="2" xfId="0" applyNumberFormat="1" applyFont="1" applyFill="1" applyBorder="1" applyAlignment="1">
      <x:alignment vertical="top" wrapText="1"/>
    </x:xf>
    <x:xf numFmtId="0" fontId="0" fillId="0" borderId="3" xfId="0" applyNumberFormat="1" applyFont="1" applyFill="1" applyBorder="1" applyAlignment="1">
      <x:alignment vertical="top" wrapText="1"/>
    </x:xf>
    <x:xf numFmtId="0" fontId="8" fillId="4" borderId="4" xfId="0" applyNumberFormat="1" applyFont="1" applyFill="1" applyBorder="1" applyAlignment="1">
      <x:alignment vertical="center" wrapText="1"/>
    </x:xf>
    <x:xf numFmtId="0" fontId="8" fillId="4" borderId="5" xfId="0" applyNumberFormat="1" applyFont="1" applyFill="1" applyBorder="1" applyAlignment="1">
      <x:alignment vertical="center" wrapText="1"/>
    </x:xf>
    <x:xf numFmtId="0" fontId="6" fillId="0" borderId="1" xfId="0" applyNumberFormat="1" applyFont="1" applyFill="1" applyBorder="1" applyAlignment="1">
      <x:alignment vertical="top"/>
    </x:xf>
    <x:xf numFmtId="0" fontId="6" fillId="0" borderId="1" xfId="0" applyNumberFormat="1" applyFont="1" applyFill="1" applyBorder="1" applyAlignment="1">
      <x:alignment vertical="top" wrapText="1"/>
    </x:xf>
    <x:xf numFmtId="0" fontId="6" fillId="0" borderId="2" xfId="0" applyNumberFormat="1" applyFont="1" applyFill="1" applyBorder="1" applyAlignment="1">
      <x:alignment vertical="top"/>
    </x:xf>
    <x:xf numFmtId="0" fontId="6" fillId="0" borderId="2" xfId="0" applyNumberFormat="1" applyFont="1" applyFill="1" applyBorder="1" applyAlignment="1">
      <x:alignment vertical="top" wrapText="1"/>
    </x:xf>
    <x:xf numFmtId="0" fontId="6" fillId="0" borderId="3" xfId="0" applyNumberFormat="1" applyFont="1" applyFill="1" applyBorder="1" applyAlignment="1">
      <x:alignment vertical="top"/>
    </x:xf>
    <x:xf numFmtId="0" fontId="6" fillId="0" borderId="3" xfId="0" applyNumberFormat="1" applyFont="1" applyFill="1" applyBorder="1" applyAlignment="1">
      <x:alignment vertical="top" wrapText="1"/>
    </x:xf>
    <x:xf numFmtId="0" fontId="3" fillId="4" borderId="2" xfId="0" applyNumberFormat="1" applyFont="1" applyFill="1" applyBorder="1"/>
    <x:xf numFmtId="0" fontId="3" fillId="4" borderId="2" xfId="0" applyNumberFormat="1" applyFont="1" applyFill="1" applyBorder="1" applyAlignment="1">
      <x:alignment wrapText="1"/>
    </x:xf>
    <x:xf numFmtId="0" fontId="3" fillId="4" borderId="2" xfId="0" applyNumberFormat="1" applyFont="1" applyFill="1" applyBorder="1" applyAlignment="1">
      <x:alignment vertical="center" wrapText="1"/>
    </x:xf>
    <x:xf numFmtId="200" fontId="0" fillId="0" borderId="1" xfId="0" applyNumberFormat="1" applyFont="1" applyFill="1" applyBorder="1" applyAlignment="1">
      <x:alignment vertical="top"/>
    </x:xf>
    <x:xf numFmtId="200" fontId="0" fillId="0" borderId="2" xfId="0" applyNumberFormat="1" applyFont="1" applyFill="1" applyBorder="1" applyAlignment="1">
      <x:alignment vertical="top"/>
    </x:xf>
    <x:xf numFmtId="200" fontId="0" fillId="0" borderId="3" xfId="0" applyNumberFormat="1" applyFont="1" applyFill="1" applyBorder="1" applyAlignment="1">
      <x:alignment vertical="top"/>
    </x:xf>
    <x:xf numFmtId="0" fontId="8" fillId="4" borderId="2" xfId="0" applyNumberFormat="1" applyFont="1" applyFill="1" applyBorder="1" applyAlignment="1">
      <x:alignment vertical="center" wrapText="1"/>
    </x:xf>
    <x:xf numFmtId="200" fontId="6" fillId="0" borderId="1" xfId="0" applyNumberFormat="1" applyFont="1" applyFill="1" applyBorder="1" applyAlignment="1">
      <x:alignment vertical="top"/>
    </x:xf>
    <x:xf numFmtId="200" fontId="6" fillId="0" borderId="2" xfId="0" applyNumberFormat="1" applyFont="1" applyFill="1" applyBorder="1" applyAlignment="1">
      <x:alignment vertical="top"/>
    </x:xf>
    <x:xf numFmtId="200" fontId="6" fillId="0" borderId="3" xfId="0" applyNumberFormat="1" applyFont="1" applyFill="1" applyBorder="1" applyAlignment="1">
      <x:alignment vertical="top"/>
    </x:xf>
    <x:xf numFmtId="0" fontId="0" fillId="0" borderId="0" xfId="0">
      <x:extLst>
        <x:ext uri="{C7286773-470A-42A8-94C5-96B5CB345126}">
          <xfpb:xfComplement xmlns:xfpb="http://schemas.microsoft.com/office/spreadsheetml/2022/featurepropertybag" i="0"/>
        </x:ext>
      </x:extLst>
    </x:xf>
    <x:xf numFmtId="0" fontId="0" fillId="0" borderId="0" xfId="0" applyNumberFormat="1" applyFont="1" applyFill="1" applyBorder="1"/>
    <x:xf numFmtId="0" fontId="0" fillId="0" borderId="0" xfId="0" applyNumberFormat="1" applyFont="1" applyFill="1" applyBorder="1">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vertical="top"/>
    </x:xf>
    <x:xf numFmtId="0" fontId="0"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0" xfId="0" applyNumberFormat="1" applyFont="1" applyFill="1" applyBorder="1" applyAlignment="1">
      <x:alignment vertical="top"/>
    </x:xf>
    <x:xf numFmtId="200" fontId="0" fillId="0" borderId="0" xfId="0" applyNumberFormat="1" applyFont="1" applyFill="1" applyBorder="1" applyAlignment="1">
      <x:alignment vertical="top"/>
    </x:xf>
    <x:xf numFmtId="0" fontId="0" fillId="0" borderId="0" xfId="0" applyNumberFormat="1" applyFont="1" applyFill="1" applyBorder="1" applyAlignment="1">
      <x:alignment vertical="top" wrapText="1"/>
    </x:xf>
    <x:xf numFmtId="0" fontId="6" fillId="0" borderId="0" xfId="0" applyNumberFormat="1" applyFont="1" applyFill="1" applyBorder="1" applyAlignment="1">
      <x:alignment vertical="top"/>
    </x:xf>
    <x:xf numFmtId="202" fontId="6" fillId="0" borderId="0" xfId="0" applyNumberFormat="1" applyFont="1" applyFill="1" applyBorder="1" applyAlignment="1">
      <x:alignment vertical="top"/>
    </x:xf>
    <x:xf numFmtId="200" fontId="6" fillId="0" borderId="0" xfId="0" applyNumberFormat="1" applyFont="1" applyFill="1" applyBorder="1" applyAlignment="1">
      <x:alignment vertical="top"/>
    </x:xf>
    <x:xf numFmtId="0" fontId="6"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xf>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0" fillId="0" borderId="2" xfId="0" applyNumberFormat="1" applyFont="1" applyFill="1" applyBorder="1">
      <x:extLst>
        <x:ext uri="{C7286773-470A-42A8-94C5-96B5CB345126}">
          <xfpb:xfComplement xmlns:xfpb="http://schemas.microsoft.com/office/spreadsheetml/2022/featurepropertybag" i="0"/>
        </x:ext>
      </x:extLst>
    </x:xf>
    <x:xf numFmtId="0" fontId="0" fillId="0" borderId="3" xfId="0" applyNumberFormat="1" applyFont="1" applyFill="1" applyBorder="1">
      <x:extLst>
        <x:ext uri="{C7286773-470A-42A8-94C5-96B5CB345126}">
          <xfpb:xfComplement xmlns:xfpb="http://schemas.microsoft.com/office/spreadsheetml/2022/featurepropertybag" i="0"/>
        </x:ext>
      </x:extLst>
    </x:xf>
    <x:xf numFmtId="0" fontId="0"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0" fillId="0" borderId="1" xfId="0" applyNumberFormat="1" applyFont="1" applyFill="1" applyBorder="1" applyAlignment="1">
      <x:alignment vertical="top"/>
    </x:xf>
    <x:xf numFmtId="201" fontId="0" fillId="0" borderId="2" xfId="0" applyNumberFormat="1" applyFont="1" applyFill="1" applyBorder="1" applyAlignment="1">
      <x:alignment vertical="top"/>
    </x:xf>
    <x:xf numFmtId="201" fontId="0" fillId="0" borderId="3" xfId="0" applyNumberFormat="1" applyFont="1" applyFill="1" applyBorder="1" applyAlignment="1">
      <x:alignment vertical="top"/>
    </x:xf>
    <x:xf numFmtId="0" fontId="6"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1" xfId="0" applyNumberFormat="1" applyFont="1" applyFill="1" applyBorder="1" applyAlignment="1">
      <x:alignment vertical="top"/>
    </x:xf>
    <x:xf numFmtId="0" fontId="6"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2" xfId="0" applyNumberFormat="1" applyFont="1" applyFill="1" applyBorder="1" applyAlignment="1">
      <x:alignment vertical="top"/>
    </x:xf>
    <x:xf numFmtId="0" fontId="6"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3" xfId="0" applyNumberFormat="1" applyFont="1" applyFill="1" applyBorder="1" applyAlignment="1">
      <x:alignment vertical="top"/>
    </x:xf>
    <x:xf numFmtId="202" fontId="0" fillId="0" borderId="1" xfId="0" applyNumberFormat="1" applyFont="1" applyFill="1" applyBorder="1" applyAlignment="1">
      <x:alignment vertical="top"/>
    </x:xf>
    <x:xf numFmtId="202" fontId="0" fillId="0" borderId="2" xfId="0" applyNumberFormat="1" applyFont="1" applyFill="1" applyBorder="1" applyAlignment="1">
      <x:alignment vertical="top"/>
    </x:xf>
    <x:xf numFmtId="202" fontId="0" fillId="0" borderId="3" xfId="0" applyNumberFormat="1" applyFont="1" applyFill="1" applyBorder="1" applyAlignment="1">
      <x:alignment vertical="top"/>
    </x:xf>
    <x:xf numFmtId="202" fontId="6" fillId="0" borderId="1" xfId="0" applyNumberFormat="1" applyFont="1" applyFill="1" applyBorder="1" applyAlignment="1">
      <x:alignment vertical="top"/>
    </x:xf>
    <x:xf numFmtId="202" fontId="6" fillId="0" borderId="2" xfId="0" applyNumberFormat="1" applyFont="1" applyFill="1" applyBorder="1" applyAlignment="1">
      <x:alignment vertical="top"/>
    </x:xf>
    <x:xf numFmtId="202" fontId="6" fillId="0" borderId="3" xfId="0" applyNumberFormat="1" applyFont="1" applyFill="1" applyBorder="1" applyAlignment="1">
      <x:alignment vertical="top"/>
    </x:xf>
    <x:xf numFmtId="203" fontId="0" fillId="0" borderId="1" xfId="0" applyNumberFormat="1" applyFont="1" applyFill="1" applyBorder="1" applyAlignment="1">
      <x:alignment vertical="top"/>
    </x:xf>
    <x:xf numFmtId="203" fontId="0" fillId="0" borderId="3" xfId="0" applyNumberFormat="1" applyFont="1" applyFill="1" applyBorder="1" applyAlignment="1">
      <x:alignment vertical="top"/>
    </x:xf>
    <x:xf numFmtId="203" fontId="6" fillId="0" borderId="1" xfId="0" applyNumberFormat="1" applyFont="1" applyFill="1" applyBorder="1" applyAlignment="1">
      <x:alignment vertical="top"/>
    </x:xf>
    <x:xf numFmtId="203" fontId="6" fillId="0" borderId="3" xfId="0" applyNumberFormat="1" applyFont="1" applyFill="1" applyBorder="1" applyAlignment="1">
      <x:alignment vertical="top"/>
    </x:xf>
    <x:xf numFmtId="0" fontId="0"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2"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2" fillId="0" borderId="0" xfId="0" applyNumberFormat="1" applyFont="1" applyFill="1" applyBorder="1"/>
    <x:xf numFmtId="0" fontId="7" fillId="0" borderId="0" xfId="0" applyNumberFormat="1" applyFont="1" applyFill="1" applyBorder="1"/>
  </x:cellXfs>
  <x:cellStyles count="1">
    <x:cellStyle name="Normal" xfId="0"/>
  </x:cellStyles>
  <x:dxfs count="48">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e9754f7ed00d4dfe" /><Relationship Type="http://schemas.openxmlformats.org/officeDocument/2006/relationships/theme" Target="/xl/theme/theme1.xml" Id="R12d363a62a894b6f" /><Relationship Type="http://schemas.microsoft.com/office/2022/11/relationships/FeaturePropertyBag" Target="/xl/featurePropertyBag/featurePropertyBag.xml" Id="R7d811057bae74202" /><Relationship Type="http://schemas.openxmlformats.org/officeDocument/2006/relationships/sharedStrings" Target="/xl/sharedStrings.xml" Id="R4fb34118cc2c435f" /><Relationship Type="http://schemas.openxmlformats.org/officeDocument/2006/relationships/worksheet" Target="/xl/worksheets/sheet1.xml" Id="R611c272346ab48ac" /><Relationship Type="http://schemas.openxmlformats.org/officeDocument/2006/relationships/worksheet" Target="/xl/worksheets/sheet2.xml" Id="R21c7f5bca0c94baf" /><Relationship Type="http://schemas.openxmlformats.org/officeDocument/2006/relationships/worksheet" Target="/xl/worksheets/sheet3.xml" Id="Rfc773dc5a62d4f82" /><Relationship Type="http://schemas.openxmlformats.org/officeDocument/2006/relationships/worksheet" Target="/xl/worksheets/sheet4.xml" Id="Rec6cab8ca4774eac" /><Relationship Type="http://schemas.openxmlformats.org/officeDocument/2006/relationships/worksheet" Target="/xl/worksheets/sheet5.xml" Id="R71b736ee28744adf" /><Relationship Type="http://schemas.openxmlformats.org/officeDocument/2006/relationships/worksheet" Target="/xl/worksheets/sheet6.xml" Id="R9bd63c1122ff49d0" /><Relationship Type="http://schemas.openxmlformats.org/officeDocument/2006/relationships/worksheet" Target="/xl/worksheets/sheet7.xml" Id="R602ac56662f7474a" /><Relationship Type="http://schemas.openxmlformats.org/officeDocument/2006/relationships/worksheet" Target="/xl/worksheets/sheet8.xml" Id="R0188acb90a054df7" /><Relationship Type="http://schemas.openxmlformats.org/officeDocument/2006/relationships/worksheet" Target="/xl/worksheets/sheet9.xml" Id="Rf607ee7739194d1a" /><Relationship Type="http://schemas.openxmlformats.org/officeDocument/2006/relationships/worksheet" Target="/xl/worksheets/sheet10.xml" Id="R373b9fef4f7842e6" /><Relationship Type="http://schemas.openxmlformats.org/officeDocument/2006/relationships/worksheet" Target="/xl/worksheets/sheet11.xml" Id="R1c39be0e6ecd4990" /><Relationship Type="http://schemas.openxmlformats.org/officeDocument/2006/relationships/worksheet" Target="/xl/worksheets/sheet12.xml" Id="Rc63e25beafc74e1c" /><Relationship Type="http://schemas.openxmlformats.org/officeDocument/2006/relationships/worksheet" Target="/xl/worksheets/sheet13.xml" Id="R943c2f77ad874600"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T1_README" displayName="T1_README" ref="A4:B10" headerRowCount="1" totalsRowCount="0" totalsRowShown="0">
  <x:tableColumns count="2">
    <x:tableColumn id="1" name="SECTION"/>
    <x:tableColumn id="2" name="DETAIL"/>
  </x:tableColumns>
  <x:tableStyleInfo name="TableStyleMedium2" showFirstColumn="0" showLastColumn="0" showRowStripes="1" showColumnStripes="0"/>
</x:table>
</file>

<file path=xl/tables/table2.xml><?xml version="1.0" encoding="utf-8"?>
<x:table xmlns:x="http://schemas.openxmlformats.org/spreadsheetml/2006/main" id="2" name="T2_REGULATIONQUEUE" displayName="T2_REGULATIONQUEUE" ref="A4:K317" headerRowCount="1" totalsRowCount="0" totalsRowShown="0">
  <x:tableColumns count="11">
    <x:tableColumn id="1" name="REQUIREMENT_ID"/>
    <x:tableColumn id="2" name="SOURCE"/>
    <x:tableColumn id="3" name="EDITION"/>
    <x:tableColumn id="4" name="PAGE"/>
    <x:tableColumn id="5" name="CLAUSE"/>
    <x:tableColumn id="6" name="CATEGORY"/>
    <x:tableColumn id="7" name="ACTIVE_STATUS"/>
    <x:tableColumn id="8" name="CODABILITY"/>
    <x:tableColumn id="9" name="FIGURE_DEPENDENT"/>
    <x:tableColumn id="10" name="QUEUE_ELIGIBILITY"/>
    <x:tableColumn id="11" name="RUN_STATUS"/>
  </x:tableColumns>
  <x:tableStyleInfo name="TableStyleMedium2" showFirstColumn="0" showLastColumn="0" showRowStripes="1" showColumnStripes="0"/>
</x:table>
</file>

<file path=xl/tables/table3.xml><?xml version="1.0" encoding="utf-8"?>
<x:table xmlns:x="http://schemas.openxmlformats.org/spreadsheetml/2006/main" id="3" name="T3_RUNS" displayName="T3_RUNS" ref="A4:L5" headerRowCount="1" totalsRowCount="0" totalsRowShown="0">
  <x:tableColumns count="12">
    <x:tableColumn id="1" name="SESSION_ID"/>
    <x:tableColumn id="2" name="RUN_ID"/>
    <x:tableColumn id="3" name="REQUIREMENT_ID"/>
    <x:tableColumn id="4" name="STARTED_UTC"/>
    <x:tableColumn id="5" name="FINISHED_UTC"/>
    <x:tableColumn id="6" name="PIPELINE_VERSION"/>
    <x:tableColumn id="7" name="VOCABULARY_LOCK_ID"/>
    <x:tableColumn id="8" name="ATTEMPTS"/>
    <x:tableColumn id="9" name="FINAL_STATUS"/>
    <x:tableColumn id="10" name="ACCEPTED"/>
    <x:tableColumn id="11" name="FINAL_SHAPE"/>
    <x:tableColumn id="12" name="FINAL_FEEDBACK"/>
  </x:tableColumns>
  <x:tableStyleInfo name="TableStyleMedium2" showFirstColumn="0" showLastColumn="0" showRowStripes="1" showColumnStripes="0"/>
</x:table>
</file>

<file path=xl/tables/table4.xml><?xml version="1.0" encoding="utf-8"?>
<x:table xmlns:x="http://schemas.openxmlformats.org/spreadsheetml/2006/main" id="4" name="T4_ITERATIONS" displayName="T4_ITERATIONS" ref="A4:J8" headerRowCount="1" totalsRowCount="0" totalsRowShown="0">
  <x:tableColumns count="10">
    <x:tableColumn id="1" name="RUN_ID"/>
    <x:tableColumn id="2" name="REQUIREMENT_ID"/>
    <x:tableColumn id="3" name="ITERATION"/>
    <x:tableColumn id="4" name="STATIC_VALID"/>
    <x:tableColumn id="5" name="VALIDATOR_ACCEPT"/>
    <x:tableColumn id="6" name="MATCHER_ACTIVATED"/>
    <x:tableColumn id="7" name="DECISION"/>
    <x:tableColumn id="8" name="FEEDBACK"/>
    <x:tableColumn id="9" name="GENERATOR_ELAPSED_MS"/>
    <x:tableColumn id="10" name="VALIDATOR_ELAPSED_MS"/>
  </x:tableColumns>
  <x:tableStyleInfo name="TableStyleMedium2" showFirstColumn="0" showLastColumn="0" showRowStripes="1" showColumnStripes="0"/>
</x:table>
</file>

<file path=xl/tables/table5.xml><?xml version="1.0" encoding="utf-8"?>
<x:table xmlns:x="http://schemas.openxmlformats.org/spreadsheetml/2006/main" id="5" name="T5_APICALLS" displayName="T5_APICALLS" ref="A4:P24" headerRowCount="1" totalsRowCount="0" totalsRowShown="0">
  <x:tableColumns count="16">
    <x:tableColumn id="1" name="EVENT_ID"/>
    <x:tableColumn id="2" name="RUN_ID"/>
    <x:tableColumn id="3" name="REQUIREMENT_ID"/>
    <x:tableColumn id="4" name="TIMESTAMP_UTC"/>
    <x:tableColumn id="5" name="ROLE"/>
    <x:tableColumn id="6" name="MODEL"/>
    <x:tableColumn id="7" name="TRANSPORT_ATTEMPT"/>
    <x:tableColumn id="8" name="STATUS"/>
    <x:tableColumn id="9" name="AUTH_HEADER_NAME"/>
    <x:tableColumn id="10" name="RATE_LIMIT_WAIT_MS"/>
    <x:tableColumn id="11" name="ELAPSED_MS"/>
    <x:tableColumn id="12" name="RETRYING"/>
    <x:tableColumn id="13" name="RESPONSE_ID"/>
    <x:tableColumn id="14" name="INPUT_TOKENS"/>
    <x:tableColumn id="15" name="OUTPUT_TOKENS"/>
    <x:tableColumn id="16" name="TOTAL_TOKENS"/>
  </x:tableColumns>
  <x:tableStyleInfo name="TableStyleMedium2" showFirstColumn="0" showLastColumn="0" showRowStripes="1" showColumnStripes="0"/>
</x:table>
</file>

<file path=xl/tables/table6.xml><?xml version="1.0" encoding="utf-8"?>
<x:table xmlns:x="http://schemas.openxmlformats.org/spreadsheetml/2006/main" id="6" name="T6_TERMRETRIEVAL" displayName="T6_TERMRETRIEVAL" ref="A4:J28" headerRowCount="1" totalsRowCount="0" totalsRowShown="0">
  <x:tableColumns count="10">
    <x:tableColumn id="1" name="RUN_ID"/>
    <x:tableColumn id="2" name="REQUIREMENT_ID"/>
    <x:tableColumn id="3" name="LOCAL_NAME"/>
    <x:tableColumn id="4" name="IRI"/>
    <x:tableColumn id="5" name="KIND"/>
    <x:tableColumn id="6" name="DATATYPE"/>
    <x:tableColumn id="7" name="RANGE"/>
    <x:tableColumn id="8" name="RECOMMENDED_UNIT"/>
    <x:tableColumn id="9" name="SELECTION_REASON"/>
    <x:tableColumn id="10" name="ITERATION_ADDED"/>
  </x:tableColumns>
  <x:tableStyleInfo name="TableStyleMedium2" showFirstColumn="0" showLastColumn="0" showRowStripes="1" showColumnStripes="0"/>
</x:table>
</file>

<file path=xl/tables/table7.xml><?xml version="1.0" encoding="utf-8"?>
<x:table xmlns:x="http://schemas.openxmlformats.org/spreadsheetml/2006/main" id="7" name="T7_FEWSHOTSELECTION" displayName="T7_FEWSHOTSELECTION" ref="A4:G6" headerRowCount="1" totalsRowCount="0" totalsRowShown="0">
  <x:tableColumns count="7">
    <x:tableColumn id="1" name="RUN_ID"/>
    <x:tableColumn id="2" name="REQUIREMENT_ID"/>
    <x:tableColumn id="3" name="EXAMPLE_ID"/>
    <x:tableColumn id="4" name="CASE_ID"/>
    <x:tableColumn id="5" name="SCORE"/>
    <x:tableColumn id="6" name="MATCHED_TAGS"/>
    <x:tableColumn id="7" name="STATUS"/>
  </x:tableColumns>
  <x:tableStyleInfo name="TableStyleMedium2" showFirstColumn="0" showLastColumn="0" showRowStripes="1" showColumnStripes="0"/>
</x:table>
</file>

<file path=xl/tables/table8.xml><?xml version="1.0" encoding="utf-8"?>
<x:table xmlns:x="http://schemas.openxmlformats.org/spreadsheetml/2006/main" id="8" name="T8_VALIDATION" displayName="T8_VALIDATION" ref="A4:Q8" headerRowCount="1" totalsRowCount="0" totalsRowShown="0">
  <x:tableColumns count="17">
    <x:tableColumn id="1" name="RUN_ID"/>
    <x:tableColumn id="2" name="REQUIREMENT_ID"/>
    <x:tableColumn id="3" name="ITERATION"/>
    <x:tableColumn id="4" name="VALID"/>
    <x:tableColumn id="5" name="EXTRACTION_VALID"/>
    <x:tableColumn id="6" name="TURTLE_VALID"/>
    <x:tableColumn id="7" name="SHACL_STRUCTURE_VALID"/>
    <x:tableColumn id="8" name="META_SHACL_VALID"/>
    <x:tableColumn id="9" name="VOCABULARY_VALID"/>
    <x:tableColumn id="10" name="DATATYPE_UNIT_VALID"/>
    <x:tableColumn id="11" name="TARGET_PATH_VALID"/>
    <x:tableColumn id="12" name="ERRORS"/>
    <x:tableColumn id="13" name="WARNINGS"/>
    <x:tableColumn id="14" name="USED_CANONICAL_IRIS"/>
    <x:tableColumn id="15" name="UNKNOWN_IRIS"/>
    <x:tableColumn id="16" name="OUT_OF_SCOPE_IRIS"/>
    <x:tableColumn id="17" name="SUSPICIOUS_EXTERNAL_IRIS"/>
  </x:tableColumns>
  <x:tableStyleInfo name="TableStyleMedium2" showFirstColumn="0" showLastColumn="0" showRowStripes="1" showColumnStripes="0"/>
</x:table>
</file>

<file path=xl/tables/table9.xml><?xml version="1.0" encoding="utf-8"?>
<x:table xmlns:x="http://schemas.openxmlformats.org/spreadsheetml/2006/main" id="9" name="T9_VOCABMATCHES" displayName="T9_VOCABMATCHES" ref="A4:J8" headerRowCount="1" totalsRowCount="0" totalsRowShown="0">
  <x:tableColumns count="10">
    <x:tableColumn id="1" name="RUN_ID"/>
    <x:tableColumn id="2" name="REQUIREMENT_ID"/>
    <x:tableColumn id="3" name="ITERATION"/>
    <x:tableColumn id="4" name="EVENT"/>
    <x:tableColumn id="5" name="QUERY_FEEDBACK"/>
    <x:tableColumn id="6" name="CANDIDATE_COUNT"/>
    <x:tableColumn id="7" name="MATCH_FOUND"/>
    <x:tableColumn id="8" name="CANONICAL_LOCAL_NAME"/>
    <x:tableColumn id="9" name="CANONICAL_IRI"/>
    <x:tableColumn id="10" name="FEEDBACK_APPENDIX"/>
  </x:tableColumns>
  <x:tableStyleInfo name="TableStyleMedium2" showFirstColumn="0" showLastColumn="0" showRowStripes="1" showColumnStripes="0"/>
</x:table>
</file>

<file path=xl/tables/table10.xml><?xml version="1.0" encoding="utf-8"?>
<x:table xmlns:x="http://schemas.openxmlformats.org/spreadsheetml/2006/main" id="10" name="T10_ARTIFACTS" displayName="T10_ARTIFACTS" ref="A4:G37" headerRowCount="1" totalsRowCount="0" totalsRowShown="0">
  <x:tableColumns count="7">
    <x:tableColumn id="1" name="RUN_ID"/>
    <x:tableColumn id="2" name="REQUIREMENT_ID"/>
    <x:tableColumn id="3" name="ITERATION"/>
    <x:tableColumn id="4" name="ARTIFACT_TYPE"/>
    <x:tableColumn id="5" name="ARTIFACT_PATH"/>
    <x:tableColumn id="6" name="SHA256"/>
    <x:tableColumn id="7" name="BYTES"/>
  </x:tableColumns>
  <x:tableStyleInfo name="TableStyleMedium2" showFirstColumn="0" showLastColumn="0" showRowStripes="1" showColumnStripes="0"/>
</x:table>
</file>

<file path=xl/tables/table11.xml><?xml version="1.0" encoding="utf-8"?>
<x:table xmlns:x="http://schemas.openxmlformats.org/spreadsheetml/2006/main" id="11" name="T11_UNRESOLVED" displayName="T11_UNRESOLVED" ref="A4:F5" headerRowCount="1" totalsRowCount="0" totalsRowShown="0">
  <x:tableColumns count="6">
    <x:tableColumn id="1" name="RUN_ID"/>
    <x:tableColumn id="2" name="REQUIREMENT_ID"/>
    <x:tableColumn id="3" name="ITERATION"/>
    <x:tableColumn id="4" name="ISSUE_TYPE"/>
    <x:tableColumn id="5" name="DETAIL"/>
    <x:tableColumn id="6" name="STATU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f03d80e995514c7e" /></Relationships>
</file>

<file path=xl/worksheets/_rels/sheet3.xml.rels>&#65279;<?xml version="1.0" encoding="utf-8"?><Relationships xmlns="http://schemas.openxmlformats.org/package/2006/relationships"><Relationship Type="http://schemas.openxmlformats.org/officeDocument/2006/relationships/table" Target="/xl/tables/table2.xml" Id="Rfbf871b2f09843f8" /></Relationships>
</file>

<file path=xl/worksheets/_rels/sheet4.xml.rels>&#65279;<?xml version="1.0" encoding="utf-8"?><Relationships xmlns="http://schemas.openxmlformats.org/package/2006/relationships"><Relationship Type="http://schemas.openxmlformats.org/officeDocument/2006/relationships/table" Target="/xl/tables/table3.xml" Id="Rf5973ef6a7ff4ef8" /></Relationships>
</file>

<file path=xl/worksheets/_rels/sheet5.xml.rels>&#65279;<?xml version="1.0" encoding="utf-8"?><Relationships xmlns="http://schemas.openxmlformats.org/package/2006/relationships"><Relationship Type="http://schemas.openxmlformats.org/officeDocument/2006/relationships/table" Target="/xl/tables/table4.xml" Id="R4eec598696674a95" /></Relationships>
</file>

<file path=xl/worksheets/_rels/sheet6.xml.rels>&#65279;<?xml version="1.0" encoding="utf-8"?><Relationships xmlns="http://schemas.openxmlformats.org/package/2006/relationships"><Relationship Type="http://schemas.openxmlformats.org/officeDocument/2006/relationships/table" Target="/xl/tables/table5.xml" Id="Rf44789be485f4874" /></Relationships>
</file>

<file path=xl/worksheets/_rels/sheet7.xml.rels>&#65279;<?xml version="1.0" encoding="utf-8"?><Relationships xmlns="http://schemas.openxmlformats.org/package/2006/relationships"><Relationship Type="http://schemas.openxmlformats.org/officeDocument/2006/relationships/table" Target="/xl/tables/table6.xml" Id="Re0868033fbcb4abe" /></Relationships>
</file>

<file path=xl/worksheets/_rels/sheet8.xml.rels>&#65279;<?xml version="1.0" encoding="utf-8"?><Relationships xmlns="http://schemas.openxmlformats.org/package/2006/relationships"><Relationship Type="http://schemas.openxmlformats.org/officeDocument/2006/relationships/table" Target="/xl/tables/table7.xml" Id="R0ecf62b0848745ba" /></Relationships>
</file>

<file path=xl/worksheets/_rels/sheet9.xml.rels>&#65279;<?xml version="1.0" encoding="utf-8"?><Relationships xmlns="http://schemas.openxmlformats.org/package/2006/relationships"><Relationship Type="http://schemas.openxmlformats.org/officeDocument/2006/relationships/table" Target="/xl/tables/table8.xml" Id="Rb0c761196d7d44d7" /></Relationships>
</file>

<file path=xl/worksheets/_rels/sheet10.xml.rels>&#65279;<?xml version="1.0" encoding="utf-8"?><Relationships xmlns="http://schemas.openxmlformats.org/package/2006/relationships"><Relationship Type="http://schemas.openxmlformats.org/officeDocument/2006/relationships/table" Target="/xl/tables/table9.xml" Id="R06c017df032b4758" /></Relationships>
</file>

<file path=xl/worksheets/_rels/sheet11.xml.rels>&#65279;<?xml version="1.0" encoding="utf-8"?><Relationships xmlns="http://schemas.openxmlformats.org/package/2006/relationships"><Relationship Type="http://schemas.openxmlformats.org/officeDocument/2006/relationships/table" Target="/xl/tables/table10.xml" Id="Rf690b7b1b31f46fa" /></Relationships>
</file>

<file path=xl/worksheets/_rels/sheet12.xml.rels>&#65279;<?xml version="1.0" encoding="utf-8"?><Relationships xmlns="http://schemas.openxmlformats.org/package/2006/relationships"><Relationship Type="http://schemas.openxmlformats.org/officeDocument/2006/relationships/table" Target="/xl/tables/table11.xml" Id="R377ac0b920b142c8" /></Relationships>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78" hidden="0" customWidth="1"/>
    <x:col min="3" max="3" width="8" hidden="0" customWidth="1"/>
    <x:col min="4" max="4" width="8" hidden="0" customWidth="1"/>
  </x:cols>
  <x:sheetData>
    <x:row r="1">
      <x:c r="A1" s="18" t="str">
        <x:v>NLTL SHACL Pipeline Run Tracker</x:v>
      </x:c>
      <x:c r="B1" s="19"/>
      <x:c r="C1" s="19"/>
      <x:c r="D1" s="19"/>
    </x:row>
    <x:row r="2">
      <x:c r="A2" s="20" t="str">
        <x:v>Run folder: RUN-I2-047-20260828T145843071760Z</x:v>
      </x:c>
      <x:c r="B2" s="20"/>
      <x:c r="C2" s="20"/>
      <x:c r="D2" s="20"/>
    </x:row>
    <x:row r="3">
      <x:c r="A3" s="21"/>
      <x:c r="B3" s="21"/>
      <x:c r="C3" s="21"/>
      <x:c r="D3" s="21"/>
    </x:row>
    <x:row r="4">
      <x:c r="A4" s="22" t="str">
        <x:v>METRIC</x:v>
      </x:c>
      <x:c r="B4" s="22" t="str">
        <x:v>VALUE</x:v>
      </x:c>
      <x:c r="C4" s="21"/>
      <x:c r="D4" s="21"/>
    </x:row>
    <x:row r="5">
      <x:c r="A5" s="23" t="str">
        <x:v>Requirements tracked</x:v>
      </x:c>
      <x:c r="B5" s="24" t="n">
        <x:f>COUNTA('REGULATION_QUEUE'!$A$5:$A$317)</x:f>
        <x:v>313</x:v>
      </x:c>
      <x:c r="C5" s="21"/>
      <x:c r="D5" s="21"/>
    </x:row>
    <x:row r="6">
      <x:c r="A6" s="25" t="str">
        <x:v>Generation eligible</x:v>
      </x:c>
      <x:c r="B6" s="26" t="n">
        <x:f>COUNTIF('REGULATION_QUEUE'!$J$5:$J$317,"ELIGIBLE")</x:f>
        <x:v>268</x:v>
      </x:c>
      <x:c r="C6" s="21"/>
      <x:c r="D6" s="21"/>
    </x:row>
    <x:row r="7">
      <x:c r="A7" s="25" t="str">
        <x:v>Runs represented</x:v>
      </x:c>
      <x:c r="B7" s="26" t="n">
        <x:f>COUNTA('RUNS'!$A$5:$A$5)</x:f>
        <x:v>1</x:v>
      </x:c>
      <x:c r="C7" s="21"/>
      <x:c r="D7" s="21"/>
    </x:row>
    <x:row r="8">
      <x:c r="A8" s="25" t="str">
        <x:v>Accepted runs</x:v>
      </x:c>
      <x:c r="B8" s="26" t="n">
        <x:f>COUNTIF('RUNS'!$I$5:$I$5,"GENERATION_ACCEPTED")</x:f>
        <x:v>0</x:v>
      </x:c>
      <x:c r="C8" s="21"/>
      <x:c r="D8" s="21"/>
    </x:row>
    <x:row r="9">
      <x:c r="A9" s="25" t="str">
        <x:v>API/LLM records</x:v>
      </x:c>
      <x:c r="B9" s="26" t="n">
        <x:f>COUNTA('API_CALLS'!$A$5:$A$24)</x:f>
        <x:v>20</x:v>
      </x:c>
      <x:c r="C9" s="21"/>
      <x:c r="D9" s="21"/>
    </x:row>
    <x:row r="10">
      <x:c r="A10" s="27" t="str">
        <x:v>Mean API/LLM elapsed ms</x:v>
      </x:c>
      <x:c r="B10" s="28" t="n">
        <x:f>IFERROR(AVERAGE('API_CALLS'!$K$5:$K$24),0)</x:f>
        <x:v>20488.16375</x:v>
      </x:c>
      <x:c r="C10" s="21"/>
      <x:c r="D10" s="21"/>
    </x:row>
    <x:row r="11">
      <x:c r="A11" s="21"/>
      <x:c r="B11" s="21"/>
      <x:c r="C11" s="21"/>
      <x:c r="D11" s="21"/>
    </x:row>
    <x:row r="12" ht="38" customHeight="1">
      <x:c r="A12" s="29" t="str">
        <x:v>INTERPRETATION</x:v>
      </x:c>
      <x:c r="B12" s="30" t="str">
        <x:v>Generation acceptance means syntax, structure, vocabulary, datatype/unit, target/path, and semantic review passed. It is not an RDF ship-compliance verdict.</x:v>
      </x:c>
      <x:c r="C12" s="30" t="str"/>
      <x:c r="D12" s="30" t="str"/>
    </x:row>
    <x:row r="13" ht="38" customHeight="1">
      <x:c r="A13" s="29" t="str">
        <x:v>NEXT GATE</x:v>
      </x:c>
      <x:c r="B13" s="30" t="str">
        <x:v>Accepted shapes remain in RDF_TEST_QUEUE until the separate evaluator is run.</x:v>
      </x:c>
      <x:c r="C13" s="30" t="str"/>
      <x:c r="D13" s="30" t="str"/>
    </x:row>
    <x:row r="14" ht="38" customHeight="1">
      <x:c r="A14" s="29" t="str">
        <x:v>RAW AUDIT</x:v>
      </x:c>
      <x:c r="B14" s="30" t="str">
        <x:v>events.jsonl is the durable append-only record for this run.</x:v>
      </x:c>
      <x:c r="C14" s="30" t="str"/>
      <x:c r="D14" s="30" t="str"/>
    </x:row>
    <x:row r="15" ht="38" customHeight="1">
      <x:c r="A15" s="29" t="str">
        <x:v>LOCKING</x:v>
      </x:c>
      <x:c r="B15" s="30" t="str">
        <x:v>Only final/final_shape.ttl is the accepted candidate artifact.</x:v>
      </x:c>
      <x:c r="C15" s="30" t="str"/>
      <x:c r="D15" s="30" t="str"/>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7" hidden="0" customWidth="1"/>
    <x:col min="2" max="2" width="52" hidden="0" customWidth="1"/>
  </x:cols>
  <x:sheetData>
    <x:row r="1">
      <x:c r="A1" s="18" t="str">
        <x:v>NLTL SHACL Pipeline Run Tracker</x:v>
      </x:c>
      <x:c r="B1" s="19"/>
    </x:row>
    <x:row r="2">
      <x:c r="A2" s="20" t="str">
        <x:v>README | Run folder: RUN-I2-047-20260828T145843071760Z</x:v>
      </x:c>
      <x:c r="B2" s="20"/>
    </x:row>
    <x:row r="3">
      <x:c r="A3" s="21"/>
      <x:c r="B3" s="21"/>
    </x:row>
    <x:row r="4" ht="30" customHeight="1">
      <x:c r="A4" s="43" t="str">
        <x:v>SECTION</x:v>
      </x:c>
      <x:c r="B4" s="44" t="str">
        <x:v>DETAIL</x:v>
      </x:c>
    </x:row>
    <x:row r="5">
      <x:c r="A5" s="45" t="str">
        <x:v>PURPOSE</x:v>
      </x:c>
      <x:c r="B5" s="46" t="str">
        <x:v>Traceability view for one regulation-to-SHACL generation run.</x:v>
      </x:c>
    </x:row>
    <x:row r="6">
      <x:c r="A6" s="47" t="str">
        <x:v>BOUNDARY</x:v>
      </x:c>
      <x:c r="B6" s="48" t="str">
        <x:v>Generation is frozen before RDF execution; no ship graph or hidden expected outcome is used here.</x:v>
      </x:c>
    </x:row>
    <x:row r="7">
      <x:c r="A7" s="47" t="str">
        <x:v>SOURCE OF TRUTH</x:v>
      </x:c>
      <x:c r="B7" s="48" t="str">
        <x:v>events.jsonl is append-only; CSV and Excel sheets are derived views.</x:v>
      </x:c>
    </x:row>
    <x:row r="8">
      <x:c r="A8" s="47" t="str">
        <x:v>ACCEPTED</x:v>
      </x:c>
      <x:c r="B8" s="48" t="str">
        <x:v>Static validation passed and the semantic validator accepted the candidate.</x:v>
      </x:c>
    </x:row>
    <x:row r="9">
      <x:c r="A9" s="47" t="str">
        <x:v>VOCABULARY_GAP</x:v>
      </x:c>
      <x:c r="B9" s="48" t="str">
        <x:v>No verified canonical term was available; the generator was not allowed to invent one.</x:v>
      </x:c>
    </x:row>
    <x:row r="10">
      <x:c r="A10" s="49" t="str">
        <x:v>RDF TEST QUEUE</x:v>
      </x:c>
      <x:c r="B10" s="50" t="str">
        <x:v>Accepted shapes await the separate bulk evaluator.</x:v>
      </x:c>
    </x:row>
  </x:sheetData>
  <x:pageMargins left="0.7" right="0.7" top="0.75" bottom="0.75" header="0.3" footer="0.3"/>
  <x:tableParts count="1">
    <x:tablePart xmlns:r="http://schemas.openxmlformats.org/officeDocument/2006/relationships" r:id="Rf03d80e995514c7e"/>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8" hidden="0" customWidth="1"/>
    <x:col min="2" max="2" width="52" hidden="0" customWidth="1"/>
    <x:col min="3" max="3" width="24" hidden="0" customWidth="1"/>
    <x:col min="4" max="4" width="11" hidden="0" customWidth="1"/>
    <x:col min="5" max="5" width="24" hidden="0" customWidth="1"/>
    <x:col min="6" max="6" width="20" hidden="0" customWidth="1"/>
    <x:col min="7" max="7" width="42" hidden="0" customWidth="1"/>
    <x:col min="8" max="8" width="20" hidden="0" customWidth="1"/>
    <x:col min="9" max="9" width="18" hidden="0" customWidth="1"/>
    <x:col min="10" max="10" width="19" hidden="0" customWidth="1"/>
    <x:col min="11" max="11" width="22" hidden="0" customWidth="1"/>
  </x:cols>
  <x:sheetData>
    <x:row r="1">
      <x:c r="A1" s="18" t="str">
        <x:v>NLTL SHACL Pipeline Run Tracker</x:v>
      </x:c>
      <x:c r="B1" s="19"/>
      <x:c r="C1" s="19"/>
      <x:c r="D1" s="19"/>
      <x:c r="E1" s="19"/>
      <x:c r="F1" s="19"/>
      <x:c r="G1" s="19"/>
      <x:c r="H1" s="19"/>
      <x:c r="I1" s="19"/>
      <x:c r="J1" s="19"/>
      <x:c r="K1" s="19"/>
    </x:row>
    <x:row r="2">
      <x:c r="A2" s="20" t="str">
        <x:v>REGULATION_QUEUE | Run folder: RUN-I2-047-20260828T145843071760Z</x:v>
      </x:c>
      <x:c r="B2" s="20"/>
      <x:c r="C2" s="20"/>
      <x:c r="D2" s="20"/>
      <x:c r="E2" s="20"/>
      <x:c r="F2" s="20"/>
      <x:c r="G2" s="20"/>
      <x:c r="H2" s="20"/>
      <x:c r="I2" s="20"/>
      <x:c r="J2" s="20"/>
      <x:c r="K2" s="20"/>
    </x:row>
    <x:row r="3">
      <x:c r="A3" s="21"/>
      <x:c r="B3" s="21"/>
      <x:c r="C3" s="21"/>
      <x:c r="D3" s="21"/>
      <x:c r="E3" s="21"/>
      <x:c r="F3" s="21"/>
      <x:c r="G3" s="21"/>
      <x:c r="H3" s="21"/>
      <x:c r="I3" s="21"/>
      <x:c r="J3" s="21"/>
      <x:c r="K3" s="21"/>
    </x:row>
    <x:row r="4" ht="30" customHeight="1">
      <x:c r="A4" s="43" t="str">
        <x:v>REQUIREMENT_ID</x:v>
      </x:c>
      <x:c r="B4" s="57" t="str">
        <x:v>SOURCE</x:v>
      </x:c>
      <x:c r="C4" s="57" t="str">
        <x:v>EDITION</x:v>
      </x:c>
      <x:c r="D4" s="57" t="str">
        <x:v>PAGE</x:v>
      </x:c>
      <x:c r="E4" s="57" t="str">
        <x:v>CLAUSE</x:v>
      </x:c>
      <x:c r="F4" s="57" t="str">
        <x:v>CATEGORY</x:v>
      </x:c>
      <x:c r="G4" s="57" t="str">
        <x:v>ACTIVE_STATUS</x:v>
      </x:c>
      <x:c r="H4" s="57" t="str">
        <x:v>CODABILITY</x:v>
      </x:c>
      <x:c r="I4" s="57" t="str">
        <x:v>FIGURE_DEPENDENT</x:v>
      </x:c>
      <x:c r="J4" s="57" t="str">
        <x:v>QUEUE_ELIGIBILITY</x:v>
      </x:c>
      <x:c r="K4" s="44" t="str">
        <x:v>RUN_STATUS</x:v>
      </x:c>
    </x:row>
    <x:row r="5">
      <x:c r="A5" s="45" t="str">
        <x:v>I2-001</x:v>
      </x:c>
      <x:c r="B5" s="46" t="str">
        <x:v>UR I2 Structural Requirements for Polar Class Ships</x:v>
      </x:c>
      <x:c r="C5" s="45" t="str">
        <x:v>Rev.4 Dec 2019</x:v>
      </x:c>
      <x:c r="D5" s="58" t="n">
        <x:v>1</x:v>
      </x:c>
      <x:c r="E5" s="45" t="str">
        <x:v>I2.1.1 Note 6</x:v>
      </x:c>
      <x:c r="F5" s="45" t="str">
        <x:v>Static</x:v>
      </x:c>
      <x:c r="G5" s="46" t="str">
        <x:v>Stage 2 candidate - direct/deterministic</x:v>
      </x:c>
      <x:c r="H5" s="45" t="str">
        <x:v>High</x:v>
      </x:c>
      <x:c r="I5" s="45" t="str">
        <x:v>No</x:v>
      </x:c>
      <x:c r="J5" s="45" t="str">
        <x:v>ELIGIBLE</x:v>
      </x:c>
      <x:c r="K5" s="45" t="str">
        <x:v>NOT_RUN</x:v>
      </x:c>
    </x:row>
    <x:row r="6">
      <x:c r="A6" s="47" t="str">
        <x:v>I2-002</x:v>
      </x:c>
      <x:c r="B6" s="48" t="str">
        <x:v>UR I2 Structural Requirements for Polar Class Ships</x:v>
      </x:c>
      <x:c r="C6" s="47" t="str">
        <x:v>Rev.4 Dec 2019</x:v>
      </x:c>
      <x:c r="D6" s="59" t="n">
        <x:v>1</x:v>
      </x:c>
      <x:c r="E6" s="47" t="str">
        <x:v>I2.1.1</x:v>
      </x:c>
      <x:c r="F6" s="47" t="str">
        <x:v>Static</x:v>
      </x:c>
      <x:c r="G6" s="48" t="str">
        <x:v>Deferred - scope-only requirement</x:v>
      </x:c>
      <x:c r="H6" s="47" t="str">
        <x:v>Deferred</x:v>
      </x:c>
      <x:c r="I6" s="47" t="str">
        <x:v>No</x:v>
      </x:c>
      <x:c r="J6" s="47" t="str">
        <x:v>DEFERRED</x:v>
      </x:c>
      <x:c r="K6" s="47" t="str">
        <x:v>NOT_RUN</x:v>
      </x:c>
    </x:row>
    <x:row r="7">
      <x:c r="A7" s="47" t="str">
        <x:v>I2-003</x:v>
      </x:c>
      <x:c r="B7" s="48" t="str">
        <x:v>UR I2 Structural Requirements for Polar Class Ships</x:v>
      </x:c>
      <x:c r="C7" s="47" t="str">
        <x:v>Rev.4 Dec 2019</x:v>
      </x:c>
      <x:c r="D7" s="59" t="n">
        <x:v>1</x:v>
      </x:c>
      <x:c r="E7" s="47" t="str">
        <x:v>I2.1.2.1</x:v>
      </x:c>
      <x:c r="F7" s="47" t="str">
        <x:v>Static Calculation</x:v>
      </x:c>
      <x:c r="G7" s="48" t="str">
        <x:v>Deferred - existing vocabulary insufficient</x:v>
      </x:c>
      <x:c r="H7" s="47" t="str">
        <x:v>Deferred</x:v>
      </x:c>
      <x:c r="I7" s="47" t="str">
        <x:v>No</x:v>
      </x:c>
      <x:c r="J7" s="47" t="str">
        <x:v>DEFERRED</x:v>
      </x:c>
      <x:c r="K7" s="47" t="str">
        <x:v>NOT_RUN</x:v>
      </x:c>
    </x:row>
    <x:row r="8">
      <x:c r="A8" s="47" t="str">
        <x:v>I2-004</x:v>
      </x:c>
      <x:c r="B8" s="48" t="str">
        <x:v>UR I2 Structural Requirements for Polar Class Ships</x:v>
      </x:c>
      <x:c r="C8" s="47" t="str">
        <x:v>Rev.4 Dec 2019</x:v>
      </x:c>
      <x:c r="D8" s="59" t="n">
        <x:v>1</x:v>
      </x:c>
      <x:c r="E8" s="47" t="str">
        <x:v>I2.1.2.2</x:v>
      </x:c>
      <x:c r="F8" s="47" t="str">
        <x:v>Static</x:v>
      </x:c>
      <x:c r="G8" s="48" t="str">
        <x:v>Stage 2 candidate - direct/deterministic</x:v>
      </x:c>
      <x:c r="H8" s="47" t="str">
        <x:v>High</x:v>
      </x:c>
      <x:c r="I8" s="47" t="str">
        <x:v>No</x:v>
      </x:c>
      <x:c r="J8" s="47" t="str">
        <x:v>ELIGIBLE</x:v>
      </x:c>
      <x:c r="K8" s="47" t="str">
        <x:v>NOT_RUN</x:v>
      </x:c>
    </x:row>
    <x:row r="9">
      <x:c r="A9" s="47" t="str">
        <x:v>I2-005</x:v>
      </x:c>
      <x:c r="B9" s="48" t="str">
        <x:v>UR I2 Structural Requirements for Polar Class Ships</x:v>
      </x:c>
      <x:c r="C9" s="47" t="str">
        <x:v>Rev.4 Dec 2019</x:v>
      </x:c>
      <x:c r="D9" s="59" t="n">
        <x:v>2</x:v>
      </x:c>
      <x:c r="E9" s="47" t="str">
        <x:v>I2.2.5</x:v>
      </x:c>
      <x:c r="F9" s="47" t="str">
        <x:v>Static</x:v>
      </x:c>
      <x:c r="G9" s="48" t="str">
        <x:v>Stage 2 candidate - direct/deterministic</x:v>
      </x:c>
      <x:c r="H9" s="47" t="str">
        <x:v>High</x:v>
      </x:c>
      <x:c r="I9" s="47" t="str">
        <x:v>No</x:v>
      </x:c>
      <x:c r="J9" s="47" t="str">
        <x:v>ELIGIBLE</x:v>
      </x:c>
      <x:c r="K9" s="47" t="str">
        <x:v>NOT_RUN</x:v>
      </x:c>
    </x:row>
    <x:row r="10">
      <x:c r="A10" s="47" t="str">
        <x:v>I2-006</x:v>
      </x:c>
      <x:c r="B10" s="48" t="str">
        <x:v>UR I2 Structural Requirements for Polar Class Ships</x:v>
      </x:c>
      <x:c r="C10" s="47" t="str">
        <x:v>Rev.4 Dec 2019</x:v>
      </x:c>
      <x:c r="D10" s="59" t="n">
        <x:v>2</x:v>
      </x:c>
      <x:c r="E10" s="47" t="str">
        <x:v>I2.2.6</x:v>
      </x:c>
      <x:c r="F10" s="47" t="str">
        <x:v>Static</x:v>
      </x:c>
      <x:c r="G10" s="48" t="str">
        <x:v>Stage 2 candidate - direct/deterministic</x:v>
      </x:c>
      <x:c r="H10" s="47" t="str">
        <x:v>High</x:v>
      </x:c>
      <x:c r="I10" s="47" t="str">
        <x:v>No</x:v>
      </x:c>
      <x:c r="J10" s="47" t="str">
        <x:v>ELIGIBLE</x:v>
      </x:c>
      <x:c r="K10" s="47" t="str">
        <x:v>NOT_RUN</x:v>
      </x:c>
    </x:row>
    <x:row r="11">
      <x:c r="A11" s="47" t="str">
        <x:v>I2-008</x:v>
      </x:c>
      <x:c r="B11" s="48" t="str">
        <x:v>UR I2 Structural Requirements for Polar Class Ships</x:v>
      </x:c>
      <x:c r="C11" s="47" t="str">
        <x:v>Rev.4 Dec 2019</x:v>
      </x:c>
      <x:c r="D11" s="59" t="n">
        <x:v>3</x:v>
      </x:c>
      <x:c r="E11" s="47" t="str">
        <x:v>I2.3.1</x:v>
      </x:c>
      <x:c r="F11" s="47" t="str">
        <x:v>Complex</x:v>
      </x:c>
      <x:c r="G11" s="48" t="str">
        <x:v>Stage 2 candidate - complex readiness</x:v>
      </x:c>
      <x:c r="H11" s="47" t="str">
        <x:v>Complex readiness</x:v>
      </x:c>
      <x:c r="I11" s="47" t="str">
        <x:v>No</x:v>
      </x:c>
      <x:c r="J11" s="47" t="str">
        <x:v>ELIGIBLE</x:v>
      </x:c>
      <x:c r="K11" s="47" t="str">
        <x:v>NOT_RUN</x:v>
      </x:c>
    </x:row>
    <x:row r="12">
      <x:c r="A12" s="47" t="str">
        <x:v>I2-009</x:v>
      </x:c>
      <x:c r="B12" s="48" t="str">
        <x:v>UR I2 Structural Requirements for Polar Class Ships</x:v>
      </x:c>
      <x:c r="C12" s="47" t="str">
        <x:v>Rev.4 Dec 2019</x:v>
      </x:c>
      <x:c r="D12" s="59" t="n">
        <x:v>3</x:v>
      </x:c>
      <x:c r="E12" s="47" t="str">
        <x:v>I2.3.1</x:v>
      </x:c>
      <x:c r="F12" s="47" t="str">
        <x:v>Static</x:v>
      </x:c>
      <x:c r="G12" s="48" t="str">
        <x:v>Stage 2 candidate - direct static</x:v>
      </x:c>
      <x:c r="H12" s="47" t="str">
        <x:v>Direct static</x:v>
      </x:c>
      <x:c r="I12" s="47" t="str">
        <x:v>No</x:v>
      </x:c>
      <x:c r="J12" s="47" t="str">
        <x:v>ELIGIBLE</x:v>
      </x:c>
      <x:c r="K12" s="47" t="str">
        <x:v>NOT_RUN</x:v>
      </x:c>
    </x:row>
    <x:row r="13">
      <x:c r="A13" s="47" t="str">
        <x:v>I2-010</x:v>
      </x:c>
      <x:c r="B13" s="48" t="str">
        <x:v>UR I2 Structural Requirements for Polar Class Ships</x:v>
      </x:c>
      <x:c r="C13" s="47" t="str">
        <x:v>Rev.4 Dec 2019</x:v>
      </x:c>
      <x:c r="D13" s="59" t="n">
        <x:v>3</x:v>
      </x:c>
      <x:c r="E13" s="47" t="str">
        <x:v>I2.3.1</x:v>
      </x:c>
      <x:c r="F13" s="47" t="str">
        <x:v>Static</x:v>
      </x:c>
      <x:c r="G13" s="48" t="str">
        <x:v>Stage 2 candidate - direct static</x:v>
      </x:c>
      <x:c r="H13" s="47" t="str">
        <x:v>Direct static</x:v>
      </x:c>
      <x:c r="I13" s="47" t="str">
        <x:v>No</x:v>
      </x:c>
      <x:c r="J13" s="47" t="str">
        <x:v>ELIGIBLE</x:v>
      </x:c>
      <x:c r="K13" s="47" t="str">
        <x:v>NOT_RUN</x:v>
      </x:c>
    </x:row>
    <x:row r="14">
      <x:c r="A14" s="47" t="str">
        <x:v>I2-011</x:v>
      </x:c>
      <x:c r="B14" s="48" t="str">
        <x:v>UR I2 Structural Requirements for Polar Class Ships</x:v>
      </x:c>
      <x:c r="C14" s="47" t="str">
        <x:v>Rev.4 Dec 2019</x:v>
      </x:c>
      <x:c r="D14" s="59" t="n">
        <x:v>3</x:v>
      </x:c>
      <x:c r="E14" s="47" t="str">
        <x:v>I2.3.1</x:v>
      </x:c>
      <x:c r="F14" s="47" t="str">
        <x:v>Static Calculation</x:v>
      </x:c>
      <x:c r="G14" s="48" t="str">
        <x:v>Stage 2 candidate - direct/deterministic</x:v>
      </x:c>
      <x:c r="H14" s="47" t="str">
        <x:v>High</x:v>
      </x:c>
      <x:c r="I14" s="47" t="str">
        <x:v>No</x:v>
      </x:c>
      <x:c r="J14" s="47" t="str">
        <x:v>ELIGIBLE</x:v>
      </x:c>
      <x:c r="K14" s="47" t="str">
        <x:v>NOT_RUN</x:v>
      </x:c>
    </x:row>
    <x:row r="15">
      <x:c r="A15" s="47" t="str">
        <x:v>I2-013</x:v>
      </x:c>
      <x:c r="B15" s="48" t="str">
        <x:v>UR I2 Structural Requirements for Polar Class Ships</x:v>
      </x:c>
      <x:c r="C15" s="47" t="str">
        <x:v>Rev.4 Dec 2019</x:v>
      </x:c>
      <x:c r="D15" s="59" t="n">
        <x:v>3</x:v>
      </x:c>
      <x:c r="E15" s="47" t="str">
        <x:v>I2.3.1</x:v>
      </x:c>
      <x:c r="F15" s="47" t="str">
        <x:v>Complex</x:v>
      </x:c>
      <x:c r="G15" s="48" t="str">
        <x:v>Stage 2 candidate - complex readiness</x:v>
      </x:c>
      <x:c r="H15" s="47" t="str">
        <x:v>Complex readiness</x:v>
      </x:c>
      <x:c r="I15" s="47" t="str">
        <x:v>No</x:v>
      </x:c>
      <x:c r="J15" s="47" t="str">
        <x:v>ELIGIBLE</x:v>
      </x:c>
      <x:c r="K15" s="47" t="str">
        <x:v>NOT_RUN</x:v>
      </x:c>
    </x:row>
    <x:row r="16">
      <x:c r="A16" s="47" t="str">
        <x:v>I2-014</x:v>
      </x:c>
      <x:c r="B16" s="48" t="str">
        <x:v>UR I2 Structural Requirements for Polar Class Ships</x:v>
      </x:c>
      <x:c r="C16" s="47" t="str">
        <x:v>Rev.4 Dec 2019</x:v>
      </x:c>
      <x:c r="D16" s="59" t="n">
        <x:v>5</x:v>
      </x:c>
      <x:c r="E16" s="47" t="str">
        <x:v>I2.3.2.1</x:v>
      </x:c>
      <x:c r="F16" s="47" t="str">
        <x:v>Static Calculation</x:v>
      </x:c>
      <x:c r="G16" s="48" t="str">
        <x:v>Stage 2 candidate - direct/deterministic</x:v>
      </x:c>
      <x:c r="H16" s="47" t="str">
        <x:v>High</x:v>
      </x:c>
      <x:c r="I16" s="47" t="str">
        <x:v>No</x:v>
      </x:c>
      <x:c r="J16" s="47" t="str">
        <x:v>ELIGIBLE</x:v>
      </x:c>
      <x:c r="K16" s="47" t="str">
        <x:v>NOT_RUN</x:v>
      </x:c>
    </x:row>
    <x:row r="17">
      <x:c r="A17" s="47" t="str">
        <x:v>I2-015</x:v>
      </x:c>
      <x:c r="B17" s="48" t="str">
        <x:v>UR I2 Structural Requirements for Polar Class Ships</x:v>
      </x:c>
      <x:c r="C17" s="47" t="str">
        <x:v>Rev.4 Dec 2019</x:v>
      </x:c>
      <x:c r="D17" s="59" t="n">
        <x:v>5</x:v>
      </x:c>
      <x:c r="E17" s="47" t="str">
        <x:v>I2.3.2.1</x:v>
      </x:c>
      <x:c r="F17" s="47" t="str">
        <x:v>Complex</x:v>
      </x:c>
      <x:c r="G17" s="48" t="str">
        <x:v>Stage 2 candidate - complex readiness</x:v>
      </x:c>
      <x:c r="H17" s="47" t="str">
        <x:v>Complex readiness</x:v>
      </x:c>
      <x:c r="I17" s="47" t="str">
        <x:v>No</x:v>
      </x:c>
      <x:c r="J17" s="47" t="str">
        <x:v>ELIGIBLE</x:v>
      </x:c>
      <x:c r="K17" s="47" t="str">
        <x:v>NOT_RUN</x:v>
      </x:c>
    </x:row>
    <x:row r="18">
      <x:c r="A18" s="47" t="str">
        <x:v>I2-017</x:v>
      </x:c>
      <x:c r="B18" s="48" t="str">
        <x:v>UR I2 Structural Requirements for Polar Class Ships</x:v>
      </x:c>
      <x:c r="C18" s="47" t="str">
        <x:v>Rev.4 Dec 2019</x:v>
      </x:c>
      <x:c r="D18" s="59" t="n">
        <x:v>6</x:v>
      </x:c>
      <x:c r="E18" s="47" t="str">
        <x:v>I2.3.2.2</x:v>
      </x:c>
      <x:c r="F18" s="47" t="str">
        <x:v>Complex</x:v>
      </x:c>
      <x:c r="G18" s="48" t="str">
        <x:v>Stage 2 candidate - complex readiness</x:v>
      </x:c>
      <x:c r="H18" s="47" t="str">
        <x:v>Complex readiness</x:v>
      </x:c>
      <x:c r="I18" s="47" t="str">
        <x:v>No</x:v>
      </x:c>
      <x:c r="J18" s="47" t="str">
        <x:v>ELIGIBLE</x:v>
      </x:c>
      <x:c r="K18" s="47" t="str">
        <x:v>NOT_RUN</x:v>
      </x:c>
    </x:row>
    <x:row r="19">
      <x:c r="A19" s="47" t="str">
        <x:v>I2-018</x:v>
      </x:c>
      <x:c r="B19" s="48" t="str">
        <x:v>UR I2 Structural Requirements for Polar Class Ships</x:v>
      </x:c>
      <x:c r="C19" s="47" t="str">
        <x:v>Rev.4 Dec 2019</x:v>
      </x:c>
      <x:c r="D19" s="59" t="n">
        <x:v>7</x:v>
      </x:c>
      <x:c r="E19" s="47" t="str">
        <x:v>I2.3.4</x:v>
      </x:c>
      <x:c r="F19" s="47" t="str">
        <x:v>Static Calculation</x:v>
      </x:c>
      <x:c r="G19" s="48" t="str">
        <x:v>Stage 2 candidate - direct/deterministic</x:v>
      </x:c>
      <x:c r="H19" s="47" t="str">
        <x:v>Medium</x:v>
      </x:c>
      <x:c r="I19" s="47" t="str">
        <x:v>No</x:v>
      </x:c>
      <x:c r="J19" s="47" t="str">
        <x:v>ELIGIBLE</x:v>
      </x:c>
      <x:c r="K19" s="47" t="str">
        <x:v>NOT_RUN</x:v>
      </x:c>
    </x:row>
    <x:row r="20">
      <x:c r="A20" s="47" t="str">
        <x:v>I2-019</x:v>
      </x:c>
      <x:c r="B20" s="48" t="str">
        <x:v>UR I2 Structural Requirements for Polar Class Ships</x:v>
      </x:c>
      <x:c r="C20" s="47" t="str">
        <x:v>Rev.4 Dec 2019</x:v>
      </x:c>
      <x:c r="D20" s="59" t="n">
        <x:v>7</x:v>
      </x:c>
      <x:c r="E20" s="47" t="str">
        <x:v>I2.3.5</x:v>
      </x:c>
      <x:c r="F20" s="47" t="str">
        <x:v>Static Calculation</x:v>
      </x:c>
      <x:c r="G20" s="48" t="str">
        <x:v>Stage 2 candidate - direct/deterministic</x:v>
      </x:c>
      <x:c r="H20" s="47" t="str">
        <x:v>High</x:v>
      </x:c>
      <x:c r="I20" s="47" t="str">
        <x:v>No</x:v>
      </x:c>
      <x:c r="J20" s="47" t="str">
        <x:v>ELIGIBLE</x:v>
      </x:c>
      <x:c r="K20" s="47" t="str">
        <x:v>NOT_RUN</x:v>
      </x:c>
    </x:row>
    <x:row r="21">
      <x:c r="A21" s="47" t="str">
        <x:v>I2-021</x:v>
      </x:c>
      <x:c r="B21" s="48" t="str">
        <x:v>UR I2 Structural Requirements for Polar Class Ships</x:v>
      </x:c>
      <x:c r="C21" s="47" t="str">
        <x:v>Rev.4 Dec 2019</x:v>
      </x:c>
      <x:c r="D21" s="59" t="n">
        <x:v>8</x:v>
      </x:c>
      <x:c r="E21" s="47" t="str">
        <x:v>I2.4.1</x:v>
      </x:c>
      <x:c r="F21" s="47" t="str">
        <x:v>Static Calculation</x:v>
      </x:c>
      <x:c r="G21" s="48" t="str">
        <x:v>Stage 2 candidate - direct/deterministic</x:v>
      </x:c>
      <x:c r="H21" s="47" t="str">
        <x:v>Medium</x:v>
      </x:c>
      <x:c r="I21" s="47" t="str">
        <x:v>No</x:v>
      </x:c>
      <x:c r="J21" s="47" t="str">
        <x:v>ELIGIBLE</x:v>
      </x:c>
      <x:c r="K21" s="47" t="str">
        <x:v>NOT_RUN</x:v>
      </x:c>
    </x:row>
    <x:row r="22">
      <x:c r="A22" s="47" t="str">
        <x:v>I2-022</x:v>
      </x:c>
      <x:c r="B22" s="48" t="str">
        <x:v>UR I2 Structural Requirements for Polar Class Ships</x:v>
      </x:c>
      <x:c r="C22" s="47" t="str">
        <x:v>Rev.4 Dec 2019</x:v>
      </x:c>
      <x:c r="D22" s="59" t="n">
        <x:v>8</x:v>
      </x:c>
      <x:c r="E22" s="47" t="str">
        <x:v>I2.4.2</x:v>
      </x:c>
      <x:c r="F22" s="47" t="str">
        <x:v>Complex</x:v>
      </x:c>
      <x:c r="G22" s="48" t="str">
        <x:v>Stage 2 candidate - complex readiness</x:v>
      </x:c>
      <x:c r="H22" s="47" t="str">
        <x:v>Complex readiness</x:v>
      </x:c>
      <x:c r="I22" s="47" t="str">
        <x:v>No</x:v>
      </x:c>
      <x:c r="J22" s="47" t="str">
        <x:v>ELIGIBLE</x:v>
      </x:c>
      <x:c r="K22" s="47" t="str">
        <x:v>NOT_RUN</x:v>
      </x:c>
    </x:row>
    <x:row r="23">
      <x:c r="A23" s="47" t="str">
        <x:v>I2-023</x:v>
      </x:c>
      <x:c r="B23" s="48" t="str">
        <x:v>UR I2 Structural Requirements for Polar Class Ships</x:v>
      </x:c>
      <x:c r="C23" s="47" t="str">
        <x:v>Rev.4 Dec 2019</x:v>
      </x:c>
      <x:c r="D23" s="59" t="n">
        <x:v>9</x:v>
      </x:c>
      <x:c r="E23" s="47" t="str">
        <x:v>I2.4.2</x:v>
      </x:c>
      <x:c r="F23" s="47" t="str">
        <x:v>Complex</x:v>
      </x:c>
      <x:c r="G23" s="48" t="str">
        <x:v>Stage 2 candidate - complex readiness</x:v>
      </x:c>
      <x:c r="H23" s="47" t="str">
        <x:v>Complex readiness</x:v>
      </x:c>
      <x:c r="I23" s="47" t="str">
        <x:v>No</x:v>
      </x:c>
      <x:c r="J23" s="47" t="str">
        <x:v>ELIGIBLE</x:v>
      </x:c>
      <x:c r="K23" s="47" t="str">
        <x:v>NOT_RUN</x:v>
      </x:c>
    </x:row>
    <x:row r="24">
      <x:c r="A24" s="47" t="str">
        <x:v>I2-024</x:v>
      </x:c>
      <x:c r="B24" s="48" t="str">
        <x:v>UR I2 Structural Requirements for Polar Class Ships</x:v>
      </x:c>
      <x:c r="C24" s="47" t="str">
        <x:v>Rev.4 Dec 2019</x:v>
      </x:c>
      <x:c r="D24" s="59" t="n">
        <x:v>9</x:v>
      </x:c>
      <x:c r="E24" s="47" t="str">
        <x:v>I2.4.2</x:v>
      </x:c>
      <x:c r="F24" s="47" t="str">
        <x:v>Complex</x:v>
      </x:c>
      <x:c r="G24" s="48" t="str">
        <x:v>Stage 2 candidate - complex readiness</x:v>
      </x:c>
      <x:c r="H24" s="47" t="str">
        <x:v>Complex readiness</x:v>
      </x:c>
      <x:c r="I24" s="47" t="str">
        <x:v>No</x:v>
      </x:c>
      <x:c r="J24" s="47" t="str">
        <x:v>ELIGIBLE</x:v>
      </x:c>
      <x:c r="K24" s="47" t="str">
        <x:v>NOT_RUN</x:v>
      </x:c>
    </x:row>
    <x:row r="25">
      <x:c r="A25" s="47" t="str">
        <x:v>I2-026</x:v>
      </x:c>
      <x:c r="B25" s="48" t="str">
        <x:v>UR I2 Structural Requirements for Polar Class Ships</x:v>
      </x:c>
      <x:c r="C25" s="47" t="str">
        <x:v>Rev.4 Dec 2019</x:v>
      </x:c>
      <x:c r="D25" s="59" t="n">
        <x:v>10</x:v>
      </x:c>
      <x:c r="E25" s="47" t="str">
        <x:v>I2.5.3</x:v>
      </x:c>
      <x:c r="F25" s="47" t="str">
        <x:v>Static</x:v>
      </x:c>
      <x:c r="G25" s="48" t="str">
        <x:v>Stage 2 candidate - direct/deterministic</x:v>
      </x:c>
      <x:c r="H25" s="47" t="str">
        <x:v>High</x:v>
      </x:c>
      <x:c r="I25" s="47" t="str">
        <x:v>No</x:v>
      </x:c>
      <x:c r="J25" s="47" t="str">
        <x:v>ELIGIBLE</x:v>
      </x:c>
      <x:c r="K25" s="47" t="str">
        <x:v>NOT_RUN</x:v>
      </x:c>
    </x:row>
    <x:row r="26">
      <x:c r="A26" s="47" t="str">
        <x:v>I2-029</x:v>
      </x:c>
      <x:c r="B26" s="48" t="str">
        <x:v>UR I2 Structural Requirements for Polar Class Ships</x:v>
      </x:c>
      <x:c r="C26" s="47" t="str">
        <x:v>Rev.4 Dec 2019</x:v>
      </x:c>
      <x:c r="D26" s="59" t="n">
        <x:v>10</x:v>
      </x:c>
      <x:c r="E26" s="47" t="str">
        <x:v>I2.5.6</x:v>
      </x:c>
      <x:c r="F26" s="47" t="str">
        <x:v>Static</x:v>
      </x:c>
      <x:c r="G26" s="48" t="str">
        <x:v>Stage 2 candidate - direct static</x:v>
      </x:c>
      <x:c r="H26" s="47" t="str">
        <x:v>Direct static</x:v>
      </x:c>
      <x:c r="I26" s="47" t="str">
        <x:v>No</x:v>
      </x:c>
      <x:c r="J26" s="47" t="str">
        <x:v>ELIGIBLE</x:v>
      </x:c>
      <x:c r="K26" s="47" t="str">
        <x:v>NOT_RUN</x:v>
      </x:c>
    </x:row>
    <x:row r="27">
      <x:c r="A27" s="47" t="str">
        <x:v>I2-030</x:v>
      </x:c>
      <x:c r="B27" s="48" t="str">
        <x:v>UR I2 Structural Requirements for Polar Class Ships</x:v>
      </x:c>
      <x:c r="C27" s="47" t="str">
        <x:v>Rev.4 Dec 2019</x:v>
      </x:c>
      <x:c r="D27" s="59" t="n">
        <x:v>11</x:v>
      </x:c>
      <x:c r="E27" s="47" t="str">
        <x:v>I2.5.8-I2.5.9</x:v>
      </x:c>
      <x:c r="F27" s="47" t="str">
        <x:v>Complex</x:v>
      </x:c>
      <x:c r="G27" s="48" t="str">
        <x:v>Stage 2 candidate - complex readiness</x:v>
      </x:c>
      <x:c r="H27" s="47" t="str">
        <x:v>Complex readiness</x:v>
      </x:c>
      <x:c r="I27" s="47" t="str">
        <x:v>No</x:v>
      </x:c>
      <x:c r="J27" s="47" t="str">
        <x:v>ELIGIBLE</x:v>
      </x:c>
      <x:c r="K27" s="47" t="str">
        <x:v>NOT_RUN</x:v>
      </x:c>
    </x:row>
    <x:row r="28">
      <x:c r="A28" s="47" t="str">
        <x:v>I2-031</x:v>
      </x:c>
      <x:c r="B28" s="48" t="str">
        <x:v>UR I2 Structural Requirements for Polar Class Ships</x:v>
      </x:c>
      <x:c r="C28" s="47" t="str">
        <x:v>Rev.4 Dec 2019</x:v>
      </x:c>
      <x:c r="D28" s="59" t="n">
        <x:v>12</x:v>
      </x:c>
      <x:c r="E28" s="47" t="str">
        <x:v>I2.6.1</x:v>
      </x:c>
      <x:c r="F28" s="47" t="str">
        <x:v>Static</x:v>
      </x:c>
      <x:c r="G28" s="48" t="str">
        <x:v>Stage 2 candidate - direct/deterministic</x:v>
      </x:c>
      <x:c r="H28" s="47" t="str">
        <x:v>High</x:v>
      </x:c>
      <x:c r="I28" s="47" t="str">
        <x:v>No</x:v>
      </x:c>
      <x:c r="J28" s="47" t="str">
        <x:v>ELIGIBLE</x:v>
      </x:c>
      <x:c r="K28" s="47" t="str">
        <x:v>NOT_RUN</x:v>
      </x:c>
    </x:row>
    <x:row r="29">
      <x:c r="A29" s="47" t="str">
        <x:v>I2-032</x:v>
      </x:c>
      <x:c r="B29" s="48" t="str">
        <x:v>UR I2 Structural Requirements for Polar Class Ships</x:v>
      </x:c>
      <x:c r="C29" s="47" t="str">
        <x:v>Rev.4 Dec 2019</x:v>
      </x:c>
      <x:c r="D29" s="59" t="n">
        <x:v>12</x:v>
      </x:c>
      <x:c r="E29" s="47" t="str">
        <x:v>I2.6.2</x:v>
      </x:c>
      <x:c r="F29" s="47" t="str">
        <x:v>Static Calculation</x:v>
      </x:c>
      <x:c r="G29" s="48" t="str">
        <x:v>Stage 2 candidate - direct/deterministic</x:v>
      </x:c>
      <x:c r="H29" s="47" t="str">
        <x:v>Medium</x:v>
      </x:c>
      <x:c r="I29" s="47" t="str">
        <x:v>No</x:v>
      </x:c>
      <x:c r="J29" s="47" t="str">
        <x:v>ELIGIBLE</x:v>
      </x:c>
      <x:c r="K29" s="47" t="str">
        <x:v>NOT_RUN</x:v>
      </x:c>
    </x:row>
    <x:row r="30">
      <x:c r="A30" s="47" t="str">
        <x:v>I2-034</x:v>
      </x:c>
      <x:c r="B30" s="48" t="str">
        <x:v>UR I2 Structural Requirements for Polar Class Ships</x:v>
      </x:c>
      <x:c r="C30" s="47" t="str">
        <x:v>Rev.4 Dec 2019</x:v>
      </x:c>
      <x:c r="D30" s="59" t="n">
        <x:v>13</x:v>
      </x:c>
      <x:c r="E30" s="47" t="str">
        <x:v>I2.7.1</x:v>
      </x:c>
      <x:c r="F30" s="47" t="str">
        <x:v>Static</x:v>
      </x:c>
      <x:c r="G30" s="48" t="str">
        <x:v>Stage 2 candidate - direct/deterministic</x:v>
      </x:c>
      <x:c r="H30" s="47" t="str">
        <x:v>High</x:v>
      </x:c>
      <x:c r="I30" s="47" t="str">
        <x:v>No</x:v>
      </x:c>
      <x:c r="J30" s="47" t="str">
        <x:v>ELIGIBLE</x:v>
      </x:c>
      <x:c r="K30" s="47" t="str">
        <x:v>NOT_RUN</x:v>
      </x:c>
    </x:row>
    <x:row r="31">
      <x:c r="A31" s="47" t="str">
        <x:v>I2-035</x:v>
      </x:c>
      <x:c r="B31" s="48" t="str">
        <x:v>UR I2 Structural Requirements for Polar Class Ships</x:v>
      </x:c>
      <x:c r="C31" s="47" t="str">
        <x:v>Rev.4 Dec 2019</x:v>
      </x:c>
      <x:c r="D31" s="59" t="n">
        <x:v>13</x:v>
      </x:c>
      <x:c r="E31" s="47" t="str">
        <x:v>I2.7.2</x:v>
      </x:c>
      <x:c r="F31" s="47" t="str">
        <x:v>Static Calculation</x:v>
      </x:c>
      <x:c r="G31" s="48" t="str">
        <x:v>Stage 2 candidate - direct/deterministic</x:v>
      </x:c>
      <x:c r="H31" s="47" t="str">
        <x:v>Medium</x:v>
      </x:c>
      <x:c r="I31" s="47" t="str">
        <x:v>No</x:v>
      </x:c>
      <x:c r="J31" s="47" t="str">
        <x:v>ELIGIBLE</x:v>
      </x:c>
      <x:c r="K31" s="47" t="str">
        <x:v>NOT_RUN</x:v>
      </x:c>
    </x:row>
    <x:row r="32">
      <x:c r="A32" s="47" t="str">
        <x:v>I2-037</x:v>
      </x:c>
      <x:c r="B32" s="48" t="str">
        <x:v>UR I2 Structural Requirements for Polar Class Ships</x:v>
      </x:c>
      <x:c r="C32" s="47" t="str">
        <x:v>Rev.4 Dec 2019</x:v>
      </x:c>
      <x:c r="D32" s="59" t="n">
        <x:v>13</x:v>
      </x:c>
      <x:c r="E32" s="47" t="str">
        <x:v>I2.8.1</x:v>
      </x:c>
      <x:c r="F32" s="47" t="str">
        <x:v>Static</x:v>
      </x:c>
      <x:c r="G32" s="48" t="str">
        <x:v>Stage 2 candidate - direct/deterministic</x:v>
      </x:c>
      <x:c r="H32" s="47" t="str">
        <x:v>High</x:v>
      </x:c>
      <x:c r="I32" s="47" t="str">
        <x:v>No</x:v>
      </x:c>
      <x:c r="J32" s="47" t="str">
        <x:v>ELIGIBLE</x:v>
      </x:c>
      <x:c r="K32" s="47" t="str">
        <x:v>NOT_RUN</x:v>
      </x:c>
    </x:row>
    <x:row r="33">
      <x:c r="A33" s="47" t="str">
        <x:v>I2-040</x:v>
      </x:c>
      <x:c r="B33" s="48" t="str">
        <x:v>UR I2 Structural Requirements for Polar Class Ships</x:v>
      </x:c>
      <x:c r="C33" s="47" t="str">
        <x:v>Rev.4 Dec 2019</x:v>
      </x:c>
      <x:c r="D33" s="59" t="n">
        <x:v>14</x:v>
      </x:c>
      <x:c r="E33" s="47" t="str">
        <x:v>I2.9.1</x:v>
      </x:c>
      <x:c r="F33" s="47" t="str">
        <x:v>Complex</x:v>
      </x:c>
      <x:c r="G33" s="48" t="str">
        <x:v>Stage 2 candidate - complex readiness</x:v>
      </x:c>
      <x:c r="H33" s="47" t="str">
        <x:v>Complex readiness</x:v>
      </x:c>
      <x:c r="I33" s="47" t="str">
        <x:v>No</x:v>
      </x:c>
      <x:c r="J33" s="47" t="str">
        <x:v>ELIGIBLE</x:v>
      </x:c>
      <x:c r="K33" s="47" t="str">
        <x:v>NOT_RUN</x:v>
      </x:c>
    </x:row>
    <x:row r="34">
      <x:c r="A34" s="47" t="str">
        <x:v>I2-041</x:v>
      </x:c>
      <x:c r="B34" s="48" t="str">
        <x:v>UR I2 Structural Requirements for Polar Class Ships</x:v>
      </x:c>
      <x:c r="C34" s="47" t="str">
        <x:v>Rev.4 Dec 2019</x:v>
      </x:c>
      <x:c r="D34" s="59" t="n">
        <x:v>15</x:v>
      </x:c>
      <x:c r="E34" s="47" t="str">
        <x:v>I2.9.3</x:v>
      </x:c>
      <x:c r="F34" s="47" t="str">
        <x:v>Complex</x:v>
      </x:c>
      <x:c r="G34" s="48" t="str">
        <x:v>Stage 2 candidate - complex readiness</x:v>
      </x:c>
      <x:c r="H34" s="47" t="str">
        <x:v>Complex readiness</x:v>
      </x:c>
      <x:c r="I34" s="47" t="str">
        <x:v>No</x:v>
      </x:c>
      <x:c r="J34" s="47" t="str">
        <x:v>ELIGIBLE</x:v>
      </x:c>
      <x:c r="K34" s="47" t="str">
        <x:v>NOT_RUN</x:v>
      </x:c>
    </x:row>
    <x:row r="35">
      <x:c r="A35" s="47" t="str">
        <x:v>I2-042</x:v>
      </x:c>
      <x:c r="B35" s="48" t="str">
        <x:v>UR I2 Structural Requirements for Polar Class Ships</x:v>
      </x:c>
      <x:c r="C35" s="47" t="str">
        <x:v>Rev.4 Dec 2019</x:v>
      </x:c>
      <x:c r="D35" s="59" t="n">
        <x:v>15</x:v>
      </x:c>
      <x:c r="E35" s="47" t="str">
        <x:v>I2.9.4</x:v>
      </x:c>
      <x:c r="F35" s="47" t="str">
        <x:v>Static Calculation</x:v>
      </x:c>
      <x:c r="G35" s="48" t="str">
        <x:v>Stage 2 candidate - direct/deterministic</x:v>
      </x:c>
      <x:c r="H35" s="47" t="str">
        <x:v>High</x:v>
      </x:c>
      <x:c r="I35" s="47" t="str">
        <x:v>No</x:v>
      </x:c>
      <x:c r="J35" s="47" t="str">
        <x:v>ELIGIBLE</x:v>
      </x:c>
      <x:c r="K35" s="47" t="str">
        <x:v>NOT_RUN</x:v>
      </x:c>
    </x:row>
    <x:row r="36">
      <x:c r="A36" s="47" t="str">
        <x:v>I2-043</x:v>
      </x:c>
      <x:c r="B36" s="48" t="str">
        <x:v>UR I2 Structural Requirements for Polar Class Ships</x:v>
      </x:c>
      <x:c r="C36" s="47" t="str">
        <x:v>Rev.4 Dec 2019</x:v>
      </x:c>
      <x:c r="D36" s="59" t="n">
        <x:v>15</x:v>
      </x:c>
      <x:c r="E36" s="47" t="str">
        <x:v>I2.9.4</x:v>
      </x:c>
      <x:c r="F36" s="47" t="str">
        <x:v>Complex</x:v>
      </x:c>
      <x:c r="G36" s="48" t="str">
        <x:v>Stage 2 candidate - complex readiness</x:v>
      </x:c>
      <x:c r="H36" s="47" t="str">
        <x:v>Complex readiness</x:v>
      </x:c>
      <x:c r="I36" s="47" t="str">
        <x:v>No</x:v>
      </x:c>
      <x:c r="J36" s="47" t="str">
        <x:v>ELIGIBLE</x:v>
      </x:c>
      <x:c r="K36" s="47" t="str">
        <x:v>NOT_RUN</x:v>
      </x:c>
    </x:row>
    <x:row r="37">
      <x:c r="A37" s="47" t="str">
        <x:v>I2-046</x:v>
      </x:c>
      <x:c r="B37" s="48" t="str">
        <x:v>UR I2 Structural Requirements for Polar Class Ships</x:v>
      </x:c>
      <x:c r="C37" s="47" t="str">
        <x:v>Rev.4 Dec 2019</x:v>
      </x:c>
      <x:c r="D37" s="59" t="n">
        <x:v>15</x:v>
      </x:c>
      <x:c r="E37" s="47" t="str">
        <x:v>I2.11.3</x:v>
      </x:c>
      <x:c r="F37" s="47" t="str">
        <x:v>Static Calculation</x:v>
      </x:c>
      <x:c r="G37" s="48" t="str">
        <x:v>Stage 2 candidate - direct/deterministic</x:v>
      </x:c>
      <x:c r="H37" s="47" t="str">
        <x:v>High</x:v>
      </x:c>
      <x:c r="I37" s="47" t="str">
        <x:v>No</x:v>
      </x:c>
      <x:c r="J37" s="47" t="str">
        <x:v>ELIGIBLE</x:v>
      </x:c>
      <x:c r="K37" s="47" t="str">
        <x:v>NOT_RUN</x:v>
      </x:c>
    </x:row>
    <x:row r="38">
      <x:c r="A38" s="47" t="str">
        <x:v>I2-047</x:v>
      </x:c>
      <x:c r="B38" s="48" t="str">
        <x:v>UR I2 Structural Requirements for Polar Class Ships</x:v>
      </x:c>
      <x:c r="C38" s="47" t="str">
        <x:v>Rev.4 Dec 2019</x:v>
      </x:c>
      <x:c r="D38" s="59" t="n">
        <x:v>16</x:v>
      </x:c>
      <x:c r="E38" s="47" t="str">
        <x:v>I2.11.4</x:v>
      </x:c>
      <x:c r="F38" s="47" t="str">
        <x:v>Static Calculation</x:v>
      </x:c>
      <x:c r="G38" s="48" t="str">
        <x:v>Stage 2 candidate - direct/deterministic</x:v>
      </x:c>
      <x:c r="H38" s="47" t="str">
        <x:v>High</x:v>
      </x:c>
      <x:c r="I38" s="47" t="str">
        <x:v>No</x:v>
      </x:c>
      <x:c r="J38" s="47" t="str">
        <x:v>ELIGIBLE</x:v>
      </x:c>
      <x:c r="K38" s="47" t="str">
        <x:v>MAX_ATTEMPTS_REACHED</x:v>
      </x:c>
    </x:row>
    <x:row r="39">
      <x:c r="A39" s="47" t="str">
        <x:v>I2-048</x:v>
      </x:c>
      <x:c r="B39" s="48" t="str">
        <x:v>UR I2 Structural Requirements for Polar Class Ships</x:v>
      </x:c>
      <x:c r="C39" s="47" t="str">
        <x:v>Rev.4 Dec 2019</x:v>
      </x:c>
      <x:c r="D39" s="59" t="n">
        <x:v>16</x:v>
      </x:c>
      <x:c r="E39" s="47" t="str">
        <x:v>I2.12.1</x:v>
      </x:c>
      <x:c r="F39" s="47" t="str">
        <x:v>Static</x:v>
      </x:c>
      <x:c r="G39" s="48" t="str">
        <x:v>Stage 2 candidate - direct static</x:v>
      </x:c>
      <x:c r="H39" s="47" t="str">
        <x:v>Direct static</x:v>
      </x:c>
      <x:c r="I39" s="47" t="str">
        <x:v>No</x:v>
      </x:c>
      <x:c r="J39" s="47" t="str">
        <x:v>ELIGIBLE</x:v>
      </x:c>
      <x:c r="K39" s="47" t="str">
        <x:v>NOT_RUN</x:v>
      </x:c>
    </x:row>
    <x:row r="40">
      <x:c r="A40" s="47" t="str">
        <x:v>I2-050</x:v>
      </x:c>
      <x:c r="B40" s="48" t="str">
        <x:v>UR I2 Structural Requirements for Polar Class Ships</x:v>
      </x:c>
      <x:c r="C40" s="47" t="str">
        <x:v>Rev.4 Dec 2019</x:v>
      </x:c>
      <x:c r="D40" s="59" t="n">
        <x:v>18</x:v>
      </x:c>
      <x:c r="E40" s="47" t="str">
        <x:v>I2.13.2.1</x:v>
      </x:c>
      <x:c r="F40" s="47" t="str">
        <x:v>Complex</x:v>
      </x:c>
      <x:c r="G40" s="48" t="str">
        <x:v>Stage 2 candidate - complex readiness</x:v>
      </x:c>
      <x:c r="H40" s="47" t="str">
        <x:v>Complex readiness</x:v>
      </x:c>
      <x:c r="I40" s="47" t="str">
        <x:v>No</x:v>
      </x:c>
      <x:c r="J40" s="47" t="str">
        <x:v>ELIGIBLE</x:v>
      </x:c>
      <x:c r="K40" s="47" t="str">
        <x:v>NOT_RUN</x:v>
      </x:c>
    </x:row>
    <x:row r="41">
      <x:c r="A41" s="47" t="str">
        <x:v>I2-051</x:v>
      </x:c>
      <x:c r="B41" s="48" t="str">
        <x:v>UR I2 Structural Requirements for Polar Class Ships</x:v>
      </x:c>
      <x:c r="C41" s="47" t="str">
        <x:v>Rev.4 Dec 2019</x:v>
      </x:c>
      <x:c r="D41" s="59" t="n">
        <x:v>19</x:v>
      </x:c>
      <x:c r="E41" s="47" t="str">
        <x:v>I2.13.3.1</x:v>
      </x:c>
      <x:c r="F41" s="47" t="str">
        <x:v>Static Calculation</x:v>
      </x:c>
      <x:c r="G41" s="48" t="str">
        <x:v>Stage 2 candidate - direct/deterministic</x:v>
      </x:c>
      <x:c r="H41" s="47" t="str">
        <x:v>High</x:v>
      </x:c>
      <x:c r="I41" s="47" t="str">
        <x:v>No</x:v>
      </x:c>
      <x:c r="J41" s="47" t="str">
        <x:v>ELIGIBLE</x:v>
      </x:c>
      <x:c r="K41" s="47" t="str">
        <x:v>NOT_RUN</x:v>
      </x:c>
    </x:row>
    <x:row r="42">
      <x:c r="A42" s="47" t="str">
        <x:v>I2-052</x:v>
      </x:c>
      <x:c r="B42" s="48" t="str">
        <x:v>UR I2 Structural Requirements for Polar Class Ships</x:v>
      </x:c>
      <x:c r="C42" s="47" t="str">
        <x:v>Rev.4 Dec 2019</x:v>
      </x:c>
      <x:c r="D42" s="59" t="n">
        <x:v>19</x:v>
      </x:c>
      <x:c r="E42" s="47" t="str">
        <x:v>I2.13.3.1</x:v>
      </x:c>
      <x:c r="F42" s="47" t="str">
        <x:v>Complex</x:v>
      </x:c>
      <x:c r="G42" s="48" t="str">
        <x:v>Stage 2 candidate - complex readiness</x:v>
      </x:c>
      <x:c r="H42" s="47" t="str">
        <x:v>Complex readiness</x:v>
      </x:c>
      <x:c r="I42" s="47" t="str">
        <x:v>No</x:v>
      </x:c>
      <x:c r="J42" s="47" t="str">
        <x:v>ELIGIBLE</x:v>
      </x:c>
      <x:c r="K42" s="47" t="str">
        <x:v>NOT_RUN</x:v>
      </x:c>
    </x:row>
    <x:row r="43">
      <x:c r="A43" s="47" t="str">
        <x:v>I2-053</x:v>
      </x:c>
      <x:c r="B43" s="48" t="str">
        <x:v>UR I2 Structural Requirements for Polar Class Ships</x:v>
      </x:c>
      <x:c r="C43" s="47" t="str">
        <x:v>Rev.4 Dec 2019</x:v>
      </x:c>
      <x:c r="D43" s="59" t="n">
        <x:v>20</x:v>
      </x:c>
      <x:c r="E43" s="47" t="str">
        <x:v>I2.13.3.2</x:v>
      </x:c>
      <x:c r="F43" s="47" t="str">
        <x:v>Complex</x:v>
      </x:c>
      <x:c r="G43" s="48" t="str">
        <x:v>Deferred - complex readiness owner/path incomplete</x:v>
      </x:c>
      <x:c r="H43" s="47" t="str">
        <x:v>Deferred</x:v>
      </x:c>
      <x:c r="I43" s="47" t="str">
        <x:v>No</x:v>
      </x:c>
      <x:c r="J43" s="47" t="str">
        <x:v>DEFERRED</x:v>
      </x:c>
      <x:c r="K43" s="47" t="str">
        <x:v>NOT_RUN</x:v>
      </x:c>
    </x:row>
    <x:row r="44">
      <x:c r="A44" s="47" t="str">
        <x:v>I2-054</x:v>
      </x:c>
      <x:c r="B44" s="48" t="str">
        <x:v>UR I2 Structural Requirements for Polar Class Ships</x:v>
      </x:c>
      <x:c r="C44" s="47" t="str">
        <x:v>Rev.4 Dec 2019</x:v>
      </x:c>
      <x:c r="D44" s="59" t="n">
        <x:v>20</x:v>
      </x:c>
      <x:c r="E44" s="47" t="str">
        <x:v>I2.13.4.1</x:v>
      </x:c>
      <x:c r="F44" s="47" t="str">
        <x:v>Complex</x:v>
      </x:c>
      <x:c r="G44" s="48" t="str">
        <x:v>Stage 2 candidate - complex readiness</x:v>
      </x:c>
      <x:c r="H44" s="47" t="str">
        <x:v>Complex readiness</x:v>
      </x:c>
      <x:c r="I44" s="47" t="str">
        <x:v>No</x:v>
      </x:c>
      <x:c r="J44" s="47" t="str">
        <x:v>ELIGIBLE</x:v>
      </x:c>
      <x:c r="K44" s="47" t="str">
        <x:v>NOT_RUN</x:v>
      </x:c>
    </x:row>
    <x:row r="45">
      <x:c r="A45" s="47" t="str">
        <x:v>I2-055</x:v>
      </x:c>
      <x:c r="B45" s="48" t="str">
        <x:v>UR I2 Structural Requirements for Polar Class Ships</x:v>
      </x:c>
      <x:c r="C45" s="47" t="str">
        <x:v>Rev.4 Dec 2019</x:v>
      </x:c>
      <x:c r="D45" s="59" t="n">
        <x:v>20</x:v>
      </x:c>
      <x:c r="E45" s="47" t="str">
        <x:v>I2.13.5.1</x:v>
      </x:c>
      <x:c r="F45" s="47" t="str">
        <x:v>Static</x:v>
      </x:c>
      <x:c r="G45" s="48" t="str">
        <x:v>Stage 2 candidate - direct static</x:v>
      </x:c>
      <x:c r="H45" s="47" t="str">
        <x:v>Direct static</x:v>
      </x:c>
      <x:c r="I45" s="47" t="str">
        <x:v>No</x:v>
      </x:c>
      <x:c r="J45" s="47" t="str">
        <x:v>ELIGIBLE</x:v>
      </x:c>
      <x:c r="K45" s="47" t="str">
        <x:v>NOT_RUN</x:v>
      </x:c>
    </x:row>
    <x:row r="46">
      <x:c r="A46" s="47" t="str">
        <x:v>I2-060</x:v>
      </x:c>
      <x:c r="B46" s="48" t="str">
        <x:v>UR I2 Structural Requirements for Polar Class Ships</x:v>
      </x:c>
      <x:c r="C46" s="47" t="str">
        <x:v>Rev.4 Dec 2019</x:v>
      </x:c>
      <x:c r="D46" s="59" t="n">
        <x:v>21</x:v>
      </x:c>
      <x:c r="E46" s="47" t="str">
        <x:v>I2.16.2</x:v>
      </x:c>
      <x:c r="F46" s="47" t="str">
        <x:v>Static</x:v>
      </x:c>
      <x:c r="G46" s="48" t="str">
        <x:v>Stage 2 candidate - direct/deterministic</x:v>
      </x:c>
      <x:c r="H46" s="47" t="str">
        <x:v>High</x:v>
      </x:c>
      <x:c r="I46" s="47" t="str">
        <x:v>No</x:v>
      </x:c>
      <x:c r="J46" s="47" t="str">
        <x:v>ELIGIBLE</x:v>
      </x:c>
      <x:c r="K46" s="47" t="str">
        <x:v>NOT_RUN</x:v>
      </x:c>
    </x:row>
    <x:row r="47">
      <x:c r="A47" s="47" t="str">
        <x:v>I2-061</x:v>
      </x:c>
      <x:c r="B47" s="48" t="str">
        <x:v>UR I2 Structural Requirements for Polar Class Ships</x:v>
      </x:c>
      <x:c r="C47" s="47" t="str">
        <x:v>Rev.4 Dec 2019</x:v>
      </x:c>
      <x:c r="D47" s="59" t="n">
        <x:v>21</x:v>
      </x:c>
      <x:c r="E47" s="47" t="str">
        <x:v>I2.17.1</x:v>
      </x:c>
      <x:c r="F47" s="47" t="str">
        <x:v>Static</x:v>
      </x:c>
      <x:c r="G47" s="48" t="str">
        <x:v>Stage 2 candidate - direct/deterministic</x:v>
      </x:c>
      <x:c r="H47" s="47" t="str">
        <x:v>High</x:v>
      </x:c>
      <x:c r="I47" s="47" t="str">
        <x:v>No</x:v>
      </x:c>
      <x:c r="J47" s="47" t="str">
        <x:v>ELIGIBLE</x:v>
      </x:c>
      <x:c r="K47" s="47" t="str">
        <x:v>NOT_RUN</x:v>
      </x:c>
    </x:row>
    <x:row r="48">
      <x:c r="A48" s="47" t="str">
        <x:v>I2-062</x:v>
      </x:c>
      <x:c r="B48" s="48" t="str">
        <x:v>UR I2 Structural Requirements for Polar Class Ships</x:v>
      </x:c>
      <x:c r="C48" s="47" t="str">
        <x:v>Rev.4 Dec 2019</x:v>
      </x:c>
      <x:c r="D48" s="59" t="n">
        <x:v>21</x:v>
      </x:c>
      <x:c r="E48" s="47" t="str">
        <x:v>I2.17.2</x:v>
      </x:c>
      <x:c r="F48" s="47" t="str">
        <x:v>Complex</x:v>
      </x:c>
      <x:c r="G48" s="48" t="str">
        <x:v>Stage 2 candidate - complex readiness</x:v>
      </x:c>
      <x:c r="H48" s="47" t="str">
        <x:v>Complex readiness</x:v>
      </x:c>
      <x:c r="I48" s="47" t="str">
        <x:v>No</x:v>
      </x:c>
      <x:c r="J48" s="47" t="str">
        <x:v>ELIGIBLE</x:v>
      </x:c>
      <x:c r="K48" s="47" t="str">
        <x:v>NOT_RUN</x:v>
      </x:c>
    </x:row>
    <x:row r="49">
      <x:c r="A49" s="47" t="str">
        <x:v>I2-064</x:v>
      </x:c>
      <x:c r="B49" s="48" t="str">
        <x:v>UR I2 Structural Requirements for Polar Class Ships</x:v>
      </x:c>
      <x:c r="C49" s="47" t="str">
        <x:v>Rev.4 Dec 2019</x:v>
      </x:c>
      <x:c r="D49" s="59" t="n">
        <x:v>21</x:v>
      </x:c>
      <x:c r="E49" s="47" t="str">
        <x:v>I2.17.5</x:v>
      </x:c>
      <x:c r="F49" s="47" t="str">
        <x:v>Complex</x:v>
      </x:c>
      <x:c r="G49" s="48" t="str">
        <x:v>Stage 2 candidate - complex readiness</x:v>
      </x:c>
      <x:c r="H49" s="47" t="str">
        <x:v>Complex readiness</x:v>
      </x:c>
      <x:c r="I49" s="47" t="str">
        <x:v>No</x:v>
      </x:c>
      <x:c r="J49" s="47" t="str">
        <x:v>ELIGIBLE</x:v>
      </x:c>
      <x:c r="K49" s="47" t="str">
        <x:v>NOT_RUN</x:v>
      </x:c>
    </x:row>
    <x:row r="50">
      <x:c r="A50" s="47" t="str">
        <x:v>I2-065</x:v>
      </x:c>
      <x:c r="B50" s="48" t="str">
        <x:v>UR I2 Structural Requirements for Polar Class Ships</x:v>
      </x:c>
      <x:c r="C50" s="47" t="str">
        <x:v>Rev.4 Dec 2019</x:v>
      </x:c>
      <x:c r="D50" s="59" t="n">
        <x:v>22</x:v>
      </x:c>
      <x:c r="E50" s="47" t="str">
        <x:v>I2.17.6</x:v>
      </x:c>
      <x:c r="F50" s="47" t="str">
        <x:v>Complex</x:v>
      </x:c>
      <x:c r="G50" s="48" t="str">
        <x:v>Stage 2 candidate - complex readiness</x:v>
      </x:c>
      <x:c r="H50" s="47" t="str">
        <x:v>Complex readiness</x:v>
      </x:c>
      <x:c r="I50" s="47" t="str">
        <x:v>No</x:v>
      </x:c>
      <x:c r="J50" s="47" t="str">
        <x:v>ELIGIBLE</x:v>
      </x:c>
      <x:c r="K50" s="47" t="str">
        <x:v>NOT_RUN</x:v>
      </x:c>
    </x:row>
    <x:row r="51">
      <x:c r="A51" s="47" t="str">
        <x:v>I2-066</x:v>
      </x:c>
      <x:c r="B51" s="48" t="str">
        <x:v>UR I2 Structural Requirements for Polar Class Ships</x:v>
      </x:c>
      <x:c r="C51" s="47" t="str">
        <x:v>Rev.4 Dec 2019</x:v>
      </x:c>
      <x:c r="D51" s="59" t="n">
        <x:v>22</x:v>
      </x:c>
      <x:c r="E51" s="47" t="str">
        <x:v>I2.18.1</x:v>
      </x:c>
      <x:c r="F51" s="47" t="str">
        <x:v>Static</x:v>
      </x:c>
      <x:c r="G51" s="48" t="str">
        <x:v>Stage 2 candidate - direct/deterministic</x:v>
      </x:c>
      <x:c r="H51" s="47" t="str">
        <x:v>High</x:v>
      </x:c>
      <x:c r="I51" s="47" t="str">
        <x:v>No</x:v>
      </x:c>
      <x:c r="J51" s="47" t="str">
        <x:v>ELIGIBLE</x:v>
      </x:c>
      <x:c r="K51" s="47" t="str">
        <x:v>NOT_RUN</x:v>
      </x:c>
    </x:row>
    <x:row r="52">
      <x:c r="A52" s="47" t="str">
        <x:v>I2-067</x:v>
      </x:c>
      <x:c r="B52" s="48" t="str">
        <x:v>UR I2 Structural Requirements for Polar Class Ships</x:v>
      </x:c>
      <x:c r="C52" s="47" t="str">
        <x:v>Rev.4 Dec 2019</x:v>
      </x:c>
      <x:c r="D52" s="59" t="n">
        <x:v>22</x:v>
      </x:c>
      <x:c r="E52" s="47" t="str">
        <x:v>I2.18.2</x:v>
      </x:c>
      <x:c r="F52" s="47" t="str">
        <x:v>Static</x:v>
      </x:c>
      <x:c r="G52" s="48" t="str">
        <x:v>Stage 2 candidate - direct/deterministic</x:v>
      </x:c>
      <x:c r="H52" s="47" t="str">
        <x:v>High</x:v>
      </x:c>
      <x:c r="I52" s="47" t="str">
        <x:v>No</x:v>
      </x:c>
      <x:c r="J52" s="47" t="str">
        <x:v>ELIGIBLE</x:v>
      </x:c>
      <x:c r="K52" s="47" t="str">
        <x:v>NOT_RUN</x:v>
      </x:c>
    </x:row>
    <x:row r="53">
      <x:c r="A53" s="47" t="str">
        <x:v>IMO-001</x:v>
      </x:c>
      <x:c r="B53" s="48" t="str">
        <x:v>International Code for Ships Operating in Polar Waters (Polar Code)</x:v>
      </x:c>
      <x:c r="C53" s="47" t="str">
        <x:v>Resolution MSC.385(94), adopted 21 Nov 2014; consolidated with MEPC.264(68), adopted 15 May 2015</x:v>
      </x:c>
      <x:c r="D53" s="59" t="n">
        <x:v>9</x:v>
      </x:c>
      <x:c r="E53" s="47" t="str">
        <x:v>2.1</x:v>
      </x:c>
      <x:c r="F53" s="47" t="str">
        <x:v>Static</x:v>
      </x:c>
      <x:c r="G53" s="48" t="str">
        <x:v>Stage 2 candidate - direct/deterministic</x:v>
      </x:c>
      <x:c r="H53" s="47" t="str">
        <x:v>High</x:v>
      </x:c>
      <x:c r="I53" s="47" t="str">
        <x:v>No</x:v>
      </x:c>
      <x:c r="J53" s="47" t="str">
        <x:v>ELIGIBLE</x:v>
      </x:c>
      <x:c r="K53" s="47" t="str">
        <x:v>NOT_RUN</x:v>
      </x:c>
    </x:row>
    <x:row r="54">
      <x:c r="A54" s="47" t="str">
        <x:v>IMO-002</x:v>
      </x:c>
      <x:c r="B54" s="48" t="str">
        <x:v>International Code for Ships Operating in Polar Waters (Polar Code)</x:v>
      </x:c>
      <x:c r="C54" s="47" t="str">
        <x:v>Resolution MSC.385(94), adopted 21 Nov 2014; consolidated with MEPC.264(68), adopted 15 May 2015</x:v>
      </x:c>
      <x:c r="D54" s="59" t="n">
        <x:v>9</x:v>
      </x:c>
      <x:c r="E54" s="47" t="str">
        <x:v>2.2</x:v>
      </x:c>
      <x:c r="F54" s="47" t="str">
        <x:v>Static</x:v>
      </x:c>
      <x:c r="G54" s="48" t="str">
        <x:v>Stage 2 candidate - direct/deterministic</x:v>
      </x:c>
      <x:c r="H54" s="47" t="str">
        <x:v>High</x:v>
      </x:c>
      <x:c r="I54" s="47" t="str">
        <x:v>No</x:v>
      </x:c>
      <x:c r="J54" s="47" t="str">
        <x:v>ELIGIBLE</x:v>
      </x:c>
      <x:c r="K54" s="47" t="str">
        <x:v>NOT_RUN</x:v>
      </x:c>
    </x:row>
    <x:row r="55">
      <x:c r="A55" s="47" t="str">
        <x:v>IMO-003</x:v>
      </x:c>
      <x:c r="B55" s="48" t="str">
        <x:v>International Code for Ships Operating in Polar Waters (Polar Code)</x:v>
      </x:c>
      <x:c r="C55" s="47" t="str">
        <x:v>Resolution MSC.385(94), adopted 21 Nov 2014; consolidated with MEPC.264(68), adopted 15 May 2015</x:v>
      </x:c>
      <x:c r="D55" s="59" t="n">
        <x:v>9</x:v>
      </x:c>
      <x:c r="E55" s="47" t="str">
        <x:v>2.3</x:v>
      </x:c>
      <x:c r="F55" s="47" t="str">
        <x:v>Static</x:v>
      </x:c>
      <x:c r="G55" s="48" t="str">
        <x:v>Stage 2 candidate - direct/deterministic</x:v>
      </x:c>
      <x:c r="H55" s="47" t="str">
        <x:v>High</x:v>
      </x:c>
      <x:c r="I55" s="47" t="str">
        <x:v>No</x:v>
      </x:c>
      <x:c r="J55" s="47" t="str">
        <x:v>ELIGIBLE</x:v>
      </x:c>
      <x:c r="K55" s="47" t="str">
        <x:v>NOT_RUN</x:v>
      </x:c>
    </x:row>
    <x:row r="56">
      <x:c r="A56" s="47" t="str">
        <x:v>IMO-004</x:v>
      </x:c>
      <x:c r="B56" s="48" t="str">
        <x:v>International Code for Ships Operating in Polar Waters (Polar Code)</x:v>
      </x:c>
      <x:c r="C56" s="47" t="str">
        <x:v>Resolution MSC.385(94), adopted 21 Nov 2014; consolidated with MEPC.264(68), adopted 15 May 2015</x:v>
      </x:c>
      <x:c r="D56" s="59" t="n">
        <x:v>9</x:v>
      </x:c>
      <x:c r="E56" s="47" t="str">
        <x:v>2.4</x:v>
      </x:c>
      <x:c r="F56" s="47" t="str">
        <x:v>Static</x:v>
      </x:c>
      <x:c r="G56" s="48" t="str">
        <x:v>Stage 2 candidate - direct/deterministic</x:v>
      </x:c>
      <x:c r="H56" s="47" t="str">
        <x:v>High</x:v>
      </x:c>
      <x:c r="I56" s="47" t="str">
        <x:v>No</x:v>
      </x:c>
      <x:c r="J56" s="47" t="str">
        <x:v>ELIGIBLE</x:v>
      </x:c>
      <x:c r="K56" s="47" t="str">
        <x:v>NOT_RUN</x:v>
      </x:c>
    </x:row>
    <x:row r="57">
      <x:c r="A57" s="47" t="str">
        <x:v>IMO-005</x:v>
      </x:c>
      <x:c r="B57" s="48" t="str">
        <x:v>International Code for Ships Operating in Polar Waters (Polar Code)</x:v>
      </x:c>
      <x:c r="C57" s="47" t="str">
        <x:v>Resolution MSC.385(94), adopted 21 Nov 2014; consolidated with MEPC.264(68), adopted 15 May 2015</x:v>
      </x:c>
      <x:c r="D57" s="59" t="n">
        <x:v>9</x:v>
      </x:c>
      <x:c r="E57" s="47" t="str">
        <x:v>2.5</x:v>
      </x:c>
      <x:c r="F57" s="47" t="str">
        <x:v>Static</x:v>
      </x:c>
      <x:c r="G57" s="48" t="str">
        <x:v>Stage 2 candidate - direct/deterministic</x:v>
      </x:c>
      <x:c r="H57" s="47" t="str">
        <x:v>High</x:v>
      </x:c>
      <x:c r="I57" s="47" t="str">
        <x:v>No</x:v>
      </x:c>
      <x:c r="J57" s="47" t="str">
        <x:v>ELIGIBLE</x:v>
      </x:c>
      <x:c r="K57" s="47" t="str">
        <x:v>NOT_RUN</x:v>
      </x:c>
    </x:row>
    <x:row r="58">
      <x:c r="A58" s="47" t="str">
        <x:v>IMO-006</x:v>
      </x:c>
      <x:c r="B58" s="48" t="str">
        <x:v>International Code for Ships Operating in Polar Waters (Polar Code)</x:v>
      </x:c>
      <x:c r="C58" s="47" t="str">
        <x:v>Resolution MSC.385(94), adopted 21 Nov 2014; consolidated with MEPC.264(68), adopted 15 May 2015</x:v>
      </x:c>
      <x:c r="D58" s="59" t="n">
        <x:v>9</x:v>
      </x:c>
      <x:c r="E58" s="47" t="str">
        <x:v>2.8</x:v>
      </x:c>
      <x:c r="F58" s="47" t="str">
        <x:v>Static</x:v>
      </x:c>
      <x:c r="G58" s="48" t="str">
        <x:v>Stage 2 candidate - direct/deterministic</x:v>
      </x:c>
      <x:c r="H58" s="47" t="str">
        <x:v>High</x:v>
      </x:c>
      <x:c r="I58" s="47" t="str">
        <x:v>No</x:v>
      </x:c>
      <x:c r="J58" s="47" t="str">
        <x:v>ELIGIBLE</x:v>
      </x:c>
      <x:c r="K58" s="47" t="str">
        <x:v>NOT_RUN</x:v>
      </x:c>
    </x:row>
    <x:row r="59">
      <x:c r="A59" s="47" t="str">
        <x:v>IMO-007</x:v>
      </x:c>
      <x:c r="B59" s="48" t="str">
        <x:v>International Code for Ships Operating in Polar Waters (Polar Code)</x:v>
      </x:c>
      <x:c r="C59" s="47" t="str">
        <x:v>Resolution MSC.385(94), adopted 21 Nov 2014; consolidated with MEPC.264(68), adopted 15 May 2015</x:v>
      </x:c>
      <x:c r="D59" s="59" t="n">
        <x:v>9</x:v>
      </x:c>
      <x:c r="E59" s="47" t="str">
        <x:v>2.10</x:v>
      </x:c>
      <x:c r="F59" s="47" t="str">
        <x:v>Static</x:v>
      </x:c>
      <x:c r="G59" s="48" t="str">
        <x:v>Stage 2 candidate - direct/deterministic</x:v>
      </x:c>
      <x:c r="H59" s="47" t="str">
        <x:v>High</x:v>
      </x:c>
      <x:c r="I59" s="47" t="str">
        <x:v>No</x:v>
      </x:c>
      <x:c r="J59" s="47" t="str">
        <x:v>ELIGIBLE</x:v>
      </x:c>
      <x:c r="K59" s="47" t="str">
        <x:v>NOT_RUN</x:v>
      </x:c>
    </x:row>
    <x:row r="60">
      <x:c r="A60" s="47" t="str">
        <x:v>IMO-008</x:v>
      </x:c>
      <x:c r="B60" s="48" t="str">
        <x:v>International Code for Ships Operating in Polar Waters (Polar Code)</x:v>
      </x:c>
      <x:c r="C60" s="47" t="str">
        <x:v>Resolution MSC.385(94), adopted 21 Nov 2014; consolidated with MEPC.264(68), adopted 15 May 2015</x:v>
      </x:c>
      <x:c r="D60" s="59" t="n">
        <x:v>10</x:v>
      </x:c>
      <x:c r="E60" s="47" t="str">
        <x:v>2.15</x:v>
      </x:c>
      <x:c r="F60" s="47" t="str">
        <x:v>Static</x:v>
      </x:c>
      <x:c r="G60" s="48" t="str">
        <x:v>Stage 2 candidate - direct/deterministic</x:v>
      </x:c>
      <x:c r="H60" s="47" t="str">
        <x:v>High</x:v>
      </x:c>
      <x:c r="I60" s="47" t="str">
        <x:v>No</x:v>
      </x:c>
      <x:c r="J60" s="47" t="str">
        <x:v>ELIGIBLE</x:v>
      </x:c>
      <x:c r="K60" s="47" t="str">
        <x:v>NOT_RUN</x:v>
      </x:c>
    </x:row>
    <x:row r="61">
      <x:c r="A61" s="47" t="str">
        <x:v>IMO-009</x:v>
      </x:c>
      <x:c r="B61" s="48" t="str">
        <x:v>International Code for Ships Operating in Polar Waters (Polar Code)</x:v>
      </x:c>
      <x:c r="C61" s="47" t="str">
        <x:v>Resolution MSC.385(94), adopted 21 Nov 2014; consolidated with MEPC.264(68), adopted 15 May 2015</x:v>
      </x:c>
      <x:c r="D61" s="59" t="n">
        <x:v>13</x:v>
      </x:c>
      <x:c r="E61" s="47" t="str">
        <x:v>1.2.1</x:v>
      </x:c>
      <x:c r="F61" s="47" t="str">
        <x:v>Static</x:v>
      </x:c>
      <x:c r="G61" s="48" t="str">
        <x:v>Stage 2 candidate - direct/deterministic</x:v>
      </x:c>
      <x:c r="H61" s="47" t="str">
        <x:v>High</x:v>
      </x:c>
      <x:c r="I61" s="47" t="str">
        <x:v>No</x:v>
      </x:c>
      <x:c r="J61" s="47" t="str">
        <x:v>ELIGIBLE</x:v>
      </x:c>
      <x:c r="K61" s="47" t="str">
        <x:v>NOT_RUN</x:v>
      </x:c>
    </x:row>
    <x:row r="62">
      <x:c r="A62" s="47" t="str">
        <x:v>IMO-010</x:v>
      </x:c>
      <x:c r="B62" s="48" t="str">
        <x:v>International Code for Ships Operating in Polar Waters (Polar Code)</x:v>
      </x:c>
      <x:c r="C62" s="47" t="str">
        <x:v>Resolution MSC.385(94), adopted 21 Nov 2014; consolidated with MEPC.264(68), adopted 15 May 2015</x:v>
      </x:c>
      <x:c r="D62" s="59" t="n">
        <x:v>13</x:v>
      </x:c>
      <x:c r="E62" s="47" t="str">
        <x:v>1.2.7</x:v>
      </x:c>
      <x:c r="F62" s="47" t="str">
        <x:v>Static</x:v>
      </x:c>
      <x:c r="G62" s="48" t="str">
        <x:v>Stage 2 candidate - direct/deterministic</x:v>
      </x:c>
      <x:c r="H62" s="47" t="str">
        <x:v>High</x:v>
      </x:c>
      <x:c r="I62" s="47" t="str">
        <x:v>No</x:v>
      </x:c>
      <x:c r="J62" s="47" t="str">
        <x:v>ELIGIBLE</x:v>
      </x:c>
      <x:c r="K62" s="47" t="str">
        <x:v>NOT_RUN</x:v>
      </x:c>
    </x:row>
    <x:row r="63">
      <x:c r="A63" s="47" t="str">
        <x:v>IMO-011</x:v>
      </x:c>
      <x:c r="B63" s="48" t="str">
        <x:v>International Code for Ships Operating in Polar Waters (Polar Code)</x:v>
      </x:c>
      <x:c r="C63" s="47" t="str">
        <x:v>Resolution MSC.385(94), adopted 21 Nov 2014; consolidated with MEPC.264(68), adopted 15 May 2015</x:v>
      </x:c>
      <x:c r="D63" s="59" t="n">
        <x:v>13</x:v>
      </x:c>
      <x:c r="E63" s="47" t="str">
        <x:v>1.2.9</x:v>
      </x:c>
      <x:c r="F63" s="47" t="str">
        <x:v>Complex</x:v>
      </x:c>
      <x:c r="G63" s="48" t="str">
        <x:v>Stage 2 candidate - complex readiness</x:v>
      </x:c>
      <x:c r="H63" s="47" t="str">
        <x:v>Complex readiness</x:v>
      </x:c>
      <x:c r="I63" s="47" t="str">
        <x:v>No</x:v>
      </x:c>
      <x:c r="J63" s="47" t="str">
        <x:v>ELIGIBLE</x:v>
      </x:c>
      <x:c r="K63" s="47" t="str">
        <x:v>NOT_RUN</x:v>
      </x:c>
    </x:row>
    <x:row r="64">
      <x:c r="A64" s="47" t="str">
        <x:v>IMO-012</x:v>
      </x:c>
      <x:c r="B64" s="48" t="str">
        <x:v>International Code for Ships Operating in Polar Waters (Polar Code)</x:v>
      </x:c>
      <x:c r="C64" s="47" t="str">
        <x:v>Resolution MSC.385(94), adopted 21 Nov 2014; consolidated with MEPC.264(68), adopted 15 May 2015</x:v>
      </x:c>
      <x:c r="D64" s="59" t="n">
        <x:v>14</x:v>
      </x:c>
      <x:c r="E64" s="47" t="str">
        <x:v>1.2.11</x:v>
      </x:c>
      <x:c r="F64" s="47" t="str">
        <x:v>Static Calculation</x:v>
      </x:c>
      <x:c r="G64" s="48" t="str">
        <x:v>Stage 2 candidate - direct/deterministic</x:v>
      </x:c>
      <x:c r="H64" s="47" t="str">
        <x:v>High</x:v>
      </x:c>
      <x:c r="I64" s="47" t="str">
        <x:v>No</x:v>
      </x:c>
      <x:c r="J64" s="47" t="str">
        <x:v>ELIGIBLE</x:v>
      </x:c>
      <x:c r="K64" s="47" t="str">
        <x:v>NOT_RUN</x:v>
      </x:c>
    </x:row>
    <x:row r="65">
      <x:c r="A65" s="47" t="str">
        <x:v>IMO-013</x:v>
      </x:c>
      <x:c r="B65" s="48" t="str">
        <x:v>International Code for Ships Operating in Polar Waters (Polar Code)</x:v>
      </x:c>
      <x:c r="C65" s="47" t="str">
        <x:v>Resolution MSC.385(94), adopted 21 Nov 2014; consolidated with MEPC.264(68), adopted 15 May 2015</x:v>
      </x:c>
      <x:c r="D65" s="59" t="n">
        <x:v>14</x:v>
      </x:c>
      <x:c r="E65" s="47" t="str">
        <x:v>1.2.12</x:v>
      </x:c>
      <x:c r="F65" s="47" t="str">
        <x:v>Static</x:v>
      </x:c>
      <x:c r="G65" s="48" t="str">
        <x:v>Stage 2 candidate - direct/deterministic</x:v>
      </x:c>
      <x:c r="H65" s="47" t="str">
        <x:v>High</x:v>
      </x:c>
      <x:c r="I65" s="47" t="str">
        <x:v>No</x:v>
      </x:c>
      <x:c r="J65" s="47" t="str">
        <x:v>ELIGIBLE</x:v>
      </x:c>
      <x:c r="K65" s="47" t="str">
        <x:v>NOT_RUN</x:v>
      </x:c>
    </x:row>
    <x:row r="66">
      <x:c r="A66" s="47" t="str">
        <x:v>IMO-014</x:v>
      </x:c>
      <x:c r="B66" s="48" t="str">
        <x:v>International Code for Ships Operating in Polar Waters (Polar Code)</x:v>
      </x:c>
      <x:c r="C66" s="47" t="str">
        <x:v>Resolution MSC.385(94), adopted 21 Nov 2014; consolidated with MEPC.264(68), adopted 15 May 2015</x:v>
      </x:c>
      <x:c r="D66" s="59" t="n">
        <x:v>14</x:v>
      </x:c>
      <x:c r="E66" s="47" t="str">
        <x:v>1.3.1</x:v>
      </x:c>
      <x:c r="F66" s="47" t="str">
        <x:v>Static</x:v>
      </x:c>
      <x:c r="G66" s="48" t="str">
        <x:v>Stage 2 candidate - direct/deterministic</x:v>
      </x:c>
      <x:c r="H66" s="47" t="str">
        <x:v>High</x:v>
      </x:c>
      <x:c r="I66" s="47" t="str">
        <x:v>No</x:v>
      </x:c>
      <x:c r="J66" s="47" t="str">
        <x:v>ELIGIBLE</x:v>
      </x:c>
      <x:c r="K66" s="47" t="str">
        <x:v>NOT_RUN</x:v>
      </x:c>
    </x:row>
    <x:row r="67">
      <x:c r="A67" s="47" t="str">
        <x:v>IMO-015</x:v>
      </x:c>
      <x:c r="B67" s="48" t="str">
        <x:v>International Code for Ships Operating in Polar Waters (Polar Code)</x:v>
      </x:c>
      <x:c r="C67" s="47" t="str">
        <x:v>Resolution MSC.385(94), adopted 21 Nov 2014; consolidated with MEPC.264(68), adopted 15 May 2015</x:v>
      </x:c>
      <x:c r="D67" s="59" t="n">
        <x:v>14</x:v>
      </x:c>
      <x:c r="E67" s="47" t="str">
        <x:v>1.3.2</x:v>
      </x:c>
      <x:c r="F67" s="47" t="str">
        <x:v>Physical Test</x:v>
      </x:c>
      <x:c r="G67" s="48" t="str">
        <x:v>Evidence-only - physical result not inferred by SHACL</x:v>
      </x:c>
      <x:c r="H67" s="47" t="str">
        <x:v>Medium</x:v>
      </x:c>
      <x:c r="I67" s="47" t="str">
        <x:v>No</x:v>
      </x:c>
      <x:c r="J67" s="47" t="str">
        <x:v>DEFERRED</x:v>
      </x:c>
      <x:c r="K67" s="47" t="str">
        <x:v>NOT_RUN</x:v>
      </x:c>
    </x:row>
    <x:row r="68">
      <x:c r="A68" s="47" t="str">
        <x:v>IMO-016</x:v>
      </x:c>
      <x:c r="B68" s="48" t="str">
        <x:v>International Code for Ships Operating in Polar Waters (Polar Code)</x:v>
      </x:c>
      <x:c r="C68" s="47" t="str">
        <x:v>Resolution MSC.385(94), adopted 21 Nov 2014; consolidated with MEPC.264(68), adopted 15 May 2015</x:v>
      </x:c>
      <x:c r="D68" s="59" t="n">
        <x:v>14</x:v>
      </x:c>
      <x:c r="E68" s="47" t="str">
        <x:v>1.3.5</x:v>
      </x:c>
      <x:c r="F68" s="47" t="str">
        <x:v>Static</x:v>
      </x:c>
      <x:c r="G68" s="48" t="str">
        <x:v>Stage 2 candidate - direct/deterministic</x:v>
      </x:c>
      <x:c r="H68" s="47" t="str">
        <x:v>High</x:v>
      </x:c>
      <x:c r="I68" s="47" t="str">
        <x:v>No</x:v>
      </x:c>
      <x:c r="J68" s="47" t="str">
        <x:v>ELIGIBLE</x:v>
      </x:c>
      <x:c r="K68" s="47" t="str">
        <x:v>NOT_RUN</x:v>
      </x:c>
    </x:row>
    <x:row r="69">
      <x:c r="A69" s="47" t="str">
        <x:v>IMO-017</x:v>
      </x:c>
      <x:c r="B69" s="48" t="str">
        <x:v>International Code for Ships Operating in Polar Waters (Polar Code)</x:v>
      </x:c>
      <x:c r="C69" s="47" t="str">
        <x:v>Resolution MSC.385(94), adopted 21 Nov 2014; consolidated with MEPC.264(68), adopted 15 May 2015</x:v>
      </x:c>
      <x:c r="D69" s="59" t="n">
        <x:v>14</x:v>
      </x:c>
      <x:c r="E69" s="47" t="str">
        <x:v>1.3.6</x:v>
      </x:c>
      <x:c r="F69" s="47" t="str">
        <x:v>Static</x:v>
      </x:c>
      <x:c r="G69" s="48" t="str">
        <x:v>Stage 2 candidate - direct/deterministic</x:v>
      </x:c>
      <x:c r="H69" s="47" t="str">
        <x:v>Medium</x:v>
      </x:c>
      <x:c r="I69" s="47" t="str">
        <x:v>No</x:v>
      </x:c>
      <x:c r="J69" s="47" t="str">
        <x:v>ELIGIBLE</x:v>
      </x:c>
      <x:c r="K69" s="47" t="str">
        <x:v>NOT_RUN</x:v>
      </x:c>
    </x:row>
    <x:row r="70">
      <x:c r="A70" s="47" t="str">
        <x:v>IMO-018</x:v>
      </x:c>
      <x:c r="B70" s="48" t="str">
        <x:v>International Code for Ships Operating in Polar Waters (Polar Code)</x:v>
      </x:c>
      <x:c r="C70" s="47" t="str">
        <x:v>Resolution MSC.385(94), adopted 21 Nov 2014; consolidated with MEPC.264(68), adopted 15 May 2015</x:v>
      </x:c>
      <x:c r="D70" s="59" t="n">
        <x:v>14</x:v>
      </x:c>
      <x:c r="E70" s="47" t="str">
        <x:v>1.3.7</x:v>
      </x:c>
      <x:c r="F70" s="47" t="str">
        <x:v>Static</x:v>
      </x:c>
      <x:c r="G70" s="48" t="str">
        <x:v>Stage 2 candidate - direct static</x:v>
      </x:c>
      <x:c r="H70" s="47" t="str">
        <x:v>Direct static</x:v>
      </x:c>
      <x:c r="I70" s="47" t="str">
        <x:v>No</x:v>
      </x:c>
      <x:c r="J70" s="47" t="str">
        <x:v>ELIGIBLE</x:v>
      </x:c>
      <x:c r="K70" s="47" t="str">
        <x:v>NOT_RUN</x:v>
      </x:c>
    </x:row>
    <x:row r="71">
      <x:c r="A71" s="47" t="str">
        <x:v>IMO-019</x:v>
      </x:c>
      <x:c r="B71" s="48" t="str">
        <x:v>International Code for Ships Operating in Polar Waters (Polar Code)</x:v>
      </x:c>
      <x:c r="C71" s="47" t="str">
        <x:v>Resolution MSC.385(94), adopted 21 Nov 2014; consolidated with MEPC.264(68), adopted 15 May 2015</x:v>
      </x:c>
      <x:c r="D71" s="59" t="n">
        <x:v>15</x:v>
      </x:c>
      <x:c r="E71" s="47" t="str">
        <x:v>1.4.2</x:v>
      </x:c>
      <x:c r="F71" s="47" t="str">
        <x:v>Static Calculation</x:v>
      </x:c>
      <x:c r="G71" s="48" t="str">
        <x:v>Stage 2 candidate - direct/deterministic</x:v>
      </x:c>
      <x:c r="H71" s="47" t="str">
        <x:v>High</x:v>
      </x:c>
      <x:c r="I71" s="47" t="str">
        <x:v>No</x:v>
      </x:c>
      <x:c r="J71" s="47" t="str">
        <x:v>ELIGIBLE</x:v>
      </x:c>
      <x:c r="K71" s="47" t="str">
        <x:v>NOT_RUN</x:v>
      </x:c>
    </x:row>
    <x:row r="72">
      <x:c r="A72" s="47" t="str">
        <x:v>IMO-020</x:v>
      </x:c>
      <x:c r="B72" s="48" t="str">
        <x:v>International Code for Ships Operating in Polar Waters (Polar Code)</x:v>
      </x:c>
      <x:c r="C72" s="47" t="str">
        <x:v>Resolution MSC.385(94), adopted 21 Nov 2014; consolidated with MEPC.264(68), adopted 15 May 2015</x:v>
      </x:c>
      <x:c r="D72" s="59" t="n">
        <x:v>15</x:v>
      </x:c>
      <x:c r="E72" s="47" t="str">
        <x:v>1.4.3</x:v>
      </x:c>
      <x:c r="F72" s="47" t="str">
        <x:v>Physical Test</x:v>
      </x:c>
      <x:c r="G72" s="48" t="str">
        <x:v>Evidence-only - physical result not inferred by SHACL</x:v>
      </x:c>
      <x:c r="H72" s="47" t="str">
        <x:v>Medium</x:v>
      </x:c>
      <x:c r="I72" s="47" t="str">
        <x:v>No</x:v>
      </x:c>
      <x:c r="J72" s="47" t="str">
        <x:v>DEFERRED</x:v>
      </x:c>
      <x:c r="K72" s="47" t="str">
        <x:v>NOT_RUN</x:v>
      </x:c>
    </x:row>
    <x:row r="73">
      <x:c r="A73" s="47" t="str">
        <x:v>IMO-021</x:v>
      </x:c>
      <x:c r="B73" s="48" t="str">
        <x:v>International Code for Ships Operating in Polar Waters (Polar Code)</x:v>
      </x:c>
      <x:c r="C73" s="47" t="str">
        <x:v>Resolution MSC.385(94), adopted 21 Nov 2014; consolidated with MEPC.264(68), adopted 15 May 2015</x:v>
      </x:c>
      <x:c r="D73" s="59" t="n">
        <x:v>15</x:v>
      </x:c>
      <x:c r="E73" s="47" t="str">
        <x:v>1.5</x:v>
      </x:c>
      <x:c r="F73" s="47" t="str">
        <x:v>Static</x:v>
      </x:c>
      <x:c r="G73" s="48" t="str">
        <x:v>Stage 2 candidate - direct static</x:v>
      </x:c>
      <x:c r="H73" s="47" t="str">
        <x:v>Direct static</x:v>
      </x:c>
      <x:c r="I73" s="47" t="str">
        <x:v>No</x:v>
      </x:c>
      <x:c r="J73" s="47" t="str">
        <x:v>ELIGIBLE</x:v>
      </x:c>
      <x:c r="K73" s="47" t="str">
        <x:v>NOT_RUN</x:v>
      </x:c>
    </x:row>
    <x:row r="74">
      <x:c r="A74" s="47" t="str">
        <x:v>IMO-022</x:v>
      </x:c>
      <x:c r="B74" s="48" t="str">
        <x:v>International Code for Ships Operating in Polar Waters (Polar Code)</x:v>
      </x:c>
      <x:c r="C74" s="47" t="str">
        <x:v>Resolution MSC.385(94), adopted 21 Nov 2014; consolidated with MEPC.264(68), adopted 15 May 2015</x:v>
      </x:c>
      <x:c r="D74" s="59" t="n">
        <x:v>15</x:v>
      </x:c>
      <x:c r="E74" s="47" t="str">
        <x:v>2.2.2</x:v>
      </x:c>
      <x:c r="F74" s="47" t="str">
        <x:v>Static</x:v>
      </x:c>
      <x:c r="G74" s="48" t="str">
        <x:v>Stage 2 candidate - direct/deterministic</x:v>
      </x:c>
      <x:c r="H74" s="47" t="str">
        <x:v>High</x:v>
      </x:c>
      <x:c r="I74" s="47" t="str">
        <x:v>No</x:v>
      </x:c>
      <x:c r="J74" s="47" t="str">
        <x:v>ELIGIBLE</x:v>
      </x:c>
      <x:c r="K74" s="47" t="str">
        <x:v>NOT_RUN</x:v>
      </x:c>
    </x:row>
    <x:row r="75">
      <x:c r="A75" s="47" t="str">
        <x:v>IMO-023</x:v>
      </x:c>
      <x:c r="B75" s="48" t="str">
        <x:v>International Code for Ships Operating in Polar Waters (Polar Code)</x:v>
      </x:c>
      <x:c r="C75" s="47" t="str">
        <x:v>Resolution MSC.385(94), adopted 21 Nov 2014; consolidated with MEPC.264(68), adopted 15 May 2015</x:v>
      </x:c>
      <x:c r="D75" s="59" t="n">
        <x:v>15</x:v>
      </x:c>
      <x:c r="E75" s="47" t="str">
        <x:v>2.2.3</x:v>
      </x:c>
      <x:c r="F75" s="47" t="str">
        <x:v>Static</x:v>
      </x:c>
      <x:c r="G75" s="48" t="str">
        <x:v>Stage 2 candidate - direct/deterministic</x:v>
      </x:c>
      <x:c r="H75" s="47" t="str">
        <x:v>High</x:v>
      </x:c>
      <x:c r="I75" s="47" t="str">
        <x:v>No</x:v>
      </x:c>
      <x:c r="J75" s="47" t="str">
        <x:v>ELIGIBLE</x:v>
      </x:c>
      <x:c r="K75" s="47" t="str">
        <x:v>NOT_RUN</x:v>
      </x:c>
    </x:row>
    <x:row r="76">
      <x:c r="A76" s="47" t="str">
        <x:v>IMO-024</x:v>
      </x:c>
      <x:c r="B76" s="48" t="str">
        <x:v>International Code for Ships Operating in Polar Waters (Polar Code)</x:v>
      </x:c>
      <x:c r="C76" s="47" t="str">
        <x:v>Resolution MSC.385(94), adopted 21 Nov 2014; consolidated with MEPC.264(68), adopted 15 May 2015</x:v>
      </x:c>
      <x:c r="D76" s="59" t="n">
        <x:v>15</x:v>
      </x:c>
      <x:c r="E76" s="47" t="str">
        <x:v>2.2.4</x:v>
      </x:c>
      <x:c r="F76" s="47" t="str">
        <x:v>Static</x:v>
      </x:c>
      <x:c r="G76" s="48" t="str">
        <x:v>Stage 2 candidate - direct/deterministic</x:v>
      </x:c>
      <x:c r="H76" s="47" t="str">
        <x:v>High</x:v>
      </x:c>
      <x:c r="I76" s="47" t="str">
        <x:v>No</x:v>
      </x:c>
      <x:c r="J76" s="47" t="str">
        <x:v>ELIGIBLE</x:v>
      </x:c>
      <x:c r="K76" s="47" t="str">
        <x:v>NOT_RUN</x:v>
      </x:c>
    </x:row>
    <x:row r="77">
      <x:c r="A77" s="47" t="str">
        <x:v>IMO-025</x:v>
      </x:c>
      <x:c r="B77" s="48" t="str">
        <x:v>International Code for Ships Operating in Polar Waters (Polar Code)</x:v>
      </x:c>
      <x:c r="C77" s="47" t="str">
        <x:v>Resolution MSC.385(94), adopted 21 Nov 2014; consolidated with MEPC.264(68), adopted 15 May 2015</x:v>
      </x:c>
      <x:c r="D77" s="59" t="n">
        <x:v>16</x:v>
      </x:c>
      <x:c r="E77" s="47" t="str">
        <x:v>2.3.1</x:v>
      </x:c>
      <x:c r="F77" s="47" t="str">
        <x:v>Static</x:v>
      </x:c>
      <x:c r="G77" s="48" t="str">
        <x:v>Stage 2 candidate - direct/deterministic</x:v>
      </x:c>
      <x:c r="H77" s="47" t="str">
        <x:v>High</x:v>
      </x:c>
      <x:c r="I77" s="47" t="str">
        <x:v>No</x:v>
      </x:c>
      <x:c r="J77" s="47" t="str">
        <x:v>ELIGIBLE</x:v>
      </x:c>
      <x:c r="K77" s="47" t="str">
        <x:v>NOT_RUN</x:v>
      </x:c>
    </x:row>
    <x:row r="78">
      <x:c r="A78" s="47" t="str">
        <x:v>IMO-026</x:v>
      </x:c>
      <x:c r="B78" s="48" t="str">
        <x:v>International Code for Ships Operating in Polar Waters (Polar Code)</x:v>
      </x:c>
      <x:c r="C78" s="47" t="str">
        <x:v>Resolution MSC.385(94), adopted 21 Nov 2014; consolidated with MEPC.264(68), adopted 15 May 2015</x:v>
      </x:c>
      <x:c r="D78" s="59" t="n">
        <x:v>16</x:v>
      </x:c>
      <x:c r="E78" s="47" t="str">
        <x:v>2.3.2</x:v>
      </x:c>
      <x:c r="F78" s="47" t="str">
        <x:v>Static</x:v>
      </x:c>
      <x:c r="G78" s="48" t="str">
        <x:v>Stage 2 candidate - direct/deterministic</x:v>
      </x:c>
      <x:c r="H78" s="47" t="str">
        <x:v>High</x:v>
      </x:c>
      <x:c r="I78" s="47" t="str">
        <x:v>No</x:v>
      </x:c>
      <x:c r="J78" s="47" t="str">
        <x:v>ELIGIBLE</x:v>
      </x:c>
      <x:c r="K78" s="47" t="str">
        <x:v>NOT_RUN</x:v>
      </x:c>
    </x:row>
    <x:row r="79">
      <x:c r="A79" s="47" t="str">
        <x:v>IMO-027</x:v>
      </x:c>
      <x:c r="B79" s="48" t="str">
        <x:v>International Code for Ships Operating in Polar Waters (Polar Code)</x:v>
      </x:c>
      <x:c r="C79" s="47" t="str">
        <x:v>Resolution MSC.385(94), adopted 21 Nov 2014; consolidated with MEPC.264(68), adopted 15 May 2015</x:v>
      </x:c>
      <x:c r="D79" s="59" t="n">
        <x:v>16</x:v>
      </x:c>
      <x:c r="E79" s="47" t="str">
        <x:v>2.3.3</x:v>
      </x:c>
      <x:c r="F79" s="47" t="str">
        <x:v>Static</x:v>
      </x:c>
      <x:c r="G79" s="48" t="str">
        <x:v>Stage 2 candidate - direct static</x:v>
      </x:c>
      <x:c r="H79" s="47" t="str">
        <x:v>Direct static</x:v>
      </x:c>
      <x:c r="I79" s="47" t="str">
        <x:v>No</x:v>
      </x:c>
      <x:c r="J79" s="47" t="str">
        <x:v>ELIGIBLE</x:v>
      </x:c>
      <x:c r="K79" s="47" t="str">
        <x:v>NOT_RUN</x:v>
      </x:c>
    </x:row>
    <x:row r="80">
      <x:c r="A80" s="47" t="str">
        <x:v>IMO-028</x:v>
      </x:c>
      <x:c r="B80" s="48" t="str">
        <x:v>International Code for Ships Operating in Polar Waters (Polar Code)</x:v>
      </x:c>
      <x:c r="C80" s="47" t="str">
        <x:v>Resolution MSC.385(94), adopted 21 Nov 2014; consolidated with MEPC.264(68), adopted 15 May 2015</x:v>
      </x:c>
      <x:c r="D80" s="59" t="n">
        <x:v>16</x:v>
      </x:c>
      <x:c r="E80" s="47" t="str">
        <x:v>2.3.4</x:v>
      </x:c>
      <x:c r="F80" s="47" t="str">
        <x:v>Static</x:v>
      </x:c>
      <x:c r="G80" s="48" t="str">
        <x:v>Stage 2 candidate - direct static</x:v>
      </x:c>
      <x:c r="H80" s="47" t="str">
        <x:v>Direct static</x:v>
      </x:c>
      <x:c r="I80" s="47" t="str">
        <x:v>No</x:v>
      </x:c>
      <x:c r="J80" s="47" t="str">
        <x:v>ELIGIBLE</x:v>
      </x:c>
      <x:c r="K80" s="47" t="str">
        <x:v>NOT_RUN</x:v>
      </x:c>
    </x:row>
    <x:row r="81">
      <x:c r="A81" s="47" t="str">
        <x:v>IMO-029</x:v>
      </x:c>
      <x:c r="B81" s="48" t="str">
        <x:v>International Code for Ships Operating in Polar Waters (Polar Code)</x:v>
      </x:c>
      <x:c r="C81" s="47" t="str">
        <x:v>Resolution MSC.385(94), adopted 21 Nov 2014; consolidated with MEPC.264(68), adopted 15 May 2015</x:v>
      </x:c>
      <x:c r="D81" s="59" t="n">
        <x:v>16</x:v>
      </x:c>
      <x:c r="E81" s="47" t="str">
        <x:v>2.3.5</x:v>
      </x:c>
      <x:c r="F81" s="47" t="str">
        <x:v>Static</x:v>
      </x:c>
      <x:c r="G81" s="48" t="str">
        <x:v>Stage 2 candidate - direct/deterministic</x:v>
      </x:c>
      <x:c r="H81" s="47" t="str">
        <x:v>High</x:v>
      </x:c>
      <x:c r="I81" s="47" t="str">
        <x:v>No</x:v>
      </x:c>
      <x:c r="J81" s="47" t="str">
        <x:v>ELIGIBLE</x:v>
      </x:c>
      <x:c r="K81" s="47" t="str">
        <x:v>NOT_RUN</x:v>
      </x:c>
    </x:row>
    <x:row r="82">
      <x:c r="A82" s="47" t="str">
        <x:v>IMO-030</x:v>
      </x:c>
      <x:c r="B82" s="48" t="str">
        <x:v>International Code for Ships Operating in Polar Waters (Polar Code)</x:v>
      </x:c>
      <x:c r="C82" s="47" t="str">
        <x:v>Resolution MSC.385(94), adopted 21 Nov 2014; consolidated with MEPC.264(68), adopted 15 May 2015</x:v>
      </x:c>
      <x:c r="D82" s="59" t="n">
        <x:v>16</x:v>
      </x:c>
      <x:c r="E82" s="47" t="str">
        <x:v>2.3.6</x:v>
      </x:c>
      <x:c r="F82" s="47" t="str">
        <x:v>Static</x:v>
      </x:c>
      <x:c r="G82" s="48" t="str">
        <x:v>Stage 2 candidate - direct static</x:v>
      </x:c>
      <x:c r="H82" s="47" t="str">
        <x:v>Direct static</x:v>
      </x:c>
      <x:c r="I82" s="47" t="str">
        <x:v>No</x:v>
      </x:c>
      <x:c r="J82" s="47" t="str">
        <x:v>ELIGIBLE</x:v>
      </x:c>
      <x:c r="K82" s="47" t="str">
        <x:v>NOT_RUN</x:v>
      </x:c>
    </x:row>
    <x:row r="83">
      <x:c r="A83" s="47" t="str">
        <x:v>IMO-031</x:v>
      </x:c>
      <x:c r="B83" s="48" t="str">
        <x:v>International Code for Ships Operating in Polar Waters (Polar Code)</x:v>
      </x:c>
      <x:c r="C83" s="47" t="str">
        <x:v>Resolution MSC.385(94), adopted 21 Nov 2014; consolidated with MEPC.264(68), adopted 15 May 2015</x:v>
      </x:c>
      <x:c r="D83" s="59" t="n">
        <x:v>17</x:v>
      </x:c>
      <x:c r="E83" s="47" t="str">
        <x:v>3.3.1</x:v>
      </x:c>
      <x:c r="F83" s="47" t="str">
        <x:v>Static</x:v>
      </x:c>
      <x:c r="G83" s="48" t="str">
        <x:v>Stage 2 candidate - direct static</x:v>
      </x:c>
      <x:c r="H83" s="47" t="str">
        <x:v>Direct static</x:v>
      </x:c>
      <x:c r="I83" s="47" t="str">
        <x:v>No</x:v>
      </x:c>
      <x:c r="J83" s="47" t="str">
        <x:v>ELIGIBLE</x:v>
      </x:c>
      <x:c r="K83" s="47" t="str">
        <x:v>NOT_RUN</x:v>
      </x:c>
    </x:row>
    <x:row r="84">
      <x:c r="A84" s="47" t="str">
        <x:v>IMO-032</x:v>
      </x:c>
      <x:c r="B84" s="48" t="str">
        <x:v>International Code for Ships Operating in Polar Waters (Polar Code)</x:v>
      </x:c>
      <x:c r="C84" s="47" t="str">
        <x:v>Resolution MSC.385(94), adopted 21 Nov 2014; consolidated with MEPC.264(68), adopted 15 May 2015</x:v>
      </x:c>
      <x:c r="D84" s="59" t="n">
        <x:v>17</x:v>
      </x:c>
      <x:c r="E84" s="47" t="str">
        <x:v>3.3.2.1-.3</x:v>
      </x:c>
      <x:c r="F84" s="47" t="str">
        <x:v>Static</x:v>
      </x:c>
      <x:c r="G84" s="48" t="str">
        <x:v>Stage 2 candidate - direct static</x:v>
      </x:c>
      <x:c r="H84" s="47" t="str">
        <x:v>Direct static</x:v>
      </x:c>
      <x:c r="I84" s="47" t="str">
        <x:v>No</x:v>
      </x:c>
      <x:c r="J84" s="47" t="str">
        <x:v>ELIGIBLE</x:v>
      </x:c>
      <x:c r="K84" s="47" t="str">
        <x:v>NOT_RUN</x:v>
      </x:c>
    </x:row>
    <x:row r="85">
      <x:c r="A85" s="47" t="str">
        <x:v>IMO-033</x:v>
      </x:c>
      <x:c r="B85" s="48" t="str">
        <x:v>International Code for Ships Operating in Polar Waters (Polar Code)</x:v>
      </x:c>
      <x:c r="C85" s="47" t="str">
        <x:v>Resolution MSC.385(94), adopted 21 Nov 2014; consolidated with MEPC.264(68), adopted 15 May 2015</x:v>
      </x:c>
      <x:c r="D85" s="59" t="n">
        <x:v>18</x:v>
      </x:c>
      <x:c r="E85" s="47" t="str">
        <x:v>4.3.1.1</x:v>
      </x:c>
      <x:c r="F85" s="47" t="str">
        <x:v>Static Calculation</x:v>
      </x:c>
      <x:c r="G85" s="48" t="str">
        <x:v>Stage 2 candidate - direct/deterministic</x:v>
      </x:c>
      <x:c r="H85" s="47" t="str">
        <x:v>High</x:v>
      </x:c>
      <x:c r="I85" s="47" t="str">
        <x:v>No</x:v>
      </x:c>
      <x:c r="J85" s="47" t="str">
        <x:v>ELIGIBLE</x:v>
      </x:c>
      <x:c r="K85" s="47" t="str">
        <x:v>NOT_RUN</x:v>
      </x:c>
    </x:row>
    <x:row r="86">
      <x:c r="A86" s="47" t="str">
        <x:v>IMO-034</x:v>
      </x:c>
      <x:c r="B86" s="48" t="str">
        <x:v>International Code for Ships Operating in Polar Waters (Polar Code)</x:v>
      </x:c>
      <x:c r="C86" s="47" t="str">
        <x:v>Resolution MSC.385(94), adopted 21 Nov 2014; consolidated with MEPC.264(68), adopted 15 May 2015</x:v>
      </x:c>
      <x:c r="D86" s="59" t="n">
        <x:v>18</x:v>
      </x:c>
      <x:c r="E86" s="47" t="str">
        <x:v>4.3.1.2</x:v>
      </x:c>
      <x:c r="F86" s="47" t="str">
        <x:v>Static</x:v>
      </x:c>
      <x:c r="G86" s="48" t="str">
        <x:v>Stage 2 candidate - direct static</x:v>
      </x:c>
      <x:c r="H86" s="47" t="str">
        <x:v>Direct static</x:v>
      </x:c>
      <x:c r="I86" s="47" t="str">
        <x:v>No</x:v>
      </x:c>
      <x:c r="J86" s="47" t="str">
        <x:v>ELIGIBLE</x:v>
      </x:c>
      <x:c r="K86" s="47" t="str">
        <x:v>NOT_RUN</x:v>
      </x:c>
    </x:row>
    <x:row r="87">
      <x:c r="A87" s="47" t="str">
        <x:v>IMO-035</x:v>
      </x:c>
      <x:c r="B87" s="48" t="str">
        <x:v>International Code for Ships Operating in Polar Waters (Polar Code)</x:v>
      </x:c>
      <x:c r="C87" s="47" t="str">
        <x:v>Resolution MSC.385(94), adopted 21 Nov 2014; consolidated with MEPC.264(68), adopted 15 May 2015</x:v>
      </x:c>
      <x:c r="D87" s="59" t="n">
        <x:v>18</x:v>
      </x:c>
      <x:c r="E87" s="47" t="str">
        <x:v>4.3.1.3</x:v>
      </x:c>
      <x:c r="F87" s="47" t="str">
        <x:v>Static</x:v>
      </x:c>
      <x:c r="G87" s="48" t="str">
        <x:v>Stage 2 candidate - direct/deterministic</x:v>
      </x:c>
      <x:c r="H87" s="47" t="str">
        <x:v>High</x:v>
      </x:c>
      <x:c r="I87" s="47" t="str">
        <x:v>No</x:v>
      </x:c>
      <x:c r="J87" s="47" t="str">
        <x:v>ELIGIBLE</x:v>
      </x:c>
      <x:c r="K87" s="47" t="str">
        <x:v>NOT_RUN</x:v>
      </x:c>
    </x:row>
    <x:row r="88">
      <x:c r="A88" s="47" t="str">
        <x:v>IMO-036</x:v>
      </x:c>
      <x:c r="B88" s="48" t="str">
        <x:v>International Code for Ships Operating in Polar Waters (Polar Code)</x:v>
      </x:c>
      <x:c r="C88" s="47" t="str">
        <x:v>Resolution MSC.385(94), adopted 21 Nov 2014; consolidated with MEPC.264(68), adopted 15 May 2015</x:v>
      </x:c>
      <x:c r="D88" s="59" t="n">
        <x:v>18</x:v>
      </x:c>
      <x:c r="E88" s="47" t="str">
        <x:v>4.3.1.4</x:v>
      </x:c>
      <x:c r="F88" s="47" t="str">
        <x:v>Dynamic</x:v>
      </x:c>
      <x:c r="G88" s="48" t="str">
        <x:v>Deferred - observation/history/simulation design required</x:v>
      </x:c>
      <x:c r="H88" s="47" t="str">
        <x:v>Medium</x:v>
      </x:c>
      <x:c r="I88" s="47" t="str">
        <x:v>No</x:v>
      </x:c>
      <x:c r="J88" s="47" t="str">
        <x:v>DEFERRED</x:v>
      </x:c>
      <x:c r="K88" s="47" t="str">
        <x:v>NOT_RUN</x:v>
      </x:c>
    </x:row>
    <x:row r="89">
      <x:c r="A89" s="47" t="str">
        <x:v>IMO-037</x:v>
      </x:c>
      <x:c r="B89" s="48" t="str">
        <x:v>International Code for Ships Operating in Polar Waters (Polar Code)</x:v>
      </x:c>
      <x:c r="C89" s="47" t="str">
        <x:v>Resolution MSC.385(94), adopted 21 Nov 2014; consolidated with MEPC.264(68), adopted 15 May 2015</x:v>
      </x:c>
      <x:c r="D89" s="59" t="n">
        <x:v>19</x:v>
      </x:c>
      <x:c r="E89" s="47" t="str">
        <x:v>4.3.2.1</x:v>
      </x:c>
      <x:c r="F89" s="47" t="str">
        <x:v>Complex</x:v>
      </x:c>
      <x:c r="G89" s="48" t="str">
        <x:v>Stage 2 candidate - complex readiness</x:v>
      </x:c>
      <x:c r="H89" s="47" t="str">
        <x:v>Complex readiness</x:v>
      </x:c>
      <x:c r="I89" s="47" t="str">
        <x:v>No</x:v>
      </x:c>
      <x:c r="J89" s="47" t="str">
        <x:v>ELIGIBLE</x:v>
      </x:c>
      <x:c r="K89" s="47" t="str">
        <x:v>NOT_RUN</x:v>
      </x:c>
    </x:row>
    <x:row r="90">
      <x:c r="A90" s="47" t="str">
        <x:v>IMO-038</x:v>
      </x:c>
      <x:c r="B90" s="48" t="str">
        <x:v>International Code for Ships Operating in Polar Waters (Polar Code)</x:v>
      </x:c>
      <x:c r="C90" s="47" t="str">
        <x:v>Resolution MSC.385(94), adopted 21 Nov 2014; consolidated with MEPC.264(68), adopted 15 May 2015</x:v>
      </x:c>
      <x:c r="D90" s="59" t="n">
        <x:v>19</x:v>
      </x:c>
      <x:c r="E90" s="47" t="str">
        <x:v>4.3.2.2</x:v>
      </x:c>
      <x:c r="F90" s="47" t="str">
        <x:v>Static Calculation</x:v>
      </x:c>
      <x:c r="G90" s="48" t="str">
        <x:v>Stage 2 candidate - direct/deterministic</x:v>
      </x:c>
      <x:c r="H90" s="47" t="str">
        <x:v>High</x:v>
      </x:c>
      <x:c r="I90" s="47" t="str">
        <x:v>No</x:v>
      </x:c>
      <x:c r="J90" s="47" t="str">
        <x:v>ELIGIBLE</x:v>
      </x:c>
      <x:c r="K90" s="47" t="str">
        <x:v>NOT_RUN</x:v>
      </x:c>
    </x:row>
    <x:row r="91">
      <x:c r="A91" s="47" t="str">
        <x:v>IMO-039</x:v>
      </x:c>
      <x:c r="B91" s="48" t="str">
        <x:v>International Code for Ships Operating in Polar Waters (Polar Code)</x:v>
      </x:c>
      <x:c r="C91" s="47" t="str">
        <x:v>Resolution MSC.385(94), adopted 21 Nov 2014; consolidated with MEPC.264(68), adopted 15 May 2015</x:v>
      </x:c>
      <x:c r="D91" s="59" t="n">
        <x:v>19</x:v>
      </x:c>
      <x:c r="E91" s="47" t="str">
        <x:v>5.2</x:v>
      </x:c>
      <x:c r="F91" s="47" t="str">
        <x:v>Physical Test</x:v>
      </x:c>
      <x:c r="G91" s="48" t="str">
        <x:v>Evidence-only - physical result not inferred by SHACL</x:v>
      </x:c>
      <x:c r="H91" s="47" t="str">
        <x:v>Medium</x:v>
      </x:c>
      <x:c r="I91" s="47" t="str">
        <x:v>No</x:v>
      </x:c>
      <x:c r="J91" s="47" t="str">
        <x:v>DEFERRED</x:v>
      </x:c>
      <x:c r="K91" s="47" t="str">
        <x:v>NOT_RUN</x:v>
      </x:c>
    </x:row>
    <x:row r="92">
      <x:c r="A92" s="47" t="str">
        <x:v>IMO-040</x:v>
      </x:c>
      <x:c r="B92" s="48" t="str">
        <x:v>International Code for Ships Operating in Polar Waters (Polar Code)</x:v>
      </x:c>
      <x:c r="C92" s="47" t="str">
        <x:v>Resolution MSC.385(94), adopted 21 Nov 2014; consolidated with MEPC.264(68), adopted 15 May 2015</x:v>
      </x:c>
      <x:c r="D92" s="59" t="n">
        <x:v>19</x:v>
      </x:c>
      <x:c r="E92" s="47" t="str">
        <x:v>5.3.1</x:v>
      </x:c>
      <x:c r="F92" s="47" t="str">
        <x:v>Static</x:v>
      </x:c>
      <x:c r="G92" s="48" t="str">
        <x:v>Stage 2 candidate - direct/deterministic</x:v>
      </x:c>
      <x:c r="H92" s="47" t="str">
        <x:v>High</x:v>
      </x:c>
      <x:c r="I92" s="47" t="str">
        <x:v>No</x:v>
      </x:c>
      <x:c r="J92" s="47" t="str">
        <x:v>ELIGIBLE</x:v>
      </x:c>
      <x:c r="K92" s="47" t="str">
        <x:v>NOT_RUN</x:v>
      </x:c>
    </x:row>
    <x:row r="93">
      <x:c r="A93" s="47" t="str">
        <x:v>IMO-041</x:v>
      </x:c>
      <x:c r="B93" s="48" t="str">
        <x:v>International Code for Ships Operating in Polar Waters (Polar Code)</x:v>
      </x:c>
      <x:c r="C93" s="47" t="str">
        <x:v>Resolution MSC.385(94), adopted 21 Nov 2014; consolidated with MEPC.264(68), adopted 15 May 2015</x:v>
      </x:c>
      <x:c r="D93" s="59" t="n">
        <x:v>19</x:v>
      </x:c>
      <x:c r="E93" s="47" t="str">
        <x:v>5.3.2.1</x:v>
      </x:c>
      <x:c r="F93" s="47" t="str">
        <x:v>Static</x:v>
      </x:c>
      <x:c r="G93" s="48" t="str">
        <x:v>Stage 2 candidate - direct/deterministic</x:v>
      </x:c>
      <x:c r="H93" s="47" t="str">
        <x:v>High</x:v>
      </x:c>
      <x:c r="I93" s="47" t="str">
        <x:v>No</x:v>
      </x:c>
      <x:c r="J93" s="47" t="str">
        <x:v>ELIGIBLE</x:v>
      </x:c>
      <x:c r="K93" s="47" t="str">
        <x:v>NOT_RUN</x:v>
      </x:c>
    </x:row>
    <x:row r="94">
      <x:c r="A94" s="47" t="str">
        <x:v>IMO-042</x:v>
      </x:c>
      <x:c r="B94" s="48" t="str">
        <x:v>International Code for Ships Operating in Polar Waters (Polar Code)</x:v>
      </x:c>
      <x:c r="C94" s="47" t="str">
        <x:v>Resolution MSC.385(94), adopted 21 Nov 2014; consolidated with MEPC.264(68), adopted 15 May 2015</x:v>
      </x:c>
      <x:c r="D94" s="59" t="n">
        <x:v>20</x:v>
      </x:c>
      <x:c r="E94" s="47" t="str">
        <x:v>5.3.2.2</x:v>
      </x:c>
      <x:c r="F94" s="47" t="str">
        <x:v>Physical Test</x:v>
      </x:c>
      <x:c r="G94" s="48" t="str">
        <x:v>Evidence-only - physical result not inferred by SHACL</x:v>
      </x:c>
      <x:c r="H94" s="47" t="str">
        <x:v>Medium</x:v>
      </x:c>
      <x:c r="I94" s="47" t="str">
        <x:v>No</x:v>
      </x:c>
      <x:c r="J94" s="47" t="str">
        <x:v>DEFERRED</x:v>
      </x:c>
      <x:c r="K94" s="47" t="str">
        <x:v>NOT_RUN</x:v>
      </x:c>
    </x:row>
    <x:row r="95">
      <x:c r="A95" s="47" t="str">
        <x:v>IMO-043</x:v>
      </x:c>
      <x:c r="B95" s="48" t="str">
        <x:v>International Code for Ships Operating in Polar Waters (Polar Code)</x:v>
      </x:c>
      <x:c r="C95" s="47" t="str">
        <x:v>Resolution MSC.385(94), adopted 21 Nov 2014; consolidated with MEPC.264(68), adopted 15 May 2015</x:v>
      </x:c>
      <x:c r="D95" s="59" t="n">
        <x:v>20</x:v>
      </x:c>
      <x:c r="E95" s="47" t="str">
        <x:v>6.3.1.1</x:v>
      </x:c>
      <x:c r="F95" s="47" t="str">
        <x:v>Static</x:v>
      </x:c>
      <x:c r="G95" s="48" t="str">
        <x:v>Stage 2 candidate - direct/deterministic</x:v>
      </x:c>
      <x:c r="H95" s="47" t="str">
        <x:v>Medium</x:v>
      </x:c>
      <x:c r="I95" s="47" t="str">
        <x:v>No</x:v>
      </x:c>
      <x:c r="J95" s="47" t="str">
        <x:v>ELIGIBLE</x:v>
      </x:c>
      <x:c r="K95" s="47" t="str">
        <x:v>NOT_RUN</x:v>
      </x:c>
    </x:row>
    <x:row r="96">
      <x:c r="A96" s="47" t="str">
        <x:v>IMO-044</x:v>
      </x:c>
      <x:c r="B96" s="48" t="str">
        <x:v>International Code for Ships Operating in Polar Waters (Polar Code)</x:v>
      </x:c>
      <x:c r="C96" s="47" t="str">
        <x:v>Resolution MSC.385(94), adopted 21 Nov 2014; consolidated with MEPC.264(68), adopted 15 May 2015</x:v>
      </x:c>
      <x:c r="D96" s="59" t="n">
        <x:v>21</x:v>
      </x:c>
      <x:c r="E96" s="47" t="str">
        <x:v>6.3.1.2</x:v>
      </x:c>
      <x:c r="F96" s="47" t="str">
        <x:v>Dynamic</x:v>
      </x:c>
      <x:c r="G96" s="48" t="str">
        <x:v>Deferred - observation/history/simulation design required</x:v>
      </x:c>
      <x:c r="H96" s="47" t="str">
        <x:v>Medium</x:v>
      </x:c>
      <x:c r="I96" s="47" t="str">
        <x:v>No</x:v>
      </x:c>
      <x:c r="J96" s="47" t="str">
        <x:v>DEFERRED</x:v>
      </x:c>
      <x:c r="K96" s="47" t="str">
        <x:v>NOT_RUN</x:v>
      </x:c>
    </x:row>
    <x:row r="97">
      <x:c r="A97" s="47" t="str">
        <x:v>IMO-045</x:v>
      </x:c>
      <x:c r="B97" s="48" t="str">
        <x:v>International Code for Ships Operating in Polar Waters (Polar Code)</x:v>
      </x:c>
      <x:c r="C97" s="47" t="str">
        <x:v>Resolution MSC.385(94), adopted 21 Nov 2014; consolidated with MEPC.264(68), adopted 15 May 2015</x:v>
      </x:c>
      <x:c r="D97" s="59" t="n">
        <x:v>21</x:v>
      </x:c>
      <x:c r="E97" s="47" t="str">
        <x:v>6.3.1.3</x:v>
      </x:c>
      <x:c r="F97" s="47" t="str">
        <x:v>Static</x:v>
      </x:c>
      <x:c r="G97" s="48" t="str">
        <x:v>Stage 2 candidate - direct/deterministic</x:v>
      </x:c>
      <x:c r="H97" s="47" t="str">
        <x:v>High</x:v>
      </x:c>
      <x:c r="I97" s="47" t="str">
        <x:v>No</x:v>
      </x:c>
      <x:c r="J97" s="47" t="str">
        <x:v>ELIGIBLE</x:v>
      </x:c>
      <x:c r="K97" s="47" t="str">
        <x:v>NOT_RUN</x:v>
      </x:c>
    </x:row>
    <x:row r="98">
      <x:c r="A98" s="47" t="str">
        <x:v>IMO-046</x:v>
      </x:c>
      <x:c r="B98" s="48" t="str">
        <x:v>International Code for Ships Operating in Polar Waters (Polar Code)</x:v>
      </x:c>
      <x:c r="C98" s="47" t="str">
        <x:v>Resolution MSC.385(94), adopted 21 Nov 2014; consolidated with MEPC.264(68), adopted 15 May 2015</x:v>
      </x:c>
      <x:c r="D98" s="59" t="n">
        <x:v>21</x:v>
      </x:c>
      <x:c r="E98" s="47" t="str">
        <x:v>6.3.2.1</x:v>
      </x:c>
      <x:c r="F98" s="47" t="str">
        <x:v>Physical Test</x:v>
      </x:c>
      <x:c r="G98" s="48" t="str">
        <x:v>Evidence-only - physical result not inferred by SHACL</x:v>
      </x:c>
      <x:c r="H98" s="47" t="str">
        <x:v>Medium</x:v>
      </x:c>
      <x:c r="I98" s="47" t="str">
        <x:v>No</x:v>
      </x:c>
      <x:c r="J98" s="47" t="str">
        <x:v>DEFERRED</x:v>
      </x:c>
      <x:c r="K98" s="47" t="str">
        <x:v>NOT_RUN</x:v>
      </x:c>
    </x:row>
    <x:row r="99">
      <x:c r="A99" s="47" t="str">
        <x:v>IMO-047</x:v>
      </x:c>
      <x:c r="B99" s="48" t="str">
        <x:v>International Code for Ships Operating in Polar Waters (Polar Code)</x:v>
      </x:c>
      <x:c r="C99" s="47" t="str">
        <x:v>Resolution MSC.385(94), adopted 21 Nov 2014; consolidated with MEPC.264(68), adopted 15 May 2015</x:v>
      </x:c>
      <x:c r="D99" s="59" t="n">
        <x:v>21</x:v>
      </x:c>
      <x:c r="E99" s="47" t="str">
        <x:v>6.3.2.2</x:v>
      </x:c>
      <x:c r="F99" s="47" t="str">
        <x:v>Static</x:v>
      </x:c>
      <x:c r="G99" s="48" t="str">
        <x:v>Stage 2 candidate - direct/deterministic</x:v>
      </x:c>
      <x:c r="H99" s="47" t="str">
        <x:v>High</x:v>
      </x:c>
      <x:c r="I99" s="47" t="str">
        <x:v>No</x:v>
      </x:c>
      <x:c r="J99" s="47" t="str">
        <x:v>ELIGIBLE</x:v>
      </x:c>
      <x:c r="K99" s="47" t="str">
        <x:v>NOT_RUN</x:v>
      </x:c>
    </x:row>
    <x:row r="100">
      <x:c r="A100" s="47" t="str">
        <x:v>IMO-048</x:v>
      </x:c>
      <x:c r="B100" s="48" t="str">
        <x:v>International Code for Ships Operating in Polar Waters (Polar Code)</x:v>
      </x:c>
      <x:c r="C100" s="47" t="str">
        <x:v>Resolution MSC.385(94), adopted 21 Nov 2014; consolidated with MEPC.264(68), adopted 15 May 2015</x:v>
      </x:c>
      <x:c r="D100" s="59" t="n">
        <x:v>21</x:v>
      </x:c>
      <x:c r="E100" s="47" t="str">
        <x:v>6.3.2.3</x:v>
      </x:c>
      <x:c r="F100" s="47" t="str">
        <x:v>Static</x:v>
      </x:c>
      <x:c r="G100" s="48" t="str">
        <x:v>Stage 2 candidate - direct static</x:v>
      </x:c>
      <x:c r="H100" s="47" t="str">
        <x:v>Direct static</x:v>
      </x:c>
      <x:c r="I100" s="47" t="str">
        <x:v>No</x:v>
      </x:c>
      <x:c r="J100" s="47" t="str">
        <x:v>ELIGIBLE</x:v>
      </x:c>
      <x:c r="K100" s="47" t="str">
        <x:v>NOT_RUN</x:v>
      </x:c>
    </x:row>
    <x:row r="101">
      <x:c r="A101" s="47" t="str">
        <x:v>IMO-049</x:v>
      </x:c>
      <x:c r="B101" s="48" t="str">
        <x:v>International Code for Ships Operating in Polar Waters (Polar Code)</x:v>
      </x:c>
      <x:c r="C101" s="47" t="str">
        <x:v>Resolution MSC.385(94), adopted 21 Nov 2014; consolidated with MEPC.264(68), adopted 15 May 2015</x:v>
      </x:c>
      <x:c r="D101" s="59" t="n">
        <x:v>21</x:v>
      </x:c>
      <x:c r="E101" s="47" t="str">
        <x:v>6.3.3.1-.3</x:v>
      </x:c>
      <x:c r="F101" s="47" t="str">
        <x:v>Static</x:v>
      </x:c>
      <x:c r="G101" s="48" t="str">
        <x:v>Stage 2 candidate - direct static</x:v>
      </x:c>
      <x:c r="H101" s="47" t="str">
        <x:v>Direct static</x:v>
      </x:c>
      <x:c r="I101" s="47" t="str">
        <x:v>No</x:v>
      </x:c>
      <x:c r="J101" s="47" t="str">
        <x:v>ELIGIBLE</x:v>
      </x:c>
      <x:c r="K101" s="47" t="str">
        <x:v>NOT_RUN</x:v>
      </x:c>
    </x:row>
    <x:row r="102">
      <x:c r="A102" s="47" t="str">
        <x:v>IMO-050</x:v>
      </x:c>
      <x:c r="B102" s="48" t="str">
        <x:v>International Code for Ships Operating in Polar Waters (Polar Code)</x:v>
      </x:c>
      <x:c r="C102" s="47" t="str">
        <x:v>Resolution MSC.385(94), adopted 21 Nov 2014; consolidated with MEPC.264(68), adopted 15 May 2015</x:v>
      </x:c>
      <x:c r="D102" s="59" t="n">
        <x:v>22</x:v>
      </x:c>
      <x:c r="E102" s="47" t="str">
        <x:v>7.2.1.1</x:v>
      </x:c>
      <x:c r="F102" s="47" t="str">
        <x:v>Static</x:v>
      </x:c>
      <x:c r="G102" s="48" t="str">
        <x:v>Stage 2 candidate - direct/deterministic</x:v>
      </x:c>
      <x:c r="H102" s="47" t="str">
        <x:v>High</x:v>
      </x:c>
      <x:c r="I102" s="47" t="str">
        <x:v>No</x:v>
      </x:c>
      <x:c r="J102" s="47" t="str">
        <x:v>ELIGIBLE</x:v>
      </x:c>
      <x:c r="K102" s="47" t="str">
        <x:v>NOT_RUN</x:v>
      </x:c>
    </x:row>
    <x:row r="103">
      <x:c r="A103" s="47" t="str">
        <x:v>IMO-051</x:v>
      </x:c>
      <x:c r="B103" s="48" t="str">
        <x:v>International Code for Ships Operating in Polar Waters (Polar Code)</x:v>
      </x:c>
      <x:c r="C103" s="47" t="str">
        <x:v>Resolution MSC.385(94), adopted 21 Nov 2014; consolidated with MEPC.264(68), adopted 15 May 2015</x:v>
      </x:c>
      <x:c r="D103" s="59" t="n">
        <x:v>22</x:v>
      </x:c>
      <x:c r="E103" s="47" t="str">
        <x:v>7.2.1.2</x:v>
      </x:c>
      <x:c r="F103" s="47" t="str">
        <x:v>Static</x:v>
      </x:c>
      <x:c r="G103" s="48" t="str">
        <x:v>Stage 2 candidate - direct/deterministic</x:v>
      </x:c>
      <x:c r="H103" s="47" t="str">
        <x:v>High</x:v>
      </x:c>
      <x:c r="I103" s="47" t="str">
        <x:v>No</x:v>
      </x:c>
      <x:c r="J103" s="47" t="str">
        <x:v>ELIGIBLE</x:v>
      </x:c>
      <x:c r="K103" s="47" t="str">
        <x:v>NOT_RUN</x:v>
      </x:c>
    </x:row>
    <x:row r="104">
      <x:c r="A104" s="47" t="str">
        <x:v>IMO-052</x:v>
      </x:c>
      <x:c r="B104" s="48" t="str">
        <x:v>International Code for Ships Operating in Polar Waters (Polar Code)</x:v>
      </x:c>
      <x:c r="C104" s="47" t="str">
        <x:v>Resolution MSC.385(94), adopted 21 Nov 2014; consolidated with MEPC.264(68), adopted 15 May 2015</x:v>
      </x:c>
      <x:c r="D104" s="59" t="n">
        <x:v>22</x:v>
      </x:c>
      <x:c r="E104" s="47" t="str">
        <x:v>7.2.1.4</x:v>
      </x:c>
      <x:c r="F104" s="47" t="str">
        <x:v>Static</x:v>
      </x:c>
      <x:c r="G104" s="48" t="str">
        <x:v>Stage 2 candidate - direct/deterministic</x:v>
      </x:c>
      <x:c r="H104" s="47" t="str">
        <x:v>High</x:v>
      </x:c>
      <x:c r="I104" s="47" t="str">
        <x:v>No</x:v>
      </x:c>
      <x:c r="J104" s="47" t="str">
        <x:v>ELIGIBLE</x:v>
      </x:c>
      <x:c r="K104" s="47" t="str">
        <x:v>NOT_RUN</x:v>
      </x:c>
    </x:row>
    <x:row r="105">
      <x:c r="A105" s="47" t="str">
        <x:v>IMO-053</x:v>
      </x:c>
      <x:c r="B105" s="48" t="str">
        <x:v>International Code for Ships Operating in Polar Waters (Polar Code)</x:v>
      </x:c>
      <x:c r="C105" s="47" t="str">
        <x:v>Resolution MSC.385(94), adopted 21 Nov 2014; consolidated with MEPC.264(68), adopted 15 May 2015</x:v>
      </x:c>
      <x:c r="D105" s="59" t="n">
        <x:v>22</x:v>
      </x:c>
      <x:c r="E105" s="47" t="str">
        <x:v>7.2.1.5</x:v>
      </x:c>
      <x:c r="F105" s="47" t="str">
        <x:v>Static</x:v>
      </x:c>
      <x:c r="G105" s="48" t="str">
        <x:v>Stage 2 candidate - direct/deterministic</x:v>
      </x:c>
      <x:c r="H105" s="47" t="str">
        <x:v>Medium</x:v>
      </x:c>
      <x:c r="I105" s="47" t="str">
        <x:v>No</x:v>
      </x:c>
      <x:c r="J105" s="47" t="str">
        <x:v>ELIGIBLE</x:v>
      </x:c>
      <x:c r="K105" s="47" t="str">
        <x:v>NOT_RUN</x:v>
      </x:c>
    </x:row>
    <x:row r="106">
      <x:c r="A106" s="47" t="str">
        <x:v>IMO-054</x:v>
      </x:c>
      <x:c r="B106" s="48" t="str">
        <x:v>International Code for Ships Operating in Polar Waters (Polar Code)</x:v>
      </x:c>
      <x:c r="C106" s="47" t="str">
        <x:v>Resolution MSC.385(94), adopted 21 Nov 2014; consolidated with MEPC.264(68), adopted 15 May 2015</x:v>
      </x:c>
      <x:c r="D106" s="59" t="n">
        <x:v>22</x:v>
      </x:c>
      <x:c r="E106" s="47" t="str">
        <x:v>7.2.2.1</x:v>
      </x:c>
      <x:c r="F106" s="47" t="str">
        <x:v>Physical Test</x:v>
      </x:c>
      <x:c r="G106" s="48" t="str">
        <x:v>Evidence-only - physical result not inferred by SHACL</x:v>
      </x:c>
      <x:c r="H106" s="47" t="str">
        <x:v>Medium</x:v>
      </x:c>
      <x:c r="I106" s="47" t="str">
        <x:v>No</x:v>
      </x:c>
      <x:c r="J106" s="47" t="str">
        <x:v>DEFERRED</x:v>
      </x:c>
      <x:c r="K106" s="47" t="str">
        <x:v>NOT_RUN</x:v>
      </x:c>
    </x:row>
    <x:row r="107">
      <x:c r="A107" s="47" t="str">
        <x:v>IMO-055</x:v>
      </x:c>
      <x:c r="B107" s="48" t="str">
        <x:v>International Code for Ships Operating in Polar Waters (Polar Code)</x:v>
      </x:c>
      <x:c r="C107" s="47" t="str">
        <x:v>Resolution MSC.385(94), adopted 21 Nov 2014; consolidated with MEPC.264(68), adopted 15 May 2015</x:v>
      </x:c>
      <x:c r="D107" s="59" t="n">
        <x:v>22</x:v>
      </x:c>
      <x:c r="E107" s="47" t="str">
        <x:v>7.3.1.1</x:v>
      </x:c>
      <x:c r="F107" s="47" t="str">
        <x:v>Static</x:v>
      </x:c>
      <x:c r="G107" s="48" t="str">
        <x:v>Stage 2 candidate - direct/deterministic</x:v>
      </x:c>
      <x:c r="H107" s="47" t="str">
        <x:v>High</x:v>
      </x:c>
      <x:c r="I107" s="47" t="str">
        <x:v>No</x:v>
      </x:c>
      <x:c r="J107" s="47" t="str">
        <x:v>ELIGIBLE</x:v>
      </x:c>
      <x:c r="K107" s="47" t="str">
        <x:v>NOT_RUN</x:v>
      </x:c>
    </x:row>
    <x:row r="108">
      <x:c r="A108" s="47" t="str">
        <x:v>IMO-056</x:v>
      </x:c>
      <x:c r="B108" s="48" t="str">
        <x:v>International Code for Ships Operating in Polar Waters (Polar Code)</x:v>
      </x:c>
      <x:c r="C108" s="47" t="str">
        <x:v>Resolution MSC.385(94), adopted 21 Nov 2014; consolidated with MEPC.264(68), adopted 15 May 2015</x:v>
      </x:c>
      <x:c r="D108" s="59" t="n">
        <x:v>22</x:v>
      </x:c>
      <x:c r="E108" s="47" t="str">
        <x:v>7.3.1.2</x:v>
      </x:c>
      <x:c r="F108" s="47" t="str">
        <x:v>Physical Test</x:v>
      </x:c>
      <x:c r="G108" s="48" t="str">
        <x:v>Evidence-only - physical result not inferred by SHACL</x:v>
      </x:c>
      <x:c r="H108" s="47" t="str">
        <x:v>Medium</x:v>
      </x:c>
      <x:c r="I108" s="47" t="str">
        <x:v>No</x:v>
      </x:c>
      <x:c r="J108" s="47" t="str">
        <x:v>DEFERRED</x:v>
      </x:c>
      <x:c r="K108" s="47" t="str">
        <x:v>NOT_RUN</x:v>
      </x:c>
    </x:row>
    <x:row r="109">
      <x:c r="A109" s="47" t="str">
        <x:v>IMO-057</x:v>
      </x:c>
      <x:c r="B109" s="48" t="str">
        <x:v>International Code for Ships Operating in Polar Waters (Polar Code)</x:v>
      </x:c>
      <x:c r="C109" s="47" t="str">
        <x:v>Resolution MSC.385(94), adopted 21 Nov 2014; consolidated with MEPC.264(68), adopted 15 May 2015</x:v>
      </x:c>
      <x:c r="D109" s="59" t="n">
        <x:v>22</x:v>
      </x:c>
      <x:c r="E109" s="47" t="str">
        <x:v>7.3.2.1</x:v>
      </x:c>
      <x:c r="F109" s="47" t="str">
        <x:v>Static</x:v>
      </x:c>
      <x:c r="G109" s="48" t="str">
        <x:v>Stage 2 candidate - direct/deterministic</x:v>
      </x:c>
      <x:c r="H109" s="47" t="str">
        <x:v>High</x:v>
      </x:c>
      <x:c r="I109" s="47" t="str">
        <x:v>No</x:v>
      </x:c>
      <x:c r="J109" s="47" t="str">
        <x:v>ELIGIBLE</x:v>
      </x:c>
      <x:c r="K109" s="47" t="str">
        <x:v>NOT_RUN</x:v>
      </x:c>
    </x:row>
    <x:row r="110">
      <x:c r="A110" s="47" t="str">
        <x:v>IMO-058</x:v>
      </x:c>
      <x:c r="B110" s="48" t="str">
        <x:v>International Code for Ships Operating in Polar Waters (Polar Code)</x:v>
      </x:c>
      <x:c r="C110" s="47" t="str">
        <x:v>Resolution MSC.385(94), adopted 21 Nov 2014; consolidated with MEPC.264(68), adopted 15 May 2015</x:v>
      </x:c>
      <x:c r="D110" s="59" t="n">
        <x:v>22</x:v>
      </x:c>
      <x:c r="E110" s="47" t="str">
        <x:v>7.3.2.2</x:v>
      </x:c>
      <x:c r="F110" s="47" t="str">
        <x:v>Static</x:v>
      </x:c>
      <x:c r="G110" s="48" t="str">
        <x:v>Stage 2 candidate - direct/deterministic</x:v>
      </x:c>
      <x:c r="H110" s="47" t="str">
        <x:v>High</x:v>
      </x:c>
      <x:c r="I110" s="47" t="str">
        <x:v>No</x:v>
      </x:c>
      <x:c r="J110" s="47" t="str">
        <x:v>ELIGIBLE</x:v>
      </x:c>
      <x:c r="K110" s="47" t="str">
        <x:v>NOT_RUN</x:v>
      </x:c>
    </x:row>
    <x:row r="111">
      <x:c r="A111" s="47" t="str">
        <x:v>IMO-059</x:v>
      </x:c>
      <x:c r="B111" s="48" t="str">
        <x:v>International Code for Ships Operating in Polar Waters (Polar Code)</x:v>
      </x:c>
      <x:c r="C111" s="47" t="str">
        <x:v>Resolution MSC.385(94), adopted 21 Nov 2014; consolidated with MEPC.264(68), adopted 15 May 2015</x:v>
      </x:c>
      <x:c r="D111" s="59" t="n">
        <x:v>22</x:v>
      </x:c>
      <x:c r="E111" s="47" t="str">
        <x:v>7.3.2.3</x:v>
      </x:c>
      <x:c r="F111" s="47" t="str">
        <x:v>Static</x:v>
      </x:c>
      <x:c r="G111" s="48" t="str">
        <x:v>Stage 2 candidate - direct/deterministic</x:v>
      </x:c>
      <x:c r="H111" s="47" t="str">
        <x:v>High</x:v>
      </x:c>
      <x:c r="I111" s="47" t="str">
        <x:v>No</x:v>
      </x:c>
      <x:c r="J111" s="47" t="str">
        <x:v>ELIGIBLE</x:v>
      </x:c>
      <x:c r="K111" s="47" t="str">
        <x:v>NOT_RUN</x:v>
      </x:c>
    </x:row>
    <x:row r="112">
      <x:c r="A112" s="47" t="str">
        <x:v>IMO-060</x:v>
      </x:c>
      <x:c r="B112" s="48" t="str">
        <x:v>International Code for Ships Operating in Polar Waters (Polar Code)</x:v>
      </x:c>
      <x:c r="C112" s="47" t="str">
        <x:v>Resolution MSC.385(94), adopted 21 Nov 2014; consolidated with MEPC.264(68), adopted 15 May 2015</x:v>
      </x:c>
      <x:c r="D112" s="59" t="n">
        <x:v>22</x:v>
      </x:c>
      <x:c r="E112" s="47" t="str">
        <x:v>7.3.2.4</x:v>
      </x:c>
      <x:c r="F112" s="47" t="str">
        <x:v>Static</x:v>
      </x:c>
      <x:c r="G112" s="48" t="str">
        <x:v>Stage 2 candidate - direct/deterministic</x:v>
      </x:c>
      <x:c r="H112" s="47" t="str">
        <x:v>High</x:v>
      </x:c>
      <x:c r="I112" s="47" t="str">
        <x:v>No</x:v>
      </x:c>
      <x:c r="J112" s="47" t="str">
        <x:v>ELIGIBLE</x:v>
      </x:c>
      <x:c r="K112" s="47" t="str">
        <x:v>NOT_RUN</x:v>
      </x:c>
    </x:row>
    <x:row r="113">
      <x:c r="A113" s="47" t="str">
        <x:v>IMO-061</x:v>
      </x:c>
      <x:c r="B113" s="48" t="str">
        <x:v>International Code for Ships Operating in Polar Waters (Polar Code)</x:v>
      </x:c>
      <x:c r="C113" s="47" t="str">
        <x:v>Resolution MSC.385(94), adopted 21 Nov 2014; consolidated with MEPC.264(68), adopted 15 May 2015</x:v>
      </x:c>
      <x:c r="D113" s="59" t="n">
        <x:v>23</x:v>
      </x:c>
      <x:c r="E113" s="47" t="str">
        <x:v>7.3.3.1</x:v>
      </x:c>
      <x:c r="F113" s="47" t="str">
        <x:v>Physical Test</x:v>
      </x:c>
      <x:c r="G113" s="48" t="str">
        <x:v>Evidence-only - physical result not inferred by SHACL</x:v>
      </x:c>
      <x:c r="H113" s="47" t="str">
        <x:v>Medium</x:v>
      </x:c>
      <x:c r="I113" s="47" t="str">
        <x:v>No</x:v>
      </x:c>
      <x:c r="J113" s="47" t="str">
        <x:v>DEFERRED</x:v>
      </x:c>
      <x:c r="K113" s="47" t="str">
        <x:v>NOT_RUN</x:v>
      </x:c>
    </x:row>
    <x:row r="114">
      <x:c r="A114" s="47" t="str">
        <x:v>IMO-062</x:v>
      </x:c>
      <x:c r="B114" s="48" t="str">
        <x:v>International Code for Ships Operating in Polar Waters (Polar Code)</x:v>
      </x:c>
      <x:c r="C114" s="47" t="str">
        <x:v>Resolution MSC.385(94), adopted 21 Nov 2014; consolidated with MEPC.264(68), adopted 15 May 2015</x:v>
      </x:c>
      <x:c r="D114" s="59" t="n">
        <x:v>23</x:v>
      </x:c>
      <x:c r="E114" s="47" t="str">
        <x:v>8.2.1.1</x:v>
      </x:c>
      <x:c r="F114" s="47" t="str">
        <x:v>Static</x:v>
      </x:c>
      <x:c r="G114" s="48" t="str">
        <x:v>Stage 2 candidate - direct/deterministic</x:v>
      </x:c>
      <x:c r="H114" s="47" t="str">
        <x:v>Medium</x:v>
      </x:c>
      <x:c r="I114" s="47" t="str">
        <x:v>No</x:v>
      </x:c>
      <x:c r="J114" s="47" t="str">
        <x:v>ELIGIBLE</x:v>
      </x:c>
      <x:c r="K114" s="47" t="str">
        <x:v>NOT_RUN</x:v>
      </x:c>
    </x:row>
    <x:row r="115">
      <x:c r="A115" s="47" t="str">
        <x:v>IMO-063</x:v>
      </x:c>
      <x:c r="B115" s="48" t="str">
        <x:v>International Code for Ships Operating in Polar Waters (Polar Code)</x:v>
      </x:c>
      <x:c r="C115" s="47" t="str">
        <x:v>Resolution MSC.385(94), adopted 21 Nov 2014; consolidated with MEPC.264(68), adopted 15 May 2015</x:v>
      </x:c>
      <x:c r="D115" s="59" t="n">
        <x:v>23</x:v>
      </x:c>
      <x:c r="E115" s="47" t="str">
        <x:v>8.2.2</x:v>
      </x:c>
      <x:c r="F115" s="47" t="str">
        <x:v>Physical Test</x:v>
      </x:c>
      <x:c r="G115" s="48" t="str">
        <x:v>Evidence-only - physical result not inferred by SHACL</x:v>
      </x:c>
      <x:c r="H115" s="47" t="str">
        <x:v>Medium</x:v>
      </x:c>
      <x:c r="I115" s="47" t="str">
        <x:v>No</x:v>
      </x:c>
      <x:c r="J115" s="47" t="str">
        <x:v>DEFERRED</x:v>
      </x:c>
      <x:c r="K115" s="47" t="str">
        <x:v>NOT_RUN</x:v>
      </x:c>
    </x:row>
    <x:row r="116">
      <x:c r="A116" s="47" t="str">
        <x:v>IMO-064</x:v>
      </x:c>
      <x:c r="B116" s="48" t="str">
        <x:v>International Code for Ships Operating in Polar Waters (Polar Code)</x:v>
      </x:c>
      <x:c r="C116" s="47" t="str">
        <x:v>Resolution MSC.385(94), adopted 21 Nov 2014; consolidated with MEPC.264(68), adopted 15 May 2015</x:v>
      </x:c>
      <x:c r="D116" s="59" t="n">
        <x:v>23</x:v>
      </x:c>
      <x:c r="E116" s="47" t="str">
        <x:v>8.2.3.1</x:v>
      </x:c>
      <x:c r="F116" s="47" t="str">
        <x:v>Static</x:v>
      </x:c>
      <x:c r="G116" s="48" t="str">
        <x:v>Stage 2 candidate - direct/deterministic</x:v>
      </x:c>
      <x:c r="H116" s="47" t="str">
        <x:v>Medium</x:v>
      </x:c>
      <x:c r="I116" s="47" t="str">
        <x:v>No</x:v>
      </x:c>
      <x:c r="J116" s="47" t="str">
        <x:v>ELIGIBLE</x:v>
      </x:c>
      <x:c r="K116" s="47" t="str">
        <x:v>NOT_RUN</x:v>
      </x:c>
    </x:row>
    <x:row r="117">
      <x:c r="A117" s="47" t="str">
        <x:v>IMO-065</x:v>
      </x:c>
      <x:c r="B117" s="48" t="str">
        <x:v>International Code for Ships Operating in Polar Waters (Polar Code)</x:v>
      </x:c>
      <x:c r="C117" s="47" t="str">
        <x:v>Resolution MSC.385(94), adopted 21 Nov 2014; consolidated with MEPC.264(68), adopted 15 May 2015</x:v>
      </x:c>
      <x:c r="D117" s="59" t="str">
        <x:v>23-24</x:v>
      </x:c>
      <x:c r="E117" s="47" t="str">
        <x:v>8.2.3.3</x:v>
      </x:c>
      <x:c r="F117" s="47" t="str">
        <x:v>Static</x:v>
      </x:c>
      <x:c r="G117" s="48" t="str">
        <x:v>Stage 2 candidate - direct static</x:v>
      </x:c>
      <x:c r="H117" s="47" t="str">
        <x:v>Direct static</x:v>
      </x:c>
      <x:c r="I117" s="47" t="str">
        <x:v>No</x:v>
      </x:c>
      <x:c r="J117" s="47" t="str">
        <x:v>ELIGIBLE</x:v>
      </x:c>
      <x:c r="K117" s="47" t="str">
        <x:v>NOT_RUN</x:v>
      </x:c>
    </x:row>
    <x:row r="118">
      <x:c r="A118" s="47" t="str">
        <x:v>IMO-066</x:v>
      </x:c>
      <x:c r="B118" s="48" t="str">
        <x:v>International Code for Ships Operating in Polar Waters (Polar Code)</x:v>
      </x:c>
      <x:c r="C118" s="47" t="str">
        <x:v>Resolution MSC.385(94), adopted 21 Nov 2014; consolidated with MEPC.264(68), adopted 15 May 2015</x:v>
      </x:c>
      <x:c r="D118" s="59" t="n">
        <x:v>24</x:v>
      </x:c>
      <x:c r="E118" s="47" t="str">
        <x:v>8.3.1.1</x:v>
      </x:c>
      <x:c r="F118" s="47" t="str">
        <x:v>Static</x:v>
      </x:c>
      <x:c r="G118" s="48" t="str">
        <x:v>Stage 2 candidate - direct/deterministic</x:v>
      </x:c>
      <x:c r="H118" s="47" t="str">
        <x:v>High</x:v>
      </x:c>
      <x:c r="I118" s="47" t="str">
        <x:v>No</x:v>
      </x:c>
      <x:c r="J118" s="47" t="str">
        <x:v>ELIGIBLE</x:v>
      </x:c>
      <x:c r="K118" s="47" t="str">
        <x:v>NOT_RUN</x:v>
      </x:c>
    </x:row>
    <x:row r="119">
      <x:c r="A119" s="47" t="str">
        <x:v>IMO-067</x:v>
      </x:c>
      <x:c r="B119" s="48" t="str">
        <x:v>International Code for Ships Operating in Polar Waters (Polar Code)</x:v>
      </x:c>
      <x:c r="C119" s="47" t="str">
        <x:v>Resolution MSC.385(94), adopted 21 Nov 2014; consolidated with MEPC.264(68), adopted 15 May 2015</x:v>
      </x:c>
      <x:c r="D119" s="59" t="n">
        <x:v>24</x:v>
      </x:c>
      <x:c r="E119" s="47" t="str">
        <x:v>8.3.1.2</x:v>
      </x:c>
      <x:c r="F119" s="47" t="str">
        <x:v>Physical Test</x:v>
      </x:c>
      <x:c r="G119" s="48" t="str">
        <x:v>Evidence-only - physical result not inferred by SHACL</x:v>
      </x:c>
      <x:c r="H119" s="47" t="str">
        <x:v>Medium</x:v>
      </x:c>
      <x:c r="I119" s="47" t="str">
        <x:v>No</x:v>
      </x:c>
      <x:c r="J119" s="47" t="str">
        <x:v>DEFERRED</x:v>
      </x:c>
      <x:c r="K119" s="47" t="str">
        <x:v>NOT_RUN</x:v>
      </x:c>
    </x:row>
    <x:row r="120">
      <x:c r="A120" s="47" t="str">
        <x:v>IMO-068</x:v>
      </x:c>
      <x:c r="B120" s="48" t="str">
        <x:v>International Code for Ships Operating in Polar Waters (Polar Code)</x:v>
      </x:c>
      <x:c r="C120" s="47" t="str">
        <x:v>Resolution MSC.385(94), adopted 21 Nov 2014; consolidated with MEPC.264(68), adopted 15 May 2015</x:v>
      </x:c>
      <x:c r="D120" s="59" t="n">
        <x:v>24</x:v>
      </x:c>
      <x:c r="E120" s="47" t="str">
        <x:v>8.3.2.1</x:v>
      </x:c>
      <x:c r="F120" s="47" t="str">
        <x:v>Static</x:v>
      </x:c>
      <x:c r="G120" s="48" t="str">
        <x:v>Stage 2 candidate - direct static</x:v>
      </x:c>
      <x:c r="H120" s="47" t="str">
        <x:v>Direct static</x:v>
      </x:c>
      <x:c r="I120" s="47" t="str">
        <x:v>No</x:v>
      </x:c>
      <x:c r="J120" s="47" t="str">
        <x:v>ELIGIBLE</x:v>
      </x:c>
      <x:c r="K120" s="47" t="str">
        <x:v>NOT_RUN</x:v>
      </x:c>
    </x:row>
    <x:row r="121">
      <x:c r="A121" s="47" t="str">
        <x:v>IMO-069</x:v>
      </x:c>
      <x:c r="B121" s="48" t="str">
        <x:v>International Code for Ships Operating in Polar Waters (Polar Code)</x:v>
      </x:c>
      <x:c r="C121" s="47" t="str">
        <x:v>Resolution MSC.385(94), adopted 21 Nov 2014; consolidated with MEPC.264(68), adopted 15 May 2015</x:v>
      </x:c>
      <x:c r="D121" s="59" t="n">
        <x:v>24</x:v>
      </x:c>
      <x:c r="E121" s="47" t="str">
        <x:v>8.3.2.2</x:v>
      </x:c>
      <x:c r="F121" s="47" t="str">
        <x:v>Static</x:v>
      </x:c>
      <x:c r="G121" s="48" t="str">
        <x:v>Stage 2 candidate - direct/deterministic</x:v>
      </x:c>
      <x:c r="H121" s="47" t="str">
        <x:v>High</x:v>
      </x:c>
      <x:c r="I121" s="47" t="str">
        <x:v>No</x:v>
      </x:c>
      <x:c r="J121" s="47" t="str">
        <x:v>ELIGIBLE</x:v>
      </x:c>
      <x:c r="K121" s="47" t="str">
        <x:v>NOT_RUN</x:v>
      </x:c>
    </x:row>
    <x:row r="122">
      <x:c r="A122" s="47" t="str">
        <x:v>IMO-070</x:v>
      </x:c>
      <x:c r="B122" s="48" t="str">
        <x:v>International Code for Ships Operating in Polar Waters (Polar Code)</x:v>
      </x:c>
      <x:c r="C122" s="47" t="str">
        <x:v>Resolution MSC.385(94), adopted 21 Nov 2014; consolidated with MEPC.264(68), adopted 15 May 2015</x:v>
      </x:c>
      <x:c r="D122" s="59" t="n">
        <x:v>24</x:v>
      </x:c>
      <x:c r="E122" s="47" t="str">
        <x:v>8.3.3.1.1</x:v>
      </x:c>
      <x:c r="F122" s="47" t="str">
        <x:v>Static</x:v>
      </x:c>
      <x:c r="G122" s="48" t="str">
        <x:v>Stage 2 candidate - direct/deterministic</x:v>
      </x:c>
      <x:c r="H122" s="47" t="str">
        <x:v>High</x:v>
      </x:c>
      <x:c r="I122" s="47" t="str">
        <x:v>No</x:v>
      </x:c>
      <x:c r="J122" s="47" t="str">
        <x:v>ELIGIBLE</x:v>
      </x:c>
      <x:c r="K122" s="47" t="str">
        <x:v>NOT_RUN</x:v>
      </x:c>
    </x:row>
    <x:row r="123">
      <x:c r="A123" s="47" t="str">
        <x:v>IMO-071</x:v>
      </x:c>
      <x:c r="B123" s="48" t="str">
        <x:v>International Code for Ships Operating in Polar Waters (Polar Code)</x:v>
      </x:c>
      <x:c r="C123" s="47" t="str">
        <x:v>Resolution MSC.385(94), adopted 21 Nov 2014; consolidated with MEPC.264(68), adopted 15 May 2015</x:v>
      </x:c>
      <x:c r="D123" s="59" t="n">
        <x:v>24</x:v>
      </x:c>
      <x:c r="E123" s="47" t="str">
        <x:v>8.3.3.1.2</x:v>
      </x:c>
      <x:c r="F123" s="47" t="str">
        <x:v>Static</x:v>
      </x:c>
      <x:c r="G123" s="48" t="str">
        <x:v>Stage 2 candidate - direct/deterministic</x:v>
      </x:c>
      <x:c r="H123" s="47" t="str">
        <x:v>High</x:v>
      </x:c>
      <x:c r="I123" s="47" t="str">
        <x:v>No</x:v>
      </x:c>
      <x:c r="J123" s="47" t="str">
        <x:v>ELIGIBLE</x:v>
      </x:c>
      <x:c r="K123" s="47" t="str">
        <x:v>NOT_RUN</x:v>
      </x:c>
    </x:row>
    <x:row r="124">
      <x:c r="A124" s="47" t="str">
        <x:v>IMO-072</x:v>
      </x:c>
      <x:c r="B124" s="48" t="str">
        <x:v>International Code for Ships Operating in Polar Waters (Polar Code)</x:v>
      </x:c>
      <x:c r="C124" s="47" t="str">
        <x:v>Resolution MSC.385(94), adopted 21 Nov 2014; consolidated with MEPC.264(68), adopted 15 May 2015</x:v>
      </x:c>
      <x:c r="D124" s="59" t="n">
        <x:v>25</x:v>
      </x:c>
      <x:c r="E124" s="47" t="str">
        <x:v>8.3.3.2</x:v>
      </x:c>
      <x:c r="F124" s="47" t="str">
        <x:v>Static</x:v>
      </x:c>
      <x:c r="G124" s="48" t="str">
        <x:v>Stage 2 candidate - direct/deterministic</x:v>
      </x:c>
      <x:c r="H124" s="47" t="str">
        <x:v>High</x:v>
      </x:c>
      <x:c r="I124" s="47" t="str">
        <x:v>No</x:v>
      </x:c>
      <x:c r="J124" s="47" t="str">
        <x:v>ELIGIBLE</x:v>
      </x:c>
      <x:c r="K124" s="47" t="str">
        <x:v>NOT_RUN</x:v>
      </x:c>
    </x:row>
    <x:row r="125">
      <x:c r="A125" s="47" t="str">
        <x:v>IMO-073</x:v>
      </x:c>
      <x:c r="B125" s="48" t="str">
        <x:v>International Code for Ships Operating in Polar Waters (Polar Code)</x:v>
      </x:c>
      <x:c r="C125" s="47" t="str">
        <x:v>Resolution MSC.385(94), adopted 21 Nov 2014; consolidated with MEPC.264(68), adopted 15 May 2015</x:v>
      </x:c>
      <x:c r="D125" s="59" t="n">
        <x:v>25</x:v>
      </x:c>
      <x:c r="E125" s="47" t="str">
        <x:v>8.3.3.3.1</x:v>
      </x:c>
      <x:c r="F125" s="47" t="str">
        <x:v>Static</x:v>
      </x:c>
      <x:c r="G125" s="48" t="str">
        <x:v>Stage 2 candidate - direct/deterministic</x:v>
      </x:c>
      <x:c r="H125" s="47" t="str">
        <x:v>High</x:v>
      </x:c>
      <x:c r="I125" s="47" t="str">
        <x:v>No</x:v>
      </x:c>
      <x:c r="J125" s="47" t="str">
        <x:v>ELIGIBLE</x:v>
      </x:c>
      <x:c r="K125" s="47" t="str">
        <x:v>NOT_RUN</x:v>
      </x:c>
    </x:row>
    <x:row r="126">
      <x:c r="A126" s="47" t="str">
        <x:v>IMO-074</x:v>
      </x:c>
      <x:c r="B126" s="48" t="str">
        <x:v>International Code for Ships Operating in Polar Waters (Polar Code)</x:v>
      </x:c>
      <x:c r="C126" s="47" t="str">
        <x:v>Resolution MSC.385(94), adopted 21 Nov 2014; consolidated with MEPC.264(68), adopted 15 May 2015</x:v>
      </x:c>
      <x:c r="D126" s="59" t="n">
        <x:v>25</x:v>
      </x:c>
      <x:c r="E126" s="47" t="str">
        <x:v>8.3.3.3.3.1</x:v>
      </x:c>
      <x:c r="F126" s="47" t="str">
        <x:v>Static</x:v>
      </x:c>
      <x:c r="G126" s="48" t="str">
        <x:v>Stage 2 candidate - direct/deterministic</x:v>
      </x:c>
      <x:c r="H126" s="47" t="str">
        <x:v>Medium</x:v>
      </x:c>
      <x:c r="I126" s="47" t="str">
        <x:v>No</x:v>
      </x:c>
      <x:c r="J126" s="47" t="str">
        <x:v>ELIGIBLE</x:v>
      </x:c>
      <x:c r="K126" s="47" t="str">
        <x:v>NOT_RUN</x:v>
      </x:c>
    </x:row>
    <x:row r="127">
      <x:c r="A127" s="47" t="str">
        <x:v>IMO-075</x:v>
      </x:c>
      <x:c r="B127" s="48" t="str">
        <x:v>International Code for Ships Operating in Polar Waters (Polar Code)</x:v>
      </x:c>
      <x:c r="C127" s="47" t="str">
        <x:v>Resolution MSC.385(94), adopted 21 Nov 2014; consolidated with MEPC.264(68), adopted 15 May 2015</x:v>
      </x:c>
      <x:c r="D127" s="59" t="n">
        <x:v>25</x:v>
      </x:c>
      <x:c r="E127" s="47" t="str">
        <x:v>8.3.3.3.3.2</x:v>
      </x:c>
      <x:c r="F127" s="47" t="str">
        <x:v>Static Calculation</x:v>
      </x:c>
      <x:c r="G127" s="48" t="str">
        <x:v>Stage 2 candidate - direct/deterministic</x:v>
      </x:c>
      <x:c r="H127" s="47" t="str">
        <x:v>High</x:v>
      </x:c>
      <x:c r="I127" s="47" t="str">
        <x:v>No</x:v>
      </x:c>
      <x:c r="J127" s="47" t="str">
        <x:v>ELIGIBLE</x:v>
      </x:c>
      <x:c r="K127" s="47" t="str">
        <x:v>NOT_RUN</x:v>
      </x:c>
    </x:row>
    <x:row r="128">
      <x:c r="A128" s="47" t="str">
        <x:v>IMO-076</x:v>
      </x:c>
      <x:c r="B128" s="48" t="str">
        <x:v>International Code for Ships Operating in Polar Waters (Polar Code)</x:v>
      </x:c>
      <x:c r="C128" s="47" t="str">
        <x:v>Resolution MSC.385(94), adopted 21 Nov 2014; consolidated with MEPC.264(68), adopted 15 May 2015</x:v>
      </x:c>
      <x:c r="D128" s="59" t="n">
        <x:v>25</x:v>
      </x:c>
      <x:c r="E128" s="47" t="str">
        <x:v>8.3.3.3.3.3</x:v>
      </x:c>
      <x:c r="F128" s="47" t="str">
        <x:v>Physical Test</x:v>
      </x:c>
      <x:c r="G128" s="48" t="str">
        <x:v>Evidence-only - physical result not inferred by SHACL</x:v>
      </x:c>
      <x:c r="H128" s="47" t="str">
        <x:v>Medium</x:v>
      </x:c>
      <x:c r="I128" s="47" t="str">
        <x:v>No</x:v>
      </x:c>
      <x:c r="J128" s="47" t="str">
        <x:v>DEFERRED</x:v>
      </x:c>
      <x:c r="K128" s="47" t="str">
        <x:v>NOT_RUN</x:v>
      </x:c>
    </x:row>
    <x:row r="129">
      <x:c r="A129" s="47" t="str">
        <x:v>IMO-077</x:v>
      </x:c>
      <x:c r="B129" s="48" t="str">
        <x:v>International Code for Ships Operating in Polar Waters (Polar Code)</x:v>
      </x:c>
      <x:c r="C129" s="47" t="str">
        <x:v>Resolution MSC.385(94), adopted 21 Nov 2014; consolidated with MEPC.264(68), adopted 15 May 2015</x:v>
      </x:c>
      <x:c r="D129" s="59" t="n">
        <x:v>25</x:v>
      </x:c>
      <x:c r="E129" s="47" t="str">
        <x:v>8.3.3.3.3.5</x:v>
      </x:c>
      <x:c r="F129" s="47" t="str">
        <x:v>Static Calculation</x:v>
      </x:c>
      <x:c r="G129" s="48" t="str">
        <x:v>Stage 2 candidate - direct/deterministic</x:v>
      </x:c>
      <x:c r="H129" s="47" t="str">
        <x:v>High</x:v>
      </x:c>
      <x:c r="I129" s="47" t="str">
        <x:v>No</x:v>
      </x:c>
      <x:c r="J129" s="47" t="str">
        <x:v>ELIGIBLE</x:v>
      </x:c>
      <x:c r="K129" s="47" t="str">
        <x:v>NOT_RUN</x:v>
      </x:c>
    </x:row>
    <x:row r="130">
      <x:c r="A130" s="47" t="str">
        <x:v>IMO-078</x:v>
      </x:c>
      <x:c r="B130" s="48" t="str">
        <x:v>International Code for Ships Operating in Polar Waters (Polar Code)</x:v>
      </x:c>
      <x:c r="C130" s="47" t="str">
        <x:v>Resolution MSC.385(94), adopted 21 Nov 2014; consolidated with MEPC.264(68), adopted 15 May 2015</x:v>
      </x:c>
      <x:c r="D130" s="59" t="n">
        <x:v>25</x:v>
      </x:c>
      <x:c r="E130" s="47" t="str">
        <x:v>8.3.3.3.3.6-.7</x:v>
      </x:c>
      <x:c r="F130" s="47" t="str">
        <x:v>Static</x:v>
      </x:c>
      <x:c r="G130" s="48" t="str">
        <x:v>Stage 2 candidate - direct/deterministic</x:v>
      </x:c>
      <x:c r="H130" s="47" t="str">
        <x:v>High</x:v>
      </x:c>
      <x:c r="I130" s="47" t="str">
        <x:v>No</x:v>
      </x:c>
      <x:c r="J130" s="47" t="str">
        <x:v>ELIGIBLE</x:v>
      </x:c>
      <x:c r="K130" s="47" t="str">
        <x:v>NOT_RUN</x:v>
      </x:c>
    </x:row>
    <x:row r="131">
      <x:c r="A131" s="47" t="str">
        <x:v>IMO-079</x:v>
      </x:c>
      <x:c r="B131" s="48" t="str">
        <x:v>International Code for Ships Operating in Polar Waters (Polar Code)</x:v>
      </x:c>
      <x:c r="C131" s="47" t="str">
        <x:v>Resolution MSC.385(94), adopted 21 Nov 2014; consolidated with MEPC.264(68), adopted 15 May 2015</x:v>
      </x:c>
      <x:c r="D131" s="59" t="n">
        <x:v>25</x:v>
      </x:c>
      <x:c r="E131" s="47" t="str">
        <x:v>8.3.3.4</x:v>
      </x:c>
      <x:c r="F131" s="47" t="str">
        <x:v>Static Calculation</x:v>
      </x:c>
      <x:c r="G131" s="48" t="str">
        <x:v>Stage 2 candidate - direct/deterministic</x:v>
      </x:c>
      <x:c r="H131" s="47" t="str">
        <x:v>High</x:v>
      </x:c>
      <x:c r="I131" s="47" t="str">
        <x:v>No</x:v>
      </x:c>
      <x:c r="J131" s="47" t="str">
        <x:v>ELIGIBLE</x:v>
      </x:c>
      <x:c r="K131" s="47" t="str">
        <x:v>NOT_RUN</x:v>
      </x:c>
    </x:row>
    <x:row r="132">
      <x:c r="A132" s="47" t="str">
        <x:v>IMO-080</x:v>
      </x:c>
      <x:c r="B132" s="48" t="str">
        <x:v>International Code for Ships Operating in Polar Waters (Polar Code)</x:v>
      </x:c>
      <x:c r="C132" s="47" t="str">
        <x:v>Resolution MSC.385(94), adopted 21 Nov 2014; consolidated with MEPC.264(68), adopted 15 May 2015</x:v>
      </x:c>
      <x:c r="D132" s="59" t="n">
        <x:v>26</x:v>
      </x:c>
      <x:c r="E132" s="47" t="str">
        <x:v>9.3.1</x:v>
      </x:c>
      <x:c r="F132" s="47" t="str">
        <x:v>Dynamic</x:v>
      </x:c>
      <x:c r="G132" s="48" t="str">
        <x:v>Deferred - observation/history/simulation design required</x:v>
      </x:c>
      <x:c r="H132" s="47" t="str">
        <x:v>Medium</x:v>
      </x:c>
      <x:c r="I132" s="47" t="str">
        <x:v>No</x:v>
      </x:c>
      <x:c r="J132" s="47" t="str">
        <x:v>DEFERRED</x:v>
      </x:c>
      <x:c r="K132" s="47" t="str">
        <x:v>NOT_RUN</x:v>
      </x:c>
    </x:row>
    <x:row r="133">
      <x:c r="A133" s="47" t="str">
        <x:v>IMO-081</x:v>
      </x:c>
      <x:c r="B133" s="48" t="str">
        <x:v>International Code for Ships Operating in Polar Waters (Polar Code)</x:v>
      </x:c>
      <x:c r="C133" s="47" t="str">
        <x:v>Resolution MSC.385(94), adopted 21 Nov 2014; consolidated with MEPC.264(68), adopted 15 May 2015</x:v>
      </x:c>
      <x:c r="D133" s="59" t="n">
        <x:v>26</x:v>
      </x:c>
      <x:c r="E133" s="47" t="str">
        <x:v>9.3.2.1.1</x:v>
      </x:c>
      <x:c r="F133" s="47" t="str">
        <x:v>Static</x:v>
      </x:c>
      <x:c r="G133" s="48" t="str">
        <x:v>Stage 2 candidate - direct/deterministic</x:v>
      </x:c>
      <x:c r="H133" s="47" t="str">
        <x:v>High</x:v>
      </x:c>
      <x:c r="I133" s="47" t="str">
        <x:v>No</x:v>
      </x:c>
      <x:c r="J133" s="47" t="str">
        <x:v>ELIGIBLE</x:v>
      </x:c>
      <x:c r="K133" s="47" t="str">
        <x:v>NOT_RUN</x:v>
      </x:c>
    </x:row>
    <x:row r="134">
      <x:c r="A134" s="47" t="str">
        <x:v>IMO-082</x:v>
      </x:c>
      <x:c r="B134" s="48" t="str">
        <x:v>International Code for Ships Operating in Polar Waters (Polar Code)</x:v>
      </x:c>
      <x:c r="C134" s="47" t="str">
        <x:v>Resolution MSC.385(94), adopted 21 Nov 2014; consolidated with MEPC.264(68), adopted 15 May 2015</x:v>
      </x:c>
      <x:c r="D134" s="59" t="n">
        <x:v>26</x:v>
      </x:c>
      <x:c r="E134" s="47" t="str">
        <x:v>9.3.2.1.2</x:v>
      </x:c>
      <x:c r="F134" s="47" t="str">
        <x:v>Static</x:v>
      </x:c>
      <x:c r="G134" s="48" t="str">
        <x:v>Stage 2 candidate - direct/deterministic</x:v>
      </x:c>
      <x:c r="H134" s="47" t="str">
        <x:v>Medium</x:v>
      </x:c>
      <x:c r="I134" s="47" t="str">
        <x:v>No</x:v>
      </x:c>
      <x:c r="J134" s="47" t="str">
        <x:v>ELIGIBLE</x:v>
      </x:c>
      <x:c r="K134" s="47" t="str">
        <x:v>NOT_RUN</x:v>
      </x:c>
    </x:row>
    <x:row r="135">
      <x:c r="A135" s="47" t="str">
        <x:v>IMO-083</x:v>
      </x:c>
      <x:c r="B135" s="48" t="str">
        <x:v>International Code for Ships Operating in Polar Waters (Polar Code)</x:v>
      </x:c>
      <x:c r="C135" s="47" t="str">
        <x:v>Resolution MSC.385(94), adopted 21 Nov 2014; consolidated with MEPC.264(68), adopted 15 May 2015</x:v>
      </x:c>
      <x:c r="D135" s="59" t="n">
        <x:v>27</x:v>
      </x:c>
      <x:c r="E135" s="47" t="str">
        <x:v>9.3.2.1.3</x:v>
      </x:c>
      <x:c r="F135" s="47" t="str">
        <x:v>Static</x:v>
      </x:c>
      <x:c r="G135" s="48" t="str">
        <x:v>Stage 2 candidate - direct/deterministic</x:v>
      </x:c>
      <x:c r="H135" s="47" t="str">
        <x:v>High</x:v>
      </x:c>
      <x:c r="I135" s="47" t="str">
        <x:v>No</x:v>
      </x:c>
      <x:c r="J135" s="47" t="str">
        <x:v>ELIGIBLE</x:v>
      </x:c>
      <x:c r="K135" s="47" t="str">
        <x:v>NOT_RUN</x:v>
      </x:c>
    </x:row>
    <x:row r="136">
      <x:c r="A136" s="47" t="str">
        <x:v>IMO-084</x:v>
      </x:c>
      <x:c r="B136" s="48" t="str">
        <x:v>International Code for Ships Operating in Polar Waters (Polar Code)</x:v>
      </x:c>
      <x:c r="C136" s="47" t="str">
        <x:v>Resolution MSC.385(94), adopted 21 Nov 2014; consolidated with MEPC.264(68), adopted 15 May 2015</x:v>
      </x:c>
      <x:c r="D136" s="59" t="n">
        <x:v>27</x:v>
      </x:c>
      <x:c r="E136" s="47" t="str">
        <x:v>9.3.2.1.4.1</x:v>
      </x:c>
      <x:c r="F136" s="47" t="str">
        <x:v>Static</x:v>
      </x:c>
      <x:c r="G136" s="48" t="str">
        <x:v>Stage 2 candidate - direct/deterministic</x:v>
      </x:c>
      <x:c r="H136" s="47" t="str">
        <x:v>High</x:v>
      </x:c>
      <x:c r="I136" s="47" t="str">
        <x:v>No</x:v>
      </x:c>
      <x:c r="J136" s="47" t="str">
        <x:v>ELIGIBLE</x:v>
      </x:c>
      <x:c r="K136" s="47" t="str">
        <x:v>NOT_RUN</x:v>
      </x:c>
    </x:row>
    <x:row r="137">
      <x:c r="A137" s="47" t="str">
        <x:v>IMO-085</x:v>
      </x:c>
      <x:c r="B137" s="48" t="str">
        <x:v>International Code for Ships Operating in Polar Waters (Polar Code)</x:v>
      </x:c>
      <x:c r="C137" s="47" t="str">
        <x:v>Resolution MSC.385(94), adopted 21 Nov 2014; consolidated with MEPC.264(68), adopted 15 May 2015</x:v>
      </x:c>
      <x:c r="D137" s="59" t="n">
        <x:v>27</x:v>
      </x:c>
      <x:c r="E137" s="47" t="str">
        <x:v>9.3.2.1.4.2</x:v>
      </x:c>
      <x:c r="F137" s="47" t="str">
        <x:v>Static</x:v>
      </x:c>
      <x:c r="G137" s="48" t="str">
        <x:v>Stage 2 candidate - direct/deterministic</x:v>
      </x:c>
      <x:c r="H137" s="47" t="str">
        <x:v>High</x:v>
      </x:c>
      <x:c r="I137" s="47" t="str">
        <x:v>No</x:v>
      </x:c>
      <x:c r="J137" s="47" t="str">
        <x:v>ELIGIBLE</x:v>
      </x:c>
      <x:c r="K137" s="47" t="str">
        <x:v>NOT_RUN</x:v>
      </x:c>
    </x:row>
    <x:row r="138">
      <x:c r="A138" s="47" t="str">
        <x:v>IMO-086</x:v>
      </x:c>
      <x:c r="B138" s="48" t="str">
        <x:v>International Code for Ships Operating in Polar Waters (Polar Code)</x:v>
      </x:c>
      <x:c r="C138" s="47" t="str">
        <x:v>Resolution MSC.385(94), adopted 21 Nov 2014; consolidated with MEPC.264(68), adopted 15 May 2015</x:v>
      </x:c>
      <x:c r="D138" s="59" t="n">
        <x:v>27</x:v>
      </x:c>
      <x:c r="E138" s="47" t="str">
        <x:v>9.3.2.2.1</x:v>
      </x:c>
      <x:c r="F138" s="47" t="str">
        <x:v>Static</x:v>
      </x:c>
      <x:c r="G138" s="48" t="str">
        <x:v>Stage 2 candidate - direct/deterministic</x:v>
      </x:c>
      <x:c r="H138" s="47" t="str">
        <x:v>High</x:v>
      </x:c>
      <x:c r="I138" s="47" t="str">
        <x:v>No</x:v>
      </x:c>
      <x:c r="J138" s="47" t="str">
        <x:v>ELIGIBLE</x:v>
      </x:c>
      <x:c r="K138" s="47" t="str">
        <x:v>NOT_RUN</x:v>
      </x:c>
    </x:row>
    <x:row r="139">
      <x:c r="A139" s="47" t="str">
        <x:v>IMO-087</x:v>
      </x:c>
      <x:c r="B139" s="48" t="str">
        <x:v>International Code for Ships Operating in Polar Waters (Polar Code)</x:v>
      </x:c>
      <x:c r="C139" s="47" t="str">
        <x:v>Resolution MSC.385(94), adopted 21 Nov 2014; consolidated with MEPC.264(68), adopted 15 May 2015</x:v>
      </x:c>
      <x:c r="D139" s="59" t="n">
        <x:v>27</x:v>
      </x:c>
      <x:c r="E139" s="47" t="str">
        <x:v>9.3.2.2.2</x:v>
      </x:c>
      <x:c r="F139" s="47" t="str">
        <x:v>Static</x:v>
      </x:c>
      <x:c r="G139" s="48" t="str">
        <x:v>Stage 2 candidate - direct/deterministic</x:v>
      </x:c>
      <x:c r="H139" s="47" t="str">
        <x:v>High</x:v>
      </x:c>
      <x:c r="I139" s="47" t="str">
        <x:v>No</x:v>
      </x:c>
      <x:c r="J139" s="47" t="str">
        <x:v>ELIGIBLE</x:v>
      </x:c>
      <x:c r="K139" s="47" t="str">
        <x:v>NOT_RUN</x:v>
      </x:c>
    </x:row>
    <x:row r="140">
      <x:c r="A140" s="47" t="str">
        <x:v>IMO-088</x:v>
      </x:c>
      <x:c r="B140" s="48" t="str">
        <x:v>International Code for Ships Operating in Polar Waters (Polar Code)</x:v>
      </x:c>
      <x:c r="C140" s="47" t="str">
        <x:v>Resolution MSC.385(94), adopted 21 Nov 2014; consolidated with MEPC.264(68), adopted 15 May 2015</x:v>
      </x:c>
      <x:c r="D140" s="59" t="n">
        <x:v>27</x:v>
      </x:c>
      <x:c r="E140" s="47" t="str">
        <x:v>9.3.3.1</x:v>
      </x:c>
      <x:c r="F140" s="47" t="str">
        <x:v>Static</x:v>
      </x:c>
      <x:c r="G140" s="48" t="str">
        <x:v>Stage 2 candidate - direct/deterministic</x:v>
      </x:c>
      <x:c r="H140" s="47" t="str">
        <x:v>High</x:v>
      </x:c>
      <x:c r="I140" s="47" t="str">
        <x:v>No</x:v>
      </x:c>
      <x:c r="J140" s="47" t="str">
        <x:v>ELIGIBLE</x:v>
      </x:c>
      <x:c r="K140" s="47" t="str">
        <x:v>NOT_RUN</x:v>
      </x:c>
    </x:row>
    <x:row r="141">
      <x:c r="A141" s="47" t="str">
        <x:v>IMO-089</x:v>
      </x:c>
      <x:c r="B141" s="48" t="str">
        <x:v>International Code for Ships Operating in Polar Waters (Polar Code)</x:v>
      </x:c>
      <x:c r="C141" s="47" t="str">
        <x:v>Resolution MSC.385(94), adopted 21 Nov 2014; consolidated with MEPC.264(68), adopted 15 May 2015</x:v>
      </x:c>
      <x:c r="D141" s="59" t="n">
        <x:v>27</x:v>
      </x:c>
      <x:c r="E141" s="47" t="str">
        <x:v>9.3.3.2</x:v>
      </x:c>
      <x:c r="F141" s="47" t="str">
        <x:v>Static</x:v>
      </x:c>
      <x:c r="G141" s="48" t="str">
        <x:v>Stage 2 candidate - direct/deterministic</x:v>
      </x:c>
      <x:c r="H141" s="47" t="str">
        <x:v>High</x:v>
      </x:c>
      <x:c r="I141" s="47" t="str">
        <x:v>No</x:v>
      </x:c>
      <x:c r="J141" s="47" t="str">
        <x:v>ELIGIBLE</x:v>
      </x:c>
      <x:c r="K141" s="47" t="str">
        <x:v>NOT_RUN</x:v>
      </x:c>
    </x:row>
    <x:row r="142">
      <x:c r="A142" s="47" t="str">
        <x:v>IMO-090</x:v>
      </x:c>
      <x:c r="B142" s="48" t="str">
        <x:v>International Code for Ships Operating in Polar Waters (Polar Code)</x:v>
      </x:c>
      <x:c r="C142" s="47" t="str">
        <x:v>Resolution MSC.385(94), adopted 21 Nov 2014; consolidated with MEPC.264(68), adopted 15 May 2015</x:v>
      </x:c>
      <x:c r="D142" s="59" t="n">
        <x:v>28</x:v>
      </x:c>
      <x:c r="E142" s="47" t="str">
        <x:v>10.2.1.1</x:v>
      </x:c>
      <x:c r="F142" s="47" t="str">
        <x:v>Dynamic</x:v>
      </x:c>
      <x:c r="G142" s="48" t="str">
        <x:v>Deferred - observation/history/simulation design required</x:v>
      </x:c>
      <x:c r="H142" s="47" t="str">
        <x:v>Medium</x:v>
      </x:c>
      <x:c r="I142" s="47" t="str">
        <x:v>No</x:v>
      </x:c>
      <x:c r="J142" s="47" t="str">
        <x:v>DEFERRED</x:v>
      </x:c>
      <x:c r="K142" s="47" t="str">
        <x:v>NOT_RUN</x:v>
      </x:c>
    </x:row>
    <x:row r="143">
      <x:c r="A143" s="47" t="str">
        <x:v>IMO-091</x:v>
      </x:c>
      <x:c r="B143" s="48" t="str">
        <x:v>International Code for Ships Operating in Polar Waters (Polar Code)</x:v>
      </x:c>
      <x:c r="C143" s="47" t="str">
        <x:v>Resolution MSC.385(94), adopted 21 Nov 2014; consolidated with MEPC.264(68), adopted 15 May 2015</x:v>
      </x:c>
      <x:c r="D143" s="59" t="n">
        <x:v>28</x:v>
      </x:c>
      <x:c r="E143" s="47" t="str">
        <x:v>10.2.1.3</x:v>
      </x:c>
      <x:c r="F143" s="47" t="str">
        <x:v>Static</x:v>
      </x:c>
      <x:c r="G143" s="48" t="str">
        <x:v>Stage 2 candidate - direct/deterministic</x:v>
      </x:c>
      <x:c r="H143" s="47" t="str">
        <x:v>High</x:v>
      </x:c>
      <x:c r="I143" s="47" t="str">
        <x:v>No</x:v>
      </x:c>
      <x:c r="J143" s="47" t="str">
        <x:v>ELIGIBLE</x:v>
      </x:c>
      <x:c r="K143" s="47" t="str">
        <x:v>NOT_RUN</x:v>
      </x:c>
    </x:row>
    <x:row r="144">
      <x:c r="A144" s="47" t="str">
        <x:v>IMO-092</x:v>
      </x:c>
      <x:c r="B144" s="48" t="str">
        <x:v>International Code for Ships Operating in Polar Waters (Polar Code)</x:v>
      </x:c>
      <x:c r="C144" s="47" t="str">
        <x:v>Resolution MSC.385(94), adopted 21 Nov 2014; consolidated with MEPC.264(68), adopted 15 May 2015</x:v>
      </x:c>
      <x:c r="D144" s="59" t="n">
        <x:v>28</x:v>
      </x:c>
      <x:c r="E144" s="47" t="str">
        <x:v>10.2.1.4</x:v>
      </x:c>
      <x:c r="F144" s="47" t="str">
        <x:v>Static</x:v>
      </x:c>
      <x:c r="G144" s="48" t="str">
        <x:v>Stage 2 candidate - direct/deterministic</x:v>
      </x:c>
      <x:c r="H144" s="47" t="str">
        <x:v>High</x:v>
      </x:c>
      <x:c r="I144" s="47" t="str">
        <x:v>No</x:v>
      </x:c>
      <x:c r="J144" s="47" t="str">
        <x:v>ELIGIBLE</x:v>
      </x:c>
      <x:c r="K144" s="47" t="str">
        <x:v>NOT_RUN</x:v>
      </x:c>
    </x:row>
    <x:row r="145">
      <x:c r="A145" s="47" t="str">
        <x:v>IMO-093</x:v>
      </x:c>
      <x:c r="B145" s="48" t="str">
        <x:v>International Code for Ships Operating in Polar Waters (Polar Code)</x:v>
      </x:c>
      <x:c r="C145" s="47" t="str">
        <x:v>Resolution MSC.385(94), adopted 21 Nov 2014; consolidated with MEPC.264(68), adopted 15 May 2015</x:v>
      </x:c>
      <x:c r="D145" s="59" t="n">
        <x:v>28</x:v>
      </x:c>
      <x:c r="E145" s="47" t="str">
        <x:v>10.2.2.3</x:v>
      </x:c>
      <x:c r="F145" s="47" t="str">
        <x:v>Physical Test</x:v>
      </x:c>
      <x:c r="G145" s="48" t="str">
        <x:v>Evidence-only - physical result not inferred by SHACL</x:v>
      </x:c>
      <x:c r="H145" s="47" t="str">
        <x:v>Medium</x:v>
      </x:c>
      <x:c r="I145" s="47" t="str">
        <x:v>No</x:v>
      </x:c>
      <x:c r="J145" s="47" t="str">
        <x:v>DEFERRED</x:v>
      </x:c>
      <x:c r="K145" s="47" t="str">
        <x:v>NOT_RUN</x:v>
      </x:c>
    </x:row>
    <x:row r="146">
      <x:c r="A146" s="47" t="str">
        <x:v>IMO-094</x:v>
      </x:c>
      <x:c r="B146" s="48" t="str">
        <x:v>International Code for Ships Operating in Polar Waters (Polar Code)</x:v>
      </x:c>
      <x:c r="C146" s="47" t="str">
        <x:v>Resolution MSC.385(94), adopted 21 Nov 2014; consolidated with MEPC.264(68), adopted 15 May 2015</x:v>
      </x:c>
      <x:c r="D146" s="59" t="n">
        <x:v>28</x:v>
      </x:c>
      <x:c r="E146" s="47" t="str">
        <x:v>10.3.1.2</x:v>
      </x:c>
      <x:c r="F146" s="47" t="str">
        <x:v>Static</x:v>
      </x:c>
      <x:c r="G146" s="48" t="str">
        <x:v>Stage 2 candidate - direct/deterministic</x:v>
      </x:c>
      <x:c r="H146" s="47" t="str">
        <x:v>High</x:v>
      </x:c>
      <x:c r="I146" s="47" t="str">
        <x:v>No</x:v>
      </x:c>
      <x:c r="J146" s="47" t="str">
        <x:v>ELIGIBLE</x:v>
      </x:c>
      <x:c r="K146" s="47" t="str">
        <x:v>NOT_RUN</x:v>
      </x:c>
    </x:row>
    <x:row r="147">
      <x:c r="A147" s="47" t="str">
        <x:v>IMO-095</x:v>
      </x:c>
      <x:c r="B147" s="48" t="str">
        <x:v>International Code for Ships Operating in Polar Waters (Polar Code)</x:v>
      </x:c>
      <x:c r="C147" s="47" t="str">
        <x:v>Resolution MSC.385(94), adopted 21 Nov 2014; consolidated with MEPC.264(68), adopted 15 May 2015</x:v>
      </x:c>
      <x:c r="D147" s="59" t="n">
        <x:v>28</x:v>
      </x:c>
      <x:c r="E147" s="47" t="str">
        <x:v>10.3.1.3</x:v>
      </x:c>
      <x:c r="F147" s="47" t="str">
        <x:v>Static</x:v>
      </x:c>
      <x:c r="G147" s="48" t="str">
        <x:v>Stage 2 candidate - direct/deterministic</x:v>
      </x:c>
      <x:c r="H147" s="47" t="str">
        <x:v>High</x:v>
      </x:c>
      <x:c r="I147" s="47" t="str">
        <x:v>No</x:v>
      </x:c>
      <x:c r="J147" s="47" t="str">
        <x:v>ELIGIBLE</x:v>
      </x:c>
      <x:c r="K147" s="47" t="str">
        <x:v>NOT_RUN</x:v>
      </x:c>
    </x:row>
    <x:row r="148">
      <x:c r="A148" s="47" t="str">
        <x:v>IMO-096</x:v>
      </x:c>
      <x:c r="B148" s="48" t="str">
        <x:v>International Code for Ships Operating in Polar Waters (Polar Code)</x:v>
      </x:c>
      <x:c r="C148" s="47" t="str">
        <x:v>Resolution MSC.385(94), adopted 21 Nov 2014; consolidated with MEPC.264(68), adopted 15 May 2015</x:v>
      </x:c>
      <x:c r="D148" s="59" t="n">
        <x:v>28</x:v>
      </x:c>
      <x:c r="E148" s="47" t="str">
        <x:v>10.3.1.4</x:v>
      </x:c>
      <x:c r="F148" s="47" t="str">
        <x:v>Static</x:v>
      </x:c>
      <x:c r="G148" s="48" t="str">
        <x:v>Stage 2 candidate - direct/deterministic</x:v>
      </x:c>
      <x:c r="H148" s="47" t="str">
        <x:v>High</x:v>
      </x:c>
      <x:c r="I148" s="47" t="str">
        <x:v>No</x:v>
      </x:c>
      <x:c r="J148" s="47" t="str">
        <x:v>ELIGIBLE</x:v>
      </x:c>
      <x:c r="K148" s="47" t="str">
        <x:v>NOT_RUN</x:v>
      </x:c>
    </x:row>
    <x:row r="149">
      <x:c r="A149" s="47" t="str">
        <x:v>IMO-097</x:v>
      </x:c>
      <x:c r="B149" s="48" t="str">
        <x:v>International Code for Ships Operating in Polar Waters (Polar Code)</x:v>
      </x:c>
      <x:c r="C149" s="47" t="str">
        <x:v>Resolution MSC.385(94), adopted 21 Nov 2014; consolidated with MEPC.264(68), adopted 15 May 2015</x:v>
      </x:c>
      <x:c r="D149" s="59" t="n">
        <x:v>29</x:v>
      </x:c>
      <x:c r="E149" s="47" t="str">
        <x:v>10.3.2.1</x:v>
      </x:c>
      <x:c r="F149" s="47" t="str">
        <x:v>Static</x:v>
      </x:c>
      <x:c r="G149" s="48" t="str">
        <x:v>Stage 2 candidate - direct/deterministic</x:v>
      </x:c>
      <x:c r="H149" s="47" t="str">
        <x:v>High</x:v>
      </x:c>
      <x:c r="I149" s="47" t="str">
        <x:v>No</x:v>
      </x:c>
      <x:c r="J149" s="47" t="str">
        <x:v>ELIGIBLE</x:v>
      </x:c>
      <x:c r="K149" s="47" t="str">
        <x:v>NOT_RUN</x:v>
      </x:c>
    </x:row>
    <x:row r="150">
      <x:c r="A150" s="47" t="str">
        <x:v>IMO-098</x:v>
      </x:c>
      <x:c r="B150" s="48" t="str">
        <x:v>International Code for Ships Operating in Polar Waters (Polar Code)</x:v>
      </x:c>
      <x:c r="C150" s="47" t="str">
        <x:v>Resolution MSC.385(94), adopted 21 Nov 2014; consolidated with MEPC.264(68), adopted 15 May 2015</x:v>
      </x:c>
      <x:c r="D150" s="59" t="n">
        <x:v>29</x:v>
      </x:c>
      <x:c r="E150" s="47" t="str">
        <x:v>10.3.2.2</x:v>
      </x:c>
      <x:c r="F150" s="47" t="str">
        <x:v>Static</x:v>
      </x:c>
      <x:c r="G150" s="48" t="str">
        <x:v>Stage 2 candidate - direct/deterministic</x:v>
      </x:c>
      <x:c r="H150" s="47" t="str">
        <x:v>High</x:v>
      </x:c>
      <x:c r="I150" s="47" t="str">
        <x:v>No</x:v>
      </x:c>
      <x:c r="J150" s="47" t="str">
        <x:v>ELIGIBLE</x:v>
      </x:c>
      <x:c r="K150" s="47" t="str">
        <x:v>NOT_RUN</x:v>
      </x:c>
    </x:row>
    <x:row r="151">
      <x:c r="A151" s="47" t="str">
        <x:v>IMO-099</x:v>
      </x:c>
      <x:c r="B151" s="48" t="str">
        <x:v>International Code for Ships Operating in Polar Waters (Polar Code)</x:v>
      </x:c>
      <x:c r="C151" s="47" t="str">
        <x:v>Resolution MSC.385(94), adopted 21 Nov 2014; consolidated with MEPC.264(68), adopted 15 May 2015</x:v>
      </x:c>
      <x:c r="D151" s="59" t="n">
        <x:v>29</x:v>
      </x:c>
      <x:c r="E151" s="47" t="str">
        <x:v>10.3.2.3</x:v>
      </x:c>
      <x:c r="F151" s="47" t="str">
        <x:v>Static</x:v>
      </x:c>
      <x:c r="G151" s="48" t="str">
        <x:v>Stage 2 candidate - direct static</x:v>
      </x:c>
      <x:c r="H151" s="47" t="str">
        <x:v>Direct static</x:v>
      </x:c>
      <x:c r="I151" s="47" t="str">
        <x:v>No</x:v>
      </x:c>
      <x:c r="J151" s="47" t="str">
        <x:v>ELIGIBLE</x:v>
      </x:c>
      <x:c r="K151" s="47" t="str">
        <x:v>NOT_RUN</x:v>
      </x:c>
    </x:row>
    <x:row r="152">
      <x:c r="A152" s="47" t="str">
        <x:v>IMO-100</x:v>
      </x:c>
      <x:c r="B152" s="48" t="str">
        <x:v>International Code for Ships Operating in Polar Waters (Polar Code)</x:v>
      </x:c>
      <x:c r="C152" s="47" t="str">
        <x:v>Resolution MSC.385(94), adopted 21 Nov 2014; consolidated with MEPC.264(68), adopted 15 May 2015</x:v>
      </x:c>
      <x:c r="D152" s="59" t="n">
        <x:v>29</x:v>
      </x:c>
      <x:c r="E152" s="47" t="str">
        <x:v>11.2</x:v>
      </x:c>
      <x:c r="F152" s="47" t="str">
        <x:v>Static</x:v>
      </x:c>
      <x:c r="G152" s="48" t="str">
        <x:v>Stage 2 candidate - direct static</x:v>
      </x:c>
      <x:c r="H152" s="47" t="str">
        <x:v>Direct static</x:v>
      </x:c>
      <x:c r="I152" s="47" t="str">
        <x:v>No</x:v>
      </x:c>
      <x:c r="J152" s="47" t="str">
        <x:v>ELIGIBLE</x:v>
      </x:c>
      <x:c r="K152" s="47" t="str">
        <x:v>NOT_RUN</x:v>
      </x:c>
    </x:row>
    <x:row r="153">
      <x:c r="A153" s="47" t="str">
        <x:v>IMO-101</x:v>
      </x:c>
      <x:c r="B153" s="48" t="str">
        <x:v>International Code for Ships Operating in Polar Waters (Polar Code)</x:v>
      </x:c>
      <x:c r="C153" s="47" t="str">
        <x:v>Resolution MSC.385(94), adopted 21 Nov 2014; consolidated with MEPC.264(68), adopted 15 May 2015</x:v>
      </x:c>
      <x:c r="D153" s="59" t="str">
        <x:v>29-30</x:v>
      </x:c>
      <x:c r="E153" s="47" t="str">
        <x:v>11.3.1-11.3.9</x:v>
      </x:c>
      <x:c r="F153" s="47" t="str">
        <x:v>Static</x:v>
      </x:c>
      <x:c r="G153" s="48" t="str">
        <x:v>Stage 2 candidate - direct static</x:v>
      </x:c>
      <x:c r="H153" s="47" t="str">
        <x:v>Direct static</x:v>
      </x:c>
      <x:c r="I153" s="47" t="str">
        <x:v>No</x:v>
      </x:c>
      <x:c r="J153" s="47" t="str">
        <x:v>ELIGIBLE</x:v>
      </x:c>
      <x:c r="K153" s="47" t="str">
        <x:v>NOT_RUN</x:v>
      </x:c>
    </x:row>
    <x:row r="154">
      <x:c r="A154" s="47" t="str">
        <x:v>IMO-102</x:v>
      </x:c>
      <x:c r="B154" s="48" t="str">
        <x:v>International Code for Ships Operating in Polar Waters (Polar Code)</x:v>
      </x:c>
      <x:c r="C154" s="47" t="str">
        <x:v>Resolution MSC.385(94), adopted 21 Nov 2014; consolidated with MEPC.264(68), adopted 15 May 2015</x:v>
      </x:c>
      <x:c r="D154" s="59" t="n">
        <x:v>30</x:v>
      </x:c>
      <x:c r="E154" s="47" t="str">
        <x:v>12.3.1</x:v>
      </x:c>
      <x:c r="F154" s="47" t="str">
        <x:v>Static</x:v>
      </x:c>
      <x:c r="G154" s="48" t="str">
        <x:v>Stage 2 candidate - direct/deterministic</x:v>
      </x:c>
      <x:c r="H154" s="47" t="str">
        <x:v>High</x:v>
      </x:c>
      <x:c r="I154" s="47" t="str">
        <x:v>No</x:v>
      </x:c>
      <x:c r="J154" s="47" t="str">
        <x:v>ELIGIBLE</x:v>
      </x:c>
      <x:c r="K154" s="47" t="str">
        <x:v>NOT_RUN</x:v>
      </x:c>
    </x:row>
    <x:row r="155">
      <x:c r="A155" s="47" t="str">
        <x:v>IMO-103</x:v>
      </x:c>
      <x:c r="B155" s="48" t="str">
        <x:v>International Code for Ships Operating in Polar Waters (Polar Code)</x:v>
      </x:c>
      <x:c r="C155" s="47" t="str">
        <x:v>Resolution MSC.385(94), adopted 21 Nov 2014; consolidated with MEPC.264(68), adopted 15 May 2015</x:v>
      </x:c>
      <x:c r="D155" s="59" t="n">
        <x:v>31</x:v>
      </x:c>
      <x:c r="E155" s="47" t="str">
        <x:v>12.3.2</x:v>
      </x:c>
      <x:c r="F155" s="47" t="str">
        <x:v>Static</x:v>
      </x:c>
      <x:c r="G155" s="48" t="str">
        <x:v>Stage 2 candidate - direct static</x:v>
      </x:c>
      <x:c r="H155" s="47" t="str">
        <x:v>Direct static</x:v>
      </x:c>
      <x:c r="I155" s="47" t="str">
        <x:v>No</x:v>
      </x:c>
      <x:c r="J155" s="47" t="str">
        <x:v>ELIGIBLE</x:v>
      </x:c>
      <x:c r="K155" s="47" t="str">
        <x:v>NOT_RUN</x:v>
      </x:c>
    </x:row>
    <x:row r="156">
      <x:c r="A156" s="47" t="str">
        <x:v>IMO-104</x:v>
      </x:c>
      <x:c r="B156" s="48" t="str">
        <x:v>International Code for Ships Operating in Polar Waters (Polar Code)</x:v>
      </x:c>
      <x:c r="C156" s="47" t="str">
        <x:v>Resolution MSC.385(94), adopted 21 Nov 2014; consolidated with MEPC.264(68), adopted 15 May 2015</x:v>
      </x:c>
      <x:c r="D156" s="59" t="n">
        <x:v>31</x:v>
      </x:c>
      <x:c r="E156" s="47" t="str">
        <x:v>12.3.4</x:v>
      </x:c>
      <x:c r="F156" s="47" t="str">
        <x:v>Static</x:v>
      </x:c>
      <x:c r="G156" s="48" t="str">
        <x:v>Stage 2 candidate - direct/deterministic</x:v>
      </x:c>
      <x:c r="H156" s="47" t="str">
        <x:v>High</x:v>
      </x:c>
      <x:c r="I156" s="47" t="str">
        <x:v>No</x:v>
      </x:c>
      <x:c r="J156" s="47" t="str">
        <x:v>ELIGIBLE</x:v>
      </x:c>
      <x:c r="K156" s="47" t="str">
        <x:v>NOT_RUN</x:v>
      </x:c>
    </x:row>
    <x:row r="157">
      <x:c r="A157" s="47" t="str">
        <x:v>IMO-105</x:v>
      </x:c>
      <x:c r="B157" s="48" t="str">
        <x:v>International Code for Ships Operating in Polar Waters (Polar Code)</x:v>
      </x:c>
      <x:c r="C157" s="47" t="str">
        <x:v>Resolution MSC.385(94), adopted 21 Nov 2014; consolidated with MEPC.264(68), adopted 15 May 2015</x:v>
      </x:c>
      <x:c r="D157" s="59" t="n">
        <x:v>41</x:v>
      </x:c>
      <x:c r="E157" s="47" t="str">
        <x:v>1.1.1</x:v>
      </x:c>
      <x:c r="F157" s="47" t="str">
        <x:v>Static</x:v>
      </x:c>
      <x:c r="G157" s="48" t="str">
        <x:v>Stage 2 candidate - direct/deterministic</x:v>
      </x:c>
      <x:c r="H157" s="47" t="str">
        <x:v>High</x:v>
      </x:c>
      <x:c r="I157" s="47" t="str">
        <x:v>No</x:v>
      </x:c>
      <x:c r="J157" s="47" t="str">
        <x:v>ELIGIBLE</x:v>
      </x:c>
      <x:c r="K157" s="47" t="str">
        <x:v>NOT_RUN</x:v>
      </x:c>
    </x:row>
    <x:row r="158">
      <x:c r="A158" s="47" t="str">
        <x:v>IMO-106</x:v>
      </x:c>
      <x:c r="B158" s="48" t="str">
        <x:v>International Code for Ships Operating in Polar Waters (Polar Code)</x:v>
      </x:c>
      <x:c r="C158" s="47" t="str">
        <x:v>Resolution MSC.385(94), adopted 21 Nov 2014; consolidated with MEPC.264(68), adopted 15 May 2015</x:v>
      </x:c>
      <x:c r="D158" s="59" t="n">
        <x:v>41</x:v>
      </x:c>
      <x:c r="E158" s="47" t="str">
        <x:v>1.1.2</x:v>
      </x:c>
      <x:c r="F158" s="47" t="str">
        <x:v>Static</x:v>
      </x:c>
      <x:c r="G158" s="48" t="str">
        <x:v>Stage 2 candidate - direct/deterministic</x:v>
      </x:c>
      <x:c r="H158" s="47" t="str">
        <x:v>High</x:v>
      </x:c>
      <x:c r="I158" s="47" t="str">
        <x:v>No</x:v>
      </x:c>
      <x:c r="J158" s="47" t="str">
        <x:v>ELIGIBLE</x:v>
      </x:c>
      <x:c r="K158" s="47" t="str">
        <x:v>NOT_RUN</x:v>
      </x:c>
    </x:row>
    <x:row r="159">
      <x:c r="A159" s="47" t="str">
        <x:v>IMO-107</x:v>
      </x:c>
      <x:c r="B159" s="48" t="str">
        <x:v>International Code for Ships Operating in Polar Waters (Polar Code)</x:v>
      </x:c>
      <x:c r="C159" s="47" t="str">
        <x:v>Resolution MSC.385(94), adopted 21 Nov 2014; consolidated with MEPC.264(68), adopted 15 May 2015</x:v>
      </x:c>
      <x:c r="D159" s="59" t="n">
        <x:v>41</x:v>
      </x:c>
      <x:c r="E159" s="47" t="str">
        <x:v>1.1.4</x:v>
      </x:c>
      <x:c r="F159" s="47" t="str">
        <x:v>Static</x:v>
      </x:c>
      <x:c r="G159" s="48" t="str">
        <x:v>Stage 2 candidate - direct/deterministic</x:v>
      </x:c>
      <x:c r="H159" s="47" t="str">
        <x:v>High</x:v>
      </x:c>
      <x:c r="I159" s="47" t="str">
        <x:v>No</x:v>
      </x:c>
      <x:c r="J159" s="47" t="str">
        <x:v>ELIGIBLE</x:v>
      </x:c>
      <x:c r="K159" s="47" t="str">
        <x:v>NOT_RUN</x:v>
      </x:c>
    </x:row>
    <x:row r="160">
      <x:c r="A160" s="47" t="str">
        <x:v>IMO-108</x:v>
      </x:c>
      <x:c r="B160" s="48" t="str">
        <x:v>International Code for Ships Operating in Polar Waters (Polar Code)</x:v>
      </x:c>
      <x:c r="C160" s="47" t="str">
        <x:v>Resolution MSC.385(94), adopted 21 Nov 2014; consolidated with MEPC.264(68), adopted 15 May 2015</x:v>
      </x:c>
      <x:c r="D160" s="59" t="n">
        <x:v>41</x:v>
      </x:c>
      <x:c r="E160" s="47" t="str">
        <x:v>1.2.1</x:v>
      </x:c>
      <x:c r="F160" s="47" t="str">
        <x:v>Static</x:v>
      </x:c>
      <x:c r="G160" s="48" t="str">
        <x:v>Stage 2 candidate - direct static</x:v>
      </x:c>
      <x:c r="H160" s="47" t="str">
        <x:v>Direct static</x:v>
      </x:c>
      <x:c r="I160" s="47" t="str">
        <x:v>No</x:v>
      </x:c>
      <x:c r="J160" s="47" t="str">
        <x:v>ELIGIBLE</x:v>
      </x:c>
      <x:c r="K160" s="47" t="str">
        <x:v>NOT_RUN</x:v>
      </x:c>
    </x:row>
    <x:row r="161">
      <x:c r="A161" s="47" t="str">
        <x:v>IMO-109</x:v>
      </x:c>
      <x:c r="B161" s="48" t="str">
        <x:v>International Code for Ships Operating in Polar Waters (Polar Code)</x:v>
      </x:c>
      <x:c r="C161" s="47" t="str">
        <x:v>Resolution MSC.385(94), adopted 21 Nov 2014; consolidated with MEPC.264(68), adopted 15 May 2015</x:v>
      </x:c>
      <x:c r="D161" s="59" t="n">
        <x:v>41</x:v>
      </x:c>
      <x:c r="E161" s="47" t="str">
        <x:v>1.2.2</x:v>
      </x:c>
      <x:c r="F161" s="47" t="str">
        <x:v>Static</x:v>
      </x:c>
      <x:c r="G161" s="48" t="str">
        <x:v>Stage 2 candidate - direct static</x:v>
      </x:c>
      <x:c r="H161" s="47" t="str">
        <x:v>Direct static</x:v>
      </x:c>
      <x:c r="I161" s="47" t="str">
        <x:v>No</x:v>
      </x:c>
      <x:c r="J161" s="47" t="str">
        <x:v>ELIGIBLE</x:v>
      </x:c>
      <x:c r="K161" s="47" t="str">
        <x:v>NOT_RUN</x:v>
      </x:c>
    </x:row>
    <x:row r="162">
      <x:c r="A162" s="47" t="str">
        <x:v>IMO-110</x:v>
      </x:c>
      <x:c r="B162" s="48" t="str">
        <x:v>International Code for Ships Operating in Polar Waters (Polar Code)</x:v>
      </x:c>
      <x:c r="C162" s="47" t="str">
        <x:v>Resolution MSC.385(94), adopted 21 Nov 2014; consolidated with MEPC.264(68), adopted 15 May 2015</x:v>
      </x:c>
      <x:c r="D162" s="59" t="n">
        <x:v>41</x:v>
      </x:c>
      <x:c r="E162" s="47" t="str">
        <x:v>1.2.3</x:v>
      </x:c>
      <x:c r="F162" s="47" t="str">
        <x:v>Static</x:v>
      </x:c>
      <x:c r="G162" s="48" t="str">
        <x:v>Stage 2 candidate - direct static</x:v>
      </x:c>
      <x:c r="H162" s="47" t="str">
        <x:v>Direct static</x:v>
      </x:c>
      <x:c r="I162" s="47" t="str">
        <x:v>No</x:v>
      </x:c>
      <x:c r="J162" s="47" t="str">
        <x:v>ELIGIBLE</x:v>
      </x:c>
      <x:c r="K162" s="47" t="str">
        <x:v>NOT_RUN</x:v>
      </x:c>
    </x:row>
    <x:row r="163">
      <x:c r="A163" s="47" t="str">
        <x:v>IMO-111</x:v>
      </x:c>
      <x:c r="B163" s="48" t="str">
        <x:v>International Code for Ships Operating in Polar Waters (Polar Code)</x:v>
      </x:c>
      <x:c r="C163" s="47" t="str">
        <x:v>Resolution MSC.385(94), adopted 21 Nov 2014; consolidated with MEPC.264(68), adopted 15 May 2015</x:v>
      </x:c>
      <x:c r="D163" s="59" t="n">
        <x:v>41</x:v>
      </x:c>
      <x:c r="E163" s="47" t="str">
        <x:v>1.2.4</x:v>
      </x:c>
      <x:c r="F163" s="47" t="str">
        <x:v>Static</x:v>
      </x:c>
      <x:c r="G163" s="48" t="str">
        <x:v>Stage 2 candidate - direct static</x:v>
      </x:c>
      <x:c r="H163" s="47" t="str">
        <x:v>Direct static</x:v>
      </x:c>
      <x:c r="I163" s="47" t="str">
        <x:v>No</x:v>
      </x:c>
      <x:c r="J163" s="47" t="str">
        <x:v>ELIGIBLE</x:v>
      </x:c>
      <x:c r="K163" s="47" t="str">
        <x:v>NOT_RUN</x:v>
      </x:c>
    </x:row>
    <x:row r="164">
      <x:c r="A164" s="47" t="str">
        <x:v>IMO-112</x:v>
      </x:c>
      <x:c r="B164" s="48" t="str">
        <x:v>International Code for Ships Operating in Polar Waters (Polar Code)</x:v>
      </x:c>
      <x:c r="C164" s="47" t="str">
        <x:v>Resolution MSC.385(94), adopted 21 Nov 2014; consolidated with MEPC.264(68), adopted 15 May 2015</x:v>
      </x:c>
      <x:c r="D164" s="59" t="n">
        <x:v>42</x:v>
      </x:c>
      <x:c r="E164" s="47" t="str">
        <x:v>2.1.1</x:v>
      </x:c>
      <x:c r="F164" s="47" t="str">
        <x:v>Static</x:v>
      </x:c>
      <x:c r="G164" s="48" t="str">
        <x:v>Stage 2 candidate - direct/deterministic</x:v>
      </x:c>
      <x:c r="H164" s="47" t="str">
        <x:v>High</x:v>
      </x:c>
      <x:c r="I164" s="47" t="str">
        <x:v>No</x:v>
      </x:c>
      <x:c r="J164" s="47" t="str">
        <x:v>ELIGIBLE</x:v>
      </x:c>
      <x:c r="K164" s="47" t="str">
        <x:v>NOT_RUN</x:v>
      </x:c>
    </x:row>
    <x:row r="165">
      <x:c r="A165" s="47" t="str">
        <x:v>IMO-113</x:v>
      </x:c>
      <x:c r="B165" s="48" t="str">
        <x:v>International Code for Ships Operating in Polar Waters (Polar Code)</x:v>
      </x:c>
      <x:c r="C165" s="47" t="str">
        <x:v>Resolution MSC.385(94), adopted 21 Nov 2014; consolidated with MEPC.264(68), adopted 15 May 2015</x:v>
      </x:c>
      <x:c r="D165" s="59" t="n">
        <x:v>42</x:v>
      </x:c>
      <x:c r="E165" s="47" t="str">
        <x:v>2.1.2</x:v>
      </x:c>
      <x:c r="F165" s="47" t="str">
        <x:v>Static</x:v>
      </x:c>
      <x:c r="G165" s="48" t="str">
        <x:v>Stage 2 candidate - direct/deterministic</x:v>
      </x:c>
      <x:c r="H165" s="47" t="str">
        <x:v>High</x:v>
      </x:c>
      <x:c r="I165" s="47" t="str">
        <x:v>No</x:v>
      </x:c>
      <x:c r="J165" s="47" t="str">
        <x:v>ELIGIBLE</x:v>
      </x:c>
      <x:c r="K165" s="47" t="str">
        <x:v>NOT_RUN</x:v>
      </x:c>
    </x:row>
    <x:row r="166">
      <x:c r="A166" s="47" t="str">
        <x:v>IMO-114</x:v>
      </x:c>
      <x:c r="B166" s="48" t="str">
        <x:v>International Code for Ships Operating in Polar Waters (Polar Code)</x:v>
      </x:c>
      <x:c r="C166" s="47" t="str">
        <x:v>Resolution MSC.385(94), adopted 21 Nov 2014; consolidated with MEPC.264(68), adopted 15 May 2015</x:v>
      </x:c>
      <x:c r="D166" s="59" t="n">
        <x:v>42</x:v>
      </x:c>
      <x:c r="E166" s="47" t="str">
        <x:v>2.1.3</x:v>
      </x:c>
      <x:c r="F166" s="47" t="str">
        <x:v>Static</x:v>
      </x:c>
      <x:c r="G166" s="48" t="str">
        <x:v>Stage 2 candidate - direct static</x:v>
      </x:c>
      <x:c r="H166" s="47" t="str">
        <x:v>Direct static</x:v>
      </x:c>
      <x:c r="I166" s="47" t="str">
        <x:v>No</x:v>
      </x:c>
      <x:c r="J166" s="47" t="str">
        <x:v>ELIGIBLE</x:v>
      </x:c>
      <x:c r="K166" s="47" t="str">
        <x:v>NOT_RUN</x:v>
      </x:c>
    </x:row>
    <x:row r="167">
      <x:c r="A167" s="47" t="str">
        <x:v>IMO-115</x:v>
      </x:c>
      <x:c r="B167" s="48" t="str">
        <x:v>International Code for Ships Operating in Polar Waters (Polar Code)</x:v>
      </x:c>
      <x:c r="C167" s="47" t="str">
        <x:v>Resolution MSC.385(94), adopted 21 Nov 2014; consolidated with MEPC.264(68), adopted 15 May 2015</x:v>
      </x:c>
      <x:c r="D167" s="59" t="n">
        <x:v>42</x:v>
      </x:c>
      <x:c r="E167" s="47" t="str">
        <x:v>4.2.1.1</x:v>
      </x:c>
      <x:c r="F167" s="47" t="str">
        <x:v>Static</x:v>
      </x:c>
      <x:c r="G167" s="48" t="str">
        <x:v>Stage 2 candidate - direct static</x:v>
      </x:c>
      <x:c r="H167" s="47" t="str">
        <x:v>Direct static</x:v>
      </x:c>
      <x:c r="I167" s="47" t="str">
        <x:v>No</x:v>
      </x:c>
      <x:c r="J167" s="47" t="str">
        <x:v>ELIGIBLE</x:v>
      </x:c>
      <x:c r="K167" s="47" t="str">
        <x:v>NOT_RUN</x:v>
      </x:c>
    </x:row>
    <x:row r="168">
      <x:c r="A168" s="47" t="str">
        <x:v>IMO-116</x:v>
      </x:c>
      <x:c r="B168" s="48" t="str">
        <x:v>International Code for Ships Operating in Polar Waters (Polar Code)</x:v>
      </x:c>
      <x:c r="C168" s="47" t="str">
        <x:v>Resolution MSC.385(94), adopted 21 Nov 2014; consolidated with MEPC.264(68), adopted 15 May 2015</x:v>
      </x:c>
      <x:c r="D168" s="59" t="n">
        <x:v>42</x:v>
      </x:c>
      <x:c r="E168" s="47" t="str">
        <x:v>4.2.1.2</x:v>
      </x:c>
      <x:c r="F168" s="47" t="str">
        <x:v>Static</x:v>
      </x:c>
      <x:c r="G168" s="48" t="str">
        <x:v>Stage 2 candidate - direct static</x:v>
      </x:c>
      <x:c r="H168" s="47" t="str">
        <x:v>Direct static</x:v>
      </x:c>
      <x:c r="I168" s="47" t="str">
        <x:v>No</x:v>
      </x:c>
      <x:c r="J168" s="47" t="str">
        <x:v>ELIGIBLE</x:v>
      </x:c>
      <x:c r="K168" s="47" t="str">
        <x:v>NOT_RUN</x:v>
      </x:c>
    </x:row>
    <x:row r="169">
      <x:c r="A169" s="47" t="str">
        <x:v>IMO-117</x:v>
      </x:c>
      <x:c r="B169" s="48" t="str">
        <x:v>International Code for Ships Operating in Polar Waters (Polar Code)</x:v>
      </x:c>
      <x:c r="C169" s="47" t="str">
        <x:v>Resolution MSC.385(94), adopted 21 Nov 2014; consolidated with MEPC.264(68), adopted 15 May 2015</x:v>
      </x:c>
      <x:c r="D169" s="59" t="n">
        <x:v>43</x:v>
      </x:c>
      <x:c r="E169" s="47" t="str">
        <x:v>4.2.1.3</x:v>
      </x:c>
      <x:c r="F169" s="47" t="str">
        <x:v>Static</x:v>
      </x:c>
      <x:c r="G169" s="48" t="str">
        <x:v>Stage 2 candidate - direct static</x:v>
      </x:c>
      <x:c r="H169" s="47" t="str">
        <x:v>Direct static</x:v>
      </x:c>
      <x:c r="I169" s="47" t="str">
        <x:v>No</x:v>
      </x:c>
      <x:c r="J169" s="47" t="str">
        <x:v>ELIGIBLE</x:v>
      </x:c>
      <x:c r="K169" s="47" t="str">
        <x:v>NOT_RUN</x:v>
      </x:c>
    </x:row>
    <x:row r="170">
      <x:c r="A170" s="47" t="str">
        <x:v>IMO-118</x:v>
      </x:c>
      <x:c r="B170" s="48" t="str">
        <x:v>International Code for Ships Operating in Polar Waters (Polar Code)</x:v>
      </x:c>
      <x:c r="C170" s="47" t="str">
        <x:v>Resolution MSC.385(94), adopted 21 Nov 2014; consolidated with MEPC.264(68), adopted 15 May 2015</x:v>
      </x:c>
      <x:c r="D170" s="59" t="n">
        <x:v>43</x:v>
      </x:c>
      <x:c r="E170" s="47" t="str">
        <x:v>4.2.2</x:v>
      </x:c>
      <x:c r="F170" s="47" t="str">
        <x:v>Static</x:v>
      </x:c>
      <x:c r="G170" s="48" t="str">
        <x:v>Stage 2 candidate - direct/deterministic</x:v>
      </x:c>
      <x:c r="H170" s="47" t="str">
        <x:v>High</x:v>
      </x:c>
      <x:c r="I170" s="47" t="str">
        <x:v>No</x:v>
      </x:c>
      <x:c r="J170" s="47" t="str">
        <x:v>ELIGIBLE</x:v>
      </x:c>
      <x:c r="K170" s="47" t="str">
        <x:v>NOT_RUN</x:v>
      </x:c>
    </x:row>
    <x:row r="171">
      <x:c r="A171" s="47" t="str">
        <x:v>IMO-119</x:v>
      </x:c>
      <x:c r="B171" s="48" t="str">
        <x:v>International Code for Ships Operating in Polar Waters (Polar Code)</x:v>
      </x:c>
      <x:c r="C171" s="47" t="str">
        <x:v>Resolution MSC.385(94), adopted 21 Nov 2014; consolidated with MEPC.264(68), adopted 15 May 2015</x:v>
      </x:c>
      <x:c r="D171" s="59" t="n">
        <x:v>43</x:v>
      </x:c>
      <x:c r="E171" s="47" t="str">
        <x:v>4.2.3</x:v>
      </x:c>
      <x:c r="F171" s="47" t="str">
        <x:v>Static</x:v>
      </x:c>
      <x:c r="G171" s="48" t="str">
        <x:v>Stage 2 candidate - direct static</x:v>
      </x:c>
      <x:c r="H171" s="47" t="str">
        <x:v>Direct static</x:v>
      </x:c>
      <x:c r="I171" s="47" t="str">
        <x:v>No</x:v>
      </x:c>
      <x:c r="J171" s="47" t="str">
        <x:v>ELIGIBLE</x:v>
      </x:c>
      <x:c r="K171" s="47" t="str">
        <x:v>NOT_RUN</x:v>
      </x:c>
    </x:row>
    <x:row r="172">
      <x:c r="A172" s="47" t="str">
        <x:v>IMO-120</x:v>
      </x:c>
      <x:c r="B172" s="48" t="str">
        <x:v>International Code for Ships Operating in Polar Waters (Polar Code)</x:v>
      </x:c>
      <x:c r="C172" s="47" t="str">
        <x:v>Resolution MSC.385(94), adopted 21 Nov 2014; consolidated with MEPC.264(68), adopted 15 May 2015</x:v>
      </x:c>
      <x:c r="D172" s="59" t="n">
        <x:v>43</x:v>
      </x:c>
      <x:c r="E172" s="47" t="str">
        <x:v>5.2.1.1</x:v>
      </x:c>
      <x:c r="F172" s="47" t="str">
        <x:v>Static</x:v>
      </x:c>
      <x:c r="G172" s="48" t="str">
        <x:v>Stage 2 candidate - direct static</x:v>
      </x:c>
      <x:c r="H172" s="47" t="str">
        <x:v>Direct static</x:v>
      </x:c>
      <x:c r="I172" s="47" t="str">
        <x:v>No</x:v>
      </x:c>
      <x:c r="J172" s="47" t="str">
        <x:v>ELIGIBLE</x:v>
      </x:c>
      <x:c r="K172" s="47" t="str">
        <x:v>NOT_RUN</x:v>
      </x:c>
    </x:row>
    <x:row r="173">
      <x:c r="A173" s="47" t="str">
        <x:v>IMO-121</x:v>
      </x:c>
      <x:c r="B173" s="48" t="str">
        <x:v>International Code for Ships Operating in Polar Waters (Polar Code)</x:v>
      </x:c>
      <x:c r="C173" s="47" t="str">
        <x:v>Resolution MSC.385(94), adopted 21 Nov 2014; consolidated with MEPC.264(68), adopted 15 May 2015</x:v>
      </x:c>
      <x:c r="D173" s="59" t="n">
        <x:v>43</x:v>
      </x:c>
      <x:c r="E173" s="47" t="str">
        <x:v>5.2.1.2</x:v>
      </x:c>
      <x:c r="F173" s="47" t="str">
        <x:v>Static</x:v>
      </x:c>
      <x:c r="G173" s="48" t="str">
        <x:v>Stage 2 candidate - direct/deterministic</x:v>
      </x:c>
      <x:c r="H173" s="47" t="str">
        <x:v>High</x:v>
      </x:c>
      <x:c r="I173" s="47" t="str">
        <x:v>No</x:v>
      </x:c>
      <x:c r="J173" s="47" t="str">
        <x:v>ELIGIBLE</x:v>
      </x:c>
      <x:c r="K173" s="47" t="str">
        <x:v>NOT_RUN</x:v>
      </x:c>
    </x:row>
    <x:row r="174">
      <x:c r="A174" s="47" t="str">
        <x:v>IMO-122</x:v>
      </x:c>
      <x:c r="B174" s="48" t="str">
        <x:v>International Code for Ships Operating in Polar Waters (Polar Code)</x:v>
      </x:c>
      <x:c r="C174" s="47" t="str">
        <x:v>Resolution MSC.385(94), adopted 21 Nov 2014; consolidated with MEPC.264(68), adopted 15 May 2015</x:v>
      </x:c>
      <x:c r="D174" s="59" t="n">
        <x:v>43</x:v>
      </x:c>
      <x:c r="E174" s="47" t="str">
        <x:v>5.2.1.3-.4</x:v>
      </x:c>
      <x:c r="F174" s="47" t="str">
        <x:v>Static</x:v>
      </x:c>
      <x:c r="G174" s="48" t="str">
        <x:v>Stage 2 candidate - direct/deterministic</x:v>
      </x:c>
      <x:c r="H174" s="47" t="str">
        <x:v>High</x:v>
      </x:c>
      <x:c r="I174" s="47" t="str">
        <x:v>No</x:v>
      </x:c>
      <x:c r="J174" s="47" t="str">
        <x:v>ELIGIBLE</x:v>
      </x:c>
      <x:c r="K174" s="47" t="str">
        <x:v>NOT_RUN</x:v>
      </x:c>
    </x:row>
    <x:row r="175">
      <x:c r="A175" s="47" t="str">
        <x:v>IMO-123</x:v>
      </x:c>
      <x:c r="B175" s="48" t="str">
        <x:v>International Code for Ships Operating in Polar Waters (Polar Code)</x:v>
      </x:c>
      <x:c r="C175" s="47" t="str">
        <x:v>Resolution MSC.385(94), adopted 21 Nov 2014; consolidated with MEPC.264(68), adopted 15 May 2015</x:v>
      </x:c>
      <x:c r="D175" s="59" t="str">
        <x:v>43-44</x:v>
      </x:c>
      <x:c r="E175" s="47" t="str">
        <x:v>5.2.1.5</x:v>
      </x:c>
      <x:c r="F175" s="47" t="str">
        <x:v>Static</x:v>
      </x:c>
      <x:c r="G175" s="48" t="str">
        <x:v>Stage 2 candidate - direct static</x:v>
      </x:c>
      <x:c r="H175" s="47" t="str">
        <x:v>Direct static</x:v>
      </x:c>
      <x:c r="I175" s="47" t="str">
        <x:v>No</x:v>
      </x:c>
      <x:c r="J175" s="47" t="str">
        <x:v>ELIGIBLE</x:v>
      </x:c>
      <x:c r="K175" s="47" t="str">
        <x:v>NOT_RUN</x:v>
      </x:c>
    </x:row>
    <x:row r="176">
      <x:c r="A176" s="47" t="str">
        <x:v>IMO-124</x:v>
      </x:c>
      <x:c r="B176" s="48" t="str">
        <x:v>International Code for Ships Operating in Polar Waters (Polar Code)</x:v>
      </x:c>
      <x:c r="C176" s="47" t="str">
        <x:v>Resolution MSC.385(94), adopted 21 Nov 2014; consolidated with MEPC.264(68), adopted 15 May 2015</x:v>
      </x:c>
      <x:c r="D176" s="59" t="n">
        <x:v>44</x:v>
      </x:c>
      <x:c r="E176" s="47" t="str">
        <x:v>5.2.2.1-.2</x:v>
      </x:c>
      <x:c r="F176" s="47" t="str">
        <x:v>Static</x:v>
      </x:c>
      <x:c r="G176" s="48" t="str">
        <x:v>Stage 2 candidate - direct static</x:v>
      </x:c>
      <x:c r="H176" s="47" t="str">
        <x:v>Direct static</x:v>
      </x:c>
      <x:c r="I176" s="47" t="str">
        <x:v>No</x:v>
      </x:c>
      <x:c r="J176" s="47" t="str">
        <x:v>ELIGIBLE</x:v>
      </x:c>
      <x:c r="K176" s="47" t="str">
        <x:v>NOT_RUN</x:v>
      </x:c>
    </x:row>
    <x:row r="177">
      <x:c r="A177" s="47" t="str">
        <x:v>IMO-125</x:v>
      </x:c>
      <x:c r="B177" s="48" t="str">
        <x:v>International Code for Ships Operating in Polar Waters (Polar Code)</x:v>
      </x:c>
      <x:c r="C177" s="47" t="str">
        <x:v>Resolution MSC.385(94), adopted 21 Nov 2014; consolidated with MEPC.264(68), adopted 15 May 2015</x:v>
      </x:c>
      <x:c r="D177" s="59" t="n">
        <x:v>44</x:v>
      </x:c>
      <x:c r="E177" s="47" t="str">
        <x:v>5.2.3</x:v>
      </x:c>
      <x:c r="F177" s="47" t="str">
        <x:v>Static</x:v>
      </x:c>
      <x:c r="G177" s="48" t="str">
        <x:v>Stage 2 candidate - direct/deterministic</x:v>
      </x:c>
      <x:c r="H177" s="47" t="str">
        <x:v>High</x:v>
      </x:c>
      <x:c r="I177" s="47" t="str">
        <x:v>No</x:v>
      </x:c>
      <x:c r="J177" s="47" t="str">
        <x:v>ELIGIBLE</x:v>
      </x:c>
      <x:c r="K177" s="47" t="str">
        <x:v>NOT_RUN</x:v>
      </x:c>
    </x:row>
    <x:row r="178">
      <x:c r="A178" s="47" t="str">
        <x:v>IMO26-001</x:v>
      </x:c>
      <x:c r="B178" s="48" t="str">
        <x:v>Polar Code January 2026 Supplement - Resolution MSC.538(107)</x:v>
      </x:c>
      <x:c r="C178" s="47" t="str">
        <x:v>January 2026 Supplement; effective 1 Jan 2026</x:v>
      </x:c>
      <x:c r="D178" s="59" t="n">
        <x:v>1</x:v>
      </x:c>
      <x:c r="E178" s="47" t="str">
        <x:v>Amendment 2</x:v>
      </x:c>
      <x:c r="F178" s="47" t="str">
        <x:v>Static</x:v>
      </x:c>
      <x:c r="G178" s="48" t="str">
        <x:v>Stage 2 candidate - direct/deterministic</x:v>
      </x:c>
      <x:c r="H178" s="47" t="str">
        <x:v>High</x:v>
      </x:c>
      <x:c r="I178" s="47" t="str">
        <x:v>No</x:v>
      </x:c>
      <x:c r="J178" s="47" t="str">
        <x:v>ELIGIBLE</x:v>
      </x:c>
      <x:c r="K178" s="47" t="str">
        <x:v>NOT_RUN</x:v>
      </x:c>
    </x:row>
    <x:row r="179">
      <x:c r="A179" s="47" t="str">
        <x:v>IMO26-002</x:v>
      </x:c>
      <x:c r="B179" s="48" t="str">
        <x:v>Polar Code January 2026 Supplement - Resolution MSC.538(107)</x:v>
      </x:c>
      <x:c r="C179" s="47" t="str">
        <x:v>January 2026 Supplement; effective 1 Jan 2026</x:v>
      </x:c>
      <x:c r="D179" s="59" t="n">
        <x:v>2</x:v>
      </x:c>
      <x:c r="E179" s="47" t="str">
        <x:v>Chapter 9-1 applicability</x:v>
      </x:c>
      <x:c r="F179" s="47" t="str">
        <x:v>Static</x:v>
      </x:c>
      <x:c r="G179" s="48" t="str">
        <x:v>Stage 2 candidate - direct/deterministic</x:v>
      </x:c>
      <x:c r="H179" s="47" t="str">
        <x:v>High</x:v>
      </x:c>
      <x:c r="I179" s="47" t="str">
        <x:v>No</x:v>
      </x:c>
      <x:c r="J179" s="47" t="str">
        <x:v>ELIGIBLE</x:v>
      </x:c>
      <x:c r="K179" s="47" t="str">
        <x:v>NOT_RUN</x:v>
      </x:c>
    </x:row>
    <x:row r="180">
      <x:c r="A180" s="47" t="str">
        <x:v>IMO26-003</x:v>
      </x:c>
      <x:c r="B180" s="48" t="str">
        <x:v>Polar Code January 2026 Supplement - Resolution MSC.538(107)</x:v>
      </x:c>
      <x:c r="C180" s="47" t="str">
        <x:v>January 2026 Supplement; effective 1 Jan 2026</x:v>
      </x:c>
      <x:c r="D180" s="59" t="n">
        <x:v>2</x:v>
      </x:c>
      <x:c r="E180" s="47" t="str">
        <x:v>9-1.2.1</x:v>
      </x:c>
      <x:c r="F180" s="47" t="str">
        <x:v>Dynamic</x:v>
      </x:c>
      <x:c r="G180" s="48" t="str">
        <x:v>Deferred - observation/history/simulation design required</x:v>
      </x:c>
      <x:c r="H180" s="47" t="str">
        <x:v>Medium</x:v>
      </x:c>
      <x:c r="I180" s="47" t="str">
        <x:v>No</x:v>
      </x:c>
      <x:c r="J180" s="47" t="str">
        <x:v>DEFERRED</x:v>
      </x:c>
      <x:c r="K180" s="47" t="str">
        <x:v>NOT_RUN</x:v>
      </x:c>
    </x:row>
    <x:row r="181">
      <x:c r="A181" s="47" t="str">
        <x:v>IMO26-004</x:v>
      </x:c>
      <x:c r="B181" s="48" t="str">
        <x:v>Polar Code January 2026 Supplement - Resolution MSC.538(107)</x:v>
      </x:c>
      <x:c r="C181" s="47" t="str">
        <x:v>January 2026 Supplement; effective 1 Jan 2026</x:v>
      </x:c>
      <x:c r="D181" s="59" t="n">
        <x:v>2</x:v>
      </x:c>
      <x:c r="E181" s="47" t="str">
        <x:v>9-1.2.2.1</x:v>
      </x:c>
      <x:c r="F181" s="47" t="str">
        <x:v>Physical Test</x:v>
      </x:c>
      <x:c r="G181" s="48" t="str">
        <x:v>Evidence-only - physical result not inferred by SHACL</x:v>
      </x:c>
      <x:c r="H181" s="47" t="str">
        <x:v>Medium</x:v>
      </x:c>
      <x:c r="I181" s="47" t="str">
        <x:v>No</x:v>
      </x:c>
      <x:c r="J181" s="47" t="str">
        <x:v>DEFERRED</x:v>
      </x:c>
      <x:c r="K181" s="47" t="str">
        <x:v>NOT_RUN</x:v>
      </x:c>
    </x:row>
    <x:row r="182">
      <x:c r="A182" s="47" t="str">
        <x:v>IMO26-005</x:v>
      </x:c>
      <x:c r="B182" s="48" t="str">
        <x:v>Polar Code January 2026 Supplement - Resolution MSC.538(107)</x:v>
      </x:c>
      <x:c r="C182" s="47" t="str">
        <x:v>January 2026 Supplement; effective 1 Jan 2026</x:v>
      </x:c>
      <x:c r="D182" s="59" t="n">
        <x:v>2</x:v>
      </x:c>
      <x:c r="E182" s="47" t="str">
        <x:v>9-1.2.2.2</x:v>
      </x:c>
      <x:c r="F182" s="47" t="str">
        <x:v>Static</x:v>
      </x:c>
      <x:c r="G182" s="48" t="str">
        <x:v>Stage 2 candidate - direct/deterministic</x:v>
      </x:c>
      <x:c r="H182" s="47" t="str">
        <x:v>Medium</x:v>
      </x:c>
      <x:c r="I182" s="47" t="str">
        <x:v>No</x:v>
      </x:c>
      <x:c r="J182" s="47" t="str">
        <x:v>ELIGIBLE</x:v>
      </x:c>
      <x:c r="K182" s="47" t="str">
        <x:v>NOT_RUN</x:v>
      </x:c>
    </x:row>
    <x:row r="183">
      <x:c r="A183" s="47" t="str">
        <x:v>IMO26-006</x:v>
      </x:c>
      <x:c r="B183" s="48" t="str">
        <x:v>Polar Code January 2026 Supplement - Resolution MSC.538(107)</x:v>
      </x:c>
      <x:c r="C183" s="47" t="str">
        <x:v>January 2026 Supplement; effective 1 Jan 2026</x:v>
      </x:c>
      <x:c r="D183" s="59" t="n">
        <x:v>3</x:v>
      </x:c>
      <x:c r="E183" s="47" t="str">
        <x:v>9-1.3.1</x:v>
      </x:c>
      <x:c r="F183" s="47" t="str">
        <x:v>Dynamic</x:v>
      </x:c>
      <x:c r="G183" s="48" t="str">
        <x:v>Deferred - observation/history/simulation design required</x:v>
      </x:c>
      <x:c r="H183" s="47" t="str">
        <x:v>Medium</x:v>
      </x:c>
      <x:c r="I183" s="47" t="str">
        <x:v>No</x:v>
      </x:c>
      <x:c r="J183" s="47" t="str">
        <x:v>DEFERRED</x:v>
      </x:c>
      <x:c r="K183" s="47" t="str">
        <x:v>NOT_RUN</x:v>
      </x:c>
    </x:row>
    <x:row r="184">
      <x:c r="A184" s="47" t="str">
        <x:v>IMO26-007</x:v>
      </x:c>
      <x:c r="B184" s="48" t="str">
        <x:v>Polar Code January 2026 Supplement - Resolution MSC.538(107)</x:v>
      </x:c>
      <x:c r="C184" s="47" t="str">
        <x:v>January 2026 Supplement; effective 1 Jan 2026</x:v>
      </x:c>
      <x:c r="D184" s="59" t="n">
        <x:v>3</x:v>
      </x:c>
      <x:c r="E184" s="47" t="str">
        <x:v>9-1.3.2.1.1</x:v>
      </x:c>
      <x:c r="F184" s="47" t="str">
        <x:v>Static</x:v>
      </x:c>
      <x:c r="G184" s="48" t="str">
        <x:v>Stage 2 candidate - direct static</x:v>
      </x:c>
      <x:c r="H184" s="47" t="str">
        <x:v>Direct static</x:v>
      </x:c>
      <x:c r="I184" s="47" t="str">
        <x:v>No</x:v>
      </x:c>
      <x:c r="J184" s="47" t="str">
        <x:v>ELIGIBLE</x:v>
      </x:c>
      <x:c r="K184" s="47" t="str">
        <x:v>NOT_RUN</x:v>
      </x:c>
    </x:row>
    <x:row r="185">
      <x:c r="A185" s="47" t="str">
        <x:v>IMO26-008</x:v>
      </x:c>
      <x:c r="B185" s="48" t="str">
        <x:v>Polar Code January 2026 Supplement - Resolution MSC.538(107)</x:v>
      </x:c>
      <x:c r="C185" s="47" t="str">
        <x:v>January 2026 Supplement; effective 1 Jan 2026</x:v>
      </x:c>
      <x:c r="D185" s="59" t="n">
        <x:v>3</x:v>
      </x:c>
      <x:c r="E185" s="47" t="str">
        <x:v>9-1.3.2.1.2</x:v>
      </x:c>
      <x:c r="F185" s="47" t="str">
        <x:v>Static</x:v>
      </x:c>
      <x:c r="G185" s="48" t="str">
        <x:v>Stage 2 candidate - direct static</x:v>
      </x:c>
      <x:c r="H185" s="47" t="str">
        <x:v>Direct static</x:v>
      </x:c>
      <x:c r="I185" s="47" t="str">
        <x:v>No</x:v>
      </x:c>
      <x:c r="J185" s="47" t="str">
        <x:v>ELIGIBLE</x:v>
      </x:c>
      <x:c r="K185" s="47" t="str">
        <x:v>NOT_RUN</x:v>
      </x:c>
    </x:row>
    <x:row r="186">
      <x:c r="A186" s="47" t="str">
        <x:v>IMO26-009</x:v>
      </x:c>
      <x:c r="B186" s="48" t="str">
        <x:v>Polar Code January 2026 Supplement - Resolution MSC.538(107)</x:v>
      </x:c>
      <x:c r="C186" s="47" t="str">
        <x:v>January 2026 Supplement; effective 1 Jan 2026</x:v>
      </x:c>
      <x:c r="D186" s="59" t="n">
        <x:v>3</x:v>
      </x:c>
      <x:c r="E186" s="47" t="str">
        <x:v>9-1.3.2.1.3</x:v>
      </x:c>
      <x:c r="F186" s="47" t="str">
        <x:v>Static</x:v>
      </x:c>
      <x:c r="G186" s="48" t="str">
        <x:v>Stage 2 candidate - direct/deterministic</x:v>
      </x:c>
      <x:c r="H186" s="47" t="str">
        <x:v>High</x:v>
      </x:c>
      <x:c r="I186" s="47" t="str">
        <x:v>No</x:v>
      </x:c>
      <x:c r="J186" s="47" t="str">
        <x:v>ELIGIBLE</x:v>
      </x:c>
      <x:c r="K186" s="47" t="str">
        <x:v>NOT_RUN</x:v>
      </x:c>
    </x:row>
    <x:row r="187">
      <x:c r="A187" s="47" t="str">
        <x:v>IMO26-010</x:v>
      </x:c>
      <x:c r="B187" s="48" t="str">
        <x:v>Polar Code January 2026 Supplement - Resolution MSC.538(107)</x:v>
      </x:c>
      <x:c r="C187" s="47" t="str">
        <x:v>January 2026 Supplement; effective 1 Jan 2026</x:v>
      </x:c>
      <x:c r="D187" s="59" t="n">
        <x:v>3</x:v>
      </x:c>
      <x:c r="E187" s="47" t="str">
        <x:v>9-1.3.2.1.4.1</x:v>
      </x:c>
      <x:c r="F187" s="47" t="str">
        <x:v>Static</x:v>
      </x:c>
      <x:c r="G187" s="48" t="str">
        <x:v>Stage 2 candidate - direct/deterministic</x:v>
      </x:c>
      <x:c r="H187" s="47" t="str">
        <x:v>High</x:v>
      </x:c>
      <x:c r="I187" s="47" t="str">
        <x:v>No</x:v>
      </x:c>
      <x:c r="J187" s="47" t="str">
        <x:v>ELIGIBLE</x:v>
      </x:c>
      <x:c r="K187" s="47" t="str">
        <x:v>NOT_RUN</x:v>
      </x:c>
    </x:row>
    <x:row r="188">
      <x:c r="A188" s="47" t="str">
        <x:v>IMO26-011</x:v>
      </x:c>
      <x:c r="B188" s="48" t="str">
        <x:v>Polar Code January 2026 Supplement - Resolution MSC.538(107)</x:v>
      </x:c>
      <x:c r="C188" s="47" t="str">
        <x:v>January 2026 Supplement; effective 1 Jan 2026</x:v>
      </x:c>
      <x:c r="D188" s="59" t="n">
        <x:v>4</x:v>
      </x:c>
      <x:c r="E188" s="47" t="str">
        <x:v>9-1.3.2.1.4.2</x:v>
      </x:c>
      <x:c r="F188" s="47" t="str">
        <x:v>Static</x:v>
      </x:c>
      <x:c r="G188" s="48" t="str">
        <x:v>Stage 2 candidate - direct static</x:v>
      </x:c>
      <x:c r="H188" s="47" t="str">
        <x:v>Direct static</x:v>
      </x:c>
      <x:c r="I188" s="47" t="str">
        <x:v>No</x:v>
      </x:c>
      <x:c r="J188" s="47" t="str">
        <x:v>ELIGIBLE</x:v>
      </x:c>
      <x:c r="K188" s="47" t="str">
        <x:v>NOT_RUN</x:v>
      </x:c>
    </x:row>
    <x:row r="189">
      <x:c r="A189" s="47" t="str">
        <x:v>IMO26-012</x:v>
      </x:c>
      <x:c r="B189" s="48" t="str">
        <x:v>Polar Code January 2026 Supplement - Resolution MSC.538(107)</x:v>
      </x:c>
      <x:c r="C189" s="47" t="str">
        <x:v>January 2026 Supplement; effective 1 Jan 2026</x:v>
      </x:c>
      <x:c r="D189" s="59" t="n">
        <x:v>4</x:v>
      </x:c>
      <x:c r="E189" s="47" t="str">
        <x:v>9-1.3.2.2.1</x:v>
      </x:c>
      <x:c r="F189" s="47" t="str">
        <x:v>Static</x:v>
      </x:c>
      <x:c r="G189" s="48" t="str">
        <x:v>Stage 2 candidate - direct/deterministic</x:v>
      </x:c>
      <x:c r="H189" s="47" t="str">
        <x:v>High</x:v>
      </x:c>
      <x:c r="I189" s="47" t="str">
        <x:v>No</x:v>
      </x:c>
      <x:c r="J189" s="47" t="str">
        <x:v>ELIGIBLE</x:v>
      </x:c>
      <x:c r="K189" s="47" t="str">
        <x:v>NOT_RUN</x:v>
      </x:c>
    </x:row>
    <x:row r="190">
      <x:c r="A190" s="47" t="str">
        <x:v>IMO26-013</x:v>
      </x:c>
      <x:c r="B190" s="48" t="str">
        <x:v>Polar Code January 2026 Supplement - Resolution MSC.538(107)</x:v>
      </x:c>
      <x:c r="C190" s="47" t="str">
        <x:v>January 2026 Supplement; effective 1 Jan 2026</x:v>
      </x:c>
      <x:c r="D190" s="59" t="n">
        <x:v>4</x:v>
      </x:c>
      <x:c r="E190" s="47" t="str">
        <x:v>9-1.3.2.2.2</x:v>
      </x:c>
      <x:c r="F190" s="47" t="str">
        <x:v>Static</x:v>
      </x:c>
      <x:c r="G190" s="48" t="str">
        <x:v>Stage 2 candidate - direct/deterministic</x:v>
      </x:c>
      <x:c r="H190" s="47" t="str">
        <x:v>High</x:v>
      </x:c>
      <x:c r="I190" s="47" t="str">
        <x:v>No</x:v>
      </x:c>
      <x:c r="J190" s="47" t="str">
        <x:v>ELIGIBLE</x:v>
      </x:c>
      <x:c r="K190" s="47" t="str">
        <x:v>NOT_RUN</x:v>
      </x:c>
    </x:row>
    <x:row r="191">
      <x:c r="A191" s="47" t="str">
        <x:v>IMO26-014</x:v>
      </x:c>
      <x:c r="B191" s="48" t="str">
        <x:v>Polar Code January 2026 Supplement - Resolution MSC.538(107)</x:v>
      </x:c>
      <x:c r="C191" s="47" t="str">
        <x:v>January 2026 Supplement; effective 1 Jan 2026</x:v>
      </x:c>
      <x:c r="D191" s="59" t="n">
        <x:v>4</x:v>
      </x:c>
      <x:c r="E191" s="47" t="str">
        <x:v>9-1.3.3</x:v>
      </x:c>
      <x:c r="F191" s="47" t="str">
        <x:v>Static</x:v>
      </x:c>
      <x:c r="G191" s="48" t="str">
        <x:v>Stage 2 candidate - direct/deterministic</x:v>
      </x:c>
      <x:c r="H191" s="47" t="str">
        <x:v>High</x:v>
      </x:c>
      <x:c r="I191" s="47" t="str">
        <x:v>No</x:v>
      </x:c>
      <x:c r="J191" s="47" t="str">
        <x:v>ELIGIBLE</x:v>
      </x:c>
      <x:c r="K191" s="47" t="str">
        <x:v>NOT_RUN</x:v>
      </x:c>
    </x:row>
    <x:row r="192">
      <x:c r="A192" s="47" t="str">
        <x:v>IMO26-015</x:v>
      </x:c>
      <x:c r="B192" s="48" t="str">
        <x:v>Polar Code January 2026 Supplement - Resolution MSC.538(107)</x:v>
      </x:c>
      <x:c r="C192" s="47" t="str">
        <x:v>January 2026 Supplement; effective 1 Jan 2026</x:v>
      </x:c>
      <x:c r="D192" s="59" t="n">
        <x:v>5</x:v>
      </x:c>
      <x:c r="E192" s="47" t="str">
        <x:v>Amendment 5</x:v>
      </x:c>
      <x:c r="F192" s="47" t="str">
        <x:v>Static</x:v>
      </x:c>
      <x:c r="G192" s="48" t="str">
        <x:v>Stage 2 candidate - direct/deterministic</x:v>
      </x:c>
      <x:c r="H192" s="47" t="str">
        <x:v>High</x:v>
      </x:c>
      <x:c r="I192" s="47" t="str">
        <x:v>No</x:v>
      </x:c>
      <x:c r="J192" s="47" t="str">
        <x:v>ELIGIBLE</x:v>
      </x:c>
      <x:c r="K192" s="47" t="str">
        <x:v>NOT_RUN</x:v>
      </x:c>
    </x:row>
    <x:row r="193">
      <x:c r="A193" s="47" t="str">
        <x:v>IMO26-016</x:v>
      </x:c>
      <x:c r="B193" s="48" t="str">
        <x:v>Polar Code January 2026 Supplement - Resolution MSC.538(107)</x:v>
      </x:c>
      <x:c r="C193" s="47" t="str">
        <x:v>January 2026 Supplement; effective 1 Jan 2026</x:v>
      </x:c>
      <x:c r="D193" s="59" t="n">
        <x:v>5</x:v>
      </x:c>
      <x:c r="E193" s="47" t="str">
        <x:v>Chapter 11-1 applicability</x:v>
      </x:c>
      <x:c r="F193" s="47" t="str">
        <x:v>Static</x:v>
      </x:c>
      <x:c r="G193" s="48" t="str">
        <x:v>Stage 2 candidate - direct/deterministic</x:v>
      </x:c>
      <x:c r="H193" s="47" t="str">
        <x:v>High</x:v>
      </x:c>
      <x:c r="I193" s="47" t="str">
        <x:v>No</x:v>
      </x:c>
      <x:c r="J193" s="47" t="str">
        <x:v>ELIGIBLE</x:v>
      </x:c>
      <x:c r="K193" s="47" t="str">
        <x:v>NOT_RUN</x:v>
      </x:c>
    </x:row>
    <x:row r="194">
      <x:c r="A194" s="47" t="str">
        <x:v>IMO26-017</x:v>
      </x:c>
      <x:c r="B194" s="48" t="str">
        <x:v>Polar Code January 2026 Supplement - Resolution MSC.538(107)</x:v>
      </x:c>
      <x:c r="C194" s="47" t="str">
        <x:v>January 2026 Supplement; effective 1 Jan 2026</x:v>
      </x:c>
      <x:c r="D194" s="59" t="n">
        <x:v>5</x:v>
      </x:c>
      <x:c r="E194" s="47" t="str">
        <x:v>11-1.2</x:v>
      </x:c>
      <x:c r="F194" s="47" t="str">
        <x:v>Static</x:v>
      </x:c>
      <x:c r="G194" s="48" t="str">
        <x:v>Stage 2 candidate - direct static</x:v>
      </x:c>
      <x:c r="H194" s="47" t="str">
        <x:v>Direct static</x:v>
      </x:c>
      <x:c r="I194" s="47" t="str">
        <x:v>No</x:v>
      </x:c>
      <x:c r="J194" s="47" t="str">
        <x:v>ELIGIBLE</x:v>
      </x:c>
      <x:c r="K194" s="47" t="str">
        <x:v>NOT_RUN</x:v>
      </x:c>
    </x:row>
    <x:row r="195">
      <x:c r="A195" s="47" t="str">
        <x:v>IMO26-018</x:v>
      </x:c>
      <x:c r="B195" s="48" t="str">
        <x:v>Polar Code January 2026 Supplement - Resolution MSC.538(107)</x:v>
      </x:c>
      <x:c r="C195" s="47" t="str">
        <x:v>January 2026 Supplement; effective 1 Jan 2026</x:v>
      </x:c>
      <x:c r="D195" s="59" t="n">
        <x:v>6</x:v>
      </x:c>
      <x:c r="E195" s="47" t="str">
        <x:v>11-1.3.1-11-1.3.9</x:v>
      </x:c>
      <x:c r="F195" s="47" t="str">
        <x:v>Static</x:v>
      </x:c>
      <x:c r="G195" s="48" t="str">
        <x:v>Stage 2 candidate - direct static</x:v>
      </x:c>
      <x:c r="H195" s="47" t="str">
        <x:v>Direct static</x:v>
      </x:c>
      <x:c r="I195" s="47" t="str">
        <x:v>No</x:v>
      </x:c>
      <x:c r="J195" s="47" t="str">
        <x:v>ELIGIBLE</x:v>
      </x:c>
      <x:c r="K195" s="47" t="str">
        <x:v>NOT_RUN</x:v>
      </x:c>
    </x:row>
    <x:row r="196">
      <x:c r="A196" s="47" t="str">
        <x:v>TRF-001</x:v>
      </x:c>
      <x:c r="B196" s="48" t="str">
        <x:v>Ice Class Regulations and the Application Thereof</x:v>
      </x:c>
      <x:c r="C196" s="47" t="str">
        <x:v>TRAFICOM/68863/03.04.01.00/2021</x:v>
      </x:c>
      <x:c r="D196" s="59" t="n">
        <x:v>5</x:v>
      </x:c>
      <x:c r="E196" s="47" t="str">
        <x:v>1.1</x:v>
      </x:c>
      <x:c r="F196" s="47" t="str">
        <x:v>Static</x:v>
      </x:c>
      <x:c r="G196" s="48" t="str">
        <x:v>Stage 2 candidate - direct/deterministic</x:v>
      </x:c>
      <x:c r="H196" s="47" t="str">
        <x:v>High</x:v>
      </x:c>
      <x:c r="I196" s="47" t="str">
        <x:v>No</x:v>
      </x:c>
      <x:c r="J196" s="47" t="str">
        <x:v>ELIGIBLE</x:v>
      </x:c>
      <x:c r="K196" s="47" t="str">
        <x:v>NOT_RUN</x:v>
      </x:c>
    </x:row>
    <x:row r="197">
      <x:c r="A197" s="47" t="str">
        <x:v>TRF-002</x:v>
      </x:c>
      <x:c r="B197" s="48" t="str">
        <x:v>Ice Class Regulations and the Application Thereof</x:v>
      </x:c>
      <x:c r="C197" s="47" t="str">
        <x:v>TRAFICOM/68863/03.04.01.00/2021</x:v>
      </x:c>
      <x:c r="D197" s="59" t="n">
        <x:v>5</x:v>
      </x:c>
      <x:c r="E197" s="47" t="str">
        <x:v>1.2</x:v>
      </x:c>
      <x:c r="F197" s="47" t="str">
        <x:v>Static</x:v>
      </x:c>
      <x:c r="G197" s="48" t="str">
        <x:v>Stage 2 candidate - direct/deterministic</x:v>
      </x:c>
      <x:c r="H197" s="47" t="str">
        <x:v>High</x:v>
      </x:c>
      <x:c r="I197" s="47" t="str">
        <x:v>No</x:v>
      </x:c>
      <x:c r="J197" s="47" t="str">
        <x:v>ELIGIBLE</x:v>
      </x:c>
      <x:c r="K197" s="47" t="str">
        <x:v>NOT_RUN</x:v>
      </x:c>
    </x:row>
    <x:row r="198">
      <x:c r="A198" s="47" t="str">
        <x:v>TRF-003</x:v>
      </x:c>
      <x:c r="B198" s="48" t="str">
        <x:v>Ice Class Regulations and the Application Thereof</x:v>
      </x:c>
      <x:c r="C198" s="47" t="str">
        <x:v>TRAFICOM/68863/03.04.01.00/2021</x:v>
      </x:c>
      <x:c r="D198" s="59" t="n">
        <x:v>5</x:v>
      </x:c>
      <x:c r="E198" s="47" t="str">
        <x:v>1.3</x:v>
      </x:c>
      <x:c r="F198" s="47" t="str">
        <x:v>Static</x:v>
      </x:c>
      <x:c r="G198" s="48" t="str">
        <x:v>Stage 2 candidate - direct/deterministic</x:v>
      </x:c>
      <x:c r="H198" s="47" t="str">
        <x:v>High</x:v>
      </x:c>
      <x:c r="I198" s="47" t="str">
        <x:v>No</x:v>
      </x:c>
      <x:c r="J198" s="47" t="str">
        <x:v>ELIGIBLE</x:v>
      </x:c>
      <x:c r="K198" s="47" t="str">
        <x:v>NOT_RUN</x:v>
      </x:c>
    </x:row>
    <x:row r="199">
      <x:c r="A199" s="47" t="str">
        <x:v>TRF-004</x:v>
      </x:c>
      <x:c r="B199" s="48" t="str">
        <x:v>Ice Class Regulations and the Application Thereof</x:v>
      </x:c>
      <x:c r="C199" s="47" t="str">
        <x:v>TRAFICOM/68863/03.04.01.00/2021</x:v>
      </x:c>
      <x:c r="D199" s="59" t="n">
        <x:v>5</x:v>
      </x:c>
      <x:c r="E199" s="47" t="str">
        <x:v>1.4</x:v>
      </x:c>
      <x:c r="F199" s="47" t="str">
        <x:v>Static</x:v>
      </x:c>
      <x:c r="G199" s="48" t="str">
        <x:v>Stage 2 candidate - direct/deterministic</x:v>
      </x:c>
      <x:c r="H199" s="47" t="str">
        <x:v>Medium</x:v>
      </x:c>
      <x:c r="I199" s="47" t="str">
        <x:v>No</x:v>
      </x:c>
      <x:c r="J199" s="47" t="str">
        <x:v>ELIGIBLE</x:v>
      </x:c>
      <x:c r="K199" s="47" t="str">
        <x:v>NOT_RUN</x:v>
      </x:c>
    </x:row>
    <x:row r="200">
      <x:c r="A200" s="47" t="str">
        <x:v>TRF-005</x:v>
      </x:c>
      <x:c r="B200" s="48" t="str">
        <x:v>Ice Class Regulations and the Application Thereof</x:v>
      </x:c>
      <x:c r="C200" s="47" t="str">
        <x:v>TRAFICOM/68863/03.04.01.00/2021</x:v>
      </x:c>
      <x:c r="D200" s="59" t="n">
        <x:v>5</x:v>
      </x:c>
      <x:c r="E200" s="47" t="str">
        <x:v>1.5</x:v>
      </x:c>
      <x:c r="F200" s="47" t="str">
        <x:v>Static</x:v>
      </x:c>
      <x:c r="G200" s="48" t="str">
        <x:v>Stage 2 candidate - direct/deterministic</x:v>
      </x:c>
      <x:c r="H200" s="47" t="str">
        <x:v>Medium</x:v>
      </x:c>
      <x:c r="I200" s="47" t="str">
        <x:v>No</x:v>
      </x:c>
      <x:c r="J200" s="47" t="str">
        <x:v>ELIGIBLE</x:v>
      </x:c>
      <x:c r="K200" s="47" t="str">
        <x:v>NOT_RUN</x:v>
      </x:c>
    </x:row>
    <x:row r="201">
      <x:c r="A201" s="47" t="str">
        <x:v>TRF-006</x:v>
      </x:c>
      <x:c r="B201" s="48" t="str">
        <x:v>Ice Class Regulations and the Application Thereof</x:v>
      </x:c>
      <x:c r="C201" s="47" t="str">
        <x:v>TRAFICOM/68863/03.04.01.00/2021</x:v>
      </x:c>
      <x:c r="D201" s="59" t="n">
        <x:v>5</x:v>
      </x:c>
      <x:c r="E201" s="47" t="str">
        <x:v>1.6</x:v>
      </x:c>
      <x:c r="F201" s="47" t="str">
        <x:v>Static</x:v>
      </x:c>
      <x:c r="G201" s="48" t="str">
        <x:v>Stage 2 candidate - direct/deterministic</x:v>
      </x:c>
      <x:c r="H201" s="47" t="str">
        <x:v>High</x:v>
      </x:c>
      <x:c r="I201" s="47" t="str">
        <x:v>No</x:v>
      </x:c>
      <x:c r="J201" s="47" t="str">
        <x:v>ELIGIBLE</x:v>
      </x:c>
      <x:c r="K201" s="47" t="str">
        <x:v>NOT_RUN</x:v>
      </x:c>
    </x:row>
    <x:row r="202">
      <x:c r="A202" s="47" t="str">
        <x:v>TRF-007</x:v>
      </x:c>
      <x:c r="B202" s="48" t="str">
        <x:v>Ice Class Regulations and the Application Thereof</x:v>
      </x:c>
      <x:c r="C202" s="47" t="str">
        <x:v>TRAFICOM/68863/03.04.01.00/2021</x:v>
      </x:c>
      <x:c r="D202" s="59" t="n">
        <x:v>5</x:v>
      </x:c>
      <x:c r="E202" s="47" t="str">
        <x:v>1.6</x:v>
      </x:c>
      <x:c r="F202" s="47" t="str">
        <x:v>Static</x:v>
      </x:c>
      <x:c r="G202" s="48" t="str">
        <x:v>Stage 2 candidate - direct/deterministic</x:v>
      </x:c>
      <x:c r="H202" s="47" t="str">
        <x:v>High</x:v>
      </x:c>
      <x:c r="I202" s="47" t="str">
        <x:v>No</x:v>
      </x:c>
      <x:c r="J202" s="47" t="str">
        <x:v>ELIGIBLE</x:v>
      </x:c>
      <x:c r="K202" s="47" t="str">
        <x:v>NOT_RUN</x:v>
      </x:c>
    </x:row>
    <x:row r="203">
      <x:c r="A203" s="47" t="str">
        <x:v>TRF-009</x:v>
      </x:c>
      <x:c r="B203" s="48" t="str">
        <x:v>Ice Class Regulations and the Application Thereof</x:v>
      </x:c>
      <x:c r="C203" s="47" t="str">
        <x:v>TRAFICOM/68863/03.04.01.00/2021</x:v>
      </x:c>
      <x:c r="D203" s="59" t="n">
        <x:v>6</x:v>
      </x:c>
      <x:c r="E203" s="47" t="str">
        <x:v>1.7</x:v>
      </x:c>
      <x:c r="F203" s="47" t="str">
        <x:v>Static</x:v>
      </x:c>
      <x:c r="G203" s="48" t="str">
        <x:v>Stage 2 candidate - direct/deterministic</x:v>
      </x:c>
      <x:c r="H203" s="47" t="str">
        <x:v>High</x:v>
      </x:c>
      <x:c r="I203" s="47" t="str">
        <x:v>No</x:v>
      </x:c>
      <x:c r="J203" s="47" t="str">
        <x:v>ELIGIBLE</x:v>
      </x:c>
      <x:c r="K203" s="47" t="str">
        <x:v>NOT_RUN</x:v>
      </x:c>
    </x:row>
    <x:row r="204">
      <x:c r="A204" s="47" t="str">
        <x:v>TRF-010</x:v>
      </x:c>
      <x:c r="B204" s="48" t="str">
        <x:v>Ice Class Regulations and the Application Thereof</x:v>
      </x:c>
      <x:c r="C204" s="47" t="str">
        <x:v>TRAFICOM/68863/03.04.01.00/2021</x:v>
      </x:c>
      <x:c r="D204" s="59" t="n">
        <x:v>6</x:v>
      </x:c>
      <x:c r="E204" s="47" t="str">
        <x:v>1.8</x:v>
      </x:c>
      <x:c r="F204" s="47" t="str">
        <x:v>Static</x:v>
      </x:c>
      <x:c r="G204" s="48" t="str">
        <x:v>Stage 2 candidate - direct/deterministic</x:v>
      </x:c>
      <x:c r="H204" s="47" t="str">
        <x:v>High</x:v>
      </x:c>
      <x:c r="I204" s="47" t="str">
        <x:v>No</x:v>
      </x:c>
      <x:c r="J204" s="47" t="str">
        <x:v>ELIGIBLE</x:v>
      </x:c>
      <x:c r="K204" s="47" t="str">
        <x:v>NOT_RUN</x:v>
      </x:c>
    </x:row>
    <x:row r="205">
      <x:c r="A205" s="47" t="str">
        <x:v>TRF-011</x:v>
      </x:c>
      <x:c r="B205" s="48" t="str">
        <x:v>Ice Class Regulations and the Application Thereof</x:v>
      </x:c>
      <x:c r="C205" s="47" t="str">
        <x:v>TRAFICOM/68863/03.04.01.00/2021</x:v>
      </x:c>
      <x:c r="D205" s="59" t="n">
        <x:v>6</x:v>
      </x:c>
      <x:c r="E205" s="47" t="str">
        <x:v>2.1</x:v>
      </x:c>
      <x:c r="F205" s="47" t="str">
        <x:v>Static</x:v>
      </x:c>
      <x:c r="G205" s="48" t="str">
        <x:v>Stage 2 candidate - direct/deterministic</x:v>
      </x:c>
      <x:c r="H205" s="47" t="str">
        <x:v>High</x:v>
      </x:c>
      <x:c r="I205" s="47" t="str">
        <x:v>No</x:v>
      </x:c>
      <x:c r="J205" s="47" t="str">
        <x:v>ELIGIBLE</x:v>
      </x:c>
      <x:c r="K205" s="47" t="str">
        <x:v>NOT_RUN</x:v>
      </x:c>
    </x:row>
    <x:row r="206">
      <x:c r="A206" s="47" t="str">
        <x:v>TRF-012</x:v>
      </x:c>
      <x:c r="B206" s="48" t="str">
        <x:v>Ice Class Regulations and the Application Thereof</x:v>
      </x:c>
      <x:c r="C206" s="47" t="str">
        <x:v>TRAFICOM/68863/03.04.01.00/2021</x:v>
      </x:c>
      <x:c r="D206" s="59" t="n">
        <x:v>6</x:v>
      </x:c>
      <x:c r="E206" s="47" t="str">
        <x:v>2.1</x:v>
      </x:c>
      <x:c r="F206" s="47" t="str">
        <x:v>Complex</x:v>
      </x:c>
      <x:c r="G206" s="48" t="str">
        <x:v>Stage 2 candidate - complex readiness</x:v>
      </x:c>
      <x:c r="H206" s="47" t="str">
        <x:v>Complex readiness</x:v>
      </x:c>
      <x:c r="I206" s="47" t="str">
        <x:v>No</x:v>
      </x:c>
      <x:c r="J206" s="47" t="str">
        <x:v>ELIGIBLE</x:v>
      </x:c>
      <x:c r="K206" s="47" t="str">
        <x:v>NOT_RUN</x:v>
      </x:c>
    </x:row>
    <x:row r="207">
      <x:c r="A207" s="47" t="str">
        <x:v>TRF-013</x:v>
      </x:c>
      <x:c r="B207" s="48" t="str">
        <x:v>Ice Class Regulations and the Application Thereof</x:v>
      </x:c>
      <x:c r="C207" s="47" t="str">
        <x:v>TRAFICOM/68863/03.04.01.00/2021</x:v>
      </x:c>
      <x:c r="D207" s="59" t="n">
        <x:v>7</x:v>
      </x:c>
      <x:c r="E207" s="47" t="str">
        <x:v>2.2</x:v>
      </x:c>
      <x:c r="F207" s="47" t="str">
        <x:v>Static</x:v>
      </x:c>
      <x:c r="G207" s="48" t="str">
        <x:v>Stage 2 candidate - direct/deterministic</x:v>
      </x:c>
      <x:c r="H207" s="47" t="str">
        <x:v>High</x:v>
      </x:c>
      <x:c r="I207" s="47" t="str">
        <x:v>No</x:v>
      </x:c>
      <x:c r="J207" s="47" t="str">
        <x:v>ELIGIBLE</x:v>
      </x:c>
      <x:c r="K207" s="47" t="str">
        <x:v>NOT_RUN</x:v>
      </x:c>
    </x:row>
    <x:row r="208">
      <x:c r="A208" s="47" t="str">
        <x:v>TRF-014</x:v>
      </x:c>
      <x:c r="B208" s="48" t="str">
        <x:v>Ice Class Regulations and the Application Thereof</x:v>
      </x:c>
      <x:c r="C208" s="47" t="str">
        <x:v>TRAFICOM/68863/03.04.01.00/2021</x:v>
      </x:c>
      <x:c r="D208" s="59" t="n">
        <x:v>7</x:v>
      </x:c>
      <x:c r="E208" s="47" t="str">
        <x:v>2.2</x:v>
      </x:c>
      <x:c r="F208" s="47" t="str">
        <x:v>Static</x:v>
      </x:c>
      <x:c r="G208" s="48" t="str">
        <x:v>Stage 2 candidate - direct/deterministic</x:v>
      </x:c>
      <x:c r="H208" s="47" t="str">
        <x:v>High</x:v>
      </x:c>
      <x:c r="I208" s="47" t="str">
        <x:v>No</x:v>
      </x:c>
      <x:c r="J208" s="47" t="str">
        <x:v>ELIGIBLE</x:v>
      </x:c>
      <x:c r="K208" s="47" t="str">
        <x:v>NOT_RUN</x:v>
      </x:c>
    </x:row>
    <x:row r="209">
      <x:c r="A209" s="47" t="str">
        <x:v>TRF-015</x:v>
      </x:c>
      <x:c r="B209" s="48" t="str">
        <x:v>Ice Class Regulations and the Application Thereof</x:v>
      </x:c>
      <x:c r="C209" s="47" t="str">
        <x:v>TRAFICOM/68863/03.04.01.00/2021</x:v>
      </x:c>
      <x:c r="D209" s="59" t="n">
        <x:v>7</x:v>
      </x:c>
      <x:c r="E209" s="47" t="str">
        <x:v>2.2</x:v>
      </x:c>
      <x:c r="F209" s="47" t="str">
        <x:v>Static</x:v>
      </x:c>
      <x:c r="G209" s="48" t="str">
        <x:v>Stage 2 candidate - direct/deterministic</x:v>
      </x:c>
      <x:c r="H209" s="47" t="str">
        <x:v>High</x:v>
      </x:c>
      <x:c r="I209" s="47" t="str">
        <x:v>No</x:v>
      </x:c>
      <x:c r="J209" s="47" t="str">
        <x:v>ELIGIBLE</x:v>
      </x:c>
      <x:c r="K209" s="47" t="str">
        <x:v>NOT_RUN</x:v>
      </x:c>
    </x:row>
    <x:row r="210">
      <x:c r="A210" s="47" t="str">
        <x:v>TRF-016</x:v>
      </x:c>
      <x:c r="B210" s="48" t="str">
        <x:v>Ice Class Regulations and the Application Thereof</x:v>
      </x:c>
      <x:c r="C210" s="47" t="str">
        <x:v>TRAFICOM/68863/03.04.01.00/2021</x:v>
      </x:c>
      <x:c r="D210" s="59" t="n">
        <x:v>7</x:v>
      </x:c>
      <x:c r="E210" s="47" t="str">
        <x:v>2.2</x:v>
      </x:c>
      <x:c r="F210" s="47" t="str">
        <x:v>Static Calculation</x:v>
      </x:c>
      <x:c r="G210" s="48" t="str">
        <x:v>Stage 2 candidate - direct/deterministic</x:v>
      </x:c>
      <x:c r="H210" s="47" t="str">
        <x:v>High</x:v>
      </x:c>
      <x:c r="I210" s="47" t="str">
        <x:v>No</x:v>
      </x:c>
      <x:c r="J210" s="47" t="str">
        <x:v>ELIGIBLE</x:v>
      </x:c>
      <x:c r="K210" s="47" t="str">
        <x:v>NOT_RUN</x:v>
      </x:c>
    </x:row>
    <x:row r="211">
      <x:c r="A211" s="47" t="str">
        <x:v>TRF-017</x:v>
      </x:c>
      <x:c r="B211" s="48" t="str">
        <x:v>Ice Class Regulations and the Application Thereof</x:v>
      </x:c>
      <x:c r="C211" s="47" t="str">
        <x:v>TRAFICOM/68863/03.04.01.00/2021</x:v>
      </x:c>
      <x:c r="D211" s="59" t="n">
        <x:v>7</x:v>
      </x:c>
      <x:c r="E211" s="47" t="str">
        <x:v>3.1</x:v>
      </x:c>
      <x:c r="F211" s="47" t="str">
        <x:v>Static</x:v>
      </x:c>
      <x:c r="G211" s="48" t="str">
        <x:v>Stage 2 candidate - direct/deterministic</x:v>
      </x:c>
      <x:c r="H211" s="47" t="str">
        <x:v>High</x:v>
      </x:c>
      <x:c r="I211" s="47" t="str">
        <x:v>No</x:v>
      </x:c>
      <x:c r="J211" s="47" t="str">
        <x:v>ELIGIBLE</x:v>
      </x:c>
      <x:c r="K211" s="47" t="str">
        <x:v>NOT_RUN</x:v>
      </x:c>
    </x:row>
    <x:row r="212">
      <x:c r="A212" s="47" t="str">
        <x:v>TRF-018</x:v>
      </x:c>
      <x:c r="B212" s="48" t="str">
        <x:v>Ice Class Regulations and the Application Thereof</x:v>
      </x:c>
      <x:c r="C212" s="47" t="str">
        <x:v>TRAFICOM/68863/03.04.01.00/2021</x:v>
      </x:c>
      <x:c r="D212" s="59" t="n">
        <x:v>8</x:v>
      </x:c>
      <x:c r="E212" s="47" t="str">
        <x:v>3.2</x:v>
      </x:c>
      <x:c r="F212" s="47" t="str">
        <x:v>Static Calculation</x:v>
      </x:c>
      <x:c r="G212" s="48" t="str">
        <x:v>Stage 2 candidate - direct/deterministic</x:v>
      </x:c>
      <x:c r="H212" s="47" t="str">
        <x:v>High</x:v>
      </x:c>
      <x:c r="I212" s="47" t="str">
        <x:v>No</x:v>
      </x:c>
      <x:c r="J212" s="47" t="str">
        <x:v>ELIGIBLE</x:v>
      </x:c>
      <x:c r="K212" s="47" t="str">
        <x:v>NOT_RUN</x:v>
      </x:c>
    </x:row>
    <x:row r="213">
      <x:c r="A213" s="47" t="str">
        <x:v>TRF-020</x:v>
      </x:c>
      <x:c r="B213" s="48" t="str">
        <x:v>Ice Class Regulations and the Application Thereof</x:v>
      </x:c>
      <x:c r="C213" s="47" t="str">
        <x:v>TRAFICOM/68863/03.04.01.00/2021</x:v>
      </x:c>
      <x:c r="D213" s="59" t="str">
        <x:v>8-9</x:v>
      </x:c>
      <x:c r="E213" s="47" t="str">
        <x:v>3.2.2</x:v>
      </x:c>
      <x:c r="F213" s="47" t="str">
        <x:v>Complex</x:v>
      </x:c>
      <x:c r="G213" s="48" t="str">
        <x:v>Stage 2 candidate - complex readiness</x:v>
      </x:c>
      <x:c r="H213" s="47" t="str">
        <x:v>Complex readiness</x:v>
      </x:c>
      <x:c r="I213" s="47" t="str">
        <x:v>No</x:v>
      </x:c>
      <x:c r="J213" s="47" t="str">
        <x:v>ELIGIBLE</x:v>
      </x:c>
      <x:c r="K213" s="47" t="str">
        <x:v>NOT_RUN</x:v>
      </x:c>
    </x:row>
    <x:row r="214">
      <x:c r="A214" s="47" t="str">
        <x:v>TRF-022</x:v>
      </x:c>
      <x:c r="B214" s="48" t="str">
        <x:v>Ice Class Regulations and the Application Thereof</x:v>
      </x:c>
      <x:c r="C214" s="47" t="str">
        <x:v>TRAFICOM/68863/03.04.01.00/2021</x:v>
      </x:c>
      <x:c r="D214" s="59" t="n">
        <x:v>10</x:v>
      </x:c>
      <x:c r="E214" s="47" t="str">
        <x:v>3.2.2</x:v>
      </x:c>
      <x:c r="F214" s="47" t="str">
        <x:v>Complex</x:v>
      </x:c>
      <x:c r="G214" s="48" t="str">
        <x:v>Stage 2 candidate - complex readiness</x:v>
      </x:c>
      <x:c r="H214" s="47" t="str">
        <x:v>Complex readiness</x:v>
      </x:c>
      <x:c r="I214" s="47" t="str">
        <x:v>No</x:v>
      </x:c>
      <x:c r="J214" s="47" t="str">
        <x:v>ELIGIBLE</x:v>
      </x:c>
      <x:c r="K214" s="47" t="str">
        <x:v>NOT_RUN</x:v>
      </x:c>
    </x:row>
    <x:row r="215">
      <x:c r="A215" s="47" t="str">
        <x:v>TRF-023</x:v>
      </x:c>
      <x:c r="B215" s="48" t="str">
        <x:v>Ice Class Regulations and the Application Thereof</x:v>
      </x:c>
      <x:c r="C215" s="47" t="str">
        <x:v>TRAFICOM/68863/03.04.01.00/2021</x:v>
      </x:c>
      <x:c r="D215" s="59" t="n">
        <x:v>10</x:v>
      </x:c>
      <x:c r="E215" s="47" t="str">
        <x:v>3.2.3</x:v>
      </x:c>
      <x:c r="F215" s="47" t="str">
        <x:v>Static</x:v>
      </x:c>
      <x:c r="G215" s="48" t="str">
        <x:v>Stage 2 candidate - direct/deterministic</x:v>
      </x:c>
      <x:c r="H215" s="47" t="str">
        <x:v>High</x:v>
      </x:c>
      <x:c r="I215" s="47" t="str">
        <x:v>No</x:v>
      </x:c>
      <x:c r="J215" s="47" t="str">
        <x:v>ELIGIBLE</x:v>
      </x:c>
      <x:c r="K215" s="47" t="str">
        <x:v>NOT_RUN</x:v>
      </x:c>
    </x:row>
    <x:row r="216">
      <x:c r="A216" s="47" t="str">
        <x:v>TRF-024</x:v>
      </x:c>
      <x:c r="B216" s="48" t="str">
        <x:v>Ice Class Regulations and the Application Thereof</x:v>
      </x:c>
      <x:c r="C216" s="47" t="str">
        <x:v>TRAFICOM/68863/03.04.01.00/2021</x:v>
      </x:c>
      <x:c r="D216" s="59" t="n">
        <x:v>10</x:v>
      </x:c>
      <x:c r="E216" s="47" t="str">
        <x:v>3.2.4</x:v>
      </x:c>
      <x:c r="F216" s="47" t="str">
        <x:v>Static</x:v>
      </x:c>
      <x:c r="G216" s="48" t="str">
        <x:v>Stage 2 candidate - direct/deterministic</x:v>
      </x:c>
      <x:c r="H216" s="47" t="str">
        <x:v>High</x:v>
      </x:c>
      <x:c r="I216" s="47" t="str">
        <x:v>No</x:v>
      </x:c>
      <x:c r="J216" s="47" t="str">
        <x:v>ELIGIBLE</x:v>
      </x:c>
      <x:c r="K216" s="47" t="str">
        <x:v>NOT_RUN</x:v>
      </x:c>
    </x:row>
    <x:row r="217">
      <x:c r="A217" s="47" t="str">
        <x:v>TRF-025</x:v>
      </x:c>
      <x:c r="B217" s="48" t="str">
        <x:v>Ice Class Regulations and the Application Thereof</x:v>
      </x:c>
      <x:c r="C217" s="47" t="str">
        <x:v>TRAFICOM/68863/03.04.01.00/2021</x:v>
      </x:c>
      <x:c r="D217" s="59" t="n">
        <x:v>10</x:v>
      </x:c>
      <x:c r="E217" s="47" t="str">
        <x:v>3.2.4</x:v>
      </x:c>
      <x:c r="F217" s="47" t="str">
        <x:v>Complex</x:v>
      </x:c>
      <x:c r="G217" s="48" t="str">
        <x:v>Stage 2 candidate - complex readiness</x:v>
      </x:c>
      <x:c r="H217" s="47" t="str">
        <x:v>Complex readiness</x:v>
      </x:c>
      <x:c r="I217" s="47" t="str">
        <x:v>No</x:v>
      </x:c>
      <x:c r="J217" s="47" t="str">
        <x:v>ELIGIBLE</x:v>
      </x:c>
      <x:c r="K217" s="47" t="str">
        <x:v>NOT_RUN</x:v>
      </x:c>
    </x:row>
    <x:row r="218">
      <x:c r="A218" s="47" t="str">
        <x:v>TRF-026</x:v>
      </x:c>
      <x:c r="B218" s="48" t="str">
        <x:v>Ice Class Regulations and the Application Thereof</x:v>
      </x:c>
      <x:c r="C218" s="47" t="str">
        <x:v>TRAFICOM/68863/03.04.01.00/2021</x:v>
      </x:c>
      <x:c r="D218" s="59" t="n">
        <x:v>11</x:v>
      </x:c>
      <x:c r="E218" s="47" t="str">
        <x:v>3.2.4</x:v>
      </x:c>
      <x:c r="F218" s="47" t="str">
        <x:v>Complex</x:v>
      </x:c>
      <x:c r="G218" s="48" t="str">
        <x:v>Stage 2 candidate - complex readiness</x:v>
      </x:c>
      <x:c r="H218" s="47" t="str">
        <x:v>Complex readiness</x:v>
      </x:c>
      <x:c r="I218" s="47" t="str">
        <x:v>No</x:v>
      </x:c>
      <x:c r="J218" s="47" t="str">
        <x:v>ELIGIBLE</x:v>
      </x:c>
      <x:c r="K218" s="47" t="str">
        <x:v>NOT_RUN</x:v>
      </x:c>
    </x:row>
    <x:row r="219">
      <x:c r="A219" s="47" t="str">
        <x:v>TRF-027</x:v>
      </x:c>
      <x:c r="B219" s="48" t="str">
        <x:v>Ice Class Regulations and the Application Thereof</x:v>
      </x:c>
      <x:c r="C219" s="47" t="str">
        <x:v>TRAFICOM/68863/03.04.01.00/2021</x:v>
      </x:c>
      <x:c r="D219" s="59" t="n">
        <x:v>11</x:v>
      </x:c>
      <x:c r="E219" s="47" t="str">
        <x:v>3.2.4</x:v>
      </x:c>
      <x:c r="F219" s="47" t="str">
        <x:v>Static Calculation</x:v>
      </x:c>
      <x:c r="G219" s="48" t="str">
        <x:v>Stage 2 candidate - direct/deterministic</x:v>
      </x:c>
      <x:c r="H219" s="47" t="str">
        <x:v>Medium</x:v>
      </x:c>
      <x:c r="I219" s="47" t="str">
        <x:v>No</x:v>
      </x:c>
      <x:c r="J219" s="47" t="str">
        <x:v>ELIGIBLE</x:v>
      </x:c>
      <x:c r="K219" s="47" t="str">
        <x:v>NOT_RUN</x:v>
      </x:c>
    </x:row>
    <x:row r="220">
      <x:c r="A220" s="47" t="str">
        <x:v>TRF-028</x:v>
      </x:c>
      <x:c r="B220" s="48" t="str">
        <x:v>Ice Class Regulations and the Application Thereof</x:v>
      </x:c>
      <x:c r="C220" s="47" t="str">
        <x:v>TRAFICOM/68863/03.04.01.00/2021</x:v>
      </x:c>
      <x:c r="D220" s="59" t="n">
        <x:v>11</x:v>
      </x:c>
      <x:c r="E220" s="47" t="str">
        <x:v>3.2.5</x:v>
      </x:c>
      <x:c r="F220" s="47" t="str">
        <x:v>Complex</x:v>
      </x:c>
      <x:c r="G220" s="48" t="str">
        <x:v>Stage 2 candidate - complex readiness</x:v>
      </x:c>
      <x:c r="H220" s="47" t="str">
        <x:v>Complex readiness</x:v>
      </x:c>
      <x:c r="I220" s="47" t="str">
        <x:v>No</x:v>
      </x:c>
      <x:c r="J220" s="47" t="str">
        <x:v>ELIGIBLE</x:v>
      </x:c>
      <x:c r="K220" s="47" t="str">
        <x:v>NOT_RUN</x:v>
      </x:c>
    </x:row>
    <x:row r="221">
      <x:c r="A221" s="47" t="str">
        <x:v>TRF-029</x:v>
      </x:c>
      <x:c r="B221" s="48" t="str">
        <x:v>Ice Class Regulations and the Application Thereof</x:v>
      </x:c>
      <x:c r="C221" s="47" t="str">
        <x:v>TRAFICOM/68863/03.04.01.00/2021</x:v>
      </x:c>
      <x:c r="D221" s="59" t="n">
        <x:v>12</x:v>
      </x:c>
      <x:c r="E221" s="47" t="str">
        <x:v>4.1</x:v>
      </x:c>
      <x:c r="F221" s="47" t="str">
        <x:v>Static</x:v>
      </x:c>
      <x:c r="G221" s="48" t="str">
        <x:v>Stage 2 candidate - direct static</x:v>
      </x:c>
      <x:c r="H221" s="47" t="str">
        <x:v>Direct static</x:v>
      </x:c>
      <x:c r="I221" s="47" t="str">
        <x:v>No</x:v>
      </x:c>
      <x:c r="J221" s="47" t="str">
        <x:v>ELIGIBLE</x:v>
      </x:c>
      <x:c r="K221" s="47" t="str">
        <x:v>NOT_RUN</x:v>
      </x:c>
    </x:row>
    <x:row r="222">
      <x:c r="A222" s="47" t="str">
        <x:v>TRF-030</x:v>
      </x:c>
      <x:c r="B222" s="48" t="str">
        <x:v>Ice Class Regulations and the Application Thereof</x:v>
      </x:c>
      <x:c r="C222" s="47" t="str">
        <x:v>TRAFICOM/68863/03.04.01.00/2021</x:v>
      </x:c>
      <x:c r="D222" s="59" t="n">
        <x:v>12</x:v>
      </x:c>
      <x:c r="E222" s="47" t="str">
        <x:v>4.1</x:v>
      </x:c>
      <x:c r="F222" s="47" t="str">
        <x:v>Complex</x:v>
      </x:c>
      <x:c r="G222" s="48" t="str">
        <x:v>Stage 2 candidate - complex readiness</x:v>
      </x:c>
      <x:c r="H222" s="47" t="str">
        <x:v>Complex readiness</x:v>
      </x:c>
      <x:c r="I222" s="47" t="str">
        <x:v>No</x:v>
      </x:c>
      <x:c r="J222" s="47" t="str">
        <x:v>ELIGIBLE</x:v>
      </x:c>
      <x:c r="K222" s="47" t="str">
        <x:v>NOT_RUN</x:v>
      </x:c>
    </x:row>
    <x:row r="223">
      <x:c r="A223" s="47" t="str">
        <x:v>TRF-031</x:v>
      </x:c>
      <x:c r="B223" s="48" t="str">
        <x:v>Ice Class Regulations and the Application Thereof</x:v>
      </x:c>
      <x:c r="C223" s="47" t="str">
        <x:v>TRAFICOM/68863/03.04.01.00/2021</x:v>
      </x:c>
      <x:c r="D223" s="59" t="n">
        <x:v>12</x:v>
      </x:c>
      <x:c r="E223" s="47" t="str">
        <x:v>4.1</x:v>
      </x:c>
      <x:c r="F223" s="47" t="str">
        <x:v>Static Calculation</x:v>
      </x:c>
      <x:c r="G223" s="48" t="str">
        <x:v>Stage 2 candidate - direct/deterministic</x:v>
      </x:c>
      <x:c r="H223" s="47" t="str">
        <x:v>Medium</x:v>
      </x:c>
      <x:c r="I223" s="47" t="str">
        <x:v>No</x:v>
      </x:c>
      <x:c r="J223" s="47" t="str">
        <x:v>ELIGIBLE</x:v>
      </x:c>
      <x:c r="K223" s="47" t="str">
        <x:v>NOT_RUN</x:v>
      </x:c>
    </x:row>
    <x:row r="224">
      <x:c r="A224" s="47" t="str">
        <x:v>TRF-032</x:v>
      </x:c>
      <x:c r="B224" s="48" t="str">
        <x:v>Ice Class Regulations and the Application Thereof</x:v>
      </x:c>
      <x:c r="C224" s="47" t="str">
        <x:v>TRAFICOM/68863/03.04.01.00/2021</x:v>
      </x:c>
      <x:c r="D224" s="59" t="n">
        <x:v>12</x:v>
      </x:c>
      <x:c r="E224" s="47" t="str">
        <x:v>4.1</x:v>
      </x:c>
      <x:c r="F224" s="47" t="str">
        <x:v>Static</x:v>
      </x:c>
      <x:c r="G224" s="48" t="str">
        <x:v>Stage 2 candidate - direct/deterministic</x:v>
      </x:c>
      <x:c r="H224" s="47" t="str">
        <x:v>Medium</x:v>
      </x:c>
      <x:c r="I224" s="47" t="str">
        <x:v>No</x:v>
      </x:c>
      <x:c r="J224" s="47" t="str">
        <x:v>ELIGIBLE</x:v>
      </x:c>
      <x:c r="K224" s="47" t="str">
        <x:v>NOT_RUN</x:v>
      </x:c>
    </x:row>
    <x:row r="225">
      <x:c r="A225" s="47" t="str">
        <x:v>TRF-034</x:v>
      </x:c>
      <x:c r="B225" s="48" t="str">
        <x:v>Ice Class Regulations and the Application Thereof</x:v>
      </x:c>
      <x:c r="C225" s="47" t="str">
        <x:v>TRAFICOM/68863/03.04.01.00/2021</x:v>
      </x:c>
      <x:c r="D225" s="59" t="n">
        <x:v>13</x:v>
      </x:c>
      <x:c r="E225" s="47" t="str">
        <x:v>4.1</x:v>
      </x:c>
      <x:c r="F225" s="47" t="str">
        <x:v>Complex</x:v>
      </x:c>
      <x:c r="G225" s="48" t="str">
        <x:v>Stage 2 candidate - complex readiness</x:v>
      </x:c>
      <x:c r="H225" s="47" t="str">
        <x:v>Complex readiness</x:v>
      </x:c>
      <x:c r="I225" s="47" t="str">
        <x:v>No</x:v>
      </x:c>
      <x:c r="J225" s="47" t="str">
        <x:v>ELIGIBLE</x:v>
      </x:c>
      <x:c r="K225" s="47" t="str">
        <x:v>NOT_RUN</x:v>
      </x:c>
    </x:row>
    <x:row r="226">
      <x:c r="A226" s="47" t="str">
        <x:v>TRF-035</x:v>
      </x:c>
      <x:c r="B226" s="48" t="str">
        <x:v>Ice Class Regulations and the Application Thereof</x:v>
      </x:c>
      <x:c r="C226" s="47" t="str">
        <x:v>TRAFICOM/68863/03.04.01.00/2021</x:v>
      </x:c>
      <x:c r="D226" s="59" t="n">
        <x:v>13</x:v>
      </x:c>
      <x:c r="E226" s="47" t="str">
        <x:v>4.1.1</x:v>
      </x:c>
      <x:c r="F226" s="47" t="str">
        <x:v>Static</x:v>
      </x:c>
      <x:c r="G226" s="48" t="str">
        <x:v>Stage 2 candidate - direct/deterministic</x:v>
      </x:c>
      <x:c r="H226" s="47" t="str">
        <x:v>Medium</x:v>
      </x:c>
      <x:c r="I226" s="47" t="str">
        <x:v>No</x:v>
      </x:c>
      <x:c r="J226" s="47" t="str">
        <x:v>ELIGIBLE</x:v>
      </x:c>
      <x:c r="K226" s="47" t="str">
        <x:v>NOT_RUN</x:v>
      </x:c>
    </x:row>
    <x:row r="227">
      <x:c r="A227" s="47" t="str">
        <x:v>TRF-036</x:v>
      </x:c>
      <x:c r="B227" s="48" t="str">
        <x:v>Ice Class Regulations and the Application Thereof</x:v>
      </x:c>
      <x:c r="C227" s="47" t="str">
        <x:v>TRAFICOM/68863/03.04.01.00/2021</x:v>
      </x:c>
      <x:c r="D227" s="59" t="n">
        <x:v>14</x:v>
      </x:c>
      <x:c r="E227" s="47" t="str">
        <x:v>4.2.1</x:v>
      </x:c>
      <x:c r="F227" s="47" t="str">
        <x:v>Static</x:v>
      </x:c>
      <x:c r="G227" s="48" t="str">
        <x:v>Stage 2 candidate - direct static</x:v>
      </x:c>
      <x:c r="H227" s="47" t="str">
        <x:v>Direct static</x:v>
      </x:c>
      <x:c r="I227" s="47" t="str">
        <x:v>No</x:v>
      </x:c>
      <x:c r="J227" s="47" t="str">
        <x:v>ELIGIBLE</x:v>
      </x:c>
      <x:c r="K227" s="47" t="str">
        <x:v>NOT_RUN</x:v>
      </x:c>
    </x:row>
    <x:row r="228">
      <x:c r="A228" s="47" t="str">
        <x:v>TRF-037</x:v>
      </x:c>
      <x:c r="B228" s="48" t="str">
        <x:v>Ice Class Regulations and the Application Thereof</x:v>
      </x:c>
      <x:c r="C228" s="47" t="str">
        <x:v>TRAFICOM/68863/03.04.01.00/2021</x:v>
      </x:c>
      <x:c r="D228" s="59" t="n">
        <x:v>14</x:v>
      </x:c>
      <x:c r="E228" s="47" t="str">
        <x:v>4.2.2</x:v>
      </x:c>
      <x:c r="F228" s="47" t="str">
        <x:v>Static Calculation</x:v>
      </x:c>
      <x:c r="G228" s="48" t="str">
        <x:v>Stage 2 candidate - direct/deterministic</x:v>
      </x:c>
      <x:c r="H228" s="47" t="str">
        <x:v>Medium</x:v>
      </x:c>
      <x:c r="I228" s="47" t="str">
        <x:v>No</x:v>
      </x:c>
      <x:c r="J228" s="47" t="str">
        <x:v>ELIGIBLE</x:v>
      </x:c>
      <x:c r="K228" s="47" t="str">
        <x:v>NOT_RUN</x:v>
      </x:c>
    </x:row>
    <x:row r="229">
      <x:c r="A229" s="47" t="str">
        <x:v>TRF-039</x:v>
      </x:c>
      <x:c r="B229" s="48" t="str">
        <x:v>Ice Class Regulations and the Application Thereof</x:v>
      </x:c>
      <x:c r="C229" s="47" t="str">
        <x:v>TRAFICOM/68863/03.04.01.00/2021</x:v>
      </x:c>
      <x:c r="D229" s="59" t="n">
        <x:v>15</x:v>
      </x:c>
      <x:c r="E229" s="47" t="str">
        <x:v>4.2.2</x:v>
      </x:c>
      <x:c r="F229" s="47" t="str">
        <x:v>Static Calculation</x:v>
      </x:c>
      <x:c r="G229" s="48" t="str">
        <x:v>Deferred - existing vocabulary insufficient</x:v>
      </x:c>
      <x:c r="H229" s="47" t="str">
        <x:v>Deferred</x:v>
      </x:c>
      <x:c r="I229" s="47" t="str">
        <x:v>No</x:v>
      </x:c>
      <x:c r="J229" s="47" t="str">
        <x:v>DEFERRED</x:v>
      </x:c>
      <x:c r="K229" s="47" t="str">
        <x:v>NOT_RUN</x:v>
      </x:c>
    </x:row>
    <x:row r="230">
      <x:c r="A230" s="47" t="str">
        <x:v>TRF-040</x:v>
      </x:c>
      <x:c r="B230" s="48" t="str">
        <x:v>Ice Class Regulations and the Application Thereof</x:v>
      </x:c>
      <x:c r="C230" s="47" t="str">
        <x:v>TRAFICOM/68863/03.04.01.00/2021</x:v>
      </x:c>
      <x:c r="D230" s="59" t="n">
        <x:v>16</x:v>
      </x:c>
      <x:c r="E230" s="47" t="str">
        <x:v>4.3.1</x:v>
      </x:c>
      <x:c r="F230" s="47" t="str">
        <x:v>Static</x:v>
      </x:c>
      <x:c r="G230" s="48" t="str">
        <x:v>Stage 2 candidate - direct static</x:v>
      </x:c>
      <x:c r="H230" s="47" t="str">
        <x:v>Direct static</x:v>
      </x:c>
      <x:c r="I230" s="47" t="str">
        <x:v>No</x:v>
      </x:c>
      <x:c r="J230" s="47" t="str">
        <x:v>ELIGIBLE</x:v>
      </x:c>
      <x:c r="K230" s="47" t="str">
        <x:v>NOT_RUN</x:v>
      </x:c>
    </x:row>
    <x:row r="231">
      <x:c r="A231" s="47" t="str">
        <x:v>TRF-041</x:v>
      </x:c>
      <x:c r="B231" s="48" t="str">
        <x:v>Ice Class Regulations and the Application Thereof</x:v>
      </x:c>
      <x:c r="C231" s="47" t="str">
        <x:v>TRAFICOM/68863/03.04.01.00/2021</x:v>
      </x:c>
      <x:c r="D231" s="59" t="n">
        <x:v>17</x:v>
      </x:c>
      <x:c r="E231" s="47" t="str">
        <x:v>4.3.2</x:v>
      </x:c>
      <x:c r="F231" s="47" t="str">
        <x:v>Complex</x:v>
      </x:c>
      <x:c r="G231" s="48" t="str">
        <x:v>Stage 2 candidate - complex readiness</x:v>
      </x:c>
      <x:c r="H231" s="47" t="str">
        <x:v>Complex readiness</x:v>
      </x:c>
      <x:c r="I231" s="47" t="str">
        <x:v>No</x:v>
      </x:c>
      <x:c r="J231" s="47" t="str">
        <x:v>ELIGIBLE</x:v>
      </x:c>
      <x:c r="K231" s="47" t="str">
        <x:v>NOT_RUN</x:v>
      </x:c>
    </x:row>
    <x:row r="232">
      <x:c r="A232" s="47" t="str">
        <x:v>TRF-042</x:v>
      </x:c>
      <x:c r="B232" s="48" t="str">
        <x:v>Ice Class Regulations and the Application Thereof</x:v>
      </x:c>
      <x:c r="C232" s="47" t="str">
        <x:v>TRAFICOM/68863/03.04.01.00/2021</x:v>
      </x:c>
      <x:c r="D232" s="59" t="n">
        <x:v>17</x:v>
      </x:c>
      <x:c r="E232" s="47" t="str">
        <x:v>4.3.2</x:v>
      </x:c>
      <x:c r="F232" s="47" t="str">
        <x:v>Static Calculation</x:v>
      </x:c>
      <x:c r="G232" s="48" t="str">
        <x:v>Stage 2 candidate - direct/deterministic</x:v>
      </x:c>
      <x:c r="H232" s="47" t="str">
        <x:v>Medium</x:v>
      </x:c>
      <x:c r="I232" s="47" t="str">
        <x:v>No</x:v>
      </x:c>
      <x:c r="J232" s="47" t="str">
        <x:v>ELIGIBLE</x:v>
      </x:c>
      <x:c r="K232" s="47" t="str">
        <x:v>NOT_RUN</x:v>
      </x:c>
    </x:row>
    <x:row r="233">
      <x:c r="A233" s="47" t="str">
        <x:v>TRF-043</x:v>
      </x:c>
      <x:c r="B233" s="48" t="str">
        <x:v>Ice Class Regulations and the Application Thereof</x:v>
      </x:c>
      <x:c r="C233" s="47" t="str">
        <x:v>TRAFICOM/68863/03.04.01.00/2021</x:v>
      </x:c>
      <x:c r="D233" s="59" t="n">
        <x:v>18</x:v>
      </x:c>
      <x:c r="E233" s="47" t="str">
        <x:v>4.4.1</x:v>
      </x:c>
      <x:c r="F233" s="47" t="str">
        <x:v>Static</x:v>
      </x:c>
      <x:c r="G233" s="48" t="str">
        <x:v>Stage 2 candidate - direct/deterministic</x:v>
      </x:c>
      <x:c r="H233" s="47" t="str">
        <x:v>Medium</x:v>
      </x:c>
      <x:c r="I233" s="47" t="str">
        <x:v>No</x:v>
      </x:c>
      <x:c r="J233" s="47" t="str">
        <x:v>ELIGIBLE</x:v>
      </x:c>
      <x:c r="K233" s="47" t="str">
        <x:v>NOT_RUN</x:v>
      </x:c>
    </x:row>
    <x:row r="234">
      <x:c r="A234" s="47" t="str">
        <x:v>TRF-044</x:v>
      </x:c>
      <x:c r="B234" s="48" t="str">
        <x:v>Ice Class Regulations and the Application Thereof</x:v>
      </x:c>
      <x:c r="C234" s="47" t="str">
        <x:v>TRAFICOM/68863/03.04.01.00/2021</x:v>
      </x:c>
      <x:c r="D234" s="59" t="str">
        <x:v>18-19</x:v>
      </x:c>
      <x:c r="E234" s="47" t="str">
        <x:v>4.4.2.1</x:v>
      </x:c>
      <x:c r="F234" s="47" t="str">
        <x:v>Static Calculation</x:v>
      </x:c>
      <x:c r="G234" s="48" t="str">
        <x:v>Stage 2 candidate - direct/deterministic</x:v>
      </x:c>
      <x:c r="H234" s="47" t="str">
        <x:v>Medium</x:v>
      </x:c>
      <x:c r="I234" s="47" t="str">
        <x:v>No</x:v>
      </x:c>
      <x:c r="J234" s="47" t="str">
        <x:v>ELIGIBLE</x:v>
      </x:c>
      <x:c r="K234" s="47" t="str">
        <x:v>NOT_RUN</x:v>
      </x:c>
    </x:row>
    <x:row r="235">
      <x:c r="A235" s="47" t="str">
        <x:v>TRF-045</x:v>
      </x:c>
      <x:c r="B235" s="48" t="str">
        <x:v>Ice Class Regulations and the Application Thereof</x:v>
      </x:c>
      <x:c r="C235" s="47" t="str">
        <x:v>TRAFICOM/68863/03.04.01.00/2021</x:v>
      </x:c>
      <x:c r="D235" s="59" t="n">
        <x:v>19</x:v>
      </x:c>
      <x:c r="E235" s="47" t="str">
        <x:v>4.4.2.1</x:v>
      </x:c>
      <x:c r="F235" s="47" t="str">
        <x:v>Static</x:v>
      </x:c>
      <x:c r="G235" s="48" t="str">
        <x:v>Stage 2 candidate - direct/deterministic</x:v>
      </x:c>
      <x:c r="H235" s="47" t="str">
        <x:v>High</x:v>
      </x:c>
      <x:c r="I235" s="47" t="str">
        <x:v>No</x:v>
      </x:c>
      <x:c r="J235" s="47" t="str">
        <x:v>ELIGIBLE</x:v>
      </x:c>
      <x:c r="K235" s="47" t="str">
        <x:v>NOT_RUN</x:v>
      </x:c>
    </x:row>
    <x:row r="236">
      <x:c r="A236" s="47" t="str">
        <x:v>TRF-046</x:v>
      </x:c>
      <x:c r="B236" s="48" t="str">
        <x:v>Ice Class Regulations and the Application Thereof</x:v>
      </x:c>
      <x:c r="C236" s="47" t="str">
        <x:v>TRAFICOM/68863/03.04.01.00/2021</x:v>
      </x:c>
      <x:c r="D236" s="59" t="n">
        <x:v>19</x:v>
      </x:c>
      <x:c r="E236" s="47" t="str">
        <x:v>4.4.2.2</x:v>
      </x:c>
      <x:c r="F236" s="47" t="str">
        <x:v>Static</x:v>
      </x:c>
      <x:c r="G236" s="48" t="str">
        <x:v>Stage 2 candidate - direct/deterministic</x:v>
      </x:c>
      <x:c r="H236" s="47" t="str">
        <x:v>Medium</x:v>
      </x:c>
      <x:c r="I236" s="47" t="str">
        <x:v>No</x:v>
      </x:c>
      <x:c r="J236" s="47" t="str">
        <x:v>ELIGIBLE</x:v>
      </x:c>
      <x:c r="K236" s="47" t="str">
        <x:v>NOT_RUN</x:v>
      </x:c>
    </x:row>
    <x:row r="237">
      <x:c r="A237" s="47" t="str">
        <x:v>TRF-047</x:v>
      </x:c>
      <x:c r="B237" s="48" t="str">
        <x:v>Ice Class Regulations and the Application Thereof</x:v>
      </x:c>
      <x:c r="C237" s="47" t="str">
        <x:v>TRAFICOM/68863/03.04.01.00/2021</x:v>
      </x:c>
      <x:c r="D237" s="59" t="n">
        <x:v>20</x:v>
      </x:c>
      <x:c r="E237" s="47" t="str">
        <x:v>4.4.2.3</x:v>
      </x:c>
      <x:c r="F237" s="47" t="str">
        <x:v>Static</x:v>
      </x:c>
      <x:c r="G237" s="48" t="str">
        <x:v>Stage 2 candidate - direct/deterministic</x:v>
      </x:c>
      <x:c r="H237" s="47" t="str">
        <x:v>High</x:v>
      </x:c>
      <x:c r="I237" s="47" t="str">
        <x:v>No</x:v>
      </x:c>
      <x:c r="J237" s="47" t="str">
        <x:v>ELIGIBLE</x:v>
      </x:c>
      <x:c r="K237" s="47" t="str">
        <x:v>NOT_RUN</x:v>
      </x:c>
    </x:row>
    <x:row r="238">
      <x:c r="A238" s="47" t="str">
        <x:v>TRF-048</x:v>
      </x:c>
      <x:c r="B238" s="48" t="str">
        <x:v>Ice Class Regulations and the Application Thereof</x:v>
      </x:c>
      <x:c r="C238" s="47" t="str">
        <x:v>TRAFICOM/68863/03.04.01.00/2021</x:v>
      </x:c>
      <x:c r="D238" s="59" t="n">
        <x:v>20</x:v>
      </x:c>
      <x:c r="E238" s="47" t="str">
        <x:v>4.4.3</x:v>
      </x:c>
      <x:c r="F238" s="47" t="str">
        <x:v>Static Calculation</x:v>
      </x:c>
      <x:c r="G238" s="48" t="str">
        <x:v>Stage 2 candidate - direct/deterministic</x:v>
      </x:c>
      <x:c r="H238" s="47" t="str">
        <x:v>High</x:v>
      </x:c>
      <x:c r="I238" s="47" t="str">
        <x:v>No</x:v>
      </x:c>
      <x:c r="J238" s="47" t="str">
        <x:v>ELIGIBLE</x:v>
      </x:c>
      <x:c r="K238" s="47" t="str">
        <x:v>NOT_RUN</x:v>
      </x:c>
    </x:row>
    <x:row r="239">
      <x:c r="A239" s="47" t="str">
        <x:v>TRF-049</x:v>
      </x:c>
      <x:c r="B239" s="48" t="str">
        <x:v>Ice Class Regulations and the Application Thereof</x:v>
      </x:c>
      <x:c r="C239" s="47" t="str">
        <x:v>TRAFICOM/68863/03.04.01.00/2021</x:v>
      </x:c>
      <x:c r="D239" s="59" t="n">
        <x:v>21</x:v>
      </x:c>
      <x:c r="E239" s="47" t="str">
        <x:v>4.4.4.1</x:v>
      </x:c>
      <x:c r="F239" s="47" t="str">
        <x:v>Static</x:v>
      </x:c>
      <x:c r="G239" s="48" t="str">
        <x:v>Stage 2 candidate - direct static</x:v>
      </x:c>
      <x:c r="H239" s="47" t="str">
        <x:v>Direct static</x:v>
      </x:c>
      <x:c r="I239" s="47" t="str">
        <x:v>No</x:v>
      </x:c>
      <x:c r="J239" s="47" t="str">
        <x:v>ELIGIBLE</x:v>
      </x:c>
      <x:c r="K239" s="47" t="str">
        <x:v>NOT_RUN</x:v>
      </x:c>
    </x:row>
    <x:row r="240">
      <x:c r="A240" s="47" t="str">
        <x:v>TRF-050</x:v>
      </x:c>
      <x:c r="B240" s="48" t="str">
        <x:v>Ice Class Regulations and the Application Thereof</x:v>
      </x:c>
      <x:c r="C240" s="47" t="str">
        <x:v>TRAFICOM/68863/03.04.01.00/2021</x:v>
      </x:c>
      <x:c r="D240" s="59" t="n">
        <x:v>21</x:v>
      </x:c>
      <x:c r="E240" s="47" t="str">
        <x:v>4.4.4.2</x:v>
      </x:c>
      <x:c r="F240" s="47" t="str">
        <x:v>Static</x:v>
      </x:c>
      <x:c r="G240" s="48" t="str">
        <x:v>Stage 2 candidate - direct/deterministic</x:v>
      </x:c>
      <x:c r="H240" s="47" t="str">
        <x:v>High</x:v>
      </x:c>
      <x:c r="I240" s="47" t="str">
        <x:v>No</x:v>
      </x:c>
      <x:c r="J240" s="47" t="str">
        <x:v>ELIGIBLE</x:v>
      </x:c>
      <x:c r="K240" s="47" t="str">
        <x:v>NOT_RUN</x:v>
      </x:c>
    </x:row>
    <x:row r="241">
      <x:c r="A241" s="47" t="str">
        <x:v>TRF-051</x:v>
      </x:c>
      <x:c r="B241" s="48" t="str">
        <x:v>Ice Class Regulations and the Application Thereof</x:v>
      </x:c>
      <x:c r="C241" s="47" t="str">
        <x:v>TRAFICOM/68863/03.04.01.00/2021</x:v>
      </x:c>
      <x:c r="D241" s="59" t="n">
        <x:v>21</x:v>
      </x:c>
      <x:c r="E241" s="47" t="str">
        <x:v>4.4.4.2</x:v>
      </x:c>
      <x:c r="F241" s="47" t="str">
        <x:v>Complex</x:v>
      </x:c>
      <x:c r="G241" s="48" t="str">
        <x:v>Stage 2 candidate - complex readiness</x:v>
      </x:c>
      <x:c r="H241" s="47" t="str">
        <x:v>Complex readiness</x:v>
      </x:c>
      <x:c r="I241" s="47" t="str">
        <x:v>No</x:v>
      </x:c>
      <x:c r="J241" s="47" t="str">
        <x:v>ELIGIBLE</x:v>
      </x:c>
      <x:c r="K241" s="47" t="str">
        <x:v>NOT_RUN</x:v>
      </x:c>
    </x:row>
    <x:row r="242">
      <x:c r="A242" s="47" t="str">
        <x:v>TRF-052</x:v>
      </x:c>
      <x:c r="B242" s="48" t="str">
        <x:v>Ice Class Regulations and the Application Thereof</x:v>
      </x:c>
      <x:c r="C242" s="47" t="str">
        <x:v>TRAFICOM/68863/03.04.01.00/2021</x:v>
      </x:c>
      <x:c r="D242" s="59" t="n">
        <x:v>21</x:v>
      </x:c>
      <x:c r="E242" s="47" t="str">
        <x:v>4.4.4.2</x:v>
      </x:c>
      <x:c r="F242" s="47" t="str">
        <x:v>Static</x:v>
      </x:c>
      <x:c r="G242" s="48" t="str">
        <x:v>Stage 2 candidate - direct/deterministic</x:v>
      </x:c>
      <x:c r="H242" s="47" t="str">
        <x:v>High</x:v>
      </x:c>
      <x:c r="I242" s="47" t="str">
        <x:v>No</x:v>
      </x:c>
      <x:c r="J242" s="47" t="str">
        <x:v>ELIGIBLE</x:v>
      </x:c>
      <x:c r="K242" s="47" t="str">
        <x:v>NOT_RUN</x:v>
      </x:c>
    </x:row>
    <x:row r="243">
      <x:c r="A243" s="47" t="str">
        <x:v>TRF-053</x:v>
      </x:c>
      <x:c r="B243" s="48" t="str">
        <x:v>Ice Class Regulations and the Application Thereof</x:v>
      </x:c>
      <x:c r="C243" s="47" t="str">
        <x:v>TRAFICOM/68863/03.04.01.00/2021</x:v>
      </x:c>
      <x:c r="D243" s="59" t="str">
        <x:v>21-22</x:v>
      </x:c>
      <x:c r="E243" s="47" t="str">
        <x:v>4.5.1</x:v>
      </x:c>
      <x:c r="F243" s="47" t="str">
        <x:v>Static Calculation</x:v>
      </x:c>
      <x:c r="G243" s="48" t="str">
        <x:v>Stage 2 candidate - direct/deterministic</x:v>
      </x:c>
      <x:c r="H243" s="47" t="str">
        <x:v>High</x:v>
      </x:c>
      <x:c r="I243" s="47" t="str">
        <x:v>No</x:v>
      </x:c>
      <x:c r="J243" s="47" t="str">
        <x:v>ELIGIBLE</x:v>
      </x:c>
      <x:c r="K243" s="47" t="str">
        <x:v>NOT_RUN</x:v>
      </x:c>
    </x:row>
    <x:row r="244">
      <x:c r="A244" s="47" t="str">
        <x:v>TRF-054</x:v>
      </x:c>
      <x:c r="B244" s="48" t="str">
        <x:v>Ice Class Regulations and the Application Thereof</x:v>
      </x:c>
      <x:c r="C244" s="47" t="str">
        <x:v>TRAFICOM/68863/03.04.01.00/2021</x:v>
      </x:c>
      <x:c r="D244" s="59" t="str">
        <x:v>22-23</x:v>
      </x:c>
      <x:c r="E244" s="47" t="str">
        <x:v>4.5.2</x:v>
      </x:c>
      <x:c r="F244" s="47" t="str">
        <x:v>Static Calculation</x:v>
      </x:c>
      <x:c r="G244" s="48" t="str">
        <x:v>Stage 2 candidate - direct/deterministic</x:v>
      </x:c>
      <x:c r="H244" s="47" t="str">
        <x:v>High</x:v>
      </x:c>
      <x:c r="I244" s="47" t="str">
        <x:v>No</x:v>
      </x:c>
      <x:c r="J244" s="47" t="str">
        <x:v>ELIGIBLE</x:v>
      </x:c>
      <x:c r="K244" s="47" t="str">
        <x:v>NOT_RUN</x:v>
      </x:c>
    </x:row>
    <x:row r="245">
      <x:c r="A245" s="47" t="str">
        <x:v>TRF-055</x:v>
      </x:c>
      <x:c r="B245" s="48" t="str">
        <x:v>Ice Class Regulations and the Application Thereof</x:v>
      </x:c>
      <x:c r="C245" s="47" t="str">
        <x:v>TRAFICOM/68863/03.04.01.00/2021</x:v>
      </x:c>
      <x:c r="D245" s="59" t="n">
        <x:v>23</x:v>
      </x:c>
      <x:c r="E245" s="47" t="str">
        <x:v>4.5.3</x:v>
      </x:c>
      <x:c r="F245" s="47" t="str">
        <x:v>Static</x:v>
      </x:c>
      <x:c r="G245" s="48" t="str">
        <x:v>Stage 2 candidate - direct/deterministic static verification</x:v>
      </x:c>
      <x:c r="H245" s="47" t="str">
        <x:v>Medium</x:v>
      </x:c>
      <x:c r="I245" s="47" t="str">
        <x:v>No</x:v>
      </x:c>
      <x:c r="J245" s="47" t="str">
        <x:v>ELIGIBLE</x:v>
      </x:c>
      <x:c r="K245" s="47" t="str">
        <x:v>NOT_RUN</x:v>
      </x:c>
    </x:row>
    <x:row r="246">
      <x:c r="A246" s="47" t="str">
        <x:v>TRF-056</x:v>
      </x:c>
      <x:c r="B246" s="48" t="str">
        <x:v>Ice Class Regulations and the Application Thereof</x:v>
      </x:c>
      <x:c r="C246" s="47" t="str">
        <x:v>TRAFICOM/68863/03.04.01.00/2021</x:v>
      </x:c>
      <x:c r="D246" s="59" t="n">
        <x:v>23</x:v>
      </x:c>
      <x:c r="E246" s="47" t="str">
        <x:v>4.5.3</x:v>
      </x:c>
      <x:c r="F246" s="47" t="str">
        <x:v>Static</x:v>
      </x:c>
      <x:c r="G246" s="48" t="str">
        <x:v>Stage 2 candidate - direct static</x:v>
      </x:c>
      <x:c r="H246" s="47" t="str">
        <x:v>Direct static</x:v>
      </x:c>
      <x:c r="I246" s="47" t="str">
        <x:v>No</x:v>
      </x:c>
      <x:c r="J246" s="47" t="str">
        <x:v>ELIGIBLE</x:v>
      </x:c>
      <x:c r="K246" s="47" t="str">
        <x:v>NOT_RUN</x:v>
      </x:c>
    </x:row>
    <x:row r="247">
      <x:c r="A247" s="47" t="str">
        <x:v>TRF-057</x:v>
      </x:c>
      <x:c r="B247" s="48" t="str">
        <x:v>Ice Class Regulations and the Application Thereof</x:v>
      </x:c>
      <x:c r="C247" s="47" t="str">
        <x:v>TRAFICOM/68863/03.04.01.00/2021</x:v>
      </x:c>
      <x:c r="D247" s="59" t="n">
        <x:v>23</x:v>
      </x:c>
      <x:c r="E247" s="47" t="str">
        <x:v>4.6.1</x:v>
      </x:c>
      <x:c r="F247" s="47" t="str">
        <x:v>Static Calculation</x:v>
      </x:c>
      <x:c r="G247" s="48" t="str">
        <x:v>Stage 2 candidate - direct/deterministic</x:v>
      </x:c>
      <x:c r="H247" s="47" t="str">
        <x:v>Medium</x:v>
      </x:c>
      <x:c r="I247" s="47" t="str">
        <x:v>No</x:v>
      </x:c>
      <x:c r="J247" s="47" t="str">
        <x:v>ELIGIBLE</x:v>
      </x:c>
      <x:c r="K247" s="47" t="str">
        <x:v>NOT_RUN</x:v>
      </x:c>
    </x:row>
    <x:row r="248">
      <x:c r="A248" s="47" t="str">
        <x:v>TRF-058</x:v>
      </x:c>
      <x:c r="B248" s="48" t="str">
        <x:v>Ice Class Regulations and the Application Thereof</x:v>
      </x:c>
      <x:c r="C248" s="47" t="str">
        <x:v>TRAFICOM/68863/03.04.01.00/2021</x:v>
      </x:c>
      <x:c r="D248" s="59" t="n">
        <x:v>23</x:v>
      </x:c>
      <x:c r="E248" s="47" t="str">
        <x:v>4.6.1</x:v>
      </x:c>
      <x:c r="F248" s="47" t="str">
        <x:v>Static Calculation</x:v>
      </x:c>
      <x:c r="G248" s="48" t="str">
        <x:v>Stage 2 candidate - direct/deterministic</x:v>
      </x:c>
      <x:c r="H248" s="47" t="str">
        <x:v>High</x:v>
      </x:c>
      <x:c r="I248" s="47" t="str">
        <x:v>No</x:v>
      </x:c>
      <x:c r="J248" s="47" t="str">
        <x:v>ELIGIBLE</x:v>
      </x:c>
      <x:c r="K248" s="47" t="str">
        <x:v>NOT_RUN</x:v>
      </x:c>
    </x:row>
    <x:row r="249">
      <x:c r="A249" s="47" t="str">
        <x:v>TRF-059</x:v>
      </x:c>
      <x:c r="B249" s="48" t="str">
        <x:v>Ice Class Regulations and the Application Thereof</x:v>
      </x:c>
      <x:c r="C249" s="47" t="str">
        <x:v>TRAFICOM/68863/03.04.01.00/2021</x:v>
      </x:c>
      <x:c r="D249" s="59" t="n">
        <x:v>23</x:v>
      </x:c>
      <x:c r="E249" s="47" t="str">
        <x:v>4.6.2</x:v>
      </x:c>
      <x:c r="F249" s="47" t="str">
        <x:v>Static Calculation</x:v>
      </x:c>
      <x:c r="G249" s="48" t="str">
        <x:v>Stage 2 candidate - direct/deterministic</x:v>
      </x:c>
      <x:c r="H249" s="47" t="str">
        <x:v>High</x:v>
      </x:c>
      <x:c r="I249" s="47" t="str">
        <x:v>No</x:v>
      </x:c>
      <x:c r="J249" s="47" t="str">
        <x:v>ELIGIBLE</x:v>
      </x:c>
      <x:c r="K249" s="47" t="str">
        <x:v>NOT_RUN</x:v>
      </x:c>
    </x:row>
    <x:row r="250">
      <x:c r="A250" s="47" t="str">
        <x:v>TRF-060</x:v>
      </x:c>
      <x:c r="B250" s="48" t="str">
        <x:v>Ice Class Regulations and the Application Thereof</x:v>
      </x:c>
      <x:c r="C250" s="47" t="str">
        <x:v>TRAFICOM/68863/03.04.01.00/2021</x:v>
      </x:c>
      <x:c r="D250" s="59" t="n">
        <x:v>24</x:v>
      </x:c>
      <x:c r="E250" s="47" t="str">
        <x:v>4.6.2</x:v>
      </x:c>
      <x:c r="F250" s="47" t="str">
        <x:v>Complex</x:v>
      </x:c>
      <x:c r="G250" s="48" t="str">
        <x:v>Stage 2 candidate - complex readiness</x:v>
      </x:c>
      <x:c r="H250" s="47" t="str">
        <x:v>Complex readiness</x:v>
      </x:c>
      <x:c r="I250" s="47" t="str">
        <x:v>No</x:v>
      </x:c>
      <x:c r="J250" s="47" t="str">
        <x:v>ELIGIBLE</x:v>
      </x:c>
      <x:c r="K250" s="47" t="str">
        <x:v>NOT_RUN</x:v>
      </x:c>
    </x:row>
    <x:row r="251">
      <x:c r="A251" s="47" t="str">
        <x:v>TRF-061</x:v>
      </x:c>
      <x:c r="B251" s="48" t="str">
        <x:v>Ice Class Regulations and the Application Thereof</x:v>
      </x:c>
      <x:c r="C251" s="47" t="str">
        <x:v>TRAFICOM/68863/03.04.01.00/2021</x:v>
      </x:c>
      <x:c r="D251" s="59" t="n">
        <x:v>25</x:v>
      </x:c>
      <x:c r="E251" s="47" t="str">
        <x:v>4.7</x:v>
      </x:c>
      <x:c r="F251" s="47" t="str">
        <x:v>Complex</x:v>
      </x:c>
      <x:c r="G251" s="48" t="str">
        <x:v>Deferred - composite/evidence workflow review</x:v>
      </x:c>
      <x:c r="H251" s="47" t="str">
        <x:v>Medium</x:v>
      </x:c>
      <x:c r="I251" s="47" t="str">
        <x:v>No</x:v>
      </x:c>
      <x:c r="J251" s="47" t="str">
        <x:v>DEFERRED</x:v>
      </x:c>
      <x:c r="K251" s="47" t="str">
        <x:v>NOT_RUN</x:v>
      </x:c>
    </x:row>
    <x:row r="252">
      <x:c r="A252" s="47" t="str">
        <x:v>TRF-062</x:v>
      </x:c>
      <x:c r="B252" s="48" t="str">
        <x:v>Ice Class Regulations and the Application Thereof</x:v>
      </x:c>
      <x:c r="C252" s="47" t="str">
        <x:v>TRAFICOM/68863/03.04.01.00/2021</x:v>
      </x:c>
      <x:c r="D252" s="59" t="n">
        <x:v>25</x:v>
      </x:c>
      <x:c r="E252" s="47" t="str">
        <x:v>4.8</x:v>
      </x:c>
      <x:c r="F252" s="47" t="str">
        <x:v>Static</x:v>
      </x:c>
      <x:c r="G252" s="48" t="str">
        <x:v>Stage 2 candidate - direct/deterministic</x:v>
      </x:c>
      <x:c r="H252" s="47" t="str">
        <x:v>High</x:v>
      </x:c>
      <x:c r="I252" s="47" t="str">
        <x:v>No</x:v>
      </x:c>
      <x:c r="J252" s="47" t="str">
        <x:v>ELIGIBLE</x:v>
      </x:c>
      <x:c r="K252" s="47" t="str">
        <x:v>NOT_RUN</x:v>
      </x:c>
    </x:row>
    <x:row r="253">
      <x:c r="A253" s="47" t="str">
        <x:v>TRF-063</x:v>
      </x:c>
      <x:c r="B253" s="48" t="str">
        <x:v>Ice Class Regulations and the Application Thereof</x:v>
      </x:c>
      <x:c r="C253" s="47" t="str">
        <x:v>TRAFICOM/68863/03.04.01.00/2021</x:v>
      </x:c>
      <x:c r="D253" s="59" t="n">
        <x:v>25</x:v>
      </x:c>
      <x:c r="E253" s="47" t="str">
        <x:v>4.8</x:v>
      </x:c>
      <x:c r="F253" s="47" t="str">
        <x:v>Static</x:v>
      </x:c>
      <x:c r="G253" s="48" t="str">
        <x:v>Stage 2 candidate - direct/deterministic</x:v>
      </x:c>
      <x:c r="H253" s="47" t="str">
        <x:v>High</x:v>
      </x:c>
      <x:c r="I253" s="47" t="str">
        <x:v>No</x:v>
      </x:c>
      <x:c r="J253" s="47" t="str">
        <x:v>ELIGIBLE</x:v>
      </x:c>
      <x:c r="K253" s="47" t="str">
        <x:v>NOT_RUN</x:v>
      </x:c>
    </x:row>
    <x:row r="254">
      <x:c r="A254" s="47" t="str">
        <x:v>TRF-064</x:v>
      </x:c>
      <x:c r="B254" s="48" t="str">
        <x:v>Ice Class Regulations and the Application Thereof</x:v>
      </x:c>
      <x:c r="C254" s="47" t="str">
        <x:v>TRAFICOM/68863/03.04.01.00/2021</x:v>
      </x:c>
      <x:c r="D254" s="59" t="n">
        <x:v>26</x:v>
      </x:c>
      <x:c r="E254" s="47" t="str">
        <x:v>4.8</x:v>
      </x:c>
      <x:c r="F254" s="47" t="str">
        <x:v>Static</x:v>
      </x:c>
      <x:c r="G254" s="48" t="str">
        <x:v>Stage 2 candidate - direct/deterministic</x:v>
      </x:c>
      <x:c r="H254" s="47" t="str">
        <x:v>High</x:v>
      </x:c>
      <x:c r="I254" s="47" t="str">
        <x:v>No</x:v>
      </x:c>
      <x:c r="J254" s="47" t="str">
        <x:v>ELIGIBLE</x:v>
      </x:c>
      <x:c r="K254" s="47" t="str">
        <x:v>NOT_RUN</x:v>
      </x:c>
    </x:row>
    <x:row r="255">
      <x:c r="A255" s="47" t="str">
        <x:v>TRF-065</x:v>
      </x:c>
      <x:c r="B255" s="48" t="str">
        <x:v>Ice Class Regulations and the Application Thereof</x:v>
      </x:c>
      <x:c r="C255" s="47" t="str">
        <x:v>TRAFICOM/68863/03.04.01.00/2021</x:v>
      </x:c>
      <x:c r="D255" s="59" t="n">
        <x:v>26</x:v>
      </x:c>
      <x:c r="E255" s="47" t="str">
        <x:v>5</x:v>
      </x:c>
      <x:c r="F255" s="47" t="str">
        <x:v>Complex</x:v>
      </x:c>
      <x:c r="G255" s="48" t="str">
        <x:v>Deferred - composite/evidence workflow review</x:v>
      </x:c>
      <x:c r="H255" s="47" t="str">
        <x:v>Medium</x:v>
      </x:c>
      <x:c r="I255" s="47" t="str">
        <x:v>No</x:v>
      </x:c>
      <x:c r="J255" s="47" t="str">
        <x:v>DEFERRED</x:v>
      </x:c>
      <x:c r="K255" s="47" t="str">
        <x:v>NOT_RUN</x:v>
      </x:c>
    </x:row>
    <x:row r="256">
      <x:c r="A256" s="47" t="str">
        <x:v>TRF-066</x:v>
      </x:c>
      <x:c r="B256" s="48" t="str">
        <x:v>Ice Class Regulations and the Application Thereof</x:v>
      </x:c>
      <x:c r="C256" s="47" t="str">
        <x:v>TRAFICOM/68863/03.04.01.00/2021</x:v>
      </x:c>
      <x:c r="D256" s="59" t="n">
        <x:v>26</x:v>
      </x:c>
      <x:c r="E256" s="47" t="str">
        <x:v>5</x:v>
      </x:c>
      <x:c r="F256" s="47" t="str">
        <x:v>Static</x:v>
      </x:c>
      <x:c r="G256" s="48" t="str">
        <x:v>Stage 2 candidate - direct/deterministic</x:v>
      </x:c>
      <x:c r="H256" s="47" t="str">
        <x:v>High</x:v>
      </x:c>
      <x:c r="I256" s="47" t="str">
        <x:v>No</x:v>
      </x:c>
      <x:c r="J256" s="47" t="str">
        <x:v>ELIGIBLE</x:v>
      </x:c>
      <x:c r="K256" s="47" t="str">
        <x:v>NOT_RUN</x:v>
      </x:c>
    </x:row>
    <x:row r="257">
      <x:c r="A257" s="47" t="str">
        <x:v>TRF-067</x:v>
      </x:c>
      <x:c r="B257" s="48" t="str">
        <x:v>Ice Class Regulations and the Application Thereof</x:v>
      </x:c>
      <x:c r="C257" s="47" t="str">
        <x:v>TRAFICOM/68863/03.04.01.00/2021</x:v>
      </x:c>
      <x:c r="D257" s="59" t="n">
        <x:v>26</x:v>
      </x:c>
      <x:c r="E257" s="47" t="str">
        <x:v>5</x:v>
      </x:c>
      <x:c r="F257" s="47" t="str">
        <x:v>Static</x:v>
      </x:c>
      <x:c r="G257" s="48" t="str">
        <x:v>Stage 2 candidate - direct/deterministic</x:v>
      </x:c>
      <x:c r="H257" s="47" t="str">
        <x:v>High</x:v>
      </x:c>
      <x:c r="I257" s="47" t="str">
        <x:v>No</x:v>
      </x:c>
      <x:c r="J257" s="47" t="str">
        <x:v>ELIGIBLE</x:v>
      </x:c>
      <x:c r="K257" s="47" t="str">
        <x:v>NOT_RUN</x:v>
      </x:c>
    </x:row>
    <x:row r="258">
      <x:c r="A258" s="47" t="str">
        <x:v>TRF-068</x:v>
      </x:c>
      <x:c r="B258" s="48" t="str">
        <x:v>Ice Class Regulations and the Application Thereof</x:v>
      </x:c>
      <x:c r="C258" s="47" t="str">
        <x:v>TRAFICOM/68863/03.04.01.00/2021</x:v>
      </x:c>
      <x:c r="D258" s="59" t="n">
        <x:v>26</x:v>
      </x:c>
      <x:c r="E258" s="47" t="str">
        <x:v>5</x:v>
      </x:c>
      <x:c r="F258" s="47" t="str">
        <x:v>Complex</x:v>
      </x:c>
      <x:c r="G258" s="48" t="str">
        <x:v>Deferred - composite/evidence workflow review</x:v>
      </x:c>
      <x:c r="H258" s="47" t="str">
        <x:v>High</x:v>
      </x:c>
      <x:c r="I258" s="47" t="str">
        <x:v>No</x:v>
      </x:c>
      <x:c r="J258" s="47" t="str">
        <x:v>DEFERRED</x:v>
      </x:c>
      <x:c r="K258" s="47" t="str">
        <x:v>NOT_RUN</x:v>
      </x:c>
    </x:row>
    <x:row r="259">
      <x:c r="A259" s="47" t="str">
        <x:v>TRF-069</x:v>
      </x:c>
      <x:c r="B259" s="48" t="str">
        <x:v>Ice Class Regulations and the Application Thereof</x:v>
      </x:c>
      <x:c r="C259" s="47" t="str">
        <x:v>TRAFICOM/68863/03.04.01.00/2021</x:v>
      </x:c>
      <x:c r="D259" s="59" t="n">
        <x:v>26</x:v>
      </x:c>
      <x:c r="E259" s="47" t="str">
        <x:v>6.1</x:v>
      </x:c>
      <x:c r="F259" s="47" t="str">
        <x:v>Static</x:v>
      </x:c>
      <x:c r="G259" s="48" t="str">
        <x:v>Stage 2 candidate - direct/deterministic</x:v>
      </x:c>
      <x:c r="H259" s="47" t="str">
        <x:v>High</x:v>
      </x:c>
      <x:c r="I259" s="47" t="str">
        <x:v>No</x:v>
      </x:c>
      <x:c r="J259" s="47" t="str">
        <x:v>ELIGIBLE</x:v>
      </x:c>
      <x:c r="K259" s="47" t="str">
        <x:v>NOT_RUN</x:v>
      </x:c>
    </x:row>
    <x:row r="260">
      <x:c r="A260" s="47" t="str">
        <x:v>TRF-070</x:v>
      </x:c>
      <x:c r="B260" s="48" t="str">
        <x:v>Ice Class Regulations and the Application Thereof</x:v>
      </x:c>
      <x:c r="C260" s="47" t="str">
        <x:v>TRAFICOM/68863/03.04.01.00/2021</x:v>
      </x:c>
      <x:c r="D260" s="59" t="str">
        <x:v>26-27</x:v>
      </x:c>
      <x:c r="E260" s="47" t="str">
        <x:v>6.1</x:v>
      </x:c>
      <x:c r="F260" s="47" t="str">
        <x:v>Complex</x:v>
      </x:c>
      <x:c r="G260" s="48" t="str">
        <x:v>Stage 2 candidate - complex readiness</x:v>
      </x:c>
      <x:c r="H260" s="47" t="str">
        <x:v>Complex readiness</x:v>
      </x:c>
      <x:c r="I260" s="47" t="str">
        <x:v>No</x:v>
      </x:c>
      <x:c r="J260" s="47" t="str">
        <x:v>ELIGIBLE</x:v>
      </x:c>
      <x:c r="K260" s="47" t="str">
        <x:v>NOT_RUN</x:v>
      </x:c>
    </x:row>
    <x:row r="261">
      <x:c r="A261" s="47" t="str">
        <x:v>TRF-072</x:v>
      </x:c>
      <x:c r="B261" s="48" t="str">
        <x:v>Ice Class Regulations and the Application Thereof</x:v>
      </x:c>
      <x:c r="C261" s="47" t="str">
        <x:v>TRAFICOM/68863/03.04.01.00/2021</x:v>
      </x:c>
      <x:c r="D261" s="59" t="n">
        <x:v>31</x:v>
      </x:c>
      <x:c r="E261" s="47" t="str">
        <x:v>6.4.1</x:v>
      </x:c>
      <x:c r="F261" s="47" t="str">
        <x:v>Physical Test</x:v>
      </x:c>
      <x:c r="G261" s="48" t="str">
        <x:v>Evidence-only - physical result not inferred by SHACL</x:v>
      </x:c>
      <x:c r="H261" s="47" t="str">
        <x:v>High</x:v>
      </x:c>
      <x:c r="I261" s="47" t="str">
        <x:v>No</x:v>
      </x:c>
      <x:c r="J261" s="47" t="str">
        <x:v>DEFERRED</x:v>
      </x:c>
      <x:c r="K261" s="47" t="str">
        <x:v>NOT_RUN</x:v>
      </x:c>
    </x:row>
    <x:row r="262">
      <x:c r="A262" s="47" t="str">
        <x:v>TRF-073</x:v>
      </x:c>
      <x:c r="B262" s="48" t="str">
        <x:v>Ice Class Regulations and the Application Thereof</x:v>
      </x:c>
      <x:c r="C262" s="47" t="str">
        <x:v>TRAFICOM/68863/03.04.01.00/2021</x:v>
      </x:c>
      <x:c r="D262" s="59" t="n">
        <x:v>31</x:v>
      </x:c>
      <x:c r="E262" s="47" t="str">
        <x:v>6.4.2</x:v>
      </x:c>
      <x:c r="F262" s="47" t="str">
        <x:v>Physical Test</x:v>
      </x:c>
      <x:c r="G262" s="48" t="str">
        <x:v>Evidence-only - physical result not inferred by SHACL</x:v>
      </x:c>
      <x:c r="H262" s="47" t="str">
        <x:v>High</x:v>
      </x:c>
      <x:c r="I262" s="47" t="str">
        <x:v>No</x:v>
      </x:c>
      <x:c r="J262" s="47" t="str">
        <x:v>DEFERRED</x:v>
      </x:c>
      <x:c r="K262" s="47" t="str">
        <x:v>NOT_RUN</x:v>
      </x:c>
    </x:row>
    <x:row r="263">
      <x:c r="A263" s="47" t="str">
        <x:v>TRF-074</x:v>
      </x:c>
      <x:c r="B263" s="48" t="str">
        <x:v>Ice Class Regulations and the Application Thereof</x:v>
      </x:c>
      <x:c r="C263" s="47" t="str">
        <x:v>TRAFICOM/68863/03.04.01.00/2021</x:v>
      </x:c>
      <x:c r="D263" s="59" t="n">
        <x:v>32</x:v>
      </x:c>
      <x:c r="E263" s="47" t="str">
        <x:v>6.5</x:v>
      </x:c>
      <x:c r="F263" s="47" t="str">
        <x:v>Static</x:v>
      </x:c>
      <x:c r="G263" s="48" t="str">
        <x:v>Stage 2 candidate - direct/deterministic</x:v>
      </x:c>
      <x:c r="H263" s="47" t="str">
        <x:v>High</x:v>
      </x:c>
      <x:c r="I263" s="47" t="str">
        <x:v>No</x:v>
      </x:c>
      <x:c r="J263" s="47" t="str">
        <x:v>ELIGIBLE</x:v>
      </x:c>
      <x:c r="K263" s="47" t="str">
        <x:v>NOT_RUN</x:v>
      </x:c>
    </x:row>
    <x:row r="264">
      <x:c r="A264" s="47" t="str">
        <x:v>TRF-075</x:v>
      </x:c>
      <x:c r="B264" s="48" t="str">
        <x:v>Ice Class Regulations and the Application Thereof</x:v>
      </x:c>
      <x:c r="C264" s="47" t="str">
        <x:v>TRAFICOM/68863/03.04.01.00/2021</x:v>
      </x:c>
      <x:c r="D264" s="59" t="n">
        <x:v>32</x:v>
      </x:c>
      <x:c r="E264" s="47" t="str">
        <x:v>6.5.1</x:v>
      </x:c>
      <x:c r="F264" s="47" t="str">
        <x:v>Static</x:v>
      </x:c>
      <x:c r="G264" s="48" t="str">
        <x:v>Stage 2 candidate - direct static</x:v>
      </x:c>
      <x:c r="H264" s="47" t="str">
        <x:v>Direct static</x:v>
      </x:c>
      <x:c r="I264" s="47" t="str">
        <x:v>No</x:v>
      </x:c>
      <x:c r="J264" s="47" t="str">
        <x:v>ELIGIBLE</x:v>
      </x:c>
      <x:c r="K264" s="47" t="str">
        <x:v>NOT_RUN</x:v>
      </x:c>
    </x:row>
    <x:row r="265">
      <x:c r="A265" s="47" t="str">
        <x:v>TRF-076</x:v>
      </x:c>
      <x:c r="B265" s="48" t="str">
        <x:v>Ice Class Regulations and the Application Thereof</x:v>
      </x:c>
      <x:c r="C265" s="47" t="str">
        <x:v>TRAFICOM/68863/03.04.01.00/2021</x:v>
      </x:c>
      <x:c r="D265" s="59" t="n">
        <x:v>32</x:v>
      </x:c>
      <x:c r="E265" s="47" t="str">
        <x:v>6.5.1.3</x:v>
      </x:c>
      <x:c r="F265" s="47" t="str">
        <x:v>Static</x:v>
      </x:c>
      <x:c r="G265" s="48" t="str">
        <x:v>Stage 2 candidate - direct/deterministic</x:v>
      </x:c>
      <x:c r="H265" s="47" t="str">
        <x:v>Medium</x:v>
      </x:c>
      <x:c r="I265" s="47" t="str">
        <x:v>No</x:v>
      </x:c>
      <x:c r="J265" s="47" t="str">
        <x:v>ELIGIBLE</x:v>
      </x:c>
      <x:c r="K265" s="47" t="str">
        <x:v>NOT_RUN</x:v>
      </x:c>
    </x:row>
    <x:row r="266">
      <x:c r="A266" s="47" t="str">
        <x:v>TRF-077</x:v>
      </x:c>
      <x:c r="B266" s="48" t="str">
        <x:v>Ice Class Regulations and the Application Thereof</x:v>
      </x:c>
      <x:c r="C266" s="47" t="str">
        <x:v>TRAFICOM/68863/03.04.01.00/2021</x:v>
      </x:c>
      <x:c r="D266" s="59" t="n">
        <x:v>36</x:v>
      </x:c>
      <x:c r="E266" s="47" t="str">
        <x:v>6.5.1.8</x:v>
      </x:c>
      <x:c r="F266" s="47" t="str">
        <x:v>Static</x:v>
      </x:c>
      <x:c r="G266" s="48" t="str">
        <x:v>Stage 2 candidate - direct static</x:v>
      </x:c>
      <x:c r="H266" s="47" t="str">
        <x:v>Direct static</x:v>
      </x:c>
      <x:c r="I266" s="47" t="str">
        <x:v>No</x:v>
      </x:c>
      <x:c r="J266" s="47" t="str">
        <x:v>ELIGIBLE</x:v>
      </x:c>
      <x:c r="K266" s="47" t="str">
        <x:v>NOT_RUN</x:v>
      </x:c>
    </x:row>
    <x:row r="267">
      <x:c r="A267" s="47" t="str">
        <x:v>TRF-078</x:v>
      </x:c>
      <x:c r="B267" s="48" t="str">
        <x:v>Ice Class Regulations and the Application Thereof</x:v>
      </x:c>
      <x:c r="C267" s="47" t="str">
        <x:v>TRAFICOM/68863/03.04.01.00/2021</x:v>
      </x:c>
      <x:c r="D267" s="59" t="n">
        <x:v>36</x:v>
      </x:c>
      <x:c r="E267" s="47" t="str">
        <x:v>6.5.1.9</x:v>
      </x:c>
      <x:c r="F267" s="47" t="str">
        <x:v>Static Calculation</x:v>
      </x:c>
      <x:c r="G267" s="48" t="str">
        <x:v>Stage 2 candidate - direct/deterministic</x:v>
      </x:c>
      <x:c r="H267" s="47" t="str">
        <x:v>Medium</x:v>
      </x:c>
      <x:c r="I267" s="47" t="str">
        <x:v>No</x:v>
      </x:c>
      <x:c r="J267" s="47" t="str">
        <x:v>ELIGIBLE</x:v>
      </x:c>
      <x:c r="K267" s="47" t="str">
        <x:v>NOT_RUN</x:v>
      </x:c>
    </x:row>
    <x:row r="268">
      <x:c r="A268" s="47" t="str">
        <x:v>TRF-079</x:v>
      </x:c>
      <x:c r="B268" s="48" t="str">
        <x:v>Ice Class Regulations and the Application Thereof</x:v>
      </x:c>
      <x:c r="C268" s="47" t="str">
        <x:v>TRAFICOM/68863/03.04.01.00/2021</x:v>
      </x:c>
      <x:c r="D268" s="59" t="n">
        <x:v>37</x:v>
      </x:c>
      <x:c r="E268" s="47" t="str">
        <x:v>6.5.1.9</x:v>
      </x:c>
      <x:c r="F268" s="47" t="str">
        <x:v>Static Calculation</x:v>
      </x:c>
      <x:c r="G268" s="48" t="str">
        <x:v>Stage 2 candidate - direct/deterministic</x:v>
      </x:c>
      <x:c r="H268" s="47" t="str">
        <x:v>Medium</x:v>
      </x:c>
      <x:c r="I268" s="47" t="str">
        <x:v>No</x:v>
      </x:c>
      <x:c r="J268" s="47" t="str">
        <x:v>ELIGIBLE</x:v>
      </x:c>
      <x:c r="K268" s="47" t="str">
        <x:v>NOT_RUN</x:v>
      </x:c>
    </x:row>
    <x:row r="269">
      <x:c r="A269" s="47" t="str">
        <x:v>TRF-080</x:v>
      </x:c>
      <x:c r="B269" s="48" t="str">
        <x:v>Ice Class Regulations and the Application Thereof</x:v>
      </x:c>
      <x:c r="C269" s="47" t="str">
        <x:v>TRAFICOM/68863/03.04.01.00/2021</x:v>
      </x:c>
      <x:c r="D269" s="59" t="n">
        <x:v>37</x:v>
      </x:c>
      <x:c r="E269" s="47" t="str">
        <x:v>6.5.1.9</x:v>
      </x:c>
      <x:c r="F269" s="47" t="str">
        <x:v>Static Calculation</x:v>
      </x:c>
      <x:c r="G269" s="48" t="str">
        <x:v>Stage 2 candidate - direct calculation</x:v>
      </x:c>
      <x:c r="H269" s="47" t="str">
        <x:v>Direct calculation</x:v>
      </x:c>
      <x:c r="I269" s="47" t="str">
        <x:v>No</x:v>
      </x:c>
      <x:c r="J269" s="47" t="str">
        <x:v>ELIGIBLE</x:v>
      </x:c>
      <x:c r="K269" s="47" t="str">
        <x:v>NOT_RUN</x:v>
      </x:c>
    </x:row>
    <x:row r="270">
      <x:c r="A270" s="47" t="str">
        <x:v>TRF-081</x:v>
      </x:c>
      <x:c r="B270" s="48" t="str">
        <x:v>Ice Class Regulations and the Application Thereof</x:v>
      </x:c>
      <x:c r="C270" s="47" t="str">
        <x:v>TRAFICOM/68863/03.04.01.00/2021</x:v>
      </x:c>
      <x:c r="D270" s="59" t="n">
        <x:v>37</x:v>
      </x:c>
      <x:c r="E270" s="47" t="str">
        <x:v>6.5.2.1-6.5.2.2</x:v>
      </x:c>
      <x:c r="F270" s="47" t="str">
        <x:v>Static Calculation</x:v>
      </x:c>
      <x:c r="G270" s="48" t="str">
        <x:v>Stage 2 candidate - direct/deterministic</x:v>
      </x:c>
      <x:c r="H270" s="47" t="str">
        <x:v>High</x:v>
      </x:c>
      <x:c r="I270" s="47" t="str">
        <x:v>No</x:v>
      </x:c>
      <x:c r="J270" s="47" t="str">
        <x:v>ELIGIBLE</x:v>
      </x:c>
      <x:c r="K270" s="47" t="str">
        <x:v>NOT_RUN</x:v>
      </x:c>
    </x:row>
    <x:row r="271">
      <x:c r="A271" s="47" t="str">
        <x:v>TRF-082</x:v>
      </x:c>
      <x:c r="B271" s="48" t="str">
        <x:v>Ice Class Regulations and the Application Thereof</x:v>
      </x:c>
      <x:c r="C271" s="47" t="str">
        <x:v>TRAFICOM/68863/03.04.01.00/2021</x:v>
      </x:c>
      <x:c r="D271" s="59" t="n">
        <x:v>37</x:v>
      </x:c>
      <x:c r="E271" s="47" t="str">
        <x:v>6.5.2.2</x:v>
      </x:c>
      <x:c r="F271" s="47" t="str">
        <x:v>Static</x:v>
      </x:c>
      <x:c r="G271" s="48" t="str">
        <x:v>Stage 2 candidate - direct/deterministic</x:v>
      </x:c>
      <x:c r="H271" s="47" t="str">
        <x:v>Medium</x:v>
      </x:c>
      <x:c r="I271" s="47" t="str">
        <x:v>No</x:v>
      </x:c>
      <x:c r="J271" s="47" t="str">
        <x:v>ELIGIBLE</x:v>
      </x:c>
      <x:c r="K271" s="47" t="str">
        <x:v>NOT_RUN</x:v>
      </x:c>
    </x:row>
    <x:row r="272">
      <x:c r="A272" s="47" t="str">
        <x:v>TRF-083</x:v>
      </x:c>
      <x:c r="B272" s="48" t="str">
        <x:v>Ice Class Regulations and the Application Thereof</x:v>
      </x:c>
      <x:c r="C272" s="47" t="str">
        <x:v>TRAFICOM/68863/03.04.01.00/2021</x:v>
      </x:c>
      <x:c r="D272" s="59" t="n">
        <x:v>38</x:v>
      </x:c>
      <x:c r="E272" s="47" t="str">
        <x:v>6.5.3.1</x:v>
      </x:c>
      <x:c r="F272" s="47" t="str">
        <x:v>Static</x:v>
      </x:c>
      <x:c r="G272" s="48" t="str">
        <x:v>Stage 2 candidate - direct/deterministic</x:v>
      </x:c>
      <x:c r="H272" s="47" t="str">
        <x:v>Medium</x:v>
      </x:c>
      <x:c r="I272" s="47" t="str">
        <x:v>No</x:v>
      </x:c>
      <x:c r="J272" s="47" t="str">
        <x:v>ELIGIBLE</x:v>
      </x:c>
      <x:c r="K272" s="47" t="str">
        <x:v>NOT_RUN</x:v>
      </x:c>
    </x:row>
    <x:row r="273">
      <x:c r="A273" s="47" t="str">
        <x:v>TRF-084</x:v>
      </x:c>
      <x:c r="B273" s="48" t="str">
        <x:v>Ice Class Regulations and the Application Thereof</x:v>
      </x:c>
      <x:c r="C273" s="47" t="str">
        <x:v>TRAFICOM/68863/03.04.01.00/2021</x:v>
      </x:c>
      <x:c r="D273" s="59" t="n">
        <x:v>38</x:v>
      </x:c>
      <x:c r="E273" s="47" t="str">
        <x:v>6.5.3.1</x:v>
      </x:c>
      <x:c r="F273" s="47" t="str">
        <x:v>Static Calculation</x:v>
      </x:c>
      <x:c r="G273" s="48" t="str">
        <x:v>Stage 2 candidate - direct calculation</x:v>
      </x:c>
      <x:c r="H273" s="47" t="str">
        <x:v>Direct calculation</x:v>
      </x:c>
      <x:c r="I273" s="47" t="str">
        <x:v>No</x:v>
      </x:c>
      <x:c r="J273" s="47" t="str">
        <x:v>ELIGIBLE</x:v>
      </x:c>
      <x:c r="K273" s="47" t="str">
        <x:v>NOT_RUN</x:v>
      </x:c>
    </x:row>
    <x:row r="274">
      <x:c r="A274" s="47" t="str">
        <x:v>TRF-085</x:v>
      </x:c>
      <x:c r="B274" s="48" t="str">
        <x:v>Ice Class Regulations and the Application Thereof</x:v>
      </x:c>
      <x:c r="C274" s="47" t="str">
        <x:v>TRAFICOM/68863/03.04.01.00/2021</x:v>
      </x:c>
      <x:c r="D274" s="59" t="n">
        <x:v>39</x:v>
      </x:c>
      <x:c r="E274" s="47" t="str">
        <x:v>6.5.3.2</x:v>
      </x:c>
      <x:c r="F274" s="47" t="str">
        <x:v>Static</x:v>
      </x:c>
      <x:c r="G274" s="48" t="str">
        <x:v>Stage 2 candidate - direct/deterministic</x:v>
      </x:c>
      <x:c r="H274" s="47" t="str">
        <x:v>Medium</x:v>
      </x:c>
      <x:c r="I274" s="47" t="str">
        <x:v>No</x:v>
      </x:c>
      <x:c r="J274" s="47" t="str">
        <x:v>ELIGIBLE</x:v>
      </x:c>
      <x:c r="K274" s="47" t="str">
        <x:v>NOT_RUN</x:v>
      </x:c>
    </x:row>
    <x:row r="275">
      <x:c r="A275" s="47" t="str">
        <x:v>TRF-086</x:v>
      </x:c>
      <x:c r="B275" s="48" t="str">
        <x:v>Ice Class Regulations and the Application Thereof</x:v>
      </x:c>
      <x:c r="C275" s="47" t="str">
        <x:v>TRAFICOM/68863/03.04.01.00/2021</x:v>
      </x:c>
      <x:c r="D275" s="59" t="n">
        <x:v>39</x:v>
      </x:c>
      <x:c r="E275" s="47" t="str">
        <x:v>6.5.3.2</x:v>
      </x:c>
      <x:c r="F275" s="47" t="str">
        <x:v>Static Calculation</x:v>
      </x:c>
      <x:c r="G275" s="48" t="str">
        <x:v>Stage 2 candidate - direct calculation</x:v>
      </x:c>
      <x:c r="H275" s="47" t="str">
        <x:v>Direct calculation</x:v>
      </x:c>
      <x:c r="I275" s="47" t="str">
        <x:v>No</x:v>
      </x:c>
      <x:c r="J275" s="47" t="str">
        <x:v>ELIGIBLE</x:v>
      </x:c>
      <x:c r="K275" s="47" t="str">
        <x:v>NOT_RUN</x:v>
      </x:c>
    </x:row>
    <x:row r="276">
      <x:c r="A276" s="47" t="str">
        <x:v>TRF-087</x:v>
      </x:c>
      <x:c r="B276" s="48" t="str">
        <x:v>Ice Class Regulations and the Application Thereof</x:v>
      </x:c>
      <x:c r="C276" s="47" t="str">
        <x:v>TRAFICOM/68863/03.04.01.00/2021</x:v>
      </x:c>
      <x:c r="D276" s="59" t="n">
        <x:v>39</x:v>
      </x:c>
      <x:c r="E276" s="47" t="str">
        <x:v>6.5.3.3</x:v>
      </x:c>
      <x:c r="F276" s="47" t="str">
        <x:v>Static</x:v>
      </x:c>
      <x:c r="G276" s="48" t="str">
        <x:v>Stage 2 candidate - direct/deterministic</x:v>
      </x:c>
      <x:c r="H276" s="47" t="str">
        <x:v>High</x:v>
      </x:c>
      <x:c r="I276" s="47" t="str">
        <x:v>No</x:v>
      </x:c>
      <x:c r="J276" s="47" t="str">
        <x:v>ELIGIBLE</x:v>
      </x:c>
      <x:c r="K276" s="47" t="str">
        <x:v>NOT_RUN</x:v>
      </x:c>
    </x:row>
    <x:row r="277">
      <x:c r="A277" s="47" t="str">
        <x:v>TRF-088</x:v>
      </x:c>
      <x:c r="B277" s="48" t="str">
        <x:v>Ice Class Regulations and the Application Thereof</x:v>
      </x:c>
      <x:c r="C277" s="47" t="str">
        <x:v>TRAFICOM/68863/03.04.01.00/2021</x:v>
      </x:c>
      <x:c r="D277" s="59" t="n">
        <x:v>39</x:v>
      </x:c>
      <x:c r="E277" s="47" t="str">
        <x:v>6.5.3.3</x:v>
      </x:c>
      <x:c r="F277" s="47" t="str">
        <x:v>Static</x:v>
      </x:c>
      <x:c r="G277" s="48" t="str">
        <x:v>Stage 2 candidate - direct static</x:v>
      </x:c>
      <x:c r="H277" s="47" t="str">
        <x:v>Direct static</x:v>
      </x:c>
      <x:c r="I277" s="47" t="str">
        <x:v>No</x:v>
      </x:c>
      <x:c r="J277" s="47" t="str">
        <x:v>ELIGIBLE</x:v>
      </x:c>
      <x:c r="K277" s="47" t="str">
        <x:v>NOT_RUN</x:v>
      </x:c>
    </x:row>
    <x:row r="278">
      <x:c r="A278" s="47" t="str">
        <x:v>TRF-089</x:v>
      </x:c>
      <x:c r="B278" s="48" t="str">
        <x:v>Ice Class Regulations and the Application Thereof</x:v>
      </x:c>
      <x:c r="C278" s="47" t="str">
        <x:v>TRAFICOM/68863/03.04.01.00/2021</x:v>
      </x:c>
      <x:c r="D278" s="59" t="n">
        <x:v>39</x:v>
      </x:c>
      <x:c r="E278" s="47" t="str">
        <x:v>6.5.3.4</x:v>
      </x:c>
      <x:c r="F278" s="47" t="str">
        <x:v>Dynamic</x:v>
      </x:c>
      <x:c r="G278" s="48" t="str">
        <x:v>Deferred - observation/history/simulation design required</x:v>
      </x:c>
      <x:c r="H278" s="47" t="str">
        <x:v>Medium</x:v>
      </x:c>
      <x:c r="I278" s="47" t="str">
        <x:v>No</x:v>
      </x:c>
      <x:c r="J278" s="47" t="str">
        <x:v>DEFERRED</x:v>
      </x:c>
      <x:c r="K278" s="47" t="str">
        <x:v>NOT_RUN</x:v>
      </x:c>
    </x:row>
    <x:row r="279">
      <x:c r="A279" s="47" t="str">
        <x:v>TRF-090</x:v>
      </x:c>
      <x:c r="B279" s="48" t="str">
        <x:v>Ice Class Regulations and the Application Thereof</x:v>
      </x:c>
      <x:c r="C279" s="47" t="str">
        <x:v>TRAFICOM/68863/03.04.01.00/2021</x:v>
      </x:c>
      <x:c r="D279" s="59" t="n">
        <x:v>40</x:v>
      </x:c>
      <x:c r="E279" s="47" t="str">
        <x:v>6.5.3.4</x:v>
      </x:c>
      <x:c r="F279" s="47" t="str">
        <x:v>Dynamic</x:v>
      </x:c>
      <x:c r="G279" s="48" t="str">
        <x:v>Deferred - observation/history/simulation design required</x:v>
      </x:c>
      <x:c r="H279" s="47" t="str">
        <x:v>Medium</x:v>
      </x:c>
      <x:c r="I279" s="47" t="str">
        <x:v>No</x:v>
      </x:c>
      <x:c r="J279" s="47" t="str">
        <x:v>DEFERRED</x:v>
      </x:c>
      <x:c r="K279" s="47" t="str">
        <x:v>NOT_RUN</x:v>
      </x:c>
    </x:row>
    <x:row r="280">
      <x:c r="A280" s="47" t="str">
        <x:v>TRF-091</x:v>
      </x:c>
      <x:c r="B280" s="48" t="str">
        <x:v>Ice Class Regulations and the Application Thereof</x:v>
      </x:c>
      <x:c r="C280" s="47" t="str">
        <x:v>TRAFICOM/68863/03.04.01.00/2021</x:v>
      </x:c>
      <x:c r="D280" s="59" t="n">
        <x:v>40</x:v>
      </x:c>
      <x:c r="E280" s="47" t="str">
        <x:v>6.5.3.4</x:v>
      </x:c>
      <x:c r="F280" s="47" t="str">
        <x:v>Static</x:v>
      </x:c>
      <x:c r="G280" s="48" t="str">
        <x:v>Stage 2 candidate - direct/deterministic</x:v>
      </x:c>
      <x:c r="H280" s="47" t="str">
        <x:v>High</x:v>
      </x:c>
      <x:c r="I280" s="47" t="str">
        <x:v>No</x:v>
      </x:c>
      <x:c r="J280" s="47" t="str">
        <x:v>ELIGIBLE</x:v>
      </x:c>
      <x:c r="K280" s="47" t="str">
        <x:v>NOT_RUN</x:v>
      </x:c>
    </x:row>
    <x:row r="281">
      <x:c r="A281" s="47" t="str">
        <x:v>TRF-092</x:v>
      </x:c>
      <x:c r="B281" s="48" t="str">
        <x:v>Ice Class Regulations and the Application Thereof</x:v>
      </x:c>
      <x:c r="C281" s="47" t="str">
        <x:v>TRAFICOM/68863/03.04.01.00/2021</x:v>
      </x:c>
      <x:c r="D281" s="59" t="n">
        <x:v>40</x:v>
      </x:c>
      <x:c r="E281" s="47" t="str">
        <x:v>6.5.3.4</x:v>
      </x:c>
      <x:c r="F281" s="47" t="str">
        <x:v>Dynamic</x:v>
      </x:c>
      <x:c r="G281" s="48" t="str">
        <x:v>Deferred - observation/history/simulation design required</x:v>
      </x:c>
      <x:c r="H281" s="47" t="str">
        <x:v>Deferred</x:v>
      </x:c>
      <x:c r="I281" s="47" t="str">
        <x:v>No</x:v>
      </x:c>
      <x:c r="J281" s="47" t="str">
        <x:v>DEFERRED</x:v>
      </x:c>
      <x:c r="K281" s="47" t="str">
        <x:v>NOT_RUN</x:v>
      </x:c>
    </x:row>
    <x:row r="282">
      <x:c r="A282" s="47" t="str">
        <x:v>TRF-093</x:v>
      </x:c>
      <x:c r="B282" s="48" t="str">
        <x:v>Ice Class Regulations and the Application Thereof</x:v>
      </x:c>
      <x:c r="C282" s="47" t="str">
        <x:v>TRAFICOM/68863/03.04.01.00/2021</x:v>
      </x:c>
      <x:c r="D282" s="59" t="n">
        <x:v>40</x:v>
      </x:c>
      <x:c r="E282" s="47" t="str">
        <x:v>6.5.3.4</x:v>
      </x:c>
      <x:c r="F282" s="47" t="str">
        <x:v>Dynamic</x:v>
      </x:c>
      <x:c r="G282" s="48" t="str">
        <x:v>Deferred - observation/history/simulation design required</x:v>
      </x:c>
      <x:c r="H282" s="47" t="str">
        <x:v>Medium</x:v>
      </x:c>
      <x:c r="I282" s="47" t="str">
        <x:v>No</x:v>
      </x:c>
      <x:c r="J282" s="47" t="str">
        <x:v>DEFERRED</x:v>
      </x:c>
      <x:c r="K282" s="47" t="str">
        <x:v>NOT_RUN</x:v>
      </x:c>
    </x:row>
    <x:row r="283">
      <x:c r="A283" s="47" t="str">
        <x:v>TRF-094</x:v>
      </x:c>
      <x:c r="B283" s="48" t="str">
        <x:v>Ice Class Regulations and the Application Thereof</x:v>
      </x:c>
      <x:c r="C283" s="47" t="str">
        <x:v>TRAFICOM/68863/03.04.01.00/2021</x:v>
      </x:c>
      <x:c r="D283" s="59" t="n">
        <x:v>40</x:v>
      </x:c>
      <x:c r="E283" s="47" t="str">
        <x:v>6.5.3.4</x:v>
      </x:c>
      <x:c r="F283" s="47" t="str">
        <x:v>Dynamic</x:v>
      </x:c>
      <x:c r="G283" s="48" t="str">
        <x:v>Deferred - observation/history/simulation design required</x:v>
      </x:c>
      <x:c r="H283" s="47" t="str">
        <x:v>Medium</x:v>
      </x:c>
      <x:c r="I283" s="47" t="str">
        <x:v>No</x:v>
      </x:c>
      <x:c r="J283" s="47" t="str">
        <x:v>DEFERRED</x:v>
      </x:c>
      <x:c r="K283" s="47" t="str">
        <x:v>NOT_RUN</x:v>
      </x:c>
    </x:row>
    <x:row r="284">
      <x:c r="A284" s="47" t="str">
        <x:v>TRF-095</x:v>
      </x:c>
      <x:c r="B284" s="48" t="str">
        <x:v>Ice Class Regulations and the Application Thereof</x:v>
      </x:c>
      <x:c r="C284" s="47" t="str">
        <x:v>TRAFICOM/68863/03.04.01.00/2021</x:v>
      </x:c>
      <x:c r="D284" s="59" t="n">
        <x:v>40</x:v>
      </x:c>
      <x:c r="E284" s="47" t="str">
        <x:v>6.5.3.4</x:v>
      </x:c>
      <x:c r="F284" s="47" t="str">
        <x:v>Dynamic</x:v>
      </x:c>
      <x:c r="G284" s="48" t="str">
        <x:v>Deferred - observation/history/simulation design required</x:v>
      </x:c>
      <x:c r="H284" s="47" t="str">
        <x:v>Medium</x:v>
      </x:c>
      <x:c r="I284" s="47" t="str">
        <x:v>No</x:v>
      </x:c>
      <x:c r="J284" s="47" t="str">
        <x:v>DEFERRED</x:v>
      </x:c>
      <x:c r="K284" s="47" t="str">
        <x:v>NOT_RUN</x:v>
      </x:c>
    </x:row>
    <x:row r="285">
      <x:c r="A285" s="47" t="str">
        <x:v>TRF-096</x:v>
      </x:c>
      <x:c r="B285" s="48" t="str">
        <x:v>Ice Class Regulations and the Application Thereof</x:v>
      </x:c>
      <x:c r="C285" s="47" t="str">
        <x:v>TRAFICOM/68863/03.04.01.00/2021</x:v>
      </x:c>
      <x:c r="D285" s="59" t="n">
        <x:v>41</x:v>
      </x:c>
      <x:c r="E285" s="47" t="str">
        <x:v>6.5.3.4</x:v>
      </x:c>
      <x:c r="F285" s="47" t="str">
        <x:v>Dynamic</x:v>
      </x:c>
      <x:c r="G285" s="48" t="str">
        <x:v>Deferred - observation/history/simulation design required</x:v>
      </x:c>
      <x:c r="H285" s="47" t="str">
        <x:v>Deferred</x:v>
      </x:c>
      <x:c r="I285" s="47" t="str">
        <x:v>No</x:v>
      </x:c>
      <x:c r="J285" s="47" t="str">
        <x:v>DEFERRED</x:v>
      </x:c>
      <x:c r="K285" s="47" t="str">
        <x:v>NOT_RUN</x:v>
      </x:c>
    </x:row>
    <x:row r="286">
      <x:c r="A286" s="47" t="str">
        <x:v>TRF-097</x:v>
      </x:c>
      <x:c r="B286" s="48" t="str">
        <x:v>Ice Class Regulations and the Application Thereof</x:v>
      </x:c>
      <x:c r="C286" s="47" t="str">
        <x:v>TRAFICOM/68863/03.04.01.00/2021</x:v>
      </x:c>
      <x:c r="D286" s="59" t="str">
        <x:v>43-44</x:v>
      </x:c>
      <x:c r="E286" s="47" t="str">
        <x:v>6.5.3.4</x:v>
      </x:c>
      <x:c r="F286" s="47" t="str">
        <x:v>Dynamic</x:v>
      </x:c>
      <x:c r="G286" s="48" t="str">
        <x:v>Deferred - observation/history/simulation design required</x:v>
      </x:c>
      <x:c r="H286" s="47" t="str">
        <x:v>Medium</x:v>
      </x:c>
      <x:c r="I286" s="47" t="str">
        <x:v>No</x:v>
      </x:c>
      <x:c r="J286" s="47" t="str">
        <x:v>DEFERRED</x:v>
      </x:c>
      <x:c r="K286" s="47" t="str">
        <x:v>NOT_RUN</x:v>
      </x:c>
    </x:row>
    <x:row r="287">
      <x:c r="A287" s="47" t="str">
        <x:v>TRF-098</x:v>
      </x:c>
      <x:c r="B287" s="48" t="str">
        <x:v>Ice Class Regulations and the Application Thereof</x:v>
      </x:c>
      <x:c r="C287" s="47" t="str">
        <x:v>TRAFICOM/68863/03.04.01.00/2021</x:v>
      </x:c>
      <x:c r="D287" s="59" t="n">
        <x:v>44</x:v>
      </x:c>
      <x:c r="E287" s="47" t="str">
        <x:v>6.5.3.4</x:v>
      </x:c>
      <x:c r="F287" s="47" t="str">
        <x:v>Dynamic</x:v>
      </x:c>
      <x:c r="G287" s="48" t="str">
        <x:v>Deferred - observation/history/simulation design required</x:v>
      </x:c>
      <x:c r="H287" s="47" t="str">
        <x:v>Medium</x:v>
      </x:c>
      <x:c r="I287" s="47" t="str">
        <x:v>No</x:v>
      </x:c>
      <x:c r="J287" s="47" t="str">
        <x:v>DEFERRED</x:v>
      </x:c>
      <x:c r="K287" s="47" t="str">
        <x:v>NOT_RUN</x:v>
      </x:c>
    </x:row>
    <x:row r="288">
      <x:c r="A288" s="47" t="str">
        <x:v>TRF-099</x:v>
      </x:c>
      <x:c r="B288" s="48" t="str">
        <x:v>Ice Class Regulations and the Application Thereof</x:v>
      </x:c>
      <x:c r="C288" s="47" t="str">
        <x:v>TRAFICOM/68863/03.04.01.00/2021</x:v>
      </x:c>
      <x:c r="D288" s="59" t="n">
        <x:v>45</x:v>
      </x:c>
      <x:c r="E288" s="47" t="str">
        <x:v>6.5.3.4</x:v>
      </x:c>
      <x:c r="F288" s="47" t="str">
        <x:v>Dynamic</x:v>
      </x:c>
      <x:c r="G288" s="48" t="str">
        <x:v>Deferred - observation/history/simulation design required</x:v>
      </x:c>
      <x:c r="H288" s="47" t="str">
        <x:v>Medium</x:v>
      </x:c>
      <x:c r="I288" s="47" t="str">
        <x:v>No</x:v>
      </x:c>
      <x:c r="J288" s="47" t="str">
        <x:v>DEFERRED</x:v>
      </x:c>
      <x:c r="K288" s="47" t="str">
        <x:v>NOT_RUN</x:v>
      </x:c>
    </x:row>
    <x:row r="289">
      <x:c r="A289" s="47" t="str">
        <x:v>TRF-100</x:v>
      </x:c>
      <x:c r="B289" s="48" t="str">
        <x:v>Ice Class Regulations and the Application Thereof</x:v>
      </x:c>
      <x:c r="C289" s="47" t="str">
        <x:v>TRAFICOM/68863/03.04.01.00/2021</x:v>
      </x:c>
      <x:c r="D289" s="59" t="n">
        <x:v>45</x:v>
      </x:c>
      <x:c r="E289" s="47" t="str">
        <x:v>6.5.3.4</x:v>
      </x:c>
      <x:c r="F289" s="47" t="str">
        <x:v>Dynamic</x:v>
      </x:c>
      <x:c r="G289" s="48" t="str">
        <x:v>Deferred - observation/history/simulation design required</x:v>
      </x:c>
      <x:c r="H289" s="47" t="str">
        <x:v>Medium</x:v>
      </x:c>
      <x:c r="I289" s="47" t="str">
        <x:v>No</x:v>
      </x:c>
      <x:c r="J289" s="47" t="str">
        <x:v>DEFERRED</x:v>
      </x:c>
      <x:c r="K289" s="47" t="str">
        <x:v>NOT_RUN</x:v>
      </x:c>
    </x:row>
    <x:row r="290">
      <x:c r="A290" s="47" t="str">
        <x:v>TRF-101</x:v>
      </x:c>
      <x:c r="B290" s="48" t="str">
        <x:v>Ice Class Regulations and the Application Thereof</x:v>
      </x:c>
      <x:c r="C290" s="47" t="str">
        <x:v>TRAFICOM/68863/03.04.01.00/2021</x:v>
      </x:c>
      <x:c r="D290" s="59" t="str">
        <x:v>45-46</x:v>
      </x:c>
      <x:c r="E290" s="47" t="str">
        <x:v>6.5.4.1</x:v>
      </x:c>
      <x:c r="F290" s="47" t="str">
        <x:v>Static Calculation</x:v>
      </x:c>
      <x:c r="G290" s="48" t="str">
        <x:v>Stage 2 candidate - direct/deterministic</x:v>
      </x:c>
      <x:c r="H290" s="47" t="str">
        <x:v>Medium</x:v>
      </x:c>
      <x:c r="I290" s="47" t="str">
        <x:v>No</x:v>
      </x:c>
      <x:c r="J290" s="47" t="str">
        <x:v>ELIGIBLE</x:v>
      </x:c>
      <x:c r="K290" s="47" t="str">
        <x:v>NOT_RUN</x:v>
      </x:c>
    </x:row>
    <x:row r="291">
      <x:c r="A291" s="47" t="str">
        <x:v>TRF-102</x:v>
      </x:c>
      <x:c r="B291" s="48" t="str">
        <x:v>Ice Class Regulations and the Application Thereof</x:v>
      </x:c>
      <x:c r="C291" s="47" t="str">
        <x:v>TRAFICOM/68863/03.04.01.00/2021</x:v>
      </x:c>
      <x:c r="D291" s="59" t="n">
        <x:v>46</x:v>
      </x:c>
      <x:c r="E291" s="47" t="str">
        <x:v>6.5.4.2</x:v>
      </x:c>
      <x:c r="F291" s="47" t="str">
        <x:v>Static Calculation</x:v>
      </x:c>
      <x:c r="G291" s="48" t="str">
        <x:v>Stage 2 candidate - direct/deterministic</x:v>
      </x:c>
      <x:c r="H291" s="47" t="str">
        <x:v>Medium</x:v>
      </x:c>
      <x:c r="I291" s="47" t="str">
        <x:v>No</x:v>
      </x:c>
      <x:c r="J291" s="47" t="str">
        <x:v>ELIGIBLE</x:v>
      </x:c>
      <x:c r="K291" s="47" t="str">
        <x:v>NOT_RUN</x:v>
      </x:c>
    </x:row>
    <x:row r="292">
      <x:c r="A292" s="47" t="str">
        <x:v>TRF-103</x:v>
      </x:c>
      <x:c r="B292" s="48" t="str">
        <x:v>Ice Class Regulations and the Application Thereof</x:v>
      </x:c>
      <x:c r="C292" s="47" t="str">
        <x:v>TRAFICOM/68863/03.04.01.00/2021</x:v>
      </x:c>
      <x:c r="D292" s="59" t="n">
        <x:v>46</x:v>
      </x:c>
      <x:c r="E292" s="47" t="str">
        <x:v>6.5.4.2</x:v>
      </x:c>
      <x:c r="F292" s="47" t="str">
        <x:v>Static</x:v>
      </x:c>
      <x:c r="G292" s="48" t="str">
        <x:v>Stage 2 candidate - direct static</x:v>
      </x:c>
      <x:c r="H292" s="47" t="str">
        <x:v>Direct static</x:v>
      </x:c>
      <x:c r="I292" s="47" t="str">
        <x:v>No</x:v>
      </x:c>
      <x:c r="J292" s="47" t="str">
        <x:v>ELIGIBLE</x:v>
      </x:c>
      <x:c r="K292" s="47" t="str">
        <x:v>NOT_RUN</x:v>
      </x:c>
    </x:row>
    <x:row r="293">
      <x:c r="A293" s="47" t="str">
        <x:v>TRF-104</x:v>
      </x:c>
      <x:c r="B293" s="48" t="str">
        <x:v>Ice Class Regulations and the Application Thereof</x:v>
      </x:c>
      <x:c r="C293" s="47" t="str">
        <x:v>TRAFICOM/68863/03.04.01.00/2021</x:v>
      </x:c>
      <x:c r="D293" s="59" t="n">
        <x:v>47</x:v>
      </x:c>
      <x:c r="E293" s="47" t="str">
        <x:v>6.6.1</x:v>
      </x:c>
      <x:c r="F293" s="47" t="str">
        <x:v>Static</x:v>
      </x:c>
      <x:c r="G293" s="48" t="str">
        <x:v>Stage 2 candidate - direct/deterministic</x:v>
      </x:c>
      <x:c r="H293" s="47" t="str">
        <x:v>High</x:v>
      </x:c>
      <x:c r="I293" s="47" t="str">
        <x:v>No</x:v>
      </x:c>
      <x:c r="J293" s="47" t="str">
        <x:v>ELIGIBLE</x:v>
      </x:c>
      <x:c r="K293" s="47" t="str">
        <x:v>NOT_RUN</x:v>
      </x:c>
    </x:row>
    <x:row r="294">
      <x:c r="A294" s="47" t="str">
        <x:v>TRF-105</x:v>
      </x:c>
      <x:c r="B294" s="48" t="str">
        <x:v>Ice Class Regulations and the Application Thereof</x:v>
      </x:c>
      <x:c r="C294" s="47" t="str">
        <x:v>TRAFICOM/68863/03.04.01.00/2021</x:v>
      </x:c>
      <x:c r="D294" s="59" t="n">
        <x:v>47</x:v>
      </x:c>
      <x:c r="E294" s="47" t="str">
        <x:v>6.6.2.1</x:v>
      </x:c>
      <x:c r="F294" s="47" t="str">
        <x:v>Complex</x:v>
      </x:c>
      <x:c r="G294" s="48" t="str">
        <x:v>Deferred - composite/evidence workflow review</x:v>
      </x:c>
      <x:c r="H294" s="47" t="str">
        <x:v>Medium</x:v>
      </x:c>
      <x:c r="I294" s="47" t="str">
        <x:v>No</x:v>
      </x:c>
      <x:c r="J294" s="47" t="str">
        <x:v>DEFERRED</x:v>
      </x:c>
      <x:c r="K294" s="47" t="str">
        <x:v>NOT_RUN</x:v>
      </x:c>
    </x:row>
    <x:row r="295">
      <x:c r="A295" s="47" t="str">
        <x:v>TRF-106</x:v>
      </x:c>
      <x:c r="B295" s="48" t="str">
        <x:v>Ice Class Regulations and the Application Thereof</x:v>
      </x:c>
      <x:c r="C295" s="47" t="str">
        <x:v>TRAFICOM/68863/03.04.01.00/2021</x:v>
      </x:c>
      <x:c r="D295" s="59" t="n">
        <x:v>48</x:v>
      </x:c>
      <x:c r="E295" s="47" t="str">
        <x:v>6.6.2.2-6.6.2.3</x:v>
      </x:c>
      <x:c r="F295" s="47" t="str">
        <x:v>Complex</x:v>
      </x:c>
      <x:c r="G295" s="48" t="str">
        <x:v>Deferred - composite/evidence workflow review</x:v>
      </x:c>
      <x:c r="H295" s="47" t="str">
        <x:v>Medium</x:v>
      </x:c>
      <x:c r="I295" s="47" t="str">
        <x:v>No</x:v>
      </x:c>
      <x:c r="J295" s="47" t="str">
        <x:v>DEFERRED</x:v>
      </x:c>
      <x:c r="K295" s="47" t="str">
        <x:v>NOT_RUN</x:v>
      </x:c>
    </x:row>
    <x:row r="296">
      <x:c r="A296" s="47" t="str">
        <x:v>TRF-108</x:v>
      </x:c>
      <x:c r="B296" s="48" t="str">
        <x:v>Ice Class Regulations and the Application Thereof</x:v>
      </x:c>
      <x:c r="C296" s="47" t="str">
        <x:v>TRAFICOM/68863/03.04.01.00/2021</x:v>
      </x:c>
      <x:c r="D296" s="59" t="n">
        <x:v>48</x:v>
      </x:c>
      <x:c r="E296" s="47" t="str">
        <x:v>6.6.2.3</x:v>
      </x:c>
      <x:c r="F296" s="47" t="str">
        <x:v>Static</x:v>
      </x:c>
      <x:c r="G296" s="48" t="str">
        <x:v>Stage 2 candidate - direct/deterministic</x:v>
      </x:c>
      <x:c r="H296" s="47" t="str">
        <x:v>High</x:v>
      </x:c>
      <x:c r="I296" s="47" t="str">
        <x:v>No</x:v>
      </x:c>
      <x:c r="J296" s="47" t="str">
        <x:v>ELIGIBLE</x:v>
      </x:c>
      <x:c r="K296" s="47" t="str">
        <x:v>NOT_RUN</x:v>
      </x:c>
    </x:row>
    <x:row r="297">
      <x:c r="A297" s="47" t="str">
        <x:v>TRF-109</x:v>
      </x:c>
      <x:c r="B297" s="48" t="str">
        <x:v>Ice Class Regulations and the Application Thereof</x:v>
      </x:c>
      <x:c r="C297" s="47" t="str">
        <x:v>TRAFICOM/68863/03.04.01.00/2021</x:v>
      </x:c>
      <x:c r="D297" s="59" t="n">
        <x:v>50</x:v>
      </x:c>
      <x:c r="E297" s="47" t="str">
        <x:v>6.6.2.3</x:v>
      </x:c>
      <x:c r="F297" s="47" t="str">
        <x:v>Static</x:v>
      </x:c>
      <x:c r="G297" s="48" t="str">
        <x:v>Stage 2 candidate - direct/deterministic</x:v>
      </x:c>
      <x:c r="H297" s="47" t="str">
        <x:v>Medium</x:v>
      </x:c>
      <x:c r="I297" s="47" t="str">
        <x:v>No</x:v>
      </x:c>
      <x:c r="J297" s="47" t="str">
        <x:v>ELIGIBLE</x:v>
      </x:c>
      <x:c r="K297" s="47" t="str">
        <x:v>NOT_RUN</x:v>
      </x:c>
    </x:row>
    <x:row r="298">
      <x:c r="A298" s="47" t="str">
        <x:v>TRF-110</x:v>
      </x:c>
      <x:c r="B298" s="48" t="str">
        <x:v>Ice Class Regulations and the Application Thereof</x:v>
      </x:c>
      <x:c r="C298" s="47" t="str">
        <x:v>TRAFICOM/68863/03.04.01.00/2021</x:v>
      </x:c>
      <x:c r="D298" s="59" t="n">
        <x:v>51</x:v>
      </x:c>
      <x:c r="E298" s="47" t="str">
        <x:v>6.6.2.4; 6.6.3</x:v>
      </x:c>
      <x:c r="F298" s="47" t="str">
        <x:v>Complex</x:v>
      </x:c>
      <x:c r="G298" s="48" t="str">
        <x:v>Deferred - composite/evidence workflow review</x:v>
      </x:c>
      <x:c r="H298" s="47" t="str">
        <x:v>Medium</x:v>
      </x:c>
      <x:c r="I298" s="47" t="str">
        <x:v>No</x:v>
      </x:c>
      <x:c r="J298" s="47" t="str">
        <x:v>DEFERRED</x:v>
      </x:c>
      <x:c r="K298" s="47" t="str">
        <x:v>NOT_RUN</x:v>
      </x:c>
    </x:row>
    <x:row r="299">
      <x:c r="A299" s="47" t="str">
        <x:v>TRF-111</x:v>
      </x:c>
      <x:c r="B299" s="48" t="str">
        <x:v>Ice Class Regulations and the Application Thereof</x:v>
      </x:c>
      <x:c r="C299" s="47" t="str">
        <x:v>TRAFICOM/68863/03.04.01.00/2021</x:v>
      </x:c>
      <x:c r="D299" s="59" t="n">
        <x:v>51</x:v>
      </x:c>
      <x:c r="E299" s="47" t="str">
        <x:v>6.6.4</x:v>
      </x:c>
      <x:c r="F299" s="47" t="str">
        <x:v>Complex</x:v>
      </x:c>
      <x:c r="G299" s="48" t="str">
        <x:v>Stage 2 candidate - complex readiness</x:v>
      </x:c>
      <x:c r="H299" s="47" t="str">
        <x:v>Complex readiness</x:v>
      </x:c>
      <x:c r="I299" s="47" t="str">
        <x:v>No</x:v>
      </x:c>
      <x:c r="J299" s="47" t="str">
        <x:v>ELIGIBLE</x:v>
      </x:c>
      <x:c r="K299" s="47" t="str">
        <x:v>NOT_RUN</x:v>
      </x:c>
    </x:row>
    <x:row r="300">
      <x:c r="A300" s="47" t="str">
        <x:v>TRF-112</x:v>
      </x:c>
      <x:c r="B300" s="48" t="str">
        <x:v>Ice Class Regulations and the Application Thereof</x:v>
      </x:c>
      <x:c r="C300" s="47" t="str">
        <x:v>TRAFICOM/68863/03.04.01.00/2021</x:v>
      </x:c>
      <x:c r="D300" s="59" t="n">
        <x:v>52</x:v>
      </x:c>
      <x:c r="E300" s="47" t="str">
        <x:v>6.6.4.1</x:v>
      </x:c>
      <x:c r="F300" s="47" t="str">
        <x:v>Complex</x:v>
      </x:c>
      <x:c r="G300" s="48" t="str">
        <x:v>Stage 2 candidate - complex readiness</x:v>
      </x:c>
      <x:c r="H300" s="47" t="str">
        <x:v>Complex readiness</x:v>
      </x:c>
      <x:c r="I300" s="47" t="str">
        <x:v>No</x:v>
      </x:c>
      <x:c r="J300" s="47" t="str">
        <x:v>ELIGIBLE</x:v>
      </x:c>
      <x:c r="K300" s="47" t="str">
        <x:v>NOT_RUN</x:v>
      </x:c>
    </x:row>
    <x:row r="301">
      <x:c r="A301" s="47" t="str">
        <x:v>TRF-113</x:v>
      </x:c>
      <x:c r="B301" s="48" t="str">
        <x:v>Ice Class Regulations and the Application Thereof</x:v>
      </x:c>
      <x:c r="C301" s="47" t="str">
        <x:v>TRAFICOM/68863/03.04.01.00/2021</x:v>
      </x:c>
      <x:c r="D301" s="59" t="n">
        <x:v>52</x:v>
      </x:c>
      <x:c r="E301" s="47" t="str">
        <x:v>6.6.5.1</x:v>
      </x:c>
      <x:c r="F301" s="47" t="str">
        <x:v>Static</x:v>
      </x:c>
      <x:c r="G301" s="48" t="str">
        <x:v>Stage 2 candidate - direct/deterministic</x:v>
      </x:c>
      <x:c r="H301" s="47" t="str">
        <x:v>High</x:v>
      </x:c>
      <x:c r="I301" s="47" t="str">
        <x:v>No</x:v>
      </x:c>
      <x:c r="J301" s="47" t="str">
        <x:v>ELIGIBLE</x:v>
      </x:c>
      <x:c r="K301" s="47" t="str">
        <x:v>NOT_RUN</x:v>
      </x:c>
    </x:row>
    <x:row r="302">
      <x:c r="A302" s="47" t="str">
        <x:v>TRF-114</x:v>
      </x:c>
      <x:c r="B302" s="48" t="str">
        <x:v>Ice Class Regulations and the Application Thereof</x:v>
      </x:c>
      <x:c r="C302" s="47" t="str">
        <x:v>TRAFICOM/68863/03.04.01.00/2021</x:v>
      </x:c>
      <x:c r="D302" s="59" t="n">
        <x:v>53</x:v>
      </x:c>
      <x:c r="E302" s="47" t="str">
        <x:v>6.6.5.2</x:v>
      </x:c>
      <x:c r="F302" s="47" t="str">
        <x:v>Complex</x:v>
      </x:c>
      <x:c r="G302" s="48" t="str">
        <x:v>Stage 2 candidate - complex readiness</x:v>
      </x:c>
      <x:c r="H302" s="47" t="str">
        <x:v>Complex readiness</x:v>
      </x:c>
      <x:c r="I302" s="47" t="str">
        <x:v>No</x:v>
      </x:c>
      <x:c r="J302" s="47" t="str">
        <x:v>ELIGIBLE</x:v>
      </x:c>
      <x:c r="K302" s="47" t="str">
        <x:v>NOT_RUN</x:v>
      </x:c>
    </x:row>
    <x:row r="303">
      <x:c r="A303" s="47" t="str">
        <x:v>TRF-116</x:v>
      </x:c>
      <x:c r="B303" s="48" t="str">
        <x:v>Ice Class Regulations and the Application Thereof</x:v>
      </x:c>
      <x:c r="C303" s="47" t="str">
        <x:v>TRAFICOM/68863/03.04.01.00/2021</x:v>
      </x:c>
      <x:c r="D303" s="59" t="n">
        <x:v>56</x:v>
      </x:c>
      <x:c r="E303" s="47" t="str">
        <x:v>6.6.5.2</x:v>
      </x:c>
      <x:c r="F303" s="47" t="str">
        <x:v>Complex</x:v>
      </x:c>
      <x:c r="G303" s="48" t="str">
        <x:v>Stage 2 candidate - complex readiness</x:v>
      </x:c>
      <x:c r="H303" s="47" t="str">
        <x:v>Complex readiness</x:v>
      </x:c>
      <x:c r="I303" s="47" t="str">
        <x:v>No</x:v>
      </x:c>
      <x:c r="J303" s="47" t="str">
        <x:v>ELIGIBLE</x:v>
      </x:c>
      <x:c r="K303" s="47" t="str">
        <x:v>NOT_RUN</x:v>
      </x:c>
    </x:row>
    <x:row r="304">
      <x:c r="A304" s="47" t="str">
        <x:v>TRF-118</x:v>
      </x:c>
      <x:c r="B304" s="48" t="str">
        <x:v>Ice Class Regulations and the Application Thereof</x:v>
      </x:c>
      <x:c r="C304" s="47" t="str">
        <x:v>TRAFICOM/68863/03.04.01.00/2021</x:v>
      </x:c>
      <x:c r="D304" s="59" t="n">
        <x:v>60</x:v>
      </x:c>
      <x:c r="E304" s="47" t="str">
        <x:v>6.6.5.4</x:v>
      </x:c>
      <x:c r="F304" s="47" t="str">
        <x:v>Complex</x:v>
      </x:c>
      <x:c r="G304" s="48" t="str">
        <x:v>Stage 2 candidate - complex readiness</x:v>
      </x:c>
      <x:c r="H304" s="47" t="str">
        <x:v>Complex readiness</x:v>
      </x:c>
      <x:c r="I304" s="47" t="str">
        <x:v>No</x:v>
      </x:c>
      <x:c r="J304" s="47" t="str">
        <x:v>ELIGIBLE</x:v>
      </x:c>
      <x:c r="K304" s="47" t="str">
        <x:v>NOT_RUN</x:v>
      </x:c>
    </x:row>
    <x:row r="305">
      <x:c r="A305" s="47" t="str">
        <x:v>TRF-119</x:v>
      </x:c>
      <x:c r="B305" s="48" t="str">
        <x:v>Ice Class Regulations and the Application Thereof</x:v>
      </x:c>
      <x:c r="C305" s="47" t="str">
        <x:v>TRAFICOM/68863/03.04.01.00/2021</x:v>
      </x:c>
      <x:c r="D305" s="59" t="n">
        <x:v>60</x:v>
      </x:c>
      <x:c r="E305" s="47" t="str">
        <x:v>6.6.5.5</x:v>
      </x:c>
      <x:c r="F305" s="47" t="str">
        <x:v>Dynamic</x:v>
      </x:c>
      <x:c r="G305" s="48" t="str">
        <x:v>Deferred - observation/history/simulation design required</x:v>
      </x:c>
      <x:c r="H305" s="47" t="str">
        <x:v>Medium</x:v>
      </x:c>
      <x:c r="I305" s="47" t="str">
        <x:v>No</x:v>
      </x:c>
      <x:c r="J305" s="47" t="str">
        <x:v>DEFERRED</x:v>
      </x:c>
      <x:c r="K305" s="47" t="str">
        <x:v>NOT_RUN</x:v>
      </x:c>
    </x:row>
    <x:row r="306">
      <x:c r="A306" s="47" t="str">
        <x:v>TRF-120</x:v>
      </x:c>
      <x:c r="B306" s="48" t="str">
        <x:v>Ice Class Regulations and the Application Thereof</x:v>
      </x:c>
      <x:c r="C306" s="47" t="str">
        <x:v>TRAFICOM/68863/03.04.01.00/2021</x:v>
      </x:c>
      <x:c r="D306" s="59" t="n">
        <x:v>60</x:v>
      </x:c>
      <x:c r="E306" s="47" t="str">
        <x:v>6.6.5.5</x:v>
      </x:c>
      <x:c r="F306" s="47" t="str">
        <x:v>Static</x:v>
      </x:c>
      <x:c r="G306" s="48" t="str">
        <x:v>Stage 2 candidate - direct/deterministic</x:v>
      </x:c>
      <x:c r="H306" s="47" t="str">
        <x:v>High</x:v>
      </x:c>
      <x:c r="I306" s="47" t="str">
        <x:v>No</x:v>
      </x:c>
      <x:c r="J306" s="47" t="str">
        <x:v>ELIGIBLE</x:v>
      </x:c>
      <x:c r="K306" s="47" t="str">
        <x:v>NOT_RUN</x:v>
      </x:c>
    </x:row>
    <x:row r="307">
      <x:c r="A307" s="47" t="str">
        <x:v>TRF-121</x:v>
      </x:c>
      <x:c r="B307" s="48" t="str">
        <x:v>Ice Class Regulations and the Application Thereof</x:v>
      </x:c>
      <x:c r="C307" s="47" t="str">
        <x:v>TRAFICOM/68863/03.04.01.00/2021</x:v>
      </x:c>
      <x:c r="D307" s="59" t="n">
        <x:v>61</x:v>
      </x:c>
      <x:c r="E307" s="47" t="str">
        <x:v>6.7.1</x:v>
      </x:c>
      <x:c r="F307" s="47" t="str">
        <x:v>Complex</x:v>
      </x:c>
      <x:c r="G307" s="48" t="str">
        <x:v>Deferred - composite/evidence workflow review</x:v>
      </x:c>
      <x:c r="H307" s="47" t="str">
        <x:v>Medium</x:v>
      </x:c>
      <x:c r="I307" s="47" t="str">
        <x:v>No</x:v>
      </x:c>
      <x:c r="J307" s="47" t="str">
        <x:v>DEFERRED</x:v>
      </x:c>
      <x:c r="K307" s="47" t="str">
        <x:v>NOT_RUN</x:v>
      </x:c>
    </x:row>
    <x:row r="308">
      <x:c r="A308" s="47" t="str">
        <x:v>TRF-123</x:v>
      </x:c>
      <x:c r="B308" s="48" t="str">
        <x:v>Ice Class Regulations and the Application Thereof</x:v>
      </x:c>
      <x:c r="C308" s="47" t="str">
        <x:v>TRAFICOM/68863/03.04.01.00/2021</x:v>
      </x:c>
      <x:c r="D308" s="59" t="n">
        <x:v>61</x:v>
      </x:c>
      <x:c r="E308" s="47" t="str">
        <x:v>6.7.3</x:v>
      </x:c>
      <x:c r="F308" s="47" t="str">
        <x:v>Complex</x:v>
      </x:c>
      <x:c r="G308" s="48" t="str">
        <x:v>Stage 2 candidate - complex readiness</x:v>
      </x:c>
      <x:c r="H308" s="47" t="str">
        <x:v>Complex readiness</x:v>
      </x:c>
      <x:c r="I308" s="47" t="str">
        <x:v>No</x:v>
      </x:c>
      <x:c r="J308" s="47" t="str">
        <x:v>ELIGIBLE</x:v>
      </x:c>
      <x:c r="K308" s="47" t="str">
        <x:v>NOT_RUN</x:v>
      </x:c>
    </x:row>
    <x:row r="309">
      <x:c r="A309" s="47" t="str">
        <x:v>TRF-125</x:v>
      </x:c>
      <x:c r="B309" s="48" t="str">
        <x:v>Ice Class Regulations and the Application Thereof</x:v>
      </x:c>
      <x:c r="C309" s="47" t="str">
        <x:v>TRAFICOM/68863/03.04.01.00/2021</x:v>
      </x:c>
      <x:c r="D309" s="59" t="n">
        <x:v>61</x:v>
      </x:c>
      <x:c r="E309" s="47" t="str">
        <x:v>6.7.3</x:v>
      </x:c>
      <x:c r="F309" s="47" t="str">
        <x:v>Dynamic</x:v>
      </x:c>
      <x:c r="G309" s="48" t="str">
        <x:v>Deferred - observation/history/simulation design required</x:v>
      </x:c>
      <x:c r="H309" s="47" t="str">
        <x:v>Medium</x:v>
      </x:c>
      <x:c r="I309" s="47" t="str">
        <x:v>No</x:v>
      </x:c>
      <x:c r="J309" s="47" t="str">
        <x:v>DEFERRED</x:v>
      </x:c>
      <x:c r="K309" s="47" t="str">
        <x:v>NOT_RUN</x:v>
      </x:c>
    </x:row>
    <x:row r="310">
      <x:c r="A310" s="47" t="str">
        <x:v>TRF-126</x:v>
      </x:c>
      <x:c r="B310" s="48" t="str">
        <x:v>Ice Class Regulations and the Application Thereof</x:v>
      </x:c>
      <x:c r="C310" s="47" t="str">
        <x:v>TRAFICOM/68863/03.04.01.00/2021</x:v>
      </x:c>
      <x:c r="D310" s="59" t="n">
        <x:v>61</x:v>
      </x:c>
      <x:c r="E310" s="47" t="str">
        <x:v>7.1</x:v>
      </x:c>
      <x:c r="F310" s="47" t="str">
        <x:v>Static</x:v>
      </x:c>
      <x:c r="G310" s="48" t="str">
        <x:v>Stage 2 candidate - direct/deterministic</x:v>
      </x:c>
      <x:c r="H310" s="47" t="str">
        <x:v>High</x:v>
      </x:c>
      <x:c r="I310" s="47" t="str">
        <x:v>No</x:v>
      </x:c>
      <x:c r="J310" s="47" t="str">
        <x:v>ELIGIBLE</x:v>
      </x:c>
      <x:c r="K310" s="47" t="str">
        <x:v>NOT_RUN</x:v>
      </x:c>
    </x:row>
    <x:row r="311">
      <x:c r="A311" s="47" t="str">
        <x:v>TRF-127</x:v>
      </x:c>
      <x:c r="B311" s="48" t="str">
        <x:v>Ice Class Regulations and the Application Thereof</x:v>
      </x:c>
      <x:c r="C311" s="47" t="str">
        <x:v>TRAFICOM/68863/03.04.01.00/2021</x:v>
      </x:c>
      <x:c r="D311" s="59" t="n">
        <x:v>61</x:v>
      </x:c>
      <x:c r="E311" s="47" t="str">
        <x:v>7.1</x:v>
      </x:c>
      <x:c r="F311" s="47" t="str">
        <x:v>Static</x:v>
      </x:c>
      <x:c r="G311" s="48" t="str">
        <x:v>Stage 2 candidate - direct/deterministic</x:v>
      </x:c>
      <x:c r="H311" s="47" t="str">
        <x:v>High</x:v>
      </x:c>
      <x:c r="I311" s="47" t="str">
        <x:v>No</x:v>
      </x:c>
      <x:c r="J311" s="47" t="str">
        <x:v>ELIGIBLE</x:v>
      </x:c>
      <x:c r="K311" s="47" t="str">
        <x:v>NOT_RUN</x:v>
      </x:c>
    </x:row>
    <x:row r="312">
      <x:c r="A312" s="47" t="str">
        <x:v>TRF-128</x:v>
      </x:c>
      <x:c r="B312" s="48" t="str">
        <x:v>Ice Class Regulations and the Application Thereof</x:v>
      </x:c>
      <x:c r="C312" s="47" t="str">
        <x:v>TRAFICOM/68863/03.04.01.00/2021</x:v>
      </x:c>
      <x:c r="D312" s="59" t="n">
        <x:v>61</x:v>
      </x:c>
      <x:c r="E312" s="47" t="str">
        <x:v>7.1</x:v>
      </x:c>
      <x:c r="F312" s="47" t="str">
        <x:v>Static</x:v>
      </x:c>
      <x:c r="G312" s="48" t="str">
        <x:v>Stage 2 candidate - direct static</x:v>
      </x:c>
      <x:c r="H312" s="47" t="str">
        <x:v>Direct static</x:v>
      </x:c>
      <x:c r="I312" s="47" t="str">
        <x:v>No</x:v>
      </x:c>
      <x:c r="J312" s="47" t="str">
        <x:v>ELIGIBLE</x:v>
      </x:c>
      <x:c r="K312" s="47" t="str">
        <x:v>NOT_RUN</x:v>
      </x:c>
    </x:row>
    <x:row r="313">
      <x:c r="A313" s="47" t="str">
        <x:v>TRF-129</x:v>
      </x:c>
      <x:c r="B313" s="48" t="str">
        <x:v>Ice Class Regulations and the Application Thereof</x:v>
      </x:c>
      <x:c r="C313" s="47" t="str">
        <x:v>TRAFICOM/68863/03.04.01.00/2021</x:v>
      </x:c>
      <x:c r="D313" s="59" t="n">
        <x:v>61</x:v>
      </x:c>
      <x:c r="E313" s="47" t="str">
        <x:v>7.2</x:v>
      </x:c>
      <x:c r="F313" s="47" t="str">
        <x:v>Static</x:v>
      </x:c>
      <x:c r="G313" s="48" t="str">
        <x:v>Stage 2 candidate - direct/deterministic</x:v>
      </x:c>
      <x:c r="H313" s="47" t="str">
        <x:v>High</x:v>
      </x:c>
      <x:c r="I313" s="47" t="str">
        <x:v>No</x:v>
      </x:c>
      <x:c r="J313" s="47" t="str">
        <x:v>ELIGIBLE</x:v>
      </x:c>
      <x:c r="K313" s="47" t="str">
        <x:v>NOT_RUN</x:v>
      </x:c>
    </x:row>
    <x:row r="314">
      <x:c r="A314" s="47" t="str">
        <x:v>TRF-130</x:v>
      </x:c>
      <x:c r="B314" s="48" t="str">
        <x:v>Ice Class Regulations and the Application Thereof</x:v>
      </x:c>
      <x:c r="C314" s="47" t="str">
        <x:v>TRAFICOM/68863/03.04.01.00/2021</x:v>
      </x:c>
      <x:c r="D314" s="59" t="n">
        <x:v>62</x:v>
      </x:c>
      <x:c r="E314" s="47" t="str">
        <x:v>7.2</x:v>
      </x:c>
      <x:c r="F314" s="47" t="str">
        <x:v>Static Calculation</x:v>
      </x:c>
      <x:c r="G314" s="48" t="str">
        <x:v>Stage 2 candidate - direct calculation</x:v>
      </x:c>
      <x:c r="H314" s="47" t="str">
        <x:v>Direct calculation</x:v>
      </x:c>
      <x:c r="I314" s="47" t="str">
        <x:v>No</x:v>
      </x:c>
      <x:c r="J314" s="47" t="str">
        <x:v>ELIGIBLE</x:v>
      </x:c>
      <x:c r="K314" s="47" t="str">
        <x:v>NOT_RUN</x:v>
      </x:c>
    </x:row>
    <x:row r="315">
      <x:c r="A315" s="47" t="str">
        <x:v>TRF-131</x:v>
      </x:c>
      <x:c r="B315" s="48" t="str">
        <x:v>Ice Class Regulations and the Application Thereof</x:v>
      </x:c>
      <x:c r="C315" s="47" t="str">
        <x:v>TRAFICOM/68863/03.04.01.00/2021</x:v>
      </x:c>
      <x:c r="D315" s="59" t="n">
        <x:v>62</x:v>
      </x:c>
      <x:c r="E315" s="47" t="str">
        <x:v>7.2</x:v>
      </x:c>
      <x:c r="F315" s="47" t="str">
        <x:v>Static</x:v>
      </x:c>
      <x:c r="G315" s="48" t="str">
        <x:v>Stage 2 candidate - direct/deterministic</x:v>
      </x:c>
      <x:c r="H315" s="47" t="str">
        <x:v>High</x:v>
      </x:c>
      <x:c r="I315" s="47" t="str">
        <x:v>No</x:v>
      </x:c>
      <x:c r="J315" s="47" t="str">
        <x:v>ELIGIBLE</x:v>
      </x:c>
      <x:c r="K315" s="47" t="str">
        <x:v>NOT_RUN</x:v>
      </x:c>
    </x:row>
    <x:row r="316">
      <x:c r="A316" s="47" t="str">
        <x:v>TRF-132</x:v>
      </x:c>
      <x:c r="B316" s="48" t="str">
        <x:v>Ice Class Regulations and the Application Thereof</x:v>
      </x:c>
      <x:c r="C316" s="47" t="str">
        <x:v>TRAFICOM/68863/03.04.01.00/2021</x:v>
      </x:c>
      <x:c r="D316" s="59" t="n">
        <x:v>64</x:v>
      </x:c>
      <x:c r="E316" s="47" t="str">
        <x:v>8</x:v>
      </x:c>
      <x:c r="F316" s="47" t="str">
        <x:v>Static Calculation</x:v>
      </x:c>
      <x:c r="G316" s="48" t="str">
        <x:v>Stage 2 candidate - direct/deterministic</x:v>
      </x:c>
      <x:c r="H316" s="47" t="str">
        <x:v>High</x:v>
      </x:c>
      <x:c r="I316" s="47" t="str">
        <x:v>No</x:v>
      </x:c>
      <x:c r="J316" s="47" t="str">
        <x:v>ELIGIBLE</x:v>
      </x:c>
      <x:c r="K316" s="47" t="str">
        <x:v>NOT_RUN</x:v>
      </x:c>
    </x:row>
    <x:row r="317">
      <x:c r="A317" s="49" t="str">
        <x:v>TRF-133</x:v>
      </x:c>
      <x:c r="B317" s="50" t="str">
        <x:v>Ice Class Regulations and the Application Thereof</x:v>
      </x:c>
      <x:c r="C317" s="49" t="str">
        <x:v>TRAFICOM/68863/03.04.01.00/2021</x:v>
      </x:c>
      <x:c r="D317" s="60" t="n">
        <x:v>65</x:v>
      </x:c>
      <x:c r="E317" s="49" t="str">
        <x:v>8</x:v>
      </x:c>
      <x:c r="F317" s="49" t="str">
        <x:v>Static</x:v>
      </x:c>
      <x:c r="G317" s="50" t="str">
        <x:v>Stage 2 candidate - direct/deterministic</x:v>
      </x:c>
      <x:c r="H317" s="49" t="str">
        <x:v>High</x:v>
      </x:c>
      <x:c r="I317" s="49" t="str">
        <x:v>No</x:v>
      </x:c>
      <x:c r="J317" s="49" t="str">
        <x:v>ELIGIBLE</x:v>
      </x:c>
      <x:c r="K317" s="49" t="str">
        <x:v>NOT_RUN</x:v>
      </x:c>
    </x:row>
  </x:sheetData>
  <x:conditionalFormatting sqref="G5:G317">
    <x:cfRule type="containsText" dxfId="0" priority="1" operator="containsText" text="ACCEPT"/>
    <x:cfRule type="containsText" dxfId="1" priority="2" operator="containsText" text="ELIGIBLE"/>
    <x:cfRule type="containsText" dxfId="2" priority="3" operator="containsText" text="PASS"/>
    <x:cfRule type="containsText" dxfId="3" priority="4" operator="containsText" text="GAP"/>
    <x:cfRule type="containsText" dxfId="4" priority="5" operator="containsText" text="FAIL"/>
    <x:cfRule type="containsText" dxfId="5" priority="6" operator="containsText" text="DEFERRED"/>
  </x:conditionalFormatting>
  <x:conditionalFormatting sqref="J5:J317">
    <x:cfRule type="containsText" dxfId="6" priority="7" operator="containsText" text="ACCEPT"/>
    <x:cfRule type="containsText" dxfId="7" priority="8" operator="containsText" text="ELIGIBLE"/>
    <x:cfRule type="containsText" dxfId="8" priority="9" operator="containsText" text="PASS"/>
    <x:cfRule type="containsText" dxfId="9" priority="10" operator="containsText" text="GAP"/>
    <x:cfRule type="containsText" dxfId="10" priority="11" operator="containsText" text="FAIL"/>
    <x:cfRule type="containsText" dxfId="11" priority="12" operator="containsText" text="DEFERRED"/>
  </x:conditionalFormatting>
  <x:conditionalFormatting sqref="K5:K317">
    <x:cfRule type="containsText" dxfId="12" priority="13" operator="containsText" text="ACCEPT"/>
    <x:cfRule type="containsText" dxfId="13" priority="14" operator="containsText" text="ELIGIBLE"/>
    <x:cfRule type="containsText" dxfId="14" priority="15" operator="containsText" text="PASS"/>
    <x:cfRule type="containsText" dxfId="15" priority="16" operator="containsText" text="GAP"/>
    <x:cfRule type="containsText" dxfId="16" priority="17" operator="containsText" text="FAIL"/>
    <x:cfRule type="containsText" dxfId="17" priority="18" operator="containsText" text="DEFERRED"/>
  </x:conditionalFormatting>
  <x:pageMargins left="0.7" right="0.7" top="0.75" bottom="0.75" header="0.3" footer="0.3"/>
  <x:tableParts count="1">
    <x:tablePart xmlns:r="http://schemas.openxmlformats.org/officeDocument/2006/relationships" r:id="Rfbf871b2f09843f8"/>
  </x:tableParts>
</x:worksheet>
</file>

<file path=xl/worksheets/sheet4.xml><?xml version="1.0" encoding="utf-8"?>
<x:worksheet xmlns:x="http://schemas.openxmlformats.org/spreadsheetml/2006/main">
  <x:sheetViews>
    <x:sheetView showGridLines="0" workbookViewId="0"/>
  </x:sheetViews>
  <x:sheetFormatPr defaultRowHeight="15"/>
  <x:cols>
    <x:col min="1" max="1" width="36" hidden="0" customWidth="1"/>
    <x:col min="2" max="2" width="42" hidden="0" customWidth="1"/>
    <x:col min="3" max="3" width="18" hidden="0" customWidth="1"/>
    <x:col min="4" max="4" width="25" hidden="0" customWidth="1"/>
    <x:col min="5" max="5" width="25" hidden="0" customWidth="1"/>
    <x:col min="6" max="6" width="23" hidden="0" customWidth="1"/>
    <x:col min="7" max="7" width="24" hidden="0" customWidth="1"/>
    <x:col min="8" max="8" width="11" hidden="0" customWidth="1"/>
    <x:col min="9" max="9" width="22" hidden="0" customWidth="1"/>
    <x:col min="10" max="10" width="11" hidden="0" customWidth="1"/>
    <x:col min="11" max="11" width="13" hidden="0" customWidth="1"/>
    <x:col min="12" max="12" width="52" hidden="0" customWidth="1"/>
  </x:cols>
  <x:sheetData>
    <x:row r="1">
      <x:c r="A1" s="18" t="str">
        <x:v>NLTL SHACL Pipeline Run Tracker</x:v>
      </x:c>
      <x:c r="B1" s="19"/>
      <x:c r="C1" s="19"/>
      <x:c r="D1" s="19"/>
      <x:c r="E1" s="19"/>
      <x:c r="F1" s="19"/>
      <x:c r="G1" s="19"/>
      <x:c r="H1" s="19"/>
      <x:c r="I1" s="19"/>
      <x:c r="J1" s="19"/>
      <x:c r="K1" s="19"/>
      <x:c r="L1" s="19"/>
    </x:row>
    <x:row r="2">
      <x:c r="A2" s="20" t="str">
        <x:v>RUNS | Run folder: RUN-I2-047-20260828T145843071760Z</x:v>
      </x:c>
      <x:c r="B2" s="20"/>
      <x:c r="C2" s="20"/>
      <x:c r="D2" s="20"/>
      <x:c r="E2" s="20"/>
      <x:c r="F2" s="20"/>
      <x:c r="G2" s="20"/>
      <x:c r="H2" s="20"/>
      <x:c r="I2" s="20"/>
      <x:c r="J2" s="20"/>
      <x:c r="K2" s="20"/>
      <x:c r="L2" s="20"/>
    </x:row>
    <x:row r="3">
      <x:c r="A3" s="21"/>
      <x:c r="B3" s="21"/>
      <x:c r="C3" s="21"/>
      <x:c r="D3" s="21"/>
      <x:c r="E3" s="21"/>
      <x:c r="F3" s="21"/>
      <x:c r="G3" s="21"/>
      <x:c r="H3" s="21"/>
      <x:c r="I3" s="21"/>
      <x:c r="J3" s="21"/>
      <x:c r="K3" s="21"/>
      <x:c r="L3" s="21"/>
    </x:row>
    <x:row r="4" ht="30" customHeight="1">
      <x:c r="A4" s="43" t="str">
        <x:v>SESSION_ID</x:v>
      </x:c>
      <x:c r="B4" s="57" t="str">
        <x:v>RUN_ID</x:v>
      </x:c>
      <x:c r="C4" s="57" t="str">
        <x:v>REQUIREMENT_ID</x:v>
      </x:c>
      <x:c r="D4" s="57" t="str">
        <x:v>STARTED_UTC</x:v>
      </x:c>
      <x:c r="E4" s="57" t="str">
        <x:v>FINISHED_UTC</x:v>
      </x:c>
      <x:c r="F4" s="57" t="str">
        <x:v>PIPELINE_VERSION</x:v>
      </x:c>
      <x:c r="G4" s="57" t="str">
        <x:v>VOCABULARY_LOCK_ID</x:v>
      </x:c>
      <x:c r="H4" s="57" t="str">
        <x:v>ATTEMPTS</x:v>
      </x:c>
      <x:c r="I4" s="57" t="str">
        <x:v>FINAL_STATUS</x:v>
      </x:c>
      <x:c r="J4" s="57" t="str">
        <x:v>ACCEPTED</x:v>
      </x:c>
      <x:c r="K4" s="57" t="str">
        <x:v>FINAL_SHAPE</x:v>
      </x:c>
      <x:c r="L4" s="44" t="str">
        <x:v>FINAL_FEEDBACK</x:v>
      </x:c>
    </x:row>
    <x:row r="5">
      <x:c r="A5" s="69" t="str">
        <x:v>SESSION-BATCH-20260828T135316382114Z</x:v>
      </x:c>
      <x:c r="B5" s="69" t="str">
        <x:v>RUN-I2-047-20260828T145843071760Z</x:v>
      </x:c>
      <x:c r="C5" s="69" t="str">
        <x:v>I2-047</x:v>
      </x:c>
      <x:c r="D5" s="70" t="n">
        <x:v>46262.62410962963</x:v>
      </x:c>
      <x:c r="E5" s="70" t="n">
        <x:v>46262.62651880787</x:v>
      </x:c>
      <x:c r="F5" s="69" t="str">
        <x:v>final-luna-main-run04</x:v>
      </x:c>
      <x:c r="G5" s="69" t="str">
        <x:v>VOCAB-LOCK-2026-08-22-R13</x:v>
      </x:c>
      <x:c r="H5" s="71" t="n">
        <x:v>4</x:v>
      </x:c>
      <x:c r="I5" s="69" t="str">
        <x:v>MAX_ATTEMPTS_REACHED</x:v>
      </x:c>
      <x:c r="J5" s="72" t="b">
        <x:v>0</x:v>
      </x:c>
      <x:c r="K5" s="69" t="str"/>
      <x:c r="L5" s="73" t="str">
        <x:v>The prior repairs remain unresolved: replace urn:nltl:generated-shape:I2_047 with an approved shape identifier, and locate the canonical cross-owner path from ship/hasPlating through the plating result to the hullStructure owner of iceStrengthenedStructureStatus; do not place that status on the plating node or invent a path. Also remove the unconditional requirement that steelRenewalRequired be true for every applicable structure: its value may be either typed boolean when present, and the conditional implication must require true only when gaugedThickness &lt; netThickness + 0.0005 m. Preserve ship-owned gaugedThickness and netThickness, metre units and decimal values, the true applicability status on the resolved hullStructure path, and the direct strict comparison.</x:v>
      </x:c>
    </x:row>
  </x:sheetData>
  <x:conditionalFormatting sqref="I5:I5">
    <x:cfRule type="containsText" dxfId="18" priority="1" operator="containsText" text="ACCEPT"/>
    <x:cfRule type="containsText" dxfId="19" priority="2" operator="containsText" text="ELIGIBLE"/>
    <x:cfRule type="containsText" dxfId="20" priority="3" operator="containsText" text="PASS"/>
    <x:cfRule type="containsText" dxfId="21" priority="4" operator="containsText" text="GAP"/>
    <x:cfRule type="containsText" dxfId="22" priority="5" operator="containsText" text="FAIL"/>
    <x:cfRule type="containsText" dxfId="23" priority="6" operator="containsText" text="DEFERRED"/>
  </x:conditionalFormatting>
  <x:pageMargins left="0.7" right="0.7" top="0.75" bottom="0.75" header="0.3" footer="0.3"/>
  <x:tableParts count="1">
    <x:tablePart xmlns:r="http://schemas.openxmlformats.org/officeDocument/2006/relationships" r:id="Rf5973ef6a7ff4ef8"/>
  </x:tableParts>
</x:worksheet>
</file>

<file path=xl/worksheets/sheet5.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4" hidden="0" customWidth="1"/>
    <x:col min="5" max="5" width="18" hidden="0" customWidth="1"/>
    <x:col min="6" max="6" width="19" hidden="0" customWidth="1"/>
    <x:col min="7" max="7" width="20" hidden="0" customWidth="1"/>
    <x:col min="8" max="8" width="52" hidden="0" customWidth="1"/>
    <x:col min="9" max="9" width="22" hidden="0" customWidth="1"/>
    <x:col min="10" max="10" width="22" hidden="0" customWidth="1"/>
  </x:cols>
  <x:sheetData>
    <x:row r="1">
      <x:c r="A1" s="18" t="str">
        <x:v>NLTL SHACL Pipeline Run Tracker</x:v>
      </x:c>
      <x:c r="B1" s="19"/>
      <x:c r="C1" s="19"/>
      <x:c r="D1" s="19"/>
      <x:c r="E1" s="19"/>
      <x:c r="F1" s="19"/>
      <x:c r="G1" s="19"/>
      <x:c r="H1" s="19"/>
      <x:c r="I1" s="19"/>
      <x:c r="J1" s="19"/>
    </x:row>
    <x:row r="2">
      <x:c r="A2" s="20" t="str">
        <x:v>ITERATIONS | Run folder: RUN-I2-047-20260828T145843071760Z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STATIC_VALID</x:v>
      </x:c>
      <x:c r="E4" s="57" t="str">
        <x:v>VALIDATOR_ACCEPT</x:v>
      </x:c>
      <x:c r="F4" s="57" t="str">
        <x:v>MATCHER_ACTIVATED</x:v>
      </x:c>
      <x:c r="G4" s="57" t="str">
        <x:v>DECISION</x:v>
      </x:c>
      <x:c r="H4" s="57" t="str">
        <x:v>FEEDBACK</x:v>
      </x:c>
      <x:c r="I4" s="57" t="str">
        <x:v>GENERATOR_ELAPSED_MS</x:v>
      </x:c>
      <x:c r="J4" s="44" t="str">
        <x:v>VALIDATOR_ELAPSED_MS</x:v>
      </x:c>
    </x:row>
    <x:row r="5">
      <x:c r="A5" s="45" t="str">
        <x:v>RUN-I2-047-20260828T145843071760Z</x:v>
      </x:c>
      <x:c r="B5" s="45" t="str">
        <x:v>I2-047</x:v>
      </x:c>
      <x:c r="C5" s="58" t="n">
        <x:v>1</x:v>
      </x:c>
      <x:c r="D5" s="83" t="b">
        <x:v>0</x:v>
      </x:c>
      <x:c r="E5" s="83" t="b">
        <x:v>0</x:v>
      </x:c>
      <x:c r="F5" s="83" t="b">
        <x:v>0</x:v>
      </x:c>
      <x:c r="G5" s="45" t="str">
        <x:v>REVISE_STATIC_GATE</x:v>
      </x:c>
      <x:c r="H5" s="46" t="str">
        <x:v>Deterministic validation prevents acceptance. Fix: Unapproved external/generated IRI(s): nltl:generated-shape:I2-047
Semantic validator feedback: Repair the generated shape IRI so it is an approved shape identifier rather than the unapproved nltl:generated-shape:I2-047 IRI. Also encode the source applicability: restrict the rule to ice-strengthened structures by requiring nltl:iceStrengthenedStructureStatus true on the supplied hull-structure path (ship/hasPlating/... as declared by the canonical owners), while keeping gaugedThickness and netThickness on the ship. Preserve the direct calculation in metres: gaugedThickness &lt; netThickness + 0.0005 m, and require steelRenewalRequired true for that triggering case; do not use exact equality for the derived result.</x:v>
      </x:c>
      <x:c r="I5" s="84" t="n">
        <x:v>13464.152</x:v>
      </x:c>
      <x:c r="J5" s="84" t="n">
        <x:v>11768.598</x:v>
      </x:c>
    </x:row>
    <x:row r="6">
      <x:c r="A6" s="47" t="str">
        <x:v>RUN-I2-047-20260828T145843071760Z</x:v>
      </x:c>
      <x:c r="B6" s="47" t="str">
        <x:v>I2-047</x:v>
      </x:c>
      <x:c r="C6" s="59" t="n">
        <x:v>2</x:v>
      </x:c>
      <x:c r="D6" s="85" t="b">
        <x:v>1</x:v>
      </x:c>
      <x:c r="E6" s="85" t="b">
        <x:v>0</x:v>
      </x:c>
      <x:c r="F6" s="85" t="b">
        <x:v>0</x:v>
      </x:c>
      <x:c r="G6" s="47" t="str">
        <x:v>REVISE</x:v>
      </x:c>
      <x:c r="H6" s="48" t="str">
        <x:v>The prior shape-identifier repair remains unresolved: use an approved shape IRI, not urn:nltl:generated-shape:I2_047. Correct the unit constraint: qudt:M expands to the schema namespace, whereas the canonical unit is http://qudt.org/vocab/unit/M; bind the QUDT vocabulary unit namespace and use unit:M. Do not require steelRenewalRequired true for every ice-strengthened structure: it is required only when gaugedThickness &lt; netThickness + 0.0005 m. Remove the unconditional minCount/hasValue true constraint from that branch and encode the conditional implication, while retaining the supplied ship/hasPlating/... applicability path and ship-owned operands.</x:v>
      </x:c>
      <x:c r="I6" s="86" t="n">
        <x:v>39034.626</x:v>
      </x:c>
      <x:c r="J6" s="86" t="n">
        <x:v>13212.886</x:v>
      </x:c>
    </x:row>
    <x:row r="7">
      <x:c r="A7" s="47" t="str">
        <x:v>RUN-I2-047-20260828T145843071760Z</x:v>
      </x:c>
      <x:c r="B7" s="47" t="str">
        <x:v>I2-047</x:v>
      </x:c>
      <x:c r="C7" s="59" t="n">
        <x:v>3</x:v>
      </x:c>
      <x:c r="D7" s="85" t="b">
        <x:v>1</x:v>
      </x:c>
      <x:c r="E7" s="85" t="b">
        <x:v>0</x:v>
      </x:c>
      <x:c r="F7" s="85" t="b">
        <x:v>1</x:v>
      </x:c>
      <x:c r="G7" s="47" t="str">
        <x:v>REVISE_WITH_MATCH</x:v>
      </x:c>
      <x:c r="H7" s="48" t="str">
        <x:v>The prior shape-identifier repair remains unresolved: replace urn:nltl:generated-shape:I2_047 with an approved shape IRI. Do not impose gaugedThickness and netThickness minCount/unit constraints unconditionally on every ship; make their presence and the steelRenewalRequired=true consequence conditional on the ice-strengthened applicability case. The candidate places iceStrengthenedStructureStatus on the hasPlating result, but its authoritative owner is hullStructure, not plating; use the canonical ship/hasPlating/... path to the supplied hullStructure node and keep the status there. The scoped terms do not supply the required cross-owner path, so locate that canonical path rather than relocating the status property. Preserve the ship-owned gaugedThickness and netThickness operands and the direct comparison gaugedThickness &lt; netThickness + 0.0005 m.</x:v>
      </x:c>
      <x:c r="I7" s="86" t="n">
        <x:v>30036.097</x:v>
      </x:c>
      <x:c r="J7" s="86" t="n">
        <x:v>27684.42</x:v>
      </x:c>
    </x:row>
    <x:row r="8">
      <x:c r="A8" s="49" t="str">
        <x:v>RUN-I2-047-20260828T145843071760Z</x:v>
      </x:c>
      <x:c r="B8" s="49" t="str">
        <x:v>I2-047</x:v>
      </x:c>
      <x:c r="C8" s="60" t="n">
        <x:v>4</x:v>
      </x:c>
      <x:c r="D8" s="87" t="b">
        <x:v>1</x:v>
      </x:c>
      <x:c r="E8" s="87" t="b">
        <x:v>0</x:v>
      </x:c>
      <x:c r="F8" s="87" t="b">
        <x:v>1</x:v>
      </x:c>
      <x:c r="G8" s="49" t="str">
        <x:v>REVISE_WITH_MATCH</x:v>
      </x:c>
      <x:c r="H8" s="50" t="str">
        <x:v>The prior repairs remain unresolved: replace urn:nltl:generated-shape:I2_047 with an approved shape identifier, and locate the canonical cross-owner path from ship/hasPlating through the plating result to the hullStructure owner of iceStrengthenedStructureStatus; do not place that status on the plating node or invent a path. Also remove the unconditional requirement that steelRenewalRequired be true for every applicable structure: its value may be either typed boolean when present, and the conditional implication must require true only when gaugedThickness &lt; netThickness + 0.0005 m. Preserve ship-owned gaugedThickness and netThickness, metre units and decimal values, the true applicability status on the resolved hullStructure path, and the direct strict comparison.</x:v>
      </x:c>
      <x:c r="I8" s="88" t="n">
        <x:v>47707.737</x:v>
      </x:c>
      <x:c r="J8" s="88" t="n">
        <x:v>11704.98</x:v>
      </x:c>
    </x:row>
  </x:sheetData>
  <x:conditionalFormatting sqref="G5:G8">
    <x:cfRule type="containsText" dxfId="24" priority="1" operator="containsText" text="ACCEPT"/>
    <x:cfRule type="containsText" dxfId="25" priority="2" operator="containsText" text="ELIGIBLE"/>
    <x:cfRule type="containsText" dxfId="26" priority="3" operator="containsText" text="PASS"/>
    <x:cfRule type="containsText" dxfId="27" priority="4" operator="containsText" text="GAP"/>
    <x:cfRule type="containsText" dxfId="28" priority="5" operator="containsText" text="FAIL"/>
    <x:cfRule type="containsText" dxfId="29" priority="6" operator="containsText" text="DEFERRED"/>
  </x:conditionalFormatting>
  <x:pageMargins left="0.7" right="0.7" top="0.75" bottom="0.75" header="0.3" footer="0.3"/>
  <x:tableParts count="1">
    <x:tablePart xmlns:r="http://schemas.openxmlformats.org/officeDocument/2006/relationships" r:id="R4eec598696674a95"/>
  </x:tableParts>
</x:worksheet>
</file>

<file path=xl/worksheets/sheet6.xml><?xml version="1.0" encoding="utf-8"?>
<x:worksheet xmlns:x="http://schemas.openxmlformats.org/spreadsheetml/2006/main">
  <x:sheetViews>
    <x:sheetView showGridLines="0" workbookViewId="0"/>
  </x:sheetViews>
  <x:sheetFormatPr defaultRowHeight="15"/>
  <x:cols>
    <x:col min="1" max="1" width="16" hidden="0" customWidth="1"/>
    <x:col min="2" max="2" width="42" hidden="0" customWidth="1"/>
    <x:col min="3" max="3" width="18" hidden="0" customWidth="1"/>
    <x:col min="4" max="4" width="25" hidden="0" customWidth="1"/>
    <x:col min="5" max="5" width="20" hidden="0" customWidth="1"/>
    <x:col min="6" max="6" width="30" hidden="0" customWidth="1"/>
    <x:col min="7" max="7" width="19" hidden="0" customWidth="1"/>
    <x:col min="8" max="8" width="11" hidden="0" customWidth="1"/>
    <x:col min="9" max="9" width="24" hidden="0" customWidth="1"/>
    <x:col min="10" max="10" width="20" hidden="0" customWidth="1"/>
    <x:col min="11" max="11" width="12" hidden="0" customWidth="1"/>
    <x:col min="12" max="12" width="11" hidden="0" customWidth="1"/>
    <x:col min="13" max="13" width="24" hidden="0" customWidth="1"/>
    <x:col min="14" max="14" width="14" hidden="0" customWidth="1"/>
    <x:col min="15" max="15" width="15" hidden="0" customWidth="1"/>
    <x:col min="16" max="16" width="14" hidden="0" customWidth="1"/>
  </x:cols>
  <x:sheetData>
    <x:row r="1">
      <x:c r="A1" s="18" t="str">
        <x:v>NLTL SHACL Pipeline Run Tracker</x:v>
      </x:c>
      <x:c r="B1" s="19"/>
      <x:c r="C1" s="19"/>
      <x:c r="D1" s="19"/>
      <x:c r="E1" s="19"/>
      <x:c r="F1" s="19"/>
      <x:c r="G1" s="19"/>
      <x:c r="H1" s="19"/>
      <x:c r="I1" s="19"/>
      <x:c r="J1" s="19"/>
      <x:c r="K1" s="19"/>
      <x:c r="L1" s="19"/>
      <x:c r="M1" s="19"/>
      <x:c r="N1" s="19"/>
      <x:c r="O1" s="19"/>
      <x:c r="P1" s="19"/>
    </x:row>
    <x:row r="2">
      <x:c r="A2" s="20" t="str">
        <x:v>API_CALLS | Run folder: RUN-I2-047-20260828T145843071760Z</x:v>
      </x:c>
      <x:c r="B2" s="20"/>
      <x:c r="C2" s="20"/>
      <x:c r="D2" s="20"/>
      <x:c r="E2" s="20"/>
      <x:c r="F2" s="20"/>
      <x:c r="G2" s="20"/>
      <x:c r="H2" s="20"/>
      <x:c r="I2" s="20"/>
      <x:c r="J2" s="20"/>
      <x:c r="K2" s="20"/>
      <x:c r="L2" s="20"/>
      <x:c r="M2" s="20"/>
      <x:c r="N2" s="20"/>
      <x:c r="O2" s="20"/>
      <x:c r="P2" s="20"/>
    </x:row>
    <x:row r="3">
      <x:c r="A3" s="21"/>
      <x:c r="B3" s="21"/>
      <x:c r="C3" s="21"/>
      <x:c r="D3" s="21"/>
      <x:c r="E3" s="21"/>
      <x:c r="F3" s="21"/>
      <x:c r="G3" s="21"/>
      <x:c r="H3" s="21"/>
      <x:c r="I3" s="21"/>
      <x:c r="J3" s="21"/>
      <x:c r="K3" s="21"/>
      <x:c r="L3" s="21"/>
      <x:c r="M3" s="21"/>
      <x:c r="N3" s="21"/>
      <x:c r="O3" s="21"/>
      <x:c r="P3" s="21"/>
    </x:row>
    <x:row r="4" ht="30" customHeight="1">
      <x:c r="A4" s="43" t="str">
        <x:v>EVENT_ID</x:v>
      </x:c>
      <x:c r="B4" s="57" t="str">
        <x:v>RUN_ID</x:v>
      </x:c>
      <x:c r="C4" s="57" t="str">
        <x:v>REQUIREMENT_ID</x:v>
      </x:c>
      <x:c r="D4" s="57" t="str">
        <x:v>TIMESTAMP_UTC</x:v>
      </x:c>
      <x:c r="E4" s="57" t="str">
        <x:v>ROLE</x:v>
      </x:c>
      <x:c r="F4" s="57" t="str">
        <x:v>MODEL</x:v>
      </x:c>
      <x:c r="G4" s="57" t="str">
        <x:v>TRANSPORT_ATTEMPT</x:v>
      </x:c>
      <x:c r="H4" s="57" t="str">
        <x:v>STATUS</x:v>
      </x:c>
      <x:c r="I4" s="57" t="str">
        <x:v>AUTH_HEADER_NAME</x:v>
      </x:c>
      <x:c r="J4" s="57" t="str">
        <x:v>RATE_LIMIT_WAIT_MS</x:v>
      </x:c>
      <x:c r="K4" s="57" t="str">
        <x:v>ELAPSED_MS</x:v>
      </x:c>
      <x:c r="L4" s="57" t="str">
        <x:v>RETRYING</x:v>
      </x:c>
      <x:c r="M4" s="57" t="str">
        <x:v>RESPONSE_ID</x:v>
      </x:c>
      <x:c r="N4" s="57" t="str">
        <x:v>INPUT_TOKENS</x:v>
      </x:c>
      <x:c r="O4" s="57" t="str">
        <x:v>OUTPUT_TOKENS</x:v>
      </x:c>
      <x:c r="P4" s="44" t="str">
        <x:v>TOTAL_TOKENS</x:v>
      </x:c>
    </x:row>
    <x:row r="5">
      <x:c r="A5" s="45" t="str">
        <x:v>EVT-000020</x:v>
      </x:c>
      <x:c r="B5" s="45" t="str">
        <x:v>RUN-I2-047-20260828T145843071760Z</x:v>
      </x:c>
      <x:c r="C5" s="45" t="str">
        <x:v>I2-047</x:v>
      </x:c>
      <x:c r="D5" s="92" t="n">
        <x:v>46262.62426548611</x:v>
      </x:c>
      <x:c r="E5" s="45" t="str">
        <x:v>generator</x:v>
      </x:c>
      <x:c r="F5" s="45" t="str">
        <x:v>gpt-5.6-luna-2026-07-09</x:v>
      </x:c>
      <x:c r="G5" s="45" t="n">
        <x:v>1</x:v>
      </x:c>
      <x:c r="H5" s="45" t="n">
        <x:v>200</x:v>
      </x:c>
      <x:c r="I5" s="45" t="str">
        <x:v>Ocp-Apim-Subscription-Key</x:v>
      </x:c>
      <x:c r="J5" s="84" t="n">
        <x:v>0</x:v>
      </x:c>
      <x:c r="K5" s="84" t="n">
        <x:v>13462.624</x:v>
      </x:c>
      <x:c r="L5" s="83" t="b">
        <x:v>0</x:v>
      </x:c>
      <x:c r="M5" s="45" t="str"/>
      <x:c r="N5" s="58" t="str"/>
      <x:c r="O5" s="58" t="str"/>
      <x:c r="P5" s="58" t="str"/>
    </x:row>
    <x:row r="6">
      <x:c r="A6" s="47" t="str">
        <x:v>EVT-000021</x:v>
      </x:c>
      <x:c r="B6" s="47" t="str">
        <x:v>RUN-I2-047-20260828T145843071760Z</x:v>
      </x:c>
      <x:c r="C6" s="47" t="str">
        <x:v>I2-047</x:v>
      </x:c>
      <x:c r="D6" s="93" t="n">
        <x:v>46262.62426549769</x:v>
      </x:c>
      <x:c r="E6" s="47" t="str">
        <x:v>generator</x:v>
      </x:c>
      <x:c r="F6" s="47" t="str">
        <x:v>gpt-5.6-luna-2026-07-09</x:v>
      </x:c>
      <x:c r="G6" s="47" t="n">
        <x:v>1</x:v>
      </x:c>
      <x:c r="H6" s="47" t="str">
        <x:v>COMPLETED</x:v>
      </x:c>
      <x:c r="I6" s="47" t="str"/>
      <x:c r="J6" s="86" t="n">
        <x:v>0</x:v>
      </x:c>
      <x:c r="K6" s="86" t="n">
        <x:v>13464.152</x:v>
      </x:c>
      <x:c r="L6" s="85" t="b">
        <x:v>0</x:v>
      </x:c>
      <x:c r="M6" s="47" t="str">
        <x:v>resp_07fd2ea9c9867316006a91a2232da88195b53679e556341194</x:v>
      </x:c>
      <x:c r="N6" s="59" t="n">
        <x:v>7583</x:v>
      </x:c>
      <x:c r="O6" s="59" t="n">
        <x:v>1132</x:v>
      </x:c>
      <x:c r="P6" s="59" t="n">
        <x:v>8715</x:v>
      </x:c>
    </x:row>
    <x:row r="7">
      <x:c r="A7" s="47" t="str">
        <x:v>EVT-000028</x:v>
      </x:c>
      <x:c r="B7" s="47" t="str">
        <x:v>RUN-I2-047-20260828T145843071760Z</x:v>
      </x:c>
      <x:c r="C7" s="47" t="str">
        <x:v>I2-047</x:v>
      </x:c>
      <x:c r="D7" s="93" t="n">
        <x:v>46262.62440289352</x:v>
      </x:c>
      <x:c r="E7" s="47" t="str">
        <x:v>validator</x:v>
      </x:c>
      <x:c r="F7" s="47" t="str">
        <x:v>gpt-5.6-luna-2026-07-09</x:v>
      </x:c>
      <x:c r="G7" s="47" t="n">
        <x:v>1</x:v>
      </x:c>
      <x:c r="H7" s="47" t="n">
        <x:v>200</x:v>
      </x:c>
      <x:c r="I7" s="47" t="str">
        <x:v>Ocp-Apim-Subscription-Key</x:v>
      </x:c>
      <x:c r="J7" s="86" t="n">
        <x:v>0</x:v>
      </x:c>
      <x:c r="K7" s="86" t="n">
        <x:v>11767.141</x:v>
      </x:c>
      <x:c r="L7" s="85" t="b">
        <x:v>0</x:v>
      </x:c>
      <x:c r="M7" s="47" t="str"/>
      <x:c r="N7" s="59" t="str"/>
      <x:c r="O7" s="59" t="str"/>
      <x:c r="P7" s="59" t="str"/>
    </x:row>
    <x:row r="8">
      <x:c r="A8" s="47" t="str">
        <x:v>EVT-000029</x:v>
      </x:c>
      <x:c r="B8" s="47" t="str">
        <x:v>RUN-I2-047-20260828T145843071760Z</x:v>
      </x:c>
      <x:c r="C8" s="47" t="str">
        <x:v>I2-047</x:v>
      </x:c>
      <x:c r="D8" s="93" t="n">
        <x:v>46262.62440291667</x:v>
      </x:c>
      <x:c r="E8" s="47" t="str">
        <x:v>validator</x:v>
      </x:c>
      <x:c r="F8" s="47" t="str">
        <x:v>gpt-5.6-luna-2026-07-09</x:v>
      </x:c>
      <x:c r="G8" s="47" t="n">
        <x:v>1</x:v>
      </x:c>
      <x:c r="H8" s="47" t="str">
        <x:v>COMPLETED</x:v>
      </x:c>
      <x:c r="I8" s="47" t="str"/>
      <x:c r="J8" s="86" t="n">
        <x:v>0</x:v>
      </x:c>
      <x:c r="K8" s="86" t="n">
        <x:v>11768.598</x:v>
      </x:c>
      <x:c r="L8" s="85" t="b">
        <x:v>0</x:v>
      </x:c>
      <x:c r="M8" s="47" t="str">
        <x:v>resp_012bb8e99b1ab36a006a91a2310ad48194be0ba35a6ff3cd9b</x:v>
      </x:c>
      <x:c r="N8" s="59" t="n">
        <x:v>6461</x:v>
      </x:c>
      <x:c r="O8" s="59" t="n">
        <x:v>671</x:v>
      </x:c>
      <x:c r="P8" s="59" t="n">
        <x:v>7132</x:v>
      </x:c>
    </x:row>
    <x:row r="9">
      <x:c r="A9" s="47" t="str">
        <x:v>EVT-000034</x:v>
      </x:c>
      <x:c r="B9" s="47" t="str">
        <x:v>RUN-I2-047-20260828T145843071760Z</x:v>
      </x:c>
      <x:c r="C9" s="47" t="str">
        <x:v>I2-047</x:v>
      </x:c>
      <x:c r="D9" s="93" t="n">
        <x:v>46262.62485474537</x:v>
      </x:c>
      <x:c r="E9" s="47" t="str">
        <x:v>generator</x:v>
      </x:c>
      <x:c r="F9" s="47" t="str">
        <x:v>gpt-5.6-luna-2026-07-09</x:v>
      </x:c>
      <x:c r="G9" s="47" t="n">
        <x:v>1</x:v>
      </x:c>
      <x:c r="H9" s="47" t="n">
        <x:v>200</x:v>
      </x:c>
      <x:c r="I9" s="47" t="str">
        <x:v>Ocp-Apim-Subscription-Key</x:v>
      </x:c>
      <x:c r="J9" s="86" t="n">
        <x:v>0</x:v>
      </x:c>
      <x:c r="K9" s="86" t="n">
        <x:v>39033.022</x:v>
      </x:c>
      <x:c r="L9" s="85" t="b">
        <x:v>0</x:v>
      </x:c>
      <x:c r="M9" s="47" t="str"/>
      <x:c r="N9" s="59" t="str"/>
      <x:c r="O9" s="59" t="str"/>
      <x:c r="P9" s="59" t="str"/>
    </x:row>
    <x:row r="10">
      <x:c r="A10" s="47" t="str">
        <x:v>EVT-000035</x:v>
      </x:c>
      <x:c r="B10" s="47" t="str">
        <x:v>RUN-I2-047-20260828T145843071760Z</x:v>
      </x:c>
      <x:c r="C10" s="47" t="str">
        <x:v>I2-047</x:v>
      </x:c>
      <x:c r="D10" s="93" t="n">
        <x:v>46262.62485476852</x:v>
      </x:c>
      <x:c r="E10" s="47" t="str">
        <x:v>generator</x:v>
      </x:c>
      <x:c r="F10" s="47" t="str">
        <x:v>gpt-5.6-luna-2026-07-09</x:v>
      </x:c>
      <x:c r="G10" s="47" t="n">
        <x:v>1</x:v>
      </x:c>
      <x:c r="H10" s="47" t="str">
        <x:v>COMPLETED</x:v>
      </x:c>
      <x:c r="I10" s="47" t="str"/>
      <x:c r="J10" s="86" t="n">
        <x:v>0</x:v>
      </x:c>
      <x:c r="K10" s="86" t="n">
        <x:v>39034.626</x:v>
      </x:c>
      <x:c r="L10" s="85" t="b">
        <x:v>0</x:v>
      </x:c>
      <x:c r="M10" s="47" t="str">
        <x:v>resp_0d45fe53501cb20b006a91a23c87c881908cc52d805e771c3e</x:v>
      </x:c>
      <x:c r="N10" s="59" t="n">
        <x:v>7750</x:v>
      </x:c>
      <x:c r="O10" s="59" t="n">
        <x:v>2769</x:v>
      </x:c>
      <x:c r="P10" s="59" t="n">
        <x:v>10519</x:v>
      </x:c>
    </x:row>
    <x:row r="11">
      <x:c r="A11" s="47" t="str">
        <x:v>EVT-000042</x:v>
      </x:c>
      <x:c r="B11" s="47" t="str">
        <x:v>RUN-I2-047-20260828T145843071760Z</x:v>
      </x:c>
      <x:c r="C11" s="47" t="str">
        <x:v>I2-047</x:v>
      </x:c>
      <x:c r="D11" s="93" t="n">
        <x:v>46262.625009537034</x:v>
      </x:c>
      <x:c r="E11" s="47" t="str">
        <x:v>validator</x:v>
      </x:c>
      <x:c r="F11" s="47" t="str">
        <x:v>gpt-5.6-luna-2026-07-09</x:v>
      </x:c>
      <x:c r="G11" s="47" t="n">
        <x:v>1</x:v>
      </x:c>
      <x:c r="H11" s="47" t="n">
        <x:v>200</x:v>
      </x:c>
      <x:c r="I11" s="47" t="str">
        <x:v>Ocp-Apim-Subscription-Key</x:v>
      </x:c>
      <x:c r="J11" s="86" t="n">
        <x:v>0</x:v>
      </x:c>
      <x:c r="K11" s="86" t="n">
        <x:v>13211.444</x:v>
      </x:c>
      <x:c r="L11" s="85" t="b">
        <x:v>0</x:v>
      </x:c>
      <x:c r="M11" s="47" t="str"/>
      <x:c r="N11" s="59" t="str"/>
      <x:c r="O11" s="59" t="str"/>
      <x:c r="P11" s="59" t="str"/>
    </x:row>
    <x:row r="12">
      <x:c r="A12" s="47" t="str">
        <x:v>EVT-000043</x:v>
      </x:c>
      <x:c r="B12" s="47" t="str">
        <x:v>RUN-I2-047-20260828T145843071760Z</x:v>
      </x:c>
      <x:c r="C12" s="47" t="str">
        <x:v>I2-047</x:v>
      </x:c>
      <x:c r="D12" s="93" t="n">
        <x:v>46262.625009560186</x:v>
      </x:c>
      <x:c r="E12" s="47" t="str">
        <x:v>validator</x:v>
      </x:c>
      <x:c r="F12" s="47" t="str">
        <x:v>gpt-5.6-luna-2026-07-09</x:v>
      </x:c>
      <x:c r="G12" s="47" t="n">
        <x:v>1</x:v>
      </x:c>
      <x:c r="H12" s="47" t="str">
        <x:v>COMPLETED</x:v>
      </x:c>
      <x:c r="I12" s="47" t="str"/>
      <x:c r="J12" s="86" t="n">
        <x:v>0</x:v>
      </x:c>
      <x:c r="K12" s="86" t="n">
        <x:v>13212.886</x:v>
      </x:c>
      <x:c r="L12" s="85" t="b">
        <x:v>0</x:v>
      </x:c>
      <x:c r="M12" s="47" t="str">
        <x:v>resp_01be857efa458e6a006a91a263b96c8196b6c2a9c62a41cb56</x:v>
      </x:c>
      <x:c r="N12" s="59" t="n">
        <x:v>7077</x:v>
      </x:c>
      <x:c r="O12" s="59" t="n">
        <x:v>842</x:v>
      </x:c>
      <x:c r="P12" s="59" t="n">
        <x:v>7919</x:v>
      </x:c>
    </x:row>
    <x:row r="13">
      <x:c r="A13" s="47" t="str">
        <x:v>EVT-000049</x:v>
      </x:c>
      <x:c r="B13" s="47" t="str">
        <x:v>RUN-I2-047-20260828T145843071760Z</x:v>
      </x:c>
      <x:c r="C13" s="47" t="str">
        <x:v>I2-047</x:v>
      </x:c>
      <x:c r="D13" s="93" t="n">
        <x:v>46262.62535722222</x:v>
      </x:c>
      <x:c r="E13" s="47" t="str">
        <x:v>generator</x:v>
      </x:c>
      <x:c r="F13" s="47" t="str">
        <x:v>gpt-5.6-luna-2026-07-09</x:v>
      </x:c>
      <x:c r="G13" s="47" t="n">
        <x:v>1</x:v>
      </x:c>
      <x:c r="H13" s="47" t="n">
        <x:v>200</x:v>
      </x:c>
      <x:c r="I13" s="47" t="str">
        <x:v>Ocp-Apim-Subscription-Key</x:v>
      </x:c>
      <x:c r="J13" s="86" t="n">
        <x:v>0</x:v>
      </x:c>
      <x:c r="K13" s="86" t="n">
        <x:v>30034.607</x:v>
      </x:c>
      <x:c r="L13" s="85" t="b">
        <x:v>0</x:v>
      </x:c>
      <x:c r="M13" s="47" t="str"/>
      <x:c r="N13" s="59" t="str"/>
      <x:c r="O13" s="59" t="str"/>
      <x:c r="P13" s="59" t="str"/>
    </x:row>
    <x:row r="14">
      <x:c r="A14" s="47" t="str">
        <x:v>EVT-000050</x:v>
      </x:c>
      <x:c r="B14" s="47" t="str">
        <x:v>RUN-I2-047-20260828T145843071760Z</x:v>
      </x:c>
      <x:c r="C14" s="47" t="str">
        <x:v>I2-047</x:v>
      </x:c>
      <x:c r="D14" s="93" t="n">
        <x:v>46262.62535724537</x:v>
      </x:c>
      <x:c r="E14" s="47" t="str">
        <x:v>generator</x:v>
      </x:c>
      <x:c r="F14" s="47" t="str">
        <x:v>gpt-5.6-luna-2026-07-09</x:v>
      </x:c>
      <x:c r="G14" s="47" t="n">
        <x:v>1</x:v>
      </x:c>
      <x:c r="H14" s="47" t="str">
        <x:v>COMPLETED</x:v>
      </x:c>
      <x:c r="I14" s="47" t="str"/>
      <x:c r="J14" s="86" t="n">
        <x:v>0</x:v>
      </x:c>
      <x:c r="K14" s="86" t="n">
        <x:v>30036.097</x:v>
      </x:c>
      <x:c r="L14" s="85" t="b">
        <x:v>0</x:v>
      </x:c>
      <x:c r="M14" s="47" t="str">
        <x:v>resp_0eadfd86a49b50cc006a91a270f4248193af73aa847ad23a88</x:v>
      </x:c>
      <x:c r="N14" s="59" t="n">
        <x:v>7896</x:v>
      </x:c>
      <x:c r="O14" s="59" t="n">
        <x:v>2199</x:v>
      </x:c>
      <x:c r="P14" s="59" t="n">
        <x:v>10095</x:v>
      </x:c>
    </x:row>
    <x:row r="15">
      <x:c r="A15" s="47" t="str">
        <x:v>EVT-000057</x:v>
      </x:c>
      <x:c r="B15" s="47" t="str">
        <x:v>RUN-I2-047-20260828T145843071760Z</x:v>
      </x:c>
      <x:c r="C15" s="47" t="str">
        <x:v>I2-047</x:v>
      </x:c>
      <x:c r="D15" s="93" t="n">
        <x:v>46262.62567878472</x:v>
      </x:c>
      <x:c r="E15" s="47" t="str">
        <x:v>validator</x:v>
      </x:c>
      <x:c r="F15" s="47" t="str">
        <x:v>gpt-5.6-luna-2026-07-09</x:v>
      </x:c>
      <x:c r="G15" s="47" t="n">
        <x:v>1</x:v>
      </x:c>
      <x:c r="H15" s="47" t="n">
        <x:v>200</x:v>
      </x:c>
      <x:c r="I15" s="47" t="str">
        <x:v>Ocp-Apim-Subscription-Key</x:v>
      </x:c>
      <x:c r="J15" s="86" t="n">
        <x:v>0</x:v>
      </x:c>
      <x:c r="K15" s="86" t="n">
        <x:v>27682.942</x:v>
      </x:c>
      <x:c r="L15" s="85" t="b">
        <x:v>0</x:v>
      </x:c>
      <x:c r="M15" s="47" t="str"/>
      <x:c r="N15" s="59" t="str"/>
      <x:c r="O15" s="59" t="str"/>
      <x:c r="P15" s="59" t="str"/>
    </x:row>
    <x:row r="16">
      <x:c r="A16" s="47" t="str">
        <x:v>EVT-000058</x:v>
      </x:c>
      <x:c r="B16" s="47" t="str">
        <x:v>RUN-I2-047-20260828T145843071760Z</x:v>
      </x:c>
      <x:c r="C16" s="47" t="str">
        <x:v>I2-047</x:v>
      </x:c>
      <x:c r="D16" s="93" t="n">
        <x:v>46262.6256787963</x:v>
      </x:c>
      <x:c r="E16" s="47" t="str">
        <x:v>validator</x:v>
      </x:c>
      <x:c r="F16" s="47" t="str">
        <x:v>gpt-5.6-luna-2026-07-09</x:v>
      </x:c>
      <x:c r="G16" s="47" t="n">
        <x:v>1</x:v>
      </x:c>
      <x:c r="H16" s="47" t="str">
        <x:v>COMPLETED</x:v>
      </x:c>
      <x:c r="I16" s="47" t="str"/>
      <x:c r="J16" s="86" t="n">
        <x:v>0</x:v>
      </x:c>
      <x:c r="K16" s="86" t="n">
        <x:v>27684.42</x:v>
      </x:c>
      <x:c r="L16" s="85" t="b">
        <x:v>0</x:v>
      </x:c>
      <x:c r="M16" s="47" t="str">
        <x:v>resp_0b2f6ab51faa338b006a91a28f11148197a688596f9c173651</x:v>
      </x:c>
      <x:c r="N16" s="59" t="n">
        <x:v>7000</x:v>
      </x:c>
      <x:c r="O16" s="59" t="n">
        <x:v>1737</x:v>
      </x:c>
      <x:c r="P16" s="59" t="n">
        <x:v>8737</x:v>
      </x:c>
    </x:row>
    <x:row r="17">
      <x:c r="A17" s="47" t="str">
        <x:v>EVT-000065</x:v>
      </x:c>
      <x:c r="B17" s="47" t="str">
        <x:v>RUN-I2-047-20260828T145843071760Z</x:v>
      </x:c>
      <x:c r="C17" s="47" t="str">
        <x:v>I2-047</x:v>
      </x:c>
      <x:c r="D17" s="93" t="n">
        <x:v>46262.62576849537</x:v>
      </x:c>
      <x:c r="E17" s="47" t="str">
        <x:v>vocabulary_matcher</x:v>
      </x:c>
      <x:c r="F17" s="47" t="str">
        <x:v>gpt-5.6-luna-2026-07-09</x:v>
      </x:c>
      <x:c r="G17" s="47" t="n">
        <x:v>1</x:v>
      </x:c>
      <x:c r="H17" s="47" t="n">
        <x:v>200</x:v>
      </x:c>
      <x:c r="I17" s="47" t="str">
        <x:v>Ocp-Apim-Subscription-Key</x:v>
      </x:c>
      <x:c r="J17" s="86" t="n">
        <x:v>0</x:v>
      </x:c>
      <x:c r="K17" s="86" t="n">
        <x:v>6326.293</x:v>
      </x:c>
      <x:c r="L17" s="85" t="b">
        <x:v>0</x:v>
      </x:c>
      <x:c r="M17" s="47" t="str"/>
      <x:c r="N17" s="59" t="str"/>
      <x:c r="O17" s="59" t="str"/>
      <x:c r="P17" s="59" t="str"/>
    </x:row>
    <x:row r="18">
      <x:c r="A18" s="47" t="str">
        <x:v>EVT-000066</x:v>
      </x:c>
      <x:c r="B18" s="47" t="str">
        <x:v>RUN-I2-047-20260828T145843071760Z</x:v>
      </x:c>
      <x:c r="C18" s="47" t="str">
        <x:v>I2-047</x:v>
      </x:c>
      <x:c r="D18" s="93" t="n">
        <x:v>46262.62576850694</x:v>
      </x:c>
      <x:c r="E18" s="47" t="str">
        <x:v>vocabulary_matcher</x:v>
      </x:c>
      <x:c r="F18" s="47" t="str">
        <x:v>gpt-5.6-luna-2026-07-09</x:v>
      </x:c>
      <x:c r="G18" s="47" t="n">
        <x:v>1</x:v>
      </x:c>
      <x:c r="H18" s="47" t="str">
        <x:v>COMPLETED</x:v>
      </x:c>
      <x:c r="I18" s="47" t="str"/>
      <x:c r="J18" s="86" t="n">
        <x:v>0</x:v>
      </x:c>
      <x:c r="K18" s="86" t="n">
        <x:v>6327.703</x:v>
      </x:c>
      <x:c r="L18" s="85" t="b">
        <x:v>0</x:v>
      </x:c>
      <x:c r="M18" s="47" t="str">
        <x:v>resp_05d0f21e720c1005006a91a2ac2dd08190ab9c30cbff8f175c</x:v>
      </x:c>
      <x:c r="N18" s="59" t="n">
        <x:v>3012</x:v>
      </x:c>
      <x:c r="O18" s="59" t="n">
        <x:v>333</x:v>
      </x:c>
      <x:c r="P18" s="59" t="n">
        <x:v>3345</x:v>
      </x:c>
    </x:row>
    <x:row r="19">
      <x:c r="A19" s="47" t="str">
        <x:v>EVT-000085</x:v>
      </x:c>
      <x:c r="B19" s="47" t="str">
        <x:v>RUN-I2-047-20260828T145843071760Z</x:v>
      </x:c>
      <x:c r="C19" s="47" t="str">
        <x:v>I2-047</x:v>
      </x:c>
      <x:c r="D19" s="93" t="n">
        <x:v>46262.626320787036</x:v>
      </x:c>
      <x:c r="E19" s="47" t="str">
        <x:v>generator</x:v>
      </x:c>
      <x:c r="F19" s="47" t="str">
        <x:v>gpt-5.6-luna-2026-07-09</x:v>
      </x:c>
      <x:c r="G19" s="47" t="n">
        <x:v>1</x:v>
      </x:c>
      <x:c r="H19" s="47" t="n">
        <x:v>200</x:v>
      </x:c>
      <x:c r="I19" s="47" t="str">
        <x:v>Ocp-Apim-Subscription-Key</x:v>
      </x:c>
      <x:c r="J19" s="86" t="n">
        <x:v>0</x:v>
      </x:c>
      <x:c r="K19" s="86" t="n">
        <x:v>47706.194</x:v>
      </x:c>
      <x:c r="L19" s="85" t="b">
        <x:v>0</x:v>
      </x:c>
      <x:c r="M19" s="47" t="str"/>
      <x:c r="N19" s="59" t="str"/>
      <x:c r="O19" s="59" t="str"/>
      <x:c r="P19" s="59" t="str"/>
    </x:row>
    <x:row r="20">
      <x:c r="A20" s="47" t="str">
        <x:v>EVT-000086</x:v>
      </x:c>
      <x:c r="B20" s="47" t="str">
        <x:v>RUN-I2-047-20260828T145843071760Z</x:v>
      </x:c>
      <x:c r="C20" s="47" t="str">
        <x:v>I2-047</x:v>
      </x:c>
      <x:c r="D20" s="93" t="n">
        <x:v>46262.62632081019</x:v>
      </x:c>
      <x:c r="E20" s="47" t="str">
        <x:v>generator</x:v>
      </x:c>
      <x:c r="F20" s="47" t="str">
        <x:v>gpt-5.6-luna-2026-07-09</x:v>
      </x:c>
      <x:c r="G20" s="47" t="n">
        <x:v>1</x:v>
      </x:c>
      <x:c r="H20" s="47" t="str">
        <x:v>COMPLETED</x:v>
      </x:c>
      <x:c r="I20" s="47" t="str"/>
      <x:c r="J20" s="86" t="n">
        <x:v>0</x:v>
      </x:c>
      <x:c r="K20" s="86" t="n">
        <x:v>47707.737</x:v>
      </x:c>
      <x:c r="L20" s="85" t="b">
        <x:v>0</x:v>
      </x:c>
      <x:c r="M20" s="47" t="str">
        <x:v>resp_059aa1d12d03b243006a91a2b2851081968439416bf2bccec3</x:v>
      </x:c>
      <x:c r="N20" s="59" t="n">
        <x:v>8142</x:v>
      </x:c>
      <x:c r="O20" s="59" t="n">
        <x:v>3582</x:v>
      </x:c>
      <x:c r="P20" s="59" t="n">
        <x:v>11724</x:v>
      </x:c>
    </x:row>
    <x:row r="21">
      <x:c r="A21" s="47" t="str">
        <x:v>EVT-000093</x:v>
      </x:c>
      <x:c r="B21" s="47" t="str">
        <x:v>RUN-I2-047-20260828T145843071760Z</x:v>
      </x:c>
      <x:c r="C21" s="47" t="str">
        <x:v>I2-047</x:v>
      </x:c>
      <x:c r="D21" s="93" t="n">
        <x:v>46262.626457210645</x:v>
      </x:c>
      <x:c r="E21" s="47" t="str">
        <x:v>validator</x:v>
      </x:c>
      <x:c r="F21" s="47" t="str">
        <x:v>gpt-5.6-luna-2026-07-09</x:v>
      </x:c>
      <x:c r="G21" s="47" t="n">
        <x:v>1</x:v>
      </x:c>
      <x:c r="H21" s="47" t="n">
        <x:v>200</x:v>
      </x:c>
      <x:c r="I21" s="47" t="str">
        <x:v>Ocp-Apim-Subscription-Key</x:v>
      </x:c>
      <x:c r="J21" s="86" t="n">
        <x:v>0</x:v>
      </x:c>
      <x:c r="K21" s="86" t="n">
        <x:v>11703.91</x:v>
      </x:c>
      <x:c r="L21" s="85" t="b">
        <x:v>0</x:v>
      </x:c>
      <x:c r="M21" s="47" t="str"/>
      <x:c r="N21" s="59" t="str"/>
      <x:c r="O21" s="59" t="str"/>
      <x:c r="P21" s="59" t="str"/>
    </x:row>
    <x:row r="22">
      <x:c r="A22" s="47" t="str">
        <x:v>EVT-000094</x:v>
      </x:c>
      <x:c r="B22" s="47" t="str">
        <x:v>RUN-I2-047-20260828T145843071760Z</x:v>
      </x:c>
      <x:c r="C22" s="47" t="str">
        <x:v>I2-047</x:v>
      </x:c>
      <x:c r="D22" s="93" t="n">
        <x:v>46262.62645722222</x:v>
      </x:c>
      <x:c r="E22" s="47" t="str">
        <x:v>validator</x:v>
      </x:c>
      <x:c r="F22" s="47" t="str">
        <x:v>gpt-5.6-luna-2026-07-09</x:v>
      </x:c>
      <x:c r="G22" s="47" t="n">
        <x:v>1</x:v>
      </x:c>
      <x:c r="H22" s="47" t="str">
        <x:v>COMPLETED</x:v>
      </x:c>
      <x:c r="I22" s="47" t="str"/>
      <x:c r="J22" s="86" t="n">
        <x:v>0</x:v>
      </x:c>
      <x:c r="K22" s="86" t="n">
        <x:v>11704.98</x:v>
      </x:c>
      <x:c r="L22" s="85" t="b">
        <x:v>0</x:v>
      </x:c>
      <x:c r="M22" s="47" t="str">
        <x:v>resp_00c69dd573778cf1006a91a2e253108197b117394b1b01de83</x:v>
      </x:c>
      <x:c r="N22" s="59" t="n">
        <x:v>7368</x:v>
      </x:c>
      <x:c r="O22" s="59" t="n">
        <x:v>688</x:v>
      </x:c>
      <x:c r="P22" s="59" t="n">
        <x:v>8056</x:v>
      </x:c>
    </x:row>
    <x:row r="23">
      <x:c r="A23" s="47" t="str">
        <x:v>EVT-000101</x:v>
      </x:c>
      <x:c r="B23" s="47" t="str">
        <x:v>RUN-I2-047-20260828T145843071760Z</x:v>
      </x:c>
      <x:c r="C23" s="47" t="str">
        <x:v>I2-047</x:v>
      </x:c>
      <x:c r="D23" s="93" t="n">
        <x:v>46262.62651875</x:v>
      </x:c>
      <x:c r="E23" s="47" t="str">
        <x:v>vocabulary_matcher</x:v>
      </x:c>
      <x:c r="F23" s="47" t="str">
        <x:v>gpt-5.6-luna-2026-07-09</x:v>
      </x:c>
      <x:c r="G23" s="47" t="n">
        <x:v>1</x:v>
      </x:c>
      <x:c r="H23" s="47" t="n">
        <x:v>200</x:v>
      </x:c>
      <x:c r="I23" s="47" t="str">
        <x:v>Ocp-Apim-Subscription-Key</x:v>
      </x:c>
      <x:c r="J23" s="86" t="n">
        <x:v>0</x:v>
      </x:c>
      <x:c r="K23" s="86" t="n">
        <x:v>3946.239</x:v>
      </x:c>
      <x:c r="L23" s="85" t="b">
        <x:v>0</x:v>
      </x:c>
      <x:c r="M23" s="47" t="str"/>
      <x:c r="N23" s="59" t="str"/>
      <x:c r="O23" s="59" t="str"/>
      <x:c r="P23" s="59" t="str"/>
    </x:row>
    <x:row r="24">
      <x:c r="A24" s="49" t="str">
        <x:v>EVT-000102</x:v>
      </x:c>
      <x:c r="B24" s="49" t="str">
        <x:v>RUN-I2-047-20260828T145843071760Z</x:v>
      </x:c>
      <x:c r="C24" s="49" t="str">
        <x:v>I2-047</x:v>
      </x:c>
      <x:c r="D24" s="94" t="n">
        <x:v>46262.62651876157</x:v>
      </x:c>
      <x:c r="E24" s="49" t="str">
        <x:v>vocabulary_matcher</x:v>
      </x:c>
      <x:c r="F24" s="49" t="str">
        <x:v>gpt-5.6-luna-2026-07-09</x:v>
      </x:c>
      <x:c r="G24" s="49" t="n">
        <x:v>1</x:v>
      </x:c>
      <x:c r="H24" s="49" t="str">
        <x:v>COMPLETED</x:v>
      </x:c>
      <x:c r="I24" s="49" t="str"/>
      <x:c r="J24" s="88" t="n">
        <x:v>0</x:v>
      </x:c>
      <x:c r="K24" s="88" t="n">
        <x:v>3947.66</x:v>
      </x:c>
      <x:c r="L24" s="87" t="b">
        <x:v>0</x:v>
      </x:c>
      <x:c r="M24" s="49" t="str">
        <x:v>resp_01d4171191bfa9cf006a91a2ef5e8c81939a46baf1357f8b27</x:v>
      </x:c>
      <x:c r="N24" s="60" t="n">
        <x:v>2989</x:v>
      </x:c>
      <x:c r="O24" s="60" t="n">
        <x:v>271</x:v>
      </x:c>
      <x:c r="P24" s="60" t="n">
        <x:v>3260</x:v>
      </x:c>
    </x:row>
  </x:sheetData>
  <x:conditionalFormatting sqref="H5:H24">
    <x:cfRule type="containsText" dxfId="30" priority="1" operator="containsText" text="ACCEPT"/>
    <x:cfRule type="containsText" dxfId="31" priority="2" operator="containsText" text="ELIGIBLE"/>
    <x:cfRule type="containsText" dxfId="32" priority="3" operator="containsText" text="PASS"/>
    <x:cfRule type="containsText" dxfId="33" priority="4" operator="containsText" text="GAP"/>
    <x:cfRule type="containsText" dxfId="34" priority="5" operator="containsText" text="FAIL"/>
    <x:cfRule type="containsText" dxfId="35" priority="6" operator="containsText" text="DEFERRED"/>
  </x:conditionalFormatting>
  <x:pageMargins left="0.7" right="0.7" top="0.75" bottom="0.75" header="0.3" footer="0.3"/>
  <x:tableParts count="1">
    <x:tablePart xmlns:r="http://schemas.openxmlformats.org/officeDocument/2006/relationships" r:id="Rf44789be485f4874"/>
  </x:tableParts>
</x:worksheet>
</file>

<file path=xl/worksheets/sheet7.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38" hidden="0" customWidth="1"/>
    <x:col min="4" max="4" width="52" hidden="0" customWidth="1"/>
    <x:col min="5" max="5" width="18" hidden="0" customWidth="1"/>
    <x:col min="6" max="6" width="13" hidden="0" customWidth="1"/>
    <x:col min="7" max="7" width="46" hidden="0" customWidth="1"/>
    <x:col min="8" max="8" width="24" hidden="0" customWidth="1"/>
    <x:col min="9" max="9" width="52" hidden="0" customWidth="1"/>
    <x:col min="10" max="10" width="17" hidden="0" customWidth="1"/>
  </x:cols>
  <x:sheetData>
    <x:row r="1">
      <x:c r="A1" s="18" t="str">
        <x:v>NLTL SHACL Pipeline Run Tracker</x:v>
      </x:c>
      <x:c r="B1" s="19"/>
      <x:c r="C1" s="19"/>
      <x:c r="D1" s="19"/>
      <x:c r="E1" s="19"/>
      <x:c r="F1" s="19"/>
      <x:c r="G1" s="19"/>
      <x:c r="H1" s="19"/>
      <x:c r="I1" s="19"/>
      <x:c r="J1" s="19"/>
    </x:row>
    <x:row r="2">
      <x:c r="A2" s="20" t="str">
        <x:v>TERM_RETRIEVAL | Run folder: RUN-I2-047-20260828T145843071760Z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LOCAL_NAME</x:v>
      </x:c>
      <x:c r="D4" s="57" t="str">
        <x:v>IRI</x:v>
      </x:c>
      <x:c r="E4" s="57" t="str">
        <x:v>KIND</x:v>
      </x:c>
      <x:c r="F4" s="57" t="str">
        <x:v>DATATYPE</x:v>
      </x:c>
      <x:c r="G4" s="57" t="str">
        <x:v>RANGE</x:v>
      </x:c>
      <x:c r="H4" s="57" t="str">
        <x:v>RECOMMENDED_UNIT</x:v>
      </x:c>
      <x:c r="I4" s="57" t="str">
        <x:v>SELECTION_REASON</x:v>
      </x:c>
      <x:c r="J4" s="44" t="str">
        <x:v>ITERATION_ADDED</x:v>
      </x:c>
    </x:row>
    <x:row r="5">
      <x:c r="A5" s="45" t="str">
        <x:v>RUN-I2-047-20260828T145843071760Z</x:v>
      </x:c>
      <x:c r="B5" s="45" t="str">
        <x:v>I2-047</x:v>
      </x:c>
      <x:c r="C5" s="45" t="str">
        <x:v>benchmarkEntity</x:v>
      </x:c>
      <x:c r="D5" s="46" t="str">
        <x:v>https://w3id.org/nltl/vocab#benchmarkEntity</x:v>
      </x:c>
      <x:c r="E5" s="45" t="str">
        <x:v>Class</x:v>
      </x:c>
      <x:c r="F5" s="45" t="str"/>
      <x:c r="G5" s="45" t="str"/>
      <x:c r="H5" s="45" t="str"/>
      <x:c r="I5" s="46" t="str">
        <x:v>baseline target infrastructure; domain dependency of gaugedThickness; domain dependency of netThickness; domain dependency of steelRenewalRequired</x:v>
      </x:c>
      <x:c r="J5" s="45" t="n">
        <x:v>0</x:v>
      </x:c>
    </x:row>
    <x:row r="6">
      <x:c r="A6" s="47" t="str">
        <x:v>RUN-I2-047-20260828T145843071760Z</x:v>
      </x:c>
      <x:c r="B6" s="47" t="str">
        <x:v>I2-047</x:v>
      </x:c>
      <x:c r="C6" s="47" t="str">
        <x:v>gaugedThickness</x:v>
      </x:c>
      <x:c r="D6" s="48" t="str">
        <x:v>https://w3id.org/nltl/vocab#gaugedThickness</x:v>
      </x:c>
      <x:c r="E6" s="47" t="str">
        <x:v>QuantityProperty</x:v>
      </x:c>
      <x:c r="F6" s="47" t="str"/>
      <x:c r="G6" s="47" t="str">
        <x:v>http://qudt.org/schema/qudt/QuantityValue</x:v>
      </x:c>
      <x:c r="H6" s="47" t="str">
        <x:v>http://qudt.org/vocab/unit/M</x:v>
      </x:c>
      <x:c r="I6" s="48" t="str">
        <x:v>linked by the locked 313-requirement index</x:v>
      </x:c>
      <x:c r="J6" s="47" t="n">
        <x:v>0</x:v>
      </x:c>
    </x:row>
    <x:row r="7">
      <x:c r="A7" s="47" t="str">
        <x:v>RUN-I2-047-20260828T145843071760Z</x:v>
      </x:c>
      <x:c r="B7" s="47" t="str">
        <x:v>I2-047</x:v>
      </x:c>
      <x:c r="C7" s="47" t="str">
        <x:v>hasComponent</x:v>
      </x:c>
      <x:c r="D7" s="48" t="str">
        <x:v>https://w3id.org/nltl/vocab#hasComponent</x:v>
      </x:c>
      <x:c r="E7" s="47" t="str">
        <x:v>ObjectProperty</x:v>
      </x:c>
      <x:c r="F7" s="47" t="str"/>
      <x:c r="G7" s="47" t="str">
        <x:v>https://w3id.org/nltl/vocab#shipComponent</x:v>
      </x:c>
      <x:c r="H7" s="47" t="str"/>
      <x:c r="I7" s="48" t="str">
        <x:v>component-path dependency inferred from the linked term module</x:v>
      </x:c>
      <x:c r="J7" s="47" t="n">
        <x:v>0</x:v>
      </x:c>
    </x:row>
    <x:row r="8">
      <x:c r="A8" s="47" t="str">
        <x:v>RUN-I2-047-20260828T145843071760Z</x:v>
      </x:c>
      <x:c r="B8" s="47" t="str">
        <x:v>I2-047</x:v>
      </x:c>
      <x:c r="C8" s="47" t="str">
        <x:v>hasPlating</x:v>
      </x:c>
      <x:c r="D8" s="48" t="str">
        <x:v>https://w3id.org/nltl/vocab#hasPlating</x:v>
      </x:c>
      <x:c r="E8" s="47" t="str">
        <x:v>ObjectProperty</x:v>
      </x:c>
      <x:c r="F8" s="47" t="str"/>
      <x:c r="G8" s="47" t="str">
        <x:v>https://w3id.org/nltl/vocab#plating</x:v>
      </x:c>
      <x:c r="H8" s="47" t="str"/>
      <x:c r="I8" s="48" t="str">
        <x:v>canonical path from target owner ship to required owner plating</x:v>
      </x:c>
      <x:c r="J8" s="47" t="n">
        <x:v>0</x:v>
      </x:c>
    </x:row>
    <x:row r="9">
      <x:c r="A9" s="47" t="str">
        <x:v>RUN-I2-047-20260828T145843071760Z</x:v>
      </x:c>
      <x:c r="B9" s="47" t="str">
        <x:v>I2-047</x:v>
      </x:c>
      <x:c r="C9" s="47" t="str">
        <x:v>hullStructure</x:v>
      </x:c>
      <x:c r="D9" s="48" t="str">
        <x:v>https://w3id.org/nltl/vocab#hullStructure</x:v>
      </x:c>
      <x:c r="E9" s="47" t="str">
        <x:v>Class</x:v>
      </x:c>
      <x:c r="F9" s="47" t="str"/>
      <x:c r="G9" s="47" t="str"/>
      <x:c r="H9" s="47" t="str"/>
      <x:c r="I9" s="48" t="str">
        <x:v>authoritative required owner class; domain dependency of iceStrengthenedStructureStatus</x:v>
      </x:c>
      <x:c r="J9" s="47" t="n">
        <x:v>0</x:v>
      </x:c>
    </x:row>
    <x:row r="10">
      <x:c r="A10" s="47" t="str">
        <x:v>RUN-I2-047-20260828T145843071760Z</x:v>
      </x:c>
      <x:c r="B10" s="47" t="str">
        <x:v>I2-047</x:v>
      </x:c>
      <x:c r="C10" s="47" t="str">
        <x:v>iceLoadRequiredNetPlateThickness</x:v>
      </x:c>
      <x:c r="D10" s="48" t="str">
        <x:v>https://w3id.org/nltl/vocab#iceLoadRequiredNetPlateThickness</x:v>
      </x:c>
      <x:c r="E10" s="47" t="str">
        <x:v>QuantityProperty</x:v>
      </x:c>
      <x:c r="F10" s="47" t="str"/>
      <x:c r="G10" s="47" t="str">
        <x:v>http://qudt.org/schema/qudt/QuantityValue</x:v>
      </x:c>
      <x:c r="H10" s="47" t="str">
        <x:v>http://qudt.org/vocab/unit/MilliM</x:v>
      </x:c>
      <x:c r="I10" s="48" t="str">
        <x:v>linked by the locked 313-requirement index</x:v>
      </x:c>
      <x:c r="J10" s="47" t="n">
        <x:v>0</x:v>
      </x:c>
    </x:row>
    <x:row r="11">
      <x:c r="A11" s="47" t="str">
        <x:v>RUN-I2-047-20260828T145843071760Z</x:v>
      </x:c>
      <x:c r="B11" s="47" t="str">
        <x:v>I2-047</x:v>
      </x:c>
      <x:c r="C11" s="47" t="str">
        <x:v>iceStrengthenedStructureStatus</x:v>
      </x:c>
      <x:c r="D11" s="48" t="str">
        <x:v>https://w3id.org/nltl/vocab#iceStrengthenedStructureStatus</x:v>
      </x:c>
      <x:c r="E11" s="47" t="str">
        <x:v>DatatypeProperty</x:v>
      </x:c>
      <x:c r="F11" s="47" t="str">
        <x:v>xsd:boolean</x:v>
      </x:c>
      <x:c r="G11" s="47" t="str">
        <x:v>http://www.w3.org/2001/XMLSchema#boolean</x:v>
      </x:c>
      <x:c r="H11" s="47" t="str"/>
      <x:c r="I11" s="48" t="str">
        <x:v>linked by the locked 313-requirement index</x:v>
      </x:c>
      <x:c r="J11" s="47" t="n">
        <x:v>0</x:v>
      </x:c>
    </x:row>
    <x:row r="12">
      <x:c r="A12" s="47" t="str">
        <x:v>RUN-I2-047-20260828T145843071760Z</x:v>
      </x:c>
      <x:c r="B12" s="47" t="str">
        <x:v>I2-047</x:v>
      </x:c>
      <x:c r="C12" s="47" t="str">
        <x:v>netThickness</x:v>
      </x:c>
      <x:c r="D12" s="48" t="str">
        <x:v>https://w3id.org/nltl/vocab#netThickness</x:v>
      </x:c>
      <x:c r="E12" s="47" t="str">
        <x:v>QuantityProperty</x:v>
      </x:c>
      <x:c r="F12" s="47" t="str"/>
      <x:c r="G12" s="47" t="str">
        <x:v>http://qudt.org/schema/qudt/QuantityValue</x:v>
      </x:c>
      <x:c r="H12" s="47" t="str">
        <x:v>http://qudt.org/vocab/unit/M</x:v>
      </x:c>
      <x:c r="I12" s="48" t="str">
        <x:v>linked by the locked 313-requirement index</x:v>
      </x:c>
      <x:c r="J12" s="47" t="n">
        <x:v>0</x:v>
      </x:c>
    </x:row>
    <x:row r="13">
      <x:c r="A13" s="47" t="str">
        <x:v>RUN-I2-047-20260828T145843071760Z</x:v>
      </x:c>
      <x:c r="B13" s="47" t="str">
        <x:v>I2-047</x:v>
      </x:c>
      <x:c r="C13" s="47" t="str">
        <x:v>plating</x:v>
      </x:c>
      <x:c r="D13" s="48" t="str">
        <x:v>https://w3id.org/nltl/vocab#plating</x:v>
      </x:c>
      <x:c r="E13" s="47" t="str">
        <x:v>Class</x:v>
      </x:c>
      <x:c r="F13" s="47" t="str"/>
      <x:c r="G13" s="47" t="str">
        <x:v>https://w3id.org/nltl/vocab#hullStructure</x:v>
      </x:c>
      <x:c r="H13" s="47" t="str"/>
      <x:c r="I13" s="48" t="str">
        <x:v>authoritative required owner class; domain dependency of iceLoadRequiredNetPlateThickness</x:v>
      </x:c>
      <x:c r="J13" s="47" t="n">
        <x:v>0</x:v>
      </x:c>
    </x:row>
    <x:row r="14">
      <x:c r="A14" s="47" t="str">
        <x:v>RUN-I2-047-20260828T145843071760Z</x:v>
      </x:c>
      <x:c r="B14" s="47" t="str">
        <x:v>I2-047</x:v>
      </x:c>
      <x:c r="C14" s="47" t="str">
        <x:v>ship</x:v>
      </x:c>
      <x:c r="D14" s="48" t="str">
        <x:v>https://w3id.org/nltl/vocab#ship</x:v>
      </x:c>
      <x:c r="E14" s="47" t="str">
        <x:v>Class</x:v>
      </x:c>
      <x:c r="F14" s="47" t="str"/>
      <x:c r="G14" s="47" t="str"/>
      <x:c r="H14" s="47" t="str"/>
      <x:c r="I14" s="48" t="str">
        <x:v>authoritative required owner class; authoritative requirement target owner; baseline target infrastructure</x:v>
      </x:c>
      <x:c r="J14" s="47" t="n">
        <x:v>0</x:v>
      </x:c>
    </x:row>
    <x:row r="15">
      <x:c r="A15" s="47" t="str">
        <x:v>RUN-I2-047-20260828T145843071760Z</x:v>
      </x:c>
      <x:c r="B15" s="47" t="str">
        <x:v>I2-047</x:v>
      </x:c>
      <x:c r="C15" s="47" t="str">
        <x:v>shipComponent</x:v>
      </x:c>
      <x:c r="D15" s="48" t="str">
        <x:v>https://w3id.org/nltl/vocab#shipComponent</x:v>
      </x:c>
      <x:c r="E15" s="47" t="str">
        <x:v>Class</x:v>
      </x:c>
      <x:c r="F15" s="47" t="str"/>
      <x:c r="G15" s="47" t="str"/>
      <x:c r="H15" s="47" t="str"/>
      <x:c r="I15" s="48" t="str">
        <x:v>component-path dependency inferred from the linked term module</x:v>
      </x:c>
      <x:c r="J15" s="47" t="n">
        <x:v>0</x:v>
      </x:c>
    </x:row>
    <x:row r="16">
      <x:c r="A16" s="47" t="str">
        <x:v>RUN-I2-047-20260828T145843071760Z</x:v>
      </x:c>
      <x:c r="B16" s="47" t="str">
        <x:v>I2-047</x:v>
      </x:c>
      <x:c r="C16" s="47" t="str">
        <x:v>steelRenewalRequired</x:v>
      </x:c>
      <x:c r="D16" s="48" t="str">
        <x:v>https://w3id.org/nltl/vocab#steelRenewalRequired</x:v>
      </x:c>
      <x:c r="E16" s="47" t="str">
        <x:v>DatatypeProperty</x:v>
      </x:c>
      <x:c r="F16" s="47" t="str">
        <x:v>xsd:boolean</x:v>
      </x:c>
      <x:c r="G16" s="47" t="str">
        <x:v>http://www.w3.org/2001/XMLSchema#boolean</x:v>
      </x:c>
      <x:c r="H16" s="47" t="str"/>
      <x:c r="I16" s="48" t="str">
        <x:v>linked by the locked 313-requirement index</x:v>
      </x:c>
      <x:c r="J16" s="47" t="n">
        <x:v>0</x:v>
      </x:c>
    </x:row>
    <x:row r="17">
      <x:c r="A17" s="47" t="str">
        <x:v>RUN-I2-047-20260828T145843071760Z</x:v>
      </x:c>
      <x:c r="B17" s="47" t="str">
        <x:v>I2-047</x:v>
      </x:c>
      <x:c r="C17" s="47" t="str">
        <x:v>benchmarkEntity</x:v>
      </x:c>
      <x:c r="D17" s="48" t="str">
        <x:v>https://w3id.org/nltl/vocab#benchmarkEntity</x:v>
      </x:c>
      <x:c r="E17" s="47" t="str">
        <x:v>Class</x:v>
      </x:c>
      <x:c r="F17" s="47" t="str"/>
      <x:c r="G17" s="47" t="str"/>
      <x:c r="H17" s="47" t="str"/>
      <x:c r="I17" s="48" t="str">
        <x:v>baseline target infrastructure; domain dependency of gaugedThickness; domain dependency of netThickness; domain dependency of steelRenewalRequired</x:v>
      </x:c>
      <x:c r="J17" s="47" t="n">
        <x:v>4</x:v>
      </x:c>
    </x:row>
    <x:row r="18">
      <x:c r="A18" s="47" t="str">
        <x:v>RUN-I2-047-20260828T145843071760Z</x:v>
      </x:c>
      <x:c r="B18" s="47" t="str">
        <x:v>I2-047</x:v>
      </x:c>
      <x:c r="C18" s="47" t="str">
        <x:v>gaugedThickness</x:v>
      </x:c>
      <x:c r="D18" s="48" t="str">
        <x:v>https://w3id.org/nltl/vocab#gaugedThickness</x:v>
      </x:c>
      <x:c r="E18" s="47" t="str">
        <x:v>QuantityProperty</x:v>
      </x:c>
      <x:c r="F18" s="47" t="str"/>
      <x:c r="G18" s="47" t="str">
        <x:v>http://qudt.org/schema/qudt/QuantityValue</x:v>
      </x:c>
      <x:c r="H18" s="47" t="str">
        <x:v>http://qudt.org/vocab/unit/M</x:v>
      </x:c>
      <x:c r="I18" s="48" t="str">
        <x:v>linked by the locked 313-requirement index</x:v>
      </x:c>
      <x:c r="J18" s="47" t="n">
        <x:v>4</x:v>
      </x:c>
    </x:row>
    <x:row r="19">
      <x:c r="A19" s="47" t="str">
        <x:v>RUN-I2-047-20260828T145843071760Z</x:v>
      </x:c>
      <x:c r="B19" s="47" t="str">
        <x:v>I2-047</x:v>
      </x:c>
      <x:c r="C19" s="47" t="str">
        <x:v>hasComponent</x:v>
      </x:c>
      <x:c r="D19" s="48" t="str">
        <x:v>https://w3id.org/nltl/vocab#hasComponent</x:v>
      </x:c>
      <x:c r="E19" s="47" t="str">
        <x:v>ObjectProperty</x:v>
      </x:c>
      <x:c r="F19" s="47" t="str"/>
      <x:c r="G19" s="47" t="str">
        <x:v>https://w3id.org/nltl/vocab#shipComponent</x:v>
      </x:c>
      <x:c r="H19" s="47" t="str"/>
      <x:c r="I19" s="48" t="str">
        <x:v>component-path dependency inferred from the linked term module</x:v>
      </x:c>
      <x:c r="J19" s="47" t="n">
        <x:v>4</x:v>
      </x:c>
    </x:row>
    <x:row r="20">
      <x:c r="A20" s="47" t="str">
        <x:v>RUN-I2-047-20260828T145843071760Z</x:v>
      </x:c>
      <x:c r="B20" s="47" t="str">
        <x:v>I2-047</x:v>
      </x:c>
      <x:c r="C20" s="47" t="str">
        <x:v>hasPlating</x:v>
      </x:c>
      <x:c r="D20" s="48" t="str">
        <x:v>https://w3id.org/nltl/vocab#hasPlating</x:v>
      </x:c>
      <x:c r="E20" s="47" t="str">
        <x:v>ObjectProperty</x:v>
      </x:c>
      <x:c r="F20" s="47" t="str"/>
      <x:c r="G20" s="47" t="str">
        <x:v>https://w3id.org/nltl/vocab#plating</x:v>
      </x:c>
      <x:c r="H20" s="47" t="str"/>
      <x:c r="I20" s="48" t="str">
        <x:v>canonical path from target owner ship to required owner plating</x:v>
      </x:c>
      <x:c r="J20" s="47" t="n">
        <x:v>4</x:v>
      </x:c>
    </x:row>
    <x:row r="21">
      <x:c r="A21" s="47" t="str">
        <x:v>RUN-I2-047-20260828T145843071760Z</x:v>
      </x:c>
      <x:c r="B21" s="47" t="str">
        <x:v>I2-047</x:v>
      </x:c>
      <x:c r="C21" s="47" t="str">
        <x:v>hullStructure</x:v>
      </x:c>
      <x:c r="D21" s="48" t="str">
        <x:v>https://w3id.org/nltl/vocab#hullStructure</x:v>
      </x:c>
      <x:c r="E21" s="47" t="str">
        <x:v>Class</x:v>
      </x:c>
      <x:c r="F21" s="47" t="str"/>
      <x:c r="G21" s="47" t="str"/>
      <x:c r="H21" s="47" t="str"/>
      <x:c r="I21" s="48" t="str">
        <x:v>authoritative required owner class; domain dependency of iceStrengthenedStructureStatus</x:v>
      </x:c>
      <x:c r="J21" s="47" t="n">
        <x:v>4</x:v>
      </x:c>
    </x:row>
    <x:row r="22">
      <x:c r="A22" s="47" t="str">
        <x:v>RUN-I2-047-20260828T145843071760Z</x:v>
      </x:c>
      <x:c r="B22" s="47" t="str">
        <x:v>I2-047</x:v>
      </x:c>
      <x:c r="C22" s="47" t="str">
        <x:v>iceLoadRequiredNetPlateThickness</x:v>
      </x:c>
      <x:c r="D22" s="48" t="str">
        <x:v>https://w3id.org/nltl/vocab#iceLoadRequiredNetPlateThickness</x:v>
      </x:c>
      <x:c r="E22" s="47" t="str">
        <x:v>QuantityProperty</x:v>
      </x:c>
      <x:c r="F22" s="47" t="str"/>
      <x:c r="G22" s="47" t="str">
        <x:v>http://qudt.org/schema/qudt/QuantityValue</x:v>
      </x:c>
      <x:c r="H22" s="47" t="str">
        <x:v>http://qudt.org/vocab/unit/MilliM</x:v>
      </x:c>
      <x:c r="I22" s="48" t="str">
        <x:v>linked by the locked 313-requirement index</x:v>
      </x:c>
      <x:c r="J22" s="47" t="n">
        <x:v>4</x:v>
      </x:c>
    </x:row>
    <x:row r="23">
      <x:c r="A23" s="47" t="str">
        <x:v>RUN-I2-047-20260828T145843071760Z</x:v>
      </x:c>
      <x:c r="B23" s="47" t="str">
        <x:v>I2-047</x:v>
      </x:c>
      <x:c r="C23" s="47" t="str">
        <x:v>iceStrengthenedStructureStatus</x:v>
      </x:c>
      <x:c r="D23" s="48" t="str">
        <x:v>https://w3id.org/nltl/vocab#iceStrengthenedStructureStatus</x:v>
      </x:c>
      <x:c r="E23" s="47" t="str">
        <x:v>DatatypeProperty</x:v>
      </x:c>
      <x:c r="F23" s="47" t="str">
        <x:v>xsd:boolean</x:v>
      </x:c>
      <x:c r="G23" s="47" t="str">
        <x:v>http://www.w3.org/2001/XMLSchema#boolean</x:v>
      </x:c>
      <x:c r="H23" s="47" t="str"/>
      <x:c r="I23" s="48" t="str">
        <x:v>linked by the locked 313-requirement index; verified vocabulary-matcher addition</x:v>
      </x:c>
      <x:c r="J23" s="47" t="n">
        <x:v>4</x:v>
      </x:c>
    </x:row>
    <x:row r="24">
      <x:c r="A24" s="47" t="str">
        <x:v>RUN-I2-047-20260828T145843071760Z</x:v>
      </x:c>
      <x:c r="B24" s="47" t="str">
        <x:v>I2-047</x:v>
      </x:c>
      <x:c r="C24" s="47" t="str">
        <x:v>netThickness</x:v>
      </x:c>
      <x:c r="D24" s="48" t="str">
        <x:v>https://w3id.org/nltl/vocab#netThickness</x:v>
      </x:c>
      <x:c r="E24" s="47" t="str">
        <x:v>QuantityProperty</x:v>
      </x:c>
      <x:c r="F24" s="47" t="str"/>
      <x:c r="G24" s="47" t="str">
        <x:v>http://qudt.org/schema/qudt/QuantityValue</x:v>
      </x:c>
      <x:c r="H24" s="47" t="str">
        <x:v>http://qudt.org/vocab/unit/M</x:v>
      </x:c>
      <x:c r="I24" s="48" t="str">
        <x:v>linked by the locked 313-requirement index</x:v>
      </x:c>
      <x:c r="J24" s="47" t="n">
        <x:v>4</x:v>
      </x:c>
    </x:row>
    <x:row r="25">
      <x:c r="A25" s="47" t="str">
        <x:v>RUN-I2-047-20260828T145843071760Z</x:v>
      </x:c>
      <x:c r="B25" s="47" t="str">
        <x:v>I2-047</x:v>
      </x:c>
      <x:c r="C25" s="47" t="str">
        <x:v>plating</x:v>
      </x:c>
      <x:c r="D25" s="48" t="str">
        <x:v>https://w3id.org/nltl/vocab#plating</x:v>
      </x:c>
      <x:c r="E25" s="47" t="str">
        <x:v>Class</x:v>
      </x:c>
      <x:c r="F25" s="47" t="str"/>
      <x:c r="G25" s="47" t="str">
        <x:v>https://w3id.org/nltl/vocab#hullStructure</x:v>
      </x:c>
      <x:c r="H25" s="47" t="str"/>
      <x:c r="I25" s="48" t="str">
        <x:v>authoritative required owner class; domain dependency of iceLoadRequiredNetPlateThickness</x:v>
      </x:c>
      <x:c r="J25" s="47" t="n">
        <x:v>4</x:v>
      </x:c>
    </x:row>
    <x:row r="26">
      <x:c r="A26" s="47" t="str">
        <x:v>RUN-I2-047-20260828T145843071760Z</x:v>
      </x:c>
      <x:c r="B26" s="47" t="str">
        <x:v>I2-047</x:v>
      </x:c>
      <x:c r="C26" s="47" t="str">
        <x:v>ship</x:v>
      </x:c>
      <x:c r="D26" s="48" t="str">
        <x:v>https://w3id.org/nltl/vocab#ship</x:v>
      </x:c>
      <x:c r="E26" s="47" t="str">
        <x:v>Class</x:v>
      </x:c>
      <x:c r="F26" s="47" t="str"/>
      <x:c r="G26" s="47" t="str"/>
      <x:c r="H26" s="47" t="str"/>
      <x:c r="I26" s="48" t="str">
        <x:v>authoritative required owner class; authoritative requirement target owner; baseline target infrastructure</x:v>
      </x:c>
      <x:c r="J26" s="47" t="n">
        <x:v>4</x:v>
      </x:c>
    </x:row>
    <x:row r="27">
      <x:c r="A27" s="47" t="str">
        <x:v>RUN-I2-047-20260828T145843071760Z</x:v>
      </x:c>
      <x:c r="B27" s="47" t="str">
        <x:v>I2-047</x:v>
      </x:c>
      <x:c r="C27" s="47" t="str">
        <x:v>shipComponent</x:v>
      </x:c>
      <x:c r="D27" s="48" t="str">
        <x:v>https://w3id.org/nltl/vocab#shipComponent</x:v>
      </x:c>
      <x:c r="E27" s="47" t="str">
        <x:v>Class</x:v>
      </x:c>
      <x:c r="F27" s="47" t="str"/>
      <x:c r="G27" s="47" t="str"/>
      <x:c r="H27" s="47" t="str"/>
      <x:c r="I27" s="48" t="str">
        <x:v>component-path dependency inferred from the linked term module</x:v>
      </x:c>
      <x:c r="J27" s="47" t="n">
        <x:v>4</x:v>
      </x:c>
    </x:row>
    <x:row r="28">
      <x:c r="A28" s="49" t="str">
        <x:v>RUN-I2-047-20260828T145843071760Z</x:v>
      </x:c>
      <x:c r="B28" s="49" t="str">
        <x:v>I2-047</x:v>
      </x:c>
      <x:c r="C28" s="49" t="str">
        <x:v>steelRenewalRequired</x:v>
      </x:c>
      <x:c r="D28" s="50" t="str">
        <x:v>https://w3id.org/nltl/vocab#steelRenewalRequired</x:v>
      </x:c>
      <x:c r="E28" s="49" t="str">
        <x:v>DatatypeProperty</x:v>
      </x:c>
      <x:c r="F28" s="49" t="str">
        <x:v>xsd:boolean</x:v>
      </x:c>
      <x:c r="G28" s="49" t="str">
        <x:v>http://www.w3.org/2001/XMLSchema#boolean</x:v>
      </x:c>
      <x:c r="H28" s="49" t="str"/>
      <x:c r="I28" s="50" t="str">
        <x:v>linked by the locked 313-requirement index</x:v>
      </x:c>
      <x:c r="J28" s="49" t="n">
        <x:v>4</x:v>
      </x:c>
    </x:row>
  </x:sheetData>
  <x:pageMargins left="0.7" right="0.7" top="0.75" bottom="0.75" header="0.3" footer="0.3"/>
  <x:tableParts count="1">
    <x:tablePart xmlns:r="http://schemas.openxmlformats.org/officeDocument/2006/relationships" r:id="Re0868033fbcb4abe"/>
  </x:tableParts>
</x:worksheet>
</file>

<file path=xl/worksheets/sheet8.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2" hidden="0" customWidth="1"/>
    <x:col min="4" max="4" width="24" hidden="0" customWidth="1"/>
    <x:col min="5" max="5" width="11" hidden="0" customWidth="1"/>
    <x:col min="6" max="6" width="24" hidden="0" customWidth="1"/>
    <x:col min="7" max="7" width="24" hidden="0" customWidth="1"/>
  </x:cols>
  <x:sheetData>
    <x:row r="1">
      <x:c r="A1" s="18" t="str">
        <x:v>NLTL SHACL Pipeline Run Tracker</x:v>
      </x:c>
      <x:c r="B1" s="19"/>
      <x:c r="C1" s="19"/>
      <x:c r="D1" s="19"/>
      <x:c r="E1" s="19"/>
      <x:c r="F1" s="19"/>
      <x:c r="G1" s="19"/>
    </x:row>
    <x:row r="2">
      <x:c r="A2" s="20" t="str">
        <x:v>FEW_SHOT_SELECTION | Run folder: RUN-I2-047-20260828T145843071760Z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EXAMPLE_ID</x:v>
      </x:c>
      <x:c r="D4" s="57" t="str">
        <x:v>CASE_ID</x:v>
      </x:c>
      <x:c r="E4" s="57" t="str">
        <x:v>SCORE</x:v>
      </x:c>
      <x:c r="F4" s="57" t="str">
        <x:v>MATCHED_TAGS</x:v>
      </x:c>
      <x:c r="G4" s="44" t="str">
        <x:v>STATUS</x:v>
      </x:c>
    </x:row>
    <x:row r="5">
      <x:c r="A5" s="45" t="str">
        <x:v>RUN-I2-047-20260828T145843071760Z</x:v>
      </x:c>
      <x:c r="B5" s="45" t="str">
        <x:v>I2-047</x:v>
      </x:c>
      <x:c r="C5" s="45" t="str">
        <x:v>FS-CALC-02</x:v>
      </x:c>
      <x:c r="D5" s="45" t="str">
        <x:v>comparison_calculation</x:v>
      </x:c>
      <x:c r="E5" s="97" t="n">
        <x:v>0.111111</x:v>
      </x:c>
      <x:c r="F5" s="45" t="str">
        <x:v>calculation | comparison | formula | sparql</x:v>
      </x:c>
      <x:c r="G5" s="45" t="str">
        <x:v>synthetic-few-shot-not-benchmark-ground-truth</x:v>
      </x:c>
    </x:row>
    <x:row r="6">
      <x:c r="A6" s="49" t="str">
        <x:v>RUN-I2-047-20260828T145843071760Z</x:v>
      </x:c>
      <x:c r="B6" s="49" t="str">
        <x:v>I2-047</x:v>
      </x:c>
      <x:c r="C6" s="49" t="str">
        <x:v>FS-BOOL-01</x:v>
      </x:c>
      <x:c r="D6" s="49" t="str">
        <x:v>boolean_state</x:v>
      </x:c>
      <x:c r="E6" s="98" t="n">
        <x:v>0.081081</x:v>
      </x:c>
      <x:c r="F6" s="49" t="str">
        <x:v>boolean | required | value</x:v>
      </x:c>
      <x:c r="G6" s="49" t="str">
        <x:v>synthetic-few-shot-not-benchmark-ground-truth</x:v>
      </x:c>
    </x:row>
  </x:sheetData>
  <x:conditionalFormatting sqref="G5:G6">
    <x:cfRule type="containsText" dxfId="36" priority="1" operator="containsText" text="ACCEPT"/>
    <x:cfRule type="containsText" dxfId="37" priority="2" operator="containsText" text="ELIGIBLE"/>
    <x:cfRule type="containsText" dxfId="38" priority="3" operator="containsText" text="PASS"/>
    <x:cfRule type="containsText" dxfId="39" priority="4" operator="containsText" text="GAP"/>
    <x:cfRule type="containsText" dxfId="40" priority="5" operator="containsText" text="FAIL"/>
    <x:cfRule type="containsText" dxfId="41" priority="6" operator="containsText" text="DEFERRED"/>
  </x:conditionalFormatting>
  <x:pageMargins left="0.7" right="0.7" top="0.75" bottom="0.75" header="0.3" footer="0.3"/>
  <x:tableParts count="1">
    <x:tablePart xmlns:r="http://schemas.openxmlformats.org/officeDocument/2006/relationships" r:id="R0ecf62b0848745ba"/>
  </x:tableParts>
</x:worksheet>
</file>

<file path=xl/worksheets/sheet9.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1" hidden="0" customWidth="1"/>
    <x:col min="5" max="5" width="18" hidden="0" customWidth="1"/>
    <x:col min="6" max="6" width="14" hidden="0" customWidth="1"/>
    <x:col min="7" max="7" width="23" hidden="0" customWidth="1"/>
    <x:col min="8" max="8" width="18" hidden="0" customWidth="1"/>
    <x:col min="9" max="9" width="18" hidden="0" customWidth="1"/>
    <x:col min="10" max="10" width="21" hidden="0" customWidth="1"/>
    <x:col min="11" max="11" width="20" hidden="0" customWidth="1"/>
    <x:col min="12" max="12" width="52" hidden="0" customWidth="1"/>
    <x:col min="13" max="13" width="20" hidden="0" customWidth="1"/>
    <x:col min="14" max="14" width="52" hidden="0" customWidth="1"/>
    <x:col min="15" max="15" width="20" hidden="0" customWidth="1"/>
    <x:col min="16" max="16" width="20" hidden="0" customWidth="1"/>
    <x:col min="17" max="17" width="29" hidden="0" customWidth="1"/>
  </x:cols>
  <x:sheetData>
    <x:row r="1">
      <x:c r="A1" s="18" t="str">
        <x:v>NLTL SHACL Pipeline Run Tracker</x:v>
      </x:c>
      <x:c r="B1" s="19"/>
      <x:c r="C1" s="19"/>
      <x:c r="D1" s="19"/>
      <x:c r="E1" s="19"/>
      <x:c r="F1" s="19"/>
      <x:c r="G1" s="19"/>
      <x:c r="H1" s="19"/>
      <x:c r="I1" s="19"/>
      <x:c r="J1" s="19"/>
      <x:c r="K1" s="19"/>
      <x:c r="L1" s="19"/>
      <x:c r="M1" s="19"/>
      <x:c r="N1" s="19"/>
      <x:c r="O1" s="19"/>
      <x:c r="P1" s="19"/>
      <x:c r="Q1" s="19"/>
    </x:row>
    <x:row r="2">
      <x:c r="A2" s="20" t="str">
        <x:v>VALIDATION | Run folder: RUN-I2-047-20260828T145843071760Z</x:v>
      </x:c>
      <x:c r="B2" s="20"/>
      <x:c r="C2" s="20"/>
      <x:c r="D2" s="20"/>
      <x:c r="E2" s="20"/>
      <x:c r="F2" s="20"/>
      <x:c r="G2" s="20"/>
      <x:c r="H2" s="20"/>
      <x:c r="I2" s="20"/>
      <x:c r="J2" s="20"/>
      <x:c r="K2" s="20"/>
      <x:c r="L2" s="20"/>
      <x:c r="M2" s="20"/>
      <x:c r="N2" s="20"/>
      <x:c r="O2" s="20"/>
      <x:c r="P2" s="20"/>
      <x:c r="Q2" s="20"/>
    </x:row>
    <x:row r="3">
      <x:c r="A3" s="21"/>
      <x:c r="B3" s="21"/>
      <x:c r="C3" s="21"/>
      <x:c r="D3" s="21"/>
      <x:c r="E3" s="21"/>
      <x:c r="F3" s="21"/>
      <x:c r="G3" s="21"/>
      <x:c r="H3" s="21"/>
      <x:c r="I3" s="21"/>
      <x:c r="J3" s="21"/>
      <x:c r="K3" s="21"/>
      <x:c r="L3" s="21"/>
      <x:c r="M3" s="21"/>
      <x:c r="N3" s="21"/>
      <x:c r="O3" s="21"/>
      <x:c r="P3" s="21"/>
      <x:c r="Q3" s="21"/>
    </x:row>
    <x:row r="4" ht="30" customHeight="1">
      <x:c r="A4" s="43" t="str">
        <x:v>RUN_ID</x:v>
      </x:c>
      <x:c r="B4" s="57" t="str">
        <x:v>REQUIREMENT_ID</x:v>
      </x:c>
      <x:c r="C4" s="57" t="str">
        <x:v>ITERATION</x:v>
      </x:c>
      <x:c r="D4" s="57" t="str">
        <x:v>VALID</x:v>
      </x:c>
      <x:c r="E4" s="57" t="str">
        <x:v>EXTRACTION_VALID</x:v>
      </x:c>
      <x:c r="F4" s="57" t="str">
        <x:v>TURTLE_VALID</x:v>
      </x:c>
      <x:c r="G4" s="57" t="str">
        <x:v>SHACL_STRUCTURE_VALID</x:v>
      </x:c>
      <x:c r="H4" s="57" t="str">
        <x:v>META_SHACL_VALID</x:v>
      </x:c>
      <x:c r="I4" s="57" t="str">
        <x:v>VOCABULARY_VALID</x:v>
      </x:c>
      <x:c r="J4" s="57" t="str">
        <x:v>DATATYPE_UNIT_VALID</x:v>
      </x:c>
      <x:c r="K4" s="57" t="str">
        <x:v>TARGET_PATH_VALID</x:v>
      </x:c>
      <x:c r="L4" s="57" t="str">
        <x:v>ERRORS</x:v>
      </x:c>
      <x:c r="M4" s="57" t="str">
        <x:v>WARNINGS</x:v>
      </x:c>
      <x:c r="N4" s="57" t="str">
        <x:v>USED_CANONICAL_IRIS</x:v>
      </x:c>
      <x:c r="O4" s="57" t="str">
        <x:v>UNKNOWN_IRIS</x:v>
      </x:c>
      <x:c r="P4" s="57" t="str">
        <x:v>OUT_OF_SCOPE_IRIS</x:v>
      </x:c>
      <x:c r="Q4" s="44" t="str">
        <x:v>SUSPICIOUS_EXTERNAL_IRIS</x:v>
      </x:c>
    </x:row>
    <x:row r="5">
      <x:c r="A5" s="45" t="str">
        <x:v>RUN-I2-047-20260828T145843071760Z</x:v>
      </x:c>
      <x:c r="B5" s="45" t="str">
        <x:v>I2-047</x:v>
      </x:c>
      <x:c r="C5" s="58" t="n">
        <x:v>1</x:v>
      </x:c>
      <x:c r="D5" s="83" t="b">
        <x:v>0</x:v>
      </x:c>
      <x:c r="E5" s="83" t="b">
        <x:v>1</x:v>
      </x:c>
      <x:c r="F5" s="83" t="b">
        <x:v>1</x:v>
      </x:c>
      <x:c r="G5" s="83" t="b">
        <x:v>1</x:v>
      </x:c>
      <x:c r="H5" s="83" t="b">
        <x:v>1</x:v>
      </x:c>
      <x:c r="I5" s="83" t="b">
        <x:v>0</x:v>
      </x:c>
      <x:c r="J5" s="83" t="b">
        <x:v>1</x:v>
      </x:c>
      <x:c r="K5" s="102" t="b">
        <x:v>1</x:v>
      </x:c>
      <x:c r="L5" s="46" t="str">
        <x:v>Unapproved external/generated IRI(s): nltl:generated-shape:I2-047</x:v>
      </x:c>
      <x:c r="M5" s="46" t="str"/>
      <x:c r="N5" s="46" t="str">
        <x:v>https://w3id.org/nltl/vocab#gaugedThickness | https://w3id.org/nltl/vocab#netThickness | https://w3id.org/nltl/vocab#ship | https://w3id.org/nltl/vocab#steelRenewalRequired</x:v>
      </x:c>
      <x:c r="O5" s="46" t="str"/>
      <x:c r="P5" s="46" t="str"/>
      <x:c r="Q5" s="46" t="str">
        <x:v>nltl:generated-shape:I2-047</x:v>
      </x:c>
    </x:row>
    <x:row r="6">
      <x:c r="A6" s="47" t="str">
        <x:v>RUN-I2-047-20260828T145843071760Z</x:v>
      </x:c>
      <x:c r="B6" s="47" t="str">
        <x:v>I2-047</x:v>
      </x:c>
      <x:c r="C6" s="59" t="n">
        <x:v>2</x:v>
      </x:c>
      <x:c r="D6" s="85" t="b">
        <x:v>1</x:v>
      </x:c>
      <x:c r="E6" s="85" t="b">
        <x:v>1</x:v>
      </x:c>
      <x:c r="F6" s="85" t="b">
        <x:v>1</x:v>
      </x:c>
      <x:c r="G6" s="85" t="b">
        <x:v>1</x:v>
      </x:c>
      <x:c r="H6" s="85" t="b">
        <x:v>1</x:v>
      </x:c>
      <x:c r="I6" s="85" t="b">
        <x:v>1</x:v>
      </x:c>
      <x:c r="J6" s="85" t="b">
        <x:v>1</x:v>
      </x:c>
      <x:c r="K6" s="103" t="b">
        <x:v>1</x:v>
      </x:c>
      <x:c r="L6" s="48" t="str"/>
      <x:c r="M6" s="48" t="str"/>
      <x:c r="N6" s="48" t="str">
        <x:v>https://w3id.org/nltl/vocab#gaugedThickness | https://w3id.org/nltl/vocab#hasPlating | https://w3id.org/nltl/vocab#iceStrengthenedStructureStatus | https://w3id.org/nltl/vocab#netThickness | https://w3id.org/nltl/vocab#ship | https://w3id.org/nltl/vocab#steelRenewalRequired</x:v>
      </x:c>
      <x:c r="O6" s="48" t="str"/>
      <x:c r="P6" s="48" t="str"/>
      <x:c r="Q6" s="48" t="str"/>
    </x:row>
    <x:row r="7">
      <x:c r="A7" s="47" t="str">
        <x:v>RUN-I2-047-20260828T145843071760Z</x:v>
      </x:c>
      <x:c r="B7" s="47" t="str">
        <x:v>I2-047</x:v>
      </x:c>
      <x:c r="C7" s="59" t="n">
        <x:v>3</x:v>
      </x:c>
      <x:c r="D7" s="85" t="b">
        <x:v>1</x:v>
      </x:c>
      <x:c r="E7" s="85" t="b">
        <x:v>1</x:v>
      </x:c>
      <x:c r="F7" s="85" t="b">
        <x:v>1</x:v>
      </x:c>
      <x:c r="G7" s="85" t="b">
        <x:v>1</x:v>
      </x:c>
      <x:c r="H7" s="85" t="b">
        <x:v>1</x:v>
      </x:c>
      <x:c r="I7" s="85" t="b">
        <x:v>1</x:v>
      </x:c>
      <x:c r="J7" s="85" t="b">
        <x:v>1</x:v>
      </x:c>
      <x:c r="K7" s="103" t="b">
        <x:v>1</x:v>
      </x:c>
      <x:c r="L7" s="48" t="str"/>
      <x:c r="M7" s="48" t="str"/>
      <x:c r="N7" s="48" t="str">
        <x:v>https://w3id.org/nltl/vocab#gaugedThickness | https://w3id.org/nltl/vocab#hasPlating | https://w3id.org/nltl/vocab#iceStrengthenedStructureStatus | https://w3id.org/nltl/vocab#netThickness | https://w3id.org/nltl/vocab#ship | https://w3id.org/nltl/vocab#steelRenewalRequired</x:v>
      </x:c>
      <x:c r="O7" s="48" t="str"/>
      <x:c r="P7" s="48" t="str"/>
      <x:c r="Q7" s="48" t="str"/>
    </x:row>
    <x:row r="8">
      <x:c r="A8" s="49" t="str">
        <x:v>RUN-I2-047-20260828T145843071760Z</x:v>
      </x:c>
      <x:c r="B8" s="49" t="str">
        <x:v>I2-047</x:v>
      </x:c>
      <x:c r="C8" s="60" t="n">
        <x:v>4</x:v>
      </x:c>
      <x:c r="D8" s="87" t="b">
        <x:v>1</x:v>
      </x:c>
      <x:c r="E8" s="87" t="b">
        <x:v>1</x:v>
      </x:c>
      <x:c r="F8" s="87" t="b">
        <x:v>1</x:v>
      </x:c>
      <x:c r="G8" s="87" t="b">
        <x:v>1</x:v>
      </x:c>
      <x:c r="H8" s="87" t="b">
        <x:v>1</x:v>
      </x:c>
      <x:c r="I8" s="87" t="b">
        <x:v>1</x:v>
      </x:c>
      <x:c r="J8" s="87" t="b">
        <x:v>1</x:v>
      </x:c>
      <x:c r="K8" s="104" t="b">
        <x:v>1</x:v>
      </x:c>
      <x:c r="L8" s="50" t="str"/>
      <x:c r="M8" s="50" t="str"/>
      <x:c r="N8" s="50" t="str">
        <x:v>https://w3id.org/nltl/vocab#gaugedThickness | https://w3id.org/nltl/vocab#hasPlating | https://w3id.org/nltl/vocab#iceStrengthenedStructureStatus | https://w3id.org/nltl/vocab#netThickness | https://w3id.org/nltl/vocab#ship | https://w3id.org/nltl/vocab#steelRenewalRequired</x:v>
      </x:c>
      <x:c r="O8" s="50" t="str"/>
      <x:c r="P8" s="50" t="str"/>
      <x:c r="Q8" s="50" t="str"/>
    </x:row>
  </x:sheetData>
  <x:pageMargins left="0.7" right="0.7" top="0.75" bottom="0.75" header="0.3" footer="0.3"/>
  <x:tableParts count="1">
    <x:tablePart xmlns:r="http://schemas.openxmlformats.org/officeDocument/2006/relationships" r:id="Rb0c761196d7d44d7"/>
  </x:tableParts>
</x:worksheet>
</file>

<file path=xl/worksheets/sheet10.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8" hidden="0" customWidth="1"/>
    <x:col min="5" max="5" width="52" hidden="0" customWidth="1"/>
    <x:col min="6" max="6" width="17" hidden="0" customWidth="1"/>
    <x:col min="7" max="7" width="13" hidden="0" customWidth="1"/>
    <x:col min="8" max="8" width="40" hidden="0" customWidth="1"/>
    <x:col min="9" max="9" width="52" hidden="0" customWidth="1"/>
    <x:col min="10" max="10" width="52" hidden="0" customWidth="1"/>
  </x:cols>
  <x:sheetData>
    <x:row r="1">
      <x:c r="A1" s="18" t="str">
        <x:v>NLTL SHACL Pipeline Run Tracker</x:v>
      </x:c>
      <x:c r="B1" s="19"/>
      <x:c r="C1" s="19"/>
      <x:c r="D1" s="19"/>
      <x:c r="E1" s="19"/>
      <x:c r="F1" s="19"/>
      <x:c r="G1" s="19"/>
      <x:c r="H1" s="19"/>
      <x:c r="I1" s="19"/>
      <x:c r="J1" s="19"/>
    </x:row>
    <x:row r="2">
      <x:c r="A2" s="20" t="str">
        <x:v>VOCAB_MATCHES | Run folder: RUN-I2-047-20260828T145843071760Z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EVENT</x:v>
      </x:c>
      <x:c r="E4" s="57" t="str">
        <x:v>QUERY_FEEDBACK</x:v>
      </x:c>
      <x:c r="F4" s="57" t="str">
        <x:v>CANDIDATE_COUNT</x:v>
      </x:c>
      <x:c r="G4" s="57" t="str">
        <x:v>MATCH_FOUND</x:v>
      </x:c>
      <x:c r="H4" s="57" t="str">
        <x:v>CANONICAL_LOCAL_NAME</x:v>
      </x:c>
      <x:c r="I4" s="57" t="str">
        <x:v>CANONICAL_IRI</x:v>
      </x:c>
      <x:c r="J4" s="44" t="str">
        <x:v>FEEDBACK_APPENDIX</x:v>
      </x:c>
    </x:row>
    <x:row r="5">
      <x:c r="A5" s="45" t="str">
        <x:v>RUN-I2-047-20260828T145843071760Z</x:v>
      </x:c>
      <x:c r="B5" s="45" t="str">
        <x:v>I2-047</x:v>
      </x:c>
      <x:c r="C5" s="58" t="n">
        <x:v>3</x:v>
      </x:c>
      <x:c r="D5" s="45" t="str">
        <x:v>matcher_search</x:v>
      </x:c>
      <x:c r="E5" s="46" t="str">
        <x:v>The prior shape-identifier repair remains unresolved: replace urn:nltl:generated-shape:I2_047 with an approved shape IRI. Do not impose gaugedThickness and netThickness minCount/unit constraints unconditionally on every ship; make their presence and the steelRenewalRequired=true consequence conditional on the ice-strengthened applicability case. The candidate places iceStrengthenedStructureStatus on the hasPlating result, but its authoritative owner is hullStructure, not plating; use the canonical ship/hasPlating/... path to the supplied hullStructure node and keep the status there. The scoped terms do not supply the required cross-owner path, so locate that canonical path rather than relocating the status property. Preserve the ship-owned gaugedThickness and netThickness operands and the direct comparison gaugedThickness &lt; netThickness + 0.0005 m.</x:v>
      </x:c>
      <x:c r="F5" s="58" t="n">
        <x:v>10</x:v>
      </x:c>
      <x:c r="G5" s="45" t="str"/>
      <x:c r="H5" s="45" t="str"/>
      <x:c r="I5" s="46" t="str"/>
      <x:c r="J5" s="46" t="str"/>
    </x:row>
    <x:row r="6">
      <x:c r="A6" s="47" t="str">
        <x:v>RUN-I2-047-20260828T145843071760Z</x:v>
      </x:c>
      <x:c r="B6" s="47" t="str">
        <x:v>I2-047</x:v>
      </x:c>
      <x:c r="C6" s="59" t="n">
        <x:v>3</x:v>
      </x:c>
      <x:c r="D6" s="47" t="str">
        <x:v>matcher_decision</x:v>
      </x:c>
      <x:c r="E6" s="48" t="str"/>
      <x:c r="F6" s="59" t="str"/>
      <x:c r="G6" s="85" t="b">
        <x:v>1</x:v>
      </x:c>
      <x:c r="H6" s="47" t="str">
        <x:v>iceStrengthenedStructureStatus</x:v>
      </x:c>
      <x:c r="I6" s="48" t="str">
        <x:v>https://w3id.org/nltl/vocab#iceStrengthenedStructureStatus</x:v>
      </x:c>
      <x:c r="J6" s="48" t="str">
        <x:v>Use this exact term because the requirement concerns whether the hull structure is ice strengthened, and this canonical boolean status supports conditional applicability while remaining owned by the hullStructure node reached through the ship/hasPlating path.</x:v>
      </x:c>
    </x:row>
    <x:row r="7">
      <x:c r="A7" s="47" t="str">
        <x:v>RUN-I2-047-20260828T145843071760Z</x:v>
      </x:c>
      <x:c r="B7" s="47" t="str">
        <x:v>I2-047</x:v>
      </x:c>
      <x:c r="C7" s="59" t="n">
        <x:v>4</x:v>
      </x:c>
      <x:c r="D7" s="47" t="str">
        <x:v>matcher_search</x:v>
      </x:c>
      <x:c r="E7" s="48" t="str">
        <x:v>The prior repairs remain unresolved: replace urn:nltl:generated-shape:I2_047 with an approved shape identifier, and locate the canonical cross-owner path from ship/hasPlating through the plating result to the hullStructure owner of iceStrengthenedStructureStatus; do not place that status on the plating node or invent a path. Also remove the unconditional requirement that steelRenewalRequired be true for every applicable structure: its value may be either typed boolean when present, and the conditional implication must require true only when gaugedThickness &lt; netThickness + 0.0005 m. Preserve ship-owned gaugedThickness and netThickness, metre units and decimal values, the true applicability status on the resolved hullStructure path, and the direct strict comparison.</x:v>
      </x:c>
      <x:c r="F7" s="59" t="n">
        <x:v>10</x:v>
      </x:c>
      <x:c r="G7" s="47" t="str"/>
      <x:c r="H7" s="47" t="str"/>
      <x:c r="I7" s="48" t="str"/>
      <x:c r="J7" s="48" t="str"/>
    </x:row>
    <x:row r="8">
      <x:c r="A8" s="49" t="str">
        <x:v>RUN-I2-047-20260828T145843071760Z</x:v>
      </x:c>
      <x:c r="B8" s="49" t="str">
        <x:v>I2-047</x:v>
      </x:c>
      <x:c r="C8" s="60" t="n">
        <x:v>4</x:v>
      </x:c>
      <x:c r="D8" s="49" t="str">
        <x:v>matcher_decision</x:v>
      </x:c>
      <x:c r="E8" s="50" t="str"/>
      <x:c r="F8" s="60" t="str"/>
      <x:c r="G8" s="87" t="b">
        <x:v>1</x:v>
      </x:c>
      <x:c r="H8" s="49" t="str">
        <x:v>hasPlating</x:v>
      </x:c>
      <x:c r="I8" s="50" t="str">
        <x:v>https://w3id.org/nltl/vocab#hasPlating</x:v>
      </x:c>
      <x:c r="J8" s="50" t="str">
        <x:v>Use this exact term because hasPlating is the canonical object property linking the ship owner to its plating result, enabling the required cross-owner path to the hullStructure owner of iceStrengthenedStructureStatus without placing that status on the plating node.</x:v>
      </x:c>
    </x:row>
  </x:sheetData>
  <x:pageMargins left="0.7" right="0.7" top="0.75" bottom="0.75" header="0.3" footer="0.3"/>
  <x:tableParts count="1">
    <x:tablePart xmlns:r="http://schemas.openxmlformats.org/officeDocument/2006/relationships" r:id="R06c017df032b4758"/>
  </x:tableParts>
</x:worksheet>
</file>

<file path=xl/worksheets/sheet11.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8" hidden="0" customWidth="1"/>
    <x:col min="5" max="5" width="52" hidden="0" customWidth="1"/>
    <x:col min="6" max="6" width="36" hidden="0" customWidth="1"/>
    <x:col min="7" max="7" width="11" hidden="0" customWidth="1"/>
  </x:cols>
  <x:sheetData>
    <x:row r="1">
      <x:c r="A1" s="18" t="str">
        <x:v>NLTL SHACL Pipeline Run Tracker</x:v>
      </x:c>
      <x:c r="B1" s="19"/>
      <x:c r="C1" s="19"/>
      <x:c r="D1" s="19"/>
      <x:c r="E1" s="19"/>
      <x:c r="F1" s="19"/>
      <x:c r="G1" s="19"/>
    </x:row>
    <x:row r="2">
      <x:c r="A2" s="20" t="str">
        <x:v>ARTIFACTS | Run folder: RUN-I2-047-20260828T145843071760Z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ITERATION</x:v>
      </x:c>
      <x:c r="D4" s="57" t="str">
        <x:v>ARTIFACT_TYPE</x:v>
      </x:c>
      <x:c r="E4" s="57" t="str">
        <x:v>ARTIFACT_PATH</x:v>
      </x:c>
      <x:c r="F4" s="57" t="str">
        <x:v>SHA256</x:v>
      </x:c>
      <x:c r="G4" s="44" t="str">
        <x:v>BYTES</x:v>
      </x:c>
    </x:row>
    <x:row r="5">
      <x:c r="A5" s="45" t="str">
        <x:v>RUN-I2-047-20260828T145843071760Z</x:v>
      </x:c>
      <x:c r="B5" s="45" t="str">
        <x:v>I2-047</x:v>
      </x:c>
      <x:c r="C5" s="58"/>
      <x:c r="D5" s="45" t="str">
        <x:v>initial_context_pack</x:v>
      </x:c>
      <x:c r="E5" s="46" t="str">
        <x:v>artifacts/context_pack_initial.json</x:v>
      </x:c>
      <x:c r="F5" s="45" t="str">
        <x:v>a613c1cc67cc2c3bc9eafd00742dd6c5e5a0cc9f70eed707a1da07c4aa2d532b</x:v>
      </x:c>
      <x:c r="G5" s="58" t="n">
        <x:v>15667</x:v>
      </x:c>
    </x:row>
    <x:row r="6">
      <x:c r="A6" s="47" t="str">
        <x:v>RUN-I2-047-20260828T145843071760Z</x:v>
      </x:c>
      <x:c r="B6" s="47" t="str">
        <x:v>I2-047</x:v>
      </x:c>
      <x:c r="C6" s="59"/>
      <x:c r="D6" s="47" t="str">
        <x:v>few_shot_selection</x:v>
      </x:c>
      <x:c r="E6" s="48" t="str">
        <x:v>artifacts/few_shots_selected.json</x:v>
      </x:c>
      <x:c r="F6" s="47" t="str">
        <x:v>1d12c9fdffa22d3016e8a16e13fad16c5cc8e6ddafd758d1efe0a66ab4905146</x:v>
      </x:c>
      <x:c r="G6" s="59" t="n">
        <x:v>4749</x:v>
      </x:c>
    </x:row>
    <x:row r="7">
      <x:c r="A7" s="47" t="str">
        <x:v>RUN-I2-047-20260828T145843071760Z</x:v>
      </x:c>
      <x:c r="B7" s="47" t="str">
        <x:v>I2-047</x:v>
      </x:c>
      <x:c r="C7" s="59" t="n">
        <x:v>1</x:v>
      </x:c>
      <x:c r="D7" s="47" t="str">
        <x:v>generator_prompt</x:v>
      </x:c>
      <x:c r="E7" s="48" t="str">
        <x:v>artifacts/attempt_01/generator_prompt.txt</x:v>
      </x:c>
      <x:c r="F7" s="47" t="str">
        <x:v>76f6f2ef01987ea5064633d5a95dbf030262d128e3658e56fac0e1bf1ff60df2</x:v>
      </x:c>
      <x:c r="G7" s="59" t="n">
        <x:v>31970</x:v>
      </x:c>
    </x:row>
    <x:row r="8">
      <x:c r="A8" s="47" t="str">
        <x:v>RUN-I2-047-20260828T145843071760Z</x:v>
      </x:c>
      <x:c r="B8" s="47" t="str">
        <x:v>I2-047</x:v>
      </x:c>
      <x:c r="C8" s="59" t="n">
        <x:v>1</x:v>
      </x:c>
      <x:c r="D8" s="47" t="str">
        <x:v>generator_raw_response</x:v>
      </x:c>
      <x:c r="E8" s="48" t="str">
        <x:v>artifacts/attempt_01/generator_raw.txt</x:v>
      </x:c>
      <x:c r="F8" s="47" t="str">
        <x:v>d326b97bdb4444721142d5a4c68392911ae0cc4ade62df7bbad896f4c813a3a8</x:v>
      </x:c>
      <x:c r="G8" s="59" t="n">
        <x:v>2345</x:v>
      </x:c>
    </x:row>
    <x:row r="9">
      <x:c r="A9" s="47" t="str">
        <x:v>RUN-I2-047-20260828T145843071760Z</x:v>
      </x:c>
      <x:c r="B9" s="47" t="str">
        <x:v>I2-047</x:v>
      </x:c>
      <x:c r="C9" s="59" t="n">
        <x:v>1</x:v>
      </x:c>
      <x:c r="D9" s="47" t="str">
        <x:v>candidate_shape</x:v>
      </x:c>
      <x:c r="E9" s="48" t="str">
        <x:v>artifacts/attempt_01/candidate_shape.ttl</x:v>
      </x:c>
      <x:c r="F9" s="47" t="str">
        <x:v>770e9932846945b5ae177ec1c57e35db63c186bcfdf7ebb240b126edb9a7cfb6</x:v>
      </x:c>
      <x:c r="G9" s="59" t="n">
        <x:v>2320</x:v>
      </x:c>
    </x:row>
    <x:row r="10">
      <x:c r="A10" s="47" t="str">
        <x:v>RUN-I2-047-20260828T145843071760Z</x:v>
      </x:c>
      <x:c r="B10" s="47" t="str">
        <x:v>I2-047</x:v>
      </x:c>
      <x:c r="C10" s="59" t="n">
        <x:v>1</x:v>
      </x:c>
      <x:c r="D10" s="47" t="str">
        <x:v>deterministic_validation</x:v>
      </x:c>
      <x:c r="E10" s="48" t="str">
        <x:v>artifacts/attempt_01/deterministic_validation.json</x:v>
      </x:c>
      <x:c r="F10" s="47" t="str">
        <x:v>0da17b47fbf7a00fe3fcb02978e17af3439bd27483e4620a96a29406e8d7853f</x:v>
      </x:c>
      <x:c r="G10" s="59" t="n">
        <x:v>698</x:v>
      </x:c>
    </x:row>
    <x:row r="11">
      <x:c r="A11" s="47" t="str">
        <x:v>RUN-I2-047-20260828T145843071760Z</x:v>
      </x:c>
      <x:c r="B11" s="47" t="str">
        <x:v>I2-047</x:v>
      </x:c>
      <x:c r="C11" s="59" t="n">
        <x:v>1</x:v>
      </x:c>
      <x:c r="D11" s="47" t="str">
        <x:v>validator_prompt</x:v>
      </x:c>
      <x:c r="E11" s="48" t="str">
        <x:v>artifacts/attempt_01/validator_prompt_01.txt</x:v>
      </x:c>
      <x:c r="F11" s="47" t="str">
        <x:v>928e49ffd5ec49459b037cdd76ee97a267857eaa9ea05ff8ea75fc475aec400f</x:v>
      </x:c>
      <x:c r="G11" s="59" t="n">
        <x:v>26675</x:v>
      </x:c>
    </x:row>
    <x:row r="12">
      <x:c r="A12" s="47" t="str">
        <x:v>RUN-I2-047-20260828T145843071760Z</x:v>
      </x:c>
      <x:c r="B12" s="47" t="str">
        <x:v>I2-047</x:v>
      </x:c>
      <x:c r="C12" s="59" t="n">
        <x:v>1</x:v>
      </x:c>
      <x:c r="D12" s="47" t="str">
        <x:v>validator_raw_response</x:v>
      </x:c>
      <x:c r="E12" s="48" t="str">
        <x:v>artifacts/attempt_01/validator_raw_01.txt</x:v>
      </x:c>
      <x:c r="F12" s="47" t="str">
        <x:v>2f96366d06cf813b4cedf74c3132f8ef991af764283826c7f068b6b57b9467e0</x:v>
      </x:c>
      <x:c r="G12" s="59" t="n">
        <x:v>688</x:v>
      </x:c>
    </x:row>
    <x:row r="13">
      <x:c r="A13" s="47" t="str">
        <x:v>RUN-I2-047-20260828T145843071760Z</x:v>
      </x:c>
      <x:c r="B13" s="47" t="str">
        <x:v>I2-047</x:v>
      </x:c>
      <x:c r="C13" s="59" t="n">
        <x:v>2</x:v>
      </x:c>
      <x:c r="D13" s="47" t="str">
        <x:v>generator_prompt</x:v>
      </x:c>
      <x:c r="E13" s="48" t="str">
        <x:v>artifacts/attempt_02/generator_prompt.txt</x:v>
      </x:c>
      <x:c r="F13" s="47" t="str">
        <x:v>7deefef0e7841d552df64b64c0dd366113b69322a969c4c4bc2c36d9a1cbf33b</x:v>
      </x:c>
      <x:c r="G13" s="59" t="n">
        <x:v>32740</x:v>
      </x:c>
    </x:row>
    <x:row r="14">
      <x:c r="A14" s="47" t="str">
        <x:v>RUN-I2-047-20260828T145843071760Z</x:v>
      </x:c>
      <x:c r="B14" s="47" t="str">
        <x:v>I2-047</x:v>
      </x:c>
      <x:c r="C14" s="59" t="n">
        <x:v>2</x:v>
      </x:c>
      <x:c r="D14" s="47" t="str">
        <x:v>generator_raw_response</x:v>
      </x:c>
      <x:c r="E14" s="48" t="str">
        <x:v>artifacts/attempt_02/generator_raw.txt</x:v>
      </x:c>
      <x:c r="F14" s="47" t="str">
        <x:v>4b9bfc00f45871832e2710671ca43e2af33c7154e11b03397dab7060696298b5</x:v>
      </x:c>
      <x:c r="G14" s="59" t="n">
        <x:v>3896</x:v>
      </x:c>
    </x:row>
    <x:row r="15">
      <x:c r="A15" s="47" t="str">
        <x:v>RUN-I2-047-20260828T145843071760Z</x:v>
      </x:c>
      <x:c r="B15" s="47" t="str">
        <x:v>I2-047</x:v>
      </x:c>
      <x:c r="C15" s="59" t="n">
        <x:v>2</x:v>
      </x:c>
      <x:c r="D15" s="47" t="str">
        <x:v>candidate_shape</x:v>
      </x:c>
      <x:c r="E15" s="48" t="str">
        <x:v>artifacts/attempt_02/candidate_shape.ttl</x:v>
      </x:c>
      <x:c r="F15" s="47" t="str">
        <x:v>76a1334fb95744775ef04017b1690a3806581b2b6fb8b584ea6c79722065e1ef</x:v>
      </x:c>
      <x:c r="G15" s="59" t="n">
        <x:v>3871</x:v>
      </x:c>
    </x:row>
    <x:row r="16">
      <x:c r="A16" s="47" t="str">
        <x:v>RUN-I2-047-20260828T145843071760Z</x:v>
      </x:c>
      <x:c r="B16" s="47" t="str">
        <x:v>I2-047</x:v>
      </x:c>
      <x:c r="C16" s="59" t="n">
        <x:v>2</x:v>
      </x:c>
      <x:c r="D16" s="47" t="str">
        <x:v>deterministic_validation</x:v>
      </x:c>
      <x:c r="E16" s="48" t="str">
        <x:v>artifacts/attempt_02/deterministic_validation.json</x:v>
      </x:c>
      <x:c r="F16" s="47" t="str">
        <x:v>616ff1476ba2a1744ffb7b1386f153fb69f97f699c66bdf28c61fe618009363b</x:v>
      </x:c>
      <x:c r="G16" s="59" t="n">
        <x:v>696</x:v>
      </x:c>
    </x:row>
    <x:row r="17">
      <x:c r="A17" s="47" t="str">
        <x:v>RUN-I2-047-20260828T145843071760Z</x:v>
      </x:c>
      <x:c r="B17" s="47" t="str">
        <x:v>I2-047</x:v>
      </x:c>
      <x:c r="C17" s="59" t="n">
        <x:v>2</x:v>
      </x:c>
      <x:c r="D17" s="47" t="str">
        <x:v>validator_prompt</x:v>
      </x:c>
      <x:c r="E17" s="48" t="str">
        <x:v>artifacts/attempt_02/validator_prompt_01.txt</x:v>
      </x:c>
      <x:c r="F17" s="47" t="str">
        <x:v>0e5d2e3b6941d3a27ddb069df3ae88a0ab2c7d088838fc659020c4a16b74cf5b</x:v>
      </x:c>
      <x:c r="G17" s="59" t="n">
        <x:v>29696</x:v>
      </x:c>
    </x:row>
    <x:row r="18">
      <x:c r="A18" s="47" t="str">
        <x:v>RUN-I2-047-20260828T145843071760Z</x:v>
      </x:c>
      <x:c r="B18" s="47" t="str">
        <x:v>I2-047</x:v>
      </x:c>
      <x:c r="C18" s="59" t="n">
        <x:v>2</x:v>
      </x:c>
      <x:c r="D18" s="47" t="str">
        <x:v>validator_raw_response</x:v>
      </x:c>
      <x:c r="E18" s="48" t="str">
        <x:v>artifacts/attempt_02/validator_raw_01.txt</x:v>
      </x:c>
      <x:c r="F18" s="47" t="str">
        <x:v>a95a92d9f7e2604c1ae28bcf00ba7bc8f6d1c2c80c32d27fdbc3a42c0f2c9080</x:v>
      </x:c>
      <x:c r="G18" s="59" t="n">
        <x:v>722</x:v>
      </x:c>
    </x:row>
    <x:row r="19">
      <x:c r="A19" s="47" t="str">
        <x:v>RUN-I2-047-20260828T145843071760Z</x:v>
      </x:c>
      <x:c r="B19" s="47" t="str">
        <x:v>I2-047</x:v>
      </x:c>
      <x:c r="C19" s="59" t="n">
        <x:v>3</x:v>
      </x:c>
      <x:c r="D19" s="47" t="str">
        <x:v>generator_prompt</x:v>
      </x:c>
      <x:c r="E19" s="48" t="str">
        <x:v>artifacts/attempt_03/generator_prompt.txt</x:v>
      </x:c>
      <x:c r="F19" s="47" t="str">
        <x:v>3802a563b89b3f32c7834c406833c080660fd2d2474e98fc581b963c85862170</x:v>
      </x:c>
      <x:c r="G19" s="59" t="n">
        <x:v>33405</x:v>
      </x:c>
    </x:row>
    <x:row r="20">
      <x:c r="A20" s="47" t="str">
        <x:v>RUN-I2-047-20260828T145843071760Z</x:v>
      </x:c>
      <x:c r="B20" s="47" t="str">
        <x:v>I2-047</x:v>
      </x:c>
      <x:c r="C20" s="59" t="n">
        <x:v>3</x:v>
      </x:c>
      <x:c r="D20" s="47" t="str">
        <x:v>generator_raw_response</x:v>
      </x:c>
      <x:c r="E20" s="48" t="str">
        <x:v>artifacts/attempt_03/generator_raw.txt</x:v>
      </x:c>
      <x:c r="F20" s="47" t="str">
        <x:v>eb8a4546d17db6a91532f83c9087391c6a25db63e793b4701cd98c6273c51efc</x:v>
      </x:c>
      <x:c r="G20" s="59" t="n">
        <x:v>2545</x:v>
      </x:c>
    </x:row>
    <x:row r="21">
      <x:c r="A21" s="47" t="str">
        <x:v>RUN-I2-047-20260828T145843071760Z</x:v>
      </x:c>
      <x:c r="B21" s="47" t="str">
        <x:v>I2-047</x:v>
      </x:c>
      <x:c r="C21" s="59" t="n">
        <x:v>3</x:v>
      </x:c>
      <x:c r="D21" s="47" t="str">
        <x:v>candidate_shape</x:v>
      </x:c>
      <x:c r="E21" s="48" t="str">
        <x:v>artifacts/attempt_03/candidate_shape.ttl</x:v>
      </x:c>
      <x:c r="F21" s="47" t="str">
        <x:v>ab9c31913915d7b49d703dc1094c69e52b0b7f79e99ec61e172134a96614e1ed</x:v>
      </x:c>
      <x:c r="G21" s="59" t="n">
        <x:v>2520</x:v>
      </x:c>
    </x:row>
    <x:row r="22">
      <x:c r="A22" s="47" t="str">
        <x:v>RUN-I2-047-20260828T145843071760Z</x:v>
      </x:c>
      <x:c r="B22" s="47" t="str">
        <x:v>I2-047</x:v>
      </x:c>
      <x:c r="C22" s="59" t="n">
        <x:v>3</x:v>
      </x:c>
      <x:c r="D22" s="47" t="str">
        <x:v>deterministic_validation</x:v>
      </x:c>
      <x:c r="E22" s="48" t="str">
        <x:v>artifacts/attempt_03/deterministic_validation.json</x:v>
      </x:c>
      <x:c r="F22" s="47" t="str">
        <x:v>616ff1476ba2a1744ffb7b1386f153fb69f97f699c66bdf28c61fe618009363b</x:v>
      </x:c>
      <x:c r="G22" s="59" t="n">
        <x:v>696</x:v>
      </x:c>
    </x:row>
    <x:row r="23">
      <x:c r="A23" s="47" t="str">
        <x:v>RUN-I2-047-20260828T145843071760Z</x:v>
      </x:c>
      <x:c r="B23" s="47" t="str">
        <x:v>I2-047</x:v>
      </x:c>
      <x:c r="C23" s="59" t="n">
        <x:v>3</x:v>
      </x:c>
      <x:c r="D23" s="47" t="str">
        <x:v>validator_prompt</x:v>
      </x:c>
      <x:c r="E23" s="48" t="str">
        <x:v>artifacts/attempt_03/validator_prompt_01.txt</x:v>
      </x:c>
      <x:c r="F23" s="47" t="str">
        <x:v>bbd65cc39284c51151df26c21ada218c338fa3db5def76596711500223e766f1</x:v>
      </x:c>
      <x:c r="G23" s="59" t="n">
        <x:v>28984</x:v>
      </x:c>
    </x:row>
    <x:row r="24">
      <x:c r="A24" s="47" t="str">
        <x:v>RUN-I2-047-20260828T145843071760Z</x:v>
      </x:c>
      <x:c r="B24" s="47" t="str">
        <x:v>I2-047</x:v>
      </x:c>
      <x:c r="C24" s="59" t="n">
        <x:v>3</x:v>
      </x:c>
      <x:c r="D24" s="47" t="str">
        <x:v>validator_raw_response</x:v>
      </x:c>
      <x:c r="E24" s="48" t="str">
        <x:v>artifacts/attempt_03/validator_raw_01.txt</x:v>
      </x:c>
      <x:c r="F24" s="47" t="str">
        <x:v>f138b016ae062450cdfb5c96b77910a916b53ac84669e74541ed9101abd5f826</x:v>
      </x:c>
      <x:c r="G24" s="59" t="n">
        <x:v>923</x:v>
      </x:c>
    </x:row>
    <x:row r="25">
      <x:c r="A25" s="47" t="str">
        <x:v>RUN-I2-047-20260828T145843071760Z</x:v>
      </x:c>
      <x:c r="B25" s="47" t="str">
        <x:v>I2-047</x:v>
      </x:c>
      <x:c r="C25" s="59" t="n">
        <x:v>3</x:v>
      </x:c>
      <x:c r="D25" s="47" t="str">
        <x:v>matcher_candidates</x:v>
      </x:c>
      <x:c r="E25" s="48" t="str">
        <x:v>artifacts/attempt_03/matcher_candidates.json</x:v>
      </x:c>
      <x:c r="F25" s="47" t="str">
        <x:v>85d9c74ab6e580bb01c333374f8a4e815af1fb12c457db847f41d552bf30253e</x:v>
      </x:c>
      <x:c r="G25" s="59" t="n">
        <x:v>6220</x:v>
      </x:c>
    </x:row>
    <x:row r="26">
      <x:c r="A26" s="47" t="str">
        <x:v>RUN-I2-047-20260828T145843071760Z</x:v>
      </x:c>
      <x:c r="B26" s="47" t="str">
        <x:v>I2-047</x:v>
      </x:c>
      <x:c r="C26" s="59" t="n">
        <x:v>3</x:v>
      </x:c>
      <x:c r="D26" s="47" t="str">
        <x:v>vocabulary_matcher_prompt</x:v>
      </x:c>
      <x:c r="E26" s="48" t="str">
        <x:v>artifacts/attempt_03/vocabulary_matcher_prompt_01.txt</x:v>
      </x:c>
      <x:c r="F26" s="47" t="str">
        <x:v>45b344308011fa3e87fc062381030bd1936977ffcdd55f79ebb2bda65eb9d9c8</x:v>
      </x:c>
      <x:c r="G26" s="59" t="n">
        <x:v>11381</x:v>
      </x:c>
    </x:row>
    <x:row r="27">
      <x:c r="A27" s="47" t="str">
        <x:v>RUN-I2-047-20260828T145843071760Z</x:v>
      </x:c>
      <x:c r="B27" s="47" t="str">
        <x:v>I2-047</x:v>
      </x:c>
      <x:c r="C27" s="59" t="n">
        <x:v>3</x:v>
      </x:c>
      <x:c r="D27" s="47" t="str">
        <x:v>vocabulary_matcher_raw_response</x:v>
      </x:c>
      <x:c r="E27" s="48" t="str">
        <x:v>artifacts/attempt_03/vocabulary_matcher_raw_01.txt</x:v>
      </x:c>
      <x:c r="F27" s="47" t="str">
        <x:v>bfbe66d55b832dceecaf8efbb7ed84700ee920e32550fe5861c085984cb27499</x:v>
      </x:c>
      <x:c r="G27" s="59" t="n">
        <x:v>435</x:v>
      </x:c>
    </x:row>
    <x:row r="28">
      <x:c r="A28" s="47" t="str">
        <x:v>RUN-I2-047-20260828T145843071760Z</x:v>
      </x:c>
      <x:c r="B28" s="47" t="str">
        <x:v>I2-047</x:v>
      </x:c>
      <x:c r="C28" s="59" t="n">
        <x:v>4</x:v>
      </x:c>
      <x:c r="D28" s="47" t="str">
        <x:v>expanded_context_pack</x:v>
      </x:c>
      <x:c r="E28" s="48" t="str">
        <x:v>artifacts/attempt_04/context_pack_expanded.json</x:v>
      </x:c>
      <x:c r="F28" s="47" t="str">
        <x:v>d29579f51d54248bab8faa5d62ea02d75f3d6b73a703628d1aaab0e590fc9af5</x:v>
      </x:c>
      <x:c r="G28" s="59" t="n">
        <x:v>15705</x:v>
      </x:c>
    </x:row>
    <x:row r="29">
      <x:c r="A29" s="47" t="str">
        <x:v>RUN-I2-047-20260828T145843071760Z</x:v>
      </x:c>
      <x:c r="B29" s="47" t="str">
        <x:v>I2-047</x:v>
      </x:c>
      <x:c r="C29" s="59" t="n">
        <x:v>4</x:v>
      </x:c>
      <x:c r="D29" s="47" t="str">
        <x:v>generator_prompt</x:v>
      </x:c>
      <x:c r="E29" s="48" t="str">
        <x:v>artifacts/attempt_04/generator_prompt.txt</x:v>
      </x:c>
      <x:c r="F29" s="47" t="str">
        <x:v>f61c02470e2fd05e03cf2c83cc79fa4e41234ba531d905cf6a9fdc7e312ba080</x:v>
      </x:c>
      <x:c r="G29" s="59" t="n">
        <x:v>34676</x:v>
      </x:c>
    </x:row>
    <x:row r="30">
      <x:c r="A30" s="47" t="str">
        <x:v>RUN-I2-047-20260828T145843071760Z</x:v>
      </x:c>
      <x:c r="B30" s="47" t="str">
        <x:v>I2-047</x:v>
      </x:c>
      <x:c r="C30" s="59" t="n">
        <x:v>4</x:v>
      </x:c>
      <x:c r="D30" s="47" t="str">
        <x:v>generator_raw_response</x:v>
      </x:c>
      <x:c r="E30" s="48" t="str">
        <x:v>artifacts/attempt_04/generator_raw.txt</x:v>
      </x:c>
      <x:c r="F30" s="47" t="str">
        <x:v>75e5b211843108cac505fcfff7280309c744f793438f8c68281c7b79887e92e7</x:v>
      </x:c>
      <x:c r="G30" s="59" t="n">
        <x:v>3237</x:v>
      </x:c>
    </x:row>
    <x:row r="31">
      <x:c r="A31" s="47" t="str">
        <x:v>RUN-I2-047-20260828T145843071760Z</x:v>
      </x:c>
      <x:c r="B31" s="47" t="str">
        <x:v>I2-047</x:v>
      </x:c>
      <x:c r="C31" s="59" t="n">
        <x:v>4</x:v>
      </x:c>
      <x:c r="D31" s="47" t="str">
        <x:v>candidate_shape</x:v>
      </x:c>
      <x:c r="E31" s="48" t="str">
        <x:v>artifacts/attempt_04/candidate_shape.ttl</x:v>
      </x:c>
      <x:c r="F31" s="47" t="str">
        <x:v>dbb683c8c03b6ad7bfb4f11285143481c7335ac6de34cbb60a39da19fc69f517</x:v>
      </x:c>
      <x:c r="G31" s="59" t="n">
        <x:v>3212</x:v>
      </x:c>
    </x:row>
    <x:row r="32">
      <x:c r="A32" s="47" t="str">
        <x:v>RUN-I2-047-20260828T145843071760Z</x:v>
      </x:c>
      <x:c r="B32" s="47" t="str">
        <x:v>I2-047</x:v>
      </x:c>
      <x:c r="C32" s="59" t="n">
        <x:v>4</x:v>
      </x:c>
      <x:c r="D32" s="47" t="str">
        <x:v>deterministic_validation</x:v>
      </x:c>
      <x:c r="E32" s="48" t="str">
        <x:v>artifacts/attempt_04/deterministic_validation.json</x:v>
      </x:c>
      <x:c r="F32" s="47" t="str">
        <x:v>616ff1476ba2a1744ffb7b1386f153fb69f97f699c66bdf28c61fe618009363b</x:v>
      </x:c>
      <x:c r="G32" s="59" t="n">
        <x:v>696</x:v>
      </x:c>
    </x:row>
    <x:row r="33">
      <x:c r="A33" s="47" t="str">
        <x:v>RUN-I2-047-20260828T145843071760Z</x:v>
      </x:c>
      <x:c r="B33" s="47" t="str">
        <x:v>I2-047</x:v>
      </x:c>
      <x:c r="C33" s="59" t="n">
        <x:v>4</x:v>
      </x:c>
      <x:c r="D33" s="47" t="str">
        <x:v>validator_prompt</x:v>
      </x:c>
      <x:c r="E33" s="48" t="str">
        <x:v>artifacts/attempt_04/validator_prompt_01.txt</x:v>
      </x:c>
      <x:c r="F33" s="47" t="str">
        <x:v>28bd612a1dc19b8dc56ed2b88f95d8e87d17a052151fd70b60fdff542bf405ef</x:v>
      </x:c>
      <x:c r="G33" s="59" t="n">
        <x:v>30953</x:v>
      </x:c>
    </x:row>
    <x:row r="34">
      <x:c r="A34" s="47" t="str">
        <x:v>RUN-I2-047-20260828T145843071760Z</x:v>
      </x:c>
      <x:c r="B34" s="47" t="str">
        <x:v>I2-047</x:v>
      </x:c>
      <x:c r="C34" s="59" t="n">
        <x:v>4</x:v>
      </x:c>
      <x:c r="D34" s="47" t="str">
        <x:v>validator_raw_response</x:v>
      </x:c>
      <x:c r="E34" s="48" t="str">
        <x:v>artifacts/attempt_04/validator_raw_01.txt</x:v>
      </x:c>
      <x:c r="F34" s="47" t="str">
        <x:v>c890b5626a1a2aef4b0abd997b710b77352b3112edcb1c31110a579b311f667b</x:v>
      </x:c>
      <x:c r="G34" s="59" t="n">
        <x:v>838</x:v>
      </x:c>
    </x:row>
    <x:row r="35">
      <x:c r="A35" s="47" t="str">
        <x:v>RUN-I2-047-20260828T145843071760Z</x:v>
      </x:c>
      <x:c r="B35" s="47" t="str">
        <x:v>I2-047</x:v>
      </x:c>
      <x:c r="C35" s="59" t="n">
        <x:v>4</x:v>
      </x:c>
      <x:c r="D35" s="47" t="str">
        <x:v>matcher_candidates</x:v>
      </x:c>
      <x:c r="E35" s="48" t="str">
        <x:v>artifacts/attempt_04/matcher_candidates.json</x:v>
      </x:c>
      <x:c r="F35" s="47" t="str">
        <x:v>dcc246ef64397c1c121dceda9d6b224b254760820ba0d86995ce23d6175a258b</x:v>
      </x:c>
      <x:c r="G35" s="59" t="n">
        <x:v>6206</x:v>
      </x:c>
    </x:row>
    <x:row r="36">
      <x:c r="A36" s="47" t="str">
        <x:v>RUN-I2-047-20260828T145843071760Z</x:v>
      </x:c>
      <x:c r="B36" s="47" t="str">
        <x:v>I2-047</x:v>
      </x:c>
      <x:c r="C36" s="59" t="n">
        <x:v>4</x:v>
      </x:c>
      <x:c r="D36" s="47" t="str">
        <x:v>vocabulary_matcher_prompt</x:v>
      </x:c>
      <x:c r="E36" s="48" t="str">
        <x:v>artifacts/attempt_04/vocabulary_matcher_prompt_01.txt</x:v>
      </x:c>
      <x:c r="F36" s="47" t="str">
        <x:v>f90a4fceb33796b88c3715e73ec8f4800d38c07afea65187ba4d32e0a1433884</x:v>
      </x:c>
      <x:c r="G36" s="59" t="n">
        <x:v>11280</x:v>
      </x:c>
    </x:row>
    <x:row r="37">
      <x:c r="A37" s="49" t="str">
        <x:v>RUN-I2-047-20260828T145843071760Z</x:v>
      </x:c>
      <x:c r="B37" s="49" t="str">
        <x:v>I2-047</x:v>
      </x:c>
      <x:c r="C37" s="60" t="n">
        <x:v>4</x:v>
      </x:c>
      <x:c r="D37" s="49" t="str">
        <x:v>vocabulary_matcher_raw_response</x:v>
      </x:c>
      <x:c r="E37" s="50" t="str">
        <x:v>artifacts/attempt_04/vocabulary_matcher_raw_01.txt</x:v>
      </x:c>
      <x:c r="F37" s="49" t="str">
        <x:v>9c47d88403bc6bcfbc1870e4c00e452e96feae62a23f37e95e82686b2ce5996f</x:v>
      </x:c>
      <x:c r="G37" s="60" t="n">
        <x:v>402</x:v>
      </x:c>
    </x:row>
  </x:sheetData>
  <x:pageMargins left="0.7" right="0.7" top="0.75" bottom="0.75" header="0.3" footer="0.3"/>
  <x:tableParts count="1">
    <x:tablePart xmlns:r="http://schemas.openxmlformats.org/officeDocument/2006/relationships" r:id="Rf690b7b1b31f46fa"/>
  </x:tableParts>
</x:worksheet>
</file>

<file path=xl/worksheets/sheet12.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4" hidden="0" customWidth="1"/>
    <x:col min="5" max="5" width="52" hidden="0" customWidth="1"/>
    <x:col min="6" max="6" width="11" hidden="0" customWidth="1"/>
  </x:cols>
  <x:sheetData>
    <x:row r="1">
      <x:c r="A1" s="18" t="str">
        <x:v>NLTL SHACL Pipeline Run Tracker</x:v>
      </x:c>
      <x:c r="B1" s="19"/>
      <x:c r="C1" s="19"/>
      <x:c r="D1" s="19"/>
      <x:c r="E1" s="19"/>
      <x:c r="F1" s="19"/>
    </x:row>
    <x:row r="2">
      <x:c r="A2" s="20" t="str">
        <x:v>UNRESOLVED | Run folder: RUN-I2-047-20260828T145843071760Z</x:v>
      </x:c>
      <x:c r="B2" s="20"/>
      <x:c r="C2" s="20"/>
      <x:c r="D2" s="20"/>
      <x:c r="E2" s="20"/>
      <x:c r="F2" s="20"/>
    </x:row>
    <x:row r="3">
      <x:c r="A3" s="21"/>
      <x:c r="B3" s="21"/>
      <x:c r="C3" s="21"/>
      <x:c r="D3" s="21"/>
      <x:c r="E3" s="21"/>
      <x:c r="F3" s="21"/>
    </x:row>
    <x:row r="4" ht="30" customHeight="1">
      <x:c r="A4" s="43" t="str">
        <x:v>RUN_ID</x:v>
      </x:c>
      <x:c r="B4" s="57" t="str">
        <x:v>REQUIREMENT_ID</x:v>
      </x:c>
      <x:c r="C4" s="57" t="str">
        <x:v>ITERATION</x:v>
      </x:c>
      <x:c r="D4" s="57" t="str">
        <x:v>ISSUE_TYPE</x:v>
      </x:c>
      <x:c r="E4" s="57" t="str">
        <x:v>DETAIL</x:v>
      </x:c>
      <x:c r="F4" s="44" t="str">
        <x:v>STATUS</x:v>
      </x:c>
    </x:row>
    <x:row r="5">
      <x:c r="A5" s="69" t="str">
        <x:v>RUN-I2-047-20260828T145843071760Z</x:v>
      </x:c>
      <x:c r="B5" s="69" t="str">
        <x:v>I2-047</x:v>
      </x:c>
      <x:c r="C5" s="71" t="n">
        <x:v>4</x:v>
      </x:c>
      <x:c r="D5" s="69" t="str">
        <x:v>MAX_ATTEMPTS_REACHED</x:v>
      </x:c>
      <x:c r="E5" s="73" t="str">
        <x:v>The prior repairs remain unresolved: replace urn:nltl:generated-shape:I2_047 with an approved shape identifier, and locate the canonical cross-owner path from ship/hasPlating through the plating result to the hullStructure owner of iceStrengthenedStructureStatus; do not place that status on the plating node or invent a path. Also remove the unconditional requirement that steelRenewalRequired be true for every applicable structure: its value may be either typed boolean when present, and the conditional implication must require true only when gaugedThickness &lt; netThickness + 0.0005 m. Preserve ship-owned gaugedThickness and netThickness, metre units and decimal values, the true applicability status on the resolved hullStructure path, and the direct strict comparison.</x:v>
      </x:c>
      <x:c r="F5" s="69" t="str">
        <x:v>OPEN</x:v>
      </x:c>
    </x:row>
  </x:sheetData>
  <x:conditionalFormatting sqref="F5:F5">
    <x:cfRule type="containsText" dxfId="42" priority="1" operator="containsText" text="ACCEPT"/>
    <x:cfRule type="containsText" dxfId="43" priority="2" operator="containsText" text="ELIGIBLE"/>
    <x:cfRule type="containsText" dxfId="44" priority="3" operator="containsText" text="PASS"/>
    <x:cfRule type="containsText" dxfId="45" priority="4" operator="containsText" text="GAP"/>
    <x:cfRule type="containsText" dxfId="46" priority="5" operator="containsText" text="FAIL"/>
    <x:cfRule type="containsText" dxfId="47" priority="6" operator="containsText" text="DEFERRED"/>
  </x:conditionalFormatting>
  <x:pageMargins left="0.7" right="0.7" top="0.75" bottom="0.75" header="0.3" footer="0.3"/>
  <x:tableParts count="1">
    <x:tablePart xmlns:r="http://schemas.openxmlformats.org/officeDocument/2006/relationships" r:id="R377ac0b920b142c8"/>
  </x:tableParts>
</x:worksheet>
</file>

<file path=xl/worksheets/sheet13.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row>
    <x:row r="2">
      <x:c r="A2" s="20" t="str">
        <x:v>RDF_TEST_QUEUE | Run folder: RUN-I2-047-20260828T145843071760Z</x:v>
      </x:c>
      <x:c r="B2" s="20"/>
      <x:c r="C2" s="20"/>
      <x:c r="D2" s="20"/>
      <x:c r="E2" s="20"/>
      <x:c r="F2" s="20"/>
    </x:row>
    <x:row r="3">
      <x:c r="A3" s="21"/>
      <x:c r="B3" s="21"/>
      <x:c r="C3" s="21"/>
      <x:c r="D3" s="21"/>
      <x:c r="E3" s="21"/>
      <x:c r="F3" s="21"/>
    </x:row>
    <x:row r="4" ht="30" customHeight="1">
      <x:c r="A4" s="43" t="str">
        <x:v>RUN_ID</x:v>
      </x:c>
      <x:c r="B4" s="57" t="str">
        <x:v>REQUIREMENT_ID</x:v>
      </x:c>
      <x:c r="C4" s="57" t="str">
        <x:v>FINAL_SHAPE</x:v>
      </x:c>
      <x:c r="D4" s="57" t="str">
        <x:v>GENERATION_STATUS</x:v>
      </x:c>
      <x:c r="E4" s="57" t="str">
        <x:v>RDF_EVALUATION_STATUS</x:v>
      </x:c>
      <x:c r="F4" s="44" t="str">
        <x:v>NOTES</x:v>
      </x:c>
    </x:row>
    <x:row r="5">
      <x:c r="A5" s="106" t="str">
        <x:v>No records for this run.</x:v>
      </x:c>
      <x:c r="B5" s="21"/>
      <x:c r="C5" s="21"/>
      <x:c r="D5" s="21"/>
      <x:c r="E5" s="21"/>
      <x:c r="F5" s="21"/>
    </x:row>
  </x:sheetData>
  <x:pageMargins left="0.7" right="0.7" top="0.75" bottom="0.75" header="0.3" footer="0.3"/>
</x:worksheet>
</file>