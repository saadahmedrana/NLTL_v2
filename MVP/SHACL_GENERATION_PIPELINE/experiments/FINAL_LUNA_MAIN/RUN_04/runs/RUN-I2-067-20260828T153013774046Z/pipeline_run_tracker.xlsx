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2929b002865e4e82" /></Relationships>
</file>

<file path=xl/workbook.xml><?xml version="1.0" encoding="utf-8"?>
<x:workbook xmlns:x="http://schemas.openxmlformats.org/spreadsheetml/2006/main">
  <x:sheets>
    <x:sheet xmlns:r="http://schemas.openxmlformats.org/officeDocument/2006/relationships" name="SUMMARY" sheetId="1" r:id="Rf03cc0eb42894c45"/>
    <x:sheet xmlns:r="http://schemas.openxmlformats.org/officeDocument/2006/relationships" name="README" sheetId="2" r:id="R9192d8ece00049d5"/>
    <x:sheet xmlns:r="http://schemas.openxmlformats.org/officeDocument/2006/relationships" name="REGULATION_QUEUE" sheetId="3" r:id="R1a7bb6c65ce04de5"/>
    <x:sheet xmlns:r="http://schemas.openxmlformats.org/officeDocument/2006/relationships" name="RUNS" sheetId="4" r:id="R39f5a29709254c40"/>
    <x:sheet xmlns:r="http://schemas.openxmlformats.org/officeDocument/2006/relationships" name="ITERATIONS" sheetId="5" r:id="R95c9f23ed8c247b0"/>
    <x:sheet xmlns:r="http://schemas.openxmlformats.org/officeDocument/2006/relationships" name="API_CALLS" sheetId="6" r:id="R63eba018f4f840f6"/>
    <x:sheet xmlns:r="http://schemas.openxmlformats.org/officeDocument/2006/relationships" name="TERM_RETRIEVAL" sheetId="7" r:id="R933395f974dc4434"/>
    <x:sheet xmlns:r="http://schemas.openxmlformats.org/officeDocument/2006/relationships" name="FEW_SHOT_SELECTION" sheetId="8" r:id="R3509a3255e5e427c"/>
    <x:sheet xmlns:r="http://schemas.openxmlformats.org/officeDocument/2006/relationships" name="VALIDATION" sheetId="9" r:id="R57b292e1e71844b2"/>
    <x:sheet xmlns:r="http://schemas.openxmlformats.org/officeDocument/2006/relationships" name="VOCAB_MATCHES" sheetId="10" r:id="R655493ae67ce48af"/>
    <x:sheet xmlns:r="http://schemas.openxmlformats.org/officeDocument/2006/relationships" name="ARTIFACTS" sheetId="11" r:id="R1b03126ce26b442b"/>
    <x:sheet xmlns:r="http://schemas.openxmlformats.org/officeDocument/2006/relationships" name="UNRESOLVED" sheetId="12" r:id="Rbfb9c538cd4b4b49"/>
    <x:sheet xmlns:r="http://schemas.openxmlformats.org/officeDocument/2006/relationships" name="RDF_TEST_QUEUE" sheetId="13" r:id="R48409a0bb2994e82"/>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201" fontId="0" fillId="0" borderId="0" xfId="0" applyNumberFormat="1" applyFont="1" applyFill="1" applyBorder="1" applyAlignment="1">
      <x:alignment vertical="top"/>
    </x:xf>
    <x:xf numFmtId="201" fontId="6" fillId="0" borderId="0" xfId="0" applyNumberFormat="1" applyFont="1" applyFill="1" applyBorder="1" applyAlignment="1">
      <x:alignment vertical="top"/>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1" fontId="6" fillId="0" borderId="1"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1" fontId="6" fillId="0" borderId="3"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3bdf385e3f064f2c" /><Relationship Type="http://schemas.openxmlformats.org/officeDocument/2006/relationships/theme" Target="/xl/theme/theme1.xml" Id="R7c0c3502e87649e4" /><Relationship Type="http://schemas.microsoft.com/office/2022/11/relationships/FeaturePropertyBag" Target="/xl/featurePropertyBag/featurePropertyBag.xml" Id="Rb9abccea82464292" /><Relationship Type="http://schemas.openxmlformats.org/officeDocument/2006/relationships/sharedStrings" Target="/xl/sharedStrings.xml" Id="R69deb03e74cb422e" /><Relationship Type="http://schemas.openxmlformats.org/officeDocument/2006/relationships/worksheet" Target="/xl/worksheets/sheet1.xml" Id="Rf03cc0eb42894c45" /><Relationship Type="http://schemas.openxmlformats.org/officeDocument/2006/relationships/worksheet" Target="/xl/worksheets/sheet2.xml" Id="R9192d8ece00049d5" /><Relationship Type="http://schemas.openxmlformats.org/officeDocument/2006/relationships/worksheet" Target="/xl/worksheets/sheet3.xml" Id="R1a7bb6c65ce04de5" /><Relationship Type="http://schemas.openxmlformats.org/officeDocument/2006/relationships/worksheet" Target="/xl/worksheets/sheet4.xml" Id="R39f5a29709254c40" /><Relationship Type="http://schemas.openxmlformats.org/officeDocument/2006/relationships/worksheet" Target="/xl/worksheets/sheet5.xml" Id="R95c9f23ed8c247b0" /><Relationship Type="http://schemas.openxmlformats.org/officeDocument/2006/relationships/worksheet" Target="/xl/worksheets/sheet6.xml" Id="R63eba018f4f840f6" /><Relationship Type="http://schemas.openxmlformats.org/officeDocument/2006/relationships/worksheet" Target="/xl/worksheets/sheet7.xml" Id="R933395f974dc4434" /><Relationship Type="http://schemas.openxmlformats.org/officeDocument/2006/relationships/worksheet" Target="/xl/worksheets/sheet8.xml" Id="R3509a3255e5e427c" /><Relationship Type="http://schemas.openxmlformats.org/officeDocument/2006/relationships/worksheet" Target="/xl/worksheets/sheet9.xml" Id="R57b292e1e71844b2" /><Relationship Type="http://schemas.openxmlformats.org/officeDocument/2006/relationships/worksheet" Target="/xl/worksheets/sheet10.xml" Id="R655493ae67ce48af" /><Relationship Type="http://schemas.openxmlformats.org/officeDocument/2006/relationships/worksheet" Target="/xl/worksheets/sheet11.xml" Id="R1b03126ce26b442b" /><Relationship Type="http://schemas.openxmlformats.org/officeDocument/2006/relationships/worksheet" Target="/xl/worksheets/sheet12.xml" Id="Rbfb9c538cd4b4b49" /><Relationship Type="http://schemas.openxmlformats.org/officeDocument/2006/relationships/worksheet" Target="/xl/worksheets/sheet13.xml" Id="R48409a0bb2994e82"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5"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8"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0"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5"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3"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ced553c6b65e4c6a" /></Relationships>
</file>

<file path=xl/worksheets/_rels/sheet3.xml.rels>&#65279;<?xml version="1.0" encoding="utf-8"?><Relationships xmlns="http://schemas.openxmlformats.org/package/2006/relationships"><Relationship Type="http://schemas.openxmlformats.org/officeDocument/2006/relationships/table" Target="/xl/tables/table2.xml" Id="R69f240291879456a" /></Relationships>
</file>

<file path=xl/worksheets/_rels/sheet4.xml.rels>&#65279;<?xml version="1.0" encoding="utf-8"?><Relationships xmlns="http://schemas.openxmlformats.org/package/2006/relationships"><Relationship Type="http://schemas.openxmlformats.org/officeDocument/2006/relationships/table" Target="/xl/tables/table3.xml" Id="R3fe68039379e4d15" /></Relationships>
</file>

<file path=xl/worksheets/_rels/sheet5.xml.rels>&#65279;<?xml version="1.0" encoding="utf-8"?><Relationships xmlns="http://schemas.openxmlformats.org/package/2006/relationships"><Relationship Type="http://schemas.openxmlformats.org/officeDocument/2006/relationships/table" Target="/xl/tables/table4.xml" Id="Ra2ec0e50f5924e7e" /></Relationships>
</file>

<file path=xl/worksheets/_rels/sheet6.xml.rels>&#65279;<?xml version="1.0" encoding="utf-8"?><Relationships xmlns="http://schemas.openxmlformats.org/package/2006/relationships"><Relationship Type="http://schemas.openxmlformats.org/officeDocument/2006/relationships/table" Target="/xl/tables/table5.xml" Id="R8e9dbddacef242cd" /></Relationships>
</file>

<file path=xl/worksheets/_rels/sheet7.xml.rels>&#65279;<?xml version="1.0" encoding="utf-8"?><Relationships xmlns="http://schemas.openxmlformats.org/package/2006/relationships"><Relationship Type="http://schemas.openxmlformats.org/officeDocument/2006/relationships/table" Target="/xl/tables/table6.xml" Id="Rd1f555be6e3f432e" /></Relationships>
</file>

<file path=xl/worksheets/_rels/sheet8.xml.rels>&#65279;<?xml version="1.0" encoding="utf-8"?><Relationships xmlns="http://schemas.openxmlformats.org/package/2006/relationships"><Relationship Type="http://schemas.openxmlformats.org/officeDocument/2006/relationships/table" Target="/xl/tables/table7.xml" Id="R8d058166fdb546a5" /></Relationships>
</file>

<file path=xl/worksheets/_rels/sheet9.xml.rels>&#65279;<?xml version="1.0" encoding="utf-8"?><Relationships xmlns="http://schemas.openxmlformats.org/package/2006/relationships"><Relationship Type="http://schemas.openxmlformats.org/officeDocument/2006/relationships/table" Target="/xl/tables/table8.xml" Id="Rf49d73922a3047cf" /></Relationships>
</file>

<file path=xl/worksheets/_rels/sheet11.xml.rels>&#65279;<?xml version="1.0" encoding="utf-8"?><Relationships xmlns="http://schemas.openxmlformats.org/package/2006/relationships"><Relationship Type="http://schemas.openxmlformats.org/officeDocument/2006/relationships/table" Target="/xl/tables/table9.xml" Id="Rfea212974432499d" /></Relationships>
</file>

<file path=xl/worksheets/_rels/sheet13.xml.rels>&#65279;<?xml version="1.0" encoding="utf-8"?><Relationships xmlns="http://schemas.openxmlformats.org/package/2006/relationships"><Relationship Type="http://schemas.openxmlformats.org/officeDocument/2006/relationships/table" Target="/xl/tables/table10.xml" Id="Rdc64b01b540e405c"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RUN-I2-067-20260828T153013774046Z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COUNTA('API_CALLS'!$A$5:$A$8)</x:f>
        <x:v>4</x:v>
      </x:c>
      <x:c r="C9" s="21"/>
      <x:c r="D9" s="21"/>
    </x:row>
    <x:row r="10">
      <x:c r="A10" s="27" t="str">
        <x:v>Mean API/LLM elapsed ms</x:v>
      </x:c>
      <x:c r="B10" s="28" t="n">
        <x:f>IFERROR(AVERAGE('API_CALLS'!$K$5:$K$8),0)</x:f>
        <x:v>15992.69675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RUN-I2-067-20260828T153013774046Z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ced553c6b65e4c6a"/>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RUN-I2-067-20260828T153013774046Z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GENERATION_ACCEPTED</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69f240291879456a"/>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RUN-I2-067-20260828T153013774046Z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SESSION-BATCH-20260828T135316382114Z</x:v>
      </x:c>
      <x:c r="B5" s="69" t="str">
        <x:v>RUN-I2-067-20260828T153013774046Z</x:v>
      </x:c>
      <x:c r="C5" s="69" t="str">
        <x:v>I2-067</x:v>
      </x:c>
      <x:c r="D5" s="70" t="n">
        <x:v>46262.64599275463</x:v>
      </x:c>
      <x:c r="E5" s="70" t="n">
        <x:v>46262.64636359954</x:v>
      </x:c>
      <x:c r="F5" s="69" t="str">
        <x:v>final-luna-main-run04</x:v>
      </x:c>
      <x:c r="G5" s="69" t="str">
        <x:v>VOCAB-LOCK-2026-08-22-R13</x:v>
      </x:c>
      <x:c r="H5" s="71" t="n">
        <x:v>1</x:v>
      </x:c>
      <x:c r="I5" s="69" t="str">
        <x:v>GENERATION_ACCEPTED</x:v>
      </x:c>
      <x:c r="J5" s="72" t="b">
        <x:v>1</x:v>
      </x:c>
      <x:c r="K5" s="69" t="str">
        <x:v>final/final_shape.ttl</x:v>
      </x:c>
      <x:c r="L5" s="73" t="str">
        <x:v>The candidate is semantically faithful for the COMPLETE DIRECT_STATIC contract: it targets the required ship owner, constrains every structuralConnection value, and requires the boolean strengthContinuityStatus to be true. No existence requirement for structural connections is independently declared, so the universal constraint need not add sh:minCount.</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3fe68039379e4d15"/>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RUN-I2-067-20260828T153013774046Z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69" t="str">
        <x:v>RUN-I2-067-20260828T153013774046Z</x:v>
      </x:c>
      <x:c r="B5" s="69" t="str">
        <x:v>I2-067</x:v>
      </x:c>
      <x:c r="C5" s="71" t="n">
        <x:v>1</x:v>
      </x:c>
      <x:c r="D5" s="72" t="b">
        <x:v>1</x:v>
      </x:c>
      <x:c r="E5" s="72" t="b">
        <x:v>1</x:v>
      </x:c>
      <x:c r="F5" s="72" t="b">
        <x:v>0</x:v>
      </x:c>
      <x:c r="G5" s="69" t="str">
        <x:v>ACCEPT</x:v>
      </x:c>
      <x:c r="H5" s="73" t="str">
        <x:v>The candidate is semantically faithful for the COMPLETE DIRECT_STATIC contract: it targets the required ship owner, constrains every structuralConnection value, and requires the boolean strengthContinuityStatus to be true. No existence requirement for structural connections is independently declared, so the universal constraint need not add sh:minCount.</x:v>
      </x:c>
      <x:c r="I5" s="75" t="n">
        <x:v>15655.41</x:v>
      </x:c>
      <x:c r="J5" s="75" t="n">
        <x:v>16331.166</x:v>
      </x:c>
    </x:row>
  </x:sheetData>
  <x:conditionalFormatting sqref="G5:G5">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a2ec0e50f5924e7e"/>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RUN-I2-067-20260828T153013774046Z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EVT-000014</x:v>
      </x:c>
      <x:c r="B5" s="45" t="str">
        <x:v>RUN-I2-067-20260828T153013774046Z</x:v>
      </x:c>
      <x:c r="C5" s="45" t="str">
        <x:v>I2-067</x:v>
      </x:c>
      <x:c r="D5" s="88" t="n">
        <x:v>46262.64617395833</x:v>
      </x:c>
      <x:c r="E5" s="45" t="str">
        <x:v>generator</x:v>
      </x:c>
      <x:c r="F5" s="45" t="str">
        <x:v>gpt-5.6-luna-2026-07-09</x:v>
      </x:c>
      <x:c r="G5" s="45" t="n">
        <x:v>1</x:v>
      </x:c>
      <x:c r="H5" s="45" t="n">
        <x:v>200</x:v>
      </x:c>
      <x:c r="I5" s="45" t="str">
        <x:v>Ocp-Apim-Subscription-Key</x:v>
      </x:c>
      <x:c r="J5" s="89" t="n">
        <x:v>0</x:v>
      </x:c>
      <x:c r="K5" s="89" t="n">
        <x:v>15654.401</x:v>
      </x:c>
      <x:c r="L5" s="90" t="b">
        <x:v>0</x:v>
      </x:c>
      <x:c r="M5" s="45" t="str"/>
      <x:c r="N5" s="58" t="str"/>
      <x:c r="O5" s="58" t="str"/>
      <x:c r="P5" s="58" t="str"/>
    </x:row>
    <x:row r="6">
      <x:c r="A6" s="47" t="str">
        <x:v>EVT-000015</x:v>
      </x:c>
      <x:c r="B6" s="47" t="str">
        <x:v>RUN-I2-067-20260828T153013774046Z</x:v>
      </x:c>
      <x:c r="C6" s="47" t="str">
        <x:v>I2-067</x:v>
      </x:c>
      <x:c r="D6" s="91" t="n">
        <x:v>46262.64617396991</x:v>
      </x:c>
      <x:c r="E6" s="47" t="str">
        <x:v>generator</x:v>
      </x:c>
      <x:c r="F6" s="47" t="str">
        <x:v>gpt-5.6-luna-2026-07-09</x:v>
      </x:c>
      <x:c r="G6" s="47" t="n">
        <x:v>1</x:v>
      </x:c>
      <x:c r="H6" s="47" t="str">
        <x:v>COMPLETED</x:v>
      </x:c>
      <x:c r="I6" s="47" t="str"/>
      <x:c r="J6" s="92" t="n">
        <x:v>0</x:v>
      </x:c>
      <x:c r="K6" s="92" t="n">
        <x:v>15655.41</x:v>
      </x:c>
      <x:c r="L6" s="93" t="b">
        <x:v>0</x:v>
      </x:c>
      <x:c r="M6" s="47" t="str">
        <x:v>resp_09b75abf073420c5006a91a9860bf48197b5846be022c675b4</x:v>
      </x:c>
      <x:c r="N6" s="59" t="n">
        <x:v>5357</x:v>
      </x:c>
      <x:c r="O6" s="59" t="n">
        <x:v>942</x:v>
      </x:c>
      <x:c r="P6" s="59" t="n">
        <x:v>6299</x:v>
      </x:c>
    </x:row>
    <x:row r="7">
      <x:c r="A7" s="47" t="str">
        <x:v>EVT-000022</x:v>
      </x:c>
      <x:c r="B7" s="47" t="str">
        <x:v>RUN-I2-067-20260828T153013774046Z</x:v>
      </x:c>
      <x:c r="C7" s="47" t="str">
        <x:v>I2-067</x:v>
      </x:c>
      <x:c r="D7" s="91" t="n">
        <x:v>46262.64636355324</x:v>
      </x:c>
      <x:c r="E7" s="47" t="str">
        <x:v>validator</x:v>
      </x:c>
      <x:c r="F7" s="47" t="str">
        <x:v>gpt-5.6-luna-2026-07-09</x:v>
      </x:c>
      <x:c r="G7" s="47" t="n">
        <x:v>1</x:v>
      </x:c>
      <x:c r="H7" s="47" t="n">
        <x:v>200</x:v>
      </x:c>
      <x:c r="I7" s="47" t="str">
        <x:v>Ocp-Apim-Subscription-Key</x:v>
      </x:c>
      <x:c r="J7" s="92" t="n">
        <x:v>0</x:v>
      </x:c>
      <x:c r="K7" s="92" t="n">
        <x:v>16329.81</x:v>
      </x:c>
      <x:c r="L7" s="93" t="b">
        <x:v>0</x:v>
      </x:c>
      <x:c r="M7" s="47" t="str"/>
      <x:c r="N7" s="59" t="str"/>
      <x:c r="O7" s="59" t="str"/>
      <x:c r="P7" s="59" t="str"/>
    </x:row>
    <x:row r="8">
      <x:c r="A8" s="49" t="str">
        <x:v>EVT-000023</x:v>
      </x:c>
      <x:c r="B8" s="49" t="str">
        <x:v>RUN-I2-067-20260828T153013774046Z</x:v>
      </x:c>
      <x:c r="C8" s="49" t="str">
        <x:v>I2-067</x:v>
      </x:c>
      <x:c r="D8" s="94" t="n">
        <x:v>46262.64636356482</x:v>
      </x:c>
      <x:c r="E8" s="49" t="str">
        <x:v>validator</x:v>
      </x:c>
      <x:c r="F8" s="49" t="str">
        <x:v>gpt-5.6-luna-2026-07-09</x:v>
      </x:c>
      <x:c r="G8" s="49" t="n">
        <x:v>1</x:v>
      </x:c>
      <x:c r="H8" s="49" t="str">
        <x:v>COMPLETED</x:v>
      </x:c>
      <x:c r="I8" s="49" t="str"/>
      <x:c r="J8" s="95" t="n">
        <x:v>0</x:v>
      </x:c>
      <x:c r="K8" s="95" t="n">
        <x:v>16331.166</x:v>
      </x:c>
      <x:c r="L8" s="96" t="b">
        <x:v>0</x:v>
      </x:c>
      <x:c r="M8" s="49" t="str">
        <x:v>resp_05520c846c46be00006a91a9959b048194bca1d620bf06467a</x:v>
      </x:c>
      <x:c r="N8" s="60" t="n">
        <x:v>4021</x:v>
      </x:c>
      <x:c r="O8" s="60" t="n">
        <x:v>914</x:v>
      </x:c>
      <x:c r="P8" s="60" t="n">
        <x:v>4935</x:v>
      </x:c>
    </x:row>
  </x:sheetData>
  <x:conditionalFormatting sqref="H5:H8">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8e9dbddacef242cd"/>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18"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RUN-I2-067-20260828T153013774046Z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RUN-I2-067-20260828T153013774046Z</x:v>
      </x:c>
      <x:c r="B5" s="45" t="str">
        <x:v>I2-067</x:v>
      </x:c>
      <x:c r="C5" s="45" t="str">
        <x:v>benchmarkEntity</x:v>
      </x:c>
      <x:c r="D5" s="46" t="str">
        <x:v>https://w3id.org/nltl/vocab#benchmarkEntity</x:v>
      </x:c>
      <x:c r="E5" s="45" t="str">
        <x:v>Class</x:v>
      </x:c>
      <x:c r="F5" s="45" t="str"/>
      <x:c r="G5" s="45" t="str"/>
      <x:c r="H5" s="45" t="str"/>
      <x:c r="I5" s="46" t="str">
        <x:v>baseline target infrastructure; domain dependency of strengthContinuityStatus; domain dependency of structuralConnection; range dependency of structuralConnection</x:v>
      </x:c>
      <x:c r="J5" s="45" t="n">
        <x:v>0</x:v>
      </x:c>
    </x:row>
    <x:row r="6">
      <x:c r="A6" s="47" t="str">
        <x:v>RUN-I2-067-20260828T153013774046Z</x:v>
      </x:c>
      <x:c r="B6" s="47" t="str">
        <x:v>I2-067</x:v>
      </x:c>
      <x:c r="C6" s="47" t="str">
        <x:v>hasComponent</x:v>
      </x:c>
      <x:c r="D6" s="48" t="str">
        <x:v>https://w3id.org/nltl/vocab#hasComponent</x:v>
      </x:c>
      <x:c r="E6" s="47" t="str">
        <x:v>ObjectProperty</x:v>
      </x:c>
      <x:c r="F6" s="47" t="str"/>
      <x:c r="G6" s="47" t="str">
        <x:v>https://w3id.org/nltl/vocab#shipComponent</x:v>
      </x:c>
      <x:c r="H6" s="47" t="str"/>
      <x:c r="I6" s="48" t="str">
        <x:v>component-path dependency inferred from the linked term module</x:v>
      </x:c>
      <x:c r="J6" s="47" t="n">
        <x:v>0</x:v>
      </x:c>
    </x:row>
    <x:row r="7">
      <x:c r="A7" s="47" t="str">
        <x:v>RUN-I2-067-20260828T153013774046Z</x:v>
      </x:c>
      <x:c r="B7" s="47" t="str">
        <x:v>I2-067</x:v>
      </x:c>
      <x:c r="C7" s="47" t="str">
        <x:v>ship</x:v>
      </x:c>
      <x:c r="D7" s="48" t="str">
        <x:v>https://w3id.org/nltl/vocab#ship</x:v>
      </x:c>
      <x:c r="E7" s="47" t="str">
        <x:v>Class</x:v>
      </x:c>
      <x:c r="F7" s="47" t="str"/>
      <x:c r="G7" s="47" t="str"/>
      <x:c r="H7" s="47" t="str"/>
      <x:c r="I7" s="48" t="str">
        <x:v>authoritative required owner class; authoritative requirement target owner; baseline target infrastructure</x:v>
      </x:c>
      <x:c r="J7" s="47" t="n">
        <x:v>0</x:v>
      </x:c>
    </x:row>
    <x:row r="8">
      <x:c r="A8" s="47" t="str">
        <x:v>RUN-I2-067-20260828T153013774046Z</x:v>
      </x:c>
      <x:c r="B8" s="47" t="str">
        <x:v>I2-067</x:v>
      </x:c>
      <x:c r="C8" s="47" t="str">
        <x:v>shipComponent</x:v>
      </x:c>
      <x:c r="D8" s="48" t="str">
        <x:v>https://w3id.org/nltl/vocab#shipComponent</x:v>
      </x:c>
      <x:c r="E8" s="47" t="str">
        <x:v>Class</x:v>
      </x:c>
      <x:c r="F8" s="47" t="str"/>
      <x:c r="G8" s="47" t="str"/>
      <x:c r="H8" s="47" t="str"/>
      <x:c r="I8" s="48" t="str">
        <x:v>component-path dependency inferred from the linked term module</x:v>
      </x:c>
      <x:c r="J8" s="47" t="n">
        <x:v>0</x:v>
      </x:c>
    </x:row>
    <x:row r="9">
      <x:c r="A9" s="47" t="str">
        <x:v>RUN-I2-067-20260828T153013774046Z</x:v>
      </x:c>
      <x:c r="B9" s="47" t="str">
        <x:v>I2-067</x:v>
      </x:c>
      <x:c r="C9" s="47" t="str">
        <x:v>strengthContinuityStatus</x:v>
      </x:c>
      <x:c r="D9" s="48" t="str">
        <x:v>https://w3id.org/nltl/vocab#strengthContinuityStatus</x:v>
      </x:c>
      <x:c r="E9" s="47" t="str">
        <x:v>DatatypeProperty</x:v>
      </x:c>
      <x:c r="F9" s="47" t="str">
        <x:v>xsd:boolean</x:v>
      </x:c>
      <x:c r="G9" s="47" t="str">
        <x:v>http://www.w3.org/2001/XMLSchema#boolean</x:v>
      </x:c>
      <x:c r="H9" s="47" t="str"/>
      <x:c r="I9" s="48" t="str">
        <x:v>linked by the locked 313-requirement index</x:v>
      </x:c>
      <x:c r="J9" s="47" t="n">
        <x:v>0</x:v>
      </x:c>
    </x:row>
    <x:row r="10">
      <x:c r="A10" s="49" t="str">
        <x:v>RUN-I2-067-20260828T153013774046Z</x:v>
      </x:c>
      <x:c r="B10" s="49" t="str">
        <x:v>I2-067</x:v>
      </x:c>
      <x:c r="C10" s="49" t="str">
        <x:v>structuralConnection</x:v>
      </x:c>
      <x:c r="D10" s="50" t="str">
        <x:v>https://w3id.org/nltl/vocab#structuralConnection</x:v>
      </x:c>
      <x:c r="E10" s="49" t="str">
        <x:v>ObjectProperty</x:v>
      </x:c>
      <x:c r="F10" s="49" t="str"/>
      <x:c r="G10" s="49" t="str">
        <x:v>https://w3id.org/nltl/vocab#benchmarkEntity</x:v>
      </x:c>
      <x:c r="H10" s="49" t="str"/>
      <x:c r="I10" s="50" t="str">
        <x:v>linked by the locked 313-requirement index</x:v>
      </x:c>
      <x:c r="J10" s="49" t="n">
        <x:v>0</x:v>
      </x:c>
    </x:row>
  </x:sheetData>
  <x:pageMargins left="0.7" right="0.7" top="0.75" bottom="0.75" header="0.3" footer="0.3"/>
  <x:tableParts count="1">
    <x:tablePart xmlns:r="http://schemas.openxmlformats.org/officeDocument/2006/relationships" r:id="Rd1f555be6e3f432e"/>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RUN-I2-067-20260828T153013774046Z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RUN-I2-067-20260828T153013774046Z</x:v>
      </x:c>
      <x:c r="B5" s="45" t="str">
        <x:v>I2-067</x:v>
      </x:c>
      <x:c r="C5" s="45" t="str">
        <x:v>FS-BOOL-01</x:v>
      </x:c>
      <x:c r="D5" s="45" t="str">
        <x:v>boolean_state</x:v>
      </x:c>
      <x:c r="E5" s="99" t="n">
        <x:v>0.130435</x:v>
      </x:c>
      <x:c r="F5" s="45" t="str">
        <x:v>boolean | required | value</x:v>
      </x:c>
      <x:c r="G5" s="45" t="str">
        <x:v>synthetic-few-shot-not-benchmark-ground-truth</x:v>
      </x:c>
    </x:row>
    <x:row r="6">
      <x:c r="A6" s="49" t="str">
        <x:v>RUN-I2-067-20260828T153013774046Z</x:v>
      </x:c>
      <x:c r="B6" s="49" t="str">
        <x:v>I2-067</x:v>
      </x:c>
      <x:c r="C6" s="49" t="str">
        <x:v>FS-BOOL-02</x:v>
      </x:c>
      <x:c r="D6" s="49" t="str">
        <x:v>boolean_state</x:v>
      </x:c>
      <x:c r="E6" s="100" t="n">
        <x:v>0.130435</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8d058166fdb546a5"/>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RUN-I2-067-20260828T153013774046Z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69" t="str">
        <x:v>RUN-I2-067-20260828T153013774046Z</x:v>
      </x:c>
      <x:c r="B5" s="69" t="str">
        <x:v>I2-067</x:v>
      </x:c>
      <x:c r="C5" s="71" t="n">
        <x:v>1</x:v>
      </x:c>
      <x:c r="D5" s="72" t="b">
        <x:v>1</x:v>
      </x:c>
      <x:c r="E5" s="72" t="b">
        <x:v>1</x:v>
      </x:c>
      <x:c r="F5" s="72" t="b">
        <x:v>1</x:v>
      </x:c>
      <x:c r="G5" s="72" t="b">
        <x:v>1</x:v>
      </x:c>
      <x:c r="H5" s="72" t="b">
        <x:v>1</x:v>
      </x:c>
      <x:c r="I5" s="72" t="b">
        <x:v>1</x:v>
      </x:c>
      <x:c r="J5" s="72" t="b">
        <x:v>1</x:v>
      </x:c>
      <x:c r="K5" s="102" t="b">
        <x:v>1</x:v>
      </x:c>
      <x:c r="L5" s="73" t="str"/>
      <x:c r="M5" s="73" t="str"/>
      <x:c r="N5" s="73" t="str">
        <x:v>https://w3id.org/nltl/vocab#ship | https://w3id.org/nltl/vocab#strengthContinuityStatus | https://w3id.org/nltl/vocab#structuralConnection</x:v>
      </x:c>
      <x:c r="O5" s="73" t="str"/>
      <x:c r="P5" s="73" t="str"/>
      <x:c r="Q5" s="73" t="str"/>
    </x:row>
  </x:sheetData>
  <x:pageMargins left="0.7" right="0.7" top="0.75" bottom="0.75" header="0.3" footer="0.3"/>
  <x:tableParts count="1">
    <x:tablePart xmlns:r="http://schemas.openxmlformats.org/officeDocument/2006/relationships" r:id="Rf49d73922a3047cf"/>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RUN-I2-067-20260828T153013774046Z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RUN-I2-067-20260828T153013774046Z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RUN-I2-067-20260828T153013774046Z</x:v>
      </x:c>
      <x:c r="B5" s="45" t="str">
        <x:v>I2-067</x:v>
      </x:c>
      <x:c r="C5" s="58"/>
      <x:c r="D5" s="45" t="str">
        <x:v>initial_context_pack</x:v>
      </x:c>
      <x:c r="E5" s="46" t="str">
        <x:v>artifacts/context_pack_initial.json</x:v>
      </x:c>
      <x:c r="F5" s="45" t="str">
        <x:v>0889c62d2258ebc005f54463cb90cd9589cab753c8ac82ef4647c394cc4c44fd</x:v>
      </x:c>
      <x:c r="G5" s="58" t="n">
        <x:v>8742</x:v>
      </x:c>
    </x:row>
    <x:row r="6">
      <x:c r="A6" s="47" t="str">
        <x:v>RUN-I2-067-20260828T153013774046Z</x:v>
      </x:c>
      <x:c r="B6" s="47" t="str">
        <x:v>I2-067</x:v>
      </x:c>
      <x:c r="C6" s="59"/>
      <x:c r="D6" s="47" t="str">
        <x:v>few_shot_selection</x:v>
      </x:c>
      <x:c r="E6" s="48" t="str">
        <x:v>artifacts/few_shots_selected.json</x:v>
      </x:c>
      <x:c r="F6" s="47" t="str">
        <x:v>5c746a9bb856a3e9c43cb6a6585bd5e7e0a018464af53e0bc12702f41c3fc9ff</x:v>
      </x:c>
      <x:c r="G6" s="59" t="n">
        <x:v>3110</x:v>
      </x:c>
    </x:row>
    <x:row r="7">
      <x:c r="A7" s="47" t="str">
        <x:v>RUN-I2-067-20260828T153013774046Z</x:v>
      </x:c>
      <x:c r="B7" s="47" t="str">
        <x:v>I2-067</x:v>
      </x:c>
      <x:c r="C7" s="59" t="n">
        <x:v>1</x:v>
      </x:c>
      <x:c r="D7" s="47" t="str">
        <x:v>generator_prompt</x:v>
      </x:c>
      <x:c r="E7" s="48" t="str">
        <x:v>artifacts/attempt_01/generator_prompt.txt</x:v>
      </x:c>
      <x:c r="F7" s="47" t="str">
        <x:v>762fcd59f489c7a288e2723a33e12bc5033aaca40c809d4c5dd1456580fb0fa0</x:v>
      </x:c>
      <x:c r="G7" s="59" t="n">
        <x:v>23366</x:v>
      </x:c>
    </x:row>
    <x:row r="8">
      <x:c r="A8" s="47" t="str">
        <x:v>RUN-I2-067-20260828T153013774046Z</x:v>
      </x:c>
      <x:c r="B8" s="47" t="str">
        <x:v>I2-067</x:v>
      </x:c>
      <x:c r="C8" s="59" t="n">
        <x:v>1</x:v>
      </x:c>
      <x:c r="D8" s="47" t="str">
        <x:v>generator_raw_response</x:v>
      </x:c>
      <x:c r="E8" s="48" t="str">
        <x:v>artifacts/attempt_01/generator_raw.txt</x:v>
      </x:c>
      <x:c r="F8" s="47" t="str">
        <x:v>0ea8ba8028e1b1af9e4f77821ac86edc541b5778e4a75fc637b38fbf09a8bdae</x:v>
      </x:c>
      <x:c r="G8" s="59" t="n">
        <x:v>653</x:v>
      </x:c>
    </x:row>
    <x:row r="9">
      <x:c r="A9" s="47" t="str">
        <x:v>RUN-I2-067-20260828T153013774046Z</x:v>
      </x:c>
      <x:c r="B9" s="47" t="str">
        <x:v>I2-067</x:v>
      </x:c>
      <x:c r="C9" s="59" t="n">
        <x:v>1</x:v>
      </x:c>
      <x:c r="D9" s="47" t="str">
        <x:v>candidate_shape</x:v>
      </x:c>
      <x:c r="E9" s="48" t="str">
        <x:v>artifacts/attempt_01/candidate_shape.ttl</x:v>
      </x:c>
      <x:c r="F9" s="47" t="str">
        <x:v>d8fed9166a2fd88fe7ebc5933fca64c9a204cedb492fa8ab72ce93ef3c21c3cd</x:v>
      </x:c>
      <x:c r="G9" s="59" t="n">
        <x:v>628</x:v>
      </x:c>
    </x:row>
    <x:row r="10">
      <x:c r="A10" s="47" t="str">
        <x:v>RUN-I2-067-20260828T153013774046Z</x:v>
      </x:c>
      <x:c r="B10" s="47" t="str">
        <x:v>I2-067</x:v>
      </x:c>
      <x:c r="C10" s="59" t="n">
        <x:v>1</x:v>
      </x:c>
      <x:c r="D10" s="47" t="str">
        <x:v>deterministic_validation</x:v>
      </x:c>
      <x:c r="E10" s="48" t="str">
        <x:v>artifacts/attempt_01/deterministic_validation.json</x:v>
      </x:c>
      <x:c r="F10" s="47" t="str">
        <x:v>83986cc0c4d897c90ba162a40cc6f983560f24bb47a60adeab7322a8bc1e6aea</x:v>
      </x:c>
      <x:c r="G10" s="59" t="n">
        <x:v>545</x:v>
      </x:c>
    </x:row>
    <x:row r="11">
      <x:c r="A11" s="47" t="str">
        <x:v>RUN-I2-067-20260828T153013774046Z</x:v>
      </x:c>
      <x:c r="B11" s="47" t="str">
        <x:v>I2-067</x:v>
      </x:c>
      <x:c r="C11" s="59" t="n">
        <x:v>1</x:v>
      </x:c>
      <x:c r="D11" s="47" t="str">
        <x:v>validator_prompt</x:v>
      </x:c>
      <x:c r="E11" s="48" t="str">
        <x:v>artifacts/attempt_01/validator_prompt_01.txt</x:v>
      </x:c>
      <x:c r="F11" s="47" t="str">
        <x:v>68ee2b0d60e86b3d1c1faed6b74aa4a541dde2d5bdc282ead66c62ae4d58843f</x:v>
      </x:c>
      <x:c r="G11" s="59" t="n">
        <x:v>17657</x:v>
      </x:c>
    </x:row>
    <x:row r="12">
      <x:c r="A12" s="47" t="str">
        <x:v>RUN-I2-067-20260828T153013774046Z</x:v>
      </x:c>
      <x:c r="B12" s="47" t="str">
        <x:v>I2-067</x:v>
      </x:c>
      <x:c r="C12" s="59" t="n">
        <x:v>1</x:v>
      </x:c>
      <x:c r="D12" s="47" t="str">
        <x:v>validator_raw_response</x:v>
      </x:c>
      <x:c r="E12" s="48" t="str">
        <x:v>artifacts/attempt_01/validator_raw_01.txt</x:v>
      </x:c>
      <x:c r="F12" s="47" t="str">
        <x:v>93d5e4f9b00fcb3e2ab5c3f28802841d42368fb125d397da75083588788bbb2b</x:v>
      </x:c>
      <x:c r="G12" s="59" t="n">
        <x:v>418</x:v>
      </x:c>
    </x:row>
    <x:row r="13">
      <x:c r="A13" s="49" t="str">
        <x:v>RUN-I2-067-20260828T153013774046Z</x:v>
      </x:c>
      <x:c r="B13" s="49" t="str">
        <x:v>I2-067</x:v>
      </x:c>
      <x:c r="C13" s="60" t="n">
        <x:v>1</x:v>
      </x:c>
      <x:c r="D13" s="49" t="str">
        <x:v>final_accepted_shape</x:v>
      </x:c>
      <x:c r="E13" s="50" t="str">
        <x:v>final/final_shape.ttl</x:v>
      </x:c>
      <x:c r="F13" s="49" t="str">
        <x:v>d8fed9166a2fd88fe7ebc5933fca64c9a204cedb492fa8ab72ce93ef3c21c3cd</x:v>
      </x:c>
      <x:c r="G13" s="60" t="n">
        <x:v>628</x:v>
      </x:c>
    </x:row>
  </x:sheetData>
  <x:pageMargins left="0.7" right="0.7" top="0.75" bottom="0.75" header="0.3" footer="0.3"/>
  <x:tableParts count="1">
    <x:tablePart xmlns:r="http://schemas.openxmlformats.org/officeDocument/2006/relationships" r:id="Rfea212974432499d"/>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RUN-I2-067-20260828T153013774046Z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RUN-I2-067-20260828T153013774046Z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RUN-I2-067-20260828T153013774046Z</x:v>
      </x:c>
      <x:c r="B5" s="69" t="str">
        <x:v>I2-067</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dc64b01b540e405c"/>
  </x:tableParts>
</x:worksheet>
</file>