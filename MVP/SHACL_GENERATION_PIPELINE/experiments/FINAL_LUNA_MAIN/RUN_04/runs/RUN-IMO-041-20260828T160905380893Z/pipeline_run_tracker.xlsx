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5f76cdadbe48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50a9b86d89e42d9"/>
    <x:sheet xmlns:r="http://schemas.openxmlformats.org/officeDocument/2006/relationships" name="README" sheetId="2" r:id="R8fee9d818f884510"/>
    <x:sheet xmlns:r="http://schemas.openxmlformats.org/officeDocument/2006/relationships" name="REGULATION_QUEUE" sheetId="3" r:id="R43cac5b01bc44520"/>
    <x:sheet xmlns:r="http://schemas.openxmlformats.org/officeDocument/2006/relationships" name="RUNS" sheetId="4" r:id="R0bb2bfef81cc4834"/>
    <x:sheet xmlns:r="http://schemas.openxmlformats.org/officeDocument/2006/relationships" name="ITERATIONS" sheetId="5" r:id="R83605bda50ff4ed2"/>
    <x:sheet xmlns:r="http://schemas.openxmlformats.org/officeDocument/2006/relationships" name="API_CALLS" sheetId="6" r:id="R1c68a6ef0c294e2c"/>
    <x:sheet xmlns:r="http://schemas.openxmlformats.org/officeDocument/2006/relationships" name="TERM_RETRIEVAL" sheetId="7" r:id="R904607395bbc43d4"/>
    <x:sheet xmlns:r="http://schemas.openxmlformats.org/officeDocument/2006/relationships" name="FEW_SHOT_SELECTION" sheetId="8" r:id="R0cd86b02a2df42d0"/>
    <x:sheet xmlns:r="http://schemas.openxmlformats.org/officeDocument/2006/relationships" name="VALIDATION" sheetId="9" r:id="Rba866445a7464e38"/>
    <x:sheet xmlns:r="http://schemas.openxmlformats.org/officeDocument/2006/relationships" name="VOCAB_MATCHES" sheetId="10" r:id="R1c40b991c9604877"/>
    <x:sheet xmlns:r="http://schemas.openxmlformats.org/officeDocument/2006/relationships" name="ARTIFACTS" sheetId="11" r:id="Rc62ddeb254724e0a"/>
    <x:sheet xmlns:r="http://schemas.openxmlformats.org/officeDocument/2006/relationships" name="UNRESOLVED" sheetId="12" r:id="R7843ad59d3a44c6e"/>
    <x:sheet xmlns:r="http://schemas.openxmlformats.org/officeDocument/2006/relationships" name="RDF_TEST_QUEUE" sheetId="13" r:id="R9ce67d7a927348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bfb1aedba642a2" /><Relationship Type="http://schemas.openxmlformats.org/officeDocument/2006/relationships/theme" Target="/xl/theme/theme1.xml" Id="Re88b73fcffb04374" /><Relationship Type="http://schemas.microsoft.com/office/2022/11/relationships/FeaturePropertyBag" Target="/xl/featurePropertyBag/featurePropertyBag.xml" Id="R9a4846c2e1b24b1e" /><Relationship Type="http://schemas.openxmlformats.org/officeDocument/2006/relationships/sharedStrings" Target="/xl/sharedStrings.xml" Id="Re0f6f8679a8a4919" /><Relationship Type="http://schemas.openxmlformats.org/officeDocument/2006/relationships/worksheet" Target="/xl/worksheets/sheet1.xml" Id="Rd50a9b86d89e42d9" /><Relationship Type="http://schemas.openxmlformats.org/officeDocument/2006/relationships/worksheet" Target="/xl/worksheets/sheet2.xml" Id="R8fee9d818f884510" /><Relationship Type="http://schemas.openxmlformats.org/officeDocument/2006/relationships/worksheet" Target="/xl/worksheets/sheet3.xml" Id="R43cac5b01bc44520" /><Relationship Type="http://schemas.openxmlformats.org/officeDocument/2006/relationships/worksheet" Target="/xl/worksheets/sheet4.xml" Id="R0bb2bfef81cc4834" /><Relationship Type="http://schemas.openxmlformats.org/officeDocument/2006/relationships/worksheet" Target="/xl/worksheets/sheet5.xml" Id="R83605bda50ff4ed2" /><Relationship Type="http://schemas.openxmlformats.org/officeDocument/2006/relationships/worksheet" Target="/xl/worksheets/sheet6.xml" Id="R1c68a6ef0c294e2c" /><Relationship Type="http://schemas.openxmlformats.org/officeDocument/2006/relationships/worksheet" Target="/xl/worksheets/sheet7.xml" Id="R904607395bbc43d4" /><Relationship Type="http://schemas.openxmlformats.org/officeDocument/2006/relationships/worksheet" Target="/xl/worksheets/sheet8.xml" Id="R0cd86b02a2df42d0" /><Relationship Type="http://schemas.openxmlformats.org/officeDocument/2006/relationships/worksheet" Target="/xl/worksheets/sheet9.xml" Id="Rba866445a7464e38" /><Relationship Type="http://schemas.openxmlformats.org/officeDocument/2006/relationships/worksheet" Target="/xl/worksheets/sheet10.xml" Id="R1c40b991c9604877" /><Relationship Type="http://schemas.openxmlformats.org/officeDocument/2006/relationships/worksheet" Target="/xl/worksheets/sheet11.xml" Id="Rc62ddeb254724e0a" /><Relationship Type="http://schemas.openxmlformats.org/officeDocument/2006/relationships/worksheet" Target="/xl/worksheets/sheet12.xml" Id="R7843ad59d3a44c6e" /><Relationship Type="http://schemas.openxmlformats.org/officeDocument/2006/relationships/worksheet" Target="/xl/worksheets/sheet13.xml" Id="R9ce67d7a927348e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9645bfba7ee41e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89737434d2a4fb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c279a22cb0f476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58dd1875e5147c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c104b2a6c904c7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5a6ca625cb84b9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dbe1e21bfe343c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c33069ad612431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fceb7a844604cf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0a2340403fb462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RUN-IMO-041-20260828T160905380893Z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10518.937000000002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RUN-IMO-041-20260828T160905380893Z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9645bfba7ee41e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RUN-IMO-041-20260828T160905380893Z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GENERATION_ACCEPTED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89737434d2a4fb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RUN-IMO-041-20260828T160905380893Z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RUN-IMO-041-20260828T160905380893Z</x:v>
      </x:c>
      <x:c r="C5" s="69" t="str">
        <x:v>IMO-041</x:v>
      </x:c>
      <x:c r="D5" s="70" t="n">
        <x:v>46262.67297894676</x:v>
      </x:c>
      <x:c r="E5" s="70" t="n">
        <x:v>46262.673223101854</x:v>
      </x:c>
      <x:c r="F5" s="69" t="str">
        <x:v>final-luna-main-run04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DIRECT_STATIC conditional requirement: both supplied ship-owned properties use the canonical namespace, correct datatypes, and correct target; the hydraulic condition is explicitly checked and requires the protection boolean to be true.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c279a22cb0f476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RUN-IMO-041-20260828T160905380893Z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RUN-IMO-041-20260828T160905380893Z</x:v>
      </x:c>
      <x:c r="B5" s="69" t="str">
        <x:v>IMO-041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DIRECT_STATIC conditional requirement: both supplied ship-owned properties use the canonical namespace, correct datatypes, and correct target; the hydraulic condition is explicitly checked and requires the protection boolean to be true. Deterministic validation is valid.</x:v>
      </x:c>
      <x:c r="I5" s="75" t="n">
        <x:v>12283.088</x:v>
      </x:c>
      <x:c r="J5" s="75" t="n">
        <x:v>8756.378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58dd1875e5147c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RUN-IMO-041-20260828T160905380893Z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RUN-IMO-041-20260828T160905380893Z</x:v>
      </x:c>
      <x:c r="C5" s="45" t="str">
        <x:v>IMO-041</x:v>
      </x:c>
      <x:c r="D5" s="88" t="n">
        <x:v>46262.67312111111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12281.43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RUN-IMO-041-20260828T160905380893Z</x:v>
      </x:c>
      <x:c r="C6" s="47" t="str">
        <x:v>IMO-041</x:v>
      </x:c>
      <x:c r="D6" s="91" t="n">
        <x:v>46262.67312112269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12283.088</x:v>
      </x:c>
      <x:c r="L6" s="93" t="b">
        <x:v>0</x:v>
      </x:c>
      <x:c r="M6" s="47" t="str">
        <x:v>resp_044a354af18880ef006a91b2a1876881948059b3f76204b0a6</x:v>
      </x:c>
      <x:c r="N6" s="59" t="n">
        <x:v>5126</x:v>
      </x:c>
      <x:c r="O6" s="59" t="n">
        <x:v>857</x:v>
      </x:c>
      <x:c r="P6" s="59" t="n">
        <x:v>5983</x:v>
      </x:c>
    </x:row>
    <x:row r="7">
      <x:c r="A7" s="47" t="str">
        <x:v>EVT-000020</x:v>
      </x:c>
      <x:c r="B7" s="47" t="str">
        <x:v>RUN-IMO-041-20260828T160905380893Z</x:v>
      </x:c>
      <x:c r="C7" s="47" t="str">
        <x:v>IMO-041</x:v>
      </x:c>
      <x:c r="D7" s="91" t="n">
        <x:v>46262.673223032405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8754.852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RUN-IMO-041-20260828T160905380893Z</x:v>
      </x:c>
      <x:c r="C8" s="49" t="str">
        <x:v>IMO-041</x:v>
      </x:c>
      <x:c r="D8" s="94" t="n">
        <x:v>46262.67322304398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8756.378</x:v>
      </x:c>
      <x:c r="L8" s="96" t="b">
        <x:v>0</x:v>
      </x:c>
      <x:c r="M8" s="49" t="str">
        <x:v>resp_0157972d35622c3f006a91b2aecfe88193ba43906984c4c851</x:v>
      </x:c>
      <x:c r="N8" s="60" t="n">
        <x:v>4028</x:v>
      </x:c>
      <x:c r="O8" s="60" t="n">
        <x:v>323</x:v>
      </x:c>
      <x:c r="P8" s="60" t="n">
        <x:v>4351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c104b2a6c904c7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RUN-IMO-041-20260828T160905380893Z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RUN-IMO-041-20260828T160905380893Z</x:v>
      </x:c>
      <x:c r="B5" s="45" t="str">
        <x:v>IMO-041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hydraulicFluidFreezingOrViscosityControlPresent; domain dependency of openingActuationType</x:v>
      </x:c>
      <x:c r="J5" s="45" t="n">
        <x:v>0</x:v>
      </x:c>
    </x:row>
    <x:row r="6">
      <x:c r="A6" s="47" t="str">
        <x:v>RUN-IMO-041-20260828T160905380893Z</x:v>
      </x:c>
      <x:c r="B6" s="47" t="str">
        <x:v>IMO-041</x:v>
      </x:c>
      <x:c r="C6" s="47" t="str">
        <x:v>hydraulicFluidFreezingOrViscosityControlPresent</x:v>
      </x:c>
      <x:c r="D6" s="48" t="str">
        <x:v>https://w3id.org/nltl/vocab#hydraulicFluidFreezingOrViscosityControlPresent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RUN-IMO-041-20260828T160905380893Z</x:v>
      </x:c>
      <x:c r="B7" s="47" t="str">
        <x:v>IMO-041</x:v>
      </x:c>
      <x:c r="C7" s="47" t="str">
        <x:v>openingActuationType</x:v>
      </x:c>
      <x:c r="D7" s="48" t="str">
        <x:v>https://w3id.org/nltl/vocab#openingActuationType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RUN-IMO-041-20260828T160905380893Z</x:v>
      </x:c>
      <x:c r="B8" s="49" t="str">
        <x:v>IMO-041</x:v>
      </x:c>
      <x:c r="C8" s="49" t="str">
        <x:v>ship</x:v>
      </x:c>
      <x:c r="D8" s="50" t="str">
        <x:v>https://w3id.org/nltl/vocab#ship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5a6ca625cb84b9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RUN-IMO-041-20260828T160905380893Z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RUN-IMO-041-20260828T160905380893Z</x:v>
      </x:c>
      <x:c r="B5" s="45" t="str">
        <x:v>IMO-041</x:v>
      </x:c>
      <x:c r="C5" s="45" t="str">
        <x:v>FS-BOOL-01</x:v>
      </x:c>
      <x:c r="D5" s="45" t="str">
        <x:v>boolean_state</x:v>
      </x:c>
      <x:c r="E5" s="99" t="n">
        <x:v>0.076923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RUN-IMO-041-20260828T160905380893Z</x:v>
      </x:c>
      <x:c r="B6" s="49" t="str">
        <x:v>IMO-041</x:v>
      </x:c>
      <x:c r="C6" s="49" t="str">
        <x:v>FS-BOOL-02</x:v>
      </x:c>
      <x:c r="D6" s="49" t="str">
        <x:v>boolean_state</x:v>
      </x:c>
      <x:c r="E6" s="100" t="n">
        <x:v>0.076923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dbe1e21bfe343c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RUN-IMO-041-20260828T160905380893Z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RUN-IMO-041-20260828T160905380893Z</x:v>
      </x:c>
      <x:c r="B5" s="69" t="str">
        <x:v>IMO-041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https://w3id.org/nltl/vocab#hydraulicFluidFreezingOrViscosityControlPresent | https://w3id.org/nltl/vocab#openingActuationType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c33069ad612431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RUN-IMO-041-20260828T160905380893Z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RUN-IMO-041-20260828T160905380893Z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RUN-IMO-041-20260828T160905380893Z</x:v>
      </x:c>
      <x:c r="B5" s="45" t="str">
        <x:v>IMO-041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776708e3cc3a5a65a5ba5769fff4d7524deba51238aaa520a63c4f46c4e84568</x:v>
      </x:c>
      <x:c r="G5" s="58" t="n">
        <x:v>7776</x:v>
      </x:c>
    </x:row>
    <x:row r="6">
      <x:c r="A6" s="47" t="str">
        <x:v>RUN-IMO-041-20260828T160905380893Z</x:v>
      </x:c>
      <x:c r="B6" s="47" t="str">
        <x:v>IMO-041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4318eedae780df2903195fb78e76b8e7d49197a2ac5c5b5137cda4d6bd0fdb09</x:v>
      </x:c>
      <x:c r="G6" s="59" t="n">
        <x:v>3110</x:v>
      </x:c>
    </x:row>
    <x:row r="7">
      <x:c r="A7" s="47" t="str">
        <x:v>RUN-IMO-041-20260828T160905380893Z</x:v>
      </x:c>
      <x:c r="B7" s="47" t="str">
        <x:v>IMO-041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cd7734acfde3b0627de41b272ec44d3709b41903a7fec1c668043bd858dc116c</x:v>
      </x:c>
      <x:c r="G7" s="59" t="n">
        <x:v>22400</x:v>
      </x:c>
    </x:row>
    <x:row r="8">
      <x:c r="A8" s="47" t="str">
        <x:v>RUN-IMO-041-20260828T160905380893Z</x:v>
      </x:c>
      <x:c r="B8" s="47" t="str">
        <x:v>IMO-041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6af8ae687d1b449760fb92a7681c0c15ad688115aeece427cfce2bd676c8a836</x:v>
      </x:c>
      <x:c r="G8" s="59" t="n">
        <x:v>1282</x:v>
      </x:c>
    </x:row>
    <x:row r="9">
      <x:c r="A9" s="47" t="str">
        <x:v>RUN-IMO-041-20260828T160905380893Z</x:v>
      </x:c>
      <x:c r="B9" s="47" t="str">
        <x:v>IMO-041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6617d7bb1bdd4170c33ccc60d93f9b93b49615f5eda206841c77696190f0dc6a</x:v>
      </x:c>
      <x:c r="G9" s="59" t="n">
        <x:v>1257</x:v>
      </x:c>
    </x:row>
    <x:row r="10">
      <x:c r="A10" s="47" t="str">
        <x:v>RUN-IMO-041-20260828T160905380893Z</x:v>
      </x:c>
      <x:c r="B10" s="47" t="str">
        <x:v>IMO-041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6090a9445dc2f41a33131b8c4acd368881b05b735556989fc31a6e54a0e6043b</x:v>
      </x:c>
      <x:c r="G10" s="59" t="n">
        <x:v>568</x:v>
      </x:c>
    </x:row>
    <x:row r="11">
      <x:c r="A11" s="47" t="str">
        <x:v>RUN-IMO-041-20260828T160905380893Z</x:v>
      </x:c>
      <x:c r="B11" s="47" t="str">
        <x:v>IMO-041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18eac31fa2a4861cd64230eecac55bcdf3ac6aa5bf1502e9b090b0c982b3bbf2</x:v>
      </x:c>
      <x:c r="G11" s="59" t="n">
        <x:v>17571</x:v>
      </x:c>
    </x:row>
    <x:row r="12">
      <x:c r="A12" s="47" t="str">
        <x:v>RUN-IMO-041-20260828T160905380893Z</x:v>
      </x:c>
      <x:c r="B12" s="47" t="str">
        <x:v>IMO-041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290aa535cc491c6c201a3e9dd51ec34500a29105e9686946979ea2880cdcbeb4</x:v>
      </x:c>
      <x:c r="G12" s="59" t="n">
        <x:v>371</x:v>
      </x:c>
    </x:row>
    <x:row r="13">
      <x:c r="A13" s="49" t="str">
        <x:v>RUN-IMO-041-20260828T160905380893Z</x:v>
      </x:c>
      <x:c r="B13" s="49" t="str">
        <x:v>IMO-041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6617d7bb1bdd4170c33ccc60d93f9b93b49615f5eda206841c77696190f0dc6a</x:v>
      </x:c>
      <x:c r="G13" s="60" t="n">
        <x:v>1257</x:v>
      </x:c>
    </x:row>
  </x:sheetData>
  <x:pageMargins left="0.7" right="0.7" top="0.75" bottom="0.75" header="0.3" footer="0.3"/>
  <x:tableParts count="1">
    <x:tablePart xmlns:r="http://schemas.openxmlformats.org/officeDocument/2006/relationships" r:id="R0fceb7a844604cf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RUN-IMO-041-20260828T160905380893Z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RUN-IMO-041-20260828T160905380893Z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RUN-IMO-041-20260828T160905380893Z</x:v>
      </x:c>
      <x:c r="B5" s="69" t="str">
        <x:v>IMO-041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0a2340403fb462e"/>
  </x:tableParts>
</x:worksheet>
</file>