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423332706e4d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5262574ba4f4387"/>
    <x:sheet xmlns:r="http://schemas.openxmlformats.org/officeDocument/2006/relationships" name="README" sheetId="2" r:id="R581929b01aed41d7"/>
    <x:sheet xmlns:r="http://schemas.openxmlformats.org/officeDocument/2006/relationships" name="REGULATION_QUEUE" sheetId="3" r:id="Rf4b193ad925b4122"/>
    <x:sheet xmlns:r="http://schemas.openxmlformats.org/officeDocument/2006/relationships" name="RUNS" sheetId="4" r:id="Rc828d2b23fb74ef1"/>
    <x:sheet xmlns:r="http://schemas.openxmlformats.org/officeDocument/2006/relationships" name="ITERATIONS" sheetId="5" r:id="R4f02681ab5be4058"/>
    <x:sheet xmlns:r="http://schemas.openxmlformats.org/officeDocument/2006/relationships" name="API_CALLS" sheetId="6" r:id="R49951618492e46cc"/>
    <x:sheet xmlns:r="http://schemas.openxmlformats.org/officeDocument/2006/relationships" name="TERM_RETRIEVAL" sheetId="7" r:id="Ra8ae127a0fc74d33"/>
    <x:sheet xmlns:r="http://schemas.openxmlformats.org/officeDocument/2006/relationships" name="FEW_SHOT_SELECTION" sheetId="8" r:id="Ra00e2bec374e4c4b"/>
    <x:sheet xmlns:r="http://schemas.openxmlformats.org/officeDocument/2006/relationships" name="VALIDATION" sheetId="9" r:id="R177ec791a88343b7"/>
    <x:sheet xmlns:r="http://schemas.openxmlformats.org/officeDocument/2006/relationships" name="VOCAB_MATCHES" sheetId="10" r:id="R2c5b781e17ab4d51"/>
    <x:sheet xmlns:r="http://schemas.openxmlformats.org/officeDocument/2006/relationships" name="ARTIFACTS" sheetId="11" r:id="R3343b9413f194f51"/>
    <x:sheet xmlns:r="http://schemas.openxmlformats.org/officeDocument/2006/relationships" name="UNRESOLVED" sheetId="12" r:id="Ra61f8601aac34fe7"/>
    <x:sheet xmlns:r="http://schemas.openxmlformats.org/officeDocument/2006/relationships" name="RDF_TEST_QUEUE" sheetId="13" r:id="Rf7cf8291502b48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432bed4a374c98" /><Relationship Type="http://schemas.openxmlformats.org/officeDocument/2006/relationships/theme" Target="/xl/theme/theme1.xml" Id="Rbea9567cc8444500" /><Relationship Type="http://schemas.microsoft.com/office/2022/11/relationships/FeaturePropertyBag" Target="/xl/featurePropertyBag/featurePropertyBag.xml" Id="R43bd6a65b4bb4519" /><Relationship Type="http://schemas.openxmlformats.org/officeDocument/2006/relationships/sharedStrings" Target="/xl/sharedStrings.xml" Id="R9109405fdd4f49ca" /><Relationship Type="http://schemas.openxmlformats.org/officeDocument/2006/relationships/worksheet" Target="/xl/worksheets/sheet1.xml" Id="Rc5262574ba4f4387" /><Relationship Type="http://schemas.openxmlformats.org/officeDocument/2006/relationships/worksheet" Target="/xl/worksheets/sheet2.xml" Id="R581929b01aed41d7" /><Relationship Type="http://schemas.openxmlformats.org/officeDocument/2006/relationships/worksheet" Target="/xl/worksheets/sheet3.xml" Id="Rf4b193ad925b4122" /><Relationship Type="http://schemas.openxmlformats.org/officeDocument/2006/relationships/worksheet" Target="/xl/worksheets/sheet4.xml" Id="Rc828d2b23fb74ef1" /><Relationship Type="http://schemas.openxmlformats.org/officeDocument/2006/relationships/worksheet" Target="/xl/worksheets/sheet5.xml" Id="R4f02681ab5be4058" /><Relationship Type="http://schemas.openxmlformats.org/officeDocument/2006/relationships/worksheet" Target="/xl/worksheets/sheet6.xml" Id="R49951618492e46cc" /><Relationship Type="http://schemas.openxmlformats.org/officeDocument/2006/relationships/worksheet" Target="/xl/worksheets/sheet7.xml" Id="Ra8ae127a0fc74d33" /><Relationship Type="http://schemas.openxmlformats.org/officeDocument/2006/relationships/worksheet" Target="/xl/worksheets/sheet8.xml" Id="Ra00e2bec374e4c4b" /><Relationship Type="http://schemas.openxmlformats.org/officeDocument/2006/relationships/worksheet" Target="/xl/worksheets/sheet9.xml" Id="R177ec791a88343b7" /><Relationship Type="http://schemas.openxmlformats.org/officeDocument/2006/relationships/worksheet" Target="/xl/worksheets/sheet10.xml" Id="R2c5b781e17ab4d51" /><Relationship Type="http://schemas.openxmlformats.org/officeDocument/2006/relationships/worksheet" Target="/xl/worksheets/sheet11.xml" Id="R3343b9413f194f51" /><Relationship Type="http://schemas.openxmlformats.org/officeDocument/2006/relationships/worksheet" Target="/xl/worksheets/sheet12.xml" Id="Ra61f8601aac34fe7" /><Relationship Type="http://schemas.openxmlformats.org/officeDocument/2006/relationships/worksheet" Target="/xl/worksheets/sheet13.xml" Id="Rf7cf8291502b483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021688a6873485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8cd718adbd7483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e5b4b7f4a604e7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3ac48e691f14b5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5b4dc9da5074fa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13d6342b7b94e0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a286d9717cd415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96206ecd92141d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308ee325810c458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6e4a2e705779461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cdd07c64ec56428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RUN-IMO-100-20260828T171737774568Z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10225.797333333334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RUN-IMO-100-20260828T171737774568Z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021688a6873485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RUN-IMO-100-20260828T171737774568Z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TERM_RESOLUTION_UNRESOLVED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cd718adbd7483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RUN-IMO-100-20260828T171737774568Z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RUN-IMO-100-20260828T171737774568Z</x:v>
      </x:c>
      <x:c r="C5" s="69" t="str">
        <x:v>IMO-100</x:v>
      </x:c>
      <x:c r="D5" s="70" t="n">
        <x:v>46262.720576099535</x:v>
      </x:c>
      <x:c r="E5" s="70" t="n">
        <x:v>46262.72094113426</x:v>
      </x:c>
      <x:c r="F5" s="69" t="str">
        <x:v>final-luna-main-run04</x:v>
      </x:c>
      <x:c r="G5" s="69" t="str">
        <x:v>VOCAB-LOCK-2026-08-22-R13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is a verified canonical term for the required voyage-plan/hazard relationship and coverage constraint.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e5b4b7f4a604e7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RUN-IMO-100-20260828T171737774568Z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RUN-IMO-100-20260828T171737774568Z</x:v>
      </x:c>
      <x:c r="B5" s="69" t="str">
        <x:v>IMO-100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Do not encode hazard coverage as a presence-only boolean. The requirement requires verifying that the voyage plan addresses every identified intended-voyage hazard; add the canonical voyage-plan/hazard relationship and a SHACL constraint that covers each identified hazard, preserving ship ownership and the required voyage_plan_present = true check. The scoped vocabulary lacks the needed relationship term, so locate it before repair.</x:v>
      </x:c>
      <x:c r="I5" s="75" t="n">
        <x:v>18310.598</x:v>
      </x:c>
      <x:c r="J5" s="75" t="n">
        <x:v>9563.779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3ac48e691f14b5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RUN-IMO-100-20260828T171737774568Z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RUN-IMO-100-20260828T171737774568Z</x:v>
      </x:c>
      <x:c r="C5" s="45" t="str">
        <x:v>IMO-100</x:v>
      </x:c>
      <x:c r="D5" s="88" t="n">
        <x:v>46262.72078802083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18308.956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RUN-IMO-100-20260828T171737774568Z</x:v>
      </x:c>
      <x:c r="C6" s="47" t="str">
        <x:v>IMO-100</x:v>
      </x:c>
      <x:c r="D6" s="91" t="n">
        <x:v>46262.72078804398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18310.598</x:v>
      </x:c>
      <x:c r="L6" s="93" t="b">
        <x:v>0</x:v>
      </x:c>
      <x:c r="M6" s="47" t="str">
        <x:v>resp_049203b979bb3e4e006a91c2b1d8e881959f6e039a63b81025</x:v>
      </x:c>
      <x:c r="N6" s="59" t="n">
        <x:v>5508</x:v>
      </x:c>
      <x:c r="O6" s="59" t="n">
        <x:v>819</x:v>
      </x:c>
      <x:c r="P6" s="59" t="n">
        <x:v>6327</x:v>
      </x:c>
    </x:row>
    <x:row r="7">
      <x:c r="A7" s="47" t="str">
        <x:v>EVT-000021</x:v>
      </x:c>
      <x:c r="B7" s="47" t="str">
        <x:v>RUN-IMO-100-20260828T171737774568Z</x:v>
      </x:c>
      <x:c r="C7" s="47" t="str">
        <x:v>IMO-100</x:v>
      </x:c>
      <x:c r="D7" s="91" t="n">
        <x:v>46262.72089939815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9562.075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EVT-000022</x:v>
      </x:c>
      <x:c r="B8" s="47" t="str">
        <x:v>RUN-IMO-100-20260828T171737774568Z</x:v>
      </x:c>
      <x:c r="C8" s="47" t="str">
        <x:v>IMO-100</x:v>
      </x:c>
      <x:c r="D8" s="91" t="n">
        <x:v>46262.72089943287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9563.779</x:v>
      </x:c>
      <x:c r="L8" s="93" t="b">
        <x:v>0</x:v>
      </x:c>
      <x:c r="M8" s="47" t="str">
        <x:v>resp_0195e5c31b433183006a91c2c469c48196b257cb69cc7d8e12</x:v>
      </x:c>
      <x:c r="N8" s="59" t="n">
        <x:v>4490</x:v>
      </x:c>
      <x:c r="O8" s="59" t="n">
        <x:v>419</x:v>
      </x:c>
      <x:c r="P8" s="59" t="n">
        <x:v>4909</x:v>
      </x:c>
    </x:row>
    <x:row r="9">
      <x:c r="A9" s="47" t="str">
        <x:v>EVT-000028</x:v>
      </x:c>
      <x:c r="B9" s="47" t="str">
        <x:v>RUN-IMO-100-20260828T171737774568Z</x:v>
      </x:c>
      <x:c r="C9" s="47" t="str">
        <x:v>IMO-100</x:v>
      </x:c>
      <x:c r="D9" s="91" t="n">
        <x:v>46262.72094107639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2804.15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EVT-000029</x:v>
      </x:c>
      <x:c r="B10" s="49" t="str">
        <x:v>RUN-IMO-100-20260828T171737774568Z</x:v>
      </x:c>
      <x:c r="C10" s="49" t="str">
        <x:v>IMO-100</x:v>
      </x:c>
      <x:c r="D10" s="94" t="n">
        <x:v>46262.720941087966</x:v>
      </x:c>
      <x:c r="E10" s="49" t="str">
        <x:v>vocabulary_matcher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2805.226</x:v>
      </x:c>
      <x:c r="L10" s="96" t="b">
        <x:v>0</x:v>
      </x:c>
      <x:c r="M10" s="49" t="str">
        <x:v>resp_064b3aeb4b7b5f26006a91c2ce936c8190bf85ddc8d9b3a6f0</x:v>
      </x:c>
      <x:c r="N10" s="60" t="n">
        <x:v>1487</x:v>
      </x:c>
      <x:c r="O10" s="60" t="n">
        <x:v>110</x:v>
      </x:c>
      <x:c r="P10" s="60" t="n">
        <x:v>1597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b4dc9da5074fa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RUN-IMO-100-20260828T171737774568Z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RUN-IMO-100-20260828T171737774568Z</x:v>
      </x:c>
      <x:c r="B5" s="45" t="str">
        <x:v>IMO-100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identifiedIntendedVoyageHazard; domain dependency of voyagePlanHazardCoverage; domain dependency of voyagePlanPresent</x:v>
      </x:c>
      <x:c r="J5" s="45" t="n">
        <x:v>0</x:v>
      </x:c>
    </x:row>
    <x:row r="6">
      <x:c r="A6" s="47" t="str">
        <x:v>RUN-IMO-100-20260828T171737774568Z</x:v>
      </x:c>
      <x:c r="B6" s="47" t="str">
        <x:v>IMO-100</x:v>
      </x:c>
      <x:c r="C6" s="47" t="str">
        <x:v>identifiedIntendedVoyageHazard</x:v>
      </x:c>
      <x:c r="D6" s="48" t="str">
        <x:v>https://w3id.org/nltl/vocab#identifiedIntendedVoyageHazard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RUN-IMO-100-20260828T171737774568Z</x:v>
      </x:c>
      <x:c r="B7" s="47" t="str">
        <x:v>IMO-100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7" t="str">
        <x:v>RUN-IMO-100-20260828T171737774568Z</x:v>
      </x:c>
      <x:c r="B8" s="47" t="str">
        <x:v>IMO-100</x:v>
      </x:c>
      <x:c r="C8" s="47" t="str">
        <x:v>voyagePlanHazardCoverage</x:v>
      </x:c>
      <x:c r="D8" s="48" t="str">
        <x:v>https://w3id.org/nltl/vocab#voyagePlanHazardCoverage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RUN-IMO-100-20260828T171737774568Z</x:v>
      </x:c>
      <x:c r="B9" s="49" t="str">
        <x:v>IMO-100</x:v>
      </x:c>
      <x:c r="C9" s="49" t="str">
        <x:v>voyagePlanPresent</x:v>
      </x:c>
      <x:c r="D9" s="50" t="str">
        <x:v>https://w3id.org/nltl/vocab#voyagePlanPresent</x:v>
      </x:c>
      <x:c r="E9" s="49" t="str">
        <x:v>DatatypeProperty</x:v>
      </x:c>
      <x:c r="F9" s="49" t="str">
        <x:v>xsd:boolean</x:v>
      </x:c>
      <x:c r="G9" s="49" t="str">
        <x:v>http://www.w3.org/2001/XMLSchema#boolean</x:v>
      </x:c>
      <x:c r="H9" s="49" t="str"/>
      <x:c r="I9" s="50" t="str">
        <x:v>linked by the locked 313-requirement index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13d6342b7b94e0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RUN-IMO-100-20260828T171737774568Z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RUN-IMO-100-20260828T171737774568Z</x:v>
      </x:c>
      <x:c r="B5" s="45" t="str">
        <x:v>IMO-100</x:v>
      </x:c>
      <x:c r="C5" s="45" t="str">
        <x:v>FS-BOOL-01</x:v>
      </x:c>
      <x:c r="D5" s="45" t="str">
        <x:v>boolean_state</x:v>
      </x:c>
      <x:c r="E5" s="99" t="n">
        <x:v>0.1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RUN-IMO-100-20260828T171737774568Z</x:v>
      </x:c>
      <x:c r="B6" s="49" t="str">
        <x:v>IMO-100</x:v>
      </x:c>
      <x:c r="C6" s="49" t="str">
        <x:v>FS-BOOL-02</x:v>
      </x:c>
      <x:c r="D6" s="49" t="str">
        <x:v>boolean_state</x:v>
      </x:c>
      <x:c r="E6" s="100" t="n">
        <x:v>0.1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a286d9717cd415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RUN-IMO-100-20260828T171737774568Z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RUN-IMO-100-20260828T171737774568Z</x:v>
      </x:c>
      <x:c r="B5" s="69" t="str">
        <x:v>IMO-100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https://w3id.org/nltl/vocab#identifiedIntendedVoyageHazard | https://w3id.org/nltl/vocab#ship | https://w3id.org/nltl/vocab#voyagePlanHazardCoverage | https://w3id.org/nltl/vocab#voyagePlanPresent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96206ecd92141d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RUN-IMO-100-20260828T171737774568Z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RUN-IMO-100-20260828T171737774568Z</x:v>
      </x:c>
      <x:c r="B5" s="45" t="str">
        <x:v>IMO-100</x:v>
      </x:c>
      <x:c r="C5" s="58" t="n">
        <x:v>1</x:v>
      </x:c>
      <x:c r="D5" s="45" t="str">
        <x:v>matcher_search</x:v>
      </x:c>
      <x:c r="E5" s="46" t="str">
        <x:v>Do not encode hazard coverage as a presence-only boolean. The requirement requires verifying that the voyage plan addresses every identified intended-voyage hazard; add the canonical voyage-plan/hazard relationship and a SHACL constraint that covers each identified hazard, preserving ship ownership and the required voyage_plan_present = true check. The scoped vocabulary lacks the needed relationship term, so locate it before repair.</x:v>
      </x:c>
      <x:c r="F5" s="58" t="n">
        <x:v>2</x:v>
      </x:c>
      <x:c r="G5" s="45" t="str"/>
      <x:c r="H5" s="45" t="str"/>
      <x:c r="I5" s="46" t="str"/>
      <x:c r="J5" s="46" t="str"/>
    </x:row>
    <x:row r="6">
      <x:c r="A6" s="49" t="str">
        <x:v>RUN-IMO-100-20260828T171737774568Z</x:v>
      </x:c>
      <x:c r="B6" s="49" t="str">
        <x:v>IMO-100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supplied candidate is a verified canonical term for the required voyage-plan/hazard relationship and coverage constraint.</x:v>
      </x:c>
    </x:row>
  </x:sheetData>
  <x:pageMargins left="0.7" right="0.7" top="0.75" bottom="0.75" header="0.3" footer="0.3"/>
  <x:tableParts count="1">
    <x:tablePart xmlns:r="http://schemas.openxmlformats.org/officeDocument/2006/relationships" r:id="R308ee325810c4582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RUN-IMO-100-20260828T171737774568Z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RUN-IMO-100-20260828T171737774568Z</x:v>
      </x:c>
      <x:c r="B5" s="45" t="str">
        <x:v>IMO-100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224dae3e5d8f0352e5d4c72c7e85b74f8d083b25746a338948d8d1f8535d021f</x:v>
      </x:c>
      <x:c r="G5" s="58" t="n">
        <x:v>9355</x:v>
      </x:c>
    </x:row>
    <x:row r="6">
      <x:c r="A6" s="47" t="str">
        <x:v>RUN-IMO-100-20260828T171737774568Z</x:v>
      </x:c>
      <x:c r="B6" s="47" t="str">
        <x:v>IMO-100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6bc51dd01b214af58d7abf5cae0739abcd17b935c400c837372181ed52fb9254</x:v>
      </x:c>
      <x:c r="G6" s="59" t="n">
        <x:v>3100</x:v>
      </x:c>
    </x:row>
    <x:row r="7">
      <x:c r="A7" s="47" t="str">
        <x:v>RUN-IMO-100-20260828T171737774568Z</x:v>
      </x:c>
      <x:c r="B7" s="47" t="str">
        <x:v>IMO-100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8a936e0b5c97e03ef5ff1b237c8802e5a7c0c08bd1da3654f13de2f420a825b7</x:v>
      </x:c>
      <x:c r="G7" s="59" t="n">
        <x:v>23969</x:v>
      </x:c>
    </x:row>
    <x:row r="8">
      <x:c r="A8" s="47" t="str">
        <x:v>RUN-IMO-100-20260828T171737774568Z</x:v>
      </x:c>
      <x:c r="B8" s="47" t="str">
        <x:v>IMO-100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f02387db8d5bc2e62708403ece69f72fca45e227c3cccc8541615987d4db1467</x:v>
      </x:c>
      <x:c r="G8" s="59" t="n">
        <x:v>1032</x:v>
      </x:c>
    </x:row>
    <x:row r="9">
      <x:c r="A9" s="47" t="str">
        <x:v>RUN-IMO-100-20260828T171737774568Z</x:v>
      </x:c>
      <x:c r="B9" s="47" t="str">
        <x:v>IMO-100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079be4669561280458234e466fac9d693be206abb9d26c4d4ad597dc67ade356</x:v>
      </x:c>
      <x:c r="G9" s="59" t="n">
        <x:v>1007</x:v>
      </x:c>
    </x:row>
    <x:row r="10">
      <x:c r="A10" s="47" t="str">
        <x:v>RUN-IMO-100-20260828T171737774568Z</x:v>
      </x:c>
      <x:c r="B10" s="47" t="str">
        <x:v>IMO-100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2856e46b5525266cbdbc684f36d048d20ca1464e055a1987ff8732a59187f1c6</x:v>
      </x:c>
      <x:c r="G10" s="59" t="n">
        <x:v>608</x:v>
      </x:c>
    </x:row>
    <x:row r="11">
      <x:c r="A11" s="47" t="str">
        <x:v>RUN-IMO-100-20260828T171737774568Z</x:v>
      </x:c>
      <x:c r="B11" s="47" t="str">
        <x:v>IMO-100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4dc0aa526787176cb44b61eaf5149b1e35a68cc3495f100971a9c6c975f5cadb</x:v>
      </x:c>
      <x:c r="G11" s="59" t="n">
        <x:v>19244</x:v>
      </x:c>
    </x:row>
    <x:row r="12">
      <x:c r="A12" s="47" t="str">
        <x:v>RUN-IMO-100-20260828T171737774568Z</x:v>
      </x:c>
      <x:c r="B12" s="47" t="str">
        <x:v>IMO-100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3114dd24988c9e8f83da9c50ad658561e6c6a19303e94f02cecefb103c181acc</x:v>
      </x:c>
      <x:c r="G12" s="59" t="n">
        <x:v>499</x:v>
      </x:c>
    </x:row>
    <x:row r="13">
      <x:c r="A13" s="47" t="str">
        <x:v>RUN-IMO-100-20260828T171737774568Z</x:v>
      </x:c>
      <x:c r="B13" s="47" t="str">
        <x:v>IMO-100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9bcab3c1e8f3fe00a9fda97abf02998c768a9aa6b40500e2df9a1310a18c0ae1</x:v>
      </x:c>
      <x:c r="G13" s="59" t="n">
        <x:v>1117</x:v>
      </x:c>
    </x:row>
    <x:row r="14">
      <x:c r="A14" s="47" t="str">
        <x:v>RUN-IMO-100-20260828T171737774568Z</x:v>
      </x:c>
      <x:c r="B14" s="47" t="str">
        <x:v>IMO-100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4589fca58c73ecaba463a4884256aa5f6c00f4fda2b44b984b2c04aa9030c343</x:v>
      </x:c>
      <x:c r="G14" s="59" t="n">
        <x:v>6136</x:v>
      </x:c>
    </x:row>
    <x:row r="15">
      <x:c r="A15" s="49" t="str">
        <x:v>RUN-IMO-100-20260828T171737774568Z</x:v>
      </x:c>
      <x:c r="B15" s="49" t="str">
        <x:v>IMO-100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23f47762da532b58d02d85a2aeab46f558794a435f1d35194bfe832f9c2f3e08</x:v>
      </x:c>
      <x:c r="G15" s="60" t="n">
        <x:v>213</x:v>
      </x:c>
    </x:row>
  </x:sheetData>
  <x:pageMargins left="0.7" right="0.7" top="0.75" bottom="0.75" header="0.3" footer="0.3"/>
  <x:tableParts count="1">
    <x:tablePart xmlns:r="http://schemas.openxmlformats.org/officeDocument/2006/relationships" r:id="R6e4a2e705779461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RUN-IMO-100-20260828T171737774568Z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RUN-IMO-100-20260828T171737774568Z</x:v>
      </x:c>
      <x:c r="B5" s="69" t="str">
        <x:v>IMO-100</x:v>
      </x:c>
      <x:c r="C5" s="71" t="n">
        <x:v>1</x:v>
      </x:c>
      <x:c r="D5" s="69" t="str">
        <x:v>TERM_RESOLUTION_UNRESOLVED</x:v>
      </x:c>
      <x:c r="E5" s="73" t="str">
        <x:v>No supplied candidate is a verified canonical term for the required voyage-plan/hazard relationship and coverage constraint.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d07c64ec564282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RUN-IMO-100-20260828T171737774568Z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