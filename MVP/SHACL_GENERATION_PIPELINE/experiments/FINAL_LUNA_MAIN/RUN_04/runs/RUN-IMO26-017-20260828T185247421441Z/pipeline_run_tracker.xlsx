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2201dcce0434635" /></Relationships>
</file>

<file path=xl/workbook.xml><?xml version="1.0" encoding="utf-8"?>
<x:workbook xmlns:x="http://schemas.openxmlformats.org/spreadsheetml/2006/main">
  <x:sheets>
    <x:sheet xmlns:r="http://schemas.openxmlformats.org/officeDocument/2006/relationships" name="SUMMARY" sheetId="1" r:id="R253b1b0c947f4e80"/>
    <x:sheet xmlns:r="http://schemas.openxmlformats.org/officeDocument/2006/relationships" name="README" sheetId="2" r:id="R55beb6b5ee59491c"/>
    <x:sheet xmlns:r="http://schemas.openxmlformats.org/officeDocument/2006/relationships" name="REGULATION_QUEUE" sheetId="3" r:id="R37a13f315c454ea6"/>
    <x:sheet xmlns:r="http://schemas.openxmlformats.org/officeDocument/2006/relationships" name="RUNS" sheetId="4" r:id="R7c6ea05546e44be9"/>
    <x:sheet xmlns:r="http://schemas.openxmlformats.org/officeDocument/2006/relationships" name="ITERATIONS" sheetId="5" r:id="R5b4e9fbd5d184c9b"/>
    <x:sheet xmlns:r="http://schemas.openxmlformats.org/officeDocument/2006/relationships" name="API_CALLS" sheetId="6" r:id="R93fd1b443c124c80"/>
    <x:sheet xmlns:r="http://schemas.openxmlformats.org/officeDocument/2006/relationships" name="TERM_RETRIEVAL" sheetId="7" r:id="Rd9858d0263a24321"/>
    <x:sheet xmlns:r="http://schemas.openxmlformats.org/officeDocument/2006/relationships" name="FEW_SHOT_SELECTION" sheetId="8" r:id="R257b5ecfae824e3f"/>
    <x:sheet xmlns:r="http://schemas.openxmlformats.org/officeDocument/2006/relationships" name="VALIDATION" sheetId="9" r:id="Rf44637b7c8214475"/>
    <x:sheet xmlns:r="http://schemas.openxmlformats.org/officeDocument/2006/relationships" name="VOCAB_MATCHES" sheetId="10" r:id="R502d07932c504e72"/>
    <x:sheet xmlns:r="http://schemas.openxmlformats.org/officeDocument/2006/relationships" name="ARTIFACTS" sheetId="11" r:id="Rf78a143a1fbe441f"/>
    <x:sheet xmlns:r="http://schemas.openxmlformats.org/officeDocument/2006/relationships" name="UNRESOLVED" sheetId="12" r:id="R4ff5fcce14da43ff"/>
    <x:sheet xmlns:r="http://schemas.openxmlformats.org/officeDocument/2006/relationships" name="RDF_TEST_QUEUE" sheetId="13" r:id="R8017f3be54bf48c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33c80a9abe541bf" /><Relationship Type="http://schemas.openxmlformats.org/officeDocument/2006/relationships/theme" Target="/xl/theme/theme1.xml" Id="R9fa85c0abfb14df8" /><Relationship Type="http://schemas.microsoft.com/office/2022/11/relationships/FeaturePropertyBag" Target="/xl/featurePropertyBag/featurePropertyBag.xml" Id="R86401430b0004321" /><Relationship Type="http://schemas.openxmlformats.org/officeDocument/2006/relationships/sharedStrings" Target="/xl/sharedStrings.xml" Id="R30d356b5d8294977" /><Relationship Type="http://schemas.openxmlformats.org/officeDocument/2006/relationships/worksheet" Target="/xl/worksheets/sheet1.xml" Id="R253b1b0c947f4e80" /><Relationship Type="http://schemas.openxmlformats.org/officeDocument/2006/relationships/worksheet" Target="/xl/worksheets/sheet2.xml" Id="R55beb6b5ee59491c" /><Relationship Type="http://schemas.openxmlformats.org/officeDocument/2006/relationships/worksheet" Target="/xl/worksheets/sheet3.xml" Id="R37a13f315c454ea6" /><Relationship Type="http://schemas.openxmlformats.org/officeDocument/2006/relationships/worksheet" Target="/xl/worksheets/sheet4.xml" Id="R7c6ea05546e44be9" /><Relationship Type="http://schemas.openxmlformats.org/officeDocument/2006/relationships/worksheet" Target="/xl/worksheets/sheet5.xml" Id="R5b4e9fbd5d184c9b" /><Relationship Type="http://schemas.openxmlformats.org/officeDocument/2006/relationships/worksheet" Target="/xl/worksheets/sheet6.xml" Id="R93fd1b443c124c80" /><Relationship Type="http://schemas.openxmlformats.org/officeDocument/2006/relationships/worksheet" Target="/xl/worksheets/sheet7.xml" Id="Rd9858d0263a24321" /><Relationship Type="http://schemas.openxmlformats.org/officeDocument/2006/relationships/worksheet" Target="/xl/worksheets/sheet8.xml" Id="R257b5ecfae824e3f" /><Relationship Type="http://schemas.openxmlformats.org/officeDocument/2006/relationships/worksheet" Target="/xl/worksheets/sheet9.xml" Id="Rf44637b7c8214475" /><Relationship Type="http://schemas.openxmlformats.org/officeDocument/2006/relationships/worksheet" Target="/xl/worksheets/sheet10.xml" Id="R502d07932c504e72" /><Relationship Type="http://schemas.openxmlformats.org/officeDocument/2006/relationships/worksheet" Target="/xl/worksheets/sheet11.xml" Id="Rf78a143a1fbe441f" /><Relationship Type="http://schemas.openxmlformats.org/officeDocument/2006/relationships/worksheet" Target="/xl/worksheets/sheet12.xml" Id="R4ff5fcce14da43ff" /><Relationship Type="http://schemas.openxmlformats.org/officeDocument/2006/relationships/worksheet" Target="/xl/worksheets/sheet13.xml" Id="R8017f3be54bf48c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379b2c131f341df" /></Relationships>
</file>

<file path=xl/worksheets/_rels/sheet3.xml.rels>&#65279;<?xml version="1.0" encoding="utf-8"?><Relationships xmlns="http://schemas.openxmlformats.org/package/2006/relationships"><Relationship Type="http://schemas.openxmlformats.org/officeDocument/2006/relationships/table" Target="/xl/tables/table2.xml" Id="R859a3bbd76df452e" /></Relationships>
</file>

<file path=xl/worksheets/_rels/sheet4.xml.rels>&#65279;<?xml version="1.0" encoding="utf-8"?><Relationships xmlns="http://schemas.openxmlformats.org/package/2006/relationships"><Relationship Type="http://schemas.openxmlformats.org/officeDocument/2006/relationships/table" Target="/xl/tables/table3.xml" Id="R38645075a1ff46f3" /></Relationships>
</file>

<file path=xl/worksheets/_rels/sheet5.xml.rels>&#65279;<?xml version="1.0" encoding="utf-8"?><Relationships xmlns="http://schemas.openxmlformats.org/package/2006/relationships"><Relationship Type="http://schemas.openxmlformats.org/officeDocument/2006/relationships/table" Target="/xl/tables/table4.xml" Id="R61779f8172f54811" /></Relationships>
</file>

<file path=xl/worksheets/_rels/sheet6.xml.rels>&#65279;<?xml version="1.0" encoding="utf-8"?><Relationships xmlns="http://schemas.openxmlformats.org/package/2006/relationships"><Relationship Type="http://schemas.openxmlformats.org/officeDocument/2006/relationships/table" Target="/xl/tables/table5.xml" Id="R8c0c969388ec44f4" /></Relationships>
</file>

<file path=xl/worksheets/_rels/sheet7.xml.rels>&#65279;<?xml version="1.0" encoding="utf-8"?><Relationships xmlns="http://schemas.openxmlformats.org/package/2006/relationships"><Relationship Type="http://schemas.openxmlformats.org/officeDocument/2006/relationships/table" Target="/xl/tables/table6.xml" Id="R00a64650ccfc4d26" /></Relationships>
</file>

<file path=xl/worksheets/_rels/sheet8.xml.rels>&#65279;<?xml version="1.0" encoding="utf-8"?><Relationships xmlns="http://schemas.openxmlformats.org/package/2006/relationships"><Relationship Type="http://schemas.openxmlformats.org/officeDocument/2006/relationships/table" Target="/xl/tables/table7.xml" Id="R6d2dbae1f6474869" /></Relationships>
</file>

<file path=xl/worksheets/_rels/sheet9.xml.rels>&#65279;<?xml version="1.0" encoding="utf-8"?><Relationships xmlns="http://schemas.openxmlformats.org/package/2006/relationships"><Relationship Type="http://schemas.openxmlformats.org/officeDocument/2006/relationships/table" Target="/xl/tables/table8.xml" Id="R292f1d30b8d040cf" /></Relationships>
</file>

<file path=xl/worksheets/_rels/sheet11.xml.rels>&#65279;<?xml version="1.0" encoding="utf-8"?><Relationships xmlns="http://schemas.openxmlformats.org/package/2006/relationships"><Relationship Type="http://schemas.openxmlformats.org/officeDocument/2006/relationships/table" Target="/xl/tables/table9.xml" Id="R2e355b9a95244a3b" /></Relationships>
</file>

<file path=xl/worksheets/_rels/sheet13.xml.rels>&#65279;<?xml version="1.0" encoding="utf-8"?><Relationships xmlns="http://schemas.openxmlformats.org/package/2006/relationships"><Relationship Type="http://schemas.openxmlformats.org/officeDocument/2006/relationships/table" Target="/xl/tables/table10.xml" Id="R93b7664ed2d44bc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RUN-IMO26-017-20260828T185247421441Z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COUNTA('API_CALLS'!$A$5:$A$10)</x:f>
        <x:v>6</x:v>
      </x:c>
      <x:c r="C9" s="21"/>
      <x:c r="D9" s="21"/>
    </x:row>
    <x:row r="10">
      <x:c r="A10" s="27" t="str">
        <x:v>Mean API/LLM elapsed ms</x:v>
      </x:c>
      <x:c r="B10" s="28" t="n">
        <x:f>IFERROR(AVERAGE('API_CALLS'!$K$5:$K$10),0)</x:f>
        <x:v>25109.058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RUN-IMO26-017-20260828T185247421441Z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379b2c131f341d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RUN-IMO26-017-20260828T185247421441Z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GENERATION_ACCEPTED</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59a3bbd76df452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RUN-IMO26-017-20260828T185247421441Z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RUN-IMO26-017-20260828T185247421441Z</x:v>
      </x:c>
      <x:c r="C5" s="69" t="str">
        <x:v>IMO26-017</x:v>
      </x:c>
      <x:c r="D5" s="70" t="n">
        <x:v>46262.78665997685</x:v>
      </x:c>
      <x:c r="E5" s="70" t="n">
        <x:v>46262.78753302083</x:v>
      </x:c>
      <x:c r="F5" s="69" t="str">
        <x:v>final-luna-main-run04</x:v>
      </x:c>
      <x:c r="G5" s="69" t="str">
        <x:v>VOCAB-LOCK-2026-08-22-R13</x:v>
      </x:c>
      <x:c r="H5" s="71" t="n">
        <x:v>1</x:v>
      </x:c>
      <x:c r="I5" s="69" t="str">
        <x:v>GENERATION_ACCEPTED</x:v>
      </x:c>
      <x:c r="J5" s="72" t="b">
        <x:v>1</x:v>
      </x:c>
      <x:c r="K5" s="69" t="str">
        <x:v>final/final_shape.ttl</x:v>
      </x:c>
      <x:c r="L5" s="73" t="str">
        <x:v>The candidate is deterministically valid and faithfully encodes the DIRECT_STATIC conditional: when chapter_11_1_applicable is true, voyage_plan_present and voyage_plan_coverage must both be true; when false, no voyage-plan constraints are imposed. All terms use the canonical namespace, target the authoritative ship owner, and use the declared datatypes. No minimum count is required for intendedVoyageHazard because the universal every-hazard obligation does not independently require a hazard to exist.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8645075a1ff46f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RUN-IMO26-017-20260828T185247421441Z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RUN-IMO26-017-20260828T185247421441Z</x:v>
      </x:c>
      <x:c r="B5" s="69" t="str">
        <x:v>IMO26-017</x:v>
      </x:c>
      <x:c r="C5" s="71" t="n">
        <x:v>1</x:v>
      </x:c>
      <x:c r="D5" s="72" t="b">
        <x:v>1</x:v>
      </x:c>
      <x:c r="E5" s="72" t="b">
        <x:v>1</x:v>
      </x:c>
      <x:c r="F5" s="72" t="b">
        <x:v>0</x:v>
      </x:c>
      <x:c r="G5" s="69" t="str">
        <x:v>ACCEPT</x:v>
      </x:c>
      <x:c r="H5" s="73" t="str">
        <x:v>The candidate is deterministically valid and faithfully encodes the DIRECT_STATIC conditional: when chapter_11_1_applicable is true, voyage_plan_present and voyage_plan_coverage must both be true; when false, no voyage-plan constraints are imposed. All terms use the canonical namespace, target the authoritative ship owner, and use the declared datatypes. No minimum count is required for intendedVoyageHazard because the universal every-hazard obligation does not independently require a hazard to exist.</x:v>
      </x:c>
      <x:c r="I5" s="75" t="n">
        <x:v>24576.57</x:v>
      </x:c>
      <x:c r="J5" s="75" t="n">
        <x:v>22233.294</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1779f8172f5481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RUN-IMO26-017-20260828T185247421441Z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EVT-000014</x:v>
      </x:c>
      <x:c r="B5" s="45" t="str">
        <x:v>RUN-IMO26-017-20260828T185247421441Z</x:v>
      </x:c>
      <x:c r="C5" s="45" t="str">
        <x:v>IMO26-017</x:v>
      </x:c>
      <x:c r="D5" s="88" t="n">
        <x:v>46262.78694443287</x:v>
      </x:c>
      <x:c r="E5" s="45" t="str">
        <x:v>generator</x:v>
      </x:c>
      <x:c r="F5" s="45" t="str">
        <x:v>gpt-5.6-luna-2026-07-09</x:v>
      </x:c>
      <x:c r="G5" s="45" t="n">
        <x:v>1</x:v>
      </x:c>
      <x:c r="H5" s="45" t="n">
        <x:v>200</x:v>
      </x:c>
      <x:c r="I5" s="45" t="str">
        <x:v>Ocp-Apim-Subscription-Key</x:v>
      </x:c>
      <x:c r="J5" s="89" t="n">
        <x:v>0</x:v>
      </x:c>
      <x:c r="K5" s="89" t="n">
        <x:v>24575.214</x:v>
      </x:c>
      <x:c r="L5" s="90" t="b">
        <x:v>0</x:v>
      </x:c>
      <x:c r="M5" s="45" t="str"/>
      <x:c r="N5" s="58" t="str"/>
      <x:c r="O5" s="58" t="str"/>
      <x:c r="P5" s="58" t="str"/>
    </x:row>
    <x:row r="6">
      <x:c r="A6" s="47" t="str">
        <x:v>EVT-000015</x:v>
      </x:c>
      <x:c r="B6" s="47" t="str">
        <x:v>RUN-IMO26-017-20260828T185247421441Z</x:v>
      </x:c>
      <x:c r="C6" s="47" t="str">
        <x:v>IMO26-017</x:v>
      </x:c>
      <x:c r="D6" s="91" t="n">
        <x:v>46262.786944444444</x:v>
      </x:c>
      <x:c r="E6" s="47" t="str">
        <x:v>generator</x:v>
      </x:c>
      <x:c r="F6" s="47" t="str">
        <x:v>gpt-5.6-luna-2026-07-09</x:v>
      </x:c>
      <x:c r="G6" s="47" t="n">
        <x:v>1</x:v>
      </x:c>
      <x:c r="H6" s="47" t="str">
        <x:v>COMPLETED</x:v>
      </x:c>
      <x:c r="I6" s="47" t="str"/>
      <x:c r="J6" s="92" t="n">
        <x:v>0</x:v>
      </x:c>
      <x:c r="K6" s="92" t="n">
        <x:v>24576.57</x:v>
      </x:c>
      <x:c r="L6" s="93" t="b">
        <x:v>0</x:v>
      </x:c>
      <x:c r="M6" s="47" t="str">
        <x:v>resp_0ae8ceb0d1d47254006a91d8ff91508196a866281f0a5e4953</x:v>
      </x:c>
      <x:c r="N6" s="59" t="n">
        <x:v>5902</x:v>
      </x:c>
      <x:c r="O6" s="59" t="n">
        <x:v>1397</x:v>
      </x:c>
      <x:c r="P6" s="59" t="n">
        <x:v>7299</x:v>
      </x:c>
    </x:row>
    <x:row r="7">
      <x:c r="A7" s="47" t="str">
        <x:v>EVT-000020</x:v>
      </x:c>
      <x:c r="B7" s="47" t="str">
        <x:v>RUN-IMO26-017-20260828T185247421441Z</x:v>
      </x:c>
      <x:c r="C7" s="47" t="str">
        <x:v>IMO26-017</x:v>
      </x:c>
      <x:c r="D7" s="91" t="n">
        <x:v>46262.787274594906</x:v>
      </x:c>
      <x:c r="E7" s="47" t="str">
        <x:v>syntax_repair</x:v>
      </x:c>
      <x:c r="F7" s="47" t="str">
        <x:v>gpt-5.6-luna-2026-07-09</x:v>
      </x:c>
      <x:c r="G7" s="47" t="n">
        <x:v>1</x:v>
      </x:c>
      <x:c r="H7" s="47" t="n">
        <x:v>200</x:v>
      </x:c>
      <x:c r="I7" s="47" t="str">
        <x:v>Ocp-Apim-Subscription-Key</x:v>
      </x:c>
      <x:c r="J7" s="92" t="n">
        <x:v>0</x:v>
      </x:c>
      <x:c r="K7" s="92" t="n">
        <x:v>28518.199</x:v>
      </x:c>
      <x:c r="L7" s="93" t="b">
        <x:v>0</x:v>
      </x:c>
      <x:c r="M7" s="47" t="str"/>
      <x:c r="N7" s="59" t="str"/>
      <x:c r="O7" s="59" t="str"/>
      <x:c r="P7" s="59" t="str"/>
    </x:row>
    <x:row r="8">
      <x:c r="A8" s="47" t="str">
        <x:v>EVT-000021</x:v>
      </x:c>
      <x:c r="B8" s="47" t="str">
        <x:v>RUN-IMO26-017-20260828T185247421441Z</x:v>
      </x:c>
      <x:c r="C8" s="47" t="str">
        <x:v>IMO26-017</x:v>
      </x:c>
      <x:c r="D8" s="91" t="n">
        <x:v>46262.78727460648</x:v>
      </x:c>
      <x:c r="E8" s="47" t="str">
        <x:v>syntax_repair</x:v>
      </x:c>
      <x:c r="F8" s="47" t="str">
        <x:v>gpt-5.6-luna-2026-07-09</x:v>
      </x:c>
      <x:c r="G8" s="47" t="n">
        <x:v>1</x:v>
      </x:c>
      <x:c r="H8" s="47" t="str">
        <x:v>COMPLETED</x:v>
      </x:c>
      <x:c r="I8" s="47" t="str"/>
      <x:c r="J8" s="92" t="n">
        <x:v>0</x:v>
      </x:c>
      <x:c r="K8" s="92" t="n">
        <x:v>28519.351</x:v>
      </x:c>
      <x:c r="L8" s="93" t="b">
        <x:v>0</x:v>
      </x:c>
      <x:c r="M8" s="47" t="str">
        <x:v>resp_009bcc6c5af65d2f006a91d9181cd0819481b9f52e2cc1cb1f</x:v>
      </x:c>
      <x:c r="N8" s="59" t="n">
        <x:v>784</x:v>
      </x:c>
      <x:c r="O8" s="59" t="n">
        <x:v>1183</x:v>
      </x:c>
      <x:c r="P8" s="59" t="n">
        <x:v>1967</x:v>
      </x:c>
    </x:row>
    <x:row r="9">
      <x:c r="A9" s="47" t="str">
        <x:v>EVT-000029</x:v>
      </x:c>
      <x:c r="B9" s="47" t="str">
        <x:v>RUN-IMO26-017-20260828T185247421441Z</x:v>
      </x:c>
      <x:c r="C9" s="47" t="str">
        <x:v>IMO26-017</x:v>
      </x:c>
      <x:c r="D9" s="91" t="n">
        <x:v>46262.787532939816</x:v>
      </x:c>
      <x:c r="E9" s="47" t="str">
        <x:v>validator</x:v>
      </x:c>
      <x:c r="F9" s="47" t="str">
        <x:v>gpt-5.6-luna-2026-07-09</x:v>
      </x:c>
      <x:c r="G9" s="47" t="n">
        <x:v>1</x:v>
      </x:c>
      <x:c r="H9" s="47" t="n">
        <x:v>200</x:v>
      </x:c>
      <x:c r="I9" s="47" t="str">
        <x:v>Ocp-Apim-Subscription-Key</x:v>
      </x:c>
      <x:c r="J9" s="92" t="n">
        <x:v>0</x:v>
      </x:c>
      <x:c r="K9" s="92" t="n">
        <x:v>22231.72</x:v>
      </x:c>
      <x:c r="L9" s="93" t="b">
        <x:v>0</x:v>
      </x:c>
      <x:c r="M9" s="47" t="str"/>
      <x:c r="N9" s="59" t="str"/>
      <x:c r="O9" s="59" t="str"/>
      <x:c r="P9" s="59" t="str"/>
    </x:row>
    <x:row r="10">
      <x:c r="A10" s="49" t="str">
        <x:v>EVT-000030</x:v>
      </x:c>
      <x:c r="B10" s="49" t="str">
        <x:v>RUN-IMO26-017-20260828T185247421441Z</x:v>
      </x:c>
      <x:c r="C10" s="49" t="str">
        <x:v>IMO26-017</x:v>
      </x:c>
      <x:c r="D10" s="94" t="n">
        <x:v>46262.78753296296</x:v>
      </x:c>
      <x:c r="E10" s="49" t="str">
        <x:v>validator</x:v>
      </x:c>
      <x:c r="F10" s="49" t="str">
        <x:v>gpt-5.6-luna-2026-07-09</x:v>
      </x:c>
      <x:c r="G10" s="49" t="n">
        <x:v>1</x:v>
      </x:c>
      <x:c r="H10" s="49" t="str">
        <x:v>COMPLETED</x:v>
      </x:c>
      <x:c r="I10" s="49" t="str"/>
      <x:c r="J10" s="95" t="n">
        <x:v>0</x:v>
      </x:c>
      <x:c r="K10" s="95" t="n">
        <x:v>22233.294</x:v>
      </x:c>
      <x:c r="L10" s="96" t="b">
        <x:v>0</x:v>
      </x:c>
      <x:c r="M10" s="49" t="str">
        <x:v>resp_069f54e165b2af38006a91d934b7c881968ec27e8a4ade68a2</x:v>
      </x:c>
      <x:c r="N10" s="60" t="n">
        <x:v>5120</x:v>
      </x:c>
      <x:c r="O10" s="60" t="n">
        <x:v>1151</x:v>
      </x:c>
      <x:c r="P10" s="60" t="n">
        <x:v>6271</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c0c969388ec44f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RUN-IMO26-017-20260828T185247421441Z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RUN-IMO26-017-20260828T185247421441Z</x:v>
      </x:c>
      <x:c r="B5" s="45" t="str">
        <x:v>IMO26-017</x:v>
      </x:c>
      <x:c r="C5" s="45" t="str">
        <x:v>benchmarkEntity</x:v>
      </x:c>
      <x:c r="D5" s="46" t="str">
        <x:v>https://w3id.org/nltl/vocab#benchmarkEntity</x:v>
      </x:c>
      <x:c r="E5" s="45" t="str">
        <x:v>Class</x:v>
      </x:c>
      <x:c r="F5" s="45" t="str"/>
      <x:c r="G5" s="45" t="str"/>
      <x:c r="H5" s="45" t="str"/>
      <x:c r="I5" s="46" t="str">
        <x:v>baseline target infrastructure; domain dependency of intendedVoyageHazard; domain dependency of polarCodeChapter11Dash1Applicable; domain dependency of voyagePlanCoverage; domain dependency of voyagePlanPresent</x:v>
      </x:c>
      <x:c r="J5" s="45" t="n">
        <x:v>0</x:v>
      </x:c>
    </x:row>
    <x:row r="6">
      <x:c r="A6" s="47" t="str">
        <x:v>RUN-IMO26-017-20260828T185247421441Z</x:v>
      </x:c>
      <x:c r="B6" s="47" t="str">
        <x:v>IMO26-017</x:v>
      </x:c>
      <x:c r="C6" s="47" t="str">
        <x:v>intendedVoyageHazard</x:v>
      </x:c>
      <x:c r="D6" s="48" t="str">
        <x:v>https://w3id.org/nltl/vocab#intendedVoyageHazard</x:v>
      </x:c>
      <x:c r="E6" s="47" t="str">
        <x:v>DatatypeProperty</x:v>
      </x:c>
      <x:c r="F6" s="47" t="str">
        <x:v>xsd:string</x:v>
      </x:c>
      <x:c r="G6" s="47" t="str">
        <x:v>http://www.w3.org/2001/XMLSchema#string</x:v>
      </x:c>
      <x:c r="H6" s="47" t="str"/>
      <x:c r="I6" s="48" t="str">
        <x:v>linked by the locked 313-requirement index</x:v>
      </x:c>
      <x:c r="J6" s="47" t="n">
        <x:v>0</x:v>
      </x:c>
    </x:row>
    <x:row r="7">
      <x:c r="A7" s="47" t="str">
        <x:v>RUN-IMO26-017-20260828T185247421441Z</x:v>
      </x:c>
      <x:c r="B7" s="47" t="str">
        <x:v>IMO26-017</x:v>
      </x:c>
      <x:c r="C7" s="47" t="str">
        <x:v>polarCodeChapter11Dash1Applicable</x:v>
      </x:c>
      <x:c r="D7" s="48" t="str">
        <x:v>https://w3id.org/nltl/vocab#polarCodeChapter11Dash1Applicable</x:v>
      </x:c>
      <x:c r="E7" s="47" t="str">
        <x:v>DatatypeProperty</x:v>
      </x:c>
      <x:c r="F7" s="47" t="str">
        <x:v>xsd:boolean</x:v>
      </x:c>
      <x:c r="G7" s="47" t="str">
        <x:v>http://www.w3.org/2001/XMLSchema#boolean</x:v>
      </x:c>
      <x:c r="H7" s="47" t="str"/>
      <x:c r="I7" s="48" t="str">
        <x:v>linked by the locked 313-requirement index</x:v>
      </x:c>
      <x:c r="J7" s="47" t="n">
        <x:v>0</x:v>
      </x:c>
    </x:row>
    <x:row r="8">
      <x:c r="A8" s="47" t="str">
        <x:v>RUN-IMO26-017-20260828T185247421441Z</x:v>
      </x:c>
      <x:c r="B8" s="47" t="str">
        <x:v>IMO26-017</x:v>
      </x:c>
      <x:c r="C8" s="47" t="str">
        <x:v>ship</x:v>
      </x:c>
      <x:c r="D8" s="48" t="str">
        <x:v>https://w3id.org/nltl/vocab#ship</x:v>
      </x:c>
      <x:c r="E8" s="47" t="str">
        <x:v>Class</x:v>
      </x:c>
      <x:c r="F8" s="47" t="str"/>
      <x:c r="G8" s="47" t="str"/>
      <x:c r="H8" s="47" t="str"/>
      <x:c r="I8" s="48" t="str">
        <x:v>authoritative required owner class; authoritative requirement target owner; baseline target infrastructure</x:v>
      </x:c>
      <x:c r="J8" s="47" t="n">
        <x:v>0</x:v>
      </x:c>
    </x:row>
    <x:row r="9">
      <x:c r="A9" s="47" t="str">
        <x:v>RUN-IMO26-017-20260828T185247421441Z</x:v>
      </x:c>
      <x:c r="B9" s="47" t="str">
        <x:v>IMO26-017</x:v>
      </x:c>
      <x:c r="C9" s="47" t="str">
        <x:v>voyagePlanCoverage</x:v>
      </x:c>
      <x:c r="D9" s="48" t="str">
        <x:v>https://w3id.org/nltl/vocab#voyagePlanCoverage</x:v>
      </x:c>
      <x:c r="E9" s="47" t="str">
        <x:v>DatatypeProperty</x:v>
      </x:c>
      <x:c r="F9" s="47" t="str">
        <x:v>xsd:boolean</x:v>
      </x:c>
      <x:c r="G9" s="47" t="str">
        <x:v>http://www.w3.org/2001/XMLSchema#boolean</x:v>
      </x:c>
      <x:c r="H9" s="47" t="str"/>
      <x:c r="I9" s="48" t="str">
        <x:v>linked by the locked 313-requirement index</x:v>
      </x:c>
      <x:c r="J9" s="47" t="n">
        <x:v>0</x:v>
      </x:c>
    </x:row>
    <x:row r="10">
      <x:c r="A10" s="49" t="str">
        <x:v>RUN-IMO26-017-20260828T185247421441Z</x:v>
      </x:c>
      <x:c r="B10" s="49" t="str">
        <x:v>IMO26-017</x:v>
      </x:c>
      <x:c r="C10" s="49" t="str">
        <x:v>voyagePlanPresent</x:v>
      </x:c>
      <x:c r="D10" s="50" t="str">
        <x:v>https://w3id.org/nltl/vocab#voyagePlanPresent</x:v>
      </x:c>
      <x:c r="E10" s="49" t="str">
        <x:v>DatatypeProperty</x:v>
      </x:c>
      <x:c r="F10" s="49" t="str">
        <x:v>xsd:boolean</x:v>
      </x:c>
      <x:c r="G10" s="49" t="str">
        <x:v>http://www.w3.org/2001/XMLSchema#boolean</x:v>
      </x:c>
      <x:c r="H10" s="49" t="str"/>
      <x:c r="I10" s="50" t="str">
        <x:v>linked by the locked 313-requirement index</x:v>
      </x:c>
      <x:c r="J10" s="49" t="n">
        <x:v>0</x:v>
      </x:c>
    </x:row>
  </x:sheetData>
  <x:pageMargins left="0.7" right="0.7" top="0.75" bottom="0.75" header="0.3" footer="0.3"/>
  <x:tableParts count="1">
    <x:tablePart xmlns:r="http://schemas.openxmlformats.org/officeDocument/2006/relationships" r:id="R00a64650ccfc4d2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RUN-IMO26-017-20260828T185247421441Z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RUN-IMO26-017-20260828T185247421441Z</x:v>
      </x:c>
      <x:c r="B5" s="45" t="str">
        <x:v>IMO26-017</x:v>
      </x:c>
      <x:c r="C5" s="45" t="str">
        <x:v>FS-BOOL-01</x:v>
      </x:c>
      <x:c r="D5" s="45" t="str">
        <x:v>boolean_state</x:v>
      </x:c>
      <x:c r="E5" s="99" t="n">
        <x:v>0.090909</x:v>
      </x:c>
      <x:c r="F5" s="45" t="str">
        <x:v>boolean | required | value</x:v>
      </x:c>
      <x:c r="G5" s="45" t="str">
        <x:v>synthetic-few-shot-not-benchmark-ground-truth</x:v>
      </x:c>
    </x:row>
    <x:row r="6">
      <x:c r="A6" s="49" t="str">
        <x:v>RUN-IMO26-017-20260828T185247421441Z</x:v>
      </x:c>
      <x:c r="B6" s="49" t="str">
        <x:v>IMO26-017</x:v>
      </x:c>
      <x:c r="C6" s="49" t="str">
        <x:v>FS-BOOL-02</x:v>
      </x:c>
      <x:c r="D6" s="49" t="str">
        <x:v>boolean_state</x:v>
      </x:c>
      <x:c r="E6" s="100" t="n">
        <x:v>0.090909</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d2dbae1f647486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RUN-IMO26-017-20260828T185247421441Z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RUN-IMO26-017-20260828T185247421441Z</x:v>
      </x:c>
      <x:c r="B5" s="69" t="str">
        <x:v>IMO26-017</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https://w3id.org/nltl/vocab#intendedVoyageHazard | https://w3id.org/nltl/vocab#polarCodeChapter11Dash1Applicable | https://w3id.org/nltl/vocab#ship | https://w3id.org/nltl/vocab#voyagePlanCoverage | https://w3id.org/nltl/vocab#voyagePlanPresent</x:v>
      </x:c>
      <x:c r="O5" s="73" t="str"/>
      <x:c r="P5" s="73" t="str"/>
      <x:c r="Q5" s="73" t="str"/>
    </x:row>
  </x:sheetData>
  <x:pageMargins left="0.7" right="0.7" top="0.75" bottom="0.75" header="0.3" footer="0.3"/>
  <x:tableParts count="1">
    <x:tablePart xmlns:r="http://schemas.openxmlformats.org/officeDocument/2006/relationships" r:id="R292f1d30b8d040c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RUN-IMO26-017-20260828T185247421441Z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RUN-IMO26-017-20260828T185247421441Z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RUN-IMO26-017-20260828T185247421441Z</x:v>
      </x:c>
      <x:c r="B5" s="45" t="str">
        <x:v>IMO26-017</x:v>
      </x:c>
      <x:c r="C5" s="58"/>
      <x:c r="D5" s="45" t="str">
        <x:v>initial_context_pack</x:v>
      </x:c>
      <x:c r="E5" s="46" t="str">
        <x:v>artifacts/context_pack_initial.json</x:v>
      </x:c>
      <x:c r="F5" s="45" t="str">
        <x:v>3c45088e6f7c06cf849fe125df912019cbd4c7bd1431b104622d8e0d50a2a09a</x:v>
      </x:c>
      <x:c r="G5" s="58" t="n">
        <x:v>10680</x:v>
      </x:c>
    </x:row>
    <x:row r="6">
      <x:c r="A6" s="47" t="str">
        <x:v>RUN-IMO26-017-20260828T185247421441Z</x:v>
      </x:c>
      <x:c r="B6" s="47" t="str">
        <x:v>IMO26-017</x:v>
      </x:c>
      <x:c r="C6" s="59"/>
      <x:c r="D6" s="47" t="str">
        <x:v>few_shot_selection</x:v>
      </x:c>
      <x:c r="E6" s="48" t="str">
        <x:v>artifacts/few_shots_selected.json</x:v>
      </x:c>
      <x:c r="F6" s="47" t="str">
        <x:v>8b2c2bd6a25a19122b457dfc59b9efadf1935800ddbe52a0171a55691c2c00bc</x:v>
      </x:c>
      <x:c r="G6" s="59" t="n">
        <x:v>3110</x:v>
      </x:c>
    </x:row>
    <x:row r="7">
      <x:c r="A7" s="47" t="str">
        <x:v>RUN-IMO26-017-20260828T185247421441Z</x:v>
      </x:c>
      <x:c r="B7" s="47" t="str">
        <x:v>IMO26-017</x:v>
      </x:c>
      <x:c r="C7" s="59" t="n">
        <x:v>1</x:v>
      </x:c>
      <x:c r="D7" s="47" t="str">
        <x:v>generator_prompt</x:v>
      </x:c>
      <x:c r="E7" s="48" t="str">
        <x:v>artifacts/attempt_01/generator_prompt.txt</x:v>
      </x:c>
      <x:c r="F7" s="47" t="str">
        <x:v>4e83bfac652fd8b19a130e580dea6ee8837a2dbc17d5c6a88eaf3d1bdf71481f</x:v>
      </x:c>
      <x:c r="G7" s="59" t="n">
        <x:v>25304</x:v>
      </x:c>
    </x:row>
    <x:row r="8">
      <x:c r="A8" s="47" t="str">
        <x:v>RUN-IMO26-017-20260828T185247421441Z</x:v>
      </x:c>
      <x:c r="B8" s="47" t="str">
        <x:v>IMO26-017</x:v>
      </x:c>
      <x:c r="C8" s="59" t="n">
        <x:v>1</x:v>
      </x:c>
      <x:c r="D8" s="47" t="str">
        <x:v>generator_raw_response</x:v>
      </x:c>
      <x:c r="E8" s="48" t="str">
        <x:v>artifacts/attempt_01/generator_raw.txt</x:v>
      </x:c>
      <x:c r="F8" s="47" t="str">
        <x:v>98074cdc7e704312c900698f14fea6f814cd414e4c90457955a68c4d7da7330e</x:v>
      </x:c>
      <x:c r="G8" s="59" t="n">
        <x:v>1530</x:v>
      </x:c>
    </x:row>
    <x:row r="9">
      <x:c r="A9" s="47" t="str">
        <x:v>RUN-IMO26-017-20260828T185247421441Z</x:v>
      </x:c>
      <x:c r="B9" s="47" t="str">
        <x:v>IMO26-017</x:v>
      </x:c>
      <x:c r="C9" s="59" t="n">
        <x:v>1</x:v>
      </x:c>
      <x:c r="D9" s="47" t="str">
        <x:v>syntax_repair_prompt</x:v>
      </x:c>
      <x:c r="E9" s="48" t="str">
        <x:v>artifacts/attempt_01/syntax_repair_prompt_01.txt</x:v>
      </x:c>
      <x:c r="F9" s="47" t="str">
        <x:v>b4ed7157c1ec8ff5136023034e0904ec84a089ca16ed700e1570604a06ddbbd5</x:v>
      </x:c>
      <x:c r="G9" s="59" t="n">
        <x:v>2784</x:v>
      </x:c>
    </x:row>
    <x:row r="10">
      <x:c r="A10" s="47" t="str">
        <x:v>RUN-IMO26-017-20260828T185247421441Z</x:v>
      </x:c>
      <x:c r="B10" s="47" t="str">
        <x:v>IMO26-017</x:v>
      </x:c>
      <x:c r="C10" s="59" t="n">
        <x:v>1</x:v>
      </x:c>
      <x:c r="D10" s="47" t="str">
        <x:v>syntax_repair_raw_response</x:v>
      </x:c>
      <x:c r="E10" s="48" t="str">
        <x:v>artifacts/attempt_01/syntax_repair_raw_01.txt</x:v>
      </x:c>
      <x:c r="F10" s="47" t="str">
        <x:v>4484463c65eee277c94865eb07b81f9e8fe60e608e3bd340a924807708f0f113</x:v>
      </x:c>
      <x:c r="G10" s="59" t="n">
        <x:v>1530</x:v>
      </x:c>
    </x:row>
    <x:row r="11">
      <x:c r="A11" s="47" t="str">
        <x:v>RUN-IMO26-017-20260828T185247421441Z</x:v>
      </x:c>
      <x:c r="B11" s="47" t="str">
        <x:v>IMO26-017</x:v>
      </x:c>
      <x:c r="C11" s="59" t="n">
        <x:v>1</x:v>
      </x:c>
      <x:c r="D11" s="47" t="str">
        <x:v>candidate_shape</x:v>
      </x:c>
      <x:c r="E11" s="48" t="str">
        <x:v>artifacts/attempt_01/candidate_shape.ttl</x:v>
      </x:c>
      <x:c r="F11" s="47" t="str">
        <x:v>07265c4f923131eb19df0a1e6fe9da1a3b401cc5fb3131efea9cff2067dfa635</x:v>
      </x:c>
      <x:c r="G11" s="59" t="n">
        <x:v>1505</x:v>
      </x:c>
    </x:row>
    <x:row r="12">
      <x:c r="A12" s="47" t="str">
        <x:v>RUN-IMO26-017-20260828T185247421441Z</x:v>
      </x:c>
      <x:c r="B12" s="47" t="str">
        <x:v>IMO26-017</x:v>
      </x:c>
      <x:c r="C12" s="59" t="n">
        <x:v>1</x:v>
      </x:c>
      <x:c r="D12" s="47" t="str">
        <x:v>deterministic_validation</x:v>
      </x:c>
      <x:c r="E12" s="48" t="str">
        <x:v>artifacts/attempt_01/deterministic_validation.json</x:v>
      </x:c>
      <x:c r="F12" s="47" t="str">
        <x:v>22ef929e3f36f068fadabc8b01aae9dd0a322ab65be5d22fb7cf03815c90db59</x:v>
      </x:c>
      <x:c r="G12" s="59" t="n">
        <x:v>661</x:v>
      </x:c>
    </x:row>
    <x:row r="13">
      <x:c r="A13" s="47" t="str">
        <x:v>RUN-IMO26-017-20260828T185247421441Z</x:v>
      </x:c>
      <x:c r="B13" s="47" t="str">
        <x:v>IMO26-017</x:v>
      </x:c>
      <x:c r="C13" s="59" t="n">
        <x:v>1</x:v>
      </x:c>
      <x:c r="D13" s="47" t="str">
        <x:v>validator_prompt</x:v>
      </x:c>
      <x:c r="E13" s="48" t="str">
        <x:v>artifacts/attempt_01/validator_prompt_01.txt</x:v>
      </x:c>
      <x:c r="F13" s="47" t="str">
        <x:v>8e7c19eebc30e27373e0f35eaafb95ffc882a37ca43eed7dbda64ba067e8a7cc</x:v>
      </x:c>
      <x:c r="G13" s="59" t="n">
        <x:v>21486</x:v>
      </x:c>
    </x:row>
    <x:row r="14">
      <x:c r="A14" s="47" t="str">
        <x:v>RUN-IMO26-017-20260828T185247421441Z</x:v>
      </x:c>
      <x:c r="B14" s="47" t="str">
        <x:v>IMO26-017</x:v>
      </x:c>
      <x:c r="C14" s="59" t="n">
        <x:v>1</x:v>
      </x:c>
      <x:c r="D14" s="47" t="str">
        <x:v>validator_raw_response</x:v>
      </x:c>
      <x:c r="E14" s="48" t="str">
        <x:v>artifacts/attempt_01/validator_raw_01.txt</x:v>
      </x:c>
      <x:c r="F14" s="47" t="str">
        <x:v>bf8b54dd664369ef59945d1dc7746d5a58eb30409da6f5bb9cd5ec779c26f1e9</x:v>
      </x:c>
      <x:c r="G14" s="59" t="n">
        <x:v>569</x:v>
      </x:c>
    </x:row>
    <x:row r="15">
      <x:c r="A15" s="49" t="str">
        <x:v>RUN-IMO26-017-20260828T185247421441Z</x:v>
      </x:c>
      <x:c r="B15" s="49" t="str">
        <x:v>IMO26-017</x:v>
      </x:c>
      <x:c r="C15" s="60" t="n">
        <x:v>1</x:v>
      </x:c>
      <x:c r="D15" s="49" t="str">
        <x:v>final_accepted_shape</x:v>
      </x:c>
      <x:c r="E15" s="50" t="str">
        <x:v>final/final_shape.ttl</x:v>
      </x:c>
      <x:c r="F15" s="49" t="str">
        <x:v>07265c4f923131eb19df0a1e6fe9da1a3b401cc5fb3131efea9cff2067dfa635</x:v>
      </x:c>
      <x:c r="G15" s="60" t="n">
        <x:v>1505</x:v>
      </x:c>
    </x:row>
  </x:sheetData>
  <x:pageMargins left="0.7" right="0.7" top="0.75" bottom="0.75" header="0.3" footer="0.3"/>
  <x:tableParts count="1">
    <x:tablePart xmlns:r="http://schemas.openxmlformats.org/officeDocument/2006/relationships" r:id="R2e355b9a95244a3b"/>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RUN-IMO26-017-20260828T185247421441Z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RUN-IMO26-017-20260828T185247421441Z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RUN-IMO26-017-20260828T185247421441Z</x:v>
      </x:c>
      <x:c r="B5" s="69" t="str">
        <x:v>IMO26-017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93b7664ed2d44bc1"/>
  </x:tableParts>
</x:worksheet>
</file>