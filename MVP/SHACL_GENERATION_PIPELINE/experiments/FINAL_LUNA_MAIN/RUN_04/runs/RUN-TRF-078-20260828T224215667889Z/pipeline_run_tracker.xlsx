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d7b4f893b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32be5535f34211"/>
    <x:sheet xmlns:r="http://schemas.openxmlformats.org/officeDocument/2006/relationships" name="README" sheetId="2" r:id="Rd2bc82423dd249f7"/>
    <x:sheet xmlns:r="http://schemas.openxmlformats.org/officeDocument/2006/relationships" name="REGULATION_QUEUE" sheetId="3" r:id="R9a4db213e4b24bf0"/>
    <x:sheet xmlns:r="http://schemas.openxmlformats.org/officeDocument/2006/relationships" name="RUNS" sheetId="4" r:id="R33d90195e5174709"/>
    <x:sheet xmlns:r="http://schemas.openxmlformats.org/officeDocument/2006/relationships" name="ITERATIONS" sheetId="5" r:id="R9cc5802e730a49ba"/>
    <x:sheet xmlns:r="http://schemas.openxmlformats.org/officeDocument/2006/relationships" name="API_CALLS" sheetId="6" r:id="Rf92d04a2aa7d4b81"/>
    <x:sheet xmlns:r="http://schemas.openxmlformats.org/officeDocument/2006/relationships" name="TERM_RETRIEVAL" sheetId="7" r:id="R45670b8b51214774"/>
    <x:sheet xmlns:r="http://schemas.openxmlformats.org/officeDocument/2006/relationships" name="FEW_SHOT_SELECTION" sheetId="8" r:id="R6688623899154c90"/>
    <x:sheet xmlns:r="http://schemas.openxmlformats.org/officeDocument/2006/relationships" name="VALIDATION" sheetId="9" r:id="Rabf9e786beb34058"/>
    <x:sheet xmlns:r="http://schemas.openxmlformats.org/officeDocument/2006/relationships" name="VOCAB_MATCHES" sheetId="10" r:id="R1987128620f747d7"/>
    <x:sheet xmlns:r="http://schemas.openxmlformats.org/officeDocument/2006/relationships" name="ARTIFACTS" sheetId="11" r:id="R05a278f8189e49b5"/>
    <x:sheet xmlns:r="http://schemas.openxmlformats.org/officeDocument/2006/relationships" name="UNRESOLVED" sheetId="12" r:id="Rf4ef2e7070fe46e2"/>
    <x:sheet xmlns:r="http://schemas.openxmlformats.org/officeDocument/2006/relationships" name="RDF_TEST_QUEUE" sheetId="13" r:id="R5896511c14a1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b79289f714cd7" /><Relationship Type="http://schemas.openxmlformats.org/officeDocument/2006/relationships/theme" Target="/xl/theme/theme1.xml" Id="R78bb96526e5d4538" /><Relationship Type="http://schemas.microsoft.com/office/2022/11/relationships/FeaturePropertyBag" Target="/xl/featurePropertyBag/featurePropertyBag.xml" Id="Rc1842237c9e742eb" /><Relationship Type="http://schemas.openxmlformats.org/officeDocument/2006/relationships/sharedStrings" Target="/xl/sharedStrings.xml" Id="R43e43da05f994f69" /><Relationship Type="http://schemas.openxmlformats.org/officeDocument/2006/relationships/worksheet" Target="/xl/worksheets/sheet1.xml" Id="R3432be5535f34211" /><Relationship Type="http://schemas.openxmlformats.org/officeDocument/2006/relationships/worksheet" Target="/xl/worksheets/sheet2.xml" Id="Rd2bc82423dd249f7" /><Relationship Type="http://schemas.openxmlformats.org/officeDocument/2006/relationships/worksheet" Target="/xl/worksheets/sheet3.xml" Id="R9a4db213e4b24bf0" /><Relationship Type="http://schemas.openxmlformats.org/officeDocument/2006/relationships/worksheet" Target="/xl/worksheets/sheet4.xml" Id="R33d90195e5174709" /><Relationship Type="http://schemas.openxmlformats.org/officeDocument/2006/relationships/worksheet" Target="/xl/worksheets/sheet5.xml" Id="R9cc5802e730a49ba" /><Relationship Type="http://schemas.openxmlformats.org/officeDocument/2006/relationships/worksheet" Target="/xl/worksheets/sheet6.xml" Id="Rf92d04a2aa7d4b81" /><Relationship Type="http://schemas.openxmlformats.org/officeDocument/2006/relationships/worksheet" Target="/xl/worksheets/sheet7.xml" Id="R45670b8b51214774" /><Relationship Type="http://schemas.openxmlformats.org/officeDocument/2006/relationships/worksheet" Target="/xl/worksheets/sheet8.xml" Id="R6688623899154c90" /><Relationship Type="http://schemas.openxmlformats.org/officeDocument/2006/relationships/worksheet" Target="/xl/worksheets/sheet9.xml" Id="Rabf9e786beb34058" /><Relationship Type="http://schemas.openxmlformats.org/officeDocument/2006/relationships/worksheet" Target="/xl/worksheets/sheet10.xml" Id="R1987128620f747d7" /><Relationship Type="http://schemas.openxmlformats.org/officeDocument/2006/relationships/worksheet" Target="/xl/worksheets/sheet11.xml" Id="R05a278f8189e49b5" /><Relationship Type="http://schemas.openxmlformats.org/officeDocument/2006/relationships/worksheet" Target="/xl/worksheets/sheet12.xml" Id="Rf4ef2e7070fe46e2" /><Relationship Type="http://schemas.openxmlformats.org/officeDocument/2006/relationships/worksheet" Target="/xl/worksheets/sheet13.xml" Id="R5896511c14a143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2e273dc60c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bb0befbcbe4d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8b6546bee444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524c4f702e4b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6b6059419541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fea94184c047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4217503b504a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87754fa6e049f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7a1e3cd09142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d539ce3f1646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RUN-TRF-078-20260828T224215667889Z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37411.2268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RUN-TRF-078-20260828T224215667889Z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2e273dc60c48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RUN-TRF-078-20260828T224215667889Z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GENERATION_ACCEPTED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bb0befbcbe4d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RUN-TRF-078-20260828T224215667889Z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RUN-TRF-078-20260828T224215667889Z</x:v>
      </x:c>
      <x:c r="C5" s="69" t="str">
        <x:v>TRF-078</x:v>
      </x:c>
      <x:c r="D5" s="70" t="n">
        <x:v>46262.9460146875</x:v>
      </x:c>
      <x:c r="E5" s="70" t="n">
        <x:v>46262.9481915162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correctly targets the ship, preserves the ship-to-case path, encodes mutually exclusive Table 6-6 and Table 6-7 alternatives with their proper selection keys and operands, and applies the derived-result tolerance comparison in the correct violation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8b6546bee444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RUN-TRF-078-20260828T224215667889Z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RUN-TRF-078-20260828T224215667889Z</x:v>
      </x:c>
      <x:c r="B5" s="45" t="str">
        <x:v>TRF-078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https://w3id.org/nltl/vocab#TRF078QuantityValueShape, https://w3id.org/nltl/vocab#TRF078ShipShape, https://w3id.org/nltl/vocab#TRF078TableLookupCaseShape
Semantic validator feedback: Repair the deterministic vocabulary error by making the three generated shape identifiers blank-node or non-canonical SHACL shape identifiers; do not use nltl:TRF078QuantityValueShape, nltl:TRF078TableLookupCaseShape, or nltl:TRF078ShipShape as canonical vocabulary IRIs. Also split the tableLookupCase validation into two alternative branch shapes selected by tableReference: the Table 6-6 branch must require exactly one iceClass and selectedIceClassCycleCount, while the Table 6-7 branch must require exactly one tableLookupPropellerLocation and selectedPropellerLocationFactor. The current universal tableLookupCase shape incorrectly makes both mutually exclusive lookup selections and both results mandatory on every case. Preserve the ship-to-case path and the formula operands, and retain the derived-result tolerance comparison.</x:v>
      </x:c>
      <x:c r="I5" s="81" t="n">
        <x:v>63429.695</x:v>
      </x:c>
      <x:c r="J5" s="81" t="n">
        <x:v>25713.606</x:v>
      </x:c>
    </x:row>
    <x:row r="6">
      <x:c r="A6" s="49" t="str">
        <x:v>RUN-TRF-078-20260828T224215667889Z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 validation is valid. It correctly targets the ship, preserves the ship-to-case path, encodes mutually exclusive Table 6-6 and Table 6-7 alternatives with their proper selection keys and operands, and applies the derived-result tolerance comparison in the correct violation direction.</x:v>
      </x:c>
      <x:c r="I6" s="83" t="n">
        <x:v>53861.736</x:v>
      </x:c>
      <x:c r="J6" s="83" t="n">
        <x:v>23927.2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24c4f702e4b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RUN-TRF-078-20260828T224215667889Z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RUN-TRF-078-20260828T224215667889Z</x:v>
      </x:c>
      <x:c r="C5" s="45" t="str">
        <x:v>TRF-078</x:v>
      </x:c>
      <x:c r="D5" s="90" t="n">
        <x:v>46262.946748842594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63427.967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RUN-TRF-078-20260828T224215667889Z</x:v>
      </x:c>
      <x:c r="C6" s="47" t="str">
        <x:v>TRF-078</x:v>
      </x:c>
      <x:c r="D6" s="91" t="n">
        <x:v>46262.94674886574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63429.695</x:v>
      </x:c>
      <x:c r="L6" s="93" t="b">
        <x:v>0</x:v>
      </x:c>
      <x:c r="M6" s="47" t="str">
        <x:v>resp_009cfe8b5e352fcc006a920ec7cb7481968904e38369e56fb8</x:v>
      </x:c>
      <x:c r="N6" s="59" t="n">
        <x:v>15394</x:v>
      </x:c>
      <x:c r="O6" s="59" t="n">
        <x:v>3592</x:v>
      </x:c>
      <x:c r="P6" s="59" t="n">
        <x:v>18986</x:v>
      </x:c>
    </x:row>
    <x:row r="7">
      <x:c r="A7" s="47" t="str">
        <x:v>EVT-000050</x:v>
      </x:c>
      <x:c r="B7" s="47" t="str">
        <x:v>RUN-TRF-078-20260828T224215667889Z</x:v>
      </x:c>
      <x:c r="C7" s="47" t="str">
        <x:v>TRF-078</x:v>
      </x:c>
      <x:c r="D7" s="91" t="n">
        <x:v>46262.94698385417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20126.129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RUN-TRF-078-20260828T224215667889Z</x:v>
      </x:c>
      <x:c r="C8" s="47" t="str">
        <x:v>TRF-078</x:v>
      </x:c>
      <x:c r="D8" s="91" t="n">
        <x:v>46262.94698386574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20127.474</x:v>
      </x:c>
      <x:c r="L8" s="93" t="b">
        <x:v>0</x:v>
      </x:c>
      <x:c r="M8" s="47" t="str">
        <x:v>resp_04c9b0267b9d96ed006a920f07638481948ae80eac40cb0fae</x:v>
      </x:c>
      <x:c r="N8" s="59" t="n">
        <x:v>2422</x:v>
      </x:c>
      <x:c r="O8" s="59" t="n">
        <x:v>1958</x:v>
      </x:c>
      <x:c r="P8" s="59" t="n">
        <x:v>4380</x:v>
      </x:c>
    </x:row>
    <x:row r="9">
      <x:c r="A9" s="47" t="str">
        <x:v>EVT-000059</x:v>
      </x:c>
      <x:c r="B9" s="47" t="str">
        <x:v>RUN-TRF-078-20260828T224215667889Z</x:v>
      </x:c>
      <x:c r="C9" s="47" t="str">
        <x:v>TRF-078</x:v>
      </x:c>
      <x:c r="D9" s="91" t="n">
        <x:v>46262.94728846065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25712.266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EVT-000060</x:v>
      </x:c>
      <x:c r="B10" s="47" t="str">
        <x:v>RUN-TRF-078-20260828T224215667889Z</x:v>
      </x:c>
      <x:c r="C10" s="47" t="str">
        <x:v>TRF-078</x:v>
      </x:c>
      <x:c r="D10" s="91" t="n">
        <x:v>46262.94728847222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25713.606</x:v>
      </x:c>
      <x:c r="L10" s="93" t="b">
        <x:v>0</x:v>
      </x:c>
      <x:c r="M10" s="47" t="str">
        <x:v>resp_0c9473acea204ae7006a920f1c7cdc819584e68189ff1f3410</x:v>
      </x:c>
      <x:c r="N10" s="59" t="n">
        <x:v>18407</x:v>
      </x:c>
      <x:c r="O10" s="59" t="n">
        <x:v>1222</x:v>
      </x:c>
      <x:c r="P10" s="59" t="n">
        <x:v>19629</x:v>
      </x:c>
    </x:row>
    <x:row r="11">
      <x:c r="A11" s="47" t="str">
        <x:v>EVT-000065</x:v>
      </x:c>
      <x:c r="B11" s="47" t="str">
        <x:v>RUN-TRF-078-20260828T224215667889Z</x:v>
      </x:c>
      <x:c r="C11" s="47" t="str">
        <x:v>TRF-078</x:v>
      </x:c>
      <x:c r="D11" s="91" t="n">
        <x:v>46262.94791189815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53860.25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RUN-TRF-078-20260828T224215667889Z</x:v>
      </x:c>
      <x:c r="C12" s="47" t="str">
        <x:v>TRF-078</x:v>
      </x:c>
      <x:c r="D12" s="91" t="n">
        <x:v>46262.94791190972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53861.736</x:v>
      </x:c>
      <x:c r="L12" s="93" t="b">
        <x:v>0</x:v>
      </x:c>
      <x:c r="M12" s="47" t="str">
        <x:v>resp_06df28f030f70738006a920f35df408193b8c70c943e9b964f</x:v>
      </x:c>
      <x:c r="N12" s="59" t="n">
        <x:v>15638</x:v>
      </x:c>
      <x:c r="O12" s="59" t="n">
        <x:v>3278</x:v>
      </x:c>
      <x:c r="P12" s="59" t="n">
        <x:v>18916</x:v>
      </x:c>
    </x:row>
    <x:row r="13">
      <x:c r="A13" s="47" t="str">
        <x:v>EVT-000073</x:v>
      </x:c>
      <x:c r="B13" s="47" t="str">
        <x:v>RUN-TRF-078-20260828T224215667889Z</x:v>
      </x:c>
      <x:c r="C13" s="47" t="str">
        <x:v>TRF-078</x:v>
      </x:c>
      <x:c r="D13" s="91" t="n">
        <x:v>46262.94819144676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23925.945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EVT-000074</x:v>
      </x:c>
      <x:c r="B14" s="49" t="str">
        <x:v>RUN-TRF-078-20260828T224215667889Z</x:v>
      </x:c>
      <x:c r="C14" s="49" t="str">
        <x:v>TRF-078</x:v>
      </x:c>
      <x:c r="D14" s="94" t="n">
        <x:v>46262.94819145833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23927.2</x:v>
      </x:c>
      <x:c r="L14" s="82" t="b">
        <x:v>0</x:v>
      </x:c>
      <x:c r="M14" s="49" t="str">
        <x:v>resp_01e8230eaacb80f4006a920f6c022c8197ae39c675d2e1db3a</x:v>
      </x:c>
      <x:c r="N14" s="60" t="n">
        <x:v>17447</x:v>
      </x:c>
      <x:c r="O14" s="60" t="n">
        <x:v>1116</x:v>
      </x:c>
      <x:c r="P14" s="60" t="n">
        <x:v>18563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b6059419541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RUN-TRF-078-20260828T224215667889Z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RUN-TRF-078-20260828T224215667889Z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RUN-TRF-078-20260828T224215667889Z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RUN-TRF-078-20260828T224215667889Z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RUN-TRF-078-20260828T224215667889Z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RUN-TRF-078-20260828T224215667889Z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RUN-TRF-078-20260828T224215667889Z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RUN-TRF-078-20260828T224215667889Z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RUN-TRF-078-20260828T224215667889Z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RUN-TRF-078-20260828T224215667889Z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RUN-TRF-078-20260828T224215667889Z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RUN-TRF-078-20260828T224215667889Z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RUN-TRF-078-20260828T224215667889Z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RUN-TRF-078-20260828T224215667889Z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RUN-TRF-078-20260828T224215667889Z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RUN-TRF-078-20260828T224215667889Z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RUN-TRF-078-20260828T224215667889Z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RUN-TRF-078-20260828T224215667889Z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RUN-TRF-078-20260828T224215667889Z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RUN-TRF-078-20260828T224215667889Z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RUN-TRF-078-20260828T224215667889Z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RUN-TRF-078-20260828T224215667889Z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RUN-TRF-078-20260828T224215667889Z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RUN-TRF-078-20260828T224215667889Z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RUN-TRF-078-20260828T224215667889Z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RUN-TRF-078-20260828T224215667889Z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RUN-TRF-078-20260828T224215667889Z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RUN-TRF-078-20260828T224215667889Z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RUN-TRF-078-20260828T224215667889Z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RUN-TRF-078-20260828T224215667889Z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RUN-TRF-078-20260828T224215667889Z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RUN-TRF-078-20260828T224215667889Z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RUN-TRF-078-20260828T224215667889Z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RUN-TRF-078-20260828T224215667889Z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RUN-TRF-078-20260828T224215667889Z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RUN-TRF-078-20260828T224215667889Z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RUN-TRF-078-20260828T224215667889Z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fea94184c047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RUN-TRF-078-20260828T224215667889Z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RUN-TRF-078-20260828T224215667889Z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RUN-TRF-078-20260828T224215667889Z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217503b504a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RUN-TRF-078-20260828T224215667889Z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RUN-TRF-078-20260828T224215667889Z</x:v>
      </x:c>
      <x:c r="B5" s="45" t="str">
        <x:v>TRF-078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Unknown canonical benchmark IRI(s): https://w3id.org/nltl/vocab#TRF078QuantityValueShape, https://w3id.org/nltl/vocab#TRF078ShipShape, https://w3id.org/nltl/vocab#TRF078TableLookupCaseShape</x:v>
      </x:c>
      <x:c r="M5" s="46" t="str"/>
      <x:c r="N5" s="46" t="str">
        <x:v>https://w3id.org/nltl/vocab#TRF078QuantityValueShape | https://w3id.org/nltl/vocab#TRF078ShipShape | https://w3id.org/nltl/vocab#TRF078TableLookupCaseShape | 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5" s="46" t="str">
        <x:v>https://w3id.org/nltl/vocab#TRF078QuantityValueShape | https://w3id.org/nltl/vocab#TRF078ShipShape | https://w3id.org/nltl/vocab#TRF078TableLookupCaseShape</x:v>
      </x:c>
      <x:c r="P5" s="46" t="str"/>
      <x:c r="Q5" s="46" t="str"/>
    </x:row>
    <x:row r="6">
      <x:c r="A6" s="49" t="str">
        <x:v>RUN-TRF-078-20260828T224215667889Z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https://w3id.org/nltl/vocab#tableReferenceValue | https://w3id.org/nltl/vocab#traficomTable6Dash6 | https://w3id.org/nltl/vocab#traficomTable6Dash7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287754fa6e049f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RUN-TRF-078-20260828T224215667889Z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RUN-TRF-078-20260828T224215667889Z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RUN-TRF-078-20260828T224215667889Z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RUN-TRF-078-20260828T224215667889Z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RUN-TRF-078-20260828T224215667889Z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RUN-TRF-078-20260828T224215667889Z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bfdbaaa3c1d6b8e865cdc03d2643ae9d0360b60fb101bf0ff88dcd4bdef5bece</x:v>
      </x:c>
      <x:c r="G8" s="59" t="n">
        <x:v>6821</x:v>
      </x:c>
    </x:row>
    <x:row r="9">
      <x:c r="A9" s="47" t="str">
        <x:v>RUN-TRF-078-20260828T224215667889Z</x:v>
      </x:c>
      <x:c r="B9" s="47" t="str">
        <x:v>TRF-078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389667e767c365e5eabea0f44b77084f2d337c3cf26378cbf7272fc5fe400ebe</x:v>
      </x:c>
      <x:c r="G9" s="59" t="n">
        <x:v>8092</x:v>
      </x:c>
    </x:row>
    <x:row r="10">
      <x:c r="A10" s="47" t="str">
        <x:v>RUN-TRF-078-20260828T224215667889Z</x:v>
      </x:c>
      <x:c r="B10" s="47" t="str">
        <x:v>TRF-078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6f0533f842628ef7e3dbb25a9ceebe8b9f5afa3d85d04e1ef587f9630ee72112</x:v>
      </x:c>
      <x:c r="G10" s="59" t="n">
        <x:v>6877</x:v>
      </x:c>
    </x:row>
    <x:row r="11">
      <x:c r="A11" s="47" t="str">
        <x:v>RUN-TRF-078-20260828T224215667889Z</x:v>
      </x:c>
      <x:c r="B11" s="47" t="str">
        <x:v>TRF-078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f73ba390caf920ec5153095dc99ae45de532a056103f89a92b1b589a804ad142</x:v>
      </x:c>
      <x:c r="G11" s="59" t="n">
        <x:v>6852</x:v>
      </x:c>
    </x:row>
    <x:row r="12">
      <x:c r="A12" s="47" t="str">
        <x:v>RUN-TRF-078-20260828T224215667889Z</x:v>
      </x:c>
      <x:c r="B12" s="47" t="str">
        <x:v>TRF-078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fd802b4c9a0f2df0f9d99c9cec00f926c0c6b0f3cc2c06c7b89b6c547e84087c</x:v>
      </x:c>
      <x:c r="G12" s="59" t="n">
        <x:v>2172</x:v>
      </x:c>
    </x:row>
    <x:row r="13">
      <x:c r="A13" s="47" t="str">
        <x:v>RUN-TRF-078-20260828T224215667889Z</x:v>
      </x:c>
      <x:c r="B13" s="47" t="str">
        <x:v>TRF-078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0bd079ab3de722fd56b21a5b0365ac6a87249b6fdc3c8984eca020b6afaeef22</x:v>
      </x:c>
      <x:c r="G13" s="59" t="n">
        <x:v>70860</x:v>
      </x:c>
    </x:row>
    <x:row r="14">
      <x:c r="A14" s="47" t="str">
        <x:v>RUN-TRF-078-20260828T224215667889Z</x:v>
      </x:c>
      <x:c r="B14" s="47" t="str">
        <x:v>TRF-078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4db5e4fda1e24c48d6e5fc07553f01f90f321b0f26a8798234dfdedc363225aa</x:v>
      </x:c>
      <x:c r="G14" s="59" t="n">
        <x:v>900</x:v>
      </x:c>
    </x:row>
    <x:row r="15">
      <x:c r="A15" s="47" t="str">
        <x:v>RUN-TRF-078-20260828T224215667889Z</x:v>
      </x:c>
      <x:c r="B15" s="47" t="str">
        <x:v>TRF-078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cb48b8f7a47a62166e67b0e9aa42df289b929968b9e6d451c89105d49b0f15f8</x:v>
      </x:c>
      <x:c r="G15" s="59" t="n">
        <x:v>63558</x:v>
      </x:c>
    </x:row>
    <x:row r="16">
      <x:c r="A16" s="47" t="str">
        <x:v>RUN-TRF-078-20260828T224215667889Z</x:v>
      </x:c>
      <x:c r="B16" s="47" t="str">
        <x:v>TRF-078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af9ca2f602bd4259d4498e7e5fe569ddfa321343be353054ed9941b1c56f8826</x:v>
      </x:c>
      <x:c r="G16" s="59" t="n">
        <x:v>6726</x:v>
      </x:c>
    </x:row>
    <x:row r="17">
      <x:c r="A17" s="47" t="str">
        <x:v>RUN-TRF-078-20260828T224215667889Z</x:v>
      </x:c>
      <x:c r="B17" s="47" t="str">
        <x:v>TRF-078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81a377123da1da068e2ff7d3626a4d1cd9a27b613c2bcf42d88d7f5de54f896f</x:v>
      </x:c>
      <x:c r="G17" s="59" t="n">
        <x:v>6701</x:v>
      </x:c>
    </x:row>
    <x:row r="18">
      <x:c r="A18" s="47" t="str">
        <x:v>RUN-TRF-078-20260828T224215667889Z</x:v>
      </x:c>
      <x:c r="B18" s="47" t="str">
        <x:v>TRF-078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ca608e613e5ed40d62bb4aa471aa43d08a30d986581069fd135a222110835f34</x:v>
      </x:c>
      <x:c r="G18" s="59" t="n">
        <x:v>1341</x:v>
      </x:c>
    </x:row>
    <x:row r="19">
      <x:c r="A19" s="47" t="str">
        <x:v>RUN-TRF-078-20260828T224215667889Z</x:v>
      </x:c>
      <x:c r="B19" s="47" t="str">
        <x:v>TRF-078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6f35382e566291ee946873e40bc057b650e8d0c36531b96655ccfb6dd3647b12</x:v>
      </x:c>
      <x:c r="G19" s="59" t="n">
        <x:v>67675</x:v>
      </x:c>
    </x:row>
    <x:row r="20">
      <x:c r="A20" s="47" t="str">
        <x:v>RUN-TRF-078-20260828T224215667889Z</x:v>
      </x:c>
      <x:c r="B20" s="47" t="str">
        <x:v>TRF-078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8433301e36e847b9aa2959297337f280cbd01a2051fd6d5a0ab151a60ba63de4</x:v>
      </x:c>
      <x:c r="G20" s="59" t="n">
        <x:v>399</x:v>
      </x:c>
    </x:row>
    <x:row r="21">
      <x:c r="A21" s="49" t="str">
        <x:v>RUN-TRF-078-20260828T224215667889Z</x:v>
      </x:c>
      <x:c r="B21" s="49" t="str">
        <x:v>TRF-078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81a377123da1da068e2ff7d3626a4d1cd9a27b613c2bcf42d88d7f5de54f896f</x:v>
      </x:c>
      <x:c r="G21" s="60" t="n">
        <x:v>6701</x:v>
      </x:c>
    </x:row>
  </x:sheetData>
  <x:pageMargins left="0.7" right="0.7" top="0.75" bottom="0.75" header="0.3" footer="0.3"/>
  <x:tableParts count="1">
    <x:tablePart xmlns:r="http://schemas.openxmlformats.org/officeDocument/2006/relationships" r:id="R167a1e3cd09142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RUN-TRF-078-20260828T224215667889Z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RUN-TRF-078-20260828T224215667889Z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RUN-TRF-078-20260828T224215667889Z</x:v>
      </x:c>
      <x:c r="B5" s="69" t="str">
        <x:v>TRF-078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539ce3f164657"/>
  </x:tableParts>
</x:worksheet>
</file>