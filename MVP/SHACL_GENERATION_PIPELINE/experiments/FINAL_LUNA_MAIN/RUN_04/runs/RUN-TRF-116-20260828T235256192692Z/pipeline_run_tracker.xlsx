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featurePropertyBag/featurePropertyBag.xml" ContentType="application/vnd.ms-excel.featurepropertybag+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tables/table1.xml" ContentType="application/vnd.openxmlformats-officedocument.spreadsheetml.table+xml"/>
  <Override PartName="/xl/worksheets/sheet3.xml" ContentType="application/vnd.openxmlformats-officedocument.spreadsheetml.worksheet+xml"/>
  <Override PartName="/xl/tables/table2.xml" ContentType="application/vnd.openxmlformats-officedocument.spreadsheetml.table+xml"/>
  <Override PartName="/xl/worksheets/sheet4.xml" ContentType="application/vnd.openxmlformats-officedocument.spreadsheetml.worksheet+xml"/>
  <Override PartName="/xl/tables/table3.xml" ContentType="application/vnd.openxmlformats-officedocument.spreadsheetml.table+xml"/>
  <Override PartName="/xl/worksheets/sheet5.xml" ContentType="application/vnd.openxmlformats-officedocument.spreadsheetml.worksheet+xml"/>
  <Override PartName="/xl/tables/table4.xml" ContentType="application/vnd.openxmlformats-officedocument.spreadsheetml.table+xml"/>
  <Override PartName="/xl/worksheets/sheet6.xml" ContentType="application/vnd.openxmlformats-officedocument.spreadsheetml.worksheet+xml"/>
  <Override PartName="/xl/tables/table5.xml" ContentType="application/vnd.openxmlformats-officedocument.spreadsheetml.table+xml"/>
  <Override PartName="/xl/worksheets/sheet7.xml" ContentType="application/vnd.openxmlformats-officedocument.spreadsheetml.worksheet+xml"/>
  <Override PartName="/xl/tables/table6.xml" ContentType="application/vnd.openxmlformats-officedocument.spreadsheetml.table+xml"/>
  <Override PartName="/xl/worksheets/sheet8.xml" ContentType="application/vnd.openxmlformats-officedocument.spreadsheetml.worksheet+xml"/>
  <Override PartName="/xl/tables/table7.xml" ContentType="application/vnd.openxmlformats-officedocument.spreadsheetml.table+xml"/>
  <Override PartName="/xl/worksheets/sheet9.xml" ContentType="application/vnd.openxmlformats-officedocument.spreadsheetml.worksheet+xml"/>
  <Override PartName="/xl/tables/table8.xml" ContentType="application/vnd.openxmlformats-officedocument.spreadsheetml.table+xml"/>
  <Override PartName="/xl/worksheets/sheet10.xml" ContentType="application/vnd.openxmlformats-officedocument.spreadsheetml.worksheet+xml"/>
  <Override PartName="/xl/worksheets/sheet11.xml" ContentType="application/vnd.openxmlformats-officedocument.spreadsheetml.worksheet+xml"/>
  <Override PartName="/xl/tables/table9.xml" ContentType="application/vnd.openxmlformats-officedocument.spreadsheetml.table+xml"/>
  <Override PartName="/xl/worksheets/sheet12.xml" ContentType="application/vnd.openxmlformats-officedocument.spreadsheetml.worksheet+xml"/>
  <Override PartName="/xl/worksheets/sheet13.xml" ContentType="application/vnd.openxmlformats-officedocument.spreadsheetml.worksheet+xml"/>
  <Override PartName="/xl/tables/table10.xml" ContentType="application/vnd.openxmlformats-officedocument.spreadsheetml.table+xml"/>
</Types>
</file>

<file path=_rels/.rels>&#65279;<?xml version="1.0" encoding="utf-8"?><Relationships xmlns="http://schemas.openxmlformats.org/package/2006/relationships"><Relationship Type="http://schemas.openxmlformats.org/officeDocument/2006/relationships/officeDocument" Target="/xl/workbook.xml" Id="Rb5667353dc8e41f4" /></Relationships>
</file>

<file path=xl/workbook.xml><?xml version="1.0" encoding="utf-8"?>
<x:workbook xmlns:x="http://schemas.openxmlformats.org/spreadsheetml/2006/main">
  <x:sheets>
    <x:sheet xmlns:r="http://schemas.openxmlformats.org/officeDocument/2006/relationships" name="SUMMARY" sheetId="1" r:id="R60c0307ee376465a"/>
    <x:sheet xmlns:r="http://schemas.openxmlformats.org/officeDocument/2006/relationships" name="README" sheetId="2" r:id="R23a64e2ea2154025"/>
    <x:sheet xmlns:r="http://schemas.openxmlformats.org/officeDocument/2006/relationships" name="REGULATION_QUEUE" sheetId="3" r:id="R828b61782bfc4c02"/>
    <x:sheet xmlns:r="http://schemas.openxmlformats.org/officeDocument/2006/relationships" name="RUNS" sheetId="4" r:id="R2bcdf8b6b99641e0"/>
    <x:sheet xmlns:r="http://schemas.openxmlformats.org/officeDocument/2006/relationships" name="ITERATIONS" sheetId="5" r:id="R4517d824f1b5496e"/>
    <x:sheet xmlns:r="http://schemas.openxmlformats.org/officeDocument/2006/relationships" name="API_CALLS" sheetId="6" r:id="R780fc21bcdd44f51"/>
    <x:sheet xmlns:r="http://schemas.openxmlformats.org/officeDocument/2006/relationships" name="TERM_RETRIEVAL" sheetId="7" r:id="Rec2e22662ab74e48"/>
    <x:sheet xmlns:r="http://schemas.openxmlformats.org/officeDocument/2006/relationships" name="FEW_SHOT_SELECTION" sheetId="8" r:id="Rf192c9198cd847f7"/>
    <x:sheet xmlns:r="http://schemas.openxmlformats.org/officeDocument/2006/relationships" name="VALIDATION" sheetId="9" r:id="Rf94ae756ae4045ab"/>
    <x:sheet xmlns:r="http://schemas.openxmlformats.org/officeDocument/2006/relationships" name="VOCAB_MATCHES" sheetId="10" r:id="Rb27c792242e240f6"/>
    <x:sheet xmlns:r="http://schemas.openxmlformats.org/officeDocument/2006/relationships" name="ARTIFACTS" sheetId="11" r:id="R72bf0088dfeb4e01"/>
    <x:sheet xmlns:r="http://schemas.openxmlformats.org/officeDocument/2006/relationships" name="UNRESOLVED" sheetId="12" r:id="Rd50559b2f03e4993"/>
    <x:sheet xmlns:r="http://schemas.openxmlformats.org/officeDocument/2006/relationships" name="RDF_TEST_QUEUE" sheetId="13" r:id="R93106c7f27604366"/>
  </x:sheets>
</x:workbook>
</file>

<file path=xl/sharedStrings.xml><?xml version="1.0" encoding="utf-8"?>
<x:sst xmlns:x="http://schemas.openxmlformats.org/spreadsheetml/2006/main"/>
</file>

<file path=xl/styles.xml><?xml version="1.0" encoding="utf-8"?>
<x:styleSheet xmlns:x="http://schemas.openxmlformats.org/spreadsheetml/2006/main">
  <x:numFmts count="4">
    <x:numFmt numFmtId="200" formatCode="#,##0"/>
    <x:numFmt numFmtId="201" formatCode="#,##0.000"/>
    <x:numFmt numFmtId="202" formatCode="yyyy-mm-dd hh:mm:ss.000"/>
    <x:numFmt numFmtId="203" formatCode="0.000"/>
  </x:numFmts>
  <x:fonts count="10">
    <x:font>
      <x:sz val="11"/>
      <x:name val="Carlito"/>
    </x:font>
    <x:font>
      <x:b/>
      <x:sz val="16"/>
      <x:color rgb="FFFFFFFF"/>
      <x:name val="Carlito"/>
    </x:font>
    <x:font>
      <x:i/>
      <x:sz val="11"/>
      <x:color rgb="FF5B6573"/>
      <x:name val="Carlito"/>
    </x:font>
    <x:font>
      <x:b/>
      <x:sz val="11"/>
      <x:color rgb="FFFFFFFF"/>
      <x:name val="Carlito"/>
    </x:font>
    <x:font>
      <x:b/>
      <x:sz val="11"/>
      <x:color rgb="FF17324D"/>
      <x:name val="Carlito"/>
    </x:font>
    <x:font>
      <x:b/>
      <x:sz val="16"/>
      <x:color rgb="FFFFFFFF"/>
      <x:name val="Aptos"/>
    </x:font>
    <x:font>
      <x:sz val="11"/>
      <x:name val="Aptos"/>
    </x:font>
    <x:font>
      <x:i/>
      <x:sz val="11"/>
      <x:color rgb="FF5B6573"/>
      <x:name val="Aptos"/>
    </x:font>
    <x:font>
      <x:b/>
      <x:sz val="11"/>
      <x:color rgb="FFFFFFFF"/>
      <x:name val="Aptos"/>
    </x:font>
    <x:font>
      <x:b/>
      <x:sz val="11"/>
      <x:color rgb="FF17324D"/>
      <x:name val="Aptos"/>
    </x:font>
  </x:fonts>
  <x:fills count="5">
    <x:fill>
      <x:patternFill patternType="none"/>
    </x:fill>
    <x:fill>
      <x:patternFill patternType="gray125"/>
    </x:fill>
    <x:fill>
      <x:patternFill patternType="solid">
        <x:fgColor rgb="FF17324D"/>
      </x:patternFill>
    </x:fill>
    <x:fill>
      <x:patternFill patternType="solid">
        <x:fgColor rgb="FFE8F1F5"/>
      </x:patternFill>
    </x:fill>
    <x:fill>
      <x:patternFill patternType="solid">
        <x:fgColor rgb="FF0F766E"/>
      </x:patternFill>
    </x:fill>
  </x:fills>
  <x:borders count="6">
    <x:border/>
    <x:border>
      <x:bottom style="thin">
        <x:color rgb="FFCBD5E1"/>
      </x:bottom>
    </x:border>
    <x:border>
      <x:top style="thin">
        <x:color rgb="FFCBD5E1"/>
      </x:top>
      <x:bottom style="thin">
        <x:color rgb="FFCBD5E1"/>
      </x:bottom>
    </x:border>
    <x:border>
      <x:top style="thin">
        <x:color rgb="FFCBD5E1"/>
      </x:top>
    </x:border>
    <x:border>
      <x:left style="thin">
        <x:color rgb="FFCBD5E1"/>
      </x:left>
      <x:top style="thin">
        <x:color rgb="FFCBD5E1"/>
      </x:top>
      <x:bottom style="thin">
        <x:color rgb="FFCBD5E1"/>
      </x:bottom>
    </x:border>
    <x:border>
      <x:right style="thin">
        <x:color rgb="FFCBD5E1"/>
      </x:right>
      <x:top style="thin">
        <x:color rgb="FFCBD5E1"/>
      </x:top>
      <x:bottom style="thin">
        <x:color rgb="FFCBD5E1"/>
      </x:bottom>
    </x:border>
  </x:borders>
  <x:cellStyleXfs count="1">
    <x:xf numFmtId="0" fontId="0" fillId="0" borderId="0"/>
  </x:cellStyleXfs>
  <x:cellXfs count="105">
    <x:xf numFmtId="0" fontId="0" fillId="0" borderId="0" xfId="0"/>
    <x:xf numFmtId="0" fontId="0" fillId="2" borderId="0" xfId="0" applyNumberFormat="1" applyFont="1" applyFill="1" applyBorder="1"/>
    <x:xf numFmtId="0" fontId="1" fillId="2" borderId="0" xfId="0" applyNumberFormat="1" applyFont="1" applyFill="1" applyBorder="1"/>
    <x:xf numFmtId="0" fontId="0" fillId="3" borderId="0" xfId="0" applyNumberFormat="1" applyFont="1" applyFill="1" applyBorder="1"/>
    <x:xf numFmtId="0" fontId="2" fillId="3" borderId="0" xfId="0" applyNumberFormat="1" applyFont="1" applyFill="1" applyBorder="1"/>
    <x:xf numFmtId="0" fontId="0" fillId="4" borderId="0" xfId="0" applyNumberFormat="1" applyFont="1" applyFill="1" applyBorder="1"/>
    <x:xf numFmtId="0" fontId="3" fillId="4" borderId="0" xfId="0" applyNumberFormat="1" applyFont="1" applyFill="1" applyBorder="1"/>
    <x:xf numFmtId="0" fontId="0" fillId="0" borderId="1" xfId="0" applyNumberFormat="1" applyFont="1" applyFill="1" applyBorder="1"/>
    <x:xf numFmtId="0" fontId="0" fillId="0" borderId="2" xfId="0" applyNumberFormat="1" applyFont="1" applyFill="1" applyBorder="1"/>
    <x:xf numFmtId="0" fontId="0" fillId="0" borderId="3" xfId="0" applyNumberFormat="1" applyFont="1" applyFill="1" applyBorder="1"/>
    <x:xf numFmtId="0" fontId="4" fillId="0" borderId="1" xfId="0" applyNumberFormat="1" applyFont="1" applyFill="1" applyBorder="1"/>
    <x:xf numFmtId="0" fontId="4" fillId="0" borderId="2" xfId="0" applyNumberFormat="1" applyFont="1" applyFill="1" applyBorder="1"/>
    <x:xf numFmtId="0" fontId="4" fillId="0" borderId="3" xfId="0" applyNumberFormat="1" applyFont="1" applyFill="1" applyBorder="1"/>
    <x:xf numFmtId="200" fontId="0" fillId="0" borderId="1" xfId="0" applyNumberFormat="1" applyFont="1" applyFill="1" applyBorder="1"/>
    <x:xf numFmtId="200" fontId="0" fillId="0" borderId="2" xfId="0" applyNumberFormat="1" applyFont="1" applyFill="1" applyBorder="1"/>
    <x:xf numFmtId="201" fontId="0" fillId="0" borderId="3" xfId="0" applyNumberFormat="1" applyFont="1" applyFill="1" applyBorder="1"/>
    <x:xf numFmtId="0" fontId="4" fillId="3" borderId="0" xfId="0" applyNumberFormat="1" applyFont="1" applyFill="1" applyBorder="1"/>
    <x:xf numFmtId="0" fontId="0" fillId="0" borderId="0" xfId="0" applyNumberFormat="1" applyFont="1" applyFill="1" applyBorder="1" applyAlignment="1">
      <x:alignment wrapText="1"/>
    </x:xf>
    <x:xf numFmtId="0" fontId="5" fillId="2" borderId="0" xfId="0" applyNumberFormat="1" applyFont="1" applyFill="1" applyBorder="1"/>
    <x:xf numFmtId="0" fontId="6" fillId="2" borderId="0" xfId="0" applyNumberFormat="1" applyFont="1" applyFill="1" applyBorder="1"/>
    <x:xf numFmtId="0" fontId="7" fillId="3" borderId="0" xfId="0" applyNumberFormat="1" applyFont="1" applyFill="1" applyBorder="1"/>
    <x:xf numFmtId="0" fontId="6" fillId="0" borderId="0" xfId="0" applyNumberFormat="1" applyFont="1" applyFill="1" applyBorder="1"/>
    <x:xf numFmtId="0" fontId="8" fillId="4" borderId="0" xfId="0" applyNumberFormat="1" applyFont="1" applyFill="1" applyBorder="1"/>
    <x:xf numFmtId="0" fontId="9" fillId="0" borderId="1" xfId="0" applyNumberFormat="1" applyFont="1" applyFill="1" applyBorder="1"/>
    <x:xf numFmtId="200" fontId="6" fillId="0" borderId="1" xfId="0" applyNumberFormat="1" applyFont="1" applyFill="1" applyBorder="1"/>
    <x:xf numFmtId="0" fontId="9" fillId="0" borderId="2" xfId="0" applyNumberFormat="1" applyFont="1" applyFill="1" applyBorder="1"/>
    <x:xf numFmtId="200" fontId="6" fillId="0" borderId="2" xfId="0" applyNumberFormat="1" applyFont="1" applyFill="1" applyBorder="1"/>
    <x:xf numFmtId="0" fontId="9" fillId="0" borderId="3" xfId="0" applyNumberFormat="1" applyFont="1" applyFill="1" applyBorder="1"/>
    <x:xf numFmtId="201" fontId="6" fillId="0" borderId="3" xfId="0" applyNumberFormat="1" applyFont="1" applyFill="1" applyBorder="1"/>
    <x:xf numFmtId="0" fontId="9" fillId="3" borderId="0" xfId="0" applyNumberFormat="1" applyFont="1" applyFill="1" applyBorder="1"/>
    <x:xf numFmtId="0" fontId="6" fillId="0" borderId="0" xfId="0" applyNumberFormat="1" applyFont="1" applyFill="1" applyBorder="1" applyAlignment="1">
      <x:alignment wrapText="1"/>
    </x:xf>
    <x:xf numFmtId="0" fontId="3" fillId="4" borderId="4" xfId="0" applyNumberFormat="1" applyFont="1" applyFill="1" applyBorder="1"/>
    <x:xf numFmtId="0" fontId="3" fillId="4" borderId="5" xfId="0" applyNumberFormat="1" applyFont="1" applyFill="1" applyBorder="1"/>
    <x:xf numFmtId="0" fontId="3" fillId="4" borderId="4" xfId="0" applyNumberFormat="1" applyFont="1" applyFill="1" applyBorder="1" applyAlignment="1">
      <x:alignment wrapText="1"/>
    </x:xf>
    <x:xf numFmtId="0" fontId="3" fillId="4" borderId="5" xfId="0" applyNumberFormat="1" applyFont="1" applyFill="1" applyBorder="1" applyAlignment="1">
      <x:alignment wrapText="1"/>
    </x:xf>
    <x:xf numFmtId="0" fontId="3" fillId="4" borderId="4" xfId="0" applyNumberFormat="1" applyFont="1" applyFill="1" applyBorder="1" applyAlignment="1">
      <x:alignment vertical="center" wrapText="1"/>
    </x:xf>
    <x:xf numFmtId="0" fontId="3" fillId="4" borderId="5" xfId="0" applyNumberFormat="1" applyFont="1" applyFill="1" applyBorder="1" applyAlignment="1">
      <x:alignment vertical="center" wrapText="1"/>
    </x:xf>
    <x:xf numFmtId="0" fontId="0" fillId="0" borderId="1" xfId="0" applyNumberFormat="1" applyFont="1" applyFill="1" applyBorder="1" applyAlignment="1">
      <x:alignment vertical="top"/>
    </x:xf>
    <x:xf numFmtId="0" fontId="0" fillId="0" borderId="2" xfId="0" applyNumberFormat="1" applyFont="1" applyFill="1" applyBorder="1" applyAlignment="1">
      <x:alignment vertical="top"/>
    </x:xf>
    <x:xf numFmtId="0" fontId="0" fillId="0" borderId="3" xfId="0" applyNumberFormat="1" applyFont="1" applyFill="1" applyBorder="1" applyAlignment="1">
      <x:alignment vertical="top"/>
    </x:xf>
    <x:xf numFmtId="0" fontId="0" fillId="0" borderId="1" xfId="0" applyNumberFormat="1" applyFont="1" applyFill="1" applyBorder="1" applyAlignment="1">
      <x:alignment vertical="top" wrapText="1"/>
    </x:xf>
    <x:xf numFmtId="0" fontId="0" fillId="0" borderId="2" xfId="0" applyNumberFormat="1" applyFont="1" applyFill="1" applyBorder="1" applyAlignment="1">
      <x:alignment vertical="top" wrapText="1"/>
    </x:xf>
    <x:xf numFmtId="0" fontId="0" fillId="0" borderId="3" xfId="0" applyNumberFormat="1" applyFont="1" applyFill="1" applyBorder="1" applyAlignment="1">
      <x:alignment vertical="top" wrapText="1"/>
    </x:xf>
    <x:xf numFmtId="0" fontId="8" fillId="4" borderId="4" xfId="0" applyNumberFormat="1" applyFont="1" applyFill="1" applyBorder="1" applyAlignment="1">
      <x:alignment vertical="center" wrapText="1"/>
    </x:xf>
    <x:xf numFmtId="0" fontId="8" fillId="4" borderId="5" xfId="0" applyNumberFormat="1" applyFont="1" applyFill="1" applyBorder="1" applyAlignment="1">
      <x:alignment vertical="center" wrapText="1"/>
    </x:xf>
    <x:xf numFmtId="0" fontId="6" fillId="0" borderId="1" xfId="0" applyNumberFormat="1" applyFont="1" applyFill="1" applyBorder="1" applyAlignment="1">
      <x:alignment vertical="top"/>
    </x:xf>
    <x:xf numFmtId="0" fontId="6" fillId="0" borderId="1" xfId="0" applyNumberFormat="1" applyFont="1" applyFill="1" applyBorder="1" applyAlignment="1">
      <x:alignment vertical="top" wrapText="1"/>
    </x:xf>
    <x:xf numFmtId="0" fontId="6" fillId="0" borderId="2" xfId="0" applyNumberFormat="1" applyFont="1" applyFill="1" applyBorder="1" applyAlignment="1">
      <x:alignment vertical="top"/>
    </x:xf>
    <x:xf numFmtId="0" fontId="6" fillId="0" borderId="2" xfId="0" applyNumberFormat="1" applyFont="1" applyFill="1" applyBorder="1" applyAlignment="1">
      <x:alignment vertical="top" wrapText="1"/>
    </x:xf>
    <x:xf numFmtId="0" fontId="6" fillId="0" borderId="3" xfId="0" applyNumberFormat="1" applyFont="1" applyFill="1" applyBorder="1" applyAlignment="1">
      <x:alignment vertical="top"/>
    </x:xf>
    <x:xf numFmtId="0" fontId="6" fillId="0" borderId="3" xfId="0" applyNumberFormat="1" applyFont="1" applyFill="1" applyBorder="1" applyAlignment="1">
      <x:alignment vertical="top" wrapText="1"/>
    </x:xf>
    <x:xf numFmtId="0" fontId="3" fillId="4" borderId="2" xfId="0" applyNumberFormat="1" applyFont="1" applyFill="1" applyBorder="1"/>
    <x:xf numFmtId="0" fontId="3" fillId="4" borderId="2" xfId="0" applyNumberFormat="1" applyFont="1" applyFill="1" applyBorder="1" applyAlignment="1">
      <x:alignment wrapText="1"/>
    </x:xf>
    <x:xf numFmtId="0" fontId="3" fillId="4" borderId="2" xfId="0" applyNumberFormat="1" applyFont="1" applyFill="1" applyBorder="1" applyAlignment="1">
      <x:alignment vertical="center" wrapText="1"/>
    </x:xf>
    <x:xf numFmtId="200" fontId="0" fillId="0" borderId="1" xfId="0" applyNumberFormat="1" applyFont="1" applyFill="1" applyBorder="1" applyAlignment="1">
      <x:alignment vertical="top"/>
    </x:xf>
    <x:xf numFmtId="200" fontId="0" fillId="0" borderId="2" xfId="0" applyNumberFormat="1" applyFont="1" applyFill="1" applyBorder="1" applyAlignment="1">
      <x:alignment vertical="top"/>
    </x:xf>
    <x:xf numFmtId="200" fontId="0" fillId="0" borderId="3" xfId="0" applyNumberFormat="1" applyFont="1" applyFill="1" applyBorder="1" applyAlignment="1">
      <x:alignment vertical="top"/>
    </x:xf>
    <x:xf numFmtId="0" fontId="8" fillId="4" borderId="2" xfId="0" applyNumberFormat="1" applyFont="1" applyFill="1" applyBorder="1" applyAlignment="1">
      <x:alignment vertical="center" wrapText="1"/>
    </x:xf>
    <x:xf numFmtId="200" fontId="6" fillId="0" borderId="1" xfId="0" applyNumberFormat="1" applyFont="1" applyFill="1" applyBorder="1" applyAlignment="1">
      <x:alignment vertical="top"/>
    </x:xf>
    <x:xf numFmtId="200" fontId="6" fillId="0" borderId="2" xfId="0" applyNumberFormat="1" applyFont="1" applyFill="1" applyBorder="1" applyAlignment="1">
      <x:alignment vertical="top"/>
    </x:xf>
    <x:xf numFmtId="200" fontId="6" fillId="0" borderId="3" xfId="0" applyNumberFormat="1" applyFont="1" applyFill="1" applyBorder="1" applyAlignment="1">
      <x:alignment vertical="top"/>
    </x:xf>
    <x:xf numFmtId="0" fontId="0" fillId="0" borderId="0" xfId="0">
      <x:extLst>
        <x:ext uri="{C7286773-470A-42A8-94C5-96B5CB345126}">
          <xfpb:xfComplement xmlns:xfpb="http://schemas.microsoft.com/office/spreadsheetml/2022/featurepropertybag" i="0"/>
        </x:ext>
      </x:extLst>
    </x:xf>
    <x:xf numFmtId="0" fontId="0" fillId="0" borderId="0" xfId="0" applyNumberFormat="1" applyFont="1" applyFill="1" applyBorder="1"/>
    <x:xf numFmtId="0" fontId="0" fillId="0" borderId="0" xfId="0" applyNumberFormat="1" applyFont="1" applyFill="1" applyBorder="1">
      <x:extLst>
        <x:ext uri="{C7286773-470A-42A8-94C5-96B5CB345126}">
          <xfpb:xfComplement xmlns:xfpb="http://schemas.microsoft.com/office/spreadsheetml/2022/featurepropertybag" i="0"/>
        </x:ext>
      </x:extLst>
    </x:xf>
    <x:xf numFmtId="0" fontId="0" fillId="0" borderId="0" xfId="0" applyNumberFormat="1" applyFont="1" applyFill="1" applyBorder="1" applyAlignment="1">
      <x:alignment vertical="top"/>
    </x:xf>
    <x:xf numFmtId="0" fontId="0" fillId="0" borderId="0" xfId="0" applyNumberFormat="1" applyFont="1" applyFill="1" applyBorder="1" applyAlignment="1">
      <x:alignment vertical="top"/>
      <x:extLst>
        <x:ext uri="{C7286773-470A-42A8-94C5-96B5CB345126}">
          <xfpb:xfComplement xmlns:xfpb="http://schemas.microsoft.com/office/spreadsheetml/2022/featurepropertybag" i="0"/>
        </x:ext>
      </x:extLst>
    </x:xf>
    <x:xf numFmtId="202" fontId="0" fillId="0" borderId="0" xfId="0" applyNumberFormat="1" applyFont="1" applyFill="1" applyBorder="1" applyAlignment="1">
      <x:alignment vertical="top"/>
    </x:xf>
    <x:xf numFmtId="200" fontId="0" fillId="0" borderId="0" xfId="0" applyNumberFormat="1" applyFont="1" applyFill="1" applyBorder="1" applyAlignment="1">
      <x:alignment vertical="top"/>
    </x:xf>
    <x:xf numFmtId="0" fontId="0" fillId="0" borderId="0" xfId="0" applyNumberFormat="1" applyFont="1" applyFill="1" applyBorder="1" applyAlignment="1">
      <x:alignment vertical="top" wrapText="1"/>
    </x:xf>
    <x:xf numFmtId="0" fontId="6" fillId="0" borderId="0" xfId="0" applyNumberFormat="1" applyFont="1" applyFill="1" applyBorder="1" applyAlignment="1">
      <x:alignment vertical="top"/>
    </x:xf>
    <x:xf numFmtId="202" fontId="6" fillId="0" borderId="0" xfId="0" applyNumberFormat="1" applyFont="1" applyFill="1" applyBorder="1" applyAlignment="1">
      <x:alignment vertical="top"/>
    </x:xf>
    <x:xf numFmtId="200" fontId="6" fillId="0" borderId="0" xfId="0" applyNumberFormat="1" applyFont="1" applyFill="1" applyBorder="1" applyAlignment="1">
      <x:alignment vertical="top"/>
    </x:xf>
    <x:xf numFmtId="0" fontId="6" fillId="0" borderId="0" xfId="0" applyNumberFormat="1" applyFont="1" applyFill="1" applyBorder="1" applyAlignment="1">
      <x:alignment vertical="top"/>
      <x:extLst>
        <x:ext uri="{C7286773-470A-42A8-94C5-96B5CB345126}">
          <xfpb:xfComplement xmlns:xfpb="http://schemas.microsoft.com/office/spreadsheetml/2022/featurepropertybag" i="0"/>
        </x:ext>
      </x:extLst>
    </x:xf>
    <x:xf numFmtId="0" fontId="6" fillId="0" borderId="0" xfId="0" applyNumberFormat="1" applyFont="1" applyFill="1" applyBorder="1" applyAlignment="1">
      <x:alignment vertical="top" wrapText="1"/>
    </x:xf>
    <x:xf numFmtId="0" fontId="0" fillId="0" borderId="1" xfId="0" applyNumberFormat="1" applyFont="1" applyFill="1" applyBorder="1">
      <x:extLst>
        <x:ext uri="{C7286773-470A-42A8-94C5-96B5CB345126}">
          <xfpb:xfComplement xmlns:xfpb="http://schemas.microsoft.com/office/spreadsheetml/2022/featurepropertybag" i="0"/>
        </x:ext>
      </x:extLst>
    </x:xf>
    <x:xf numFmtId="0" fontId="0" fillId="0" borderId="3" xfId="0" applyNumberFormat="1" applyFont="1" applyFill="1" applyBorder="1">
      <x:extLst>
        <x:ext uri="{C7286773-470A-42A8-94C5-96B5CB345126}">
          <xfpb:xfComplement xmlns:xfpb="http://schemas.microsoft.com/office/spreadsheetml/2022/featurepropertybag" i="0"/>
        </x:ext>
      </x:extLst>
    </x:xf>
    <x:xf numFmtId="0" fontId="0" fillId="0" borderId="1" xfId="0" applyNumberFormat="1" applyFont="1" applyFill="1" applyBorder="1" applyAlignment="1">
      <x:alignment vertical="top"/>
      <x:extLst>
        <x:ext uri="{C7286773-470A-42A8-94C5-96B5CB345126}">
          <xfpb:xfComplement xmlns:xfpb="http://schemas.microsoft.com/office/spreadsheetml/2022/featurepropertybag" i="0"/>
        </x:ext>
      </x:extLst>
    </x:xf>
    <x:xf numFmtId="0" fontId="0" fillId="0" borderId="3" xfId="0" applyNumberFormat="1" applyFont="1" applyFill="1" applyBorder="1" applyAlignment="1">
      <x:alignment vertical="top"/>
      <x:extLst>
        <x:ext uri="{C7286773-470A-42A8-94C5-96B5CB345126}">
          <xfpb:xfComplement xmlns:xfpb="http://schemas.microsoft.com/office/spreadsheetml/2022/featurepropertybag" i="0"/>
        </x:ext>
      </x:extLst>
    </x:xf>
    <x:xf numFmtId="201" fontId="0" fillId="0" borderId="1" xfId="0" applyNumberFormat="1" applyFont="1" applyFill="1" applyBorder="1" applyAlignment="1">
      <x:alignment vertical="top"/>
    </x:xf>
    <x:xf numFmtId="201" fontId="0" fillId="0" borderId="3" xfId="0" applyNumberFormat="1" applyFont="1" applyFill="1" applyBorder="1" applyAlignment="1">
      <x:alignment vertical="top"/>
    </x:xf>
    <x:xf numFmtId="0" fontId="6" fillId="0" borderId="1" xfId="0" applyNumberFormat="1" applyFont="1" applyFill="1" applyBorder="1" applyAlignment="1">
      <x:alignment vertical="top"/>
      <x:extLst>
        <x:ext uri="{C7286773-470A-42A8-94C5-96B5CB345126}">
          <xfpb:xfComplement xmlns:xfpb="http://schemas.microsoft.com/office/spreadsheetml/2022/featurepropertybag" i="0"/>
        </x:ext>
      </x:extLst>
    </x:xf>
    <x:xf numFmtId="201" fontId="6" fillId="0" borderId="1" xfId="0" applyNumberFormat="1" applyFont="1" applyFill="1" applyBorder="1" applyAlignment="1">
      <x:alignment vertical="top"/>
    </x:xf>
    <x:xf numFmtId="0" fontId="6" fillId="0" borderId="3" xfId="0" applyNumberFormat="1" applyFont="1" applyFill="1" applyBorder="1" applyAlignment="1">
      <x:alignment vertical="top"/>
      <x:extLst>
        <x:ext uri="{C7286773-470A-42A8-94C5-96B5CB345126}">
          <xfpb:xfComplement xmlns:xfpb="http://schemas.microsoft.com/office/spreadsheetml/2022/featurepropertybag" i="0"/>
        </x:ext>
      </x:extLst>
    </x:xf>
    <x:xf numFmtId="201" fontId="6" fillId="0" borderId="3" xfId="0" applyNumberFormat="1" applyFont="1" applyFill="1" applyBorder="1" applyAlignment="1">
      <x:alignment vertical="top"/>
    </x:xf>
    <x:xf numFmtId="0" fontId="0" fillId="0" borderId="2" xfId="0" applyNumberFormat="1" applyFont="1" applyFill="1" applyBorder="1">
      <x:extLst>
        <x:ext uri="{C7286773-470A-42A8-94C5-96B5CB345126}">
          <xfpb:xfComplement xmlns:xfpb="http://schemas.microsoft.com/office/spreadsheetml/2022/featurepropertybag" i="0"/>
        </x:ext>
      </x:extLst>
    </x:xf>
    <x:xf numFmtId="0" fontId="0" fillId="0" borderId="2" xfId="0" applyNumberFormat="1" applyFont="1" applyFill="1" applyBorder="1" applyAlignment="1">
      <x:alignment vertical="top"/>
      <x:extLst>
        <x:ext uri="{C7286773-470A-42A8-94C5-96B5CB345126}">
          <xfpb:xfComplement xmlns:xfpb="http://schemas.microsoft.com/office/spreadsheetml/2022/featurepropertybag" i="0"/>
        </x:ext>
      </x:extLst>
    </x:xf>
    <x:xf numFmtId="202" fontId="0" fillId="0" borderId="1" xfId="0" applyNumberFormat="1" applyFont="1" applyFill="1" applyBorder="1" applyAlignment="1">
      <x:alignment vertical="top"/>
    </x:xf>
    <x:xf numFmtId="202" fontId="0" fillId="0" borderId="2" xfId="0" applyNumberFormat="1" applyFont="1" applyFill="1" applyBorder="1" applyAlignment="1">
      <x:alignment vertical="top"/>
    </x:xf>
    <x:xf numFmtId="202" fontId="0" fillId="0" borderId="3" xfId="0" applyNumberFormat="1" applyFont="1" applyFill="1" applyBorder="1" applyAlignment="1">
      <x:alignment vertical="top"/>
    </x:xf>
    <x:xf numFmtId="201" fontId="0" fillId="0" borderId="2" xfId="0" applyNumberFormat="1" applyFont="1" applyFill="1" applyBorder="1" applyAlignment="1">
      <x:alignment vertical="top"/>
    </x:xf>
    <x:xf numFmtId="202" fontId="6" fillId="0" borderId="1" xfId="0" applyNumberFormat="1" applyFont="1" applyFill="1" applyBorder="1" applyAlignment="1">
      <x:alignment vertical="top"/>
    </x:xf>
    <x:xf numFmtId="202" fontId="6" fillId="0" borderId="2" xfId="0" applyNumberFormat="1" applyFont="1" applyFill="1" applyBorder="1" applyAlignment="1">
      <x:alignment vertical="top"/>
    </x:xf>
    <x:xf numFmtId="201" fontId="6" fillId="0" borderId="2" xfId="0" applyNumberFormat="1" applyFont="1" applyFill="1" applyBorder="1" applyAlignment="1">
      <x:alignment vertical="top"/>
    </x:xf>
    <x:xf numFmtId="0" fontId="6" fillId="0" borderId="2" xfId="0" applyNumberFormat="1" applyFont="1" applyFill="1" applyBorder="1" applyAlignment="1">
      <x:alignment vertical="top"/>
      <x:extLst>
        <x:ext uri="{C7286773-470A-42A8-94C5-96B5CB345126}">
          <xfpb:xfComplement xmlns:xfpb="http://schemas.microsoft.com/office/spreadsheetml/2022/featurepropertybag" i="0"/>
        </x:ext>
      </x:extLst>
    </x:xf>
    <x:xf numFmtId="202" fontId="6" fillId="0" borderId="3" xfId="0" applyNumberFormat="1" applyFont="1" applyFill="1" applyBorder="1" applyAlignment="1">
      <x:alignment vertical="top"/>
    </x:xf>
    <x:xf numFmtId="203" fontId="0" fillId="0" borderId="1" xfId="0" applyNumberFormat="1" applyFont="1" applyFill="1" applyBorder="1" applyAlignment="1">
      <x:alignment vertical="top"/>
    </x:xf>
    <x:xf numFmtId="203" fontId="0" fillId="0" borderId="3" xfId="0" applyNumberFormat="1" applyFont="1" applyFill="1" applyBorder="1" applyAlignment="1">
      <x:alignment vertical="top"/>
    </x:xf>
    <x:xf numFmtId="203" fontId="6" fillId="0" borderId="1" xfId="0" applyNumberFormat="1" applyFont="1" applyFill="1" applyBorder="1" applyAlignment="1">
      <x:alignment vertical="top"/>
    </x:xf>
    <x:xf numFmtId="203" fontId="6" fillId="0" borderId="3" xfId="0" applyNumberFormat="1" applyFont="1" applyFill="1" applyBorder="1" applyAlignment="1">
      <x:alignment vertical="top"/>
    </x:xf>
    <x:xf numFmtId="0" fontId="0" fillId="0" borderId="1"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0" fillId="0" borderId="3"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6" fillId="0" borderId="1"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6" fillId="0" borderId="3"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2" fillId="0" borderId="0" xfId="0" applyNumberFormat="1" applyFont="1" applyFill="1" applyBorder="1"/>
    <x:xf numFmtId="0" fontId="7" fillId="0" borderId="0" xfId="0" applyNumberFormat="1" applyFont="1" applyFill="1" applyBorder="1"/>
  </x:cellXfs>
  <x:cellStyles count="1">
    <x:cellStyle name="Normal" xfId="0"/>
  </x:cellStyles>
  <x:dxfs count="54">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s>
</x:styleSheet>
</file>

<file path=xl/_rels/workbook.xml.rels>&#65279;<?xml version="1.0" encoding="utf-8"?><Relationships xmlns="http://schemas.openxmlformats.org/package/2006/relationships"><Relationship Type="http://schemas.openxmlformats.org/officeDocument/2006/relationships/styles" Target="/xl/styles.xml" Id="Ra3a0d20466da46db" /><Relationship Type="http://schemas.openxmlformats.org/officeDocument/2006/relationships/theme" Target="/xl/theme/theme1.xml" Id="Rb6093a14c6944e73" /><Relationship Type="http://schemas.microsoft.com/office/2022/11/relationships/FeaturePropertyBag" Target="/xl/featurePropertyBag/featurePropertyBag.xml" Id="Reaf22d78f6344327" /><Relationship Type="http://schemas.openxmlformats.org/officeDocument/2006/relationships/sharedStrings" Target="/xl/sharedStrings.xml" Id="Rd8879a7602534be0" /><Relationship Type="http://schemas.openxmlformats.org/officeDocument/2006/relationships/worksheet" Target="/xl/worksheets/sheet1.xml" Id="R60c0307ee376465a" /><Relationship Type="http://schemas.openxmlformats.org/officeDocument/2006/relationships/worksheet" Target="/xl/worksheets/sheet2.xml" Id="R23a64e2ea2154025" /><Relationship Type="http://schemas.openxmlformats.org/officeDocument/2006/relationships/worksheet" Target="/xl/worksheets/sheet3.xml" Id="R828b61782bfc4c02" /><Relationship Type="http://schemas.openxmlformats.org/officeDocument/2006/relationships/worksheet" Target="/xl/worksheets/sheet4.xml" Id="R2bcdf8b6b99641e0" /><Relationship Type="http://schemas.openxmlformats.org/officeDocument/2006/relationships/worksheet" Target="/xl/worksheets/sheet5.xml" Id="R4517d824f1b5496e" /><Relationship Type="http://schemas.openxmlformats.org/officeDocument/2006/relationships/worksheet" Target="/xl/worksheets/sheet6.xml" Id="R780fc21bcdd44f51" /><Relationship Type="http://schemas.openxmlformats.org/officeDocument/2006/relationships/worksheet" Target="/xl/worksheets/sheet7.xml" Id="Rec2e22662ab74e48" /><Relationship Type="http://schemas.openxmlformats.org/officeDocument/2006/relationships/worksheet" Target="/xl/worksheets/sheet8.xml" Id="Rf192c9198cd847f7" /><Relationship Type="http://schemas.openxmlformats.org/officeDocument/2006/relationships/worksheet" Target="/xl/worksheets/sheet9.xml" Id="Rf94ae756ae4045ab" /><Relationship Type="http://schemas.openxmlformats.org/officeDocument/2006/relationships/worksheet" Target="/xl/worksheets/sheet10.xml" Id="Rb27c792242e240f6" /><Relationship Type="http://schemas.openxmlformats.org/officeDocument/2006/relationships/worksheet" Target="/xl/worksheets/sheet11.xml" Id="R72bf0088dfeb4e01" /><Relationship Type="http://schemas.openxmlformats.org/officeDocument/2006/relationships/worksheet" Target="/xl/worksheets/sheet12.xml" Id="Rd50559b2f03e4993" /><Relationship Type="http://schemas.openxmlformats.org/officeDocument/2006/relationships/worksheet" Target="/xl/worksheets/sheet13.xml" Id="R93106c7f27604366" /></Relationships>
</file>

<file path=xl/featurePropertyBag/featurePropertyBag.xml><?xml version="1.0" encoding="utf-8"?>
<xfpb:FeaturePropertyBags xmlns:xfpb="http://schemas.microsoft.com/office/spreadsheetml/2022/featurepropertybag">
  <xfpb:bag type="Checkbox"/>
  <xfpb:bag type="XFControls">
    <xfpb:bagId k="CellControl">0</xfpb:bagId>
  </xfpb:bag>
  <xfpb:bag type="XFComplement">
    <xfpb:bagId k="XFControls">1</xfpb:bagId>
  </xfpb:bag>
  <xfpb:bag type="XFComplements" extRef="XFComplementsMapperExtRef">
    <xfpb:a k="MappedFeaturePropertyBags">
      <xfpb:bagId>2</xfpb:bagId>
    </xfpb:a>
  </xfpb:bag>
</xfpb:FeaturePropertyBags>
</file>

<file path=xl/tables/table1.xml><?xml version="1.0" encoding="utf-8"?>
<x:table xmlns:x="http://schemas.openxmlformats.org/spreadsheetml/2006/main" id="1" name="T1_README" displayName="T1_README" ref="A4:B10" headerRowCount="1" totalsRowCount="0" totalsRowShown="0">
  <x:tableColumns count="2">
    <x:tableColumn id="1" name="SECTION"/>
    <x:tableColumn id="2" name="DETAIL"/>
  </x:tableColumns>
  <x:tableStyleInfo name="TableStyleMedium2" showFirstColumn="0" showLastColumn="0" showRowStripes="1" showColumnStripes="0"/>
</x:table>
</file>

<file path=xl/tables/table2.xml><?xml version="1.0" encoding="utf-8"?>
<x:table xmlns:x="http://schemas.openxmlformats.org/spreadsheetml/2006/main" id="2" name="T2_REGULATIONQUEUE" displayName="T2_REGULATIONQUEUE" ref="A4:K317" headerRowCount="1" totalsRowCount="0" totalsRowShown="0">
  <x:tableColumns count="11">
    <x:tableColumn id="1" name="REQUIREMENT_ID"/>
    <x:tableColumn id="2" name="SOURCE"/>
    <x:tableColumn id="3" name="EDITION"/>
    <x:tableColumn id="4" name="PAGE"/>
    <x:tableColumn id="5" name="CLAUSE"/>
    <x:tableColumn id="6" name="CATEGORY"/>
    <x:tableColumn id="7" name="ACTIVE_STATUS"/>
    <x:tableColumn id="8" name="CODABILITY"/>
    <x:tableColumn id="9" name="FIGURE_DEPENDENT"/>
    <x:tableColumn id="10" name="QUEUE_ELIGIBILITY"/>
    <x:tableColumn id="11" name="RUN_STATUS"/>
  </x:tableColumns>
  <x:tableStyleInfo name="TableStyleMedium2" showFirstColumn="0" showLastColumn="0" showRowStripes="1" showColumnStripes="0"/>
</x:table>
</file>

<file path=xl/tables/table3.xml><?xml version="1.0" encoding="utf-8"?>
<x:table xmlns:x="http://schemas.openxmlformats.org/spreadsheetml/2006/main" id="3" name="T3_RUNS" displayName="T3_RUNS" ref="A4:L5" headerRowCount="1" totalsRowCount="0" totalsRowShown="0">
  <x:tableColumns count="12">
    <x:tableColumn id="1" name="SESSION_ID"/>
    <x:tableColumn id="2" name="RUN_ID"/>
    <x:tableColumn id="3" name="REQUIREMENT_ID"/>
    <x:tableColumn id="4" name="STARTED_UTC"/>
    <x:tableColumn id="5" name="FINISHED_UTC"/>
    <x:tableColumn id="6" name="PIPELINE_VERSION"/>
    <x:tableColumn id="7" name="VOCABULARY_LOCK_ID"/>
    <x:tableColumn id="8" name="ATTEMPTS"/>
    <x:tableColumn id="9" name="FINAL_STATUS"/>
    <x:tableColumn id="10" name="ACCEPTED"/>
    <x:tableColumn id="11" name="FINAL_SHAPE"/>
    <x:tableColumn id="12" name="FINAL_FEEDBACK"/>
  </x:tableColumns>
  <x:tableStyleInfo name="TableStyleMedium2" showFirstColumn="0" showLastColumn="0" showRowStripes="1" showColumnStripes="0"/>
</x:table>
</file>

<file path=xl/tables/table4.xml><?xml version="1.0" encoding="utf-8"?>
<x:table xmlns:x="http://schemas.openxmlformats.org/spreadsheetml/2006/main" id="4" name="T4_ITERATIONS" displayName="T4_ITERATIONS" ref="A4:J6" headerRowCount="1" totalsRowCount="0" totalsRowShown="0">
  <x:tableColumns count="10">
    <x:tableColumn id="1" name="RUN_ID"/>
    <x:tableColumn id="2" name="REQUIREMENT_ID"/>
    <x:tableColumn id="3" name="ITERATION"/>
    <x:tableColumn id="4" name="STATIC_VALID"/>
    <x:tableColumn id="5" name="VALIDATOR_ACCEPT"/>
    <x:tableColumn id="6" name="MATCHER_ACTIVATED"/>
    <x:tableColumn id="7" name="DECISION"/>
    <x:tableColumn id="8" name="FEEDBACK"/>
    <x:tableColumn id="9" name="GENERATOR_ELAPSED_MS"/>
    <x:tableColumn id="10" name="VALIDATOR_ELAPSED_MS"/>
  </x:tableColumns>
  <x:tableStyleInfo name="TableStyleMedium2" showFirstColumn="0" showLastColumn="0" showRowStripes="1" showColumnStripes="0"/>
</x:table>
</file>

<file path=xl/tables/table5.xml><?xml version="1.0" encoding="utf-8"?>
<x:table xmlns:x="http://schemas.openxmlformats.org/spreadsheetml/2006/main" id="5" name="T5_APICALLS" displayName="T5_APICALLS" ref="A4:P12" headerRowCount="1" totalsRowCount="0" totalsRowShown="0">
  <x:tableColumns count="16">
    <x:tableColumn id="1" name="EVENT_ID"/>
    <x:tableColumn id="2" name="RUN_ID"/>
    <x:tableColumn id="3" name="REQUIREMENT_ID"/>
    <x:tableColumn id="4" name="TIMESTAMP_UTC"/>
    <x:tableColumn id="5" name="ROLE"/>
    <x:tableColumn id="6" name="MODEL"/>
    <x:tableColumn id="7" name="TRANSPORT_ATTEMPT"/>
    <x:tableColumn id="8" name="STATUS"/>
    <x:tableColumn id="9" name="AUTH_HEADER_NAME"/>
    <x:tableColumn id="10" name="RATE_LIMIT_WAIT_MS"/>
    <x:tableColumn id="11" name="ELAPSED_MS"/>
    <x:tableColumn id="12" name="RETRYING"/>
    <x:tableColumn id="13" name="RESPONSE_ID"/>
    <x:tableColumn id="14" name="INPUT_TOKENS"/>
    <x:tableColumn id="15" name="OUTPUT_TOKENS"/>
    <x:tableColumn id="16" name="TOTAL_TOKENS"/>
  </x:tableColumns>
  <x:tableStyleInfo name="TableStyleMedium2" showFirstColumn="0" showLastColumn="0" showRowStripes="1" showColumnStripes="0"/>
</x:table>
</file>

<file path=xl/tables/table6.xml><?xml version="1.0" encoding="utf-8"?>
<x:table xmlns:x="http://schemas.openxmlformats.org/spreadsheetml/2006/main" id="6" name="T6_TERMRETRIEVAL" displayName="T6_TERMRETRIEVAL" ref="A4:J13" headerRowCount="1" totalsRowCount="0" totalsRowShown="0">
  <x:tableColumns count="10">
    <x:tableColumn id="1" name="RUN_ID"/>
    <x:tableColumn id="2" name="REQUIREMENT_ID"/>
    <x:tableColumn id="3" name="LOCAL_NAME"/>
    <x:tableColumn id="4" name="IRI"/>
    <x:tableColumn id="5" name="KIND"/>
    <x:tableColumn id="6" name="DATATYPE"/>
    <x:tableColumn id="7" name="RANGE"/>
    <x:tableColumn id="8" name="RECOMMENDED_UNIT"/>
    <x:tableColumn id="9" name="SELECTION_REASON"/>
    <x:tableColumn id="10" name="ITERATION_ADDED"/>
  </x:tableColumns>
  <x:tableStyleInfo name="TableStyleMedium2" showFirstColumn="0" showLastColumn="0" showRowStripes="1" showColumnStripes="0"/>
</x:table>
</file>

<file path=xl/tables/table7.xml><?xml version="1.0" encoding="utf-8"?>
<x:table xmlns:x="http://schemas.openxmlformats.org/spreadsheetml/2006/main" id="7" name="T7_FEWSHOTSELECTION" displayName="T7_FEWSHOTSELECTION" ref="A4:G6" headerRowCount="1" totalsRowCount="0" totalsRowShown="0">
  <x:tableColumns count="7">
    <x:tableColumn id="1" name="RUN_ID"/>
    <x:tableColumn id="2" name="REQUIREMENT_ID"/>
    <x:tableColumn id="3" name="EXAMPLE_ID"/>
    <x:tableColumn id="4" name="CASE_ID"/>
    <x:tableColumn id="5" name="SCORE"/>
    <x:tableColumn id="6" name="MATCHED_TAGS"/>
    <x:tableColumn id="7" name="STATUS"/>
  </x:tableColumns>
  <x:tableStyleInfo name="TableStyleMedium2" showFirstColumn="0" showLastColumn="0" showRowStripes="1" showColumnStripes="0"/>
</x:table>
</file>

<file path=xl/tables/table8.xml><?xml version="1.0" encoding="utf-8"?>
<x:table xmlns:x="http://schemas.openxmlformats.org/spreadsheetml/2006/main" id="8" name="T8_VALIDATION" displayName="T8_VALIDATION" ref="A4:Q6" headerRowCount="1" totalsRowCount="0" totalsRowShown="0">
  <x:tableColumns count="17">
    <x:tableColumn id="1" name="RUN_ID"/>
    <x:tableColumn id="2" name="REQUIREMENT_ID"/>
    <x:tableColumn id="3" name="ITERATION"/>
    <x:tableColumn id="4" name="VALID"/>
    <x:tableColumn id="5" name="EXTRACTION_VALID"/>
    <x:tableColumn id="6" name="TURTLE_VALID"/>
    <x:tableColumn id="7" name="SHACL_STRUCTURE_VALID"/>
    <x:tableColumn id="8" name="META_SHACL_VALID"/>
    <x:tableColumn id="9" name="VOCABULARY_VALID"/>
    <x:tableColumn id="10" name="DATATYPE_UNIT_VALID"/>
    <x:tableColumn id="11" name="TARGET_PATH_VALID"/>
    <x:tableColumn id="12" name="ERRORS"/>
    <x:tableColumn id="13" name="WARNINGS"/>
    <x:tableColumn id="14" name="USED_CANONICAL_IRIS"/>
    <x:tableColumn id="15" name="UNKNOWN_IRIS"/>
    <x:tableColumn id="16" name="OUT_OF_SCOPE_IRIS"/>
    <x:tableColumn id="17" name="SUSPICIOUS_EXTERNAL_IRIS"/>
  </x:tableColumns>
  <x:tableStyleInfo name="TableStyleMedium2" showFirstColumn="0" showLastColumn="0" showRowStripes="1" showColumnStripes="0"/>
</x:table>
</file>

<file path=xl/tables/table9.xml><?xml version="1.0" encoding="utf-8"?>
<x:table xmlns:x="http://schemas.openxmlformats.org/spreadsheetml/2006/main" id="9" name="T10_ARTIFACTS" displayName="T10_ARTIFACTS" ref="A4:G19" headerRowCount="1" totalsRowCount="0" totalsRowShown="0">
  <x:tableColumns count="7">
    <x:tableColumn id="1" name="RUN_ID"/>
    <x:tableColumn id="2" name="REQUIREMENT_ID"/>
    <x:tableColumn id="3" name="ITERATION"/>
    <x:tableColumn id="4" name="ARTIFACT_TYPE"/>
    <x:tableColumn id="5" name="ARTIFACT_PATH"/>
    <x:tableColumn id="6" name="SHA256"/>
    <x:tableColumn id="7" name="BYTES"/>
  </x:tableColumns>
  <x:tableStyleInfo name="TableStyleMedium2" showFirstColumn="0" showLastColumn="0" showRowStripes="1" showColumnStripes="0"/>
</x:table>
</file>

<file path=xl/tables/table10.xml><?xml version="1.0" encoding="utf-8"?>
<x:table xmlns:x="http://schemas.openxmlformats.org/spreadsheetml/2006/main" id="10" name="T12_RDFTESTQUEUE" displayName="T12_RDFTESTQUEUE" ref="A4:F5" headerRowCount="1" totalsRowCount="0" totalsRowShown="0">
  <x:tableColumns count="6">
    <x:tableColumn id="1" name="RUN_ID"/>
    <x:tableColumn id="2" name="REQUIREMENT_ID"/>
    <x:tableColumn id="3" name="FINAL_SHAPE"/>
    <x:tableColumn id="4" name="GENERATION_STATUS"/>
    <x:tableColumn id="5" name="RDF_EVALUATION_STATUS"/>
    <x:tableColumn id="6" name="NOTES"/>
  </x:tableColumns>
  <x:tableStyleInfo name="TableStyleMedium2"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2.xml.rels>&#65279;<?xml version="1.0" encoding="utf-8"?><Relationships xmlns="http://schemas.openxmlformats.org/package/2006/relationships"><Relationship Type="http://schemas.openxmlformats.org/officeDocument/2006/relationships/table" Target="/xl/tables/table1.xml" Id="R47bdad2735e44907" /></Relationships>
</file>

<file path=xl/worksheets/_rels/sheet3.xml.rels>&#65279;<?xml version="1.0" encoding="utf-8"?><Relationships xmlns="http://schemas.openxmlformats.org/package/2006/relationships"><Relationship Type="http://schemas.openxmlformats.org/officeDocument/2006/relationships/table" Target="/xl/tables/table2.xml" Id="Rdf46a6a4906145d1" /></Relationships>
</file>

<file path=xl/worksheets/_rels/sheet4.xml.rels>&#65279;<?xml version="1.0" encoding="utf-8"?><Relationships xmlns="http://schemas.openxmlformats.org/package/2006/relationships"><Relationship Type="http://schemas.openxmlformats.org/officeDocument/2006/relationships/table" Target="/xl/tables/table3.xml" Id="R0c2e2b1e17bf4f6a" /></Relationships>
</file>

<file path=xl/worksheets/_rels/sheet5.xml.rels>&#65279;<?xml version="1.0" encoding="utf-8"?><Relationships xmlns="http://schemas.openxmlformats.org/package/2006/relationships"><Relationship Type="http://schemas.openxmlformats.org/officeDocument/2006/relationships/table" Target="/xl/tables/table4.xml" Id="R963c9ba34f514688" /></Relationships>
</file>

<file path=xl/worksheets/_rels/sheet6.xml.rels>&#65279;<?xml version="1.0" encoding="utf-8"?><Relationships xmlns="http://schemas.openxmlformats.org/package/2006/relationships"><Relationship Type="http://schemas.openxmlformats.org/officeDocument/2006/relationships/table" Target="/xl/tables/table5.xml" Id="Re2ab57d37d754d9e" /></Relationships>
</file>

<file path=xl/worksheets/_rels/sheet7.xml.rels>&#65279;<?xml version="1.0" encoding="utf-8"?><Relationships xmlns="http://schemas.openxmlformats.org/package/2006/relationships"><Relationship Type="http://schemas.openxmlformats.org/officeDocument/2006/relationships/table" Target="/xl/tables/table6.xml" Id="R5ca970a358344582" /></Relationships>
</file>

<file path=xl/worksheets/_rels/sheet8.xml.rels>&#65279;<?xml version="1.0" encoding="utf-8"?><Relationships xmlns="http://schemas.openxmlformats.org/package/2006/relationships"><Relationship Type="http://schemas.openxmlformats.org/officeDocument/2006/relationships/table" Target="/xl/tables/table7.xml" Id="Rd1327d84cab34045" /></Relationships>
</file>

<file path=xl/worksheets/_rels/sheet9.xml.rels>&#65279;<?xml version="1.0" encoding="utf-8"?><Relationships xmlns="http://schemas.openxmlformats.org/package/2006/relationships"><Relationship Type="http://schemas.openxmlformats.org/officeDocument/2006/relationships/table" Target="/xl/tables/table8.xml" Id="Rb03a80340ac84469" /></Relationships>
</file>

<file path=xl/worksheets/_rels/sheet11.xml.rels>&#65279;<?xml version="1.0" encoding="utf-8"?><Relationships xmlns="http://schemas.openxmlformats.org/package/2006/relationships"><Relationship Type="http://schemas.openxmlformats.org/officeDocument/2006/relationships/table" Target="/xl/tables/table9.xml" Id="R3b336bcd86bf4364" /></Relationships>
</file>

<file path=xl/worksheets/_rels/sheet13.xml.rels>&#65279;<?xml version="1.0" encoding="utf-8"?><Relationships xmlns="http://schemas.openxmlformats.org/package/2006/relationships"><Relationship Type="http://schemas.openxmlformats.org/officeDocument/2006/relationships/table" Target="/xl/tables/table10.xml" Id="Ra98284b47230495d" /></Relationships>
</file>

<file path=xl/worksheets/sheet1.xml><?xml version="1.0" encoding="utf-8"?>
<x:worksheet xmlns:x="http://schemas.openxmlformats.org/spreadsheetml/2006/main">
  <x:sheetViews>
    <x:sheetView showGridLines="0" workbookViewId="0"/>
  </x:sheetViews>
  <x:sheetFormatPr defaultRowHeight="15"/>
  <x:cols>
    <x:col min="1" max="1" width="24" hidden="0" customWidth="1"/>
    <x:col min="2" max="2" width="78" hidden="0" customWidth="1"/>
    <x:col min="3" max="3" width="8" hidden="0" customWidth="1"/>
    <x:col min="4" max="4" width="8" hidden="0" customWidth="1"/>
  </x:cols>
  <x:sheetData>
    <x:row r="1">
      <x:c r="A1" s="18" t="str">
        <x:v>NLTL SHACL Pipeline Run Tracker</x:v>
      </x:c>
      <x:c r="B1" s="19"/>
      <x:c r="C1" s="19"/>
      <x:c r="D1" s="19"/>
    </x:row>
    <x:row r="2">
      <x:c r="A2" s="20" t="str">
        <x:v>Run folder: RUN-TRF-116-20260828T235256192692Z</x:v>
      </x:c>
      <x:c r="B2" s="20"/>
      <x:c r="C2" s="20"/>
      <x:c r="D2" s="20"/>
    </x:row>
    <x:row r="3">
      <x:c r="A3" s="21"/>
      <x:c r="B3" s="21"/>
      <x:c r="C3" s="21"/>
      <x:c r="D3" s="21"/>
    </x:row>
    <x:row r="4">
      <x:c r="A4" s="22" t="str">
        <x:v>METRIC</x:v>
      </x:c>
      <x:c r="B4" s="22" t="str">
        <x:v>VALUE</x:v>
      </x:c>
      <x:c r="C4" s="21"/>
      <x:c r="D4" s="21"/>
    </x:row>
    <x:row r="5">
      <x:c r="A5" s="23" t="str">
        <x:v>Requirements tracked</x:v>
      </x:c>
      <x:c r="B5" s="24" t="n">
        <x:f>COUNTA('REGULATION_QUEUE'!$A$5:$A$317)</x:f>
        <x:v>313</x:v>
      </x:c>
      <x:c r="C5" s="21"/>
      <x:c r="D5" s="21"/>
    </x:row>
    <x:row r="6">
      <x:c r="A6" s="25" t="str">
        <x:v>Generation eligible</x:v>
      </x:c>
      <x:c r="B6" s="26" t="n">
        <x:f>COUNTIF('REGULATION_QUEUE'!$J$5:$J$317,"ELIGIBLE")</x:f>
        <x:v>268</x:v>
      </x:c>
      <x:c r="C6" s="21"/>
      <x:c r="D6" s="21"/>
    </x:row>
    <x:row r="7">
      <x:c r="A7" s="25" t="str">
        <x:v>Runs represented</x:v>
      </x:c>
      <x:c r="B7" s="26" t="n">
        <x:f>COUNTA('RUNS'!$A$5:$A$5)</x:f>
        <x:v>1</x:v>
      </x:c>
      <x:c r="C7" s="21"/>
      <x:c r="D7" s="21"/>
    </x:row>
    <x:row r="8">
      <x:c r="A8" s="25" t="str">
        <x:v>Accepted runs</x:v>
      </x:c>
      <x:c r="B8" s="26" t="n">
        <x:f>COUNTIF('RUNS'!$I$5:$I$5,"GENERATION_ACCEPTED")</x:f>
        <x:v>1</x:v>
      </x:c>
      <x:c r="C8" s="21"/>
      <x:c r="D8" s="21"/>
    </x:row>
    <x:row r="9">
      <x:c r="A9" s="25" t="str">
        <x:v>API/LLM records</x:v>
      </x:c>
      <x:c r="B9" s="26" t="n">
        <x:f>COUNTA('API_CALLS'!$A$5:$A$12)</x:f>
        <x:v>8</x:v>
      </x:c>
      <x:c r="C9" s="21"/>
      <x:c r="D9" s="21"/>
    </x:row>
    <x:row r="10">
      <x:c r="A10" s="27" t="str">
        <x:v>Mean API/LLM elapsed ms</x:v>
      </x:c>
      <x:c r="B10" s="28" t="n">
        <x:f>IFERROR(AVERAGE('API_CALLS'!$K$5:$K$12),0)</x:f>
        <x:v>13721.475250000001</x:v>
      </x:c>
      <x:c r="C10" s="21"/>
      <x:c r="D10" s="21"/>
    </x:row>
    <x:row r="11">
      <x:c r="A11" s="21"/>
      <x:c r="B11" s="21"/>
      <x:c r="C11" s="21"/>
      <x:c r="D11" s="21"/>
    </x:row>
    <x:row r="12" ht="38" customHeight="1">
      <x:c r="A12" s="29" t="str">
        <x:v>INTERPRETATION</x:v>
      </x:c>
      <x:c r="B12" s="30" t="str">
        <x:v>Generation acceptance means syntax, structure, vocabulary, datatype/unit, target/path, and semantic review passed. It is not an RDF ship-compliance verdict.</x:v>
      </x:c>
      <x:c r="C12" s="30" t="str"/>
      <x:c r="D12" s="30" t="str"/>
    </x:row>
    <x:row r="13" ht="38" customHeight="1">
      <x:c r="A13" s="29" t="str">
        <x:v>NEXT GATE</x:v>
      </x:c>
      <x:c r="B13" s="30" t="str">
        <x:v>Accepted shapes remain in RDF_TEST_QUEUE until the separate evaluator is run.</x:v>
      </x:c>
      <x:c r="C13" s="30" t="str"/>
      <x:c r="D13" s="30" t="str"/>
    </x:row>
    <x:row r="14" ht="38" customHeight="1">
      <x:c r="A14" s="29" t="str">
        <x:v>RAW AUDIT</x:v>
      </x:c>
      <x:c r="B14" s="30" t="str">
        <x:v>events.jsonl is the durable append-only record for this run.</x:v>
      </x:c>
      <x:c r="C14" s="30" t="str"/>
      <x:c r="D14" s="30" t="str"/>
    </x:row>
    <x:row r="15" ht="38" customHeight="1">
      <x:c r="A15" s="29" t="str">
        <x:v>LOCKING</x:v>
      </x:c>
      <x:c r="B15" s="30" t="str">
        <x:v>Only final/final_shape.ttl is the accepted candidate artifact.</x:v>
      </x:c>
      <x:c r="C15" s="30" t="str"/>
      <x:c r="D15" s="30" t="str"/>
    </x:row>
  </x:sheetData>
  <x:pageMargins left="0.7" right="0.7" top="0.75" bottom="0.75" header="0.3" footer="0.3"/>
</x:worksheet>
</file>

<file path=xl/worksheets/sheet2.xml><?xml version="1.0" encoding="utf-8"?>
<x:worksheet xmlns:x="http://schemas.openxmlformats.org/spreadsheetml/2006/main">
  <x:sheetViews>
    <x:sheetView showGridLines="0" workbookViewId="0"/>
  </x:sheetViews>
  <x:sheetFormatPr defaultRowHeight="15"/>
  <x:cols>
    <x:col min="1" max="1" width="17" hidden="0" customWidth="1"/>
    <x:col min="2" max="2" width="52" hidden="0" customWidth="1"/>
  </x:cols>
  <x:sheetData>
    <x:row r="1">
      <x:c r="A1" s="18" t="str">
        <x:v>NLTL SHACL Pipeline Run Tracker</x:v>
      </x:c>
      <x:c r="B1" s="19"/>
    </x:row>
    <x:row r="2">
      <x:c r="A2" s="20" t="str">
        <x:v>README | Run folder: RUN-TRF-116-20260828T235256192692Z</x:v>
      </x:c>
      <x:c r="B2" s="20"/>
    </x:row>
    <x:row r="3">
      <x:c r="A3" s="21"/>
      <x:c r="B3" s="21"/>
    </x:row>
    <x:row r="4" ht="30" customHeight="1">
      <x:c r="A4" s="43" t="str">
        <x:v>SECTION</x:v>
      </x:c>
      <x:c r="B4" s="44" t="str">
        <x:v>DETAIL</x:v>
      </x:c>
    </x:row>
    <x:row r="5">
      <x:c r="A5" s="45" t="str">
        <x:v>PURPOSE</x:v>
      </x:c>
      <x:c r="B5" s="46" t="str">
        <x:v>Traceability view for one regulation-to-SHACL generation run.</x:v>
      </x:c>
    </x:row>
    <x:row r="6">
      <x:c r="A6" s="47" t="str">
        <x:v>BOUNDARY</x:v>
      </x:c>
      <x:c r="B6" s="48" t="str">
        <x:v>Generation is frozen before RDF execution; no ship graph or hidden expected outcome is used here.</x:v>
      </x:c>
    </x:row>
    <x:row r="7">
      <x:c r="A7" s="47" t="str">
        <x:v>SOURCE OF TRUTH</x:v>
      </x:c>
      <x:c r="B7" s="48" t="str">
        <x:v>events.jsonl is append-only; CSV and Excel sheets are derived views.</x:v>
      </x:c>
    </x:row>
    <x:row r="8">
      <x:c r="A8" s="47" t="str">
        <x:v>ACCEPTED</x:v>
      </x:c>
      <x:c r="B8" s="48" t="str">
        <x:v>Static validation passed and the semantic validator accepted the candidate.</x:v>
      </x:c>
    </x:row>
    <x:row r="9">
      <x:c r="A9" s="47" t="str">
        <x:v>VOCABULARY_GAP</x:v>
      </x:c>
      <x:c r="B9" s="48" t="str">
        <x:v>No verified canonical term was available; the generator was not allowed to invent one.</x:v>
      </x:c>
    </x:row>
    <x:row r="10">
      <x:c r="A10" s="49" t="str">
        <x:v>RDF TEST QUEUE</x:v>
      </x:c>
      <x:c r="B10" s="50" t="str">
        <x:v>Accepted shapes await the separate bulk evaluator.</x:v>
      </x:c>
    </x:row>
  </x:sheetData>
  <x:pageMargins left="0.7" right="0.7" top="0.75" bottom="0.75" header="0.3" footer="0.3"/>
  <x:tableParts count="1">
    <x:tablePart xmlns:r="http://schemas.openxmlformats.org/officeDocument/2006/relationships" r:id="R47bdad2735e44907"/>
  </x:tableParts>
</x:worksheet>
</file>

<file path=xl/worksheets/sheet3.xml><?xml version="1.0" encoding="utf-8"?>
<x:worksheet xmlns:x="http://schemas.openxmlformats.org/spreadsheetml/2006/main">
  <x:sheetViews>
    <x:sheetView showGridLines="0" workbookViewId="0"/>
  </x:sheetViews>
  <x:sheetFormatPr defaultRowHeight="15"/>
  <x:cols>
    <x:col min="1" max="1" width="18" hidden="0" customWidth="1"/>
    <x:col min="2" max="2" width="52" hidden="0" customWidth="1"/>
    <x:col min="3" max="3" width="24" hidden="0" customWidth="1"/>
    <x:col min="4" max="4" width="11" hidden="0" customWidth="1"/>
    <x:col min="5" max="5" width="24" hidden="0" customWidth="1"/>
    <x:col min="6" max="6" width="20" hidden="0" customWidth="1"/>
    <x:col min="7" max="7" width="42" hidden="0" customWidth="1"/>
    <x:col min="8" max="8" width="20" hidden="0" customWidth="1"/>
    <x:col min="9" max="9" width="18" hidden="0" customWidth="1"/>
    <x:col min="10" max="10" width="19" hidden="0" customWidth="1"/>
    <x:col min="11" max="11" width="21" hidden="0" customWidth="1"/>
  </x:cols>
  <x:sheetData>
    <x:row r="1">
      <x:c r="A1" s="18" t="str">
        <x:v>NLTL SHACL Pipeline Run Tracker</x:v>
      </x:c>
      <x:c r="B1" s="19"/>
      <x:c r="C1" s="19"/>
      <x:c r="D1" s="19"/>
      <x:c r="E1" s="19"/>
      <x:c r="F1" s="19"/>
      <x:c r="G1" s="19"/>
      <x:c r="H1" s="19"/>
      <x:c r="I1" s="19"/>
      <x:c r="J1" s="19"/>
      <x:c r="K1" s="19"/>
    </x:row>
    <x:row r="2">
      <x:c r="A2" s="20" t="str">
        <x:v>REGULATION_QUEUE | Run folder: RUN-TRF-116-20260828T235256192692Z</x:v>
      </x:c>
      <x:c r="B2" s="20"/>
      <x:c r="C2" s="20"/>
      <x:c r="D2" s="20"/>
      <x:c r="E2" s="20"/>
      <x:c r="F2" s="20"/>
      <x:c r="G2" s="20"/>
      <x:c r="H2" s="20"/>
      <x:c r="I2" s="20"/>
      <x:c r="J2" s="20"/>
      <x:c r="K2" s="20"/>
    </x:row>
    <x:row r="3">
      <x:c r="A3" s="21"/>
      <x:c r="B3" s="21"/>
      <x:c r="C3" s="21"/>
      <x:c r="D3" s="21"/>
      <x:c r="E3" s="21"/>
      <x:c r="F3" s="21"/>
      <x:c r="G3" s="21"/>
      <x:c r="H3" s="21"/>
      <x:c r="I3" s="21"/>
      <x:c r="J3" s="21"/>
      <x:c r="K3" s="21"/>
    </x:row>
    <x:row r="4" ht="30" customHeight="1">
      <x:c r="A4" s="43" t="str">
        <x:v>REQUIREMENT_ID</x:v>
      </x:c>
      <x:c r="B4" s="57" t="str">
        <x:v>SOURCE</x:v>
      </x:c>
      <x:c r="C4" s="57" t="str">
        <x:v>EDITION</x:v>
      </x:c>
      <x:c r="D4" s="57" t="str">
        <x:v>PAGE</x:v>
      </x:c>
      <x:c r="E4" s="57" t="str">
        <x:v>CLAUSE</x:v>
      </x:c>
      <x:c r="F4" s="57" t="str">
        <x:v>CATEGORY</x:v>
      </x:c>
      <x:c r="G4" s="57" t="str">
        <x:v>ACTIVE_STATUS</x:v>
      </x:c>
      <x:c r="H4" s="57" t="str">
        <x:v>CODABILITY</x:v>
      </x:c>
      <x:c r="I4" s="57" t="str">
        <x:v>FIGURE_DEPENDENT</x:v>
      </x:c>
      <x:c r="J4" s="57" t="str">
        <x:v>QUEUE_ELIGIBILITY</x:v>
      </x:c>
      <x:c r="K4" s="44" t="str">
        <x:v>RUN_STATUS</x:v>
      </x:c>
    </x:row>
    <x:row r="5">
      <x:c r="A5" s="45" t="str">
        <x:v>I2-001</x:v>
      </x:c>
      <x:c r="B5" s="46" t="str">
        <x:v>UR I2 Structural Requirements for Polar Class Ships</x:v>
      </x:c>
      <x:c r="C5" s="45" t="str">
        <x:v>Rev.4 Dec 2019</x:v>
      </x:c>
      <x:c r="D5" s="58" t="n">
        <x:v>1</x:v>
      </x:c>
      <x:c r="E5" s="45" t="str">
        <x:v>I2.1.1 Note 6</x:v>
      </x:c>
      <x:c r="F5" s="45" t="str">
        <x:v>Static</x:v>
      </x:c>
      <x:c r="G5" s="46" t="str">
        <x:v>Stage 2 candidate - direct/deterministic</x:v>
      </x:c>
      <x:c r="H5" s="45" t="str">
        <x:v>High</x:v>
      </x:c>
      <x:c r="I5" s="45" t="str">
        <x:v>No</x:v>
      </x:c>
      <x:c r="J5" s="45" t="str">
        <x:v>ELIGIBLE</x:v>
      </x:c>
      <x:c r="K5" s="45" t="str">
        <x:v>NOT_RUN</x:v>
      </x:c>
    </x:row>
    <x:row r="6">
      <x:c r="A6" s="47" t="str">
        <x:v>I2-002</x:v>
      </x:c>
      <x:c r="B6" s="48" t="str">
        <x:v>UR I2 Structural Requirements for Polar Class Ships</x:v>
      </x:c>
      <x:c r="C6" s="47" t="str">
        <x:v>Rev.4 Dec 2019</x:v>
      </x:c>
      <x:c r="D6" s="59" t="n">
        <x:v>1</x:v>
      </x:c>
      <x:c r="E6" s="47" t="str">
        <x:v>I2.1.1</x:v>
      </x:c>
      <x:c r="F6" s="47" t="str">
        <x:v>Static</x:v>
      </x:c>
      <x:c r="G6" s="48" t="str">
        <x:v>Deferred - scope-only requirement</x:v>
      </x:c>
      <x:c r="H6" s="47" t="str">
        <x:v>Deferred</x:v>
      </x:c>
      <x:c r="I6" s="47" t="str">
        <x:v>No</x:v>
      </x:c>
      <x:c r="J6" s="47" t="str">
        <x:v>DEFERRED</x:v>
      </x:c>
      <x:c r="K6" s="47" t="str">
        <x:v>NOT_RUN</x:v>
      </x:c>
    </x:row>
    <x:row r="7">
      <x:c r="A7" s="47" t="str">
        <x:v>I2-003</x:v>
      </x:c>
      <x:c r="B7" s="48" t="str">
        <x:v>UR I2 Structural Requirements for Polar Class Ships</x:v>
      </x:c>
      <x:c r="C7" s="47" t="str">
        <x:v>Rev.4 Dec 2019</x:v>
      </x:c>
      <x:c r="D7" s="59" t="n">
        <x:v>1</x:v>
      </x:c>
      <x:c r="E7" s="47" t="str">
        <x:v>I2.1.2.1</x:v>
      </x:c>
      <x:c r="F7" s="47" t="str">
        <x:v>Static Calculation</x:v>
      </x:c>
      <x:c r="G7" s="48" t="str">
        <x:v>Deferred - existing vocabulary insufficient</x:v>
      </x:c>
      <x:c r="H7" s="47" t="str">
        <x:v>Deferred</x:v>
      </x:c>
      <x:c r="I7" s="47" t="str">
        <x:v>No</x:v>
      </x:c>
      <x:c r="J7" s="47" t="str">
        <x:v>DEFERRED</x:v>
      </x:c>
      <x:c r="K7" s="47" t="str">
        <x:v>NOT_RUN</x:v>
      </x:c>
    </x:row>
    <x:row r="8">
      <x:c r="A8" s="47" t="str">
        <x:v>I2-004</x:v>
      </x:c>
      <x:c r="B8" s="48" t="str">
        <x:v>UR I2 Structural Requirements for Polar Class Ships</x:v>
      </x:c>
      <x:c r="C8" s="47" t="str">
        <x:v>Rev.4 Dec 2019</x:v>
      </x:c>
      <x:c r="D8" s="59" t="n">
        <x:v>1</x:v>
      </x:c>
      <x:c r="E8" s="47" t="str">
        <x:v>I2.1.2.2</x:v>
      </x:c>
      <x:c r="F8" s="47" t="str">
        <x:v>Static</x:v>
      </x:c>
      <x:c r="G8" s="48" t="str">
        <x:v>Stage 2 candidate - direct/deterministic</x:v>
      </x:c>
      <x:c r="H8" s="47" t="str">
        <x:v>High</x:v>
      </x:c>
      <x:c r="I8" s="47" t="str">
        <x:v>No</x:v>
      </x:c>
      <x:c r="J8" s="47" t="str">
        <x:v>ELIGIBLE</x:v>
      </x:c>
      <x:c r="K8" s="47" t="str">
        <x:v>NOT_RUN</x:v>
      </x:c>
    </x:row>
    <x:row r="9">
      <x:c r="A9" s="47" t="str">
        <x:v>I2-005</x:v>
      </x:c>
      <x:c r="B9" s="48" t="str">
        <x:v>UR I2 Structural Requirements for Polar Class Ships</x:v>
      </x:c>
      <x:c r="C9" s="47" t="str">
        <x:v>Rev.4 Dec 2019</x:v>
      </x:c>
      <x:c r="D9" s="59" t="n">
        <x:v>2</x:v>
      </x:c>
      <x:c r="E9" s="47" t="str">
        <x:v>I2.2.5</x:v>
      </x:c>
      <x:c r="F9" s="47" t="str">
        <x:v>Static</x:v>
      </x:c>
      <x:c r="G9" s="48" t="str">
        <x:v>Stage 2 candidate - direct/deterministic</x:v>
      </x:c>
      <x:c r="H9" s="47" t="str">
        <x:v>High</x:v>
      </x:c>
      <x:c r="I9" s="47" t="str">
        <x:v>No</x:v>
      </x:c>
      <x:c r="J9" s="47" t="str">
        <x:v>ELIGIBLE</x:v>
      </x:c>
      <x:c r="K9" s="47" t="str">
        <x:v>NOT_RUN</x:v>
      </x:c>
    </x:row>
    <x:row r="10">
      <x:c r="A10" s="47" t="str">
        <x:v>I2-006</x:v>
      </x:c>
      <x:c r="B10" s="48" t="str">
        <x:v>UR I2 Structural Requirements for Polar Class Ships</x:v>
      </x:c>
      <x:c r="C10" s="47" t="str">
        <x:v>Rev.4 Dec 2019</x:v>
      </x:c>
      <x:c r="D10" s="59" t="n">
        <x:v>2</x:v>
      </x:c>
      <x:c r="E10" s="47" t="str">
        <x:v>I2.2.6</x:v>
      </x:c>
      <x:c r="F10" s="47" t="str">
        <x:v>Static</x:v>
      </x:c>
      <x:c r="G10" s="48" t="str">
        <x:v>Stage 2 candidate - direct/deterministic</x:v>
      </x:c>
      <x:c r="H10" s="47" t="str">
        <x:v>High</x:v>
      </x:c>
      <x:c r="I10" s="47" t="str">
        <x:v>No</x:v>
      </x:c>
      <x:c r="J10" s="47" t="str">
        <x:v>ELIGIBLE</x:v>
      </x:c>
      <x:c r="K10" s="47" t="str">
        <x:v>NOT_RUN</x:v>
      </x:c>
    </x:row>
    <x:row r="11">
      <x:c r="A11" s="47" t="str">
        <x:v>I2-008</x:v>
      </x:c>
      <x:c r="B11" s="48" t="str">
        <x:v>UR I2 Structural Requirements for Polar Class Ships</x:v>
      </x:c>
      <x:c r="C11" s="47" t="str">
        <x:v>Rev.4 Dec 2019</x:v>
      </x:c>
      <x:c r="D11" s="59" t="n">
        <x:v>3</x:v>
      </x:c>
      <x:c r="E11" s="47" t="str">
        <x:v>I2.3.1</x:v>
      </x:c>
      <x:c r="F11" s="47" t="str">
        <x:v>Complex</x:v>
      </x:c>
      <x:c r="G11" s="48" t="str">
        <x:v>Stage 2 candidate - complex readiness</x:v>
      </x:c>
      <x:c r="H11" s="47" t="str">
        <x:v>Complex readiness</x:v>
      </x:c>
      <x:c r="I11" s="47" t="str">
        <x:v>No</x:v>
      </x:c>
      <x:c r="J11" s="47" t="str">
        <x:v>ELIGIBLE</x:v>
      </x:c>
      <x:c r="K11" s="47" t="str">
        <x:v>NOT_RUN</x:v>
      </x:c>
    </x:row>
    <x:row r="12">
      <x:c r="A12" s="47" t="str">
        <x:v>I2-009</x:v>
      </x:c>
      <x:c r="B12" s="48" t="str">
        <x:v>UR I2 Structural Requirements for Polar Class Ships</x:v>
      </x:c>
      <x:c r="C12" s="47" t="str">
        <x:v>Rev.4 Dec 2019</x:v>
      </x:c>
      <x:c r="D12" s="59" t="n">
        <x:v>3</x:v>
      </x:c>
      <x:c r="E12" s="47" t="str">
        <x:v>I2.3.1</x:v>
      </x:c>
      <x:c r="F12" s="47" t="str">
        <x:v>Static</x:v>
      </x:c>
      <x:c r="G12" s="48" t="str">
        <x:v>Stage 2 candidate - direct static</x:v>
      </x:c>
      <x:c r="H12" s="47" t="str">
        <x:v>Direct static</x:v>
      </x:c>
      <x:c r="I12" s="47" t="str">
        <x:v>No</x:v>
      </x:c>
      <x:c r="J12" s="47" t="str">
        <x:v>ELIGIBLE</x:v>
      </x:c>
      <x:c r="K12" s="47" t="str">
        <x:v>NOT_RUN</x:v>
      </x:c>
    </x:row>
    <x:row r="13">
      <x:c r="A13" s="47" t="str">
        <x:v>I2-010</x:v>
      </x:c>
      <x:c r="B13" s="48" t="str">
        <x:v>UR I2 Structural Requirements for Polar Class Ships</x:v>
      </x:c>
      <x:c r="C13" s="47" t="str">
        <x:v>Rev.4 Dec 2019</x:v>
      </x:c>
      <x:c r="D13" s="59" t="n">
        <x:v>3</x:v>
      </x:c>
      <x:c r="E13" s="47" t="str">
        <x:v>I2.3.1</x:v>
      </x:c>
      <x:c r="F13" s="47" t="str">
        <x:v>Static</x:v>
      </x:c>
      <x:c r="G13" s="48" t="str">
        <x:v>Stage 2 candidate - direct static</x:v>
      </x:c>
      <x:c r="H13" s="47" t="str">
        <x:v>Direct static</x:v>
      </x:c>
      <x:c r="I13" s="47" t="str">
        <x:v>No</x:v>
      </x:c>
      <x:c r="J13" s="47" t="str">
        <x:v>ELIGIBLE</x:v>
      </x:c>
      <x:c r="K13" s="47" t="str">
        <x:v>NOT_RUN</x:v>
      </x:c>
    </x:row>
    <x:row r="14">
      <x:c r="A14" s="47" t="str">
        <x:v>I2-011</x:v>
      </x:c>
      <x:c r="B14" s="48" t="str">
        <x:v>UR I2 Structural Requirements for Polar Class Ships</x:v>
      </x:c>
      <x:c r="C14" s="47" t="str">
        <x:v>Rev.4 Dec 2019</x:v>
      </x:c>
      <x:c r="D14" s="59" t="n">
        <x:v>3</x:v>
      </x:c>
      <x:c r="E14" s="47" t="str">
        <x:v>I2.3.1</x:v>
      </x:c>
      <x:c r="F14" s="47" t="str">
        <x:v>Static Calculation</x:v>
      </x:c>
      <x:c r="G14" s="48" t="str">
        <x:v>Stage 2 candidate - direct/deterministic</x:v>
      </x:c>
      <x:c r="H14" s="47" t="str">
        <x:v>High</x:v>
      </x:c>
      <x:c r="I14" s="47" t="str">
        <x:v>No</x:v>
      </x:c>
      <x:c r="J14" s="47" t="str">
        <x:v>ELIGIBLE</x:v>
      </x:c>
      <x:c r="K14" s="47" t="str">
        <x:v>NOT_RUN</x:v>
      </x:c>
    </x:row>
    <x:row r="15">
      <x:c r="A15" s="47" t="str">
        <x:v>I2-013</x:v>
      </x:c>
      <x:c r="B15" s="48" t="str">
        <x:v>UR I2 Structural Requirements for Polar Class Ships</x:v>
      </x:c>
      <x:c r="C15" s="47" t="str">
        <x:v>Rev.4 Dec 2019</x:v>
      </x:c>
      <x:c r="D15" s="59" t="n">
        <x:v>3</x:v>
      </x:c>
      <x:c r="E15" s="47" t="str">
        <x:v>I2.3.1</x:v>
      </x:c>
      <x:c r="F15" s="47" t="str">
        <x:v>Complex</x:v>
      </x:c>
      <x:c r="G15" s="48" t="str">
        <x:v>Stage 2 candidate - complex readiness</x:v>
      </x:c>
      <x:c r="H15" s="47" t="str">
        <x:v>Complex readiness</x:v>
      </x:c>
      <x:c r="I15" s="47" t="str">
        <x:v>No</x:v>
      </x:c>
      <x:c r="J15" s="47" t="str">
        <x:v>ELIGIBLE</x:v>
      </x:c>
      <x:c r="K15" s="47" t="str">
        <x:v>NOT_RUN</x:v>
      </x:c>
    </x:row>
    <x:row r="16">
      <x:c r="A16" s="47" t="str">
        <x:v>I2-014</x:v>
      </x:c>
      <x:c r="B16" s="48" t="str">
        <x:v>UR I2 Structural Requirements for Polar Class Ships</x:v>
      </x:c>
      <x:c r="C16" s="47" t="str">
        <x:v>Rev.4 Dec 2019</x:v>
      </x:c>
      <x:c r="D16" s="59" t="n">
        <x:v>5</x:v>
      </x:c>
      <x:c r="E16" s="47" t="str">
        <x:v>I2.3.2.1</x:v>
      </x:c>
      <x:c r="F16" s="47" t="str">
        <x:v>Static Calculation</x:v>
      </x:c>
      <x:c r="G16" s="48" t="str">
        <x:v>Stage 2 candidate - direct/deterministic</x:v>
      </x:c>
      <x:c r="H16" s="47" t="str">
        <x:v>High</x:v>
      </x:c>
      <x:c r="I16" s="47" t="str">
        <x:v>No</x:v>
      </x:c>
      <x:c r="J16" s="47" t="str">
        <x:v>ELIGIBLE</x:v>
      </x:c>
      <x:c r="K16" s="47" t="str">
        <x:v>NOT_RUN</x:v>
      </x:c>
    </x:row>
    <x:row r="17">
      <x:c r="A17" s="47" t="str">
        <x:v>I2-015</x:v>
      </x:c>
      <x:c r="B17" s="48" t="str">
        <x:v>UR I2 Structural Requirements for Polar Class Ships</x:v>
      </x:c>
      <x:c r="C17" s="47" t="str">
        <x:v>Rev.4 Dec 2019</x:v>
      </x:c>
      <x:c r="D17" s="59" t="n">
        <x:v>5</x:v>
      </x:c>
      <x:c r="E17" s="47" t="str">
        <x:v>I2.3.2.1</x:v>
      </x:c>
      <x:c r="F17" s="47" t="str">
        <x:v>Complex</x:v>
      </x:c>
      <x:c r="G17" s="48" t="str">
        <x:v>Stage 2 candidate - complex readiness</x:v>
      </x:c>
      <x:c r="H17" s="47" t="str">
        <x:v>Complex readiness</x:v>
      </x:c>
      <x:c r="I17" s="47" t="str">
        <x:v>No</x:v>
      </x:c>
      <x:c r="J17" s="47" t="str">
        <x:v>ELIGIBLE</x:v>
      </x:c>
      <x:c r="K17" s="47" t="str">
        <x:v>NOT_RUN</x:v>
      </x:c>
    </x:row>
    <x:row r="18">
      <x:c r="A18" s="47" t="str">
        <x:v>I2-017</x:v>
      </x:c>
      <x:c r="B18" s="48" t="str">
        <x:v>UR I2 Structural Requirements for Polar Class Ships</x:v>
      </x:c>
      <x:c r="C18" s="47" t="str">
        <x:v>Rev.4 Dec 2019</x:v>
      </x:c>
      <x:c r="D18" s="59" t="n">
        <x:v>6</x:v>
      </x:c>
      <x:c r="E18" s="47" t="str">
        <x:v>I2.3.2.2</x:v>
      </x:c>
      <x:c r="F18" s="47" t="str">
        <x:v>Complex</x:v>
      </x:c>
      <x:c r="G18" s="48" t="str">
        <x:v>Stage 2 candidate - complex readiness</x:v>
      </x:c>
      <x:c r="H18" s="47" t="str">
        <x:v>Complex readiness</x:v>
      </x:c>
      <x:c r="I18" s="47" t="str">
        <x:v>No</x:v>
      </x:c>
      <x:c r="J18" s="47" t="str">
        <x:v>ELIGIBLE</x:v>
      </x:c>
      <x:c r="K18" s="47" t="str">
        <x:v>NOT_RUN</x:v>
      </x:c>
    </x:row>
    <x:row r="19">
      <x:c r="A19" s="47" t="str">
        <x:v>I2-018</x:v>
      </x:c>
      <x:c r="B19" s="48" t="str">
        <x:v>UR I2 Structural Requirements for Polar Class Ships</x:v>
      </x:c>
      <x:c r="C19" s="47" t="str">
        <x:v>Rev.4 Dec 2019</x:v>
      </x:c>
      <x:c r="D19" s="59" t="n">
        <x:v>7</x:v>
      </x:c>
      <x:c r="E19" s="47" t="str">
        <x:v>I2.3.4</x:v>
      </x:c>
      <x:c r="F19" s="47" t="str">
        <x:v>Static Calculation</x:v>
      </x:c>
      <x:c r="G19" s="48" t="str">
        <x:v>Stage 2 candidate - direct/deterministic</x:v>
      </x:c>
      <x:c r="H19" s="47" t="str">
        <x:v>Medium</x:v>
      </x:c>
      <x:c r="I19" s="47" t="str">
        <x:v>No</x:v>
      </x:c>
      <x:c r="J19" s="47" t="str">
        <x:v>ELIGIBLE</x:v>
      </x:c>
      <x:c r="K19" s="47" t="str">
        <x:v>NOT_RUN</x:v>
      </x:c>
    </x:row>
    <x:row r="20">
      <x:c r="A20" s="47" t="str">
        <x:v>I2-019</x:v>
      </x:c>
      <x:c r="B20" s="48" t="str">
        <x:v>UR I2 Structural Requirements for Polar Class Ships</x:v>
      </x:c>
      <x:c r="C20" s="47" t="str">
        <x:v>Rev.4 Dec 2019</x:v>
      </x:c>
      <x:c r="D20" s="59" t="n">
        <x:v>7</x:v>
      </x:c>
      <x:c r="E20" s="47" t="str">
        <x:v>I2.3.5</x:v>
      </x:c>
      <x:c r="F20" s="47" t="str">
        <x:v>Static Calculation</x:v>
      </x:c>
      <x:c r="G20" s="48" t="str">
        <x:v>Stage 2 candidate - direct/deterministic</x:v>
      </x:c>
      <x:c r="H20" s="47" t="str">
        <x:v>High</x:v>
      </x:c>
      <x:c r="I20" s="47" t="str">
        <x:v>No</x:v>
      </x:c>
      <x:c r="J20" s="47" t="str">
        <x:v>ELIGIBLE</x:v>
      </x:c>
      <x:c r="K20" s="47" t="str">
        <x:v>NOT_RUN</x:v>
      </x:c>
    </x:row>
    <x:row r="21">
      <x:c r="A21" s="47" t="str">
        <x:v>I2-021</x:v>
      </x:c>
      <x:c r="B21" s="48" t="str">
        <x:v>UR I2 Structural Requirements for Polar Class Ships</x:v>
      </x:c>
      <x:c r="C21" s="47" t="str">
        <x:v>Rev.4 Dec 2019</x:v>
      </x:c>
      <x:c r="D21" s="59" t="n">
        <x:v>8</x:v>
      </x:c>
      <x:c r="E21" s="47" t="str">
        <x:v>I2.4.1</x:v>
      </x:c>
      <x:c r="F21" s="47" t="str">
        <x:v>Static Calculation</x:v>
      </x:c>
      <x:c r="G21" s="48" t="str">
        <x:v>Stage 2 candidate - direct/deterministic</x:v>
      </x:c>
      <x:c r="H21" s="47" t="str">
        <x:v>Medium</x:v>
      </x:c>
      <x:c r="I21" s="47" t="str">
        <x:v>No</x:v>
      </x:c>
      <x:c r="J21" s="47" t="str">
        <x:v>ELIGIBLE</x:v>
      </x:c>
      <x:c r="K21" s="47" t="str">
        <x:v>NOT_RUN</x:v>
      </x:c>
    </x:row>
    <x:row r="22">
      <x:c r="A22" s="47" t="str">
        <x:v>I2-022</x:v>
      </x:c>
      <x:c r="B22" s="48" t="str">
        <x:v>UR I2 Structural Requirements for Polar Class Ships</x:v>
      </x:c>
      <x:c r="C22" s="47" t="str">
        <x:v>Rev.4 Dec 2019</x:v>
      </x:c>
      <x:c r="D22" s="59" t="n">
        <x:v>8</x:v>
      </x:c>
      <x:c r="E22" s="47" t="str">
        <x:v>I2.4.2</x:v>
      </x:c>
      <x:c r="F22" s="47" t="str">
        <x:v>Complex</x:v>
      </x:c>
      <x:c r="G22" s="48" t="str">
        <x:v>Stage 2 candidate - complex readiness</x:v>
      </x:c>
      <x:c r="H22" s="47" t="str">
        <x:v>Complex readiness</x:v>
      </x:c>
      <x:c r="I22" s="47" t="str">
        <x:v>No</x:v>
      </x:c>
      <x:c r="J22" s="47" t="str">
        <x:v>ELIGIBLE</x:v>
      </x:c>
      <x:c r="K22" s="47" t="str">
        <x:v>NOT_RUN</x:v>
      </x:c>
    </x:row>
    <x:row r="23">
      <x:c r="A23" s="47" t="str">
        <x:v>I2-023</x:v>
      </x:c>
      <x:c r="B23" s="48" t="str">
        <x:v>UR I2 Structural Requirements for Polar Class Ships</x:v>
      </x:c>
      <x:c r="C23" s="47" t="str">
        <x:v>Rev.4 Dec 2019</x:v>
      </x:c>
      <x:c r="D23" s="59" t="n">
        <x:v>9</x:v>
      </x:c>
      <x:c r="E23" s="47" t="str">
        <x:v>I2.4.2</x:v>
      </x:c>
      <x:c r="F23" s="47" t="str">
        <x:v>Complex</x:v>
      </x:c>
      <x:c r="G23" s="48" t="str">
        <x:v>Stage 2 candidate - complex readiness</x:v>
      </x:c>
      <x:c r="H23" s="47" t="str">
        <x:v>Complex readiness</x:v>
      </x:c>
      <x:c r="I23" s="47" t="str">
        <x:v>No</x:v>
      </x:c>
      <x:c r="J23" s="47" t="str">
        <x:v>ELIGIBLE</x:v>
      </x:c>
      <x:c r="K23" s="47" t="str">
        <x:v>NOT_RUN</x:v>
      </x:c>
    </x:row>
    <x:row r="24">
      <x:c r="A24" s="47" t="str">
        <x:v>I2-024</x:v>
      </x:c>
      <x:c r="B24" s="48" t="str">
        <x:v>UR I2 Structural Requirements for Polar Class Ships</x:v>
      </x:c>
      <x:c r="C24" s="47" t="str">
        <x:v>Rev.4 Dec 2019</x:v>
      </x:c>
      <x:c r="D24" s="59" t="n">
        <x:v>9</x:v>
      </x:c>
      <x:c r="E24" s="47" t="str">
        <x:v>I2.4.2</x:v>
      </x:c>
      <x:c r="F24" s="47" t="str">
        <x:v>Complex</x:v>
      </x:c>
      <x:c r="G24" s="48" t="str">
        <x:v>Stage 2 candidate - complex readiness</x:v>
      </x:c>
      <x:c r="H24" s="47" t="str">
        <x:v>Complex readiness</x:v>
      </x:c>
      <x:c r="I24" s="47" t="str">
        <x:v>No</x:v>
      </x:c>
      <x:c r="J24" s="47" t="str">
        <x:v>ELIGIBLE</x:v>
      </x:c>
      <x:c r="K24" s="47" t="str">
        <x:v>NOT_RUN</x:v>
      </x:c>
    </x:row>
    <x:row r="25">
      <x:c r="A25" s="47" t="str">
        <x:v>I2-026</x:v>
      </x:c>
      <x:c r="B25" s="48" t="str">
        <x:v>UR I2 Structural Requirements for Polar Class Ships</x:v>
      </x:c>
      <x:c r="C25" s="47" t="str">
        <x:v>Rev.4 Dec 2019</x:v>
      </x:c>
      <x:c r="D25" s="59" t="n">
        <x:v>10</x:v>
      </x:c>
      <x:c r="E25" s="47" t="str">
        <x:v>I2.5.3</x:v>
      </x:c>
      <x:c r="F25" s="47" t="str">
        <x:v>Static</x:v>
      </x:c>
      <x:c r="G25" s="48" t="str">
        <x:v>Stage 2 candidate - direct/deterministic</x:v>
      </x:c>
      <x:c r="H25" s="47" t="str">
        <x:v>High</x:v>
      </x:c>
      <x:c r="I25" s="47" t="str">
        <x:v>No</x:v>
      </x:c>
      <x:c r="J25" s="47" t="str">
        <x:v>ELIGIBLE</x:v>
      </x:c>
      <x:c r="K25" s="47" t="str">
        <x:v>NOT_RUN</x:v>
      </x:c>
    </x:row>
    <x:row r="26">
      <x:c r="A26" s="47" t="str">
        <x:v>I2-029</x:v>
      </x:c>
      <x:c r="B26" s="48" t="str">
        <x:v>UR I2 Structural Requirements for Polar Class Ships</x:v>
      </x:c>
      <x:c r="C26" s="47" t="str">
        <x:v>Rev.4 Dec 2019</x:v>
      </x:c>
      <x:c r="D26" s="59" t="n">
        <x:v>10</x:v>
      </x:c>
      <x:c r="E26" s="47" t="str">
        <x:v>I2.5.6</x:v>
      </x:c>
      <x:c r="F26" s="47" t="str">
        <x:v>Static</x:v>
      </x:c>
      <x:c r="G26" s="48" t="str">
        <x:v>Stage 2 candidate - direct static</x:v>
      </x:c>
      <x:c r="H26" s="47" t="str">
        <x:v>Direct static</x:v>
      </x:c>
      <x:c r="I26" s="47" t="str">
        <x:v>No</x:v>
      </x:c>
      <x:c r="J26" s="47" t="str">
        <x:v>ELIGIBLE</x:v>
      </x:c>
      <x:c r="K26" s="47" t="str">
        <x:v>NOT_RUN</x:v>
      </x:c>
    </x:row>
    <x:row r="27">
      <x:c r="A27" s="47" t="str">
        <x:v>I2-030</x:v>
      </x:c>
      <x:c r="B27" s="48" t="str">
        <x:v>UR I2 Structural Requirements for Polar Class Ships</x:v>
      </x:c>
      <x:c r="C27" s="47" t="str">
        <x:v>Rev.4 Dec 2019</x:v>
      </x:c>
      <x:c r="D27" s="59" t="n">
        <x:v>11</x:v>
      </x:c>
      <x:c r="E27" s="47" t="str">
        <x:v>I2.5.8-I2.5.9</x:v>
      </x:c>
      <x:c r="F27" s="47" t="str">
        <x:v>Complex</x:v>
      </x:c>
      <x:c r="G27" s="48" t="str">
        <x:v>Stage 2 candidate - complex readiness</x:v>
      </x:c>
      <x:c r="H27" s="47" t="str">
        <x:v>Complex readiness</x:v>
      </x:c>
      <x:c r="I27" s="47" t="str">
        <x:v>No</x:v>
      </x:c>
      <x:c r="J27" s="47" t="str">
        <x:v>ELIGIBLE</x:v>
      </x:c>
      <x:c r="K27" s="47" t="str">
        <x:v>NOT_RUN</x:v>
      </x:c>
    </x:row>
    <x:row r="28">
      <x:c r="A28" s="47" t="str">
        <x:v>I2-031</x:v>
      </x:c>
      <x:c r="B28" s="48" t="str">
        <x:v>UR I2 Structural Requirements for Polar Class Ships</x:v>
      </x:c>
      <x:c r="C28" s="47" t="str">
        <x:v>Rev.4 Dec 2019</x:v>
      </x:c>
      <x:c r="D28" s="59" t="n">
        <x:v>12</x:v>
      </x:c>
      <x:c r="E28" s="47" t="str">
        <x:v>I2.6.1</x:v>
      </x:c>
      <x:c r="F28" s="47" t="str">
        <x:v>Static</x:v>
      </x:c>
      <x:c r="G28" s="48" t="str">
        <x:v>Stage 2 candidate - direct/deterministic</x:v>
      </x:c>
      <x:c r="H28" s="47" t="str">
        <x:v>High</x:v>
      </x:c>
      <x:c r="I28" s="47" t="str">
        <x:v>No</x:v>
      </x:c>
      <x:c r="J28" s="47" t="str">
        <x:v>ELIGIBLE</x:v>
      </x:c>
      <x:c r="K28" s="47" t="str">
        <x:v>NOT_RUN</x:v>
      </x:c>
    </x:row>
    <x:row r="29">
      <x:c r="A29" s="47" t="str">
        <x:v>I2-032</x:v>
      </x:c>
      <x:c r="B29" s="48" t="str">
        <x:v>UR I2 Structural Requirements for Polar Class Ships</x:v>
      </x:c>
      <x:c r="C29" s="47" t="str">
        <x:v>Rev.4 Dec 2019</x:v>
      </x:c>
      <x:c r="D29" s="59" t="n">
        <x:v>12</x:v>
      </x:c>
      <x:c r="E29" s="47" t="str">
        <x:v>I2.6.2</x:v>
      </x:c>
      <x:c r="F29" s="47" t="str">
        <x:v>Static Calculation</x:v>
      </x:c>
      <x:c r="G29" s="48" t="str">
        <x:v>Stage 2 candidate - direct/deterministic</x:v>
      </x:c>
      <x:c r="H29" s="47" t="str">
        <x:v>Medium</x:v>
      </x:c>
      <x:c r="I29" s="47" t="str">
        <x:v>No</x:v>
      </x:c>
      <x:c r="J29" s="47" t="str">
        <x:v>ELIGIBLE</x:v>
      </x:c>
      <x:c r="K29" s="47" t="str">
        <x:v>NOT_RUN</x:v>
      </x:c>
    </x:row>
    <x:row r="30">
      <x:c r="A30" s="47" t="str">
        <x:v>I2-034</x:v>
      </x:c>
      <x:c r="B30" s="48" t="str">
        <x:v>UR I2 Structural Requirements for Polar Class Ships</x:v>
      </x:c>
      <x:c r="C30" s="47" t="str">
        <x:v>Rev.4 Dec 2019</x:v>
      </x:c>
      <x:c r="D30" s="59" t="n">
        <x:v>13</x:v>
      </x:c>
      <x:c r="E30" s="47" t="str">
        <x:v>I2.7.1</x:v>
      </x:c>
      <x:c r="F30" s="47" t="str">
        <x:v>Static</x:v>
      </x:c>
      <x:c r="G30" s="48" t="str">
        <x:v>Stage 2 candidate - direct/deterministic</x:v>
      </x:c>
      <x:c r="H30" s="47" t="str">
        <x:v>High</x:v>
      </x:c>
      <x:c r="I30" s="47" t="str">
        <x:v>No</x:v>
      </x:c>
      <x:c r="J30" s="47" t="str">
        <x:v>ELIGIBLE</x:v>
      </x:c>
      <x:c r="K30" s="47" t="str">
        <x:v>NOT_RUN</x:v>
      </x:c>
    </x:row>
    <x:row r="31">
      <x:c r="A31" s="47" t="str">
        <x:v>I2-035</x:v>
      </x:c>
      <x:c r="B31" s="48" t="str">
        <x:v>UR I2 Structural Requirements for Polar Class Ships</x:v>
      </x:c>
      <x:c r="C31" s="47" t="str">
        <x:v>Rev.4 Dec 2019</x:v>
      </x:c>
      <x:c r="D31" s="59" t="n">
        <x:v>13</x:v>
      </x:c>
      <x:c r="E31" s="47" t="str">
        <x:v>I2.7.2</x:v>
      </x:c>
      <x:c r="F31" s="47" t="str">
        <x:v>Static Calculation</x:v>
      </x:c>
      <x:c r="G31" s="48" t="str">
        <x:v>Stage 2 candidate - direct/deterministic</x:v>
      </x:c>
      <x:c r="H31" s="47" t="str">
        <x:v>Medium</x:v>
      </x:c>
      <x:c r="I31" s="47" t="str">
        <x:v>No</x:v>
      </x:c>
      <x:c r="J31" s="47" t="str">
        <x:v>ELIGIBLE</x:v>
      </x:c>
      <x:c r="K31" s="47" t="str">
        <x:v>NOT_RUN</x:v>
      </x:c>
    </x:row>
    <x:row r="32">
      <x:c r="A32" s="47" t="str">
        <x:v>I2-037</x:v>
      </x:c>
      <x:c r="B32" s="48" t="str">
        <x:v>UR I2 Structural Requirements for Polar Class Ships</x:v>
      </x:c>
      <x:c r="C32" s="47" t="str">
        <x:v>Rev.4 Dec 2019</x:v>
      </x:c>
      <x:c r="D32" s="59" t="n">
        <x:v>13</x:v>
      </x:c>
      <x:c r="E32" s="47" t="str">
        <x:v>I2.8.1</x:v>
      </x:c>
      <x:c r="F32" s="47" t="str">
        <x:v>Static</x:v>
      </x:c>
      <x:c r="G32" s="48" t="str">
        <x:v>Stage 2 candidate - direct/deterministic</x:v>
      </x:c>
      <x:c r="H32" s="47" t="str">
        <x:v>High</x:v>
      </x:c>
      <x:c r="I32" s="47" t="str">
        <x:v>No</x:v>
      </x:c>
      <x:c r="J32" s="47" t="str">
        <x:v>ELIGIBLE</x:v>
      </x:c>
      <x:c r="K32" s="47" t="str">
        <x:v>NOT_RUN</x:v>
      </x:c>
    </x:row>
    <x:row r="33">
      <x:c r="A33" s="47" t="str">
        <x:v>I2-040</x:v>
      </x:c>
      <x:c r="B33" s="48" t="str">
        <x:v>UR I2 Structural Requirements for Polar Class Ships</x:v>
      </x:c>
      <x:c r="C33" s="47" t="str">
        <x:v>Rev.4 Dec 2019</x:v>
      </x:c>
      <x:c r="D33" s="59" t="n">
        <x:v>14</x:v>
      </x:c>
      <x:c r="E33" s="47" t="str">
        <x:v>I2.9.1</x:v>
      </x:c>
      <x:c r="F33" s="47" t="str">
        <x:v>Complex</x:v>
      </x:c>
      <x:c r="G33" s="48" t="str">
        <x:v>Stage 2 candidate - complex readiness</x:v>
      </x:c>
      <x:c r="H33" s="47" t="str">
        <x:v>Complex readiness</x:v>
      </x:c>
      <x:c r="I33" s="47" t="str">
        <x:v>No</x:v>
      </x:c>
      <x:c r="J33" s="47" t="str">
        <x:v>ELIGIBLE</x:v>
      </x:c>
      <x:c r="K33" s="47" t="str">
        <x:v>NOT_RUN</x:v>
      </x:c>
    </x:row>
    <x:row r="34">
      <x:c r="A34" s="47" t="str">
        <x:v>I2-041</x:v>
      </x:c>
      <x:c r="B34" s="48" t="str">
        <x:v>UR I2 Structural Requirements for Polar Class Ships</x:v>
      </x:c>
      <x:c r="C34" s="47" t="str">
        <x:v>Rev.4 Dec 2019</x:v>
      </x:c>
      <x:c r="D34" s="59" t="n">
        <x:v>15</x:v>
      </x:c>
      <x:c r="E34" s="47" t="str">
        <x:v>I2.9.3</x:v>
      </x:c>
      <x:c r="F34" s="47" t="str">
        <x:v>Complex</x:v>
      </x:c>
      <x:c r="G34" s="48" t="str">
        <x:v>Stage 2 candidate - complex readiness</x:v>
      </x:c>
      <x:c r="H34" s="47" t="str">
        <x:v>Complex readiness</x:v>
      </x:c>
      <x:c r="I34" s="47" t="str">
        <x:v>No</x:v>
      </x:c>
      <x:c r="J34" s="47" t="str">
        <x:v>ELIGIBLE</x:v>
      </x:c>
      <x:c r="K34" s="47" t="str">
        <x:v>NOT_RUN</x:v>
      </x:c>
    </x:row>
    <x:row r="35">
      <x:c r="A35" s="47" t="str">
        <x:v>I2-042</x:v>
      </x:c>
      <x:c r="B35" s="48" t="str">
        <x:v>UR I2 Structural Requirements for Polar Class Ships</x:v>
      </x:c>
      <x:c r="C35" s="47" t="str">
        <x:v>Rev.4 Dec 2019</x:v>
      </x:c>
      <x:c r="D35" s="59" t="n">
        <x:v>15</x:v>
      </x:c>
      <x:c r="E35" s="47" t="str">
        <x:v>I2.9.4</x:v>
      </x:c>
      <x:c r="F35" s="47" t="str">
        <x:v>Static Calculation</x:v>
      </x:c>
      <x:c r="G35" s="48" t="str">
        <x:v>Stage 2 candidate - direct/deterministic</x:v>
      </x:c>
      <x:c r="H35" s="47" t="str">
        <x:v>High</x:v>
      </x:c>
      <x:c r="I35" s="47" t="str">
        <x:v>No</x:v>
      </x:c>
      <x:c r="J35" s="47" t="str">
        <x:v>ELIGIBLE</x:v>
      </x:c>
      <x:c r="K35" s="47" t="str">
        <x:v>NOT_RUN</x:v>
      </x:c>
    </x:row>
    <x:row r="36">
      <x:c r="A36" s="47" t="str">
        <x:v>I2-043</x:v>
      </x:c>
      <x:c r="B36" s="48" t="str">
        <x:v>UR I2 Structural Requirements for Polar Class Ships</x:v>
      </x:c>
      <x:c r="C36" s="47" t="str">
        <x:v>Rev.4 Dec 2019</x:v>
      </x:c>
      <x:c r="D36" s="59" t="n">
        <x:v>15</x:v>
      </x:c>
      <x:c r="E36" s="47" t="str">
        <x:v>I2.9.4</x:v>
      </x:c>
      <x:c r="F36" s="47" t="str">
        <x:v>Complex</x:v>
      </x:c>
      <x:c r="G36" s="48" t="str">
        <x:v>Stage 2 candidate - complex readiness</x:v>
      </x:c>
      <x:c r="H36" s="47" t="str">
        <x:v>Complex readiness</x:v>
      </x:c>
      <x:c r="I36" s="47" t="str">
        <x:v>No</x:v>
      </x:c>
      <x:c r="J36" s="47" t="str">
        <x:v>ELIGIBLE</x:v>
      </x:c>
      <x:c r="K36" s="47" t="str">
        <x:v>NOT_RUN</x:v>
      </x:c>
    </x:row>
    <x:row r="37">
      <x:c r="A37" s="47" t="str">
        <x:v>I2-046</x:v>
      </x:c>
      <x:c r="B37" s="48" t="str">
        <x:v>UR I2 Structural Requirements for Polar Class Ships</x:v>
      </x:c>
      <x:c r="C37" s="47" t="str">
        <x:v>Rev.4 Dec 2019</x:v>
      </x:c>
      <x:c r="D37" s="59" t="n">
        <x:v>15</x:v>
      </x:c>
      <x:c r="E37" s="47" t="str">
        <x:v>I2.11.3</x:v>
      </x:c>
      <x:c r="F37" s="47" t="str">
        <x:v>Static Calculation</x:v>
      </x:c>
      <x:c r="G37" s="48" t="str">
        <x:v>Stage 2 candidate - direct/deterministic</x:v>
      </x:c>
      <x:c r="H37" s="47" t="str">
        <x:v>High</x:v>
      </x:c>
      <x:c r="I37" s="47" t="str">
        <x:v>No</x:v>
      </x:c>
      <x:c r="J37" s="47" t="str">
        <x:v>ELIGIBLE</x:v>
      </x:c>
      <x:c r="K37" s="47" t="str">
        <x:v>NOT_RUN</x:v>
      </x:c>
    </x:row>
    <x:row r="38">
      <x:c r="A38" s="47" t="str">
        <x:v>I2-047</x:v>
      </x:c>
      <x:c r="B38" s="48" t="str">
        <x:v>UR I2 Structural Requirements for Polar Class Ships</x:v>
      </x:c>
      <x:c r="C38" s="47" t="str">
        <x:v>Rev.4 Dec 2019</x:v>
      </x:c>
      <x:c r="D38" s="59" t="n">
        <x:v>16</x:v>
      </x:c>
      <x:c r="E38" s="47" t="str">
        <x:v>I2.11.4</x:v>
      </x:c>
      <x:c r="F38" s="47" t="str">
        <x:v>Static Calculation</x:v>
      </x:c>
      <x:c r="G38" s="48" t="str">
        <x:v>Stage 2 candidate - direct/deterministic</x:v>
      </x:c>
      <x:c r="H38" s="47" t="str">
        <x:v>High</x:v>
      </x:c>
      <x:c r="I38" s="47" t="str">
        <x:v>No</x:v>
      </x:c>
      <x:c r="J38" s="47" t="str">
        <x:v>ELIGIBLE</x:v>
      </x:c>
      <x:c r="K38" s="47" t="str">
        <x:v>NOT_RUN</x:v>
      </x:c>
    </x:row>
    <x:row r="39">
      <x:c r="A39" s="47" t="str">
        <x:v>I2-048</x:v>
      </x:c>
      <x:c r="B39" s="48" t="str">
        <x:v>UR I2 Structural Requirements for Polar Class Ships</x:v>
      </x:c>
      <x:c r="C39" s="47" t="str">
        <x:v>Rev.4 Dec 2019</x:v>
      </x:c>
      <x:c r="D39" s="59" t="n">
        <x:v>16</x:v>
      </x:c>
      <x:c r="E39" s="47" t="str">
        <x:v>I2.12.1</x:v>
      </x:c>
      <x:c r="F39" s="47" t="str">
        <x:v>Static</x:v>
      </x:c>
      <x:c r="G39" s="48" t="str">
        <x:v>Stage 2 candidate - direct static</x:v>
      </x:c>
      <x:c r="H39" s="47" t="str">
        <x:v>Direct static</x:v>
      </x:c>
      <x:c r="I39" s="47" t="str">
        <x:v>No</x:v>
      </x:c>
      <x:c r="J39" s="47" t="str">
        <x:v>ELIGIBLE</x:v>
      </x:c>
      <x:c r="K39" s="47" t="str">
        <x:v>NOT_RUN</x:v>
      </x:c>
    </x:row>
    <x:row r="40">
      <x:c r="A40" s="47" t="str">
        <x:v>I2-050</x:v>
      </x:c>
      <x:c r="B40" s="48" t="str">
        <x:v>UR I2 Structural Requirements for Polar Class Ships</x:v>
      </x:c>
      <x:c r="C40" s="47" t="str">
        <x:v>Rev.4 Dec 2019</x:v>
      </x:c>
      <x:c r="D40" s="59" t="n">
        <x:v>18</x:v>
      </x:c>
      <x:c r="E40" s="47" t="str">
        <x:v>I2.13.2.1</x:v>
      </x:c>
      <x:c r="F40" s="47" t="str">
        <x:v>Complex</x:v>
      </x:c>
      <x:c r="G40" s="48" t="str">
        <x:v>Stage 2 candidate - complex readiness</x:v>
      </x:c>
      <x:c r="H40" s="47" t="str">
        <x:v>Complex readiness</x:v>
      </x:c>
      <x:c r="I40" s="47" t="str">
        <x:v>No</x:v>
      </x:c>
      <x:c r="J40" s="47" t="str">
        <x:v>ELIGIBLE</x:v>
      </x:c>
      <x:c r="K40" s="47" t="str">
        <x:v>NOT_RUN</x:v>
      </x:c>
    </x:row>
    <x:row r="41">
      <x:c r="A41" s="47" t="str">
        <x:v>I2-051</x:v>
      </x:c>
      <x:c r="B41" s="48" t="str">
        <x:v>UR I2 Structural Requirements for Polar Class Ships</x:v>
      </x:c>
      <x:c r="C41" s="47" t="str">
        <x:v>Rev.4 Dec 2019</x:v>
      </x:c>
      <x:c r="D41" s="59" t="n">
        <x:v>19</x:v>
      </x:c>
      <x:c r="E41" s="47" t="str">
        <x:v>I2.13.3.1</x:v>
      </x:c>
      <x:c r="F41" s="47" t="str">
        <x:v>Static Calculation</x:v>
      </x:c>
      <x:c r="G41" s="48" t="str">
        <x:v>Stage 2 candidate - direct/deterministic</x:v>
      </x:c>
      <x:c r="H41" s="47" t="str">
        <x:v>High</x:v>
      </x:c>
      <x:c r="I41" s="47" t="str">
        <x:v>No</x:v>
      </x:c>
      <x:c r="J41" s="47" t="str">
        <x:v>ELIGIBLE</x:v>
      </x:c>
      <x:c r="K41" s="47" t="str">
        <x:v>NOT_RUN</x:v>
      </x:c>
    </x:row>
    <x:row r="42">
      <x:c r="A42" s="47" t="str">
        <x:v>I2-052</x:v>
      </x:c>
      <x:c r="B42" s="48" t="str">
        <x:v>UR I2 Structural Requirements for Polar Class Ships</x:v>
      </x:c>
      <x:c r="C42" s="47" t="str">
        <x:v>Rev.4 Dec 2019</x:v>
      </x:c>
      <x:c r="D42" s="59" t="n">
        <x:v>19</x:v>
      </x:c>
      <x:c r="E42" s="47" t="str">
        <x:v>I2.13.3.1</x:v>
      </x:c>
      <x:c r="F42" s="47" t="str">
        <x:v>Complex</x:v>
      </x:c>
      <x:c r="G42" s="48" t="str">
        <x:v>Stage 2 candidate - complex readiness</x:v>
      </x:c>
      <x:c r="H42" s="47" t="str">
        <x:v>Complex readiness</x:v>
      </x:c>
      <x:c r="I42" s="47" t="str">
        <x:v>No</x:v>
      </x:c>
      <x:c r="J42" s="47" t="str">
        <x:v>ELIGIBLE</x:v>
      </x:c>
      <x:c r="K42" s="47" t="str">
        <x:v>NOT_RUN</x:v>
      </x:c>
    </x:row>
    <x:row r="43">
      <x:c r="A43" s="47" t="str">
        <x:v>I2-053</x:v>
      </x:c>
      <x:c r="B43" s="48" t="str">
        <x:v>UR I2 Structural Requirements for Polar Class Ships</x:v>
      </x:c>
      <x:c r="C43" s="47" t="str">
        <x:v>Rev.4 Dec 2019</x:v>
      </x:c>
      <x:c r="D43" s="59" t="n">
        <x:v>20</x:v>
      </x:c>
      <x:c r="E43" s="47" t="str">
        <x:v>I2.13.3.2</x:v>
      </x:c>
      <x:c r="F43" s="47" t="str">
        <x:v>Complex</x:v>
      </x:c>
      <x:c r="G43" s="48" t="str">
        <x:v>Deferred - complex readiness owner/path incomplete</x:v>
      </x:c>
      <x:c r="H43" s="47" t="str">
        <x:v>Deferred</x:v>
      </x:c>
      <x:c r="I43" s="47" t="str">
        <x:v>No</x:v>
      </x:c>
      <x:c r="J43" s="47" t="str">
        <x:v>DEFERRED</x:v>
      </x:c>
      <x:c r="K43" s="47" t="str">
        <x:v>NOT_RUN</x:v>
      </x:c>
    </x:row>
    <x:row r="44">
      <x:c r="A44" s="47" t="str">
        <x:v>I2-054</x:v>
      </x:c>
      <x:c r="B44" s="48" t="str">
        <x:v>UR I2 Structural Requirements for Polar Class Ships</x:v>
      </x:c>
      <x:c r="C44" s="47" t="str">
        <x:v>Rev.4 Dec 2019</x:v>
      </x:c>
      <x:c r="D44" s="59" t="n">
        <x:v>20</x:v>
      </x:c>
      <x:c r="E44" s="47" t="str">
        <x:v>I2.13.4.1</x:v>
      </x:c>
      <x:c r="F44" s="47" t="str">
        <x:v>Complex</x:v>
      </x:c>
      <x:c r="G44" s="48" t="str">
        <x:v>Stage 2 candidate - complex readiness</x:v>
      </x:c>
      <x:c r="H44" s="47" t="str">
        <x:v>Complex readiness</x:v>
      </x:c>
      <x:c r="I44" s="47" t="str">
        <x:v>No</x:v>
      </x:c>
      <x:c r="J44" s="47" t="str">
        <x:v>ELIGIBLE</x:v>
      </x:c>
      <x:c r="K44" s="47" t="str">
        <x:v>NOT_RUN</x:v>
      </x:c>
    </x:row>
    <x:row r="45">
      <x:c r="A45" s="47" t="str">
        <x:v>I2-055</x:v>
      </x:c>
      <x:c r="B45" s="48" t="str">
        <x:v>UR I2 Structural Requirements for Polar Class Ships</x:v>
      </x:c>
      <x:c r="C45" s="47" t="str">
        <x:v>Rev.4 Dec 2019</x:v>
      </x:c>
      <x:c r="D45" s="59" t="n">
        <x:v>20</x:v>
      </x:c>
      <x:c r="E45" s="47" t="str">
        <x:v>I2.13.5.1</x:v>
      </x:c>
      <x:c r="F45" s="47" t="str">
        <x:v>Static</x:v>
      </x:c>
      <x:c r="G45" s="48" t="str">
        <x:v>Stage 2 candidate - direct static</x:v>
      </x:c>
      <x:c r="H45" s="47" t="str">
        <x:v>Direct static</x:v>
      </x:c>
      <x:c r="I45" s="47" t="str">
        <x:v>No</x:v>
      </x:c>
      <x:c r="J45" s="47" t="str">
        <x:v>ELIGIBLE</x:v>
      </x:c>
      <x:c r="K45" s="47" t="str">
        <x:v>NOT_RUN</x:v>
      </x:c>
    </x:row>
    <x:row r="46">
      <x:c r="A46" s="47" t="str">
        <x:v>I2-060</x:v>
      </x:c>
      <x:c r="B46" s="48" t="str">
        <x:v>UR I2 Structural Requirements for Polar Class Ships</x:v>
      </x:c>
      <x:c r="C46" s="47" t="str">
        <x:v>Rev.4 Dec 2019</x:v>
      </x:c>
      <x:c r="D46" s="59" t="n">
        <x:v>21</x:v>
      </x:c>
      <x:c r="E46" s="47" t="str">
        <x:v>I2.16.2</x:v>
      </x:c>
      <x:c r="F46" s="47" t="str">
        <x:v>Static</x:v>
      </x:c>
      <x:c r="G46" s="48" t="str">
        <x:v>Stage 2 candidate - direct/deterministic</x:v>
      </x:c>
      <x:c r="H46" s="47" t="str">
        <x:v>High</x:v>
      </x:c>
      <x:c r="I46" s="47" t="str">
        <x:v>No</x:v>
      </x:c>
      <x:c r="J46" s="47" t="str">
        <x:v>ELIGIBLE</x:v>
      </x:c>
      <x:c r="K46" s="47" t="str">
        <x:v>NOT_RUN</x:v>
      </x:c>
    </x:row>
    <x:row r="47">
      <x:c r="A47" s="47" t="str">
        <x:v>I2-061</x:v>
      </x:c>
      <x:c r="B47" s="48" t="str">
        <x:v>UR I2 Structural Requirements for Polar Class Ships</x:v>
      </x:c>
      <x:c r="C47" s="47" t="str">
        <x:v>Rev.4 Dec 2019</x:v>
      </x:c>
      <x:c r="D47" s="59" t="n">
        <x:v>21</x:v>
      </x:c>
      <x:c r="E47" s="47" t="str">
        <x:v>I2.17.1</x:v>
      </x:c>
      <x:c r="F47" s="47" t="str">
        <x:v>Static</x:v>
      </x:c>
      <x:c r="G47" s="48" t="str">
        <x:v>Stage 2 candidate - direct/deterministic</x:v>
      </x:c>
      <x:c r="H47" s="47" t="str">
        <x:v>High</x:v>
      </x:c>
      <x:c r="I47" s="47" t="str">
        <x:v>No</x:v>
      </x:c>
      <x:c r="J47" s="47" t="str">
        <x:v>ELIGIBLE</x:v>
      </x:c>
      <x:c r="K47" s="47" t="str">
        <x:v>NOT_RUN</x:v>
      </x:c>
    </x:row>
    <x:row r="48">
      <x:c r="A48" s="47" t="str">
        <x:v>I2-062</x:v>
      </x:c>
      <x:c r="B48" s="48" t="str">
        <x:v>UR I2 Structural Requirements for Polar Class Ships</x:v>
      </x:c>
      <x:c r="C48" s="47" t="str">
        <x:v>Rev.4 Dec 2019</x:v>
      </x:c>
      <x:c r="D48" s="59" t="n">
        <x:v>21</x:v>
      </x:c>
      <x:c r="E48" s="47" t="str">
        <x:v>I2.17.2</x:v>
      </x:c>
      <x:c r="F48" s="47" t="str">
        <x:v>Complex</x:v>
      </x:c>
      <x:c r="G48" s="48" t="str">
        <x:v>Stage 2 candidate - complex readiness</x:v>
      </x:c>
      <x:c r="H48" s="47" t="str">
        <x:v>Complex readiness</x:v>
      </x:c>
      <x:c r="I48" s="47" t="str">
        <x:v>No</x:v>
      </x:c>
      <x:c r="J48" s="47" t="str">
        <x:v>ELIGIBLE</x:v>
      </x:c>
      <x:c r="K48" s="47" t="str">
        <x:v>NOT_RUN</x:v>
      </x:c>
    </x:row>
    <x:row r="49">
      <x:c r="A49" s="47" t="str">
        <x:v>I2-064</x:v>
      </x:c>
      <x:c r="B49" s="48" t="str">
        <x:v>UR I2 Structural Requirements for Polar Class Ships</x:v>
      </x:c>
      <x:c r="C49" s="47" t="str">
        <x:v>Rev.4 Dec 2019</x:v>
      </x:c>
      <x:c r="D49" s="59" t="n">
        <x:v>21</x:v>
      </x:c>
      <x:c r="E49" s="47" t="str">
        <x:v>I2.17.5</x:v>
      </x:c>
      <x:c r="F49" s="47" t="str">
        <x:v>Complex</x:v>
      </x:c>
      <x:c r="G49" s="48" t="str">
        <x:v>Stage 2 candidate - complex readiness</x:v>
      </x:c>
      <x:c r="H49" s="47" t="str">
        <x:v>Complex readiness</x:v>
      </x:c>
      <x:c r="I49" s="47" t="str">
        <x:v>No</x:v>
      </x:c>
      <x:c r="J49" s="47" t="str">
        <x:v>ELIGIBLE</x:v>
      </x:c>
      <x:c r="K49" s="47" t="str">
        <x:v>NOT_RUN</x:v>
      </x:c>
    </x:row>
    <x:row r="50">
      <x:c r="A50" s="47" t="str">
        <x:v>I2-065</x:v>
      </x:c>
      <x:c r="B50" s="48" t="str">
        <x:v>UR I2 Structural Requirements for Polar Class Ships</x:v>
      </x:c>
      <x:c r="C50" s="47" t="str">
        <x:v>Rev.4 Dec 2019</x:v>
      </x:c>
      <x:c r="D50" s="59" t="n">
        <x:v>22</x:v>
      </x:c>
      <x:c r="E50" s="47" t="str">
        <x:v>I2.17.6</x:v>
      </x:c>
      <x:c r="F50" s="47" t="str">
        <x:v>Complex</x:v>
      </x:c>
      <x:c r="G50" s="48" t="str">
        <x:v>Stage 2 candidate - complex readiness</x:v>
      </x:c>
      <x:c r="H50" s="47" t="str">
        <x:v>Complex readiness</x:v>
      </x:c>
      <x:c r="I50" s="47" t="str">
        <x:v>No</x:v>
      </x:c>
      <x:c r="J50" s="47" t="str">
        <x:v>ELIGIBLE</x:v>
      </x:c>
      <x:c r="K50" s="47" t="str">
        <x:v>NOT_RUN</x:v>
      </x:c>
    </x:row>
    <x:row r="51">
      <x:c r="A51" s="47" t="str">
        <x:v>I2-066</x:v>
      </x:c>
      <x:c r="B51" s="48" t="str">
        <x:v>UR I2 Structural Requirements for Polar Class Ships</x:v>
      </x:c>
      <x:c r="C51" s="47" t="str">
        <x:v>Rev.4 Dec 2019</x:v>
      </x:c>
      <x:c r="D51" s="59" t="n">
        <x:v>22</x:v>
      </x:c>
      <x:c r="E51" s="47" t="str">
        <x:v>I2.18.1</x:v>
      </x:c>
      <x:c r="F51" s="47" t="str">
        <x:v>Static</x:v>
      </x:c>
      <x:c r="G51" s="48" t="str">
        <x:v>Stage 2 candidate - direct/deterministic</x:v>
      </x:c>
      <x:c r="H51" s="47" t="str">
        <x:v>High</x:v>
      </x:c>
      <x:c r="I51" s="47" t="str">
        <x:v>No</x:v>
      </x:c>
      <x:c r="J51" s="47" t="str">
        <x:v>ELIGIBLE</x:v>
      </x:c>
      <x:c r="K51" s="47" t="str">
        <x:v>NOT_RUN</x:v>
      </x:c>
    </x:row>
    <x:row r="52">
      <x:c r="A52" s="47" t="str">
        <x:v>I2-067</x:v>
      </x:c>
      <x:c r="B52" s="48" t="str">
        <x:v>UR I2 Structural Requirements for Polar Class Ships</x:v>
      </x:c>
      <x:c r="C52" s="47" t="str">
        <x:v>Rev.4 Dec 2019</x:v>
      </x:c>
      <x:c r="D52" s="59" t="n">
        <x:v>22</x:v>
      </x:c>
      <x:c r="E52" s="47" t="str">
        <x:v>I2.18.2</x:v>
      </x:c>
      <x:c r="F52" s="47" t="str">
        <x:v>Static</x:v>
      </x:c>
      <x:c r="G52" s="48" t="str">
        <x:v>Stage 2 candidate - direct/deterministic</x:v>
      </x:c>
      <x:c r="H52" s="47" t="str">
        <x:v>High</x:v>
      </x:c>
      <x:c r="I52" s="47" t="str">
        <x:v>No</x:v>
      </x:c>
      <x:c r="J52" s="47" t="str">
        <x:v>ELIGIBLE</x:v>
      </x:c>
      <x:c r="K52" s="47" t="str">
        <x:v>NOT_RUN</x:v>
      </x:c>
    </x:row>
    <x:row r="53">
      <x:c r="A53" s="47" t="str">
        <x:v>IMO-001</x:v>
      </x:c>
      <x:c r="B53" s="48" t="str">
        <x:v>International Code for Ships Operating in Polar Waters (Polar Code)</x:v>
      </x:c>
      <x:c r="C53" s="47" t="str">
        <x:v>Resolution MSC.385(94), adopted 21 Nov 2014; consolidated with MEPC.264(68), adopted 15 May 2015</x:v>
      </x:c>
      <x:c r="D53" s="59" t="n">
        <x:v>9</x:v>
      </x:c>
      <x:c r="E53" s="47" t="str">
        <x:v>2.1</x:v>
      </x:c>
      <x:c r="F53" s="47" t="str">
        <x:v>Static</x:v>
      </x:c>
      <x:c r="G53" s="48" t="str">
        <x:v>Stage 2 candidate - direct/deterministic</x:v>
      </x:c>
      <x:c r="H53" s="47" t="str">
        <x:v>High</x:v>
      </x:c>
      <x:c r="I53" s="47" t="str">
        <x:v>No</x:v>
      </x:c>
      <x:c r="J53" s="47" t="str">
        <x:v>ELIGIBLE</x:v>
      </x:c>
      <x:c r="K53" s="47" t="str">
        <x:v>NOT_RUN</x:v>
      </x:c>
    </x:row>
    <x:row r="54">
      <x:c r="A54" s="47" t="str">
        <x:v>IMO-002</x:v>
      </x:c>
      <x:c r="B54" s="48" t="str">
        <x:v>International Code for Ships Operating in Polar Waters (Polar Code)</x:v>
      </x:c>
      <x:c r="C54" s="47" t="str">
        <x:v>Resolution MSC.385(94), adopted 21 Nov 2014; consolidated with MEPC.264(68), adopted 15 May 2015</x:v>
      </x:c>
      <x:c r="D54" s="59" t="n">
        <x:v>9</x:v>
      </x:c>
      <x:c r="E54" s="47" t="str">
        <x:v>2.2</x:v>
      </x:c>
      <x:c r="F54" s="47" t="str">
        <x:v>Static</x:v>
      </x:c>
      <x:c r="G54" s="48" t="str">
        <x:v>Stage 2 candidate - direct/deterministic</x:v>
      </x:c>
      <x:c r="H54" s="47" t="str">
        <x:v>High</x:v>
      </x:c>
      <x:c r="I54" s="47" t="str">
        <x:v>No</x:v>
      </x:c>
      <x:c r="J54" s="47" t="str">
        <x:v>ELIGIBLE</x:v>
      </x:c>
      <x:c r="K54" s="47" t="str">
        <x:v>NOT_RUN</x:v>
      </x:c>
    </x:row>
    <x:row r="55">
      <x:c r="A55" s="47" t="str">
        <x:v>IMO-003</x:v>
      </x:c>
      <x:c r="B55" s="48" t="str">
        <x:v>International Code for Ships Operating in Polar Waters (Polar Code)</x:v>
      </x:c>
      <x:c r="C55" s="47" t="str">
        <x:v>Resolution MSC.385(94), adopted 21 Nov 2014; consolidated with MEPC.264(68), adopted 15 May 2015</x:v>
      </x:c>
      <x:c r="D55" s="59" t="n">
        <x:v>9</x:v>
      </x:c>
      <x:c r="E55" s="47" t="str">
        <x:v>2.3</x:v>
      </x:c>
      <x:c r="F55" s="47" t="str">
        <x:v>Static</x:v>
      </x:c>
      <x:c r="G55" s="48" t="str">
        <x:v>Stage 2 candidate - direct/deterministic</x:v>
      </x:c>
      <x:c r="H55" s="47" t="str">
        <x:v>High</x:v>
      </x:c>
      <x:c r="I55" s="47" t="str">
        <x:v>No</x:v>
      </x:c>
      <x:c r="J55" s="47" t="str">
        <x:v>ELIGIBLE</x:v>
      </x:c>
      <x:c r="K55" s="47" t="str">
        <x:v>NOT_RUN</x:v>
      </x:c>
    </x:row>
    <x:row r="56">
      <x:c r="A56" s="47" t="str">
        <x:v>IMO-004</x:v>
      </x:c>
      <x:c r="B56" s="48" t="str">
        <x:v>International Code for Ships Operating in Polar Waters (Polar Code)</x:v>
      </x:c>
      <x:c r="C56" s="47" t="str">
        <x:v>Resolution MSC.385(94), adopted 21 Nov 2014; consolidated with MEPC.264(68), adopted 15 May 2015</x:v>
      </x:c>
      <x:c r="D56" s="59" t="n">
        <x:v>9</x:v>
      </x:c>
      <x:c r="E56" s="47" t="str">
        <x:v>2.4</x:v>
      </x:c>
      <x:c r="F56" s="47" t="str">
        <x:v>Static</x:v>
      </x:c>
      <x:c r="G56" s="48" t="str">
        <x:v>Stage 2 candidate - direct/deterministic</x:v>
      </x:c>
      <x:c r="H56" s="47" t="str">
        <x:v>High</x:v>
      </x:c>
      <x:c r="I56" s="47" t="str">
        <x:v>No</x:v>
      </x:c>
      <x:c r="J56" s="47" t="str">
        <x:v>ELIGIBLE</x:v>
      </x:c>
      <x:c r="K56" s="47" t="str">
        <x:v>NOT_RUN</x:v>
      </x:c>
    </x:row>
    <x:row r="57">
      <x:c r="A57" s="47" t="str">
        <x:v>IMO-005</x:v>
      </x:c>
      <x:c r="B57" s="48" t="str">
        <x:v>International Code for Ships Operating in Polar Waters (Polar Code)</x:v>
      </x:c>
      <x:c r="C57" s="47" t="str">
        <x:v>Resolution MSC.385(94), adopted 21 Nov 2014; consolidated with MEPC.264(68), adopted 15 May 2015</x:v>
      </x:c>
      <x:c r="D57" s="59" t="n">
        <x:v>9</x:v>
      </x:c>
      <x:c r="E57" s="47" t="str">
        <x:v>2.5</x:v>
      </x:c>
      <x:c r="F57" s="47" t="str">
        <x:v>Static</x:v>
      </x:c>
      <x:c r="G57" s="48" t="str">
        <x:v>Stage 2 candidate - direct/deterministic</x:v>
      </x:c>
      <x:c r="H57" s="47" t="str">
        <x:v>High</x:v>
      </x:c>
      <x:c r="I57" s="47" t="str">
        <x:v>No</x:v>
      </x:c>
      <x:c r="J57" s="47" t="str">
        <x:v>ELIGIBLE</x:v>
      </x:c>
      <x:c r="K57" s="47" t="str">
        <x:v>NOT_RUN</x:v>
      </x:c>
    </x:row>
    <x:row r="58">
      <x:c r="A58" s="47" t="str">
        <x:v>IMO-006</x:v>
      </x:c>
      <x:c r="B58" s="48" t="str">
        <x:v>International Code for Ships Operating in Polar Waters (Polar Code)</x:v>
      </x:c>
      <x:c r="C58" s="47" t="str">
        <x:v>Resolution MSC.385(94), adopted 21 Nov 2014; consolidated with MEPC.264(68), adopted 15 May 2015</x:v>
      </x:c>
      <x:c r="D58" s="59" t="n">
        <x:v>9</x:v>
      </x:c>
      <x:c r="E58" s="47" t="str">
        <x:v>2.8</x:v>
      </x:c>
      <x:c r="F58" s="47" t="str">
        <x:v>Static</x:v>
      </x:c>
      <x:c r="G58" s="48" t="str">
        <x:v>Stage 2 candidate - direct/deterministic</x:v>
      </x:c>
      <x:c r="H58" s="47" t="str">
        <x:v>High</x:v>
      </x:c>
      <x:c r="I58" s="47" t="str">
        <x:v>No</x:v>
      </x:c>
      <x:c r="J58" s="47" t="str">
        <x:v>ELIGIBLE</x:v>
      </x:c>
      <x:c r="K58" s="47" t="str">
        <x:v>NOT_RUN</x:v>
      </x:c>
    </x:row>
    <x:row r="59">
      <x:c r="A59" s="47" t="str">
        <x:v>IMO-007</x:v>
      </x:c>
      <x:c r="B59" s="48" t="str">
        <x:v>International Code for Ships Operating in Polar Waters (Polar Code)</x:v>
      </x:c>
      <x:c r="C59" s="47" t="str">
        <x:v>Resolution MSC.385(94), adopted 21 Nov 2014; consolidated with MEPC.264(68), adopted 15 May 2015</x:v>
      </x:c>
      <x:c r="D59" s="59" t="n">
        <x:v>9</x:v>
      </x:c>
      <x:c r="E59" s="47" t="str">
        <x:v>2.10</x:v>
      </x:c>
      <x:c r="F59" s="47" t="str">
        <x:v>Static</x:v>
      </x:c>
      <x:c r="G59" s="48" t="str">
        <x:v>Stage 2 candidate - direct/deterministic</x:v>
      </x:c>
      <x:c r="H59" s="47" t="str">
        <x:v>High</x:v>
      </x:c>
      <x:c r="I59" s="47" t="str">
        <x:v>No</x:v>
      </x:c>
      <x:c r="J59" s="47" t="str">
        <x:v>ELIGIBLE</x:v>
      </x:c>
      <x:c r="K59" s="47" t="str">
        <x:v>NOT_RUN</x:v>
      </x:c>
    </x:row>
    <x:row r="60">
      <x:c r="A60" s="47" t="str">
        <x:v>IMO-008</x:v>
      </x:c>
      <x:c r="B60" s="48" t="str">
        <x:v>International Code for Ships Operating in Polar Waters (Polar Code)</x:v>
      </x:c>
      <x:c r="C60" s="47" t="str">
        <x:v>Resolution MSC.385(94), adopted 21 Nov 2014; consolidated with MEPC.264(68), adopted 15 May 2015</x:v>
      </x:c>
      <x:c r="D60" s="59" t="n">
        <x:v>10</x:v>
      </x:c>
      <x:c r="E60" s="47" t="str">
        <x:v>2.15</x:v>
      </x:c>
      <x:c r="F60" s="47" t="str">
        <x:v>Static</x:v>
      </x:c>
      <x:c r="G60" s="48" t="str">
        <x:v>Stage 2 candidate - direct/deterministic</x:v>
      </x:c>
      <x:c r="H60" s="47" t="str">
        <x:v>High</x:v>
      </x:c>
      <x:c r="I60" s="47" t="str">
        <x:v>No</x:v>
      </x:c>
      <x:c r="J60" s="47" t="str">
        <x:v>ELIGIBLE</x:v>
      </x:c>
      <x:c r="K60" s="47" t="str">
        <x:v>NOT_RUN</x:v>
      </x:c>
    </x:row>
    <x:row r="61">
      <x:c r="A61" s="47" t="str">
        <x:v>IMO-009</x:v>
      </x:c>
      <x:c r="B61" s="48" t="str">
        <x:v>International Code for Ships Operating in Polar Waters (Polar Code)</x:v>
      </x:c>
      <x:c r="C61" s="47" t="str">
        <x:v>Resolution MSC.385(94), adopted 21 Nov 2014; consolidated with MEPC.264(68), adopted 15 May 2015</x:v>
      </x:c>
      <x:c r="D61" s="59" t="n">
        <x:v>13</x:v>
      </x:c>
      <x:c r="E61" s="47" t="str">
        <x:v>1.2.1</x:v>
      </x:c>
      <x:c r="F61" s="47" t="str">
        <x:v>Static</x:v>
      </x:c>
      <x:c r="G61" s="48" t="str">
        <x:v>Stage 2 candidate - direct/deterministic</x:v>
      </x:c>
      <x:c r="H61" s="47" t="str">
        <x:v>High</x:v>
      </x:c>
      <x:c r="I61" s="47" t="str">
        <x:v>No</x:v>
      </x:c>
      <x:c r="J61" s="47" t="str">
        <x:v>ELIGIBLE</x:v>
      </x:c>
      <x:c r="K61" s="47" t="str">
        <x:v>NOT_RUN</x:v>
      </x:c>
    </x:row>
    <x:row r="62">
      <x:c r="A62" s="47" t="str">
        <x:v>IMO-010</x:v>
      </x:c>
      <x:c r="B62" s="48" t="str">
        <x:v>International Code for Ships Operating in Polar Waters (Polar Code)</x:v>
      </x:c>
      <x:c r="C62" s="47" t="str">
        <x:v>Resolution MSC.385(94), adopted 21 Nov 2014; consolidated with MEPC.264(68), adopted 15 May 2015</x:v>
      </x:c>
      <x:c r="D62" s="59" t="n">
        <x:v>13</x:v>
      </x:c>
      <x:c r="E62" s="47" t="str">
        <x:v>1.2.7</x:v>
      </x:c>
      <x:c r="F62" s="47" t="str">
        <x:v>Static</x:v>
      </x:c>
      <x:c r="G62" s="48" t="str">
        <x:v>Stage 2 candidate - direct/deterministic</x:v>
      </x:c>
      <x:c r="H62" s="47" t="str">
        <x:v>High</x:v>
      </x:c>
      <x:c r="I62" s="47" t="str">
        <x:v>No</x:v>
      </x:c>
      <x:c r="J62" s="47" t="str">
        <x:v>ELIGIBLE</x:v>
      </x:c>
      <x:c r="K62" s="47" t="str">
        <x:v>NOT_RUN</x:v>
      </x:c>
    </x:row>
    <x:row r="63">
      <x:c r="A63" s="47" t="str">
        <x:v>IMO-011</x:v>
      </x:c>
      <x:c r="B63" s="48" t="str">
        <x:v>International Code for Ships Operating in Polar Waters (Polar Code)</x:v>
      </x:c>
      <x:c r="C63" s="47" t="str">
        <x:v>Resolution MSC.385(94), adopted 21 Nov 2014; consolidated with MEPC.264(68), adopted 15 May 2015</x:v>
      </x:c>
      <x:c r="D63" s="59" t="n">
        <x:v>13</x:v>
      </x:c>
      <x:c r="E63" s="47" t="str">
        <x:v>1.2.9</x:v>
      </x:c>
      <x:c r="F63" s="47" t="str">
        <x:v>Complex</x:v>
      </x:c>
      <x:c r="G63" s="48" t="str">
        <x:v>Stage 2 candidate - complex readiness</x:v>
      </x:c>
      <x:c r="H63" s="47" t="str">
        <x:v>Complex readiness</x:v>
      </x:c>
      <x:c r="I63" s="47" t="str">
        <x:v>No</x:v>
      </x:c>
      <x:c r="J63" s="47" t="str">
        <x:v>ELIGIBLE</x:v>
      </x:c>
      <x:c r="K63" s="47" t="str">
        <x:v>NOT_RUN</x:v>
      </x:c>
    </x:row>
    <x:row r="64">
      <x:c r="A64" s="47" t="str">
        <x:v>IMO-012</x:v>
      </x:c>
      <x:c r="B64" s="48" t="str">
        <x:v>International Code for Ships Operating in Polar Waters (Polar Code)</x:v>
      </x:c>
      <x:c r="C64" s="47" t="str">
        <x:v>Resolution MSC.385(94), adopted 21 Nov 2014; consolidated with MEPC.264(68), adopted 15 May 2015</x:v>
      </x:c>
      <x:c r="D64" s="59" t="n">
        <x:v>14</x:v>
      </x:c>
      <x:c r="E64" s="47" t="str">
        <x:v>1.2.11</x:v>
      </x:c>
      <x:c r="F64" s="47" t="str">
        <x:v>Static Calculation</x:v>
      </x:c>
      <x:c r="G64" s="48" t="str">
        <x:v>Stage 2 candidate - direct/deterministic</x:v>
      </x:c>
      <x:c r="H64" s="47" t="str">
        <x:v>High</x:v>
      </x:c>
      <x:c r="I64" s="47" t="str">
        <x:v>No</x:v>
      </x:c>
      <x:c r="J64" s="47" t="str">
        <x:v>ELIGIBLE</x:v>
      </x:c>
      <x:c r="K64" s="47" t="str">
        <x:v>NOT_RUN</x:v>
      </x:c>
    </x:row>
    <x:row r="65">
      <x:c r="A65" s="47" t="str">
        <x:v>IMO-013</x:v>
      </x:c>
      <x:c r="B65" s="48" t="str">
        <x:v>International Code for Ships Operating in Polar Waters (Polar Code)</x:v>
      </x:c>
      <x:c r="C65" s="47" t="str">
        <x:v>Resolution MSC.385(94), adopted 21 Nov 2014; consolidated with MEPC.264(68), adopted 15 May 2015</x:v>
      </x:c>
      <x:c r="D65" s="59" t="n">
        <x:v>14</x:v>
      </x:c>
      <x:c r="E65" s="47" t="str">
        <x:v>1.2.12</x:v>
      </x:c>
      <x:c r="F65" s="47" t="str">
        <x:v>Static</x:v>
      </x:c>
      <x:c r="G65" s="48" t="str">
        <x:v>Stage 2 candidate - direct/deterministic</x:v>
      </x:c>
      <x:c r="H65" s="47" t="str">
        <x:v>High</x:v>
      </x:c>
      <x:c r="I65" s="47" t="str">
        <x:v>No</x:v>
      </x:c>
      <x:c r="J65" s="47" t="str">
        <x:v>ELIGIBLE</x:v>
      </x:c>
      <x:c r="K65" s="47" t="str">
        <x:v>NOT_RUN</x:v>
      </x:c>
    </x:row>
    <x:row r="66">
      <x:c r="A66" s="47" t="str">
        <x:v>IMO-014</x:v>
      </x:c>
      <x:c r="B66" s="48" t="str">
        <x:v>International Code for Ships Operating in Polar Waters (Polar Code)</x:v>
      </x:c>
      <x:c r="C66" s="47" t="str">
        <x:v>Resolution MSC.385(94), adopted 21 Nov 2014; consolidated with MEPC.264(68), adopted 15 May 2015</x:v>
      </x:c>
      <x:c r="D66" s="59" t="n">
        <x:v>14</x:v>
      </x:c>
      <x:c r="E66" s="47" t="str">
        <x:v>1.3.1</x:v>
      </x:c>
      <x:c r="F66" s="47" t="str">
        <x:v>Static</x:v>
      </x:c>
      <x:c r="G66" s="48" t="str">
        <x:v>Stage 2 candidate - direct/deterministic</x:v>
      </x:c>
      <x:c r="H66" s="47" t="str">
        <x:v>High</x:v>
      </x:c>
      <x:c r="I66" s="47" t="str">
        <x:v>No</x:v>
      </x:c>
      <x:c r="J66" s="47" t="str">
        <x:v>ELIGIBLE</x:v>
      </x:c>
      <x:c r="K66" s="47" t="str">
        <x:v>NOT_RUN</x:v>
      </x:c>
    </x:row>
    <x:row r="67">
      <x:c r="A67" s="47" t="str">
        <x:v>IMO-015</x:v>
      </x:c>
      <x:c r="B67" s="48" t="str">
        <x:v>International Code for Ships Operating in Polar Waters (Polar Code)</x:v>
      </x:c>
      <x:c r="C67" s="47" t="str">
        <x:v>Resolution MSC.385(94), adopted 21 Nov 2014; consolidated with MEPC.264(68), adopted 15 May 2015</x:v>
      </x:c>
      <x:c r="D67" s="59" t="n">
        <x:v>14</x:v>
      </x:c>
      <x:c r="E67" s="47" t="str">
        <x:v>1.3.2</x:v>
      </x:c>
      <x:c r="F67" s="47" t="str">
        <x:v>Physical Test</x:v>
      </x:c>
      <x:c r="G67" s="48" t="str">
        <x:v>Evidence-only - physical result not inferred by SHACL</x:v>
      </x:c>
      <x:c r="H67" s="47" t="str">
        <x:v>Medium</x:v>
      </x:c>
      <x:c r="I67" s="47" t="str">
        <x:v>No</x:v>
      </x:c>
      <x:c r="J67" s="47" t="str">
        <x:v>DEFERRED</x:v>
      </x:c>
      <x:c r="K67" s="47" t="str">
        <x:v>NOT_RUN</x:v>
      </x:c>
    </x:row>
    <x:row r="68">
      <x:c r="A68" s="47" t="str">
        <x:v>IMO-016</x:v>
      </x:c>
      <x:c r="B68" s="48" t="str">
        <x:v>International Code for Ships Operating in Polar Waters (Polar Code)</x:v>
      </x:c>
      <x:c r="C68" s="47" t="str">
        <x:v>Resolution MSC.385(94), adopted 21 Nov 2014; consolidated with MEPC.264(68), adopted 15 May 2015</x:v>
      </x:c>
      <x:c r="D68" s="59" t="n">
        <x:v>14</x:v>
      </x:c>
      <x:c r="E68" s="47" t="str">
        <x:v>1.3.5</x:v>
      </x:c>
      <x:c r="F68" s="47" t="str">
        <x:v>Static</x:v>
      </x:c>
      <x:c r="G68" s="48" t="str">
        <x:v>Stage 2 candidate - direct/deterministic</x:v>
      </x:c>
      <x:c r="H68" s="47" t="str">
        <x:v>High</x:v>
      </x:c>
      <x:c r="I68" s="47" t="str">
        <x:v>No</x:v>
      </x:c>
      <x:c r="J68" s="47" t="str">
        <x:v>ELIGIBLE</x:v>
      </x:c>
      <x:c r="K68" s="47" t="str">
        <x:v>NOT_RUN</x:v>
      </x:c>
    </x:row>
    <x:row r="69">
      <x:c r="A69" s="47" t="str">
        <x:v>IMO-017</x:v>
      </x:c>
      <x:c r="B69" s="48" t="str">
        <x:v>International Code for Ships Operating in Polar Waters (Polar Code)</x:v>
      </x:c>
      <x:c r="C69" s="47" t="str">
        <x:v>Resolution MSC.385(94), adopted 21 Nov 2014; consolidated with MEPC.264(68), adopted 15 May 2015</x:v>
      </x:c>
      <x:c r="D69" s="59" t="n">
        <x:v>14</x:v>
      </x:c>
      <x:c r="E69" s="47" t="str">
        <x:v>1.3.6</x:v>
      </x:c>
      <x:c r="F69" s="47" t="str">
        <x:v>Static</x:v>
      </x:c>
      <x:c r="G69" s="48" t="str">
        <x:v>Stage 2 candidate - direct/deterministic</x:v>
      </x:c>
      <x:c r="H69" s="47" t="str">
        <x:v>Medium</x:v>
      </x:c>
      <x:c r="I69" s="47" t="str">
        <x:v>No</x:v>
      </x:c>
      <x:c r="J69" s="47" t="str">
        <x:v>ELIGIBLE</x:v>
      </x:c>
      <x:c r="K69" s="47" t="str">
        <x:v>NOT_RUN</x:v>
      </x:c>
    </x:row>
    <x:row r="70">
      <x:c r="A70" s="47" t="str">
        <x:v>IMO-018</x:v>
      </x:c>
      <x:c r="B70" s="48" t="str">
        <x:v>International Code for Ships Operating in Polar Waters (Polar Code)</x:v>
      </x:c>
      <x:c r="C70" s="47" t="str">
        <x:v>Resolution MSC.385(94), adopted 21 Nov 2014; consolidated with MEPC.264(68), adopted 15 May 2015</x:v>
      </x:c>
      <x:c r="D70" s="59" t="n">
        <x:v>14</x:v>
      </x:c>
      <x:c r="E70" s="47" t="str">
        <x:v>1.3.7</x:v>
      </x:c>
      <x:c r="F70" s="47" t="str">
        <x:v>Static</x:v>
      </x:c>
      <x:c r="G70" s="48" t="str">
        <x:v>Stage 2 candidate - direct static</x:v>
      </x:c>
      <x:c r="H70" s="47" t="str">
        <x:v>Direct static</x:v>
      </x:c>
      <x:c r="I70" s="47" t="str">
        <x:v>No</x:v>
      </x:c>
      <x:c r="J70" s="47" t="str">
        <x:v>ELIGIBLE</x:v>
      </x:c>
      <x:c r="K70" s="47" t="str">
        <x:v>NOT_RUN</x:v>
      </x:c>
    </x:row>
    <x:row r="71">
      <x:c r="A71" s="47" t="str">
        <x:v>IMO-019</x:v>
      </x:c>
      <x:c r="B71" s="48" t="str">
        <x:v>International Code for Ships Operating in Polar Waters (Polar Code)</x:v>
      </x:c>
      <x:c r="C71" s="47" t="str">
        <x:v>Resolution MSC.385(94), adopted 21 Nov 2014; consolidated with MEPC.264(68), adopted 15 May 2015</x:v>
      </x:c>
      <x:c r="D71" s="59" t="n">
        <x:v>15</x:v>
      </x:c>
      <x:c r="E71" s="47" t="str">
        <x:v>1.4.2</x:v>
      </x:c>
      <x:c r="F71" s="47" t="str">
        <x:v>Static Calculation</x:v>
      </x:c>
      <x:c r="G71" s="48" t="str">
        <x:v>Stage 2 candidate - direct/deterministic</x:v>
      </x:c>
      <x:c r="H71" s="47" t="str">
        <x:v>High</x:v>
      </x:c>
      <x:c r="I71" s="47" t="str">
        <x:v>No</x:v>
      </x:c>
      <x:c r="J71" s="47" t="str">
        <x:v>ELIGIBLE</x:v>
      </x:c>
      <x:c r="K71" s="47" t="str">
        <x:v>NOT_RUN</x:v>
      </x:c>
    </x:row>
    <x:row r="72">
      <x:c r="A72" s="47" t="str">
        <x:v>IMO-020</x:v>
      </x:c>
      <x:c r="B72" s="48" t="str">
        <x:v>International Code for Ships Operating in Polar Waters (Polar Code)</x:v>
      </x:c>
      <x:c r="C72" s="47" t="str">
        <x:v>Resolution MSC.385(94), adopted 21 Nov 2014; consolidated with MEPC.264(68), adopted 15 May 2015</x:v>
      </x:c>
      <x:c r="D72" s="59" t="n">
        <x:v>15</x:v>
      </x:c>
      <x:c r="E72" s="47" t="str">
        <x:v>1.4.3</x:v>
      </x:c>
      <x:c r="F72" s="47" t="str">
        <x:v>Physical Test</x:v>
      </x:c>
      <x:c r="G72" s="48" t="str">
        <x:v>Evidence-only - physical result not inferred by SHACL</x:v>
      </x:c>
      <x:c r="H72" s="47" t="str">
        <x:v>Medium</x:v>
      </x:c>
      <x:c r="I72" s="47" t="str">
        <x:v>No</x:v>
      </x:c>
      <x:c r="J72" s="47" t="str">
        <x:v>DEFERRED</x:v>
      </x:c>
      <x:c r="K72" s="47" t="str">
        <x:v>NOT_RUN</x:v>
      </x:c>
    </x:row>
    <x:row r="73">
      <x:c r="A73" s="47" t="str">
        <x:v>IMO-021</x:v>
      </x:c>
      <x:c r="B73" s="48" t="str">
        <x:v>International Code for Ships Operating in Polar Waters (Polar Code)</x:v>
      </x:c>
      <x:c r="C73" s="47" t="str">
        <x:v>Resolution MSC.385(94), adopted 21 Nov 2014; consolidated with MEPC.264(68), adopted 15 May 2015</x:v>
      </x:c>
      <x:c r="D73" s="59" t="n">
        <x:v>15</x:v>
      </x:c>
      <x:c r="E73" s="47" t="str">
        <x:v>1.5</x:v>
      </x:c>
      <x:c r="F73" s="47" t="str">
        <x:v>Static</x:v>
      </x:c>
      <x:c r="G73" s="48" t="str">
        <x:v>Stage 2 candidate - direct static</x:v>
      </x:c>
      <x:c r="H73" s="47" t="str">
        <x:v>Direct static</x:v>
      </x:c>
      <x:c r="I73" s="47" t="str">
        <x:v>No</x:v>
      </x:c>
      <x:c r="J73" s="47" t="str">
        <x:v>ELIGIBLE</x:v>
      </x:c>
      <x:c r="K73" s="47" t="str">
        <x:v>NOT_RUN</x:v>
      </x:c>
    </x:row>
    <x:row r="74">
      <x:c r="A74" s="47" t="str">
        <x:v>IMO-022</x:v>
      </x:c>
      <x:c r="B74" s="48" t="str">
        <x:v>International Code for Ships Operating in Polar Waters (Polar Code)</x:v>
      </x:c>
      <x:c r="C74" s="47" t="str">
        <x:v>Resolution MSC.385(94), adopted 21 Nov 2014; consolidated with MEPC.264(68), adopted 15 May 2015</x:v>
      </x:c>
      <x:c r="D74" s="59" t="n">
        <x:v>15</x:v>
      </x:c>
      <x:c r="E74" s="47" t="str">
        <x:v>2.2.2</x:v>
      </x:c>
      <x:c r="F74" s="47" t="str">
        <x:v>Static</x:v>
      </x:c>
      <x:c r="G74" s="48" t="str">
        <x:v>Stage 2 candidate - direct/deterministic</x:v>
      </x:c>
      <x:c r="H74" s="47" t="str">
        <x:v>High</x:v>
      </x:c>
      <x:c r="I74" s="47" t="str">
        <x:v>No</x:v>
      </x:c>
      <x:c r="J74" s="47" t="str">
        <x:v>ELIGIBLE</x:v>
      </x:c>
      <x:c r="K74" s="47" t="str">
        <x:v>NOT_RUN</x:v>
      </x:c>
    </x:row>
    <x:row r="75">
      <x:c r="A75" s="47" t="str">
        <x:v>IMO-023</x:v>
      </x:c>
      <x:c r="B75" s="48" t="str">
        <x:v>International Code for Ships Operating in Polar Waters (Polar Code)</x:v>
      </x:c>
      <x:c r="C75" s="47" t="str">
        <x:v>Resolution MSC.385(94), adopted 21 Nov 2014; consolidated with MEPC.264(68), adopted 15 May 2015</x:v>
      </x:c>
      <x:c r="D75" s="59" t="n">
        <x:v>15</x:v>
      </x:c>
      <x:c r="E75" s="47" t="str">
        <x:v>2.2.3</x:v>
      </x:c>
      <x:c r="F75" s="47" t="str">
        <x:v>Static</x:v>
      </x:c>
      <x:c r="G75" s="48" t="str">
        <x:v>Stage 2 candidate - direct/deterministic</x:v>
      </x:c>
      <x:c r="H75" s="47" t="str">
        <x:v>High</x:v>
      </x:c>
      <x:c r="I75" s="47" t="str">
        <x:v>No</x:v>
      </x:c>
      <x:c r="J75" s="47" t="str">
        <x:v>ELIGIBLE</x:v>
      </x:c>
      <x:c r="K75" s="47" t="str">
        <x:v>NOT_RUN</x:v>
      </x:c>
    </x:row>
    <x:row r="76">
      <x:c r="A76" s="47" t="str">
        <x:v>IMO-024</x:v>
      </x:c>
      <x:c r="B76" s="48" t="str">
        <x:v>International Code for Ships Operating in Polar Waters (Polar Code)</x:v>
      </x:c>
      <x:c r="C76" s="47" t="str">
        <x:v>Resolution MSC.385(94), adopted 21 Nov 2014; consolidated with MEPC.264(68), adopted 15 May 2015</x:v>
      </x:c>
      <x:c r="D76" s="59" t="n">
        <x:v>15</x:v>
      </x:c>
      <x:c r="E76" s="47" t="str">
        <x:v>2.2.4</x:v>
      </x:c>
      <x:c r="F76" s="47" t="str">
        <x:v>Static</x:v>
      </x:c>
      <x:c r="G76" s="48" t="str">
        <x:v>Stage 2 candidate - direct/deterministic</x:v>
      </x:c>
      <x:c r="H76" s="47" t="str">
        <x:v>High</x:v>
      </x:c>
      <x:c r="I76" s="47" t="str">
        <x:v>No</x:v>
      </x:c>
      <x:c r="J76" s="47" t="str">
        <x:v>ELIGIBLE</x:v>
      </x:c>
      <x:c r="K76" s="47" t="str">
        <x:v>NOT_RUN</x:v>
      </x:c>
    </x:row>
    <x:row r="77">
      <x:c r="A77" s="47" t="str">
        <x:v>IMO-025</x:v>
      </x:c>
      <x:c r="B77" s="48" t="str">
        <x:v>International Code for Ships Operating in Polar Waters (Polar Code)</x:v>
      </x:c>
      <x:c r="C77" s="47" t="str">
        <x:v>Resolution MSC.385(94), adopted 21 Nov 2014; consolidated with MEPC.264(68), adopted 15 May 2015</x:v>
      </x:c>
      <x:c r="D77" s="59" t="n">
        <x:v>16</x:v>
      </x:c>
      <x:c r="E77" s="47" t="str">
        <x:v>2.3.1</x:v>
      </x:c>
      <x:c r="F77" s="47" t="str">
        <x:v>Static</x:v>
      </x:c>
      <x:c r="G77" s="48" t="str">
        <x:v>Stage 2 candidate - direct/deterministic</x:v>
      </x:c>
      <x:c r="H77" s="47" t="str">
        <x:v>High</x:v>
      </x:c>
      <x:c r="I77" s="47" t="str">
        <x:v>No</x:v>
      </x:c>
      <x:c r="J77" s="47" t="str">
        <x:v>ELIGIBLE</x:v>
      </x:c>
      <x:c r="K77" s="47" t="str">
        <x:v>NOT_RUN</x:v>
      </x:c>
    </x:row>
    <x:row r="78">
      <x:c r="A78" s="47" t="str">
        <x:v>IMO-026</x:v>
      </x:c>
      <x:c r="B78" s="48" t="str">
        <x:v>International Code for Ships Operating in Polar Waters (Polar Code)</x:v>
      </x:c>
      <x:c r="C78" s="47" t="str">
        <x:v>Resolution MSC.385(94), adopted 21 Nov 2014; consolidated with MEPC.264(68), adopted 15 May 2015</x:v>
      </x:c>
      <x:c r="D78" s="59" t="n">
        <x:v>16</x:v>
      </x:c>
      <x:c r="E78" s="47" t="str">
        <x:v>2.3.2</x:v>
      </x:c>
      <x:c r="F78" s="47" t="str">
        <x:v>Static</x:v>
      </x:c>
      <x:c r="G78" s="48" t="str">
        <x:v>Stage 2 candidate - direct/deterministic</x:v>
      </x:c>
      <x:c r="H78" s="47" t="str">
        <x:v>High</x:v>
      </x:c>
      <x:c r="I78" s="47" t="str">
        <x:v>No</x:v>
      </x:c>
      <x:c r="J78" s="47" t="str">
        <x:v>ELIGIBLE</x:v>
      </x:c>
      <x:c r="K78" s="47" t="str">
        <x:v>NOT_RUN</x:v>
      </x:c>
    </x:row>
    <x:row r="79">
      <x:c r="A79" s="47" t="str">
        <x:v>IMO-027</x:v>
      </x:c>
      <x:c r="B79" s="48" t="str">
        <x:v>International Code for Ships Operating in Polar Waters (Polar Code)</x:v>
      </x:c>
      <x:c r="C79" s="47" t="str">
        <x:v>Resolution MSC.385(94), adopted 21 Nov 2014; consolidated with MEPC.264(68), adopted 15 May 2015</x:v>
      </x:c>
      <x:c r="D79" s="59" t="n">
        <x:v>16</x:v>
      </x:c>
      <x:c r="E79" s="47" t="str">
        <x:v>2.3.3</x:v>
      </x:c>
      <x:c r="F79" s="47" t="str">
        <x:v>Static</x:v>
      </x:c>
      <x:c r="G79" s="48" t="str">
        <x:v>Stage 2 candidate - direct static</x:v>
      </x:c>
      <x:c r="H79" s="47" t="str">
        <x:v>Direct static</x:v>
      </x:c>
      <x:c r="I79" s="47" t="str">
        <x:v>No</x:v>
      </x:c>
      <x:c r="J79" s="47" t="str">
        <x:v>ELIGIBLE</x:v>
      </x:c>
      <x:c r="K79" s="47" t="str">
        <x:v>NOT_RUN</x:v>
      </x:c>
    </x:row>
    <x:row r="80">
      <x:c r="A80" s="47" t="str">
        <x:v>IMO-028</x:v>
      </x:c>
      <x:c r="B80" s="48" t="str">
        <x:v>International Code for Ships Operating in Polar Waters (Polar Code)</x:v>
      </x:c>
      <x:c r="C80" s="47" t="str">
        <x:v>Resolution MSC.385(94), adopted 21 Nov 2014; consolidated with MEPC.264(68), adopted 15 May 2015</x:v>
      </x:c>
      <x:c r="D80" s="59" t="n">
        <x:v>16</x:v>
      </x:c>
      <x:c r="E80" s="47" t="str">
        <x:v>2.3.4</x:v>
      </x:c>
      <x:c r="F80" s="47" t="str">
        <x:v>Static</x:v>
      </x:c>
      <x:c r="G80" s="48" t="str">
        <x:v>Stage 2 candidate - direct static</x:v>
      </x:c>
      <x:c r="H80" s="47" t="str">
        <x:v>Direct static</x:v>
      </x:c>
      <x:c r="I80" s="47" t="str">
        <x:v>No</x:v>
      </x:c>
      <x:c r="J80" s="47" t="str">
        <x:v>ELIGIBLE</x:v>
      </x:c>
      <x:c r="K80" s="47" t="str">
        <x:v>NOT_RUN</x:v>
      </x:c>
    </x:row>
    <x:row r="81">
      <x:c r="A81" s="47" t="str">
        <x:v>IMO-029</x:v>
      </x:c>
      <x:c r="B81" s="48" t="str">
        <x:v>International Code for Ships Operating in Polar Waters (Polar Code)</x:v>
      </x:c>
      <x:c r="C81" s="47" t="str">
        <x:v>Resolution MSC.385(94), adopted 21 Nov 2014; consolidated with MEPC.264(68), adopted 15 May 2015</x:v>
      </x:c>
      <x:c r="D81" s="59" t="n">
        <x:v>16</x:v>
      </x:c>
      <x:c r="E81" s="47" t="str">
        <x:v>2.3.5</x:v>
      </x:c>
      <x:c r="F81" s="47" t="str">
        <x:v>Static</x:v>
      </x:c>
      <x:c r="G81" s="48" t="str">
        <x:v>Stage 2 candidate - direct/deterministic</x:v>
      </x:c>
      <x:c r="H81" s="47" t="str">
        <x:v>High</x:v>
      </x:c>
      <x:c r="I81" s="47" t="str">
        <x:v>No</x:v>
      </x:c>
      <x:c r="J81" s="47" t="str">
        <x:v>ELIGIBLE</x:v>
      </x:c>
      <x:c r="K81" s="47" t="str">
        <x:v>NOT_RUN</x:v>
      </x:c>
    </x:row>
    <x:row r="82">
      <x:c r="A82" s="47" t="str">
        <x:v>IMO-030</x:v>
      </x:c>
      <x:c r="B82" s="48" t="str">
        <x:v>International Code for Ships Operating in Polar Waters (Polar Code)</x:v>
      </x:c>
      <x:c r="C82" s="47" t="str">
        <x:v>Resolution MSC.385(94), adopted 21 Nov 2014; consolidated with MEPC.264(68), adopted 15 May 2015</x:v>
      </x:c>
      <x:c r="D82" s="59" t="n">
        <x:v>16</x:v>
      </x:c>
      <x:c r="E82" s="47" t="str">
        <x:v>2.3.6</x:v>
      </x:c>
      <x:c r="F82" s="47" t="str">
        <x:v>Static</x:v>
      </x:c>
      <x:c r="G82" s="48" t="str">
        <x:v>Stage 2 candidate - direct static</x:v>
      </x:c>
      <x:c r="H82" s="47" t="str">
        <x:v>Direct static</x:v>
      </x:c>
      <x:c r="I82" s="47" t="str">
        <x:v>No</x:v>
      </x:c>
      <x:c r="J82" s="47" t="str">
        <x:v>ELIGIBLE</x:v>
      </x:c>
      <x:c r="K82" s="47" t="str">
        <x:v>NOT_RUN</x:v>
      </x:c>
    </x:row>
    <x:row r="83">
      <x:c r="A83" s="47" t="str">
        <x:v>IMO-031</x:v>
      </x:c>
      <x:c r="B83" s="48" t="str">
        <x:v>International Code for Ships Operating in Polar Waters (Polar Code)</x:v>
      </x:c>
      <x:c r="C83" s="47" t="str">
        <x:v>Resolution MSC.385(94), adopted 21 Nov 2014; consolidated with MEPC.264(68), adopted 15 May 2015</x:v>
      </x:c>
      <x:c r="D83" s="59" t="n">
        <x:v>17</x:v>
      </x:c>
      <x:c r="E83" s="47" t="str">
        <x:v>3.3.1</x:v>
      </x:c>
      <x:c r="F83" s="47" t="str">
        <x:v>Static</x:v>
      </x:c>
      <x:c r="G83" s="48" t="str">
        <x:v>Stage 2 candidate - direct static</x:v>
      </x:c>
      <x:c r="H83" s="47" t="str">
        <x:v>Direct static</x:v>
      </x:c>
      <x:c r="I83" s="47" t="str">
        <x:v>No</x:v>
      </x:c>
      <x:c r="J83" s="47" t="str">
        <x:v>ELIGIBLE</x:v>
      </x:c>
      <x:c r="K83" s="47" t="str">
        <x:v>NOT_RUN</x:v>
      </x:c>
    </x:row>
    <x:row r="84">
      <x:c r="A84" s="47" t="str">
        <x:v>IMO-032</x:v>
      </x:c>
      <x:c r="B84" s="48" t="str">
        <x:v>International Code for Ships Operating in Polar Waters (Polar Code)</x:v>
      </x:c>
      <x:c r="C84" s="47" t="str">
        <x:v>Resolution MSC.385(94), adopted 21 Nov 2014; consolidated with MEPC.264(68), adopted 15 May 2015</x:v>
      </x:c>
      <x:c r="D84" s="59" t="n">
        <x:v>17</x:v>
      </x:c>
      <x:c r="E84" s="47" t="str">
        <x:v>3.3.2.1-.3</x:v>
      </x:c>
      <x:c r="F84" s="47" t="str">
        <x:v>Static</x:v>
      </x:c>
      <x:c r="G84" s="48" t="str">
        <x:v>Stage 2 candidate - direct static</x:v>
      </x:c>
      <x:c r="H84" s="47" t="str">
        <x:v>Direct static</x:v>
      </x:c>
      <x:c r="I84" s="47" t="str">
        <x:v>No</x:v>
      </x:c>
      <x:c r="J84" s="47" t="str">
        <x:v>ELIGIBLE</x:v>
      </x:c>
      <x:c r="K84" s="47" t="str">
        <x:v>NOT_RUN</x:v>
      </x:c>
    </x:row>
    <x:row r="85">
      <x:c r="A85" s="47" t="str">
        <x:v>IMO-033</x:v>
      </x:c>
      <x:c r="B85" s="48" t="str">
        <x:v>International Code for Ships Operating in Polar Waters (Polar Code)</x:v>
      </x:c>
      <x:c r="C85" s="47" t="str">
        <x:v>Resolution MSC.385(94), adopted 21 Nov 2014; consolidated with MEPC.264(68), adopted 15 May 2015</x:v>
      </x:c>
      <x:c r="D85" s="59" t="n">
        <x:v>18</x:v>
      </x:c>
      <x:c r="E85" s="47" t="str">
        <x:v>4.3.1.1</x:v>
      </x:c>
      <x:c r="F85" s="47" t="str">
        <x:v>Static Calculation</x:v>
      </x:c>
      <x:c r="G85" s="48" t="str">
        <x:v>Stage 2 candidate - direct/deterministic</x:v>
      </x:c>
      <x:c r="H85" s="47" t="str">
        <x:v>High</x:v>
      </x:c>
      <x:c r="I85" s="47" t="str">
        <x:v>No</x:v>
      </x:c>
      <x:c r="J85" s="47" t="str">
        <x:v>ELIGIBLE</x:v>
      </x:c>
      <x:c r="K85" s="47" t="str">
        <x:v>NOT_RUN</x:v>
      </x:c>
    </x:row>
    <x:row r="86">
      <x:c r="A86" s="47" t="str">
        <x:v>IMO-034</x:v>
      </x:c>
      <x:c r="B86" s="48" t="str">
        <x:v>International Code for Ships Operating in Polar Waters (Polar Code)</x:v>
      </x:c>
      <x:c r="C86" s="47" t="str">
        <x:v>Resolution MSC.385(94), adopted 21 Nov 2014; consolidated with MEPC.264(68), adopted 15 May 2015</x:v>
      </x:c>
      <x:c r="D86" s="59" t="n">
        <x:v>18</x:v>
      </x:c>
      <x:c r="E86" s="47" t="str">
        <x:v>4.3.1.2</x:v>
      </x:c>
      <x:c r="F86" s="47" t="str">
        <x:v>Static</x:v>
      </x:c>
      <x:c r="G86" s="48" t="str">
        <x:v>Stage 2 candidate - direct static</x:v>
      </x:c>
      <x:c r="H86" s="47" t="str">
        <x:v>Direct static</x:v>
      </x:c>
      <x:c r="I86" s="47" t="str">
        <x:v>No</x:v>
      </x:c>
      <x:c r="J86" s="47" t="str">
        <x:v>ELIGIBLE</x:v>
      </x:c>
      <x:c r="K86" s="47" t="str">
        <x:v>NOT_RUN</x:v>
      </x:c>
    </x:row>
    <x:row r="87">
      <x:c r="A87" s="47" t="str">
        <x:v>IMO-035</x:v>
      </x:c>
      <x:c r="B87" s="48" t="str">
        <x:v>International Code for Ships Operating in Polar Waters (Polar Code)</x:v>
      </x:c>
      <x:c r="C87" s="47" t="str">
        <x:v>Resolution MSC.385(94), adopted 21 Nov 2014; consolidated with MEPC.264(68), adopted 15 May 2015</x:v>
      </x:c>
      <x:c r="D87" s="59" t="n">
        <x:v>18</x:v>
      </x:c>
      <x:c r="E87" s="47" t="str">
        <x:v>4.3.1.3</x:v>
      </x:c>
      <x:c r="F87" s="47" t="str">
        <x:v>Static</x:v>
      </x:c>
      <x:c r="G87" s="48" t="str">
        <x:v>Stage 2 candidate - direct/deterministic</x:v>
      </x:c>
      <x:c r="H87" s="47" t="str">
        <x:v>High</x:v>
      </x:c>
      <x:c r="I87" s="47" t="str">
        <x:v>No</x:v>
      </x:c>
      <x:c r="J87" s="47" t="str">
        <x:v>ELIGIBLE</x:v>
      </x:c>
      <x:c r="K87" s="47" t="str">
        <x:v>NOT_RUN</x:v>
      </x:c>
    </x:row>
    <x:row r="88">
      <x:c r="A88" s="47" t="str">
        <x:v>IMO-036</x:v>
      </x:c>
      <x:c r="B88" s="48" t="str">
        <x:v>International Code for Ships Operating in Polar Waters (Polar Code)</x:v>
      </x:c>
      <x:c r="C88" s="47" t="str">
        <x:v>Resolution MSC.385(94), adopted 21 Nov 2014; consolidated with MEPC.264(68), adopted 15 May 2015</x:v>
      </x:c>
      <x:c r="D88" s="59" t="n">
        <x:v>18</x:v>
      </x:c>
      <x:c r="E88" s="47" t="str">
        <x:v>4.3.1.4</x:v>
      </x:c>
      <x:c r="F88" s="47" t="str">
        <x:v>Dynamic</x:v>
      </x:c>
      <x:c r="G88" s="48" t="str">
        <x:v>Deferred - observation/history/simulation design required</x:v>
      </x:c>
      <x:c r="H88" s="47" t="str">
        <x:v>Medium</x:v>
      </x:c>
      <x:c r="I88" s="47" t="str">
        <x:v>No</x:v>
      </x:c>
      <x:c r="J88" s="47" t="str">
        <x:v>DEFERRED</x:v>
      </x:c>
      <x:c r="K88" s="47" t="str">
        <x:v>NOT_RUN</x:v>
      </x:c>
    </x:row>
    <x:row r="89">
      <x:c r="A89" s="47" t="str">
        <x:v>IMO-037</x:v>
      </x:c>
      <x:c r="B89" s="48" t="str">
        <x:v>International Code for Ships Operating in Polar Waters (Polar Code)</x:v>
      </x:c>
      <x:c r="C89" s="47" t="str">
        <x:v>Resolution MSC.385(94), adopted 21 Nov 2014; consolidated with MEPC.264(68), adopted 15 May 2015</x:v>
      </x:c>
      <x:c r="D89" s="59" t="n">
        <x:v>19</x:v>
      </x:c>
      <x:c r="E89" s="47" t="str">
        <x:v>4.3.2.1</x:v>
      </x:c>
      <x:c r="F89" s="47" t="str">
        <x:v>Complex</x:v>
      </x:c>
      <x:c r="G89" s="48" t="str">
        <x:v>Stage 2 candidate - complex readiness</x:v>
      </x:c>
      <x:c r="H89" s="47" t="str">
        <x:v>Complex readiness</x:v>
      </x:c>
      <x:c r="I89" s="47" t="str">
        <x:v>No</x:v>
      </x:c>
      <x:c r="J89" s="47" t="str">
        <x:v>ELIGIBLE</x:v>
      </x:c>
      <x:c r="K89" s="47" t="str">
        <x:v>NOT_RUN</x:v>
      </x:c>
    </x:row>
    <x:row r="90">
      <x:c r="A90" s="47" t="str">
        <x:v>IMO-038</x:v>
      </x:c>
      <x:c r="B90" s="48" t="str">
        <x:v>International Code for Ships Operating in Polar Waters (Polar Code)</x:v>
      </x:c>
      <x:c r="C90" s="47" t="str">
        <x:v>Resolution MSC.385(94), adopted 21 Nov 2014; consolidated with MEPC.264(68), adopted 15 May 2015</x:v>
      </x:c>
      <x:c r="D90" s="59" t="n">
        <x:v>19</x:v>
      </x:c>
      <x:c r="E90" s="47" t="str">
        <x:v>4.3.2.2</x:v>
      </x:c>
      <x:c r="F90" s="47" t="str">
        <x:v>Static Calculation</x:v>
      </x:c>
      <x:c r="G90" s="48" t="str">
        <x:v>Stage 2 candidate - direct/deterministic</x:v>
      </x:c>
      <x:c r="H90" s="47" t="str">
        <x:v>High</x:v>
      </x:c>
      <x:c r="I90" s="47" t="str">
        <x:v>No</x:v>
      </x:c>
      <x:c r="J90" s="47" t="str">
        <x:v>ELIGIBLE</x:v>
      </x:c>
      <x:c r="K90" s="47" t="str">
        <x:v>NOT_RUN</x:v>
      </x:c>
    </x:row>
    <x:row r="91">
      <x:c r="A91" s="47" t="str">
        <x:v>IMO-039</x:v>
      </x:c>
      <x:c r="B91" s="48" t="str">
        <x:v>International Code for Ships Operating in Polar Waters (Polar Code)</x:v>
      </x:c>
      <x:c r="C91" s="47" t="str">
        <x:v>Resolution MSC.385(94), adopted 21 Nov 2014; consolidated with MEPC.264(68), adopted 15 May 2015</x:v>
      </x:c>
      <x:c r="D91" s="59" t="n">
        <x:v>19</x:v>
      </x:c>
      <x:c r="E91" s="47" t="str">
        <x:v>5.2</x:v>
      </x:c>
      <x:c r="F91" s="47" t="str">
        <x:v>Physical Test</x:v>
      </x:c>
      <x:c r="G91" s="48" t="str">
        <x:v>Evidence-only - physical result not inferred by SHACL</x:v>
      </x:c>
      <x:c r="H91" s="47" t="str">
        <x:v>Medium</x:v>
      </x:c>
      <x:c r="I91" s="47" t="str">
        <x:v>No</x:v>
      </x:c>
      <x:c r="J91" s="47" t="str">
        <x:v>DEFERRED</x:v>
      </x:c>
      <x:c r="K91" s="47" t="str">
        <x:v>NOT_RUN</x:v>
      </x:c>
    </x:row>
    <x:row r="92">
      <x:c r="A92" s="47" t="str">
        <x:v>IMO-040</x:v>
      </x:c>
      <x:c r="B92" s="48" t="str">
        <x:v>International Code for Ships Operating in Polar Waters (Polar Code)</x:v>
      </x:c>
      <x:c r="C92" s="47" t="str">
        <x:v>Resolution MSC.385(94), adopted 21 Nov 2014; consolidated with MEPC.264(68), adopted 15 May 2015</x:v>
      </x:c>
      <x:c r="D92" s="59" t="n">
        <x:v>19</x:v>
      </x:c>
      <x:c r="E92" s="47" t="str">
        <x:v>5.3.1</x:v>
      </x:c>
      <x:c r="F92" s="47" t="str">
        <x:v>Static</x:v>
      </x:c>
      <x:c r="G92" s="48" t="str">
        <x:v>Stage 2 candidate - direct/deterministic</x:v>
      </x:c>
      <x:c r="H92" s="47" t="str">
        <x:v>High</x:v>
      </x:c>
      <x:c r="I92" s="47" t="str">
        <x:v>No</x:v>
      </x:c>
      <x:c r="J92" s="47" t="str">
        <x:v>ELIGIBLE</x:v>
      </x:c>
      <x:c r="K92" s="47" t="str">
        <x:v>NOT_RUN</x:v>
      </x:c>
    </x:row>
    <x:row r="93">
      <x:c r="A93" s="47" t="str">
        <x:v>IMO-041</x:v>
      </x:c>
      <x:c r="B93" s="48" t="str">
        <x:v>International Code for Ships Operating in Polar Waters (Polar Code)</x:v>
      </x:c>
      <x:c r="C93" s="47" t="str">
        <x:v>Resolution MSC.385(94), adopted 21 Nov 2014; consolidated with MEPC.264(68), adopted 15 May 2015</x:v>
      </x:c>
      <x:c r="D93" s="59" t="n">
        <x:v>19</x:v>
      </x:c>
      <x:c r="E93" s="47" t="str">
        <x:v>5.3.2.1</x:v>
      </x:c>
      <x:c r="F93" s="47" t="str">
        <x:v>Static</x:v>
      </x:c>
      <x:c r="G93" s="48" t="str">
        <x:v>Stage 2 candidate - direct/deterministic</x:v>
      </x:c>
      <x:c r="H93" s="47" t="str">
        <x:v>High</x:v>
      </x:c>
      <x:c r="I93" s="47" t="str">
        <x:v>No</x:v>
      </x:c>
      <x:c r="J93" s="47" t="str">
        <x:v>ELIGIBLE</x:v>
      </x:c>
      <x:c r="K93" s="47" t="str">
        <x:v>NOT_RUN</x:v>
      </x:c>
    </x:row>
    <x:row r="94">
      <x:c r="A94" s="47" t="str">
        <x:v>IMO-042</x:v>
      </x:c>
      <x:c r="B94" s="48" t="str">
        <x:v>International Code for Ships Operating in Polar Waters (Polar Code)</x:v>
      </x:c>
      <x:c r="C94" s="47" t="str">
        <x:v>Resolution MSC.385(94), adopted 21 Nov 2014; consolidated with MEPC.264(68), adopted 15 May 2015</x:v>
      </x:c>
      <x:c r="D94" s="59" t="n">
        <x:v>20</x:v>
      </x:c>
      <x:c r="E94" s="47" t="str">
        <x:v>5.3.2.2</x:v>
      </x:c>
      <x:c r="F94" s="47" t="str">
        <x:v>Physical Test</x:v>
      </x:c>
      <x:c r="G94" s="48" t="str">
        <x:v>Evidence-only - physical result not inferred by SHACL</x:v>
      </x:c>
      <x:c r="H94" s="47" t="str">
        <x:v>Medium</x:v>
      </x:c>
      <x:c r="I94" s="47" t="str">
        <x:v>No</x:v>
      </x:c>
      <x:c r="J94" s="47" t="str">
        <x:v>DEFERRED</x:v>
      </x:c>
      <x:c r="K94" s="47" t="str">
        <x:v>NOT_RUN</x:v>
      </x:c>
    </x:row>
    <x:row r="95">
      <x:c r="A95" s="47" t="str">
        <x:v>IMO-043</x:v>
      </x:c>
      <x:c r="B95" s="48" t="str">
        <x:v>International Code for Ships Operating in Polar Waters (Polar Code)</x:v>
      </x:c>
      <x:c r="C95" s="47" t="str">
        <x:v>Resolution MSC.385(94), adopted 21 Nov 2014; consolidated with MEPC.264(68), adopted 15 May 2015</x:v>
      </x:c>
      <x:c r="D95" s="59" t="n">
        <x:v>20</x:v>
      </x:c>
      <x:c r="E95" s="47" t="str">
        <x:v>6.3.1.1</x:v>
      </x:c>
      <x:c r="F95" s="47" t="str">
        <x:v>Static</x:v>
      </x:c>
      <x:c r="G95" s="48" t="str">
        <x:v>Stage 2 candidate - direct/deterministic</x:v>
      </x:c>
      <x:c r="H95" s="47" t="str">
        <x:v>Medium</x:v>
      </x:c>
      <x:c r="I95" s="47" t="str">
        <x:v>No</x:v>
      </x:c>
      <x:c r="J95" s="47" t="str">
        <x:v>ELIGIBLE</x:v>
      </x:c>
      <x:c r="K95" s="47" t="str">
        <x:v>NOT_RUN</x:v>
      </x:c>
    </x:row>
    <x:row r="96">
      <x:c r="A96" s="47" t="str">
        <x:v>IMO-044</x:v>
      </x:c>
      <x:c r="B96" s="48" t="str">
        <x:v>International Code for Ships Operating in Polar Waters (Polar Code)</x:v>
      </x:c>
      <x:c r="C96" s="47" t="str">
        <x:v>Resolution MSC.385(94), adopted 21 Nov 2014; consolidated with MEPC.264(68), adopted 15 May 2015</x:v>
      </x:c>
      <x:c r="D96" s="59" t="n">
        <x:v>21</x:v>
      </x:c>
      <x:c r="E96" s="47" t="str">
        <x:v>6.3.1.2</x:v>
      </x:c>
      <x:c r="F96" s="47" t="str">
        <x:v>Dynamic</x:v>
      </x:c>
      <x:c r="G96" s="48" t="str">
        <x:v>Deferred - observation/history/simulation design required</x:v>
      </x:c>
      <x:c r="H96" s="47" t="str">
        <x:v>Medium</x:v>
      </x:c>
      <x:c r="I96" s="47" t="str">
        <x:v>No</x:v>
      </x:c>
      <x:c r="J96" s="47" t="str">
        <x:v>DEFERRED</x:v>
      </x:c>
      <x:c r="K96" s="47" t="str">
        <x:v>NOT_RUN</x:v>
      </x:c>
    </x:row>
    <x:row r="97">
      <x:c r="A97" s="47" t="str">
        <x:v>IMO-045</x:v>
      </x:c>
      <x:c r="B97" s="48" t="str">
        <x:v>International Code for Ships Operating in Polar Waters (Polar Code)</x:v>
      </x:c>
      <x:c r="C97" s="47" t="str">
        <x:v>Resolution MSC.385(94), adopted 21 Nov 2014; consolidated with MEPC.264(68), adopted 15 May 2015</x:v>
      </x:c>
      <x:c r="D97" s="59" t="n">
        <x:v>21</x:v>
      </x:c>
      <x:c r="E97" s="47" t="str">
        <x:v>6.3.1.3</x:v>
      </x:c>
      <x:c r="F97" s="47" t="str">
        <x:v>Static</x:v>
      </x:c>
      <x:c r="G97" s="48" t="str">
        <x:v>Stage 2 candidate - direct/deterministic</x:v>
      </x:c>
      <x:c r="H97" s="47" t="str">
        <x:v>High</x:v>
      </x:c>
      <x:c r="I97" s="47" t="str">
        <x:v>No</x:v>
      </x:c>
      <x:c r="J97" s="47" t="str">
        <x:v>ELIGIBLE</x:v>
      </x:c>
      <x:c r="K97" s="47" t="str">
        <x:v>NOT_RUN</x:v>
      </x:c>
    </x:row>
    <x:row r="98">
      <x:c r="A98" s="47" t="str">
        <x:v>IMO-046</x:v>
      </x:c>
      <x:c r="B98" s="48" t="str">
        <x:v>International Code for Ships Operating in Polar Waters (Polar Code)</x:v>
      </x:c>
      <x:c r="C98" s="47" t="str">
        <x:v>Resolution MSC.385(94), adopted 21 Nov 2014; consolidated with MEPC.264(68), adopted 15 May 2015</x:v>
      </x:c>
      <x:c r="D98" s="59" t="n">
        <x:v>21</x:v>
      </x:c>
      <x:c r="E98" s="47" t="str">
        <x:v>6.3.2.1</x:v>
      </x:c>
      <x:c r="F98" s="47" t="str">
        <x:v>Physical Test</x:v>
      </x:c>
      <x:c r="G98" s="48" t="str">
        <x:v>Evidence-only - physical result not inferred by SHACL</x:v>
      </x:c>
      <x:c r="H98" s="47" t="str">
        <x:v>Medium</x:v>
      </x:c>
      <x:c r="I98" s="47" t="str">
        <x:v>No</x:v>
      </x:c>
      <x:c r="J98" s="47" t="str">
        <x:v>DEFERRED</x:v>
      </x:c>
      <x:c r="K98" s="47" t="str">
        <x:v>NOT_RUN</x:v>
      </x:c>
    </x:row>
    <x:row r="99">
      <x:c r="A99" s="47" t="str">
        <x:v>IMO-047</x:v>
      </x:c>
      <x:c r="B99" s="48" t="str">
        <x:v>International Code for Ships Operating in Polar Waters (Polar Code)</x:v>
      </x:c>
      <x:c r="C99" s="47" t="str">
        <x:v>Resolution MSC.385(94), adopted 21 Nov 2014; consolidated with MEPC.264(68), adopted 15 May 2015</x:v>
      </x:c>
      <x:c r="D99" s="59" t="n">
        <x:v>21</x:v>
      </x:c>
      <x:c r="E99" s="47" t="str">
        <x:v>6.3.2.2</x:v>
      </x:c>
      <x:c r="F99" s="47" t="str">
        <x:v>Static</x:v>
      </x:c>
      <x:c r="G99" s="48" t="str">
        <x:v>Stage 2 candidate - direct/deterministic</x:v>
      </x:c>
      <x:c r="H99" s="47" t="str">
        <x:v>High</x:v>
      </x:c>
      <x:c r="I99" s="47" t="str">
        <x:v>No</x:v>
      </x:c>
      <x:c r="J99" s="47" t="str">
        <x:v>ELIGIBLE</x:v>
      </x:c>
      <x:c r="K99" s="47" t="str">
        <x:v>NOT_RUN</x:v>
      </x:c>
    </x:row>
    <x:row r="100">
      <x:c r="A100" s="47" t="str">
        <x:v>IMO-048</x:v>
      </x:c>
      <x:c r="B100" s="48" t="str">
        <x:v>International Code for Ships Operating in Polar Waters (Polar Code)</x:v>
      </x:c>
      <x:c r="C100" s="47" t="str">
        <x:v>Resolution MSC.385(94), adopted 21 Nov 2014; consolidated with MEPC.264(68), adopted 15 May 2015</x:v>
      </x:c>
      <x:c r="D100" s="59" t="n">
        <x:v>21</x:v>
      </x:c>
      <x:c r="E100" s="47" t="str">
        <x:v>6.3.2.3</x:v>
      </x:c>
      <x:c r="F100" s="47" t="str">
        <x:v>Static</x:v>
      </x:c>
      <x:c r="G100" s="48" t="str">
        <x:v>Stage 2 candidate - direct static</x:v>
      </x:c>
      <x:c r="H100" s="47" t="str">
        <x:v>Direct static</x:v>
      </x:c>
      <x:c r="I100" s="47" t="str">
        <x:v>No</x:v>
      </x:c>
      <x:c r="J100" s="47" t="str">
        <x:v>ELIGIBLE</x:v>
      </x:c>
      <x:c r="K100" s="47" t="str">
        <x:v>NOT_RUN</x:v>
      </x:c>
    </x:row>
    <x:row r="101">
      <x:c r="A101" s="47" t="str">
        <x:v>IMO-049</x:v>
      </x:c>
      <x:c r="B101" s="48" t="str">
        <x:v>International Code for Ships Operating in Polar Waters (Polar Code)</x:v>
      </x:c>
      <x:c r="C101" s="47" t="str">
        <x:v>Resolution MSC.385(94), adopted 21 Nov 2014; consolidated with MEPC.264(68), adopted 15 May 2015</x:v>
      </x:c>
      <x:c r="D101" s="59" t="n">
        <x:v>21</x:v>
      </x:c>
      <x:c r="E101" s="47" t="str">
        <x:v>6.3.3.1-.3</x:v>
      </x:c>
      <x:c r="F101" s="47" t="str">
        <x:v>Static</x:v>
      </x:c>
      <x:c r="G101" s="48" t="str">
        <x:v>Stage 2 candidate - direct static</x:v>
      </x:c>
      <x:c r="H101" s="47" t="str">
        <x:v>Direct static</x:v>
      </x:c>
      <x:c r="I101" s="47" t="str">
        <x:v>No</x:v>
      </x:c>
      <x:c r="J101" s="47" t="str">
        <x:v>ELIGIBLE</x:v>
      </x:c>
      <x:c r="K101" s="47" t="str">
        <x:v>NOT_RUN</x:v>
      </x:c>
    </x:row>
    <x:row r="102">
      <x:c r="A102" s="47" t="str">
        <x:v>IMO-050</x:v>
      </x:c>
      <x:c r="B102" s="48" t="str">
        <x:v>International Code for Ships Operating in Polar Waters (Polar Code)</x:v>
      </x:c>
      <x:c r="C102" s="47" t="str">
        <x:v>Resolution MSC.385(94), adopted 21 Nov 2014; consolidated with MEPC.264(68), adopted 15 May 2015</x:v>
      </x:c>
      <x:c r="D102" s="59" t="n">
        <x:v>22</x:v>
      </x:c>
      <x:c r="E102" s="47" t="str">
        <x:v>7.2.1.1</x:v>
      </x:c>
      <x:c r="F102" s="47" t="str">
        <x:v>Static</x:v>
      </x:c>
      <x:c r="G102" s="48" t="str">
        <x:v>Stage 2 candidate - direct/deterministic</x:v>
      </x:c>
      <x:c r="H102" s="47" t="str">
        <x:v>High</x:v>
      </x:c>
      <x:c r="I102" s="47" t="str">
        <x:v>No</x:v>
      </x:c>
      <x:c r="J102" s="47" t="str">
        <x:v>ELIGIBLE</x:v>
      </x:c>
      <x:c r="K102" s="47" t="str">
        <x:v>NOT_RUN</x:v>
      </x:c>
    </x:row>
    <x:row r="103">
      <x:c r="A103" s="47" t="str">
        <x:v>IMO-051</x:v>
      </x:c>
      <x:c r="B103" s="48" t="str">
        <x:v>International Code for Ships Operating in Polar Waters (Polar Code)</x:v>
      </x:c>
      <x:c r="C103" s="47" t="str">
        <x:v>Resolution MSC.385(94), adopted 21 Nov 2014; consolidated with MEPC.264(68), adopted 15 May 2015</x:v>
      </x:c>
      <x:c r="D103" s="59" t="n">
        <x:v>22</x:v>
      </x:c>
      <x:c r="E103" s="47" t="str">
        <x:v>7.2.1.2</x:v>
      </x:c>
      <x:c r="F103" s="47" t="str">
        <x:v>Static</x:v>
      </x:c>
      <x:c r="G103" s="48" t="str">
        <x:v>Stage 2 candidate - direct/deterministic</x:v>
      </x:c>
      <x:c r="H103" s="47" t="str">
        <x:v>High</x:v>
      </x:c>
      <x:c r="I103" s="47" t="str">
        <x:v>No</x:v>
      </x:c>
      <x:c r="J103" s="47" t="str">
        <x:v>ELIGIBLE</x:v>
      </x:c>
      <x:c r="K103" s="47" t="str">
        <x:v>NOT_RUN</x:v>
      </x:c>
    </x:row>
    <x:row r="104">
      <x:c r="A104" s="47" t="str">
        <x:v>IMO-052</x:v>
      </x:c>
      <x:c r="B104" s="48" t="str">
        <x:v>International Code for Ships Operating in Polar Waters (Polar Code)</x:v>
      </x:c>
      <x:c r="C104" s="47" t="str">
        <x:v>Resolution MSC.385(94), adopted 21 Nov 2014; consolidated with MEPC.264(68), adopted 15 May 2015</x:v>
      </x:c>
      <x:c r="D104" s="59" t="n">
        <x:v>22</x:v>
      </x:c>
      <x:c r="E104" s="47" t="str">
        <x:v>7.2.1.4</x:v>
      </x:c>
      <x:c r="F104" s="47" t="str">
        <x:v>Static</x:v>
      </x:c>
      <x:c r="G104" s="48" t="str">
        <x:v>Stage 2 candidate - direct/deterministic</x:v>
      </x:c>
      <x:c r="H104" s="47" t="str">
        <x:v>High</x:v>
      </x:c>
      <x:c r="I104" s="47" t="str">
        <x:v>No</x:v>
      </x:c>
      <x:c r="J104" s="47" t="str">
        <x:v>ELIGIBLE</x:v>
      </x:c>
      <x:c r="K104" s="47" t="str">
        <x:v>NOT_RUN</x:v>
      </x:c>
    </x:row>
    <x:row r="105">
      <x:c r="A105" s="47" t="str">
        <x:v>IMO-053</x:v>
      </x:c>
      <x:c r="B105" s="48" t="str">
        <x:v>International Code for Ships Operating in Polar Waters (Polar Code)</x:v>
      </x:c>
      <x:c r="C105" s="47" t="str">
        <x:v>Resolution MSC.385(94), adopted 21 Nov 2014; consolidated with MEPC.264(68), adopted 15 May 2015</x:v>
      </x:c>
      <x:c r="D105" s="59" t="n">
        <x:v>22</x:v>
      </x:c>
      <x:c r="E105" s="47" t="str">
        <x:v>7.2.1.5</x:v>
      </x:c>
      <x:c r="F105" s="47" t="str">
        <x:v>Static</x:v>
      </x:c>
      <x:c r="G105" s="48" t="str">
        <x:v>Stage 2 candidate - direct/deterministic</x:v>
      </x:c>
      <x:c r="H105" s="47" t="str">
        <x:v>Medium</x:v>
      </x:c>
      <x:c r="I105" s="47" t="str">
        <x:v>No</x:v>
      </x:c>
      <x:c r="J105" s="47" t="str">
        <x:v>ELIGIBLE</x:v>
      </x:c>
      <x:c r="K105" s="47" t="str">
        <x:v>NOT_RUN</x:v>
      </x:c>
    </x:row>
    <x:row r="106">
      <x:c r="A106" s="47" t="str">
        <x:v>IMO-054</x:v>
      </x:c>
      <x:c r="B106" s="48" t="str">
        <x:v>International Code for Ships Operating in Polar Waters (Polar Code)</x:v>
      </x:c>
      <x:c r="C106" s="47" t="str">
        <x:v>Resolution MSC.385(94), adopted 21 Nov 2014; consolidated with MEPC.264(68), adopted 15 May 2015</x:v>
      </x:c>
      <x:c r="D106" s="59" t="n">
        <x:v>22</x:v>
      </x:c>
      <x:c r="E106" s="47" t="str">
        <x:v>7.2.2.1</x:v>
      </x:c>
      <x:c r="F106" s="47" t="str">
        <x:v>Physical Test</x:v>
      </x:c>
      <x:c r="G106" s="48" t="str">
        <x:v>Evidence-only - physical result not inferred by SHACL</x:v>
      </x:c>
      <x:c r="H106" s="47" t="str">
        <x:v>Medium</x:v>
      </x:c>
      <x:c r="I106" s="47" t="str">
        <x:v>No</x:v>
      </x:c>
      <x:c r="J106" s="47" t="str">
        <x:v>DEFERRED</x:v>
      </x:c>
      <x:c r="K106" s="47" t="str">
        <x:v>NOT_RUN</x:v>
      </x:c>
    </x:row>
    <x:row r="107">
      <x:c r="A107" s="47" t="str">
        <x:v>IMO-055</x:v>
      </x:c>
      <x:c r="B107" s="48" t="str">
        <x:v>International Code for Ships Operating in Polar Waters (Polar Code)</x:v>
      </x:c>
      <x:c r="C107" s="47" t="str">
        <x:v>Resolution MSC.385(94), adopted 21 Nov 2014; consolidated with MEPC.264(68), adopted 15 May 2015</x:v>
      </x:c>
      <x:c r="D107" s="59" t="n">
        <x:v>22</x:v>
      </x:c>
      <x:c r="E107" s="47" t="str">
        <x:v>7.3.1.1</x:v>
      </x:c>
      <x:c r="F107" s="47" t="str">
        <x:v>Static</x:v>
      </x:c>
      <x:c r="G107" s="48" t="str">
        <x:v>Stage 2 candidate - direct/deterministic</x:v>
      </x:c>
      <x:c r="H107" s="47" t="str">
        <x:v>High</x:v>
      </x:c>
      <x:c r="I107" s="47" t="str">
        <x:v>No</x:v>
      </x:c>
      <x:c r="J107" s="47" t="str">
        <x:v>ELIGIBLE</x:v>
      </x:c>
      <x:c r="K107" s="47" t="str">
        <x:v>NOT_RUN</x:v>
      </x:c>
    </x:row>
    <x:row r="108">
      <x:c r="A108" s="47" t="str">
        <x:v>IMO-056</x:v>
      </x:c>
      <x:c r="B108" s="48" t="str">
        <x:v>International Code for Ships Operating in Polar Waters (Polar Code)</x:v>
      </x:c>
      <x:c r="C108" s="47" t="str">
        <x:v>Resolution MSC.385(94), adopted 21 Nov 2014; consolidated with MEPC.264(68), adopted 15 May 2015</x:v>
      </x:c>
      <x:c r="D108" s="59" t="n">
        <x:v>22</x:v>
      </x:c>
      <x:c r="E108" s="47" t="str">
        <x:v>7.3.1.2</x:v>
      </x:c>
      <x:c r="F108" s="47" t="str">
        <x:v>Physical Test</x:v>
      </x:c>
      <x:c r="G108" s="48" t="str">
        <x:v>Evidence-only - physical result not inferred by SHACL</x:v>
      </x:c>
      <x:c r="H108" s="47" t="str">
        <x:v>Medium</x:v>
      </x:c>
      <x:c r="I108" s="47" t="str">
        <x:v>No</x:v>
      </x:c>
      <x:c r="J108" s="47" t="str">
        <x:v>DEFERRED</x:v>
      </x:c>
      <x:c r="K108" s="47" t="str">
        <x:v>NOT_RUN</x:v>
      </x:c>
    </x:row>
    <x:row r="109">
      <x:c r="A109" s="47" t="str">
        <x:v>IMO-057</x:v>
      </x:c>
      <x:c r="B109" s="48" t="str">
        <x:v>International Code for Ships Operating in Polar Waters (Polar Code)</x:v>
      </x:c>
      <x:c r="C109" s="47" t="str">
        <x:v>Resolution MSC.385(94), adopted 21 Nov 2014; consolidated with MEPC.264(68), adopted 15 May 2015</x:v>
      </x:c>
      <x:c r="D109" s="59" t="n">
        <x:v>22</x:v>
      </x:c>
      <x:c r="E109" s="47" t="str">
        <x:v>7.3.2.1</x:v>
      </x:c>
      <x:c r="F109" s="47" t="str">
        <x:v>Static</x:v>
      </x:c>
      <x:c r="G109" s="48" t="str">
        <x:v>Stage 2 candidate - direct/deterministic</x:v>
      </x:c>
      <x:c r="H109" s="47" t="str">
        <x:v>High</x:v>
      </x:c>
      <x:c r="I109" s="47" t="str">
        <x:v>No</x:v>
      </x:c>
      <x:c r="J109" s="47" t="str">
        <x:v>ELIGIBLE</x:v>
      </x:c>
      <x:c r="K109" s="47" t="str">
        <x:v>NOT_RUN</x:v>
      </x:c>
    </x:row>
    <x:row r="110">
      <x:c r="A110" s="47" t="str">
        <x:v>IMO-058</x:v>
      </x:c>
      <x:c r="B110" s="48" t="str">
        <x:v>International Code for Ships Operating in Polar Waters (Polar Code)</x:v>
      </x:c>
      <x:c r="C110" s="47" t="str">
        <x:v>Resolution MSC.385(94), adopted 21 Nov 2014; consolidated with MEPC.264(68), adopted 15 May 2015</x:v>
      </x:c>
      <x:c r="D110" s="59" t="n">
        <x:v>22</x:v>
      </x:c>
      <x:c r="E110" s="47" t="str">
        <x:v>7.3.2.2</x:v>
      </x:c>
      <x:c r="F110" s="47" t="str">
        <x:v>Static</x:v>
      </x:c>
      <x:c r="G110" s="48" t="str">
        <x:v>Stage 2 candidate - direct/deterministic</x:v>
      </x:c>
      <x:c r="H110" s="47" t="str">
        <x:v>High</x:v>
      </x:c>
      <x:c r="I110" s="47" t="str">
        <x:v>No</x:v>
      </x:c>
      <x:c r="J110" s="47" t="str">
        <x:v>ELIGIBLE</x:v>
      </x:c>
      <x:c r="K110" s="47" t="str">
        <x:v>NOT_RUN</x:v>
      </x:c>
    </x:row>
    <x:row r="111">
      <x:c r="A111" s="47" t="str">
        <x:v>IMO-059</x:v>
      </x:c>
      <x:c r="B111" s="48" t="str">
        <x:v>International Code for Ships Operating in Polar Waters (Polar Code)</x:v>
      </x:c>
      <x:c r="C111" s="47" t="str">
        <x:v>Resolution MSC.385(94), adopted 21 Nov 2014; consolidated with MEPC.264(68), adopted 15 May 2015</x:v>
      </x:c>
      <x:c r="D111" s="59" t="n">
        <x:v>22</x:v>
      </x:c>
      <x:c r="E111" s="47" t="str">
        <x:v>7.3.2.3</x:v>
      </x:c>
      <x:c r="F111" s="47" t="str">
        <x:v>Static</x:v>
      </x:c>
      <x:c r="G111" s="48" t="str">
        <x:v>Stage 2 candidate - direct/deterministic</x:v>
      </x:c>
      <x:c r="H111" s="47" t="str">
        <x:v>High</x:v>
      </x:c>
      <x:c r="I111" s="47" t="str">
        <x:v>No</x:v>
      </x:c>
      <x:c r="J111" s="47" t="str">
        <x:v>ELIGIBLE</x:v>
      </x:c>
      <x:c r="K111" s="47" t="str">
        <x:v>NOT_RUN</x:v>
      </x:c>
    </x:row>
    <x:row r="112">
      <x:c r="A112" s="47" t="str">
        <x:v>IMO-060</x:v>
      </x:c>
      <x:c r="B112" s="48" t="str">
        <x:v>International Code for Ships Operating in Polar Waters (Polar Code)</x:v>
      </x:c>
      <x:c r="C112" s="47" t="str">
        <x:v>Resolution MSC.385(94), adopted 21 Nov 2014; consolidated with MEPC.264(68), adopted 15 May 2015</x:v>
      </x:c>
      <x:c r="D112" s="59" t="n">
        <x:v>22</x:v>
      </x:c>
      <x:c r="E112" s="47" t="str">
        <x:v>7.3.2.4</x:v>
      </x:c>
      <x:c r="F112" s="47" t="str">
        <x:v>Static</x:v>
      </x:c>
      <x:c r="G112" s="48" t="str">
        <x:v>Stage 2 candidate - direct/deterministic</x:v>
      </x:c>
      <x:c r="H112" s="47" t="str">
        <x:v>High</x:v>
      </x:c>
      <x:c r="I112" s="47" t="str">
        <x:v>No</x:v>
      </x:c>
      <x:c r="J112" s="47" t="str">
        <x:v>ELIGIBLE</x:v>
      </x:c>
      <x:c r="K112" s="47" t="str">
        <x:v>NOT_RUN</x:v>
      </x:c>
    </x:row>
    <x:row r="113">
      <x:c r="A113" s="47" t="str">
        <x:v>IMO-061</x:v>
      </x:c>
      <x:c r="B113" s="48" t="str">
        <x:v>International Code for Ships Operating in Polar Waters (Polar Code)</x:v>
      </x:c>
      <x:c r="C113" s="47" t="str">
        <x:v>Resolution MSC.385(94), adopted 21 Nov 2014; consolidated with MEPC.264(68), adopted 15 May 2015</x:v>
      </x:c>
      <x:c r="D113" s="59" t="n">
        <x:v>23</x:v>
      </x:c>
      <x:c r="E113" s="47" t="str">
        <x:v>7.3.3.1</x:v>
      </x:c>
      <x:c r="F113" s="47" t="str">
        <x:v>Physical Test</x:v>
      </x:c>
      <x:c r="G113" s="48" t="str">
        <x:v>Evidence-only - physical result not inferred by SHACL</x:v>
      </x:c>
      <x:c r="H113" s="47" t="str">
        <x:v>Medium</x:v>
      </x:c>
      <x:c r="I113" s="47" t="str">
        <x:v>No</x:v>
      </x:c>
      <x:c r="J113" s="47" t="str">
        <x:v>DEFERRED</x:v>
      </x:c>
      <x:c r="K113" s="47" t="str">
        <x:v>NOT_RUN</x:v>
      </x:c>
    </x:row>
    <x:row r="114">
      <x:c r="A114" s="47" t="str">
        <x:v>IMO-062</x:v>
      </x:c>
      <x:c r="B114" s="48" t="str">
        <x:v>International Code for Ships Operating in Polar Waters (Polar Code)</x:v>
      </x:c>
      <x:c r="C114" s="47" t="str">
        <x:v>Resolution MSC.385(94), adopted 21 Nov 2014; consolidated with MEPC.264(68), adopted 15 May 2015</x:v>
      </x:c>
      <x:c r="D114" s="59" t="n">
        <x:v>23</x:v>
      </x:c>
      <x:c r="E114" s="47" t="str">
        <x:v>8.2.1.1</x:v>
      </x:c>
      <x:c r="F114" s="47" t="str">
        <x:v>Static</x:v>
      </x:c>
      <x:c r="G114" s="48" t="str">
        <x:v>Stage 2 candidate - direct/deterministic</x:v>
      </x:c>
      <x:c r="H114" s="47" t="str">
        <x:v>Medium</x:v>
      </x:c>
      <x:c r="I114" s="47" t="str">
        <x:v>No</x:v>
      </x:c>
      <x:c r="J114" s="47" t="str">
        <x:v>ELIGIBLE</x:v>
      </x:c>
      <x:c r="K114" s="47" t="str">
        <x:v>NOT_RUN</x:v>
      </x:c>
    </x:row>
    <x:row r="115">
      <x:c r="A115" s="47" t="str">
        <x:v>IMO-063</x:v>
      </x:c>
      <x:c r="B115" s="48" t="str">
        <x:v>International Code for Ships Operating in Polar Waters (Polar Code)</x:v>
      </x:c>
      <x:c r="C115" s="47" t="str">
        <x:v>Resolution MSC.385(94), adopted 21 Nov 2014; consolidated with MEPC.264(68), adopted 15 May 2015</x:v>
      </x:c>
      <x:c r="D115" s="59" t="n">
        <x:v>23</x:v>
      </x:c>
      <x:c r="E115" s="47" t="str">
        <x:v>8.2.2</x:v>
      </x:c>
      <x:c r="F115" s="47" t="str">
        <x:v>Physical Test</x:v>
      </x:c>
      <x:c r="G115" s="48" t="str">
        <x:v>Evidence-only - physical result not inferred by SHACL</x:v>
      </x:c>
      <x:c r="H115" s="47" t="str">
        <x:v>Medium</x:v>
      </x:c>
      <x:c r="I115" s="47" t="str">
        <x:v>No</x:v>
      </x:c>
      <x:c r="J115" s="47" t="str">
        <x:v>DEFERRED</x:v>
      </x:c>
      <x:c r="K115" s="47" t="str">
        <x:v>NOT_RUN</x:v>
      </x:c>
    </x:row>
    <x:row r="116">
      <x:c r="A116" s="47" t="str">
        <x:v>IMO-064</x:v>
      </x:c>
      <x:c r="B116" s="48" t="str">
        <x:v>International Code for Ships Operating in Polar Waters (Polar Code)</x:v>
      </x:c>
      <x:c r="C116" s="47" t="str">
        <x:v>Resolution MSC.385(94), adopted 21 Nov 2014; consolidated with MEPC.264(68), adopted 15 May 2015</x:v>
      </x:c>
      <x:c r="D116" s="59" t="n">
        <x:v>23</x:v>
      </x:c>
      <x:c r="E116" s="47" t="str">
        <x:v>8.2.3.1</x:v>
      </x:c>
      <x:c r="F116" s="47" t="str">
        <x:v>Static</x:v>
      </x:c>
      <x:c r="G116" s="48" t="str">
        <x:v>Stage 2 candidate - direct/deterministic</x:v>
      </x:c>
      <x:c r="H116" s="47" t="str">
        <x:v>Medium</x:v>
      </x:c>
      <x:c r="I116" s="47" t="str">
        <x:v>No</x:v>
      </x:c>
      <x:c r="J116" s="47" t="str">
        <x:v>ELIGIBLE</x:v>
      </x:c>
      <x:c r="K116" s="47" t="str">
        <x:v>NOT_RUN</x:v>
      </x:c>
    </x:row>
    <x:row r="117">
      <x:c r="A117" s="47" t="str">
        <x:v>IMO-065</x:v>
      </x:c>
      <x:c r="B117" s="48" t="str">
        <x:v>International Code for Ships Operating in Polar Waters (Polar Code)</x:v>
      </x:c>
      <x:c r="C117" s="47" t="str">
        <x:v>Resolution MSC.385(94), adopted 21 Nov 2014; consolidated with MEPC.264(68), adopted 15 May 2015</x:v>
      </x:c>
      <x:c r="D117" s="59" t="str">
        <x:v>23-24</x:v>
      </x:c>
      <x:c r="E117" s="47" t="str">
        <x:v>8.2.3.3</x:v>
      </x:c>
      <x:c r="F117" s="47" t="str">
        <x:v>Static</x:v>
      </x:c>
      <x:c r="G117" s="48" t="str">
        <x:v>Stage 2 candidate - direct static</x:v>
      </x:c>
      <x:c r="H117" s="47" t="str">
        <x:v>Direct static</x:v>
      </x:c>
      <x:c r="I117" s="47" t="str">
        <x:v>No</x:v>
      </x:c>
      <x:c r="J117" s="47" t="str">
        <x:v>ELIGIBLE</x:v>
      </x:c>
      <x:c r="K117" s="47" t="str">
        <x:v>NOT_RUN</x:v>
      </x:c>
    </x:row>
    <x:row r="118">
      <x:c r="A118" s="47" t="str">
        <x:v>IMO-066</x:v>
      </x:c>
      <x:c r="B118" s="48" t="str">
        <x:v>International Code for Ships Operating in Polar Waters (Polar Code)</x:v>
      </x:c>
      <x:c r="C118" s="47" t="str">
        <x:v>Resolution MSC.385(94), adopted 21 Nov 2014; consolidated with MEPC.264(68), adopted 15 May 2015</x:v>
      </x:c>
      <x:c r="D118" s="59" t="n">
        <x:v>24</x:v>
      </x:c>
      <x:c r="E118" s="47" t="str">
        <x:v>8.3.1.1</x:v>
      </x:c>
      <x:c r="F118" s="47" t="str">
        <x:v>Static</x:v>
      </x:c>
      <x:c r="G118" s="48" t="str">
        <x:v>Stage 2 candidate - direct/deterministic</x:v>
      </x:c>
      <x:c r="H118" s="47" t="str">
        <x:v>High</x:v>
      </x:c>
      <x:c r="I118" s="47" t="str">
        <x:v>No</x:v>
      </x:c>
      <x:c r="J118" s="47" t="str">
        <x:v>ELIGIBLE</x:v>
      </x:c>
      <x:c r="K118" s="47" t="str">
        <x:v>NOT_RUN</x:v>
      </x:c>
    </x:row>
    <x:row r="119">
      <x:c r="A119" s="47" t="str">
        <x:v>IMO-067</x:v>
      </x:c>
      <x:c r="B119" s="48" t="str">
        <x:v>International Code for Ships Operating in Polar Waters (Polar Code)</x:v>
      </x:c>
      <x:c r="C119" s="47" t="str">
        <x:v>Resolution MSC.385(94), adopted 21 Nov 2014; consolidated with MEPC.264(68), adopted 15 May 2015</x:v>
      </x:c>
      <x:c r="D119" s="59" t="n">
        <x:v>24</x:v>
      </x:c>
      <x:c r="E119" s="47" t="str">
        <x:v>8.3.1.2</x:v>
      </x:c>
      <x:c r="F119" s="47" t="str">
        <x:v>Physical Test</x:v>
      </x:c>
      <x:c r="G119" s="48" t="str">
        <x:v>Evidence-only - physical result not inferred by SHACL</x:v>
      </x:c>
      <x:c r="H119" s="47" t="str">
        <x:v>Medium</x:v>
      </x:c>
      <x:c r="I119" s="47" t="str">
        <x:v>No</x:v>
      </x:c>
      <x:c r="J119" s="47" t="str">
        <x:v>DEFERRED</x:v>
      </x:c>
      <x:c r="K119" s="47" t="str">
        <x:v>NOT_RUN</x:v>
      </x:c>
    </x:row>
    <x:row r="120">
      <x:c r="A120" s="47" t="str">
        <x:v>IMO-068</x:v>
      </x:c>
      <x:c r="B120" s="48" t="str">
        <x:v>International Code for Ships Operating in Polar Waters (Polar Code)</x:v>
      </x:c>
      <x:c r="C120" s="47" t="str">
        <x:v>Resolution MSC.385(94), adopted 21 Nov 2014; consolidated with MEPC.264(68), adopted 15 May 2015</x:v>
      </x:c>
      <x:c r="D120" s="59" t="n">
        <x:v>24</x:v>
      </x:c>
      <x:c r="E120" s="47" t="str">
        <x:v>8.3.2.1</x:v>
      </x:c>
      <x:c r="F120" s="47" t="str">
        <x:v>Static</x:v>
      </x:c>
      <x:c r="G120" s="48" t="str">
        <x:v>Stage 2 candidate - direct static</x:v>
      </x:c>
      <x:c r="H120" s="47" t="str">
        <x:v>Direct static</x:v>
      </x:c>
      <x:c r="I120" s="47" t="str">
        <x:v>No</x:v>
      </x:c>
      <x:c r="J120" s="47" t="str">
        <x:v>ELIGIBLE</x:v>
      </x:c>
      <x:c r="K120" s="47" t="str">
        <x:v>NOT_RUN</x:v>
      </x:c>
    </x:row>
    <x:row r="121">
      <x:c r="A121" s="47" t="str">
        <x:v>IMO-069</x:v>
      </x:c>
      <x:c r="B121" s="48" t="str">
        <x:v>International Code for Ships Operating in Polar Waters (Polar Code)</x:v>
      </x:c>
      <x:c r="C121" s="47" t="str">
        <x:v>Resolution MSC.385(94), adopted 21 Nov 2014; consolidated with MEPC.264(68), adopted 15 May 2015</x:v>
      </x:c>
      <x:c r="D121" s="59" t="n">
        <x:v>24</x:v>
      </x:c>
      <x:c r="E121" s="47" t="str">
        <x:v>8.3.2.2</x:v>
      </x:c>
      <x:c r="F121" s="47" t="str">
        <x:v>Static</x:v>
      </x:c>
      <x:c r="G121" s="48" t="str">
        <x:v>Stage 2 candidate - direct/deterministic</x:v>
      </x:c>
      <x:c r="H121" s="47" t="str">
        <x:v>High</x:v>
      </x:c>
      <x:c r="I121" s="47" t="str">
        <x:v>No</x:v>
      </x:c>
      <x:c r="J121" s="47" t="str">
        <x:v>ELIGIBLE</x:v>
      </x:c>
      <x:c r="K121" s="47" t="str">
        <x:v>NOT_RUN</x:v>
      </x:c>
    </x:row>
    <x:row r="122">
      <x:c r="A122" s="47" t="str">
        <x:v>IMO-070</x:v>
      </x:c>
      <x:c r="B122" s="48" t="str">
        <x:v>International Code for Ships Operating in Polar Waters (Polar Code)</x:v>
      </x:c>
      <x:c r="C122" s="47" t="str">
        <x:v>Resolution MSC.385(94), adopted 21 Nov 2014; consolidated with MEPC.264(68), adopted 15 May 2015</x:v>
      </x:c>
      <x:c r="D122" s="59" t="n">
        <x:v>24</x:v>
      </x:c>
      <x:c r="E122" s="47" t="str">
        <x:v>8.3.3.1.1</x:v>
      </x:c>
      <x:c r="F122" s="47" t="str">
        <x:v>Static</x:v>
      </x:c>
      <x:c r="G122" s="48" t="str">
        <x:v>Stage 2 candidate - direct/deterministic</x:v>
      </x:c>
      <x:c r="H122" s="47" t="str">
        <x:v>High</x:v>
      </x:c>
      <x:c r="I122" s="47" t="str">
        <x:v>No</x:v>
      </x:c>
      <x:c r="J122" s="47" t="str">
        <x:v>ELIGIBLE</x:v>
      </x:c>
      <x:c r="K122" s="47" t="str">
        <x:v>NOT_RUN</x:v>
      </x:c>
    </x:row>
    <x:row r="123">
      <x:c r="A123" s="47" t="str">
        <x:v>IMO-071</x:v>
      </x:c>
      <x:c r="B123" s="48" t="str">
        <x:v>International Code for Ships Operating in Polar Waters (Polar Code)</x:v>
      </x:c>
      <x:c r="C123" s="47" t="str">
        <x:v>Resolution MSC.385(94), adopted 21 Nov 2014; consolidated with MEPC.264(68), adopted 15 May 2015</x:v>
      </x:c>
      <x:c r="D123" s="59" t="n">
        <x:v>24</x:v>
      </x:c>
      <x:c r="E123" s="47" t="str">
        <x:v>8.3.3.1.2</x:v>
      </x:c>
      <x:c r="F123" s="47" t="str">
        <x:v>Static</x:v>
      </x:c>
      <x:c r="G123" s="48" t="str">
        <x:v>Stage 2 candidate - direct/deterministic</x:v>
      </x:c>
      <x:c r="H123" s="47" t="str">
        <x:v>High</x:v>
      </x:c>
      <x:c r="I123" s="47" t="str">
        <x:v>No</x:v>
      </x:c>
      <x:c r="J123" s="47" t="str">
        <x:v>ELIGIBLE</x:v>
      </x:c>
      <x:c r="K123" s="47" t="str">
        <x:v>NOT_RUN</x:v>
      </x:c>
    </x:row>
    <x:row r="124">
      <x:c r="A124" s="47" t="str">
        <x:v>IMO-072</x:v>
      </x:c>
      <x:c r="B124" s="48" t="str">
        <x:v>International Code for Ships Operating in Polar Waters (Polar Code)</x:v>
      </x:c>
      <x:c r="C124" s="47" t="str">
        <x:v>Resolution MSC.385(94), adopted 21 Nov 2014; consolidated with MEPC.264(68), adopted 15 May 2015</x:v>
      </x:c>
      <x:c r="D124" s="59" t="n">
        <x:v>25</x:v>
      </x:c>
      <x:c r="E124" s="47" t="str">
        <x:v>8.3.3.2</x:v>
      </x:c>
      <x:c r="F124" s="47" t="str">
        <x:v>Static</x:v>
      </x:c>
      <x:c r="G124" s="48" t="str">
        <x:v>Stage 2 candidate - direct/deterministic</x:v>
      </x:c>
      <x:c r="H124" s="47" t="str">
        <x:v>High</x:v>
      </x:c>
      <x:c r="I124" s="47" t="str">
        <x:v>No</x:v>
      </x:c>
      <x:c r="J124" s="47" t="str">
        <x:v>ELIGIBLE</x:v>
      </x:c>
      <x:c r="K124" s="47" t="str">
        <x:v>NOT_RUN</x:v>
      </x:c>
    </x:row>
    <x:row r="125">
      <x:c r="A125" s="47" t="str">
        <x:v>IMO-073</x:v>
      </x:c>
      <x:c r="B125" s="48" t="str">
        <x:v>International Code for Ships Operating in Polar Waters (Polar Code)</x:v>
      </x:c>
      <x:c r="C125" s="47" t="str">
        <x:v>Resolution MSC.385(94), adopted 21 Nov 2014; consolidated with MEPC.264(68), adopted 15 May 2015</x:v>
      </x:c>
      <x:c r="D125" s="59" t="n">
        <x:v>25</x:v>
      </x:c>
      <x:c r="E125" s="47" t="str">
        <x:v>8.3.3.3.1</x:v>
      </x:c>
      <x:c r="F125" s="47" t="str">
        <x:v>Static</x:v>
      </x:c>
      <x:c r="G125" s="48" t="str">
        <x:v>Stage 2 candidate - direct/deterministic</x:v>
      </x:c>
      <x:c r="H125" s="47" t="str">
        <x:v>High</x:v>
      </x:c>
      <x:c r="I125" s="47" t="str">
        <x:v>No</x:v>
      </x:c>
      <x:c r="J125" s="47" t="str">
        <x:v>ELIGIBLE</x:v>
      </x:c>
      <x:c r="K125" s="47" t="str">
        <x:v>NOT_RUN</x:v>
      </x:c>
    </x:row>
    <x:row r="126">
      <x:c r="A126" s="47" t="str">
        <x:v>IMO-074</x:v>
      </x:c>
      <x:c r="B126" s="48" t="str">
        <x:v>International Code for Ships Operating in Polar Waters (Polar Code)</x:v>
      </x:c>
      <x:c r="C126" s="47" t="str">
        <x:v>Resolution MSC.385(94), adopted 21 Nov 2014; consolidated with MEPC.264(68), adopted 15 May 2015</x:v>
      </x:c>
      <x:c r="D126" s="59" t="n">
        <x:v>25</x:v>
      </x:c>
      <x:c r="E126" s="47" t="str">
        <x:v>8.3.3.3.3.1</x:v>
      </x:c>
      <x:c r="F126" s="47" t="str">
        <x:v>Static</x:v>
      </x:c>
      <x:c r="G126" s="48" t="str">
        <x:v>Stage 2 candidate - direct/deterministic</x:v>
      </x:c>
      <x:c r="H126" s="47" t="str">
        <x:v>Medium</x:v>
      </x:c>
      <x:c r="I126" s="47" t="str">
        <x:v>No</x:v>
      </x:c>
      <x:c r="J126" s="47" t="str">
        <x:v>ELIGIBLE</x:v>
      </x:c>
      <x:c r="K126" s="47" t="str">
        <x:v>NOT_RUN</x:v>
      </x:c>
    </x:row>
    <x:row r="127">
      <x:c r="A127" s="47" t="str">
        <x:v>IMO-075</x:v>
      </x:c>
      <x:c r="B127" s="48" t="str">
        <x:v>International Code for Ships Operating in Polar Waters (Polar Code)</x:v>
      </x:c>
      <x:c r="C127" s="47" t="str">
        <x:v>Resolution MSC.385(94), adopted 21 Nov 2014; consolidated with MEPC.264(68), adopted 15 May 2015</x:v>
      </x:c>
      <x:c r="D127" s="59" t="n">
        <x:v>25</x:v>
      </x:c>
      <x:c r="E127" s="47" t="str">
        <x:v>8.3.3.3.3.2</x:v>
      </x:c>
      <x:c r="F127" s="47" t="str">
        <x:v>Static Calculation</x:v>
      </x:c>
      <x:c r="G127" s="48" t="str">
        <x:v>Stage 2 candidate - direct/deterministic</x:v>
      </x:c>
      <x:c r="H127" s="47" t="str">
        <x:v>High</x:v>
      </x:c>
      <x:c r="I127" s="47" t="str">
        <x:v>No</x:v>
      </x:c>
      <x:c r="J127" s="47" t="str">
        <x:v>ELIGIBLE</x:v>
      </x:c>
      <x:c r="K127" s="47" t="str">
        <x:v>NOT_RUN</x:v>
      </x:c>
    </x:row>
    <x:row r="128">
      <x:c r="A128" s="47" t="str">
        <x:v>IMO-076</x:v>
      </x:c>
      <x:c r="B128" s="48" t="str">
        <x:v>International Code for Ships Operating in Polar Waters (Polar Code)</x:v>
      </x:c>
      <x:c r="C128" s="47" t="str">
        <x:v>Resolution MSC.385(94), adopted 21 Nov 2014; consolidated with MEPC.264(68), adopted 15 May 2015</x:v>
      </x:c>
      <x:c r="D128" s="59" t="n">
        <x:v>25</x:v>
      </x:c>
      <x:c r="E128" s="47" t="str">
        <x:v>8.3.3.3.3.3</x:v>
      </x:c>
      <x:c r="F128" s="47" t="str">
        <x:v>Physical Test</x:v>
      </x:c>
      <x:c r="G128" s="48" t="str">
        <x:v>Evidence-only - physical result not inferred by SHACL</x:v>
      </x:c>
      <x:c r="H128" s="47" t="str">
        <x:v>Medium</x:v>
      </x:c>
      <x:c r="I128" s="47" t="str">
        <x:v>No</x:v>
      </x:c>
      <x:c r="J128" s="47" t="str">
        <x:v>DEFERRED</x:v>
      </x:c>
      <x:c r="K128" s="47" t="str">
        <x:v>NOT_RUN</x:v>
      </x:c>
    </x:row>
    <x:row r="129">
      <x:c r="A129" s="47" t="str">
        <x:v>IMO-077</x:v>
      </x:c>
      <x:c r="B129" s="48" t="str">
        <x:v>International Code for Ships Operating in Polar Waters (Polar Code)</x:v>
      </x:c>
      <x:c r="C129" s="47" t="str">
        <x:v>Resolution MSC.385(94), adopted 21 Nov 2014; consolidated with MEPC.264(68), adopted 15 May 2015</x:v>
      </x:c>
      <x:c r="D129" s="59" t="n">
        <x:v>25</x:v>
      </x:c>
      <x:c r="E129" s="47" t="str">
        <x:v>8.3.3.3.3.5</x:v>
      </x:c>
      <x:c r="F129" s="47" t="str">
        <x:v>Static Calculation</x:v>
      </x:c>
      <x:c r="G129" s="48" t="str">
        <x:v>Stage 2 candidate - direct/deterministic</x:v>
      </x:c>
      <x:c r="H129" s="47" t="str">
        <x:v>High</x:v>
      </x:c>
      <x:c r="I129" s="47" t="str">
        <x:v>No</x:v>
      </x:c>
      <x:c r="J129" s="47" t="str">
        <x:v>ELIGIBLE</x:v>
      </x:c>
      <x:c r="K129" s="47" t="str">
        <x:v>NOT_RUN</x:v>
      </x:c>
    </x:row>
    <x:row r="130">
      <x:c r="A130" s="47" t="str">
        <x:v>IMO-078</x:v>
      </x:c>
      <x:c r="B130" s="48" t="str">
        <x:v>International Code for Ships Operating in Polar Waters (Polar Code)</x:v>
      </x:c>
      <x:c r="C130" s="47" t="str">
        <x:v>Resolution MSC.385(94), adopted 21 Nov 2014; consolidated with MEPC.264(68), adopted 15 May 2015</x:v>
      </x:c>
      <x:c r="D130" s="59" t="n">
        <x:v>25</x:v>
      </x:c>
      <x:c r="E130" s="47" t="str">
        <x:v>8.3.3.3.3.6-.7</x:v>
      </x:c>
      <x:c r="F130" s="47" t="str">
        <x:v>Static</x:v>
      </x:c>
      <x:c r="G130" s="48" t="str">
        <x:v>Stage 2 candidate - direct/deterministic</x:v>
      </x:c>
      <x:c r="H130" s="47" t="str">
        <x:v>High</x:v>
      </x:c>
      <x:c r="I130" s="47" t="str">
        <x:v>No</x:v>
      </x:c>
      <x:c r="J130" s="47" t="str">
        <x:v>ELIGIBLE</x:v>
      </x:c>
      <x:c r="K130" s="47" t="str">
        <x:v>NOT_RUN</x:v>
      </x:c>
    </x:row>
    <x:row r="131">
      <x:c r="A131" s="47" t="str">
        <x:v>IMO-079</x:v>
      </x:c>
      <x:c r="B131" s="48" t="str">
        <x:v>International Code for Ships Operating in Polar Waters (Polar Code)</x:v>
      </x:c>
      <x:c r="C131" s="47" t="str">
        <x:v>Resolution MSC.385(94), adopted 21 Nov 2014; consolidated with MEPC.264(68), adopted 15 May 2015</x:v>
      </x:c>
      <x:c r="D131" s="59" t="n">
        <x:v>25</x:v>
      </x:c>
      <x:c r="E131" s="47" t="str">
        <x:v>8.3.3.4</x:v>
      </x:c>
      <x:c r="F131" s="47" t="str">
        <x:v>Static Calculation</x:v>
      </x:c>
      <x:c r="G131" s="48" t="str">
        <x:v>Stage 2 candidate - direct/deterministic</x:v>
      </x:c>
      <x:c r="H131" s="47" t="str">
        <x:v>High</x:v>
      </x:c>
      <x:c r="I131" s="47" t="str">
        <x:v>No</x:v>
      </x:c>
      <x:c r="J131" s="47" t="str">
        <x:v>ELIGIBLE</x:v>
      </x:c>
      <x:c r="K131" s="47" t="str">
        <x:v>NOT_RUN</x:v>
      </x:c>
    </x:row>
    <x:row r="132">
      <x:c r="A132" s="47" t="str">
        <x:v>IMO-080</x:v>
      </x:c>
      <x:c r="B132" s="48" t="str">
        <x:v>International Code for Ships Operating in Polar Waters (Polar Code)</x:v>
      </x:c>
      <x:c r="C132" s="47" t="str">
        <x:v>Resolution MSC.385(94), adopted 21 Nov 2014; consolidated with MEPC.264(68), adopted 15 May 2015</x:v>
      </x:c>
      <x:c r="D132" s="59" t="n">
        <x:v>26</x:v>
      </x:c>
      <x:c r="E132" s="47" t="str">
        <x:v>9.3.1</x:v>
      </x:c>
      <x:c r="F132" s="47" t="str">
        <x:v>Dynamic</x:v>
      </x:c>
      <x:c r="G132" s="48" t="str">
        <x:v>Deferred - observation/history/simulation design required</x:v>
      </x:c>
      <x:c r="H132" s="47" t="str">
        <x:v>Medium</x:v>
      </x:c>
      <x:c r="I132" s="47" t="str">
        <x:v>No</x:v>
      </x:c>
      <x:c r="J132" s="47" t="str">
        <x:v>DEFERRED</x:v>
      </x:c>
      <x:c r="K132" s="47" t="str">
        <x:v>NOT_RUN</x:v>
      </x:c>
    </x:row>
    <x:row r="133">
      <x:c r="A133" s="47" t="str">
        <x:v>IMO-081</x:v>
      </x:c>
      <x:c r="B133" s="48" t="str">
        <x:v>International Code for Ships Operating in Polar Waters (Polar Code)</x:v>
      </x:c>
      <x:c r="C133" s="47" t="str">
        <x:v>Resolution MSC.385(94), adopted 21 Nov 2014; consolidated with MEPC.264(68), adopted 15 May 2015</x:v>
      </x:c>
      <x:c r="D133" s="59" t="n">
        <x:v>26</x:v>
      </x:c>
      <x:c r="E133" s="47" t="str">
        <x:v>9.3.2.1.1</x:v>
      </x:c>
      <x:c r="F133" s="47" t="str">
        <x:v>Static</x:v>
      </x:c>
      <x:c r="G133" s="48" t="str">
        <x:v>Stage 2 candidate - direct/deterministic</x:v>
      </x:c>
      <x:c r="H133" s="47" t="str">
        <x:v>High</x:v>
      </x:c>
      <x:c r="I133" s="47" t="str">
        <x:v>No</x:v>
      </x:c>
      <x:c r="J133" s="47" t="str">
        <x:v>ELIGIBLE</x:v>
      </x:c>
      <x:c r="K133" s="47" t="str">
        <x:v>NOT_RUN</x:v>
      </x:c>
    </x:row>
    <x:row r="134">
      <x:c r="A134" s="47" t="str">
        <x:v>IMO-082</x:v>
      </x:c>
      <x:c r="B134" s="48" t="str">
        <x:v>International Code for Ships Operating in Polar Waters (Polar Code)</x:v>
      </x:c>
      <x:c r="C134" s="47" t="str">
        <x:v>Resolution MSC.385(94), adopted 21 Nov 2014; consolidated with MEPC.264(68), adopted 15 May 2015</x:v>
      </x:c>
      <x:c r="D134" s="59" t="n">
        <x:v>26</x:v>
      </x:c>
      <x:c r="E134" s="47" t="str">
        <x:v>9.3.2.1.2</x:v>
      </x:c>
      <x:c r="F134" s="47" t="str">
        <x:v>Static</x:v>
      </x:c>
      <x:c r="G134" s="48" t="str">
        <x:v>Stage 2 candidate - direct/deterministic</x:v>
      </x:c>
      <x:c r="H134" s="47" t="str">
        <x:v>Medium</x:v>
      </x:c>
      <x:c r="I134" s="47" t="str">
        <x:v>No</x:v>
      </x:c>
      <x:c r="J134" s="47" t="str">
        <x:v>ELIGIBLE</x:v>
      </x:c>
      <x:c r="K134" s="47" t="str">
        <x:v>NOT_RUN</x:v>
      </x:c>
    </x:row>
    <x:row r="135">
      <x:c r="A135" s="47" t="str">
        <x:v>IMO-083</x:v>
      </x:c>
      <x:c r="B135" s="48" t="str">
        <x:v>International Code for Ships Operating in Polar Waters (Polar Code)</x:v>
      </x:c>
      <x:c r="C135" s="47" t="str">
        <x:v>Resolution MSC.385(94), adopted 21 Nov 2014; consolidated with MEPC.264(68), adopted 15 May 2015</x:v>
      </x:c>
      <x:c r="D135" s="59" t="n">
        <x:v>27</x:v>
      </x:c>
      <x:c r="E135" s="47" t="str">
        <x:v>9.3.2.1.3</x:v>
      </x:c>
      <x:c r="F135" s="47" t="str">
        <x:v>Static</x:v>
      </x:c>
      <x:c r="G135" s="48" t="str">
        <x:v>Stage 2 candidate - direct/deterministic</x:v>
      </x:c>
      <x:c r="H135" s="47" t="str">
        <x:v>High</x:v>
      </x:c>
      <x:c r="I135" s="47" t="str">
        <x:v>No</x:v>
      </x:c>
      <x:c r="J135" s="47" t="str">
        <x:v>ELIGIBLE</x:v>
      </x:c>
      <x:c r="K135" s="47" t="str">
        <x:v>NOT_RUN</x:v>
      </x:c>
    </x:row>
    <x:row r="136">
      <x:c r="A136" s="47" t="str">
        <x:v>IMO-084</x:v>
      </x:c>
      <x:c r="B136" s="48" t="str">
        <x:v>International Code for Ships Operating in Polar Waters (Polar Code)</x:v>
      </x:c>
      <x:c r="C136" s="47" t="str">
        <x:v>Resolution MSC.385(94), adopted 21 Nov 2014; consolidated with MEPC.264(68), adopted 15 May 2015</x:v>
      </x:c>
      <x:c r="D136" s="59" t="n">
        <x:v>27</x:v>
      </x:c>
      <x:c r="E136" s="47" t="str">
        <x:v>9.3.2.1.4.1</x:v>
      </x:c>
      <x:c r="F136" s="47" t="str">
        <x:v>Static</x:v>
      </x:c>
      <x:c r="G136" s="48" t="str">
        <x:v>Stage 2 candidate - direct/deterministic</x:v>
      </x:c>
      <x:c r="H136" s="47" t="str">
        <x:v>High</x:v>
      </x:c>
      <x:c r="I136" s="47" t="str">
        <x:v>No</x:v>
      </x:c>
      <x:c r="J136" s="47" t="str">
        <x:v>ELIGIBLE</x:v>
      </x:c>
      <x:c r="K136" s="47" t="str">
        <x:v>NOT_RUN</x:v>
      </x:c>
    </x:row>
    <x:row r="137">
      <x:c r="A137" s="47" t="str">
        <x:v>IMO-085</x:v>
      </x:c>
      <x:c r="B137" s="48" t="str">
        <x:v>International Code for Ships Operating in Polar Waters (Polar Code)</x:v>
      </x:c>
      <x:c r="C137" s="47" t="str">
        <x:v>Resolution MSC.385(94), adopted 21 Nov 2014; consolidated with MEPC.264(68), adopted 15 May 2015</x:v>
      </x:c>
      <x:c r="D137" s="59" t="n">
        <x:v>27</x:v>
      </x:c>
      <x:c r="E137" s="47" t="str">
        <x:v>9.3.2.1.4.2</x:v>
      </x:c>
      <x:c r="F137" s="47" t="str">
        <x:v>Static</x:v>
      </x:c>
      <x:c r="G137" s="48" t="str">
        <x:v>Stage 2 candidate - direct/deterministic</x:v>
      </x:c>
      <x:c r="H137" s="47" t="str">
        <x:v>High</x:v>
      </x:c>
      <x:c r="I137" s="47" t="str">
        <x:v>No</x:v>
      </x:c>
      <x:c r="J137" s="47" t="str">
        <x:v>ELIGIBLE</x:v>
      </x:c>
      <x:c r="K137" s="47" t="str">
        <x:v>NOT_RUN</x:v>
      </x:c>
    </x:row>
    <x:row r="138">
      <x:c r="A138" s="47" t="str">
        <x:v>IMO-086</x:v>
      </x:c>
      <x:c r="B138" s="48" t="str">
        <x:v>International Code for Ships Operating in Polar Waters (Polar Code)</x:v>
      </x:c>
      <x:c r="C138" s="47" t="str">
        <x:v>Resolution MSC.385(94), adopted 21 Nov 2014; consolidated with MEPC.264(68), adopted 15 May 2015</x:v>
      </x:c>
      <x:c r="D138" s="59" t="n">
        <x:v>27</x:v>
      </x:c>
      <x:c r="E138" s="47" t="str">
        <x:v>9.3.2.2.1</x:v>
      </x:c>
      <x:c r="F138" s="47" t="str">
        <x:v>Static</x:v>
      </x:c>
      <x:c r="G138" s="48" t="str">
        <x:v>Stage 2 candidate - direct/deterministic</x:v>
      </x:c>
      <x:c r="H138" s="47" t="str">
        <x:v>High</x:v>
      </x:c>
      <x:c r="I138" s="47" t="str">
        <x:v>No</x:v>
      </x:c>
      <x:c r="J138" s="47" t="str">
        <x:v>ELIGIBLE</x:v>
      </x:c>
      <x:c r="K138" s="47" t="str">
        <x:v>NOT_RUN</x:v>
      </x:c>
    </x:row>
    <x:row r="139">
      <x:c r="A139" s="47" t="str">
        <x:v>IMO-087</x:v>
      </x:c>
      <x:c r="B139" s="48" t="str">
        <x:v>International Code for Ships Operating in Polar Waters (Polar Code)</x:v>
      </x:c>
      <x:c r="C139" s="47" t="str">
        <x:v>Resolution MSC.385(94), adopted 21 Nov 2014; consolidated with MEPC.264(68), adopted 15 May 2015</x:v>
      </x:c>
      <x:c r="D139" s="59" t="n">
        <x:v>27</x:v>
      </x:c>
      <x:c r="E139" s="47" t="str">
        <x:v>9.3.2.2.2</x:v>
      </x:c>
      <x:c r="F139" s="47" t="str">
        <x:v>Static</x:v>
      </x:c>
      <x:c r="G139" s="48" t="str">
        <x:v>Stage 2 candidate - direct/deterministic</x:v>
      </x:c>
      <x:c r="H139" s="47" t="str">
        <x:v>High</x:v>
      </x:c>
      <x:c r="I139" s="47" t="str">
        <x:v>No</x:v>
      </x:c>
      <x:c r="J139" s="47" t="str">
        <x:v>ELIGIBLE</x:v>
      </x:c>
      <x:c r="K139" s="47" t="str">
        <x:v>NOT_RUN</x:v>
      </x:c>
    </x:row>
    <x:row r="140">
      <x:c r="A140" s="47" t="str">
        <x:v>IMO-088</x:v>
      </x:c>
      <x:c r="B140" s="48" t="str">
        <x:v>International Code for Ships Operating in Polar Waters (Polar Code)</x:v>
      </x:c>
      <x:c r="C140" s="47" t="str">
        <x:v>Resolution MSC.385(94), adopted 21 Nov 2014; consolidated with MEPC.264(68), adopted 15 May 2015</x:v>
      </x:c>
      <x:c r="D140" s="59" t="n">
        <x:v>27</x:v>
      </x:c>
      <x:c r="E140" s="47" t="str">
        <x:v>9.3.3.1</x:v>
      </x:c>
      <x:c r="F140" s="47" t="str">
        <x:v>Static</x:v>
      </x:c>
      <x:c r="G140" s="48" t="str">
        <x:v>Stage 2 candidate - direct/deterministic</x:v>
      </x:c>
      <x:c r="H140" s="47" t="str">
        <x:v>High</x:v>
      </x:c>
      <x:c r="I140" s="47" t="str">
        <x:v>No</x:v>
      </x:c>
      <x:c r="J140" s="47" t="str">
        <x:v>ELIGIBLE</x:v>
      </x:c>
      <x:c r="K140" s="47" t="str">
        <x:v>NOT_RUN</x:v>
      </x:c>
    </x:row>
    <x:row r="141">
      <x:c r="A141" s="47" t="str">
        <x:v>IMO-089</x:v>
      </x:c>
      <x:c r="B141" s="48" t="str">
        <x:v>International Code for Ships Operating in Polar Waters (Polar Code)</x:v>
      </x:c>
      <x:c r="C141" s="47" t="str">
        <x:v>Resolution MSC.385(94), adopted 21 Nov 2014; consolidated with MEPC.264(68), adopted 15 May 2015</x:v>
      </x:c>
      <x:c r="D141" s="59" t="n">
        <x:v>27</x:v>
      </x:c>
      <x:c r="E141" s="47" t="str">
        <x:v>9.3.3.2</x:v>
      </x:c>
      <x:c r="F141" s="47" t="str">
        <x:v>Static</x:v>
      </x:c>
      <x:c r="G141" s="48" t="str">
        <x:v>Stage 2 candidate - direct/deterministic</x:v>
      </x:c>
      <x:c r="H141" s="47" t="str">
        <x:v>High</x:v>
      </x:c>
      <x:c r="I141" s="47" t="str">
        <x:v>No</x:v>
      </x:c>
      <x:c r="J141" s="47" t="str">
        <x:v>ELIGIBLE</x:v>
      </x:c>
      <x:c r="K141" s="47" t="str">
        <x:v>NOT_RUN</x:v>
      </x:c>
    </x:row>
    <x:row r="142">
      <x:c r="A142" s="47" t="str">
        <x:v>IMO-090</x:v>
      </x:c>
      <x:c r="B142" s="48" t="str">
        <x:v>International Code for Ships Operating in Polar Waters (Polar Code)</x:v>
      </x:c>
      <x:c r="C142" s="47" t="str">
        <x:v>Resolution MSC.385(94), adopted 21 Nov 2014; consolidated with MEPC.264(68), adopted 15 May 2015</x:v>
      </x:c>
      <x:c r="D142" s="59" t="n">
        <x:v>28</x:v>
      </x:c>
      <x:c r="E142" s="47" t="str">
        <x:v>10.2.1.1</x:v>
      </x:c>
      <x:c r="F142" s="47" t="str">
        <x:v>Dynamic</x:v>
      </x:c>
      <x:c r="G142" s="48" t="str">
        <x:v>Deferred - observation/history/simulation design required</x:v>
      </x:c>
      <x:c r="H142" s="47" t="str">
        <x:v>Medium</x:v>
      </x:c>
      <x:c r="I142" s="47" t="str">
        <x:v>No</x:v>
      </x:c>
      <x:c r="J142" s="47" t="str">
        <x:v>DEFERRED</x:v>
      </x:c>
      <x:c r="K142" s="47" t="str">
        <x:v>NOT_RUN</x:v>
      </x:c>
    </x:row>
    <x:row r="143">
      <x:c r="A143" s="47" t="str">
        <x:v>IMO-091</x:v>
      </x:c>
      <x:c r="B143" s="48" t="str">
        <x:v>International Code for Ships Operating in Polar Waters (Polar Code)</x:v>
      </x:c>
      <x:c r="C143" s="47" t="str">
        <x:v>Resolution MSC.385(94), adopted 21 Nov 2014; consolidated with MEPC.264(68), adopted 15 May 2015</x:v>
      </x:c>
      <x:c r="D143" s="59" t="n">
        <x:v>28</x:v>
      </x:c>
      <x:c r="E143" s="47" t="str">
        <x:v>10.2.1.3</x:v>
      </x:c>
      <x:c r="F143" s="47" t="str">
        <x:v>Static</x:v>
      </x:c>
      <x:c r="G143" s="48" t="str">
        <x:v>Stage 2 candidate - direct/deterministic</x:v>
      </x:c>
      <x:c r="H143" s="47" t="str">
        <x:v>High</x:v>
      </x:c>
      <x:c r="I143" s="47" t="str">
        <x:v>No</x:v>
      </x:c>
      <x:c r="J143" s="47" t="str">
        <x:v>ELIGIBLE</x:v>
      </x:c>
      <x:c r="K143" s="47" t="str">
        <x:v>NOT_RUN</x:v>
      </x:c>
    </x:row>
    <x:row r="144">
      <x:c r="A144" s="47" t="str">
        <x:v>IMO-092</x:v>
      </x:c>
      <x:c r="B144" s="48" t="str">
        <x:v>International Code for Ships Operating in Polar Waters (Polar Code)</x:v>
      </x:c>
      <x:c r="C144" s="47" t="str">
        <x:v>Resolution MSC.385(94), adopted 21 Nov 2014; consolidated with MEPC.264(68), adopted 15 May 2015</x:v>
      </x:c>
      <x:c r="D144" s="59" t="n">
        <x:v>28</x:v>
      </x:c>
      <x:c r="E144" s="47" t="str">
        <x:v>10.2.1.4</x:v>
      </x:c>
      <x:c r="F144" s="47" t="str">
        <x:v>Static</x:v>
      </x:c>
      <x:c r="G144" s="48" t="str">
        <x:v>Stage 2 candidate - direct/deterministic</x:v>
      </x:c>
      <x:c r="H144" s="47" t="str">
        <x:v>High</x:v>
      </x:c>
      <x:c r="I144" s="47" t="str">
        <x:v>No</x:v>
      </x:c>
      <x:c r="J144" s="47" t="str">
        <x:v>ELIGIBLE</x:v>
      </x:c>
      <x:c r="K144" s="47" t="str">
        <x:v>NOT_RUN</x:v>
      </x:c>
    </x:row>
    <x:row r="145">
      <x:c r="A145" s="47" t="str">
        <x:v>IMO-093</x:v>
      </x:c>
      <x:c r="B145" s="48" t="str">
        <x:v>International Code for Ships Operating in Polar Waters (Polar Code)</x:v>
      </x:c>
      <x:c r="C145" s="47" t="str">
        <x:v>Resolution MSC.385(94), adopted 21 Nov 2014; consolidated with MEPC.264(68), adopted 15 May 2015</x:v>
      </x:c>
      <x:c r="D145" s="59" t="n">
        <x:v>28</x:v>
      </x:c>
      <x:c r="E145" s="47" t="str">
        <x:v>10.2.2.3</x:v>
      </x:c>
      <x:c r="F145" s="47" t="str">
        <x:v>Physical Test</x:v>
      </x:c>
      <x:c r="G145" s="48" t="str">
        <x:v>Evidence-only - physical result not inferred by SHACL</x:v>
      </x:c>
      <x:c r="H145" s="47" t="str">
        <x:v>Medium</x:v>
      </x:c>
      <x:c r="I145" s="47" t="str">
        <x:v>No</x:v>
      </x:c>
      <x:c r="J145" s="47" t="str">
        <x:v>DEFERRED</x:v>
      </x:c>
      <x:c r="K145" s="47" t="str">
        <x:v>NOT_RUN</x:v>
      </x:c>
    </x:row>
    <x:row r="146">
      <x:c r="A146" s="47" t="str">
        <x:v>IMO-094</x:v>
      </x:c>
      <x:c r="B146" s="48" t="str">
        <x:v>International Code for Ships Operating in Polar Waters (Polar Code)</x:v>
      </x:c>
      <x:c r="C146" s="47" t="str">
        <x:v>Resolution MSC.385(94), adopted 21 Nov 2014; consolidated with MEPC.264(68), adopted 15 May 2015</x:v>
      </x:c>
      <x:c r="D146" s="59" t="n">
        <x:v>28</x:v>
      </x:c>
      <x:c r="E146" s="47" t="str">
        <x:v>10.3.1.2</x:v>
      </x:c>
      <x:c r="F146" s="47" t="str">
        <x:v>Static</x:v>
      </x:c>
      <x:c r="G146" s="48" t="str">
        <x:v>Stage 2 candidate - direct/deterministic</x:v>
      </x:c>
      <x:c r="H146" s="47" t="str">
        <x:v>High</x:v>
      </x:c>
      <x:c r="I146" s="47" t="str">
        <x:v>No</x:v>
      </x:c>
      <x:c r="J146" s="47" t="str">
        <x:v>ELIGIBLE</x:v>
      </x:c>
      <x:c r="K146" s="47" t="str">
        <x:v>NOT_RUN</x:v>
      </x:c>
    </x:row>
    <x:row r="147">
      <x:c r="A147" s="47" t="str">
        <x:v>IMO-095</x:v>
      </x:c>
      <x:c r="B147" s="48" t="str">
        <x:v>International Code for Ships Operating in Polar Waters (Polar Code)</x:v>
      </x:c>
      <x:c r="C147" s="47" t="str">
        <x:v>Resolution MSC.385(94), adopted 21 Nov 2014; consolidated with MEPC.264(68), adopted 15 May 2015</x:v>
      </x:c>
      <x:c r="D147" s="59" t="n">
        <x:v>28</x:v>
      </x:c>
      <x:c r="E147" s="47" t="str">
        <x:v>10.3.1.3</x:v>
      </x:c>
      <x:c r="F147" s="47" t="str">
        <x:v>Static</x:v>
      </x:c>
      <x:c r="G147" s="48" t="str">
        <x:v>Stage 2 candidate - direct/deterministic</x:v>
      </x:c>
      <x:c r="H147" s="47" t="str">
        <x:v>High</x:v>
      </x:c>
      <x:c r="I147" s="47" t="str">
        <x:v>No</x:v>
      </x:c>
      <x:c r="J147" s="47" t="str">
        <x:v>ELIGIBLE</x:v>
      </x:c>
      <x:c r="K147" s="47" t="str">
        <x:v>NOT_RUN</x:v>
      </x:c>
    </x:row>
    <x:row r="148">
      <x:c r="A148" s="47" t="str">
        <x:v>IMO-096</x:v>
      </x:c>
      <x:c r="B148" s="48" t="str">
        <x:v>International Code for Ships Operating in Polar Waters (Polar Code)</x:v>
      </x:c>
      <x:c r="C148" s="47" t="str">
        <x:v>Resolution MSC.385(94), adopted 21 Nov 2014; consolidated with MEPC.264(68), adopted 15 May 2015</x:v>
      </x:c>
      <x:c r="D148" s="59" t="n">
        <x:v>28</x:v>
      </x:c>
      <x:c r="E148" s="47" t="str">
        <x:v>10.3.1.4</x:v>
      </x:c>
      <x:c r="F148" s="47" t="str">
        <x:v>Static</x:v>
      </x:c>
      <x:c r="G148" s="48" t="str">
        <x:v>Stage 2 candidate - direct/deterministic</x:v>
      </x:c>
      <x:c r="H148" s="47" t="str">
        <x:v>High</x:v>
      </x:c>
      <x:c r="I148" s="47" t="str">
        <x:v>No</x:v>
      </x:c>
      <x:c r="J148" s="47" t="str">
        <x:v>ELIGIBLE</x:v>
      </x:c>
      <x:c r="K148" s="47" t="str">
        <x:v>NOT_RUN</x:v>
      </x:c>
    </x:row>
    <x:row r="149">
      <x:c r="A149" s="47" t="str">
        <x:v>IMO-097</x:v>
      </x:c>
      <x:c r="B149" s="48" t="str">
        <x:v>International Code for Ships Operating in Polar Waters (Polar Code)</x:v>
      </x:c>
      <x:c r="C149" s="47" t="str">
        <x:v>Resolution MSC.385(94), adopted 21 Nov 2014; consolidated with MEPC.264(68), adopted 15 May 2015</x:v>
      </x:c>
      <x:c r="D149" s="59" t="n">
        <x:v>29</x:v>
      </x:c>
      <x:c r="E149" s="47" t="str">
        <x:v>10.3.2.1</x:v>
      </x:c>
      <x:c r="F149" s="47" t="str">
        <x:v>Static</x:v>
      </x:c>
      <x:c r="G149" s="48" t="str">
        <x:v>Stage 2 candidate - direct/deterministic</x:v>
      </x:c>
      <x:c r="H149" s="47" t="str">
        <x:v>High</x:v>
      </x:c>
      <x:c r="I149" s="47" t="str">
        <x:v>No</x:v>
      </x:c>
      <x:c r="J149" s="47" t="str">
        <x:v>ELIGIBLE</x:v>
      </x:c>
      <x:c r="K149" s="47" t="str">
        <x:v>NOT_RUN</x:v>
      </x:c>
    </x:row>
    <x:row r="150">
      <x:c r="A150" s="47" t="str">
        <x:v>IMO-098</x:v>
      </x:c>
      <x:c r="B150" s="48" t="str">
        <x:v>International Code for Ships Operating in Polar Waters (Polar Code)</x:v>
      </x:c>
      <x:c r="C150" s="47" t="str">
        <x:v>Resolution MSC.385(94), adopted 21 Nov 2014; consolidated with MEPC.264(68), adopted 15 May 2015</x:v>
      </x:c>
      <x:c r="D150" s="59" t="n">
        <x:v>29</x:v>
      </x:c>
      <x:c r="E150" s="47" t="str">
        <x:v>10.3.2.2</x:v>
      </x:c>
      <x:c r="F150" s="47" t="str">
        <x:v>Static</x:v>
      </x:c>
      <x:c r="G150" s="48" t="str">
        <x:v>Stage 2 candidate - direct/deterministic</x:v>
      </x:c>
      <x:c r="H150" s="47" t="str">
        <x:v>High</x:v>
      </x:c>
      <x:c r="I150" s="47" t="str">
        <x:v>No</x:v>
      </x:c>
      <x:c r="J150" s="47" t="str">
        <x:v>ELIGIBLE</x:v>
      </x:c>
      <x:c r="K150" s="47" t="str">
        <x:v>NOT_RUN</x:v>
      </x:c>
    </x:row>
    <x:row r="151">
      <x:c r="A151" s="47" t="str">
        <x:v>IMO-099</x:v>
      </x:c>
      <x:c r="B151" s="48" t="str">
        <x:v>International Code for Ships Operating in Polar Waters (Polar Code)</x:v>
      </x:c>
      <x:c r="C151" s="47" t="str">
        <x:v>Resolution MSC.385(94), adopted 21 Nov 2014; consolidated with MEPC.264(68), adopted 15 May 2015</x:v>
      </x:c>
      <x:c r="D151" s="59" t="n">
        <x:v>29</x:v>
      </x:c>
      <x:c r="E151" s="47" t="str">
        <x:v>10.3.2.3</x:v>
      </x:c>
      <x:c r="F151" s="47" t="str">
        <x:v>Static</x:v>
      </x:c>
      <x:c r="G151" s="48" t="str">
        <x:v>Stage 2 candidate - direct static</x:v>
      </x:c>
      <x:c r="H151" s="47" t="str">
        <x:v>Direct static</x:v>
      </x:c>
      <x:c r="I151" s="47" t="str">
        <x:v>No</x:v>
      </x:c>
      <x:c r="J151" s="47" t="str">
        <x:v>ELIGIBLE</x:v>
      </x:c>
      <x:c r="K151" s="47" t="str">
        <x:v>NOT_RUN</x:v>
      </x:c>
    </x:row>
    <x:row r="152">
      <x:c r="A152" s="47" t="str">
        <x:v>IMO-100</x:v>
      </x:c>
      <x:c r="B152" s="48" t="str">
        <x:v>International Code for Ships Operating in Polar Waters (Polar Code)</x:v>
      </x:c>
      <x:c r="C152" s="47" t="str">
        <x:v>Resolution MSC.385(94), adopted 21 Nov 2014; consolidated with MEPC.264(68), adopted 15 May 2015</x:v>
      </x:c>
      <x:c r="D152" s="59" t="n">
        <x:v>29</x:v>
      </x:c>
      <x:c r="E152" s="47" t="str">
        <x:v>11.2</x:v>
      </x:c>
      <x:c r="F152" s="47" t="str">
        <x:v>Static</x:v>
      </x:c>
      <x:c r="G152" s="48" t="str">
        <x:v>Stage 2 candidate - direct static</x:v>
      </x:c>
      <x:c r="H152" s="47" t="str">
        <x:v>Direct static</x:v>
      </x:c>
      <x:c r="I152" s="47" t="str">
        <x:v>No</x:v>
      </x:c>
      <x:c r="J152" s="47" t="str">
        <x:v>ELIGIBLE</x:v>
      </x:c>
      <x:c r="K152" s="47" t="str">
        <x:v>NOT_RUN</x:v>
      </x:c>
    </x:row>
    <x:row r="153">
      <x:c r="A153" s="47" t="str">
        <x:v>IMO-101</x:v>
      </x:c>
      <x:c r="B153" s="48" t="str">
        <x:v>International Code for Ships Operating in Polar Waters (Polar Code)</x:v>
      </x:c>
      <x:c r="C153" s="47" t="str">
        <x:v>Resolution MSC.385(94), adopted 21 Nov 2014; consolidated with MEPC.264(68), adopted 15 May 2015</x:v>
      </x:c>
      <x:c r="D153" s="59" t="str">
        <x:v>29-30</x:v>
      </x:c>
      <x:c r="E153" s="47" t="str">
        <x:v>11.3.1-11.3.9</x:v>
      </x:c>
      <x:c r="F153" s="47" t="str">
        <x:v>Static</x:v>
      </x:c>
      <x:c r="G153" s="48" t="str">
        <x:v>Stage 2 candidate - direct static</x:v>
      </x:c>
      <x:c r="H153" s="47" t="str">
        <x:v>Direct static</x:v>
      </x:c>
      <x:c r="I153" s="47" t="str">
        <x:v>No</x:v>
      </x:c>
      <x:c r="J153" s="47" t="str">
        <x:v>ELIGIBLE</x:v>
      </x:c>
      <x:c r="K153" s="47" t="str">
        <x:v>NOT_RUN</x:v>
      </x:c>
    </x:row>
    <x:row r="154">
      <x:c r="A154" s="47" t="str">
        <x:v>IMO-102</x:v>
      </x:c>
      <x:c r="B154" s="48" t="str">
        <x:v>International Code for Ships Operating in Polar Waters (Polar Code)</x:v>
      </x:c>
      <x:c r="C154" s="47" t="str">
        <x:v>Resolution MSC.385(94), adopted 21 Nov 2014; consolidated with MEPC.264(68), adopted 15 May 2015</x:v>
      </x:c>
      <x:c r="D154" s="59" t="n">
        <x:v>30</x:v>
      </x:c>
      <x:c r="E154" s="47" t="str">
        <x:v>12.3.1</x:v>
      </x:c>
      <x:c r="F154" s="47" t="str">
        <x:v>Static</x:v>
      </x:c>
      <x:c r="G154" s="48" t="str">
        <x:v>Stage 2 candidate - direct/deterministic</x:v>
      </x:c>
      <x:c r="H154" s="47" t="str">
        <x:v>High</x:v>
      </x:c>
      <x:c r="I154" s="47" t="str">
        <x:v>No</x:v>
      </x:c>
      <x:c r="J154" s="47" t="str">
        <x:v>ELIGIBLE</x:v>
      </x:c>
      <x:c r="K154" s="47" t="str">
        <x:v>NOT_RUN</x:v>
      </x:c>
    </x:row>
    <x:row r="155">
      <x:c r="A155" s="47" t="str">
        <x:v>IMO-103</x:v>
      </x:c>
      <x:c r="B155" s="48" t="str">
        <x:v>International Code for Ships Operating in Polar Waters (Polar Code)</x:v>
      </x:c>
      <x:c r="C155" s="47" t="str">
        <x:v>Resolution MSC.385(94), adopted 21 Nov 2014; consolidated with MEPC.264(68), adopted 15 May 2015</x:v>
      </x:c>
      <x:c r="D155" s="59" t="n">
        <x:v>31</x:v>
      </x:c>
      <x:c r="E155" s="47" t="str">
        <x:v>12.3.2</x:v>
      </x:c>
      <x:c r="F155" s="47" t="str">
        <x:v>Static</x:v>
      </x:c>
      <x:c r="G155" s="48" t="str">
        <x:v>Stage 2 candidate - direct static</x:v>
      </x:c>
      <x:c r="H155" s="47" t="str">
        <x:v>Direct static</x:v>
      </x:c>
      <x:c r="I155" s="47" t="str">
        <x:v>No</x:v>
      </x:c>
      <x:c r="J155" s="47" t="str">
        <x:v>ELIGIBLE</x:v>
      </x:c>
      <x:c r="K155" s="47" t="str">
        <x:v>NOT_RUN</x:v>
      </x:c>
    </x:row>
    <x:row r="156">
      <x:c r="A156" s="47" t="str">
        <x:v>IMO-104</x:v>
      </x:c>
      <x:c r="B156" s="48" t="str">
        <x:v>International Code for Ships Operating in Polar Waters (Polar Code)</x:v>
      </x:c>
      <x:c r="C156" s="47" t="str">
        <x:v>Resolution MSC.385(94), adopted 21 Nov 2014; consolidated with MEPC.264(68), adopted 15 May 2015</x:v>
      </x:c>
      <x:c r="D156" s="59" t="n">
        <x:v>31</x:v>
      </x:c>
      <x:c r="E156" s="47" t="str">
        <x:v>12.3.4</x:v>
      </x:c>
      <x:c r="F156" s="47" t="str">
        <x:v>Static</x:v>
      </x:c>
      <x:c r="G156" s="48" t="str">
        <x:v>Stage 2 candidate - direct/deterministic</x:v>
      </x:c>
      <x:c r="H156" s="47" t="str">
        <x:v>High</x:v>
      </x:c>
      <x:c r="I156" s="47" t="str">
        <x:v>No</x:v>
      </x:c>
      <x:c r="J156" s="47" t="str">
        <x:v>ELIGIBLE</x:v>
      </x:c>
      <x:c r="K156" s="47" t="str">
        <x:v>NOT_RUN</x:v>
      </x:c>
    </x:row>
    <x:row r="157">
      <x:c r="A157" s="47" t="str">
        <x:v>IMO-105</x:v>
      </x:c>
      <x:c r="B157" s="48" t="str">
        <x:v>International Code for Ships Operating in Polar Waters (Polar Code)</x:v>
      </x:c>
      <x:c r="C157" s="47" t="str">
        <x:v>Resolution MSC.385(94), adopted 21 Nov 2014; consolidated with MEPC.264(68), adopted 15 May 2015</x:v>
      </x:c>
      <x:c r="D157" s="59" t="n">
        <x:v>41</x:v>
      </x:c>
      <x:c r="E157" s="47" t="str">
        <x:v>1.1.1</x:v>
      </x:c>
      <x:c r="F157" s="47" t="str">
        <x:v>Static</x:v>
      </x:c>
      <x:c r="G157" s="48" t="str">
        <x:v>Stage 2 candidate - direct/deterministic</x:v>
      </x:c>
      <x:c r="H157" s="47" t="str">
        <x:v>High</x:v>
      </x:c>
      <x:c r="I157" s="47" t="str">
        <x:v>No</x:v>
      </x:c>
      <x:c r="J157" s="47" t="str">
        <x:v>ELIGIBLE</x:v>
      </x:c>
      <x:c r="K157" s="47" t="str">
        <x:v>NOT_RUN</x:v>
      </x:c>
    </x:row>
    <x:row r="158">
      <x:c r="A158" s="47" t="str">
        <x:v>IMO-106</x:v>
      </x:c>
      <x:c r="B158" s="48" t="str">
        <x:v>International Code for Ships Operating in Polar Waters (Polar Code)</x:v>
      </x:c>
      <x:c r="C158" s="47" t="str">
        <x:v>Resolution MSC.385(94), adopted 21 Nov 2014; consolidated with MEPC.264(68), adopted 15 May 2015</x:v>
      </x:c>
      <x:c r="D158" s="59" t="n">
        <x:v>41</x:v>
      </x:c>
      <x:c r="E158" s="47" t="str">
        <x:v>1.1.2</x:v>
      </x:c>
      <x:c r="F158" s="47" t="str">
        <x:v>Static</x:v>
      </x:c>
      <x:c r="G158" s="48" t="str">
        <x:v>Stage 2 candidate - direct/deterministic</x:v>
      </x:c>
      <x:c r="H158" s="47" t="str">
        <x:v>High</x:v>
      </x:c>
      <x:c r="I158" s="47" t="str">
        <x:v>No</x:v>
      </x:c>
      <x:c r="J158" s="47" t="str">
        <x:v>ELIGIBLE</x:v>
      </x:c>
      <x:c r="K158" s="47" t="str">
        <x:v>NOT_RUN</x:v>
      </x:c>
    </x:row>
    <x:row r="159">
      <x:c r="A159" s="47" t="str">
        <x:v>IMO-107</x:v>
      </x:c>
      <x:c r="B159" s="48" t="str">
        <x:v>International Code for Ships Operating in Polar Waters (Polar Code)</x:v>
      </x:c>
      <x:c r="C159" s="47" t="str">
        <x:v>Resolution MSC.385(94), adopted 21 Nov 2014; consolidated with MEPC.264(68), adopted 15 May 2015</x:v>
      </x:c>
      <x:c r="D159" s="59" t="n">
        <x:v>41</x:v>
      </x:c>
      <x:c r="E159" s="47" t="str">
        <x:v>1.1.4</x:v>
      </x:c>
      <x:c r="F159" s="47" t="str">
        <x:v>Static</x:v>
      </x:c>
      <x:c r="G159" s="48" t="str">
        <x:v>Stage 2 candidate - direct/deterministic</x:v>
      </x:c>
      <x:c r="H159" s="47" t="str">
        <x:v>High</x:v>
      </x:c>
      <x:c r="I159" s="47" t="str">
        <x:v>No</x:v>
      </x:c>
      <x:c r="J159" s="47" t="str">
        <x:v>ELIGIBLE</x:v>
      </x:c>
      <x:c r="K159" s="47" t="str">
        <x:v>NOT_RUN</x:v>
      </x:c>
    </x:row>
    <x:row r="160">
      <x:c r="A160" s="47" t="str">
        <x:v>IMO-108</x:v>
      </x:c>
      <x:c r="B160" s="48" t="str">
        <x:v>International Code for Ships Operating in Polar Waters (Polar Code)</x:v>
      </x:c>
      <x:c r="C160" s="47" t="str">
        <x:v>Resolution MSC.385(94), adopted 21 Nov 2014; consolidated with MEPC.264(68), adopted 15 May 2015</x:v>
      </x:c>
      <x:c r="D160" s="59" t="n">
        <x:v>41</x:v>
      </x:c>
      <x:c r="E160" s="47" t="str">
        <x:v>1.2.1</x:v>
      </x:c>
      <x:c r="F160" s="47" t="str">
        <x:v>Static</x:v>
      </x:c>
      <x:c r="G160" s="48" t="str">
        <x:v>Stage 2 candidate - direct static</x:v>
      </x:c>
      <x:c r="H160" s="47" t="str">
        <x:v>Direct static</x:v>
      </x:c>
      <x:c r="I160" s="47" t="str">
        <x:v>No</x:v>
      </x:c>
      <x:c r="J160" s="47" t="str">
        <x:v>ELIGIBLE</x:v>
      </x:c>
      <x:c r="K160" s="47" t="str">
        <x:v>NOT_RUN</x:v>
      </x:c>
    </x:row>
    <x:row r="161">
      <x:c r="A161" s="47" t="str">
        <x:v>IMO-109</x:v>
      </x:c>
      <x:c r="B161" s="48" t="str">
        <x:v>International Code for Ships Operating in Polar Waters (Polar Code)</x:v>
      </x:c>
      <x:c r="C161" s="47" t="str">
        <x:v>Resolution MSC.385(94), adopted 21 Nov 2014; consolidated with MEPC.264(68), adopted 15 May 2015</x:v>
      </x:c>
      <x:c r="D161" s="59" t="n">
        <x:v>41</x:v>
      </x:c>
      <x:c r="E161" s="47" t="str">
        <x:v>1.2.2</x:v>
      </x:c>
      <x:c r="F161" s="47" t="str">
        <x:v>Static</x:v>
      </x:c>
      <x:c r="G161" s="48" t="str">
        <x:v>Stage 2 candidate - direct static</x:v>
      </x:c>
      <x:c r="H161" s="47" t="str">
        <x:v>Direct static</x:v>
      </x:c>
      <x:c r="I161" s="47" t="str">
        <x:v>No</x:v>
      </x:c>
      <x:c r="J161" s="47" t="str">
        <x:v>ELIGIBLE</x:v>
      </x:c>
      <x:c r="K161" s="47" t="str">
        <x:v>NOT_RUN</x:v>
      </x:c>
    </x:row>
    <x:row r="162">
      <x:c r="A162" s="47" t="str">
        <x:v>IMO-110</x:v>
      </x:c>
      <x:c r="B162" s="48" t="str">
        <x:v>International Code for Ships Operating in Polar Waters (Polar Code)</x:v>
      </x:c>
      <x:c r="C162" s="47" t="str">
        <x:v>Resolution MSC.385(94), adopted 21 Nov 2014; consolidated with MEPC.264(68), adopted 15 May 2015</x:v>
      </x:c>
      <x:c r="D162" s="59" t="n">
        <x:v>41</x:v>
      </x:c>
      <x:c r="E162" s="47" t="str">
        <x:v>1.2.3</x:v>
      </x:c>
      <x:c r="F162" s="47" t="str">
        <x:v>Static</x:v>
      </x:c>
      <x:c r="G162" s="48" t="str">
        <x:v>Stage 2 candidate - direct static</x:v>
      </x:c>
      <x:c r="H162" s="47" t="str">
        <x:v>Direct static</x:v>
      </x:c>
      <x:c r="I162" s="47" t="str">
        <x:v>No</x:v>
      </x:c>
      <x:c r="J162" s="47" t="str">
        <x:v>ELIGIBLE</x:v>
      </x:c>
      <x:c r="K162" s="47" t="str">
        <x:v>NOT_RUN</x:v>
      </x:c>
    </x:row>
    <x:row r="163">
      <x:c r="A163" s="47" t="str">
        <x:v>IMO-111</x:v>
      </x:c>
      <x:c r="B163" s="48" t="str">
        <x:v>International Code for Ships Operating in Polar Waters (Polar Code)</x:v>
      </x:c>
      <x:c r="C163" s="47" t="str">
        <x:v>Resolution MSC.385(94), adopted 21 Nov 2014; consolidated with MEPC.264(68), adopted 15 May 2015</x:v>
      </x:c>
      <x:c r="D163" s="59" t="n">
        <x:v>41</x:v>
      </x:c>
      <x:c r="E163" s="47" t="str">
        <x:v>1.2.4</x:v>
      </x:c>
      <x:c r="F163" s="47" t="str">
        <x:v>Static</x:v>
      </x:c>
      <x:c r="G163" s="48" t="str">
        <x:v>Stage 2 candidate - direct static</x:v>
      </x:c>
      <x:c r="H163" s="47" t="str">
        <x:v>Direct static</x:v>
      </x:c>
      <x:c r="I163" s="47" t="str">
        <x:v>No</x:v>
      </x:c>
      <x:c r="J163" s="47" t="str">
        <x:v>ELIGIBLE</x:v>
      </x:c>
      <x:c r="K163" s="47" t="str">
        <x:v>NOT_RUN</x:v>
      </x:c>
    </x:row>
    <x:row r="164">
      <x:c r="A164" s="47" t="str">
        <x:v>IMO-112</x:v>
      </x:c>
      <x:c r="B164" s="48" t="str">
        <x:v>International Code for Ships Operating in Polar Waters (Polar Code)</x:v>
      </x:c>
      <x:c r="C164" s="47" t="str">
        <x:v>Resolution MSC.385(94), adopted 21 Nov 2014; consolidated with MEPC.264(68), adopted 15 May 2015</x:v>
      </x:c>
      <x:c r="D164" s="59" t="n">
        <x:v>42</x:v>
      </x:c>
      <x:c r="E164" s="47" t="str">
        <x:v>2.1.1</x:v>
      </x:c>
      <x:c r="F164" s="47" t="str">
        <x:v>Static</x:v>
      </x:c>
      <x:c r="G164" s="48" t="str">
        <x:v>Stage 2 candidate - direct/deterministic</x:v>
      </x:c>
      <x:c r="H164" s="47" t="str">
        <x:v>High</x:v>
      </x:c>
      <x:c r="I164" s="47" t="str">
        <x:v>No</x:v>
      </x:c>
      <x:c r="J164" s="47" t="str">
        <x:v>ELIGIBLE</x:v>
      </x:c>
      <x:c r="K164" s="47" t="str">
        <x:v>NOT_RUN</x:v>
      </x:c>
    </x:row>
    <x:row r="165">
      <x:c r="A165" s="47" t="str">
        <x:v>IMO-113</x:v>
      </x:c>
      <x:c r="B165" s="48" t="str">
        <x:v>International Code for Ships Operating in Polar Waters (Polar Code)</x:v>
      </x:c>
      <x:c r="C165" s="47" t="str">
        <x:v>Resolution MSC.385(94), adopted 21 Nov 2014; consolidated with MEPC.264(68), adopted 15 May 2015</x:v>
      </x:c>
      <x:c r="D165" s="59" t="n">
        <x:v>42</x:v>
      </x:c>
      <x:c r="E165" s="47" t="str">
        <x:v>2.1.2</x:v>
      </x:c>
      <x:c r="F165" s="47" t="str">
        <x:v>Static</x:v>
      </x:c>
      <x:c r="G165" s="48" t="str">
        <x:v>Stage 2 candidate - direct/deterministic</x:v>
      </x:c>
      <x:c r="H165" s="47" t="str">
        <x:v>High</x:v>
      </x:c>
      <x:c r="I165" s="47" t="str">
        <x:v>No</x:v>
      </x:c>
      <x:c r="J165" s="47" t="str">
        <x:v>ELIGIBLE</x:v>
      </x:c>
      <x:c r="K165" s="47" t="str">
        <x:v>NOT_RUN</x:v>
      </x:c>
    </x:row>
    <x:row r="166">
      <x:c r="A166" s="47" t="str">
        <x:v>IMO-114</x:v>
      </x:c>
      <x:c r="B166" s="48" t="str">
        <x:v>International Code for Ships Operating in Polar Waters (Polar Code)</x:v>
      </x:c>
      <x:c r="C166" s="47" t="str">
        <x:v>Resolution MSC.385(94), adopted 21 Nov 2014; consolidated with MEPC.264(68), adopted 15 May 2015</x:v>
      </x:c>
      <x:c r="D166" s="59" t="n">
        <x:v>42</x:v>
      </x:c>
      <x:c r="E166" s="47" t="str">
        <x:v>2.1.3</x:v>
      </x:c>
      <x:c r="F166" s="47" t="str">
        <x:v>Static</x:v>
      </x:c>
      <x:c r="G166" s="48" t="str">
        <x:v>Stage 2 candidate - direct static</x:v>
      </x:c>
      <x:c r="H166" s="47" t="str">
        <x:v>Direct static</x:v>
      </x:c>
      <x:c r="I166" s="47" t="str">
        <x:v>No</x:v>
      </x:c>
      <x:c r="J166" s="47" t="str">
        <x:v>ELIGIBLE</x:v>
      </x:c>
      <x:c r="K166" s="47" t="str">
        <x:v>NOT_RUN</x:v>
      </x:c>
    </x:row>
    <x:row r="167">
      <x:c r="A167" s="47" t="str">
        <x:v>IMO-115</x:v>
      </x:c>
      <x:c r="B167" s="48" t="str">
        <x:v>International Code for Ships Operating in Polar Waters (Polar Code)</x:v>
      </x:c>
      <x:c r="C167" s="47" t="str">
        <x:v>Resolution MSC.385(94), adopted 21 Nov 2014; consolidated with MEPC.264(68), adopted 15 May 2015</x:v>
      </x:c>
      <x:c r="D167" s="59" t="n">
        <x:v>42</x:v>
      </x:c>
      <x:c r="E167" s="47" t="str">
        <x:v>4.2.1.1</x:v>
      </x:c>
      <x:c r="F167" s="47" t="str">
        <x:v>Static</x:v>
      </x:c>
      <x:c r="G167" s="48" t="str">
        <x:v>Stage 2 candidate - direct static</x:v>
      </x:c>
      <x:c r="H167" s="47" t="str">
        <x:v>Direct static</x:v>
      </x:c>
      <x:c r="I167" s="47" t="str">
        <x:v>No</x:v>
      </x:c>
      <x:c r="J167" s="47" t="str">
        <x:v>ELIGIBLE</x:v>
      </x:c>
      <x:c r="K167" s="47" t="str">
        <x:v>NOT_RUN</x:v>
      </x:c>
    </x:row>
    <x:row r="168">
      <x:c r="A168" s="47" t="str">
        <x:v>IMO-116</x:v>
      </x:c>
      <x:c r="B168" s="48" t="str">
        <x:v>International Code for Ships Operating in Polar Waters (Polar Code)</x:v>
      </x:c>
      <x:c r="C168" s="47" t="str">
        <x:v>Resolution MSC.385(94), adopted 21 Nov 2014; consolidated with MEPC.264(68), adopted 15 May 2015</x:v>
      </x:c>
      <x:c r="D168" s="59" t="n">
        <x:v>42</x:v>
      </x:c>
      <x:c r="E168" s="47" t="str">
        <x:v>4.2.1.2</x:v>
      </x:c>
      <x:c r="F168" s="47" t="str">
        <x:v>Static</x:v>
      </x:c>
      <x:c r="G168" s="48" t="str">
        <x:v>Stage 2 candidate - direct static</x:v>
      </x:c>
      <x:c r="H168" s="47" t="str">
        <x:v>Direct static</x:v>
      </x:c>
      <x:c r="I168" s="47" t="str">
        <x:v>No</x:v>
      </x:c>
      <x:c r="J168" s="47" t="str">
        <x:v>ELIGIBLE</x:v>
      </x:c>
      <x:c r="K168" s="47" t="str">
        <x:v>NOT_RUN</x:v>
      </x:c>
    </x:row>
    <x:row r="169">
      <x:c r="A169" s="47" t="str">
        <x:v>IMO-117</x:v>
      </x:c>
      <x:c r="B169" s="48" t="str">
        <x:v>International Code for Ships Operating in Polar Waters (Polar Code)</x:v>
      </x:c>
      <x:c r="C169" s="47" t="str">
        <x:v>Resolution MSC.385(94), adopted 21 Nov 2014; consolidated with MEPC.264(68), adopted 15 May 2015</x:v>
      </x:c>
      <x:c r="D169" s="59" t="n">
        <x:v>43</x:v>
      </x:c>
      <x:c r="E169" s="47" t="str">
        <x:v>4.2.1.3</x:v>
      </x:c>
      <x:c r="F169" s="47" t="str">
        <x:v>Static</x:v>
      </x:c>
      <x:c r="G169" s="48" t="str">
        <x:v>Stage 2 candidate - direct static</x:v>
      </x:c>
      <x:c r="H169" s="47" t="str">
        <x:v>Direct static</x:v>
      </x:c>
      <x:c r="I169" s="47" t="str">
        <x:v>No</x:v>
      </x:c>
      <x:c r="J169" s="47" t="str">
        <x:v>ELIGIBLE</x:v>
      </x:c>
      <x:c r="K169" s="47" t="str">
        <x:v>NOT_RUN</x:v>
      </x:c>
    </x:row>
    <x:row r="170">
      <x:c r="A170" s="47" t="str">
        <x:v>IMO-118</x:v>
      </x:c>
      <x:c r="B170" s="48" t="str">
        <x:v>International Code for Ships Operating in Polar Waters (Polar Code)</x:v>
      </x:c>
      <x:c r="C170" s="47" t="str">
        <x:v>Resolution MSC.385(94), adopted 21 Nov 2014; consolidated with MEPC.264(68), adopted 15 May 2015</x:v>
      </x:c>
      <x:c r="D170" s="59" t="n">
        <x:v>43</x:v>
      </x:c>
      <x:c r="E170" s="47" t="str">
        <x:v>4.2.2</x:v>
      </x:c>
      <x:c r="F170" s="47" t="str">
        <x:v>Static</x:v>
      </x:c>
      <x:c r="G170" s="48" t="str">
        <x:v>Stage 2 candidate - direct/deterministic</x:v>
      </x:c>
      <x:c r="H170" s="47" t="str">
        <x:v>High</x:v>
      </x:c>
      <x:c r="I170" s="47" t="str">
        <x:v>No</x:v>
      </x:c>
      <x:c r="J170" s="47" t="str">
        <x:v>ELIGIBLE</x:v>
      </x:c>
      <x:c r="K170" s="47" t="str">
        <x:v>NOT_RUN</x:v>
      </x:c>
    </x:row>
    <x:row r="171">
      <x:c r="A171" s="47" t="str">
        <x:v>IMO-119</x:v>
      </x:c>
      <x:c r="B171" s="48" t="str">
        <x:v>International Code for Ships Operating in Polar Waters (Polar Code)</x:v>
      </x:c>
      <x:c r="C171" s="47" t="str">
        <x:v>Resolution MSC.385(94), adopted 21 Nov 2014; consolidated with MEPC.264(68), adopted 15 May 2015</x:v>
      </x:c>
      <x:c r="D171" s="59" t="n">
        <x:v>43</x:v>
      </x:c>
      <x:c r="E171" s="47" t="str">
        <x:v>4.2.3</x:v>
      </x:c>
      <x:c r="F171" s="47" t="str">
        <x:v>Static</x:v>
      </x:c>
      <x:c r="G171" s="48" t="str">
        <x:v>Stage 2 candidate - direct static</x:v>
      </x:c>
      <x:c r="H171" s="47" t="str">
        <x:v>Direct static</x:v>
      </x:c>
      <x:c r="I171" s="47" t="str">
        <x:v>No</x:v>
      </x:c>
      <x:c r="J171" s="47" t="str">
        <x:v>ELIGIBLE</x:v>
      </x:c>
      <x:c r="K171" s="47" t="str">
        <x:v>NOT_RUN</x:v>
      </x:c>
    </x:row>
    <x:row r="172">
      <x:c r="A172" s="47" t="str">
        <x:v>IMO-120</x:v>
      </x:c>
      <x:c r="B172" s="48" t="str">
        <x:v>International Code for Ships Operating in Polar Waters (Polar Code)</x:v>
      </x:c>
      <x:c r="C172" s="47" t="str">
        <x:v>Resolution MSC.385(94), adopted 21 Nov 2014; consolidated with MEPC.264(68), adopted 15 May 2015</x:v>
      </x:c>
      <x:c r="D172" s="59" t="n">
        <x:v>43</x:v>
      </x:c>
      <x:c r="E172" s="47" t="str">
        <x:v>5.2.1.1</x:v>
      </x:c>
      <x:c r="F172" s="47" t="str">
        <x:v>Static</x:v>
      </x:c>
      <x:c r="G172" s="48" t="str">
        <x:v>Stage 2 candidate - direct static</x:v>
      </x:c>
      <x:c r="H172" s="47" t="str">
        <x:v>Direct static</x:v>
      </x:c>
      <x:c r="I172" s="47" t="str">
        <x:v>No</x:v>
      </x:c>
      <x:c r="J172" s="47" t="str">
        <x:v>ELIGIBLE</x:v>
      </x:c>
      <x:c r="K172" s="47" t="str">
        <x:v>NOT_RUN</x:v>
      </x:c>
    </x:row>
    <x:row r="173">
      <x:c r="A173" s="47" t="str">
        <x:v>IMO-121</x:v>
      </x:c>
      <x:c r="B173" s="48" t="str">
        <x:v>International Code for Ships Operating in Polar Waters (Polar Code)</x:v>
      </x:c>
      <x:c r="C173" s="47" t="str">
        <x:v>Resolution MSC.385(94), adopted 21 Nov 2014; consolidated with MEPC.264(68), adopted 15 May 2015</x:v>
      </x:c>
      <x:c r="D173" s="59" t="n">
        <x:v>43</x:v>
      </x:c>
      <x:c r="E173" s="47" t="str">
        <x:v>5.2.1.2</x:v>
      </x:c>
      <x:c r="F173" s="47" t="str">
        <x:v>Static</x:v>
      </x:c>
      <x:c r="G173" s="48" t="str">
        <x:v>Stage 2 candidate - direct/deterministic</x:v>
      </x:c>
      <x:c r="H173" s="47" t="str">
        <x:v>High</x:v>
      </x:c>
      <x:c r="I173" s="47" t="str">
        <x:v>No</x:v>
      </x:c>
      <x:c r="J173" s="47" t="str">
        <x:v>ELIGIBLE</x:v>
      </x:c>
      <x:c r="K173" s="47" t="str">
        <x:v>NOT_RUN</x:v>
      </x:c>
    </x:row>
    <x:row r="174">
      <x:c r="A174" s="47" t="str">
        <x:v>IMO-122</x:v>
      </x:c>
      <x:c r="B174" s="48" t="str">
        <x:v>International Code for Ships Operating in Polar Waters (Polar Code)</x:v>
      </x:c>
      <x:c r="C174" s="47" t="str">
        <x:v>Resolution MSC.385(94), adopted 21 Nov 2014; consolidated with MEPC.264(68), adopted 15 May 2015</x:v>
      </x:c>
      <x:c r="D174" s="59" t="n">
        <x:v>43</x:v>
      </x:c>
      <x:c r="E174" s="47" t="str">
        <x:v>5.2.1.3-.4</x:v>
      </x:c>
      <x:c r="F174" s="47" t="str">
        <x:v>Static</x:v>
      </x:c>
      <x:c r="G174" s="48" t="str">
        <x:v>Stage 2 candidate - direct/deterministic</x:v>
      </x:c>
      <x:c r="H174" s="47" t="str">
        <x:v>High</x:v>
      </x:c>
      <x:c r="I174" s="47" t="str">
        <x:v>No</x:v>
      </x:c>
      <x:c r="J174" s="47" t="str">
        <x:v>ELIGIBLE</x:v>
      </x:c>
      <x:c r="K174" s="47" t="str">
        <x:v>NOT_RUN</x:v>
      </x:c>
    </x:row>
    <x:row r="175">
      <x:c r="A175" s="47" t="str">
        <x:v>IMO-123</x:v>
      </x:c>
      <x:c r="B175" s="48" t="str">
        <x:v>International Code for Ships Operating in Polar Waters (Polar Code)</x:v>
      </x:c>
      <x:c r="C175" s="47" t="str">
        <x:v>Resolution MSC.385(94), adopted 21 Nov 2014; consolidated with MEPC.264(68), adopted 15 May 2015</x:v>
      </x:c>
      <x:c r="D175" s="59" t="str">
        <x:v>43-44</x:v>
      </x:c>
      <x:c r="E175" s="47" t="str">
        <x:v>5.2.1.5</x:v>
      </x:c>
      <x:c r="F175" s="47" t="str">
        <x:v>Static</x:v>
      </x:c>
      <x:c r="G175" s="48" t="str">
        <x:v>Stage 2 candidate - direct static</x:v>
      </x:c>
      <x:c r="H175" s="47" t="str">
        <x:v>Direct static</x:v>
      </x:c>
      <x:c r="I175" s="47" t="str">
        <x:v>No</x:v>
      </x:c>
      <x:c r="J175" s="47" t="str">
        <x:v>ELIGIBLE</x:v>
      </x:c>
      <x:c r="K175" s="47" t="str">
        <x:v>NOT_RUN</x:v>
      </x:c>
    </x:row>
    <x:row r="176">
      <x:c r="A176" s="47" t="str">
        <x:v>IMO-124</x:v>
      </x:c>
      <x:c r="B176" s="48" t="str">
        <x:v>International Code for Ships Operating in Polar Waters (Polar Code)</x:v>
      </x:c>
      <x:c r="C176" s="47" t="str">
        <x:v>Resolution MSC.385(94), adopted 21 Nov 2014; consolidated with MEPC.264(68), adopted 15 May 2015</x:v>
      </x:c>
      <x:c r="D176" s="59" t="n">
        <x:v>44</x:v>
      </x:c>
      <x:c r="E176" s="47" t="str">
        <x:v>5.2.2.1-.2</x:v>
      </x:c>
      <x:c r="F176" s="47" t="str">
        <x:v>Static</x:v>
      </x:c>
      <x:c r="G176" s="48" t="str">
        <x:v>Stage 2 candidate - direct static</x:v>
      </x:c>
      <x:c r="H176" s="47" t="str">
        <x:v>Direct static</x:v>
      </x:c>
      <x:c r="I176" s="47" t="str">
        <x:v>No</x:v>
      </x:c>
      <x:c r="J176" s="47" t="str">
        <x:v>ELIGIBLE</x:v>
      </x:c>
      <x:c r="K176" s="47" t="str">
        <x:v>NOT_RUN</x:v>
      </x:c>
    </x:row>
    <x:row r="177">
      <x:c r="A177" s="47" t="str">
        <x:v>IMO-125</x:v>
      </x:c>
      <x:c r="B177" s="48" t="str">
        <x:v>International Code for Ships Operating in Polar Waters (Polar Code)</x:v>
      </x:c>
      <x:c r="C177" s="47" t="str">
        <x:v>Resolution MSC.385(94), adopted 21 Nov 2014; consolidated with MEPC.264(68), adopted 15 May 2015</x:v>
      </x:c>
      <x:c r="D177" s="59" t="n">
        <x:v>44</x:v>
      </x:c>
      <x:c r="E177" s="47" t="str">
        <x:v>5.2.3</x:v>
      </x:c>
      <x:c r="F177" s="47" t="str">
        <x:v>Static</x:v>
      </x:c>
      <x:c r="G177" s="48" t="str">
        <x:v>Stage 2 candidate - direct/deterministic</x:v>
      </x:c>
      <x:c r="H177" s="47" t="str">
        <x:v>High</x:v>
      </x:c>
      <x:c r="I177" s="47" t="str">
        <x:v>No</x:v>
      </x:c>
      <x:c r="J177" s="47" t="str">
        <x:v>ELIGIBLE</x:v>
      </x:c>
      <x:c r="K177" s="47" t="str">
        <x:v>NOT_RUN</x:v>
      </x:c>
    </x:row>
    <x:row r="178">
      <x:c r="A178" s="47" t="str">
        <x:v>IMO26-001</x:v>
      </x:c>
      <x:c r="B178" s="48" t="str">
        <x:v>Polar Code January 2026 Supplement - Resolution MSC.538(107)</x:v>
      </x:c>
      <x:c r="C178" s="47" t="str">
        <x:v>January 2026 Supplement; effective 1 Jan 2026</x:v>
      </x:c>
      <x:c r="D178" s="59" t="n">
        <x:v>1</x:v>
      </x:c>
      <x:c r="E178" s="47" t="str">
        <x:v>Amendment 2</x:v>
      </x:c>
      <x:c r="F178" s="47" t="str">
        <x:v>Static</x:v>
      </x:c>
      <x:c r="G178" s="48" t="str">
        <x:v>Stage 2 candidate - direct/deterministic</x:v>
      </x:c>
      <x:c r="H178" s="47" t="str">
        <x:v>High</x:v>
      </x:c>
      <x:c r="I178" s="47" t="str">
        <x:v>No</x:v>
      </x:c>
      <x:c r="J178" s="47" t="str">
        <x:v>ELIGIBLE</x:v>
      </x:c>
      <x:c r="K178" s="47" t="str">
        <x:v>NOT_RUN</x:v>
      </x:c>
    </x:row>
    <x:row r="179">
      <x:c r="A179" s="47" t="str">
        <x:v>IMO26-002</x:v>
      </x:c>
      <x:c r="B179" s="48" t="str">
        <x:v>Polar Code January 2026 Supplement - Resolution MSC.538(107)</x:v>
      </x:c>
      <x:c r="C179" s="47" t="str">
        <x:v>January 2026 Supplement; effective 1 Jan 2026</x:v>
      </x:c>
      <x:c r="D179" s="59" t="n">
        <x:v>2</x:v>
      </x:c>
      <x:c r="E179" s="47" t="str">
        <x:v>Chapter 9-1 applicability</x:v>
      </x:c>
      <x:c r="F179" s="47" t="str">
        <x:v>Static</x:v>
      </x:c>
      <x:c r="G179" s="48" t="str">
        <x:v>Stage 2 candidate - direct/deterministic</x:v>
      </x:c>
      <x:c r="H179" s="47" t="str">
        <x:v>High</x:v>
      </x:c>
      <x:c r="I179" s="47" t="str">
        <x:v>No</x:v>
      </x:c>
      <x:c r="J179" s="47" t="str">
        <x:v>ELIGIBLE</x:v>
      </x:c>
      <x:c r="K179" s="47" t="str">
        <x:v>NOT_RUN</x:v>
      </x:c>
    </x:row>
    <x:row r="180">
      <x:c r="A180" s="47" t="str">
        <x:v>IMO26-003</x:v>
      </x:c>
      <x:c r="B180" s="48" t="str">
        <x:v>Polar Code January 2026 Supplement - Resolution MSC.538(107)</x:v>
      </x:c>
      <x:c r="C180" s="47" t="str">
        <x:v>January 2026 Supplement; effective 1 Jan 2026</x:v>
      </x:c>
      <x:c r="D180" s="59" t="n">
        <x:v>2</x:v>
      </x:c>
      <x:c r="E180" s="47" t="str">
        <x:v>9-1.2.1</x:v>
      </x:c>
      <x:c r="F180" s="47" t="str">
        <x:v>Dynamic</x:v>
      </x:c>
      <x:c r="G180" s="48" t="str">
        <x:v>Deferred - observation/history/simulation design required</x:v>
      </x:c>
      <x:c r="H180" s="47" t="str">
        <x:v>Medium</x:v>
      </x:c>
      <x:c r="I180" s="47" t="str">
        <x:v>No</x:v>
      </x:c>
      <x:c r="J180" s="47" t="str">
        <x:v>DEFERRED</x:v>
      </x:c>
      <x:c r="K180" s="47" t="str">
        <x:v>NOT_RUN</x:v>
      </x:c>
    </x:row>
    <x:row r="181">
      <x:c r="A181" s="47" t="str">
        <x:v>IMO26-004</x:v>
      </x:c>
      <x:c r="B181" s="48" t="str">
        <x:v>Polar Code January 2026 Supplement - Resolution MSC.538(107)</x:v>
      </x:c>
      <x:c r="C181" s="47" t="str">
        <x:v>January 2026 Supplement; effective 1 Jan 2026</x:v>
      </x:c>
      <x:c r="D181" s="59" t="n">
        <x:v>2</x:v>
      </x:c>
      <x:c r="E181" s="47" t="str">
        <x:v>9-1.2.2.1</x:v>
      </x:c>
      <x:c r="F181" s="47" t="str">
        <x:v>Physical Test</x:v>
      </x:c>
      <x:c r="G181" s="48" t="str">
        <x:v>Evidence-only - physical result not inferred by SHACL</x:v>
      </x:c>
      <x:c r="H181" s="47" t="str">
        <x:v>Medium</x:v>
      </x:c>
      <x:c r="I181" s="47" t="str">
        <x:v>No</x:v>
      </x:c>
      <x:c r="J181" s="47" t="str">
        <x:v>DEFERRED</x:v>
      </x:c>
      <x:c r="K181" s="47" t="str">
        <x:v>NOT_RUN</x:v>
      </x:c>
    </x:row>
    <x:row r="182">
      <x:c r="A182" s="47" t="str">
        <x:v>IMO26-005</x:v>
      </x:c>
      <x:c r="B182" s="48" t="str">
        <x:v>Polar Code January 2026 Supplement - Resolution MSC.538(107)</x:v>
      </x:c>
      <x:c r="C182" s="47" t="str">
        <x:v>January 2026 Supplement; effective 1 Jan 2026</x:v>
      </x:c>
      <x:c r="D182" s="59" t="n">
        <x:v>2</x:v>
      </x:c>
      <x:c r="E182" s="47" t="str">
        <x:v>9-1.2.2.2</x:v>
      </x:c>
      <x:c r="F182" s="47" t="str">
        <x:v>Static</x:v>
      </x:c>
      <x:c r="G182" s="48" t="str">
        <x:v>Stage 2 candidate - direct/deterministic</x:v>
      </x:c>
      <x:c r="H182" s="47" t="str">
        <x:v>Medium</x:v>
      </x:c>
      <x:c r="I182" s="47" t="str">
        <x:v>No</x:v>
      </x:c>
      <x:c r="J182" s="47" t="str">
        <x:v>ELIGIBLE</x:v>
      </x:c>
      <x:c r="K182" s="47" t="str">
        <x:v>NOT_RUN</x:v>
      </x:c>
    </x:row>
    <x:row r="183">
      <x:c r="A183" s="47" t="str">
        <x:v>IMO26-006</x:v>
      </x:c>
      <x:c r="B183" s="48" t="str">
        <x:v>Polar Code January 2026 Supplement - Resolution MSC.538(107)</x:v>
      </x:c>
      <x:c r="C183" s="47" t="str">
        <x:v>January 2026 Supplement; effective 1 Jan 2026</x:v>
      </x:c>
      <x:c r="D183" s="59" t="n">
        <x:v>3</x:v>
      </x:c>
      <x:c r="E183" s="47" t="str">
        <x:v>9-1.3.1</x:v>
      </x:c>
      <x:c r="F183" s="47" t="str">
        <x:v>Dynamic</x:v>
      </x:c>
      <x:c r="G183" s="48" t="str">
        <x:v>Deferred - observation/history/simulation design required</x:v>
      </x:c>
      <x:c r="H183" s="47" t="str">
        <x:v>Medium</x:v>
      </x:c>
      <x:c r="I183" s="47" t="str">
        <x:v>No</x:v>
      </x:c>
      <x:c r="J183" s="47" t="str">
        <x:v>DEFERRED</x:v>
      </x:c>
      <x:c r="K183" s="47" t="str">
        <x:v>NOT_RUN</x:v>
      </x:c>
    </x:row>
    <x:row r="184">
      <x:c r="A184" s="47" t="str">
        <x:v>IMO26-007</x:v>
      </x:c>
      <x:c r="B184" s="48" t="str">
        <x:v>Polar Code January 2026 Supplement - Resolution MSC.538(107)</x:v>
      </x:c>
      <x:c r="C184" s="47" t="str">
        <x:v>January 2026 Supplement; effective 1 Jan 2026</x:v>
      </x:c>
      <x:c r="D184" s="59" t="n">
        <x:v>3</x:v>
      </x:c>
      <x:c r="E184" s="47" t="str">
        <x:v>9-1.3.2.1.1</x:v>
      </x:c>
      <x:c r="F184" s="47" t="str">
        <x:v>Static</x:v>
      </x:c>
      <x:c r="G184" s="48" t="str">
        <x:v>Stage 2 candidate - direct static</x:v>
      </x:c>
      <x:c r="H184" s="47" t="str">
        <x:v>Direct static</x:v>
      </x:c>
      <x:c r="I184" s="47" t="str">
        <x:v>No</x:v>
      </x:c>
      <x:c r="J184" s="47" t="str">
        <x:v>ELIGIBLE</x:v>
      </x:c>
      <x:c r="K184" s="47" t="str">
        <x:v>NOT_RUN</x:v>
      </x:c>
    </x:row>
    <x:row r="185">
      <x:c r="A185" s="47" t="str">
        <x:v>IMO26-008</x:v>
      </x:c>
      <x:c r="B185" s="48" t="str">
        <x:v>Polar Code January 2026 Supplement - Resolution MSC.538(107)</x:v>
      </x:c>
      <x:c r="C185" s="47" t="str">
        <x:v>January 2026 Supplement; effective 1 Jan 2026</x:v>
      </x:c>
      <x:c r="D185" s="59" t="n">
        <x:v>3</x:v>
      </x:c>
      <x:c r="E185" s="47" t="str">
        <x:v>9-1.3.2.1.2</x:v>
      </x:c>
      <x:c r="F185" s="47" t="str">
        <x:v>Static</x:v>
      </x:c>
      <x:c r="G185" s="48" t="str">
        <x:v>Stage 2 candidate - direct static</x:v>
      </x:c>
      <x:c r="H185" s="47" t="str">
        <x:v>Direct static</x:v>
      </x:c>
      <x:c r="I185" s="47" t="str">
        <x:v>No</x:v>
      </x:c>
      <x:c r="J185" s="47" t="str">
        <x:v>ELIGIBLE</x:v>
      </x:c>
      <x:c r="K185" s="47" t="str">
        <x:v>NOT_RUN</x:v>
      </x:c>
    </x:row>
    <x:row r="186">
      <x:c r="A186" s="47" t="str">
        <x:v>IMO26-009</x:v>
      </x:c>
      <x:c r="B186" s="48" t="str">
        <x:v>Polar Code January 2026 Supplement - Resolution MSC.538(107)</x:v>
      </x:c>
      <x:c r="C186" s="47" t="str">
        <x:v>January 2026 Supplement; effective 1 Jan 2026</x:v>
      </x:c>
      <x:c r="D186" s="59" t="n">
        <x:v>3</x:v>
      </x:c>
      <x:c r="E186" s="47" t="str">
        <x:v>9-1.3.2.1.3</x:v>
      </x:c>
      <x:c r="F186" s="47" t="str">
        <x:v>Static</x:v>
      </x:c>
      <x:c r="G186" s="48" t="str">
        <x:v>Stage 2 candidate - direct/deterministic</x:v>
      </x:c>
      <x:c r="H186" s="47" t="str">
        <x:v>High</x:v>
      </x:c>
      <x:c r="I186" s="47" t="str">
        <x:v>No</x:v>
      </x:c>
      <x:c r="J186" s="47" t="str">
        <x:v>ELIGIBLE</x:v>
      </x:c>
      <x:c r="K186" s="47" t="str">
        <x:v>NOT_RUN</x:v>
      </x:c>
    </x:row>
    <x:row r="187">
      <x:c r="A187" s="47" t="str">
        <x:v>IMO26-010</x:v>
      </x:c>
      <x:c r="B187" s="48" t="str">
        <x:v>Polar Code January 2026 Supplement - Resolution MSC.538(107)</x:v>
      </x:c>
      <x:c r="C187" s="47" t="str">
        <x:v>January 2026 Supplement; effective 1 Jan 2026</x:v>
      </x:c>
      <x:c r="D187" s="59" t="n">
        <x:v>3</x:v>
      </x:c>
      <x:c r="E187" s="47" t="str">
        <x:v>9-1.3.2.1.4.1</x:v>
      </x:c>
      <x:c r="F187" s="47" t="str">
        <x:v>Static</x:v>
      </x:c>
      <x:c r="G187" s="48" t="str">
        <x:v>Stage 2 candidate - direct/deterministic</x:v>
      </x:c>
      <x:c r="H187" s="47" t="str">
        <x:v>High</x:v>
      </x:c>
      <x:c r="I187" s="47" t="str">
        <x:v>No</x:v>
      </x:c>
      <x:c r="J187" s="47" t="str">
        <x:v>ELIGIBLE</x:v>
      </x:c>
      <x:c r="K187" s="47" t="str">
        <x:v>NOT_RUN</x:v>
      </x:c>
    </x:row>
    <x:row r="188">
      <x:c r="A188" s="47" t="str">
        <x:v>IMO26-011</x:v>
      </x:c>
      <x:c r="B188" s="48" t="str">
        <x:v>Polar Code January 2026 Supplement - Resolution MSC.538(107)</x:v>
      </x:c>
      <x:c r="C188" s="47" t="str">
        <x:v>January 2026 Supplement; effective 1 Jan 2026</x:v>
      </x:c>
      <x:c r="D188" s="59" t="n">
        <x:v>4</x:v>
      </x:c>
      <x:c r="E188" s="47" t="str">
        <x:v>9-1.3.2.1.4.2</x:v>
      </x:c>
      <x:c r="F188" s="47" t="str">
        <x:v>Static</x:v>
      </x:c>
      <x:c r="G188" s="48" t="str">
        <x:v>Stage 2 candidate - direct static</x:v>
      </x:c>
      <x:c r="H188" s="47" t="str">
        <x:v>Direct static</x:v>
      </x:c>
      <x:c r="I188" s="47" t="str">
        <x:v>No</x:v>
      </x:c>
      <x:c r="J188" s="47" t="str">
        <x:v>ELIGIBLE</x:v>
      </x:c>
      <x:c r="K188" s="47" t="str">
        <x:v>NOT_RUN</x:v>
      </x:c>
    </x:row>
    <x:row r="189">
      <x:c r="A189" s="47" t="str">
        <x:v>IMO26-012</x:v>
      </x:c>
      <x:c r="B189" s="48" t="str">
        <x:v>Polar Code January 2026 Supplement - Resolution MSC.538(107)</x:v>
      </x:c>
      <x:c r="C189" s="47" t="str">
        <x:v>January 2026 Supplement; effective 1 Jan 2026</x:v>
      </x:c>
      <x:c r="D189" s="59" t="n">
        <x:v>4</x:v>
      </x:c>
      <x:c r="E189" s="47" t="str">
        <x:v>9-1.3.2.2.1</x:v>
      </x:c>
      <x:c r="F189" s="47" t="str">
        <x:v>Static</x:v>
      </x:c>
      <x:c r="G189" s="48" t="str">
        <x:v>Stage 2 candidate - direct/deterministic</x:v>
      </x:c>
      <x:c r="H189" s="47" t="str">
        <x:v>High</x:v>
      </x:c>
      <x:c r="I189" s="47" t="str">
        <x:v>No</x:v>
      </x:c>
      <x:c r="J189" s="47" t="str">
        <x:v>ELIGIBLE</x:v>
      </x:c>
      <x:c r="K189" s="47" t="str">
        <x:v>NOT_RUN</x:v>
      </x:c>
    </x:row>
    <x:row r="190">
      <x:c r="A190" s="47" t="str">
        <x:v>IMO26-013</x:v>
      </x:c>
      <x:c r="B190" s="48" t="str">
        <x:v>Polar Code January 2026 Supplement - Resolution MSC.538(107)</x:v>
      </x:c>
      <x:c r="C190" s="47" t="str">
        <x:v>January 2026 Supplement; effective 1 Jan 2026</x:v>
      </x:c>
      <x:c r="D190" s="59" t="n">
        <x:v>4</x:v>
      </x:c>
      <x:c r="E190" s="47" t="str">
        <x:v>9-1.3.2.2.2</x:v>
      </x:c>
      <x:c r="F190" s="47" t="str">
        <x:v>Static</x:v>
      </x:c>
      <x:c r="G190" s="48" t="str">
        <x:v>Stage 2 candidate - direct/deterministic</x:v>
      </x:c>
      <x:c r="H190" s="47" t="str">
        <x:v>High</x:v>
      </x:c>
      <x:c r="I190" s="47" t="str">
        <x:v>No</x:v>
      </x:c>
      <x:c r="J190" s="47" t="str">
        <x:v>ELIGIBLE</x:v>
      </x:c>
      <x:c r="K190" s="47" t="str">
        <x:v>NOT_RUN</x:v>
      </x:c>
    </x:row>
    <x:row r="191">
      <x:c r="A191" s="47" t="str">
        <x:v>IMO26-014</x:v>
      </x:c>
      <x:c r="B191" s="48" t="str">
        <x:v>Polar Code January 2026 Supplement - Resolution MSC.538(107)</x:v>
      </x:c>
      <x:c r="C191" s="47" t="str">
        <x:v>January 2026 Supplement; effective 1 Jan 2026</x:v>
      </x:c>
      <x:c r="D191" s="59" t="n">
        <x:v>4</x:v>
      </x:c>
      <x:c r="E191" s="47" t="str">
        <x:v>9-1.3.3</x:v>
      </x:c>
      <x:c r="F191" s="47" t="str">
        <x:v>Static</x:v>
      </x:c>
      <x:c r="G191" s="48" t="str">
        <x:v>Stage 2 candidate - direct/deterministic</x:v>
      </x:c>
      <x:c r="H191" s="47" t="str">
        <x:v>High</x:v>
      </x:c>
      <x:c r="I191" s="47" t="str">
        <x:v>No</x:v>
      </x:c>
      <x:c r="J191" s="47" t="str">
        <x:v>ELIGIBLE</x:v>
      </x:c>
      <x:c r="K191" s="47" t="str">
        <x:v>NOT_RUN</x:v>
      </x:c>
    </x:row>
    <x:row r="192">
      <x:c r="A192" s="47" t="str">
        <x:v>IMO26-015</x:v>
      </x:c>
      <x:c r="B192" s="48" t="str">
        <x:v>Polar Code January 2026 Supplement - Resolution MSC.538(107)</x:v>
      </x:c>
      <x:c r="C192" s="47" t="str">
        <x:v>January 2026 Supplement; effective 1 Jan 2026</x:v>
      </x:c>
      <x:c r="D192" s="59" t="n">
        <x:v>5</x:v>
      </x:c>
      <x:c r="E192" s="47" t="str">
        <x:v>Amendment 5</x:v>
      </x:c>
      <x:c r="F192" s="47" t="str">
        <x:v>Static</x:v>
      </x:c>
      <x:c r="G192" s="48" t="str">
        <x:v>Stage 2 candidate - direct/deterministic</x:v>
      </x:c>
      <x:c r="H192" s="47" t="str">
        <x:v>High</x:v>
      </x:c>
      <x:c r="I192" s="47" t="str">
        <x:v>No</x:v>
      </x:c>
      <x:c r="J192" s="47" t="str">
        <x:v>ELIGIBLE</x:v>
      </x:c>
      <x:c r="K192" s="47" t="str">
        <x:v>NOT_RUN</x:v>
      </x:c>
    </x:row>
    <x:row r="193">
      <x:c r="A193" s="47" t="str">
        <x:v>IMO26-016</x:v>
      </x:c>
      <x:c r="B193" s="48" t="str">
        <x:v>Polar Code January 2026 Supplement - Resolution MSC.538(107)</x:v>
      </x:c>
      <x:c r="C193" s="47" t="str">
        <x:v>January 2026 Supplement; effective 1 Jan 2026</x:v>
      </x:c>
      <x:c r="D193" s="59" t="n">
        <x:v>5</x:v>
      </x:c>
      <x:c r="E193" s="47" t="str">
        <x:v>Chapter 11-1 applicability</x:v>
      </x:c>
      <x:c r="F193" s="47" t="str">
        <x:v>Static</x:v>
      </x:c>
      <x:c r="G193" s="48" t="str">
        <x:v>Stage 2 candidate - direct/deterministic</x:v>
      </x:c>
      <x:c r="H193" s="47" t="str">
        <x:v>High</x:v>
      </x:c>
      <x:c r="I193" s="47" t="str">
        <x:v>No</x:v>
      </x:c>
      <x:c r="J193" s="47" t="str">
        <x:v>ELIGIBLE</x:v>
      </x:c>
      <x:c r="K193" s="47" t="str">
        <x:v>NOT_RUN</x:v>
      </x:c>
    </x:row>
    <x:row r="194">
      <x:c r="A194" s="47" t="str">
        <x:v>IMO26-017</x:v>
      </x:c>
      <x:c r="B194" s="48" t="str">
        <x:v>Polar Code January 2026 Supplement - Resolution MSC.538(107)</x:v>
      </x:c>
      <x:c r="C194" s="47" t="str">
        <x:v>January 2026 Supplement; effective 1 Jan 2026</x:v>
      </x:c>
      <x:c r="D194" s="59" t="n">
        <x:v>5</x:v>
      </x:c>
      <x:c r="E194" s="47" t="str">
        <x:v>11-1.2</x:v>
      </x:c>
      <x:c r="F194" s="47" t="str">
        <x:v>Static</x:v>
      </x:c>
      <x:c r="G194" s="48" t="str">
        <x:v>Stage 2 candidate - direct static</x:v>
      </x:c>
      <x:c r="H194" s="47" t="str">
        <x:v>Direct static</x:v>
      </x:c>
      <x:c r="I194" s="47" t="str">
        <x:v>No</x:v>
      </x:c>
      <x:c r="J194" s="47" t="str">
        <x:v>ELIGIBLE</x:v>
      </x:c>
      <x:c r="K194" s="47" t="str">
        <x:v>NOT_RUN</x:v>
      </x:c>
    </x:row>
    <x:row r="195">
      <x:c r="A195" s="47" t="str">
        <x:v>IMO26-018</x:v>
      </x:c>
      <x:c r="B195" s="48" t="str">
        <x:v>Polar Code January 2026 Supplement - Resolution MSC.538(107)</x:v>
      </x:c>
      <x:c r="C195" s="47" t="str">
        <x:v>January 2026 Supplement; effective 1 Jan 2026</x:v>
      </x:c>
      <x:c r="D195" s="59" t="n">
        <x:v>6</x:v>
      </x:c>
      <x:c r="E195" s="47" t="str">
        <x:v>11-1.3.1-11-1.3.9</x:v>
      </x:c>
      <x:c r="F195" s="47" t="str">
        <x:v>Static</x:v>
      </x:c>
      <x:c r="G195" s="48" t="str">
        <x:v>Stage 2 candidate - direct static</x:v>
      </x:c>
      <x:c r="H195" s="47" t="str">
        <x:v>Direct static</x:v>
      </x:c>
      <x:c r="I195" s="47" t="str">
        <x:v>No</x:v>
      </x:c>
      <x:c r="J195" s="47" t="str">
        <x:v>ELIGIBLE</x:v>
      </x:c>
      <x:c r="K195" s="47" t="str">
        <x:v>NOT_RUN</x:v>
      </x:c>
    </x:row>
    <x:row r="196">
      <x:c r="A196" s="47" t="str">
        <x:v>TRF-001</x:v>
      </x:c>
      <x:c r="B196" s="48" t="str">
        <x:v>Ice Class Regulations and the Application Thereof</x:v>
      </x:c>
      <x:c r="C196" s="47" t="str">
        <x:v>TRAFICOM/68863/03.04.01.00/2021</x:v>
      </x:c>
      <x:c r="D196" s="59" t="n">
        <x:v>5</x:v>
      </x:c>
      <x:c r="E196" s="47" t="str">
        <x:v>1.1</x:v>
      </x:c>
      <x:c r="F196" s="47" t="str">
        <x:v>Static</x:v>
      </x:c>
      <x:c r="G196" s="48" t="str">
        <x:v>Stage 2 candidate - direct/deterministic</x:v>
      </x:c>
      <x:c r="H196" s="47" t="str">
        <x:v>High</x:v>
      </x:c>
      <x:c r="I196" s="47" t="str">
        <x:v>No</x:v>
      </x:c>
      <x:c r="J196" s="47" t="str">
        <x:v>ELIGIBLE</x:v>
      </x:c>
      <x:c r="K196" s="47" t="str">
        <x:v>NOT_RUN</x:v>
      </x:c>
    </x:row>
    <x:row r="197">
      <x:c r="A197" s="47" t="str">
        <x:v>TRF-002</x:v>
      </x:c>
      <x:c r="B197" s="48" t="str">
        <x:v>Ice Class Regulations and the Application Thereof</x:v>
      </x:c>
      <x:c r="C197" s="47" t="str">
        <x:v>TRAFICOM/68863/03.04.01.00/2021</x:v>
      </x:c>
      <x:c r="D197" s="59" t="n">
        <x:v>5</x:v>
      </x:c>
      <x:c r="E197" s="47" t="str">
        <x:v>1.2</x:v>
      </x:c>
      <x:c r="F197" s="47" t="str">
        <x:v>Static</x:v>
      </x:c>
      <x:c r="G197" s="48" t="str">
        <x:v>Stage 2 candidate - direct/deterministic</x:v>
      </x:c>
      <x:c r="H197" s="47" t="str">
        <x:v>High</x:v>
      </x:c>
      <x:c r="I197" s="47" t="str">
        <x:v>No</x:v>
      </x:c>
      <x:c r="J197" s="47" t="str">
        <x:v>ELIGIBLE</x:v>
      </x:c>
      <x:c r="K197" s="47" t="str">
        <x:v>NOT_RUN</x:v>
      </x:c>
    </x:row>
    <x:row r="198">
      <x:c r="A198" s="47" t="str">
        <x:v>TRF-003</x:v>
      </x:c>
      <x:c r="B198" s="48" t="str">
        <x:v>Ice Class Regulations and the Application Thereof</x:v>
      </x:c>
      <x:c r="C198" s="47" t="str">
        <x:v>TRAFICOM/68863/03.04.01.00/2021</x:v>
      </x:c>
      <x:c r="D198" s="59" t="n">
        <x:v>5</x:v>
      </x:c>
      <x:c r="E198" s="47" t="str">
        <x:v>1.3</x:v>
      </x:c>
      <x:c r="F198" s="47" t="str">
        <x:v>Static</x:v>
      </x:c>
      <x:c r="G198" s="48" t="str">
        <x:v>Stage 2 candidate - direct/deterministic</x:v>
      </x:c>
      <x:c r="H198" s="47" t="str">
        <x:v>High</x:v>
      </x:c>
      <x:c r="I198" s="47" t="str">
        <x:v>No</x:v>
      </x:c>
      <x:c r="J198" s="47" t="str">
        <x:v>ELIGIBLE</x:v>
      </x:c>
      <x:c r="K198" s="47" t="str">
        <x:v>NOT_RUN</x:v>
      </x:c>
    </x:row>
    <x:row r="199">
      <x:c r="A199" s="47" t="str">
        <x:v>TRF-004</x:v>
      </x:c>
      <x:c r="B199" s="48" t="str">
        <x:v>Ice Class Regulations and the Application Thereof</x:v>
      </x:c>
      <x:c r="C199" s="47" t="str">
        <x:v>TRAFICOM/68863/03.04.01.00/2021</x:v>
      </x:c>
      <x:c r="D199" s="59" t="n">
        <x:v>5</x:v>
      </x:c>
      <x:c r="E199" s="47" t="str">
        <x:v>1.4</x:v>
      </x:c>
      <x:c r="F199" s="47" t="str">
        <x:v>Static</x:v>
      </x:c>
      <x:c r="G199" s="48" t="str">
        <x:v>Stage 2 candidate - direct/deterministic</x:v>
      </x:c>
      <x:c r="H199" s="47" t="str">
        <x:v>Medium</x:v>
      </x:c>
      <x:c r="I199" s="47" t="str">
        <x:v>No</x:v>
      </x:c>
      <x:c r="J199" s="47" t="str">
        <x:v>ELIGIBLE</x:v>
      </x:c>
      <x:c r="K199" s="47" t="str">
        <x:v>NOT_RUN</x:v>
      </x:c>
    </x:row>
    <x:row r="200">
      <x:c r="A200" s="47" t="str">
        <x:v>TRF-005</x:v>
      </x:c>
      <x:c r="B200" s="48" t="str">
        <x:v>Ice Class Regulations and the Application Thereof</x:v>
      </x:c>
      <x:c r="C200" s="47" t="str">
        <x:v>TRAFICOM/68863/03.04.01.00/2021</x:v>
      </x:c>
      <x:c r="D200" s="59" t="n">
        <x:v>5</x:v>
      </x:c>
      <x:c r="E200" s="47" t="str">
        <x:v>1.5</x:v>
      </x:c>
      <x:c r="F200" s="47" t="str">
        <x:v>Static</x:v>
      </x:c>
      <x:c r="G200" s="48" t="str">
        <x:v>Stage 2 candidate - direct/deterministic</x:v>
      </x:c>
      <x:c r="H200" s="47" t="str">
        <x:v>Medium</x:v>
      </x:c>
      <x:c r="I200" s="47" t="str">
        <x:v>No</x:v>
      </x:c>
      <x:c r="J200" s="47" t="str">
        <x:v>ELIGIBLE</x:v>
      </x:c>
      <x:c r="K200" s="47" t="str">
        <x:v>NOT_RUN</x:v>
      </x:c>
    </x:row>
    <x:row r="201">
      <x:c r="A201" s="47" t="str">
        <x:v>TRF-006</x:v>
      </x:c>
      <x:c r="B201" s="48" t="str">
        <x:v>Ice Class Regulations and the Application Thereof</x:v>
      </x:c>
      <x:c r="C201" s="47" t="str">
        <x:v>TRAFICOM/68863/03.04.01.00/2021</x:v>
      </x:c>
      <x:c r="D201" s="59" t="n">
        <x:v>5</x:v>
      </x:c>
      <x:c r="E201" s="47" t="str">
        <x:v>1.6</x:v>
      </x:c>
      <x:c r="F201" s="47" t="str">
        <x:v>Static</x:v>
      </x:c>
      <x:c r="G201" s="48" t="str">
        <x:v>Stage 2 candidate - direct/deterministic</x:v>
      </x:c>
      <x:c r="H201" s="47" t="str">
        <x:v>High</x:v>
      </x:c>
      <x:c r="I201" s="47" t="str">
        <x:v>No</x:v>
      </x:c>
      <x:c r="J201" s="47" t="str">
        <x:v>ELIGIBLE</x:v>
      </x:c>
      <x:c r="K201" s="47" t="str">
        <x:v>NOT_RUN</x:v>
      </x:c>
    </x:row>
    <x:row r="202">
      <x:c r="A202" s="47" t="str">
        <x:v>TRF-007</x:v>
      </x:c>
      <x:c r="B202" s="48" t="str">
        <x:v>Ice Class Regulations and the Application Thereof</x:v>
      </x:c>
      <x:c r="C202" s="47" t="str">
        <x:v>TRAFICOM/68863/03.04.01.00/2021</x:v>
      </x:c>
      <x:c r="D202" s="59" t="n">
        <x:v>5</x:v>
      </x:c>
      <x:c r="E202" s="47" t="str">
        <x:v>1.6</x:v>
      </x:c>
      <x:c r="F202" s="47" t="str">
        <x:v>Static</x:v>
      </x:c>
      <x:c r="G202" s="48" t="str">
        <x:v>Stage 2 candidate - direct/deterministic</x:v>
      </x:c>
      <x:c r="H202" s="47" t="str">
        <x:v>High</x:v>
      </x:c>
      <x:c r="I202" s="47" t="str">
        <x:v>No</x:v>
      </x:c>
      <x:c r="J202" s="47" t="str">
        <x:v>ELIGIBLE</x:v>
      </x:c>
      <x:c r="K202" s="47" t="str">
        <x:v>NOT_RUN</x:v>
      </x:c>
    </x:row>
    <x:row r="203">
      <x:c r="A203" s="47" t="str">
        <x:v>TRF-009</x:v>
      </x:c>
      <x:c r="B203" s="48" t="str">
        <x:v>Ice Class Regulations and the Application Thereof</x:v>
      </x:c>
      <x:c r="C203" s="47" t="str">
        <x:v>TRAFICOM/68863/03.04.01.00/2021</x:v>
      </x:c>
      <x:c r="D203" s="59" t="n">
        <x:v>6</x:v>
      </x:c>
      <x:c r="E203" s="47" t="str">
        <x:v>1.7</x:v>
      </x:c>
      <x:c r="F203" s="47" t="str">
        <x:v>Static</x:v>
      </x:c>
      <x:c r="G203" s="48" t="str">
        <x:v>Stage 2 candidate - direct/deterministic</x:v>
      </x:c>
      <x:c r="H203" s="47" t="str">
        <x:v>High</x:v>
      </x:c>
      <x:c r="I203" s="47" t="str">
        <x:v>No</x:v>
      </x:c>
      <x:c r="J203" s="47" t="str">
        <x:v>ELIGIBLE</x:v>
      </x:c>
      <x:c r="K203" s="47" t="str">
        <x:v>NOT_RUN</x:v>
      </x:c>
    </x:row>
    <x:row r="204">
      <x:c r="A204" s="47" t="str">
        <x:v>TRF-010</x:v>
      </x:c>
      <x:c r="B204" s="48" t="str">
        <x:v>Ice Class Regulations and the Application Thereof</x:v>
      </x:c>
      <x:c r="C204" s="47" t="str">
        <x:v>TRAFICOM/68863/03.04.01.00/2021</x:v>
      </x:c>
      <x:c r="D204" s="59" t="n">
        <x:v>6</x:v>
      </x:c>
      <x:c r="E204" s="47" t="str">
        <x:v>1.8</x:v>
      </x:c>
      <x:c r="F204" s="47" t="str">
        <x:v>Static</x:v>
      </x:c>
      <x:c r="G204" s="48" t="str">
        <x:v>Stage 2 candidate - direct/deterministic</x:v>
      </x:c>
      <x:c r="H204" s="47" t="str">
        <x:v>High</x:v>
      </x:c>
      <x:c r="I204" s="47" t="str">
        <x:v>No</x:v>
      </x:c>
      <x:c r="J204" s="47" t="str">
        <x:v>ELIGIBLE</x:v>
      </x:c>
      <x:c r="K204" s="47" t="str">
        <x:v>NOT_RUN</x:v>
      </x:c>
    </x:row>
    <x:row r="205">
      <x:c r="A205" s="47" t="str">
        <x:v>TRF-011</x:v>
      </x:c>
      <x:c r="B205" s="48" t="str">
        <x:v>Ice Class Regulations and the Application Thereof</x:v>
      </x:c>
      <x:c r="C205" s="47" t="str">
        <x:v>TRAFICOM/68863/03.04.01.00/2021</x:v>
      </x:c>
      <x:c r="D205" s="59" t="n">
        <x:v>6</x:v>
      </x:c>
      <x:c r="E205" s="47" t="str">
        <x:v>2.1</x:v>
      </x:c>
      <x:c r="F205" s="47" t="str">
        <x:v>Static</x:v>
      </x:c>
      <x:c r="G205" s="48" t="str">
        <x:v>Stage 2 candidate - direct/deterministic</x:v>
      </x:c>
      <x:c r="H205" s="47" t="str">
        <x:v>High</x:v>
      </x:c>
      <x:c r="I205" s="47" t="str">
        <x:v>No</x:v>
      </x:c>
      <x:c r="J205" s="47" t="str">
        <x:v>ELIGIBLE</x:v>
      </x:c>
      <x:c r="K205" s="47" t="str">
        <x:v>NOT_RUN</x:v>
      </x:c>
    </x:row>
    <x:row r="206">
      <x:c r="A206" s="47" t="str">
        <x:v>TRF-012</x:v>
      </x:c>
      <x:c r="B206" s="48" t="str">
        <x:v>Ice Class Regulations and the Application Thereof</x:v>
      </x:c>
      <x:c r="C206" s="47" t="str">
        <x:v>TRAFICOM/68863/03.04.01.00/2021</x:v>
      </x:c>
      <x:c r="D206" s="59" t="n">
        <x:v>6</x:v>
      </x:c>
      <x:c r="E206" s="47" t="str">
        <x:v>2.1</x:v>
      </x:c>
      <x:c r="F206" s="47" t="str">
        <x:v>Complex</x:v>
      </x:c>
      <x:c r="G206" s="48" t="str">
        <x:v>Stage 2 candidate - complex readiness</x:v>
      </x:c>
      <x:c r="H206" s="47" t="str">
        <x:v>Complex readiness</x:v>
      </x:c>
      <x:c r="I206" s="47" t="str">
        <x:v>No</x:v>
      </x:c>
      <x:c r="J206" s="47" t="str">
        <x:v>ELIGIBLE</x:v>
      </x:c>
      <x:c r="K206" s="47" t="str">
        <x:v>NOT_RUN</x:v>
      </x:c>
    </x:row>
    <x:row r="207">
      <x:c r="A207" s="47" t="str">
        <x:v>TRF-013</x:v>
      </x:c>
      <x:c r="B207" s="48" t="str">
        <x:v>Ice Class Regulations and the Application Thereof</x:v>
      </x:c>
      <x:c r="C207" s="47" t="str">
        <x:v>TRAFICOM/68863/03.04.01.00/2021</x:v>
      </x:c>
      <x:c r="D207" s="59" t="n">
        <x:v>7</x:v>
      </x:c>
      <x:c r="E207" s="47" t="str">
        <x:v>2.2</x:v>
      </x:c>
      <x:c r="F207" s="47" t="str">
        <x:v>Static</x:v>
      </x:c>
      <x:c r="G207" s="48" t="str">
        <x:v>Stage 2 candidate - direct/deterministic</x:v>
      </x:c>
      <x:c r="H207" s="47" t="str">
        <x:v>High</x:v>
      </x:c>
      <x:c r="I207" s="47" t="str">
        <x:v>No</x:v>
      </x:c>
      <x:c r="J207" s="47" t="str">
        <x:v>ELIGIBLE</x:v>
      </x:c>
      <x:c r="K207" s="47" t="str">
        <x:v>NOT_RUN</x:v>
      </x:c>
    </x:row>
    <x:row r="208">
      <x:c r="A208" s="47" t="str">
        <x:v>TRF-014</x:v>
      </x:c>
      <x:c r="B208" s="48" t="str">
        <x:v>Ice Class Regulations and the Application Thereof</x:v>
      </x:c>
      <x:c r="C208" s="47" t="str">
        <x:v>TRAFICOM/68863/03.04.01.00/2021</x:v>
      </x:c>
      <x:c r="D208" s="59" t="n">
        <x:v>7</x:v>
      </x:c>
      <x:c r="E208" s="47" t="str">
        <x:v>2.2</x:v>
      </x:c>
      <x:c r="F208" s="47" t="str">
        <x:v>Static</x:v>
      </x:c>
      <x:c r="G208" s="48" t="str">
        <x:v>Stage 2 candidate - direct/deterministic</x:v>
      </x:c>
      <x:c r="H208" s="47" t="str">
        <x:v>High</x:v>
      </x:c>
      <x:c r="I208" s="47" t="str">
        <x:v>No</x:v>
      </x:c>
      <x:c r="J208" s="47" t="str">
        <x:v>ELIGIBLE</x:v>
      </x:c>
      <x:c r="K208" s="47" t="str">
        <x:v>NOT_RUN</x:v>
      </x:c>
    </x:row>
    <x:row r="209">
      <x:c r="A209" s="47" t="str">
        <x:v>TRF-015</x:v>
      </x:c>
      <x:c r="B209" s="48" t="str">
        <x:v>Ice Class Regulations and the Application Thereof</x:v>
      </x:c>
      <x:c r="C209" s="47" t="str">
        <x:v>TRAFICOM/68863/03.04.01.00/2021</x:v>
      </x:c>
      <x:c r="D209" s="59" t="n">
        <x:v>7</x:v>
      </x:c>
      <x:c r="E209" s="47" t="str">
        <x:v>2.2</x:v>
      </x:c>
      <x:c r="F209" s="47" t="str">
        <x:v>Static</x:v>
      </x:c>
      <x:c r="G209" s="48" t="str">
        <x:v>Stage 2 candidate - direct/deterministic</x:v>
      </x:c>
      <x:c r="H209" s="47" t="str">
        <x:v>High</x:v>
      </x:c>
      <x:c r="I209" s="47" t="str">
        <x:v>No</x:v>
      </x:c>
      <x:c r="J209" s="47" t="str">
        <x:v>ELIGIBLE</x:v>
      </x:c>
      <x:c r="K209" s="47" t="str">
        <x:v>NOT_RUN</x:v>
      </x:c>
    </x:row>
    <x:row r="210">
      <x:c r="A210" s="47" t="str">
        <x:v>TRF-016</x:v>
      </x:c>
      <x:c r="B210" s="48" t="str">
        <x:v>Ice Class Regulations and the Application Thereof</x:v>
      </x:c>
      <x:c r="C210" s="47" t="str">
        <x:v>TRAFICOM/68863/03.04.01.00/2021</x:v>
      </x:c>
      <x:c r="D210" s="59" t="n">
        <x:v>7</x:v>
      </x:c>
      <x:c r="E210" s="47" t="str">
        <x:v>2.2</x:v>
      </x:c>
      <x:c r="F210" s="47" t="str">
        <x:v>Static Calculation</x:v>
      </x:c>
      <x:c r="G210" s="48" t="str">
        <x:v>Stage 2 candidate - direct/deterministic</x:v>
      </x:c>
      <x:c r="H210" s="47" t="str">
        <x:v>High</x:v>
      </x:c>
      <x:c r="I210" s="47" t="str">
        <x:v>No</x:v>
      </x:c>
      <x:c r="J210" s="47" t="str">
        <x:v>ELIGIBLE</x:v>
      </x:c>
      <x:c r="K210" s="47" t="str">
        <x:v>NOT_RUN</x:v>
      </x:c>
    </x:row>
    <x:row r="211">
      <x:c r="A211" s="47" t="str">
        <x:v>TRF-017</x:v>
      </x:c>
      <x:c r="B211" s="48" t="str">
        <x:v>Ice Class Regulations and the Application Thereof</x:v>
      </x:c>
      <x:c r="C211" s="47" t="str">
        <x:v>TRAFICOM/68863/03.04.01.00/2021</x:v>
      </x:c>
      <x:c r="D211" s="59" t="n">
        <x:v>7</x:v>
      </x:c>
      <x:c r="E211" s="47" t="str">
        <x:v>3.1</x:v>
      </x:c>
      <x:c r="F211" s="47" t="str">
        <x:v>Static</x:v>
      </x:c>
      <x:c r="G211" s="48" t="str">
        <x:v>Stage 2 candidate - direct/deterministic</x:v>
      </x:c>
      <x:c r="H211" s="47" t="str">
        <x:v>High</x:v>
      </x:c>
      <x:c r="I211" s="47" t="str">
        <x:v>No</x:v>
      </x:c>
      <x:c r="J211" s="47" t="str">
        <x:v>ELIGIBLE</x:v>
      </x:c>
      <x:c r="K211" s="47" t="str">
        <x:v>NOT_RUN</x:v>
      </x:c>
    </x:row>
    <x:row r="212">
      <x:c r="A212" s="47" t="str">
        <x:v>TRF-018</x:v>
      </x:c>
      <x:c r="B212" s="48" t="str">
        <x:v>Ice Class Regulations and the Application Thereof</x:v>
      </x:c>
      <x:c r="C212" s="47" t="str">
        <x:v>TRAFICOM/68863/03.04.01.00/2021</x:v>
      </x:c>
      <x:c r="D212" s="59" t="n">
        <x:v>8</x:v>
      </x:c>
      <x:c r="E212" s="47" t="str">
        <x:v>3.2</x:v>
      </x:c>
      <x:c r="F212" s="47" t="str">
        <x:v>Static Calculation</x:v>
      </x:c>
      <x:c r="G212" s="48" t="str">
        <x:v>Stage 2 candidate - direct/deterministic</x:v>
      </x:c>
      <x:c r="H212" s="47" t="str">
        <x:v>High</x:v>
      </x:c>
      <x:c r="I212" s="47" t="str">
        <x:v>No</x:v>
      </x:c>
      <x:c r="J212" s="47" t="str">
        <x:v>ELIGIBLE</x:v>
      </x:c>
      <x:c r="K212" s="47" t="str">
        <x:v>NOT_RUN</x:v>
      </x:c>
    </x:row>
    <x:row r="213">
      <x:c r="A213" s="47" t="str">
        <x:v>TRF-020</x:v>
      </x:c>
      <x:c r="B213" s="48" t="str">
        <x:v>Ice Class Regulations and the Application Thereof</x:v>
      </x:c>
      <x:c r="C213" s="47" t="str">
        <x:v>TRAFICOM/68863/03.04.01.00/2021</x:v>
      </x:c>
      <x:c r="D213" s="59" t="str">
        <x:v>8-9</x:v>
      </x:c>
      <x:c r="E213" s="47" t="str">
        <x:v>3.2.2</x:v>
      </x:c>
      <x:c r="F213" s="47" t="str">
        <x:v>Complex</x:v>
      </x:c>
      <x:c r="G213" s="48" t="str">
        <x:v>Stage 2 candidate - complex readiness</x:v>
      </x:c>
      <x:c r="H213" s="47" t="str">
        <x:v>Complex readiness</x:v>
      </x:c>
      <x:c r="I213" s="47" t="str">
        <x:v>No</x:v>
      </x:c>
      <x:c r="J213" s="47" t="str">
        <x:v>ELIGIBLE</x:v>
      </x:c>
      <x:c r="K213" s="47" t="str">
        <x:v>NOT_RUN</x:v>
      </x:c>
    </x:row>
    <x:row r="214">
      <x:c r="A214" s="47" t="str">
        <x:v>TRF-022</x:v>
      </x:c>
      <x:c r="B214" s="48" t="str">
        <x:v>Ice Class Regulations and the Application Thereof</x:v>
      </x:c>
      <x:c r="C214" s="47" t="str">
        <x:v>TRAFICOM/68863/03.04.01.00/2021</x:v>
      </x:c>
      <x:c r="D214" s="59" t="n">
        <x:v>10</x:v>
      </x:c>
      <x:c r="E214" s="47" t="str">
        <x:v>3.2.2</x:v>
      </x:c>
      <x:c r="F214" s="47" t="str">
        <x:v>Complex</x:v>
      </x:c>
      <x:c r="G214" s="48" t="str">
        <x:v>Stage 2 candidate - complex readiness</x:v>
      </x:c>
      <x:c r="H214" s="47" t="str">
        <x:v>Complex readiness</x:v>
      </x:c>
      <x:c r="I214" s="47" t="str">
        <x:v>No</x:v>
      </x:c>
      <x:c r="J214" s="47" t="str">
        <x:v>ELIGIBLE</x:v>
      </x:c>
      <x:c r="K214" s="47" t="str">
        <x:v>NOT_RUN</x:v>
      </x:c>
    </x:row>
    <x:row r="215">
      <x:c r="A215" s="47" t="str">
        <x:v>TRF-023</x:v>
      </x:c>
      <x:c r="B215" s="48" t="str">
        <x:v>Ice Class Regulations and the Application Thereof</x:v>
      </x:c>
      <x:c r="C215" s="47" t="str">
        <x:v>TRAFICOM/68863/03.04.01.00/2021</x:v>
      </x:c>
      <x:c r="D215" s="59" t="n">
        <x:v>10</x:v>
      </x:c>
      <x:c r="E215" s="47" t="str">
        <x:v>3.2.3</x:v>
      </x:c>
      <x:c r="F215" s="47" t="str">
        <x:v>Static</x:v>
      </x:c>
      <x:c r="G215" s="48" t="str">
        <x:v>Stage 2 candidate - direct/deterministic</x:v>
      </x:c>
      <x:c r="H215" s="47" t="str">
        <x:v>High</x:v>
      </x:c>
      <x:c r="I215" s="47" t="str">
        <x:v>No</x:v>
      </x:c>
      <x:c r="J215" s="47" t="str">
        <x:v>ELIGIBLE</x:v>
      </x:c>
      <x:c r="K215" s="47" t="str">
        <x:v>NOT_RUN</x:v>
      </x:c>
    </x:row>
    <x:row r="216">
      <x:c r="A216" s="47" t="str">
        <x:v>TRF-024</x:v>
      </x:c>
      <x:c r="B216" s="48" t="str">
        <x:v>Ice Class Regulations and the Application Thereof</x:v>
      </x:c>
      <x:c r="C216" s="47" t="str">
        <x:v>TRAFICOM/68863/03.04.01.00/2021</x:v>
      </x:c>
      <x:c r="D216" s="59" t="n">
        <x:v>10</x:v>
      </x:c>
      <x:c r="E216" s="47" t="str">
        <x:v>3.2.4</x:v>
      </x:c>
      <x:c r="F216" s="47" t="str">
        <x:v>Static</x:v>
      </x:c>
      <x:c r="G216" s="48" t="str">
        <x:v>Stage 2 candidate - direct/deterministic</x:v>
      </x:c>
      <x:c r="H216" s="47" t="str">
        <x:v>High</x:v>
      </x:c>
      <x:c r="I216" s="47" t="str">
        <x:v>No</x:v>
      </x:c>
      <x:c r="J216" s="47" t="str">
        <x:v>ELIGIBLE</x:v>
      </x:c>
      <x:c r="K216" s="47" t="str">
        <x:v>NOT_RUN</x:v>
      </x:c>
    </x:row>
    <x:row r="217">
      <x:c r="A217" s="47" t="str">
        <x:v>TRF-025</x:v>
      </x:c>
      <x:c r="B217" s="48" t="str">
        <x:v>Ice Class Regulations and the Application Thereof</x:v>
      </x:c>
      <x:c r="C217" s="47" t="str">
        <x:v>TRAFICOM/68863/03.04.01.00/2021</x:v>
      </x:c>
      <x:c r="D217" s="59" t="n">
        <x:v>10</x:v>
      </x:c>
      <x:c r="E217" s="47" t="str">
        <x:v>3.2.4</x:v>
      </x:c>
      <x:c r="F217" s="47" t="str">
        <x:v>Complex</x:v>
      </x:c>
      <x:c r="G217" s="48" t="str">
        <x:v>Stage 2 candidate - complex readiness</x:v>
      </x:c>
      <x:c r="H217" s="47" t="str">
        <x:v>Complex readiness</x:v>
      </x:c>
      <x:c r="I217" s="47" t="str">
        <x:v>No</x:v>
      </x:c>
      <x:c r="J217" s="47" t="str">
        <x:v>ELIGIBLE</x:v>
      </x:c>
      <x:c r="K217" s="47" t="str">
        <x:v>NOT_RUN</x:v>
      </x:c>
    </x:row>
    <x:row r="218">
      <x:c r="A218" s="47" t="str">
        <x:v>TRF-026</x:v>
      </x:c>
      <x:c r="B218" s="48" t="str">
        <x:v>Ice Class Regulations and the Application Thereof</x:v>
      </x:c>
      <x:c r="C218" s="47" t="str">
        <x:v>TRAFICOM/68863/03.04.01.00/2021</x:v>
      </x:c>
      <x:c r="D218" s="59" t="n">
        <x:v>11</x:v>
      </x:c>
      <x:c r="E218" s="47" t="str">
        <x:v>3.2.4</x:v>
      </x:c>
      <x:c r="F218" s="47" t="str">
        <x:v>Complex</x:v>
      </x:c>
      <x:c r="G218" s="48" t="str">
        <x:v>Stage 2 candidate - complex readiness</x:v>
      </x:c>
      <x:c r="H218" s="47" t="str">
        <x:v>Complex readiness</x:v>
      </x:c>
      <x:c r="I218" s="47" t="str">
        <x:v>No</x:v>
      </x:c>
      <x:c r="J218" s="47" t="str">
        <x:v>ELIGIBLE</x:v>
      </x:c>
      <x:c r="K218" s="47" t="str">
        <x:v>NOT_RUN</x:v>
      </x:c>
    </x:row>
    <x:row r="219">
      <x:c r="A219" s="47" t="str">
        <x:v>TRF-027</x:v>
      </x:c>
      <x:c r="B219" s="48" t="str">
        <x:v>Ice Class Regulations and the Application Thereof</x:v>
      </x:c>
      <x:c r="C219" s="47" t="str">
        <x:v>TRAFICOM/68863/03.04.01.00/2021</x:v>
      </x:c>
      <x:c r="D219" s="59" t="n">
        <x:v>11</x:v>
      </x:c>
      <x:c r="E219" s="47" t="str">
        <x:v>3.2.4</x:v>
      </x:c>
      <x:c r="F219" s="47" t="str">
        <x:v>Static Calculation</x:v>
      </x:c>
      <x:c r="G219" s="48" t="str">
        <x:v>Stage 2 candidate - direct/deterministic</x:v>
      </x:c>
      <x:c r="H219" s="47" t="str">
        <x:v>Medium</x:v>
      </x:c>
      <x:c r="I219" s="47" t="str">
        <x:v>No</x:v>
      </x:c>
      <x:c r="J219" s="47" t="str">
        <x:v>ELIGIBLE</x:v>
      </x:c>
      <x:c r="K219" s="47" t="str">
        <x:v>NOT_RUN</x:v>
      </x:c>
    </x:row>
    <x:row r="220">
      <x:c r="A220" s="47" t="str">
        <x:v>TRF-028</x:v>
      </x:c>
      <x:c r="B220" s="48" t="str">
        <x:v>Ice Class Regulations and the Application Thereof</x:v>
      </x:c>
      <x:c r="C220" s="47" t="str">
        <x:v>TRAFICOM/68863/03.04.01.00/2021</x:v>
      </x:c>
      <x:c r="D220" s="59" t="n">
        <x:v>11</x:v>
      </x:c>
      <x:c r="E220" s="47" t="str">
        <x:v>3.2.5</x:v>
      </x:c>
      <x:c r="F220" s="47" t="str">
        <x:v>Complex</x:v>
      </x:c>
      <x:c r="G220" s="48" t="str">
        <x:v>Stage 2 candidate - complex readiness</x:v>
      </x:c>
      <x:c r="H220" s="47" t="str">
        <x:v>Complex readiness</x:v>
      </x:c>
      <x:c r="I220" s="47" t="str">
        <x:v>No</x:v>
      </x:c>
      <x:c r="J220" s="47" t="str">
        <x:v>ELIGIBLE</x:v>
      </x:c>
      <x:c r="K220" s="47" t="str">
        <x:v>NOT_RUN</x:v>
      </x:c>
    </x:row>
    <x:row r="221">
      <x:c r="A221" s="47" t="str">
        <x:v>TRF-029</x:v>
      </x:c>
      <x:c r="B221" s="48" t="str">
        <x:v>Ice Class Regulations and the Application Thereof</x:v>
      </x:c>
      <x:c r="C221" s="47" t="str">
        <x:v>TRAFICOM/68863/03.04.01.00/2021</x:v>
      </x:c>
      <x:c r="D221" s="59" t="n">
        <x:v>12</x:v>
      </x:c>
      <x:c r="E221" s="47" t="str">
        <x:v>4.1</x:v>
      </x:c>
      <x:c r="F221" s="47" t="str">
        <x:v>Static</x:v>
      </x:c>
      <x:c r="G221" s="48" t="str">
        <x:v>Stage 2 candidate - direct static</x:v>
      </x:c>
      <x:c r="H221" s="47" t="str">
        <x:v>Direct static</x:v>
      </x:c>
      <x:c r="I221" s="47" t="str">
        <x:v>No</x:v>
      </x:c>
      <x:c r="J221" s="47" t="str">
        <x:v>ELIGIBLE</x:v>
      </x:c>
      <x:c r="K221" s="47" t="str">
        <x:v>NOT_RUN</x:v>
      </x:c>
    </x:row>
    <x:row r="222">
      <x:c r="A222" s="47" t="str">
        <x:v>TRF-030</x:v>
      </x:c>
      <x:c r="B222" s="48" t="str">
        <x:v>Ice Class Regulations and the Application Thereof</x:v>
      </x:c>
      <x:c r="C222" s="47" t="str">
        <x:v>TRAFICOM/68863/03.04.01.00/2021</x:v>
      </x:c>
      <x:c r="D222" s="59" t="n">
        <x:v>12</x:v>
      </x:c>
      <x:c r="E222" s="47" t="str">
        <x:v>4.1</x:v>
      </x:c>
      <x:c r="F222" s="47" t="str">
        <x:v>Complex</x:v>
      </x:c>
      <x:c r="G222" s="48" t="str">
        <x:v>Stage 2 candidate - complex readiness</x:v>
      </x:c>
      <x:c r="H222" s="47" t="str">
        <x:v>Complex readiness</x:v>
      </x:c>
      <x:c r="I222" s="47" t="str">
        <x:v>No</x:v>
      </x:c>
      <x:c r="J222" s="47" t="str">
        <x:v>ELIGIBLE</x:v>
      </x:c>
      <x:c r="K222" s="47" t="str">
        <x:v>NOT_RUN</x:v>
      </x:c>
    </x:row>
    <x:row r="223">
      <x:c r="A223" s="47" t="str">
        <x:v>TRF-031</x:v>
      </x:c>
      <x:c r="B223" s="48" t="str">
        <x:v>Ice Class Regulations and the Application Thereof</x:v>
      </x:c>
      <x:c r="C223" s="47" t="str">
        <x:v>TRAFICOM/68863/03.04.01.00/2021</x:v>
      </x:c>
      <x:c r="D223" s="59" t="n">
        <x:v>12</x:v>
      </x:c>
      <x:c r="E223" s="47" t="str">
        <x:v>4.1</x:v>
      </x:c>
      <x:c r="F223" s="47" t="str">
        <x:v>Static Calculation</x:v>
      </x:c>
      <x:c r="G223" s="48" t="str">
        <x:v>Stage 2 candidate - direct/deterministic</x:v>
      </x:c>
      <x:c r="H223" s="47" t="str">
        <x:v>Medium</x:v>
      </x:c>
      <x:c r="I223" s="47" t="str">
        <x:v>No</x:v>
      </x:c>
      <x:c r="J223" s="47" t="str">
        <x:v>ELIGIBLE</x:v>
      </x:c>
      <x:c r="K223" s="47" t="str">
        <x:v>NOT_RUN</x:v>
      </x:c>
    </x:row>
    <x:row r="224">
      <x:c r="A224" s="47" t="str">
        <x:v>TRF-032</x:v>
      </x:c>
      <x:c r="B224" s="48" t="str">
        <x:v>Ice Class Regulations and the Application Thereof</x:v>
      </x:c>
      <x:c r="C224" s="47" t="str">
        <x:v>TRAFICOM/68863/03.04.01.00/2021</x:v>
      </x:c>
      <x:c r="D224" s="59" t="n">
        <x:v>12</x:v>
      </x:c>
      <x:c r="E224" s="47" t="str">
        <x:v>4.1</x:v>
      </x:c>
      <x:c r="F224" s="47" t="str">
        <x:v>Static</x:v>
      </x:c>
      <x:c r="G224" s="48" t="str">
        <x:v>Stage 2 candidate - direct/deterministic</x:v>
      </x:c>
      <x:c r="H224" s="47" t="str">
        <x:v>Medium</x:v>
      </x:c>
      <x:c r="I224" s="47" t="str">
        <x:v>No</x:v>
      </x:c>
      <x:c r="J224" s="47" t="str">
        <x:v>ELIGIBLE</x:v>
      </x:c>
      <x:c r="K224" s="47" t="str">
        <x:v>NOT_RUN</x:v>
      </x:c>
    </x:row>
    <x:row r="225">
      <x:c r="A225" s="47" t="str">
        <x:v>TRF-034</x:v>
      </x:c>
      <x:c r="B225" s="48" t="str">
        <x:v>Ice Class Regulations and the Application Thereof</x:v>
      </x:c>
      <x:c r="C225" s="47" t="str">
        <x:v>TRAFICOM/68863/03.04.01.00/2021</x:v>
      </x:c>
      <x:c r="D225" s="59" t="n">
        <x:v>13</x:v>
      </x:c>
      <x:c r="E225" s="47" t="str">
        <x:v>4.1</x:v>
      </x:c>
      <x:c r="F225" s="47" t="str">
        <x:v>Complex</x:v>
      </x:c>
      <x:c r="G225" s="48" t="str">
        <x:v>Stage 2 candidate - complex readiness</x:v>
      </x:c>
      <x:c r="H225" s="47" t="str">
        <x:v>Complex readiness</x:v>
      </x:c>
      <x:c r="I225" s="47" t="str">
        <x:v>No</x:v>
      </x:c>
      <x:c r="J225" s="47" t="str">
        <x:v>ELIGIBLE</x:v>
      </x:c>
      <x:c r="K225" s="47" t="str">
        <x:v>NOT_RUN</x:v>
      </x:c>
    </x:row>
    <x:row r="226">
      <x:c r="A226" s="47" t="str">
        <x:v>TRF-035</x:v>
      </x:c>
      <x:c r="B226" s="48" t="str">
        <x:v>Ice Class Regulations and the Application Thereof</x:v>
      </x:c>
      <x:c r="C226" s="47" t="str">
        <x:v>TRAFICOM/68863/03.04.01.00/2021</x:v>
      </x:c>
      <x:c r="D226" s="59" t="n">
        <x:v>13</x:v>
      </x:c>
      <x:c r="E226" s="47" t="str">
        <x:v>4.1.1</x:v>
      </x:c>
      <x:c r="F226" s="47" t="str">
        <x:v>Static</x:v>
      </x:c>
      <x:c r="G226" s="48" t="str">
        <x:v>Stage 2 candidate - direct/deterministic</x:v>
      </x:c>
      <x:c r="H226" s="47" t="str">
        <x:v>Medium</x:v>
      </x:c>
      <x:c r="I226" s="47" t="str">
        <x:v>No</x:v>
      </x:c>
      <x:c r="J226" s="47" t="str">
        <x:v>ELIGIBLE</x:v>
      </x:c>
      <x:c r="K226" s="47" t="str">
        <x:v>NOT_RUN</x:v>
      </x:c>
    </x:row>
    <x:row r="227">
      <x:c r="A227" s="47" t="str">
        <x:v>TRF-036</x:v>
      </x:c>
      <x:c r="B227" s="48" t="str">
        <x:v>Ice Class Regulations and the Application Thereof</x:v>
      </x:c>
      <x:c r="C227" s="47" t="str">
        <x:v>TRAFICOM/68863/03.04.01.00/2021</x:v>
      </x:c>
      <x:c r="D227" s="59" t="n">
        <x:v>14</x:v>
      </x:c>
      <x:c r="E227" s="47" t="str">
        <x:v>4.2.1</x:v>
      </x:c>
      <x:c r="F227" s="47" t="str">
        <x:v>Static</x:v>
      </x:c>
      <x:c r="G227" s="48" t="str">
        <x:v>Stage 2 candidate - direct static</x:v>
      </x:c>
      <x:c r="H227" s="47" t="str">
        <x:v>Direct static</x:v>
      </x:c>
      <x:c r="I227" s="47" t="str">
        <x:v>No</x:v>
      </x:c>
      <x:c r="J227" s="47" t="str">
        <x:v>ELIGIBLE</x:v>
      </x:c>
      <x:c r="K227" s="47" t="str">
        <x:v>NOT_RUN</x:v>
      </x:c>
    </x:row>
    <x:row r="228">
      <x:c r="A228" s="47" t="str">
        <x:v>TRF-037</x:v>
      </x:c>
      <x:c r="B228" s="48" t="str">
        <x:v>Ice Class Regulations and the Application Thereof</x:v>
      </x:c>
      <x:c r="C228" s="47" t="str">
        <x:v>TRAFICOM/68863/03.04.01.00/2021</x:v>
      </x:c>
      <x:c r="D228" s="59" t="n">
        <x:v>14</x:v>
      </x:c>
      <x:c r="E228" s="47" t="str">
        <x:v>4.2.2</x:v>
      </x:c>
      <x:c r="F228" s="47" t="str">
        <x:v>Static Calculation</x:v>
      </x:c>
      <x:c r="G228" s="48" t="str">
        <x:v>Stage 2 candidate - direct/deterministic</x:v>
      </x:c>
      <x:c r="H228" s="47" t="str">
        <x:v>Medium</x:v>
      </x:c>
      <x:c r="I228" s="47" t="str">
        <x:v>No</x:v>
      </x:c>
      <x:c r="J228" s="47" t="str">
        <x:v>ELIGIBLE</x:v>
      </x:c>
      <x:c r="K228" s="47" t="str">
        <x:v>NOT_RUN</x:v>
      </x:c>
    </x:row>
    <x:row r="229">
      <x:c r="A229" s="47" t="str">
        <x:v>TRF-039</x:v>
      </x:c>
      <x:c r="B229" s="48" t="str">
        <x:v>Ice Class Regulations and the Application Thereof</x:v>
      </x:c>
      <x:c r="C229" s="47" t="str">
        <x:v>TRAFICOM/68863/03.04.01.00/2021</x:v>
      </x:c>
      <x:c r="D229" s="59" t="n">
        <x:v>15</x:v>
      </x:c>
      <x:c r="E229" s="47" t="str">
        <x:v>4.2.2</x:v>
      </x:c>
      <x:c r="F229" s="47" t="str">
        <x:v>Static Calculation</x:v>
      </x:c>
      <x:c r="G229" s="48" t="str">
        <x:v>Deferred - existing vocabulary insufficient</x:v>
      </x:c>
      <x:c r="H229" s="47" t="str">
        <x:v>Deferred</x:v>
      </x:c>
      <x:c r="I229" s="47" t="str">
        <x:v>No</x:v>
      </x:c>
      <x:c r="J229" s="47" t="str">
        <x:v>DEFERRED</x:v>
      </x:c>
      <x:c r="K229" s="47" t="str">
        <x:v>NOT_RUN</x:v>
      </x:c>
    </x:row>
    <x:row r="230">
      <x:c r="A230" s="47" t="str">
        <x:v>TRF-040</x:v>
      </x:c>
      <x:c r="B230" s="48" t="str">
        <x:v>Ice Class Regulations and the Application Thereof</x:v>
      </x:c>
      <x:c r="C230" s="47" t="str">
        <x:v>TRAFICOM/68863/03.04.01.00/2021</x:v>
      </x:c>
      <x:c r="D230" s="59" t="n">
        <x:v>16</x:v>
      </x:c>
      <x:c r="E230" s="47" t="str">
        <x:v>4.3.1</x:v>
      </x:c>
      <x:c r="F230" s="47" t="str">
        <x:v>Static</x:v>
      </x:c>
      <x:c r="G230" s="48" t="str">
        <x:v>Stage 2 candidate - direct static</x:v>
      </x:c>
      <x:c r="H230" s="47" t="str">
        <x:v>Direct static</x:v>
      </x:c>
      <x:c r="I230" s="47" t="str">
        <x:v>No</x:v>
      </x:c>
      <x:c r="J230" s="47" t="str">
        <x:v>ELIGIBLE</x:v>
      </x:c>
      <x:c r="K230" s="47" t="str">
        <x:v>NOT_RUN</x:v>
      </x:c>
    </x:row>
    <x:row r="231">
      <x:c r="A231" s="47" t="str">
        <x:v>TRF-041</x:v>
      </x:c>
      <x:c r="B231" s="48" t="str">
        <x:v>Ice Class Regulations and the Application Thereof</x:v>
      </x:c>
      <x:c r="C231" s="47" t="str">
        <x:v>TRAFICOM/68863/03.04.01.00/2021</x:v>
      </x:c>
      <x:c r="D231" s="59" t="n">
        <x:v>17</x:v>
      </x:c>
      <x:c r="E231" s="47" t="str">
        <x:v>4.3.2</x:v>
      </x:c>
      <x:c r="F231" s="47" t="str">
        <x:v>Complex</x:v>
      </x:c>
      <x:c r="G231" s="48" t="str">
        <x:v>Stage 2 candidate - complex readiness</x:v>
      </x:c>
      <x:c r="H231" s="47" t="str">
        <x:v>Complex readiness</x:v>
      </x:c>
      <x:c r="I231" s="47" t="str">
        <x:v>No</x:v>
      </x:c>
      <x:c r="J231" s="47" t="str">
        <x:v>ELIGIBLE</x:v>
      </x:c>
      <x:c r="K231" s="47" t="str">
        <x:v>NOT_RUN</x:v>
      </x:c>
    </x:row>
    <x:row r="232">
      <x:c r="A232" s="47" t="str">
        <x:v>TRF-042</x:v>
      </x:c>
      <x:c r="B232" s="48" t="str">
        <x:v>Ice Class Regulations and the Application Thereof</x:v>
      </x:c>
      <x:c r="C232" s="47" t="str">
        <x:v>TRAFICOM/68863/03.04.01.00/2021</x:v>
      </x:c>
      <x:c r="D232" s="59" t="n">
        <x:v>17</x:v>
      </x:c>
      <x:c r="E232" s="47" t="str">
        <x:v>4.3.2</x:v>
      </x:c>
      <x:c r="F232" s="47" t="str">
        <x:v>Static Calculation</x:v>
      </x:c>
      <x:c r="G232" s="48" t="str">
        <x:v>Stage 2 candidate - direct/deterministic</x:v>
      </x:c>
      <x:c r="H232" s="47" t="str">
        <x:v>Medium</x:v>
      </x:c>
      <x:c r="I232" s="47" t="str">
        <x:v>No</x:v>
      </x:c>
      <x:c r="J232" s="47" t="str">
        <x:v>ELIGIBLE</x:v>
      </x:c>
      <x:c r="K232" s="47" t="str">
        <x:v>NOT_RUN</x:v>
      </x:c>
    </x:row>
    <x:row r="233">
      <x:c r="A233" s="47" t="str">
        <x:v>TRF-043</x:v>
      </x:c>
      <x:c r="B233" s="48" t="str">
        <x:v>Ice Class Regulations and the Application Thereof</x:v>
      </x:c>
      <x:c r="C233" s="47" t="str">
        <x:v>TRAFICOM/68863/03.04.01.00/2021</x:v>
      </x:c>
      <x:c r="D233" s="59" t="n">
        <x:v>18</x:v>
      </x:c>
      <x:c r="E233" s="47" t="str">
        <x:v>4.4.1</x:v>
      </x:c>
      <x:c r="F233" s="47" t="str">
        <x:v>Static</x:v>
      </x:c>
      <x:c r="G233" s="48" t="str">
        <x:v>Stage 2 candidate - direct/deterministic</x:v>
      </x:c>
      <x:c r="H233" s="47" t="str">
        <x:v>Medium</x:v>
      </x:c>
      <x:c r="I233" s="47" t="str">
        <x:v>No</x:v>
      </x:c>
      <x:c r="J233" s="47" t="str">
        <x:v>ELIGIBLE</x:v>
      </x:c>
      <x:c r="K233" s="47" t="str">
        <x:v>NOT_RUN</x:v>
      </x:c>
    </x:row>
    <x:row r="234">
      <x:c r="A234" s="47" t="str">
        <x:v>TRF-044</x:v>
      </x:c>
      <x:c r="B234" s="48" t="str">
        <x:v>Ice Class Regulations and the Application Thereof</x:v>
      </x:c>
      <x:c r="C234" s="47" t="str">
        <x:v>TRAFICOM/68863/03.04.01.00/2021</x:v>
      </x:c>
      <x:c r="D234" s="59" t="str">
        <x:v>18-19</x:v>
      </x:c>
      <x:c r="E234" s="47" t="str">
        <x:v>4.4.2.1</x:v>
      </x:c>
      <x:c r="F234" s="47" t="str">
        <x:v>Static Calculation</x:v>
      </x:c>
      <x:c r="G234" s="48" t="str">
        <x:v>Stage 2 candidate - direct/deterministic</x:v>
      </x:c>
      <x:c r="H234" s="47" t="str">
        <x:v>Medium</x:v>
      </x:c>
      <x:c r="I234" s="47" t="str">
        <x:v>No</x:v>
      </x:c>
      <x:c r="J234" s="47" t="str">
        <x:v>ELIGIBLE</x:v>
      </x:c>
      <x:c r="K234" s="47" t="str">
        <x:v>NOT_RUN</x:v>
      </x:c>
    </x:row>
    <x:row r="235">
      <x:c r="A235" s="47" t="str">
        <x:v>TRF-045</x:v>
      </x:c>
      <x:c r="B235" s="48" t="str">
        <x:v>Ice Class Regulations and the Application Thereof</x:v>
      </x:c>
      <x:c r="C235" s="47" t="str">
        <x:v>TRAFICOM/68863/03.04.01.00/2021</x:v>
      </x:c>
      <x:c r="D235" s="59" t="n">
        <x:v>19</x:v>
      </x:c>
      <x:c r="E235" s="47" t="str">
        <x:v>4.4.2.1</x:v>
      </x:c>
      <x:c r="F235" s="47" t="str">
        <x:v>Static</x:v>
      </x:c>
      <x:c r="G235" s="48" t="str">
        <x:v>Stage 2 candidate - direct/deterministic</x:v>
      </x:c>
      <x:c r="H235" s="47" t="str">
        <x:v>High</x:v>
      </x:c>
      <x:c r="I235" s="47" t="str">
        <x:v>No</x:v>
      </x:c>
      <x:c r="J235" s="47" t="str">
        <x:v>ELIGIBLE</x:v>
      </x:c>
      <x:c r="K235" s="47" t="str">
        <x:v>NOT_RUN</x:v>
      </x:c>
    </x:row>
    <x:row r="236">
      <x:c r="A236" s="47" t="str">
        <x:v>TRF-046</x:v>
      </x:c>
      <x:c r="B236" s="48" t="str">
        <x:v>Ice Class Regulations and the Application Thereof</x:v>
      </x:c>
      <x:c r="C236" s="47" t="str">
        <x:v>TRAFICOM/68863/03.04.01.00/2021</x:v>
      </x:c>
      <x:c r="D236" s="59" t="n">
        <x:v>19</x:v>
      </x:c>
      <x:c r="E236" s="47" t="str">
        <x:v>4.4.2.2</x:v>
      </x:c>
      <x:c r="F236" s="47" t="str">
        <x:v>Static</x:v>
      </x:c>
      <x:c r="G236" s="48" t="str">
        <x:v>Stage 2 candidate - direct/deterministic</x:v>
      </x:c>
      <x:c r="H236" s="47" t="str">
        <x:v>Medium</x:v>
      </x:c>
      <x:c r="I236" s="47" t="str">
        <x:v>No</x:v>
      </x:c>
      <x:c r="J236" s="47" t="str">
        <x:v>ELIGIBLE</x:v>
      </x:c>
      <x:c r="K236" s="47" t="str">
        <x:v>NOT_RUN</x:v>
      </x:c>
    </x:row>
    <x:row r="237">
      <x:c r="A237" s="47" t="str">
        <x:v>TRF-047</x:v>
      </x:c>
      <x:c r="B237" s="48" t="str">
        <x:v>Ice Class Regulations and the Application Thereof</x:v>
      </x:c>
      <x:c r="C237" s="47" t="str">
        <x:v>TRAFICOM/68863/03.04.01.00/2021</x:v>
      </x:c>
      <x:c r="D237" s="59" t="n">
        <x:v>20</x:v>
      </x:c>
      <x:c r="E237" s="47" t="str">
        <x:v>4.4.2.3</x:v>
      </x:c>
      <x:c r="F237" s="47" t="str">
        <x:v>Static</x:v>
      </x:c>
      <x:c r="G237" s="48" t="str">
        <x:v>Stage 2 candidate - direct/deterministic</x:v>
      </x:c>
      <x:c r="H237" s="47" t="str">
        <x:v>High</x:v>
      </x:c>
      <x:c r="I237" s="47" t="str">
        <x:v>No</x:v>
      </x:c>
      <x:c r="J237" s="47" t="str">
        <x:v>ELIGIBLE</x:v>
      </x:c>
      <x:c r="K237" s="47" t="str">
        <x:v>NOT_RUN</x:v>
      </x:c>
    </x:row>
    <x:row r="238">
      <x:c r="A238" s="47" t="str">
        <x:v>TRF-048</x:v>
      </x:c>
      <x:c r="B238" s="48" t="str">
        <x:v>Ice Class Regulations and the Application Thereof</x:v>
      </x:c>
      <x:c r="C238" s="47" t="str">
        <x:v>TRAFICOM/68863/03.04.01.00/2021</x:v>
      </x:c>
      <x:c r="D238" s="59" t="n">
        <x:v>20</x:v>
      </x:c>
      <x:c r="E238" s="47" t="str">
        <x:v>4.4.3</x:v>
      </x:c>
      <x:c r="F238" s="47" t="str">
        <x:v>Static Calculation</x:v>
      </x:c>
      <x:c r="G238" s="48" t="str">
        <x:v>Stage 2 candidate - direct/deterministic</x:v>
      </x:c>
      <x:c r="H238" s="47" t="str">
        <x:v>High</x:v>
      </x:c>
      <x:c r="I238" s="47" t="str">
        <x:v>No</x:v>
      </x:c>
      <x:c r="J238" s="47" t="str">
        <x:v>ELIGIBLE</x:v>
      </x:c>
      <x:c r="K238" s="47" t="str">
        <x:v>NOT_RUN</x:v>
      </x:c>
    </x:row>
    <x:row r="239">
      <x:c r="A239" s="47" t="str">
        <x:v>TRF-049</x:v>
      </x:c>
      <x:c r="B239" s="48" t="str">
        <x:v>Ice Class Regulations and the Application Thereof</x:v>
      </x:c>
      <x:c r="C239" s="47" t="str">
        <x:v>TRAFICOM/68863/03.04.01.00/2021</x:v>
      </x:c>
      <x:c r="D239" s="59" t="n">
        <x:v>21</x:v>
      </x:c>
      <x:c r="E239" s="47" t="str">
        <x:v>4.4.4.1</x:v>
      </x:c>
      <x:c r="F239" s="47" t="str">
        <x:v>Static</x:v>
      </x:c>
      <x:c r="G239" s="48" t="str">
        <x:v>Stage 2 candidate - direct static</x:v>
      </x:c>
      <x:c r="H239" s="47" t="str">
        <x:v>Direct static</x:v>
      </x:c>
      <x:c r="I239" s="47" t="str">
        <x:v>No</x:v>
      </x:c>
      <x:c r="J239" s="47" t="str">
        <x:v>ELIGIBLE</x:v>
      </x:c>
      <x:c r="K239" s="47" t="str">
        <x:v>NOT_RUN</x:v>
      </x:c>
    </x:row>
    <x:row r="240">
      <x:c r="A240" s="47" t="str">
        <x:v>TRF-050</x:v>
      </x:c>
      <x:c r="B240" s="48" t="str">
        <x:v>Ice Class Regulations and the Application Thereof</x:v>
      </x:c>
      <x:c r="C240" s="47" t="str">
        <x:v>TRAFICOM/68863/03.04.01.00/2021</x:v>
      </x:c>
      <x:c r="D240" s="59" t="n">
        <x:v>21</x:v>
      </x:c>
      <x:c r="E240" s="47" t="str">
        <x:v>4.4.4.2</x:v>
      </x:c>
      <x:c r="F240" s="47" t="str">
        <x:v>Static</x:v>
      </x:c>
      <x:c r="G240" s="48" t="str">
        <x:v>Stage 2 candidate - direct/deterministic</x:v>
      </x:c>
      <x:c r="H240" s="47" t="str">
        <x:v>High</x:v>
      </x:c>
      <x:c r="I240" s="47" t="str">
        <x:v>No</x:v>
      </x:c>
      <x:c r="J240" s="47" t="str">
        <x:v>ELIGIBLE</x:v>
      </x:c>
      <x:c r="K240" s="47" t="str">
        <x:v>NOT_RUN</x:v>
      </x:c>
    </x:row>
    <x:row r="241">
      <x:c r="A241" s="47" t="str">
        <x:v>TRF-051</x:v>
      </x:c>
      <x:c r="B241" s="48" t="str">
        <x:v>Ice Class Regulations and the Application Thereof</x:v>
      </x:c>
      <x:c r="C241" s="47" t="str">
        <x:v>TRAFICOM/68863/03.04.01.00/2021</x:v>
      </x:c>
      <x:c r="D241" s="59" t="n">
        <x:v>21</x:v>
      </x:c>
      <x:c r="E241" s="47" t="str">
        <x:v>4.4.4.2</x:v>
      </x:c>
      <x:c r="F241" s="47" t="str">
        <x:v>Complex</x:v>
      </x:c>
      <x:c r="G241" s="48" t="str">
        <x:v>Stage 2 candidate - complex readiness</x:v>
      </x:c>
      <x:c r="H241" s="47" t="str">
        <x:v>Complex readiness</x:v>
      </x:c>
      <x:c r="I241" s="47" t="str">
        <x:v>No</x:v>
      </x:c>
      <x:c r="J241" s="47" t="str">
        <x:v>ELIGIBLE</x:v>
      </x:c>
      <x:c r="K241" s="47" t="str">
        <x:v>NOT_RUN</x:v>
      </x:c>
    </x:row>
    <x:row r="242">
      <x:c r="A242" s="47" t="str">
        <x:v>TRF-052</x:v>
      </x:c>
      <x:c r="B242" s="48" t="str">
        <x:v>Ice Class Regulations and the Application Thereof</x:v>
      </x:c>
      <x:c r="C242" s="47" t="str">
        <x:v>TRAFICOM/68863/03.04.01.00/2021</x:v>
      </x:c>
      <x:c r="D242" s="59" t="n">
        <x:v>21</x:v>
      </x:c>
      <x:c r="E242" s="47" t="str">
        <x:v>4.4.4.2</x:v>
      </x:c>
      <x:c r="F242" s="47" t="str">
        <x:v>Static</x:v>
      </x:c>
      <x:c r="G242" s="48" t="str">
        <x:v>Stage 2 candidate - direct/deterministic</x:v>
      </x:c>
      <x:c r="H242" s="47" t="str">
        <x:v>High</x:v>
      </x:c>
      <x:c r="I242" s="47" t="str">
        <x:v>No</x:v>
      </x:c>
      <x:c r="J242" s="47" t="str">
        <x:v>ELIGIBLE</x:v>
      </x:c>
      <x:c r="K242" s="47" t="str">
        <x:v>NOT_RUN</x:v>
      </x:c>
    </x:row>
    <x:row r="243">
      <x:c r="A243" s="47" t="str">
        <x:v>TRF-053</x:v>
      </x:c>
      <x:c r="B243" s="48" t="str">
        <x:v>Ice Class Regulations and the Application Thereof</x:v>
      </x:c>
      <x:c r="C243" s="47" t="str">
        <x:v>TRAFICOM/68863/03.04.01.00/2021</x:v>
      </x:c>
      <x:c r="D243" s="59" t="str">
        <x:v>21-22</x:v>
      </x:c>
      <x:c r="E243" s="47" t="str">
        <x:v>4.5.1</x:v>
      </x:c>
      <x:c r="F243" s="47" t="str">
        <x:v>Static Calculation</x:v>
      </x:c>
      <x:c r="G243" s="48" t="str">
        <x:v>Stage 2 candidate - direct/deterministic</x:v>
      </x:c>
      <x:c r="H243" s="47" t="str">
        <x:v>High</x:v>
      </x:c>
      <x:c r="I243" s="47" t="str">
        <x:v>No</x:v>
      </x:c>
      <x:c r="J243" s="47" t="str">
        <x:v>ELIGIBLE</x:v>
      </x:c>
      <x:c r="K243" s="47" t="str">
        <x:v>NOT_RUN</x:v>
      </x:c>
    </x:row>
    <x:row r="244">
      <x:c r="A244" s="47" t="str">
        <x:v>TRF-054</x:v>
      </x:c>
      <x:c r="B244" s="48" t="str">
        <x:v>Ice Class Regulations and the Application Thereof</x:v>
      </x:c>
      <x:c r="C244" s="47" t="str">
        <x:v>TRAFICOM/68863/03.04.01.00/2021</x:v>
      </x:c>
      <x:c r="D244" s="59" t="str">
        <x:v>22-23</x:v>
      </x:c>
      <x:c r="E244" s="47" t="str">
        <x:v>4.5.2</x:v>
      </x:c>
      <x:c r="F244" s="47" t="str">
        <x:v>Static Calculation</x:v>
      </x:c>
      <x:c r="G244" s="48" t="str">
        <x:v>Stage 2 candidate - direct/deterministic</x:v>
      </x:c>
      <x:c r="H244" s="47" t="str">
        <x:v>High</x:v>
      </x:c>
      <x:c r="I244" s="47" t="str">
        <x:v>No</x:v>
      </x:c>
      <x:c r="J244" s="47" t="str">
        <x:v>ELIGIBLE</x:v>
      </x:c>
      <x:c r="K244" s="47" t="str">
        <x:v>NOT_RUN</x:v>
      </x:c>
    </x:row>
    <x:row r="245">
      <x:c r="A245" s="47" t="str">
        <x:v>TRF-055</x:v>
      </x:c>
      <x:c r="B245" s="48" t="str">
        <x:v>Ice Class Regulations and the Application Thereof</x:v>
      </x:c>
      <x:c r="C245" s="47" t="str">
        <x:v>TRAFICOM/68863/03.04.01.00/2021</x:v>
      </x:c>
      <x:c r="D245" s="59" t="n">
        <x:v>23</x:v>
      </x:c>
      <x:c r="E245" s="47" t="str">
        <x:v>4.5.3</x:v>
      </x:c>
      <x:c r="F245" s="47" t="str">
        <x:v>Static</x:v>
      </x:c>
      <x:c r="G245" s="48" t="str">
        <x:v>Stage 2 candidate - direct/deterministic static verification</x:v>
      </x:c>
      <x:c r="H245" s="47" t="str">
        <x:v>Medium</x:v>
      </x:c>
      <x:c r="I245" s="47" t="str">
        <x:v>No</x:v>
      </x:c>
      <x:c r="J245" s="47" t="str">
        <x:v>ELIGIBLE</x:v>
      </x:c>
      <x:c r="K245" s="47" t="str">
        <x:v>NOT_RUN</x:v>
      </x:c>
    </x:row>
    <x:row r="246">
      <x:c r="A246" s="47" t="str">
        <x:v>TRF-056</x:v>
      </x:c>
      <x:c r="B246" s="48" t="str">
        <x:v>Ice Class Regulations and the Application Thereof</x:v>
      </x:c>
      <x:c r="C246" s="47" t="str">
        <x:v>TRAFICOM/68863/03.04.01.00/2021</x:v>
      </x:c>
      <x:c r="D246" s="59" t="n">
        <x:v>23</x:v>
      </x:c>
      <x:c r="E246" s="47" t="str">
        <x:v>4.5.3</x:v>
      </x:c>
      <x:c r="F246" s="47" t="str">
        <x:v>Static</x:v>
      </x:c>
      <x:c r="G246" s="48" t="str">
        <x:v>Stage 2 candidate - direct static</x:v>
      </x:c>
      <x:c r="H246" s="47" t="str">
        <x:v>Direct static</x:v>
      </x:c>
      <x:c r="I246" s="47" t="str">
        <x:v>No</x:v>
      </x:c>
      <x:c r="J246" s="47" t="str">
        <x:v>ELIGIBLE</x:v>
      </x:c>
      <x:c r="K246" s="47" t="str">
        <x:v>NOT_RUN</x:v>
      </x:c>
    </x:row>
    <x:row r="247">
      <x:c r="A247" s="47" t="str">
        <x:v>TRF-057</x:v>
      </x:c>
      <x:c r="B247" s="48" t="str">
        <x:v>Ice Class Regulations and the Application Thereof</x:v>
      </x:c>
      <x:c r="C247" s="47" t="str">
        <x:v>TRAFICOM/68863/03.04.01.00/2021</x:v>
      </x:c>
      <x:c r="D247" s="59" t="n">
        <x:v>23</x:v>
      </x:c>
      <x:c r="E247" s="47" t="str">
        <x:v>4.6.1</x:v>
      </x:c>
      <x:c r="F247" s="47" t="str">
        <x:v>Static Calculation</x:v>
      </x:c>
      <x:c r="G247" s="48" t="str">
        <x:v>Stage 2 candidate - direct/deterministic</x:v>
      </x:c>
      <x:c r="H247" s="47" t="str">
        <x:v>Medium</x:v>
      </x:c>
      <x:c r="I247" s="47" t="str">
        <x:v>No</x:v>
      </x:c>
      <x:c r="J247" s="47" t="str">
        <x:v>ELIGIBLE</x:v>
      </x:c>
      <x:c r="K247" s="47" t="str">
        <x:v>NOT_RUN</x:v>
      </x:c>
    </x:row>
    <x:row r="248">
      <x:c r="A248" s="47" t="str">
        <x:v>TRF-058</x:v>
      </x:c>
      <x:c r="B248" s="48" t="str">
        <x:v>Ice Class Regulations and the Application Thereof</x:v>
      </x:c>
      <x:c r="C248" s="47" t="str">
        <x:v>TRAFICOM/68863/03.04.01.00/2021</x:v>
      </x:c>
      <x:c r="D248" s="59" t="n">
        <x:v>23</x:v>
      </x:c>
      <x:c r="E248" s="47" t="str">
        <x:v>4.6.1</x:v>
      </x:c>
      <x:c r="F248" s="47" t="str">
        <x:v>Static Calculation</x:v>
      </x:c>
      <x:c r="G248" s="48" t="str">
        <x:v>Stage 2 candidate - direct/deterministic</x:v>
      </x:c>
      <x:c r="H248" s="47" t="str">
        <x:v>High</x:v>
      </x:c>
      <x:c r="I248" s="47" t="str">
        <x:v>No</x:v>
      </x:c>
      <x:c r="J248" s="47" t="str">
        <x:v>ELIGIBLE</x:v>
      </x:c>
      <x:c r="K248" s="47" t="str">
        <x:v>NOT_RUN</x:v>
      </x:c>
    </x:row>
    <x:row r="249">
      <x:c r="A249" s="47" t="str">
        <x:v>TRF-059</x:v>
      </x:c>
      <x:c r="B249" s="48" t="str">
        <x:v>Ice Class Regulations and the Application Thereof</x:v>
      </x:c>
      <x:c r="C249" s="47" t="str">
        <x:v>TRAFICOM/68863/03.04.01.00/2021</x:v>
      </x:c>
      <x:c r="D249" s="59" t="n">
        <x:v>23</x:v>
      </x:c>
      <x:c r="E249" s="47" t="str">
        <x:v>4.6.2</x:v>
      </x:c>
      <x:c r="F249" s="47" t="str">
        <x:v>Static Calculation</x:v>
      </x:c>
      <x:c r="G249" s="48" t="str">
        <x:v>Stage 2 candidate - direct/deterministic</x:v>
      </x:c>
      <x:c r="H249" s="47" t="str">
        <x:v>High</x:v>
      </x:c>
      <x:c r="I249" s="47" t="str">
        <x:v>No</x:v>
      </x:c>
      <x:c r="J249" s="47" t="str">
        <x:v>ELIGIBLE</x:v>
      </x:c>
      <x:c r="K249" s="47" t="str">
        <x:v>NOT_RUN</x:v>
      </x:c>
    </x:row>
    <x:row r="250">
      <x:c r="A250" s="47" t="str">
        <x:v>TRF-060</x:v>
      </x:c>
      <x:c r="B250" s="48" t="str">
        <x:v>Ice Class Regulations and the Application Thereof</x:v>
      </x:c>
      <x:c r="C250" s="47" t="str">
        <x:v>TRAFICOM/68863/03.04.01.00/2021</x:v>
      </x:c>
      <x:c r="D250" s="59" t="n">
        <x:v>24</x:v>
      </x:c>
      <x:c r="E250" s="47" t="str">
        <x:v>4.6.2</x:v>
      </x:c>
      <x:c r="F250" s="47" t="str">
        <x:v>Complex</x:v>
      </x:c>
      <x:c r="G250" s="48" t="str">
        <x:v>Stage 2 candidate - complex readiness</x:v>
      </x:c>
      <x:c r="H250" s="47" t="str">
        <x:v>Complex readiness</x:v>
      </x:c>
      <x:c r="I250" s="47" t="str">
        <x:v>No</x:v>
      </x:c>
      <x:c r="J250" s="47" t="str">
        <x:v>ELIGIBLE</x:v>
      </x:c>
      <x:c r="K250" s="47" t="str">
        <x:v>NOT_RUN</x:v>
      </x:c>
    </x:row>
    <x:row r="251">
      <x:c r="A251" s="47" t="str">
        <x:v>TRF-061</x:v>
      </x:c>
      <x:c r="B251" s="48" t="str">
        <x:v>Ice Class Regulations and the Application Thereof</x:v>
      </x:c>
      <x:c r="C251" s="47" t="str">
        <x:v>TRAFICOM/68863/03.04.01.00/2021</x:v>
      </x:c>
      <x:c r="D251" s="59" t="n">
        <x:v>25</x:v>
      </x:c>
      <x:c r="E251" s="47" t="str">
        <x:v>4.7</x:v>
      </x:c>
      <x:c r="F251" s="47" t="str">
        <x:v>Complex</x:v>
      </x:c>
      <x:c r="G251" s="48" t="str">
        <x:v>Deferred - composite/evidence workflow review</x:v>
      </x:c>
      <x:c r="H251" s="47" t="str">
        <x:v>Medium</x:v>
      </x:c>
      <x:c r="I251" s="47" t="str">
        <x:v>No</x:v>
      </x:c>
      <x:c r="J251" s="47" t="str">
        <x:v>DEFERRED</x:v>
      </x:c>
      <x:c r="K251" s="47" t="str">
        <x:v>NOT_RUN</x:v>
      </x:c>
    </x:row>
    <x:row r="252">
      <x:c r="A252" s="47" t="str">
        <x:v>TRF-062</x:v>
      </x:c>
      <x:c r="B252" s="48" t="str">
        <x:v>Ice Class Regulations and the Application Thereof</x:v>
      </x:c>
      <x:c r="C252" s="47" t="str">
        <x:v>TRAFICOM/68863/03.04.01.00/2021</x:v>
      </x:c>
      <x:c r="D252" s="59" t="n">
        <x:v>25</x:v>
      </x:c>
      <x:c r="E252" s="47" t="str">
        <x:v>4.8</x:v>
      </x:c>
      <x:c r="F252" s="47" t="str">
        <x:v>Static</x:v>
      </x:c>
      <x:c r="G252" s="48" t="str">
        <x:v>Stage 2 candidate - direct/deterministic</x:v>
      </x:c>
      <x:c r="H252" s="47" t="str">
        <x:v>High</x:v>
      </x:c>
      <x:c r="I252" s="47" t="str">
        <x:v>No</x:v>
      </x:c>
      <x:c r="J252" s="47" t="str">
        <x:v>ELIGIBLE</x:v>
      </x:c>
      <x:c r="K252" s="47" t="str">
        <x:v>NOT_RUN</x:v>
      </x:c>
    </x:row>
    <x:row r="253">
      <x:c r="A253" s="47" t="str">
        <x:v>TRF-063</x:v>
      </x:c>
      <x:c r="B253" s="48" t="str">
        <x:v>Ice Class Regulations and the Application Thereof</x:v>
      </x:c>
      <x:c r="C253" s="47" t="str">
        <x:v>TRAFICOM/68863/03.04.01.00/2021</x:v>
      </x:c>
      <x:c r="D253" s="59" t="n">
        <x:v>25</x:v>
      </x:c>
      <x:c r="E253" s="47" t="str">
        <x:v>4.8</x:v>
      </x:c>
      <x:c r="F253" s="47" t="str">
        <x:v>Static</x:v>
      </x:c>
      <x:c r="G253" s="48" t="str">
        <x:v>Stage 2 candidate - direct/deterministic</x:v>
      </x:c>
      <x:c r="H253" s="47" t="str">
        <x:v>High</x:v>
      </x:c>
      <x:c r="I253" s="47" t="str">
        <x:v>No</x:v>
      </x:c>
      <x:c r="J253" s="47" t="str">
        <x:v>ELIGIBLE</x:v>
      </x:c>
      <x:c r="K253" s="47" t="str">
        <x:v>NOT_RUN</x:v>
      </x:c>
    </x:row>
    <x:row r="254">
      <x:c r="A254" s="47" t="str">
        <x:v>TRF-064</x:v>
      </x:c>
      <x:c r="B254" s="48" t="str">
        <x:v>Ice Class Regulations and the Application Thereof</x:v>
      </x:c>
      <x:c r="C254" s="47" t="str">
        <x:v>TRAFICOM/68863/03.04.01.00/2021</x:v>
      </x:c>
      <x:c r="D254" s="59" t="n">
        <x:v>26</x:v>
      </x:c>
      <x:c r="E254" s="47" t="str">
        <x:v>4.8</x:v>
      </x:c>
      <x:c r="F254" s="47" t="str">
        <x:v>Static</x:v>
      </x:c>
      <x:c r="G254" s="48" t="str">
        <x:v>Stage 2 candidate - direct/deterministic</x:v>
      </x:c>
      <x:c r="H254" s="47" t="str">
        <x:v>High</x:v>
      </x:c>
      <x:c r="I254" s="47" t="str">
        <x:v>No</x:v>
      </x:c>
      <x:c r="J254" s="47" t="str">
        <x:v>ELIGIBLE</x:v>
      </x:c>
      <x:c r="K254" s="47" t="str">
        <x:v>NOT_RUN</x:v>
      </x:c>
    </x:row>
    <x:row r="255">
      <x:c r="A255" s="47" t="str">
        <x:v>TRF-065</x:v>
      </x:c>
      <x:c r="B255" s="48" t="str">
        <x:v>Ice Class Regulations and the Application Thereof</x:v>
      </x:c>
      <x:c r="C255" s="47" t="str">
        <x:v>TRAFICOM/68863/03.04.01.00/2021</x:v>
      </x:c>
      <x:c r="D255" s="59" t="n">
        <x:v>26</x:v>
      </x:c>
      <x:c r="E255" s="47" t="str">
        <x:v>5</x:v>
      </x:c>
      <x:c r="F255" s="47" t="str">
        <x:v>Complex</x:v>
      </x:c>
      <x:c r="G255" s="48" t="str">
        <x:v>Deferred - composite/evidence workflow review</x:v>
      </x:c>
      <x:c r="H255" s="47" t="str">
        <x:v>Medium</x:v>
      </x:c>
      <x:c r="I255" s="47" t="str">
        <x:v>No</x:v>
      </x:c>
      <x:c r="J255" s="47" t="str">
        <x:v>DEFERRED</x:v>
      </x:c>
      <x:c r="K255" s="47" t="str">
        <x:v>NOT_RUN</x:v>
      </x:c>
    </x:row>
    <x:row r="256">
      <x:c r="A256" s="47" t="str">
        <x:v>TRF-066</x:v>
      </x:c>
      <x:c r="B256" s="48" t="str">
        <x:v>Ice Class Regulations and the Application Thereof</x:v>
      </x:c>
      <x:c r="C256" s="47" t="str">
        <x:v>TRAFICOM/68863/03.04.01.00/2021</x:v>
      </x:c>
      <x:c r="D256" s="59" t="n">
        <x:v>26</x:v>
      </x:c>
      <x:c r="E256" s="47" t="str">
        <x:v>5</x:v>
      </x:c>
      <x:c r="F256" s="47" t="str">
        <x:v>Static</x:v>
      </x:c>
      <x:c r="G256" s="48" t="str">
        <x:v>Stage 2 candidate - direct/deterministic</x:v>
      </x:c>
      <x:c r="H256" s="47" t="str">
        <x:v>High</x:v>
      </x:c>
      <x:c r="I256" s="47" t="str">
        <x:v>No</x:v>
      </x:c>
      <x:c r="J256" s="47" t="str">
        <x:v>ELIGIBLE</x:v>
      </x:c>
      <x:c r="K256" s="47" t="str">
        <x:v>NOT_RUN</x:v>
      </x:c>
    </x:row>
    <x:row r="257">
      <x:c r="A257" s="47" t="str">
        <x:v>TRF-067</x:v>
      </x:c>
      <x:c r="B257" s="48" t="str">
        <x:v>Ice Class Regulations and the Application Thereof</x:v>
      </x:c>
      <x:c r="C257" s="47" t="str">
        <x:v>TRAFICOM/68863/03.04.01.00/2021</x:v>
      </x:c>
      <x:c r="D257" s="59" t="n">
        <x:v>26</x:v>
      </x:c>
      <x:c r="E257" s="47" t="str">
        <x:v>5</x:v>
      </x:c>
      <x:c r="F257" s="47" t="str">
        <x:v>Static</x:v>
      </x:c>
      <x:c r="G257" s="48" t="str">
        <x:v>Stage 2 candidate - direct/deterministic</x:v>
      </x:c>
      <x:c r="H257" s="47" t="str">
        <x:v>High</x:v>
      </x:c>
      <x:c r="I257" s="47" t="str">
        <x:v>No</x:v>
      </x:c>
      <x:c r="J257" s="47" t="str">
        <x:v>ELIGIBLE</x:v>
      </x:c>
      <x:c r="K257" s="47" t="str">
        <x:v>NOT_RUN</x:v>
      </x:c>
    </x:row>
    <x:row r="258">
      <x:c r="A258" s="47" t="str">
        <x:v>TRF-068</x:v>
      </x:c>
      <x:c r="B258" s="48" t="str">
        <x:v>Ice Class Regulations and the Application Thereof</x:v>
      </x:c>
      <x:c r="C258" s="47" t="str">
        <x:v>TRAFICOM/68863/03.04.01.00/2021</x:v>
      </x:c>
      <x:c r="D258" s="59" t="n">
        <x:v>26</x:v>
      </x:c>
      <x:c r="E258" s="47" t="str">
        <x:v>5</x:v>
      </x:c>
      <x:c r="F258" s="47" t="str">
        <x:v>Complex</x:v>
      </x:c>
      <x:c r="G258" s="48" t="str">
        <x:v>Deferred - composite/evidence workflow review</x:v>
      </x:c>
      <x:c r="H258" s="47" t="str">
        <x:v>High</x:v>
      </x:c>
      <x:c r="I258" s="47" t="str">
        <x:v>No</x:v>
      </x:c>
      <x:c r="J258" s="47" t="str">
        <x:v>DEFERRED</x:v>
      </x:c>
      <x:c r="K258" s="47" t="str">
        <x:v>NOT_RUN</x:v>
      </x:c>
    </x:row>
    <x:row r="259">
      <x:c r="A259" s="47" t="str">
        <x:v>TRF-069</x:v>
      </x:c>
      <x:c r="B259" s="48" t="str">
        <x:v>Ice Class Regulations and the Application Thereof</x:v>
      </x:c>
      <x:c r="C259" s="47" t="str">
        <x:v>TRAFICOM/68863/03.04.01.00/2021</x:v>
      </x:c>
      <x:c r="D259" s="59" t="n">
        <x:v>26</x:v>
      </x:c>
      <x:c r="E259" s="47" t="str">
        <x:v>6.1</x:v>
      </x:c>
      <x:c r="F259" s="47" t="str">
        <x:v>Static</x:v>
      </x:c>
      <x:c r="G259" s="48" t="str">
        <x:v>Stage 2 candidate - direct/deterministic</x:v>
      </x:c>
      <x:c r="H259" s="47" t="str">
        <x:v>High</x:v>
      </x:c>
      <x:c r="I259" s="47" t="str">
        <x:v>No</x:v>
      </x:c>
      <x:c r="J259" s="47" t="str">
        <x:v>ELIGIBLE</x:v>
      </x:c>
      <x:c r="K259" s="47" t="str">
        <x:v>NOT_RUN</x:v>
      </x:c>
    </x:row>
    <x:row r="260">
      <x:c r="A260" s="47" t="str">
        <x:v>TRF-070</x:v>
      </x:c>
      <x:c r="B260" s="48" t="str">
        <x:v>Ice Class Regulations and the Application Thereof</x:v>
      </x:c>
      <x:c r="C260" s="47" t="str">
        <x:v>TRAFICOM/68863/03.04.01.00/2021</x:v>
      </x:c>
      <x:c r="D260" s="59" t="str">
        <x:v>26-27</x:v>
      </x:c>
      <x:c r="E260" s="47" t="str">
        <x:v>6.1</x:v>
      </x:c>
      <x:c r="F260" s="47" t="str">
        <x:v>Complex</x:v>
      </x:c>
      <x:c r="G260" s="48" t="str">
        <x:v>Stage 2 candidate - complex readiness</x:v>
      </x:c>
      <x:c r="H260" s="47" t="str">
        <x:v>Complex readiness</x:v>
      </x:c>
      <x:c r="I260" s="47" t="str">
        <x:v>No</x:v>
      </x:c>
      <x:c r="J260" s="47" t="str">
        <x:v>ELIGIBLE</x:v>
      </x:c>
      <x:c r="K260" s="47" t="str">
        <x:v>NOT_RUN</x:v>
      </x:c>
    </x:row>
    <x:row r="261">
      <x:c r="A261" s="47" t="str">
        <x:v>TRF-072</x:v>
      </x:c>
      <x:c r="B261" s="48" t="str">
        <x:v>Ice Class Regulations and the Application Thereof</x:v>
      </x:c>
      <x:c r="C261" s="47" t="str">
        <x:v>TRAFICOM/68863/03.04.01.00/2021</x:v>
      </x:c>
      <x:c r="D261" s="59" t="n">
        <x:v>31</x:v>
      </x:c>
      <x:c r="E261" s="47" t="str">
        <x:v>6.4.1</x:v>
      </x:c>
      <x:c r="F261" s="47" t="str">
        <x:v>Physical Test</x:v>
      </x:c>
      <x:c r="G261" s="48" t="str">
        <x:v>Evidence-only - physical result not inferred by SHACL</x:v>
      </x:c>
      <x:c r="H261" s="47" t="str">
        <x:v>High</x:v>
      </x:c>
      <x:c r="I261" s="47" t="str">
        <x:v>No</x:v>
      </x:c>
      <x:c r="J261" s="47" t="str">
        <x:v>DEFERRED</x:v>
      </x:c>
      <x:c r="K261" s="47" t="str">
        <x:v>NOT_RUN</x:v>
      </x:c>
    </x:row>
    <x:row r="262">
      <x:c r="A262" s="47" t="str">
        <x:v>TRF-073</x:v>
      </x:c>
      <x:c r="B262" s="48" t="str">
        <x:v>Ice Class Regulations and the Application Thereof</x:v>
      </x:c>
      <x:c r="C262" s="47" t="str">
        <x:v>TRAFICOM/68863/03.04.01.00/2021</x:v>
      </x:c>
      <x:c r="D262" s="59" t="n">
        <x:v>31</x:v>
      </x:c>
      <x:c r="E262" s="47" t="str">
        <x:v>6.4.2</x:v>
      </x:c>
      <x:c r="F262" s="47" t="str">
        <x:v>Physical Test</x:v>
      </x:c>
      <x:c r="G262" s="48" t="str">
        <x:v>Evidence-only - physical result not inferred by SHACL</x:v>
      </x:c>
      <x:c r="H262" s="47" t="str">
        <x:v>High</x:v>
      </x:c>
      <x:c r="I262" s="47" t="str">
        <x:v>No</x:v>
      </x:c>
      <x:c r="J262" s="47" t="str">
        <x:v>DEFERRED</x:v>
      </x:c>
      <x:c r="K262" s="47" t="str">
        <x:v>NOT_RUN</x:v>
      </x:c>
    </x:row>
    <x:row r="263">
      <x:c r="A263" s="47" t="str">
        <x:v>TRF-074</x:v>
      </x:c>
      <x:c r="B263" s="48" t="str">
        <x:v>Ice Class Regulations and the Application Thereof</x:v>
      </x:c>
      <x:c r="C263" s="47" t="str">
        <x:v>TRAFICOM/68863/03.04.01.00/2021</x:v>
      </x:c>
      <x:c r="D263" s="59" t="n">
        <x:v>32</x:v>
      </x:c>
      <x:c r="E263" s="47" t="str">
        <x:v>6.5</x:v>
      </x:c>
      <x:c r="F263" s="47" t="str">
        <x:v>Static</x:v>
      </x:c>
      <x:c r="G263" s="48" t="str">
        <x:v>Stage 2 candidate - direct/deterministic</x:v>
      </x:c>
      <x:c r="H263" s="47" t="str">
        <x:v>High</x:v>
      </x:c>
      <x:c r="I263" s="47" t="str">
        <x:v>No</x:v>
      </x:c>
      <x:c r="J263" s="47" t="str">
        <x:v>ELIGIBLE</x:v>
      </x:c>
      <x:c r="K263" s="47" t="str">
        <x:v>NOT_RUN</x:v>
      </x:c>
    </x:row>
    <x:row r="264">
      <x:c r="A264" s="47" t="str">
        <x:v>TRF-075</x:v>
      </x:c>
      <x:c r="B264" s="48" t="str">
        <x:v>Ice Class Regulations and the Application Thereof</x:v>
      </x:c>
      <x:c r="C264" s="47" t="str">
        <x:v>TRAFICOM/68863/03.04.01.00/2021</x:v>
      </x:c>
      <x:c r="D264" s="59" t="n">
        <x:v>32</x:v>
      </x:c>
      <x:c r="E264" s="47" t="str">
        <x:v>6.5.1</x:v>
      </x:c>
      <x:c r="F264" s="47" t="str">
        <x:v>Static</x:v>
      </x:c>
      <x:c r="G264" s="48" t="str">
        <x:v>Stage 2 candidate - direct static</x:v>
      </x:c>
      <x:c r="H264" s="47" t="str">
        <x:v>Direct static</x:v>
      </x:c>
      <x:c r="I264" s="47" t="str">
        <x:v>No</x:v>
      </x:c>
      <x:c r="J264" s="47" t="str">
        <x:v>ELIGIBLE</x:v>
      </x:c>
      <x:c r="K264" s="47" t="str">
        <x:v>NOT_RUN</x:v>
      </x:c>
    </x:row>
    <x:row r="265">
      <x:c r="A265" s="47" t="str">
        <x:v>TRF-076</x:v>
      </x:c>
      <x:c r="B265" s="48" t="str">
        <x:v>Ice Class Regulations and the Application Thereof</x:v>
      </x:c>
      <x:c r="C265" s="47" t="str">
        <x:v>TRAFICOM/68863/03.04.01.00/2021</x:v>
      </x:c>
      <x:c r="D265" s="59" t="n">
        <x:v>32</x:v>
      </x:c>
      <x:c r="E265" s="47" t="str">
        <x:v>6.5.1.3</x:v>
      </x:c>
      <x:c r="F265" s="47" t="str">
        <x:v>Static</x:v>
      </x:c>
      <x:c r="G265" s="48" t="str">
        <x:v>Stage 2 candidate - direct/deterministic</x:v>
      </x:c>
      <x:c r="H265" s="47" t="str">
        <x:v>Medium</x:v>
      </x:c>
      <x:c r="I265" s="47" t="str">
        <x:v>No</x:v>
      </x:c>
      <x:c r="J265" s="47" t="str">
        <x:v>ELIGIBLE</x:v>
      </x:c>
      <x:c r="K265" s="47" t="str">
        <x:v>NOT_RUN</x:v>
      </x:c>
    </x:row>
    <x:row r="266">
      <x:c r="A266" s="47" t="str">
        <x:v>TRF-077</x:v>
      </x:c>
      <x:c r="B266" s="48" t="str">
        <x:v>Ice Class Regulations and the Application Thereof</x:v>
      </x:c>
      <x:c r="C266" s="47" t="str">
        <x:v>TRAFICOM/68863/03.04.01.00/2021</x:v>
      </x:c>
      <x:c r="D266" s="59" t="n">
        <x:v>36</x:v>
      </x:c>
      <x:c r="E266" s="47" t="str">
        <x:v>6.5.1.8</x:v>
      </x:c>
      <x:c r="F266" s="47" t="str">
        <x:v>Static</x:v>
      </x:c>
      <x:c r="G266" s="48" t="str">
        <x:v>Stage 2 candidate - direct static</x:v>
      </x:c>
      <x:c r="H266" s="47" t="str">
        <x:v>Direct static</x:v>
      </x:c>
      <x:c r="I266" s="47" t="str">
        <x:v>No</x:v>
      </x:c>
      <x:c r="J266" s="47" t="str">
        <x:v>ELIGIBLE</x:v>
      </x:c>
      <x:c r="K266" s="47" t="str">
        <x:v>NOT_RUN</x:v>
      </x:c>
    </x:row>
    <x:row r="267">
      <x:c r="A267" s="47" t="str">
        <x:v>TRF-078</x:v>
      </x:c>
      <x:c r="B267" s="48" t="str">
        <x:v>Ice Class Regulations and the Application Thereof</x:v>
      </x:c>
      <x:c r="C267" s="47" t="str">
        <x:v>TRAFICOM/68863/03.04.01.00/2021</x:v>
      </x:c>
      <x:c r="D267" s="59" t="n">
        <x:v>36</x:v>
      </x:c>
      <x:c r="E267" s="47" t="str">
        <x:v>6.5.1.9</x:v>
      </x:c>
      <x:c r="F267" s="47" t="str">
        <x:v>Static Calculation</x:v>
      </x:c>
      <x:c r="G267" s="48" t="str">
        <x:v>Stage 2 candidate - direct/deterministic</x:v>
      </x:c>
      <x:c r="H267" s="47" t="str">
        <x:v>Medium</x:v>
      </x:c>
      <x:c r="I267" s="47" t="str">
        <x:v>No</x:v>
      </x:c>
      <x:c r="J267" s="47" t="str">
        <x:v>ELIGIBLE</x:v>
      </x:c>
      <x:c r="K267" s="47" t="str">
        <x:v>NOT_RUN</x:v>
      </x:c>
    </x:row>
    <x:row r="268">
      <x:c r="A268" s="47" t="str">
        <x:v>TRF-079</x:v>
      </x:c>
      <x:c r="B268" s="48" t="str">
        <x:v>Ice Class Regulations and the Application Thereof</x:v>
      </x:c>
      <x:c r="C268" s="47" t="str">
        <x:v>TRAFICOM/68863/03.04.01.00/2021</x:v>
      </x:c>
      <x:c r="D268" s="59" t="n">
        <x:v>37</x:v>
      </x:c>
      <x:c r="E268" s="47" t="str">
        <x:v>6.5.1.9</x:v>
      </x:c>
      <x:c r="F268" s="47" t="str">
        <x:v>Static Calculation</x:v>
      </x:c>
      <x:c r="G268" s="48" t="str">
        <x:v>Stage 2 candidate - direct/deterministic</x:v>
      </x:c>
      <x:c r="H268" s="47" t="str">
        <x:v>Medium</x:v>
      </x:c>
      <x:c r="I268" s="47" t="str">
        <x:v>No</x:v>
      </x:c>
      <x:c r="J268" s="47" t="str">
        <x:v>ELIGIBLE</x:v>
      </x:c>
      <x:c r="K268" s="47" t="str">
        <x:v>NOT_RUN</x:v>
      </x:c>
    </x:row>
    <x:row r="269">
      <x:c r="A269" s="47" t="str">
        <x:v>TRF-080</x:v>
      </x:c>
      <x:c r="B269" s="48" t="str">
        <x:v>Ice Class Regulations and the Application Thereof</x:v>
      </x:c>
      <x:c r="C269" s="47" t="str">
        <x:v>TRAFICOM/68863/03.04.01.00/2021</x:v>
      </x:c>
      <x:c r="D269" s="59" t="n">
        <x:v>37</x:v>
      </x:c>
      <x:c r="E269" s="47" t="str">
        <x:v>6.5.1.9</x:v>
      </x:c>
      <x:c r="F269" s="47" t="str">
        <x:v>Static Calculation</x:v>
      </x:c>
      <x:c r="G269" s="48" t="str">
        <x:v>Stage 2 candidate - direct calculation</x:v>
      </x:c>
      <x:c r="H269" s="47" t="str">
        <x:v>Direct calculation</x:v>
      </x:c>
      <x:c r="I269" s="47" t="str">
        <x:v>No</x:v>
      </x:c>
      <x:c r="J269" s="47" t="str">
        <x:v>ELIGIBLE</x:v>
      </x:c>
      <x:c r="K269" s="47" t="str">
        <x:v>NOT_RUN</x:v>
      </x:c>
    </x:row>
    <x:row r="270">
      <x:c r="A270" s="47" t="str">
        <x:v>TRF-081</x:v>
      </x:c>
      <x:c r="B270" s="48" t="str">
        <x:v>Ice Class Regulations and the Application Thereof</x:v>
      </x:c>
      <x:c r="C270" s="47" t="str">
        <x:v>TRAFICOM/68863/03.04.01.00/2021</x:v>
      </x:c>
      <x:c r="D270" s="59" t="n">
        <x:v>37</x:v>
      </x:c>
      <x:c r="E270" s="47" t="str">
        <x:v>6.5.2.1-6.5.2.2</x:v>
      </x:c>
      <x:c r="F270" s="47" t="str">
        <x:v>Static Calculation</x:v>
      </x:c>
      <x:c r="G270" s="48" t="str">
        <x:v>Stage 2 candidate - direct/deterministic</x:v>
      </x:c>
      <x:c r="H270" s="47" t="str">
        <x:v>High</x:v>
      </x:c>
      <x:c r="I270" s="47" t="str">
        <x:v>No</x:v>
      </x:c>
      <x:c r="J270" s="47" t="str">
        <x:v>ELIGIBLE</x:v>
      </x:c>
      <x:c r="K270" s="47" t="str">
        <x:v>NOT_RUN</x:v>
      </x:c>
    </x:row>
    <x:row r="271">
      <x:c r="A271" s="47" t="str">
        <x:v>TRF-082</x:v>
      </x:c>
      <x:c r="B271" s="48" t="str">
        <x:v>Ice Class Regulations and the Application Thereof</x:v>
      </x:c>
      <x:c r="C271" s="47" t="str">
        <x:v>TRAFICOM/68863/03.04.01.00/2021</x:v>
      </x:c>
      <x:c r="D271" s="59" t="n">
        <x:v>37</x:v>
      </x:c>
      <x:c r="E271" s="47" t="str">
        <x:v>6.5.2.2</x:v>
      </x:c>
      <x:c r="F271" s="47" t="str">
        <x:v>Static</x:v>
      </x:c>
      <x:c r="G271" s="48" t="str">
        <x:v>Stage 2 candidate - direct/deterministic</x:v>
      </x:c>
      <x:c r="H271" s="47" t="str">
        <x:v>Medium</x:v>
      </x:c>
      <x:c r="I271" s="47" t="str">
        <x:v>No</x:v>
      </x:c>
      <x:c r="J271" s="47" t="str">
        <x:v>ELIGIBLE</x:v>
      </x:c>
      <x:c r="K271" s="47" t="str">
        <x:v>NOT_RUN</x:v>
      </x:c>
    </x:row>
    <x:row r="272">
      <x:c r="A272" s="47" t="str">
        <x:v>TRF-083</x:v>
      </x:c>
      <x:c r="B272" s="48" t="str">
        <x:v>Ice Class Regulations and the Application Thereof</x:v>
      </x:c>
      <x:c r="C272" s="47" t="str">
        <x:v>TRAFICOM/68863/03.04.01.00/2021</x:v>
      </x:c>
      <x:c r="D272" s="59" t="n">
        <x:v>38</x:v>
      </x:c>
      <x:c r="E272" s="47" t="str">
        <x:v>6.5.3.1</x:v>
      </x:c>
      <x:c r="F272" s="47" t="str">
        <x:v>Static</x:v>
      </x:c>
      <x:c r="G272" s="48" t="str">
        <x:v>Stage 2 candidate - direct/deterministic</x:v>
      </x:c>
      <x:c r="H272" s="47" t="str">
        <x:v>Medium</x:v>
      </x:c>
      <x:c r="I272" s="47" t="str">
        <x:v>No</x:v>
      </x:c>
      <x:c r="J272" s="47" t="str">
        <x:v>ELIGIBLE</x:v>
      </x:c>
      <x:c r="K272" s="47" t="str">
        <x:v>NOT_RUN</x:v>
      </x:c>
    </x:row>
    <x:row r="273">
      <x:c r="A273" s="47" t="str">
        <x:v>TRF-084</x:v>
      </x:c>
      <x:c r="B273" s="48" t="str">
        <x:v>Ice Class Regulations and the Application Thereof</x:v>
      </x:c>
      <x:c r="C273" s="47" t="str">
        <x:v>TRAFICOM/68863/03.04.01.00/2021</x:v>
      </x:c>
      <x:c r="D273" s="59" t="n">
        <x:v>38</x:v>
      </x:c>
      <x:c r="E273" s="47" t="str">
        <x:v>6.5.3.1</x:v>
      </x:c>
      <x:c r="F273" s="47" t="str">
        <x:v>Static Calculation</x:v>
      </x:c>
      <x:c r="G273" s="48" t="str">
        <x:v>Stage 2 candidate - direct calculation</x:v>
      </x:c>
      <x:c r="H273" s="47" t="str">
        <x:v>Direct calculation</x:v>
      </x:c>
      <x:c r="I273" s="47" t="str">
        <x:v>No</x:v>
      </x:c>
      <x:c r="J273" s="47" t="str">
        <x:v>ELIGIBLE</x:v>
      </x:c>
      <x:c r="K273" s="47" t="str">
        <x:v>NOT_RUN</x:v>
      </x:c>
    </x:row>
    <x:row r="274">
      <x:c r="A274" s="47" t="str">
        <x:v>TRF-085</x:v>
      </x:c>
      <x:c r="B274" s="48" t="str">
        <x:v>Ice Class Regulations and the Application Thereof</x:v>
      </x:c>
      <x:c r="C274" s="47" t="str">
        <x:v>TRAFICOM/68863/03.04.01.00/2021</x:v>
      </x:c>
      <x:c r="D274" s="59" t="n">
        <x:v>39</x:v>
      </x:c>
      <x:c r="E274" s="47" t="str">
        <x:v>6.5.3.2</x:v>
      </x:c>
      <x:c r="F274" s="47" t="str">
        <x:v>Static</x:v>
      </x:c>
      <x:c r="G274" s="48" t="str">
        <x:v>Stage 2 candidate - direct/deterministic</x:v>
      </x:c>
      <x:c r="H274" s="47" t="str">
        <x:v>Medium</x:v>
      </x:c>
      <x:c r="I274" s="47" t="str">
        <x:v>No</x:v>
      </x:c>
      <x:c r="J274" s="47" t="str">
        <x:v>ELIGIBLE</x:v>
      </x:c>
      <x:c r="K274" s="47" t="str">
        <x:v>NOT_RUN</x:v>
      </x:c>
    </x:row>
    <x:row r="275">
      <x:c r="A275" s="47" t="str">
        <x:v>TRF-086</x:v>
      </x:c>
      <x:c r="B275" s="48" t="str">
        <x:v>Ice Class Regulations and the Application Thereof</x:v>
      </x:c>
      <x:c r="C275" s="47" t="str">
        <x:v>TRAFICOM/68863/03.04.01.00/2021</x:v>
      </x:c>
      <x:c r="D275" s="59" t="n">
        <x:v>39</x:v>
      </x:c>
      <x:c r="E275" s="47" t="str">
        <x:v>6.5.3.2</x:v>
      </x:c>
      <x:c r="F275" s="47" t="str">
        <x:v>Static Calculation</x:v>
      </x:c>
      <x:c r="G275" s="48" t="str">
        <x:v>Stage 2 candidate - direct calculation</x:v>
      </x:c>
      <x:c r="H275" s="47" t="str">
        <x:v>Direct calculation</x:v>
      </x:c>
      <x:c r="I275" s="47" t="str">
        <x:v>No</x:v>
      </x:c>
      <x:c r="J275" s="47" t="str">
        <x:v>ELIGIBLE</x:v>
      </x:c>
      <x:c r="K275" s="47" t="str">
        <x:v>NOT_RUN</x:v>
      </x:c>
    </x:row>
    <x:row r="276">
      <x:c r="A276" s="47" t="str">
        <x:v>TRF-087</x:v>
      </x:c>
      <x:c r="B276" s="48" t="str">
        <x:v>Ice Class Regulations and the Application Thereof</x:v>
      </x:c>
      <x:c r="C276" s="47" t="str">
        <x:v>TRAFICOM/68863/03.04.01.00/2021</x:v>
      </x:c>
      <x:c r="D276" s="59" t="n">
        <x:v>39</x:v>
      </x:c>
      <x:c r="E276" s="47" t="str">
        <x:v>6.5.3.3</x:v>
      </x:c>
      <x:c r="F276" s="47" t="str">
        <x:v>Static</x:v>
      </x:c>
      <x:c r="G276" s="48" t="str">
        <x:v>Stage 2 candidate - direct/deterministic</x:v>
      </x:c>
      <x:c r="H276" s="47" t="str">
        <x:v>High</x:v>
      </x:c>
      <x:c r="I276" s="47" t="str">
        <x:v>No</x:v>
      </x:c>
      <x:c r="J276" s="47" t="str">
        <x:v>ELIGIBLE</x:v>
      </x:c>
      <x:c r="K276" s="47" t="str">
        <x:v>NOT_RUN</x:v>
      </x:c>
    </x:row>
    <x:row r="277">
      <x:c r="A277" s="47" t="str">
        <x:v>TRF-088</x:v>
      </x:c>
      <x:c r="B277" s="48" t="str">
        <x:v>Ice Class Regulations and the Application Thereof</x:v>
      </x:c>
      <x:c r="C277" s="47" t="str">
        <x:v>TRAFICOM/68863/03.04.01.00/2021</x:v>
      </x:c>
      <x:c r="D277" s="59" t="n">
        <x:v>39</x:v>
      </x:c>
      <x:c r="E277" s="47" t="str">
        <x:v>6.5.3.3</x:v>
      </x:c>
      <x:c r="F277" s="47" t="str">
        <x:v>Static</x:v>
      </x:c>
      <x:c r="G277" s="48" t="str">
        <x:v>Stage 2 candidate - direct static</x:v>
      </x:c>
      <x:c r="H277" s="47" t="str">
        <x:v>Direct static</x:v>
      </x:c>
      <x:c r="I277" s="47" t="str">
        <x:v>No</x:v>
      </x:c>
      <x:c r="J277" s="47" t="str">
        <x:v>ELIGIBLE</x:v>
      </x:c>
      <x:c r="K277" s="47" t="str">
        <x:v>NOT_RUN</x:v>
      </x:c>
    </x:row>
    <x:row r="278">
      <x:c r="A278" s="47" t="str">
        <x:v>TRF-089</x:v>
      </x:c>
      <x:c r="B278" s="48" t="str">
        <x:v>Ice Class Regulations and the Application Thereof</x:v>
      </x:c>
      <x:c r="C278" s="47" t="str">
        <x:v>TRAFICOM/68863/03.04.01.00/2021</x:v>
      </x:c>
      <x:c r="D278" s="59" t="n">
        <x:v>39</x:v>
      </x:c>
      <x:c r="E278" s="47" t="str">
        <x:v>6.5.3.4</x:v>
      </x:c>
      <x:c r="F278" s="47" t="str">
        <x:v>Dynamic</x:v>
      </x:c>
      <x:c r="G278" s="48" t="str">
        <x:v>Deferred - observation/history/simulation design required</x:v>
      </x:c>
      <x:c r="H278" s="47" t="str">
        <x:v>Medium</x:v>
      </x:c>
      <x:c r="I278" s="47" t="str">
        <x:v>No</x:v>
      </x:c>
      <x:c r="J278" s="47" t="str">
        <x:v>DEFERRED</x:v>
      </x:c>
      <x:c r="K278" s="47" t="str">
        <x:v>NOT_RUN</x:v>
      </x:c>
    </x:row>
    <x:row r="279">
      <x:c r="A279" s="47" t="str">
        <x:v>TRF-090</x:v>
      </x:c>
      <x:c r="B279" s="48" t="str">
        <x:v>Ice Class Regulations and the Application Thereof</x:v>
      </x:c>
      <x:c r="C279" s="47" t="str">
        <x:v>TRAFICOM/68863/03.04.01.00/2021</x:v>
      </x:c>
      <x:c r="D279" s="59" t="n">
        <x:v>40</x:v>
      </x:c>
      <x:c r="E279" s="47" t="str">
        <x:v>6.5.3.4</x:v>
      </x:c>
      <x:c r="F279" s="47" t="str">
        <x:v>Dynamic</x:v>
      </x:c>
      <x:c r="G279" s="48" t="str">
        <x:v>Deferred - observation/history/simulation design required</x:v>
      </x:c>
      <x:c r="H279" s="47" t="str">
        <x:v>Medium</x:v>
      </x:c>
      <x:c r="I279" s="47" t="str">
        <x:v>No</x:v>
      </x:c>
      <x:c r="J279" s="47" t="str">
        <x:v>DEFERRED</x:v>
      </x:c>
      <x:c r="K279" s="47" t="str">
        <x:v>NOT_RUN</x:v>
      </x:c>
    </x:row>
    <x:row r="280">
      <x:c r="A280" s="47" t="str">
        <x:v>TRF-091</x:v>
      </x:c>
      <x:c r="B280" s="48" t="str">
        <x:v>Ice Class Regulations and the Application Thereof</x:v>
      </x:c>
      <x:c r="C280" s="47" t="str">
        <x:v>TRAFICOM/68863/03.04.01.00/2021</x:v>
      </x:c>
      <x:c r="D280" s="59" t="n">
        <x:v>40</x:v>
      </x:c>
      <x:c r="E280" s="47" t="str">
        <x:v>6.5.3.4</x:v>
      </x:c>
      <x:c r="F280" s="47" t="str">
        <x:v>Static</x:v>
      </x:c>
      <x:c r="G280" s="48" t="str">
        <x:v>Stage 2 candidate - direct/deterministic</x:v>
      </x:c>
      <x:c r="H280" s="47" t="str">
        <x:v>High</x:v>
      </x:c>
      <x:c r="I280" s="47" t="str">
        <x:v>No</x:v>
      </x:c>
      <x:c r="J280" s="47" t="str">
        <x:v>ELIGIBLE</x:v>
      </x:c>
      <x:c r="K280" s="47" t="str">
        <x:v>NOT_RUN</x:v>
      </x:c>
    </x:row>
    <x:row r="281">
      <x:c r="A281" s="47" t="str">
        <x:v>TRF-092</x:v>
      </x:c>
      <x:c r="B281" s="48" t="str">
        <x:v>Ice Class Regulations and the Application Thereof</x:v>
      </x:c>
      <x:c r="C281" s="47" t="str">
        <x:v>TRAFICOM/68863/03.04.01.00/2021</x:v>
      </x:c>
      <x:c r="D281" s="59" t="n">
        <x:v>40</x:v>
      </x:c>
      <x:c r="E281" s="47" t="str">
        <x:v>6.5.3.4</x:v>
      </x:c>
      <x:c r="F281" s="47" t="str">
        <x:v>Dynamic</x:v>
      </x:c>
      <x:c r="G281" s="48" t="str">
        <x:v>Deferred - observation/history/simulation design required</x:v>
      </x:c>
      <x:c r="H281" s="47" t="str">
        <x:v>Deferred</x:v>
      </x:c>
      <x:c r="I281" s="47" t="str">
        <x:v>No</x:v>
      </x:c>
      <x:c r="J281" s="47" t="str">
        <x:v>DEFERRED</x:v>
      </x:c>
      <x:c r="K281" s="47" t="str">
        <x:v>NOT_RUN</x:v>
      </x:c>
    </x:row>
    <x:row r="282">
      <x:c r="A282" s="47" t="str">
        <x:v>TRF-093</x:v>
      </x:c>
      <x:c r="B282" s="48" t="str">
        <x:v>Ice Class Regulations and the Application Thereof</x:v>
      </x:c>
      <x:c r="C282" s="47" t="str">
        <x:v>TRAFICOM/68863/03.04.01.00/2021</x:v>
      </x:c>
      <x:c r="D282" s="59" t="n">
        <x:v>40</x:v>
      </x:c>
      <x:c r="E282" s="47" t="str">
        <x:v>6.5.3.4</x:v>
      </x:c>
      <x:c r="F282" s="47" t="str">
        <x:v>Dynamic</x:v>
      </x:c>
      <x:c r="G282" s="48" t="str">
        <x:v>Deferred - observation/history/simulation design required</x:v>
      </x:c>
      <x:c r="H282" s="47" t="str">
        <x:v>Medium</x:v>
      </x:c>
      <x:c r="I282" s="47" t="str">
        <x:v>No</x:v>
      </x:c>
      <x:c r="J282" s="47" t="str">
        <x:v>DEFERRED</x:v>
      </x:c>
      <x:c r="K282" s="47" t="str">
        <x:v>NOT_RUN</x:v>
      </x:c>
    </x:row>
    <x:row r="283">
      <x:c r="A283" s="47" t="str">
        <x:v>TRF-094</x:v>
      </x:c>
      <x:c r="B283" s="48" t="str">
        <x:v>Ice Class Regulations and the Application Thereof</x:v>
      </x:c>
      <x:c r="C283" s="47" t="str">
        <x:v>TRAFICOM/68863/03.04.01.00/2021</x:v>
      </x:c>
      <x:c r="D283" s="59" t="n">
        <x:v>40</x:v>
      </x:c>
      <x:c r="E283" s="47" t="str">
        <x:v>6.5.3.4</x:v>
      </x:c>
      <x:c r="F283" s="47" t="str">
        <x:v>Dynamic</x:v>
      </x:c>
      <x:c r="G283" s="48" t="str">
        <x:v>Deferred - observation/history/simulation design required</x:v>
      </x:c>
      <x:c r="H283" s="47" t="str">
        <x:v>Medium</x:v>
      </x:c>
      <x:c r="I283" s="47" t="str">
        <x:v>No</x:v>
      </x:c>
      <x:c r="J283" s="47" t="str">
        <x:v>DEFERRED</x:v>
      </x:c>
      <x:c r="K283" s="47" t="str">
        <x:v>NOT_RUN</x:v>
      </x:c>
    </x:row>
    <x:row r="284">
      <x:c r="A284" s="47" t="str">
        <x:v>TRF-095</x:v>
      </x:c>
      <x:c r="B284" s="48" t="str">
        <x:v>Ice Class Regulations and the Application Thereof</x:v>
      </x:c>
      <x:c r="C284" s="47" t="str">
        <x:v>TRAFICOM/68863/03.04.01.00/2021</x:v>
      </x:c>
      <x:c r="D284" s="59" t="n">
        <x:v>40</x:v>
      </x:c>
      <x:c r="E284" s="47" t="str">
        <x:v>6.5.3.4</x:v>
      </x:c>
      <x:c r="F284" s="47" t="str">
        <x:v>Dynamic</x:v>
      </x:c>
      <x:c r="G284" s="48" t="str">
        <x:v>Deferred - observation/history/simulation design required</x:v>
      </x:c>
      <x:c r="H284" s="47" t="str">
        <x:v>Medium</x:v>
      </x:c>
      <x:c r="I284" s="47" t="str">
        <x:v>No</x:v>
      </x:c>
      <x:c r="J284" s="47" t="str">
        <x:v>DEFERRED</x:v>
      </x:c>
      <x:c r="K284" s="47" t="str">
        <x:v>NOT_RUN</x:v>
      </x:c>
    </x:row>
    <x:row r="285">
      <x:c r="A285" s="47" t="str">
        <x:v>TRF-096</x:v>
      </x:c>
      <x:c r="B285" s="48" t="str">
        <x:v>Ice Class Regulations and the Application Thereof</x:v>
      </x:c>
      <x:c r="C285" s="47" t="str">
        <x:v>TRAFICOM/68863/03.04.01.00/2021</x:v>
      </x:c>
      <x:c r="D285" s="59" t="n">
        <x:v>41</x:v>
      </x:c>
      <x:c r="E285" s="47" t="str">
        <x:v>6.5.3.4</x:v>
      </x:c>
      <x:c r="F285" s="47" t="str">
        <x:v>Dynamic</x:v>
      </x:c>
      <x:c r="G285" s="48" t="str">
        <x:v>Deferred - observation/history/simulation design required</x:v>
      </x:c>
      <x:c r="H285" s="47" t="str">
        <x:v>Deferred</x:v>
      </x:c>
      <x:c r="I285" s="47" t="str">
        <x:v>No</x:v>
      </x:c>
      <x:c r="J285" s="47" t="str">
        <x:v>DEFERRED</x:v>
      </x:c>
      <x:c r="K285" s="47" t="str">
        <x:v>NOT_RUN</x:v>
      </x:c>
    </x:row>
    <x:row r="286">
      <x:c r="A286" s="47" t="str">
        <x:v>TRF-097</x:v>
      </x:c>
      <x:c r="B286" s="48" t="str">
        <x:v>Ice Class Regulations and the Application Thereof</x:v>
      </x:c>
      <x:c r="C286" s="47" t="str">
        <x:v>TRAFICOM/68863/03.04.01.00/2021</x:v>
      </x:c>
      <x:c r="D286" s="59" t="str">
        <x:v>43-44</x:v>
      </x:c>
      <x:c r="E286" s="47" t="str">
        <x:v>6.5.3.4</x:v>
      </x:c>
      <x:c r="F286" s="47" t="str">
        <x:v>Dynamic</x:v>
      </x:c>
      <x:c r="G286" s="48" t="str">
        <x:v>Deferred - observation/history/simulation design required</x:v>
      </x:c>
      <x:c r="H286" s="47" t="str">
        <x:v>Medium</x:v>
      </x:c>
      <x:c r="I286" s="47" t="str">
        <x:v>No</x:v>
      </x:c>
      <x:c r="J286" s="47" t="str">
        <x:v>DEFERRED</x:v>
      </x:c>
      <x:c r="K286" s="47" t="str">
        <x:v>NOT_RUN</x:v>
      </x:c>
    </x:row>
    <x:row r="287">
      <x:c r="A287" s="47" t="str">
        <x:v>TRF-098</x:v>
      </x:c>
      <x:c r="B287" s="48" t="str">
        <x:v>Ice Class Regulations and the Application Thereof</x:v>
      </x:c>
      <x:c r="C287" s="47" t="str">
        <x:v>TRAFICOM/68863/03.04.01.00/2021</x:v>
      </x:c>
      <x:c r="D287" s="59" t="n">
        <x:v>44</x:v>
      </x:c>
      <x:c r="E287" s="47" t="str">
        <x:v>6.5.3.4</x:v>
      </x:c>
      <x:c r="F287" s="47" t="str">
        <x:v>Dynamic</x:v>
      </x:c>
      <x:c r="G287" s="48" t="str">
        <x:v>Deferred - observation/history/simulation design required</x:v>
      </x:c>
      <x:c r="H287" s="47" t="str">
        <x:v>Medium</x:v>
      </x:c>
      <x:c r="I287" s="47" t="str">
        <x:v>No</x:v>
      </x:c>
      <x:c r="J287" s="47" t="str">
        <x:v>DEFERRED</x:v>
      </x:c>
      <x:c r="K287" s="47" t="str">
        <x:v>NOT_RUN</x:v>
      </x:c>
    </x:row>
    <x:row r="288">
      <x:c r="A288" s="47" t="str">
        <x:v>TRF-099</x:v>
      </x:c>
      <x:c r="B288" s="48" t="str">
        <x:v>Ice Class Regulations and the Application Thereof</x:v>
      </x:c>
      <x:c r="C288" s="47" t="str">
        <x:v>TRAFICOM/68863/03.04.01.00/2021</x:v>
      </x:c>
      <x:c r="D288" s="59" t="n">
        <x:v>45</x:v>
      </x:c>
      <x:c r="E288" s="47" t="str">
        <x:v>6.5.3.4</x:v>
      </x:c>
      <x:c r="F288" s="47" t="str">
        <x:v>Dynamic</x:v>
      </x:c>
      <x:c r="G288" s="48" t="str">
        <x:v>Deferred - observation/history/simulation design required</x:v>
      </x:c>
      <x:c r="H288" s="47" t="str">
        <x:v>Medium</x:v>
      </x:c>
      <x:c r="I288" s="47" t="str">
        <x:v>No</x:v>
      </x:c>
      <x:c r="J288" s="47" t="str">
        <x:v>DEFERRED</x:v>
      </x:c>
      <x:c r="K288" s="47" t="str">
        <x:v>NOT_RUN</x:v>
      </x:c>
    </x:row>
    <x:row r="289">
      <x:c r="A289" s="47" t="str">
        <x:v>TRF-100</x:v>
      </x:c>
      <x:c r="B289" s="48" t="str">
        <x:v>Ice Class Regulations and the Application Thereof</x:v>
      </x:c>
      <x:c r="C289" s="47" t="str">
        <x:v>TRAFICOM/68863/03.04.01.00/2021</x:v>
      </x:c>
      <x:c r="D289" s="59" t="n">
        <x:v>45</x:v>
      </x:c>
      <x:c r="E289" s="47" t="str">
        <x:v>6.5.3.4</x:v>
      </x:c>
      <x:c r="F289" s="47" t="str">
        <x:v>Dynamic</x:v>
      </x:c>
      <x:c r="G289" s="48" t="str">
        <x:v>Deferred - observation/history/simulation design required</x:v>
      </x:c>
      <x:c r="H289" s="47" t="str">
        <x:v>Medium</x:v>
      </x:c>
      <x:c r="I289" s="47" t="str">
        <x:v>No</x:v>
      </x:c>
      <x:c r="J289" s="47" t="str">
        <x:v>DEFERRED</x:v>
      </x:c>
      <x:c r="K289" s="47" t="str">
        <x:v>NOT_RUN</x:v>
      </x:c>
    </x:row>
    <x:row r="290">
      <x:c r="A290" s="47" t="str">
        <x:v>TRF-101</x:v>
      </x:c>
      <x:c r="B290" s="48" t="str">
        <x:v>Ice Class Regulations and the Application Thereof</x:v>
      </x:c>
      <x:c r="C290" s="47" t="str">
        <x:v>TRAFICOM/68863/03.04.01.00/2021</x:v>
      </x:c>
      <x:c r="D290" s="59" t="str">
        <x:v>45-46</x:v>
      </x:c>
      <x:c r="E290" s="47" t="str">
        <x:v>6.5.4.1</x:v>
      </x:c>
      <x:c r="F290" s="47" t="str">
        <x:v>Static Calculation</x:v>
      </x:c>
      <x:c r="G290" s="48" t="str">
        <x:v>Stage 2 candidate - direct/deterministic</x:v>
      </x:c>
      <x:c r="H290" s="47" t="str">
        <x:v>Medium</x:v>
      </x:c>
      <x:c r="I290" s="47" t="str">
        <x:v>No</x:v>
      </x:c>
      <x:c r="J290" s="47" t="str">
        <x:v>ELIGIBLE</x:v>
      </x:c>
      <x:c r="K290" s="47" t="str">
        <x:v>NOT_RUN</x:v>
      </x:c>
    </x:row>
    <x:row r="291">
      <x:c r="A291" s="47" t="str">
        <x:v>TRF-102</x:v>
      </x:c>
      <x:c r="B291" s="48" t="str">
        <x:v>Ice Class Regulations and the Application Thereof</x:v>
      </x:c>
      <x:c r="C291" s="47" t="str">
        <x:v>TRAFICOM/68863/03.04.01.00/2021</x:v>
      </x:c>
      <x:c r="D291" s="59" t="n">
        <x:v>46</x:v>
      </x:c>
      <x:c r="E291" s="47" t="str">
        <x:v>6.5.4.2</x:v>
      </x:c>
      <x:c r="F291" s="47" t="str">
        <x:v>Static Calculation</x:v>
      </x:c>
      <x:c r="G291" s="48" t="str">
        <x:v>Stage 2 candidate - direct/deterministic</x:v>
      </x:c>
      <x:c r="H291" s="47" t="str">
        <x:v>Medium</x:v>
      </x:c>
      <x:c r="I291" s="47" t="str">
        <x:v>No</x:v>
      </x:c>
      <x:c r="J291" s="47" t="str">
        <x:v>ELIGIBLE</x:v>
      </x:c>
      <x:c r="K291" s="47" t="str">
        <x:v>NOT_RUN</x:v>
      </x:c>
    </x:row>
    <x:row r="292">
      <x:c r="A292" s="47" t="str">
        <x:v>TRF-103</x:v>
      </x:c>
      <x:c r="B292" s="48" t="str">
        <x:v>Ice Class Regulations and the Application Thereof</x:v>
      </x:c>
      <x:c r="C292" s="47" t="str">
        <x:v>TRAFICOM/68863/03.04.01.00/2021</x:v>
      </x:c>
      <x:c r="D292" s="59" t="n">
        <x:v>46</x:v>
      </x:c>
      <x:c r="E292" s="47" t="str">
        <x:v>6.5.4.2</x:v>
      </x:c>
      <x:c r="F292" s="47" t="str">
        <x:v>Static</x:v>
      </x:c>
      <x:c r="G292" s="48" t="str">
        <x:v>Stage 2 candidate - direct static</x:v>
      </x:c>
      <x:c r="H292" s="47" t="str">
        <x:v>Direct static</x:v>
      </x:c>
      <x:c r="I292" s="47" t="str">
        <x:v>No</x:v>
      </x:c>
      <x:c r="J292" s="47" t="str">
        <x:v>ELIGIBLE</x:v>
      </x:c>
      <x:c r="K292" s="47" t="str">
        <x:v>NOT_RUN</x:v>
      </x:c>
    </x:row>
    <x:row r="293">
      <x:c r="A293" s="47" t="str">
        <x:v>TRF-104</x:v>
      </x:c>
      <x:c r="B293" s="48" t="str">
        <x:v>Ice Class Regulations and the Application Thereof</x:v>
      </x:c>
      <x:c r="C293" s="47" t="str">
        <x:v>TRAFICOM/68863/03.04.01.00/2021</x:v>
      </x:c>
      <x:c r="D293" s="59" t="n">
        <x:v>47</x:v>
      </x:c>
      <x:c r="E293" s="47" t="str">
        <x:v>6.6.1</x:v>
      </x:c>
      <x:c r="F293" s="47" t="str">
        <x:v>Static</x:v>
      </x:c>
      <x:c r="G293" s="48" t="str">
        <x:v>Stage 2 candidate - direct/deterministic</x:v>
      </x:c>
      <x:c r="H293" s="47" t="str">
        <x:v>High</x:v>
      </x:c>
      <x:c r="I293" s="47" t="str">
        <x:v>No</x:v>
      </x:c>
      <x:c r="J293" s="47" t="str">
        <x:v>ELIGIBLE</x:v>
      </x:c>
      <x:c r="K293" s="47" t="str">
        <x:v>NOT_RUN</x:v>
      </x:c>
    </x:row>
    <x:row r="294">
      <x:c r="A294" s="47" t="str">
        <x:v>TRF-105</x:v>
      </x:c>
      <x:c r="B294" s="48" t="str">
        <x:v>Ice Class Regulations and the Application Thereof</x:v>
      </x:c>
      <x:c r="C294" s="47" t="str">
        <x:v>TRAFICOM/68863/03.04.01.00/2021</x:v>
      </x:c>
      <x:c r="D294" s="59" t="n">
        <x:v>47</x:v>
      </x:c>
      <x:c r="E294" s="47" t="str">
        <x:v>6.6.2.1</x:v>
      </x:c>
      <x:c r="F294" s="47" t="str">
        <x:v>Complex</x:v>
      </x:c>
      <x:c r="G294" s="48" t="str">
        <x:v>Deferred - composite/evidence workflow review</x:v>
      </x:c>
      <x:c r="H294" s="47" t="str">
        <x:v>Medium</x:v>
      </x:c>
      <x:c r="I294" s="47" t="str">
        <x:v>No</x:v>
      </x:c>
      <x:c r="J294" s="47" t="str">
        <x:v>DEFERRED</x:v>
      </x:c>
      <x:c r="K294" s="47" t="str">
        <x:v>NOT_RUN</x:v>
      </x:c>
    </x:row>
    <x:row r="295">
      <x:c r="A295" s="47" t="str">
        <x:v>TRF-106</x:v>
      </x:c>
      <x:c r="B295" s="48" t="str">
        <x:v>Ice Class Regulations and the Application Thereof</x:v>
      </x:c>
      <x:c r="C295" s="47" t="str">
        <x:v>TRAFICOM/68863/03.04.01.00/2021</x:v>
      </x:c>
      <x:c r="D295" s="59" t="n">
        <x:v>48</x:v>
      </x:c>
      <x:c r="E295" s="47" t="str">
        <x:v>6.6.2.2-6.6.2.3</x:v>
      </x:c>
      <x:c r="F295" s="47" t="str">
        <x:v>Complex</x:v>
      </x:c>
      <x:c r="G295" s="48" t="str">
        <x:v>Deferred - composite/evidence workflow review</x:v>
      </x:c>
      <x:c r="H295" s="47" t="str">
        <x:v>Medium</x:v>
      </x:c>
      <x:c r="I295" s="47" t="str">
        <x:v>No</x:v>
      </x:c>
      <x:c r="J295" s="47" t="str">
        <x:v>DEFERRED</x:v>
      </x:c>
      <x:c r="K295" s="47" t="str">
        <x:v>NOT_RUN</x:v>
      </x:c>
    </x:row>
    <x:row r="296">
      <x:c r="A296" s="47" t="str">
        <x:v>TRF-108</x:v>
      </x:c>
      <x:c r="B296" s="48" t="str">
        <x:v>Ice Class Regulations and the Application Thereof</x:v>
      </x:c>
      <x:c r="C296" s="47" t="str">
        <x:v>TRAFICOM/68863/03.04.01.00/2021</x:v>
      </x:c>
      <x:c r="D296" s="59" t="n">
        <x:v>48</x:v>
      </x:c>
      <x:c r="E296" s="47" t="str">
        <x:v>6.6.2.3</x:v>
      </x:c>
      <x:c r="F296" s="47" t="str">
        <x:v>Static</x:v>
      </x:c>
      <x:c r="G296" s="48" t="str">
        <x:v>Stage 2 candidate - direct/deterministic</x:v>
      </x:c>
      <x:c r="H296" s="47" t="str">
        <x:v>High</x:v>
      </x:c>
      <x:c r="I296" s="47" t="str">
        <x:v>No</x:v>
      </x:c>
      <x:c r="J296" s="47" t="str">
        <x:v>ELIGIBLE</x:v>
      </x:c>
      <x:c r="K296" s="47" t="str">
        <x:v>NOT_RUN</x:v>
      </x:c>
    </x:row>
    <x:row r="297">
      <x:c r="A297" s="47" t="str">
        <x:v>TRF-109</x:v>
      </x:c>
      <x:c r="B297" s="48" t="str">
        <x:v>Ice Class Regulations and the Application Thereof</x:v>
      </x:c>
      <x:c r="C297" s="47" t="str">
        <x:v>TRAFICOM/68863/03.04.01.00/2021</x:v>
      </x:c>
      <x:c r="D297" s="59" t="n">
        <x:v>50</x:v>
      </x:c>
      <x:c r="E297" s="47" t="str">
        <x:v>6.6.2.3</x:v>
      </x:c>
      <x:c r="F297" s="47" t="str">
        <x:v>Static</x:v>
      </x:c>
      <x:c r="G297" s="48" t="str">
        <x:v>Stage 2 candidate - direct/deterministic</x:v>
      </x:c>
      <x:c r="H297" s="47" t="str">
        <x:v>Medium</x:v>
      </x:c>
      <x:c r="I297" s="47" t="str">
        <x:v>No</x:v>
      </x:c>
      <x:c r="J297" s="47" t="str">
        <x:v>ELIGIBLE</x:v>
      </x:c>
      <x:c r="K297" s="47" t="str">
        <x:v>NOT_RUN</x:v>
      </x:c>
    </x:row>
    <x:row r="298">
      <x:c r="A298" s="47" t="str">
        <x:v>TRF-110</x:v>
      </x:c>
      <x:c r="B298" s="48" t="str">
        <x:v>Ice Class Regulations and the Application Thereof</x:v>
      </x:c>
      <x:c r="C298" s="47" t="str">
        <x:v>TRAFICOM/68863/03.04.01.00/2021</x:v>
      </x:c>
      <x:c r="D298" s="59" t="n">
        <x:v>51</x:v>
      </x:c>
      <x:c r="E298" s="47" t="str">
        <x:v>6.6.2.4; 6.6.3</x:v>
      </x:c>
      <x:c r="F298" s="47" t="str">
        <x:v>Complex</x:v>
      </x:c>
      <x:c r="G298" s="48" t="str">
        <x:v>Deferred - composite/evidence workflow review</x:v>
      </x:c>
      <x:c r="H298" s="47" t="str">
        <x:v>Medium</x:v>
      </x:c>
      <x:c r="I298" s="47" t="str">
        <x:v>No</x:v>
      </x:c>
      <x:c r="J298" s="47" t="str">
        <x:v>DEFERRED</x:v>
      </x:c>
      <x:c r="K298" s="47" t="str">
        <x:v>NOT_RUN</x:v>
      </x:c>
    </x:row>
    <x:row r="299">
      <x:c r="A299" s="47" t="str">
        <x:v>TRF-111</x:v>
      </x:c>
      <x:c r="B299" s="48" t="str">
        <x:v>Ice Class Regulations and the Application Thereof</x:v>
      </x:c>
      <x:c r="C299" s="47" t="str">
        <x:v>TRAFICOM/68863/03.04.01.00/2021</x:v>
      </x:c>
      <x:c r="D299" s="59" t="n">
        <x:v>51</x:v>
      </x:c>
      <x:c r="E299" s="47" t="str">
        <x:v>6.6.4</x:v>
      </x:c>
      <x:c r="F299" s="47" t="str">
        <x:v>Complex</x:v>
      </x:c>
      <x:c r="G299" s="48" t="str">
        <x:v>Stage 2 candidate - complex readiness</x:v>
      </x:c>
      <x:c r="H299" s="47" t="str">
        <x:v>Complex readiness</x:v>
      </x:c>
      <x:c r="I299" s="47" t="str">
        <x:v>No</x:v>
      </x:c>
      <x:c r="J299" s="47" t="str">
        <x:v>ELIGIBLE</x:v>
      </x:c>
      <x:c r="K299" s="47" t="str">
        <x:v>NOT_RUN</x:v>
      </x:c>
    </x:row>
    <x:row r="300">
      <x:c r="A300" s="47" t="str">
        <x:v>TRF-112</x:v>
      </x:c>
      <x:c r="B300" s="48" t="str">
        <x:v>Ice Class Regulations and the Application Thereof</x:v>
      </x:c>
      <x:c r="C300" s="47" t="str">
        <x:v>TRAFICOM/68863/03.04.01.00/2021</x:v>
      </x:c>
      <x:c r="D300" s="59" t="n">
        <x:v>52</x:v>
      </x:c>
      <x:c r="E300" s="47" t="str">
        <x:v>6.6.4.1</x:v>
      </x:c>
      <x:c r="F300" s="47" t="str">
        <x:v>Complex</x:v>
      </x:c>
      <x:c r="G300" s="48" t="str">
        <x:v>Stage 2 candidate - complex readiness</x:v>
      </x:c>
      <x:c r="H300" s="47" t="str">
        <x:v>Complex readiness</x:v>
      </x:c>
      <x:c r="I300" s="47" t="str">
        <x:v>No</x:v>
      </x:c>
      <x:c r="J300" s="47" t="str">
        <x:v>ELIGIBLE</x:v>
      </x:c>
      <x:c r="K300" s="47" t="str">
        <x:v>NOT_RUN</x:v>
      </x:c>
    </x:row>
    <x:row r="301">
      <x:c r="A301" s="47" t="str">
        <x:v>TRF-113</x:v>
      </x:c>
      <x:c r="B301" s="48" t="str">
        <x:v>Ice Class Regulations and the Application Thereof</x:v>
      </x:c>
      <x:c r="C301" s="47" t="str">
        <x:v>TRAFICOM/68863/03.04.01.00/2021</x:v>
      </x:c>
      <x:c r="D301" s="59" t="n">
        <x:v>52</x:v>
      </x:c>
      <x:c r="E301" s="47" t="str">
        <x:v>6.6.5.1</x:v>
      </x:c>
      <x:c r="F301" s="47" t="str">
        <x:v>Static</x:v>
      </x:c>
      <x:c r="G301" s="48" t="str">
        <x:v>Stage 2 candidate - direct/deterministic</x:v>
      </x:c>
      <x:c r="H301" s="47" t="str">
        <x:v>High</x:v>
      </x:c>
      <x:c r="I301" s="47" t="str">
        <x:v>No</x:v>
      </x:c>
      <x:c r="J301" s="47" t="str">
        <x:v>ELIGIBLE</x:v>
      </x:c>
      <x:c r="K301" s="47" t="str">
        <x:v>NOT_RUN</x:v>
      </x:c>
    </x:row>
    <x:row r="302">
      <x:c r="A302" s="47" t="str">
        <x:v>TRF-114</x:v>
      </x:c>
      <x:c r="B302" s="48" t="str">
        <x:v>Ice Class Regulations and the Application Thereof</x:v>
      </x:c>
      <x:c r="C302" s="47" t="str">
        <x:v>TRAFICOM/68863/03.04.01.00/2021</x:v>
      </x:c>
      <x:c r="D302" s="59" t="n">
        <x:v>53</x:v>
      </x:c>
      <x:c r="E302" s="47" t="str">
        <x:v>6.6.5.2</x:v>
      </x:c>
      <x:c r="F302" s="47" t="str">
        <x:v>Complex</x:v>
      </x:c>
      <x:c r="G302" s="48" t="str">
        <x:v>Stage 2 candidate - complex readiness</x:v>
      </x:c>
      <x:c r="H302" s="47" t="str">
        <x:v>Complex readiness</x:v>
      </x:c>
      <x:c r="I302" s="47" t="str">
        <x:v>No</x:v>
      </x:c>
      <x:c r="J302" s="47" t="str">
        <x:v>ELIGIBLE</x:v>
      </x:c>
      <x:c r="K302" s="47" t="str">
        <x:v>NOT_RUN</x:v>
      </x:c>
    </x:row>
    <x:row r="303">
      <x:c r="A303" s="47" t="str">
        <x:v>TRF-116</x:v>
      </x:c>
      <x:c r="B303" s="48" t="str">
        <x:v>Ice Class Regulations and the Application Thereof</x:v>
      </x:c>
      <x:c r="C303" s="47" t="str">
        <x:v>TRAFICOM/68863/03.04.01.00/2021</x:v>
      </x:c>
      <x:c r="D303" s="59" t="n">
        <x:v>56</x:v>
      </x:c>
      <x:c r="E303" s="47" t="str">
        <x:v>6.6.5.2</x:v>
      </x:c>
      <x:c r="F303" s="47" t="str">
        <x:v>Complex</x:v>
      </x:c>
      <x:c r="G303" s="48" t="str">
        <x:v>Stage 2 candidate - complex readiness</x:v>
      </x:c>
      <x:c r="H303" s="47" t="str">
        <x:v>Complex readiness</x:v>
      </x:c>
      <x:c r="I303" s="47" t="str">
        <x:v>No</x:v>
      </x:c>
      <x:c r="J303" s="47" t="str">
        <x:v>ELIGIBLE</x:v>
      </x:c>
      <x:c r="K303" s="47" t="str">
        <x:v>GENERATION_ACCEPTED</x:v>
      </x:c>
    </x:row>
    <x:row r="304">
      <x:c r="A304" s="47" t="str">
        <x:v>TRF-118</x:v>
      </x:c>
      <x:c r="B304" s="48" t="str">
        <x:v>Ice Class Regulations and the Application Thereof</x:v>
      </x:c>
      <x:c r="C304" s="47" t="str">
        <x:v>TRAFICOM/68863/03.04.01.00/2021</x:v>
      </x:c>
      <x:c r="D304" s="59" t="n">
        <x:v>60</x:v>
      </x:c>
      <x:c r="E304" s="47" t="str">
        <x:v>6.6.5.4</x:v>
      </x:c>
      <x:c r="F304" s="47" t="str">
        <x:v>Complex</x:v>
      </x:c>
      <x:c r="G304" s="48" t="str">
        <x:v>Stage 2 candidate - complex readiness</x:v>
      </x:c>
      <x:c r="H304" s="47" t="str">
        <x:v>Complex readiness</x:v>
      </x:c>
      <x:c r="I304" s="47" t="str">
        <x:v>No</x:v>
      </x:c>
      <x:c r="J304" s="47" t="str">
        <x:v>ELIGIBLE</x:v>
      </x:c>
      <x:c r="K304" s="47" t="str">
        <x:v>NOT_RUN</x:v>
      </x:c>
    </x:row>
    <x:row r="305">
      <x:c r="A305" s="47" t="str">
        <x:v>TRF-119</x:v>
      </x:c>
      <x:c r="B305" s="48" t="str">
        <x:v>Ice Class Regulations and the Application Thereof</x:v>
      </x:c>
      <x:c r="C305" s="47" t="str">
        <x:v>TRAFICOM/68863/03.04.01.00/2021</x:v>
      </x:c>
      <x:c r="D305" s="59" t="n">
        <x:v>60</x:v>
      </x:c>
      <x:c r="E305" s="47" t="str">
        <x:v>6.6.5.5</x:v>
      </x:c>
      <x:c r="F305" s="47" t="str">
        <x:v>Dynamic</x:v>
      </x:c>
      <x:c r="G305" s="48" t="str">
        <x:v>Deferred - observation/history/simulation design required</x:v>
      </x:c>
      <x:c r="H305" s="47" t="str">
        <x:v>Medium</x:v>
      </x:c>
      <x:c r="I305" s="47" t="str">
        <x:v>No</x:v>
      </x:c>
      <x:c r="J305" s="47" t="str">
        <x:v>DEFERRED</x:v>
      </x:c>
      <x:c r="K305" s="47" t="str">
        <x:v>NOT_RUN</x:v>
      </x:c>
    </x:row>
    <x:row r="306">
      <x:c r="A306" s="47" t="str">
        <x:v>TRF-120</x:v>
      </x:c>
      <x:c r="B306" s="48" t="str">
        <x:v>Ice Class Regulations and the Application Thereof</x:v>
      </x:c>
      <x:c r="C306" s="47" t="str">
        <x:v>TRAFICOM/68863/03.04.01.00/2021</x:v>
      </x:c>
      <x:c r="D306" s="59" t="n">
        <x:v>60</x:v>
      </x:c>
      <x:c r="E306" s="47" t="str">
        <x:v>6.6.5.5</x:v>
      </x:c>
      <x:c r="F306" s="47" t="str">
        <x:v>Static</x:v>
      </x:c>
      <x:c r="G306" s="48" t="str">
        <x:v>Stage 2 candidate - direct/deterministic</x:v>
      </x:c>
      <x:c r="H306" s="47" t="str">
        <x:v>High</x:v>
      </x:c>
      <x:c r="I306" s="47" t="str">
        <x:v>No</x:v>
      </x:c>
      <x:c r="J306" s="47" t="str">
        <x:v>ELIGIBLE</x:v>
      </x:c>
      <x:c r="K306" s="47" t="str">
        <x:v>NOT_RUN</x:v>
      </x:c>
    </x:row>
    <x:row r="307">
      <x:c r="A307" s="47" t="str">
        <x:v>TRF-121</x:v>
      </x:c>
      <x:c r="B307" s="48" t="str">
        <x:v>Ice Class Regulations and the Application Thereof</x:v>
      </x:c>
      <x:c r="C307" s="47" t="str">
        <x:v>TRAFICOM/68863/03.04.01.00/2021</x:v>
      </x:c>
      <x:c r="D307" s="59" t="n">
        <x:v>61</x:v>
      </x:c>
      <x:c r="E307" s="47" t="str">
        <x:v>6.7.1</x:v>
      </x:c>
      <x:c r="F307" s="47" t="str">
        <x:v>Complex</x:v>
      </x:c>
      <x:c r="G307" s="48" t="str">
        <x:v>Deferred - composite/evidence workflow review</x:v>
      </x:c>
      <x:c r="H307" s="47" t="str">
        <x:v>Medium</x:v>
      </x:c>
      <x:c r="I307" s="47" t="str">
        <x:v>No</x:v>
      </x:c>
      <x:c r="J307" s="47" t="str">
        <x:v>DEFERRED</x:v>
      </x:c>
      <x:c r="K307" s="47" t="str">
        <x:v>NOT_RUN</x:v>
      </x:c>
    </x:row>
    <x:row r="308">
      <x:c r="A308" s="47" t="str">
        <x:v>TRF-123</x:v>
      </x:c>
      <x:c r="B308" s="48" t="str">
        <x:v>Ice Class Regulations and the Application Thereof</x:v>
      </x:c>
      <x:c r="C308" s="47" t="str">
        <x:v>TRAFICOM/68863/03.04.01.00/2021</x:v>
      </x:c>
      <x:c r="D308" s="59" t="n">
        <x:v>61</x:v>
      </x:c>
      <x:c r="E308" s="47" t="str">
        <x:v>6.7.3</x:v>
      </x:c>
      <x:c r="F308" s="47" t="str">
        <x:v>Complex</x:v>
      </x:c>
      <x:c r="G308" s="48" t="str">
        <x:v>Stage 2 candidate - complex readiness</x:v>
      </x:c>
      <x:c r="H308" s="47" t="str">
        <x:v>Complex readiness</x:v>
      </x:c>
      <x:c r="I308" s="47" t="str">
        <x:v>No</x:v>
      </x:c>
      <x:c r="J308" s="47" t="str">
        <x:v>ELIGIBLE</x:v>
      </x:c>
      <x:c r="K308" s="47" t="str">
        <x:v>NOT_RUN</x:v>
      </x:c>
    </x:row>
    <x:row r="309">
      <x:c r="A309" s="47" t="str">
        <x:v>TRF-125</x:v>
      </x:c>
      <x:c r="B309" s="48" t="str">
        <x:v>Ice Class Regulations and the Application Thereof</x:v>
      </x:c>
      <x:c r="C309" s="47" t="str">
        <x:v>TRAFICOM/68863/03.04.01.00/2021</x:v>
      </x:c>
      <x:c r="D309" s="59" t="n">
        <x:v>61</x:v>
      </x:c>
      <x:c r="E309" s="47" t="str">
        <x:v>6.7.3</x:v>
      </x:c>
      <x:c r="F309" s="47" t="str">
        <x:v>Dynamic</x:v>
      </x:c>
      <x:c r="G309" s="48" t="str">
        <x:v>Deferred - observation/history/simulation design required</x:v>
      </x:c>
      <x:c r="H309" s="47" t="str">
        <x:v>Medium</x:v>
      </x:c>
      <x:c r="I309" s="47" t="str">
        <x:v>No</x:v>
      </x:c>
      <x:c r="J309" s="47" t="str">
        <x:v>DEFERRED</x:v>
      </x:c>
      <x:c r="K309" s="47" t="str">
        <x:v>NOT_RUN</x:v>
      </x:c>
    </x:row>
    <x:row r="310">
      <x:c r="A310" s="47" t="str">
        <x:v>TRF-126</x:v>
      </x:c>
      <x:c r="B310" s="48" t="str">
        <x:v>Ice Class Regulations and the Application Thereof</x:v>
      </x:c>
      <x:c r="C310" s="47" t="str">
        <x:v>TRAFICOM/68863/03.04.01.00/2021</x:v>
      </x:c>
      <x:c r="D310" s="59" t="n">
        <x:v>61</x:v>
      </x:c>
      <x:c r="E310" s="47" t="str">
        <x:v>7.1</x:v>
      </x:c>
      <x:c r="F310" s="47" t="str">
        <x:v>Static</x:v>
      </x:c>
      <x:c r="G310" s="48" t="str">
        <x:v>Stage 2 candidate - direct/deterministic</x:v>
      </x:c>
      <x:c r="H310" s="47" t="str">
        <x:v>High</x:v>
      </x:c>
      <x:c r="I310" s="47" t="str">
        <x:v>No</x:v>
      </x:c>
      <x:c r="J310" s="47" t="str">
        <x:v>ELIGIBLE</x:v>
      </x:c>
      <x:c r="K310" s="47" t="str">
        <x:v>NOT_RUN</x:v>
      </x:c>
    </x:row>
    <x:row r="311">
      <x:c r="A311" s="47" t="str">
        <x:v>TRF-127</x:v>
      </x:c>
      <x:c r="B311" s="48" t="str">
        <x:v>Ice Class Regulations and the Application Thereof</x:v>
      </x:c>
      <x:c r="C311" s="47" t="str">
        <x:v>TRAFICOM/68863/03.04.01.00/2021</x:v>
      </x:c>
      <x:c r="D311" s="59" t="n">
        <x:v>61</x:v>
      </x:c>
      <x:c r="E311" s="47" t="str">
        <x:v>7.1</x:v>
      </x:c>
      <x:c r="F311" s="47" t="str">
        <x:v>Static</x:v>
      </x:c>
      <x:c r="G311" s="48" t="str">
        <x:v>Stage 2 candidate - direct/deterministic</x:v>
      </x:c>
      <x:c r="H311" s="47" t="str">
        <x:v>High</x:v>
      </x:c>
      <x:c r="I311" s="47" t="str">
        <x:v>No</x:v>
      </x:c>
      <x:c r="J311" s="47" t="str">
        <x:v>ELIGIBLE</x:v>
      </x:c>
      <x:c r="K311" s="47" t="str">
        <x:v>NOT_RUN</x:v>
      </x:c>
    </x:row>
    <x:row r="312">
      <x:c r="A312" s="47" t="str">
        <x:v>TRF-128</x:v>
      </x:c>
      <x:c r="B312" s="48" t="str">
        <x:v>Ice Class Regulations and the Application Thereof</x:v>
      </x:c>
      <x:c r="C312" s="47" t="str">
        <x:v>TRAFICOM/68863/03.04.01.00/2021</x:v>
      </x:c>
      <x:c r="D312" s="59" t="n">
        <x:v>61</x:v>
      </x:c>
      <x:c r="E312" s="47" t="str">
        <x:v>7.1</x:v>
      </x:c>
      <x:c r="F312" s="47" t="str">
        <x:v>Static</x:v>
      </x:c>
      <x:c r="G312" s="48" t="str">
        <x:v>Stage 2 candidate - direct static</x:v>
      </x:c>
      <x:c r="H312" s="47" t="str">
        <x:v>Direct static</x:v>
      </x:c>
      <x:c r="I312" s="47" t="str">
        <x:v>No</x:v>
      </x:c>
      <x:c r="J312" s="47" t="str">
        <x:v>ELIGIBLE</x:v>
      </x:c>
      <x:c r="K312" s="47" t="str">
        <x:v>NOT_RUN</x:v>
      </x:c>
    </x:row>
    <x:row r="313">
      <x:c r="A313" s="47" t="str">
        <x:v>TRF-129</x:v>
      </x:c>
      <x:c r="B313" s="48" t="str">
        <x:v>Ice Class Regulations and the Application Thereof</x:v>
      </x:c>
      <x:c r="C313" s="47" t="str">
        <x:v>TRAFICOM/68863/03.04.01.00/2021</x:v>
      </x:c>
      <x:c r="D313" s="59" t="n">
        <x:v>61</x:v>
      </x:c>
      <x:c r="E313" s="47" t="str">
        <x:v>7.2</x:v>
      </x:c>
      <x:c r="F313" s="47" t="str">
        <x:v>Static</x:v>
      </x:c>
      <x:c r="G313" s="48" t="str">
        <x:v>Stage 2 candidate - direct/deterministic</x:v>
      </x:c>
      <x:c r="H313" s="47" t="str">
        <x:v>High</x:v>
      </x:c>
      <x:c r="I313" s="47" t="str">
        <x:v>No</x:v>
      </x:c>
      <x:c r="J313" s="47" t="str">
        <x:v>ELIGIBLE</x:v>
      </x:c>
      <x:c r="K313" s="47" t="str">
        <x:v>NOT_RUN</x:v>
      </x:c>
    </x:row>
    <x:row r="314">
      <x:c r="A314" s="47" t="str">
        <x:v>TRF-130</x:v>
      </x:c>
      <x:c r="B314" s="48" t="str">
        <x:v>Ice Class Regulations and the Application Thereof</x:v>
      </x:c>
      <x:c r="C314" s="47" t="str">
        <x:v>TRAFICOM/68863/03.04.01.00/2021</x:v>
      </x:c>
      <x:c r="D314" s="59" t="n">
        <x:v>62</x:v>
      </x:c>
      <x:c r="E314" s="47" t="str">
        <x:v>7.2</x:v>
      </x:c>
      <x:c r="F314" s="47" t="str">
        <x:v>Static Calculation</x:v>
      </x:c>
      <x:c r="G314" s="48" t="str">
        <x:v>Stage 2 candidate - direct calculation</x:v>
      </x:c>
      <x:c r="H314" s="47" t="str">
        <x:v>Direct calculation</x:v>
      </x:c>
      <x:c r="I314" s="47" t="str">
        <x:v>No</x:v>
      </x:c>
      <x:c r="J314" s="47" t="str">
        <x:v>ELIGIBLE</x:v>
      </x:c>
      <x:c r="K314" s="47" t="str">
        <x:v>NOT_RUN</x:v>
      </x:c>
    </x:row>
    <x:row r="315">
      <x:c r="A315" s="47" t="str">
        <x:v>TRF-131</x:v>
      </x:c>
      <x:c r="B315" s="48" t="str">
        <x:v>Ice Class Regulations and the Application Thereof</x:v>
      </x:c>
      <x:c r="C315" s="47" t="str">
        <x:v>TRAFICOM/68863/03.04.01.00/2021</x:v>
      </x:c>
      <x:c r="D315" s="59" t="n">
        <x:v>62</x:v>
      </x:c>
      <x:c r="E315" s="47" t="str">
        <x:v>7.2</x:v>
      </x:c>
      <x:c r="F315" s="47" t="str">
        <x:v>Static</x:v>
      </x:c>
      <x:c r="G315" s="48" t="str">
        <x:v>Stage 2 candidate - direct/deterministic</x:v>
      </x:c>
      <x:c r="H315" s="47" t="str">
        <x:v>High</x:v>
      </x:c>
      <x:c r="I315" s="47" t="str">
        <x:v>No</x:v>
      </x:c>
      <x:c r="J315" s="47" t="str">
        <x:v>ELIGIBLE</x:v>
      </x:c>
      <x:c r="K315" s="47" t="str">
        <x:v>NOT_RUN</x:v>
      </x:c>
    </x:row>
    <x:row r="316">
      <x:c r="A316" s="47" t="str">
        <x:v>TRF-132</x:v>
      </x:c>
      <x:c r="B316" s="48" t="str">
        <x:v>Ice Class Regulations and the Application Thereof</x:v>
      </x:c>
      <x:c r="C316" s="47" t="str">
        <x:v>TRAFICOM/68863/03.04.01.00/2021</x:v>
      </x:c>
      <x:c r="D316" s="59" t="n">
        <x:v>64</x:v>
      </x:c>
      <x:c r="E316" s="47" t="str">
        <x:v>8</x:v>
      </x:c>
      <x:c r="F316" s="47" t="str">
        <x:v>Static Calculation</x:v>
      </x:c>
      <x:c r="G316" s="48" t="str">
        <x:v>Stage 2 candidate - direct/deterministic</x:v>
      </x:c>
      <x:c r="H316" s="47" t="str">
        <x:v>High</x:v>
      </x:c>
      <x:c r="I316" s="47" t="str">
        <x:v>No</x:v>
      </x:c>
      <x:c r="J316" s="47" t="str">
        <x:v>ELIGIBLE</x:v>
      </x:c>
      <x:c r="K316" s="47" t="str">
        <x:v>NOT_RUN</x:v>
      </x:c>
    </x:row>
    <x:row r="317">
      <x:c r="A317" s="49" t="str">
        <x:v>TRF-133</x:v>
      </x:c>
      <x:c r="B317" s="50" t="str">
        <x:v>Ice Class Regulations and the Application Thereof</x:v>
      </x:c>
      <x:c r="C317" s="49" t="str">
        <x:v>TRAFICOM/68863/03.04.01.00/2021</x:v>
      </x:c>
      <x:c r="D317" s="60" t="n">
        <x:v>65</x:v>
      </x:c>
      <x:c r="E317" s="49" t="str">
        <x:v>8</x:v>
      </x:c>
      <x:c r="F317" s="49" t="str">
        <x:v>Static</x:v>
      </x:c>
      <x:c r="G317" s="50" t="str">
        <x:v>Stage 2 candidate - direct/deterministic</x:v>
      </x:c>
      <x:c r="H317" s="49" t="str">
        <x:v>High</x:v>
      </x:c>
      <x:c r="I317" s="49" t="str">
        <x:v>No</x:v>
      </x:c>
      <x:c r="J317" s="49" t="str">
        <x:v>ELIGIBLE</x:v>
      </x:c>
      <x:c r="K317" s="49" t="str">
        <x:v>NOT_RUN</x:v>
      </x:c>
    </x:row>
  </x:sheetData>
  <x:conditionalFormatting sqref="G5:G317">
    <x:cfRule type="containsText" dxfId="0" priority="1" operator="containsText" text="ACCEPT"/>
    <x:cfRule type="containsText" dxfId="1" priority="2" operator="containsText" text="ELIGIBLE"/>
    <x:cfRule type="containsText" dxfId="2" priority="3" operator="containsText" text="PASS"/>
    <x:cfRule type="containsText" dxfId="3" priority="4" operator="containsText" text="GAP"/>
    <x:cfRule type="containsText" dxfId="4" priority="5" operator="containsText" text="FAIL"/>
    <x:cfRule type="containsText" dxfId="5" priority="6" operator="containsText" text="DEFERRED"/>
  </x:conditionalFormatting>
  <x:conditionalFormatting sqref="J5:J317">
    <x:cfRule type="containsText" dxfId="6" priority="7" operator="containsText" text="ACCEPT"/>
    <x:cfRule type="containsText" dxfId="7" priority="8" operator="containsText" text="ELIGIBLE"/>
    <x:cfRule type="containsText" dxfId="8" priority="9" operator="containsText" text="PASS"/>
    <x:cfRule type="containsText" dxfId="9" priority="10" operator="containsText" text="GAP"/>
    <x:cfRule type="containsText" dxfId="10" priority="11" operator="containsText" text="FAIL"/>
    <x:cfRule type="containsText" dxfId="11" priority="12" operator="containsText" text="DEFERRED"/>
  </x:conditionalFormatting>
  <x:conditionalFormatting sqref="K5:K317">
    <x:cfRule type="containsText" dxfId="12" priority="13" operator="containsText" text="ACCEPT"/>
    <x:cfRule type="containsText" dxfId="13" priority="14" operator="containsText" text="ELIGIBLE"/>
    <x:cfRule type="containsText" dxfId="14" priority="15" operator="containsText" text="PASS"/>
    <x:cfRule type="containsText" dxfId="15" priority="16" operator="containsText" text="GAP"/>
    <x:cfRule type="containsText" dxfId="16" priority="17" operator="containsText" text="FAIL"/>
    <x:cfRule type="containsText" dxfId="17" priority="18" operator="containsText" text="DEFERRED"/>
  </x:conditionalFormatting>
  <x:pageMargins left="0.7" right="0.7" top="0.75" bottom="0.75" header="0.3" footer="0.3"/>
  <x:tableParts count="1">
    <x:tablePart xmlns:r="http://schemas.openxmlformats.org/officeDocument/2006/relationships" r:id="Rdf46a6a4906145d1"/>
  </x:tableParts>
</x:worksheet>
</file>

<file path=xl/worksheets/sheet4.xml><?xml version="1.0" encoding="utf-8"?>
<x:worksheet xmlns:x="http://schemas.openxmlformats.org/spreadsheetml/2006/main">
  <x:sheetViews>
    <x:sheetView showGridLines="0" workbookViewId="0"/>
  </x:sheetViews>
  <x:sheetFormatPr defaultRowHeight="15"/>
  <x:cols>
    <x:col min="1" max="1" width="36" hidden="0" customWidth="1"/>
    <x:col min="2" max="2" width="42" hidden="0" customWidth="1"/>
    <x:col min="3" max="3" width="18" hidden="0" customWidth="1"/>
    <x:col min="4" max="4" width="25" hidden="0" customWidth="1"/>
    <x:col min="5" max="5" width="25" hidden="0" customWidth="1"/>
    <x:col min="6" max="6" width="23" hidden="0" customWidth="1"/>
    <x:col min="7" max="7" width="24" hidden="0" customWidth="1"/>
    <x:col min="8" max="8" width="11" hidden="0" customWidth="1"/>
    <x:col min="9" max="9" width="21" hidden="0" customWidth="1"/>
    <x:col min="10" max="10" width="11" hidden="0" customWidth="1"/>
    <x:col min="11" max="11" width="23" hidden="0" customWidth="1"/>
    <x:col min="12" max="12" width="52" hidden="0" customWidth="1"/>
  </x:cols>
  <x:sheetData>
    <x:row r="1">
      <x:c r="A1" s="18" t="str">
        <x:v>NLTL SHACL Pipeline Run Tracker</x:v>
      </x:c>
      <x:c r="B1" s="19"/>
      <x:c r="C1" s="19"/>
      <x:c r="D1" s="19"/>
      <x:c r="E1" s="19"/>
      <x:c r="F1" s="19"/>
      <x:c r="G1" s="19"/>
      <x:c r="H1" s="19"/>
      <x:c r="I1" s="19"/>
      <x:c r="J1" s="19"/>
      <x:c r="K1" s="19"/>
      <x:c r="L1" s="19"/>
    </x:row>
    <x:row r="2">
      <x:c r="A2" s="20" t="str">
        <x:v>RUNS | Run folder: RUN-TRF-116-20260828T235256192692Z</x:v>
      </x:c>
      <x:c r="B2" s="20"/>
      <x:c r="C2" s="20"/>
      <x:c r="D2" s="20"/>
      <x:c r="E2" s="20"/>
      <x:c r="F2" s="20"/>
      <x:c r="G2" s="20"/>
      <x:c r="H2" s="20"/>
      <x:c r="I2" s="20"/>
      <x:c r="J2" s="20"/>
      <x:c r="K2" s="20"/>
      <x:c r="L2" s="20"/>
    </x:row>
    <x:row r="3">
      <x:c r="A3" s="21"/>
      <x:c r="B3" s="21"/>
      <x:c r="C3" s="21"/>
      <x:c r="D3" s="21"/>
      <x:c r="E3" s="21"/>
      <x:c r="F3" s="21"/>
      <x:c r="G3" s="21"/>
      <x:c r="H3" s="21"/>
      <x:c r="I3" s="21"/>
      <x:c r="J3" s="21"/>
      <x:c r="K3" s="21"/>
      <x:c r="L3" s="21"/>
    </x:row>
    <x:row r="4" ht="30" customHeight="1">
      <x:c r="A4" s="43" t="str">
        <x:v>SESSION_ID</x:v>
      </x:c>
      <x:c r="B4" s="57" t="str">
        <x:v>RUN_ID</x:v>
      </x:c>
      <x:c r="C4" s="57" t="str">
        <x:v>REQUIREMENT_ID</x:v>
      </x:c>
      <x:c r="D4" s="57" t="str">
        <x:v>STARTED_UTC</x:v>
      </x:c>
      <x:c r="E4" s="57" t="str">
        <x:v>FINISHED_UTC</x:v>
      </x:c>
      <x:c r="F4" s="57" t="str">
        <x:v>PIPELINE_VERSION</x:v>
      </x:c>
      <x:c r="G4" s="57" t="str">
        <x:v>VOCABULARY_LOCK_ID</x:v>
      </x:c>
      <x:c r="H4" s="57" t="str">
        <x:v>ATTEMPTS</x:v>
      </x:c>
      <x:c r="I4" s="57" t="str">
        <x:v>FINAL_STATUS</x:v>
      </x:c>
      <x:c r="J4" s="57" t="str">
        <x:v>ACCEPTED</x:v>
      </x:c>
      <x:c r="K4" s="57" t="str">
        <x:v>FINAL_SHAPE</x:v>
      </x:c>
      <x:c r="L4" s="44" t="str">
        <x:v>FINAL_FEEDBACK</x:v>
      </x:c>
    </x:row>
    <x:row r="5">
      <x:c r="A5" s="69" t="str">
        <x:v>SESSION-BATCH-20260828T135316382114Z</x:v>
      </x:c>
      <x:c r="B5" s="69" t="str">
        <x:v>RUN-TRF-116-20260828T235256192692Z</x:v>
      </x:c>
      <x:c r="C5" s="69" t="str">
        <x:v>TRF-116</x:v>
      </x:c>
      <x:c r="D5" s="70" t="n">
        <x:v>46262.99509482639</x:v>
      </x:c>
      <x:c r="E5" s="70" t="n">
        <x:v>46262.99573300926</x:v>
      </x:c>
      <x:c r="F5" s="69" t="str">
        <x:v>final-luna-main-run04</x:v>
      </x:c>
      <x:c r="G5" s="69" t="str">
        <x:v>VOCAB-LOCK-2026-08-22-R13</x:v>
      </x:c>
      <x:c r="H5" s="71" t="n">
        <x:v>2</x:v>
      </x:c>
      <x:c r="I5" s="69" t="str">
        <x:v>GENERATION_ACCEPTED</x:v>
      </x:c>
      <x:c r="J5" s="72" t="b">
        <x:v>1</x:v>
      </x:c>
      <x:c r="K5" s="69" t="str">
        <x:v>final/final_shape.ttl</x:v>
      </x:c>
      <x:c r="L5" s="73" t="str">
        <x:v>The candidate faithfully encodes the complete complex-readiness contract: all declared operand terms and the result are present on the authoritative ship owner, the quantity datatypes and recommended units are correct, and the externally computed result is appropriately treated as readiness evidence without reconstructing the informational formula. The non-hemispherical contact area now correctly uses square metres, preserving the prior repair instruction.</x:v>
      </x:c>
    </x:row>
  </x:sheetData>
  <x:conditionalFormatting sqref="I5:I5">
    <x:cfRule type="containsText" dxfId="18" priority="1" operator="containsText" text="ACCEPT"/>
    <x:cfRule type="containsText" dxfId="19" priority="2" operator="containsText" text="ELIGIBLE"/>
    <x:cfRule type="containsText" dxfId="20" priority="3" operator="containsText" text="PASS"/>
    <x:cfRule type="containsText" dxfId="21" priority="4" operator="containsText" text="GAP"/>
    <x:cfRule type="containsText" dxfId="22" priority="5" operator="containsText" text="FAIL"/>
    <x:cfRule type="containsText" dxfId="23" priority="6" operator="containsText" text="DEFERRED"/>
  </x:conditionalFormatting>
  <x:pageMargins left="0.7" right="0.7" top="0.75" bottom="0.75" header="0.3" footer="0.3"/>
  <x:tableParts count="1">
    <x:tablePart xmlns:r="http://schemas.openxmlformats.org/officeDocument/2006/relationships" r:id="R0c2e2b1e17bf4f6a"/>
  </x:tableParts>
</x:worksheet>
</file>

<file path=xl/worksheets/sheet5.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1" hidden="0" customWidth="1"/>
    <x:col min="4" max="4" width="14" hidden="0" customWidth="1"/>
    <x:col min="5" max="5" width="18" hidden="0" customWidth="1"/>
    <x:col min="6" max="6" width="19" hidden="0" customWidth="1"/>
    <x:col min="7" max="7" width="11" hidden="0" customWidth="1"/>
    <x:col min="8" max="8" width="52" hidden="0" customWidth="1"/>
    <x:col min="9" max="9" width="22" hidden="0" customWidth="1"/>
    <x:col min="10" max="10" width="22" hidden="0" customWidth="1"/>
  </x:cols>
  <x:sheetData>
    <x:row r="1">
      <x:c r="A1" s="18" t="str">
        <x:v>NLTL SHACL Pipeline Run Tracker</x:v>
      </x:c>
      <x:c r="B1" s="19"/>
      <x:c r="C1" s="19"/>
      <x:c r="D1" s="19"/>
      <x:c r="E1" s="19"/>
      <x:c r="F1" s="19"/>
      <x:c r="G1" s="19"/>
      <x:c r="H1" s="19"/>
      <x:c r="I1" s="19"/>
      <x:c r="J1" s="19"/>
    </x:row>
    <x:row r="2">
      <x:c r="A2" s="20" t="str">
        <x:v>ITERATIONS | Run folder: RUN-TRF-116-20260828T235256192692Z</x:v>
      </x:c>
      <x:c r="B2" s="20"/>
      <x:c r="C2" s="20"/>
      <x:c r="D2" s="20"/>
      <x:c r="E2" s="20"/>
      <x:c r="F2" s="20"/>
      <x:c r="G2" s="20"/>
      <x:c r="H2" s="20"/>
      <x:c r="I2" s="20"/>
      <x:c r="J2" s="20"/>
    </x:row>
    <x:row r="3">
      <x:c r="A3" s="21"/>
      <x:c r="B3" s="21"/>
      <x:c r="C3" s="21"/>
      <x:c r="D3" s="21"/>
      <x:c r="E3" s="21"/>
      <x:c r="F3" s="21"/>
      <x:c r="G3" s="21"/>
      <x:c r="H3" s="21"/>
      <x:c r="I3" s="21"/>
      <x:c r="J3" s="21"/>
    </x:row>
    <x:row r="4" ht="30" customHeight="1">
      <x:c r="A4" s="43" t="str">
        <x:v>RUN_ID</x:v>
      </x:c>
      <x:c r="B4" s="57" t="str">
        <x:v>REQUIREMENT_ID</x:v>
      </x:c>
      <x:c r="C4" s="57" t="str">
        <x:v>ITERATION</x:v>
      </x:c>
      <x:c r="D4" s="57" t="str">
        <x:v>STATIC_VALID</x:v>
      </x:c>
      <x:c r="E4" s="57" t="str">
        <x:v>VALIDATOR_ACCEPT</x:v>
      </x:c>
      <x:c r="F4" s="57" t="str">
        <x:v>MATCHER_ACTIVATED</x:v>
      </x:c>
      <x:c r="G4" s="57" t="str">
        <x:v>DECISION</x:v>
      </x:c>
      <x:c r="H4" s="57" t="str">
        <x:v>FEEDBACK</x:v>
      </x:c>
      <x:c r="I4" s="57" t="str">
        <x:v>GENERATOR_ELAPSED_MS</x:v>
      </x:c>
      <x:c r="J4" s="44" t="str">
        <x:v>VALIDATOR_ELAPSED_MS</x:v>
      </x:c>
    </x:row>
    <x:row r="5">
      <x:c r="A5" s="45" t="str">
        <x:v>RUN-TRF-116-20260828T235256192692Z</x:v>
      </x:c>
      <x:c r="B5" s="45" t="str">
        <x:v>TRF-116</x:v>
      </x:c>
      <x:c r="C5" s="58" t="n">
        <x:v>1</x:v>
      </x:c>
      <x:c r="D5" s="80" t="b">
        <x:v>1</x:v>
      </x:c>
      <x:c r="E5" s="80" t="b">
        <x:v>0</x:v>
      </x:c>
      <x:c r="F5" s="80" t="b">
        <x:v>0</x:v>
      </x:c>
      <x:c r="G5" s="45" t="str">
        <x:v>REVISE</x:v>
      </x:c>
      <x:c r="H5" s="46" t="str">
        <x:v>Use the canonical recommended unit http://qudt.org/vocab/unit/M2 for nonHemisphericalImpactContactArea; the current shape incorrectly requires metres (M) and its message likewise describes an area in metres. Keep the declared ship ownership and the externally computed equivalentImpactSphereRadius readiness result.</x:v>
      </x:c>
      <x:c r="I5" s="81" t="n">
        <x:v>16528.495</x:v>
      </x:c>
      <x:c r="J5" s="81" t="n">
        <x:v>8591.237</x:v>
      </x:c>
    </x:row>
    <x:row r="6">
      <x:c r="A6" s="49" t="str">
        <x:v>RUN-TRF-116-20260828T235256192692Z</x:v>
      </x:c>
      <x:c r="B6" s="49" t="str">
        <x:v>TRF-116</x:v>
      </x:c>
      <x:c r="C6" s="60" t="n">
        <x:v>2</x:v>
      </x:c>
      <x:c r="D6" s="82" t="b">
        <x:v>1</x:v>
      </x:c>
      <x:c r="E6" s="82" t="b">
        <x:v>1</x:v>
      </x:c>
      <x:c r="F6" s="82" t="b">
        <x:v>0</x:v>
      </x:c>
      <x:c r="G6" s="49" t="str">
        <x:v>ACCEPT</x:v>
      </x:c>
      <x:c r="H6" s="50" t="str">
        <x:v>The candidate faithfully encodes the complete complex-readiness contract: all declared operand terms and the result are present on the authoritative ship owner, the quantity datatypes and recommended units are correct, and the externally computed result is appropriately treated as readiness evidence without reconstructing the informational formula. The non-hemispherical contact area now correctly uses square metres, preserving the prior repair instruction.</x:v>
      </x:c>
      <x:c r="I6" s="83" t="n">
        <x:v>17905.191</x:v>
      </x:c>
      <x:c r="J6" s="83" t="n">
        <x:v>11864.001</x:v>
      </x:c>
    </x:row>
  </x:sheetData>
  <x:conditionalFormatting sqref="G5:G6">
    <x:cfRule type="containsText" dxfId="24" priority="1" operator="containsText" text="ACCEPT"/>
    <x:cfRule type="containsText" dxfId="25" priority="2" operator="containsText" text="ELIGIBLE"/>
    <x:cfRule type="containsText" dxfId="26" priority="3" operator="containsText" text="PASS"/>
    <x:cfRule type="containsText" dxfId="27" priority="4" operator="containsText" text="GAP"/>
    <x:cfRule type="containsText" dxfId="28" priority="5" operator="containsText" text="FAIL"/>
    <x:cfRule type="containsText" dxfId="29" priority="6" operator="containsText" text="DEFERRED"/>
  </x:conditionalFormatting>
  <x:pageMargins left="0.7" right="0.7" top="0.75" bottom="0.75" header="0.3" footer="0.3"/>
  <x:tableParts count="1">
    <x:tablePart xmlns:r="http://schemas.openxmlformats.org/officeDocument/2006/relationships" r:id="R963c9ba34f514688"/>
  </x:tableParts>
</x:worksheet>
</file>

<file path=xl/worksheets/sheet6.xml><?xml version="1.0" encoding="utf-8"?>
<x:worksheet xmlns:x="http://schemas.openxmlformats.org/spreadsheetml/2006/main">
  <x:sheetViews>
    <x:sheetView showGridLines="0" workbookViewId="0"/>
  </x:sheetViews>
  <x:sheetFormatPr defaultRowHeight="15"/>
  <x:cols>
    <x:col min="1" max="1" width="16" hidden="0" customWidth="1"/>
    <x:col min="2" max="2" width="42" hidden="0" customWidth="1"/>
    <x:col min="3" max="3" width="18" hidden="0" customWidth="1"/>
    <x:col min="4" max="4" width="25" hidden="0" customWidth="1"/>
    <x:col min="5" max="5" width="11" hidden="0" customWidth="1"/>
    <x:col min="6" max="6" width="30" hidden="0" customWidth="1"/>
    <x:col min="7" max="7" width="19" hidden="0" customWidth="1"/>
    <x:col min="8" max="8" width="11" hidden="0" customWidth="1"/>
    <x:col min="9" max="9" width="24" hidden="0" customWidth="1"/>
    <x:col min="10" max="10" width="20" hidden="0" customWidth="1"/>
    <x:col min="11" max="11" width="12" hidden="0" customWidth="1"/>
    <x:col min="12" max="12" width="11" hidden="0" customWidth="1"/>
    <x:col min="13" max="13" width="24" hidden="0" customWidth="1"/>
    <x:col min="14" max="14" width="14" hidden="0" customWidth="1"/>
    <x:col min="15" max="15" width="15" hidden="0" customWidth="1"/>
    <x:col min="16" max="16" width="14" hidden="0" customWidth="1"/>
  </x:cols>
  <x:sheetData>
    <x:row r="1">
      <x:c r="A1" s="18" t="str">
        <x:v>NLTL SHACL Pipeline Run Tracker</x:v>
      </x:c>
      <x:c r="B1" s="19"/>
      <x:c r="C1" s="19"/>
      <x:c r="D1" s="19"/>
      <x:c r="E1" s="19"/>
      <x:c r="F1" s="19"/>
      <x:c r="G1" s="19"/>
      <x:c r="H1" s="19"/>
      <x:c r="I1" s="19"/>
      <x:c r="J1" s="19"/>
      <x:c r="K1" s="19"/>
      <x:c r="L1" s="19"/>
      <x:c r="M1" s="19"/>
      <x:c r="N1" s="19"/>
      <x:c r="O1" s="19"/>
      <x:c r="P1" s="19"/>
    </x:row>
    <x:row r="2">
      <x:c r="A2" s="20" t="str">
        <x:v>API_CALLS | Run folder: RUN-TRF-116-20260828T235256192692Z</x:v>
      </x:c>
      <x:c r="B2" s="20"/>
      <x:c r="C2" s="20"/>
      <x:c r="D2" s="20"/>
      <x:c r="E2" s="20"/>
      <x:c r="F2" s="20"/>
      <x:c r="G2" s="20"/>
      <x:c r="H2" s="20"/>
      <x:c r="I2" s="20"/>
      <x:c r="J2" s="20"/>
      <x:c r="K2" s="20"/>
      <x:c r="L2" s="20"/>
      <x:c r="M2" s="20"/>
      <x:c r="N2" s="20"/>
      <x:c r="O2" s="20"/>
      <x:c r="P2" s="20"/>
    </x:row>
    <x:row r="3">
      <x:c r="A3" s="21"/>
      <x:c r="B3" s="21"/>
      <x:c r="C3" s="21"/>
      <x:c r="D3" s="21"/>
      <x:c r="E3" s="21"/>
      <x:c r="F3" s="21"/>
      <x:c r="G3" s="21"/>
      <x:c r="H3" s="21"/>
      <x:c r="I3" s="21"/>
      <x:c r="J3" s="21"/>
      <x:c r="K3" s="21"/>
      <x:c r="L3" s="21"/>
      <x:c r="M3" s="21"/>
      <x:c r="N3" s="21"/>
      <x:c r="O3" s="21"/>
      <x:c r="P3" s="21"/>
    </x:row>
    <x:row r="4" ht="30" customHeight="1">
      <x:c r="A4" s="43" t="str">
        <x:v>EVENT_ID</x:v>
      </x:c>
      <x:c r="B4" s="57" t="str">
        <x:v>RUN_ID</x:v>
      </x:c>
      <x:c r="C4" s="57" t="str">
        <x:v>REQUIREMENT_ID</x:v>
      </x:c>
      <x:c r="D4" s="57" t="str">
        <x:v>TIMESTAMP_UTC</x:v>
      </x:c>
      <x:c r="E4" s="57" t="str">
        <x:v>ROLE</x:v>
      </x:c>
      <x:c r="F4" s="57" t="str">
        <x:v>MODEL</x:v>
      </x:c>
      <x:c r="G4" s="57" t="str">
        <x:v>TRANSPORT_ATTEMPT</x:v>
      </x:c>
      <x:c r="H4" s="57" t="str">
        <x:v>STATUS</x:v>
      </x:c>
      <x:c r="I4" s="57" t="str">
        <x:v>AUTH_HEADER_NAME</x:v>
      </x:c>
      <x:c r="J4" s="57" t="str">
        <x:v>RATE_LIMIT_WAIT_MS</x:v>
      </x:c>
      <x:c r="K4" s="57" t="str">
        <x:v>ELAPSED_MS</x:v>
      </x:c>
      <x:c r="L4" s="57" t="str">
        <x:v>RETRYING</x:v>
      </x:c>
      <x:c r="M4" s="57" t="str">
        <x:v>RESPONSE_ID</x:v>
      </x:c>
      <x:c r="N4" s="57" t="str">
        <x:v>INPUT_TOKENS</x:v>
      </x:c>
      <x:c r="O4" s="57" t="str">
        <x:v>OUTPUT_TOKENS</x:v>
      </x:c>
      <x:c r="P4" s="44" t="str">
        <x:v>TOTAL_TOKENS</x:v>
      </x:c>
    </x:row>
    <x:row r="5">
      <x:c r="A5" s="45" t="str">
        <x:v>EVT-000017</x:v>
      </x:c>
      <x:c r="B5" s="45" t="str">
        <x:v>RUN-TRF-116-20260828T235256192692Z</x:v>
      </x:c>
      <x:c r="C5" s="45" t="str">
        <x:v>TRF-116</x:v>
      </x:c>
      <x:c r="D5" s="90" t="n">
        <x:v>46262.995286122685</x:v>
      </x:c>
      <x:c r="E5" s="45" t="str">
        <x:v>generator</x:v>
      </x:c>
      <x:c r="F5" s="45" t="str">
        <x:v>gpt-5.6-luna-2026-07-09</x:v>
      </x:c>
      <x:c r="G5" s="45" t="n">
        <x:v>1</x:v>
      </x:c>
      <x:c r="H5" s="45" t="n">
        <x:v>200</x:v>
      </x:c>
      <x:c r="I5" s="45" t="str">
        <x:v>Ocp-Apim-Subscription-Key</x:v>
      </x:c>
      <x:c r="J5" s="81" t="n">
        <x:v>0</x:v>
      </x:c>
      <x:c r="K5" s="81" t="n">
        <x:v>16526.949</x:v>
      </x:c>
      <x:c r="L5" s="80" t="b">
        <x:v>0</x:v>
      </x:c>
      <x:c r="M5" s="45" t="str"/>
      <x:c r="N5" s="58" t="str"/>
      <x:c r="O5" s="58" t="str"/>
      <x:c r="P5" s="58" t="str"/>
    </x:row>
    <x:row r="6">
      <x:c r="A6" s="47" t="str">
        <x:v>EVT-000018</x:v>
      </x:c>
      <x:c r="B6" s="47" t="str">
        <x:v>RUN-TRF-116-20260828T235256192692Z</x:v>
      </x:c>
      <x:c r="C6" s="47" t="str">
        <x:v>TRF-116</x:v>
      </x:c>
      <x:c r="D6" s="91" t="n">
        <x:v>46262.99528614584</x:v>
      </x:c>
      <x:c r="E6" s="47" t="str">
        <x:v>generator</x:v>
      </x:c>
      <x:c r="F6" s="47" t="str">
        <x:v>gpt-5.6-luna-2026-07-09</x:v>
      </x:c>
      <x:c r="G6" s="47" t="n">
        <x:v>1</x:v>
      </x:c>
      <x:c r="H6" s="47" t="str">
        <x:v>COMPLETED</x:v>
      </x:c>
      <x:c r="I6" s="47" t="str"/>
      <x:c r="J6" s="92" t="n">
        <x:v>0</x:v>
      </x:c>
      <x:c r="K6" s="92" t="n">
        <x:v>16528.495</x:v>
      </x:c>
      <x:c r="L6" s="93" t="b">
        <x:v>0</x:v>
      </x:c>
      <x:c r="M6" s="47" t="str">
        <x:v>resp_0e51a163201c000e006a921f5854248197b88a708d545208f0</x:v>
      </x:c>
      <x:c r="N6" s="59" t="n">
        <x:v>7588</x:v>
      </x:c>
      <x:c r="O6" s="59" t="n">
        <x:v>1125</x:v>
      </x:c>
      <x:c r="P6" s="59" t="n">
        <x:v>8713</x:v>
      </x:c>
    </x:row>
    <x:row r="7">
      <x:c r="A7" s="47" t="str">
        <x:v>EVT-000025</x:v>
      </x:c>
      <x:c r="B7" s="47" t="str">
        <x:v>RUN-TRF-116-20260828T235256192692Z</x:v>
      </x:c>
      <x:c r="C7" s="47" t="str">
        <x:v>TRF-116</x:v>
      </x:c>
      <x:c r="D7" s="91" t="n">
        <x:v>46262.99538695602</x:v>
      </x:c>
      <x:c r="E7" s="47" t="str">
        <x:v>validator</x:v>
      </x:c>
      <x:c r="F7" s="47" t="str">
        <x:v>gpt-5.6-luna-2026-07-09</x:v>
      </x:c>
      <x:c r="G7" s="47" t="n">
        <x:v>1</x:v>
      </x:c>
      <x:c r="H7" s="47" t="n">
        <x:v>200</x:v>
      </x:c>
      <x:c r="I7" s="47" t="str">
        <x:v>Ocp-Apim-Subscription-Key</x:v>
      </x:c>
      <x:c r="J7" s="92" t="n">
        <x:v>0</x:v>
      </x:c>
      <x:c r="K7" s="92" t="n">
        <x:v>8589.629</x:v>
      </x:c>
      <x:c r="L7" s="93" t="b">
        <x:v>0</x:v>
      </x:c>
      <x:c r="M7" s="47" t="str"/>
      <x:c r="N7" s="59" t="str"/>
      <x:c r="O7" s="59" t="str"/>
      <x:c r="P7" s="59" t="str"/>
    </x:row>
    <x:row r="8">
      <x:c r="A8" s="47" t="str">
        <x:v>EVT-000026</x:v>
      </x:c>
      <x:c r="B8" s="47" t="str">
        <x:v>RUN-TRF-116-20260828T235256192692Z</x:v>
      </x:c>
      <x:c r="C8" s="47" t="str">
        <x:v>TRF-116</x:v>
      </x:c>
      <x:c r="D8" s="91" t="n">
        <x:v>46262.995386967596</x:v>
      </x:c>
      <x:c r="E8" s="47" t="str">
        <x:v>validator</x:v>
      </x:c>
      <x:c r="F8" s="47" t="str">
        <x:v>gpt-5.6-luna-2026-07-09</x:v>
      </x:c>
      <x:c r="G8" s="47" t="n">
        <x:v>1</x:v>
      </x:c>
      <x:c r="H8" s="47" t="str">
        <x:v>COMPLETED</x:v>
      </x:c>
      <x:c r="I8" s="47" t="str"/>
      <x:c r="J8" s="92" t="n">
        <x:v>0</x:v>
      </x:c>
      <x:c r="K8" s="92" t="n">
        <x:v>8591.237</x:v>
      </x:c>
      <x:c r="L8" s="93" t="b">
        <x:v>0</x:v>
      </x:c>
      <x:c r="M8" s="47" t="str">
        <x:v>resp_0f7d7737207aceba006a921f68f9e08193975ee32cb7ef4611</x:v>
      </x:c>
      <x:c r="N8" s="59" t="n">
        <x:v>6195</x:v>
      </x:c>
      <x:c r="O8" s="59" t="n">
        <x:v>361</x:v>
      </x:c>
      <x:c r="P8" s="59" t="n">
        <x:v>6556</x:v>
      </x:c>
    </x:row>
    <x:row r="9">
      <x:c r="A9" s="47" t="str">
        <x:v>EVT-000031</x:v>
      </x:c>
      <x:c r="B9" s="47" t="str">
        <x:v>RUN-TRF-116-20260828T235256192692Z</x:v>
      </x:c>
      <x:c r="C9" s="47" t="str">
        <x:v>TRF-116</x:v>
      </x:c>
      <x:c r="D9" s="91" t="n">
        <x:v>46262.99559424769</x:v>
      </x:c>
      <x:c r="E9" s="47" t="str">
        <x:v>generator</x:v>
      </x:c>
      <x:c r="F9" s="47" t="str">
        <x:v>gpt-5.6-luna-2026-07-09</x:v>
      </x:c>
      <x:c r="G9" s="47" t="n">
        <x:v>1</x:v>
      </x:c>
      <x:c r="H9" s="47" t="n">
        <x:v>200</x:v>
      </x:c>
      <x:c r="I9" s="47" t="str">
        <x:v>Ocp-Apim-Subscription-Key</x:v>
      </x:c>
      <x:c r="J9" s="92" t="n">
        <x:v>0</x:v>
      </x:c>
      <x:c r="K9" s="92" t="n">
        <x:v>17903.737</x:v>
      </x:c>
      <x:c r="L9" s="93" t="b">
        <x:v>0</x:v>
      </x:c>
      <x:c r="M9" s="47" t="str"/>
      <x:c r="N9" s="59" t="str"/>
      <x:c r="O9" s="59" t="str"/>
      <x:c r="P9" s="59" t="str"/>
    </x:row>
    <x:row r="10">
      <x:c r="A10" s="47" t="str">
        <x:v>EVT-000032</x:v>
      </x:c>
      <x:c r="B10" s="47" t="str">
        <x:v>RUN-TRF-116-20260828T235256192692Z</x:v>
      </x:c>
      <x:c r="C10" s="47" t="str">
        <x:v>TRF-116</x:v>
      </x:c>
      <x:c r="D10" s="91" t="n">
        <x:v>46262.99559427083</x:v>
      </x:c>
      <x:c r="E10" s="47" t="str">
        <x:v>generator</x:v>
      </x:c>
      <x:c r="F10" s="47" t="str">
        <x:v>gpt-5.6-luna-2026-07-09</x:v>
      </x:c>
      <x:c r="G10" s="47" t="n">
        <x:v>1</x:v>
      </x:c>
      <x:c r="H10" s="47" t="str">
        <x:v>COMPLETED</x:v>
      </x:c>
      <x:c r="I10" s="47" t="str"/>
      <x:c r="J10" s="92" t="n">
        <x:v>0</x:v>
      </x:c>
      <x:c r="K10" s="92" t="n">
        <x:v>17905.191</x:v>
      </x:c>
      <x:c r="L10" s="93" t="b">
        <x:v>0</x:v>
      </x:c>
      <x:c r="M10" s="47" t="str">
        <x:v>resp_0329dd0e51b768c7006a921f71910c8196a224922ba720d876</x:v>
      </x:c>
      <x:c r="N10" s="59" t="n">
        <x:v>7647</x:v>
      </x:c>
      <x:c r="O10" s="59" t="n">
        <x:v>1161</x:v>
      </x:c>
      <x:c r="P10" s="59" t="n">
        <x:v>8808</x:v>
      </x:c>
    </x:row>
    <x:row r="11">
      <x:c r="A11" s="47" t="str">
        <x:v>EVT-000039</x:v>
      </x:c>
      <x:c r="B11" s="47" t="str">
        <x:v>RUN-TRF-116-20260828T235256192692Z</x:v>
      </x:c>
      <x:c r="C11" s="47" t="str">
        <x:v>TRF-116</x:v>
      </x:c>
      <x:c r="D11" s="91" t="n">
        <x:v>46262.99573293982</x:v>
      </x:c>
      <x:c r="E11" s="47" t="str">
        <x:v>validator</x:v>
      </x:c>
      <x:c r="F11" s="47" t="str">
        <x:v>gpt-5.6-luna-2026-07-09</x:v>
      </x:c>
      <x:c r="G11" s="47" t="n">
        <x:v>1</x:v>
      </x:c>
      <x:c r="H11" s="47" t="n">
        <x:v>200</x:v>
      </x:c>
      <x:c r="I11" s="47" t="str">
        <x:v>Ocp-Apim-Subscription-Key</x:v>
      </x:c>
      <x:c r="J11" s="92" t="n">
        <x:v>0</x:v>
      </x:c>
      <x:c r="K11" s="92" t="n">
        <x:v>11862.563</x:v>
      </x:c>
      <x:c r="L11" s="93" t="b">
        <x:v>0</x:v>
      </x:c>
      <x:c r="M11" s="47" t="str"/>
      <x:c r="N11" s="59" t="str"/>
      <x:c r="O11" s="59" t="str"/>
      <x:c r="P11" s="59" t="str"/>
    </x:row>
    <x:row r="12">
      <x:c r="A12" s="49" t="str">
        <x:v>EVT-000040</x:v>
      </x:c>
      <x:c r="B12" s="49" t="str">
        <x:v>RUN-TRF-116-20260828T235256192692Z</x:v>
      </x:c>
      <x:c r="C12" s="49" t="str">
        <x:v>TRF-116</x:v>
      </x:c>
      <x:c r="D12" s="94" t="n">
        <x:v>46262.995732951385</x:v>
      </x:c>
      <x:c r="E12" s="49" t="str">
        <x:v>validator</x:v>
      </x:c>
      <x:c r="F12" s="49" t="str">
        <x:v>gpt-5.6-luna-2026-07-09</x:v>
      </x:c>
      <x:c r="G12" s="49" t="n">
        <x:v>1</x:v>
      </x:c>
      <x:c r="H12" s="49" t="str">
        <x:v>COMPLETED</x:v>
      </x:c>
      <x:c r="I12" s="49" t="str"/>
      <x:c r="J12" s="83" t="n">
        <x:v>0</x:v>
      </x:c>
      <x:c r="K12" s="83" t="n">
        <x:v>11864.001</x:v>
      </x:c>
      <x:c r="L12" s="82" t="b">
        <x:v>0</x:v>
      </x:c>
      <x:c r="M12" s="49" t="str">
        <x:v>resp_0caf31bd9b2fc624006a921f8398848197a13a97b5610f38a4</x:v>
      </x:c>
      <x:c r="N12" s="60" t="n">
        <x:v>6259</x:v>
      </x:c>
      <x:c r="O12" s="60" t="n">
        <x:v>521</x:v>
      </x:c>
      <x:c r="P12" s="60" t="n">
        <x:v>6780</x:v>
      </x:c>
    </x:row>
  </x:sheetData>
  <x:conditionalFormatting sqref="H5:H12">
    <x:cfRule type="containsText" dxfId="30" priority="1" operator="containsText" text="ACCEPT"/>
    <x:cfRule type="containsText" dxfId="31" priority="2" operator="containsText" text="ELIGIBLE"/>
    <x:cfRule type="containsText" dxfId="32" priority="3" operator="containsText" text="PASS"/>
    <x:cfRule type="containsText" dxfId="33" priority="4" operator="containsText" text="GAP"/>
    <x:cfRule type="containsText" dxfId="34" priority="5" operator="containsText" text="FAIL"/>
    <x:cfRule type="containsText" dxfId="35" priority="6" operator="containsText" text="DEFERRED"/>
  </x:conditionalFormatting>
  <x:pageMargins left="0.7" right="0.7" top="0.75" bottom="0.75" header="0.3" footer="0.3"/>
  <x:tableParts count="1">
    <x:tablePart xmlns:r="http://schemas.openxmlformats.org/officeDocument/2006/relationships" r:id="Re2ab57d37d754d9e"/>
  </x:tableParts>
</x:worksheet>
</file>

<file path=xl/worksheets/sheet7.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38" hidden="0" customWidth="1"/>
    <x:col min="4" max="4" width="52" hidden="0" customWidth="1"/>
    <x:col min="5" max="5" width="18" hidden="0" customWidth="1"/>
    <x:col min="6" max="6" width="13" hidden="0" customWidth="1"/>
    <x:col min="7" max="7" width="46" hidden="0" customWidth="1"/>
    <x:col min="8" max="8" width="24" hidden="0" customWidth="1"/>
    <x:col min="9" max="9" width="52" hidden="0" customWidth="1"/>
    <x:col min="10" max="10" width="17" hidden="0" customWidth="1"/>
  </x:cols>
  <x:sheetData>
    <x:row r="1">
      <x:c r="A1" s="18" t="str">
        <x:v>NLTL SHACL Pipeline Run Tracker</x:v>
      </x:c>
      <x:c r="B1" s="19"/>
      <x:c r="C1" s="19"/>
      <x:c r="D1" s="19"/>
      <x:c r="E1" s="19"/>
      <x:c r="F1" s="19"/>
      <x:c r="G1" s="19"/>
      <x:c r="H1" s="19"/>
      <x:c r="I1" s="19"/>
      <x:c r="J1" s="19"/>
    </x:row>
    <x:row r="2">
      <x:c r="A2" s="20" t="str">
        <x:v>TERM_RETRIEVAL | Run folder: RUN-TRF-116-20260828T235256192692Z</x:v>
      </x:c>
      <x:c r="B2" s="20"/>
      <x:c r="C2" s="20"/>
      <x:c r="D2" s="20"/>
      <x:c r="E2" s="20"/>
      <x:c r="F2" s="20"/>
      <x:c r="G2" s="20"/>
      <x:c r="H2" s="20"/>
      <x:c r="I2" s="20"/>
      <x:c r="J2" s="20"/>
    </x:row>
    <x:row r="3">
      <x:c r="A3" s="21"/>
      <x:c r="B3" s="21"/>
      <x:c r="C3" s="21"/>
      <x:c r="D3" s="21"/>
      <x:c r="E3" s="21"/>
      <x:c r="F3" s="21"/>
      <x:c r="G3" s="21"/>
      <x:c r="H3" s="21"/>
      <x:c r="I3" s="21"/>
      <x:c r="J3" s="21"/>
    </x:row>
    <x:row r="4" ht="30" customHeight="1">
      <x:c r="A4" s="43" t="str">
        <x:v>RUN_ID</x:v>
      </x:c>
      <x:c r="B4" s="57" t="str">
        <x:v>REQUIREMENT_ID</x:v>
      </x:c>
      <x:c r="C4" s="57" t="str">
        <x:v>LOCAL_NAME</x:v>
      </x:c>
      <x:c r="D4" s="57" t="str">
        <x:v>IRI</x:v>
      </x:c>
      <x:c r="E4" s="57" t="str">
        <x:v>KIND</x:v>
      </x:c>
      <x:c r="F4" s="57" t="str">
        <x:v>DATATYPE</x:v>
      </x:c>
      <x:c r="G4" s="57" t="str">
        <x:v>RANGE</x:v>
      </x:c>
      <x:c r="H4" s="57" t="str">
        <x:v>RECOMMENDED_UNIT</x:v>
      </x:c>
      <x:c r="I4" s="57" t="str">
        <x:v>SELECTION_REASON</x:v>
      </x:c>
      <x:c r="J4" s="44" t="str">
        <x:v>ITERATION_ADDED</x:v>
      </x:c>
    </x:row>
    <x:row r="5">
      <x:c r="A5" s="45" t="str">
        <x:v>RUN-TRF-116-20260828T235256192692Z</x:v>
      </x:c>
      <x:c r="B5" s="45" t="str">
        <x:v>TRF-116</x:v>
      </x:c>
      <x:c r="C5" s="45" t="str">
        <x:v>benchmarkEntity</x:v>
      </x:c>
      <x:c r="D5" s="46" t="str">
        <x:v>https://w3id.org/nltl/vocab#benchmarkEntity</x:v>
      </x:c>
      <x:c r="E5" s="45" t="str">
        <x:v>Class</x:v>
      </x:c>
      <x:c r="F5" s="45" t="str"/>
      <x:c r="G5" s="45" t="str"/>
      <x:c r="H5" s="45" t="str"/>
      <x:c r="I5" s="46" t="str">
        <x:v>baseline target infrastructure; domain dependency of equivalentImpactSphereRadius; domain dependency of nonHemisphericalImpactArea</x:v>
      </x:c>
      <x:c r="J5" s="45" t="n">
        <x:v>0</x:v>
      </x:c>
    </x:row>
    <x:row r="6">
      <x:c r="A6" s="47" t="str">
        <x:v>RUN-TRF-116-20260828T235256192692Z</x:v>
      </x:c>
      <x:c r="B6" s="47" t="str">
        <x:v>TRF-116</x:v>
      </x:c>
      <x:c r="C6" s="47" t="str">
        <x:v>designIceThickness</x:v>
      </x:c>
      <x:c r="D6" s="48" t="str">
        <x:v>https://w3id.org/nltl/vocab#designIceThickness</x:v>
      </x:c>
      <x:c r="E6" s="47" t="str">
        <x:v>QuantityProperty</x:v>
      </x:c>
      <x:c r="F6" s="47" t="str"/>
      <x:c r="G6" s="47" t="str">
        <x:v>http://qudt.org/schema/qudt/QuantityValue</x:v>
      </x:c>
      <x:c r="H6" s="47" t="str">
        <x:v>http://qudt.org/vocab/unit/M</x:v>
      </x:c>
      <x:c r="I6" s="48" t="str">
        <x:v>linked by the locked 313-requirement index</x:v>
      </x:c>
      <x:c r="J6" s="47" t="n">
        <x:v>0</x:v>
      </x:c>
    </x:row>
    <x:row r="7">
      <x:c r="A7" s="47" t="str">
        <x:v>RUN-TRF-116-20260828T235256192692Z</x:v>
      </x:c>
      <x:c r="B7" s="47" t="str">
        <x:v>TRF-116</x:v>
      </x:c>
      <x:c r="C7" s="47" t="str">
        <x:v>equivalentImpactSphereRadius</x:v>
      </x:c>
      <x:c r="D7" s="48" t="str">
        <x:v>https://w3id.org/nltl/vocab#equivalentImpactSphereRadius</x:v>
      </x:c>
      <x:c r="E7" s="47" t="str">
        <x:v>QuantityProperty</x:v>
      </x:c>
      <x:c r="F7" s="47" t="str"/>
      <x:c r="G7" s="47" t="str">
        <x:v>http://qudt.org/schema/qudt/QuantityValue</x:v>
      </x:c>
      <x:c r="H7" s="47" t="str">
        <x:v>http://qudt.org/vocab/unit/M</x:v>
      </x:c>
      <x:c r="I7" s="48" t="str">
        <x:v>linked by the locked 313-requirement index</x:v>
      </x:c>
      <x:c r="J7" s="47" t="n">
        <x:v>0</x:v>
      </x:c>
    </x:row>
    <x:row r="8">
      <x:c r="A8" s="47" t="str">
        <x:v>RUN-TRF-116-20260828T235256192692Z</x:v>
      </x:c>
      <x:c r="B8" s="47" t="str">
        <x:v>TRF-116</x:v>
      </x:c>
      <x:c r="C8" s="47" t="str">
        <x:v>hasComponent</x:v>
      </x:c>
      <x:c r="D8" s="48" t="str">
        <x:v>https://w3id.org/nltl/vocab#hasComponent</x:v>
      </x:c>
      <x:c r="E8" s="47" t="str">
        <x:v>ObjectProperty</x:v>
      </x:c>
      <x:c r="F8" s="47" t="str"/>
      <x:c r="G8" s="47" t="str">
        <x:v>https://w3id.org/nltl/vocab#shipComponent</x:v>
      </x:c>
      <x:c r="H8" s="47" t="str"/>
      <x:c r="I8" s="48" t="str">
        <x:v>component-path dependency inferred from the linked term module</x:v>
      </x:c>
      <x:c r="J8" s="47" t="n">
        <x:v>0</x:v>
      </x:c>
    </x:row>
    <x:row r="9">
      <x:c r="A9" s="47" t="str">
        <x:v>RUN-TRF-116-20260828T235256192692Z</x:v>
      </x:c>
      <x:c r="B9" s="47" t="str">
        <x:v>TRF-116</x:v>
      </x:c>
      <x:c r="C9" s="47" t="str">
        <x:v>nonHemisphericalImpactArea</x:v>
      </x:c>
      <x:c r="D9" s="48" t="str">
        <x:v>https://w3id.org/nltl/vocab#nonHemisphericalImpactArea</x:v>
      </x:c>
      <x:c r="E9" s="47" t="str">
        <x:v>DatatypeProperty</x:v>
      </x:c>
      <x:c r="F9" s="47" t="str">
        <x:v>xsd:string</x:v>
      </x:c>
      <x:c r="G9" s="47" t="str">
        <x:v>http://www.w3.org/2001/XMLSchema#string</x:v>
      </x:c>
      <x:c r="H9" s="47" t="str"/>
      <x:c r="I9" s="48" t="str">
        <x:v>linked by the locked 313-requirement index</x:v>
      </x:c>
      <x:c r="J9" s="47" t="n">
        <x:v>0</x:v>
      </x:c>
    </x:row>
    <x:row r="10">
      <x:c r="A10" s="47" t="str">
        <x:v>RUN-TRF-116-20260828T235256192692Z</x:v>
      </x:c>
      <x:c r="B10" s="47" t="str">
        <x:v>TRF-116</x:v>
      </x:c>
      <x:c r="C10" s="47" t="str">
        <x:v>nonHemisphericalImpactContactArea</x:v>
      </x:c>
      <x:c r="D10" s="48" t="str">
        <x:v>https://w3id.org/nltl/vocab#nonHemisphericalImpactContactArea</x:v>
      </x:c>
      <x:c r="E10" s="47" t="str">
        <x:v>QuantityProperty</x:v>
      </x:c>
      <x:c r="F10" s="47" t="str"/>
      <x:c r="G10" s="47" t="str">
        <x:v>http://qudt.org/schema/qudt/QuantityValue</x:v>
      </x:c>
      <x:c r="H10" s="47" t="str">
        <x:v>http://qudt.org/vocab/unit/M2</x:v>
      </x:c>
      <x:c r="I10" s="48" t="str">
        <x:v>linked by the locked 313-requirement index</x:v>
      </x:c>
      <x:c r="J10" s="47" t="n">
        <x:v>0</x:v>
      </x:c>
    </x:row>
    <x:row r="11">
      <x:c r="A11" s="47" t="str">
        <x:v>RUN-TRF-116-20260828T235256192692Z</x:v>
      </x:c>
      <x:c r="B11" s="47" t="str">
        <x:v>TRF-116</x:v>
      </x:c>
      <x:c r="C11" s="47" t="str">
        <x:v>propellerHubOrThrusterEndCapImpact</x:v>
      </x:c>
      <x:c r="D11" s="48" t="str">
        <x:v>https://w3id.org/nltl/vocab#propellerHubOrThrusterEndCapImpact</x:v>
      </x:c>
      <x:c r="E11" s="47" t="str">
        <x:v>DatatypeProperty</x:v>
      </x:c>
      <x:c r="F11" s="47" t="str">
        <x:v>xsd:boolean</x:v>
      </x:c>
      <x:c r="G11" s="47" t="str">
        <x:v>http://www.w3.org/2001/XMLSchema#boolean</x:v>
      </x:c>
      <x:c r="H11" s="47" t="str"/>
      <x:c r="I11" s="48" t="str">
        <x:v>linked by the locked 313-requirement index</x:v>
      </x:c>
      <x:c r="J11" s="47" t="n">
        <x:v>0</x:v>
      </x:c>
    </x:row>
    <x:row r="12">
      <x:c r="A12" s="47" t="str">
        <x:v>RUN-TRF-116-20260828T235256192692Z</x:v>
      </x:c>
      <x:c r="B12" s="47" t="str">
        <x:v>TRF-116</x:v>
      </x:c>
      <x:c r="C12" s="47" t="str">
        <x:v>ship</x:v>
      </x:c>
      <x:c r="D12" s="48" t="str">
        <x:v>https://w3id.org/nltl/vocab#ship</x:v>
      </x:c>
      <x:c r="E12" s="47" t="str">
        <x:v>Class</x:v>
      </x:c>
      <x:c r="F12" s="47" t="str"/>
      <x:c r="G12" s="47" t="str"/>
      <x:c r="H12" s="47" t="str"/>
      <x:c r="I12" s="48" t="str">
        <x:v>authoritative required owner class; authoritative requirement target owner; baseline target infrastructure; domain dependency of designIceThickness; domain dependency of nonHemisphericalImpactContactArea; domain dependency of propellerHubOrThrusterEndCapImpact</x:v>
      </x:c>
      <x:c r="J12" s="47" t="n">
        <x:v>0</x:v>
      </x:c>
    </x:row>
    <x:row r="13">
      <x:c r="A13" s="49" t="str">
        <x:v>RUN-TRF-116-20260828T235256192692Z</x:v>
      </x:c>
      <x:c r="B13" s="49" t="str">
        <x:v>TRF-116</x:v>
      </x:c>
      <x:c r="C13" s="49" t="str">
        <x:v>shipComponent</x:v>
      </x:c>
      <x:c r="D13" s="50" t="str">
        <x:v>https://w3id.org/nltl/vocab#shipComponent</x:v>
      </x:c>
      <x:c r="E13" s="49" t="str">
        <x:v>Class</x:v>
      </x:c>
      <x:c r="F13" s="49" t="str"/>
      <x:c r="G13" s="49" t="str"/>
      <x:c r="H13" s="49" t="str"/>
      <x:c r="I13" s="50" t="str">
        <x:v>component-path dependency inferred from the linked term module</x:v>
      </x:c>
      <x:c r="J13" s="49" t="n">
        <x:v>0</x:v>
      </x:c>
    </x:row>
  </x:sheetData>
  <x:pageMargins left="0.7" right="0.7" top="0.75" bottom="0.75" header="0.3" footer="0.3"/>
  <x:tableParts count="1">
    <x:tablePart xmlns:r="http://schemas.openxmlformats.org/officeDocument/2006/relationships" r:id="R5ca970a358344582"/>
  </x:tableParts>
</x:worksheet>
</file>

<file path=xl/worksheets/sheet8.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24" hidden="0" customWidth="1"/>
    <x:col min="4" max="4" width="24" hidden="0" customWidth="1"/>
    <x:col min="5" max="5" width="11" hidden="0" customWidth="1"/>
    <x:col min="6" max="6" width="24" hidden="0" customWidth="1"/>
    <x:col min="7" max="7" width="24" hidden="0" customWidth="1"/>
  </x:cols>
  <x:sheetData>
    <x:row r="1">
      <x:c r="A1" s="18" t="str">
        <x:v>NLTL SHACL Pipeline Run Tracker</x:v>
      </x:c>
      <x:c r="B1" s="19"/>
      <x:c r="C1" s="19"/>
      <x:c r="D1" s="19"/>
      <x:c r="E1" s="19"/>
      <x:c r="F1" s="19"/>
      <x:c r="G1" s="19"/>
    </x:row>
    <x:row r="2">
      <x:c r="A2" s="20" t="str">
        <x:v>FEW_SHOT_SELECTION | Run folder: RUN-TRF-116-20260828T235256192692Z</x:v>
      </x:c>
      <x:c r="B2" s="20"/>
      <x:c r="C2" s="20"/>
      <x:c r="D2" s="20"/>
      <x:c r="E2" s="20"/>
      <x:c r="F2" s="20"/>
      <x:c r="G2" s="20"/>
    </x:row>
    <x:row r="3">
      <x:c r="A3" s="21"/>
      <x:c r="B3" s="21"/>
      <x:c r="C3" s="21"/>
      <x:c r="D3" s="21"/>
      <x:c r="E3" s="21"/>
      <x:c r="F3" s="21"/>
      <x:c r="G3" s="21"/>
    </x:row>
    <x:row r="4" ht="30" customHeight="1">
      <x:c r="A4" s="43" t="str">
        <x:v>RUN_ID</x:v>
      </x:c>
      <x:c r="B4" s="57" t="str">
        <x:v>REQUIREMENT_ID</x:v>
      </x:c>
      <x:c r="C4" s="57" t="str">
        <x:v>EXAMPLE_ID</x:v>
      </x:c>
      <x:c r="D4" s="57" t="str">
        <x:v>CASE_ID</x:v>
      </x:c>
      <x:c r="E4" s="57" t="str">
        <x:v>SCORE</x:v>
      </x:c>
      <x:c r="F4" s="57" t="str">
        <x:v>MATCHED_TAGS</x:v>
      </x:c>
      <x:c r="G4" s="44" t="str">
        <x:v>STATUS</x:v>
      </x:c>
    </x:row>
    <x:row r="5">
      <x:c r="A5" s="45" t="str">
        <x:v>RUN-TRF-116-20260828T235256192692Z</x:v>
      </x:c>
      <x:c r="B5" s="45" t="str">
        <x:v>TRF-116</x:v>
      </x:c>
      <x:c r="C5" s="45" t="str">
        <x:v>FS-COMPLEX-READINESS-01</x:v>
      </x:c>
      <x:c r="D5" s="45" t="str">
        <x:v>complex_readiness_external_calculation</x:v>
      </x:c>
      <x:c r="E5" s="97" t="n">
        <x:v>2.205128</x:v>
      </x:c>
      <x:c r="F5" s="45" t="str">
        <x:v>calculation | complex | engineering | evidence | external | inputs | readiness | results</x:v>
      </x:c>
      <x:c r="G5" s="45" t="str">
        <x:v>synthetic-few-shot-not-benchmark-ground-truth</x:v>
      </x:c>
    </x:row>
    <x:row r="6">
      <x:c r="A6" s="49" t="str">
        <x:v>RUN-TRF-116-20260828T235256192692Z</x:v>
      </x:c>
      <x:c r="B6" s="49" t="str">
        <x:v>TRF-116</x:v>
      </x:c>
      <x:c r="C6" s="49" t="str">
        <x:v>FS-COMPLEX-READINESS-02</x:v>
      </x:c>
      <x:c r="D6" s="49" t="str">
        <x:v>complex_readiness_with_direct_residual_check</x:v>
      </x:c>
      <x:c r="E6" s="98" t="n">
        <x:v>2.088889</x:v>
      </x:c>
      <x:c r="F6" s="49" t="str">
        <x:v>complex | engineering | evidence | readiness</x:v>
      </x:c>
      <x:c r="G6" s="49" t="str">
        <x:v>synthetic-few-shot-not-benchmark-ground-truth</x:v>
      </x:c>
    </x:row>
  </x:sheetData>
  <x:conditionalFormatting sqref="G5:G6">
    <x:cfRule type="containsText" dxfId="36" priority="1" operator="containsText" text="ACCEPT"/>
    <x:cfRule type="containsText" dxfId="37" priority="2" operator="containsText" text="ELIGIBLE"/>
    <x:cfRule type="containsText" dxfId="38" priority="3" operator="containsText" text="PASS"/>
    <x:cfRule type="containsText" dxfId="39" priority="4" operator="containsText" text="GAP"/>
    <x:cfRule type="containsText" dxfId="40" priority="5" operator="containsText" text="FAIL"/>
    <x:cfRule type="containsText" dxfId="41" priority="6" operator="containsText" text="DEFERRED"/>
  </x:conditionalFormatting>
  <x:pageMargins left="0.7" right="0.7" top="0.75" bottom="0.75" header="0.3" footer="0.3"/>
  <x:tableParts count="1">
    <x:tablePart xmlns:r="http://schemas.openxmlformats.org/officeDocument/2006/relationships" r:id="Rd1327d84cab34045"/>
  </x:tableParts>
</x:worksheet>
</file>

<file path=xl/worksheets/sheet9.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1" hidden="0" customWidth="1"/>
    <x:col min="4" max="4" width="11" hidden="0" customWidth="1"/>
    <x:col min="5" max="5" width="18" hidden="0" customWidth="1"/>
    <x:col min="6" max="6" width="14" hidden="0" customWidth="1"/>
    <x:col min="7" max="7" width="23" hidden="0" customWidth="1"/>
    <x:col min="8" max="8" width="18" hidden="0" customWidth="1"/>
    <x:col min="9" max="9" width="18" hidden="0" customWidth="1"/>
    <x:col min="10" max="10" width="21" hidden="0" customWidth="1"/>
    <x:col min="11" max="11" width="20" hidden="0" customWidth="1"/>
    <x:col min="12" max="12" width="20" hidden="0" customWidth="1"/>
    <x:col min="13" max="13" width="20" hidden="0" customWidth="1"/>
    <x:col min="14" max="14" width="52" hidden="0" customWidth="1"/>
    <x:col min="15" max="15" width="20" hidden="0" customWidth="1"/>
    <x:col min="16" max="16" width="20" hidden="0" customWidth="1"/>
    <x:col min="17" max="17" width="26" hidden="0" customWidth="1"/>
  </x:cols>
  <x:sheetData>
    <x:row r="1">
      <x:c r="A1" s="18" t="str">
        <x:v>NLTL SHACL Pipeline Run Tracker</x:v>
      </x:c>
      <x:c r="B1" s="19"/>
      <x:c r="C1" s="19"/>
      <x:c r="D1" s="19"/>
      <x:c r="E1" s="19"/>
      <x:c r="F1" s="19"/>
      <x:c r="G1" s="19"/>
      <x:c r="H1" s="19"/>
      <x:c r="I1" s="19"/>
      <x:c r="J1" s="19"/>
      <x:c r="K1" s="19"/>
      <x:c r="L1" s="19"/>
      <x:c r="M1" s="19"/>
      <x:c r="N1" s="19"/>
      <x:c r="O1" s="19"/>
      <x:c r="P1" s="19"/>
      <x:c r="Q1" s="19"/>
    </x:row>
    <x:row r="2">
      <x:c r="A2" s="20" t="str">
        <x:v>VALIDATION | Run folder: RUN-TRF-116-20260828T235256192692Z</x:v>
      </x:c>
      <x:c r="B2" s="20"/>
      <x:c r="C2" s="20"/>
      <x:c r="D2" s="20"/>
      <x:c r="E2" s="20"/>
      <x:c r="F2" s="20"/>
      <x:c r="G2" s="20"/>
      <x:c r="H2" s="20"/>
      <x:c r="I2" s="20"/>
      <x:c r="J2" s="20"/>
      <x:c r="K2" s="20"/>
      <x:c r="L2" s="20"/>
      <x:c r="M2" s="20"/>
      <x:c r="N2" s="20"/>
      <x:c r="O2" s="20"/>
      <x:c r="P2" s="20"/>
      <x:c r="Q2" s="20"/>
    </x:row>
    <x:row r="3">
      <x:c r="A3" s="21"/>
      <x:c r="B3" s="21"/>
      <x:c r="C3" s="21"/>
      <x:c r="D3" s="21"/>
      <x:c r="E3" s="21"/>
      <x:c r="F3" s="21"/>
      <x:c r="G3" s="21"/>
      <x:c r="H3" s="21"/>
      <x:c r="I3" s="21"/>
      <x:c r="J3" s="21"/>
      <x:c r="K3" s="21"/>
      <x:c r="L3" s="21"/>
      <x:c r="M3" s="21"/>
      <x:c r="N3" s="21"/>
      <x:c r="O3" s="21"/>
      <x:c r="P3" s="21"/>
      <x:c r="Q3" s="21"/>
    </x:row>
    <x:row r="4" ht="30" customHeight="1">
      <x:c r="A4" s="43" t="str">
        <x:v>RUN_ID</x:v>
      </x:c>
      <x:c r="B4" s="57" t="str">
        <x:v>REQUIREMENT_ID</x:v>
      </x:c>
      <x:c r="C4" s="57" t="str">
        <x:v>ITERATION</x:v>
      </x:c>
      <x:c r="D4" s="57" t="str">
        <x:v>VALID</x:v>
      </x:c>
      <x:c r="E4" s="57" t="str">
        <x:v>EXTRACTION_VALID</x:v>
      </x:c>
      <x:c r="F4" s="57" t="str">
        <x:v>TURTLE_VALID</x:v>
      </x:c>
      <x:c r="G4" s="57" t="str">
        <x:v>SHACL_STRUCTURE_VALID</x:v>
      </x:c>
      <x:c r="H4" s="57" t="str">
        <x:v>META_SHACL_VALID</x:v>
      </x:c>
      <x:c r="I4" s="57" t="str">
        <x:v>VOCABULARY_VALID</x:v>
      </x:c>
      <x:c r="J4" s="57" t="str">
        <x:v>DATATYPE_UNIT_VALID</x:v>
      </x:c>
      <x:c r="K4" s="57" t="str">
        <x:v>TARGET_PATH_VALID</x:v>
      </x:c>
      <x:c r="L4" s="57" t="str">
        <x:v>ERRORS</x:v>
      </x:c>
      <x:c r="M4" s="57" t="str">
        <x:v>WARNINGS</x:v>
      </x:c>
      <x:c r="N4" s="57" t="str">
        <x:v>USED_CANONICAL_IRIS</x:v>
      </x:c>
      <x:c r="O4" s="57" t="str">
        <x:v>UNKNOWN_IRIS</x:v>
      </x:c>
      <x:c r="P4" s="57" t="str">
        <x:v>OUT_OF_SCOPE_IRIS</x:v>
      </x:c>
      <x:c r="Q4" s="44" t="str">
        <x:v>SUSPICIOUS_EXTERNAL_IRIS</x:v>
      </x:c>
    </x:row>
    <x:row r="5">
      <x:c r="A5" s="45" t="str">
        <x:v>RUN-TRF-116-20260828T235256192692Z</x:v>
      </x:c>
      <x:c r="B5" s="45" t="str">
        <x:v>TRF-116</x:v>
      </x:c>
      <x:c r="C5" s="58" t="n">
        <x:v>1</x:v>
      </x:c>
      <x:c r="D5" s="80" t="b">
        <x:v>1</x:v>
      </x:c>
      <x:c r="E5" s="80" t="b">
        <x:v>1</x:v>
      </x:c>
      <x:c r="F5" s="80" t="b">
        <x:v>1</x:v>
      </x:c>
      <x:c r="G5" s="80" t="b">
        <x:v>1</x:v>
      </x:c>
      <x:c r="H5" s="80" t="b">
        <x:v>1</x:v>
      </x:c>
      <x:c r="I5" s="80" t="b">
        <x:v>1</x:v>
      </x:c>
      <x:c r="J5" s="80" t="b">
        <x:v>1</x:v>
      </x:c>
      <x:c r="K5" s="101" t="b">
        <x:v>1</x:v>
      </x:c>
      <x:c r="L5" s="46" t="str"/>
      <x:c r="M5" s="46" t="str"/>
      <x:c r="N5" s="46" t="str">
        <x:v>https://w3id.org/nltl/vocab#designIceThickness | https://w3id.org/nltl/vocab#equivalentImpactSphereRadius | https://w3id.org/nltl/vocab#nonHemisphericalImpactContactArea | https://w3id.org/nltl/vocab#propellerHubOrThrusterEndCapImpact | https://w3id.org/nltl/vocab#ship</x:v>
      </x:c>
      <x:c r="O5" s="46" t="str"/>
      <x:c r="P5" s="46" t="str"/>
      <x:c r="Q5" s="46" t="str"/>
    </x:row>
    <x:row r="6">
      <x:c r="A6" s="49" t="str">
        <x:v>RUN-TRF-116-20260828T235256192692Z</x:v>
      </x:c>
      <x:c r="B6" s="49" t="str">
        <x:v>TRF-116</x:v>
      </x:c>
      <x:c r="C6" s="60" t="n">
        <x:v>2</x:v>
      </x:c>
      <x:c r="D6" s="82" t="b">
        <x:v>1</x:v>
      </x:c>
      <x:c r="E6" s="82" t="b">
        <x:v>1</x:v>
      </x:c>
      <x:c r="F6" s="82" t="b">
        <x:v>1</x:v>
      </x:c>
      <x:c r="G6" s="82" t="b">
        <x:v>1</x:v>
      </x:c>
      <x:c r="H6" s="82" t="b">
        <x:v>1</x:v>
      </x:c>
      <x:c r="I6" s="82" t="b">
        <x:v>1</x:v>
      </x:c>
      <x:c r="J6" s="82" t="b">
        <x:v>1</x:v>
      </x:c>
      <x:c r="K6" s="102" t="b">
        <x:v>1</x:v>
      </x:c>
      <x:c r="L6" s="50" t="str"/>
      <x:c r="M6" s="50" t="str"/>
      <x:c r="N6" s="50" t="str">
        <x:v>https://w3id.org/nltl/vocab#designIceThickness | https://w3id.org/nltl/vocab#equivalentImpactSphereRadius | https://w3id.org/nltl/vocab#nonHemisphericalImpactContactArea | https://w3id.org/nltl/vocab#propellerHubOrThrusterEndCapImpact | https://w3id.org/nltl/vocab#ship</x:v>
      </x:c>
      <x:c r="O6" s="50" t="str"/>
      <x:c r="P6" s="50" t="str"/>
      <x:c r="Q6" s="50" t="str"/>
    </x:row>
  </x:sheetData>
  <x:pageMargins left="0.7" right="0.7" top="0.75" bottom="0.75" header="0.3" footer="0.3"/>
  <x:tableParts count="1">
    <x:tablePart xmlns:r="http://schemas.openxmlformats.org/officeDocument/2006/relationships" r:id="Rb03a80340ac84469"/>
  </x:tableParts>
</x:worksheet>
</file>

<file path=xl/worksheets/sheet10.xml><?xml version="1.0" encoding="utf-8"?>
<x:worksheet xmlns:x="http://schemas.openxmlformats.org/spreadsheetml/2006/main">
  <x:sheetViews>
    <x:sheetView showGridLines="0" workbookViewId="0"/>
  </x:sheetViews>
  <x:sheetFormatPr defaultRowHeight="15"/>
  <x:sheetData>
    <x:row r="1">
      <x:c r="A1" s="18" t="str">
        <x:v>NLTL SHACL Pipeline Run Tracker</x:v>
      </x:c>
      <x:c r="B1" s="19"/>
      <x:c r="C1" s="19"/>
      <x:c r="D1" s="19"/>
      <x:c r="E1" s="19"/>
      <x:c r="F1" s="19"/>
      <x:c r="G1" s="19"/>
      <x:c r="H1" s="19"/>
      <x:c r="I1" s="19"/>
      <x:c r="J1" s="19"/>
    </x:row>
    <x:row r="2">
      <x:c r="A2" s="20" t="str">
        <x:v>VOCAB_MATCHES | Run folder: RUN-TRF-116-20260828T235256192692Z</x:v>
      </x:c>
      <x:c r="B2" s="20"/>
      <x:c r="C2" s="20"/>
      <x:c r="D2" s="20"/>
      <x:c r="E2" s="20"/>
      <x:c r="F2" s="20"/>
      <x:c r="G2" s="20"/>
      <x:c r="H2" s="20"/>
      <x:c r="I2" s="20"/>
      <x:c r="J2" s="20"/>
    </x:row>
    <x:row r="3">
      <x:c r="A3" s="21"/>
      <x:c r="B3" s="21"/>
      <x:c r="C3" s="21"/>
      <x:c r="D3" s="21"/>
      <x:c r="E3" s="21"/>
      <x:c r="F3" s="21"/>
      <x:c r="G3" s="21"/>
      <x:c r="H3" s="21"/>
      <x:c r="I3" s="21"/>
      <x:c r="J3" s="21"/>
    </x:row>
    <x:row r="4" ht="30" customHeight="1">
      <x:c r="A4" s="43" t="str">
        <x:v>RUN_ID</x:v>
      </x:c>
      <x:c r="B4" s="57" t="str">
        <x:v>REQUIREMENT_ID</x:v>
      </x:c>
      <x:c r="C4" s="57" t="str">
        <x:v>ITERATION</x:v>
      </x:c>
      <x:c r="D4" s="57" t="str">
        <x:v>EVENT</x:v>
      </x:c>
      <x:c r="E4" s="57" t="str">
        <x:v>QUERY_FEEDBACK</x:v>
      </x:c>
      <x:c r="F4" s="57" t="str">
        <x:v>CANDIDATE_COUNT</x:v>
      </x:c>
      <x:c r="G4" s="57" t="str">
        <x:v>MATCH_FOUND</x:v>
      </x:c>
      <x:c r="H4" s="57" t="str">
        <x:v>CANONICAL_LOCAL_NAME</x:v>
      </x:c>
      <x:c r="I4" s="57" t="str">
        <x:v>CANONICAL_IRI</x:v>
      </x:c>
      <x:c r="J4" s="44" t="str">
        <x:v>FEEDBACK_APPENDIX</x:v>
      </x:c>
    </x:row>
    <x:row r="5">
      <x:c r="A5" s="104" t="str">
        <x:v>No records for this run.</x:v>
      </x:c>
      <x:c r="B5" s="21"/>
      <x:c r="C5" s="21"/>
      <x:c r="D5" s="21"/>
      <x:c r="E5" s="21"/>
      <x:c r="F5" s="21"/>
      <x:c r="G5" s="21"/>
      <x:c r="H5" s="21"/>
      <x:c r="I5" s="21"/>
      <x:c r="J5" s="21"/>
    </x:row>
  </x:sheetData>
  <x:pageMargins left="0.7" right="0.7" top="0.75" bottom="0.75" header="0.3" footer="0.3"/>
</x:worksheet>
</file>

<file path=xl/worksheets/sheet11.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1" hidden="0" customWidth="1"/>
    <x:col min="4" max="4" width="28" hidden="0" customWidth="1"/>
    <x:col min="5" max="5" width="52" hidden="0" customWidth="1"/>
    <x:col min="6" max="6" width="36" hidden="0" customWidth="1"/>
    <x:col min="7" max="7" width="11" hidden="0" customWidth="1"/>
  </x:cols>
  <x:sheetData>
    <x:row r="1">
      <x:c r="A1" s="18" t="str">
        <x:v>NLTL SHACL Pipeline Run Tracker</x:v>
      </x:c>
      <x:c r="B1" s="19"/>
      <x:c r="C1" s="19"/>
      <x:c r="D1" s="19"/>
      <x:c r="E1" s="19"/>
      <x:c r="F1" s="19"/>
      <x:c r="G1" s="19"/>
    </x:row>
    <x:row r="2">
      <x:c r="A2" s="20" t="str">
        <x:v>ARTIFACTS | Run folder: RUN-TRF-116-20260828T235256192692Z</x:v>
      </x:c>
      <x:c r="B2" s="20"/>
      <x:c r="C2" s="20"/>
      <x:c r="D2" s="20"/>
      <x:c r="E2" s="20"/>
      <x:c r="F2" s="20"/>
      <x:c r="G2" s="20"/>
    </x:row>
    <x:row r="3">
      <x:c r="A3" s="21"/>
      <x:c r="B3" s="21"/>
      <x:c r="C3" s="21"/>
      <x:c r="D3" s="21"/>
      <x:c r="E3" s="21"/>
      <x:c r="F3" s="21"/>
      <x:c r="G3" s="21"/>
    </x:row>
    <x:row r="4" ht="30" customHeight="1">
      <x:c r="A4" s="43" t="str">
        <x:v>RUN_ID</x:v>
      </x:c>
      <x:c r="B4" s="57" t="str">
        <x:v>REQUIREMENT_ID</x:v>
      </x:c>
      <x:c r="C4" s="57" t="str">
        <x:v>ITERATION</x:v>
      </x:c>
      <x:c r="D4" s="57" t="str">
        <x:v>ARTIFACT_TYPE</x:v>
      </x:c>
      <x:c r="E4" s="57" t="str">
        <x:v>ARTIFACT_PATH</x:v>
      </x:c>
      <x:c r="F4" s="57" t="str">
        <x:v>SHA256</x:v>
      </x:c>
      <x:c r="G4" s="44" t="str">
        <x:v>BYTES</x:v>
      </x:c>
    </x:row>
    <x:row r="5">
      <x:c r="A5" s="45" t="str">
        <x:v>RUN-TRF-116-20260828T235256192692Z</x:v>
      </x:c>
      <x:c r="B5" s="45" t="str">
        <x:v>TRF-116</x:v>
      </x:c>
      <x:c r="C5" s="58"/>
      <x:c r="D5" s="45" t="str">
        <x:v>initial_context_pack</x:v>
      </x:c>
      <x:c r="E5" s="46" t="str">
        <x:v>artifacts/context_pack_initial.json</x:v>
      </x:c>
      <x:c r="F5" s="45" t="str">
        <x:v>339e766e4230f78292fb4fb1a038fce1591a37d427352fd3f51152b9f2fb4c52</x:v>
      </x:c>
      <x:c r="G5" s="58" t="n">
        <x:v>14148</x:v>
      </x:c>
    </x:row>
    <x:row r="6">
      <x:c r="A6" s="47" t="str">
        <x:v>RUN-TRF-116-20260828T235256192692Z</x:v>
      </x:c>
      <x:c r="B6" s="47" t="str">
        <x:v>TRF-116</x:v>
      </x:c>
      <x:c r="C6" s="59"/>
      <x:c r="D6" s="47" t="str">
        <x:v>few_shot_selection</x:v>
      </x:c>
      <x:c r="E6" s="48" t="str">
        <x:v>artifacts/few_shots_selected.json</x:v>
      </x:c>
      <x:c r="F6" s="47" t="str">
        <x:v>8c9978177d4dd2c88027b5ec66e92915047423f90e4aef2f7c37257324cad7fd</x:v>
      </x:c>
      <x:c r="G6" s="59" t="n">
        <x:v>6555</x:v>
      </x:c>
    </x:row>
    <x:row r="7">
      <x:c r="A7" s="47" t="str">
        <x:v>RUN-TRF-116-20260828T235256192692Z</x:v>
      </x:c>
      <x:c r="B7" s="47" t="str">
        <x:v>TRF-116</x:v>
      </x:c>
      <x:c r="C7" s="59" t="n">
        <x:v>1</x:v>
      </x:c>
      <x:c r="D7" s="47" t="str">
        <x:v>generator_prompt</x:v>
      </x:c>
      <x:c r="E7" s="48" t="str">
        <x:v>artifacts/attempt_01/generator_prompt.txt</x:v>
      </x:c>
      <x:c r="F7" s="47" t="str">
        <x:v>921ca0d01bfe853137d8301447590b9d362144281e30f6c7e7cfe960cdc45fb6</x:v>
      </x:c>
      <x:c r="G7" s="59" t="n">
        <x:v>32347</x:v>
      </x:c>
    </x:row>
    <x:row r="8">
      <x:c r="A8" s="47" t="str">
        <x:v>RUN-TRF-116-20260828T235256192692Z</x:v>
      </x:c>
      <x:c r="B8" s="47" t="str">
        <x:v>TRF-116</x:v>
      </x:c>
      <x:c r="C8" s="59" t="n">
        <x:v>1</x:v>
      </x:c>
      <x:c r="D8" s="47" t="str">
        <x:v>generator_raw_response</x:v>
      </x:c>
      <x:c r="E8" s="48" t="str">
        <x:v>artifacts/attempt_01/generator_raw.txt</x:v>
      </x:c>
      <x:c r="F8" s="47" t="str">
        <x:v>96b90364a8c5f4ff759e67bfeda4906e373cbc2f97739a47886ddd2d67c7fb82</x:v>
      </x:c>
      <x:c r="G8" s="59" t="n">
        <x:v>2500</x:v>
      </x:c>
    </x:row>
    <x:row r="9">
      <x:c r="A9" s="47" t="str">
        <x:v>RUN-TRF-116-20260828T235256192692Z</x:v>
      </x:c>
      <x:c r="B9" s="47" t="str">
        <x:v>TRF-116</x:v>
      </x:c>
      <x:c r="C9" s="59" t="n">
        <x:v>1</x:v>
      </x:c>
      <x:c r="D9" s="47" t="str">
        <x:v>candidate_shape</x:v>
      </x:c>
      <x:c r="E9" s="48" t="str">
        <x:v>artifacts/attempt_01/candidate_shape.ttl</x:v>
      </x:c>
      <x:c r="F9" s="47" t="str">
        <x:v>2da9da70f120b1f645425cd0cca61c33c565059afb0fafcb36e85488ee019405</x:v>
      </x:c>
      <x:c r="G9" s="59" t="n">
        <x:v>2475</x:v>
      </x:c>
    </x:row>
    <x:row r="10">
      <x:c r="A10" s="47" t="str">
        <x:v>RUN-TRF-116-20260828T235256192692Z</x:v>
      </x:c>
      <x:c r="B10" s="47" t="str">
        <x:v>TRF-116</x:v>
      </x:c>
      <x:c r="C10" s="59" t="n">
        <x:v>1</x:v>
      </x:c>
      <x:c r="D10" s="47" t="str">
        <x:v>deterministic_validation</x:v>
      </x:c>
      <x:c r="E10" s="48" t="str">
        <x:v>artifacts/attempt_01/deterministic_validation.json</x:v>
      </x:c>
      <x:c r="F10" s="47" t="str">
        <x:v>c66bc3874388e7470f1f3b77517ccaa7248b50453456285382b38a0005fdca78</x:v>
      </x:c>
      <x:c r="G10" s="59" t="n">
        <x:v>686</x:v>
      </x:c>
    </x:row>
    <x:row r="11">
      <x:c r="A11" s="47" t="str">
        <x:v>RUN-TRF-116-20260828T235256192692Z</x:v>
      </x:c>
      <x:c r="B11" s="47" t="str">
        <x:v>TRF-116</x:v>
      </x:c>
      <x:c r="C11" s="59" t="n">
        <x:v>1</x:v>
      </x:c>
      <x:c r="D11" s="47" t="str">
        <x:v>validator_prompt</x:v>
      </x:c>
      <x:c r="E11" s="48" t="str">
        <x:v>artifacts/attempt_01/validator_prompt_01.txt</x:v>
      </x:c>
      <x:c r="F11" s="47" t="str">
        <x:v>fc1d0c4cdde01ec6a08c293889590a9220acd4a147f66f6f141c2f9411cb2146</x:v>
      </x:c>
      <x:c r="G11" s="59" t="n">
        <x:v>25805</x:v>
      </x:c>
    </x:row>
    <x:row r="12">
      <x:c r="A12" s="47" t="str">
        <x:v>RUN-TRF-116-20260828T235256192692Z</x:v>
      </x:c>
      <x:c r="B12" s="47" t="str">
        <x:v>TRF-116</x:v>
      </x:c>
      <x:c r="C12" s="59" t="n">
        <x:v>1</x:v>
      </x:c>
      <x:c r="D12" s="47" t="str">
        <x:v>validator_raw_response</x:v>
      </x:c>
      <x:c r="E12" s="48" t="str">
        <x:v>artifacts/attempt_01/validator_raw_01.txt</x:v>
      </x:c>
      <x:c r="F12" s="47" t="str">
        <x:v>5eb487ad0d4263f6452b0e0e00dd2b496fb63b7a123b82ac4591d4190e269ccf</x:v>
      </x:c>
      <x:c r="G12" s="59" t="n">
        <x:v>379</x:v>
      </x:c>
    </x:row>
    <x:row r="13">
      <x:c r="A13" s="47" t="str">
        <x:v>RUN-TRF-116-20260828T235256192692Z</x:v>
      </x:c>
      <x:c r="B13" s="47" t="str">
        <x:v>TRF-116</x:v>
      </x:c>
      <x:c r="C13" s="59" t="n">
        <x:v>2</x:v>
      </x:c>
      <x:c r="D13" s="47" t="str">
        <x:v>generator_prompt</x:v>
      </x:c>
      <x:c r="E13" s="48" t="str">
        <x:v>artifacts/attempt_02/generator_prompt.txt</x:v>
      </x:c>
      <x:c r="F13" s="47" t="str">
        <x:v>09125a07e789a5fbaebfcf9a94e61fbaf1e72d8c878b89beeb9e36540320ca32</x:v>
      </x:c>
      <x:c r="G13" s="59" t="n">
        <x:v>32661</x:v>
      </x:c>
    </x:row>
    <x:row r="14">
      <x:c r="A14" s="47" t="str">
        <x:v>RUN-TRF-116-20260828T235256192692Z</x:v>
      </x:c>
      <x:c r="B14" s="47" t="str">
        <x:v>TRF-116</x:v>
      </x:c>
      <x:c r="C14" s="59" t="n">
        <x:v>2</x:v>
      </x:c>
      <x:c r="D14" s="47" t="str">
        <x:v>generator_raw_response</x:v>
      </x:c>
      <x:c r="E14" s="48" t="str">
        <x:v>artifacts/attempt_02/generator_raw.txt</x:v>
      </x:c>
      <x:c r="F14" s="47" t="str">
        <x:v>b33e510b050ca96d9dc50e1b4c3af8ba55cd0f836b8c25fde429a9b6481a93de</x:v>
      </x:c>
      <x:c r="G14" s="59" t="n">
        <x:v>2543</x:v>
      </x:c>
    </x:row>
    <x:row r="15">
      <x:c r="A15" s="47" t="str">
        <x:v>RUN-TRF-116-20260828T235256192692Z</x:v>
      </x:c>
      <x:c r="B15" s="47" t="str">
        <x:v>TRF-116</x:v>
      </x:c>
      <x:c r="C15" s="59" t="n">
        <x:v>2</x:v>
      </x:c>
      <x:c r="D15" s="47" t="str">
        <x:v>candidate_shape</x:v>
      </x:c>
      <x:c r="E15" s="48" t="str">
        <x:v>artifacts/attempt_02/candidate_shape.ttl</x:v>
      </x:c>
      <x:c r="F15" s="47" t="str">
        <x:v>3f776c1fd68027c2ecc8f5fe8b908ecbe3a8d9662f22850332a4208633105567</x:v>
      </x:c>
      <x:c r="G15" s="59" t="n">
        <x:v>2518</x:v>
      </x:c>
    </x:row>
    <x:row r="16">
      <x:c r="A16" s="47" t="str">
        <x:v>RUN-TRF-116-20260828T235256192692Z</x:v>
      </x:c>
      <x:c r="B16" s="47" t="str">
        <x:v>TRF-116</x:v>
      </x:c>
      <x:c r="C16" s="59" t="n">
        <x:v>2</x:v>
      </x:c>
      <x:c r="D16" s="47" t="str">
        <x:v>deterministic_validation</x:v>
      </x:c>
      <x:c r="E16" s="48" t="str">
        <x:v>artifacts/attempt_02/deterministic_validation.json</x:v>
      </x:c>
      <x:c r="F16" s="47" t="str">
        <x:v>c66bc3874388e7470f1f3b77517ccaa7248b50453456285382b38a0005fdca78</x:v>
      </x:c>
      <x:c r="G16" s="59" t="n">
        <x:v>686</x:v>
      </x:c>
    </x:row>
    <x:row r="17">
      <x:c r="A17" s="47" t="str">
        <x:v>RUN-TRF-116-20260828T235256192692Z</x:v>
      </x:c>
      <x:c r="B17" s="47" t="str">
        <x:v>TRF-116</x:v>
      </x:c>
      <x:c r="C17" s="59" t="n">
        <x:v>2</x:v>
      </x:c>
      <x:c r="D17" s="47" t="str">
        <x:v>validator_prompt</x:v>
      </x:c>
      <x:c r="E17" s="48" t="str">
        <x:v>artifacts/attempt_02/validator_prompt_01.txt</x:v>
      </x:c>
      <x:c r="F17" s="47" t="str">
        <x:v>66d1f7bb8dd900d8e293c8b9e162244b821b634a670426a8bc39fa3d0890087e</x:v>
      </x:c>
      <x:c r="G17" s="59" t="n">
        <x:v>26172</x:v>
      </x:c>
    </x:row>
    <x:row r="18">
      <x:c r="A18" s="47" t="str">
        <x:v>RUN-TRF-116-20260828T235256192692Z</x:v>
      </x:c>
      <x:c r="B18" s="47" t="str">
        <x:v>TRF-116</x:v>
      </x:c>
      <x:c r="C18" s="59" t="n">
        <x:v>2</x:v>
      </x:c>
      <x:c r="D18" s="47" t="str">
        <x:v>validator_raw_response</x:v>
      </x:c>
      <x:c r="E18" s="48" t="str">
        <x:v>artifacts/attempt_02/validator_raw_01.txt</x:v>
      </x:c>
      <x:c r="F18" s="47" t="str">
        <x:v>49a1af8962c0e6c2bf5d6e9700e8af075aae0c6bea4b8de3d9739cbd3277090d</x:v>
      </x:c>
      <x:c r="G18" s="59" t="n">
        <x:v>523</x:v>
      </x:c>
    </x:row>
    <x:row r="19">
      <x:c r="A19" s="49" t="str">
        <x:v>RUN-TRF-116-20260828T235256192692Z</x:v>
      </x:c>
      <x:c r="B19" s="49" t="str">
        <x:v>TRF-116</x:v>
      </x:c>
      <x:c r="C19" s="60" t="n">
        <x:v>2</x:v>
      </x:c>
      <x:c r="D19" s="49" t="str">
        <x:v>final_accepted_shape</x:v>
      </x:c>
      <x:c r="E19" s="50" t="str">
        <x:v>final/final_shape.ttl</x:v>
      </x:c>
      <x:c r="F19" s="49" t="str">
        <x:v>3f776c1fd68027c2ecc8f5fe8b908ecbe3a8d9662f22850332a4208633105567</x:v>
      </x:c>
      <x:c r="G19" s="60" t="n">
        <x:v>2518</x:v>
      </x:c>
    </x:row>
  </x:sheetData>
  <x:pageMargins left="0.7" right="0.7" top="0.75" bottom="0.75" header="0.3" footer="0.3"/>
  <x:tableParts count="1">
    <x:tablePart xmlns:r="http://schemas.openxmlformats.org/officeDocument/2006/relationships" r:id="R3b336bcd86bf4364"/>
  </x:tableParts>
</x:worksheet>
</file>

<file path=xl/worksheets/sheet12.xml><?xml version="1.0" encoding="utf-8"?>
<x:worksheet xmlns:x="http://schemas.openxmlformats.org/spreadsheetml/2006/main">
  <x:sheetViews>
    <x:sheetView showGridLines="0" workbookViewId="0"/>
  </x:sheetViews>
  <x:sheetFormatPr defaultRowHeight="15"/>
  <x:sheetData>
    <x:row r="1">
      <x:c r="A1" s="18" t="str">
        <x:v>NLTL SHACL Pipeline Run Tracker</x:v>
      </x:c>
      <x:c r="B1" s="19"/>
      <x:c r="C1" s="19"/>
      <x:c r="D1" s="19"/>
      <x:c r="E1" s="19"/>
      <x:c r="F1" s="19"/>
    </x:row>
    <x:row r="2">
      <x:c r="A2" s="20" t="str">
        <x:v>UNRESOLVED | Run folder: RUN-TRF-116-20260828T235256192692Z</x:v>
      </x:c>
      <x:c r="B2" s="20"/>
      <x:c r="C2" s="20"/>
      <x:c r="D2" s="20"/>
      <x:c r="E2" s="20"/>
      <x:c r="F2" s="20"/>
    </x:row>
    <x:row r="3">
      <x:c r="A3" s="21"/>
      <x:c r="B3" s="21"/>
      <x:c r="C3" s="21"/>
      <x:c r="D3" s="21"/>
      <x:c r="E3" s="21"/>
      <x:c r="F3" s="21"/>
    </x:row>
    <x:row r="4" ht="30" customHeight="1">
      <x:c r="A4" s="43" t="str">
        <x:v>RUN_ID</x:v>
      </x:c>
      <x:c r="B4" s="57" t="str">
        <x:v>REQUIREMENT_ID</x:v>
      </x:c>
      <x:c r="C4" s="57" t="str">
        <x:v>ITERATION</x:v>
      </x:c>
      <x:c r="D4" s="57" t="str">
        <x:v>ISSUE_TYPE</x:v>
      </x:c>
      <x:c r="E4" s="57" t="str">
        <x:v>DETAIL</x:v>
      </x:c>
      <x:c r="F4" s="44" t="str">
        <x:v>STATUS</x:v>
      </x:c>
    </x:row>
    <x:row r="5">
      <x:c r="A5" s="104" t="str">
        <x:v>No records for this run.</x:v>
      </x:c>
      <x:c r="B5" s="21"/>
      <x:c r="C5" s="21"/>
      <x:c r="D5" s="21"/>
      <x:c r="E5" s="21"/>
      <x:c r="F5" s="21"/>
    </x:row>
  </x:sheetData>
  <x:pageMargins left="0.7" right="0.7" top="0.75" bottom="0.75" header="0.3" footer="0.3"/>
</x:worksheet>
</file>

<file path=xl/worksheets/sheet13.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23" hidden="0" customWidth="1"/>
    <x:col min="4" max="4" width="21" hidden="0" customWidth="1"/>
    <x:col min="5" max="5" width="23" hidden="0" customWidth="1"/>
    <x:col min="6" max="6" width="49" hidden="0" customWidth="1"/>
  </x:cols>
  <x:sheetData>
    <x:row r="1">
      <x:c r="A1" s="18" t="str">
        <x:v>NLTL SHACL Pipeline Run Tracker</x:v>
      </x:c>
      <x:c r="B1" s="19"/>
      <x:c r="C1" s="19"/>
      <x:c r="D1" s="19"/>
      <x:c r="E1" s="19"/>
      <x:c r="F1" s="19"/>
    </x:row>
    <x:row r="2">
      <x:c r="A2" s="20" t="str">
        <x:v>RDF_TEST_QUEUE | Run folder: RUN-TRF-116-20260828T235256192692Z</x:v>
      </x:c>
      <x:c r="B2" s="20"/>
      <x:c r="C2" s="20"/>
      <x:c r="D2" s="20"/>
      <x:c r="E2" s="20"/>
      <x:c r="F2" s="20"/>
    </x:row>
    <x:row r="3">
      <x:c r="A3" s="21"/>
      <x:c r="B3" s="21"/>
      <x:c r="C3" s="21"/>
      <x:c r="D3" s="21"/>
      <x:c r="E3" s="21"/>
      <x:c r="F3" s="21"/>
    </x:row>
    <x:row r="4" ht="30" customHeight="1">
      <x:c r="A4" s="43" t="str">
        <x:v>RUN_ID</x:v>
      </x:c>
      <x:c r="B4" s="57" t="str">
        <x:v>REQUIREMENT_ID</x:v>
      </x:c>
      <x:c r="C4" s="57" t="str">
        <x:v>FINAL_SHAPE</x:v>
      </x:c>
      <x:c r="D4" s="57" t="str">
        <x:v>GENERATION_STATUS</x:v>
      </x:c>
      <x:c r="E4" s="57" t="str">
        <x:v>RDF_EVALUATION_STATUS</x:v>
      </x:c>
      <x:c r="F4" s="44" t="str">
        <x:v>NOTES</x:v>
      </x:c>
    </x:row>
    <x:row r="5">
      <x:c r="A5" s="69" t="str">
        <x:v>RUN-TRF-116-20260828T235256192692Z</x:v>
      </x:c>
      <x:c r="B5" s="69" t="str">
        <x:v>TRF-116</x:v>
      </x:c>
      <x:c r="C5" s="69" t="str">
        <x:v>final/final_shape.ttl</x:v>
      </x:c>
      <x:c r="D5" s="69" t="str">
        <x:v>GENERATION_ACCEPTED</x:v>
      </x:c>
      <x:c r="E5" s="69" t="str">
        <x:v>NOT_RUN</x:v>
      </x:c>
      <x:c r="F5" s="73" t="str">
        <x:v>Run later with the separate bulk RDF evaluator.</x:v>
      </x:c>
    </x:row>
  </x:sheetData>
  <x:conditionalFormatting sqref="D5:D5">
    <x:cfRule type="containsText" dxfId="42" priority="1" operator="containsText" text="ACCEPT"/>
    <x:cfRule type="containsText" dxfId="43" priority="2" operator="containsText" text="ELIGIBLE"/>
    <x:cfRule type="containsText" dxfId="44" priority="3" operator="containsText" text="PASS"/>
    <x:cfRule type="containsText" dxfId="45" priority="4" operator="containsText" text="GAP"/>
    <x:cfRule type="containsText" dxfId="46" priority="5" operator="containsText" text="FAIL"/>
    <x:cfRule type="containsText" dxfId="47" priority="6" operator="containsText" text="DEFERRED"/>
  </x:conditionalFormatting>
  <x:conditionalFormatting sqref="E5:E5">
    <x:cfRule type="containsText" dxfId="48" priority="7" operator="containsText" text="ACCEPT"/>
    <x:cfRule type="containsText" dxfId="49" priority="8" operator="containsText" text="ELIGIBLE"/>
    <x:cfRule type="containsText" dxfId="50" priority="9" operator="containsText" text="PASS"/>
    <x:cfRule type="containsText" dxfId="51" priority="10" operator="containsText" text="GAP"/>
    <x:cfRule type="containsText" dxfId="52" priority="11" operator="containsText" text="FAIL"/>
    <x:cfRule type="containsText" dxfId="53" priority="12" operator="containsText" text="DEFERRED"/>
  </x:conditionalFormatting>
  <x:pageMargins left="0.7" right="0.7" top="0.75" bottom="0.75" header="0.3" footer="0.3"/>
  <x:tableParts count="1">
    <x:tablePart xmlns:r="http://schemas.openxmlformats.org/officeDocument/2006/relationships" r:id="Ra98284b47230495d"/>
  </x:tableParts>
</x:worksheet>
</file>