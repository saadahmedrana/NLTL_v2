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6ac859f9e46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3b669a14f24679"/>
    <x:sheet xmlns:r="http://schemas.openxmlformats.org/officeDocument/2006/relationships" name="README" sheetId="2" r:id="R64aed10a29eb493f"/>
    <x:sheet xmlns:r="http://schemas.openxmlformats.org/officeDocument/2006/relationships" name="REGULATION_QUEUE" sheetId="3" r:id="R5c2fbb92772647d7"/>
    <x:sheet xmlns:r="http://schemas.openxmlformats.org/officeDocument/2006/relationships" name="RUNS" sheetId="4" r:id="R3ac1796b9e4047a8"/>
    <x:sheet xmlns:r="http://schemas.openxmlformats.org/officeDocument/2006/relationships" name="ITERATIONS" sheetId="5" r:id="R535ec108f3d5469d"/>
    <x:sheet xmlns:r="http://schemas.openxmlformats.org/officeDocument/2006/relationships" name="API_CALLS" sheetId="6" r:id="R59721aee38b045ce"/>
    <x:sheet xmlns:r="http://schemas.openxmlformats.org/officeDocument/2006/relationships" name="TERM_RETRIEVAL" sheetId="7" r:id="R8cb93a2a81a549cb"/>
    <x:sheet xmlns:r="http://schemas.openxmlformats.org/officeDocument/2006/relationships" name="FEW_SHOT_SELECTION" sheetId="8" r:id="Rd4d5fe686edc422a"/>
    <x:sheet xmlns:r="http://schemas.openxmlformats.org/officeDocument/2006/relationships" name="VALIDATION" sheetId="9" r:id="Rb368151d552743d8"/>
    <x:sheet xmlns:r="http://schemas.openxmlformats.org/officeDocument/2006/relationships" name="VOCAB_MATCHES" sheetId="10" r:id="R9c8b42e6a75e40be"/>
    <x:sheet xmlns:r="http://schemas.openxmlformats.org/officeDocument/2006/relationships" name="ARTIFACTS" sheetId="11" r:id="R4c36ac7222f747b7"/>
    <x:sheet xmlns:r="http://schemas.openxmlformats.org/officeDocument/2006/relationships" name="UNRESOLVED" sheetId="12" r:id="R9c24b437ec494b58"/>
    <x:sheet xmlns:r="http://schemas.openxmlformats.org/officeDocument/2006/relationships" name="RDF_TEST_QUEUE" sheetId="13" r:id="R21d2c72ffa25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b547da9d54188" /><Relationship Type="http://schemas.openxmlformats.org/officeDocument/2006/relationships/theme" Target="/xl/theme/theme1.xml" Id="R630c4f51dc914ad4" /><Relationship Type="http://schemas.microsoft.com/office/2022/11/relationships/FeaturePropertyBag" Target="/xl/featurePropertyBag/featurePropertyBag.xml" Id="R524fbb39c52f46c8" /><Relationship Type="http://schemas.openxmlformats.org/officeDocument/2006/relationships/sharedStrings" Target="/xl/sharedStrings.xml" Id="Rc5c942e43b1a41d9" /><Relationship Type="http://schemas.openxmlformats.org/officeDocument/2006/relationships/worksheet" Target="/xl/worksheets/sheet1.xml" Id="R313b669a14f24679" /><Relationship Type="http://schemas.openxmlformats.org/officeDocument/2006/relationships/worksheet" Target="/xl/worksheets/sheet2.xml" Id="R64aed10a29eb493f" /><Relationship Type="http://schemas.openxmlformats.org/officeDocument/2006/relationships/worksheet" Target="/xl/worksheets/sheet3.xml" Id="R5c2fbb92772647d7" /><Relationship Type="http://schemas.openxmlformats.org/officeDocument/2006/relationships/worksheet" Target="/xl/worksheets/sheet4.xml" Id="R3ac1796b9e4047a8" /><Relationship Type="http://schemas.openxmlformats.org/officeDocument/2006/relationships/worksheet" Target="/xl/worksheets/sheet5.xml" Id="R535ec108f3d5469d" /><Relationship Type="http://schemas.openxmlformats.org/officeDocument/2006/relationships/worksheet" Target="/xl/worksheets/sheet6.xml" Id="R59721aee38b045ce" /><Relationship Type="http://schemas.openxmlformats.org/officeDocument/2006/relationships/worksheet" Target="/xl/worksheets/sheet7.xml" Id="R8cb93a2a81a549cb" /><Relationship Type="http://schemas.openxmlformats.org/officeDocument/2006/relationships/worksheet" Target="/xl/worksheets/sheet8.xml" Id="Rd4d5fe686edc422a" /><Relationship Type="http://schemas.openxmlformats.org/officeDocument/2006/relationships/worksheet" Target="/xl/worksheets/sheet9.xml" Id="Rb368151d552743d8" /><Relationship Type="http://schemas.openxmlformats.org/officeDocument/2006/relationships/worksheet" Target="/xl/worksheets/sheet10.xml" Id="R9c8b42e6a75e40be" /><Relationship Type="http://schemas.openxmlformats.org/officeDocument/2006/relationships/worksheet" Target="/xl/worksheets/sheet11.xml" Id="R4c36ac7222f747b7" /><Relationship Type="http://schemas.openxmlformats.org/officeDocument/2006/relationships/worksheet" Target="/xl/worksheets/sheet12.xml" Id="R9c24b437ec494b58" /><Relationship Type="http://schemas.openxmlformats.org/officeDocument/2006/relationships/worksheet" Target="/xl/worksheets/sheet13.xml" Id="R21d2c72ffa254b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4b95baa3ba46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855063fda24a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da1f4d343942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b19f02327b4d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66f7463ee044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3921f4afea4c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e8be1394eb4c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3deee4da7c4d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bd72a8d461b41f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2ba9afe8e7d4f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RUN-I2-029-20260829T070833732127Z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15569.219500000001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RUN-I2-029-20260829T070833732127Z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4b95baa3ba46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RUN-I2-029-20260829T070833732127Z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GENERATION_ACCEPTED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855063fda24a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RUN-I2-029-20260829T070833732127Z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RUN-I2-029-20260829T070833732127Z</x:v>
      </x:c>
      <x:c r="C5" s="69" t="str">
        <x:v>I2-029</x:v>
      </x:c>
      <x:c r="D5" s="70" t="n">
        <x:v>46263.297612650465</x:v>
      </x:c>
      <x:c r="E5" s="70" t="n">
        <x:v>46263.29851644676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dependency contract: it targets ship, follows the ship-to-calculationCase and calculationCase-to-structuralMember paths, enforces the two required true values, explicitly represents flange inclusion, and conditionally requires a linked structural member with flangeFitted true. Deterministic validation is valid and no vocabulary, datatype, unit, ownership, or SHACL issues remain.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da1f4d343942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RUN-I2-029-20260829T070833732127Z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RUN-I2-029-20260829T070833732127Z</x:v>
      </x:c>
      <x:c r="B5" s="45" t="str">
        <x:v>I2-029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Make the flange condition genuinely conditional at the calculationCase node level: require explicit flangeMaterialIncludedInShearArea, and only when it is true require sectionCalculationCaseStructuralMember with flangeFitted true. Remove the unconditional minCount 1 constraint on sectionCalculationCaseStructuralMember, and do not place sh:property constraints on the boolean value node inside the current property-level sh:or, because that does not express the intended calculationCase-to-structuralMember relationship.</x:v>
      </x:c>
      <x:c r="I5" s="81" t="n">
        <x:v>27293.053</x:v>
      </x:c>
      <x:c r="J5" s="81" t="n">
        <x:v>6549.564</x:v>
      </x:c>
    </x:row>
    <x:row r="6">
      <x:c r="A6" s="49" t="str">
        <x:v>RUN-I2-029-20260829T070833732127Z</x:v>
      </x:c>
      <x:c r="B6" s="49" t="str">
        <x:v>I2-029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complete DIRECT_STATIC dependency contract: it targets ship, follows the ship-to-calculationCase and calculationCase-to-structuralMember paths, enforces the two required true values, explicitly represents flange inclusion, and conditionally requires a linked structural member with flangeFitted true. Deterministic validation is valid and no vocabulary, datatype, unit, ownership, or SHACL issues remain.</x:v>
      </x:c>
      <x:c r="I6" s="83" t="n">
        <x:v>20371.233</x:v>
      </x:c>
      <x:c r="J6" s="83" t="n">
        <x:v>4800.934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b19f02327b4d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RUN-I2-029-20260829T070833732127Z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RUN-I2-029-20260829T070833732127Z</x:v>
      </x:c>
      <x:c r="C5" s="45" t="str">
        <x:v>I2-029</x:v>
      </x:c>
      <x:c r="D5" s="90" t="n">
        <x:v>46263.297928541666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27291.162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RUN-I2-029-20260829T070833732127Z</x:v>
      </x:c>
      <x:c r="C6" s="47" t="str">
        <x:v>I2-029</x:v>
      </x:c>
      <x:c r="D6" s="91" t="n">
        <x:v>46263.29792856482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27293.053</x:v>
      </x:c>
      <x:c r="L6" s="93" t="b">
        <x:v>0</x:v>
      </x:c>
      <x:c r="M6" s="47" t="str">
        <x:v>resp_099ae5a5e105af76006a928571d99c81909707a5731999542c</x:v>
      </x:c>
      <x:c r="N6" s="59" t="n">
        <x:v>8390</x:v>
      </x:c>
      <x:c r="O6" s="59" t="n">
        <x:v>2163</x:v>
      </x:c>
      <x:c r="P6" s="59" t="n">
        <x:v>10553</x:v>
      </x:c>
    </x:row>
    <x:row r="7">
      <x:c r="A7" s="47" t="str">
        <x:v>EVT-000028</x:v>
      </x:c>
      <x:c r="B7" s="47" t="str">
        <x:v>RUN-I2-029-20260829T070833732127Z</x:v>
      </x:c>
      <x:c r="C7" s="47" t="str">
        <x:v>I2-029</x:v>
      </x:c>
      <x:c r="D7" s="91" t="n">
        <x:v>46263.298146608795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18833.59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RUN-I2-029-20260829T070833732127Z</x:v>
      </x:c>
      <x:c r="C8" s="47" t="str">
        <x:v>I2-029</x:v>
      </x:c>
      <x:c r="D8" s="91" t="n">
        <x:v>46263.29814662037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18834.76</x:v>
      </x:c>
      <x:c r="L8" s="93" t="b">
        <x:v>0</x:v>
      </x:c>
      <x:c r="M8" s="47" t="str">
        <x:v>resp_051d98cee9fb0e45006a92858d23ac8196824bb3618a212caf</x:v>
      </x:c>
      <x:c r="N8" s="59" t="n">
        <x:v>1041</x:v>
      </x:c>
      <x:c r="O8" s="59" t="n">
        <x:v>1813</x:v>
      </x:c>
      <x:c r="P8" s="59" t="n">
        <x:v>2854</x:v>
      </x:c>
    </x:row>
    <x:row r="9">
      <x:c r="A9" s="47" t="str">
        <x:v>EVT-000037</x:v>
      </x:c>
      <x:c r="B9" s="47" t="str">
        <x:v>RUN-I2-029-20260829T070833732127Z</x:v>
      </x:c>
      <x:c r="C9" s="47" t="str">
        <x:v>I2-029</x:v>
      </x:c>
      <x:c r="D9" s="91" t="n">
        <x:v>46263.29822363426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6547.816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RUN-I2-029-20260829T070833732127Z</x:v>
      </x:c>
      <x:c r="C10" s="47" t="str">
        <x:v>I2-029</x:v>
      </x:c>
      <x:c r="D10" s="91" t="n">
        <x:v>46263.298223645834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6549.564</x:v>
      </x:c>
      <x:c r="L10" s="93" t="b">
        <x:v>0</x:v>
      </x:c>
      <x:c r="M10" s="47" t="str">
        <x:v>resp_051645c15678f82c006a9285a01bf88195b44343fcda49697a</x:v>
      </x:c>
      <x:c r="N10" s="59" t="n">
        <x:v>8280</x:v>
      </x:c>
      <x:c r="O10" s="59" t="n">
        <x:v>437</x:v>
      </x:c>
      <x:c r="P10" s="59" t="n">
        <x:v>8717</x:v>
      </x:c>
    </x:row>
    <x:row r="11">
      <x:c r="A11" s="47" t="str">
        <x:v>EVT-000043</x:v>
      </x:c>
      <x:c r="B11" s="47" t="str">
        <x:v>RUN-I2-029-20260829T070833732127Z</x:v>
      </x:c>
      <x:c r="C11" s="47" t="str">
        <x:v>I2-029</x:v>
      </x:c>
      <x:c r="D11" s="91" t="n">
        <x:v>46263.298459502315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20370.137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RUN-I2-029-20260829T070833732127Z</x:v>
      </x:c>
      <x:c r="C12" s="47" t="str">
        <x:v>I2-029</x:v>
      </x:c>
      <x:c r="D12" s="91" t="n">
        <x:v>46263.29845951389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20371.233</x:v>
      </x:c>
      <x:c r="L12" s="93" t="b">
        <x:v>0</x:v>
      </x:c>
      <x:c r="M12" s="47" t="str">
        <x:v>resp_07d18ff60de2f529006a9285a6a3bc8194a86061709dfe0ee3</x:v>
      </x:c>
      <x:c r="N12" s="59" t="n">
        <x:v>8484</x:v>
      </x:c>
      <x:c r="O12" s="59" t="n">
        <x:v>1693</x:v>
      </x:c>
      <x:c r="P12" s="59" t="n">
        <x:v>10177</x:v>
      </x:c>
    </x:row>
    <x:row r="13">
      <x:c r="A13" s="47" t="str">
        <x:v>EVT-000051</x:v>
      </x:c>
      <x:c r="B13" s="47" t="str">
        <x:v>RUN-I2-029-20260829T070833732127Z</x:v>
      </x:c>
      <x:c r="C13" s="47" t="str">
        <x:v>I2-029</x:v>
      </x:c>
      <x:c r="D13" s="91" t="n">
        <x:v>46263.29851638889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4799.946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EVT-000052</x:v>
      </x:c>
      <x:c r="B14" s="49" t="str">
        <x:v>RUN-I2-029-20260829T070833732127Z</x:v>
      </x:c>
      <x:c r="C14" s="49" t="str">
        <x:v>I2-029</x:v>
      </x:c>
      <x:c r="D14" s="94" t="n">
        <x:v>46263.298516400464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4800.934</x:v>
      </x:c>
      <x:c r="L14" s="82" t="b">
        <x:v>0</x:v>
      </x:c>
      <x:c r="M14" s="49" t="str">
        <x:v>resp_0e6a61fc8e76aeaa006a9285bb241081969db327b2fbe5072b</x:v>
      </x:c>
      <x:c r="N14" s="60" t="n">
        <x:v>8212</x:v>
      </x:c>
      <x:c r="O14" s="60" t="n">
        <x:v>331</x:v>
      </x:c>
      <x:c r="P14" s="60" t="n">
        <x:v>8543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66f7463ee044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RUN-I2-029-20260829T070833732127Z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RUN-I2-029-20260829T070833732127Z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RUN-I2-029-20260829T070833732127Z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RUN-I2-029-20260829T070833732127Z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RUN-I2-029-20260829T070833732127Z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RUN-I2-029-20260829T070833732127Z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RUN-I2-029-20260829T070833732127Z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RUN-I2-029-20260829T070833732127Z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RUN-I2-029-20260829T070833732127Z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RUN-I2-029-20260829T070833732127Z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RUN-I2-029-20260829T070833732127Z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RUN-I2-029-20260829T070833732127Z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RUN-I2-029-20260829T070833732127Z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RUN-I2-029-20260829T070833732127Z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RUN-I2-029-20260829T070833732127Z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3921f4afea4c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RUN-I2-029-20260829T070833732127Z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RUN-I2-029-20260829T070833732127Z</x:v>
      </x:c>
      <x:c r="B5" s="45" t="str">
        <x:v>I2-029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RUN-I2-029-20260829T070833732127Z</x:v>
      </x:c>
      <x:c r="B6" s="49" t="str">
        <x:v>I2-029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e8be1394eb4c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RUN-I2-029-20260829T070833732127Z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RUN-I2-029-20260829T070833732127Z</x:v>
      </x:c>
      <x:c r="B5" s="45" t="str">
        <x:v>I2-029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46" t="str"/>
      <x:c r="P5" s="46" t="str"/>
      <x:c r="Q5" s="46" t="str"/>
    </x:row>
    <x:row r="6">
      <x:c r="A6" s="49" t="str">
        <x:v>RUN-I2-029-20260829T070833732127Z</x:v>
      </x:c>
      <x:c r="B6" s="49" t="str">
        <x:v>I2-029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https://w3id.org/nltl/vocab#attachedShellPlatingExcludedFromShearArea | https://w3id.org/nltl/vocab#attachedShellPlatingIncludedInSectionModulus | https://w3id.org/nltl/vocab#flangeFitted | https://w3id.org/nltl/vocab#flangeMaterialIncludedInShearArea | https://w3id.org/nltl/vocab#hasCalculationCase | https://w3id.org/nltl/vocab#sectionCalculationCaseStructuralMember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e3deee4da7c4d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RUN-I2-029-20260829T070833732127Z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RUN-I2-029-20260829T070833732127Z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RUN-I2-029-20260829T070833732127Z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RUN-I2-029-20260829T070833732127Z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RUN-I2-029-20260829T070833732127Z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RUN-I2-029-20260829T070833732127Z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11f513ea97f1473bf20196c7162c88a763115ae63b651f73c59da9d7f55d6a3f</x:v>
      </x:c>
      <x:c r="G8" s="59" t="n">
        <x:v>2409</x:v>
      </x:c>
    </x:row>
    <x:row r="9">
      <x:c r="A9" s="47" t="str">
        <x:v>RUN-I2-029-20260829T070833732127Z</x:v>
      </x:c>
      <x:c r="B9" s="47" t="str">
        <x:v>I2-029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730d24b892031e3a393c7e0c23fd40fca170f1e05cbac898d57bf0115c732713</x:v>
      </x:c>
      <x:c r="G9" s="59" t="n">
        <x:v>3693</x:v>
      </x:c>
    </x:row>
    <x:row r="10">
      <x:c r="A10" s="47" t="str">
        <x:v>RUN-I2-029-20260829T070833732127Z</x:v>
      </x:c>
      <x:c r="B10" s="47" t="str">
        <x:v>I2-029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abb4fe52987b082d11c405d6405d149e0f70d95658d6017e9ce0041b33610328</x:v>
      </x:c>
      <x:c r="G10" s="59" t="n">
        <x:v>2411</x:v>
      </x:c>
    </x:row>
    <x:row r="11">
      <x:c r="A11" s="47" t="str">
        <x:v>RUN-I2-029-20260829T070833732127Z</x:v>
      </x:c>
      <x:c r="B11" s="47" t="str">
        <x:v>I2-029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ca1a0a73f69d0ca7803a56ab26906232b61f49ceda190c1975f56300e8abdd8a</x:v>
      </x:c>
      <x:c r="G11" s="59" t="n">
        <x:v>2386</x:v>
      </x:c>
    </x:row>
    <x:row r="12">
      <x:c r="A12" s="47" t="str">
        <x:v>RUN-I2-029-20260829T070833732127Z</x:v>
      </x:c>
      <x:c r="B12" s="47" t="str">
        <x:v>I2-029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f692973e4da0e50cf3c54304986d16eea75ce78bbe3fd6f64a74d37fa536f4df</x:v>
      </x:c>
      <x:c r="G12" s="59" t="n">
        <x:v>934</x:v>
      </x:c>
    </x:row>
    <x:row r="13">
      <x:c r="A13" s="47" t="str">
        <x:v>RUN-I2-029-20260829T070833732127Z</x:v>
      </x:c>
      <x:c r="B13" s="47" t="str">
        <x:v>I2-029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9c06fe362fdc6ec2cbaffdb79a247f0073845e39c275594205e067254971145a</x:v>
      </x:c>
      <x:c r="G13" s="59" t="n">
        <x:v>34509</x:v>
      </x:c>
    </x:row>
    <x:row r="14">
      <x:c r="A14" s="47" t="str">
        <x:v>RUN-I2-029-20260829T070833732127Z</x:v>
      </x:c>
      <x:c r="B14" s="47" t="str">
        <x:v>I2-029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f622137928aaeb4e2975c64941389e6b1c38e2f310b8193883f68e86193026df</x:v>
      </x:c>
      <x:c r="G14" s="59" t="n">
        <x:v>585</x:v>
      </x:c>
    </x:row>
    <x:row r="15">
      <x:c r="A15" s="47" t="str">
        <x:v>RUN-I2-029-20260829T070833732127Z</x:v>
      </x:c>
      <x:c r="B15" s="47" t="str">
        <x:v>I2-029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b6883920e01106448c0719efe8fc40496880c13cca7dc8a9ca3e725a137c4928</x:v>
      </x:c>
      <x:c r="G15" s="59" t="n">
        <x:v>36405</x:v>
      </x:c>
    </x:row>
    <x:row r="16">
      <x:c r="A16" s="47" t="str">
        <x:v>RUN-I2-029-20260829T070833732127Z</x:v>
      </x:c>
      <x:c r="B16" s="47" t="str">
        <x:v>I2-029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ba3c8d079b1b4a28e6c1e41255b9cc8040da0b2142f7ecfba5420086ed14bb0b</x:v>
      </x:c>
      <x:c r="G16" s="59" t="n">
        <x:v>2573</x:v>
      </x:c>
    </x:row>
    <x:row r="17">
      <x:c r="A17" s="47" t="str">
        <x:v>RUN-I2-029-20260829T070833732127Z</x:v>
      </x:c>
      <x:c r="B17" s="47" t="str">
        <x:v>I2-029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db5838334e0156bafbbc669b7f27fbd1e3995452948eabddb34e0d0e84fda9dc</x:v>
      </x:c>
      <x:c r="G17" s="59" t="n">
        <x:v>2548</x:v>
      </x:c>
    </x:row>
    <x:row r="18">
      <x:c r="A18" s="47" t="str">
        <x:v>RUN-I2-029-20260829T070833732127Z</x:v>
      </x:c>
      <x:c r="B18" s="47" t="str">
        <x:v>I2-029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3a6bcb807450e4f0212584fa5d47094d0858548dfac923be34d81653c984c29a</x:v>
      </x:c>
      <x:c r="G18" s="59" t="n">
        <x:v>831</x:v>
      </x:c>
    </x:row>
    <x:row r="19">
      <x:c r="A19" s="47" t="str">
        <x:v>RUN-I2-029-20260829T070833732127Z</x:v>
      </x:c>
      <x:c r="B19" s="47" t="str">
        <x:v>I2-029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033ce74ea286a6a43e43a24e809d97a073e6bdc33a349077675de7f6e22cce33</x:v>
      </x:c>
      <x:c r="G19" s="59" t="n">
        <x:v>34452</x:v>
      </x:c>
    </x:row>
    <x:row r="20">
      <x:c r="A20" s="47" t="str">
        <x:v>RUN-I2-029-20260829T070833732127Z</x:v>
      </x:c>
      <x:c r="B20" s="47" t="str">
        <x:v>I2-029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36439cc5d731bb4ec5d99d9d40fb6f55f304e9fcabecf1ac9d72d9c076779114</x:v>
      </x:c>
      <x:c r="G20" s="59" t="n">
        <x:v>500</x:v>
      </x:c>
    </x:row>
    <x:row r="21">
      <x:c r="A21" s="49" t="str">
        <x:v>RUN-I2-029-20260829T070833732127Z</x:v>
      </x:c>
      <x:c r="B21" s="49" t="str">
        <x:v>I2-029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db5838334e0156bafbbc669b7f27fbd1e3995452948eabddb34e0d0e84fda9dc</x:v>
      </x:c>
      <x:c r="G21" s="60" t="n">
        <x:v>2548</x:v>
      </x:c>
    </x:row>
  </x:sheetData>
  <x:pageMargins left="0.7" right="0.7" top="0.75" bottom="0.75" header="0.3" footer="0.3"/>
  <x:tableParts count="1">
    <x:tablePart xmlns:r="http://schemas.openxmlformats.org/officeDocument/2006/relationships" r:id="R9bd72a8d461b41f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RUN-I2-029-20260829T070833732127Z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RUN-I2-029-20260829T070833732127Z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RUN-I2-029-20260829T070833732127Z</x:v>
      </x:c>
      <x:c r="B5" s="69" t="str">
        <x:v>I2-029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ba9afe8e7d4f57"/>
  </x:tableParts>
</x:worksheet>
</file>