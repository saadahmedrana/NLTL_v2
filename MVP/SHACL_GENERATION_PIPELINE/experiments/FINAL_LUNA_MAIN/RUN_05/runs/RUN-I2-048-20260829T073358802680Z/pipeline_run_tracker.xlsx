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bb1ec28c8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ac704f03cc496f"/>
    <x:sheet xmlns:r="http://schemas.openxmlformats.org/officeDocument/2006/relationships" name="README" sheetId="2" r:id="R0627d9ce90ea46d8"/>
    <x:sheet xmlns:r="http://schemas.openxmlformats.org/officeDocument/2006/relationships" name="REGULATION_QUEUE" sheetId="3" r:id="R84e1cad299f14083"/>
    <x:sheet xmlns:r="http://schemas.openxmlformats.org/officeDocument/2006/relationships" name="RUNS" sheetId="4" r:id="R05a7511fc0124251"/>
    <x:sheet xmlns:r="http://schemas.openxmlformats.org/officeDocument/2006/relationships" name="ITERATIONS" sheetId="5" r:id="Re03f155695c1484b"/>
    <x:sheet xmlns:r="http://schemas.openxmlformats.org/officeDocument/2006/relationships" name="API_CALLS" sheetId="6" r:id="R90baccad0d4e47b0"/>
    <x:sheet xmlns:r="http://schemas.openxmlformats.org/officeDocument/2006/relationships" name="TERM_RETRIEVAL" sheetId="7" r:id="Rb5cd4784ee9b4948"/>
    <x:sheet xmlns:r="http://schemas.openxmlformats.org/officeDocument/2006/relationships" name="FEW_SHOT_SELECTION" sheetId="8" r:id="Rc60bfceeb9344b47"/>
    <x:sheet xmlns:r="http://schemas.openxmlformats.org/officeDocument/2006/relationships" name="VALIDATION" sheetId="9" r:id="R0acab730c21242c7"/>
    <x:sheet xmlns:r="http://schemas.openxmlformats.org/officeDocument/2006/relationships" name="VOCAB_MATCHES" sheetId="10" r:id="R2eeaf3a335ea4d21"/>
    <x:sheet xmlns:r="http://schemas.openxmlformats.org/officeDocument/2006/relationships" name="ARTIFACTS" sheetId="11" r:id="Rdce3c252f7904299"/>
    <x:sheet xmlns:r="http://schemas.openxmlformats.org/officeDocument/2006/relationships" name="UNRESOLVED" sheetId="12" r:id="R5eadd25fb0b241a6"/>
    <x:sheet xmlns:r="http://schemas.openxmlformats.org/officeDocument/2006/relationships" name="RDF_TEST_QUEUE" sheetId="13" r:id="R8a8f6158db2c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2f90d1617425f" /><Relationship Type="http://schemas.openxmlformats.org/officeDocument/2006/relationships/theme" Target="/xl/theme/theme1.xml" Id="R2f238ff7b6474ff8" /><Relationship Type="http://schemas.microsoft.com/office/2022/11/relationships/FeaturePropertyBag" Target="/xl/featurePropertyBag/featurePropertyBag.xml" Id="Ra4ce872c00824057" /><Relationship Type="http://schemas.openxmlformats.org/officeDocument/2006/relationships/sharedStrings" Target="/xl/sharedStrings.xml" Id="Rebd14c431c99473a" /><Relationship Type="http://schemas.openxmlformats.org/officeDocument/2006/relationships/worksheet" Target="/xl/worksheets/sheet1.xml" Id="Rfeac704f03cc496f" /><Relationship Type="http://schemas.openxmlformats.org/officeDocument/2006/relationships/worksheet" Target="/xl/worksheets/sheet2.xml" Id="R0627d9ce90ea46d8" /><Relationship Type="http://schemas.openxmlformats.org/officeDocument/2006/relationships/worksheet" Target="/xl/worksheets/sheet3.xml" Id="R84e1cad299f14083" /><Relationship Type="http://schemas.openxmlformats.org/officeDocument/2006/relationships/worksheet" Target="/xl/worksheets/sheet4.xml" Id="R05a7511fc0124251" /><Relationship Type="http://schemas.openxmlformats.org/officeDocument/2006/relationships/worksheet" Target="/xl/worksheets/sheet5.xml" Id="Re03f155695c1484b" /><Relationship Type="http://schemas.openxmlformats.org/officeDocument/2006/relationships/worksheet" Target="/xl/worksheets/sheet6.xml" Id="R90baccad0d4e47b0" /><Relationship Type="http://schemas.openxmlformats.org/officeDocument/2006/relationships/worksheet" Target="/xl/worksheets/sheet7.xml" Id="Rb5cd4784ee9b4948" /><Relationship Type="http://schemas.openxmlformats.org/officeDocument/2006/relationships/worksheet" Target="/xl/worksheets/sheet8.xml" Id="Rc60bfceeb9344b47" /><Relationship Type="http://schemas.openxmlformats.org/officeDocument/2006/relationships/worksheet" Target="/xl/worksheets/sheet9.xml" Id="R0acab730c21242c7" /><Relationship Type="http://schemas.openxmlformats.org/officeDocument/2006/relationships/worksheet" Target="/xl/worksheets/sheet10.xml" Id="R2eeaf3a335ea4d21" /><Relationship Type="http://schemas.openxmlformats.org/officeDocument/2006/relationships/worksheet" Target="/xl/worksheets/sheet11.xml" Id="Rdce3c252f7904299" /><Relationship Type="http://schemas.openxmlformats.org/officeDocument/2006/relationships/worksheet" Target="/xl/worksheets/sheet12.xml" Id="R5eadd25fb0b241a6" /><Relationship Type="http://schemas.openxmlformats.org/officeDocument/2006/relationships/worksheet" Target="/xl/worksheets/sheet13.xml" Id="R8a8f6158db2c4b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5c5f70bfe74a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ede9d5eb84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a461df2d33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6e94664c443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52d893dc0048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69be84213c4d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90de6618947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d587f4a07345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a0efa92ee4e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96690985861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RUN-I2-048-20260829T073358802680Z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30078.80531818182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RUN-I2-048-20260829T073358802680Z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5c5f70bfe74a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de9d5eb8447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RUN-I2-048-20260829T073358802680Z</x:v>
      </x:c>
      <x:c r="C5" s="69" t="str">
        <x:v>I2-048</x:v>
      </x:c>
      <x:c r="D5" s="70" t="n">
        <x:v>46263.31526394676</x:v>
      </x:c>
      <x:c r="E5" s="70" t="n">
        <x:v>46263.31912475694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freeze. First repair the deterministic vocabulary error: the QUDT prefix is malformed and expands qudt:numericValue and qudt:unit to http://qudt.org/schema/qudtnumericValue and http://qudt.org/schema/qudtunit; use the approved registered QUDT IRIs and namespace, while retaining the declared MilliM unit. Preserve the valid case, selector, plating, table-reference, unit, controlled-value, family-membership, and rank-direction checks. Replace the nested IF with the complete exact iacsUrI2Table8 tableModel: all nine bands (0–10, 10–15, 15–20, 20–25, 25–30, 30–35, 35–40, 40–45, 45–50 mm), exclusive lower and inclusive upper boundaries, every PC1-3/PC1-5/PC4-5/PC6-7 row, both strength families and material classes, and every NOT_APPLICABLE combination. The current query omits b8/40–45 handling and collapses or misassigns table rows. Add requiredHullStructuralSteelGrade minCount 1 and maxCount 1 only for applicable selections; permit no result for NOT_APPLICABLE selections and reject any result there, without imposing top-level case existence. Keep missing selectors failing and enforce rank(actual) &gt;= rank(required) only within the same steelStrengthCategory. The matcher is not needed because no canonical project term is absent or unknown.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461df2d334d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RUN-I2-048-20260829T073358802680Z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semantic checks before freezing: the applicability SPARQL is inverted—its second constraint flags an applicable case when requiredHullStructuralSteelGrade EXISTS, whereas it must flag missing required grade, and it does not reject a NOT_APPLICABLE combination that has a required grade. Add the declared minCount/maxCount 1 constraint for requiredHullStructuralSteelGrade, conditional on applicability, without imposing top-level case existence. Correct the table selection: PC4/PC5 currently map to PC4-5, so class-one/two rows requiring PC1-5 are missed; implement the exact supplied tableModel rows and thickness bands. Enforce that actual and required grades belong to the same steelStrengthCategory; rank comparison alone permits, for example, a normal-strength grade in a high-tensile case. Preserve the existing case, selector, plating, table-reference, unit, and rank-direction checks.</x:v>
      </x:c>
      <x:c r="I5" s="84" t="n">
        <x:v>54225.277</x:v>
      </x:c>
      <x:c r="J5" s="84" t="n">
        <x:v>14428.196</x:v>
      </x:c>
    </x:row>
    <x:row r="6">
      <x:c r="A6" s="47" t="str">
        <x:v>RUN-I2-048-20260829T073358802680Z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freeze. Preserve the existing case, selector, plating, table-reference, unit, and rank-direction checks, but repair the semantic table logic: implement every exact tableModel row and thickness band (0–10, 10–15, 15–20, 20–25, 25–30, 30–35, 35–40, 40–45, 45–50 mm with the declared boundary semantics), including the PC1-5 mappings and the explicit NOT_APPLICABLE combinations; the current nested IF collapses bands and assigns incorrect grades. Enforce requiredHullStructuralSteelGrade with minCount 1 and maxCount 1 only for applicable selections, while allowing no result for NOT_APPLICABLE cases and rejecting a result there. Missing selectors must fail, and actual and required grades must remain in the same steelStrengthCategory before applying rank &gt;= comparison.</x:v>
      </x:c>
      <x:c r="I6" s="86" t="n">
        <x:v>43927.418</x:v>
      </x:c>
      <x:c r="J6" s="86" t="n">
        <x:v>11568.698</x:v>
      </x:c>
    </x:row>
    <x:row r="7">
      <x:c r="A7" s="47" t="str">
        <x:v>RUN-I2-048-20260829T073358802680Z</x:v>
      </x:c>
      <x:c r="B7" s="47" t="str">
        <x:v>I2-048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freeze. Preserve the existing case, selector, plating, table-reference, unit, conditional result-cardinality, and rank-direction checks, but replace the nested IF with the complete exact iacsUrI2Table8 tableModel: all thickness bands (0–10, 10–15, 15–20, 20–25, 25–30, 30–35, 35–40, 40–45, 45–50 mm), exclusive lower and inclusive upper boundaries, every PC1-3/PC1-5/PC4-5/PC6-7 row, both material classes and strength families, and all declared NOT_APPLICABLE combinations. The current logic collapses bands and produces incorrect class-one/class-two and thickness results. Also repair the second SPARQL constraint: its strength-family membership tests are reversed—normalStrengthSteelCategory must allow only B, D, E, while highTensileSteelCategory must allow only AH, DH, EH, FH—and then enforce rank(actual) &gt;= rank(required) within that same family. Keep missing selectors failing, require a required grade only for applicable selections, and reject any grade for NOT_APPLICABLE selections.</x:v>
      </x:c>
      <x:c r="I7" s="86" t="n">
        <x:v>49746.956</x:v>
      </x:c>
      <x:c r="J7" s="86" t="n">
        <x:v>11766.477</x:v>
      </x:c>
    </x:row>
    <x:row r="8">
      <x:c r="A8" s="49" t="str">
        <x:v>RUN-I2-048-20260829T073358802680Z</x:v>
      </x:c>
      <x:c r="B8" s="49" t="str">
        <x:v>I2-048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Unapproved external/generated IRI(s): http://qudt.org/schema/qudt, http://qudt.org/schema/qudtnumericValue, http://qudt.org/schema/qudtunit
Semantic validator feedback: Do not freeze. First repair the deterministic vocabulary error: the QUDT prefix is malformed and expands qudt:numericValue and qudt:unit to http://qudt.org/schema/qudtnumericValue and http://qudt.org/schema/qudtunit; use the approved registered QUDT IRIs and namespace, while retaining the declared MilliM unit. Preserve the valid case, selector, plating, table-reference, unit, controlled-value, family-membership, and rank-direction checks. Replace the nested IF with the complete exact iacsUrI2Table8 tableModel: all nine bands (0–10, 10–15, 15–20, 20–25, 25–30, 30–35, 35–40, 40–45, 45–50 mm), exclusive lower and inclusive upper boundaries, every PC1-3/PC1-5/PC4-5/PC6-7 row, both strength families and material classes, and every NOT_APPLICABLE combination. The current query omits b8/40–45 handling and collapses or misassigns table rows. Add requiredHullStructuralSteelGrade minCount 1 and maxCount 1 only for applicable selections; permit no result for NOT_APPLICABLE selections and reject any result there, without imposing top-level case existence. Keep missing selectors failing and enforce rank(actual) &gt;= rank(required) only within the same steelStrengthCategory. The matcher is not needed because no canonical project term is absent or unknown.</x:v>
      </x:c>
      <x:c r="I8" s="88" t="n">
        <x:v>41058.879</x:v>
      </x:c>
      <x:c r="J8" s="88" t="n">
        <x:v>12456.897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6e94664c443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RUN-I2-048-20260829T073358802680Z</x:v>
      </x:c>
      <x:c r="C5" s="45" t="str">
        <x:v>I2-048</x:v>
      </x:c>
      <x:c r="D5" s="92" t="n">
        <x:v>46263.31589159722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54223.57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RUN-I2-048-20260829T073358802680Z</x:v>
      </x:c>
      <x:c r="C6" s="47" t="str">
        <x:v>I2-048</x:v>
      </x:c>
      <x:c r="D6" s="93" t="n">
        <x:v>46263.31589162037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54225.277</x:v>
      </x:c>
      <x:c r="L6" s="85" t="b">
        <x:v>0</x:v>
      </x:c>
      <x:c r="M6" s="47" t="str">
        <x:v>resp_032698c9580a2e0f006a928b66fbb48195a3dd6b8ee3f7c125</x:v>
      </x:c>
      <x:c r="N6" s="59" t="n">
        <x:v>28533</x:v>
      </x:c>
      <x:c r="O6" s="59" t="n">
        <x:v>5726</x:v>
      </x:c>
      <x:c r="P6" s="59" t="n">
        <x:v>34259</x:v>
      </x:c>
    </x:row>
    <x:row r="7">
      <x:c r="A7" s="47" t="str">
        <x:v>EVT-000069</x:v>
      </x:c>
      <x:c r="B7" s="47" t="str">
        <x:v>RUN-I2-048-20260829T073358802680Z</x:v>
      </x:c>
      <x:c r="C7" s="47" t="str">
        <x:v>I2-048</x:v>
      </x:c>
      <x:c r="D7" s="93" t="n">
        <x:v>46263.31636333333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40314.966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RUN-I2-048-20260829T073358802680Z</x:v>
      </x:c>
      <x:c r="C8" s="47" t="str">
        <x:v>I2-048</x:v>
      </x:c>
      <x:c r="D8" s="93" t="n">
        <x:v>46263.31636335648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40316.507</x:v>
      </x:c>
      <x:c r="L8" s="85" t="b">
        <x:v>0</x:v>
      </x:c>
      <x:c r="M8" s="47" t="str">
        <x:v>resp_08619374105e9ab9006a928b9d90d48194a853446c878d7910</x:v>
      </x:c>
      <x:c r="N8" s="59" t="n">
        <x:v>4014</x:v>
      </x:c>
      <x:c r="O8" s="59" t="n">
        <x:v>5263</x:v>
      </x:c>
      <x:c r="P8" s="59" t="n">
        <x:v>9277</x:v>
      </x:c>
    </x:row>
    <x:row r="9">
      <x:c r="A9" s="47" t="str">
        <x:v>EVT-000076</x:v>
      </x:c>
      <x:c r="B9" s="47" t="str">
        <x:v>RUN-I2-048-20260829T073358802680Z</x:v>
      </x:c>
      <x:c r="C9" s="47" t="str">
        <x:v>I2-048</x:v>
      </x:c>
      <x:c r="D9" s="93" t="n">
        <x:v>46263.31667318287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26307.961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RUN-I2-048-20260829T073358802680Z</x:v>
      </x:c>
      <x:c r="C10" s="47" t="str">
        <x:v>I2-048</x:v>
      </x:c>
      <x:c r="D10" s="93" t="n">
        <x:v>46263.31667320602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26309.497</x:v>
      </x:c>
      <x:c r="L10" s="85" t="b">
        <x:v>0</x:v>
      </x:c>
      <x:c r="M10" s="47" t="str">
        <x:v>resp_05ccd4e32130d4dc006a928bc6559c819597073755533d20fd</x:v>
      </x:c>
      <x:c r="N10" s="59" t="n">
        <x:v>4014</x:v>
      </x:c>
      <x:c r="O10" s="59" t="n">
        <x:v>3835</x:v>
      </x:c>
      <x:c r="P10" s="59" t="n">
        <x:v>7849</x:v>
      </x:c>
    </x:row>
    <x:row r="11">
      <x:c r="A11" s="47" t="str">
        <x:v>EVT-000085</x:v>
      </x:c>
      <x:c r="B11" s="47" t="str">
        <x:v>RUN-I2-048-20260829T073358802680Z</x:v>
      </x:c>
      <x:c r="C11" s="47" t="str">
        <x:v>I2-048</x:v>
      </x:c>
      <x:c r="D11" s="93" t="n">
        <x:v>46263.31684452546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14426.936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EVT-000086</x:v>
      </x:c>
      <x:c r="B12" s="47" t="str">
        <x:v>RUN-I2-048-20260829T073358802680Z</x:v>
      </x:c>
      <x:c r="C12" s="47" t="str">
        <x:v>I2-048</x:v>
      </x:c>
      <x:c r="D12" s="93" t="n">
        <x:v>46263.31684453704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14428.196</x:v>
      </x:c>
      <x:c r="L12" s="85" t="b">
        <x:v>0</x:v>
      </x:c>
      <x:c r="M12" s="47" t="str">
        <x:v>resp_0dbf229b2c0ced2f006a928be116c88193b909639f07770aa5</x:v>
      </x:c>
      <x:c r="N12" s="59" t="n">
        <x:v>34184</x:v>
      </x:c>
      <x:c r="O12" s="59" t="n">
        <x:v>1235</x:v>
      </x:c>
      <x:c r="P12" s="59" t="n">
        <x:v>35419</x:v>
      </x:c>
    </x:row>
    <x:row r="13">
      <x:c r="A13" s="47" t="str">
        <x:v>EVT-000091</x:v>
      </x:c>
      <x:c r="B13" s="47" t="str">
        <x:v>RUN-I2-048-20260829T073358802680Z</x:v>
      </x:c>
      <x:c r="C13" s="47" t="str">
        <x:v>I2-048</x:v>
      </x:c>
      <x:c r="D13" s="93" t="n">
        <x:v>46263.31735292824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43925.834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RUN-I2-048-20260829T073358802680Z</x:v>
      </x:c>
      <x:c r="C14" s="47" t="str">
        <x:v>I2-048</x:v>
      </x:c>
      <x:c r="D14" s="93" t="n">
        <x:v>46263.31735295139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43927.418</x:v>
      </x:c>
      <x:c r="L14" s="85" t="b">
        <x:v>0</x:v>
      </x:c>
      <x:c r="M14" s="47" t="str">
        <x:v>resp_017aebff07c7adda006a928bef85f88195856676e822bf2933</x:v>
      </x:c>
      <x:c r="N14" s="59" t="n">
        <x:v>28715</x:v>
      </x:c>
      <x:c r="O14" s="59" t="n">
        <x:v>4729</x:v>
      </x:c>
      <x:c r="P14" s="59" t="n">
        <x:v>33444</x:v>
      </x:c>
    </x:row>
    <x:row r="15">
      <x:c r="A15" s="47" t="str">
        <x:v>EVT-000099</x:v>
      </x:c>
      <x:c r="B15" s="47" t="str">
        <x:v>RUN-I2-048-20260829T073358802680Z</x:v>
      </x:c>
      <x:c r="C15" s="47" t="str">
        <x:v>I2-048</x:v>
      </x:c>
      <x:c r="D15" s="93" t="n">
        <x:v>46263.31748935185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11567.183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EVT-000100</x:v>
      </x:c>
      <x:c r="B16" s="47" t="str">
        <x:v>RUN-I2-048-20260829T073358802680Z</x:v>
      </x:c>
      <x:c r="C16" s="47" t="str">
        <x:v>I2-048</x:v>
      </x:c>
      <x:c r="D16" s="93" t="n">
        <x:v>46263.317489375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11568.698</x:v>
      </x:c>
      <x:c r="L16" s="85" t="b">
        <x:v>0</x:v>
      </x:c>
      <x:c r="M16" s="47" t="str">
        <x:v>resp_0aed49c8a420b9df006a928c1baee48196961cb095ab9dac54</x:v>
      </x:c>
      <x:c r="N16" s="59" t="n">
        <x:v>33686</x:v>
      </x:c>
      <x:c r="O16" s="59" t="n">
        <x:v>637</x:v>
      </x:c>
      <x:c r="P16" s="59" t="n">
        <x:v>34323</x:v>
      </x:c>
    </x:row>
    <x:row r="17">
      <x:c r="A17" s="47" t="str">
        <x:v>EVT-000105</x:v>
      </x:c>
      <x:c r="B17" s="47" t="str">
        <x:v>RUN-I2-048-20260829T073358802680Z</x:v>
      </x:c>
      <x:c r="C17" s="47" t="str">
        <x:v>I2-048</x:v>
      </x:c>
      <x:c r="D17" s="93" t="n">
        <x:v>46263.318065150466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49745.338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EVT-000106</x:v>
      </x:c>
      <x:c r="B18" s="47" t="str">
        <x:v>RUN-I2-048-20260829T073358802680Z</x:v>
      </x:c>
      <x:c r="C18" s="47" t="str">
        <x:v>I2-048</x:v>
      </x:c>
      <x:c r="D18" s="93" t="n">
        <x:v>46263.31806517361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49746.956</x:v>
      </x:c>
      <x:c r="L18" s="85" t="b">
        <x:v>0</x:v>
      </x:c>
      <x:c r="M18" s="47" t="str">
        <x:v>resp_0023f5530d9c7086006a928c273f3c8190a0ecf7fa0762979e</x:v>
      </x:c>
      <x:c r="N18" s="59" t="n">
        <x:v>28908</x:v>
      </x:c>
      <x:c r="O18" s="59" t="n">
        <x:v>5653</x:v>
      </x:c>
      <x:c r="P18" s="59" t="n">
        <x:v>34561</x:v>
      </x:c>
    </x:row>
    <x:row r="19">
      <x:c r="A19" s="47" t="str">
        <x:v>EVT-000113</x:v>
      </x:c>
      <x:c r="B19" s="47" t="str">
        <x:v>RUN-I2-048-20260829T073358802680Z</x:v>
      </x:c>
      <x:c r="C19" s="47" t="str">
        <x:v>I2-048</x:v>
      </x:c>
      <x:c r="D19" s="93" t="n">
        <x:v>46263.318203807874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11764.912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EVT-000114</x:v>
      </x:c>
      <x:c r="B20" s="47" t="str">
        <x:v>RUN-I2-048-20260829T073358802680Z</x:v>
      </x:c>
      <x:c r="C20" s="47" t="str">
        <x:v>I2-048</x:v>
      </x:c>
      <x:c r="D20" s="93" t="n">
        <x:v>46263.31820381944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11766.477</x:v>
      </x:c>
      <x:c r="L20" s="85" t="b">
        <x:v>0</x:v>
      </x:c>
      <x:c r="M20" s="47" t="str">
        <x:v>resp_0d7cae429f95a2dc006a928c59cc188194aa11350231910ddb</x:v>
      </x:c>
      <x:c r="N20" s="59" t="n">
        <x:v>34118</x:v>
      </x:c>
      <x:c r="O20" s="59" t="n">
        <x:v>782</x:v>
      </x:c>
      <x:c r="P20" s="59" t="n">
        <x:v>34900</x:v>
      </x:c>
    </x:row>
    <x:row r="21">
      <x:c r="A21" s="47" t="str">
        <x:v>EVT-000119</x:v>
      </x:c>
      <x:c r="B21" s="47" t="str">
        <x:v>RUN-I2-048-20260829T073358802680Z</x:v>
      </x:c>
      <x:c r="C21" s="47" t="str">
        <x:v>I2-048</x:v>
      </x:c>
      <x:c r="D21" s="93" t="n">
        <x:v>46263.318679097225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41057.657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EVT-000120</x:v>
      </x:c>
      <x:c r="B22" s="47" t="str">
        <x:v>RUN-I2-048-20260829T073358802680Z</x:v>
      </x:c>
      <x:c r="C22" s="47" t="str">
        <x:v>I2-048</x:v>
      </x:c>
      <x:c r="D22" s="93" t="n">
        <x:v>46263.31867912037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41058.879</x:v>
      </x:c>
      <x:c r="L22" s="85" t="b">
        <x:v>0</x:v>
      </x:c>
      <x:c r="M22" s="47" t="str">
        <x:v>resp_08d2cbe5cee885b0006a928c64fac4819094ae8c22ccf310fd</x:v>
      </x:c>
      <x:c r="N22" s="59" t="n">
        <x:v>29171</x:v>
      </x:c>
      <x:c r="O22" s="59" t="n">
        <x:v>5257</x:v>
      </x:c>
      <x:c r="P22" s="59" t="n">
        <x:v>34428</x:v>
      </x:c>
    </x:row>
    <x:row r="23">
      <x:c r="A23" s="47" t="str">
        <x:v>EVT-000125</x:v>
      </x:c>
      <x:c r="B23" s="47" t="str">
        <x:v>RUN-I2-048-20260829T073358802680Z</x:v>
      </x:c>
      <x:c r="C23" s="47" t="str">
        <x:v>I2-048</x:v>
      </x:c>
      <x:c r="D23" s="93" t="n">
        <x:v>46263.31897472222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25068.56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EVT-000126</x:v>
      </x:c>
      <x:c r="B24" s="47" t="str">
        <x:v>RUN-I2-048-20260829T073358802680Z</x:v>
      </x:c>
      <x:c r="C24" s="47" t="str">
        <x:v>I2-048</x:v>
      </x:c>
      <x:c r="D24" s="93" t="n">
        <x:v>46263.31897474537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25069.975</x:v>
      </x:c>
      <x:c r="L24" s="85" t="b">
        <x:v>0</x:v>
      </x:c>
      <x:c r="M24" s="47" t="str">
        <x:v>resp_0e6c62ca5063cfb3006a928c8e71f08190855d7ee613cf0139</x:v>
      </x:c>
      <x:c r="N24" s="59" t="n">
        <x:v>4963</x:v>
      </x:c>
      <x:c r="O24" s="59" t="n">
        <x:v>4203</x:v>
      </x:c>
      <x:c r="P24" s="59" t="n">
        <x:v>9166</x:v>
      </x:c>
    </x:row>
    <x:row r="25">
      <x:c r="A25" s="47" t="str">
        <x:v>EVT-000134</x:v>
      </x:c>
      <x:c r="B25" s="47" t="str">
        <x:v>RUN-I2-048-20260829T073358802680Z</x:v>
      </x:c>
      <x:c r="C25" s="47" t="str">
        <x:v>I2-048</x:v>
      </x:c>
      <x:c r="D25" s="93" t="n">
        <x:v>46263.31912471065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12456.023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EVT-000135</x:v>
      </x:c>
      <x:c r="B26" s="49" t="str">
        <x:v>RUN-I2-048-20260829T073358802680Z</x:v>
      </x:c>
      <x:c r="C26" s="49" t="str">
        <x:v>I2-048</x:v>
      </x:c>
      <x:c r="D26" s="94" t="n">
        <x:v>46263.31912472222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12456.897</x:v>
      </x:c>
      <x:c r="L26" s="87" t="b">
        <x:v>0</x:v>
      </x:c>
      <x:c r="M26" s="49" t="str">
        <x:v>resp_02e822b2e4ae8fb3006a928ca8e69881909fc40baa9d60d9dd</x:v>
      </x:c>
      <x:c r="N26" s="60" t="n">
        <x:v>35807</x:v>
      </x:c>
      <x:c r="O26" s="60" t="n">
        <x:v>961</x:v>
      </x:c>
      <x:c r="P26" s="60" t="n">
        <x:v>36768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2d893dc0048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RUN-I2-048-20260829T073358802680Z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RUN-I2-048-20260829T073358802680Z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RUN-I2-048-20260829T073358802680Z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RUN-I2-048-20260829T073358802680Z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RUN-I2-048-20260829T073358802680Z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RUN-I2-048-20260829T073358802680Z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RUN-I2-048-20260829T073358802680Z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RUN-I2-048-20260829T073358802680Z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RUN-I2-048-20260829T073358802680Z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RUN-I2-048-20260829T073358802680Z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RUN-I2-048-20260829T073358802680Z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RUN-I2-048-20260829T073358802680Z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RUN-I2-048-20260829T073358802680Z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RUN-I2-048-20260829T073358802680Z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RUN-I2-048-20260829T073358802680Z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RUN-I2-048-20260829T073358802680Z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RUN-I2-048-20260829T073358802680Z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RUN-I2-048-20260829T073358802680Z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RUN-I2-048-20260829T073358802680Z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RUN-I2-048-20260829T073358802680Z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RUN-I2-048-20260829T073358802680Z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RUN-I2-048-20260829T073358802680Z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RUN-I2-048-20260829T073358802680Z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RUN-I2-048-20260829T073358802680Z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RUN-I2-048-20260829T073358802680Z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RUN-I2-048-20260829T073358802680Z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RUN-I2-048-20260829T073358802680Z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RUN-I2-048-20260829T073358802680Z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RUN-I2-048-20260829T073358802680Z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RUN-I2-048-20260829T073358802680Z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RUN-I2-048-20260829T073358802680Z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RUN-I2-048-20260829T073358802680Z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RUN-I2-048-20260829T073358802680Z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RUN-I2-048-20260829T073358802680Z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RUN-I2-048-20260829T073358802680Z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RUN-I2-048-20260829T073358802680Z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RUN-I2-048-20260829T073358802680Z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RUN-I2-048-20260829T073358802680Z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RUN-I2-048-20260829T073358802680Z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RUN-I2-048-20260829T073358802680Z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RUN-I2-048-20260829T073358802680Z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RUN-I2-048-20260829T073358802680Z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RUN-I2-048-20260829T073358802680Z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RUN-I2-048-20260829T073358802680Z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RUN-I2-048-20260829T073358802680Z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RUN-I2-048-20260829T073358802680Z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RUN-I2-048-20260829T073358802680Z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RUN-I2-048-20260829T073358802680Z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RUN-I2-048-20260829T073358802680Z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RUN-I2-048-20260829T073358802680Z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RUN-I2-048-20260829T073358802680Z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RUN-I2-048-20260829T073358802680Z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RUN-I2-048-20260829T073358802680Z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RUN-I2-048-20260829T073358802680Z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RUN-I2-048-20260829T073358802680Z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69be84213c4d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RUN-I2-048-20260829T073358802680Z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RUN-I2-048-20260829T073358802680Z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RUN-I2-048-20260829T073358802680Z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90de6618947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RUN-I2-048-20260829T073358802680Z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RUN-I2-048-20260829T073358802680Z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48" t="str"/>
      <x:c r="P6" s="48" t="str"/>
      <x:c r="Q6" s="48" t="str"/>
    </x:row>
    <x:row r="7">
      <x:c r="A7" s="47" t="str">
        <x:v>RUN-I2-048-20260829T073358802680Z</x:v>
      </x:c>
      <x:c r="B7" s="47" t="str">
        <x:v>I2-048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7" s="48" t="str"/>
      <x:c r="P7" s="48" t="str"/>
      <x:c r="Q7" s="48" t="str"/>
    </x:row>
    <x:row r="8">
      <x:c r="A8" s="49" t="str">
        <x:v>RUN-I2-048-20260829T073358802680Z</x:v>
      </x:c>
      <x:c r="B8" s="49" t="str">
        <x:v>I2-048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Unapproved external/generated IRI(s): http://qudt.org/schema/qudt, http://qudt.org/schema/qudtnumericValue, http://qudt.org/schema/qudtunit</x:v>
      </x:c>
      <x:c r="M8" s="50" t="str"/>
      <x:c r="N8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</x:v>
      </x:c>
      <x:c r="O8" s="50" t="str"/>
      <x:c r="P8" s="50" t="str"/>
      <x:c r="Q8" s="50" t="str">
        <x:v>http://qudt.org/schema/qudt | http://qudt.org/schema/qudtnumericValue | http://qudt.org/schema/qudtunit</x:v>
      </x:c>
    </x:row>
  </x:sheetData>
  <x:pageMargins left="0.7" right="0.7" top="0.75" bottom="0.75" header="0.3" footer="0.3"/>
  <x:tableParts count="1">
    <x:tablePart xmlns:r="http://schemas.openxmlformats.org/officeDocument/2006/relationships" r:id="R48d587f4a07345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RUN-I2-048-20260829T073358802680Z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RUN-I2-048-20260829T073358802680Z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RUN-I2-048-20260829T073358802680Z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RUN-I2-048-20260829T073358802680Z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RUN-I2-048-20260829T073358802680Z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RUN-I2-048-20260829T073358802680Z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3e13be07df80ec71405001054cb6fd3884fa6661674c75d88bb284c5f6904590</x:v>
      </x:c>
      <x:c r="G8" s="59" t="n">
        <x:v>11503</x:v>
      </x:c>
    </x:row>
    <x:row r="9">
      <x:c r="A9" s="47" t="str">
        <x:v>RUN-I2-048-20260829T073358802680Z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d19c4533dc41c9a7124ea6f3a4f2b1596761d8c4eee104f09806fd722f19264d</x:v>
      </x:c>
      <x:c r="G9" s="59" t="n">
        <x:v>13677</x:v>
      </x:c>
    </x:row>
    <x:row r="10">
      <x:c r="A10" s="47" t="str">
        <x:v>RUN-I2-048-20260829T073358802680Z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66e9f1722939afda8afc909e18c810914490dae7bfa47a8cf4c18b74d6ea429f</x:v>
      </x:c>
      <x:c r="G10" s="59" t="n">
        <x:v>11855</x:v>
      </x:c>
    </x:row>
    <x:row r="11">
      <x:c r="A11" s="47" t="str">
        <x:v>RUN-I2-048-20260829T073358802680Z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a60164610159b533b447234746acecd0efdb79f494505b9d9160cf4a754dde5f</x:v>
      </x:c>
      <x:c r="G11" s="59" t="n">
        <x:v>14029</x:v>
      </x:c>
    </x:row>
    <x:row r="12">
      <x:c r="A12" s="47" t="str">
        <x:v>RUN-I2-048-20260829T073358802680Z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ce50d8d606174e0cc89e61a5c60986d3a8d9804ebdaa0a7c4a356c1eb9193f1c</x:v>
      </x:c>
      <x:c r="G12" s="59" t="n">
        <x:v>11856</x:v>
      </x:c>
    </x:row>
    <x:row r="13">
      <x:c r="A13" s="47" t="str">
        <x:v>RUN-I2-048-20260829T073358802680Z</x:v>
      </x:c>
      <x:c r="B13" s="47" t="str">
        <x:v>I2-048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7accd047e50f8fbf840ae6a1ac8fc825d41b4e4068e6bc6592ff64347061e9cb</x:v>
      </x:c>
      <x:c r="G13" s="59" t="n">
        <x:v>11831</x:v>
      </x:c>
    </x:row>
    <x:row r="14">
      <x:c r="A14" s="47" t="str">
        <x:v>RUN-I2-048-20260829T073358802680Z</x:v>
      </x:c>
      <x:c r="B14" s="47" t="str">
        <x:v>I2-048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fbc66d766525f918eeca229b151f758010c6be02823c5c366fece6d0eb87c2c3</x:v>
      </x:c>
      <x:c r="G14" s="59" t="n">
        <x:v>2418</x:v>
      </x:c>
    </x:row>
    <x:row r="15">
      <x:c r="A15" s="47" t="str">
        <x:v>RUN-I2-048-20260829T073358802680Z</x:v>
      </x:c>
      <x:c r="B15" s="47" t="str">
        <x:v>I2-048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9b9eeb7748bd75ce4ea35c753123101f1bd38c1693916f8157a3d988b271af43</x:v>
      </x:c>
      <x:c r="G15" s="59" t="n">
        <x:v>144811</x:v>
      </x:c>
    </x:row>
    <x:row r="16">
      <x:c r="A16" s="47" t="str">
        <x:v>RUN-I2-048-20260829T073358802680Z</x:v>
      </x:c>
      <x:c r="B16" s="47" t="str">
        <x:v>I2-048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44148843755b020d2fe3a74825d10ecc8ac90c81528fbc3c6906ea82736a013f</x:v>
      </x:c>
      <x:c r="G16" s="59" t="n">
        <x:v>970</x:v>
      </x:c>
    </x:row>
    <x:row r="17">
      <x:c r="A17" s="47" t="str">
        <x:v>RUN-I2-048-20260829T073358802680Z</x:v>
      </x:c>
      <x:c r="B17" s="47" t="str">
        <x:v>I2-048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b7041af031f45420d4b66cd3798cccc6567a409025036388577f5fcb6fb70b7e</x:v>
      </x:c>
      <x:c r="G17" s="59" t="n">
        <x:v>127687</x:v>
      </x:c>
    </x:row>
    <x:row r="18">
      <x:c r="A18" s="47" t="str">
        <x:v>RUN-I2-048-20260829T073358802680Z</x:v>
      </x:c>
      <x:c r="B18" s="47" t="str">
        <x:v>I2-048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4068c344eda98abad66b47ba2cb68b521d8f40cd888aa492ae264fbf7c8047e6</x:v>
      </x:c>
      <x:c r="G18" s="59" t="n">
        <x:v>8870</x:v>
      </x:c>
    </x:row>
    <x:row r="19">
      <x:c r="A19" s="47" t="str">
        <x:v>RUN-I2-048-20260829T073358802680Z</x:v>
      </x:c>
      <x:c r="B19" s="47" t="str">
        <x:v>I2-048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fa77e8f79cccb5295b61576e1027b45b8590b00d7d78355f64377764c648ca1c</x:v>
      </x:c>
      <x:c r="G19" s="59" t="n">
        <x:v>8845</x:v>
      </x:c>
    </x:row>
    <x:row r="20">
      <x:c r="A20" s="47" t="str">
        <x:v>RUN-I2-048-20260829T073358802680Z</x:v>
      </x:c>
      <x:c r="B20" s="47" t="str">
        <x:v>I2-048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fbc66d766525f918eeca229b151f758010c6be02823c5c366fece6d0eb87c2c3</x:v>
      </x:c>
      <x:c r="G20" s="59" t="n">
        <x:v>2418</x:v>
      </x:c>
    </x:row>
    <x:row r="21">
      <x:c r="A21" s="47" t="str">
        <x:v>RUN-I2-048-20260829T073358802680Z</x:v>
      </x:c>
      <x:c r="B21" s="47" t="str">
        <x:v>I2-048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e5164ee64aaeb86ff3cc400d337aa87b13cf70357fbed3c2152fda74bd900db5</x:v>
      </x:c>
      <x:c r="G21" s="59" t="n">
        <x:v>142631</x:v>
      </x:c>
    </x:row>
    <x:row r="22">
      <x:c r="A22" s="47" t="str">
        <x:v>RUN-I2-048-20260829T073358802680Z</x:v>
      </x:c>
      <x:c r="B22" s="47" t="str">
        <x:v>I2-048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e552b6c10fd068c2f665ce4f95051dc4b14c79a9b258bd3bf6812015b6d2134e</x:v>
      </x:c>
      <x:c r="G22" s="59" t="n">
        <x:v>859</x:v>
      </x:c>
    </x:row>
    <x:row r="23">
      <x:c r="A23" s="47" t="str">
        <x:v>RUN-I2-048-20260829T073358802680Z</x:v>
      </x:c>
      <x:c r="B23" s="47" t="str">
        <x:v>I2-048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e251bd969a6e4d1f57b36a407979d88e3c40f965edf81fcf4c6a329665631cc6</x:v>
      </x:c>
      <x:c r="G23" s="59" t="n">
        <x:v>128516</x:v>
      </x:c>
    </x:row>
    <x:row r="24">
      <x:c r="A24" s="47" t="str">
        <x:v>RUN-I2-048-20260829T073358802680Z</x:v>
      </x:c>
      <x:c r="B24" s="47" t="str">
        <x:v>I2-048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66146897f4230db311b17e85af689470a81ffb696fb16ef62999f8e8d81d6bab</x:v>
      </x:c>
      <x:c r="G24" s="59" t="n">
        <x:v>12374</x:v>
      </x:c>
    </x:row>
    <x:row r="25">
      <x:c r="A25" s="47" t="str">
        <x:v>RUN-I2-048-20260829T073358802680Z</x:v>
      </x:c>
      <x:c r="B25" s="47" t="str">
        <x:v>I2-048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973e50d0d5bf9d0de3556a997af7f3b33be06c12ffc6b74c47400f783994b97c</x:v>
      </x:c>
      <x:c r="G25" s="59" t="n">
        <x:v>12349</x:v>
      </x:c>
    </x:row>
    <x:row r="26">
      <x:c r="A26" s="47" t="str">
        <x:v>RUN-I2-048-20260829T073358802680Z</x:v>
      </x:c>
      <x:c r="B26" s="47" t="str">
        <x:v>I2-048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fbc66d766525f918eeca229b151f758010c6be02823c5c366fece6d0eb87c2c3</x:v>
      </x:c>
      <x:c r="G26" s="59" t="n">
        <x:v>2418</x:v>
      </x:c>
    </x:row>
    <x:row r="27">
      <x:c r="A27" s="47" t="str">
        <x:v>RUN-I2-048-20260829T073358802680Z</x:v>
      </x:c>
      <x:c r="B27" s="47" t="str">
        <x:v>I2-048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bb8261482a5b2f0d7b367dec536529a72cef2122784ccafbd861fbb07a97e784</x:v>
      </x:c>
      <x:c r="G27" s="59" t="n">
        <x:v>147057</x:v>
      </x:c>
    </x:row>
    <x:row r="28">
      <x:c r="A28" s="47" t="str">
        <x:v>RUN-I2-048-20260829T073358802680Z</x:v>
      </x:c>
      <x:c r="B28" s="47" t="str">
        <x:v>I2-048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1297d987c4d1275337d33820fe29a306ce9cc2cd97bcf8321186b6b378ddb3c2</x:v>
      </x:c>
      <x:c r="G28" s="59" t="n">
        <x:v>1088</x:v>
      </x:c>
    </x:row>
    <x:row r="29">
      <x:c r="A29" s="47" t="str">
        <x:v>RUN-I2-048-20260829T073358802680Z</x:v>
      </x:c>
      <x:c r="B29" s="47" t="str">
        <x:v>I2-048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1ff68253b9e78d6c74e8cb367d6921b2240932eb39e05b5356a88ea8d4495635</x:v>
      </x:c>
      <x:c r="G29" s="59" t="n">
        <x:v>129580</x:v>
      </x:c>
    </x:row>
    <x:row r="30">
      <x:c r="A30" s="47" t="str">
        <x:v>RUN-I2-048-20260829T073358802680Z</x:v>
      </x:c>
      <x:c r="B30" s="47" t="str">
        <x:v>I2-048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16f3c0ae107e4d593fb7c3c4b111891572b7bbb3df24c2398b7c373371080beb</x:v>
      </x:c>
      <x:c r="G30" s="59" t="n">
        <x:v>16594</x:v>
      </x:c>
    </x:row>
    <x:row r="31">
      <x:c r="A31" s="47" t="str">
        <x:v>RUN-I2-048-20260829T073358802680Z</x:v>
      </x:c>
      <x:c r="B31" s="47" t="str">
        <x:v>I2-048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05c1067ae0128723ce41ca1086d357d335b795d59e96f6e90fd21b5658c209f6</x:v>
      </x:c>
      <x:c r="G31" s="59" t="n">
        <x:v>18693</x:v>
      </x:c>
    </x:row>
    <x:row r="32">
      <x:c r="A32" s="47" t="str">
        <x:v>RUN-I2-048-20260829T073358802680Z</x:v>
      </x:c>
      <x:c r="B32" s="47" t="str">
        <x:v>I2-048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1ecb26a861a5121be55adcbc33367a4de469561131f770acad75c0d789fcdd1f</x:v>
      </x:c>
      <x:c r="G32" s="59" t="n">
        <x:v>16662</x:v>
      </x:c>
    </x:row>
    <x:row r="33">
      <x:c r="A33" s="47" t="str">
        <x:v>RUN-I2-048-20260829T073358802680Z</x:v>
      </x:c>
      <x:c r="B33" s="47" t="str">
        <x:v>I2-048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22c048bf8846aedded51c38f698e215a0288c38a7090f24b66f215e5d72cf4fa</x:v>
      </x:c>
      <x:c r="G33" s="59" t="n">
        <x:v>16637</x:v>
      </x:c>
    </x:row>
    <x:row r="34">
      <x:c r="A34" s="47" t="str">
        <x:v>RUN-I2-048-20260829T073358802680Z</x:v>
      </x:c>
      <x:c r="B34" s="47" t="str">
        <x:v>I2-048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415a0bc593bc19fc0088453900b1f16955d369a934932567afda339e1d013fe3</x:v>
      </x:c>
      <x:c r="G34" s="59" t="n">
        <x:v>2637</x:v>
      </x:c>
    </x:row>
    <x:row r="35">
      <x:c r="A35" s="47" t="str">
        <x:v>RUN-I2-048-20260829T073358802680Z</x:v>
      </x:c>
      <x:c r="B35" s="47" t="str">
        <x:v>I2-048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887a205682ab22d5684f9404f1d5a30b2141c0e57e5ddea1c97850ace02a3bd1</x:v>
      </x:c>
      <x:c r="G35" s="59" t="n">
        <x:v>152360</x:v>
      </x:c>
    </x:row>
    <x:row r="36">
      <x:c r="A36" s="49" t="str">
        <x:v>RUN-I2-048-20260829T073358802680Z</x:v>
      </x:c>
      <x:c r="B36" s="49" t="str">
        <x:v>I2-048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1c81f78c38c465ff2cce3cc5fa70078bb238b214ab761583b0729a42972088dc</x:v>
      </x:c>
      <x:c r="G36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be6a0efa92ee4e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RUN-I2-048-20260829T073358802680Z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RUN-I2-048-20260829T073358802680Z</x:v>
      </x:c>
      <x:c r="B5" s="69" t="str">
        <x:v>I2-048</x:v>
      </x:c>
      <x:c r="C5" s="71" t="n">
        <x:v>4</x:v>
      </x:c>
      <x:c r="D5" s="69" t="str">
        <x:v>MAX_ATTEMPTS_REACHED</x:v>
      </x:c>
      <x:c r="E5" s="73" t="str">
        <x:v>Do not freeze. First repair the deterministic vocabulary error: the QUDT prefix is malformed and expands qudt:numericValue and qudt:unit to http://qudt.org/schema/qudtnumericValue and http://qudt.org/schema/qudtunit; use the approved registered QUDT IRIs and namespace, while retaining the declared MilliM unit. Preserve the valid case, selector, plating, table-reference, unit, controlled-value, family-membership, and rank-direction checks. Replace the nested IF with the complete exact iacsUrI2Table8 tableModel: all nine bands (0–10, 10–15, 15–20, 20–25, 25–30, 30–35, 35–40, 40–45, 45–50 mm), exclusive lower and inclusive upper boundaries, every PC1-3/PC1-5/PC4-5/PC6-7 row, both strength families and material classes, and every NOT_APPLICABLE combination. The current query omits b8/40–45 handling and collapses or misassigns table rows. Add requiredHullStructuralSteelGrade minCount 1 and maxCount 1 only for applicable selections; permit no result for NOT_APPLICABLE selections and reject any result there, without imposing top-level case existence. Keep missing selectors failing and enforce rank(actual) &gt;= rank(required) only within the same steelStrengthCategory. The matcher is not needed because no canonical project term is absent or unknown.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69098586149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RUN-I2-048-20260829T073358802680Z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