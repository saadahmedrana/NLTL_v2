
<file path=[Content_Types].xml><?xml version="1.0" encoding="utf-8"?>
<Types xmlns="http://schemas.openxmlformats.org/package/2006/content-types">
  <Default Extension="xml" ContentType="application/vnd.openxmlformats-officedocument.spreadsheetml.sheet.main+xml"/>
  <Default Extension="rels" ContentType="application/vnd.openxmlformats-package.relationships+xml"/>
  <Override PartName="/xl/styles.xml" ContentType="application/vnd.openxmlformats-officedocument.spreadsheetml.styles+xml"/>
  <Override PartName="/xl/theme/theme1.xml" ContentType="application/vnd.openxmlformats-officedocument.theme+xml"/>
  <Override PartName="/xl/featurePropertyBag/featurePropertyBag.xml" ContentType="application/vnd.ms-excel.featurepropertybag+xml"/>
  <Override PartName="/xl/sharedStrings.xml" ContentType="application/vnd.openxmlformats-officedocument.spreadsheetml.sharedStrings+xml"/>
  <Override PartName="/xl/worksheets/sheet1.xml" ContentType="application/vnd.openxmlformats-officedocument.spreadsheetml.worksheet+xml"/>
  <Override PartName="/xl/worksheets/sheet2.xml" ContentType="application/vnd.openxmlformats-officedocument.spreadsheetml.worksheet+xml"/>
  <Override PartName="/xl/tables/table1.xml" ContentType="application/vnd.openxmlformats-officedocument.spreadsheetml.table+xml"/>
  <Override PartName="/xl/worksheets/sheet3.xml" ContentType="application/vnd.openxmlformats-officedocument.spreadsheetml.worksheet+xml"/>
  <Override PartName="/xl/tables/table2.xml" ContentType="application/vnd.openxmlformats-officedocument.spreadsheetml.table+xml"/>
  <Override PartName="/xl/worksheets/sheet4.xml" ContentType="application/vnd.openxmlformats-officedocument.spreadsheetml.worksheet+xml"/>
  <Override PartName="/xl/tables/table3.xml" ContentType="application/vnd.openxmlformats-officedocument.spreadsheetml.table+xml"/>
  <Override PartName="/xl/worksheets/sheet5.xml" ContentType="application/vnd.openxmlformats-officedocument.spreadsheetml.worksheet+xml"/>
  <Override PartName="/xl/tables/table4.xml" ContentType="application/vnd.openxmlformats-officedocument.spreadsheetml.table+xml"/>
  <Override PartName="/xl/worksheets/sheet6.xml" ContentType="application/vnd.openxmlformats-officedocument.spreadsheetml.worksheet+xml"/>
  <Override PartName="/xl/tables/table5.xml" ContentType="application/vnd.openxmlformats-officedocument.spreadsheetml.table+xml"/>
  <Override PartName="/xl/worksheets/sheet7.xml" ContentType="application/vnd.openxmlformats-officedocument.spreadsheetml.worksheet+xml"/>
  <Override PartName="/xl/tables/table6.xml" ContentType="application/vnd.openxmlformats-officedocument.spreadsheetml.table+xml"/>
  <Override PartName="/xl/worksheets/sheet8.xml" ContentType="application/vnd.openxmlformats-officedocument.spreadsheetml.worksheet+xml"/>
  <Override PartName="/xl/tables/table7.xml" ContentType="application/vnd.openxmlformats-officedocument.spreadsheetml.table+xml"/>
  <Override PartName="/xl/worksheets/sheet9.xml" ContentType="application/vnd.openxmlformats-officedocument.spreadsheetml.worksheet+xml"/>
  <Override PartName="/xl/tables/table8.xml" ContentType="application/vnd.openxmlformats-officedocument.spreadsheetml.table+xml"/>
  <Override PartName="/xl/worksheets/sheet10.xml" ContentType="application/vnd.openxmlformats-officedocument.spreadsheetml.worksheet+xml"/>
  <Override PartName="/xl/tables/table9.xml" ContentType="application/vnd.openxmlformats-officedocument.spreadsheetml.table+xml"/>
  <Override PartName="/xl/worksheets/sheet11.xml" ContentType="application/vnd.openxmlformats-officedocument.spreadsheetml.worksheet+xml"/>
  <Override PartName="/xl/tables/table10.xml" ContentType="application/vnd.openxmlformats-officedocument.spreadsheetml.table+xml"/>
  <Override PartName="/xl/worksheets/sheet12.xml" ContentType="application/vnd.openxmlformats-officedocument.spreadsheetml.worksheet+xml"/>
  <Override PartName="/xl/tables/table11.xml" ContentType="application/vnd.openxmlformats-officedocument.spreadsheetml.table+xml"/>
  <Override PartName="/xl/worksheets/sheet13.xml" ContentType="application/vnd.openxmlformats-officedocument.spreadsheetml.worksheet+xml"/>
</Types>
</file>

<file path=_rels/.rels>&#65279;<?xml version="1.0" encoding="utf-8"?><Relationships xmlns="http://schemas.openxmlformats.org/package/2006/relationships"><Relationship Type="http://schemas.openxmlformats.org/officeDocument/2006/relationships/officeDocument" Target="/xl/workbook.xml" Id="Rf844fd92f1a248d4" /></Relationships>
</file>

<file path=xl/workbook.xml><?xml version="1.0" encoding="utf-8"?>
<x:workbook xmlns:x="http://schemas.openxmlformats.org/spreadsheetml/2006/main">
  <x:sheets>
    <x:sheet xmlns:r="http://schemas.openxmlformats.org/officeDocument/2006/relationships" name="SUMMARY" sheetId="1" r:id="R14f226746981404b"/>
    <x:sheet xmlns:r="http://schemas.openxmlformats.org/officeDocument/2006/relationships" name="README" sheetId="2" r:id="R5a9e3279143c42e3"/>
    <x:sheet xmlns:r="http://schemas.openxmlformats.org/officeDocument/2006/relationships" name="REGULATION_QUEUE" sheetId="3" r:id="R7231f01b04d748aa"/>
    <x:sheet xmlns:r="http://schemas.openxmlformats.org/officeDocument/2006/relationships" name="RUNS" sheetId="4" r:id="R7503557a98bb4c65"/>
    <x:sheet xmlns:r="http://schemas.openxmlformats.org/officeDocument/2006/relationships" name="ITERATIONS" sheetId="5" r:id="R488304eb58844fae"/>
    <x:sheet xmlns:r="http://schemas.openxmlformats.org/officeDocument/2006/relationships" name="API_CALLS" sheetId="6" r:id="Rc40772c1c3dc41d7"/>
    <x:sheet xmlns:r="http://schemas.openxmlformats.org/officeDocument/2006/relationships" name="TERM_RETRIEVAL" sheetId="7" r:id="R4d0d09e2afba4c5f"/>
    <x:sheet xmlns:r="http://schemas.openxmlformats.org/officeDocument/2006/relationships" name="FEW_SHOT_SELECTION" sheetId="8" r:id="R6c57bd68534b4647"/>
    <x:sheet xmlns:r="http://schemas.openxmlformats.org/officeDocument/2006/relationships" name="VALIDATION" sheetId="9" r:id="R19401dfe86274a54"/>
    <x:sheet xmlns:r="http://schemas.openxmlformats.org/officeDocument/2006/relationships" name="VOCAB_MATCHES" sheetId="10" r:id="R5f7809aecf574d7a"/>
    <x:sheet xmlns:r="http://schemas.openxmlformats.org/officeDocument/2006/relationships" name="ARTIFACTS" sheetId="11" r:id="R61c072685de64367"/>
    <x:sheet xmlns:r="http://schemas.openxmlformats.org/officeDocument/2006/relationships" name="UNRESOLVED" sheetId="12" r:id="R0df2c1f327b143a7"/>
    <x:sheet xmlns:r="http://schemas.openxmlformats.org/officeDocument/2006/relationships" name="RDF_TEST_QUEUE" sheetId="13" r:id="R286e132279c34864"/>
  </x:sheets>
</x:workbook>
</file>

<file path=xl/sharedStrings.xml><?xml version="1.0" encoding="utf-8"?>
<x:sst xmlns:x="http://schemas.openxmlformats.org/spreadsheetml/2006/main"/>
</file>

<file path=xl/styles.xml><?xml version="1.0" encoding="utf-8"?>
<x:styleSheet xmlns:x="http://schemas.openxmlformats.org/spreadsheetml/2006/main">
  <x:numFmts count="4">
    <x:numFmt numFmtId="200" formatCode="#,##0"/>
    <x:numFmt numFmtId="201" formatCode="#,##0.000"/>
    <x:numFmt numFmtId="202" formatCode="yyyy-mm-dd hh:mm:ss.000"/>
    <x:numFmt numFmtId="203" formatCode="0.000"/>
  </x:numFmts>
  <x:fonts count="10">
    <x:font>
      <x:sz val="11"/>
      <x:name val="Carlito"/>
    </x:font>
    <x:font>
      <x:b/>
      <x:sz val="16"/>
      <x:color rgb="FFFFFFFF"/>
      <x:name val="Carlito"/>
    </x:font>
    <x:font>
      <x:i/>
      <x:sz val="11"/>
      <x:color rgb="FF5B6573"/>
      <x:name val="Carlito"/>
    </x:font>
    <x:font>
      <x:b/>
      <x:sz val="11"/>
      <x:color rgb="FFFFFFFF"/>
      <x:name val="Carlito"/>
    </x:font>
    <x:font>
      <x:b/>
      <x:sz val="11"/>
      <x:color rgb="FF17324D"/>
      <x:name val="Carlito"/>
    </x:font>
    <x:font>
      <x:b/>
      <x:sz val="16"/>
      <x:color rgb="FFFFFFFF"/>
      <x:name val="Aptos"/>
    </x:font>
    <x:font>
      <x:sz val="11"/>
      <x:name val="Aptos"/>
    </x:font>
    <x:font>
      <x:i/>
      <x:sz val="11"/>
      <x:color rgb="FF5B6573"/>
      <x:name val="Aptos"/>
    </x:font>
    <x:font>
      <x:b/>
      <x:sz val="11"/>
      <x:color rgb="FFFFFFFF"/>
      <x:name val="Aptos"/>
    </x:font>
    <x:font>
      <x:b/>
      <x:sz val="11"/>
      <x:color rgb="FF17324D"/>
      <x:name val="Aptos"/>
    </x:font>
  </x:fonts>
  <x:fills count="5">
    <x:fill>
      <x:patternFill patternType="none"/>
    </x:fill>
    <x:fill>
      <x:patternFill patternType="gray125"/>
    </x:fill>
    <x:fill>
      <x:patternFill patternType="solid">
        <x:fgColor rgb="FF17324D"/>
      </x:patternFill>
    </x:fill>
    <x:fill>
      <x:patternFill patternType="solid">
        <x:fgColor rgb="FFE8F1F5"/>
      </x:patternFill>
    </x:fill>
    <x:fill>
      <x:patternFill patternType="solid">
        <x:fgColor rgb="FF0F766E"/>
      </x:patternFill>
    </x:fill>
  </x:fills>
  <x:borders count="6">
    <x:border/>
    <x:border>
      <x:bottom style="thin">
        <x:color rgb="FFCBD5E1"/>
      </x:bottom>
    </x:border>
    <x:border>
      <x:top style="thin">
        <x:color rgb="FFCBD5E1"/>
      </x:top>
      <x:bottom style="thin">
        <x:color rgb="FFCBD5E1"/>
      </x:bottom>
    </x:border>
    <x:border>
      <x:top style="thin">
        <x:color rgb="FFCBD5E1"/>
      </x:top>
    </x:border>
    <x:border>
      <x:left style="thin">
        <x:color rgb="FFCBD5E1"/>
      </x:left>
      <x:top style="thin">
        <x:color rgb="FFCBD5E1"/>
      </x:top>
      <x:bottom style="thin">
        <x:color rgb="FFCBD5E1"/>
      </x:bottom>
    </x:border>
    <x:border>
      <x:right style="thin">
        <x:color rgb="FFCBD5E1"/>
      </x:right>
      <x:top style="thin">
        <x:color rgb="FFCBD5E1"/>
      </x:top>
      <x:bottom style="thin">
        <x:color rgb="FFCBD5E1"/>
      </x:bottom>
    </x:border>
  </x:borders>
  <x:cellStyleXfs count="1">
    <x:xf numFmtId="0" fontId="0" fillId="0" borderId="0"/>
  </x:cellStyleXfs>
  <x:cellXfs count="105">
    <x:xf numFmtId="0" fontId="0" fillId="0" borderId="0" xfId="0"/>
    <x:xf numFmtId="0" fontId="0" fillId="2" borderId="0" xfId="0" applyNumberFormat="1" applyFont="1" applyFill="1" applyBorder="1"/>
    <x:xf numFmtId="0" fontId="1" fillId="2" borderId="0" xfId="0" applyNumberFormat="1" applyFont="1" applyFill="1" applyBorder="1"/>
    <x:xf numFmtId="0" fontId="0" fillId="3" borderId="0" xfId="0" applyNumberFormat="1" applyFont="1" applyFill="1" applyBorder="1"/>
    <x:xf numFmtId="0" fontId="2" fillId="3" borderId="0" xfId="0" applyNumberFormat="1" applyFont="1" applyFill="1" applyBorder="1"/>
    <x:xf numFmtId="0" fontId="0" fillId="4" borderId="0" xfId="0" applyNumberFormat="1" applyFont="1" applyFill="1" applyBorder="1"/>
    <x:xf numFmtId="0" fontId="3" fillId="4" borderId="0" xfId="0" applyNumberFormat="1" applyFont="1" applyFill="1" applyBorder="1"/>
    <x:xf numFmtId="0" fontId="0" fillId="0" borderId="1" xfId="0" applyNumberFormat="1" applyFont="1" applyFill="1" applyBorder="1"/>
    <x:xf numFmtId="0" fontId="0" fillId="0" borderId="2" xfId="0" applyNumberFormat="1" applyFont="1" applyFill="1" applyBorder="1"/>
    <x:xf numFmtId="0" fontId="0" fillId="0" borderId="3" xfId="0" applyNumberFormat="1" applyFont="1" applyFill="1" applyBorder="1"/>
    <x:xf numFmtId="0" fontId="4" fillId="0" borderId="1" xfId="0" applyNumberFormat="1" applyFont="1" applyFill="1" applyBorder="1"/>
    <x:xf numFmtId="0" fontId="4" fillId="0" borderId="2" xfId="0" applyNumberFormat="1" applyFont="1" applyFill="1" applyBorder="1"/>
    <x:xf numFmtId="0" fontId="4" fillId="0" borderId="3" xfId="0" applyNumberFormat="1" applyFont="1" applyFill="1" applyBorder="1"/>
    <x:xf numFmtId="200" fontId="0" fillId="0" borderId="1" xfId="0" applyNumberFormat="1" applyFont="1" applyFill="1" applyBorder="1"/>
    <x:xf numFmtId="200" fontId="0" fillId="0" borderId="2" xfId="0" applyNumberFormat="1" applyFont="1" applyFill="1" applyBorder="1"/>
    <x:xf numFmtId="201" fontId="0" fillId="0" borderId="3" xfId="0" applyNumberFormat="1" applyFont="1" applyFill="1" applyBorder="1"/>
    <x:xf numFmtId="0" fontId="4" fillId="3" borderId="0" xfId="0" applyNumberFormat="1" applyFont="1" applyFill="1" applyBorder="1"/>
    <x:xf numFmtId="0" fontId="0" fillId="0" borderId="0" xfId="0" applyNumberFormat="1" applyFont="1" applyFill="1" applyBorder="1" applyAlignment="1">
      <x:alignment wrapText="1"/>
    </x:xf>
    <x:xf numFmtId="0" fontId="5" fillId="2" borderId="0" xfId="0" applyNumberFormat="1" applyFont="1" applyFill="1" applyBorder="1"/>
    <x:xf numFmtId="0" fontId="6" fillId="2" borderId="0" xfId="0" applyNumberFormat="1" applyFont="1" applyFill="1" applyBorder="1"/>
    <x:xf numFmtId="0" fontId="7" fillId="3" borderId="0" xfId="0" applyNumberFormat="1" applyFont="1" applyFill="1" applyBorder="1"/>
    <x:xf numFmtId="0" fontId="6" fillId="0" borderId="0" xfId="0" applyNumberFormat="1" applyFont="1" applyFill="1" applyBorder="1"/>
    <x:xf numFmtId="0" fontId="8" fillId="4" borderId="0" xfId="0" applyNumberFormat="1" applyFont="1" applyFill="1" applyBorder="1"/>
    <x:xf numFmtId="0" fontId="9" fillId="0" borderId="1" xfId="0" applyNumberFormat="1" applyFont="1" applyFill="1" applyBorder="1"/>
    <x:xf numFmtId="200" fontId="6" fillId="0" borderId="1" xfId="0" applyNumberFormat="1" applyFont="1" applyFill="1" applyBorder="1"/>
    <x:xf numFmtId="0" fontId="9" fillId="0" borderId="2" xfId="0" applyNumberFormat="1" applyFont="1" applyFill="1" applyBorder="1"/>
    <x:xf numFmtId="200" fontId="6" fillId="0" borderId="2" xfId="0" applyNumberFormat="1" applyFont="1" applyFill="1" applyBorder="1"/>
    <x:xf numFmtId="0" fontId="9" fillId="0" borderId="3" xfId="0" applyNumberFormat="1" applyFont="1" applyFill="1" applyBorder="1"/>
    <x:xf numFmtId="201" fontId="6" fillId="0" borderId="3" xfId="0" applyNumberFormat="1" applyFont="1" applyFill="1" applyBorder="1"/>
    <x:xf numFmtId="0" fontId="9" fillId="3" borderId="0" xfId="0" applyNumberFormat="1" applyFont="1" applyFill="1" applyBorder="1"/>
    <x:xf numFmtId="0" fontId="6" fillId="0" borderId="0" xfId="0" applyNumberFormat="1" applyFont="1" applyFill="1" applyBorder="1" applyAlignment="1">
      <x:alignment wrapText="1"/>
    </x:xf>
    <x:xf numFmtId="0" fontId="3" fillId="4" borderId="4" xfId="0" applyNumberFormat="1" applyFont="1" applyFill="1" applyBorder="1"/>
    <x:xf numFmtId="0" fontId="3" fillId="4" borderId="5" xfId="0" applyNumberFormat="1" applyFont="1" applyFill="1" applyBorder="1"/>
    <x:xf numFmtId="0" fontId="3" fillId="4" borderId="4" xfId="0" applyNumberFormat="1" applyFont="1" applyFill="1" applyBorder="1" applyAlignment="1">
      <x:alignment wrapText="1"/>
    </x:xf>
    <x:xf numFmtId="0" fontId="3" fillId="4" borderId="5" xfId="0" applyNumberFormat="1" applyFont="1" applyFill="1" applyBorder="1" applyAlignment="1">
      <x:alignment wrapText="1"/>
    </x:xf>
    <x:xf numFmtId="0" fontId="3" fillId="4" borderId="4" xfId="0" applyNumberFormat="1" applyFont="1" applyFill="1" applyBorder="1" applyAlignment="1">
      <x:alignment vertical="center" wrapText="1"/>
    </x:xf>
    <x:xf numFmtId="0" fontId="3" fillId="4" borderId="5" xfId="0" applyNumberFormat="1" applyFont="1" applyFill="1" applyBorder="1" applyAlignment="1">
      <x:alignment vertical="center" wrapText="1"/>
    </x:xf>
    <x:xf numFmtId="0" fontId="0" fillId="0" borderId="1" xfId="0" applyNumberFormat="1" applyFont="1" applyFill="1" applyBorder="1" applyAlignment="1">
      <x:alignment vertical="top"/>
    </x:xf>
    <x:xf numFmtId="0" fontId="0" fillId="0" borderId="2" xfId="0" applyNumberFormat="1" applyFont="1" applyFill="1" applyBorder="1" applyAlignment="1">
      <x:alignment vertical="top"/>
    </x:xf>
    <x:xf numFmtId="0" fontId="0" fillId="0" borderId="3" xfId="0" applyNumberFormat="1" applyFont="1" applyFill="1" applyBorder="1" applyAlignment="1">
      <x:alignment vertical="top"/>
    </x:xf>
    <x:xf numFmtId="0" fontId="0" fillId="0" borderId="1" xfId="0" applyNumberFormat="1" applyFont="1" applyFill="1" applyBorder="1" applyAlignment="1">
      <x:alignment vertical="top" wrapText="1"/>
    </x:xf>
    <x:xf numFmtId="0" fontId="0" fillId="0" borderId="2" xfId="0" applyNumberFormat="1" applyFont="1" applyFill="1" applyBorder="1" applyAlignment="1">
      <x:alignment vertical="top" wrapText="1"/>
    </x:xf>
    <x:xf numFmtId="0" fontId="0" fillId="0" borderId="3" xfId="0" applyNumberFormat="1" applyFont="1" applyFill="1" applyBorder="1" applyAlignment="1">
      <x:alignment vertical="top" wrapText="1"/>
    </x:xf>
    <x:xf numFmtId="0" fontId="8" fillId="4" borderId="4" xfId="0" applyNumberFormat="1" applyFont="1" applyFill="1" applyBorder="1" applyAlignment="1">
      <x:alignment vertical="center" wrapText="1"/>
    </x:xf>
    <x:xf numFmtId="0" fontId="8" fillId="4" borderId="5" xfId="0" applyNumberFormat="1" applyFont="1" applyFill="1" applyBorder="1" applyAlignment="1">
      <x:alignment vertical="center" wrapText="1"/>
    </x:xf>
    <x:xf numFmtId="0" fontId="6" fillId="0" borderId="1" xfId="0" applyNumberFormat="1" applyFont="1" applyFill="1" applyBorder="1" applyAlignment="1">
      <x:alignment vertical="top"/>
    </x:xf>
    <x:xf numFmtId="0" fontId="6" fillId="0" borderId="1" xfId="0" applyNumberFormat="1" applyFont="1" applyFill="1" applyBorder="1" applyAlignment="1">
      <x:alignment vertical="top" wrapText="1"/>
    </x:xf>
    <x:xf numFmtId="0" fontId="6" fillId="0" borderId="2" xfId="0" applyNumberFormat="1" applyFont="1" applyFill="1" applyBorder="1" applyAlignment="1">
      <x:alignment vertical="top"/>
    </x:xf>
    <x:xf numFmtId="0" fontId="6" fillId="0" borderId="2" xfId="0" applyNumberFormat="1" applyFont="1" applyFill="1" applyBorder="1" applyAlignment="1">
      <x:alignment vertical="top" wrapText="1"/>
    </x:xf>
    <x:xf numFmtId="0" fontId="6" fillId="0" borderId="3" xfId="0" applyNumberFormat="1" applyFont="1" applyFill="1" applyBorder="1" applyAlignment="1">
      <x:alignment vertical="top"/>
    </x:xf>
    <x:xf numFmtId="0" fontId="6" fillId="0" borderId="3" xfId="0" applyNumberFormat="1" applyFont="1" applyFill="1" applyBorder="1" applyAlignment="1">
      <x:alignment vertical="top" wrapText="1"/>
    </x:xf>
    <x:xf numFmtId="0" fontId="3" fillId="4" borderId="2" xfId="0" applyNumberFormat="1" applyFont="1" applyFill="1" applyBorder="1"/>
    <x:xf numFmtId="0" fontId="3" fillId="4" borderId="2" xfId="0" applyNumberFormat="1" applyFont="1" applyFill="1" applyBorder="1" applyAlignment="1">
      <x:alignment wrapText="1"/>
    </x:xf>
    <x:xf numFmtId="0" fontId="3" fillId="4" borderId="2" xfId="0" applyNumberFormat="1" applyFont="1" applyFill="1" applyBorder="1" applyAlignment="1">
      <x:alignment vertical="center" wrapText="1"/>
    </x:xf>
    <x:xf numFmtId="200" fontId="0" fillId="0" borderId="1" xfId="0" applyNumberFormat="1" applyFont="1" applyFill="1" applyBorder="1" applyAlignment="1">
      <x:alignment vertical="top"/>
    </x:xf>
    <x:xf numFmtId="200" fontId="0" fillId="0" borderId="2" xfId="0" applyNumberFormat="1" applyFont="1" applyFill="1" applyBorder="1" applyAlignment="1">
      <x:alignment vertical="top"/>
    </x:xf>
    <x:xf numFmtId="200" fontId="0" fillId="0" borderId="3" xfId="0" applyNumberFormat="1" applyFont="1" applyFill="1" applyBorder="1" applyAlignment="1">
      <x:alignment vertical="top"/>
    </x:xf>
    <x:xf numFmtId="0" fontId="8" fillId="4" borderId="2" xfId="0" applyNumberFormat="1" applyFont="1" applyFill="1" applyBorder="1" applyAlignment="1">
      <x:alignment vertical="center" wrapText="1"/>
    </x:xf>
    <x:xf numFmtId="200" fontId="6" fillId="0" borderId="1" xfId="0" applyNumberFormat="1" applyFont="1" applyFill="1" applyBorder="1" applyAlignment="1">
      <x:alignment vertical="top"/>
    </x:xf>
    <x:xf numFmtId="200" fontId="6" fillId="0" borderId="2" xfId="0" applyNumberFormat="1" applyFont="1" applyFill="1" applyBorder="1" applyAlignment="1">
      <x:alignment vertical="top"/>
    </x:xf>
    <x:xf numFmtId="200" fontId="6" fillId="0" borderId="3" xfId="0" applyNumberFormat="1" applyFont="1" applyFill="1" applyBorder="1" applyAlignment="1">
      <x:alignment vertical="top"/>
    </x:xf>
    <x:xf numFmtId="0" fontId="0" fillId="0" borderId="0" xfId="0">
      <x:extLst>
        <x:ext uri="{C7286773-470A-42A8-94C5-96B5CB345126}">
          <xfpb:xfComplement xmlns:xfpb="http://schemas.microsoft.com/office/spreadsheetml/2022/featurepropertybag" i="0"/>
        </x:ext>
      </x:extLst>
    </x:xf>
    <x:xf numFmtId="0" fontId="0" fillId="0" borderId="0" xfId="0" applyNumberFormat="1" applyFont="1" applyFill="1" applyBorder="1"/>
    <x:xf numFmtId="0" fontId="0" fillId="0" borderId="0" xfId="0" applyNumberFormat="1" applyFont="1" applyFill="1" applyBorder="1">
      <x:extLst>
        <x:ext uri="{C7286773-470A-42A8-94C5-96B5CB345126}">
          <xfpb:xfComplement xmlns:xfpb="http://schemas.microsoft.com/office/spreadsheetml/2022/featurepropertybag" i="0"/>
        </x:ext>
      </x:extLst>
    </x:xf>
    <x:xf numFmtId="0" fontId="0" fillId="0" borderId="0" xfId="0" applyNumberFormat="1" applyFont="1" applyFill="1" applyBorder="1" applyAlignment="1">
      <x:alignment vertical="top"/>
    </x:xf>
    <x:xf numFmtId="0" fontId="0" fillId="0" borderId="0" xfId="0" applyNumberFormat="1" applyFont="1" applyFill="1" applyBorder="1" applyAlignment="1">
      <x:alignment vertical="top"/>
      <x:extLst>
        <x:ext uri="{C7286773-470A-42A8-94C5-96B5CB345126}">
          <xfpb:xfComplement xmlns:xfpb="http://schemas.microsoft.com/office/spreadsheetml/2022/featurepropertybag" i="0"/>
        </x:ext>
      </x:extLst>
    </x:xf>
    <x:xf numFmtId="202" fontId="0" fillId="0" borderId="0" xfId="0" applyNumberFormat="1" applyFont="1" applyFill="1" applyBorder="1" applyAlignment="1">
      <x:alignment vertical="top"/>
    </x:xf>
    <x:xf numFmtId="200" fontId="0" fillId="0" borderId="0" xfId="0" applyNumberFormat="1" applyFont="1" applyFill="1" applyBorder="1" applyAlignment="1">
      <x:alignment vertical="top"/>
    </x:xf>
    <x:xf numFmtId="0" fontId="0" fillId="0" borderId="0" xfId="0" applyNumberFormat="1" applyFont="1" applyFill="1" applyBorder="1" applyAlignment="1">
      <x:alignment vertical="top" wrapText="1"/>
    </x:xf>
    <x:xf numFmtId="0" fontId="6" fillId="0" borderId="0" xfId="0" applyNumberFormat="1" applyFont="1" applyFill="1" applyBorder="1" applyAlignment="1">
      <x:alignment vertical="top"/>
    </x:xf>
    <x:xf numFmtId="202" fontId="6" fillId="0" borderId="0" xfId="0" applyNumberFormat="1" applyFont="1" applyFill="1" applyBorder="1" applyAlignment="1">
      <x:alignment vertical="top"/>
    </x:xf>
    <x:xf numFmtId="200" fontId="6" fillId="0" borderId="0" xfId="0" applyNumberFormat="1" applyFont="1" applyFill="1" applyBorder="1" applyAlignment="1">
      <x:alignment vertical="top"/>
    </x:xf>
    <x:xf numFmtId="0" fontId="6" fillId="0" borderId="0" xfId="0" applyNumberFormat="1" applyFont="1" applyFill="1" applyBorder="1" applyAlignment="1">
      <x:alignment vertical="top"/>
      <x:extLst>
        <x:ext uri="{C7286773-470A-42A8-94C5-96B5CB345126}">
          <xfpb:xfComplement xmlns:xfpb="http://schemas.microsoft.com/office/spreadsheetml/2022/featurepropertybag" i="0"/>
        </x:ext>
      </x:extLst>
    </x:xf>
    <x:xf numFmtId="0" fontId="6" fillId="0" borderId="0" xfId="0" applyNumberFormat="1" applyFont="1" applyFill="1" applyBorder="1" applyAlignment="1">
      <x:alignment vertical="top" wrapText="1"/>
    </x:xf>
    <x:xf numFmtId="0" fontId="0" fillId="0" borderId="1" xfId="0" applyNumberFormat="1" applyFont="1" applyFill="1" applyBorder="1">
      <x:extLst>
        <x:ext uri="{C7286773-470A-42A8-94C5-96B5CB345126}">
          <xfpb:xfComplement xmlns:xfpb="http://schemas.microsoft.com/office/spreadsheetml/2022/featurepropertybag" i="0"/>
        </x:ext>
      </x:extLst>
    </x:xf>
    <x:xf numFmtId="0" fontId="0" fillId="0" borderId="3" xfId="0" applyNumberFormat="1" applyFont="1" applyFill="1" applyBorder="1">
      <x:extLst>
        <x:ext uri="{C7286773-470A-42A8-94C5-96B5CB345126}">
          <xfpb:xfComplement xmlns:xfpb="http://schemas.microsoft.com/office/spreadsheetml/2022/featurepropertybag" i="0"/>
        </x:ext>
      </x:extLst>
    </x:xf>
    <x:xf numFmtId="0" fontId="0" fillId="0" borderId="1" xfId="0" applyNumberFormat="1" applyFont="1" applyFill="1" applyBorder="1" applyAlignment="1">
      <x:alignment vertical="top"/>
      <x:extLst>
        <x:ext uri="{C7286773-470A-42A8-94C5-96B5CB345126}">
          <xfpb:xfComplement xmlns:xfpb="http://schemas.microsoft.com/office/spreadsheetml/2022/featurepropertybag" i="0"/>
        </x:ext>
      </x:extLst>
    </x:xf>
    <x:xf numFmtId="0" fontId="0" fillId="0" borderId="3" xfId="0" applyNumberFormat="1" applyFont="1" applyFill="1" applyBorder="1" applyAlignment="1">
      <x:alignment vertical="top"/>
      <x:extLst>
        <x:ext uri="{C7286773-470A-42A8-94C5-96B5CB345126}">
          <xfpb:xfComplement xmlns:xfpb="http://schemas.microsoft.com/office/spreadsheetml/2022/featurepropertybag" i="0"/>
        </x:ext>
      </x:extLst>
    </x:xf>
    <x:xf numFmtId="201" fontId="0" fillId="0" borderId="1" xfId="0" applyNumberFormat="1" applyFont="1" applyFill="1" applyBorder="1" applyAlignment="1">
      <x:alignment vertical="top"/>
    </x:xf>
    <x:xf numFmtId="201" fontId="0" fillId="0" borderId="3" xfId="0" applyNumberFormat="1" applyFont="1" applyFill="1" applyBorder="1" applyAlignment="1">
      <x:alignment vertical="top"/>
    </x:xf>
    <x:xf numFmtId="0" fontId="6" fillId="0" borderId="1" xfId="0" applyNumberFormat="1" applyFont="1" applyFill="1" applyBorder="1" applyAlignment="1">
      <x:alignment vertical="top"/>
      <x:extLst>
        <x:ext uri="{C7286773-470A-42A8-94C5-96B5CB345126}">
          <xfpb:xfComplement xmlns:xfpb="http://schemas.microsoft.com/office/spreadsheetml/2022/featurepropertybag" i="0"/>
        </x:ext>
      </x:extLst>
    </x:xf>
    <x:xf numFmtId="201" fontId="6" fillId="0" borderId="1" xfId="0" applyNumberFormat="1" applyFont="1" applyFill="1" applyBorder="1" applyAlignment="1">
      <x:alignment vertical="top"/>
    </x:xf>
    <x:xf numFmtId="0" fontId="6" fillId="0" borderId="3" xfId="0" applyNumberFormat="1" applyFont="1" applyFill="1" applyBorder="1" applyAlignment="1">
      <x:alignment vertical="top"/>
      <x:extLst>
        <x:ext uri="{C7286773-470A-42A8-94C5-96B5CB345126}">
          <xfpb:xfComplement xmlns:xfpb="http://schemas.microsoft.com/office/spreadsheetml/2022/featurepropertybag" i="0"/>
        </x:ext>
      </x:extLst>
    </x:xf>
    <x:xf numFmtId="201" fontId="6" fillId="0" borderId="3" xfId="0" applyNumberFormat="1" applyFont="1" applyFill="1" applyBorder="1" applyAlignment="1">
      <x:alignment vertical="top"/>
    </x:xf>
    <x:xf numFmtId="0" fontId="0" fillId="0" borderId="2" xfId="0" applyNumberFormat="1" applyFont="1" applyFill="1" applyBorder="1">
      <x:extLst>
        <x:ext uri="{C7286773-470A-42A8-94C5-96B5CB345126}">
          <xfpb:xfComplement xmlns:xfpb="http://schemas.microsoft.com/office/spreadsheetml/2022/featurepropertybag" i="0"/>
        </x:ext>
      </x:extLst>
    </x:xf>
    <x:xf numFmtId="0" fontId="0" fillId="0" borderId="2" xfId="0" applyNumberFormat="1" applyFont="1" applyFill="1" applyBorder="1" applyAlignment="1">
      <x:alignment vertical="top"/>
      <x:extLst>
        <x:ext uri="{C7286773-470A-42A8-94C5-96B5CB345126}">
          <xfpb:xfComplement xmlns:xfpb="http://schemas.microsoft.com/office/spreadsheetml/2022/featurepropertybag" i="0"/>
        </x:ext>
      </x:extLst>
    </x:xf>
    <x:xf numFmtId="202" fontId="0" fillId="0" borderId="1" xfId="0" applyNumberFormat="1" applyFont="1" applyFill="1" applyBorder="1" applyAlignment="1">
      <x:alignment vertical="top"/>
    </x:xf>
    <x:xf numFmtId="202" fontId="0" fillId="0" borderId="2" xfId="0" applyNumberFormat="1" applyFont="1" applyFill="1" applyBorder="1" applyAlignment="1">
      <x:alignment vertical="top"/>
    </x:xf>
    <x:xf numFmtId="202" fontId="0" fillId="0" borderId="3" xfId="0" applyNumberFormat="1" applyFont="1" applyFill="1" applyBorder="1" applyAlignment="1">
      <x:alignment vertical="top"/>
    </x:xf>
    <x:xf numFmtId="201" fontId="0" fillId="0" borderId="2" xfId="0" applyNumberFormat="1" applyFont="1" applyFill="1" applyBorder="1" applyAlignment="1">
      <x:alignment vertical="top"/>
    </x:xf>
    <x:xf numFmtId="202" fontId="6" fillId="0" borderId="1" xfId="0" applyNumberFormat="1" applyFont="1" applyFill="1" applyBorder="1" applyAlignment="1">
      <x:alignment vertical="top"/>
    </x:xf>
    <x:xf numFmtId="202" fontId="6" fillId="0" borderId="2" xfId="0" applyNumberFormat="1" applyFont="1" applyFill="1" applyBorder="1" applyAlignment="1">
      <x:alignment vertical="top"/>
    </x:xf>
    <x:xf numFmtId="201" fontId="6" fillId="0" borderId="2" xfId="0" applyNumberFormat="1" applyFont="1" applyFill="1" applyBorder="1" applyAlignment="1">
      <x:alignment vertical="top"/>
    </x:xf>
    <x:xf numFmtId="0" fontId="6" fillId="0" borderId="2" xfId="0" applyNumberFormat="1" applyFont="1" applyFill="1" applyBorder="1" applyAlignment="1">
      <x:alignment vertical="top"/>
      <x:extLst>
        <x:ext uri="{C7286773-470A-42A8-94C5-96B5CB345126}">
          <xfpb:xfComplement xmlns:xfpb="http://schemas.microsoft.com/office/spreadsheetml/2022/featurepropertybag" i="0"/>
        </x:ext>
      </x:extLst>
    </x:xf>
    <x:xf numFmtId="202" fontId="6" fillId="0" borderId="3" xfId="0" applyNumberFormat="1" applyFont="1" applyFill="1" applyBorder="1" applyAlignment="1">
      <x:alignment vertical="top"/>
    </x:xf>
    <x:xf numFmtId="203" fontId="0" fillId="0" borderId="1" xfId="0" applyNumberFormat="1" applyFont="1" applyFill="1" applyBorder="1" applyAlignment="1">
      <x:alignment vertical="top"/>
    </x:xf>
    <x:xf numFmtId="203" fontId="0" fillId="0" borderId="3" xfId="0" applyNumberFormat="1" applyFont="1" applyFill="1" applyBorder="1" applyAlignment="1">
      <x:alignment vertical="top"/>
    </x:xf>
    <x:xf numFmtId="203" fontId="6" fillId="0" borderId="1" xfId="0" applyNumberFormat="1" applyFont="1" applyFill="1" applyBorder="1" applyAlignment="1">
      <x:alignment vertical="top"/>
    </x:xf>
    <x:xf numFmtId="203" fontId="6" fillId="0" borderId="3" xfId="0" applyNumberFormat="1" applyFont="1" applyFill="1" applyBorder="1" applyAlignment="1">
      <x:alignment vertical="top"/>
    </x:xf>
    <x:xf numFmtId="0" fontId="0" fillId="0" borderId="1" xfId="0" applyNumberFormat="1" applyFont="1" applyFill="1" applyBorder="1" applyAlignment="1">
      <x:alignment vertical="top" wrapText="1"/>
      <x:extLst>
        <x:ext uri="{C7286773-470A-42A8-94C5-96B5CB345126}">
          <xfpb:xfComplement xmlns:xfpb="http://schemas.microsoft.com/office/spreadsheetml/2022/featurepropertybag" i="0"/>
        </x:ext>
      </x:extLst>
    </x:xf>
    <x:xf numFmtId="0" fontId="0" fillId="0" borderId="3" xfId="0" applyNumberFormat="1" applyFont="1" applyFill="1" applyBorder="1" applyAlignment="1">
      <x:alignment vertical="top" wrapText="1"/>
      <x:extLst>
        <x:ext uri="{C7286773-470A-42A8-94C5-96B5CB345126}">
          <xfpb:xfComplement xmlns:xfpb="http://schemas.microsoft.com/office/spreadsheetml/2022/featurepropertybag" i="0"/>
        </x:ext>
      </x:extLst>
    </x:xf>
    <x:xf numFmtId="0" fontId="6" fillId="0" borderId="1" xfId="0" applyNumberFormat="1" applyFont="1" applyFill="1" applyBorder="1" applyAlignment="1">
      <x:alignment vertical="top" wrapText="1"/>
      <x:extLst>
        <x:ext uri="{C7286773-470A-42A8-94C5-96B5CB345126}">
          <xfpb:xfComplement xmlns:xfpb="http://schemas.microsoft.com/office/spreadsheetml/2022/featurepropertybag" i="0"/>
        </x:ext>
      </x:extLst>
    </x:xf>
    <x:xf numFmtId="0" fontId="6" fillId="0" borderId="3" xfId="0" applyNumberFormat="1" applyFont="1" applyFill="1" applyBorder="1" applyAlignment="1">
      <x:alignment vertical="top" wrapText="1"/>
      <x:extLst>
        <x:ext uri="{C7286773-470A-42A8-94C5-96B5CB345126}">
          <xfpb:xfComplement xmlns:xfpb="http://schemas.microsoft.com/office/spreadsheetml/2022/featurepropertybag" i="0"/>
        </x:ext>
      </x:extLst>
    </x:xf>
    <x:xf numFmtId="0" fontId="2" fillId="0" borderId="0" xfId="0" applyNumberFormat="1" applyFont="1" applyFill="1" applyBorder="1"/>
    <x:xf numFmtId="0" fontId="7" fillId="0" borderId="0" xfId="0" applyNumberFormat="1" applyFont="1" applyFill="1" applyBorder="1"/>
  </x:cellXfs>
  <x:cellStyles count="1">
    <x:cellStyle name="Normal" xfId="0"/>
  </x:cellStyles>
  <x:dxfs count="48">
    <x:dxf>
      <x:fill>
        <x:patternFill patternType="solid">
          <x:bgColor rgb="FFDCFCE7"/>
        </x:patternFill>
      </x:fill>
    </x:dxf>
    <x:dxf>
      <x:fill>
        <x:patternFill patternType="solid">
          <x:bgColor rgb="FFDCFCE7"/>
        </x:patternFill>
      </x:fill>
    </x:dxf>
    <x:dxf>
      <x:fill>
        <x:patternFill patternType="solid">
          <x:bgColor rgb="FFDCFCE7"/>
        </x:patternFill>
      </x:fill>
    </x:dxf>
    <x:dxf>
      <x:fill>
        <x:patternFill patternType="solid">
          <x:bgColor rgb="FFFEE2E2"/>
        </x:patternFill>
      </x:fill>
    </x:dxf>
    <x:dxf>
      <x:fill>
        <x:patternFill patternType="solid">
          <x:bgColor rgb="FFFEE2E2"/>
        </x:patternFill>
      </x:fill>
    </x:dxf>
    <x:dxf>
      <x:fill>
        <x:patternFill patternType="solid">
          <x:bgColor rgb="FFFEF3C7"/>
        </x:patternFill>
      </x:fill>
    </x:dxf>
    <x:dxf>
      <x:fill>
        <x:patternFill patternType="solid">
          <x:bgColor rgb="FFDCFCE7"/>
        </x:patternFill>
      </x:fill>
    </x:dxf>
    <x:dxf>
      <x:fill>
        <x:patternFill patternType="solid">
          <x:bgColor rgb="FFDCFCE7"/>
        </x:patternFill>
      </x:fill>
    </x:dxf>
    <x:dxf>
      <x:fill>
        <x:patternFill patternType="solid">
          <x:bgColor rgb="FFDCFCE7"/>
        </x:patternFill>
      </x:fill>
    </x:dxf>
    <x:dxf>
      <x:fill>
        <x:patternFill patternType="solid">
          <x:bgColor rgb="FFFEE2E2"/>
        </x:patternFill>
      </x:fill>
    </x:dxf>
    <x:dxf>
      <x:fill>
        <x:patternFill patternType="solid">
          <x:bgColor rgb="FFFEE2E2"/>
        </x:patternFill>
      </x:fill>
    </x:dxf>
    <x:dxf>
      <x:fill>
        <x:patternFill patternType="solid">
          <x:bgColor rgb="FFFEF3C7"/>
        </x:patternFill>
      </x:fill>
    </x:dxf>
    <x:dxf>
      <x:fill>
        <x:patternFill patternType="solid">
          <x:bgColor rgb="FFDCFCE7"/>
        </x:patternFill>
      </x:fill>
    </x:dxf>
    <x:dxf>
      <x:fill>
        <x:patternFill patternType="solid">
          <x:bgColor rgb="FFDCFCE7"/>
        </x:patternFill>
      </x:fill>
    </x:dxf>
    <x:dxf>
      <x:fill>
        <x:patternFill patternType="solid">
          <x:bgColor rgb="FFDCFCE7"/>
        </x:patternFill>
      </x:fill>
    </x:dxf>
    <x:dxf>
      <x:fill>
        <x:patternFill patternType="solid">
          <x:bgColor rgb="FFFEE2E2"/>
        </x:patternFill>
      </x:fill>
    </x:dxf>
    <x:dxf>
      <x:fill>
        <x:patternFill patternType="solid">
          <x:bgColor rgb="FFFEE2E2"/>
        </x:patternFill>
      </x:fill>
    </x:dxf>
    <x:dxf>
      <x:fill>
        <x:patternFill patternType="solid">
          <x:bgColor rgb="FFFEF3C7"/>
        </x:patternFill>
      </x:fill>
    </x:dxf>
    <x:dxf>
      <x:fill>
        <x:patternFill patternType="solid">
          <x:bgColor rgb="FFDCFCE7"/>
        </x:patternFill>
      </x:fill>
    </x:dxf>
    <x:dxf>
      <x:fill>
        <x:patternFill patternType="solid">
          <x:bgColor rgb="FFDCFCE7"/>
        </x:patternFill>
      </x:fill>
    </x:dxf>
    <x:dxf>
      <x:fill>
        <x:patternFill patternType="solid">
          <x:bgColor rgb="FFDCFCE7"/>
        </x:patternFill>
      </x:fill>
    </x:dxf>
    <x:dxf>
      <x:fill>
        <x:patternFill patternType="solid">
          <x:bgColor rgb="FFFEE2E2"/>
        </x:patternFill>
      </x:fill>
    </x:dxf>
    <x:dxf>
      <x:fill>
        <x:patternFill patternType="solid">
          <x:bgColor rgb="FFFEE2E2"/>
        </x:patternFill>
      </x:fill>
    </x:dxf>
    <x:dxf>
      <x:fill>
        <x:patternFill patternType="solid">
          <x:bgColor rgb="FFFEF3C7"/>
        </x:patternFill>
      </x:fill>
    </x:dxf>
    <x:dxf>
      <x:fill>
        <x:patternFill patternType="solid">
          <x:bgColor rgb="FFDCFCE7"/>
        </x:patternFill>
      </x:fill>
    </x:dxf>
    <x:dxf>
      <x:fill>
        <x:patternFill patternType="solid">
          <x:bgColor rgb="FFDCFCE7"/>
        </x:patternFill>
      </x:fill>
    </x:dxf>
    <x:dxf>
      <x:fill>
        <x:patternFill patternType="solid">
          <x:bgColor rgb="FFDCFCE7"/>
        </x:patternFill>
      </x:fill>
    </x:dxf>
    <x:dxf>
      <x:fill>
        <x:patternFill patternType="solid">
          <x:bgColor rgb="FFFEE2E2"/>
        </x:patternFill>
      </x:fill>
    </x:dxf>
    <x:dxf>
      <x:fill>
        <x:patternFill patternType="solid">
          <x:bgColor rgb="FFFEE2E2"/>
        </x:patternFill>
      </x:fill>
    </x:dxf>
    <x:dxf>
      <x:fill>
        <x:patternFill patternType="solid">
          <x:bgColor rgb="FFFEF3C7"/>
        </x:patternFill>
      </x:fill>
    </x:dxf>
    <x:dxf>
      <x:fill>
        <x:patternFill patternType="solid">
          <x:bgColor rgb="FFDCFCE7"/>
        </x:patternFill>
      </x:fill>
    </x:dxf>
    <x:dxf>
      <x:fill>
        <x:patternFill patternType="solid">
          <x:bgColor rgb="FFDCFCE7"/>
        </x:patternFill>
      </x:fill>
    </x:dxf>
    <x:dxf>
      <x:fill>
        <x:patternFill patternType="solid">
          <x:bgColor rgb="FFDCFCE7"/>
        </x:patternFill>
      </x:fill>
    </x:dxf>
    <x:dxf>
      <x:fill>
        <x:patternFill patternType="solid">
          <x:bgColor rgb="FFFEE2E2"/>
        </x:patternFill>
      </x:fill>
    </x:dxf>
    <x:dxf>
      <x:fill>
        <x:patternFill patternType="solid">
          <x:bgColor rgb="FFFEE2E2"/>
        </x:patternFill>
      </x:fill>
    </x:dxf>
    <x:dxf>
      <x:fill>
        <x:patternFill patternType="solid">
          <x:bgColor rgb="FFFEF3C7"/>
        </x:patternFill>
      </x:fill>
    </x:dxf>
    <x:dxf>
      <x:fill>
        <x:patternFill patternType="solid">
          <x:bgColor rgb="FFDCFCE7"/>
        </x:patternFill>
      </x:fill>
    </x:dxf>
    <x:dxf>
      <x:fill>
        <x:patternFill patternType="solid">
          <x:bgColor rgb="FFDCFCE7"/>
        </x:patternFill>
      </x:fill>
    </x:dxf>
    <x:dxf>
      <x:fill>
        <x:patternFill patternType="solid">
          <x:bgColor rgb="FFDCFCE7"/>
        </x:patternFill>
      </x:fill>
    </x:dxf>
    <x:dxf>
      <x:fill>
        <x:patternFill patternType="solid">
          <x:bgColor rgb="FFFEE2E2"/>
        </x:patternFill>
      </x:fill>
    </x:dxf>
    <x:dxf>
      <x:fill>
        <x:patternFill patternType="solid">
          <x:bgColor rgb="FFFEE2E2"/>
        </x:patternFill>
      </x:fill>
    </x:dxf>
    <x:dxf>
      <x:fill>
        <x:patternFill patternType="solid">
          <x:bgColor rgb="FFFEF3C7"/>
        </x:patternFill>
      </x:fill>
    </x:dxf>
    <x:dxf>
      <x:fill>
        <x:patternFill patternType="solid">
          <x:bgColor rgb="FFDCFCE7"/>
        </x:patternFill>
      </x:fill>
    </x:dxf>
    <x:dxf>
      <x:fill>
        <x:patternFill patternType="solid">
          <x:bgColor rgb="FFDCFCE7"/>
        </x:patternFill>
      </x:fill>
    </x:dxf>
    <x:dxf>
      <x:fill>
        <x:patternFill patternType="solid">
          <x:bgColor rgb="FFDCFCE7"/>
        </x:patternFill>
      </x:fill>
    </x:dxf>
    <x:dxf>
      <x:fill>
        <x:patternFill patternType="solid">
          <x:bgColor rgb="FFFEE2E2"/>
        </x:patternFill>
      </x:fill>
    </x:dxf>
    <x:dxf>
      <x:fill>
        <x:patternFill patternType="solid">
          <x:bgColor rgb="FFFEE2E2"/>
        </x:patternFill>
      </x:fill>
    </x:dxf>
    <x:dxf>
      <x:fill>
        <x:patternFill patternType="solid">
          <x:bgColor rgb="FFFEF3C7"/>
        </x:patternFill>
      </x:fill>
    </x:dxf>
  </x:dxfs>
</x:styleSheet>
</file>

<file path=xl/_rels/workbook.xml.rels>&#65279;<?xml version="1.0" encoding="utf-8"?><Relationships xmlns="http://schemas.openxmlformats.org/package/2006/relationships"><Relationship Type="http://schemas.openxmlformats.org/officeDocument/2006/relationships/styles" Target="/xl/styles.xml" Id="Rab35d53da1a1441a" /><Relationship Type="http://schemas.openxmlformats.org/officeDocument/2006/relationships/theme" Target="/xl/theme/theme1.xml" Id="Rcc27714291774b64" /><Relationship Type="http://schemas.microsoft.com/office/2022/11/relationships/FeaturePropertyBag" Target="/xl/featurePropertyBag/featurePropertyBag.xml" Id="R374875999f474153" /><Relationship Type="http://schemas.openxmlformats.org/officeDocument/2006/relationships/sharedStrings" Target="/xl/sharedStrings.xml" Id="R3ea6f5b524af49d1" /><Relationship Type="http://schemas.openxmlformats.org/officeDocument/2006/relationships/worksheet" Target="/xl/worksheets/sheet1.xml" Id="R14f226746981404b" /><Relationship Type="http://schemas.openxmlformats.org/officeDocument/2006/relationships/worksheet" Target="/xl/worksheets/sheet2.xml" Id="R5a9e3279143c42e3" /><Relationship Type="http://schemas.openxmlformats.org/officeDocument/2006/relationships/worksheet" Target="/xl/worksheets/sheet3.xml" Id="R7231f01b04d748aa" /><Relationship Type="http://schemas.openxmlformats.org/officeDocument/2006/relationships/worksheet" Target="/xl/worksheets/sheet4.xml" Id="R7503557a98bb4c65" /><Relationship Type="http://schemas.openxmlformats.org/officeDocument/2006/relationships/worksheet" Target="/xl/worksheets/sheet5.xml" Id="R488304eb58844fae" /><Relationship Type="http://schemas.openxmlformats.org/officeDocument/2006/relationships/worksheet" Target="/xl/worksheets/sheet6.xml" Id="Rc40772c1c3dc41d7" /><Relationship Type="http://schemas.openxmlformats.org/officeDocument/2006/relationships/worksheet" Target="/xl/worksheets/sheet7.xml" Id="R4d0d09e2afba4c5f" /><Relationship Type="http://schemas.openxmlformats.org/officeDocument/2006/relationships/worksheet" Target="/xl/worksheets/sheet8.xml" Id="R6c57bd68534b4647" /><Relationship Type="http://schemas.openxmlformats.org/officeDocument/2006/relationships/worksheet" Target="/xl/worksheets/sheet9.xml" Id="R19401dfe86274a54" /><Relationship Type="http://schemas.openxmlformats.org/officeDocument/2006/relationships/worksheet" Target="/xl/worksheets/sheet10.xml" Id="R5f7809aecf574d7a" /><Relationship Type="http://schemas.openxmlformats.org/officeDocument/2006/relationships/worksheet" Target="/xl/worksheets/sheet11.xml" Id="R61c072685de64367" /><Relationship Type="http://schemas.openxmlformats.org/officeDocument/2006/relationships/worksheet" Target="/xl/worksheets/sheet12.xml" Id="R0df2c1f327b143a7" /><Relationship Type="http://schemas.openxmlformats.org/officeDocument/2006/relationships/worksheet" Target="/xl/worksheets/sheet13.xml" Id="R286e132279c34864" /></Relationships>
</file>

<file path=xl/featurePropertyBag/featurePropertyBag.xml><?xml version="1.0" encoding="utf-8"?>
<xfpb:FeaturePropertyBags xmlns:xfpb="http://schemas.microsoft.com/office/spreadsheetml/2022/featurepropertybag">
  <xfpb:bag type="Checkbox"/>
  <xfpb:bag type="XFControls">
    <xfpb:bagId k="CellControl">0</xfpb:bagId>
  </xfpb:bag>
  <xfpb:bag type="XFComplement">
    <xfpb:bagId k="XFControls">1</xfpb:bagId>
  </xfpb:bag>
  <xfpb:bag type="XFComplements" extRef="XFComplementsMapperExtRef">
    <xfpb:a k="MappedFeaturePropertyBags">
      <xfpb:bagId>2</xfpb:bagId>
    </xfpb:a>
  </xfpb:bag>
</xfpb:FeaturePropertyBags>
</file>

<file path=xl/tables/table1.xml><?xml version="1.0" encoding="utf-8"?>
<x:table xmlns:x="http://schemas.openxmlformats.org/spreadsheetml/2006/main" id="1" name="T1_README" displayName="T1_README" ref="A4:B10" headerRowCount="1" totalsRowCount="0" totalsRowShown="0">
  <x:tableColumns count="2">
    <x:tableColumn id="1" name="SECTION"/>
    <x:tableColumn id="2" name="DETAIL"/>
  </x:tableColumns>
  <x:tableStyleInfo name="TableStyleMedium2" showFirstColumn="0" showLastColumn="0" showRowStripes="1" showColumnStripes="0"/>
</x:table>
</file>

<file path=xl/tables/table2.xml><?xml version="1.0" encoding="utf-8"?>
<x:table xmlns:x="http://schemas.openxmlformats.org/spreadsheetml/2006/main" id="2" name="T2_REGULATIONQUEUE" displayName="T2_REGULATIONQUEUE" ref="A4:K317" headerRowCount="1" totalsRowCount="0" totalsRowShown="0">
  <x:tableColumns count="11">
    <x:tableColumn id="1" name="REQUIREMENT_ID"/>
    <x:tableColumn id="2" name="SOURCE"/>
    <x:tableColumn id="3" name="EDITION"/>
    <x:tableColumn id="4" name="PAGE"/>
    <x:tableColumn id="5" name="CLAUSE"/>
    <x:tableColumn id="6" name="CATEGORY"/>
    <x:tableColumn id="7" name="ACTIVE_STATUS"/>
    <x:tableColumn id="8" name="CODABILITY"/>
    <x:tableColumn id="9" name="FIGURE_DEPENDENT"/>
    <x:tableColumn id="10" name="QUEUE_ELIGIBILITY"/>
    <x:tableColumn id="11" name="RUN_STATUS"/>
  </x:tableColumns>
  <x:tableStyleInfo name="TableStyleMedium2" showFirstColumn="0" showLastColumn="0" showRowStripes="1" showColumnStripes="0"/>
</x:table>
</file>

<file path=xl/tables/table3.xml><?xml version="1.0" encoding="utf-8"?>
<x:table xmlns:x="http://schemas.openxmlformats.org/spreadsheetml/2006/main" id="3" name="T3_RUNS" displayName="T3_RUNS" ref="A4:L5" headerRowCount="1" totalsRowCount="0" totalsRowShown="0">
  <x:tableColumns count="12">
    <x:tableColumn id="1" name="SESSION_ID"/>
    <x:tableColumn id="2" name="RUN_ID"/>
    <x:tableColumn id="3" name="REQUIREMENT_ID"/>
    <x:tableColumn id="4" name="STARTED_UTC"/>
    <x:tableColumn id="5" name="FINISHED_UTC"/>
    <x:tableColumn id="6" name="PIPELINE_VERSION"/>
    <x:tableColumn id="7" name="VOCABULARY_LOCK_ID"/>
    <x:tableColumn id="8" name="ATTEMPTS"/>
    <x:tableColumn id="9" name="FINAL_STATUS"/>
    <x:tableColumn id="10" name="ACCEPTED"/>
    <x:tableColumn id="11" name="FINAL_SHAPE"/>
    <x:tableColumn id="12" name="FINAL_FEEDBACK"/>
  </x:tableColumns>
  <x:tableStyleInfo name="TableStyleMedium2" showFirstColumn="0" showLastColumn="0" showRowStripes="1" showColumnStripes="0"/>
</x:table>
</file>

<file path=xl/tables/table4.xml><?xml version="1.0" encoding="utf-8"?>
<x:table xmlns:x="http://schemas.openxmlformats.org/spreadsheetml/2006/main" id="4" name="T4_ITERATIONS" displayName="T4_ITERATIONS" ref="A4:J6" headerRowCount="1" totalsRowCount="0" totalsRowShown="0">
  <x:tableColumns count="10">
    <x:tableColumn id="1" name="RUN_ID"/>
    <x:tableColumn id="2" name="REQUIREMENT_ID"/>
    <x:tableColumn id="3" name="ITERATION"/>
    <x:tableColumn id="4" name="STATIC_VALID"/>
    <x:tableColumn id="5" name="VALIDATOR_ACCEPT"/>
    <x:tableColumn id="6" name="MATCHER_ACTIVATED"/>
    <x:tableColumn id="7" name="DECISION"/>
    <x:tableColumn id="8" name="FEEDBACK"/>
    <x:tableColumn id="9" name="GENERATOR_ELAPSED_MS"/>
    <x:tableColumn id="10" name="VALIDATOR_ELAPSED_MS"/>
  </x:tableColumns>
  <x:tableStyleInfo name="TableStyleMedium2" showFirstColumn="0" showLastColumn="0" showRowStripes="1" showColumnStripes="0"/>
</x:table>
</file>

<file path=xl/tables/table5.xml><?xml version="1.0" encoding="utf-8"?>
<x:table xmlns:x="http://schemas.openxmlformats.org/spreadsheetml/2006/main" id="5" name="T5_APICALLS" displayName="T5_APICALLS" ref="A4:P16" headerRowCount="1" totalsRowCount="0" totalsRowShown="0">
  <x:tableColumns count="16">
    <x:tableColumn id="1" name="EVENT_ID"/>
    <x:tableColumn id="2" name="RUN_ID"/>
    <x:tableColumn id="3" name="REQUIREMENT_ID"/>
    <x:tableColumn id="4" name="TIMESTAMP_UTC"/>
    <x:tableColumn id="5" name="ROLE"/>
    <x:tableColumn id="6" name="MODEL"/>
    <x:tableColumn id="7" name="TRANSPORT_ATTEMPT"/>
    <x:tableColumn id="8" name="STATUS"/>
    <x:tableColumn id="9" name="AUTH_HEADER_NAME"/>
    <x:tableColumn id="10" name="RATE_LIMIT_WAIT_MS"/>
    <x:tableColumn id="11" name="ELAPSED_MS"/>
    <x:tableColumn id="12" name="RETRYING"/>
    <x:tableColumn id="13" name="RESPONSE_ID"/>
    <x:tableColumn id="14" name="INPUT_TOKENS"/>
    <x:tableColumn id="15" name="OUTPUT_TOKENS"/>
    <x:tableColumn id="16" name="TOTAL_TOKENS"/>
  </x:tableColumns>
  <x:tableStyleInfo name="TableStyleMedium2" showFirstColumn="0" showLastColumn="0" showRowStripes="1" showColumnStripes="0"/>
</x:table>
</file>

<file path=xl/tables/table6.xml><?xml version="1.0" encoding="utf-8"?>
<x:table xmlns:x="http://schemas.openxmlformats.org/spreadsheetml/2006/main" id="6" name="T6_TERMRETRIEVAL" displayName="T6_TERMRETRIEVAL" ref="A4:J43" headerRowCount="1" totalsRowCount="0" totalsRowShown="0">
  <x:tableColumns count="10">
    <x:tableColumn id="1" name="RUN_ID"/>
    <x:tableColumn id="2" name="REQUIREMENT_ID"/>
    <x:tableColumn id="3" name="LOCAL_NAME"/>
    <x:tableColumn id="4" name="IRI"/>
    <x:tableColumn id="5" name="KIND"/>
    <x:tableColumn id="6" name="DATATYPE"/>
    <x:tableColumn id="7" name="RANGE"/>
    <x:tableColumn id="8" name="RECOMMENDED_UNIT"/>
    <x:tableColumn id="9" name="SELECTION_REASON"/>
    <x:tableColumn id="10" name="ITERATION_ADDED"/>
  </x:tableColumns>
  <x:tableStyleInfo name="TableStyleMedium2" showFirstColumn="0" showLastColumn="0" showRowStripes="1" showColumnStripes="0"/>
</x:table>
</file>

<file path=xl/tables/table7.xml><?xml version="1.0" encoding="utf-8"?>
<x:table xmlns:x="http://schemas.openxmlformats.org/spreadsheetml/2006/main" id="7" name="T7_FEWSHOTSELECTION" displayName="T7_FEWSHOTSELECTION" ref="A4:G6" headerRowCount="1" totalsRowCount="0" totalsRowShown="0">
  <x:tableColumns count="7">
    <x:tableColumn id="1" name="RUN_ID"/>
    <x:tableColumn id="2" name="REQUIREMENT_ID"/>
    <x:tableColumn id="3" name="EXAMPLE_ID"/>
    <x:tableColumn id="4" name="CASE_ID"/>
    <x:tableColumn id="5" name="SCORE"/>
    <x:tableColumn id="6" name="MATCHED_TAGS"/>
    <x:tableColumn id="7" name="STATUS"/>
  </x:tableColumns>
  <x:tableStyleInfo name="TableStyleMedium2" showFirstColumn="0" showLastColumn="0" showRowStripes="1" showColumnStripes="0"/>
</x:table>
</file>

<file path=xl/tables/table8.xml><?xml version="1.0" encoding="utf-8"?>
<x:table xmlns:x="http://schemas.openxmlformats.org/spreadsheetml/2006/main" id="8" name="T8_VALIDATION" displayName="T8_VALIDATION" ref="A4:Q6" headerRowCount="1" totalsRowCount="0" totalsRowShown="0">
  <x:tableColumns count="17">
    <x:tableColumn id="1" name="RUN_ID"/>
    <x:tableColumn id="2" name="REQUIREMENT_ID"/>
    <x:tableColumn id="3" name="ITERATION"/>
    <x:tableColumn id="4" name="VALID"/>
    <x:tableColumn id="5" name="EXTRACTION_VALID"/>
    <x:tableColumn id="6" name="TURTLE_VALID"/>
    <x:tableColumn id="7" name="SHACL_STRUCTURE_VALID"/>
    <x:tableColumn id="8" name="META_SHACL_VALID"/>
    <x:tableColumn id="9" name="VOCABULARY_VALID"/>
    <x:tableColumn id="10" name="DATATYPE_UNIT_VALID"/>
    <x:tableColumn id="11" name="TARGET_PATH_VALID"/>
    <x:tableColumn id="12" name="ERRORS"/>
    <x:tableColumn id="13" name="WARNINGS"/>
    <x:tableColumn id="14" name="USED_CANONICAL_IRIS"/>
    <x:tableColumn id="15" name="UNKNOWN_IRIS"/>
    <x:tableColumn id="16" name="OUT_OF_SCOPE_IRIS"/>
    <x:tableColumn id="17" name="SUSPICIOUS_EXTERNAL_IRIS"/>
  </x:tableColumns>
  <x:tableStyleInfo name="TableStyleMedium2" showFirstColumn="0" showLastColumn="0" showRowStripes="1" showColumnStripes="0"/>
</x:table>
</file>

<file path=xl/tables/table9.xml><?xml version="1.0" encoding="utf-8"?>
<x:table xmlns:x="http://schemas.openxmlformats.org/spreadsheetml/2006/main" id="9" name="T9_VOCABMATCHES" displayName="T9_VOCABMATCHES" ref="A4:J8" headerRowCount="1" totalsRowCount="0" totalsRowShown="0">
  <x:tableColumns count="10">
    <x:tableColumn id="1" name="RUN_ID"/>
    <x:tableColumn id="2" name="REQUIREMENT_ID"/>
    <x:tableColumn id="3" name="ITERATION"/>
    <x:tableColumn id="4" name="EVENT"/>
    <x:tableColumn id="5" name="QUERY_FEEDBACK"/>
    <x:tableColumn id="6" name="CANDIDATE_COUNT"/>
    <x:tableColumn id="7" name="MATCH_FOUND"/>
    <x:tableColumn id="8" name="CANONICAL_LOCAL_NAME"/>
    <x:tableColumn id="9" name="CANONICAL_IRI"/>
    <x:tableColumn id="10" name="FEEDBACK_APPENDIX"/>
  </x:tableColumns>
  <x:tableStyleInfo name="TableStyleMedium2" showFirstColumn="0" showLastColumn="0" showRowStripes="1" showColumnStripes="0"/>
</x:table>
</file>

<file path=xl/tables/table10.xml><?xml version="1.0" encoding="utf-8"?>
<x:table xmlns:x="http://schemas.openxmlformats.org/spreadsheetml/2006/main" id="10" name="T10_ARTIFACTS" displayName="T10_ARTIFACTS" ref="A4:G25" headerRowCount="1" totalsRowCount="0" totalsRowShown="0">
  <x:tableColumns count="7">
    <x:tableColumn id="1" name="RUN_ID"/>
    <x:tableColumn id="2" name="REQUIREMENT_ID"/>
    <x:tableColumn id="3" name="ITERATION"/>
    <x:tableColumn id="4" name="ARTIFACT_TYPE"/>
    <x:tableColumn id="5" name="ARTIFACT_PATH"/>
    <x:tableColumn id="6" name="SHA256"/>
    <x:tableColumn id="7" name="BYTES"/>
  </x:tableColumns>
  <x:tableStyleInfo name="TableStyleMedium2" showFirstColumn="0" showLastColumn="0" showRowStripes="1" showColumnStripes="0"/>
</x:table>
</file>

<file path=xl/tables/table11.xml><?xml version="1.0" encoding="utf-8"?>
<x:table xmlns:x="http://schemas.openxmlformats.org/spreadsheetml/2006/main" id="11" name="T11_UNRESOLVED" displayName="T11_UNRESOLVED" ref="A4:F5" headerRowCount="1" totalsRowCount="0" totalsRowShown="0">
  <x:tableColumns count="6">
    <x:tableColumn id="1" name="RUN_ID"/>
    <x:tableColumn id="2" name="REQUIREMENT_ID"/>
    <x:tableColumn id="3" name="ITERATION"/>
    <x:tableColumn id="4" name="ISSUE_TYPE"/>
    <x:tableColumn id="5" name="DETAIL"/>
    <x:tableColumn id="6" name="STATUS"/>
  </x:tableColumns>
  <x:tableStyleInfo name="TableStyleMedium2" showFirstColumn="0" showLastColumn="0" showRowStripes="1" showColumnStripes="0"/>
</x:table>
</file>

<file path=xl/theme/theme1.xml><?xml version="1.0" encoding="utf-8"?>
<a:theme xmlns:a="http://schemas.openxmlformats.org/drawingml/2006/main" name="ChatGPT">
  <a:themeElements>
    <a:clrScheme name="ChatGPT">
      <a:dk1>
        <a:sysClr val="windowText" lastClr="000000"/>
      </a:dk1>
      <a:lt1>
        <a:sysClr val="window" lastClr="FFFFFF"/>
      </a:lt1>
      <a:dk2>
        <a:srgbClr val="0E2841"/>
      </a:dk2>
      <a:lt2>
        <a:srgbClr val="E8E8E8"/>
      </a:lt2>
      <a:accent1>
        <a:srgbClr val="156082"/>
      </a:accent1>
      <a:accent2>
        <a:srgbClr val="E97132"/>
      </a:accent2>
      <a:accent3>
        <a:srgbClr val="196B24"/>
      </a:accent3>
      <a:accent4>
        <a:srgbClr val="0F9ED5"/>
      </a:accent4>
      <a:accent5>
        <a:srgbClr val="A02B93"/>
      </a:accent5>
      <a:accent6>
        <a:srgbClr val="4EA72E"/>
      </a:accent6>
      <a:hlink>
        <a:srgbClr val="467886"/>
      </a:hlink>
      <a:folHlink>
        <a:srgbClr val="96607D"/>
      </a:folHlink>
    </a:clrScheme>
    <a:fontScheme name="Office">
      <a:majorFont>
        <a:latin typeface="Calibri Light"/>
        <a:ea typeface="Calibri Light"/>
        <a:cs typeface="Calibri Light"/>
      </a:majorFont>
      <a:minorFont>
        <a:latin typeface="Calibri"/>
        <a:ea typeface="Calibri"/>
        <a:cs typeface="Calibri"/>
      </a:minorFont>
    </a:fontScheme>
    <a:fmtScheme name="ChatGPT">
      <a:fillStyleLst>
        <a:solidFill>
          <a:schemeClr val="phClr"/>
        </a:solidFill>
        <a:gradFill>
          <a:gsLst>
            <a:gs pos="0">
              <a:schemeClr val="phClr">
                <a:tint val="67000"/>
                <a:lumMod val="110000"/>
                <a:satMod val="105000"/>
              </a:schemeClr>
            </a:gs>
            <a:gs pos="50000">
              <a:schemeClr val="phClr">
                <a:tint val="73000"/>
                <a:lumMod val="105000"/>
                <a:satMod val="103000"/>
              </a:schemeClr>
            </a:gs>
            <a:gs pos="100000">
              <a:schemeClr val="phClr">
                <a:tint val="81000"/>
                <a:lumMod val="105000"/>
                <a:satMod val="109000"/>
              </a:schemeClr>
            </a:gs>
          </a:gsLst>
          <a:lin ang="5400000" scaled="0"/>
        </a:gradFill>
        <a:gradFill>
          <a:gsLst>
            <a:gs pos="0">
              <a:schemeClr val="phClr">
                <a:tint val="94000"/>
                <a:lumMod val="102000"/>
                <a:satMod val="103000"/>
              </a:schemeClr>
            </a:gs>
            <a:gs pos="50000">
              <a:schemeClr val="phClr">
                <a:shade val="100000"/>
                <a:lumMod val="100000"/>
                <a:satMod val="110000"/>
              </a:schemeClr>
            </a:gs>
            <a:gs pos="100000">
              <a:schemeClr val="phClr">
                <a:shade val="78000"/>
                <a:lumMod val="99000"/>
                <a:satMod val="120000"/>
              </a:schemeClr>
            </a:gs>
          </a:gsLst>
          <a:lin ang="5400000" scaled="0"/>
        </a:gradFill>
      </a:fillStyleLst>
      <a:lnStyleLst>
        <a:ln w="12700">
          <a:solidFill>
            <a:schemeClr val="phClr"/>
          </a:solidFill>
          <a:prstDash val="solid"/>
        </a:ln>
        <a:ln w="19050">
          <a:solidFill>
            <a:schemeClr val="phClr"/>
          </a:solidFill>
          <a:prstDash val="solid"/>
        </a:ln>
        <a:ln w="25400">
          <a:solidFill>
            <a:schemeClr val="phClr"/>
          </a:solidFill>
          <a:prstDash val="solid"/>
        </a:ln>
      </a:lnStyleLst>
      <a:effectStyleLst>
        <a:effectStyle>
          <a:effectLst/>
        </a:effectStyle>
        <a:effectStyle>
          <a:effectLst/>
        </a:effectStyle>
        <a:effectStyle>
          <a:effectLst>
            <a:outerShdw blurRad="57150" dist="19050" dir="5400000">
              <a:srgbClr val="000000">
                <a:alpha val="63000"/>
              </a:srgbClr>
            </a:outerShdw>
          </a:effectLst>
        </a:effectStyle>
      </a:effectStyleLst>
      <a:bgFillStyleLst>
        <a:solidFill>
          <a:schemeClr val="phClr"/>
        </a:solidFill>
        <a:solidFill>
          <a:schemeClr val="phClr">
            <a:tint val="95000"/>
            <a:satMod val="170000"/>
          </a:schemeClr>
        </a:solidFill>
        <a:gradFill>
          <a:gsLst>
            <a:gs pos="0">
              <a:schemeClr val="phClr">
                <a:tint val="93000"/>
                <a:shade val="98000"/>
                <a:lumMod val="102000"/>
                <a:satMod val="150000"/>
              </a:schemeClr>
            </a:gs>
            <a:gs pos="50000">
              <a:schemeClr val="phClr">
                <a:tint val="98000"/>
                <a:shade val="90000"/>
                <a:lumMod val="103000"/>
                <a:satMod val="130000"/>
              </a:schemeClr>
            </a:gs>
            <a:gs pos="100000">
              <a:schemeClr val="phClr">
                <a:shade val="63000"/>
                <a:satMod val="120000"/>
              </a:schemeClr>
            </a:gs>
          </a:gsLst>
          <a:lin ang="5400000" scaled="0"/>
        </a:gradFill>
      </a:bgFillStyleLst>
    </a:fmtScheme>
  </a:themeElements>
</a:theme>
</file>

<file path=xl/worksheets/_rels/sheet2.xml.rels>&#65279;<?xml version="1.0" encoding="utf-8"?><Relationships xmlns="http://schemas.openxmlformats.org/package/2006/relationships"><Relationship Type="http://schemas.openxmlformats.org/officeDocument/2006/relationships/table" Target="/xl/tables/table1.xml" Id="Redf2f4f724924c86" /></Relationships>
</file>

<file path=xl/worksheets/_rels/sheet3.xml.rels>&#65279;<?xml version="1.0" encoding="utf-8"?><Relationships xmlns="http://schemas.openxmlformats.org/package/2006/relationships"><Relationship Type="http://schemas.openxmlformats.org/officeDocument/2006/relationships/table" Target="/xl/tables/table2.xml" Id="Rd1f24f983d5e4328" /></Relationships>
</file>

<file path=xl/worksheets/_rels/sheet4.xml.rels>&#65279;<?xml version="1.0" encoding="utf-8"?><Relationships xmlns="http://schemas.openxmlformats.org/package/2006/relationships"><Relationship Type="http://schemas.openxmlformats.org/officeDocument/2006/relationships/table" Target="/xl/tables/table3.xml" Id="R00ba161ca8914ea0" /></Relationships>
</file>

<file path=xl/worksheets/_rels/sheet5.xml.rels>&#65279;<?xml version="1.0" encoding="utf-8"?><Relationships xmlns="http://schemas.openxmlformats.org/package/2006/relationships"><Relationship Type="http://schemas.openxmlformats.org/officeDocument/2006/relationships/table" Target="/xl/tables/table4.xml" Id="Re34c537025b749d0" /></Relationships>
</file>

<file path=xl/worksheets/_rels/sheet6.xml.rels>&#65279;<?xml version="1.0" encoding="utf-8"?><Relationships xmlns="http://schemas.openxmlformats.org/package/2006/relationships"><Relationship Type="http://schemas.openxmlformats.org/officeDocument/2006/relationships/table" Target="/xl/tables/table5.xml" Id="Rb26ffca550484167" /></Relationships>
</file>

<file path=xl/worksheets/_rels/sheet7.xml.rels>&#65279;<?xml version="1.0" encoding="utf-8"?><Relationships xmlns="http://schemas.openxmlformats.org/package/2006/relationships"><Relationship Type="http://schemas.openxmlformats.org/officeDocument/2006/relationships/table" Target="/xl/tables/table6.xml" Id="R39f62cf5a20244f6" /></Relationships>
</file>

<file path=xl/worksheets/_rels/sheet8.xml.rels>&#65279;<?xml version="1.0" encoding="utf-8"?><Relationships xmlns="http://schemas.openxmlformats.org/package/2006/relationships"><Relationship Type="http://schemas.openxmlformats.org/officeDocument/2006/relationships/table" Target="/xl/tables/table7.xml" Id="Rc4aaacbc22f5403b" /></Relationships>
</file>

<file path=xl/worksheets/_rels/sheet9.xml.rels>&#65279;<?xml version="1.0" encoding="utf-8"?><Relationships xmlns="http://schemas.openxmlformats.org/package/2006/relationships"><Relationship Type="http://schemas.openxmlformats.org/officeDocument/2006/relationships/table" Target="/xl/tables/table8.xml" Id="R158a6a8fb33844a6" /></Relationships>
</file>

<file path=xl/worksheets/_rels/sheet10.xml.rels>&#65279;<?xml version="1.0" encoding="utf-8"?><Relationships xmlns="http://schemas.openxmlformats.org/package/2006/relationships"><Relationship Type="http://schemas.openxmlformats.org/officeDocument/2006/relationships/table" Target="/xl/tables/table9.xml" Id="Rb33e70fbf7b3401d" /></Relationships>
</file>

<file path=xl/worksheets/_rels/sheet11.xml.rels>&#65279;<?xml version="1.0" encoding="utf-8"?><Relationships xmlns="http://schemas.openxmlformats.org/package/2006/relationships"><Relationship Type="http://schemas.openxmlformats.org/officeDocument/2006/relationships/table" Target="/xl/tables/table10.xml" Id="Ref7c6e2c98d44eeb" /></Relationships>
</file>

<file path=xl/worksheets/_rels/sheet12.xml.rels>&#65279;<?xml version="1.0" encoding="utf-8"?><Relationships xmlns="http://schemas.openxmlformats.org/package/2006/relationships"><Relationship Type="http://schemas.openxmlformats.org/officeDocument/2006/relationships/table" Target="/xl/tables/table11.xml" Id="R35b06a750f824e51" /></Relationships>
</file>

<file path=xl/worksheets/sheet1.xml><?xml version="1.0" encoding="utf-8"?>
<x:worksheet xmlns:x="http://schemas.openxmlformats.org/spreadsheetml/2006/main">
  <x:sheetViews>
    <x:sheetView showGridLines="0" workbookViewId="0"/>
  </x:sheetViews>
  <x:sheetFormatPr defaultRowHeight="15"/>
  <x:cols>
    <x:col min="1" max="1" width="24" hidden="0" customWidth="1"/>
    <x:col min="2" max="2" width="78" hidden="0" customWidth="1"/>
    <x:col min="3" max="3" width="8" hidden="0" customWidth="1"/>
    <x:col min="4" max="4" width="8" hidden="0" customWidth="1"/>
  </x:cols>
  <x:sheetData>
    <x:row r="1">
      <x:c r="A1" s="18" t="str">
        <x:v>NLTL SHACL Pipeline Run Tracker</x:v>
      </x:c>
      <x:c r="B1" s="19"/>
      <x:c r="C1" s="19"/>
      <x:c r="D1" s="19"/>
    </x:row>
    <x:row r="2">
      <x:c r="A2" s="20" t="str">
        <x:v>Run folder: RUN-IMO-048-20260829T082613777541Z</x:v>
      </x:c>
      <x:c r="B2" s="20"/>
      <x:c r="C2" s="20"/>
      <x:c r="D2" s="20"/>
    </x:row>
    <x:row r="3">
      <x:c r="A3" s="21"/>
      <x:c r="B3" s="21"/>
      <x:c r="C3" s="21"/>
      <x:c r="D3" s="21"/>
    </x:row>
    <x:row r="4">
      <x:c r="A4" s="22" t="str">
        <x:v>METRIC</x:v>
      </x:c>
      <x:c r="B4" s="22" t="str">
        <x:v>VALUE</x:v>
      </x:c>
      <x:c r="C4" s="21"/>
      <x:c r="D4" s="21"/>
    </x:row>
    <x:row r="5">
      <x:c r="A5" s="23" t="str">
        <x:v>Requirements tracked</x:v>
      </x:c>
      <x:c r="B5" s="24" t="n">
        <x:f>COUNTA('REGULATION_QUEUE'!$A$5:$A$317)</x:f>
        <x:v>313</x:v>
      </x:c>
      <x:c r="C5" s="21"/>
      <x:c r="D5" s="21"/>
    </x:row>
    <x:row r="6">
      <x:c r="A6" s="25" t="str">
        <x:v>Generation eligible</x:v>
      </x:c>
      <x:c r="B6" s="26" t="n">
        <x:f>COUNTIF('REGULATION_QUEUE'!$J$5:$J$317,"ELIGIBLE")</x:f>
        <x:v>268</x:v>
      </x:c>
      <x:c r="C6" s="21"/>
      <x:c r="D6" s="21"/>
    </x:row>
    <x:row r="7">
      <x:c r="A7" s="25" t="str">
        <x:v>Runs represented</x:v>
      </x:c>
      <x:c r="B7" s="26" t="n">
        <x:f>COUNTA('RUNS'!$A$5:$A$5)</x:f>
        <x:v>1</x:v>
      </x:c>
      <x:c r="C7" s="21"/>
      <x:c r="D7" s="21"/>
    </x:row>
    <x:row r="8">
      <x:c r="A8" s="25" t="str">
        <x:v>Accepted runs</x:v>
      </x:c>
      <x:c r="B8" s="26" t="n">
        <x:f>COUNTIF('RUNS'!$I$5:$I$5,"GENERATION_ACCEPTED")</x:f>
        <x:v>0</x:v>
      </x:c>
      <x:c r="C8" s="21"/>
      <x:c r="D8" s="21"/>
    </x:row>
    <x:row r="9">
      <x:c r="A9" s="25" t="str">
        <x:v>API/LLM records</x:v>
      </x:c>
      <x:c r="B9" s="26" t="n">
        <x:f>COUNTA('API_CALLS'!$A$5:$A$16)</x:f>
        <x:v>12</x:v>
      </x:c>
      <x:c r="C9" s="21"/>
      <x:c r="D9" s="21"/>
    </x:row>
    <x:row r="10">
      <x:c r="A10" s="27" t="str">
        <x:v>Mean API/LLM elapsed ms</x:v>
      </x:c>
      <x:c r="B10" s="28" t="n">
        <x:f>IFERROR(AVERAGE('API_CALLS'!$K$5:$K$16),0)</x:f>
        <x:v>11473.026416666668</x:v>
      </x:c>
      <x:c r="C10" s="21"/>
      <x:c r="D10" s="21"/>
    </x:row>
    <x:row r="11">
      <x:c r="A11" s="21"/>
      <x:c r="B11" s="21"/>
      <x:c r="C11" s="21"/>
      <x:c r="D11" s="21"/>
    </x:row>
    <x:row r="12" ht="38" customHeight="1">
      <x:c r="A12" s="29" t="str">
        <x:v>INTERPRETATION</x:v>
      </x:c>
      <x:c r="B12" s="30" t="str">
        <x:v>Generation acceptance means syntax, structure, vocabulary, datatype/unit, target/path, and semantic review passed. It is not an RDF ship-compliance verdict.</x:v>
      </x:c>
      <x:c r="C12" s="30" t="str"/>
      <x:c r="D12" s="30" t="str"/>
    </x:row>
    <x:row r="13" ht="38" customHeight="1">
      <x:c r="A13" s="29" t="str">
        <x:v>NEXT GATE</x:v>
      </x:c>
      <x:c r="B13" s="30" t="str">
        <x:v>Accepted shapes remain in RDF_TEST_QUEUE until the separate evaluator is run.</x:v>
      </x:c>
      <x:c r="C13" s="30" t="str"/>
      <x:c r="D13" s="30" t="str"/>
    </x:row>
    <x:row r="14" ht="38" customHeight="1">
      <x:c r="A14" s="29" t="str">
        <x:v>RAW AUDIT</x:v>
      </x:c>
      <x:c r="B14" s="30" t="str">
        <x:v>events.jsonl is the durable append-only record for this run.</x:v>
      </x:c>
      <x:c r="C14" s="30" t="str"/>
      <x:c r="D14" s="30" t="str"/>
    </x:row>
    <x:row r="15" ht="38" customHeight="1">
      <x:c r="A15" s="29" t="str">
        <x:v>LOCKING</x:v>
      </x:c>
      <x:c r="B15" s="30" t="str">
        <x:v>Only final/final_shape.ttl is the accepted candidate artifact.</x:v>
      </x:c>
      <x:c r="C15" s="30" t="str"/>
      <x:c r="D15" s="30" t="str"/>
    </x:row>
  </x:sheetData>
  <x:pageMargins left="0.7" right="0.7" top="0.75" bottom="0.75" header="0.3" footer="0.3"/>
</x:worksheet>
</file>

<file path=xl/worksheets/sheet2.xml><?xml version="1.0" encoding="utf-8"?>
<x:worksheet xmlns:x="http://schemas.openxmlformats.org/spreadsheetml/2006/main">
  <x:sheetViews>
    <x:sheetView showGridLines="0" workbookViewId="0"/>
  </x:sheetViews>
  <x:sheetFormatPr defaultRowHeight="15"/>
  <x:cols>
    <x:col min="1" max="1" width="17" hidden="0" customWidth="1"/>
    <x:col min="2" max="2" width="52" hidden="0" customWidth="1"/>
  </x:cols>
  <x:sheetData>
    <x:row r="1">
      <x:c r="A1" s="18" t="str">
        <x:v>NLTL SHACL Pipeline Run Tracker</x:v>
      </x:c>
      <x:c r="B1" s="19"/>
    </x:row>
    <x:row r="2">
      <x:c r="A2" s="20" t="str">
        <x:v>README | Run folder: RUN-IMO-048-20260829T082613777541Z</x:v>
      </x:c>
      <x:c r="B2" s="20"/>
    </x:row>
    <x:row r="3">
      <x:c r="A3" s="21"/>
      <x:c r="B3" s="21"/>
    </x:row>
    <x:row r="4" ht="30" customHeight="1">
      <x:c r="A4" s="43" t="str">
        <x:v>SECTION</x:v>
      </x:c>
      <x:c r="B4" s="44" t="str">
        <x:v>DETAIL</x:v>
      </x:c>
    </x:row>
    <x:row r="5">
      <x:c r="A5" s="45" t="str">
        <x:v>PURPOSE</x:v>
      </x:c>
      <x:c r="B5" s="46" t="str">
        <x:v>Traceability view for one regulation-to-SHACL generation run.</x:v>
      </x:c>
    </x:row>
    <x:row r="6">
      <x:c r="A6" s="47" t="str">
        <x:v>BOUNDARY</x:v>
      </x:c>
      <x:c r="B6" s="48" t="str">
        <x:v>Generation is frozen before RDF execution; no ship graph or hidden expected outcome is used here.</x:v>
      </x:c>
    </x:row>
    <x:row r="7">
      <x:c r="A7" s="47" t="str">
        <x:v>SOURCE OF TRUTH</x:v>
      </x:c>
      <x:c r="B7" s="48" t="str">
        <x:v>events.jsonl is append-only; CSV and Excel sheets are derived views.</x:v>
      </x:c>
    </x:row>
    <x:row r="8">
      <x:c r="A8" s="47" t="str">
        <x:v>ACCEPTED</x:v>
      </x:c>
      <x:c r="B8" s="48" t="str">
        <x:v>Static validation passed and the semantic validator accepted the candidate.</x:v>
      </x:c>
    </x:row>
    <x:row r="9">
      <x:c r="A9" s="47" t="str">
        <x:v>VOCABULARY_GAP</x:v>
      </x:c>
      <x:c r="B9" s="48" t="str">
        <x:v>No verified canonical term was available; the generator was not allowed to invent one.</x:v>
      </x:c>
    </x:row>
    <x:row r="10">
      <x:c r="A10" s="49" t="str">
        <x:v>RDF TEST QUEUE</x:v>
      </x:c>
      <x:c r="B10" s="50" t="str">
        <x:v>Accepted shapes await the separate bulk evaluator.</x:v>
      </x:c>
    </x:row>
  </x:sheetData>
  <x:pageMargins left="0.7" right="0.7" top="0.75" bottom="0.75" header="0.3" footer="0.3"/>
  <x:tableParts count="1">
    <x:tablePart xmlns:r="http://schemas.openxmlformats.org/officeDocument/2006/relationships" r:id="Redf2f4f724924c86"/>
  </x:tableParts>
</x:worksheet>
</file>

<file path=xl/worksheets/sheet3.xml><?xml version="1.0" encoding="utf-8"?>
<x:worksheet xmlns:x="http://schemas.openxmlformats.org/spreadsheetml/2006/main">
  <x:sheetViews>
    <x:sheetView showGridLines="0" workbookViewId="0"/>
  </x:sheetViews>
  <x:sheetFormatPr defaultRowHeight="15"/>
  <x:cols>
    <x:col min="1" max="1" width="18" hidden="0" customWidth="1"/>
    <x:col min="2" max="2" width="52" hidden="0" customWidth="1"/>
    <x:col min="3" max="3" width="24" hidden="0" customWidth="1"/>
    <x:col min="4" max="4" width="11" hidden="0" customWidth="1"/>
    <x:col min="5" max="5" width="24" hidden="0" customWidth="1"/>
    <x:col min="6" max="6" width="20" hidden="0" customWidth="1"/>
    <x:col min="7" max="7" width="42" hidden="0" customWidth="1"/>
    <x:col min="8" max="8" width="20" hidden="0" customWidth="1"/>
    <x:col min="9" max="9" width="18" hidden="0" customWidth="1"/>
    <x:col min="10" max="10" width="19" hidden="0" customWidth="1"/>
    <x:col min="11" max="11" width="24" hidden="0" customWidth="1"/>
  </x:cols>
  <x:sheetData>
    <x:row r="1">
      <x:c r="A1" s="18" t="str">
        <x:v>NLTL SHACL Pipeline Run Tracker</x:v>
      </x:c>
      <x:c r="B1" s="19"/>
      <x:c r="C1" s="19"/>
      <x:c r="D1" s="19"/>
      <x:c r="E1" s="19"/>
      <x:c r="F1" s="19"/>
      <x:c r="G1" s="19"/>
      <x:c r="H1" s="19"/>
      <x:c r="I1" s="19"/>
      <x:c r="J1" s="19"/>
      <x:c r="K1" s="19"/>
    </x:row>
    <x:row r="2">
      <x:c r="A2" s="20" t="str">
        <x:v>REGULATION_QUEUE | Run folder: RUN-IMO-048-20260829T082613777541Z</x:v>
      </x:c>
      <x:c r="B2" s="20"/>
      <x:c r="C2" s="20"/>
      <x:c r="D2" s="20"/>
      <x:c r="E2" s="20"/>
      <x:c r="F2" s="20"/>
      <x:c r="G2" s="20"/>
      <x:c r="H2" s="20"/>
      <x:c r="I2" s="20"/>
      <x:c r="J2" s="20"/>
      <x:c r="K2" s="20"/>
    </x:row>
    <x:row r="3">
      <x:c r="A3" s="21"/>
      <x:c r="B3" s="21"/>
      <x:c r="C3" s="21"/>
      <x:c r="D3" s="21"/>
      <x:c r="E3" s="21"/>
      <x:c r="F3" s="21"/>
      <x:c r="G3" s="21"/>
      <x:c r="H3" s="21"/>
      <x:c r="I3" s="21"/>
      <x:c r="J3" s="21"/>
      <x:c r="K3" s="21"/>
    </x:row>
    <x:row r="4" ht="30" customHeight="1">
      <x:c r="A4" s="43" t="str">
        <x:v>REQUIREMENT_ID</x:v>
      </x:c>
      <x:c r="B4" s="57" t="str">
        <x:v>SOURCE</x:v>
      </x:c>
      <x:c r="C4" s="57" t="str">
        <x:v>EDITION</x:v>
      </x:c>
      <x:c r="D4" s="57" t="str">
        <x:v>PAGE</x:v>
      </x:c>
      <x:c r="E4" s="57" t="str">
        <x:v>CLAUSE</x:v>
      </x:c>
      <x:c r="F4" s="57" t="str">
        <x:v>CATEGORY</x:v>
      </x:c>
      <x:c r="G4" s="57" t="str">
        <x:v>ACTIVE_STATUS</x:v>
      </x:c>
      <x:c r="H4" s="57" t="str">
        <x:v>CODABILITY</x:v>
      </x:c>
      <x:c r="I4" s="57" t="str">
        <x:v>FIGURE_DEPENDENT</x:v>
      </x:c>
      <x:c r="J4" s="57" t="str">
        <x:v>QUEUE_ELIGIBILITY</x:v>
      </x:c>
      <x:c r="K4" s="44" t="str">
        <x:v>RUN_STATUS</x:v>
      </x:c>
    </x:row>
    <x:row r="5">
      <x:c r="A5" s="45" t="str">
        <x:v>I2-001</x:v>
      </x:c>
      <x:c r="B5" s="46" t="str">
        <x:v>UR I2 Structural Requirements for Polar Class Ships</x:v>
      </x:c>
      <x:c r="C5" s="45" t="str">
        <x:v>Rev.4 Dec 2019</x:v>
      </x:c>
      <x:c r="D5" s="58" t="n">
        <x:v>1</x:v>
      </x:c>
      <x:c r="E5" s="45" t="str">
        <x:v>I2.1.1 Note 6</x:v>
      </x:c>
      <x:c r="F5" s="45" t="str">
        <x:v>Static</x:v>
      </x:c>
      <x:c r="G5" s="46" t="str">
        <x:v>Stage 2 candidate - direct/deterministic</x:v>
      </x:c>
      <x:c r="H5" s="45" t="str">
        <x:v>High</x:v>
      </x:c>
      <x:c r="I5" s="45" t="str">
        <x:v>No</x:v>
      </x:c>
      <x:c r="J5" s="45" t="str">
        <x:v>ELIGIBLE</x:v>
      </x:c>
      <x:c r="K5" s="45" t="str">
        <x:v>NOT_RUN</x:v>
      </x:c>
    </x:row>
    <x:row r="6">
      <x:c r="A6" s="47" t="str">
        <x:v>I2-002</x:v>
      </x:c>
      <x:c r="B6" s="48" t="str">
        <x:v>UR I2 Structural Requirements for Polar Class Ships</x:v>
      </x:c>
      <x:c r="C6" s="47" t="str">
        <x:v>Rev.4 Dec 2019</x:v>
      </x:c>
      <x:c r="D6" s="59" t="n">
        <x:v>1</x:v>
      </x:c>
      <x:c r="E6" s="47" t="str">
        <x:v>I2.1.1</x:v>
      </x:c>
      <x:c r="F6" s="47" t="str">
        <x:v>Static</x:v>
      </x:c>
      <x:c r="G6" s="48" t="str">
        <x:v>Deferred - scope-only requirement</x:v>
      </x:c>
      <x:c r="H6" s="47" t="str">
        <x:v>Deferred</x:v>
      </x:c>
      <x:c r="I6" s="47" t="str">
        <x:v>No</x:v>
      </x:c>
      <x:c r="J6" s="47" t="str">
        <x:v>DEFERRED</x:v>
      </x:c>
      <x:c r="K6" s="47" t="str">
        <x:v>NOT_RUN</x:v>
      </x:c>
    </x:row>
    <x:row r="7">
      <x:c r="A7" s="47" t="str">
        <x:v>I2-003</x:v>
      </x:c>
      <x:c r="B7" s="48" t="str">
        <x:v>UR I2 Structural Requirements for Polar Class Ships</x:v>
      </x:c>
      <x:c r="C7" s="47" t="str">
        <x:v>Rev.4 Dec 2019</x:v>
      </x:c>
      <x:c r="D7" s="59" t="n">
        <x:v>1</x:v>
      </x:c>
      <x:c r="E7" s="47" t="str">
        <x:v>I2.1.2.1</x:v>
      </x:c>
      <x:c r="F7" s="47" t="str">
        <x:v>Static Calculation</x:v>
      </x:c>
      <x:c r="G7" s="48" t="str">
        <x:v>Deferred - existing vocabulary insufficient</x:v>
      </x:c>
      <x:c r="H7" s="47" t="str">
        <x:v>Deferred</x:v>
      </x:c>
      <x:c r="I7" s="47" t="str">
        <x:v>No</x:v>
      </x:c>
      <x:c r="J7" s="47" t="str">
        <x:v>DEFERRED</x:v>
      </x:c>
      <x:c r="K7" s="47" t="str">
        <x:v>NOT_RUN</x:v>
      </x:c>
    </x:row>
    <x:row r="8">
      <x:c r="A8" s="47" t="str">
        <x:v>I2-004</x:v>
      </x:c>
      <x:c r="B8" s="48" t="str">
        <x:v>UR I2 Structural Requirements for Polar Class Ships</x:v>
      </x:c>
      <x:c r="C8" s="47" t="str">
        <x:v>Rev.4 Dec 2019</x:v>
      </x:c>
      <x:c r="D8" s="59" t="n">
        <x:v>1</x:v>
      </x:c>
      <x:c r="E8" s="47" t="str">
        <x:v>I2.1.2.2</x:v>
      </x:c>
      <x:c r="F8" s="47" t="str">
        <x:v>Static</x:v>
      </x:c>
      <x:c r="G8" s="48" t="str">
        <x:v>Stage 2 candidate - direct/deterministic</x:v>
      </x:c>
      <x:c r="H8" s="47" t="str">
        <x:v>High</x:v>
      </x:c>
      <x:c r="I8" s="47" t="str">
        <x:v>No</x:v>
      </x:c>
      <x:c r="J8" s="47" t="str">
        <x:v>ELIGIBLE</x:v>
      </x:c>
      <x:c r="K8" s="47" t="str">
        <x:v>NOT_RUN</x:v>
      </x:c>
    </x:row>
    <x:row r="9">
      <x:c r="A9" s="47" t="str">
        <x:v>I2-005</x:v>
      </x:c>
      <x:c r="B9" s="48" t="str">
        <x:v>UR I2 Structural Requirements for Polar Class Ships</x:v>
      </x:c>
      <x:c r="C9" s="47" t="str">
        <x:v>Rev.4 Dec 2019</x:v>
      </x:c>
      <x:c r="D9" s="59" t="n">
        <x:v>2</x:v>
      </x:c>
      <x:c r="E9" s="47" t="str">
        <x:v>I2.2.5</x:v>
      </x:c>
      <x:c r="F9" s="47" t="str">
        <x:v>Static</x:v>
      </x:c>
      <x:c r="G9" s="48" t="str">
        <x:v>Stage 2 candidate - direct/deterministic</x:v>
      </x:c>
      <x:c r="H9" s="47" t="str">
        <x:v>High</x:v>
      </x:c>
      <x:c r="I9" s="47" t="str">
        <x:v>No</x:v>
      </x:c>
      <x:c r="J9" s="47" t="str">
        <x:v>ELIGIBLE</x:v>
      </x:c>
      <x:c r="K9" s="47" t="str">
        <x:v>NOT_RUN</x:v>
      </x:c>
    </x:row>
    <x:row r="10">
      <x:c r="A10" s="47" t="str">
        <x:v>I2-006</x:v>
      </x:c>
      <x:c r="B10" s="48" t="str">
        <x:v>UR I2 Structural Requirements for Polar Class Ships</x:v>
      </x:c>
      <x:c r="C10" s="47" t="str">
        <x:v>Rev.4 Dec 2019</x:v>
      </x:c>
      <x:c r="D10" s="59" t="n">
        <x:v>2</x:v>
      </x:c>
      <x:c r="E10" s="47" t="str">
        <x:v>I2.2.6</x:v>
      </x:c>
      <x:c r="F10" s="47" t="str">
        <x:v>Static</x:v>
      </x:c>
      <x:c r="G10" s="48" t="str">
        <x:v>Stage 2 candidate - direct/deterministic</x:v>
      </x:c>
      <x:c r="H10" s="47" t="str">
        <x:v>High</x:v>
      </x:c>
      <x:c r="I10" s="47" t="str">
        <x:v>No</x:v>
      </x:c>
      <x:c r="J10" s="47" t="str">
        <x:v>ELIGIBLE</x:v>
      </x:c>
      <x:c r="K10" s="47" t="str">
        <x:v>NOT_RUN</x:v>
      </x:c>
    </x:row>
    <x:row r="11">
      <x:c r="A11" s="47" t="str">
        <x:v>I2-008</x:v>
      </x:c>
      <x:c r="B11" s="48" t="str">
        <x:v>UR I2 Structural Requirements for Polar Class Ships</x:v>
      </x:c>
      <x:c r="C11" s="47" t="str">
        <x:v>Rev.4 Dec 2019</x:v>
      </x:c>
      <x:c r="D11" s="59" t="n">
        <x:v>3</x:v>
      </x:c>
      <x:c r="E11" s="47" t="str">
        <x:v>I2.3.1</x:v>
      </x:c>
      <x:c r="F11" s="47" t="str">
        <x:v>Complex</x:v>
      </x:c>
      <x:c r="G11" s="48" t="str">
        <x:v>Stage 2 candidate - complex readiness</x:v>
      </x:c>
      <x:c r="H11" s="47" t="str">
        <x:v>Complex readiness</x:v>
      </x:c>
      <x:c r="I11" s="47" t="str">
        <x:v>No</x:v>
      </x:c>
      <x:c r="J11" s="47" t="str">
        <x:v>ELIGIBLE</x:v>
      </x:c>
      <x:c r="K11" s="47" t="str">
        <x:v>NOT_RUN</x:v>
      </x:c>
    </x:row>
    <x:row r="12">
      <x:c r="A12" s="47" t="str">
        <x:v>I2-009</x:v>
      </x:c>
      <x:c r="B12" s="48" t="str">
        <x:v>UR I2 Structural Requirements for Polar Class Ships</x:v>
      </x:c>
      <x:c r="C12" s="47" t="str">
        <x:v>Rev.4 Dec 2019</x:v>
      </x:c>
      <x:c r="D12" s="59" t="n">
        <x:v>3</x:v>
      </x:c>
      <x:c r="E12" s="47" t="str">
        <x:v>I2.3.1</x:v>
      </x:c>
      <x:c r="F12" s="47" t="str">
        <x:v>Static</x:v>
      </x:c>
      <x:c r="G12" s="48" t="str">
        <x:v>Stage 2 candidate - direct static</x:v>
      </x:c>
      <x:c r="H12" s="47" t="str">
        <x:v>Direct static</x:v>
      </x:c>
      <x:c r="I12" s="47" t="str">
        <x:v>No</x:v>
      </x:c>
      <x:c r="J12" s="47" t="str">
        <x:v>ELIGIBLE</x:v>
      </x:c>
      <x:c r="K12" s="47" t="str">
        <x:v>NOT_RUN</x:v>
      </x:c>
    </x:row>
    <x:row r="13">
      <x:c r="A13" s="47" t="str">
        <x:v>I2-010</x:v>
      </x:c>
      <x:c r="B13" s="48" t="str">
        <x:v>UR I2 Structural Requirements for Polar Class Ships</x:v>
      </x:c>
      <x:c r="C13" s="47" t="str">
        <x:v>Rev.4 Dec 2019</x:v>
      </x:c>
      <x:c r="D13" s="59" t="n">
        <x:v>3</x:v>
      </x:c>
      <x:c r="E13" s="47" t="str">
        <x:v>I2.3.1</x:v>
      </x:c>
      <x:c r="F13" s="47" t="str">
        <x:v>Static</x:v>
      </x:c>
      <x:c r="G13" s="48" t="str">
        <x:v>Stage 2 candidate - direct static</x:v>
      </x:c>
      <x:c r="H13" s="47" t="str">
        <x:v>Direct static</x:v>
      </x:c>
      <x:c r="I13" s="47" t="str">
        <x:v>No</x:v>
      </x:c>
      <x:c r="J13" s="47" t="str">
        <x:v>ELIGIBLE</x:v>
      </x:c>
      <x:c r="K13" s="47" t="str">
        <x:v>NOT_RUN</x:v>
      </x:c>
    </x:row>
    <x:row r="14">
      <x:c r="A14" s="47" t="str">
        <x:v>I2-011</x:v>
      </x:c>
      <x:c r="B14" s="48" t="str">
        <x:v>UR I2 Structural Requirements for Polar Class Ships</x:v>
      </x:c>
      <x:c r="C14" s="47" t="str">
        <x:v>Rev.4 Dec 2019</x:v>
      </x:c>
      <x:c r="D14" s="59" t="n">
        <x:v>3</x:v>
      </x:c>
      <x:c r="E14" s="47" t="str">
        <x:v>I2.3.1</x:v>
      </x:c>
      <x:c r="F14" s="47" t="str">
        <x:v>Static Calculation</x:v>
      </x:c>
      <x:c r="G14" s="48" t="str">
        <x:v>Stage 2 candidate - direct/deterministic</x:v>
      </x:c>
      <x:c r="H14" s="47" t="str">
        <x:v>High</x:v>
      </x:c>
      <x:c r="I14" s="47" t="str">
        <x:v>No</x:v>
      </x:c>
      <x:c r="J14" s="47" t="str">
        <x:v>ELIGIBLE</x:v>
      </x:c>
      <x:c r="K14" s="47" t="str">
        <x:v>NOT_RUN</x:v>
      </x:c>
    </x:row>
    <x:row r="15">
      <x:c r="A15" s="47" t="str">
        <x:v>I2-013</x:v>
      </x:c>
      <x:c r="B15" s="48" t="str">
        <x:v>UR I2 Structural Requirements for Polar Class Ships</x:v>
      </x:c>
      <x:c r="C15" s="47" t="str">
        <x:v>Rev.4 Dec 2019</x:v>
      </x:c>
      <x:c r="D15" s="59" t="n">
        <x:v>3</x:v>
      </x:c>
      <x:c r="E15" s="47" t="str">
        <x:v>I2.3.1</x:v>
      </x:c>
      <x:c r="F15" s="47" t="str">
        <x:v>Complex</x:v>
      </x:c>
      <x:c r="G15" s="48" t="str">
        <x:v>Stage 2 candidate - complex readiness</x:v>
      </x:c>
      <x:c r="H15" s="47" t="str">
        <x:v>Complex readiness</x:v>
      </x:c>
      <x:c r="I15" s="47" t="str">
        <x:v>No</x:v>
      </x:c>
      <x:c r="J15" s="47" t="str">
        <x:v>ELIGIBLE</x:v>
      </x:c>
      <x:c r="K15" s="47" t="str">
        <x:v>NOT_RUN</x:v>
      </x:c>
    </x:row>
    <x:row r="16">
      <x:c r="A16" s="47" t="str">
        <x:v>I2-014</x:v>
      </x:c>
      <x:c r="B16" s="48" t="str">
        <x:v>UR I2 Structural Requirements for Polar Class Ships</x:v>
      </x:c>
      <x:c r="C16" s="47" t="str">
        <x:v>Rev.4 Dec 2019</x:v>
      </x:c>
      <x:c r="D16" s="59" t="n">
        <x:v>5</x:v>
      </x:c>
      <x:c r="E16" s="47" t="str">
        <x:v>I2.3.2.1</x:v>
      </x:c>
      <x:c r="F16" s="47" t="str">
        <x:v>Static Calculation</x:v>
      </x:c>
      <x:c r="G16" s="48" t="str">
        <x:v>Stage 2 candidate - direct/deterministic</x:v>
      </x:c>
      <x:c r="H16" s="47" t="str">
        <x:v>High</x:v>
      </x:c>
      <x:c r="I16" s="47" t="str">
        <x:v>No</x:v>
      </x:c>
      <x:c r="J16" s="47" t="str">
        <x:v>ELIGIBLE</x:v>
      </x:c>
      <x:c r="K16" s="47" t="str">
        <x:v>NOT_RUN</x:v>
      </x:c>
    </x:row>
    <x:row r="17">
      <x:c r="A17" s="47" t="str">
        <x:v>I2-015</x:v>
      </x:c>
      <x:c r="B17" s="48" t="str">
        <x:v>UR I2 Structural Requirements for Polar Class Ships</x:v>
      </x:c>
      <x:c r="C17" s="47" t="str">
        <x:v>Rev.4 Dec 2019</x:v>
      </x:c>
      <x:c r="D17" s="59" t="n">
        <x:v>5</x:v>
      </x:c>
      <x:c r="E17" s="47" t="str">
        <x:v>I2.3.2.1</x:v>
      </x:c>
      <x:c r="F17" s="47" t="str">
        <x:v>Complex</x:v>
      </x:c>
      <x:c r="G17" s="48" t="str">
        <x:v>Stage 2 candidate - complex readiness</x:v>
      </x:c>
      <x:c r="H17" s="47" t="str">
        <x:v>Complex readiness</x:v>
      </x:c>
      <x:c r="I17" s="47" t="str">
        <x:v>No</x:v>
      </x:c>
      <x:c r="J17" s="47" t="str">
        <x:v>ELIGIBLE</x:v>
      </x:c>
      <x:c r="K17" s="47" t="str">
        <x:v>NOT_RUN</x:v>
      </x:c>
    </x:row>
    <x:row r="18">
      <x:c r="A18" s="47" t="str">
        <x:v>I2-017</x:v>
      </x:c>
      <x:c r="B18" s="48" t="str">
        <x:v>UR I2 Structural Requirements for Polar Class Ships</x:v>
      </x:c>
      <x:c r="C18" s="47" t="str">
        <x:v>Rev.4 Dec 2019</x:v>
      </x:c>
      <x:c r="D18" s="59" t="n">
        <x:v>6</x:v>
      </x:c>
      <x:c r="E18" s="47" t="str">
        <x:v>I2.3.2.2</x:v>
      </x:c>
      <x:c r="F18" s="47" t="str">
        <x:v>Complex</x:v>
      </x:c>
      <x:c r="G18" s="48" t="str">
        <x:v>Stage 2 candidate - complex readiness</x:v>
      </x:c>
      <x:c r="H18" s="47" t="str">
        <x:v>Complex readiness</x:v>
      </x:c>
      <x:c r="I18" s="47" t="str">
        <x:v>No</x:v>
      </x:c>
      <x:c r="J18" s="47" t="str">
        <x:v>ELIGIBLE</x:v>
      </x:c>
      <x:c r="K18" s="47" t="str">
        <x:v>NOT_RUN</x:v>
      </x:c>
    </x:row>
    <x:row r="19">
      <x:c r="A19" s="47" t="str">
        <x:v>I2-018</x:v>
      </x:c>
      <x:c r="B19" s="48" t="str">
        <x:v>UR I2 Structural Requirements for Polar Class Ships</x:v>
      </x:c>
      <x:c r="C19" s="47" t="str">
        <x:v>Rev.4 Dec 2019</x:v>
      </x:c>
      <x:c r="D19" s="59" t="n">
        <x:v>7</x:v>
      </x:c>
      <x:c r="E19" s="47" t="str">
        <x:v>I2.3.4</x:v>
      </x:c>
      <x:c r="F19" s="47" t="str">
        <x:v>Static Calculation</x:v>
      </x:c>
      <x:c r="G19" s="48" t="str">
        <x:v>Stage 2 candidate - direct/deterministic</x:v>
      </x:c>
      <x:c r="H19" s="47" t="str">
        <x:v>Medium</x:v>
      </x:c>
      <x:c r="I19" s="47" t="str">
        <x:v>No</x:v>
      </x:c>
      <x:c r="J19" s="47" t="str">
        <x:v>ELIGIBLE</x:v>
      </x:c>
      <x:c r="K19" s="47" t="str">
        <x:v>NOT_RUN</x:v>
      </x:c>
    </x:row>
    <x:row r="20">
      <x:c r="A20" s="47" t="str">
        <x:v>I2-019</x:v>
      </x:c>
      <x:c r="B20" s="48" t="str">
        <x:v>UR I2 Structural Requirements for Polar Class Ships</x:v>
      </x:c>
      <x:c r="C20" s="47" t="str">
        <x:v>Rev.4 Dec 2019</x:v>
      </x:c>
      <x:c r="D20" s="59" t="n">
        <x:v>7</x:v>
      </x:c>
      <x:c r="E20" s="47" t="str">
        <x:v>I2.3.5</x:v>
      </x:c>
      <x:c r="F20" s="47" t="str">
        <x:v>Static Calculation</x:v>
      </x:c>
      <x:c r="G20" s="48" t="str">
        <x:v>Stage 2 candidate - direct/deterministic</x:v>
      </x:c>
      <x:c r="H20" s="47" t="str">
        <x:v>High</x:v>
      </x:c>
      <x:c r="I20" s="47" t="str">
        <x:v>No</x:v>
      </x:c>
      <x:c r="J20" s="47" t="str">
        <x:v>ELIGIBLE</x:v>
      </x:c>
      <x:c r="K20" s="47" t="str">
        <x:v>NOT_RUN</x:v>
      </x:c>
    </x:row>
    <x:row r="21">
      <x:c r="A21" s="47" t="str">
        <x:v>I2-021</x:v>
      </x:c>
      <x:c r="B21" s="48" t="str">
        <x:v>UR I2 Structural Requirements for Polar Class Ships</x:v>
      </x:c>
      <x:c r="C21" s="47" t="str">
        <x:v>Rev.4 Dec 2019</x:v>
      </x:c>
      <x:c r="D21" s="59" t="n">
        <x:v>8</x:v>
      </x:c>
      <x:c r="E21" s="47" t="str">
        <x:v>I2.4.1</x:v>
      </x:c>
      <x:c r="F21" s="47" t="str">
        <x:v>Static Calculation</x:v>
      </x:c>
      <x:c r="G21" s="48" t="str">
        <x:v>Stage 2 candidate - direct/deterministic</x:v>
      </x:c>
      <x:c r="H21" s="47" t="str">
        <x:v>Medium</x:v>
      </x:c>
      <x:c r="I21" s="47" t="str">
        <x:v>No</x:v>
      </x:c>
      <x:c r="J21" s="47" t="str">
        <x:v>ELIGIBLE</x:v>
      </x:c>
      <x:c r="K21" s="47" t="str">
        <x:v>NOT_RUN</x:v>
      </x:c>
    </x:row>
    <x:row r="22">
      <x:c r="A22" s="47" t="str">
        <x:v>I2-022</x:v>
      </x:c>
      <x:c r="B22" s="48" t="str">
        <x:v>UR I2 Structural Requirements for Polar Class Ships</x:v>
      </x:c>
      <x:c r="C22" s="47" t="str">
        <x:v>Rev.4 Dec 2019</x:v>
      </x:c>
      <x:c r="D22" s="59" t="n">
        <x:v>8</x:v>
      </x:c>
      <x:c r="E22" s="47" t="str">
        <x:v>I2.4.2</x:v>
      </x:c>
      <x:c r="F22" s="47" t="str">
        <x:v>Complex</x:v>
      </x:c>
      <x:c r="G22" s="48" t="str">
        <x:v>Stage 2 candidate - complex readiness</x:v>
      </x:c>
      <x:c r="H22" s="47" t="str">
        <x:v>Complex readiness</x:v>
      </x:c>
      <x:c r="I22" s="47" t="str">
        <x:v>No</x:v>
      </x:c>
      <x:c r="J22" s="47" t="str">
        <x:v>ELIGIBLE</x:v>
      </x:c>
      <x:c r="K22" s="47" t="str">
        <x:v>NOT_RUN</x:v>
      </x:c>
    </x:row>
    <x:row r="23">
      <x:c r="A23" s="47" t="str">
        <x:v>I2-023</x:v>
      </x:c>
      <x:c r="B23" s="48" t="str">
        <x:v>UR I2 Structural Requirements for Polar Class Ships</x:v>
      </x:c>
      <x:c r="C23" s="47" t="str">
        <x:v>Rev.4 Dec 2019</x:v>
      </x:c>
      <x:c r="D23" s="59" t="n">
        <x:v>9</x:v>
      </x:c>
      <x:c r="E23" s="47" t="str">
        <x:v>I2.4.2</x:v>
      </x:c>
      <x:c r="F23" s="47" t="str">
        <x:v>Complex</x:v>
      </x:c>
      <x:c r="G23" s="48" t="str">
        <x:v>Stage 2 candidate - complex readiness</x:v>
      </x:c>
      <x:c r="H23" s="47" t="str">
        <x:v>Complex readiness</x:v>
      </x:c>
      <x:c r="I23" s="47" t="str">
        <x:v>No</x:v>
      </x:c>
      <x:c r="J23" s="47" t="str">
        <x:v>ELIGIBLE</x:v>
      </x:c>
      <x:c r="K23" s="47" t="str">
        <x:v>NOT_RUN</x:v>
      </x:c>
    </x:row>
    <x:row r="24">
      <x:c r="A24" s="47" t="str">
        <x:v>I2-024</x:v>
      </x:c>
      <x:c r="B24" s="48" t="str">
        <x:v>UR I2 Structural Requirements for Polar Class Ships</x:v>
      </x:c>
      <x:c r="C24" s="47" t="str">
        <x:v>Rev.4 Dec 2019</x:v>
      </x:c>
      <x:c r="D24" s="59" t="n">
        <x:v>9</x:v>
      </x:c>
      <x:c r="E24" s="47" t="str">
        <x:v>I2.4.2</x:v>
      </x:c>
      <x:c r="F24" s="47" t="str">
        <x:v>Complex</x:v>
      </x:c>
      <x:c r="G24" s="48" t="str">
        <x:v>Stage 2 candidate - complex readiness</x:v>
      </x:c>
      <x:c r="H24" s="47" t="str">
        <x:v>Complex readiness</x:v>
      </x:c>
      <x:c r="I24" s="47" t="str">
        <x:v>No</x:v>
      </x:c>
      <x:c r="J24" s="47" t="str">
        <x:v>ELIGIBLE</x:v>
      </x:c>
      <x:c r="K24" s="47" t="str">
        <x:v>NOT_RUN</x:v>
      </x:c>
    </x:row>
    <x:row r="25">
      <x:c r="A25" s="47" t="str">
        <x:v>I2-026</x:v>
      </x:c>
      <x:c r="B25" s="48" t="str">
        <x:v>UR I2 Structural Requirements for Polar Class Ships</x:v>
      </x:c>
      <x:c r="C25" s="47" t="str">
        <x:v>Rev.4 Dec 2019</x:v>
      </x:c>
      <x:c r="D25" s="59" t="n">
        <x:v>10</x:v>
      </x:c>
      <x:c r="E25" s="47" t="str">
        <x:v>I2.5.3</x:v>
      </x:c>
      <x:c r="F25" s="47" t="str">
        <x:v>Static</x:v>
      </x:c>
      <x:c r="G25" s="48" t="str">
        <x:v>Stage 2 candidate - direct/deterministic</x:v>
      </x:c>
      <x:c r="H25" s="47" t="str">
        <x:v>High</x:v>
      </x:c>
      <x:c r="I25" s="47" t="str">
        <x:v>No</x:v>
      </x:c>
      <x:c r="J25" s="47" t="str">
        <x:v>ELIGIBLE</x:v>
      </x:c>
      <x:c r="K25" s="47" t="str">
        <x:v>NOT_RUN</x:v>
      </x:c>
    </x:row>
    <x:row r="26">
      <x:c r="A26" s="47" t="str">
        <x:v>I2-029</x:v>
      </x:c>
      <x:c r="B26" s="48" t="str">
        <x:v>UR I2 Structural Requirements for Polar Class Ships</x:v>
      </x:c>
      <x:c r="C26" s="47" t="str">
        <x:v>Rev.4 Dec 2019</x:v>
      </x:c>
      <x:c r="D26" s="59" t="n">
        <x:v>10</x:v>
      </x:c>
      <x:c r="E26" s="47" t="str">
        <x:v>I2.5.6</x:v>
      </x:c>
      <x:c r="F26" s="47" t="str">
        <x:v>Static</x:v>
      </x:c>
      <x:c r="G26" s="48" t="str">
        <x:v>Stage 2 candidate - direct static</x:v>
      </x:c>
      <x:c r="H26" s="47" t="str">
        <x:v>Direct static</x:v>
      </x:c>
      <x:c r="I26" s="47" t="str">
        <x:v>No</x:v>
      </x:c>
      <x:c r="J26" s="47" t="str">
        <x:v>ELIGIBLE</x:v>
      </x:c>
      <x:c r="K26" s="47" t="str">
        <x:v>NOT_RUN</x:v>
      </x:c>
    </x:row>
    <x:row r="27">
      <x:c r="A27" s="47" t="str">
        <x:v>I2-030</x:v>
      </x:c>
      <x:c r="B27" s="48" t="str">
        <x:v>UR I2 Structural Requirements for Polar Class Ships</x:v>
      </x:c>
      <x:c r="C27" s="47" t="str">
        <x:v>Rev.4 Dec 2019</x:v>
      </x:c>
      <x:c r="D27" s="59" t="n">
        <x:v>11</x:v>
      </x:c>
      <x:c r="E27" s="47" t="str">
        <x:v>I2.5.8-I2.5.9</x:v>
      </x:c>
      <x:c r="F27" s="47" t="str">
        <x:v>Complex</x:v>
      </x:c>
      <x:c r="G27" s="48" t="str">
        <x:v>Stage 2 candidate - complex readiness</x:v>
      </x:c>
      <x:c r="H27" s="47" t="str">
        <x:v>Complex readiness</x:v>
      </x:c>
      <x:c r="I27" s="47" t="str">
        <x:v>No</x:v>
      </x:c>
      <x:c r="J27" s="47" t="str">
        <x:v>ELIGIBLE</x:v>
      </x:c>
      <x:c r="K27" s="47" t="str">
        <x:v>NOT_RUN</x:v>
      </x:c>
    </x:row>
    <x:row r="28">
      <x:c r="A28" s="47" t="str">
        <x:v>I2-031</x:v>
      </x:c>
      <x:c r="B28" s="48" t="str">
        <x:v>UR I2 Structural Requirements for Polar Class Ships</x:v>
      </x:c>
      <x:c r="C28" s="47" t="str">
        <x:v>Rev.4 Dec 2019</x:v>
      </x:c>
      <x:c r="D28" s="59" t="n">
        <x:v>12</x:v>
      </x:c>
      <x:c r="E28" s="47" t="str">
        <x:v>I2.6.1</x:v>
      </x:c>
      <x:c r="F28" s="47" t="str">
        <x:v>Static</x:v>
      </x:c>
      <x:c r="G28" s="48" t="str">
        <x:v>Stage 2 candidate - direct/deterministic</x:v>
      </x:c>
      <x:c r="H28" s="47" t="str">
        <x:v>High</x:v>
      </x:c>
      <x:c r="I28" s="47" t="str">
        <x:v>No</x:v>
      </x:c>
      <x:c r="J28" s="47" t="str">
        <x:v>ELIGIBLE</x:v>
      </x:c>
      <x:c r="K28" s="47" t="str">
        <x:v>NOT_RUN</x:v>
      </x:c>
    </x:row>
    <x:row r="29">
      <x:c r="A29" s="47" t="str">
        <x:v>I2-032</x:v>
      </x:c>
      <x:c r="B29" s="48" t="str">
        <x:v>UR I2 Structural Requirements for Polar Class Ships</x:v>
      </x:c>
      <x:c r="C29" s="47" t="str">
        <x:v>Rev.4 Dec 2019</x:v>
      </x:c>
      <x:c r="D29" s="59" t="n">
        <x:v>12</x:v>
      </x:c>
      <x:c r="E29" s="47" t="str">
        <x:v>I2.6.2</x:v>
      </x:c>
      <x:c r="F29" s="47" t="str">
        <x:v>Static Calculation</x:v>
      </x:c>
      <x:c r="G29" s="48" t="str">
        <x:v>Stage 2 candidate - direct/deterministic</x:v>
      </x:c>
      <x:c r="H29" s="47" t="str">
        <x:v>Medium</x:v>
      </x:c>
      <x:c r="I29" s="47" t="str">
        <x:v>No</x:v>
      </x:c>
      <x:c r="J29" s="47" t="str">
        <x:v>ELIGIBLE</x:v>
      </x:c>
      <x:c r="K29" s="47" t="str">
        <x:v>NOT_RUN</x:v>
      </x:c>
    </x:row>
    <x:row r="30">
      <x:c r="A30" s="47" t="str">
        <x:v>I2-034</x:v>
      </x:c>
      <x:c r="B30" s="48" t="str">
        <x:v>UR I2 Structural Requirements for Polar Class Ships</x:v>
      </x:c>
      <x:c r="C30" s="47" t="str">
        <x:v>Rev.4 Dec 2019</x:v>
      </x:c>
      <x:c r="D30" s="59" t="n">
        <x:v>13</x:v>
      </x:c>
      <x:c r="E30" s="47" t="str">
        <x:v>I2.7.1</x:v>
      </x:c>
      <x:c r="F30" s="47" t="str">
        <x:v>Static</x:v>
      </x:c>
      <x:c r="G30" s="48" t="str">
        <x:v>Stage 2 candidate - direct/deterministic</x:v>
      </x:c>
      <x:c r="H30" s="47" t="str">
        <x:v>High</x:v>
      </x:c>
      <x:c r="I30" s="47" t="str">
        <x:v>No</x:v>
      </x:c>
      <x:c r="J30" s="47" t="str">
        <x:v>ELIGIBLE</x:v>
      </x:c>
      <x:c r="K30" s="47" t="str">
        <x:v>NOT_RUN</x:v>
      </x:c>
    </x:row>
    <x:row r="31">
      <x:c r="A31" s="47" t="str">
        <x:v>I2-035</x:v>
      </x:c>
      <x:c r="B31" s="48" t="str">
        <x:v>UR I2 Structural Requirements for Polar Class Ships</x:v>
      </x:c>
      <x:c r="C31" s="47" t="str">
        <x:v>Rev.4 Dec 2019</x:v>
      </x:c>
      <x:c r="D31" s="59" t="n">
        <x:v>13</x:v>
      </x:c>
      <x:c r="E31" s="47" t="str">
        <x:v>I2.7.2</x:v>
      </x:c>
      <x:c r="F31" s="47" t="str">
        <x:v>Static Calculation</x:v>
      </x:c>
      <x:c r="G31" s="48" t="str">
        <x:v>Stage 2 candidate - direct/deterministic</x:v>
      </x:c>
      <x:c r="H31" s="47" t="str">
        <x:v>Medium</x:v>
      </x:c>
      <x:c r="I31" s="47" t="str">
        <x:v>No</x:v>
      </x:c>
      <x:c r="J31" s="47" t="str">
        <x:v>ELIGIBLE</x:v>
      </x:c>
      <x:c r="K31" s="47" t="str">
        <x:v>NOT_RUN</x:v>
      </x:c>
    </x:row>
    <x:row r="32">
      <x:c r="A32" s="47" t="str">
        <x:v>I2-037</x:v>
      </x:c>
      <x:c r="B32" s="48" t="str">
        <x:v>UR I2 Structural Requirements for Polar Class Ships</x:v>
      </x:c>
      <x:c r="C32" s="47" t="str">
        <x:v>Rev.4 Dec 2019</x:v>
      </x:c>
      <x:c r="D32" s="59" t="n">
        <x:v>13</x:v>
      </x:c>
      <x:c r="E32" s="47" t="str">
        <x:v>I2.8.1</x:v>
      </x:c>
      <x:c r="F32" s="47" t="str">
        <x:v>Static</x:v>
      </x:c>
      <x:c r="G32" s="48" t="str">
        <x:v>Stage 2 candidate - direct/deterministic</x:v>
      </x:c>
      <x:c r="H32" s="47" t="str">
        <x:v>High</x:v>
      </x:c>
      <x:c r="I32" s="47" t="str">
        <x:v>No</x:v>
      </x:c>
      <x:c r="J32" s="47" t="str">
        <x:v>ELIGIBLE</x:v>
      </x:c>
      <x:c r="K32" s="47" t="str">
        <x:v>NOT_RUN</x:v>
      </x:c>
    </x:row>
    <x:row r="33">
      <x:c r="A33" s="47" t="str">
        <x:v>I2-040</x:v>
      </x:c>
      <x:c r="B33" s="48" t="str">
        <x:v>UR I2 Structural Requirements for Polar Class Ships</x:v>
      </x:c>
      <x:c r="C33" s="47" t="str">
        <x:v>Rev.4 Dec 2019</x:v>
      </x:c>
      <x:c r="D33" s="59" t="n">
        <x:v>14</x:v>
      </x:c>
      <x:c r="E33" s="47" t="str">
        <x:v>I2.9.1</x:v>
      </x:c>
      <x:c r="F33" s="47" t="str">
        <x:v>Complex</x:v>
      </x:c>
      <x:c r="G33" s="48" t="str">
        <x:v>Stage 2 candidate - complex readiness</x:v>
      </x:c>
      <x:c r="H33" s="47" t="str">
        <x:v>Complex readiness</x:v>
      </x:c>
      <x:c r="I33" s="47" t="str">
        <x:v>No</x:v>
      </x:c>
      <x:c r="J33" s="47" t="str">
        <x:v>ELIGIBLE</x:v>
      </x:c>
      <x:c r="K33" s="47" t="str">
        <x:v>NOT_RUN</x:v>
      </x:c>
    </x:row>
    <x:row r="34">
      <x:c r="A34" s="47" t="str">
        <x:v>I2-041</x:v>
      </x:c>
      <x:c r="B34" s="48" t="str">
        <x:v>UR I2 Structural Requirements for Polar Class Ships</x:v>
      </x:c>
      <x:c r="C34" s="47" t="str">
        <x:v>Rev.4 Dec 2019</x:v>
      </x:c>
      <x:c r="D34" s="59" t="n">
        <x:v>15</x:v>
      </x:c>
      <x:c r="E34" s="47" t="str">
        <x:v>I2.9.3</x:v>
      </x:c>
      <x:c r="F34" s="47" t="str">
        <x:v>Complex</x:v>
      </x:c>
      <x:c r="G34" s="48" t="str">
        <x:v>Stage 2 candidate - complex readiness</x:v>
      </x:c>
      <x:c r="H34" s="47" t="str">
        <x:v>Complex readiness</x:v>
      </x:c>
      <x:c r="I34" s="47" t="str">
        <x:v>No</x:v>
      </x:c>
      <x:c r="J34" s="47" t="str">
        <x:v>ELIGIBLE</x:v>
      </x:c>
      <x:c r="K34" s="47" t="str">
        <x:v>NOT_RUN</x:v>
      </x:c>
    </x:row>
    <x:row r="35">
      <x:c r="A35" s="47" t="str">
        <x:v>I2-042</x:v>
      </x:c>
      <x:c r="B35" s="48" t="str">
        <x:v>UR I2 Structural Requirements for Polar Class Ships</x:v>
      </x:c>
      <x:c r="C35" s="47" t="str">
        <x:v>Rev.4 Dec 2019</x:v>
      </x:c>
      <x:c r="D35" s="59" t="n">
        <x:v>15</x:v>
      </x:c>
      <x:c r="E35" s="47" t="str">
        <x:v>I2.9.4</x:v>
      </x:c>
      <x:c r="F35" s="47" t="str">
        <x:v>Static Calculation</x:v>
      </x:c>
      <x:c r="G35" s="48" t="str">
        <x:v>Stage 2 candidate - direct/deterministic</x:v>
      </x:c>
      <x:c r="H35" s="47" t="str">
        <x:v>High</x:v>
      </x:c>
      <x:c r="I35" s="47" t="str">
        <x:v>No</x:v>
      </x:c>
      <x:c r="J35" s="47" t="str">
        <x:v>ELIGIBLE</x:v>
      </x:c>
      <x:c r="K35" s="47" t="str">
        <x:v>NOT_RUN</x:v>
      </x:c>
    </x:row>
    <x:row r="36">
      <x:c r="A36" s="47" t="str">
        <x:v>I2-043</x:v>
      </x:c>
      <x:c r="B36" s="48" t="str">
        <x:v>UR I2 Structural Requirements for Polar Class Ships</x:v>
      </x:c>
      <x:c r="C36" s="47" t="str">
        <x:v>Rev.4 Dec 2019</x:v>
      </x:c>
      <x:c r="D36" s="59" t="n">
        <x:v>15</x:v>
      </x:c>
      <x:c r="E36" s="47" t="str">
        <x:v>I2.9.4</x:v>
      </x:c>
      <x:c r="F36" s="47" t="str">
        <x:v>Complex</x:v>
      </x:c>
      <x:c r="G36" s="48" t="str">
        <x:v>Stage 2 candidate - complex readiness</x:v>
      </x:c>
      <x:c r="H36" s="47" t="str">
        <x:v>Complex readiness</x:v>
      </x:c>
      <x:c r="I36" s="47" t="str">
        <x:v>No</x:v>
      </x:c>
      <x:c r="J36" s="47" t="str">
        <x:v>ELIGIBLE</x:v>
      </x:c>
      <x:c r="K36" s="47" t="str">
        <x:v>NOT_RUN</x:v>
      </x:c>
    </x:row>
    <x:row r="37">
      <x:c r="A37" s="47" t="str">
        <x:v>I2-046</x:v>
      </x:c>
      <x:c r="B37" s="48" t="str">
        <x:v>UR I2 Structural Requirements for Polar Class Ships</x:v>
      </x:c>
      <x:c r="C37" s="47" t="str">
        <x:v>Rev.4 Dec 2019</x:v>
      </x:c>
      <x:c r="D37" s="59" t="n">
        <x:v>15</x:v>
      </x:c>
      <x:c r="E37" s="47" t="str">
        <x:v>I2.11.3</x:v>
      </x:c>
      <x:c r="F37" s="47" t="str">
        <x:v>Static Calculation</x:v>
      </x:c>
      <x:c r="G37" s="48" t="str">
        <x:v>Stage 2 candidate - direct/deterministic</x:v>
      </x:c>
      <x:c r="H37" s="47" t="str">
        <x:v>High</x:v>
      </x:c>
      <x:c r="I37" s="47" t="str">
        <x:v>No</x:v>
      </x:c>
      <x:c r="J37" s="47" t="str">
        <x:v>ELIGIBLE</x:v>
      </x:c>
      <x:c r="K37" s="47" t="str">
        <x:v>NOT_RUN</x:v>
      </x:c>
    </x:row>
    <x:row r="38">
      <x:c r="A38" s="47" t="str">
        <x:v>I2-047</x:v>
      </x:c>
      <x:c r="B38" s="48" t="str">
        <x:v>UR I2 Structural Requirements for Polar Class Ships</x:v>
      </x:c>
      <x:c r="C38" s="47" t="str">
        <x:v>Rev.4 Dec 2019</x:v>
      </x:c>
      <x:c r="D38" s="59" t="n">
        <x:v>16</x:v>
      </x:c>
      <x:c r="E38" s="47" t="str">
        <x:v>I2.11.4</x:v>
      </x:c>
      <x:c r="F38" s="47" t="str">
        <x:v>Static Calculation</x:v>
      </x:c>
      <x:c r="G38" s="48" t="str">
        <x:v>Stage 2 candidate - direct/deterministic</x:v>
      </x:c>
      <x:c r="H38" s="47" t="str">
        <x:v>High</x:v>
      </x:c>
      <x:c r="I38" s="47" t="str">
        <x:v>No</x:v>
      </x:c>
      <x:c r="J38" s="47" t="str">
        <x:v>ELIGIBLE</x:v>
      </x:c>
      <x:c r="K38" s="47" t="str">
        <x:v>NOT_RUN</x:v>
      </x:c>
    </x:row>
    <x:row r="39">
      <x:c r="A39" s="47" t="str">
        <x:v>I2-048</x:v>
      </x:c>
      <x:c r="B39" s="48" t="str">
        <x:v>UR I2 Structural Requirements for Polar Class Ships</x:v>
      </x:c>
      <x:c r="C39" s="47" t="str">
        <x:v>Rev.4 Dec 2019</x:v>
      </x:c>
      <x:c r="D39" s="59" t="n">
        <x:v>16</x:v>
      </x:c>
      <x:c r="E39" s="47" t="str">
        <x:v>I2.12.1</x:v>
      </x:c>
      <x:c r="F39" s="47" t="str">
        <x:v>Static</x:v>
      </x:c>
      <x:c r="G39" s="48" t="str">
        <x:v>Stage 2 candidate - direct static</x:v>
      </x:c>
      <x:c r="H39" s="47" t="str">
        <x:v>Direct static</x:v>
      </x:c>
      <x:c r="I39" s="47" t="str">
        <x:v>No</x:v>
      </x:c>
      <x:c r="J39" s="47" t="str">
        <x:v>ELIGIBLE</x:v>
      </x:c>
      <x:c r="K39" s="47" t="str">
        <x:v>NOT_RUN</x:v>
      </x:c>
    </x:row>
    <x:row r="40">
      <x:c r="A40" s="47" t="str">
        <x:v>I2-050</x:v>
      </x:c>
      <x:c r="B40" s="48" t="str">
        <x:v>UR I2 Structural Requirements for Polar Class Ships</x:v>
      </x:c>
      <x:c r="C40" s="47" t="str">
        <x:v>Rev.4 Dec 2019</x:v>
      </x:c>
      <x:c r="D40" s="59" t="n">
        <x:v>18</x:v>
      </x:c>
      <x:c r="E40" s="47" t="str">
        <x:v>I2.13.2.1</x:v>
      </x:c>
      <x:c r="F40" s="47" t="str">
        <x:v>Complex</x:v>
      </x:c>
      <x:c r="G40" s="48" t="str">
        <x:v>Stage 2 candidate - complex readiness</x:v>
      </x:c>
      <x:c r="H40" s="47" t="str">
        <x:v>Complex readiness</x:v>
      </x:c>
      <x:c r="I40" s="47" t="str">
        <x:v>No</x:v>
      </x:c>
      <x:c r="J40" s="47" t="str">
        <x:v>ELIGIBLE</x:v>
      </x:c>
      <x:c r="K40" s="47" t="str">
        <x:v>NOT_RUN</x:v>
      </x:c>
    </x:row>
    <x:row r="41">
      <x:c r="A41" s="47" t="str">
        <x:v>I2-051</x:v>
      </x:c>
      <x:c r="B41" s="48" t="str">
        <x:v>UR I2 Structural Requirements for Polar Class Ships</x:v>
      </x:c>
      <x:c r="C41" s="47" t="str">
        <x:v>Rev.4 Dec 2019</x:v>
      </x:c>
      <x:c r="D41" s="59" t="n">
        <x:v>19</x:v>
      </x:c>
      <x:c r="E41" s="47" t="str">
        <x:v>I2.13.3.1</x:v>
      </x:c>
      <x:c r="F41" s="47" t="str">
        <x:v>Static Calculation</x:v>
      </x:c>
      <x:c r="G41" s="48" t="str">
        <x:v>Stage 2 candidate - direct/deterministic</x:v>
      </x:c>
      <x:c r="H41" s="47" t="str">
        <x:v>High</x:v>
      </x:c>
      <x:c r="I41" s="47" t="str">
        <x:v>No</x:v>
      </x:c>
      <x:c r="J41" s="47" t="str">
        <x:v>ELIGIBLE</x:v>
      </x:c>
      <x:c r="K41" s="47" t="str">
        <x:v>NOT_RUN</x:v>
      </x:c>
    </x:row>
    <x:row r="42">
      <x:c r="A42" s="47" t="str">
        <x:v>I2-052</x:v>
      </x:c>
      <x:c r="B42" s="48" t="str">
        <x:v>UR I2 Structural Requirements for Polar Class Ships</x:v>
      </x:c>
      <x:c r="C42" s="47" t="str">
        <x:v>Rev.4 Dec 2019</x:v>
      </x:c>
      <x:c r="D42" s="59" t="n">
        <x:v>19</x:v>
      </x:c>
      <x:c r="E42" s="47" t="str">
        <x:v>I2.13.3.1</x:v>
      </x:c>
      <x:c r="F42" s="47" t="str">
        <x:v>Complex</x:v>
      </x:c>
      <x:c r="G42" s="48" t="str">
        <x:v>Stage 2 candidate - complex readiness</x:v>
      </x:c>
      <x:c r="H42" s="47" t="str">
        <x:v>Complex readiness</x:v>
      </x:c>
      <x:c r="I42" s="47" t="str">
        <x:v>No</x:v>
      </x:c>
      <x:c r="J42" s="47" t="str">
        <x:v>ELIGIBLE</x:v>
      </x:c>
      <x:c r="K42" s="47" t="str">
        <x:v>NOT_RUN</x:v>
      </x:c>
    </x:row>
    <x:row r="43">
      <x:c r="A43" s="47" t="str">
        <x:v>I2-053</x:v>
      </x:c>
      <x:c r="B43" s="48" t="str">
        <x:v>UR I2 Structural Requirements for Polar Class Ships</x:v>
      </x:c>
      <x:c r="C43" s="47" t="str">
        <x:v>Rev.4 Dec 2019</x:v>
      </x:c>
      <x:c r="D43" s="59" t="n">
        <x:v>20</x:v>
      </x:c>
      <x:c r="E43" s="47" t="str">
        <x:v>I2.13.3.2</x:v>
      </x:c>
      <x:c r="F43" s="47" t="str">
        <x:v>Complex</x:v>
      </x:c>
      <x:c r="G43" s="48" t="str">
        <x:v>Deferred - complex readiness owner/path incomplete</x:v>
      </x:c>
      <x:c r="H43" s="47" t="str">
        <x:v>Deferred</x:v>
      </x:c>
      <x:c r="I43" s="47" t="str">
        <x:v>No</x:v>
      </x:c>
      <x:c r="J43" s="47" t="str">
        <x:v>DEFERRED</x:v>
      </x:c>
      <x:c r="K43" s="47" t="str">
        <x:v>NOT_RUN</x:v>
      </x:c>
    </x:row>
    <x:row r="44">
      <x:c r="A44" s="47" t="str">
        <x:v>I2-054</x:v>
      </x:c>
      <x:c r="B44" s="48" t="str">
        <x:v>UR I2 Structural Requirements for Polar Class Ships</x:v>
      </x:c>
      <x:c r="C44" s="47" t="str">
        <x:v>Rev.4 Dec 2019</x:v>
      </x:c>
      <x:c r="D44" s="59" t="n">
        <x:v>20</x:v>
      </x:c>
      <x:c r="E44" s="47" t="str">
        <x:v>I2.13.4.1</x:v>
      </x:c>
      <x:c r="F44" s="47" t="str">
        <x:v>Complex</x:v>
      </x:c>
      <x:c r="G44" s="48" t="str">
        <x:v>Stage 2 candidate - complex readiness</x:v>
      </x:c>
      <x:c r="H44" s="47" t="str">
        <x:v>Complex readiness</x:v>
      </x:c>
      <x:c r="I44" s="47" t="str">
        <x:v>No</x:v>
      </x:c>
      <x:c r="J44" s="47" t="str">
        <x:v>ELIGIBLE</x:v>
      </x:c>
      <x:c r="K44" s="47" t="str">
        <x:v>NOT_RUN</x:v>
      </x:c>
    </x:row>
    <x:row r="45">
      <x:c r="A45" s="47" t="str">
        <x:v>I2-055</x:v>
      </x:c>
      <x:c r="B45" s="48" t="str">
        <x:v>UR I2 Structural Requirements for Polar Class Ships</x:v>
      </x:c>
      <x:c r="C45" s="47" t="str">
        <x:v>Rev.4 Dec 2019</x:v>
      </x:c>
      <x:c r="D45" s="59" t="n">
        <x:v>20</x:v>
      </x:c>
      <x:c r="E45" s="47" t="str">
        <x:v>I2.13.5.1</x:v>
      </x:c>
      <x:c r="F45" s="47" t="str">
        <x:v>Static</x:v>
      </x:c>
      <x:c r="G45" s="48" t="str">
        <x:v>Stage 2 candidate - direct static</x:v>
      </x:c>
      <x:c r="H45" s="47" t="str">
        <x:v>Direct static</x:v>
      </x:c>
      <x:c r="I45" s="47" t="str">
        <x:v>No</x:v>
      </x:c>
      <x:c r="J45" s="47" t="str">
        <x:v>ELIGIBLE</x:v>
      </x:c>
      <x:c r="K45" s="47" t="str">
        <x:v>NOT_RUN</x:v>
      </x:c>
    </x:row>
    <x:row r="46">
      <x:c r="A46" s="47" t="str">
        <x:v>I2-060</x:v>
      </x:c>
      <x:c r="B46" s="48" t="str">
        <x:v>UR I2 Structural Requirements for Polar Class Ships</x:v>
      </x:c>
      <x:c r="C46" s="47" t="str">
        <x:v>Rev.4 Dec 2019</x:v>
      </x:c>
      <x:c r="D46" s="59" t="n">
        <x:v>21</x:v>
      </x:c>
      <x:c r="E46" s="47" t="str">
        <x:v>I2.16.2</x:v>
      </x:c>
      <x:c r="F46" s="47" t="str">
        <x:v>Static</x:v>
      </x:c>
      <x:c r="G46" s="48" t="str">
        <x:v>Stage 2 candidate - direct/deterministic</x:v>
      </x:c>
      <x:c r="H46" s="47" t="str">
        <x:v>High</x:v>
      </x:c>
      <x:c r="I46" s="47" t="str">
        <x:v>No</x:v>
      </x:c>
      <x:c r="J46" s="47" t="str">
        <x:v>ELIGIBLE</x:v>
      </x:c>
      <x:c r="K46" s="47" t="str">
        <x:v>NOT_RUN</x:v>
      </x:c>
    </x:row>
    <x:row r="47">
      <x:c r="A47" s="47" t="str">
        <x:v>I2-061</x:v>
      </x:c>
      <x:c r="B47" s="48" t="str">
        <x:v>UR I2 Structural Requirements for Polar Class Ships</x:v>
      </x:c>
      <x:c r="C47" s="47" t="str">
        <x:v>Rev.4 Dec 2019</x:v>
      </x:c>
      <x:c r="D47" s="59" t="n">
        <x:v>21</x:v>
      </x:c>
      <x:c r="E47" s="47" t="str">
        <x:v>I2.17.1</x:v>
      </x:c>
      <x:c r="F47" s="47" t="str">
        <x:v>Static</x:v>
      </x:c>
      <x:c r="G47" s="48" t="str">
        <x:v>Stage 2 candidate - direct/deterministic</x:v>
      </x:c>
      <x:c r="H47" s="47" t="str">
        <x:v>High</x:v>
      </x:c>
      <x:c r="I47" s="47" t="str">
        <x:v>No</x:v>
      </x:c>
      <x:c r="J47" s="47" t="str">
        <x:v>ELIGIBLE</x:v>
      </x:c>
      <x:c r="K47" s="47" t="str">
        <x:v>NOT_RUN</x:v>
      </x:c>
    </x:row>
    <x:row r="48">
      <x:c r="A48" s="47" t="str">
        <x:v>I2-062</x:v>
      </x:c>
      <x:c r="B48" s="48" t="str">
        <x:v>UR I2 Structural Requirements for Polar Class Ships</x:v>
      </x:c>
      <x:c r="C48" s="47" t="str">
        <x:v>Rev.4 Dec 2019</x:v>
      </x:c>
      <x:c r="D48" s="59" t="n">
        <x:v>21</x:v>
      </x:c>
      <x:c r="E48" s="47" t="str">
        <x:v>I2.17.2</x:v>
      </x:c>
      <x:c r="F48" s="47" t="str">
        <x:v>Complex</x:v>
      </x:c>
      <x:c r="G48" s="48" t="str">
        <x:v>Stage 2 candidate - complex readiness</x:v>
      </x:c>
      <x:c r="H48" s="47" t="str">
        <x:v>Complex readiness</x:v>
      </x:c>
      <x:c r="I48" s="47" t="str">
        <x:v>No</x:v>
      </x:c>
      <x:c r="J48" s="47" t="str">
        <x:v>ELIGIBLE</x:v>
      </x:c>
      <x:c r="K48" s="47" t="str">
        <x:v>NOT_RUN</x:v>
      </x:c>
    </x:row>
    <x:row r="49">
      <x:c r="A49" s="47" t="str">
        <x:v>I2-064</x:v>
      </x:c>
      <x:c r="B49" s="48" t="str">
        <x:v>UR I2 Structural Requirements for Polar Class Ships</x:v>
      </x:c>
      <x:c r="C49" s="47" t="str">
        <x:v>Rev.4 Dec 2019</x:v>
      </x:c>
      <x:c r="D49" s="59" t="n">
        <x:v>21</x:v>
      </x:c>
      <x:c r="E49" s="47" t="str">
        <x:v>I2.17.5</x:v>
      </x:c>
      <x:c r="F49" s="47" t="str">
        <x:v>Complex</x:v>
      </x:c>
      <x:c r="G49" s="48" t="str">
        <x:v>Stage 2 candidate - complex readiness</x:v>
      </x:c>
      <x:c r="H49" s="47" t="str">
        <x:v>Complex readiness</x:v>
      </x:c>
      <x:c r="I49" s="47" t="str">
        <x:v>No</x:v>
      </x:c>
      <x:c r="J49" s="47" t="str">
        <x:v>ELIGIBLE</x:v>
      </x:c>
      <x:c r="K49" s="47" t="str">
        <x:v>NOT_RUN</x:v>
      </x:c>
    </x:row>
    <x:row r="50">
      <x:c r="A50" s="47" t="str">
        <x:v>I2-065</x:v>
      </x:c>
      <x:c r="B50" s="48" t="str">
        <x:v>UR I2 Structural Requirements for Polar Class Ships</x:v>
      </x:c>
      <x:c r="C50" s="47" t="str">
        <x:v>Rev.4 Dec 2019</x:v>
      </x:c>
      <x:c r="D50" s="59" t="n">
        <x:v>22</x:v>
      </x:c>
      <x:c r="E50" s="47" t="str">
        <x:v>I2.17.6</x:v>
      </x:c>
      <x:c r="F50" s="47" t="str">
        <x:v>Complex</x:v>
      </x:c>
      <x:c r="G50" s="48" t="str">
        <x:v>Stage 2 candidate - complex readiness</x:v>
      </x:c>
      <x:c r="H50" s="47" t="str">
        <x:v>Complex readiness</x:v>
      </x:c>
      <x:c r="I50" s="47" t="str">
        <x:v>No</x:v>
      </x:c>
      <x:c r="J50" s="47" t="str">
        <x:v>ELIGIBLE</x:v>
      </x:c>
      <x:c r="K50" s="47" t="str">
        <x:v>NOT_RUN</x:v>
      </x:c>
    </x:row>
    <x:row r="51">
      <x:c r="A51" s="47" t="str">
        <x:v>I2-066</x:v>
      </x:c>
      <x:c r="B51" s="48" t="str">
        <x:v>UR I2 Structural Requirements for Polar Class Ships</x:v>
      </x:c>
      <x:c r="C51" s="47" t="str">
        <x:v>Rev.4 Dec 2019</x:v>
      </x:c>
      <x:c r="D51" s="59" t="n">
        <x:v>22</x:v>
      </x:c>
      <x:c r="E51" s="47" t="str">
        <x:v>I2.18.1</x:v>
      </x:c>
      <x:c r="F51" s="47" t="str">
        <x:v>Static</x:v>
      </x:c>
      <x:c r="G51" s="48" t="str">
        <x:v>Stage 2 candidate - direct/deterministic</x:v>
      </x:c>
      <x:c r="H51" s="47" t="str">
        <x:v>High</x:v>
      </x:c>
      <x:c r="I51" s="47" t="str">
        <x:v>No</x:v>
      </x:c>
      <x:c r="J51" s="47" t="str">
        <x:v>ELIGIBLE</x:v>
      </x:c>
      <x:c r="K51" s="47" t="str">
        <x:v>NOT_RUN</x:v>
      </x:c>
    </x:row>
    <x:row r="52">
      <x:c r="A52" s="47" t="str">
        <x:v>I2-067</x:v>
      </x:c>
      <x:c r="B52" s="48" t="str">
        <x:v>UR I2 Structural Requirements for Polar Class Ships</x:v>
      </x:c>
      <x:c r="C52" s="47" t="str">
        <x:v>Rev.4 Dec 2019</x:v>
      </x:c>
      <x:c r="D52" s="59" t="n">
        <x:v>22</x:v>
      </x:c>
      <x:c r="E52" s="47" t="str">
        <x:v>I2.18.2</x:v>
      </x:c>
      <x:c r="F52" s="47" t="str">
        <x:v>Static</x:v>
      </x:c>
      <x:c r="G52" s="48" t="str">
        <x:v>Stage 2 candidate - direct/deterministic</x:v>
      </x:c>
      <x:c r="H52" s="47" t="str">
        <x:v>High</x:v>
      </x:c>
      <x:c r="I52" s="47" t="str">
        <x:v>No</x:v>
      </x:c>
      <x:c r="J52" s="47" t="str">
        <x:v>ELIGIBLE</x:v>
      </x:c>
      <x:c r="K52" s="47" t="str">
        <x:v>NOT_RUN</x:v>
      </x:c>
    </x:row>
    <x:row r="53">
      <x:c r="A53" s="47" t="str">
        <x:v>IMO-001</x:v>
      </x:c>
      <x:c r="B53" s="48" t="str">
        <x:v>International Code for Ships Operating in Polar Waters (Polar Code)</x:v>
      </x:c>
      <x:c r="C53" s="47" t="str">
        <x:v>Resolution MSC.385(94), adopted 21 Nov 2014; consolidated with MEPC.264(68), adopted 15 May 2015</x:v>
      </x:c>
      <x:c r="D53" s="59" t="n">
        <x:v>9</x:v>
      </x:c>
      <x:c r="E53" s="47" t="str">
        <x:v>2.1</x:v>
      </x:c>
      <x:c r="F53" s="47" t="str">
        <x:v>Static</x:v>
      </x:c>
      <x:c r="G53" s="48" t="str">
        <x:v>Stage 2 candidate - direct/deterministic</x:v>
      </x:c>
      <x:c r="H53" s="47" t="str">
        <x:v>High</x:v>
      </x:c>
      <x:c r="I53" s="47" t="str">
        <x:v>No</x:v>
      </x:c>
      <x:c r="J53" s="47" t="str">
        <x:v>ELIGIBLE</x:v>
      </x:c>
      <x:c r="K53" s="47" t="str">
        <x:v>NOT_RUN</x:v>
      </x:c>
    </x:row>
    <x:row r="54">
      <x:c r="A54" s="47" t="str">
        <x:v>IMO-002</x:v>
      </x:c>
      <x:c r="B54" s="48" t="str">
        <x:v>International Code for Ships Operating in Polar Waters (Polar Code)</x:v>
      </x:c>
      <x:c r="C54" s="47" t="str">
        <x:v>Resolution MSC.385(94), adopted 21 Nov 2014; consolidated with MEPC.264(68), adopted 15 May 2015</x:v>
      </x:c>
      <x:c r="D54" s="59" t="n">
        <x:v>9</x:v>
      </x:c>
      <x:c r="E54" s="47" t="str">
        <x:v>2.2</x:v>
      </x:c>
      <x:c r="F54" s="47" t="str">
        <x:v>Static</x:v>
      </x:c>
      <x:c r="G54" s="48" t="str">
        <x:v>Stage 2 candidate - direct/deterministic</x:v>
      </x:c>
      <x:c r="H54" s="47" t="str">
        <x:v>High</x:v>
      </x:c>
      <x:c r="I54" s="47" t="str">
        <x:v>No</x:v>
      </x:c>
      <x:c r="J54" s="47" t="str">
        <x:v>ELIGIBLE</x:v>
      </x:c>
      <x:c r="K54" s="47" t="str">
        <x:v>NOT_RUN</x:v>
      </x:c>
    </x:row>
    <x:row r="55">
      <x:c r="A55" s="47" t="str">
        <x:v>IMO-003</x:v>
      </x:c>
      <x:c r="B55" s="48" t="str">
        <x:v>International Code for Ships Operating in Polar Waters (Polar Code)</x:v>
      </x:c>
      <x:c r="C55" s="47" t="str">
        <x:v>Resolution MSC.385(94), adopted 21 Nov 2014; consolidated with MEPC.264(68), adopted 15 May 2015</x:v>
      </x:c>
      <x:c r="D55" s="59" t="n">
        <x:v>9</x:v>
      </x:c>
      <x:c r="E55" s="47" t="str">
        <x:v>2.3</x:v>
      </x:c>
      <x:c r="F55" s="47" t="str">
        <x:v>Static</x:v>
      </x:c>
      <x:c r="G55" s="48" t="str">
        <x:v>Stage 2 candidate - direct/deterministic</x:v>
      </x:c>
      <x:c r="H55" s="47" t="str">
        <x:v>High</x:v>
      </x:c>
      <x:c r="I55" s="47" t="str">
        <x:v>No</x:v>
      </x:c>
      <x:c r="J55" s="47" t="str">
        <x:v>ELIGIBLE</x:v>
      </x:c>
      <x:c r="K55" s="47" t="str">
        <x:v>NOT_RUN</x:v>
      </x:c>
    </x:row>
    <x:row r="56">
      <x:c r="A56" s="47" t="str">
        <x:v>IMO-004</x:v>
      </x:c>
      <x:c r="B56" s="48" t="str">
        <x:v>International Code for Ships Operating in Polar Waters (Polar Code)</x:v>
      </x:c>
      <x:c r="C56" s="47" t="str">
        <x:v>Resolution MSC.385(94), adopted 21 Nov 2014; consolidated with MEPC.264(68), adopted 15 May 2015</x:v>
      </x:c>
      <x:c r="D56" s="59" t="n">
        <x:v>9</x:v>
      </x:c>
      <x:c r="E56" s="47" t="str">
        <x:v>2.4</x:v>
      </x:c>
      <x:c r="F56" s="47" t="str">
        <x:v>Static</x:v>
      </x:c>
      <x:c r="G56" s="48" t="str">
        <x:v>Stage 2 candidate - direct/deterministic</x:v>
      </x:c>
      <x:c r="H56" s="47" t="str">
        <x:v>High</x:v>
      </x:c>
      <x:c r="I56" s="47" t="str">
        <x:v>No</x:v>
      </x:c>
      <x:c r="J56" s="47" t="str">
        <x:v>ELIGIBLE</x:v>
      </x:c>
      <x:c r="K56" s="47" t="str">
        <x:v>NOT_RUN</x:v>
      </x:c>
    </x:row>
    <x:row r="57">
      <x:c r="A57" s="47" t="str">
        <x:v>IMO-005</x:v>
      </x:c>
      <x:c r="B57" s="48" t="str">
        <x:v>International Code for Ships Operating in Polar Waters (Polar Code)</x:v>
      </x:c>
      <x:c r="C57" s="47" t="str">
        <x:v>Resolution MSC.385(94), adopted 21 Nov 2014; consolidated with MEPC.264(68), adopted 15 May 2015</x:v>
      </x:c>
      <x:c r="D57" s="59" t="n">
        <x:v>9</x:v>
      </x:c>
      <x:c r="E57" s="47" t="str">
        <x:v>2.5</x:v>
      </x:c>
      <x:c r="F57" s="47" t="str">
        <x:v>Static</x:v>
      </x:c>
      <x:c r="G57" s="48" t="str">
        <x:v>Stage 2 candidate - direct/deterministic</x:v>
      </x:c>
      <x:c r="H57" s="47" t="str">
        <x:v>High</x:v>
      </x:c>
      <x:c r="I57" s="47" t="str">
        <x:v>No</x:v>
      </x:c>
      <x:c r="J57" s="47" t="str">
        <x:v>ELIGIBLE</x:v>
      </x:c>
      <x:c r="K57" s="47" t="str">
        <x:v>NOT_RUN</x:v>
      </x:c>
    </x:row>
    <x:row r="58">
      <x:c r="A58" s="47" t="str">
        <x:v>IMO-006</x:v>
      </x:c>
      <x:c r="B58" s="48" t="str">
        <x:v>International Code for Ships Operating in Polar Waters (Polar Code)</x:v>
      </x:c>
      <x:c r="C58" s="47" t="str">
        <x:v>Resolution MSC.385(94), adopted 21 Nov 2014; consolidated with MEPC.264(68), adopted 15 May 2015</x:v>
      </x:c>
      <x:c r="D58" s="59" t="n">
        <x:v>9</x:v>
      </x:c>
      <x:c r="E58" s="47" t="str">
        <x:v>2.8</x:v>
      </x:c>
      <x:c r="F58" s="47" t="str">
        <x:v>Static</x:v>
      </x:c>
      <x:c r="G58" s="48" t="str">
        <x:v>Stage 2 candidate - direct/deterministic</x:v>
      </x:c>
      <x:c r="H58" s="47" t="str">
        <x:v>High</x:v>
      </x:c>
      <x:c r="I58" s="47" t="str">
        <x:v>No</x:v>
      </x:c>
      <x:c r="J58" s="47" t="str">
        <x:v>ELIGIBLE</x:v>
      </x:c>
      <x:c r="K58" s="47" t="str">
        <x:v>NOT_RUN</x:v>
      </x:c>
    </x:row>
    <x:row r="59">
      <x:c r="A59" s="47" t="str">
        <x:v>IMO-007</x:v>
      </x:c>
      <x:c r="B59" s="48" t="str">
        <x:v>International Code for Ships Operating in Polar Waters (Polar Code)</x:v>
      </x:c>
      <x:c r="C59" s="47" t="str">
        <x:v>Resolution MSC.385(94), adopted 21 Nov 2014; consolidated with MEPC.264(68), adopted 15 May 2015</x:v>
      </x:c>
      <x:c r="D59" s="59" t="n">
        <x:v>9</x:v>
      </x:c>
      <x:c r="E59" s="47" t="str">
        <x:v>2.10</x:v>
      </x:c>
      <x:c r="F59" s="47" t="str">
        <x:v>Static</x:v>
      </x:c>
      <x:c r="G59" s="48" t="str">
        <x:v>Stage 2 candidate - direct/deterministic</x:v>
      </x:c>
      <x:c r="H59" s="47" t="str">
        <x:v>High</x:v>
      </x:c>
      <x:c r="I59" s="47" t="str">
        <x:v>No</x:v>
      </x:c>
      <x:c r="J59" s="47" t="str">
        <x:v>ELIGIBLE</x:v>
      </x:c>
      <x:c r="K59" s="47" t="str">
        <x:v>NOT_RUN</x:v>
      </x:c>
    </x:row>
    <x:row r="60">
      <x:c r="A60" s="47" t="str">
        <x:v>IMO-008</x:v>
      </x:c>
      <x:c r="B60" s="48" t="str">
        <x:v>International Code for Ships Operating in Polar Waters (Polar Code)</x:v>
      </x:c>
      <x:c r="C60" s="47" t="str">
        <x:v>Resolution MSC.385(94), adopted 21 Nov 2014; consolidated with MEPC.264(68), adopted 15 May 2015</x:v>
      </x:c>
      <x:c r="D60" s="59" t="n">
        <x:v>10</x:v>
      </x:c>
      <x:c r="E60" s="47" t="str">
        <x:v>2.15</x:v>
      </x:c>
      <x:c r="F60" s="47" t="str">
        <x:v>Static</x:v>
      </x:c>
      <x:c r="G60" s="48" t="str">
        <x:v>Stage 2 candidate - direct/deterministic</x:v>
      </x:c>
      <x:c r="H60" s="47" t="str">
        <x:v>High</x:v>
      </x:c>
      <x:c r="I60" s="47" t="str">
        <x:v>No</x:v>
      </x:c>
      <x:c r="J60" s="47" t="str">
        <x:v>ELIGIBLE</x:v>
      </x:c>
      <x:c r="K60" s="47" t="str">
        <x:v>NOT_RUN</x:v>
      </x:c>
    </x:row>
    <x:row r="61">
      <x:c r="A61" s="47" t="str">
        <x:v>IMO-009</x:v>
      </x:c>
      <x:c r="B61" s="48" t="str">
        <x:v>International Code for Ships Operating in Polar Waters (Polar Code)</x:v>
      </x:c>
      <x:c r="C61" s="47" t="str">
        <x:v>Resolution MSC.385(94), adopted 21 Nov 2014; consolidated with MEPC.264(68), adopted 15 May 2015</x:v>
      </x:c>
      <x:c r="D61" s="59" t="n">
        <x:v>13</x:v>
      </x:c>
      <x:c r="E61" s="47" t="str">
        <x:v>1.2.1</x:v>
      </x:c>
      <x:c r="F61" s="47" t="str">
        <x:v>Static</x:v>
      </x:c>
      <x:c r="G61" s="48" t="str">
        <x:v>Stage 2 candidate - direct/deterministic</x:v>
      </x:c>
      <x:c r="H61" s="47" t="str">
        <x:v>High</x:v>
      </x:c>
      <x:c r="I61" s="47" t="str">
        <x:v>No</x:v>
      </x:c>
      <x:c r="J61" s="47" t="str">
        <x:v>ELIGIBLE</x:v>
      </x:c>
      <x:c r="K61" s="47" t="str">
        <x:v>NOT_RUN</x:v>
      </x:c>
    </x:row>
    <x:row r="62">
      <x:c r="A62" s="47" t="str">
        <x:v>IMO-010</x:v>
      </x:c>
      <x:c r="B62" s="48" t="str">
        <x:v>International Code for Ships Operating in Polar Waters (Polar Code)</x:v>
      </x:c>
      <x:c r="C62" s="47" t="str">
        <x:v>Resolution MSC.385(94), adopted 21 Nov 2014; consolidated with MEPC.264(68), adopted 15 May 2015</x:v>
      </x:c>
      <x:c r="D62" s="59" t="n">
        <x:v>13</x:v>
      </x:c>
      <x:c r="E62" s="47" t="str">
        <x:v>1.2.7</x:v>
      </x:c>
      <x:c r="F62" s="47" t="str">
        <x:v>Static</x:v>
      </x:c>
      <x:c r="G62" s="48" t="str">
        <x:v>Stage 2 candidate - direct/deterministic</x:v>
      </x:c>
      <x:c r="H62" s="47" t="str">
        <x:v>High</x:v>
      </x:c>
      <x:c r="I62" s="47" t="str">
        <x:v>No</x:v>
      </x:c>
      <x:c r="J62" s="47" t="str">
        <x:v>ELIGIBLE</x:v>
      </x:c>
      <x:c r="K62" s="47" t="str">
        <x:v>NOT_RUN</x:v>
      </x:c>
    </x:row>
    <x:row r="63">
      <x:c r="A63" s="47" t="str">
        <x:v>IMO-011</x:v>
      </x:c>
      <x:c r="B63" s="48" t="str">
        <x:v>International Code for Ships Operating in Polar Waters (Polar Code)</x:v>
      </x:c>
      <x:c r="C63" s="47" t="str">
        <x:v>Resolution MSC.385(94), adopted 21 Nov 2014; consolidated with MEPC.264(68), adopted 15 May 2015</x:v>
      </x:c>
      <x:c r="D63" s="59" t="n">
        <x:v>13</x:v>
      </x:c>
      <x:c r="E63" s="47" t="str">
        <x:v>1.2.9</x:v>
      </x:c>
      <x:c r="F63" s="47" t="str">
        <x:v>Complex</x:v>
      </x:c>
      <x:c r="G63" s="48" t="str">
        <x:v>Stage 2 candidate - complex readiness</x:v>
      </x:c>
      <x:c r="H63" s="47" t="str">
        <x:v>Complex readiness</x:v>
      </x:c>
      <x:c r="I63" s="47" t="str">
        <x:v>No</x:v>
      </x:c>
      <x:c r="J63" s="47" t="str">
        <x:v>ELIGIBLE</x:v>
      </x:c>
      <x:c r="K63" s="47" t="str">
        <x:v>NOT_RUN</x:v>
      </x:c>
    </x:row>
    <x:row r="64">
      <x:c r="A64" s="47" t="str">
        <x:v>IMO-012</x:v>
      </x:c>
      <x:c r="B64" s="48" t="str">
        <x:v>International Code for Ships Operating in Polar Waters (Polar Code)</x:v>
      </x:c>
      <x:c r="C64" s="47" t="str">
        <x:v>Resolution MSC.385(94), adopted 21 Nov 2014; consolidated with MEPC.264(68), adopted 15 May 2015</x:v>
      </x:c>
      <x:c r="D64" s="59" t="n">
        <x:v>14</x:v>
      </x:c>
      <x:c r="E64" s="47" t="str">
        <x:v>1.2.11</x:v>
      </x:c>
      <x:c r="F64" s="47" t="str">
        <x:v>Static Calculation</x:v>
      </x:c>
      <x:c r="G64" s="48" t="str">
        <x:v>Stage 2 candidate - direct/deterministic</x:v>
      </x:c>
      <x:c r="H64" s="47" t="str">
        <x:v>High</x:v>
      </x:c>
      <x:c r="I64" s="47" t="str">
        <x:v>No</x:v>
      </x:c>
      <x:c r="J64" s="47" t="str">
        <x:v>ELIGIBLE</x:v>
      </x:c>
      <x:c r="K64" s="47" t="str">
        <x:v>NOT_RUN</x:v>
      </x:c>
    </x:row>
    <x:row r="65">
      <x:c r="A65" s="47" t="str">
        <x:v>IMO-013</x:v>
      </x:c>
      <x:c r="B65" s="48" t="str">
        <x:v>International Code for Ships Operating in Polar Waters (Polar Code)</x:v>
      </x:c>
      <x:c r="C65" s="47" t="str">
        <x:v>Resolution MSC.385(94), adopted 21 Nov 2014; consolidated with MEPC.264(68), adopted 15 May 2015</x:v>
      </x:c>
      <x:c r="D65" s="59" t="n">
        <x:v>14</x:v>
      </x:c>
      <x:c r="E65" s="47" t="str">
        <x:v>1.2.12</x:v>
      </x:c>
      <x:c r="F65" s="47" t="str">
        <x:v>Static</x:v>
      </x:c>
      <x:c r="G65" s="48" t="str">
        <x:v>Stage 2 candidate - direct/deterministic</x:v>
      </x:c>
      <x:c r="H65" s="47" t="str">
        <x:v>High</x:v>
      </x:c>
      <x:c r="I65" s="47" t="str">
        <x:v>No</x:v>
      </x:c>
      <x:c r="J65" s="47" t="str">
        <x:v>ELIGIBLE</x:v>
      </x:c>
      <x:c r="K65" s="47" t="str">
        <x:v>NOT_RUN</x:v>
      </x:c>
    </x:row>
    <x:row r="66">
      <x:c r="A66" s="47" t="str">
        <x:v>IMO-014</x:v>
      </x:c>
      <x:c r="B66" s="48" t="str">
        <x:v>International Code for Ships Operating in Polar Waters (Polar Code)</x:v>
      </x:c>
      <x:c r="C66" s="47" t="str">
        <x:v>Resolution MSC.385(94), adopted 21 Nov 2014; consolidated with MEPC.264(68), adopted 15 May 2015</x:v>
      </x:c>
      <x:c r="D66" s="59" t="n">
        <x:v>14</x:v>
      </x:c>
      <x:c r="E66" s="47" t="str">
        <x:v>1.3.1</x:v>
      </x:c>
      <x:c r="F66" s="47" t="str">
        <x:v>Static</x:v>
      </x:c>
      <x:c r="G66" s="48" t="str">
        <x:v>Stage 2 candidate - direct/deterministic</x:v>
      </x:c>
      <x:c r="H66" s="47" t="str">
        <x:v>High</x:v>
      </x:c>
      <x:c r="I66" s="47" t="str">
        <x:v>No</x:v>
      </x:c>
      <x:c r="J66" s="47" t="str">
        <x:v>ELIGIBLE</x:v>
      </x:c>
      <x:c r="K66" s="47" t="str">
        <x:v>NOT_RUN</x:v>
      </x:c>
    </x:row>
    <x:row r="67">
      <x:c r="A67" s="47" t="str">
        <x:v>IMO-015</x:v>
      </x:c>
      <x:c r="B67" s="48" t="str">
        <x:v>International Code for Ships Operating in Polar Waters (Polar Code)</x:v>
      </x:c>
      <x:c r="C67" s="47" t="str">
        <x:v>Resolution MSC.385(94), adopted 21 Nov 2014; consolidated with MEPC.264(68), adopted 15 May 2015</x:v>
      </x:c>
      <x:c r="D67" s="59" t="n">
        <x:v>14</x:v>
      </x:c>
      <x:c r="E67" s="47" t="str">
        <x:v>1.3.2</x:v>
      </x:c>
      <x:c r="F67" s="47" t="str">
        <x:v>Physical Test</x:v>
      </x:c>
      <x:c r="G67" s="48" t="str">
        <x:v>Evidence-only - physical result not inferred by SHACL</x:v>
      </x:c>
      <x:c r="H67" s="47" t="str">
        <x:v>Medium</x:v>
      </x:c>
      <x:c r="I67" s="47" t="str">
        <x:v>No</x:v>
      </x:c>
      <x:c r="J67" s="47" t="str">
        <x:v>DEFERRED</x:v>
      </x:c>
      <x:c r="K67" s="47" t="str">
        <x:v>NOT_RUN</x:v>
      </x:c>
    </x:row>
    <x:row r="68">
      <x:c r="A68" s="47" t="str">
        <x:v>IMO-016</x:v>
      </x:c>
      <x:c r="B68" s="48" t="str">
        <x:v>International Code for Ships Operating in Polar Waters (Polar Code)</x:v>
      </x:c>
      <x:c r="C68" s="47" t="str">
        <x:v>Resolution MSC.385(94), adopted 21 Nov 2014; consolidated with MEPC.264(68), adopted 15 May 2015</x:v>
      </x:c>
      <x:c r="D68" s="59" t="n">
        <x:v>14</x:v>
      </x:c>
      <x:c r="E68" s="47" t="str">
        <x:v>1.3.5</x:v>
      </x:c>
      <x:c r="F68" s="47" t="str">
        <x:v>Static</x:v>
      </x:c>
      <x:c r="G68" s="48" t="str">
        <x:v>Stage 2 candidate - direct/deterministic</x:v>
      </x:c>
      <x:c r="H68" s="47" t="str">
        <x:v>High</x:v>
      </x:c>
      <x:c r="I68" s="47" t="str">
        <x:v>No</x:v>
      </x:c>
      <x:c r="J68" s="47" t="str">
        <x:v>ELIGIBLE</x:v>
      </x:c>
      <x:c r="K68" s="47" t="str">
        <x:v>NOT_RUN</x:v>
      </x:c>
    </x:row>
    <x:row r="69">
      <x:c r="A69" s="47" t="str">
        <x:v>IMO-017</x:v>
      </x:c>
      <x:c r="B69" s="48" t="str">
        <x:v>International Code for Ships Operating in Polar Waters (Polar Code)</x:v>
      </x:c>
      <x:c r="C69" s="47" t="str">
        <x:v>Resolution MSC.385(94), adopted 21 Nov 2014; consolidated with MEPC.264(68), adopted 15 May 2015</x:v>
      </x:c>
      <x:c r="D69" s="59" t="n">
        <x:v>14</x:v>
      </x:c>
      <x:c r="E69" s="47" t="str">
        <x:v>1.3.6</x:v>
      </x:c>
      <x:c r="F69" s="47" t="str">
        <x:v>Static</x:v>
      </x:c>
      <x:c r="G69" s="48" t="str">
        <x:v>Stage 2 candidate - direct/deterministic</x:v>
      </x:c>
      <x:c r="H69" s="47" t="str">
        <x:v>Medium</x:v>
      </x:c>
      <x:c r="I69" s="47" t="str">
        <x:v>No</x:v>
      </x:c>
      <x:c r="J69" s="47" t="str">
        <x:v>ELIGIBLE</x:v>
      </x:c>
      <x:c r="K69" s="47" t="str">
        <x:v>NOT_RUN</x:v>
      </x:c>
    </x:row>
    <x:row r="70">
      <x:c r="A70" s="47" t="str">
        <x:v>IMO-018</x:v>
      </x:c>
      <x:c r="B70" s="48" t="str">
        <x:v>International Code for Ships Operating in Polar Waters (Polar Code)</x:v>
      </x:c>
      <x:c r="C70" s="47" t="str">
        <x:v>Resolution MSC.385(94), adopted 21 Nov 2014; consolidated with MEPC.264(68), adopted 15 May 2015</x:v>
      </x:c>
      <x:c r="D70" s="59" t="n">
        <x:v>14</x:v>
      </x:c>
      <x:c r="E70" s="47" t="str">
        <x:v>1.3.7</x:v>
      </x:c>
      <x:c r="F70" s="47" t="str">
        <x:v>Static</x:v>
      </x:c>
      <x:c r="G70" s="48" t="str">
        <x:v>Stage 2 candidate - direct static</x:v>
      </x:c>
      <x:c r="H70" s="47" t="str">
        <x:v>Direct static</x:v>
      </x:c>
      <x:c r="I70" s="47" t="str">
        <x:v>No</x:v>
      </x:c>
      <x:c r="J70" s="47" t="str">
        <x:v>ELIGIBLE</x:v>
      </x:c>
      <x:c r="K70" s="47" t="str">
        <x:v>NOT_RUN</x:v>
      </x:c>
    </x:row>
    <x:row r="71">
      <x:c r="A71" s="47" t="str">
        <x:v>IMO-019</x:v>
      </x:c>
      <x:c r="B71" s="48" t="str">
        <x:v>International Code for Ships Operating in Polar Waters (Polar Code)</x:v>
      </x:c>
      <x:c r="C71" s="47" t="str">
        <x:v>Resolution MSC.385(94), adopted 21 Nov 2014; consolidated with MEPC.264(68), adopted 15 May 2015</x:v>
      </x:c>
      <x:c r="D71" s="59" t="n">
        <x:v>15</x:v>
      </x:c>
      <x:c r="E71" s="47" t="str">
        <x:v>1.4.2</x:v>
      </x:c>
      <x:c r="F71" s="47" t="str">
        <x:v>Static Calculation</x:v>
      </x:c>
      <x:c r="G71" s="48" t="str">
        <x:v>Stage 2 candidate - direct/deterministic</x:v>
      </x:c>
      <x:c r="H71" s="47" t="str">
        <x:v>High</x:v>
      </x:c>
      <x:c r="I71" s="47" t="str">
        <x:v>No</x:v>
      </x:c>
      <x:c r="J71" s="47" t="str">
        <x:v>ELIGIBLE</x:v>
      </x:c>
      <x:c r="K71" s="47" t="str">
        <x:v>NOT_RUN</x:v>
      </x:c>
    </x:row>
    <x:row r="72">
      <x:c r="A72" s="47" t="str">
        <x:v>IMO-020</x:v>
      </x:c>
      <x:c r="B72" s="48" t="str">
        <x:v>International Code for Ships Operating in Polar Waters (Polar Code)</x:v>
      </x:c>
      <x:c r="C72" s="47" t="str">
        <x:v>Resolution MSC.385(94), adopted 21 Nov 2014; consolidated with MEPC.264(68), adopted 15 May 2015</x:v>
      </x:c>
      <x:c r="D72" s="59" t="n">
        <x:v>15</x:v>
      </x:c>
      <x:c r="E72" s="47" t="str">
        <x:v>1.4.3</x:v>
      </x:c>
      <x:c r="F72" s="47" t="str">
        <x:v>Physical Test</x:v>
      </x:c>
      <x:c r="G72" s="48" t="str">
        <x:v>Evidence-only - physical result not inferred by SHACL</x:v>
      </x:c>
      <x:c r="H72" s="47" t="str">
        <x:v>Medium</x:v>
      </x:c>
      <x:c r="I72" s="47" t="str">
        <x:v>No</x:v>
      </x:c>
      <x:c r="J72" s="47" t="str">
        <x:v>DEFERRED</x:v>
      </x:c>
      <x:c r="K72" s="47" t="str">
        <x:v>NOT_RUN</x:v>
      </x:c>
    </x:row>
    <x:row r="73">
      <x:c r="A73" s="47" t="str">
        <x:v>IMO-021</x:v>
      </x:c>
      <x:c r="B73" s="48" t="str">
        <x:v>International Code for Ships Operating in Polar Waters (Polar Code)</x:v>
      </x:c>
      <x:c r="C73" s="47" t="str">
        <x:v>Resolution MSC.385(94), adopted 21 Nov 2014; consolidated with MEPC.264(68), adopted 15 May 2015</x:v>
      </x:c>
      <x:c r="D73" s="59" t="n">
        <x:v>15</x:v>
      </x:c>
      <x:c r="E73" s="47" t="str">
        <x:v>1.5</x:v>
      </x:c>
      <x:c r="F73" s="47" t="str">
        <x:v>Static</x:v>
      </x:c>
      <x:c r="G73" s="48" t="str">
        <x:v>Stage 2 candidate - direct static</x:v>
      </x:c>
      <x:c r="H73" s="47" t="str">
        <x:v>Direct static</x:v>
      </x:c>
      <x:c r="I73" s="47" t="str">
        <x:v>No</x:v>
      </x:c>
      <x:c r="J73" s="47" t="str">
        <x:v>ELIGIBLE</x:v>
      </x:c>
      <x:c r="K73" s="47" t="str">
        <x:v>NOT_RUN</x:v>
      </x:c>
    </x:row>
    <x:row r="74">
      <x:c r="A74" s="47" t="str">
        <x:v>IMO-022</x:v>
      </x:c>
      <x:c r="B74" s="48" t="str">
        <x:v>International Code for Ships Operating in Polar Waters (Polar Code)</x:v>
      </x:c>
      <x:c r="C74" s="47" t="str">
        <x:v>Resolution MSC.385(94), adopted 21 Nov 2014; consolidated with MEPC.264(68), adopted 15 May 2015</x:v>
      </x:c>
      <x:c r="D74" s="59" t="n">
        <x:v>15</x:v>
      </x:c>
      <x:c r="E74" s="47" t="str">
        <x:v>2.2.2</x:v>
      </x:c>
      <x:c r="F74" s="47" t="str">
        <x:v>Static</x:v>
      </x:c>
      <x:c r="G74" s="48" t="str">
        <x:v>Stage 2 candidate - direct/deterministic</x:v>
      </x:c>
      <x:c r="H74" s="47" t="str">
        <x:v>High</x:v>
      </x:c>
      <x:c r="I74" s="47" t="str">
        <x:v>No</x:v>
      </x:c>
      <x:c r="J74" s="47" t="str">
        <x:v>ELIGIBLE</x:v>
      </x:c>
      <x:c r="K74" s="47" t="str">
        <x:v>NOT_RUN</x:v>
      </x:c>
    </x:row>
    <x:row r="75">
      <x:c r="A75" s="47" t="str">
        <x:v>IMO-023</x:v>
      </x:c>
      <x:c r="B75" s="48" t="str">
        <x:v>International Code for Ships Operating in Polar Waters (Polar Code)</x:v>
      </x:c>
      <x:c r="C75" s="47" t="str">
        <x:v>Resolution MSC.385(94), adopted 21 Nov 2014; consolidated with MEPC.264(68), adopted 15 May 2015</x:v>
      </x:c>
      <x:c r="D75" s="59" t="n">
        <x:v>15</x:v>
      </x:c>
      <x:c r="E75" s="47" t="str">
        <x:v>2.2.3</x:v>
      </x:c>
      <x:c r="F75" s="47" t="str">
        <x:v>Static</x:v>
      </x:c>
      <x:c r="G75" s="48" t="str">
        <x:v>Stage 2 candidate - direct/deterministic</x:v>
      </x:c>
      <x:c r="H75" s="47" t="str">
        <x:v>High</x:v>
      </x:c>
      <x:c r="I75" s="47" t="str">
        <x:v>No</x:v>
      </x:c>
      <x:c r="J75" s="47" t="str">
        <x:v>ELIGIBLE</x:v>
      </x:c>
      <x:c r="K75" s="47" t="str">
        <x:v>NOT_RUN</x:v>
      </x:c>
    </x:row>
    <x:row r="76">
      <x:c r="A76" s="47" t="str">
        <x:v>IMO-024</x:v>
      </x:c>
      <x:c r="B76" s="48" t="str">
        <x:v>International Code for Ships Operating in Polar Waters (Polar Code)</x:v>
      </x:c>
      <x:c r="C76" s="47" t="str">
        <x:v>Resolution MSC.385(94), adopted 21 Nov 2014; consolidated with MEPC.264(68), adopted 15 May 2015</x:v>
      </x:c>
      <x:c r="D76" s="59" t="n">
        <x:v>15</x:v>
      </x:c>
      <x:c r="E76" s="47" t="str">
        <x:v>2.2.4</x:v>
      </x:c>
      <x:c r="F76" s="47" t="str">
        <x:v>Static</x:v>
      </x:c>
      <x:c r="G76" s="48" t="str">
        <x:v>Stage 2 candidate - direct/deterministic</x:v>
      </x:c>
      <x:c r="H76" s="47" t="str">
        <x:v>High</x:v>
      </x:c>
      <x:c r="I76" s="47" t="str">
        <x:v>No</x:v>
      </x:c>
      <x:c r="J76" s="47" t="str">
        <x:v>ELIGIBLE</x:v>
      </x:c>
      <x:c r="K76" s="47" t="str">
        <x:v>NOT_RUN</x:v>
      </x:c>
    </x:row>
    <x:row r="77">
      <x:c r="A77" s="47" t="str">
        <x:v>IMO-025</x:v>
      </x:c>
      <x:c r="B77" s="48" t="str">
        <x:v>International Code for Ships Operating in Polar Waters (Polar Code)</x:v>
      </x:c>
      <x:c r="C77" s="47" t="str">
        <x:v>Resolution MSC.385(94), adopted 21 Nov 2014; consolidated with MEPC.264(68), adopted 15 May 2015</x:v>
      </x:c>
      <x:c r="D77" s="59" t="n">
        <x:v>16</x:v>
      </x:c>
      <x:c r="E77" s="47" t="str">
        <x:v>2.3.1</x:v>
      </x:c>
      <x:c r="F77" s="47" t="str">
        <x:v>Static</x:v>
      </x:c>
      <x:c r="G77" s="48" t="str">
        <x:v>Stage 2 candidate - direct/deterministic</x:v>
      </x:c>
      <x:c r="H77" s="47" t="str">
        <x:v>High</x:v>
      </x:c>
      <x:c r="I77" s="47" t="str">
        <x:v>No</x:v>
      </x:c>
      <x:c r="J77" s="47" t="str">
        <x:v>ELIGIBLE</x:v>
      </x:c>
      <x:c r="K77" s="47" t="str">
        <x:v>NOT_RUN</x:v>
      </x:c>
    </x:row>
    <x:row r="78">
      <x:c r="A78" s="47" t="str">
        <x:v>IMO-026</x:v>
      </x:c>
      <x:c r="B78" s="48" t="str">
        <x:v>International Code for Ships Operating in Polar Waters (Polar Code)</x:v>
      </x:c>
      <x:c r="C78" s="47" t="str">
        <x:v>Resolution MSC.385(94), adopted 21 Nov 2014; consolidated with MEPC.264(68), adopted 15 May 2015</x:v>
      </x:c>
      <x:c r="D78" s="59" t="n">
        <x:v>16</x:v>
      </x:c>
      <x:c r="E78" s="47" t="str">
        <x:v>2.3.2</x:v>
      </x:c>
      <x:c r="F78" s="47" t="str">
        <x:v>Static</x:v>
      </x:c>
      <x:c r="G78" s="48" t="str">
        <x:v>Stage 2 candidate - direct/deterministic</x:v>
      </x:c>
      <x:c r="H78" s="47" t="str">
        <x:v>High</x:v>
      </x:c>
      <x:c r="I78" s="47" t="str">
        <x:v>No</x:v>
      </x:c>
      <x:c r="J78" s="47" t="str">
        <x:v>ELIGIBLE</x:v>
      </x:c>
      <x:c r="K78" s="47" t="str">
        <x:v>NOT_RUN</x:v>
      </x:c>
    </x:row>
    <x:row r="79">
      <x:c r="A79" s="47" t="str">
        <x:v>IMO-027</x:v>
      </x:c>
      <x:c r="B79" s="48" t="str">
        <x:v>International Code for Ships Operating in Polar Waters (Polar Code)</x:v>
      </x:c>
      <x:c r="C79" s="47" t="str">
        <x:v>Resolution MSC.385(94), adopted 21 Nov 2014; consolidated with MEPC.264(68), adopted 15 May 2015</x:v>
      </x:c>
      <x:c r="D79" s="59" t="n">
        <x:v>16</x:v>
      </x:c>
      <x:c r="E79" s="47" t="str">
        <x:v>2.3.3</x:v>
      </x:c>
      <x:c r="F79" s="47" t="str">
        <x:v>Static</x:v>
      </x:c>
      <x:c r="G79" s="48" t="str">
        <x:v>Stage 2 candidate - direct static</x:v>
      </x:c>
      <x:c r="H79" s="47" t="str">
        <x:v>Direct static</x:v>
      </x:c>
      <x:c r="I79" s="47" t="str">
        <x:v>No</x:v>
      </x:c>
      <x:c r="J79" s="47" t="str">
        <x:v>ELIGIBLE</x:v>
      </x:c>
      <x:c r="K79" s="47" t="str">
        <x:v>NOT_RUN</x:v>
      </x:c>
    </x:row>
    <x:row r="80">
      <x:c r="A80" s="47" t="str">
        <x:v>IMO-028</x:v>
      </x:c>
      <x:c r="B80" s="48" t="str">
        <x:v>International Code for Ships Operating in Polar Waters (Polar Code)</x:v>
      </x:c>
      <x:c r="C80" s="47" t="str">
        <x:v>Resolution MSC.385(94), adopted 21 Nov 2014; consolidated with MEPC.264(68), adopted 15 May 2015</x:v>
      </x:c>
      <x:c r="D80" s="59" t="n">
        <x:v>16</x:v>
      </x:c>
      <x:c r="E80" s="47" t="str">
        <x:v>2.3.4</x:v>
      </x:c>
      <x:c r="F80" s="47" t="str">
        <x:v>Static</x:v>
      </x:c>
      <x:c r="G80" s="48" t="str">
        <x:v>Stage 2 candidate - direct static</x:v>
      </x:c>
      <x:c r="H80" s="47" t="str">
        <x:v>Direct static</x:v>
      </x:c>
      <x:c r="I80" s="47" t="str">
        <x:v>No</x:v>
      </x:c>
      <x:c r="J80" s="47" t="str">
        <x:v>ELIGIBLE</x:v>
      </x:c>
      <x:c r="K80" s="47" t="str">
        <x:v>NOT_RUN</x:v>
      </x:c>
    </x:row>
    <x:row r="81">
      <x:c r="A81" s="47" t="str">
        <x:v>IMO-029</x:v>
      </x:c>
      <x:c r="B81" s="48" t="str">
        <x:v>International Code for Ships Operating in Polar Waters (Polar Code)</x:v>
      </x:c>
      <x:c r="C81" s="47" t="str">
        <x:v>Resolution MSC.385(94), adopted 21 Nov 2014; consolidated with MEPC.264(68), adopted 15 May 2015</x:v>
      </x:c>
      <x:c r="D81" s="59" t="n">
        <x:v>16</x:v>
      </x:c>
      <x:c r="E81" s="47" t="str">
        <x:v>2.3.5</x:v>
      </x:c>
      <x:c r="F81" s="47" t="str">
        <x:v>Static</x:v>
      </x:c>
      <x:c r="G81" s="48" t="str">
        <x:v>Stage 2 candidate - direct/deterministic</x:v>
      </x:c>
      <x:c r="H81" s="47" t="str">
        <x:v>High</x:v>
      </x:c>
      <x:c r="I81" s="47" t="str">
        <x:v>No</x:v>
      </x:c>
      <x:c r="J81" s="47" t="str">
        <x:v>ELIGIBLE</x:v>
      </x:c>
      <x:c r="K81" s="47" t="str">
        <x:v>NOT_RUN</x:v>
      </x:c>
    </x:row>
    <x:row r="82">
      <x:c r="A82" s="47" t="str">
        <x:v>IMO-030</x:v>
      </x:c>
      <x:c r="B82" s="48" t="str">
        <x:v>International Code for Ships Operating in Polar Waters (Polar Code)</x:v>
      </x:c>
      <x:c r="C82" s="47" t="str">
        <x:v>Resolution MSC.385(94), adopted 21 Nov 2014; consolidated with MEPC.264(68), adopted 15 May 2015</x:v>
      </x:c>
      <x:c r="D82" s="59" t="n">
        <x:v>16</x:v>
      </x:c>
      <x:c r="E82" s="47" t="str">
        <x:v>2.3.6</x:v>
      </x:c>
      <x:c r="F82" s="47" t="str">
        <x:v>Static</x:v>
      </x:c>
      <x:c r="G82" s="48" t="str">
        <x:v>Stage 2 candidate - direct static</x:v>
      </x:c>
      <x:c r="H82" s="47" t="str">
        <x:v>Direct static</x:v>
      </x:c>
      <x:c r="I82" s="47" t="str">
        <x:v>No</x:v>
      </x:c>
      <x:c r="J82" s="47" t="str">
        <x:v>ELIGIBLE</x:v>
      </x:c>
      <x:c r="K82" s="47" t="str">
        <x:v>NOT_RUN</x:v>
      </x:c>
    </x:row>
    <x:row r="83">
      <x:c r="A83" s="47" t="str">
        <x:v>IMO-031</x:v>
      </x:c>
      <x:c r="B83" s="48" t="str">
        <x:v>International Code for Ships Operating in Polar Waters (Polar Code)</x:v>
      </x:c>
      <x:c r="C83" s="47" t="str">
        <x:v>Resolution MSC.385(94), adopted 21 Nov 2014; consolidated with MEPC.264(68), adopted 15 May 2015</x:v>
      </x:c>
      <x:c r="D83" s="59" t="n">
        <x:v>17</x:v>
      </x:c>
      <x:c r="E83" s="47" t="str">
        <x:v>3.3.1</x:v>
      </x:c>
      <x:c r="F83" s="47" t="str">
        <x:v>Static</x:v>
      </x:c>
      <x:c r="G83" s="48" t="str">
        <x:v>Stage 2 candidate - direct static</x:v>
      </x:c>
      <x:c r="H83" s="47" t="str">
        <x:v>Direct static</x:v>
      </x:c>
      <x:c r="I83" s="47" t="str">
        <x:v>No</x:v>
      </x:c>
      <x:c r="J83" s="47" t="str">
        <x:v>ELIGIBLE</x:v>
      </x:c>
      <x:c r="K83" s="47" t="str">
        <x:v>NOT_RUN</x:v>
      </x:c>
    </x:row>
    <x:row r="84">
      <x:c r="A84" s="47" t="str">
        <x:v>IMO-032</x:v>
      </x:c>
      <x:c r="B84" s="48" t="str">
        <x:v>International Code for Ships Operating in Polar Waters (Polar Code)</x:v>
      </x:c>
      <x:c r="C84" s="47" t="str">
        <x:v>Resolution MSC.385(94), adopted 21 Nov 2014; consolidated with MEPC.264(68), adopted 15 May 2015</x:v>
      </x:c>
      <x:c r="D84" s="59" t="n">
        <x:v>17</x:v>
      </x:c>
      <x:c r="E84" s="47" t="str">
        <x:v>3.3.2.1-.3</x:v>
      </x:c>
      <x:c r="F84" s="47" t="str">
        <x:v>Static</x:v>
      </x:c>
      <x:c r="G84" s="48" t="str">
        <x:v>Stage 2 candidate - direct static</x:v>
      </x:c>
      <x:c r="H84" s="47" t="str">
        <x:v>Direct static</x:v>
      </x:c>
      <x:c r="I84" s="47" t="str">
        <x:v>No</x:v>
      </x:c>
      <x:c r="J84" s="47" t="str">
        <x:v>ELIGIBLE</x:v>
      </x:c>
      <x:c r="K84" s="47" t="str">
        <x:v>NOT_RUN</x:v>
      </x:c>
    </x:row>
    <x:row r="85">
      <x:c r="A85" s="47" t="str">
        <x:v>IMO-033</x:v>
      </x:c>
      <x:c r="B85" s="48" t="str">
        <x:v>International Code for Ships Operating in Polar Waters (Polar Code)</x:v>
      </x:c>
      <x:c r="C85" s="47" t="str">
        <x:v>Resolution MSC.385(94), adopted 21 Nov 2014; consolidated with MEPC.264(68), adopted 15 May 2015</x:v>
      </x:c>
      <x:c r="D85" s="59" t="n">
        <x:v>18</x:v>
      </x:c>
      <x:c r="E85" s="47" t="str">
        <x:v>4.3.1.1</x:v>
      </x:c>
      <x:c r="F85" s="47" t="str">
        <x:v>Static Calculation</x:v>
      </x:c>
      <x:c r="G85" s="48" t="str">
        <x:v>Stage 2 candidate - direct/deterministic</x:v>
      </x:c>
      <x:c r="H85" s="47" t="str">
        <x:v>High</x:v>
      </x:c>
      <x:c r="I85" s="47" t="str">
        <x:v>No</x:v>
      </x:c>
      <x:c r="J85" s="47" t="str">
        <x:v>ELIGIBLE</x:v>
      </x:c>
      <x:c r="K85" s="47" t="str">
        <x:v>NOT_RUN</x:v>
      </x:c>
    </x:row>
    <x:row r="86">
      <x:c r="A86" s="47" t="str">
        <x:v>IMO-034</x:v>
      </x:c>
      <x:c r="B86" s="48" t="str">
        <x:v>International Code for Ships Operating in Polar Waters (Polar Code)</x:v>
      </x:c>
      <x:c r="C86" s="47" t="str">
        <x:v>Resolution MSC.385(94), adopted 21 Nov 2014; consolidated with MEPC.264(68), adopted 15 May 2015</x:v>
      </x:c>
      <x:c r="D86" s="59" t="n">
        <x:v>18</x:v>
      </x:c>
      <x:c r="E86" s="47" t="str">
        <x:v>4.3.1.2</x:v>
      </x:c>
      <x:c r="F86" s="47" t="str">
        <x:v>Static</x:v>
      </x:c>
      <x:c r="G86" s="48" t="str">
        <x:v>Stage 2 candidate - direct static</x:v>
      </x:c>
      <x:c r="H86" s="47" t="str">
        <x:v>Direct static</x:v>
      </x:c>
      <x:c r="I86" s="47" t="str">
        <x:v>No</x:v>
      </x:c>
      <x:c r="J86" s="47" t="str">
        <x:v>ELIGIBLE</x:v>
      </x:c>
      <x:c r="K86" s="47" t="str">
        <x:v>NOT_RUN</x:v>
      </x:c>
    </x:row>
    <x:row r="87">
      <x:c r="A87" s="47" t="str">
        <x:v>IMO-035</x:v>
      </x:c>
      <x:c r="B87" s="48" t="str">
        <x:v>International Code for Ships Operating in Polar Waters (Polar Code)</x:v>
      </x:c>
      <x:c r="C87" s="47" t="str">
        <x:v>Resolution MSC.385(94), adopted 21 Nov 2014; consolidated with MEPC.264(68), adopted 15 May 2015</x:v>
      </x:c>
      <x:c r="D87" s="59" t="n">
        <x:v>18</x:v>
      </x:c>
      <x:c r="E87" s="47" t="str">
        <x:v>4.3.1.3</x:v>
      </x:c>
      <x:c r="F87" s="47" t="str">
        <x:v>Static</x:v>
      </x:c>
      <x:c r="G87" s="48" t="str">
        <x:v>Stage 2 candidate - direct/deterministic</x:v>
      </x:c>
      <x:c r="H87" s="47" t="str">
        <x:v>High</x:v>
      </x:c>
      <x:c r="I87" s="47" t="str">
        <x:v>No</x:v>
      </x:c>
      <x:c r="J87" s="47" t="str">
        <x:v>ELIGIBLE</x:v>
      </x:c>
      <x:c r="K87" s="47" t="str">
        <x:v>NOT_RUN</x:v>
      </x:c>
    </x:row>
    <x:row r="88">
      <x:c r="A88" s="47" t="str">
        <x:v>IMO-036</x:v>
      </x:c>
      <x:c r="B88" s="48" t="str">
        <x:v>International Code for Ships Operating in Polar Waters (Polar Code)</x:v>
      </x:c>
      <x:c r="C88" s="47" t="str">
        <x:v>Resolution MSC.385(94), adopted 21 Nov 2014; consolidated with MEPC.264(68), adopted 15 May 2015</x:v>
      </x:c>
      <x:c r="D88" s="59" t="n">
        <x:v>18</x:v>
      </x:c>
      <x:c r="E88" s="47" t="str">
        <x:v>4.3.1.4</x:v>
      </x:c>
      <x:c r="F88" s="47" t="str">
        <x:v>Dynamic</x:v>
      </x:c>
      <x:c r="G88" s="48" t="str">
        <x:v>Deferred - observation/history/simulation design required</x:v>
      </x:c>
      <x:c r="H88" s="47" t="str">
        <x:v>Medium</x:v>
      </x:c>
      <x:c r="I88" s="47" t="str">
        <x:v>No</x:v>
      </x:c>
      <x:c r="J88" s="47" t="str">
        <x:v>DEFERRED</x:v>
      </x:c>
      <x:c r="K88" s="47" t="str">
        <x:v>NOT_RUN</x:v>
      </x:c>
    </x:row>
    <x:row r="89">
      <x:c r="A89" s="47" t="str">
        <x:v>IMO-037</x:v>
      </x:c>
      <x:c r="B89" s="48" t="str">
        <x:v>International Code for Ships Operating in Polar Waters (Polar Code)</x:v>
      </x:c>
      <x:c r="C89" s="47" t="str">
        <x:v>Resolution MSC.385(94), adopted 21 Nov 2014; consolidated with MEPC.264(68), adopted 15 May 2015</x:v>
      </x:c>
      <x:c r="D89" s="59" t="n">
        <x:v>19</x:v>
      </x:c>
      <x:c r="E89" s="47" t="str">
        <x:v>4.3.2.1</x:v>
      </x:c>
      <x:c r="F89" s="47" t="str">
        <x:v>Complex</x:v>
      </x:c>
      <x:c r="G89" s="48" t="str">
        <x:v>Stage 2 candidate - complex readiness</x:v>
      </x:c>
      <x:c r="H89" s="47" t="str">
        <x:v>Complex readiness</x:v>
      </x:c>
      <x:c r="I89" s="47" t="str">
        <x:v>No</x:v>
      </x:c>
      <x:c r="J89" s="47" t="str">
        <x:v>ELIGIBLE</x:v>
      </x:c>
      <x:c r="K89" s="47" t="str">
        <x:v>NOT_RUN</x:v>
      </x:c>
    </x:row>
    <x:row r="90">
      <x:c r="A90" s="47" t="str">
        <x:v>IMO-038</x:v>
      </x:c>
      <x:c r="B90" s="48" t="str">
        <x:v>International Code for Ships Operating in Polar Waters (Polar Code)</x:v>
      </x:c>
      <x:c r="C90" s="47" t="str">
        <x:v>Resolution MSC.385(94), adopted 21 Nov 2014; consolidated with MEPC.264(68), adopted 15 May 2015</x:v>
      </x:c>
      <x:c r="D90" s="59" t="n">
        <x:v>19</x:v>
      </x:c>
      <x:c r="E90" s="47" t="str">
        <x:v>4.3.2.2</x:v>
      </x:c>
      <x:c r="F90" s="47" t="str">
        <x:v>Static Calculation</x:v>
      </x:c>
      <x:c r="G90" s="48" t="str">
        <x:v>Stage 2 candidate - direct/deterministic</x:v>
      </x:c>
      <x:c r="H90" s="47" t="str">
        <x:v>High</x:v>
      </x:c>
      <x:c r="I90" s="47" t="str">
        <x:v>No</x:v>
      </x:c>
      <x:c r="J90" s="47" t="str">
        <x:v>ELIGIBLE</x:v>
      </x:c>
      <x:c r="K90" s="47" t="str">
        <x:v>NOT_RUN</x:v>
      </x:c>
    </x:row>
    <x:row r="91">
      <x:c r="A91" s="47" t="str">
        <x:v>IMO-039</x:v>
      </x:c>
      <x:c r="B91" s="48" t="str">
        <x:v>International Code for Ships Operating in Polar Waters (Polar Code)</x:v>
      </x:c>
      <x:c r="C91" s="47" t="str">
        <x:v>Resolution MSC.385(94), adopted 21 Nov 2014; consolidated with MEPC.264(68), adopted 15 May 2015</x:v>
      </x:c>
      <x:c r="D91" s="59" t="n">
        <x:v>19</x:v>
      </x:c>
      <x:c r="E91" s="47" t="str">
        <x:v>5.2</x:v>
      </x:c>
      <x:c r="F91" s="47" t="str">
        <x:v>Physical Test</x:v>
      </x:c>
      <x:c r="G91" s="48" t="str">
        <x:v>Evidence-only - physical result not inferred by SHACL</x:v>
      </x:c>
      <x:c r="H91" s="47" t="str">
        <x:v>Medium</x:v>
      </x:c>
      <x:c r="I91" s="47" t="str">
        <x:v>No</x:v>
      </x:c>
      <x:c r="J91" s="47" t="str">
        <x:v>DEFERRED</x:v>
      </x:c>
      <x:c r="K91" s="47" t="str">
        <x:v>NOT_RUN</x:v>
      </x:c>
    </x:row>
    <x:row r="92">
      <x:c r="A92" s="47" t="str">
        <x:v>IMO-040</x:v>
      </x:c>
      <x:c r="B92" s="48" t="str">
        <x:v>International Code for Ships Operating in Polar Waters (Polar Code)</x:v>
      </x:c>
      <x:c r="C92" s="47" t="str">
        <x:v>Resolution MSC.385(94), adopted 21 Nov 2014; consolidated with MEPC.264(68), adopted 15 May 2015</x:v>
      </x:c>
      <x:c r="D92" s="59" t="n">
        <x:v>19</x:v>
      </x:c>
      <x:c r="E92" s="47" t="str">
        <x:v>5.3.1</x:v>
      </x:c>
      <x:c r="F92" s="47" t="str">
        <x:v>Static</x:v>
      </x:c>
      <x:c r="G92" s="48" t="str">
        <x:v>Stage 2 candidate - direct/deterministic</x:v>
      </x:c>
      <x:c r="H92" s="47" t="str">
        <x:v>High</x:v>
      </x:c>
      <x:c r="I92" s="47" t="str">
        <x:v>No</x:v>
      </x:c>
      <x:c r="J92" s="47" t="str">
        <x:v>ELIGIBLE</x:v>
      </x:c>
      <x:c r="K92" s="47" t="str">
        <x:v>NOT_RUN</x:v>
      </x:c>
    </x:row>
    <x:row r="93">
      <x:c r="A93" s="47" t="str">
        <x:v>IMO-041</x:v>
      </x:c>
      <x:c r="B93" s="48" t="str">
        <x:v>International Code for Ships Operating in Polar Waters (Polar Code)</x:v>
      </x:c>
      <x:c r="C93" s="47" t="str">
        <x:v>Resolution MSC.385(94), adopted 21 Nov 2014; consolidated with MEPC.264(68), adopted 15 May 2015</x:v>
      </x:c>
      <x:c r="D93" s="59" t="n">
        <x:v>19</x:v>
      </x:c>
      <x:c r="E93" s="47" t="str">
        <x:v>5.3.2.1</x:v>
      </x:c>
      <x:c r="F93" s="47" t="str">
        <x:v>Static</x:v>
      </x:c>
      <x:c r="G93" s="48" t="str">
        <x:v>Stage 2 candidate - direct/deterministic</x:v>
      </x:c>
      <x:c r="H93" s="47" t="str">
        <x:v>High</x:v>
      </x:c>
      <x:c r="I93" s="47" t="str">
        <x:v>No</x:v>
      </x:c>
      <x:c r="J93" s="47" t="str">
        <x:v>ELIGIBLE</x:v>
      </x:c>
      <x:c r="K93" s="47" t="str">
        <x:v>NOT_RUN</x:v>
      </x:c>
    </x:row>
    <x:row r="94">
      <x:c r="A94" s="47" t="str">
        <x:v>IMO-042</x:v>
      </x:c>
      <x:c r="B94" s="48" t="str">
        <x:v>International Code for Ships Operating in Polar Waters (Polar Code)</x:v>
      </x:c>
      <x:c r="C94" s="47" t="str">
        <x:v>Resolution MSC.385(94), adopted 21 Nov 2014; consolidated with MEPC.264(68), adopted 15 May 2015</x:v>
      </x:c>
      <x:c r="D94" s="59" t="n">
        <x:v>20</x:v>
      </x:c>
      <x:c r="E94" s="47" t="str">
        <x:v>5.3.2.2</x:v>
      </x:c>
      <x:c r="F94" s="47" t="str">
        <x:v>Physical Test</x:v>
      </x:c>
      <x:c r="G94" s="48" t="str">
        <x:v>Evidence-only - physical result not inferred by SHACL</x:v>
      </x:c>
      <x:c r="H94" s="47" t="str">
        <x:v>Medium</x:v>
      </x:c>
      <x:c r="I94" s="47" t="str">
        <x:v>No</x:v>
      </x:c>
      <x:c r="J94" s="47" t="str">
        <x:v>DEFERRED</x:v>
      </x:c>
      <x:c r="K94" s="47" t="str">
        <x:v>NOT_RUN</x:v>
      </x:c>
    </x:row>
    <x:row r="95">
      <x:c r="A95" s="47" t="str">
        <x:v>IMO-043</x:v>
      </x:c>
      <x:c r="B95" s="48" t="str">
        <x:v>International Code for Ships Operating in Polar Waters (Polar Code)</x:v>
      </x:c>
      <x:c r="C95" s="47" t="str">
        <x:v>Resolution MSC.385(94), adopted 21 Nov 2014; consolidated with MEPC.264(68), adopted 15 May 2015</x:v>
      </x:c>
      <x:c r="D95" s="59" t="n">
        <x:v>20</x:v>
      </x:c>
      <x:c r="E95" s="47" t="str">
        <x:v>6.3.1.1</x:v>
      </x:c>
      <x:c r="F95" s="47" t="str">
        <x:v>Static</x:v>
      </x:c>
      <x:c r="G95" s="48" t="str">
        <x:v>Stage 2 candidate - direct/deterministic</x:v>
      </x:c>
      <x:c r="H95" s="47" t="str">
        <x:v>Medium</x:v>
      </x:c>
      <x:c r="I95" s="47" t="str">
        <x:v>No</x:v>
      </x:c>
      <x:c r="J95" s="47" t="str">
        <x:v>ELIGIBLE</x:v>
      </x:c>
      <x:c r="K95" s="47" t="str">
        <x:v>NOT_RUN</x:v>
      </x:c>
    </x:row>
    <x:row r="96">
      <x:c r="A96" s="47" t="str">
        <x:v>IMO-044</x:v>
      </x:c>
      <x:c r="B96" s="48" t="str">
        <x:v>International Code for Ships Operating in Polar Waters (Polar Code)</x:v>
      </x:c>
      <x:c r="C96" s="47" t="str">
        <x:v>Resolution MSC.385(94), adopted 21 Nov 2014; consolidated with MEPC.264(68), adopted 15 May 2015</x:v>
      </x:c>
      <x:c r="D96" s="59" t="n">
        <x:v>21</x:v>
      </x:c>
      <x:c r="E96" s="47" t="str">
        <x:v>6.3.1.2</x:v>
      </x:c>
      <x:c r="F96" s="47" t="str">
        <x:v>Dynamic</x:v>
      </x:c>
      <x:c r="G96" s="48" t="str">
        <x:v>Deferred - observation/history/simulation design required</x:v>
      </x:c>
      <x:c r="H96" s="47" t="str">
        <x:v>Medium</x:v>
      </x:c>
      <x:c r="I96" s="47" t="str">
        <x:v>No</x:v>
      </x:c>
      <x:c r="J96" s="47" t="str">
        <x:v>DEFERRED</x:v>
      </x:c>
      <x:c r="K96" s="47" t="str">
        <x:v>NOT_RUN</x:v>
      </x:c>
    </x:row>
    <x:row r="97">
      <x:c r="A97" s="47" t="str">
        <x:v>IMO-045</x:v>
      </x:c>
      <x:c r="B97" s="48" t="str">
        <x:v>International Code for Ships Operating in Polar Waters (Polar Code)</x:v>
      </x:c>
      <x:c r="C97" s="47" t="str">
        <x:v>Resolution MSC.385(94), adopted 21 Nov 2014; consolidated with MEPC.264(68), adopted 15 May 2015</x:v>
      </x:c>
      <x:c r="D97" s="59" t="n">
        <x:v>21</x:v>
      </x:c>
      <x:c r="E97" s="47" t="str">
        <x:v>6.3.1.3</x:v>
      </x:c>
      <x:c r="F97" s="47" t="str">
        <x:v>Static</x:v>
      </x:c>
      <x:c r="G97" s="48" t="str">
        <x:v>Stage 2 candidate - direct/deterministic</x:v>
      </x:c>
      <x:c r="H97" s="47" t="str">
        <x:v>High</x:v>
      </x:c>
      <x:c r="I97" s="47" t="str">
        <x:v>No</x:v>
      </x:c>
      <x:c r="J97" s="47" t="str">
        <x:v>ELIGIBLE</x:v>
      </x:c>
      <x:c r="K97" s="47" t="str">
        <x:v>NOT_RUN</x:v>
      </x:c>
    </x:row>
    <x:row r="98">
      <x:c r="A98" s="47" t="str">
        <x:v>IMO-046</x:v>
      </x:c>
      <x:c r="B98" s="48" t="str">
        <x:v>International Code for Ships Operating in Polar Waters (Polar Code)</x:v>
      </x:c>
      <x:c r="C98" s="47" t="str">
        <x:v>Resolution MSC.385(94), adopted 21 Nov 2014; consolidated with MEPC.264(68), adopted 15 May 2015</x:v>
      </x:c>
      <x:c r="D98" s="59" t="n">
        <x:v>21</x:v>
      </x:c>
      <x:c r="E98" s="47" t="str">
        <x:v>6.3.2.1</x:v>
      </x:c>
      <x:c r="F98" s="47" t="str">
        <x:v>Physical Test</x:v>
      </x:c>
      <x:c r="G98" s="48" t="str">
        <x:v>Evidence-only - physical result not inferred by SHACL</x:v>
      </x:c>
      <x:c r="H98" s="47" t="str">
        <x:v>Medium</x:v>
      </x:c>
      <x:c r="I98" s="47" t="str">
        <x:v>No</x:v>
      </x:c>
      <x:c r="J98" s="47" t="str">
        <x:v>DEFERRED</x:v>
      </x:c>
      <x:c r="K98" s="47" t="str">
        <x:v>NOT_RUN</x:v>
      </x:c>
    </x:row>
    <x:row r="99">
      <x:c r="A99" s="47" t="str">
        <x:v>IMO-047</x:v>
      </x:c>
      <x:c r="B99" s="48" t="str">
        <x:v>International Code for Ships Operating in Polar Waters (Polar Code)</x:v>
      </x:c>
      <x:c r="C99" s="47" t="str">
        <x:v>Resolution MSC.385(94), adopted 21 Nov 2014; consolidated with MEPC.264(68), adopted 15 May 2015</x:v>
      </x:c>
      <x:c r="D99" s="59" t="n">
        <x:v>21</x:v>
      </x:c>
      <x:c r="E99" s="47" t="str">
        <x:v>6.3.2.2</x:v>
      </x:c>
      <x:c r="F99" s="47" t="str">
        <x:v>Static</x:v>
      </x:c>
      <x:c r="G99" s="48" t="str">
        <x:v>Stage 2 candidate - direct/deterministic</x:v>
      </x:c>
      <x:c r="H99" s="47" t="str">
        <x:v>High</x:v>
      </x:c>
      <x:c r="I99" s="47" t="str">
        <x:v>No</x:v>
      </x:c>
      <x:c r="J99" s="47" t="str">
        <x:v>ELIGIBLE</x:v>
      </x:c>
      <x:c r="K99" s="47" t="str">
        <x:v>NOT_RUN</x:v>
      </x:c>
    </x:row>
    <x:row r="100">
      <x:c r="A100" s="47" t="str">
        <x:v>IMO-048</x:v>
      </x:c>
      <x:c r="B100" s="48" t="str">
        <x:v>International Code for Ships Operating in Polar Waters (Polar Code)</x:v>
      </x:c>
      <x:c r="C100" s="47" t="str">
        <x:v>Resolution MSC.385(94), adopted 21 Nov 2014; consolidated with MEPC.264(68), adopted 15 May 2015</x:v>
      </x:c>
      <x:c r="D100" s="59" t="n">
        <x:v>21</x:v>
      </x:c>
      <x:c r="E100" s="47" t="str">
        <x:v>6.3.2.3</x:v>
      </x:c>
      <x:c r="F100" s="47" t="str">
        <x:v>Static</x:v>
      </x:c>
      <x:c r="G100" s="48" t="str">
        <x:v>Stage 2 candidate - direct static</x:v>
      </x:c>
      <x:c r="H100" s="47" t="str">
        <x:v>Direct static</x:v>
      </x:c>
      <x:c r="I100" s="47" t="str">
        <x:v>No</x:v>
      </x:c>
      <x:c r="J100" s="47" t="str">
        <x:v>ELIGIBLE</x:v>
      </x:c>
      <x:c r="K100" s="47" t="str">
        <x:v>TERM_RESOLUTION_UNRESOLVED</x:v>
      </x:c>
    </x:row>
    <x:row r="101">
      <x:c r="A101" s="47" t="str">
        <x:v>IMO-049</x:v>
      </x:c>
      <x:c r="B101" s="48" t="str">
        <x:v>International Code for Ships Operating in Polar Waters (Polar Code)</x:v>
      </x:c>
      <x:c r="C101" s="47" t="str">
        <x:v>Resolution MSC.385(94), adopted 21 Nov 2014; consolidated with MEPC.264(68), adopted 15 May 2015</x:v>
      </x:c>
      <x:c r="D101" s="59" t="n">
        <x:v>21</x:v>
      </x:c>
      <x:c r="E101" s="47" t="str">
        <x:v>6.3.3.1-.3</x:v>
      </x:c>
      <x:c r="F101" s="47" t="str">
        <x:v>Static</x:v>
      </x:c>
      <x:c r="G101" s="48" t="str">
        <x:v>Stage 2 candidate - direct static</x:v>
      </x:c>
      <x:c r="H101" s="47" t="str">
        <x:v>Direct static</x:v>
      </x:c>
      <x:c r="I101" s="47" t="str">
        <x:v>No</x:v>
      </x:c>
      <x:c r="J101" s="47" t="str">
        <x:v>ELIGIBLE</x:v>
      </x:c>
      <x:c r="K101" s="47" t="str">
        <x:v>NOT_RUN</x:v>
      </x:c>
    </x:row>
    <x:row r="102">
      <x:c r="A102" s="47" t="str">
        <x:v>IMO-050</x:v>
      </x:c>
      <x:c r="B102" s="48" t="str">
        <x:v>International Code for Ships Operating in Polar Waters (Polar Code)</x:v>
      </x:c>
      <x:c r="C102" s="47" t="str">
        <x:v>Resolution MSC.385(94), adopted 21 Nov 2014; consolidated with MEPC.264(68), adopted 15 May 2015</x:v>
      </x:c>
      <x:c r="D102" s="59" t="n">
        <x:v>22</x:v>
      </x:c>
      <x:c r="E102" s="47" t="str">
        <x:v>7.2.1.1</x:v>
      </x:c>
      <x:c r="F102" s="47" t="str">
        <x:v>Static</x:v>
      </x:c>
      <x:c r="G102" s="48" t="str">
        <x:v>Stage 2 candidate - direct/deterministic</x:v>
      </x:c>
      <x:c r="H102" s="47" t="str">
        <x:v>High</x:v>
      </x:c>
      <x:c r="I102" s="47" t="str">
        <x:v>No</x:v>
      </x:c>
      <x:c r="J102" s="47" t="str">
        <x:v>ELIGIBLE</x:v>
      </x:c>
      <x:c r="K102" s="47" t="str">
        <x:v>NOT_RUN</x:v>
      </x:c>
    </x:row>
    <x:row r="103">
      <x:c r="A103" s="47" t="str">
        <x:v>IMO-051</x:v>
      </x:c>
      <x:c r="B103" s="48" t="str">
        <x:v>International Code for Ships Operating in Polar Waters (Polar Code)</x:v>
      </x:c>
      <x:c r="C103" s="47" t="str">
        <x:v>Resolution MSC.385(94), adopted 21 Nov 2014; consolidated with MEPC.264(68), adopted 15 May 2015</x:v>
      </x:c>
      <x:c r="D103" s="59" t="n">
        <x:v>22</x:v>
      </x:c>
      <x:c r="E103" s="47" t="str">
        <x:v>7.2.1.2</x:v>
      </x:c>
      <x:c r="F103" s="47" t="str">
        <x:v>Static</x:v>
      </x:c>
      <x:c r="G103" s="48" t="str">
        <x:v>Stage 2 candidate - direct/deterministic</x:v>
      </x:c>
      <x:c r="H103" s="47" t="str">
        <x:v>High</x:v>
      </x:c>
      <x:c r="I103" s="47" t="str">
        <x:v>No</x:v>
      </x:c>
      <x:c r="J103" s="47" t="str">
        <x:v>ELIGIBLE</x:v>
      </x:c>
      <x:c r="K103" s="47" t="str">
        <x:v>NOT_RUN</x:v>
      </x:c>
    </x:row>
    <x:row r="104">
      <x:c r="A104" s="47" t="str">
        <x:v>IMO-052</x:v>
      </x:c>
      <x:c r="B104" s="48" t="str">
        <x:v>International Code for Ships Operating in Polar Waters (Polar Code)</x:v>
      </x:c>
      <x:c r="C104" s="47" t="str">
        <x:v>Resolution MSC.385(94), adopted 21 Nov 2014; consolidated with MEPC.264(68), adopted 15 May 2015</x:v>
      </x:c>
      <x:c r="D104" s="59" t="n">
        <x:v>22</x:v>
      </x:c>
      <x:c r="E104" s="47" t="str">
        <x:v>7.2.1.4</x:v>
      </x:c>
      <x:c r="F104" s="47" t="str">
        <x:v>Static</x:v>
      </x:c>
      <x:c r="G104" s="48" t="str">
        <x:v>Stage 2 candidate - direct/deterministic</x:v>
      </x:c>
      <x:c r="H104" s="47" t="str">
        <x:v>High</x:v>
      </x:c>
      <x:c r="I104" s="47" t="str">
        <x:v>No</x:v>
      </x:c>
      <x:c r="J104" s="47" t="str">
        <x:v>ELIGIBLE</x:v>
      </x:c>
      <x:c r="K104" s="47" t="str">
        <x:v>NOT_RUN</x:v>
      </x:c>
    </x:row>
    <x:row r="105">
      <x:c r="A105" s="47" t="str">
        <x:v>IMO-053</x:v>
      </x:c>
      <x:c r="B105" s="48" t="str">
        <x:v>International Code for Ships Operating in Polar Waters (Polar Code)</x:v>
      </x:c>
      <x:c r="C105" s="47" t="str">
        <x:v>Resolution MSC.385(94), adopted 21 Nov 2014; consolidated with MEPC.264(68), adopted 15 May 2015</x:v>
      </x:c>
      <x:c r="D105" s="59" t="n">
        <x:v>22</x:v>
      </x:c>
      <x:c r="E105" s="47" t="str">
        <x:v>7.2.1.5</x:v>
      </x:c>
      <x:c r="F105" s="47" t="str">
        <x:v>Static</x:v>
      </x:c>
      <x:c r="G105" s="48" t="str">
        <x:v>Stage 2 candidate - direct/deterministic</x:v>
      </x:c>
      <x:c r="H105" s="47" t="str">
        <x:v>Medium</x:v>
      </x:c>
      <x:c r="I105" s="47" t="str">
        <x:v>No</x:v>
      </x:c>
      <x:c r="J105" s="47" t="str">
        <x:v>ELIGIBLE</x:v>
      </x:c>
      <x:c r="K105" s="47" t="str">
        <x:v>NOT_RUN</x:v>
      </x:c>
    </x:row>
    <x:row r="106">
      <x:c r="A106" s="47" t="str">
        <x:v>IMO-054</x:v>
      </x:c>
      <x:c r="B106" s="48" t="str">
        <x:v>International Code for Ships Operating in Polar Waters (Polar Code)</x:v>
      </x:c>
      <x:c r="C106" s="47" t="str">
        <x:v>Resolution MSC.385(94), adopted 21 Nov 2014; consolidated with MEPC.264(68), adopted 15 May 2015</x:v>
      </x:c>
      <x:c r="D106" s="59" t="n">
        <x:v>22</x:v>
      </x:c>
      <x:c r="E106" s="47" t="str">
        <x:v>7.2.2.1</x:v>
      </x:c>
      <x:c r="F106" s="47" t="str">
        <x:v>Physical Test</x:v>
      </x:c>
      <x:c r="G106" s="48" t="str">
        <x:v>Evidence-only - physical result not inferred by SHACL</x:v>
      </x:c>
      <x:c r="H106" s="47" t="str">
        <x:v>Medium</x:v>
      </x:c>
      <x:c r="I106" s="47" t="str">
        <x:v>No</x:v>
      </x:c>
      <x:c r="J106" s="47" t="str">
        <x:v>DEFERRED</x:v>
      </x:c>
      <x:c r="K106" s="47" t="str">
        <x:v>NOT_RUN</x:v>
      </x:c>
    </x:row>
    <x:row r="107">
      <x:c r="A107" s="47" t="str">
        <x:v>IMO-055</x:v>
      </x:c>
      <x:c r="B107" s="48" t="str">
        <x:v>International Code for Ships Operating in Polar Waters (Polar Code)</x:v>
      </x:c>
      <x:c r="C107" s="47" t="str">
        <x:v>Resolution MSC.385(94), adopted 21 Nov 2014; consolidated with MEPC.264(68), adopted 15 May 2015</x:v>
      </x:c>
      <x:c r="D107" s="59" t="n">
        <x:v>22</x:v>
      </x:c>
      <x:c r="E107" s="47" t="str">
        <x:v>7.3.1.1</x:v>
      </x:c>
      <x:c r="F107" s="47" t="str">
        <x:v>Static</x:v>
      </x:c>
      <x:c r="G107" s="48" t="str">
        <x:v>Stage 2 candidate - direct/deterministic</x:v>
      </x:c>
      <x:c r="H107" s="47" t="str">
        <x:v>High</x:v>
      </x:c>
      <x:c r="I107" s="47" t="str">
        <x:v>No</x:v>
      </x:c>
      <x:c r="J107" s="47" t="str">
        <x:v>ELIGIBLE</x:v>
      </x:c>
      <x:c r="K107" s="47" t="str">
        <x:v>NOT_RUN</x:v>
      </x:c>
    </x:row>
    <x:row r="108">
      <x:c r="A108" s="47" t="str">
        <x:v>IMO-056</x:v>
      </x:c>
      <x:c r="B108" s="48" t="str">
        <x:v>International Code for Ships Operating in Polar Waters (Polar Code)</x:v>
      </x:c>
      <x:c r="C108" s="47" t="str">
        <x:v>Resolution MSC.385(94), adopted 21 Nov 2014; consolidated with MEPC.264(68), adopted 15 May 2015</x:v>
      </x:c>
      <x:c r="D108" s="59" t="n">
        <x:v>22</x:v>
      </x:c>
      <x:c r="E108" s="47" t="str">
        <x:v>7.3.1.2</x:v>
      </x:c>
      <x:c r="F108" s="47" t="str">
        <x:v>Physical Test</x:v>
      </x:c>
      <x:c r="G108" s="48" t="str">
        <x:v>Evidence-only - physical result not inferred by SHACL</x:v>
      </x:c>
      <x:c r="H108" s="47" t="str">
        <x:v>Medium</x:v>
      </x:c>
      <x:c r="I108" s="47" t="str">
        <x:v>No</x:v>
      </x:c>
      <x:c r="J108" s="47" t="str">
        <x:v>DEFERRED</x:v>
      </x:c>
      <x:c r="K108" s="47" t="str">
        <x:v>NOT_RUN</x:v>
      </x:c>
    </x:row>
    <x:row r="109">
      <x:c r="A109" s="47" t="str">
        <x:v>IMO-057</x:v>
      </x:c>
      <x:c r="B109" s="48" t="str">
        <x:v>International Code for Ships Operating in Polar Waters (Polar Code)</x:v>
      </x:c>
      <x:c r="C109" s="47" t="str">
        <x:v>Resolution MSC.385(94), adopted 21 Nov 2014; consolidated with MEPC.264(68), adopted 15 May 2015</x:v>
      </x:c>
      <x:c r="D109" s="59" t="n">
        <x:v>22</x:v>
      </x:c>
      <x:c r="E109" s="47" t="str">
        <x:v>7.3.2.1</x:v>
      </x:c>
      <x:c r="F109" s="47" t="str">
        <x:v>Static</x:v>
      </x:c>
      <x:c r="G109" s="48" t="str">
        <x:v>Stage 2 candidate - direct/deterministic</x:v>
      </x:c>
      <x:c r="H109" s="47" t="str">
        <x:v>High</x:v>
      </x:c>
      <x:c r="I109" s="47" t="str">
        <x:v>No</x:v>
      </x:c>
      <x:c r="J109" s="47" t="str">
        <x:v>ELIGIBLE</x:v>
      </x:c>
      <x:c r="K109" s="47" t="str">
        <x:v>NOT_RUN</x:v>
      </x:c>
    </x:row>
    <x:row r="110">
      <x:c r="A110" s="47" t="str">
        <x:v>IMO-058</x:v>
      </x:c>
      <x:c r="B110" s="48" t="str">
        <x:v>International Code for Ships Operating in Polar Waters (Polar Code)</x:v>
      </x:c>
      <x:c r="C110" s="47" t="str">
        <x:v>Resolution MSC.385(94), adopted 21 Nov 2014; consolidated with MEPC.264(68), adopted 15 May 2015</x:v>
      </x:c>
      <x:c r="D110" s="59" t="n">
        <x:v>22</x:v>
      </x:c>
      <x:c r="E110" s="47" t="str">
        <x:v>7.3.2.2</x:v>
      </x:c>
      <x:c r="F110" s="47" t="str">
        <x:v>Static</x:v>
      </x:c>
      <x:c r="G110" s="48" t="str">
        <x:v>Stage 2 candidate - direct/deterministic</x:v>
      </x:c>
      <x:c r="H110" s="47" t="str">
        <x:v>High</x:v>
      </x:c>
      <x:c r="I110" s="47" t="str">
        <x:v>No</x:v>
      </x:c>
      <x:c r="J110" s="47" t="str">
        <x:v>ELIGIBLE</x:v>
      </x:c>
      <x:c r="K110" s="47" t="str">
        <x:v>NOT_RUN</x:v>
      </x:c>
    </x:row>
    <x:row r="111">
      <x:c r="A111" s="47" t="str">
        <x:v>IMO-059</x:v>
      </x:c>
      <x:c r="B111" s="48" t="str">
        <x:v>International Code for Ships Operating in Polar Waters (Polar Code)</x:v>
      </x:c>
      <x:c r="C111" s="47" t="str">
        <x:v>Resolution MSC.385(94), adopted 21 Nov 2014; consolidated with MEPC.264(68), adopted 15 May 2015</x:v>
      </x:c>
      <x:c r="D111" s="59" t="n">
        <x:v>22</x:v>
      </x:c>
      <x:c r="E111" s="47" t="str">
        <x:v>7.3.2.3</x:v>
      </x:c>
      <x:c r="F111" s="47" t="str">
        <x:v>Static</x:v>
      </x:c>
      <x:c r="G111" s="48" t="str">
        <x:v>Stage 2 candidate - direct/deterministic</x:v>
      </x:c>
      <x:c r="H111" s="47" t="str">
        <x:v>High</x:v>
      </x:c>
      <x:c r="I111" s="47" t="str">
        <x:v>No</x:v>
      </x:c>
      <x:c r="J111" s="47" t="str">
        <x:v>ELIGIBLE</x:v>
      </x:c>
      <x:c r="K111" s="47" t="str">
        <x:v>NOT_RUN</x:v>
      </x:c>
    </x:row>
    <x:row r="112">
      <x:c r="A112" s="47" t="str">
        <x:v>IMO-060</x:v>
      </x:c>
      <x:c r="B112" s="48" t="str">
        <x:v>International Code for Ships Operating in Polar Waters (Polar Code)</x:v>
      </x:c>
      <x:c r="C112" s="47" t="str">
        <x:v>Resolution MSC.385(94), adopted 21 Nov 2014; consolidated with MEPC.264(68), adopted 15 May 2015</x:v>
      </x:c>
      <x:c r="D112" s="59" t="n">
        <x:v>22</x:v>
      </x:c>
      <x:c r="E112" s="47" t="str">
        <x:v>7.3.2.4</x:v>
      </x:c>
      <x:c r="F112" s="47" t="str">
        <x:v>Static</x:v>
      </x:c>
      <x:c r="G112" s="48" t="str">
        <x:v>Stage 2 candidate - direct/deterministic</x:v>
      </x:c>
      <x:c r="H112" s="47" t="str">
        <x:v>High</x:v>
      </x:c>
      <x:c r="I112" s="47" t="str">
        <x:v>No</x:v>
      </x:c>
      <x:c r="J112" s="47" t="str">
        <x:v>ELIGIBLE</x:v>
      </x:c>
      <x:c r="K112" s="47" t="str">
        <x:v>NOT_RUN</x:v>
      </x:c>
    </x:row>
    <x:row r="113">
      <x:c r="A113" s="47" t="str">
        <x:v>IMO-061</x:v>
      </x:c>
      <x:c r="B113" s="48" t="str">
        <x:v>International Code for Ships Operating in Polar Waters (Polar Code)</x:v>
      </x:c>
      <x:c r="C113" s="47" t="str">
        <x:v>Resolution MSC.385(94), adopted 21 Nov 2014; consolidated with MEPC.264(68), adopted 15 May 2015</x:v>
      </x:c>
      <x:c r="D113" s="59" t="n">
        <x:v>23</x:v>
      </x:c>
      <x:c r="E113" s="47" t="str">
        <x:v>7.3.3.1</x:v>
      </x:c>
      <x:c r="F113" s="47" t="str">
        <x:v>Physical Test</x:v>
      </x:c>
      <x:c r="G113" s="48" t="str">
        <x:v>Evidence-only - physical result not inferred by SHACL</x:v>
      </x:c>
      <x:c r="H113" s="47" t="str">
        <x:v>Medium</x:v>
      </x:c>
      <x:c r="I113" s="47" t="str">
        <x:v>No</x:v>
      </x:c>
      <x:c r="J113" s="47" t="str">
        <x:v>DEFERRED</x:v>
      </x:c>
      <x:c r="K113" s="47" t="str">
        <x:v>NOT_RUN</x:v>
      </x:c>
    </x:row>
    <x:row r="114">
      <x:c r="A114" s="47" t="str">
        <x:v>IMO-062</x:v>
      </x:c>
      <x:c r="B114" s="48" t="str">
        <x:v>International Code for Ships Operating in Polar Waters (Polar Code)</x:v>
      </x:c>
      <x:c r="C114" s="47" t="str">
        <x:v>Resolution MSC.385(94), adopted 21 Nov 2014; consolidated with MEPC.264(68), adopted 15 May 2015</x:v>
      </x:c>
      <x:c r="D114" s="59" t="n">
        <x:v>23</x:v>
      </x:c>
      <x:c r="E114" s="47" t="str">
        <x:v>8.2.1.1</x:v>
      </x:c>
      <x:c r="F114" s="47" t="str">
        <x:v>Static</x:v>
      </x:c>
      <x:c r="G114" s="48" t="str">
        <x:v>Stage 2 candidate - direct/deterministic</x:v>
      </x:c>
      <x:c r="H114" s="47" t="str">
        <x:v>Medium</x:v>
      </x:c>
      <x:c r="I114" s="47" t="str">
        <x:v>No</x:v>
      </x:c>
      <x:c r="J114" s="47" t="str">
        <x:v>ELIGIBLE</x:v>
      </x:c>
      <x:c r="K114" s="47" t="str">
        <x:v>NOT_RUN</x:v>
      </x:c>
    </x:row>
    <x:row r="115">
      <x:c r="A115" s="47" t="str">
        <x:v>IMO-063</x:v>
      </x:c>
      <x:c r="B115" s="48" t="str">
        <x:v>International Code for Ships Operating in Polar Waters (Polar Code)</x:v>
      </x:c>
      <x:c r="C115" s="47" t="str">
        <x:v>Resolution MSC.385(94), adopted 21 Nov 2014; consolidated with MEPC.264(68), adopted 15 May 2015</x:v>
      </x:c>
      <x:c r="D115" s="59" t="n">
        <x:v>23</x:v>
      </x:c>
      <x:c r="E115" s="47" t="str">
        <x:v>8.2.2</x:v>
      </x:c>
      <x:c r="F115" s="47" t="str">
        <x:v>Physical Test</x:v>
      </x:c>
      <x:c r="G115" s="48" t="str">
        <x:v>Evidence-only - physical result not inferred by SHACL</x:v>
      </x:c>
      <x:c r="H115" s="47" t="str">
        <x:v>Medium</x:v>
      </x:c>
      <x:c r="I115" s="47" t="str">
        <x:v>No</x:v>
      </x:c>
      <x:c r="J115" s="47" t="str">
        <x:v>DEFERRED</x:v>
      </x:c>
      <x:c r="K115" s="47" t="str">
        <x:v>NOT_RUN</x:v>
      </x:c>
    </x:row>
    <x:row r="116">
      <x:c r="A116" s="47" t="str">
        <x:v>IMO-064</x:v>
      </x:c>
      <x:c r="B116" s="48" t="str">
        <x:v>International Code for Ships Operating in Polar Waters (Polar Code)</x:v>
      </x:c>
      <x:c r="C116" s="47" t="str">
        <x:v>Resolution MSC.385(94), adopted 21 Nov 2014; consolidated with MEPC.264(68), adopted 15 May 2015</x:v>
      </x:c>
      <x:c r="D116" s="59" t="n">
        <x:v>23</x:v>
      </x:c>
      <x:c r="E116" s="47" t="str">
        <x:v>8.2.3.1</x:v>
      </x:c>
      <x:c r="F116" s="47" t="str">
        <x:v>Static</x:v>
      </x:c>
      <x:c r="G116" s="48" t="str">
        <x:v>Stage 2 candidate - direct/deterministic</x:v>
      </x:c>
      <x:c r="H116" s="47" t="str">
        <x:v>Medium</x:v>
      </x:c>
      <x:c r="I116" s="47" t="str">
        <x:v>No</x:v>
      </x:c>
      <x:c r="J116" s="47" t="str">
        <x:v>ELIGIBLE</x:v>
      </x:c>
      <x:c r="K116" s="47" t="str">
        <x:v>NOT_RUN</x:v>
      </x:c>
    </x:row>
    <x:row r="117">
      <x:c r="A117" s="47" t="str">
        <x:v>IMO-065</x:v>
      </x:c>
      <x:c r="B117" s="48" t="str">
        <x:v>International Code for Ships Operating in Polar Waters (Polar Code)</x:v>
      </x:c>
      <x:c r="C117" s="47" t="str">
        <x:v>Resolution MSC.385(94), adopted 21 Nov 2014; consolidated with MEPC.264(68), adopted 15 May 2015</x:v>
      </x:c>
      <x:c r="D117" s="59" t="str">
        <x:v>23-24</x:v>
      </x:c>
      <x:c r="E117" s="47" t="str">
        <x:v>8.2.3.3</x:v>
      </x:c>
      <x:c r="F117" s="47" t="str">
        <x:v>Static</x:v>
      </x:c>
      <x:c r="G117" s="48" t="str">
        <x:v>Stage 2 candidate - direct static</x:v>
      </x:c>
      <x:c r="H117" s="47" t="str">
        <x:v>Direct static</x:v>
      </x:c>
      <x:c r="I117" s="47" t="str">
        <x:v>No</x:v>
      </x:c>
      <x:c r="J117" s="47" t="str">
        <x:v>ELIGIBLE</x:v>
      </x:c>
      <x:c r="K117" s="47" t="str">
        <x:v>NOT_RUN</x:v>
      </x:c>
    </x:row>
    <x:row r="118">
      <x:c r="A118" s="47" t="str">
        <x:v>IMO-066</x:v>
      </x:c>
      <x:c r="B118" s="48" t="str">
        <x:v>International Code for Ships Operating in Polar Waters (Polar Code)</x:v>
      </x:c>
      <x:c r="C118" s="47" t="str">
        <x:v>Resolution MSC.385(94), adopted 21 Nov 2014; consolidated with MEPC.264(68), adopted 15 May 2015</x:v>
      </x:c>
      <x:c r="D118" s="59" t="n">
        <x:v>24</x:v>
      </x:c>
      <x:c r="E118" s="47" t="str">
        <x:v>8.3.1.1</x:v>
      </x:c>
      <x:c r="F118" s="47" t="str">
        <x:v>Static</x:v>
      </x:c>
      <x:c r="G118" s="48" t="str">
        <x:v>Stage 2 candidate - direct/deterministic</x:v>
      </x:c>
      <x:c r="H118" s="47" t="str">
        <x:v>High</x:v>
      </x:c>
      <x:c r="I118" s="47" t="str">
        <x:v>No</x:v>
      </x:c>
      <x:c r="J118" s="47" t="str">
        <x:v>ELIGIBLE</x:v>
      </x:c>
      <x:c r="K118" s="47" t="str">
        <x:v>NOT_RUN</x:v>
      </x:c>
    </x:row>
    <x:row r="119">
      <x:c r="A119" s="47" t="str">
        <x:v>IMO-067</x:v>
      </x:c>
      <x:c r="B119" s="48" t="str">
        <x:v>International Code for Ships Operating in Polar Waters (Polar Code)</x:v>
      </x:c>
      <x:c r="C119" s="47" t="str">
        <x:v>Resolution MSC.385(94), adopted 21 Nov 2014; consolidated with MEPC.264(68), adopted 15 May 2015</x:v>
      </x:c>
      <x:c r="D119" s="59" t="n">
        <x:v>24</x:v>
      </x:c>
      <x:c r="E119" s="47" t="str">
        <x:v>8.3.1.2</x:v>
      </x:c>
      <x:c r="F119" s="47" t="str">
        <x:v>Physical Test</x:v>
      </x:c>
      <x:c r="G119" s="48" t="str">
        <x:v>Evidence-only - physical result not inferred by SHACL</x:v>
      </x:c>
      <x:c r="H119" s="47" t="str">
        <x:v>Medium</x:v>
      </x:c>
      <x:c r="I119" s="47" t="str">
        <x:v>No</x:v>
      </x:c>
      <x:c r="J119" s="47" t="str">
        <x:v>DEFERRED</x:v>
      </x:c>
      <x:c r="K119" s="47" t="str">
        <x:v>NOT_RUN</x:v>
      </x:c>
    </x:row>
    <x:row r="120">
      <x:c r="A120" s="47" t="str">
        <x:v>IMO-068</x:v>
      </x:c>
      <x:c r="B120" s="48" t="str">
        <x:v>International Code for Ships Operating in Polar Waters (Polar Code)</x:v>
      </x:c>
      <x:c r="C120" s="47" t="str">
        <x:v>Resolution MSC.385(94), adopted 21 Nov 2014; consolidated with MEPC.264(68), adopted 15 May 2015</x:v>
      </x:c>
      <x:c r="D120" s="59" t="n">
        <x:v>24</x:v>
      </x:c>
      <x:c r="E120" s="47" t="str">
        <x:v>8.3.2.1</x:v>
      </x:c>
      <x:c r="F120" s="47" t="str">
        <x:v>Static</x:v>
      </x:c>
      <x:c r="G120" s="48" t="str">
        <x:v>Stage 2 candidate - direct static</x:v>
      </x:c>
      <x:c r="H120" s="47" t="str">
        <x:v>Direct static</x:v>
      </x:c>
      <x:c r="I120" s="47" t="str">
        <x:v>No</x:v>
      </x:c>
      <x:c r="J120" s="47" t="str">
        <x:v>ELIGIBLE</x:v>
      </x:c>
      <x:c r="K120" s="47" t="str">
        <x:v>NOT_RUN</x:v>
      </x:c>
    </x:row>
    <x:row r="121">
      <x:c r="A121" s="47" t="str">
        <x:v>IMO-069</x:v>
      </x:c>
      <x:c r="B121" s="48" t="str">
        <x:v>International Code for Ships Operating in Polar Waters (Polar Code)</x:v>
      </x:c>
      <x:c r="C121" s="47" t="str">
        <x:v>Resolution MSC.385(94), adopted 21 Nov 2014; consolidated with MEPC.264(68), adopted 15 May 2015</x:v>
      </x:c>
      <x:c r="D121" s="59" t="n">
        <x:v>24</x:v>
      </x:c>
      <x:c r="E121" s="47" t="str">
        <x:v>8.3.2.2</x:v>
      </x:c>
      <x:c r="F121" s="47" t="str">
        <x:v>Static</x:v>
      </x:c>
      <x:c r="G121" s="48" t="str">
        <x:v>Stage 2 candidate - direct/deterministic</x:v>
      </x:c>
      <x:c r="H121" s="47" t="str">
        <x:v>High</x:v>
      </x:c>
      <x:c r="I121" s="47" t="str">
        <x:v>No</x:v>
      </x:c>
      <x:c r="J121" s="47" t="str">
        <x:v>ELIGIBLE</x:v>
      </x:c>
      <x:c r="K121" s="47" t="str">
        <x:v>NOT_RUN</x:v>
      </x:c>
    </x:row>
    <x:row r="122">
      <x:c r="A122" s="47" t="str">
        <x:v>IMO-070</x:v>
      </x:c>
      <x:c r="B122" s="48" t="str">
        <x:v>International Code for Ships Operating in Polar Waters (Polar Code)</x:v>
      </x:c>
      <x:c r="C122" s="47" t="str">
        <x:v>Resolution MSC.385(94), adopted 21 Nov 2014; consolidated with MEPC.264(68), adopted 15 May 2015</x:v>
      </x:c>
      <x:c r="D122" s="59" t="n">
        <x:v>24</x:v>
      </x:c>
      <x:c r="E122" s="47" t="str">
        <x:v>8.3.3.1.1</x:v>
      </x:c>
      <x:c r="F122" s="47" t="str">
        <x:v>Static</x:v>
      </x:c>
      <x:c r="G122" s="48" t="str">
        <x:v>Stage 2 candidate - direct/deterministic</x:v>
      </x:c>
      <x:c r="H122" s="47" t="str">
        <x:v>High</x:v>
      </x:c>
      <x:c r="I122" s="47" t="str">
        <x:v>No</x:v>
      </x:c>
      <x:c r="J122" s="47" t="str">
        <x:v>ELIGIBLE</x:v>
      </x:c>
      <x:c r="K122" s="47" t="str">
        <x:v>NOT_RUN</x:v>
      </x:c>
    </x:row>
    <x:row r="123">
      <x:c r="A123" s="47" t="str">
        <x:v>IMO-071</x:v>
      </x:c>
      <x:c r="B123" s="48" t="str">
        <x:v>International Code for Ships Operating in Polar Waters (Polar Code)</x:v>
      </x:c>
      <x:c r="C123" s="47" t="str">
        <x:v>Resolution MSC.385(94), adopted 21 Nov 2014; consolidated with MEPC.264(68), adopted 15 May 2015</x:v>
      </x:c>
      <x:c r="D123" s="59" t="n">
        <x:v>24</x:v>
      </x:c>
      <x:c r="E123" s="47" t="str">
        <x:v>8.3.3.1.2</x:v>
      </x:c>
      <x:c r="F123" s="47" t="str">
        <x:v>Static</x:v>
      </x:c>
      <x:c r="G123" s="48" t="str">
        <x:v>Stage 2 candidate - direct/deterministic</x:v>
      </x:c>
      <x:c r="H123" s="47" t="str">
        <x:v>High</x:v>
      </x:c>
      <x:c r="I123" s="47" t="str">
        <x:v>No</x:v>
      </x:c>
      <x:c r="J123" s="47" t="str">
        <x:v>ELIGIBLE</x:v>
      </x:c>
      <x:c r="K123" s="47" t="str">
        <x:v>NOT_RUN</x:v>
      </x:c>
    </x:row>
    <x:row r="124">
      <x:c r="A124" s="47" t="str">
        <x:v>IMO-072</x:v>
      </x:c>
      <x:c r="B124" s="48" t="str">
        <x:v>International Code for Ships Operating in Polar Waters (Polar Code)</x:v>
      </x:c>
      <x:c r="C124" s="47" t="str">
        <x:v>Resolution MSC.385(94), adopted 21 Nov 2014; consolidated with MEPC.264(68), adopted 15 May 2015</x:v>
      </x:c>
      <x:c r="D124" s="59" t="n">
        <x:v>25</x:v>
      </x:c>
      <x:c r="E124" s="47" t="str">
        <x:v>8.3.3.2</x:v>
      </x:c>
      <x:c r="F124" s="47" t="str">
        <x:v>Static</x:v>
      </x:c>
      <x:c r="G124" s="48" t="str">
        <x:v>Stage 2 candidate - direct/deterministic</x:v>
      </x:c>
      <x:c r="H124" s="47" t="str">
        <x:v>High</x:v>
      </x:c>
      <x:c r="I124" s="47" t="str">
        <x:v>No</x:v>
      </x:c>
      <x:c r="J124" s="47" t="str">
        <x:v>ELIGIBLE</x:v>
      </x:c>
      <x:c r="K124" s="47" t="str">
        <x:v>NOT_RUN</x:v>
      </x:c>
    </x:row>
    <x:row r="125">
      <x:c r="A125" s="47" t="str">
        <x:v>IMO-073</x:v>
      </x:c>
      <x:c r="B125" s="48" t="str">
        <x:v>International Code for Ships Operating in Polar Waters (Polar Code)</x:v>
      </x:c>
      <x:c r="C125" s="47" t="str">
        <x:v>Resolution MSC.385(94), adopted 21 Nov 2014; consolidated with MEPC.264(68), adopted 15 May 2015</x:v>
      </x:c>
      <x:c r="D125" s="59" t="n">
        <x:v>25</x:v>
      </x:c>
      <x:c r="E125" s="47" t="str">
        <x:v>8.3.3.3.1</x:v>
      </x:c>
      <x:c r="F125" s="47" t="str">
        <x:v>Static</x:v>
      </x:c>
      <x:c r="G125" s="48" t="str">
        <x:v>Stage 2 candidate - direct/deterministic</x:v>
      </x:c>
      <x:c r="H125" s="47" t="str">
        <x:v>High</x:v>
      </x:c>
      <x:c r="I125" s="47" t="str">
        <x:v>No</x:v>
      </x:c>
      <x:c r="J125" s="47" t="str">
        <x:v>ELIGIBLE</x:v>
      </x:c>
      <x:c r="K125" s="47" t="str">
        <x:v>NOT_RUN</x:v>
      </x:c>
    </x:row>
    <x:row r="126">
      <x:c r="A126" s="47" t="str">
        <x:v>IMO-074</x:v>
      </x:c>
      <x:c r="B126" s="48" t="str">
        <x:v>International Code for Ships Operating in Polar Waters (Polar Code)</x:v>
      </x:c>
      <x:c r="C126" s="47" t="str">
        <x:v>Resolution MSC.385(94), adopted 21 Nov 2014; consolidated with MEPC.264(68), adopted 15 May 2015</x:v>
      </x:c>
      <x:c r="D126" s="59" t="n">
        <x:v>25</x:v>
      </x:c>
      <x:c r="E126" s="47" t="str">
        <x:v>8.3.3.3.3.1</x:v>
      </x:c>
      <x:c r="F126" s="47" t="str">
        <x:v>Static</x:v>
      </x:c>
      <x:c r="G126" s="48" t="str">
        <x:v>Stage 2 candidate - direct/deterministic</x:v>
      </x:c>
      <x:c r="H126" s="47" t="str">
        <x:v>Medium</x:v>
      </x:c>
      <x:c r="I126" s="47" t="str">
        <x:v>No</x:v>
      </x:c>
      <x:c r="J126" s="47" t="str">
        <x:v>ELIGIBLE</x:v>
      </x:c>
      <x:c r="K126" s="47" t="str">
        <x:v>NOT_RUN</x:v>
      </x:c>
    </x:row>
    <x:row r="127">
      <x:c r="A127" s="47" t="str">
        <x:v>IMO-075</x:v>
      </x:c>
      <x:c r="B127" s="48" t="str">
        <x:v>International Code for Ships Operating in Polar Waters (Polar Code)</x:v>
      </x:c>
      <x:c r="C127" s="47" t="str">
        <x:v>Resolution MSC.385(94), adopted 21 Nov 2014; consolidated with MEPC.264(68), adopted 15 May 2015</x:v>
      </x:c>
      <x:c r="D127" s="59" t="n">
        <x:v>25</x:v>
      </x:c>
      <x:c r="E127" s="47" t="str">
        <x:v>8.3.3.3.3.2</x:v>
      </x:c>
      <x:c r="F127" s="47" t="str">
        <x:v>Static Calculation</x:v>
      </x:c>
      <x:c r="G127" s="48" t="str">
        <x:v>Stage 2 candidate - direct/deterministic</x:v>
      </x:c>
      <x:c r="H127" s="47" t="str">
        <x:v>High</x:v>
      </x:c>
      <x:c r="I127" s="47" t="str">
        <x:v>No</x:v>
      </x:c>
      <x:c r="J127" s="47" t="str">
        <x:v>ELIGIBLE</x:v>
      </x:c>
      <x:c r="K127" s="47" t="str">
        <x:v>NOT_RUN</x:v>
      </x:c>
    </x:row>
    <x:row r="128">
      <x:c r="A128" s="47" t="str">
        <x:v>IMO-076</x:v>
      </x:c>
      <x:c r="B128" s="48" t="str">
        <x:v>International Code for Ships Operating in Polar Waters (Polar Code)</x:v>
      </x:c>
      <x:c r="C128" s="47" t="str">
        <x:v>Resolution MSC.385(94), adopted 21 Nov 2014; consolidated with MEPC.264(68), adopted 15 May 2015</x:v>
      </x:c>
      <x:c r="D128" s="59" t="n">
        <x:v>25</x:v>
      </x:c>
      <x:c r="E128" s="47" t="str">
        <x:v>8.3.3.3.3.3</x:v>
      </x:c>
      <x:c r="F128" s="47" t="str">
        <x:v>Physical Test</x:v>
      </x:c>
      <x:c r="G128" s="48" t="str">
        <x:v>Evidence-only - physical result not inferred by SHACL</x:v>
      </x:c>
      <x:c r="H128" s="47" t="str">
        <x:v>Medium</x:v>
      </x:c>
      <x:c r="I128" s="47" t="str">
        <x:v>No</x:v>
      </x:c>
      <x:c r="J128" s="47" t="str">
        <x:v>DEFERRED</x:v>
      </x:c>
      <x:c r="K128" s="47" t="str">
        <x:v>NOT_RUN</x:v>
      </x:c>
    </x:row>
    <x:row r="129">
      <x:c r="A129" s="47" t="str">
        <x:v>IMO-077</x:v>
      </x:c>
      <x:c r="B129" s="48" t="str">
        <x:v>International Code for Ships Operating in Polar Waters (Polar Code)</x:v>
      </x:c>
      <x:c r="C129" s="47" t="str">
        <x:v>Resolution MSC.385(94), adopted 21 Nov 2014; consolidated with MEPC.264(68), adopted 15 May 2015</x:v>
      </x:c>
      <x:c r="D129" s="59" t="n">
        <x:v>25</x:v>
      </x:c>
      <x:c r="E129" s="47" t="str">
        <x:v>8.3.3.3.3.5</x:v>
      </x:c>
      <x:c r="F129" s="47" t="str">
        <x:v>Static Calculation</x:v>
      </x:c>
      <x:c r="G129" s="48" t="str">
        <x:v>Stage 2 candidate - direct/deterministic</x:v>
      </x:c>
      <x:c r="H129" s="47" t="str">
        <x:v>High</x:v>
      </x:c>
      <x:c r="I129" s="47" t="str">
        <x:v>No</x:v>
      </x:c>
      <x:c r="J129" s="47" t="str">
        <x:v>ELIGIBLE</x:v>
      </x:c>
      <x:c r="K129" s="47" t="str">
        <x:v>NOT_RUN</x:v>
      </x:c>
    </x:row>
    <x:row r="130">
      <x:c r="A130" s="47" t="str">
        <x:v>IMO-078</x:v>
      </x:c>
      <x:c r="B130" s="48" t="str">
        <x:v>International Code for Ships Operating in Polar Waters (Polar Code)</x:v>
      </x:c>
      <x:c r="C130" s="47" t="str">
        <x:v>Resolution MSC.385(94), adopted 21 Nov 2014; consolidated with MEPC.264(68), adopted 15 May 2015</x:v>
      </x:c>
      <x:c r="D130" s="59" t="n">
        <x:v>25</x:v>
      </x:c>
      <x:c r="E130" s="47" t="str">
        <x:v>8.3.3.3.3.6-.7</x:v>
      </x:c>
      <x:c r="F130" s="47" t="str">
        <x:v>Static</x:v>
      </x:c>
      <x:c r="G130" s="48" t="str">
        <x:v>Stage 2 candidate - direct/deterministic</x:v>
      </x:c>
      <x:c r="H130" s="47" t="str">
        <x:v>High</x:v>
      </x:c>
      <x:c r="I130" s="47" t="str">
        <x:v>No</x:v>
      </x:c>
      <x:c r="J130" s="47" t="str">
        <x:v>ELIGIBLE</x:v>
      </x:c>
      <x:c r="K130" s="47" t="str">
        <x:v>NOT_RUN</x:v>
      </x:c>
    </x:row>
    <x:row r="131">
      <x:c r="A131" s="47" t="str">
        <x:v>IMO-079</x:v>
      </x:c>
      <x:c r="B131" s="48" t="str">
        <x:v>International Code for Ships Operating in Polar Waters (Polar Code)</x:v>
      </x:c>
      <x:c r="C131" s="47" t="str">
        <x:v>Resolution MSC.385(94), adopted 21 Nov 2014; consolidated with MEPC.264(68), adopted 15 May 2015</x:v>
      </x:c>
      <x:c r="D131" s="59" t="n">
        <x:v>25</x:v>
      </x:c>
      <x:c r="E131" s="47" t="str">
        <x:v>8.3.3.4</x:v>
      </x:c>
      <x:c r="F131" s="47" t="str">
        <x:v>Static Calculation</x:v>
      </x:c>
      <x:c r="G131" s="48" t="str">
        <x:v>Stage 2 candidate - direct/deterministic</x:v>
      </x:c>
      <x:c r="H131" s="47" t="str">
        <x:v>High</x:v>
      </x:c>
      <x:c r="I131" s="47" t="str">
        <x:v>No</x:v>
      </x:c>
      <x:c r="J131" s="47" t="str">
        <x:v>ELIGIBLE</x:v>
      </x:c>
      <x:c r="K131" s="47" t="str">
        <x:v>NOT_RUN</x:v>
      </x:c>
    </x:row>
    <x:row r="132">
      <x:c r="A132" s="47" t="str">
        <x:v>IMO-080</x:v>
      </x:c>
      <x:c r="B132" s="48" t="str">
        <x:v>International Code for Ships Operating in Polar Waters (Polar Code)</x:v>
      </x:c>
      <x:c r="C132" s="47" t="str">
        <x:v>Resolution MSC.385(94), adopted 21 Nov 2014; consolidated with MEPC.264(68), adopted 15 May 2015</x:v>
      </x:c>
      <x:c r="D132" s="59" t="n">
        <x:v>26</x:v>
      </x:c>
      <x:c r="E132" s="47" t="str">
        <x:v>9.3.1</x:v>
      </x:c>
      <x:c r="F132" s="47" t="str">
        <x:v>Dynamic</x:v>
      </x:c>
      <x:c r="G132" s="48" t="str">
        <x:v>Deferred - observation/history/simulation design required</x:v>
      </x:c>
      <x:c r="H132" s="47" t="str">
        <x:v>Medium</x:v>
      </x:c>
      <x:c r="I132" s="47" t="str">
        <x:v>No</x:v>
      </x:c>
      <x:c r="J132" s="47" t="str">
        <x:v>DEFERRED</x:v>
      </x:c>
      <x:c r="K132" s="47" t="str">
        <x:v>NOT_RUN</x:v>
      </x:c>
    </x:row>
    <x:row r="133">
      <x:c r="A133" s="47" t="str">
        <x:v>IMO-081</x:v>
      </x:c>
      <x:c r="B133" s="48" t="str">
        <x:v>International Code for Ships Operating in Polar Waters (Polar Code)</x:v>
      </x:c>
      <x:c r="C133" s="47" t="str">
        <x:v>Resolution MSC.385(94), adopted 21 Nov 2014; consolidated with MEPC.264(68), adopted 15 May 2015</x:v>
      </x:c>
      <x:c r="D133" s="59" t="n">
        <x:v>26</x:v>
      </x:c>
      <x:c r="E133" s="47" t="str">
        <x:v>9.3.2.1.1</x:v>
      </x:c>
      <x:c r="F133" s="47" t="str">
        <x:v>Static</x:v>
      </x:c>
      <x:c r="G133" s="48" t="str">
        <x:v>Stage 2 candidate - direct/deterministic</x:v>
      </x:c>
      <x:c r="H133" s="47" t="str">
        <x:v>High</x:v>
      </x:c>
      <x:c r="I133" s="47" t="str">
        <x:v>No</x:v>
      </x:c>
      <x:c r="J133" s="47" t="str">
        <x:v>ELIGIBLE</x:v>
      </x:c>
      <x:c r="K133" s="47" t="str">
        <x:v>NOT_RUN</x:v>
      </x:c>
    </x:row>
    <x:row r="134">
      <x:c r="A134" s="47" t="str">
        <x:v>IMO-082</x:v>
      </x:c>
      <x:c r="B134" s="48" t="str">
        <x:v>International Code for Ships Operating in Polar Waters (Polar Code)</x:v>
      </x:c>
      <x:c r="C134" s="47" t="str">
        <x:v>Resolution MSC.385(94), adopted 21 Nov 2014; consolidated with MEPC.264(68), adopted 15 May 2015</x:v>
      </x:c>
      <x:c r="D134" s="59" t="n">
        <x:v>26</x:v>
      </x:c>
      <x:c r="E134" s="47" t="str">
        <x:v>9.3.2.1.2</x:v>
      </x:c>
      <x:c r="F134" s="47" t="str">
        <x:v>Static</x:v>
      </x:c>
      <x:c r="G134" s="48" t="str">
        <x:v>Stage 2 candidate - direct/deterministic</x:v>
      </x:c>
      <x:c r="H134" s="47" t="str">
        <x:v>Medium</x:v>
      </x:c>
      <x:c r="I134" s="47" t="str">
        <x:v>No</x:v>
      </x:c>
      <x:c r="J134" s="47" t="str">
        <x:v>ELIGIBLE</x:v>
      </x:c>
      <x:c r="K134" s="47" t="str">
        <x:v>NOT_RUN</x:v>
      </x:c>
    </x:row>
    <x:row r="135">
      <x:c r="A135" s="47" t="str">
        <x:v>IMO-083</x:v>
      </x:c>
      <x:c r="B135" s="48" t="str">
        <x:v>International Code for Ships Operating in Polar Waters (Polar Code)</x:v>
      </x:c>
      <x:c r="C135" s="47" t="str">
        <x:v>Resolution MSC.385(94), adopted 21 Nov 2014; consolidated with MEPC.264(68), adopted 15 May 2015</x:v>
      </x:c>
      <x:c r="D135" s="59" t="n">
        <x:v>27</x:v>
      </x:c>
      <x:c r="E135" s="47" t="str">
        <x:v>9.3.2.1.3</x:v>
      </x:c>
      <x:c r="F135" s="47" t="str">
        <x:v>Static</x:v>
      </x:c>
      <x:c r="G135" s="48" t="str">
        <x:v>Stage 2 candidate - direct/deterministic</x:v>
      </x:c>
      <x:c r="H135" s="47" t="str">
        <x:v>High</x:v>
      </x:c>
      <x:c r="I135" s="47" t="str">
        <x:v>No</x:v>
      </x:c>
      <x:c r="J135" s="47" t="str">
        <x:v>ELIGIBLE</x:v>
      </x:c>
      <x:c r="K135" s="47" t="str">
        <x:v>NOT_RUN</x:v>
      </x:c>
    </x:row>
    <x:row r="136">
      <x:c r="A136" s="47" t="str">
        <x:v>IMO-084</x:v>
      </x:c>
      <x:c r="B136" s="48" t="str">
        <x:v>International Code for Ships Operating in Polar Waters (Polar Code)</x:v>
      </x:c>
      <x:c r="C136" s="47" t="str">
        <x:v>Resolution MSC.385(94), adopted 21 Nov 2014; consolidated with MEPC.264(68), adopted 15 May 2015</x:v>
      </x:c>
      <x:c r="D136" s="59" t="n">
        <x:v>27</x:v>
      </x:c>
      <x:c r="E136" s="47" t="str">
        <x:v>9.3.2.1.4.1</x:v>
      </x:c>
      <x:c r="F136" s="47" t="str">
        <x:v>Static</x:v>
      </x:c>
      <x:c r="G136" s="48" t="str">
        <x:v>Stage 2 candidate - direct/deterministic</x:v>
      </x:c>
      <x:c r="H136" s="47" t="str">
        <x:v>High</x:v>
      </x:c>
      <x:c r="I136" s="47" t="str">
        <x:v>No</x:v>
      </x:c>
      <x:c r="J136" s="47" t="str">
        <x:v>ELIGIBLE</x:v>
      </x:c>
      <x:c r="K136" s="47" t="str">
        <x:v>NOT_RUN</x:v>
      </x:c>
    </x:row>
    <x:row r="137">
      <x:c r="A137" s="47" t="str">
        <x:v>IMO-085</x:v>
      </x:c>
      <x:c r="B137" s="48" t="str">
        <x:v>International Code for Ships Operating in Polar Waters (Polar Code)</x:v>
      </x:c>
      <x:c r="C137" s="47" t="str">
        <x:v>Resolution MSC.385(94), adopted 21 Nov 2014; consolidated with MEPC.264(68), adopted 15 May 2015</x:v>
      </x:c>
      <x:c r="D137" s="59" t="n">
        <x:v>27</x:v>
      </x:c>
      <x:c r="E137" s="47" t="str">
        <x:v>9.3.2.1.4.2</x:v>
      </x:c>
      <x:c r="F137" s="47" t="str">
        <x:v>Static</x:v>
      </x:c>
      <x:c r="G137" s="48" t="str">
        <x:v>Stage 2 candidate - direct/deterministic</x:v>
      </x:c>
      <x:c r="H137" s="47" t="str">
        <x:v>High</x:v>
      </x:c>
      <x:c r="I137" s="47" t="str">
        <x:v>No</x:v>
      </x:c>
      <x:c r="J137" s="47" t="str">
        <x:v>ELIGIBLE</x:v>
      </x:c>
      <x:c r="K137" s="47" t="str">
        <x:v>NOT_RUN</x:v>
      </x:c>
    </x:row>
    <x:row r="138">
      <x:c r="A138" s="47" t="str">
        <x:v>IMO-086</x:v>
      </x:c>
      <x:c r="B138" s="48" t="str">
        <x:v>International Code for Ships Operating in Polar Waters (Polar Code)</x:v>
      </x:c>
      <x:c r="C138" s="47" t="str">
        <x:v>Resolution MSC.385(94), adopted 21 Nov 2014; consolidated with MEPC.264(68), adopted 15 May 2015</x:v>
      </x:c>
      <x:c r="D138" s="59" t="n">
        <x:v>27</x:v>
      </x:c>
      <x:c r="E138" s="47" t="str">
        <x:v>9.3.2.2.1</x:v>
      </x:c>
      <x:c r="F138" s="47" t="str">
        <x:v>Static</x:v>
      </x:c>
      <x:c r="G138" s="48" t="str">
        <x:v>Stage 2 candidate - direct/deterministic</x:v>
      </x:c>
      <x:c r="H138" s="47" t="str">
        <x:v>High</x:v>
      </x:c>
      <x:c r="I138" s="47" t="str">
        <x:v>No</x:v>
      </x:c>
      <x:c r="J138" s="47" t="str">
        <x:v>ELIGIBLE</x:v>
      </x:c>
      <x:c r="K138" s="47" t="str">
        <x:v>NOT_RUN</x:v>
      </x:c>
    </x:row>
    <x:row r="139">
      <x:c r="A139" s="47" t="str">
        <x:v>IMO-087</x:v>
      </x:c>
      <x:c r="B139" s="48" t="str">
        <x:v>International Code for Ships Operating in Polar Waters (Polar Code)</x:v>
      </x:c>
      <x:c r="C139" s="47" t="str">
        <x:v>Resolution MSC.385(94), adopted 21 Nov 2014; consolidated with MEPC.264(68), adopted 15 May 2015</x:v>
      </x:c>
      <x:c r="D139" s="59" t="n">
        <x:v>27</x:v>
      </x:c>
      <x:c r="E139" s="47" t="str">
        <x:v>9.3.2.2.2</x:v>
      </x:c>
      <x:c r="F139" s="47" t="str">
        <x:v>Static</x:v>
      </x:c>
      <x:c r="G139" s="48" t="str">
        <x:v>Stage 2 candidate - direct/deterministic</x:v>
      </x:c>
      <x:c r="H139" s="47" t="str">
        <x:v>High</x:v>
      </x:c>
      <x:c r="I139" s="47" t="str">
        <x:v>No</x:v>
      </x:c>
      <x:c r="J139" s="47" t="str">
        <x:v>ELIGIBLE</x:v>
      </x:c>
      <x:c r="K139" s="47" t="str">
        <x:v>NOT_RUN</x:v>
      </x:c>
    </x:row>
    <x:row r="140">
      <x:c r="A140" s="47" t="str">
        <x:v>IMO-088</x:v>
      </x:c>
      <x:c r="B140" s="48" t="str">
        <x:v>International Code for Ships Operating in Polar Waters (Polar Code)</x:v>
      </x:c>
      <x:c r="C140" s="47" t="str">
        <x:v>Resolution MSC.385(94), adopted 21 Nov 2014; consolidated with MEPC.264(68), adopted 15 May 2015</x:v>
      </x:c>
      <x:c r="D140" s="59" t="n">
        <x:v>27</x:v>
      </x:c>
      <x:c r="E140" s="47" t="str">
        <x:v>9.3.3.1</x:v>
      </x:c>
      <x:c r="F140" s="47" t="str">
        <x:v>Static</x:v>
      </x:c>
      <x:c r="G140" s="48" t="str">
        <x:v>Stage 2 candidate - direct/deterministic</x:v>
      </x:c>
      <x:c r="H140" s="47" t="str">
        <x:v>High</x:v>
      </x:c>
      <x:c r="I140" s="47" t="str">
        <x:v>No</x:v>
      </x:c>
      <x:c r="J140" s="47" t="str">
        <x:v>ELIGIBLE</x:v>
      </x:c>
      <x:c r="K140" s="47" t="str">
        <x:v>NOT_RUN</x:v>
      </x:c>
    </x:row>
    <x:row r="141">
      <x:c r="A141" s="47" t="str">
        <x:v>IMO-089</x:v>
      </x:c>
      <x:c r="B141" s="48" t="str">
        <x:v>International Code for Ships Operating in Polar Waters (Polar Code)</x:v>
      </x:c>
      <x:c r="C141" s="47" t="str">
        <x:v>Resolution MSC.385(94), adopted 21 Nov 2014; consolidated with MEPC.264(68), adopted 15 May 2015</x:v>
      </x:c>
      <x:c r="D141" s="59" t="n">
        <x:v>27</x:v>
      </x:c>
      <x:c r="E141" s="47" t="str">
        <x:v>9.3.3.2</x:v>
      </x:c>
      <x:c r="F141" s="47" t="str">
        <x:v>Static</x:v>
      </x:c>
      <x:c r="G141" s="48" t="str">
        <x:v>Stage 2 candidate - direct/deterministic</x:v>
      </x:c>
      <x:c r="H141" s="47" t="str">
        <x:v>High</x:v>
      </x:c>
      <x:c r="I141" s="47" t="str">
        <x:v>No</x:v>
      </x:c>
      <x:c r="J141" s="47" t="str">
        <x:v>ELIGIBLE</x:v>
      </x:c>
      <x:c r="K141" s="47" t="str">
        <x:v>NOT_RUN</x:v>
      </x:c>
    </x:row>
    <x:row r="142">
      <x:c r="A142" s="47" t="str">
        <x:v>IMO-090</x:v>
      </x:c>
      <x:c r="B142" s="48" t="str">
        <x:v>International Code for Ships Operating in Polar Waters (Polar Code)</x:v>
      </x:c>
      <x:c r="C142" s="47" t="str">
        <x:v>Resolution MSC.385(94), adopted 21 Nov 2014; consolidated with MEPC.264(68), adopted 15 May 2015</x:v>
      </x:c>
      <x:c r="D142" s="59" t="n">
        <x:v>28</x:v>
      </x:c>
      <x:c r="E142" s="47" t="str">
        <x:v>10.2.1.1</x:v>
      </x:c>
      <x:c r="F142" s="47" t="str">
        <x:v>Dynamic</x:v>
      </x:c>
      <x:c r="G142" s="48" t="str">
        <x:v>Deferred - observation/history/simulation design required</x:v>
      </x:c>
      <x:c r="H142" s="47" t="str">
        <x:v>Medium</x:v>
      </x:c>
      <x:c r="I142" s="47" t="str">
        <x:v>No</x:v>
      </x:c>
      <x:c r="J142" s="47" t="str">
        <x:v>DEFERRED</x:v>
      </x:c>
      <x:c r="K142" s="47" t="str">
        <x:v>NOT_RUN</x:v>
      </x:c>
    </x:row>
    <x:row r="143">
      <x:c r="A143" s="47" t="str">
        <x:v>IMO-091</x:v>
      </x:c>
      <x:c r="B143" s="48" t="str">
        <x:v>International Code for Ships Operating in Polar Waters (Polar Code)</x:v>
      </x:c>
      <x:c r="C143" s="47" t="str">
        <x:v>Resolution MSC.385(94), adopted 21 Nov 2014; consolidated with MEPC.264(68), adopted 15 May 2015</x:v>
      </x:c>
      <x:c r="D143" s="59" t="n">
        <x:v>28</x:v>
      </x:c>
      <x:c r="E143" s="47" t="str">
        <x:v>10.2.1.3</x:v>
      </x:c>
      <x:c r="F143" s="47" t="str">
        <x:v>Static</x:v>
      </x:c>
      <x:c r="G143" s="48" t="str">
        <x:v>Stage 2 candidate - direct/deterministic</x:v>
      </x:c>
      <x:c r="H143" s="47" t="str">
        <x:v>High</x:v>
      </x:c>
      <x:c r="I143" s="47" t="str">
        <x:v>No</x:v>
      </x:c>
      <x:c r="J143" s="47" t="str">
        <x:v>ELIGIBLE</x:v>
      </x:c>
      <x:c r="K143" s="47" t="str">
        <x:v>NOT_RUN</x:v>
      </x:c>
    </x:row>
    <x:row r="144">
      <x:c r="A144" s="47" t="str">
        <x:v>IMO-092</x:v>
      </x:c>
      <x:c r="B144" s="48" t="str">
        <x:v>International Code for Ships Operating in Polar Waters (Polar Code)</x:v>
      </x:c>
      <x:c r="C144" s="47" t="str">
        <x:v>Resolution MSC.385(94), adopted 21 Nov 2014; consolidated with MEPC.264(68), adopted 15 May 2015</x:v>
      </x:c>
      <x:c r="D144" s="59" t="n">
        <x:v>28</x:v>
      </x:c>
      <x:c r="E144" s="47" t="str">
        <x:v>10.2.1.4</x:v>
      </x:c>
      <x:c r="F144" s="47" t="str">
        <x:v>Static</x:v>
      </x:c>
      <x:c r="G144" s="48" t="str">
        <x:v>Stage 2 candidate - direct/deterministic</x:v>
      </x:c>
      <x:c r="H144" s="47" t="str">
        <x:v>High</x:v>
      </x:c>
      <x:c r="I144" s="47" t="str">
        <x:v>No</x:v>
      </x:c>
      <x:c r="J144" s="47" t="str">
        <x:v>ELIGIBLE</x:v>
      </x:c>
      <x:c r="K144" s="47" t="str">
        <x:v>NOT_RUN</x:v>
      </x:c>
    </x:row>
    <x:row r="145">
      <x:c r="A145" s="47" t="str">
        <x:v>IMO-093</x:v>
      </x:c>
      <x:c r="B145" s="48" t="str">
        <x:v>International Code for Ships Operating in Polar Waters (Polar Code)</x:v>
      </x:c>
      <x:c r="C145" s="47" t="str">
        <x:v>Resolution MSC.385(94), adopted 21 Nov 2014; consolidated with MEPC.264(68), adopted 15 May 2015</x:v>
      </x:c>
      <x:c r="D145" s="59" t="n">
        <x:v>28</x:v>
      </x:c>
      <x:c r="E145" s="47" t="str">
        <x:v>10.2.2.3</x:v>
      </x:c>
      <x:c r="F145" s="47" t="str">
        <x:v>Physical Test</x:v>
      </x:c>
      <x:c r="G145" s="48" t="str">
        <x:v>Evidence-only - physical result not inferred by SHACL</x:v>
      </x:c>
      <x:c r="H145" s="47" t="str">
        <x:v>Medium</x:v>
      </x:c>
      <x:c r="I145" s="47" t="str">
        <x:v>No</x:v>
      </x:c>
      <x:c r="J145" s="47" t="str">
        <x:v>DEFERRED</x:v>
      </x:c>
      <x:c r="K145" s="47" t="str">
        <x:v>NOT_RUN</x:v>
      </x:c>
    </x:row>
    <x:row r="146">
      <x:c r="A146" s="47" t="str">
        <x:v>IMO-094</x:v>
      </x:c>
      <x:c r="B146" s="48" t="str">
        <x:v>International Code for Ships Operating in Polar Waters (Polar Code)</x:v>
      </x:c>
      <x:c r="C146" s="47" t="str">
        <x:v>Resolution MSC.385(94), adopted 21 Nov 2014; consolidated with MEPC.264(68), adopted 15 May 2015</x:v>
      </x:c>
      <x:c r="D146" s="59" t="n">
        <x:v>28</x:v>
      </x:c>
      <x:c r="E146" s="47" t="str">
        <x:v>10.3.1.2</x:v>
      </x:c>
      <x:c r="F146" s="47" t="str">
        <x:v>Static</x:v>
      </x:c>
      <x:c r="G146" s="48" t="str">
        <x:v>Stage 2 candidate - direct/deterministic</x:v>
      </x:c>
      <x:c r="H146" s="47" t="str">
        <x:v>High</x:v>
      </x:c>
      <x:c r="I146" s="47" t="str">
        <x:v>No</x:v>
      </x:c>
      <x:c r="J146" s="47" t="str">
        <x:v>ELIGIBLE</x:v>
      </x:c>
      <x:c r="K146" s="47" t="str">
        <x:v>NOT_RUN</x:v>
      </x:c>
    </x:row>
    <x:row r="147">
      <x:c r="A147" s="47" t="str">
        <x:v>IMO-095</x:v>
      </x:c>
      <x:c r="B147" s="48" t="str">
        <x:v>International Code for Ships Operating in Polar Waters (Polar Code)</x:v>
      </x:c>
      <x:c r="C147" s="47" t="str">
        <x:v>Resolution MSC.385(94), adopted 21 Nov 2014; consolidated with MEPC.264(68), adopted 15 May 2015</x:v>
      </x:c>
      <x:c r="D147" s="59" t="n">
        <x:v>28</x:v>
      </x:c>
      <x:c r="E147" s="47" t="str">
        <x:v>10.3.1.3</x:v>
      </x:c>
      <x:c r="F147" s="47" t="str">
        <x:v>Static</x:v>
      </x:c>
      <x:c r="G147" s="48" t="str">
        <x:v>Stage 2 candidate - direct/deterministic</x:v>
      </x:c>
      <x:c r="H147" s="47" t="str">
        <x:v>High</x:v>
      </x:c>
      <x:c r="I147" s="47" t="str">
        <x:v>No</x:v>
      </x:c>
      <x:c r="J147" s="47" t="str">
        <x:v>ELIGIBLE</x:v>
      </x:c>
      <x:c r="K147" s="47" t="str">
        <x:v>NOT_RUN</x:v>
      </x:c>
    </x:row>
    <x:row r="148">
      <x:c r="A148" s="47" t="str">
        <x:v>IMO-096</x:v>
      </x:c>
      <x:c r="B148" s="48" t="str">
        <x:v>International Code for Ships Operating in Polar Waters (Polar Code)</x:v>
      </x:c>
      <x:c r="C148" s="47" t="str">
        <x:v>Resolution MSC.385(94), adopted 21 Nov 2014; consolidated with MEPC.264(68), adopted 15 May 2015</x:v>
      </x:c>
      <x:c r="D148" s="59" t="n">
        <x:v>28</x:v>
      </x:c>
      <x:c r="E148" s="47" t="str">
        <x:v>10.3.1.4</x:v>
      </x:c>
      <x:c r="F148" s="47" t="str">
        <x:v>Static</x:v>
      </x:c>
      <x:c r="G148" s="48" t="str">
        <x:v>Stage 2 candidate - direct/deterministic</x:v>
      </x:c>
      <x:c r="H148" s="47" t="str">
        <x:v>High</x:v>
      </x:c>
      <x:c r="I148" s="47" t="str">
        <x:v>No</x:v>
      </x:c>
      <x:c r="J148" s="47" t="str">
        <x:v>ELIGIBLE</x:v>
      </x:c>
      <x:c r="K148" s="47" t="str">
        <x:v>NOT_RUN</x:v>
      </x:c>
    </x:row>
    <x:row r="149">
      <x:c r="A149" s="47" t="str">
        <x:v>IMO-097</x:v>
      </x:c>
      <x:c r="B149" s="48" t="str">
        <x:v>International Code for Ships Operating in Polar Waters (Polar Code)</x:v>
      </x:c>
      <x:c r="C149" s="47" t="str">
        <x:v>Resolution MSC.385(94), adopted 21 Nov 2014; consolidated with MEPC.264(68), adopted 15 May 2015</x:v>
      </x:c>
      <x:c r="D149" s="59" t="n">
        <x:v>29</x:v>
      </x:c>
      <x:c r="E149" s="47" t="str">
        <x:v>10.3.2.1</x:v>
      </x:c>
      <x:c r="F149" s="47" t="str">
        <x:v>Static</x:v>
      </x:c>
      <x:c r="G149" s="48" t="str">
        <x:v>Stage 2 candidate - direct/deterministic</x:v>
      </x:c>
      <x:c r="H149" s="47" t="str">
        <x:v>High</x:v>
      </x:c>
      <x:c r="I149" s="47" t="str">
        <x:v>No</x:v>
      </x:c>
      <x:c r="J149" s="47" t="str">
        <x:v>ELIGIBLE</x:v>
      </x:c>
      <x:c r="K149" s="47" t="str">
        <x:v>NOT_RUN</x:v>
      </x:c>
    </x:row>
    <x:row r="150">
      <x:c r="A150" s="47" t="str">
        <x:v>IMO-098</x:v>
      </x:c>
      <x:c r="B150" s="48" t="str">
        <x:v>International Code for Ships Operating in Polar Waters (Polar Code)</x:v>
      </x:c>
      <x:c r="C150" s="47" t="str">
        <x:v>Resolution MSC.385(94), adopted 21 Nov 2014; consolidated with MEPC.264(68), adopted 15 May 2015</x:v>
      </x:c>
      <x:c r="D150" s="59" t="n">
        <x:v>29</x:v>
      </x:c>
      <x:c r="E150" s="47" t="str">
        <x:v>10.3.2.2</x:v>
      </x:c>
      <x:c r="F150" s="47" t="str">
        <x:v>Static</x:v>
      </x:c>
      <x:c r="G150" s="48" t="str">
        <x:v>Stage 2 candidate - direct/deterministic</x:v>
      </x:c>
      <x:c r="H150" s="47" t="str">
        <x:v>High</x:v>
      </x:c>
      <x:c r="I150" s="47" t="str">
        <x:v>No</x:v>
      </x:c>
      <x:c r="J150" s="47" t="str">
        <x:v>ELIGIBLE</x:v>
      </x:c>
      <x:c r="K150" s="47" t="str">
        <x:v>NOT_RUN</x:v>
      </x:c>
    </x:row>
    <x:row r="151">
      <x:c r="A151" s="47" t="str">
        <x:v>IMO-099</x:v>
      </x:c>
      <x:c r="B151" s="48" t="str">
        <x:v>International Code for Ships Operating in Polar Waters (Polar Code)</x:v>
      </x:c>
      <x:c r="C151" s="47" t="str">
        <x:v>Resolution MSC.385(94), adopted 21 Nov 2014; consolidated with MEPC.264(68), adopted 15 May 2015</x:v>
      </x:c>
      <x:c r="D151" s="59" t="n">
        <x:v>29</x:v>
      </x:c>
      <x:c r="E151" s="47" t="str">
        <x:v>10.3.2.3</x:v>
      </x:c>
      <x:c r="F151" s="47" t="str">
        <x:v>Static</x:v>
      </x:c>
      <x:c r="G151" s="48" t="str">
        <x:v>Stage 2 candidate - direct static</x:v>
      </x:c>
      <x:c r="H151" s="47" t="str">
        <x:v>Direct static</x:v>
      </x:c>
      <x:c r="I151" s="47" t="str">
        <x:v>No</x:v>
      </x:c>
      <x:c r="J151" s="47" t="str">
        <x:v>ELIGIBLE</x:v>
      </x:c>
      <x:c r="K151" s="47" t="str">
        <x:v>NOT_RUN</x:v>
      </x:c>
    </x:row>
    <x:row r="152">
      <x:c r="A152" s="47" t="str">
        <x:v>IMO-100</x:v>
      </x:c>
      <x:c r="B152" s="48" t="str">
        <x:v>International Code for Ships Operating in Polar Waters (Polar Code)</x:v>
      </x:c>
      <x:c r="C152" s="47" t="str">
        <x:v>Resolution MSC.385(94), adopted 21 Nov 2014; consolidated with MEPC.264(68), adopted 15 May 2015</x:v>
      </x:c>
      <x:c r="D152" s="59" t="n">
        <x:v>29</x:v>
      </x:c>
      <x:c r="E152" s="47" t="str">
        <x:v>11.2</x:v>
      </x:c>
      <x:c r="F152" s="47" t="str">
        <x:v>Static</x:v>
      </x:c>
      <x:c r="G152" s="48" t="str">
        <x:v>Stage 2 candidate - direct static</x:v>
      </x:c>
      <x:c r="H152" s="47" t="str">
        <x:v>Direct static</x:v>
      </x:c>
      <x:c r="I152" s="47" t="str">
        <x:v>No</x:v>
      </x:c>
      <x:c r="J152" s="47" t="str">
        <x:v>ELIGIBLE</x:v>
      </x:c>
      <x:c r="K152" s="47" t="str">
        <x:v>NOT_RUN</x:v>
      </x:c>
    </x:row>
    <x:row r="153">
      <x:c r="A153" s="47" t="str">
        <x:v>IMO-101</x:v>
      </x:c>
      <x:c r="B153" s="48" t="str">
        <x:v>International Code for Ships Operating in Polar Waters (Polar Code)</x:v>
      </x:c>
      <x:c r="C153" s="47" t="str">
        <x:v>Resolution MSC.385(94), adopted 21 Nov 2014; consolidated with MEPC.264(68), adopted 15 May 2015</x:v>
      </x:c>
      <x:c r="D153" s="59" t="str">
        <x:v>29-30</x:v>
      </x:c>
      <x:c r="E153" s="47" t="str">
        <x:v>11.3.1-11.3.9</x:v>
      </x:c>
      <x:c r="F153" s="47" t="str">
        <x:v>Static</x:v>
      </x:c>
      <x:c r="G153" s="48" t="str">
        <x:v>Stage 2 candidate - direct static</x:v>
      </x:c>
      <x:c r="H153" s="47" t="str">
        <x:v>Direct static</x:v>
      </x:c>
      <x:c r="I153" s="47" t="str">
        <x:v>No</x:v>
      </x:c>
      <x:c r="J153" s="47" t="str">
        <x:v>ELIGIBLE</x:v>
      </x:c>
      <x:c r="K153" s="47" t="str">
        <x:v>NOT_RUN</x:v>
      </x:c>
    </x:row>
    <x:row r="154">
      <x:c r="A154" s="47" t="str">
        <x:v>IMO-102</x:v>
      </x:c>
      <x:c r="B154" s="48" t="str">
        <x:v>International Code for Ships Operating in Polar Waters (Polar Code)</x:v>
      </x:c>
      <x:c r="C154" s="47" t="str">
        <x:v>Resolution MSC.385(94), adopted 21 Nov 2014; consolidated with MEPC.264(68), adopted 15 May 2015</x:v>
      </x:c>
      <x:c r="D154" s="59" t="n">
        <x:v>30</x:v>
      </x:c>
      <x:c r="E154" s="47" t="str">
        <x:v>12.3.1</x:v>
      </x:c>
      <x:c r="F154" s="47" t="str">
        <x:v>Static</x:v>
      </x:c>
      <x:c r="G154" s="48" t="str">
        <x:v>Stage 2 candidate - direct/deterministic</x:v>
      </x:c>
      <x:c r="H154" s="47" t="str">
        <x:v>High</x:v>
      </x:c>
      <x:c r="I154" s="47" t="str">
        <x:v>No</x:v>
      </x:c>
      <x:c r="J154" s="47" t="str">
        <x:v>ELIGIBLE</x:v>
      </x:c>
      <x:c r="K154" s="47" t="str">
        <x:v>NOT_RUN</x:v>
      </x:c>
    </x:row>
    <x:row r="155">
      <x:c r="A155" s="47" t="str">
        <x:v>IMO-103</x:v>
      </x:c>
      <x:c r="B155" s="48" t="str">
        <x:v>International Code for Ships Operating in Polar Waters (Polar Code)</x:v>
      </x:c>
      <x:c r="C155" s="47" t="str">
        <x:v>Resolution MSC.385(94), adopted 21 Nov 2014; consolidated with MEPC.264(68), adopted 15 May 2015</x:v>
      </x:c>
      <x:c r="D155" s="59" t="n">
        <x:v>31</x:v>
      </x:c>
      <x:c r="E155" s="47" t="str">
        <x:v>12.3.2</x:v>
      </x:c>
      <x:c r="F155" s="47" t="str">
        <x:v>Static</x:v>
      </x:c>
      <x:c r="G155" s="48" t="str">
        <x:v>Stage 2 candidate - direct static</x:v>
      </x:c>
      <x:c r="H155" s="47" t="str">
        <x:v>Direct static</x:v>
      </x:c>
      <x:c r="I155" s="47" t="str">
        <x:v>No</x:v>
      </x:c>
      <x:c r="J155" s="47" t="str">
        <x:v>ELIGIBLE</x:v>
      </x:c>
      <x:c r="K155" s="47" t="str">
        <x:v>NOT_RUN</x:v>
      </x:c>
    </x:row>
    <x:row r="156">
      <x:c r="A156" s="47" t="str">
        <x:v>IMO-104</x:v>
      </x:c>
      <x:c r="B156" s="48" t="str">
        <x:v>International Code for Ships Operating in Polar Waters (Polar Code)</x:v>
      </x:c>
      <x:c r="C156" s="47" t="str">
        <x:v>Resolution MSC.385(94), adopted 21 Nov 2014; consolidated with MEPC.264(68), adopted 15 May 2015</x:v>
      </x:c>
      <x:c r="D156" s="59" t="n">
        <x:v>31</x:v>
      </x:c>
      <x:c r="E156" s="47" t="str">
        <x:v>12.3.4</x:v>
      </x:c>
      <x:c r="F156" s="47" t="str">
        <x:v>Static</x:v>
      </x:c>
      <x:c r="G156" s="48" t="str">
        <x:v>Stage 2 candidate - direct/deterministic</x:v>
      </x:c>
      <x:c r="H156" s="47" t="str">
        <x:v>High</x:v>
      </x:c>
      <x:c r="I156" s="47" t="str">
        <x:v>No</x:v>
      </x:c>
      <x:c r="J156" s="47" t="str">
        <x:v>ELIGIBLE</x:v>
      </x:c>
      <x:c r="K156" s="47" t="str">
        <x:v>NOT_RUN</x:v>
      </x:c>
    </x:row>
    <x:row r="157">
      <x:c r="A157" s="47" t="str">
        <x:v>IMO-105</x:v>
      </x:c>
      <x:c r="B157" s="48" t="str">
        <x:v>International Code for Ships Operating in Polar Waters (Polar Code)</x:v>
      </x:c>
      <x:c r="C157" s="47" t="str">
        <x:v>Resolution MSC.385(94), adopted 21 Nov 2014; consolidated with MEPC.264(68), adopted 15 May 2015</x:v>
      </x:c>
      <x:c r="D157" s="59" t="n">
        <x:v>41</x:v>
      </x:c>
      <x:c r="E157" s="47" t="str">
        <x:v>1.1.1</x:v>
      </x:c>
      <x:c r="F157" s="47" t="str">
        <x:v>Static</x:v>
      </x:c>
      <x:c r="G157" s="48" t="str">
        <x:v>Stage 2 candidate - direct/deterministic</x:v>
      </x:c>
      <x:c r="H157" s="47" t="str">
        <x:v>High</x:v>
      </x:c>
      <x:c r="I157" s="47" t="str">
        <x:v>No</x:v>
      </x:c>
      <x:c r="J157" s="47" t="str">
        <x:v>ELIGIBLE</x:v>
      </x:c>
      <x:c r="K157" s="47" t="str">
        <x:v>NOT_RUN</x:v>
      </x:c>
    </x:row>
    <x:row r="158">
      <x:c r="A158" s="47" t="str">
        <x:v>IMO-106</x:v>
      </x:c>
      <x:c r="B158" s="48" t="str">
        <x:v>International Code for Ships Operating in Polar Waters (Polar Code)</x:v>
      </x:c>
      <x:c r="C158" s="47" t="str">
        <x:v>Resolution MSC.385(94), adopted 21 Nov 2014; consolidated with MEPC.264(68), adopted 15 May 2015</x:v>
      </x:c>
      <x:c r="D158" s="59" t="n">
        <x:v>41</x:v>
      </x:c>
      <x:c r="E158" s="47" t="str">
        <x:v>1.1.2</x:v>
      </x:c>
      <x:c r="F158" s="47" t="str">
        <x:v>Static</x:v>
      </x:c>
      <x:c r="G158" s="48" t="str">
        <x:v>Stage 2 candidate - direct/deterministic</x:v>
      </x:c>
      <x:c r="H158" s="47" t="str">
        <x:v>High</x:v>
      </x:c>
      <x:c r="I158" s="47" t="str">
        <x:v>No</x:v>
      </x:c>
      <x:c r="J158" s="47" t="str">
        <x:v>ELIGIBLE</x:v>
      </x:c>
      <x:c r="K158" s="47" t="str">
        <x:v>NOT_RUN</x:v>
      </x:c>
    </x:row>
    <x:row r="159">
      <x:c r="A159" s="47" t="str">
        <x:v>IMO-107</x:v>
      </x:c>
      <x:c r="B159" s="48" t="str">
        <x:v>International Code for Ships Operating in Polar Waters (Polar Code)</x:v>
      </x:c>
      <x:c r="C159" s="47" t="str">
        <x:v>Resolution MSC.385(94), adopted 21 Nov 2014; consolidated with MEPC.264(68), adopted 15 May 2015</x:v>
      </x:c>
      <x:c r="D159" s="59" t="n">
        <x:v>41</x:v>
      </x:c>
      <x:c r="E159" s="47" t="str">
        <x:v>1.1.4</x:v>
      </x:c>
      <x:c r="F159" s="47" t="str">
        <x:v>Static</x:v>
      </x:c>
      <x:c r="G159" s="48" t="str">
        <x:v>Stage 2 candidate - direct/deterministic</x:v>
      </x:c>
      <x:c r="H159" s="47" t="str">
        <x:v>High</x:v>
      </x:c>
      <x:c r="I159" s="47" t="str">
        <x:v>No</x:v>
      </x:c>
      <x:c r="J159" s="47" t="str">
        <x:v>ELIGIBLE</x:v>
      </x:c>
      <x:c r="K159" s="47" t="str">
        <x:v>NOT_RUN</x:v>
      </x:c>
    </x:row>
    <x:row r="160">
      <x:c r="A160" s="47" t="str">
        <x:v>IMO-108</x:v>
      </x:c>
      <x:c r="B160" s="48" t="str">
        <x:v>International Code for Ships Operating in Polar Waters (Polar Code)</x:v>
      </x:c>
      <x:c r="C160" s="47" t="str">
        <x:v>Resolution MSC.385(94), adopted 21 Nov 2014; consolidated with MEPC.264(68), adopted 15 May 2015</x:v>
      </x:c>
      <x:c r="D160" s="59" t="n">
        <x:v>41</x:v>
      </x:c>
      <x:c r="E160" s="47" t="str">
        <x:v>1.2.1</x:v>
      </x:c>
      <x:c r="F160" s="47" t="str">
        <x:v>Static</x:v>
      </x:c>
      <x:c r="G160" s="48" t="str">
        <x:v>Stage 2 candidate - direct static</x:v>
      </x:c>
      <x:c r="H160" s="47" t="str">
        <x:v>Direct static</x:v>
      </x:c>
      <x:c r="I160" s="47" t="str">
        <x:v>No</x:v>
      </x:c>
      <x:c r="J160" s="47" t="str">
        <x:v>ELIGIBLE</x:v>
      </x:c>
      <x:c r="K160" s="47" t="str">
        <x:v>NOT_RUN</x:v>
      </x:c>
    </x:row>
    <x:row r="161">
      <x:c r="A161" s="47" t="str">
        <x:v>IMO-109</x:v>
      </x:c>
      <x:c r="B161" s="48" t="str">
        <x:v>International Code for Ships Operating in Polar Waters (Polar Code)</x:v>
      </x:c>
      <x:c r="C161" s="47" t="str">
        <x:v>Resolution MSC.385(94), adopted 21 Nov 2014; consolidated with MEPC.264(68), adopted 15 May 2015</x:v>
      </x:c>
      <x:c r="D161" s="59" t="n">
        <x:v>41</x:v>
      </x:c>
      <x:c r="E161" s="47" t="str">
        <x:v>1.2.2</x:v>
      </x:c>
      <x:c r="F161" s="47" t="str">
        <x:v>Static</x:v>
      </x:c>
      <x:c r="G161" s="48" t="str">
        <x:v>Stage 2 candidate - direct static</x:v>
      </x:c>
      <x:c r="H161" s="47" t="str">
        <x:v>Direct static</x:v>
      </x:c>
      <x:c r="I161" s="47" t="str">
        <x:v>No</x:v>
      </x:c>
      <x:c r="J161" s="47" t="str">
        <x:v>ELIGIBLE</x:v>
      </x:c>
      <x:c r="K161" s="47" t="str">
        <x:v>NOT_RUN</x:v>
      </x:c>
    </x:row>
    <x:row r="162">
      <x:c r="A162" s="47" t="str">
        <x:v>IMO-110</x:v>
      </x:c>
      <x:c r="B162" s="48" t="str">
        <x:v>International Code for Ships Operating in Polar Waters (Polar Code)</x:v>
      </x:c>
      <x:c r="C162" s="47" t="str">
        <x:v>Resolution MSC.385(94), adopted 21 Nov 2014; consolidated with MEPC.264(68), adopted 15 May 2015</x:v>
      </x:c>
      <x:c r="D162" s="59" t="n">
        <x:v>41</x:v>
      </x:c>
      <x:c r="E162" s="47" t="str">
        <x:v>1.2.3</x:v>
      </x:c>
      <x:c r="F162" s="47" t="str">
        <x:v>Static</x:v>
      </x:c>
      <x:c r="G162" s="48" t="str">
        <x:v>Stage 2 candidate - direct static</x:v>
      </x:c>
      <x:c r="H162" s="47" t="str">
        <x:v>Direct static</x:v>
      </x:c>
      <x:c r="I162" s="47" t="str">
        <x:v>No</x:v>
      </x:c>
      <x:c r="J162" s="47" t="str">
        <x:v>ELIGIBLE</x:v>
      </x:c>
      <x:c r="K162" s="47" t="str">
        <x:v>NOT_RUN</x:v>
      </x:c>
    </x:row>
    <x:row r="163">
      <x:c r="A163" s="47" t="str">
        <x:v>IMO-111</x:v>
      </x:c>
      <x:c r="B163" s="48" t="str">
        <x:v>International Code for Ships Operating in Polar Waters (Polar Code)</x:v>
      </x:c>
      <x:c r="C163" s="47" t="str">
        <x:v>Resolution MSC.385(94), adopted 21 Nov 2014; consolidated with MEPC.264(68), adopted 15 May 2015</x:v>
      </x:c>
      <x:c r="D163" s="59" t="n">
        <x:v>41</x:v>
      </x:c>
      <x:c r="E163" s="47" t="str">
        <x:v>1.2.4</x:v>
      </x:c>
      <x:c r="F163" s="47" t="str">
        <x:v>Static</x:v>
      </x:c>
      <x:c r="G163" s="48" t="str">
        <x:v>Stage 2 candidate - direct static</x:v>
      </x:c>
      <x:c r="H163" s="47" t="str">
        <x:v>Direct static</x:v>
      </x:c>
      <x:c r="I163" s="47" t="str">
        <x:v>No</x:v>
      </x:c>
      <x:c r="J163" s="47" t="str">
        <x:v>ELIGIBLE</x:v>
      </x:c>
      <x:c r="K163" s="47" t="str">
        <x:v>NOT_RUN</x:v>
      </x:c>
    </x:row>
    <x:row r="164">
      <x:c r="A164" s="47" t="str">
        <x:v>IMO-112</x:v>
      </x:c>
      <x:c r="B164" s="48" t="str">
        <x:v>International Code for Ships Operating in Polar Waters (Polar Code)</x:v>
      </x:c>
      <x:c r="C164" s="47" t="str">
        <x:v>Resolution MSC.385(94), adopted 21 Nov 2014; consolidated with MEPC.264(68), adopted 15 May 2015</x:v>
      </x:c>
      <x:c r="D164" s="59" t="n">
        <x:v>42</x:v>
      </x:c>
      <x:c r="E164" s="47" t="str">
        <x:v>2.1.1</x:v>
      </x:c>
      <x:c r="F164" s="47" t="str">
        <x:v>Static</x:v>
      </x:c>
      <x:c r="G164" s="48" t="str">
        <x:v>Stage 2 candidate - direct/deterministic</x:v>
      </x:c>
      <x:c r="H164" s="47" t="str">
        <x:v>High</x:v>
      </x:c>
      <x:c r="I164" s="47" t="str">
        <x:v>No</x:v>
      </x:c>
      <x:c r="J164" s="47" t="str">
        <x:v>ELIGIBLE</x:v>
      </x:c>
      <x:c r="K164" s="47" t="str">
        <x:v>NOT_RUN</x:v>
      </x:c>
    </x:row>
    <x:row r="165">
      <x:c r="A165" s="47" t="str">
        <x:v>IMO-113</x:v>
      </x:c>
      <x:c r="B165" s="48" t="str">
        <x:v>International Code for Ships Operating in Polar Waters (Polar Code)</x:v>
      </x:c>
      <x:c r="C165" s="47" t="str">
        <x:v>Resolution MSC.385(94), adopted 21 Nov 2014; consolidated with MEPC.264(68), adopted 15 May 2015</x:v>
      </x:c>
      <x:c r="D165" s="59" t="n">
        <x:v>42</x:v>
      </x:c>
      <x:c r="E165" s="47" t="str">
        <x:v>2.1.2</x:v>
      </x:c>
      <x:c r="F165" s="47" t="str">
        <x:v>Static</x:v>
      </x:c>
      <x:c r="G165" s="48" t="str">
        <x:v>Stage 2 candidate - direct/deterministic</x:v>
      </x:c>
      <x:c r="H165" s="47" t="str">
        <x:v>High</x:v>
      </x:c>
      <x:c r="I165" s="47" t="str">
        <x:v>No</x:v>
      </x:c>
      <x:c r="J165" s="47" t="str">
        <x:v>ELIGIBLE</x:v>
      </x:c>
      <x:c r="K165" s="47" t="str">
        <x:v>NOT_RUN</x:v>
      </x:c>
    </x:row>
    <x:row r="166">
      <x:c r="A166" s="47" t="str">
        <x:v>IMO-114</x:v>
      </x:c>
      <x:c r="B166" s="48" t="str">
        <x:v>International Code for Ships Operating in Polar Waters (Polar Code)</x:v>
      </x:c>
      <x:c r="C166" s="47" t="str">
        <x:v>Resolution MSC.385(94), adopted 21 Nov 2014; consolidated with MEPC.264(68), adopted 15 May 2015</x:v>
      </x:c>
      <x:c r="D166" s="59" t="n">
        <x:v>42</x:v>
      </x:c>
      <x:c r="E166" s="47" t="str">
        <x:v>2.1.3</x:v>
      </x:c>
      <x:c r="F166" s="47" t="str">
        <x:v>Static</x:v>
      </x:c>
      <x:c r="G166" s="48" t="str">
        <x:v>Stage 2 candidate - direct static</x:v>
      </x:c>
      <x:c r="H166" s="47" t="str">
        <x:v>Direct static</x:v>
      </x:c>
      <x:c r="I166" s="47" t="str">
        <x:v>No</x:v>
      </x:c>
      <x:c r="J166" s="47" t="str">
        <x:v>ELIGIBLE</x:v>
      </x:c>
      <x:c r="K166" s="47" t="str">
        <x:v>NOT_RUN</x:v>
      </x:c>
    </x:row>
    <x:row r="167">
      <x:c r="A167" s="47" t="str">
        <x:v>IMO-115</x:v>
      </x:c>
      <x:c r="B167" s="48" t="str">
        <x:v>International Code for Ships Operating in Polar Waters (Polar Code)</x:v>
      </x:c>
      <x:c r="C167" s="47" t="str">
        <x:v>Resolution MSC.385(94), adopted 21 Nov 2014; consolidated with MEPC.264(68), adopted 15 May 2015</x:v>
      </x:c>
      <x:c r="D167" s="59" t="n">
        <x:v>42</x:v>
      </x:c>
      <x:c r="E167" s="47" t="str">
        <x:v>4.2.1.1</x:v>
      </x:c>
      <x:c r="F167" s="47" t="str">
        <x:v>Static</x:v>
      </x:c>
      <x:c r="G167" s="48" t="str">
        <x:v>Stage 2 candidate - direct static</x:v>
      </x:c>
      <x:c r="H167" s="47" t="str">
        <x:v>Direct static</x:v>
      </x:c>
      <x:c r="I167" s="47" t="str">
        <x:v>No</x:v>
      </x:c>
      <x:c r="J167" s="47" t="str">
        <x:v>ELIGIBLE</x:v>
      </x:c>
      <x:c r="K167" s="47" t="str">
        <x:v>NOT_RUN</x:v>
      </x:c>
    </x:row>
    <x:row r="168">
      <x:c r="A168" s="47" t="str">
        <x:v>IMO-116</x:v>
      </x:c>
      <x:c r="B168" s="48" t="str">
        <x:v>International Code for Ships Operating in Polar Waters (Polar Code)</x:v>
      </x:c>
      <x:c r="C168" s="47" t="str">
        <x:v>Resolution MSC.385(94), adopted 21 Nov 2014; consolidated with MEPC.264(68), adopted 15 May 2015</x:v>
      </x:c>
      <x:c r="D168" s="59" t="n">
        <x:v>42</x:v>
      </x:c>
      <x:c r="E168" s="47" t="str">
        <x:v>4.2.1.2</x:v>
      </x:c>
      <x:c r="F168" s="47" t="str">
        <x:v>Static</x:v>
      </x:c>
      <x:c r="G168" s="48" t="str">
        <x:v>Stage 2 candidate - direct static</x:v>
      </x:c>
      <x:c r="H168" s="47" t="str">
        <x:v>Direct static</x:v>
      </x:c>
      <x:c r="I168" s="47" t="str">
        <x:v>No</x:v>
      </x:c>
      <x:c r="J168" s="47" t="str">
        <x:v>ELIGIBLE</x:v>
      </x:c>
      <x:c r="K168" s="47" t="str">
        <x:v>NOT_RUN</x:v>
      </x:c>
    </x:row>
    <x:row r="169">
      <x:c r="A169" s="47" t="str">
        <x:v>IMO-117</x:v>
      </x:c>
      <x:c r="B169" s="48" t="str">
        <x:v>International Code for Ships Operating in Polar Waters (Polar Code)</x:v>
      </x:c>
      <x:c r="C169" s="47" t="str">
        <x:v>Resolution MSC.385(94), adopted 21 Nov 2014; consolidated with MEPC.264(68), adopted 15 May 2015</x:v>
      </x:c>
      <x:c r="D169" s="59" t="n">
        <x:v>43</x:v>
      </x:c>
      <x:c r="E169" s="47" t="str">
        <x:v>4.2.1.3</x:v>
      </x:c>
      <x:c r="F169" s="47" t="str">
        <x:v>Static</x:v>
      </x:c>
      <x:c r="G169" s="48" t="str">
        <x:v>Stage 2 candidate - direct static</x:v>
      </x:c>
      <x:c r="H169" s="47" t="str">
        <x:v>Direct static</x:v>
      </x:c>
      <x:c r="I169" s="47" t="str">
        <x:v>No</x:v>
      </x:c>
      <x:c r="J169" s="47" t="str">
        <x:v>ELIGIBLE</x:v>
      </x:c>
      <x:c r="K169" s="47" t="str">
        <x:v>NOT_RUN</x:v>
      </x:c>
    </x:row>
    <x:row r="170">
      <x:c r="A170" s="47" t="str">
        <x:v>IMO-118</x:v>
      </x:c>
      <x:c r="B170" s="48" t="str">
        <x:v>International Code for Ships Operating in Polar Waters (Polar Code)</x:v>
      </x:c>
      <x:c r="C170" s="47" t="str">
        <x:v>Resolution MSC.385(94), adopted 21 Nov 2014; consolidated with MEPC.264(68), adopted 15 May 2015</x:v>
      </x:c>
      <x:c r="D170" s="59" t="n">
        <x:v>43</x:v>
      </x:c>
      <x:c r="E170" s="47" t="str">
        <x:v>4.2.2</x:v>
      </x:c>
      <x:c r="F170" s="47" t="str">
        <x:v>Static</x:v>
      </x:c>
      <x:c r="G170" s="48" t="str">
        <x:v>Stage 2 candidate - direct/deterministic</x:v>
      </x:c>
      <x:c r="H170" s="47" t="str">
        <x:v>High</x:v>
      </x:c>
      <x:c r="I170" s="47" t="str">
        <x:v>No</x:v>
      </x:c>
      <x:c r="J170" s="47" t="str">
        <x:v>ELIGIBLE</x:v>
      </x:c>
      <x:c r="K170" s="47" t="str">
        <x:v>NOT_RUN</x:v>
      </x:c>
    </x:row>
    <x:row r="171">
      <x:c r="A171" s="47" t="str">
        <x:v>IMO-119</x:v>
      </x:c>
      <x:c r="B171" s="48" t="str">
        <x:v>International Code for Ships Operating in Polar Waters (Polar Code)</x:v>
      </x:c>
      <x:c r="C171" s="47" t="str">
        <x:v>Resolution MSC.385(94), adopted 21 Nov 2014; consolidated with MEPC.264(68), adopted 15 May 2015</x:v>
      </x:c>
      <x:c r="D171" s="59" t="n">
        <x:v>43</x:v>
      </x:c>
      <x:c r="E171" s="47" t="str">
        <x:v>4.2.3</x:v>
      </x:c>
      <x:c r="F171" s="47" t="str">
        <x:v>Static</x:v>
      </x:c>
      <x:c r="G171" s="48" t="str">
        <x:v>Stage 2 candidate - direct static</x:v>
      </x:c>
      <x:c r="H171" s="47" t="str">
        <x:v>Direct static</x:v>
      </x:c>
      <x:c r="I171" s="47" t="str">
        <x:v>No</x:v>
      </x:c>
      <x:c r="J171" s="47" t="str">
        <x:v>ELIGIBLE</x:v>
      </x:c>
      <x:c r="K171" s="47" t="str">
        <x:v>NOT_RUN</x:v>
      </x:c>
    </x:row>
    <x:row r="172">
      <x:c r="A172" s="47" t="str">
        <x:v>IMO-120</x:v>
      </x:c>
      <x:c r="B172" s="48" t="str">
        <x:v>International Code for Ships Operating in Polar Waters (Polar Code)</x:v>
      </x:c>
      <x:c r="C172" s="47" t="str">
        <x:v>Resolution MSC.385(94), adopted 21 Nov 2014; consolidated with MEPC.264(68), adopted 15 May 2015</x:v>
      </x:c>
      <x:c r="D172" s="59" t="n">
        <x:v>43</x:v>
      </x:c>
      <x:c r="E172" s="47" t="str">
        <x:v>5.2.1.1</x:v>
      </x:c>
      <x:c r="F172" s="47" t="str">
        <x:v>Static</x:v>
      </x:c>
      <x:c r="G172" s="48" t="str">
        <x:v>Stage 2 candidate - direct static</x:v>
      </x:c>
      <x:c r="H172" s="47" t="str">
        <x:v>Direct static</x:v>
      </x:c>
      <x:c r="I172" s="47" t="str">
        <x:v>No</x:v>
      </x:c>
      <x:c r="J172" s="47" t="str">
        <x:v>ELIGIBLE</x:v>
      </x:c>
      <x:c r="K172" s="47" t="str">
        <x:v>NOT_RUN</x:v>
      </x:c>
    </x:row>
    <x:row r="173">
      <x:c r="A173" s="47" t="str">
        <x:v>IMO-121</x:v>
      </x:c>
      <x:c r="B173" s="48" t="str">
        <x:v>International Code for Ships Operating in Polar Waters (Polar Code)</x:v>
      </x:c>
      <x:c r="C173" s="47" t="str">
        <x:v>Resolution MSC.385(94), adopted 21 Nov 2014; consolidated with MEPC.264(68), adopted 15 May 2015</x:v>
      </x:c>
      <x:c r="D173" s="59" t="n">
        <x:v>43</x:v>
      </x:c>
      <x:c r="E173" s="47" t="str">
        <x:v>5.2.1.2</x:v>
      </x:c>
      <x:c r="F173" s="47" t="str">
        <x:v>Static</x:v>
      </x:c>
      <x:c r="G173" s="48" t="str">
        <x:v>Stage 2 candidate - direct/deterministic</x:v>
      </x:c>
      <x:c r="H173" s="47" t="str">
        <x:v>High</x:v>
      </x:c>
      <x:c r="I173" s="47" t="str">
        <x:v>No</x:v>
      </x:c>
      <x:c r="J173" s="47" t="str">
        <x:v>ELIGIBLE</x:v>
      </x:c>
      <x:c r="K173" s="47" t="str">
        <x:v>NOT_RUN</x:v>
      </x:c>
    </x:row>
    <x:row r="174">
      <x:c r="A174" s="47" t="str">
        <x:v>IMO-122</x:v>
      </x:c>
      <x:c r="B174" s="48" t="str">
        <x:v>International Code for Ships Operating in Polar Waters (Polar Code)</x:v>
      </x:c>
      <x:c r="C174" s="47" t="str">
        <x:v>Resolution MSC.385(94), adopted 21 Nov 2014; consolidated with MEPC.264(68), adopted 15 May 2015</x:v>
      </x:c>
      <x:c r="D174" s="59" t="n">
        <x:v>43</x:v>
      </x:c>
      <x:c r="E174" s="47" t="str">
        <x:v>5.2.1.3-.4</x:v>
      </x:c>
      <x:c r="F174" s="47" t="str">
        <x:v>Static</x:v>
      </x:c>
      <x:c r="G174" s="48" t="str">
        <x:v>Stage 2 candidate - direct/deterministic</x:v>
      </x:c>
      <x:c r="H174" s="47" t="str">
        <x:v>High</x:v>
      </x:c>
      <x:c r="I174" s="47" t="str">
        <x:v>No</x:v>
      </x:c>
      <x:c r="J174" s="47" t="str">
        <x:v>ELIGIBLE</x:v>
      </x:c>
      <x:c r="K174" s="47" t="str">
        <x:v>NOT_RUN</x:v>
      </x:c>
    </x:row>
    <x:row r="175">
      <x:c r="A175" s="47" t="str">
        <x:v>IMO-123</x:v>
      </x:c>
      <x:c r="B175" s="48" t="str">
        <x:v>International Code for Ships Operating in Polar Waters (Polar Code)</x:v>
      </x:c>
      <x:c r="C175" s="47" t="str">
        <x:v>Resolution MSC.385(94), adopted 21 Nov 2014; consolidated with MEPC.264(68), adopted 15 May 2015</x:v>
      </x:c>
      <x:c r="D175" s="59" t="str">
        <x:v>43-44</x:v>
      </x:c>
      <x:c r="E175" s="47" t="str">
        <x:v>5.2.1.5</x:v>
      </x:c>
      <x:c r="F175" s="47" t="str">
        <x:v>Static</x:v>
      </x:c>
      <x:c r="G175" s="48" t="str">
        <x:v>Stage 2 candidate - direct static</x:v>
      </x:c>
      <x:c r="H175" s="47" t="str">
        <x:v>Direct static</x:v>
      </x:c>
      <x:c r="I175" s="47" t="str">
        <x:v>No</x:v>
      </x:c>
      <x:c r="J175" s="47" t="str">
        <x:v>ELIGIBLE</x:v>
      </x:c>
      <x:c r="K175" s="47" t="str">
        <x:v>NOT_RUN</x:v>
      </x:c>
    </x:row>
    <x:row r="176">
      <x:c r="A176" s="47" t="str">
        <x:v>IMO-124</x:v>
      </x:c>
      <x:c r="B176" s="48" t="str">
        <x:v>International Code for Ships Operating in Polar Waters (Polar Code)</x:v>
      </x:c>
      <x:c r="C176" s="47" t="str">
        <x:v>Resolution MSC.385(94), adopted 21 Nov 2014; consolidated with MEPC.264(68), adopted 15 May 2015</x:v>
      </x:c>
      <x:c r="D176" s="59" t="n">
        <x:v>44</x:v>
      </x:c>
      <x:c r="E176" s="47" t="str">
        <x:v>5.2.2.1-.2</x:v>
      </x:c>
      <x:c r="F176" s="47" t="str">
        <x:v>Static</x:v>
      </x:c>
      <x:c r="G176" s="48" t="str">
        <x:v>Stage 2 candidate - direct static</x:v>
      </x:c>
      <x:c r="H176" s="47" t="str">
        <x:v>Direct static</x:v>
      </x:c>
      <x:c r="I176" s="47" t="str">
        <x:v>No</x:v>
      </x:c>
      <x:c r="J176" s="47" t="str">
        <x:v>ELIGIBLE</x:v>
      </x:c>
      <x:c r="K176" s="47" t="str">
        <x:v>NOT_RUN</x:v>
      </x:c>
    </x:row>
    <x:row r="177">
      <x:c r="A177" s="47" t="str">
        <x:v>IMO-125</x:v>
      </x:c>
      <x:c r="B177" s="48" t="str">
        <x:v>International Code for Ships Operating in Polar Waters (Polar Code)</x:v>
      </x:c>
      <x:c r="C177" s="47" t="str">
        <x:v>Resolution MSC.385(94), adopted 21 Nov 2014; consolidated with MEPC.264(68), adopted 15 May 2015</x:v>
      </x:c>
      <x:c r="D177" s="59" t="n">
        <x:v>44</x:v>
      </x:c>
      <x:c r="E177" s="47" t="str">
        <x:v>5.2.3</x:v>
      </x:c>
      <x:c r="F177" s="47" t="str">
        <x:v>Static</x:v>
      </x:c>
      <x:c r="G177" s="48" t="str">
        <x:v>Stage 2 candidate - direct/deterministic</x:v>
      </x:c>
      <x:c r="H177" s="47" t="str">
        <x:v>High</x:v>
      </x:c>
      <x:c r="I177" s="47" t="str">
        <x:v>No</x:v>
      </x:c>
      <x:c r="J177" s="47" t="str">
        <x:v>ELIGIBLE</x:v>
      </x:c>
      <x:c r="K177" s="47" t="str">
        <x:v>NOT_RUN</x:v>
      </x:c>
    </x:row>
    <x:row r="178">
      <x:c r="A178" s="47" t="str">
        <x:v>IMO26-001</x:v>
      </x:c>
      <x:c r="B178" s="48" t="str">
        <x:v>Polar Code January 2026 Supplement - Resolution MSC.538(107)</x:v>
      </x:c>
      <x:c r="C178" s="47" t="str">
        <x:v>January 2026 Supplement; effective 1 Jan 2026</x:v>
      </x:c>
      <x:c r="D178" s="59" t="n">
        <x:v>1</x:v>
      </x:c>
      <x:c r="E178" s="47" t="str">
        <x:v>Amendment 2</x:v>
      </x:c>
      <x:c r="F178" s="47" t="str">
        <x:v>Static</x:v>
      </x:c>
      <x:c r="G178" s="48" t="str">
        <x:v>Stage 2 candidate - direct/deterministic</x:v>
      </x:c>
      <x:c r="H178" s="47" t="str">
        <x:v>High</x:v>
      </x:c>
      <x:c r="I178" s="47" t="str">
        <x:v>No</x:v>
      </x:c>
      <x:c r="J178" s="47" t="str">
        <x:v>ELIGIBLE</x:v>
      </x:c>
      <x:c r="K178" s="47" t="str">
        <x:v>NOT_RUN</x:v>
      </x:c>
    </x:row>
    <x:row r="179">
      <x:c r="A179" s="47" t="str">
        <x:v>IMO26-002</x:v>
      </x:c>
      <x:c r="B179" s="48" t="str">
        <x:v>Polar Code January 2026 Supplement - Resolution MSC.538(107)</x:v>
      </x:c>
      <x:c r="C179" s="47" t="str">
        <x:v>January 2026 Supplement; effective 1 Jan 2026</x:v>
      </x:c>
      <x:c r="D179" s="59" t="n">
        <x:v>2</x:v>
      </x:c>
      <x:c r="E179" s="47" t="str">
        <x:v>Chapter 9-1 applicability</x:v>
      </x:c>
      <x:c r="F179" s="47" t="str">
        <x:v>Static</x:v>
      </x:c>
      <x:c r="G179" s="48" t="str">
        <x:v>Stage 2 candidate - direct/deterministic</x:v>
      </x:c>
      <x:c r="H179" s="47" t="str">
        <x:v>High</x:v>
      </x:c>
      <x:c r="I179" s="47" t="str">
        <x:v>No</x:v>
      </x:c>
      <x:c r="J179" s="47" t="str">
        <x:v>ELIGIBLE</x:v>
      </x:c>
      <x:c r="K179" s="47" t="str">
        <x:v>NOT_RUN</x:v>
      </x:c>
    </x:row>
    <x:row r="180">
      <x:c r="A180" s="47" t="str">
        <x:v>IMO26-003</x:v>
      </x:c>
      <x:c r="B180" s="48" t="str">
        <x:v>Polar Code January 2026 Supplement - Resolution MSC.538(107)</x:v>
      </x:c>
      <x:c r="C180" s="47" t="str">
        <x:v>January 2026 Supplement; effective 1 Jan 2026</x:v>
      </x:c>
      <x:c r="D180" s="59" t="n">
        <x:v>2</x:v>
      </x:c>
      <x:c r="E180" s="47" t="str">
        <x:v>9-1.2.1</x:v>
      </x:c>
      <x:c r="F180" s="47" t="str">
        <x:v>Dynamic</x:v>
      </x:c>
      <x:c r="G180" s="48" t="str">
        <x:v>Deferred - observation/history/simulation design required</x:v>
      </x:c>
      <x:c r="H180" s="47" t="str">
        <x:v>Medium</x:v>
      </x:c>
      <x:c r="I180" s="47" t="str">
        <x:v>No</x:v>
      </x:c>
      <x:c r="J180" s="47" t="str">
        <x:v>DEFERRED</x:v>
      </x:c>
      <x:c r="K180" s="47" t="str">
        <x:v>NOT_RUN</x:v>
      </x:c>
    </x:row>
    <x:row r="181">
      <x:c r="A181" s="47" t="str">
        <x:v>IMO26-004</x:v>
      </x:c>
      <x:c r="B181" s="48" t="str">
        <x:v>Polar Code January 2026 Supplement - Resolution MSC.538(107)</x:v>
      </x:c>
      <x:c r="C181" s="47" t="str">
        <x:v>January 2026 Supplement; effective 1 Jan 2026</x:v>
      </x:c>
      <x:c r="D181" s="59" t="n">
        <x:v>2</x:v>
      </x:c>
      <x:c r="E181" s="47" t="str">
        <x:v>9-1.2.2.1</x:v>
      </x:c>
      <x:c r="F181" s="47" t="str">
        <x:v>Physical Test</x:v>
      </x:c>
      <x:c r="G181" s="48" t="str">
        <x:v>Evidence-only - physical result not inferred by SHACL</x:v>
      </x:c>
      <x:c r="H181" s="47" t="str">
        <x:v>Medium</x:v>
      </x:c>
      <x:c r="I181" s="47" t="str">
        <x:v>No</x:v>
      </x:c>
      <x:c r="J181" s="47" t="str">
        <x:v>DEFERRED</x:v>
      </x:c>
      <x:c r="K181" s="47" t="str">
        <x:v>NOT_RUN</x:v>
      </x:c>
    </x:row>
    <x:row r="182">
      <x:c r="A182" s="47" t="str">
        <x:v>IMO26-005</x:v>
      </x:c>
      <x:c r="B182" s="48" t="str">
        <x:v>Polar Code January 2026 Supplement - Resolution MSC.538(107)</x:v>
      </x:c>
      <x:c r="C182" s="47" t="str">
        <x:v>January 2026 Supplement; effective 1 Jan 2026</x:v>
      </x:c>
      <x:c r="D182" s="59" t="n">
        <x:v>2</x:v>
      </x:c>
      <x:c r="E182" s="47" t="str">
        <x:v>9-1.2.2.2</x:v>
      </x:c>
      <x:c r="F182" s="47" t="str">
        <x:v>Static</x:v>
      </x:c>
      <x:c r="G182" s="48" t="str">
        <x:v>Stage 2 candidate - direct/deterministic</x:v>
      </x:c>
      <x:c r="H182" s="47" t="str">
        <x:v>Medium</x:v>
      </x:c>
      <x:c r="I182" s="47" t="str">
        <x:v>No</x:v>
      </x:c>
      <x:c r="J182" s="47" t="str">
        <x:v>ELIGIBLE</x:v>
      </x:c>
      <x:c r="K182" s="47" t="str">
        <x:v>NOT_RUN</x:v>
      </x:c>
    </x:row>
    <x:row r="183">
      <x:c r="A183" s="47" t="str">
        <x:v>IMO26-006</x:v>
      </x:c>
      <x:c r="B183" s="48" t="str">
        <x:v>Polar Code January 2026 Supplement - Resolution MSC.538(107)</x:v>
      </x:c>
      <x:c r="C183" s="47" t="str">
        <x:v>January 2026 Supplement; effective 1 Jan 2026</x:v>
      </x:c>
      <x:c r="D183" s="59" t="n">
        <x:v>3</x:v>
      </x:c>
      <x:c r="E183" s="47" t="str">
        <x:v>9-1.3.1</x:v>
      </x:c>
      <x:c r="F183" s="47" t="str">
        <x:v>Dynamic</x:v>
      </x:c>
      <x:c r="G183" s="48" t="str">
        <x:v>Deferred - observation/history/simulation design required</x:v>
      </x:c>
      <x:c r="H183" s="47" t="str">
        <x:v>Medium</x:v>
      </x:c>
      <x:c r="I183" s="47" t="str">
        <x:v>No</x:v>
      </x:c>
      <x:c r="J183" s="47" t="str">
        <x:v>DEFERRED</x:v>
      </x:c>
      <x:c r="K183" s="47" t="str">
        <x:v>NOT_RUN</x:v>
      </x:c>
    </x:row>
    <x:row r="184">
      <x:c r="A184" s="47" t="str">
        <x:v>IMO26-007</x:v>
      </x:c>
      <x:c r="B184" s="48" t="str">
        <x:v>Polar Code January 2026 Supplement - Resolution MSC.538(107)</x:v>
      </x:c>
      <x:c r="C184" s="47" t="str">
        <x:v>January 2026 Supplement; effective 1 Jan 2026</x:v>
      </x:c>
      <x:c r="D184" s="59" t="n">
        <x:v>3</x:v>
      </x:c>
      <x:c r="E184" s="47" t="str">
        <x:v>9-1.3.2.1.1</x:v>
      </x:c>
      <x:c r="F184" s="47" t="str">
        <x:v>Static</x:v>
      </x:c>
      <x:c r="G184" s="48" t="str">
        <x:v>Stage 2 candidate - direct static</x:v>
      </x:c>
      <x:c r="H184" s="47" t="str">
        <x:v>Direct static</x:v>
      </x:c>
      <x:c r="I184" s="47" t="str">
        <x:v>No</x:v>
      </x:c>
      <x:c r="J184" s="47" t="str">
        <x:v>ELIGIBLE</x:v>
      </x:c>
      <x:c r="K184" s="47" t="str">
        <x:v>NOT_RUN</x:v>
      </x:c>
    </x:row>
    <x:row r="185">
      <x:c r="A185" s="47" t="str">
        <x:v>IMO26-008</x:v>
      </x:c>
      <x:c r="B185" s="48" t="str">
        <x:v>Polar Code January 2026 Supplement - Resolution MSC.538(107)</x:v>
      </x:c>
      <x:c r="C185" s="47" t="str">
        <x:v>January 2026 Supplement; effective 1 Jan 2026</x:v>
      </x:c>
      <x:c r="D185" s="59" t="n">
        <x:v>3</x:v>
      </x:c>
      <x:c r="E185" s="47" t="str">
        <x:v>9-1.3.2.1.2</x:v>
      </x:c>
      <x:c r="F185" s="47" t="str">
        <x:v>Static</x:v>
      </x:c>
      <x:c r="G185" s="48" t="str">
        <x:v>Stage 2 candidate - direct static</x:v>
      </x:c>
      <x:c r="H185" s="47" t="str">
        <x:v>Direct static</x:v>
      </x:c>
      <x:c r="I185" s="47" t="str">
        <x:v>No</x:v>
      </x:c>
      <x:c r="J185" s="47" t="str">
        <x:v>ELIGIBLE</x:v>
      </x:c>
      <x:c r="K185" s="47" t="str">
        <x:v>NOT_RUN</x:v>
      </x:c>
    </x:row>
    <x:row r="186">
      <x:c r="A186" s="47" t="str">
        <x:v>IMO26-009</x:v>
      </x:c>
      <x:c r="B186" s="48" t="str">
        <x:v>Polar Code January 2026 Supplement - Resolution MSC.538(107)</x:v>
      </x:c>
      <x:c r="C186" s="47" t="str">
        <x:v>January 2026 Supplement; effective 1 Jan 2026</x:v>
      </x:c>
      <x:c r="D186" s="59" t="n">
        <x:v>3</x:v>
      </x:c>
      <x:c r="E186" s="47" t="str">
        <x:v>9-1.3.2.1.3</x:v>
      </x:c>
      <x:c r="F186" s="47" t="str">
        <x:v>Static</x:v>
      </x:c>
      <x:c r="G186" s="48" t="str">
        <x:v>Stage 2 candidate - direct/deterministic</x:v>
      </x:c>
      <x:c r="H186" s="47" t="str">
        <x:v>High</x:v>
      </x:c>
      <x:c r="I186" s="47" t="str">
        <x:v>No</x:v>
      </x:c>
      <x:c r="J186" s="47" t="str">
        <x:v>ELIGIBLE</x:v>
      </x:c>
      <x:c r="K186" s="47" t="str">
        <x:v>NOT_RUN</x:v>
      </x:c>
    </x:row>
    <x:row r="187">
      <x:c r="A187" s="47" t="str">
        <x:v>IMO26-010</x:v>
      </x:c>
      <x:c r="B187" s="48" t="str">
        <x:v>Polar Code January 2026 Supplement - Resolution MSC.538(107)</x:v>
      </x:c>
      <x:c r="C187" s="47" t="str">
        <x:v>January 2026 Supplement; effective 1 Jan 2026</x:v>
      </x:c>
      <x:c r="D187" s="59" t="n">
        <x:v>3</x:v>
      </x:c>
      <x:c r="E187" s="47" t="str">
        <x:v>9-1.3.2.1.4.1</x:v>
      </x:c>
      <x:c r="F187" s="47" t="str">
        <x:v>Static</x:v>
      </x:c>
      <x:c r="G187" s="48" t="str">
        <x:v>Stage 2 candidate - direct/deterministic</x:v>
      </x:c>
      <x:c r="H187" s="47" t="str">
        <x:v>High</x:v>
      </x:c>
      <x:c r="I187" s="47" t="str">
        <x:v>No</x:v>
      </x:c>
      <x:c r="J187" s="47" t="str">
        <x:v>ELIGIBLE</x:v>
      </x:c>
      <x:c r="K187" s="47" t="str">
        <x:v>NOT_RUN</x:v>
      </x:c>
    </x:row>
    <x:row r="188">
      <x:c r="A188" s="47" t="str">
        <x:v>IMO26-011</x:v>
      </x:c>
      <x:c r="B188" s="48" t="str">
        <x:v>Polar Code January 2026 Supplement - Resolution MSC.538(107)</x:v>
      </x:c>
      <x:c r="C188" s="47" t="str">
        <x:v>January 2026 Supplement; effective 1 Jan 2026</x:v>
      </x:c>
      <x:c r="D188" s="59" t="n">
        <x:v>4</x:v>
      </x:c>
      <x:c r="E188" s="47" t="str">
        <x:v>9-1.3.2.1.4.2</x:v>
      </x:c>
      <x:c r="F188" s="47" t="str">
        <x:v>Static</x:v>
      </x:c>
      <x:c r="G188" s="48" t="str">
        <x:v>Stage 2 candidate - direct static</x:v>
      </x:c>
      <x:c r="H188" s="47" t="str">
        <x:v>Direct static</x:v>
      </x:c>
      <x:c r="I188" s="47" t="str">
        <x:v>No</x:v>
      </x:c>
      <x:c r="J188" s="47" t="str">
        <x:v>ELIGIBLE</x:v>
      </x:c>
      <x:c r="K188" s="47" t="str">
        <x:v>NOT_RUN</x:v>
      </x:c>
    </x:row>
    <x:row r="189">
      <x:c r="A189" s="47" t="str">
        <x:v>IMO26-012</x:v>
      </x:c>
      <x:c r="B189" s="48" t="str">
        <x:v>Polar Code January 2026 Supplement - Resolution MSC.538(107)</x:v>
      </x:c>
      <x:c r="C189" s="47" t="str">
        <x:v>January 2026 Supplement; effective 1 Jan 2026</x:v>
      </x:c>
      <x:c r="D189" s="59" t="n">
        <x:v>4</x:v>
      </x:c>
      <x:c r="E189" s="47" t="str">
        <x:v>9-1.3.2.2.1</x:v>
      </x:c>
      <x:c r="F189" s="47" t="str">
        <x:v>Static</x:v>
      </x:c>
      <x:c r="G189" s="48" t="str">
        <x:v>Stage 2 candidate - direct/deterministic</x:v>
      </x:c>
      <x:c r="H189" s="47" t="str">
        <x:v>High</x:v>
      </x:c>
      <x:c r="I189" s="47" t="str">
        <x:v>No</x:v>
      </x:c>
      <x:c r="J189" s="47" t="str">
        <x:v>ELIGIBLE</x:v>
      </x:c>
      <x:c r="K189" s="47" t="str">
        <x:v>NOT_RUN</x:v>
      </x:c>
    </x:row>
    <x:row r="190">
      <x:c r="A190" s="47" t="str">
        <x:v>IMO26-013</x:v>
      </x:c>
      <x:c r="B190" s="48" t="str">
        <x:v>Polar Code January 2026 Supplement - Resolution MSC.538(107)</x:v>
      </x:c>
      <x:c r="C190" s="47" t="str">
        <x:v>January 2026 Supplement; effective 1 Jan 2026</x:v>
      </x:c>
      <x:c r="D190" s="59" t="n">
        <x:v>4</x:v>
      </x:c>
      <x:c r="E190" s="47" t="str">
        <x:v>9-1.3.2.2.2</x:v>
      </x:c>
      <x:c r="F190" s="47" t="str">
        <x:v>Static</x:v>
      </x:c>
      <x:c r="G190" s="48" t="str">
        <x:v>Stage 2 candidate - direct/deterministic</x:v>
      </x:c>
      <x:c r="H190" s="47" t="str">
        <x:v>High</x:v>
      </x:c>
      <x:c r="I190" s="47" t="str">
        <x:v>No</x:v>
      </x:c>
      <x:c r="J190" s="47" t="str">
        <x:v>ELIGIBLE</x:v>
      </x:c>
      <x:c r="K190" s="47" t="str">
        <x:v>NOT_RUN</x:v>
      </x:c>
    </x:row>
    <x:row r="191">
      <x:c r="A191" s="47" t="str">
        <x:v>IMO26-014</x:v>
      </x:c>
      <x:c r="B191" s="48" t="str">
        <x:v>Polar Code January 2026 Supplement - Resolution MSC.538(107)</x:v>
      </x:c>
      <x:c r="C191" s="47" t="str">
        <x:v>January 2026 Supplement; effective 1 Jan 2026</x:v>
      </x:c>
      <x:c r="D191" s="59" t="n">
        <x:v>4</x:v>
      </x:c>
      <x:c r="E191" s="47" t="str">
        <x:v>9-1.3.3</x:v>
      </x:c>
      <x:c r="F191" s="47" t="str">
        <x:v>Static</x:v>
      </x:c>
      <x:c r="G191" s="48" t="str">
        <x:v>Stage 2 candidate - direct/deterministic</x:v>
      </x:c>
      <x:c r="H191" s="47" t="str">
        <x:v>High</x:v>
      </x:c>
      <x:c r="I191" s="47" t="str">
        <x:v>No</x:v>
      </x:c>
      <x:c r="J191" s="47" t="str">
        <x:v>ELIGIBLE</x:v>
      </x:c>
      <x:c r="K191" s="47" t="str">
        <x:v>NOT_RUN</x:v>
      </x:c>
    </x:row>
    <x:row r="192">
      <x:c r="A192" s="47" t="str">
        <x:v>IMO26-015</x:v>
      </x:c>
      <x:c r="B192" s="48" t="str">
        <x:v>Polar Code January 2026 Supplement - Resolution MSC.538(107)</x:v>
      </x:c>
      <x:c r="C192" s="47" t="str">
        <x:v>January 2026 Supplement; effective 1 Jan 2026</x:v>
      </x:c>
      <x:c r="D192" s="59" t="n">
        <x:v>5</x:v>
      </x:c>
      <x:c r="E192" s="47" t="str">
        <x:v>Amendment 5</x:v>
      </x:c>
      <x:c r="F192" s="47" t="str">
        <x:v>Static</x:v>
      </x:c>
      <x:c r="G192" s="48" t="str">
        <x:v>Stage 2 candidate - direct/deterministic</x:v>
      </x:c>
      <x:c r="H192" s="47" t="str">
        <x:v>High</x:v>
      </x:c>
      <x:c r="I192" s="47" t="str">
        <x:v>No</x:v>
      </x:c>
      <x:c r="J192" s="47" t="str">
        <x:v>ELIGIBLE</x:v>
      </x:c>
      <x:c r="K192" s="47" t="str">
        <x:v>NOT_RUN</x:v>
      </x:c>
    </x:row>
    <x:row r="193">
      <x:c r="A193" s="47" t="str">
        <x:v>IMO26-016</x:v>
      </x:c>
      <x:c r="B193" s="48" t="str">
        <x:v>Polar Code January 2026 Supplement - Resolution MSC.538(107)</x:v>
      </x:c>
      <x:c r="C193" s="47" t="str">
        <x:v>January 2026 Supplement; effective 1 Jan 2026</x:v>
      </x:c>
      <x:c r="D193" s="59" t="n">
        <x:v>5</x:v>
      </x:c>
      <x:c r="E193" s="47" t="str">
        <x:v>Chapter 11-1 applicability</x:v>
      </x:c>
      <x:c r="F193" s="47" t="str">
        <x:v>Static</x:v>
      </x:c>
      <x:c r="G193" s="48" t="str">
        <x:v>Stage 2 candidate - direct/deterministic</x:v>
      </x:c>
      <x:c r="H193" s="47" t="str">
        <x:v>High</x:v>
      </x:c>
      <x:c r="I193" s="47" t="str">
        <x:v>No</x:v>
      </x:c>
      <x:c r="J193" s="47" t="str">
        <x:v>ELIGIBLE</x:v>
      </x:c>
      <x:c r="K193" s="47" t="str">
        <x:v>NOT_RUN</x:v>
      </x:c>
    </x:row>
    <x:row r="194">
      <x:c r="A194" s="47" t="str">
        <x:v>IMO26-017</x:v>
      </x:c>
      <x:c r="B194" s="48" t="str">
        <x:v>Polar Code January 2026 Supplement - Resolution MSC.538(107)</x:v>
      </x:c>
      <x:c r="C194" s="47" t="str">
        <x:v>January 2026 Supplement; effective 1 Jan 2026</x:v>
      </x:c>
      <x:c r="D194" s="59" t="n">
        <x:v>5</x:v>
      </x:c>
      <x:c r="E194" s="47" t="str">
        <x:v>11-1.2</x:v>
      </x:c>
      <x:c r="F194" s="47" t="str">
        <x:v>Static</x:v>
      </x:c>
      <x:c r="G194" s="48" t="str">
        <x:v>Stage 2 candidate - direct static</x:v>
      </x:c>
      <x:c r="H194" s="47" t="str">
        <x:v>Direct static</x:v>
      </x:c>
      <x:c r="I194" s="47" t="str">
        <x:v>No</x:v>
      </x:c>
      <x:c r="J194" s="47" t="str">
        <x:v>ELIGIBLE</x:v>
      </x:c>
      <x:c r="K194" s="47" t="str">
        <x:v>NOT_RUN</x:v>
      </x:c>
    </x:row>
    <x:row r="195">
      <x:c r="A195" s="47" t="str">
        <x:v>IMO26-018</x:v>
      </x:c>
      <x:c r="B195" s="48" t="str">
        <x:v>Polar Code January 2026 Supplement - Resolution MSC.538(107)</x:v>
      </x:c>
      <x:c r="C195" s="47" t="str">
        <x:v>January 2026 Supplement; effective 1 Jan 2026</x:v>
      </x:c>
      <x:c r="D195" s="59" t="n">
        <x:v>6</x:v>
      </x:c>
      <x:c r="E195" s="47" t="str">
        <x:v>11-1.3.1-11-1.3.9</x:v>
      </x:c>
      <x:c r="F195" s="47" t="str">
        <x:v>Static</x:v>
      </x:c>
      <x:c r="G195" s="48" t="str">
        <x:v>Stage 2 candidate - direct static</x:v>
      </x:c>
      <x:c r="H195" s="47" t="str">
        <x:v>Direct static</x:v>
      </x:c>
      <x:c r="I195" s="47" t="str">
        <x:v>No</x:v>
      </x:c>
      <x:c r="J195" s="47" t="str">
        <x:v>ELIGIBLE</x:v>
      </x:c>
      <x:c r="K195" s="47" t="str">
        <x:v>NOT_RUN</x:v>
      </x:c>
    </x:row>
    <x:row r="196">
      <x:c r="A196" s="47" t="str">
        <x:v>TRF-001</x:v>
      </x:c>
      <x:c r="B196" s="48" t="str">
        <x:v>Ice Class Regulations and the Application Thereof</x:v>
      </x:c>
      <x:c r="C196" s="47" t="str">
        <x:v>TRAFICOM/68863/03.04.01.00/2021</x:v>
      </x:c>
      <x:c r="D196" s="59" t="n">
        <x:v>5</x:v>
      </x:c>
      <x:c r="E196" s="47" t="str">
        <x:v>1.1</x:v>
      </x:c>
      <x:c r="F196" s="47" t="str">
        <x:v>Static</x:v>
      </x:c>
      <x:c r="G196" s="48" t="str">
        <x:v>Stage 2 candidate - direct/deterministic</x:v>
      </x:c>
      <x:c r="H196" s="47" t="str">
        <x:v>High</x:v>
      </x:c>
      <x:c r="I196" s="47" t="str">
        <x:v>No</x:v>
      </x:c>
      <x:c r="J196" s="47" t="str">
        <x:v>ELIGIBLE</x:v>
      </x:c>
      <x:c r="K196" s="47" t="str">
        <x:v>NOT_RUN</x:v>
      </x:c>
    </x:row>
    <x:row r="197">
      <x:c r="A197" s="47" t="str">
        <x:v>TRF-002</x:v>
      </x:c>
      <x:c r="B197" s="48" t="str">
        <x:v>Ice Class Regulations and the Application Thereof</x:v>
      </x:c>
      <x:c r="C197" s="47" t="str">
        <x:v>TRAFICOM/68863/03.04.01.00/2021</x:v>
      </x:c>
      <x:c r="D197" s="59" t="n">
        <x:v>5</x:v>
      </x:c>
      <x:c r="E197" s="47" t="str">
        <x:v>1.2</x:v>
      </x:c>
      <x:c r="F197" s="47" t="str">
        <x:v>Static</x:v>
      </x:c>
      <x:c r="G197" s="48" t="str">
        <x:v>Stage 2 candidate - direct/deterministic</x:v>
      </x:c>
      <x:c r="H197" s="47" t="str">
        <x:v>High</x:v>
      </x:c>
      <x:c r="I197" s="47" t="str">
        <x:v>No</x:v>
      </x:c>
      <x:c r="J197" s="47" t="str">
        <x:v>ELIGIBLE</x:v>
      </x:c>
      <x:c r="K197" s="47" t="str">
        <x:v>NOT_RUN</x:v>
      </x:c>
    </x:row>
    <x:row r="198">
      <x:c r="A198" s="47" t="str">
        <x:v>TRF-003</x:v>
      </x:c>
      <x:c r="B198" s="48" t="str">
        <x:v>Ice Class Regulations and the Application Thereof</x:v>
      </x:c>
      <x:c r="C198" s="47" t="str">
        <x:v>TRAFICOM/68863/03.04.01.00/2021</x:v>
      </x:c>
      <x:c r="D198" s="59" t="n">
        <x:v>5</x:v>
      </x:c>
      <x:c r="E198" s="47" t="str">
        <x:v>1.3</x:v>
      </x:c>
      <x:c r="F198" s="47" t="str">
        <x:v>Static</x:v>
      </x:c>
      <x:c r="G198" s="48" t="str">
        <x:v>Stage 2 candidate - direct/deterministic</x:v>
      </x:c>
      <x:c r="H198" s="47" t="str">
        <x:v>High</x:v>
      </x:c>
      <x:c r="I198" s="47" t="str">
        <x:v>No</x:v>
      </x:c>
      <x:c r="J198" s="47" t="str">
        <x:v>ELIGIBLE</x:v>
      </x:c>
      <x:c r="K198" s="47" t="str">
        <x:v>NOT_RUN</x:v>
      </x:c>
    </x:row>
    <x:row r="199">
      <x:c r="A199" s="47" t="str">
        <x:v>TRF-004</x:v>
      </x:c>
      <x:c r="B199" s="48" t="str">
        <x:v>Ice Class Regulations and the Application Thereof</x:v>
      </x:c>
      <x:c r="C199" s="47" t="str">
        <x:v>TRAFICOM/68863/03.04.01.00/2021</x:v>
      </x:c>
      <x:c r="D199" s="59" t="n">
        <x:v>5</x:v>
      </x:c>
      <x:c r="E199" s="47" t="str">
        <x:v>1.4</x:v>
      </x:c>
      <x:c r="F199" s="47" t="str">
        <x:v>Static</x:v>
      </x:c>
      <x:c r="G199" s="48" t="str">
        <x:v>Stage 2 candidate - direct/deterministic</x:v>
      </x:c>
      <x:c r="H199" s="47" t="str">
        <x:v>Medium</x:v>
      </x:c>
      <x:c r="I199" s="47" t="str">
        <x:v>No</x:v>
      </x:c>
      <x:c r="J199" s="47" t="str">
        <x:v>ELIGIBLE</x:v>
      </x:c>
      <x:c r="K199" s="47" t="str">
        <x:v>NOT_RUN</x:v>
      </x:c>
    </x:row>
    <x:row r="200">
      <x:c r="A200" s="47" t="str">
        <x:v>TRF-005</x:v>
      </x:c>
      <x:c r="B200" s="48" t="str">
        <x:v>Ice Class Regulations and the Application Thereof</x:v>
      </x:c>
      <x:c r="C200" s="47" t="str">
        <x:v>TRAFICOM/68863/03.04.01.00/2021</x:v>
      </x:c>
      <x:c r="D200" s="59" t="n">
        <x:v>5</x:v>
      </x:c>
      <x:c r="E200" s="47" t="str">
        <x:v>1.5</x:v>
      </x:c>
      <x:c r="F200" s="47" t="str">
        <x:v>Static</x:v>
      </x:c>
      <x:c r="G200" s="48" t="str">
        <x:v>Stage 2 candidate - direct/deterministic</x:v>
      </x:c>
      <x:c r="H200" s="47" t="str">
        <x:v>Medium</x:v>
      </x:c>
      <x:c r="I200" s="47" t="str">
        <x:v>No</x:v>
      </x:c>
      <x:c r="J200" s="47" t="str">
        <x:v>ELIGIBLE</x:v>
      </x:c>
      <x:c r="K200" s="47" t="str">
        <x:v>NOT_RUN</x:v>
      </x:c>
    </x:row>
    <x:row r="201">
      <x:c r="A201" s="47" t="str">
        <x:v>TRF-006</x:v>
      </x:c>
      <x:c r="B201" s="48" t="str">
        <x:v>Ice Class Regulations and the Application Thereof</x:v>
      </x:c>
      <x:c r="C201" s="47" t="str">
        <x:v>TRAFICOM/68863/03.04.01.00/2021</x:v>
      </x:c>
      <x:c r="D201" s="59" t="n">
        <x:v>5</x:v>
      </x:c>
      <x:c r="E201" s="47" t="str">
        <x:v>1.6</x:v>
      </x:c>
      <x:c r="F201" s="47" t="str">
        <x:v>Static</x:v>
      </x:c>
      <x:c r="G201" s="48" t="str">
        <x:v>Stage 2 candidate - direct/deterministic</x:v>
      </x:c>
      <x:c r="H201" s="47" t="str">
        <x:v>High</x:v>
      </x:c>
      <x:c r="I201" s="47" t="str">
        <x:v>No</x:v>
      </x:c>
      <x:c r="J201" s="47" t="str">
        <x:v>ELIGIBLE</x:v>
      </x:c>
      <x:c r="K201" s="47" t="str">
        <x:v>NOT_RUN</x:v>
      </x:c>
    </x:row>
    <x:row r="202">
      <x:c r="A202" s="47" t="str">
        <x:v>TRF-007</x:v>
      </x:c>
      <x:c r="B202" s="48" t="str">
        <x:v>Ice Class Regulations and the Application Thereof</x:v>
      </x:c>
      <x:c r="C202" s="47" t="str">
        <x:v>TRAFICOM/68863/03.04.01.00/2021</x:v>
      </x:c>
      <x:c r="D202" s="59" t="n">
        <x:v>5</x:v>
      </x:c>
      <x:c r="E202" s="47" t="str">
        <x:v>1.6</x:v>
      </x:c>
      <x:c r="F202" s="47" t="str">
        <x:v>Static</x:v>
      </x:c>
      <x:c r="G202" s="48" t="str">
        <x:v>Stage 2 candidate - direct/deterministic</x:v>
      </x:c>
      <x:c r="H202" s="47" t="str">
        <x:v>High</x:v>
      </x:c>
      <x:c r="I202" s="47" t="str">
        <x:v>No</x:v>
      </x:c>
      <x:c r="J202" s="47" t="str">
        <x:v>ELIGIBLE</x:v>
      </x:c>
      <x:c r="K202" s="47" t="str">
        <x:v>NOT_RUN</x:v>
      </x:c>
    </x:row>
    <x:row r="203">
      <x:c r="A203" s="47" t="str">
        <x:v>TRF-009</x:v>
      </x:c>
      <x:c r="B203" s="48" t="str">
        <x:v>Ice Class Regulations and the Application Thereof</x:v>
      </x:c>
      <x:c r="C203" s="47" t="str">
        <x:v>TRAFICOM/68863/03.04.01.00/2021</x:v>
      </x:c>
      <x:c r="D203" s="59" t="n">
        <x:v>6</x:v>
      </x:c>
      <x:c r="E203" s="47" t="str">
        <x:v>1.7</x:v>
      </x:c>
      <x:c r="F203" s="47" t="str">
        <x:v>Static</x:v>
      </x:c>
      <x:c r="G203" s="48" t="str">
        <x:v>Stage 2 candidate - direct/deterministic</x:v>
      </x:c>
      <x:c r="H203" s="47" t="str">
        <x:v>High</x:v>
      </x:c>
      <x:c r="I203" s="47" t="str">
        <x:v>No</x:v>
      </x:c>
      <x:c r="J203" s="47" t="str">
        <x:v>ELIGIBLE</x:v>
      </x:c>
      <x:c r="K203" s="47" t="str">
        <x:v>NOT_RUN</x:v>
      </x:c>
    </x:row>
    <x:row r="204">
      <x:c r="A204" s="47" t="str">
        <x:v>TRF-010</x:v>
      </x:c>
      <x:c r="B204" s="48" t="str">
        <x:v>Ice Class Regulations and the Application Thereof</x:v>
      </x:c>
      <x:c r="C204" s="47" t="str">
        <x:v>TRAFICOM/68863/03.04.01.00/2021</x:v>
      </x:c>
      <x:c r="D204" s="59" t="n">
        <x:v>6</x:v>
      </x:c>
      <x:c r="E204" s="47" t="str">
        <x:v>1.8</x:v>
      </x:c>
      <x:c r="F204" s="47" t="str">
        <x:v>Static</x:v>
      </x:c>
      <x:c r="G204" s="48" t="str">
        <x:v>Stage 2 candidate - direct/deterministic</x:v>
      </x:c>
      <x:c r="H204" s="47" t="str">
        <x:v>High</x:v>
      </x:c>
      <x:c r="I204" s="47" t="str">
        <x:v>No</x:v>
      </x:c>
      <x:c r="J204" s="47" t="str">
        <x:v>ELIGIBLE</x:v>
      </x:c>
      <x:c r="K204" s="47" t="str">
        <x:v>NOT_RUN</x:v>
      </x:c>
    </x:row>
    <x:row r="205">
      <x:c r="A205" s="47" t="str">
        <x:v>TRF-011</x:v>
      </x:c>
      <x:c r="B205" s="48" t="str">
        <x:v>Ice Class Regulations and the Application Thereof</x:v>
      </x:c>
      <x:c r="C205" s="47" t="str">
        <x:v>TRAFICOM/68863/03.04.01.00/2021</x:v>
      </x:c>
      <x:c r="D205" s="59" t="n">
        <x:v>6</x:v>
      </x:c>
      <x:c r="E205" s="47" t="str">
        <x:v>2.1</x:v>
      </x:c>
      <x:c r="F205" s="47" t="str">
        <x:v>Static</x:v>
      </x:c>
      <x:c r="G205" s="48" t="str">
        <x:v>Stage 2 candidate - direct/deterministic</x:v>
      </x:c>
      <x:c r="H205" s="47" t="str">
        <x:v>High</x:v>
      </x:c>
      <x:c r="I205" s="47" t="str">
        <x:v>No</x:v>
      </x:c>
      <x:c r="J205" s="47" t="str">
        <x:v>ELIGIBLE</x:v>
      </x:c>
      <x:c r="K205" s="47" t="str">
        <x:v>NOT_RUN</x:v>
      </x:c>
    </x:row>
    <x:row r="206">
      <x:c r="A206" s="47" t="str">
        <x:v>TRF-012</x:v>
      </x:c>
      <x:c r="B206" s="48" t="str">
        <x:v>Ice Class Regulations and the Application Thereof</x:v>
      </x:c>
      <x:c r="C206" s="47" t="str">
        <x:v>TRAFICOM/68863/03.04.01.00/2021</x:v>
      </x:c>
      <x:c r="D206" s="59" t="n">
        <x:v>6</x:v>
      </x:c>
      <x:c r="E206" s="47" t="str">
        <x:v>2.1</x:v>
      </x:c>
      <x:c r="F206" s="47" t="str">
        <x:v>Complex</x:v>
      </x:c>
      <x:c r="G206" s="48" t="str">
        <x:v>Stage 2 candidate - complex readiness</x:v>
      </x:c>
      <x:c r="H206" s="47" t="str">
        <x:v>Complex readiness</x:v>
      </x:c>
      <x:c r="I206" s="47" t="str">
        <x:v>No</x:v>
      </x:c>
      <x:c r="J206" s="47" t="str">
        <x:v>ELIGIBLE</x:v>
      </x:c>
      <x:c r="K206" s="47" t="str">
        <x:v>NOT_RUN</x:v>
      </x:c>
    </x:row>
    <x:row r="207">
      <x:c r="A207" s="47" t="str">
        <x:v>TRF-013</x:v>
      </x:c>
      <x:c r="B207" s="48" t="str">
        <x:v>Ice Class Regulations and the Application Thereof</x:v>
      </x:c>
      <x:c r="C207" s="47" t="str">
        <x:v>TRAFICOM/68863/03.04.01.00/2021</x:v>
      </x:c>
      <x:c r="D207" s="59" t="n">
        <x:v>7</x:v>
      </x:c>
      <x:c r="E207" s="47" t="str">
        <x:v>2.2</x:v>
      </x:c>
      <x:c r="F207" s="47" t="str">
        <x:v>Static</x:v>
      </x:c>
      <x:c r="G207" s="48" t="str">
        <x:v>Stage 2 candidate - direct/deterministic</x:v>
      </x:c>
      <x:c r="H207" s="47" t="str">
        <x:v>High</x:v>
      </x:c>
      <x:c r="I207" s="47" t="str">
        <x:v>No</x:v>
      </x:c>
      <x:c r="J207" s="47" t="str">
        <x:v>ELIGIBLE</x:v>
      </x:c>
      <x:c r="K207" s="47" t="str">
        <x:v>NOT_RUN</x:v>
      </x:c>
    </x:row>
    <x:row r="208">
      <x:c r="A208" s="47" t="str">
        <x:v>TRF-014</x:v>
      </x:c>
      <x:c r="B208" s="48" t="str">
        <x:v>Ice Class Regulations and the Application Thereof</x:v>
      </x:c>
      <x:c r="C208" s="47" t="str">
        <x:v>TRAFICOM/68863/03.04.01.00/2021</x:v>
      </x:c>
      <x:c r="D208" s="59" t="n">
        <x:v>7</x:v>
      </x:c>
      <x:c r="E208" s="47" t="str">
        <x:v>2.2</x:v>
      </x:c>
      <x:c r="F208" s="47" t="str">
        <x:v>Static</x:v>
      </x:c>
      <x:c r="G208" s="48" t="str">
        <x:v>Stage 2 candidate - direct/deterministic</x:v>
      </x:c>
      <x:c r="H208" s="47" t="str">
        <x:v>High</x:v>
      </x:c>
      <x:c r="I208" s="47" t="str">
        <x:v>No</x:v>
      </x:c>
      <x:c r="J208" s="47" t="str">
        <x:v>ELIGIBLE</x:v>
      </x:c>
      <x:c r="K208" s="47" t="str">
        <x:v>NOT_RUN</x:v>
      </x:c>
    </x:row>
    <x:row r="209">
      <x:c r="A209" s="47" t="str">
        <x:v>TRF-015</x:v>
      </x:c>
      <x:c r="B209" s="48" t="str">
        <x:v>Ice Class Regulations and the Application Thereof</x:v>
      </x:c>
      <x:c r="C209" s="47" t="str">
        <x:v>TRAFICOM/68863/03.04.01.00/2021</x:v>
      </x:c>
      <x:c r="D209" s="59" t="n">
        <x:v>7</x:v>
      </x:c>
      <x:c r="E209" s="47" t="str">
        <x:v>2.2</x:v>
      </x:c>
      <x:c r="F209" s="47" t="str">
        <x:v>Static</x:v>
      </x:c>
      <x:c r="G209" s="48" t="str">
        <x:v>Stage 2 candidate - direct/deterministic</x:v>
      </x:c>
      <x:c r="H209" s="47" t="str">
        <x:v>High</x:v>
      </x:c>
      <x:c r="I209" s="47" t="str">
        <x:v>No</x:v>
      </x:c>
      <x:c r="J209" s="47" t="str">
        <x:v>ELIGIBLE</x:v>
      </x:c>
      <x:c r="K209" s="47" t="str">
        <x:v>NOT_RUN</x:v>
      </x:c>
    </x:row>
    <x:row r="210">
      <x:c r="A210" s="47" t="str">
        <x:v>TRF-016</x:v>
      </x:c>
      <x:c r="B210" s="48" t="str">
        <x:v>Ice Class Regulations and the Application Thereof</x:v>
      </x:c>
      <x:c r="C210" s="47" t="str">
        <x:v>TRAFICOM/68863/03.04.01.00/2021</x:v>
      </x:c>
      <x:c r="D210" s="59" t="n">
        <x:v>7</x:v>
      </x:c>
      <x:c r="E210" s="47" t="str">
        <x:v>2.2</x:v>
      </x:c>
      <x:c r="F210" s="47" t="str">
        <x:v>Static Calculation</x:v>
      </x:c>
      <x:c r="G210" s="48" t="str">
        <x:v>Stage 2 candidate - direct/deterministic</x:v>
      </x:c>
      <x:c r="H210" s="47" t="str">
        <x:v>High</x:v>
      </x:c>
      <x:c r="I210" s="47" t="str">
        <x:v>No</x:v>
      </x:c>
      <x:c r="J210" s="47" t="str">
        <x:v>ELIGIBLE</x:v>
      </x:c>
      <x:c r="K210" s="47" t="str">
        <x:v>NOT_RUN</x:v>
      </x:c>
    </x:row>
    <x:row r="211">
      <x:c r="A211" s="47" t="str">
        <x:v>TRF-017</x:v>
      </x:c>
      <x:c r="B211" s="48" t="str">
        <x:v>Ice Class Regulations and the Application Thereof</x:v>
      </x:c>
      <x:c r="C211" s="47" t="str">
        <x:v>TRAFICOM/68863/03.04.01.00/2021</x:v>
      </x:c>
      <x:c r="D211" s="59" t="n">
        <x:v>7</x:v>
      </x:c>
      <x:c r="E211" s="47" t="str">
        <x:v>3.1</x:v>
      </x:c>
      <x:c r="F211" s="47" t="str">
        <x:v>Static</x:v>
      </x:c>
      <x:c r="G211" s="48" t="str">
        <x:v>Stage 2 candidate - direct/deterministic</x:v>
      </x:c>
      <x:c r="H211" s="47" t="str">
        <x:v>High</x:v>
      </x:c>
      <x:c r="I211" s="47" t="str">
        <x:v>No</x:v>
      </x:c>
      <x:c r="J211" s="47" t="str">
        <x:v>ELIGIBLE</x:v>
      </x:c>
      <x:c r="K211" s="47" t="str">
        <x:v>NOT_RUN</x:v>
      </x:c>
    </x:row>
    <x:row r="212">
      <x:c r="A212" s="47" t="str">
        <x:v>TRF-018</x:v>
      </x:c>
      <x:c r="B212" s="48" t="str">
        <x:v>Ice Class Regulations and the Application Thereof</x:v>
      </x:c>
      <x:c r="C212" s="47" t="str">
        <x:v>TRAFICOM/68863/03.04.01.00/2021</x:v>
      </x:c>
      <x:c r="D212" s="59" t="n">
        <x:v>8</x:v>
      </x:c>
      <x:c r="E212" s="47" t="str">
        <x:v>3.2</x:v>
      </x:c>
      <x:c r="F212" s="47" t="str">
        <x:v>Static Calculation</x:v>
      </x:c>
      <x:c r="G212" s="48" t="str">
        <x:v>Stage 2 candidate - direct/deterministic</x:v>
      </x:c>
      <x:c r="H212" s="47" t="str">
        <x:v>High</x:v>
      </x:c>
      <x:c r="I212" s="47" t="str">
        <x:v>No</x:v>
      </x:c>
      <x:c r="J212" s="47" t="str">
        <x:v>ELIGIBLE</x:v>
      </x:c>
      <x:c r="K212" s="47" t="str">
        <x:v>NOT_RUN</x:v>
      </x:c>
    </x:row>
    <x:row r="213">
      <x:c r="A213" s="47" t="str">
        <x:v>TRF-020</x:v>
      </x:c>
      <x:c r="B213" s="48" t="str">
        <x:v>Ice Class Regulations and the Application Thereof</x:v>
      </x:c>
      <x:c r="C213" s="47" t="str">
        <x:v>TRAFICOM/68863/03.04.01.00/2021</x:v>
      </x:c>
      <x:c r="D213" s="59" t="str">
        <x:v>8-9</x:v>
      </x:c>
      <x:c r="E213" s="47" t="str">
        <x:v>3.2.2</x:v>
      </x:c>
      <x:c r="F213" s="47" t="str">
        <x:v>Complex</x:v>
      </x:c>
      <x:c r="G213" s="48" t="str">
        <x:v>Stage 2 candidate - complex readiness</x:v>
      </x:c>
      <x:c r="H213" s="47" t="str">
        <x:v>Complex readiness</x:v>
      </x:c>
      <x:c r="I213" s="47" t="str">
        <x:v>No</x:v>
      </x:c>
      <x:c r="J213" s="47" t="str">
        <x:v>ELIGIBLE</x:v>
      </x:c>
      <x:c r="K213" s="47" t="str">
        <x:v>NOT_RUN</x:v>
      </x:c>
    </x:row>
    <x:row r="214">
      <x:c r="A214" s="47" t="str">
        <x:v>TRF-022</x:v>
      </x:c>
      <x:c r="B214" s="48" t="str">
        <x:v>Ice Class Regulations and the Application Thereof</x:v>
      </x:c>
      <x:c r="C214" s="47" t="str">
        <x:v>TRAFICOM/68863/03.04.01.00/2021</x:v>
      </x:c>
      <x:c r="D214" s="59" t="n">
        <x:v>10</x:v>
      </x:c>
      <x:c r="E214" s="47" t="str">
        <x:v>3.2.2</x:v>
      </x:c>
      <x:c r="F214" s="47" t="str">
        <x:v>Complex</x:v>
      </x:c>
      <x:c r="G214" s="48" t="str">
        <x:v>Stage 2 candidate - complex readiness</x:v>
      </x:c>
      <x:c r="H214" s="47" t="str">
        <x:v>Complex readiness</x:v>
      </x:c>
      <x:c r="I214" s="47" t="str">
        <x:v>No</x:v>
      </x:c>
      <x:c r="J214" s="47" t="str">
        <x:v>ELIGIBLE</x:v>
      </x:c>
      <x:c r="K214" s="47" t="str">
        <x:v>NOT_RUN</x:v>
      </x:c>
    </x:row>
    <x:row r="215">
      <x:c r="A215" s="47" t="str">
        <x:v>TRF-023</x:v>
      </x:c>
      <x:c r="B215" s="48" t="str">
        <x:v>Ice Class Regulations and the Application Thereof</x:v>
      </x:c>
      <x:c r="C215" s="47" t="str">
        <x:v>TRAFICOM/68863/03.04.01.00/2021</x:v>
      </x:c>
      <x:c r="D215" s="59" t="n">
        <x:v>10</x:v>
      </x:c>
      <x:c r="E215" s="47" t="str">
        <x:v>3.2.3</x:v>
      </x:c>
      <x:c r="F215" s="47" t="str">
        <x:v>Static</x:v>
      </x:c>
      <x:c r="G215" s="48" t="str">
        <x:v>Stage 2 candidate - direct/deterministic</x:v>
      </x:c>
      <x:c r="H215" s="47" t="str">
        <x:v>High</x:v>
      </x:c>
      <x:c r="I215" s="47" t="str">
        <x:v>No</x:v>
      </x:c>
      <x:c r="J215" s="47" t="str">
        <x:v>ELIGIBLE</x:v>
      </x:c>
      <x:c r="K215" s="47" t="str">
        <x:v>NOT_RUN</x:v>
      </x:c>
    </x:row>
    <x:row r="216">
      <x:c r="A216" s="47" t="str">
        <x:v>TRF-024</x:v>
      </x:c>
      <x:c r="B216" s="48" t="str">
        <x:v>Ice Class Regulations and the Application Thereof</x:v>
      </x:c>
      <x:c r="C216" s="47" t="str">
        <x:v>TRAFICOM/68863/03.04.01.00/2021</x:v>
      </x:c>
      <x:c r="D216" s="59" t="n">
        <x:v>10</x:v>
      </x:c>
      <x:c r="E216" s="47" t="str">
        <x:v>3.2.4</x:v>
      </x:c>
      <x:c r="F216" s="47" t="str">
        <x:v>Static</x:v>
      </x:c>
      <x:c r="G216" s="48" t="str">
        <x:v>Stage 2 candidate - direct/deterministic</x:v>
      </x:c>
      <x:c r="H216" s="47" t="str">
        <x:v>High</x:v>
      </x:c>
      <x:c r="I216" s="47" t="str">
        <x:v>No</x:v>
      </x:c>
      <x:c r="J216" s="47" t="str">
        <x:v>ELIGIBLE</x:v>
      </x:c>
      <x:c r="K216" s="47" t="str">
        <x:v>NOT_RUN</x:v>
      </x:c>
    </x:row>
    <x:row r="217">
      <x:c r="A217" s="47" t="str">
        <x:v>TRF-025</x:v>
      </x:c>
      <x:c r="B217" s="48" t="str">
        <x:v>Ice Class Regulations and the Application Thereof</x:v>
      </x:c>
      <x:c r="C217" s="47" t="str">
        <x:v>TRAFICOM/68863/03.04.01.00/2021</x:v>
      </x:c>
      <x:c r="D217" s="59" t="n">
        <x:v>10</x:v>
      </x:c>
      <x:c r="E217" s="47" t="str">
        <x:v>3.2.4</x:v>
      </x:c>
      <x:c r="F217" s="47" t="str">
        <x:v>Complex</x:v>
      </x:c>
      <x:c r="G217" s="48" t="str">
        <x:v>Stage 2 candidate - complex readiness</x:v>
      </x:c>
      <x:c r="H217" s="47" t="str">
        <x:v>Complex readiness</x:v>
      </x:c>
      <x:c r="I217" s="47" t="str">
        <x:v>No</x:v>
      </x:c>
      <x:c r="J217" s="47" t="str">
        <x:v>ELIGIBLE</x:v>
      </x:c>
      <x:c r="K217" s="47" t="str">
        <x:v>NOT_RUN</x:v>
      </x:c>
    </x:row>
    <x:row r="218">
      <x:c r="A218" s="47" t="str">
        <x:v>TRF-026</x:v>
      </x:c>
      <x:c r="B218" s="48" t="str">
        <x:v>Ice Class Regulations and the Application Thereof</x:v>
      </x:c>
      <x:c r="C218" s="47" t="str">
        <x:v>TRAFICOM/68863/03.04.01.00/2021</x:v>
      </x:c>
      <x:c r="D218" s="59" t="n">
        <x:v>11</x:v>
      </x:c>
      <x:c r="E218" s="47" t="str">
        <x:v>3.2.4</x:v>
      </x:c>
      <x:c r="F218" s="47" t="str">
        <x:v>Complex</x:v>
      </x:c>
      <x:c r="G218" s="48" t="str">
        <x:v>Stage 2 candidate - complex readiness</x:v>
      </x:c>
      <x:c r="H218" s="47" t="str">
        <x:v>Complex readiness</x:v>
      </x:c>
      <x:c r="I218" s="47" t="str">
        <x:v>No</x:v>
      </x:c>
      <x:c r="J218" s="47" t="str">
        <x:v>ELIGIBLE</x:v>
      </x:c>
      <x:c r="K218" s="47" t="str">
        <x:v>NOT_RUN</x:v>
      </x:c>
    </x:row>
    <x:row r="219">
      <x:c r="A219" s="47" t="str">
        <x:v>TRF-027</x:v>
      </x:c>
      <x:c r="B219" s="48" t="str">
        <x:v>Ice Class Regulations and the Application Thereof</x:v>
      </x:c>
      <x:c r="C219" s="47" t="str">
        <x:v>TRAFICOM/68863/03.04.01.00/2021</x:v>
      </x:c>
      <x:c r="D219" s="59" t="n">
        <x:v>11</x:v>
      </x:c>
      <x:c r="E219" s="47" t="str">
        <x:v>3.2.4</x:v>
      </x:c>
      <x:c r="F219" s="47" t="str">
        <x:v>Static Calculation</x:v>
      </x:c>
      <x:c r="G219" s="48" t="str">
        <x:v>Stage 2 candidate - direct/deterministic</x:v>
      </x:c>
      <x:c r="H219" s="47" t="str">
        <x:v>Medium</x:v>
      </x:c>
      <x:c r="I219" s="47" t="str">
        <x:v>No</x:v>
      </x:c>
      <x:c r="J219" s="47" t="str">
        <x:v>ELIGIBLE</x:v>
      </x:c>
      <x:c r="K219" s="47" t="str">
        <x:v>NOT_RUN</x:v>
      </x:c>
    </x:row>
    <x:row r="220">
      <x:c r="A220" s="47" t="str">
        <x:v>TRF-028</x:v>
      </x:c>
      <x:c r="B220" s="48" t="str">
        <x:v>Ice Class Regulations and the Application Thereof</x:v>
      </x:c>
      <x:c r="C220" s="47" t="str">
        <x:v>TRAFICOM/68863/03.04.01.00/2021</x:v>
      </x:c>
      <x:c r="D220" s="59" t="n">
        <x:v>11</x:v>
      </x:c>
      <x:c r="E220" s="47" t="str">
        <x:v>3.2.5</x:v>
      </x:c>
      <x:c r="F220" s="47" t="str">
        <x:v>Complex</x:v>
      </x:c>
      <x:c r="G220" s="48" t="str">
        <x:v>Stage 2 candidate - complex readiness</x:v>
      </x:c>
      <x:c r="H220" s="47" t="str">
        <x:v>Complex readiness</x:v>
      </x:c>
      <x:c r="I220" s="47" t="str">
        <x:v>No</x:v>
      </x:c>
      <x:c r="J220" s="47" t="str">
        <x:v>ELIGIBLE</x:v>
      </x:c>
      <x:c r="K220" s="47" t="str">
        <x:v>NOT_RUN</x:v>
      </x:c>
    </x:row>
    <x:row r="221">
      <x:c r="A221" s="47" t="str">
        <x:v>TRF-029</x:v>
      </x:c>
      <x:c r="B221" s="48" t="str">
        <x:v>Ice Class Regulations and the Application Thereof</x:v>
      </x:c>
      <x:c r="C221" s="47" t="str">
        <x:v>TRAFICOM/68863/03.04.01.00/2021</x:v>
      </x:c>
      <x:c r="D221" s="59" t="n">
        <x:v>12</x:v>
      </x:c>
      <x:c r="E221" s="47" t="str">
        <x:v>4.1</x:v>
      </x:c>
      <x:c r="F221" s="47" t="str">
        <x:v>Static</x:v>
      </x:c>
      <x:c r="G221" s="48" t="str">
        <x:v>Stage 2 candidate - direct static</x:v>
      </x:c>
      <x:c r="H221" s="47" t="str">
        <x:v>Direct static</x:v>
      </x:c>
      <x:c r="I221" s="47" t="str">
        <x:v>No</x:v>
      </x:c>
      <x:c r="J221" s="47" t="str">
        <x:v>ELIGIBLE</x:v>
      </x:c>
      <x:c r="K221" s="47" t="str">
        <x:v>NOT_RUN</x:v>
      </x:c>
    </x:row>
    <x:row r="222">
      <x:c r="A222" s="47" t="str">
        <x:v>TRF-030</x:v>
      </x:c>
      <x:c r="B222" s="48" t="str">
        <x:v>Ice Class Regulations and the Application Thereof</x:v>
      </x:c>
      <x:c r="C222" s="47" t="str">
        <x:v>TRAFICOM/68863/03.04.01.00/2021</x:v>
      </x:c>
      <x:c r="D222" s="59" t="n">
        <x:v>12</x:v>
      </x:c>
      <x:c r="E222" s="47" t="str">
        <x:v>4.1</x:v>
      </x:c>
      <x:c r="F222" s="47" t="str">
        <x:v>Complex</x:v>
      </x:c>
      <x:c r="G222" s="48" t="str">
        <x:v>Stage 2 candidate - complex readiness</x:v>
      </x:c>
      <x:c r="H222" s="47" t="str">
        <x:v>Complex readiness</x:v>
      </x:c>
      <x:c r="I222" s="47" t="str">
        <x:v>No</x:v>
      </x:c>
      <x:c r="J222" s="47" t="str">
        <x:v>ELIGIBLE</x:v>
      </x:c>
      <x:c r="K222" s="47" t="str">
        <x:v>NOT_RUN</x:v>
      </x:c>
    </x:row>
    <x:row r="223">
      <x:c r="A223" s="47" t="str">
        <x:v>TRF-031</x:v>
      </x:c>
      <x:c r="B223" s="48" t="str">
        <x:v>Ice Class Regulations and the Application Thereof</x:v>
      </x:c>
      <x:c r="C223" s="47" t="str">
        <x:v>TRAFICOM/68863/03.04.01.00/2021</x:v>
      </x:c>
      <x:c r="D223" s="59" t="n">
        <x:v>12</x:v>
      </x:c>
      <x:c r="E223" s="47" t="str">
        <x:v>4.1</x:v>
      </x:c>
      <x:c r="F223" s="47" t="str">
        <x:v>Static Calculation</x:v>
      </x:c>
      <x:c r="G223" s="48" t="str">
        <x:v>Stage 2 candidate - direct/deterministic</x:v>
      </x:c>
      <x:c r="H223" s="47" t="str">
        <x:v>Medium</x:v>
      </x:c>
      <x:c r="I223" s="47" t="str">
        <x:v>No</x:v>
      </x:c>
      <x:c r="J223" s="47" t="str">
        <x:v>ELIGIBLE</x:v>
      </x:c>
      <x:c r="K223" s="47" t="str">
        <x:v>NOT_RUN</x:v>
      </x:c>
    </x:row>
    <x:row r="224">
      <x:c r="A224" s="47" t="str">
        <x:v>TRF-032</x:v>
      </x:c>
      <x:c r="B224" s="48" t="str">
        <x:v>Ice Class Regulations and the Application Thereof</x:v>
      </x:c>
      <x:c r="C224" s="47" t="str">
        <x:v>TRAFICOM/68863/03.04.01.00/2021</x:v>
      </x:c>
      <x:c r="D224" s="59" t="n">
        <x:v>12</x:v>
      </x:c>
      <x:c r="E224" s="47" t="str">
        <x:v>4.1</x:v>
      </x:c>
      <x:c r="F224" s="47" t="str">
        <x:v>Static</x:v>
      </x:c>
      <x:c r="G224" s="48" t="str">
        <x:v>Stage 2 candidate - direct/deterministic</x:v>
      </x:c>
      <x:c r="H224" s="47" t="str">
        <x:v>Medium</x:v>
      </x:c>
      <x:c r="I224" s="47" t="str">
        <x:v>No</x:v>
      </x:c>
      <x:c r="J224" s="47" t="str">
        <x:v>ELIGIBLE</x:v>
      </x:c>
      <x:c r="K224" s="47" t="str">
        <x:v>NOT_RUN</x:v>
      </x:c>
    </x:row>
    <x:row r="225">
      <x:c r="A225" s="47" t="str">
        <x:v>TRF-034</x:v>
      </x:c>
      <x:c r="B225" s="48" t="str">
        <x:v>Ice Class Regulations and the Application Thereof</x:v>
      </x:c>
      <x:c r="C225" s="47" t="str">
        <x:v>TRAFICOM/68863/03.04.01.00/2021</x:v>
      </x:c>
      <x:c r="D225" s="59" t="n">
        <x:v>13</x:v>
      </x:c>
      <x:c r="E225" s="47" t="str">
        <x:v>4.1</x:v>
      </x:c>
      <x:c r="F225" s="47" t="str">
        <x:v>Complex</x:v>
      </x:c>
      <x:c r="G225" s="48" t="str">
        <x:v>Stage 2 candidate - complex readiness</x:v>
      </x:c>
      <x:c r="H225" s="47" t="str">
        <x:v>Complex readiness</x:v>
      </x:c>
      <x:c r="I225" s="47" t="str">
        <x:v>No</x:v>
      </x:c>
      <x:c r="J225" s="47" t="str">
        <x:v>ELIGIBLE</x:v>
      </x:c>
      <x:c r="K225" s="47" t="str">
        <x:v>NOT_RUN</x:v>
      </x:c>
    </x:row>
    <x:row r="226">
      <x:c r="A226" s="47" t="str">
        <x:v>TRF-035</x:v>
      </x:c>
      <x:c r="B226" s="48" t="str">
        <x:v>Ice Class Regulations and the Application Thereof</x:v>
      </x:c>
      <x:c r="C226" s="47" t="str">
        <x:v>TRAFICOM/68863/03.04.01.00/2021</x:v>
      </x:c>
      <x:c r="D226" s="59" t="n">
        <x:v>13</x:v>
      </x:c>
      <x:c r="E226" s="47" t="str">
        <x:v>4.1.1</x:v>
      </x:c>
      <x:c r="F226" s="47" t="str">
        <x:v>Static</x:v>
      </x:c>
      <x:c r="G226" s="48" t="str">
        <x:v>Stage 2 candidate - direct/deterministic</x:v>
      </x:c>
      <x:c r="H226" s="47" t="str">
        <x:v>Medium</x:v>
      </x:c>
      <x:c r="I226" s="47" t="str">
        <x:v>No</x:v>
      </x:c>
      <x:c r="J226" s="47" t="str">
        <x:v>ELIGIBLE</x:v>
      </x:c>
      <x:c r="K226" s="47" t="str">
        <x:v>NOT_RUN</x:v>
      </x:c>
    </x:row>
    <x:row r="227">
      <x:c r="A227" s="47" t="str">
        <x:v>TRF-036</x:v>
      </x:c>
      <x:c r="B227" s="48" t="str">
        <x:v>Ice Class Regulations and the Application Thereof</x:v>
      </x:c>
      <x:c r="C227" s="47" t="str">
        <x:v>TRAFICOM/68863/03.04.01.00/2021</x:v>
      </x:c>
      <x:c r="D227" s="59" t="n">
        <x:v>14</x:v>
      </x:c>
      <x:c r="E227" s="47" t="str">
        <x:v>4.2.1</x:v>
      </x:c>
      <x:c r="F227" s="47" t="str">
        <x:v>Static</x:v>
      </x:c>
      <x:c r="G227" s="48" t="str">
        <x:v>Stage 2 candidate - direct static</x:v>
      </x:c>
      <x:c r="H227" s="47" t="str">
        <x:v>Direct static</x:v>
      </x:c>
      <x:c r="I227" s="47" t="str">
        <x:v>No</x:v>
      </x:c>
      <x:c r="J227" s="47" t="str">
        <x:v>ELIGIBLE</x:v>
      </x:c>
      <x:c r="K227" s="47" t="str">
        <x:v>NOT_RUN</x:v>
      </x:c>
    </x:row>
    <x:row r="228">
      <x:c r="A228" s="47" t="str">
        <x:v>TRF-037</x:v>
      </x:c>
      <x:c r="B228" s="48" t="str">
        <x:v>Ice Class Regulations and the Application Thereof</x:v>
      </x:c>
      <x:c r="C228" s="47" t="str">
        <x:v>TRAFICOM/68863/03.04.01.00/2021</x:v>
      </x:c>
      <x:c r="D228" s="59" t="n">
        <x:v>14</x:v>
      </x:c>
      <x:c r="E228" s="47" t="str">
        <x:v>4.2.2</x:v>
      </x:c>
      <x:c r="F228" s="47" t="str">
        <x:v>Static Calculation</x:v>
      </x:c>
      <x:c r="G228" s="48" t="str">
        <x:v>Stage 2 candidate - direct/deterministic</x:v>
      </x:c>
      <x:c r="H228" s="47" t="str">
        <x:v>Medium</x:v>
      </x:c>
      <x:c r="I228" s="47" t="str">
        <x:v>No</x:v>
      </x:c>
      <x:c r="J228" s="47" t="str">
        <x:v>ELIGIBLE</x:v>
      </x:c>
      <x:c r="K228" s="47" t="str">
        <x:v>NOT_RUN</x:v>
      </x:c>
    </x:row>
    <x:row r="229">
      <x:c r="A229" s="47" t="str">
        <x:v>TRF-039</x:v>
      </x:c>
      <x:c r="B229" s="48" t="str">
        <x:v>Ice Class Regulations and the Application Thereof</x:v>
      </x:c>
      <x:c r="C229" s="47" t="str">
        <x:v>TRAFICOM/68863/03.04.01.00/2021</x:v>
      </x:c>
      <x:c r="D229" s="59" t="n">
        <x:v>15</x:v>
      </x:c>
      <x:c r="E229" s="47" t="str">
        <x:v>4.2.2</x:v>
      </x:c>
      <x:c r="F229" s="47" t="str">
        <x:v>Static Calculation</x:v>
      </x:c>
      <x:c r="G229" s="48" t="str">
        <x:v>Deferred - existing vocabulary insufficient</x:v>
      </x:c>
      <x:c r="H229" s="47" t="str">
        <x:v>Deferred</x:v>
      </x:c>
      <x:c r="I229" s="47" t="str">
        <x:v>No</x:v>
      </x:c>
      <x:c r="J229" s="47" t="str">
        <x:v>DEFERRED</x:v>
      </x:c>
      <x:c r="K229" s="47" t="str">
        <x:v>NOT_RUN</x:v>
      </x:c>
    </x:row>
    <x:row r="230">
      <x:c r="A230" s="47" t="str">
        <x:v>TRF-040</x:v>
      </x:c>
      <x:c r="B230" s="48" t="str">
        <x:v>Ice Class Regulations and the Application Thereof</x:v>
      </x:c>
      <x:c r="C230" s="47" t="str">
        <x:v>TRAFICOM/68863/03.04.01.00/2021</x:v>
      </x:c>
      <x:c r="D230" s="59" t="n">
        <x:v>16</x:v>
      </x:c>
      <x:c r="E230" s="47" t="str">
        <x:v>4.3.1</x:v>
      </x:c>
      <x:c r="F230" s="47" t="str">
        <x:v>Static</x:v>
      </x:c>
      <x:c r="G230" s="48" t="str">
        <x:v>Stage 2 candidate - direct static</x:v>
      </x:c>
      <x:c r="H230" s="47" t="str">
        <x:v>Direct static</x:v>
      </x:c>
      <x:c r="I230" s="47" t="str">
        <x:v>No</x:v>
      </x:c>
      <x:c r="J230" s="47" t="str">
        <x:v>ELIGIBLE</x:v>
      </x:c>
      <x:c r="K230" s="47" t="str">
        <x:v>NOT_RUN</x:v>
      </x:c>
    </x:row>
    <x:row r="231">
      <x:c r="A231" s="47" t="str">
        <x:v>TRF-041</x:v>
      </x:c>
      <x:c r="B231" s="48" t="str">
        <x:v>Ice Class Regulations and the Application Thereof</x:v>
      </x:c>
      <x:c r="C231" s="47" t="str">
        <x:v>TRAFICOM/68863/03.04.01.00/2021</x:v>
      </x:c>
      <x:c r="D231" s="59" t="n">
        <x:v>17</x:v>
      </x:c>
      <x:c r="E231" s="47" t="str">
        <x:v>4.3.2</x:v>
      </x:c>
      <x:c r="F231" s="47" t="str">
        <x:v>Complex</x:v>
      </x:c>
      <x:c r="G231" s="48" t="str">
        <x:v>Stage 2 candidate - complex readiness</x:v>
      </x:c>
      <x:c r="H231" s="47" t="str">
        <x:v>Complex readiness</x:v>
      </x:c>
      <x:c r="I231" s="47" t="str">
        <x:v>No</x:v>
      </x:c>
      <x:c r="J231" s="47" t="str">
        <x:v>ELIGIBLE</x:v>
      </x:c>
      <x:c r="K231" s="47" t="str">
        <x:v>NOT_RUN</x:v>
      </x:c>
    </x:row>
    <x:row r="232">
      <x:c r="A232" s="47" t="str">
        <x:v>TRF-042</x:v>
      </x:c>
      <x:c r="B232" s="48" t="str">
        <x:v>Ice Class Regulations and the Application Thereof</x:v>
      </x:c>
      <x:c r="C232" s="47" t="str">
        <x:v>TRAFICOM/68863/03.04.01.00/2021</x:v>
      </x:c>
      <x:c r="D232" s="59" t="n">
        <x:v>17</x:v>
      </x:c>
      <x:c r="E232" s="47" t="str">
        <x:v>4.3.2</x:v>
      </x:c>
      <x:c r="F232" s="47" t="str">
        <x:v>Static Calculation</x:v>
      </x:c>
      <x:c r="G232" s="48" t="str">
        <x:v>Stage 2 candidate - direct/deterministic</x:v>
      </x:c>
      <x:c r="H232" s="47" t="str">
        <x:v>Medium</x:v>
      </x:c>
      <x:c r="I232" s="47" t="str">
        <x:v>No</x:v>
      </x:c>
      <x:c r="J232" s="47" t="str">
        <x:v>ELIGIBLE</x:v>
      </x:c>
      <x:c r="K232" s="47" t="str">
        <x:v>NOT_RUN</x:v>
      </x:c>
    </x:row>
    <x:row r="233">
      <x:c r="A233" s="47" t="str">
        <x:v>TRF-043</x:v>
      </x:c>
      <x:c r="B233" s="48" t="str">
        <x:v>Ice Class Regulations and the Application Thereof</x:v>
      </x:c>
      <x:c r="C233" s="47" t="str">
        <x:v>TRAFICOM/68863/03.04.01.00/2021</x:v>
      </x:c>
      <x:c r="D233" s="59" t="n">
        <x:v>18</x:v>
      </x:c>
      <x:c r="E233" s="47" t="str">
        <x:v>4.4.1</x:v>
      </x:c>
      <x:c r="F233" s="47" t="str">
        <x:v>Static</x:v>
      </x:c>
      <x:c r="G233" s="48" t="str">
        <x:v>Stage 2 candidate - direct/deterministic</x:v>
      </x:c>
      <x:c r="H233" s="47" t="str">
        <x:v>Medium</x:v>
      </x:c>
      <x:c r="I233" s="47" t="str">
        <x:v>No</x:v>
      </x:c>
      <x:c r="J233" s="47" t="str">
        <x:v>ELIGIBLE</x:v>
      </x:c>
      <x:c r="K233" s="47" t="str">
        <x:v>NOT_RUN</x:v>
      </x:c>
    </x:row>
    <x:row r="234">
      <x:c r="A234" s="47" t="str">
        <x:v>TRF-044</x:v>
      </x:c>
      <x:c r="B234" s="48" t="str">
        <x:v>Ice Class Regulations and the Application Thereof</x:v>
      </x:c>
      <x:c r="C234" s="47" t="str">
        <x:v>TRAFICOM/68863/03.04.01.00/2021</x:v>
      </x:c>
      <x:c r="D234" s="59" t="str">
        <x:v>18-19</x:v>
      </x:c>
      <x:c r="E234" s="47" t="str">
        <x:v>4.4.2.1</x:v>
      </x:c>
      <x:c r="F234" s="47" t="str">
        <x:v>Static Calculation</x:v>
      </x:c>
      <x:c r="G234" s="48" t="str">
        <x:v>Stage 2 candidate - direct/deterministic</x:v>
      </x:c>
      <x:c r="H234" s="47" t="str">
        <x:v>Medium</x:v>
      </x:c>
      <x:c r="I234" s="47" t="str">
        <x:v>No</x:v>
      </x:c>
      <x:c r="J234" s="47" t="str">
        <x:v>ELIGIBLE</x:v>
      </x:c>
      <x:c r="K234" s="47" t="str">
        <x:v>NOT_RUN</x:v>
      </x:c>
    </x:row>
    <x:row r="235">
      <x:c r="A235" s="47" t="str">
        <x:v>TRF-045</x:v>
      </x:c>
      <x:c r="B235" s="48" t="str">
        <x:v>Ice Class Regulations and the Application Thereof</x:v>
      </x:c>
      <x:c r="C235" s="47" t="str">
        <x:v>TRAFICOM/68863/03.04.01.00/2021</x:v>
      </x:c>
      <x:c r="D235" s="59" t="n">
        <x:v>19</x:v>
      </x:c>
      <x:c r="E235" s="47" t="str">
        <x:v>4.4.2.1</x:v>
      </x:c>
      <x:c r="F235" s="47" t="str">
        <x:v>Static</x:v>
      </x:c>
      <x:c r="G235" s="48" t="str">
        <x:v>Stage 2 candidate - direct/deterministic</x:v>
      </x:c>
      <x:c r="H235" s="47" t="str">
        <x:v>High</x:v>
      </x:c>
      <x:c r="I235" s="47" t="str">
        <x:v>No</x:v>
      </x:c>
      <x:c r="J235" s="47" t="str">
        <x:v>ELIGIBLE</x:v>
      </x:c>
      <x:c r="K235" s="47" t="str">
        <x:v>NOT_RUN</x:v>
      </x:c>
    </x:row>
    <x:row r="236">
      <x:c r="A236" s="47" t="str">
        <x:v>TRF-046</x:v>
      </x:c>
      <x:c r="B236" s="48" t="str">
        <x:v>Ice Class Regulations and the Application Thereof</x:v>
      </x:c>
      <x:c r="C236" s="47" t="str">
        <x:v>TRAFICOM/68863/03.04.01.00/2021</x:v>
      </x:c>
      <x:c r="D236" s="59" t="n">
        <x:v>19</x:v>
      </x:c>
      <x:c r="E236" s="47" t="str">
        <x:v>4.4.2.2</x:v>
      </x:c>
      <x:c r="F236" s="47" t="str">
        <x:v>Static</x:v>
      </x:c>
      <x:c r="G236" s="48" t="str">
        <x:v>Stage 2 candidate - direct/deterministic</x:v>
      </x:c>
      <x:c r="H236" s="47" t="str">
        <x:v>Medium</x:v>
      </x:c>
      <x:c r="I236" s="47" t="str">
        <x:v>No</x:v>
      </x:c>
      <x:c r="J236" s="47" t="str">
        <x:v>ELIGIBLE</x:v>
      </x:c>
      <x:c r="K236" s="47" t="str">
        <x:v>NOT_RUN</x:v>
      </x:c>
    </x:row>
    <x:row r="237">
      <x:c r="A237" s="47" t="str">
        <x:v>TRF-047</x:v>
      </x:c>
      <x:c r="B237" s="48" t="str">
        <x:v>Ice Class Regulations and the Application Thereof</x:v>
      </x:c>
      <x:c r="C237" s="47" t="str">
        <x:v>TRAFICOM/68863/03.04.01.00/2021</x:v>
      </x:c>
      <x:c r="D237" s="59" t="n">
        <x:v>20</x:v>
      </x:c>
      <x:c r="E237" s="47" t="str">
        <x:v>4.4.2.3</x:v>
      </x:c>
      <x:c r="F237" s="47" t="str">
        <x:v>Static</x:v>
      </x:c>
      <x:c r="G237" s="48" t="str">
        <x:v>Stage 2 candidate - direct/deterministic</x:v>
      </x:c>
      <x:c r="H237" s="47" t="str">
        <x:v>High</x:v>
      </x:c>
      <x:c r="I237" s="47" t="str">
        <x:v>No</x:v>
      </x:c>
      <x:c r="J237" s="47" t="str">
        <x:v>ELIGIBLE</x:v>
      </x:c>
      <x:c r="K237" s="47" t="str">
        <x:v>NOT_RUN</x:v>
      </x:c>
    </x:row>
    <x:row r="238">
      <x:c r="A238" s="47" t="str">
        <x:v>TRF-048</x:v>
      </x:c>
      <x:c r="B238" s="48" t="str">
        <x:v>Ice Class Regulations and the Application Thereof</x:v>
      </x:c>
      <x:c r="C238" s="47" t="str">
        <x:v>TRAFICOM/68863/03.04.01.00/2021</x:v>
      </x:c>
      <x:c r="D238" s="59" t="n">
        <x:v>20</x:v>
      </x:c>
      <x:c r="E238" s="47" t="str">
        <x:v>4.4.3</x:v>
      </x:c>
      <x:c r="F238" s="47" t="str">
        <x:v>Static Calculation</x:v>
      </x:c>
      <x:c r="G238" s="48" t="str">
        <x:v>Stage 2 candidate - direct/deterministic</x:v>
      </x:c>
      <x:c r="H238" s="47" t="str">
        <x:v>High</x:v>
      </x:c>
      <x:c r="I238" s="47" t="str">
        <x:v>No</x:v>
      </x:c>
      <x:c r="J238" s="47" t="str">
        <x:v>ELIGIBLE</x:v>
      </x:c>
      <x:c r="K238" s="47" t="str">
        <x:v>NOT_RUN</x:v>
      </x:c>
    </x:row>
    <x:row r="239">
      <x:c r="A239" s="47" t="str">
        <x:v>TRF-049</x:v>
      </x:c>
      <x:c r="B239" s="48" t="str">
        <x:v>Ice Class Regulations and the Application Thereof</x:v>
      </x:c>
      <x:c r="C239" s="47" t="str">
        <x:v>TRAFICOM/68863/03.04.01.00/2021</x:v>
      </x:c>
      <x:c r="D239" s="59" t="n">
        <x:v>21</x:v>
      </x:c>
      <x:c r="E239" s="47" t="str">
        <x:v>4.4.4.1</x:v>
      </x:c>
      <x:c r="F239" s="47" t="str">
        <x:v>Static</x:v>
      </x:c>
      <x:c r="G239" s="48" t="str">
        <x:v>Stage 2 candidate - direct static</x:v>
      </x:c>
      <x:c r="H239" s="47" t="str">
        <x:v>Direct static</x:v>
      </x:c>
      <x:c r="I239" s="47" t="str">
        <x:v>No</x:v>
      </x:c>
      <x:c r="J239" s="47" t="str">
        <x:v>ELIGIBLE</x:v>
      </x:c>
      <x:c r="K239" s="47" t="str">
        <x:v>NOT_RUN</x:v>
      </x:c>
    </x:row>
    <x:row r="240">
      <x:c r="A240" s="47" t="str">
        <x:v>TRF-050</x:v>
      </x:c>
      <x:c r="B240" s="48" t="str">
        <x:v>Ice Class Regulations and the Application Thereof</x:v>
      </x:c>
      <x:c r="C240" s="47" t="str">
        <x:v>TRAFICOM/68863/03.04.01.00/2021</x:v>
      </x:c>
      <x:c r="D240" s="59" t="n">
        <x:v>21</x:v>
      </x:c>
      <x:c r="E240" s="47" t="str">
        <x:v>4.4.4.2</x:v>
      </x:c>
      <x:c r="F240" s="47" t="str">
        <x:v>Static</x:v>
      </x:c>
      <x:c r="G240" s="48" t="str">
        <x:v>Stage 2 candidate - direct/deterministic</x:v>
      </x:c>
      <x:c r="H240" s="47" t="str">
        <x:v>High</x:v>
      </x:c>
      <x:c r="I240" s="47" t="str">
        <x:v>No</x:v>
      </x:c>
      <x:c r="J240" s="47" t="str">
        <x:v>ELIGIBLE</x:v>
      </x:c>
      <x:c r="K240" s="47" t="str">
        <x:v>NOT_RUN</x:v>
      </x:c>
    </x:row>
    <x:row r="241">
      <x:c r="A241" s="47" t="str">
        <x:v>TRF-051</x:v>
      </x:c>
      <x:c r="B241" s="48" t="str">
        <x:v>Ice Class Regulations and the Application Thereof</x:v>
      </x:c>
      <x:c r="C241" s="47" t="str">
        <x:v>TRAFICOM/68863/03.04.01.00/2021</x:v>
      </x:c>
      <x:c r="D241" s="59" t="n">
        <x:v>21</x:v>
      </x:c>
      <x:c r="E241" s="47" t="str">
        <x:v>4.4.4.2</x:v>
      </x:c>
      <x:c r="F241" s="47" t="str">
        <x:v>Complex</x:v>
      </x:c>
      <x:c r="G241" s="48" t="str">
        <x:v>Stage 2 candidate - complex readiness</x:v>
      </x:c>
      <x:c r="H241" s="47" t="str">
        <x:v>Complex readiness</x:v>
      </x:c>
      <x:c r="I241" s="47" t="str">
        <x:v>No</x:v>
      </x:c>
      <x:c r="J241" s="47" t="str">
        <x:v>ELIGIBLE</x:v>
      </x:c>
      <x:c r="K241" s="47" t="str">
        <x:v>NOT_RUN</x:v>
      </x:c>
    </x:row>
    <x:row r="242">
      <x:c r="A242" s="47" t="str">
        <x:v>TRF-052</x:v>
      </x:c>
      <x:c r="B242" s="48" t="str">
        <x:v>Ice Class Regulations and the Application Thereof</x:v>
      </x:c>
      <x:c r="C242" s="47" t="str">
        <x:v>TRAFICOM/68863/03.04.01.00/2021</x:v>
      </x:c>
      <x:c r="D242" s="59" t="n">
        <x:v>21</x:v>
      </x:c>
      <x:c r="E242" s="47" t="str">
        <x:v>4.4.4.2</x:v>
      </x:c>
      <x:c r="F242" s="47" t="str">
        <x:v>Static</x:v>
      </x:c>
      <x:c r="G242" s="48" t="str">
        <x:v>Stage 2 candidate - direct/deterministic</x:v>
      </x:c>
      <x:c r="H242" s="47" t="str">
        <x:v>High</x:v>
      </x:c>
      <x:c r="I242" s="47" t="str">
        <x:v>No</x:v>
      </x:c>
      <x:c r="J242" s="47" t="str">
        <x:v>ELIGIBLE</x:v>
      </x:c>
      <x:c r="K242" s="47" t="str">
        <x:v>NOT_RUN</x:v>
      </x:c>
    </x:row>
    <x:row r="243">
      <x:c r="A243" s="47" t="str">
        <x:v>TRF-053</x:v>
      </x:c>
      <x:c r="B243" s="48" t="str">
        <x:v>Ice Class Regulations and the Application Thereof</x:v>
      </x:c>
      <x:c r="C243" s="47" t="str">
        <x:v>TRAFICOM/68863/03.04.01.00/2021</x:v>
      </x:c>
      <x:c r="D243" s="59" t="str">
        <x:v>21-22</x:v>
      </x:c>
      <x:c r="E243" s="47" t="str">
        <x:v>4.5.1</x:v>
      </x:c>
      <x:c r="F243" s="47" t="str">
        <x:v>Static Calculation</x:v>
      </x:c>
      <x:c r="G243" s="48" t="str">
        <x:v>Stage 2 candidate - direct/deterministic</x:v>
      </x:c>
      <x:c r="H243" s="47" t="str">
        <x:v>High</x:v>
      </x:c>
      <x:c r="I243" s="47" t="str">
        <x:v>No</x:v>
      </x:c>
      <x:c r="J243" s="47" t="str">
        <x:v>ELIGIBLE</x:v>
      </x:c>
      <x:c r="K243" s="47" t="str">
        <x:v>NOT_RUN</x:v>
      </x:c>
    </x:row>
    <x:row r="244">
      <x:c r="A244" s="47" t="str">
        <x:v>TRF-054</x:v>
      </x:c>
      <x:c r="B244" s="48" t="str">
        <x:v>Ice Class Regulations and the Application Thereof</x:v>
      </x:c>
      <x:c r="C244" s="47" t="str">
        <x:v>TRAFICOM/68863/03.04.01.00/2021</x:v>
      </x:c>
      <x:c r="D244" s="59" t="str">
        <x:v>22-23</x:v>
      </x:c>
      <x:c r="E244" s="47" t="str">
        <x:v>4.5.2</x:v>
      </x:c>
      <x:c r="F244" s="47" t="str">
        <x:v>Static Calculation</x:v>
      </x:c>
      <x:c r="G244" s="48" t="str">
        <x:v>Stage 2 candidate - direct/deterministic</x:v>
      </x:c>
      <x:c r="H244" s="47" t="str">
        <x:v>High</x:v>
      </x:c>
      <x:c r="I244" s="47" t="str">
        <x:v>No</x:v>
      </x:c>
      <x:c r="J244" s="47" t="str">
        <x:v>ELIGIBLE</x:v>
      </x:c>
      <x:c r="K244" s="47" t="str">
        <x:v>NOT_RUN</x:v>
      </x:c>
    </x:row>
    <x:row r="245">
      <x:c r="A245" s="47" t="str">
        <x:v>TRF-055</x:v>
      </x:c>
      <x:c r="B245" s="48" t="str">
        <x:v>Ice Class Regulations and the Application Thereof</x:v>
      </x:c>
      <x:c r="C245" s="47" t="str">
        <x:v>TRAFICOM/68863/03.04.01.00/2021</x:v>
      </x:c>
      <x:c r="D245" s="59" t="n">
        <x:v>23</x:v>
      </x:c>
      <x:c r="E245" s="47" t="str">
        <x:v>4.5.3</x:v>
      </x:c>
      <x:c r="F245" s="47" t="str">
        <x:v>Static</x:v>
      </x:c>
      <x:c r="G245" s="48" t="str">
        <x:v>Stage 2 candidate - direct/deterministic static verification</x:v>
      </x:c>
      <x:c r="H245" s="47" t="str">
        <x:v>Medium</x:v>
      </x:c>
      <x:c r="I245" s="47" t="str">
        <x:v>No</x:v>
      </x:c>
      <x:c r="J245" s="47" t="str">
        <x:v>ELIGIBLE</x:v>
      </x:c>
      <x:c r="K245" s="47" t="str">
        <x:v>NOT_RUN</x:v>
      </x:c>
    </x:row>
    <x:row r="246">
      <x:c r="A246" s="47" t="str">
        <x:v>TRF-056</x:v>
      </x:c>
      <x:c r="B246" s="48" t="str">
        <x:v>Ice Class Regulations and the Application Thereof</x:v>
      </x:c>
      <x:c r="C246" s="47" t="str">
        <x:v>TRAFICOM/68863/03.04.01.00/2021</x:v>
      </x:c>
      <x:c r="D246" s="59" t="n">
        <x:v>23</x:v>
      </x:c>
      <x:c r="E246" s="47" t="str">
        <x:v>4.5.3</x:v>
      </x:c>
      <x:c r="F246" s="47" t="str">
        <x:v>Static</x:v>
      </x:c>
      <x:c r="G246" s="48" t="str">
        <x:v>Stage 2 candidate - direct static</x:v>
      </x:c>
      <x:c r="H246" s="47" t="str">
        <x:v>Direct static</x:v>
      </x:c>
      <x:c r="I246" s="47" t="str">
        <x:v>No</x:v>
      </x:c>
      <x:c r="J246" s="47" t="str">
        <x:v>ELIGIBLE</x:v>
      </x:c>
      <x:c r="K246" s="47" t="str">
        <x:v>NOT_RUN</x:v>
      </x:c>
    </x:row>
    <x:row r="247">
      <x:c r="A247" s="47" t="str">
        <x:v>TRF-057</x:v>
      </x:c>
      <x:c r="B247" s="48" t="str">
        <x:v>Ice Class Regulations and the Application Thereof</x:v>
      </x:c>
      <x:c r="C247" s="47" t="str">
        <x:v>TRAFICOM/68863/03.04.01.00/2021</x:v>
      </x:c>
      <x:c r="D247" s="59" t="n">
        <x:v>23</x:v>
      </x:c>
      <x:c r="E247" s="47" t="str">
        <x:v>4.6.1</x:v>
      </x:c>
      <x:c r="F247" s="47" t="str">
        <x:v>Static Calculation</x:v>
      </x:c>
      <x:c r="G247" s="48" t="str">
        <x:v>Stage 2 candidate - direct/deterministic</x:v>
      </x:c>
      <x:c r="H247" s="47" t="str">
        <x:v>Medium</x:v>
      </x:c>
      <x:c r="I247" s="47" t="str">
        <x:v>No</x:v>
      </x:c>
      <x:c r="J247" s="47" t="str">
        <x:v>ELIGIBLE</x:v>
      </x:c>
      <x:c r="K247" s="47" t="str">
        <x:v>NOT_RUN</x:v>
      </x:c>
    </x:row>
    <x:row r="248">
      <x:c r="A248" s="47" t="str">
        <x:v>TRF-058</x:v>
      </x:c>
      <x:c r="B248" s="48" t="str">
        <x:v>Ice Class Regulations and the Application Thereof</x:v>
      </x:c>
      <x:c r="C248" s="47" t="str">
        <x:v>TRAFICOM/68863/03.04.01.00/2021</x:v>
      </x:c>
      <x:c r="D248" s="59" t="n">
        <x:v>23</x:v>
      </x:c>
      <x:c r="E248" s="47" t="str">
        <x:v>4.6.1</x:v>
      </x:c>
      <x:c r="F248" s="47" t="str">
        <x:v>Static Calculation</x:v>
      </x:c>
      <x:c r="G248" s="48" t="str">
        <x:v>Stage 2 candidate - direct/deterministic</x:v>
      </x:c>
      <x:c r="H248" s="47" t="str">
        <x:v>High</x:v>
      </x:c>
      <x:c r="I248" s="47" t="str">
        <x:v>No</x:v>
      </x:c>
      <x:c r="J248" s="47" t="str">
        <x:v>ELIGIBLE</x:v>
      </x:c>
      <x:c r="K248" s="47" t="str">
        <x:v>NOT_RUN</x:v>
      </x:c>
    </x:row>
    <x:row r="249">
      <x:c r="A249" s="47" t="str">
        <x:v>TRF-059</x:v>
      </x:c>
      <x:c r="B249" s="48" t="str">
        <x:v>Ice Class Regulations and the Application Thereof</x:v>
      </x:c>
      <x:c r="C249" s="47" t="str">
        <x:v>TRAFICOM/68863/03.04.01.00/2021</x:v>
      </x:c>
      <x:c r="D249" s="59" t="n">
        <x:v>23</x:v>
      </x:c>
      <x:c r="E249" s="47" t="str">
        <x:v>4.6.2</x:v>
      </x:c>
      <x:c r="F249" s="47" t="str">
        <x:v>Static Calculation</x:v>
      </x:c>
      <x:c r="G249" s="48" t="str">
        <x:v>Stage 2 candidate - direct/deterministic</x:v>
      </x:c>
      <x:c r="H249" s="47" t="str">
        <x:v>High</x:v>
      </x:c>
      <x:c r="I249" s="47" t="str">
        <x:v>No</x:v>
      </x:c>
      <x:c r="J249" s="47" t="str">
        <x:v>ELIGIBLE</x:v>
      </x:c>
      <x:c r="K249" s="47" t="str">
        <x:v>NOT_RUN</x:v>
      </x:c>
    </x:row>
    <x:row r="250">
      <x:c r="A250" s="47" t="str">
        <x:v>TRF-060</x:v>
      </x:c>
      <x:c r="B250" s="48" t="str">
        <x:v>Ice Class Regulations and the Application Thereof</x:v>
      </x:c>
      <x:c r="C250" s="47" t="str">
        <x:v>TRAFICOM/68863/03.04.01.00/2021</x:v>
      </x:c>
      <x:c r="D250" s="59" t="n">
        <x:v>24</x:v>
      </x:c>
      <x:c r="E250" s="47" t="str">
        <x:v>4.6.2</x:v>
      </x:c>
      <x:c r="F250" s="47" t="str">
        <x:v>Complex</x:v>
      </x:c>
      <x:c r="G250" s="48" t="str">
        <x:v>Stage 2 candidate - complex readiness</x:v>
      </x:c>
      <x:c r="H250" s="47" t="str">
        <x:v>Complex readiness</x:v>
      </x:c>
      <x:c r="I250" s="47" t="str">
        <x:v>No</x:v>
      </x:c>
      <x:c r="J250" s="47" t="str">
        <x:v>ELIGIBLE</x:v>
      </x:c>
      <x:c r="K250" s="47" t="str">
        <x:v>NOT_RUN</x:v>
      </x:c>
    </x:row>
    <x:row r="251">
      <x:c r="A251" s="47" t="str">
        <x:v>TRF-061</x:v>
      </x:c>
      <x:c r="B251" s="48" t="str">
        <x:v>Ice Class Regulations and the Application Thereof</x:v>
      </x:c>
      <x:c r="C251" s="47" t="str">
        <x:v>TRAFICOM/68863/03.04.01.00/2021</x:v>
      </x:c>
      <x:c r="D251" s="59" t="n">
        <x:v>25</x:v>
      </x:c>
      <x:c r="E251" s="47" t="str">
        <x:v>4.7</x:v>
      </x:c>
      <x:c r="F251" s="47" t="str">
        <x:v>Complex</x:v>
      </x:c>
      <x:c r="G251" s="48" t="str">
        <x:v>Deferred - composite/evidence workflow review</x:v>
      </x:c>
      <x:c r="H251" s="47" t="str">
        <x:v>Medium</x:v>
      </x:c>
      <x:c r="I251" s="47" t="str">
        <x:v>No</x:v>
      </x:c>
      <x:c r="J251" s="47" t="str">
        <x:v>DEFERRED</x:v>
      </x:c>
      <x:c r="K251" s="47" t="str">
        <x:v>NOT_RUN</x:v>
      </x:c>
    </x:row>
    <x:row r="252">
      <x:c r="A252" s="47" t="str">
        <x:v>TRF-062</x:v>
      </x:c>
      <x:c r="B252" s="48" t="str">
        <x:v>Ice Class Regulations and the Application Thereof</x:v>
      </x:c>
      <x:c r="C252" s="47" t="str">
        <x:v>TRAFICOM/68863/03.04.01.00/2021</x:v>
      </x:c>
      <x:c r="D252" s="59" t="n">
        <x:v>25</x:v>
      </x:c>
      <x:c r="E252" s="47" t="str">
        <x:v>4.8</x:v>
      </x:c>
      <x:c r="F252" s="47" t="str">
        <x:v>Static</x:v>
      </x:c>
      <x:c r="G252" s="48" t="str">
        <x:v>Stage 2 candidate - direct/deterministic</x:v>
      </x:c>
      <x:c r="H252" s="47" t="str">
        <x:v>High</x:v>
      </x:c>
      <x:c r="I252" s="47" t="str">
        <x:v>No</x:v>
      </x:c>
      <x:c r="J252" s="47" t="str">
        <x:v>ELIGIBLE</x:v>
      </x:c>
      <x:c r="K252" s="47" t="str">
        <x:v>NOT_RUN</x:v>
      </x:c>
    </x:row>
    <x:row r="253">
      <x:c r="A253" s="47" t="str">
        <x:v>TRF-063</x:v>
      </x:c>
      <x:c r="B253" s="48" t="str">
        <x:v>Ice Class Regulations and the Application Thereof</x:v>
      </x:c>
      <x:c r="C253" s="47" t="str">
        <x:v>TRAFICOM/68863/03.04.01.00/2021</x:v>
      </x:c>
      <x:c r="D253" s="59" t="n">
        <x:v>25</x:v>
      </x:c>
      <x:c r="E253" s="47" t="str">
        <x:v>4.8</x:v>
      </x:c>
      <x:c r="F253" s="47" t="str">
        <x:v>Static</x:v>
      </x:c>
      <x:c r="G253" s="48" t="str">
        <x:v>Stage 2 candidate - direct/deterministic</x:v>
      </x:c>
      <x:c r="H253" s="47" t="str">
        <x:v>High</x:v>
      </x:c>
      <x:c r="I253" s="47" t="str">
        <x:v>No</x:v>
      </x:c>
      <x:c r="J253" s="47" t="str">
        <x:v>ELIGIBLE</x:v>
      </x:c>
      <x:c r="K253" s="47" t="str">
        <x:v>NOT_RUN</x:v>
      </x:c>
    </x:row>
    <x:row r="254">
      <x:c r="A254" s="47" t="str">
        <x:v>TRF-064</x:v>
      </x:c>
      <x:c r="B254" s="48" t="str">
        <x:v>Ice Class Regulations and the Application Thereof</x:v>
      </x:c>
      <x:c r="C254" s="47" t="str">
        <x:v>TRAFICOM/68863/03.04.01.00/2021</x:v>
      </x:c>
      <x:c r="D254" s="59" t="n">
        <x:v>26</x:v>
      </x:c>
      <x:c r="E254" s="47" t="str">
        <x:v>4.8</x:v>
      </x:c>
      <x:c r="F254" s="47" t="str">
        <x:v>Static</x:v>
      </x:c>
      <x:c r="G254" s="48" t="str">
        <x:v>Stage 2 candidate - direct/deterministic</x:v>
      </x:c>
      <x:c r="H254" s="47" t="str">
        <x:v>High</x:v>
      </x:c>
      <x:c r="I254" s="47" t="str">
        <x:v>No</x:v>
      </x:c>
      <x:c r="J254" s="47" t="str">
        <x:v>ELIGIBLE</x:v>
      </x:c>
      <x:c r="K254" s="47" t="str">
        <x:v>NOT_RUN</x:v>
      </x:c>
    </x:row>
    <x:row r="255">
      <x:c r="A255" s="47" t="str">
        <x:v>TRF-065</x:v>
      </x:c>
      <x:c r="B255" s="48" t="str">
        <x:v>Ice Class Regulations and the Application Thereof</x:v>
      </x:c>
      <x:c r="C255" s="47" t="str">
        <x:v>TRAFICOM/68863/03.04.01.00/2021</x:v>
      </x:c>
      <x:c r="D255" s="59" t="n">
        <x:v>26</x:v>
      </x:c>
      <x:c r="E255" s="47" t="str">
        <x:v>5</x:v>
      </x:c>
      <x:c r="F255" s="47" t="str">
        <x:v>Complex</x:v>
      </x:c>
      <x:c r="G255" s="48" t="str">
        <x:v>Deferred - composite/evidence workflow review</x:v>
      </x:c>
      <x:c r="H255" s="47" t="str">
        <x:v>Medium</x:v>
      </x:c>
      <x:c r="I255" s="47" t="str">
        <x:v>No</x:v>
      </x:c>
      <x:c r="J255" s="47" t="str">
        <x:v>DEFERRED</x:v>
      </x:c>
      <x:c r="K255" s="47" t="str">
        <x:v>NOT_RUN</x:v>
      </x:c>
    </x:row>
    <x:row r="256">
      <x:c r="A256" s="47" t="str">
        <x:v>TRF-066</x:v>
      </x:c>
      <x:c r="B256" s="48" t="str">
        <x:v>Ice Class Regulations and the Application Thereof</x:v>
      </x:c>
      <x:c r="C256" s="47" t="str">
        <x:v>TRAFICOM/68863/03.04.01.00/2021</x:v>
      </x:c>
      <x:c r="D256" s="59" t="n">
        <x:v>26</x:v>
      </x:c>
      <x:c r="E256" s="47" t="str">
        <x:v>5</x:v>
      </x:c>
      <x:c r="F256" s="47" t="str">
        <x:v>Static</x:v>
      </x:c>
      <x:c r="G256" s="48" t="str">
        <x:v>Stage 2 candidate - direct/deterministic</x:v>
      </x:c>
      <x:c r="H256" s="47" t="str">
        <x:v>High</x:v>
      </x:c>
      <x:c r="I256" s="47" t="str">
        <x:v>No</x:v>
      </x:c>
      <x:c r="J256" s="47" t="str">
        <x:v>ELIGIBLE</x:v>
      </x:c>
      <x:c r="K256" s="47" t="str">
        <x:v>NOT_RUN</x:v>
      </x:c>
    </x:row>
    <x:row r="257">
      <x:c r="A257" s="47" t="str">
        <x:v>TRF-067</x:v>
      </x:c>
      <x:c r="B257" s="48" t="str">
        <x:v>Ice Class Regulations and the Application Thereof</x:v>
      </x:c>
      <x:c r="C257" s="47" t="str">
        <x:v>TRAFICOM/68863/03.04.01.00/2021</x:v>
      </x:c>
      <x:c r="D257" s="59" t="n">
        <x:v>26</x:v>
      </x:c>
      <x:c r="E257" s="47" t="str">
        <x:v>5</x:v>
      </x:c>
      <x:c r="F257" s="47" t="str">
        <x:v>Static</x:v>
      </x:c>
      <x:c r="G257" s="48" t="str">
        <x:v>Stage 2 candidate - direct/deterministic</x:v>
      </x:c>
      <x:c r="H257" s="47" t="str">
        <x:v>High</x:v>
      </x:c>
      <x:c r="I257" s="47" t="str">
        <x:v>No</x:v>
      </x:c>
      <x:c r="J257" s="47" t="str">
        <x:v>ELIGIBLE</x:v>
      </x:c>
      <x:c r="K257" s="47" t="str">
        <x:v>NOT_RUN</x:v>
      </x:c>
    </x:row>
    <x:row r="258">
      <x:c r="A258" s="47" t="str">
        <x:v>TRF-068</x:v>
      </x:c>
      <x:c r="B258" s="48" t="str">
        <x:v>Ice Class Regulations and the Application Thereof</x:v>
      </x:c>
      <x:c r="C258" s="47" t="str">
        <x:v>TRAFICOM/68863/03.04.01.00/2021</x:v>
      </x:c>
      <x:c r="D258" s="59" t="n">
        <x:v>26</x:v>
      </x:c>
      <x:c r="E258" s="47" t="str">
        <x:v>5</x:v>
      </x:c>
      <x:c r="F258" s="47" t="str">
        <x:v>Complex</x:v>
      </x:c>
      <x:c r="G258" s="48" t="str">
        <x:v>Deferred - composite/evidence workflow review</x:v>
      </x:c>
      <x:c r="H258" s="47" t="str">
        <x:v>High</x:v>
      </x:c>
      <x:c r="I258" s="47" t="str">
        <x:v>No</x:v>
      </x:c>
      <x:c r="J258" s="47" t="str">
        <x:v>DEFERRED</x:v>
      </x:c>
      <x:c r="K258" s="47" t="str">
        <x:v>NOT_RUN</x:v>
      </x:c>
    </x:row>
    <x:row r="259">
      <x:c r="A259" s="47" t="str">
        <x:v>TRF-069</x:v>
      </x:c>
      <x:c r="B259" s="48" t="str">
        <x:v>Ice Class Regulations and the Application Thereof</x:v>
      </x:c>
      <x:c r="C259" s="47" t="str">
        <x:v>TRAFICOM/68863/03.04.01.00/2021</x:v>
      </x:c>
      <x:c r="D259" s="59" t="n">
        <x:v>26</x:v>
      </x:c>
      <x:c r="E259" s="47" t="str">
        <x:v>6.1</x:v>
      </x:c>
      <x:c r="F259" s="47" t="str">
        <x:v>Static</x:v>
      </x:c>
      <x:c r="G259" s="48" t="str">
        <x:v>Stage 2 candidate - direct/deterministic</x:v>
      </x:c>
      <x:c r="H259" s="47" t="str">
        <x:v>High</x:v>
      </x:c>
      <x:c r="I259" s="47" t="str">
        <x:v>No</x:v>
      </x:c>
      <x:c r="J259" s="47" t="str">
        <x:v>ELIGIBLE</x:v>
      </x:c>
      <x:c r="K259" s="47" t="str">
        <x:v>NOT_RUN</x:v>
      </x:c>
    </x:row>
    <x:row r="260">
      <x:c r="A260" s="47" t="str">
        <x:v>TRF-070</x:v>
      </x:c>
      <x:c r="B260" s="48" t="str">
        <x:v>Ice Class Regulations and the Application Thereof</x:v>
      </x:c>
      <x:c r="C260" s="47" t="str">
        <x:v>TRAFICOM/68863/03.04.01.00/2021</x:v>
      </x:c>
      <x:c r="D260" s="59" t="str">
        <x:v>26-27</x:v>
      </x:c>
      <x:c r="E260" s="47" t="str">
        <x:v>6.1</x:v>
      </x:c>
      <x:c r="F260" s="47" t="str">
        <x:v>Complex</x:v>
      </x:c>
      <x:c r="G260" s="48" t="str">
        <x:v>Stage 2 candidate - complex readiness</x:v>
      </x:c>
      <x:c r="H260" s="47" t="str">
        <x:v>Complex readiness</x:v>
      </x:c>
      <x:c r="I260" s="47" t="str">
        <x:v>No</x:v>
      </x:c>
      <x:c r="J260" s="47" t="str">
        <x:v>ELIGIBLE</x:v>
      </x:c>
      <x:c r="K260" s="47" t="str">
        <x:v>NOT_RUN</x:v>
      </x:c>
    </x:row>
    <x:row r="261">
      <x:c r="A261" s="47" t="str">
        <x:v>TRF-072</x:v>
      </x:c>
      <x:c r="B261" s="48" t="str">
        <x:v>Ice Class Regulations and the Application Thereof</x:v>
      </x:c>
      <x:c r="C261" s="47" t="str">
        <x:v>TRAFICOM/68863/03.04.01.00/2021</x:v>
      </x:c>
      <x:c r="D261" s="59" t="n">
        <x:v>31</x:v>
      </x:c>
      <x:c r="E261" s="47" t="str">
        <x:v>6.4.1</x:v>
      </x:c>
      <x:c r="F261" s="47" t="str">
        <x:v>Physical Test</x:v>
      </x:c>
      <x:c r="G261" s="48" t="str">
        <x:v>Evidence-only - physical result not inferred by SHACL</x:v>
      </x:c>
      <x:c r="H261" s="47" t="str">
        <x:v>High</x:v>
      </x:c>
      <x:c r="I261" s="47" t="str">
        <x:v>No</x:v>
      </x:c>
      <x:c r="J261" s="47" t="str">
        <x:v>DEFERRED</x:v>
      </x:c>
      <x:c r="K261" s="47" t="str">
        <x:v>NOT_RUN</x:v>
      </x:c>
    </x:row>
    <x:row r="262">
      <x:c r="A262" s="47" t="str">
        <x:v>TRF-073</x:v>
      </x:c>
      <x:c r="B262" s="48" t="str">
        <x:v>Ice Class Regulations and the Application Thereof</x:v>
      </x:c>
      <x:c r="C262" s="47" t="str">
        <x:v>TRAFICOM/68863/03.04.01.00/2021</x:v>
      </x:c>
      <x:c r="D262" s="59" t="n">
        <x:v>31</x:v>
      </x:c>
      <x:c r="E262" s="47" t="str">
        <x:v>6.4.2</x:v>
      </x:c>
      <x:c r="F262" s="47" t="str">
        <x:v>Physical Test</x:v>
      </x:c>
      <x:c r="G262" s="48" t="str">
        <x:v>Evidence-only - physical result not inferred by SHACL</x:v>
      </x:c>
      <x:c r="H262" s="47" t="str">
        <x:v>High</x:v>
      </x:c>
      <x:c r="I262" s="47" t="str">
        <x:v>No</x:v>
      </x:c>
      <x:c r="J262" s="47" t="str">
        <x:v>DEFERRED</x:v>
      </x:c>
      <x:c r="K262" s="47" t="str">
        <x:v>NOT_RUN</x:v>
      </x:c>
    </x:row>
    <x:row r="263">
      <x:c r="A263" s="47" t="str">
        <x:v>TRF-074</x:v>
      </x:c>
      <x:c r="B263" s="48" t="str">
        <x:v>Ice Class Regulations and the Application Thereof</x:v>
      </x:c>
      <x:c r="C263" s="47" t="str">
        <x:v>TRAFICOM/68863/03.04.01.00/2021</x:v>
      </x:c>
      <x:c r="D263" s="59" t="n">
        <x:v>32</x:v>
      </x:c>
      <x:c r="E263" s="47" t="str">
        <x:v>6.5</x:v>
      </x:c>
      <x:c r="F263" s="47" t="str">
        <x:v>Static</x:v>
      </x:c>
      <x:c r="G263" s="48" t="str">
        <x:v>Stage 2 candidate - direct/deterministic</x:v>
      </x:c>
      <x:c r="H263" s="47" t="str">
        <x:v>High</x:v>
      </x:c>
      <x:c r="I263" s="47" t="str">
        <x:v>No</x:v>
      </x:c>
      <x:c r="J263" s="47" t="str">
        <x:v>ELIGIBLE</x:v>
      </x:c>
      <x:c r="K263" s="47" t="str">
        <x:v>NOT_RUN</x:v>
      </x:c>
    </x:row>
    <x:row r="264">
      <x:c r="A264" s="47" t="str">
        <x:v>TRF-075</x:v>
      </x:c>
      <x:c r="B264" s="48" t="str">
        <x:v>Ice Class Regulations and the Application Thereof</x:v>
      </x:c>
      <x:c r="C264" s="47" t="str">
        <x:v>TRAFICOM/68863/03.04.01.00/2021</x:v>
      </x:c>
      <x:c r="D264" s="59" t="n">
        <x:v>32</x:v>
      </x:c>
      <x:c r="E264" s="47" t="str">
        <x:v>6.5.1</x:v>
      </x:c>
      <x:c r="F264" s="47" t="str">
        <x:v>Static</x:v>
      </x:c>
      <x:c r="G264" s="48" t="str">
        <x:v>Stage 2 candidate - direct static</x:v>
      </x:c>
      <x:c r="H264" s="47" t="str">
        <x:v>Direct static</x:v>
      </x:c>
      <x:c r="I264" s="47" t="str">
        <x:v>No</x:v>
      </x:c>
      <x:c r="J264" s="47" t="str">
        <x:v>ELIGIBLE</x:v>
      </x:c>
      <x:c r="K264" s="47" t="str">
        <x:v>NOT_RUN</x:v>
      </x:c>
    </x:row>
    <x:row r="265">
      <x:c r="A265" s="47" t="str">
        <x:v>TRF-076</x:v>
      </x:c>
      <x:c r="B265" s="48" t="str">
        <x:v>Ice Class Regulations and the Application Thereof</x:v>
      </x:c>
      <x:c r="C265" s="47" t="str">
        <x:v>TRAFICOM/68863/03.04.01.00/2021</x:v>
      </x:c>
      <x:c r="D265" s="59" t="n">
        <x:v>32</x:v>
      </x:c>
      <x:c r="E265" s="47" t="str">
        <x:v>6.5.1.3</x:v>
      </x:c>
      <x:c r="F265" s="47" t="str">
        <x:v>Static</x:v>
      </x:c>
      <x:c r="G265" s="48" t="str">
        <x:v>Stage 2 candidate - direct/deterministic</x:v>
      </x:c>
      <x:c r="H265" s="47" t="str">
        <x:v>Medium</x:v>
      </x:c>
      <x:c r="I265" s="47" t="str">
        <x:v>No</x:v>
      </x:c>
      <x:c r="J265" s="47" t="str">
        <x:v>ELIGIBLE</x:v>
      </x:c>
      <x:c r="K265" s="47" t="str">
        <x:v>NOT_RUN</x:v>
      </x:c>
    </x:row>
    <x:row r="266">
      <x:c r="A266" s="47" t="str">
        <x:v>TRF-077</x:v>
      </x:c>
      <x:c r="B266" s="48" t="str">
        <x:v>Ice Class Regulations and the Application Thereof</x:v>
      </x:c>
      <x:c r="C266" s="47" t="str">
        <x:v>TRAFICOM/68863/03.04.01.00/2021</x:v>
      </x:c>
      <x:c r="D266" s="59" t="n">
        <x:v>36</x:v>
      </x:c>
      <x:c r="E266" s="47" t="str">
        <x:v>6.5.1.8</x:v>
      </x:c>
      <x:c r="F266" s="47" t="str">
        <x:v>Static</x:v>
      </x:c>
      <x:c r="G266" s="48" t="str">
        <x:v>Stage 2 candidate - direct static</x:v>
      </x:c>
      <x:c r="H266" s="47" t="str">
        <x:v>Direct static</x:v>
      </x:c>
      <x:c r="I266" s="47" t="str">
        <x:v>No</x:v>
      </x:c>
      <x:c r="J266" s="47" t="str">
        <x:v>ELIGIBLE</x:v>
      </x:c>
      <x:c r="K266" s="47" t="str">
        <x:v>NOT_RUN</x:v>
      </x:c>
    </x:row>
    <x:row r="267">
      <x:c r="A267" s="47" t="str">
        <x:v>TRF-078</x:v>
      </x:c>
      <x:c r="B267" s="48" t="str">
        <x:v>Ice Class Regulations and the Application Thereof</x:v>
      </x:c>
      <x:c r="C267" s="47" t="str">
        <x:v>TRAFICOM/68863/03.04.01.00/2021</x:v>
      </x:c>
      <x:c r="D267" s="59" t="n">
        <x:v>36</x:v>
      </x:c>
      <x:c r="E267" s="47" t="str">
        <x:v>6.5.1.9</x:v>
      </x:c>
      <x:c r="F267" s="47" t="str">
        <x:v>Static Calculation</x:v>
      </x:c>
      <x:c r="G267" s="48" t="str">
        <x:v>Stage 2 candidate - direct/deterministic</x:v>
      </x:c>
      <x:c r="H267" s="47" t="str">
        <x:v>Medium</x:v>
      </x:c>
      <x:c r="I267" s="47" t="str">
        <x:v>No</x:v>
      </x:c>
      <x:c r="J267" s="47" t="str">
        <x:v>ELIGIBLE</x:v>
      </x:c>
      <x:c r="K267" s="47" t="str">
        <x:v>NOT_RUN</x:v>
      </x:c>
    </x:row>
    <x:row r="268">
      <x:c r="A268" s="47" t="str">
        <x:v>TRF-079</x:v>
      </x:c>
      <x:c r="B268" s="48" t="str">
        <x:v>Ice Class Regulations and the Application Thereof</x:v>
      </x:c>
      <x:c r="C268" s="47" t="str">
        <x:v>TRAFICOM/68863/03.04.01.00/2021</x:v>
      </x:c>
      <x:c r="D268" s="59" t="n">
        <x:v>37</x:v>
      </x:c>
      <x:c r="E268" s="47" t="str">
        <x:v>6.5.1.9</x:v>
      </x:c>
      <x:c r="F268" s="47" t="str">
        <x:v>Static Calculation</x:v>
      </x:c>
      <x:c r="G268" s="48" t="str">
        <x:v>Stage 2 candidate - direct/deterministic</x:v>
      </x:c>
      <x:c r="H268" s="47" t="str">
        <x:v>Medium</x:v>
      </x:c>
      <x:c r="I268" s="47" t="str">
        <x:v>No</x:v>
      </x:c>
      <x:c r="J268" s="47" t="str">
        <x:v>ELIGIBLE</x:v>
      </x:c>
      <x:c r="K268" s="47" t="str">
        <x:v>NOT_RUN</x:v>
      </x:c>
    </x:row>
    <x:row r="269">
      <x:c r="A269" s="47" t="str">
        <x:v>TRF-080</x:v>
      </x:c>
      <x:c r="B269" s="48" t="str">
        <x:v>Ice Class Regulations and the Application Thereof</x:v>
      </x:c>
      <x:c r="C269" s="47" t="str">
        <x:v>TRAFICOM/68863/03.04.01.00/2021</x:v>
      </x:c>
      <x:c r="D269" s="59" t="n">
        <x:v>37</x:v>
      </x:c>
      <x:c r="E269" s="47" t="str">
        <x:v>6.5.1.9</x:v>
      </x:c>
      <x:c r="F269" s="47" t="str">
        <x:v>Static Calculation</x:v>
      </x:c>
      <x:c r="G269" s="48" t="str">
        <x:v>Stage 2 candidate - direct calculation</x:v>
      </x:c>
      <x:c r="H269" s="47" t="str">
        <x:v>Direct calculation</x:v>
      </x:c>
      <x:c r="I269" s="47" t="str">
        <x:v>No</x:v>
      </x:c>
      <x:c r="J269" s="47" t="str">
        <x:v>ELIGIBLE</x:v>
      </x:c>
      <x:c r="K269" s="47" t="str">
        <x:v>NOT_RUN</x:v>
      </x:c>
    </x:row>
    <x:row r="270">
      <x:c r="A270" s="47" t="str">
        <x:v>TRF-081</x:v>
      </x:c>
      <x:c r="B270" s="48" t="str">
        <x:v>Ice Class Regulations and the Application Thereof</x:v>
      </x:c>
      <x:c r="C270" s="47" t="str">
        <x:v>TRAFICOM/68863/03.04.01.00/2021</x:v>
      </x:c>
      <x:c r="D270" s="59" t="n">
        <x:v>37</x:v>
      </x:c>
      <x:c r="E270" s="47" t="str">
        <x:v>6.5.2.1-6.5.2.2</x:v>
      </x:c>
      <x:c r="F270" s="47" t="str">
        <x:v>Static Calculation</x:v>
      </x:c>
      <x:c r="G270" s="48" t="str">
        <x:v>Stage 2 candidate - direct/deterministic</x:v>
      </x:c>
      <x:c r="H270" s="47" t="str">
        <x:v>High</x:v>
      </x:c>
      <x:c r="I270" s="47" t="str">
        <x:v>No</x:v>
      </x:c>
      <x:c r="J270" s="47" t="str">
        <x:v>ELIGIBLE</x:v>
      </x:c>
      <x:c r="K270" s="47" t="str">
        <x:v>NOT_RUN</x:v>
      </x:c>
    </x:row>
    <x:row r="271">
      <x:c r="A271" s="47" t="str">
        <x:v>TRF-082</x:v>
      </x:c>
      <x:c r="B271" s="48" t="str">
        <x:v>Ice Class Regulations and the Application Thereof</x:v>
      </x:c>
      <x:c r="C271" s="47" t="str">
        <x:v>TRAFICOM/68863/03.04.01.00/2021</x:v>
      </x:c>
      <x:c r="D271" s="59" t="n">
        <x:v>37</x:v>
      </x:c>
      <x:c r="E271" s="47" t="str">
        <x:v>6.5.2.2</x:v>
      </x:c>
      <x:c r="F271" s="47" t="str">
        <x:v>Static</x:v>
      </x:c>
      <x:c r="G271" s="48" t="str">
        <x:v>Stage 2 candidate - direct/deterministic</x:v>
      </x:c>
      <x:c r="H271" s="47" t="str">
        <x:v>Medium</x:v>
      </x:c>
      <x:c r="I271" s="47" t="str">
        <x:v>No</x:v>
      </x:c>
      <x:c r="J271" s="47" t="str">
        <x:v>ELIGIBLE</x:v>
      </x:c>
      <x:c r="K271" s="47" t="str">
        <x:v>NOT_RUN</x:v>
      </x:c>
    </x:row>
    <x:row r="272">
      <x:c r="A272" s="47" t="str">
        <x:v>TRF-083</x:v>
      </x:c>
      <x:c r="B272" s="48" t="str">
        <x:v>Ice Class Regulations and the Application Thereof</x:v>
      </x:c>
      <x:c r="C272" s="47" t="str">
        <x:v>TRAFICOM/68863/03.04.01.00/2021</x:v>
      </x:c>
      <x:c r="D272" s="59" t="n">
        <x:v>38</x:v>
      </x:c>
      <x:c r="E272" s="47" t="str">
        <x:v>6.5.3.1</x:v>
      </x:c>
      <x:c r="F272" s="47" t="str">
        <x:v>Static</x:v>
      </x:c>
      <x:c r="G272" s="48" t="str">
        <x:v>Stage 2 candidate - direct/deterministic</x:v>
      </x:c>
      <x:c r="H272" s="47" t="str">
        <x:v>Medium</x:v>
      </x:c>
      <x:c r="I272" s="47" t="str">
        <x:v>No</x:v>
      </x:c>
      <x:c r="J272" s="47" t="str">
        <x:v>ELIGIBLE</x:v>
      </x:c>
      <x:c r="K272" s="47" t="str">
        <x:v>NOT_RUN</x:v>
      </x:c>
    </x:row>
    <x:row r="273">
      <x:c r="A273" s="47" t="str">
        <x:v>TRF-084</x:v>
      </x:c>
      <x:c r="B273" s="48" t="str">
        <x:v>Ice Class Regulations and the Application Thereof</x:v>
      </x:c>
      <x:c r="C273" s="47" t="str">
        <x:v>TRAFICOM/68863/03.04.01.00/2021</x:v>
      </x:c>
      <x:c r="D273" s="59" t="n">
        <x:v>38</x:v>
      </x:c>
      <x:c r="E273" s="47" t="str">
        <x:v>6.5.3.1</x:v>
      </x:c>
      <x:c r="F273" s="47" t="str">
        <x:v>Static Calculation</x:v>
      </x:c>
      <x:c r="G273" s="48" t="str">
        <x:v>Stage 2 candidate - direct calculation</x:v>
      </x:c>
      <x:c r="H273" s="47" t="str">
        <x:v>Direct calculation</x:v>
      </x:c>
      <x:c r="I273" s="47" t="str">
        <x:v>No</x:v>
      </x:c>
      <x:c r="J273" s="47" t="str">
        <x:v>ELIGIBLE</x:v>
      </x:c>
      <x:c r="K273" s="47" t="str">
        <x:v>NOT_RUN</x:v>
      </x:c>
    </x:row>
    <x:row r="274">
      <x:c r="A274" s="47" t="str">
        <x:v>TRF-085</x:v>
      </x:c>
      <x:c r="B274" s="48" t="str">
        <x:v>Ice Class Regulations and the Application Thereof</x:v>
      </x:c>
      <x:c r="C274" s="47" t="str">
        <x:v>TRAFICOM/68863/03.04.01.00/2021</x:v>
      </x:c>
      <x:c r="D274" s="59" t="n">
        <x:v>39</x:v>
      </x:c>
      <x:c r="E274" s="47" t="str">
        <x:v>6.5.3.2</x:v>
      </x:c>
      <x:c r="F274" s="47" t="str">
        <x:v>Static</x:v>
      </x:c>
      <x:c r="G274" s="48" t="str">
        <x:v>Stage 2 candidate - direct/deterministic</x:v>
      </x:c>
      <x:c r="H274" s="47" t="str">
        <x:v>Medium</x:v>
      </x:c>
      <x:c r="I274" s="47" t="str">
        <x:v>No</x:v>
      </x:c>
      <x:c r="J274" s="47" t="str">
        <x:v>ELIGIBLE</x:v>
      </x:c>
      <x:c r="K274" s="47" t="str">
        <x:v>NOT_RUN</x:v>
      </x:c>
    </x:row>
    <x:row r="275">
      <x:c r="A275" s="47" t="str">
        <x:v>TRF-086</x:v>
      </x:c>
      <x:c r="B275" s="48" t="str">
        <x:v>Ice Class Regulations and the Application Thereof</x:v>
      </x:c>
      <x:c r="C275" s="47" t="str">
        <x:v>TRAFICOM/68863/03.04.01.00/2021</x:v>
      </x:c>
      <x:c r="D275" s="59" t="n">
        <x:v>39</x:v>
      </x:c>
      <x:c r="E275" s="47" t="str">
        <x:v>6.5.3.2</x:v>
      </x:c>
      <x:c r="F275" s="47" t="str">
        <x:v>Static Calculation</x:v>
      </x:c>
      <x:c r="G275" s="48" t="str">
        <x:v>Stage 2 candidate - direct calculation</x:v>
      </x:c>
      <x:c r="H275" s="47" t="str">
        <x:v>Direct calculation</x:v>
      </x:c>
      <x:c r="I275" s="47" t="str">
        <x:v>No</x:v>
      </x:c>
      <x:c r="J275" s="47" t="str">
        <x:v>ELIGIBLE</x:v>
      </x:c>
      <x:c r="K275" s="47" t="str">
        <x:v>NOT_RUN</x:v>
      </x:c>
    </x:row>
    <x:row r="276">
      <x:c r="A276" s="47" t="str">
        <x:v>TRF-087</x:v>
      </x:c>
      <x:c r="B276" s="48" t="str">
        <x:v>Ice Class Regulations and the Application Thereof</x:v>
      </x:c>
      <x:c r="C276" s="47" t="str">
        <x:v>TRAFICOM/68863/03.04.01.00/2021</x:v>
      </x:c>
      <x:c r="D276" s="59" t="n">
        <x:v>39</x:v>
      </x:c>
      <x:c r="E276" s="47" t="str">
        <x:v>6.5.3.3</x:v>
      </x:c>
      <x:c r="F276" s="47" t="str">
        <x:v>Static</x:v>
      </x:c>
      <x:c r="G276" s="48" t="str">
        <x:v>Stage 2 candidate - direct/deterministic</x:v>
      </x:c>
      <x:c r="H276" s="47" t="str">
        <x:v>High</x:v>
      </x:c>
      <x:c r="I276" s="47" t="str">
        <x:v>No</x:v>
      </x:c>
      <x:c r="J276" s="47" t="str">
        <x:v>ELIGIBLE</x:v>
      </x:c>
      <x:c r="K276" s="47" t="str">
        <x:v>NOT_RUN</x:v>
      </x:c>
    </x:row>
    <x:row r="277">
      <x:c r="A277" s="47" t="str">
        <x:v>TRF-088</x:v>
      </x:c>
      <x:c r="B277" s="48" t="str">
        <x:v>Ice Class Regulations and the Application Thereof</x:v>
      </x:c>
      <x:c r="C277" s="47" t="str">
        <x:v>TRAFICOM/68863/03.04.01.00/2021</x:v>
      </x:c>
      <x:c r="D277" s="59" t="n">
        <x:v>39</x:v>
      </x:c>
      <x:c r="E277" s="47" t="str">
        <x:v>6.5.3.3</x:v>
      </x:c>
      <x:c r="F277" s="47" t="str">
        <x:v>Static</x:v>
      </x:c>
      <x:c r="G277" s="48" t="str">
        <x:v>Stage 2 candidate - direct static</x:v>
      </x:c>
      <x:c r="H277" s="47" t="str">
        <x:v>Direct static</x:v>
      </x:c>
      <x:c r="I277" s="47" t="str">
        <x:v>No</x:v>
      </x:c>
      <x:c r="J277" s="47" t="str">
        <x:v>ELIGIBLE</x:v>
      </x:c>
      <x:c r="K277" s="47" t="str">
        <x:v>NOT_RUN</x:v>
      </x:c>
    </x:row>
    <x:row r="278">
      <x:c r="A278" s="47" t="str">
        <x:v>TRF-089</x:v>
      </x:c>
      <x:c r="B278" s="48" t="str">
        <x:v>Ice Class Regulations and the Application Thereof</x:v>
      </x:c>
      <x:c r="C278" s="47" t="str">
        <x:v>TRAFICOM/68863/03.04.01.00/2021</x:v>
      </x:c>
      <x:c r="D278" s="59" t="n">
        <x:v>39</x:v>
      </x:c>
      <x:c r="E278" s="47" t="str">
        <x:v>6.5.3.4</x:v>
      </x:c>
      <x:c r="F278" s="47" t="str">
        <x:v>Dynamic</x:v>
      </x:c>
      <x:c r="G278" s="48" t="str">
        <x:v>Deferred - observation/history/simulation design required</x:v>
      </x:c>
      <x:c r="H278" s="47" t="str">
        <x:v>Medium</x:v>
      </x:c>
      <x:c r="I278" s="47" t="str">
        <x:v>No</x:v>
      </x:c>
      <x:c r="J278" s="47" t="str">
        <x:v>DEFERRED</x:v>
      </x:c>
      <x:c r="K278" s="47" t="str">
        <x:v>NOT_RUN</x:v>
      </x:c>
    </x:row>
    <x:row r="279">
      <x:c r="A279" s="47" t="str">
        <x:v>TRF-090</x:v>
      </x:c>
      <x:c r="B279" s="48" t="str">
        <x:v>Ice Class Regulations and the Application Thereof</x:v>
      </x:c>
      <x:c r="C279" s="47" t="str">
        <x:v>TRAFICOM/68863/03.04.01.00/2021</x:v>
      </x:c>
      <x:c r="D279" s="59" t="n">
        <x:v>40</x:v>
      </x:c>
      <x:c r="E279" s="47" t="str">
        <x:v>6.5.3.4</x:v>
      </x:c>
      <x:c r="F279" s="47" t="str">
        <x:v>Dynamic</x:v>
      </x:c>
      <x:c r="G279" s="48" t="str">
        <x:v>Deferred - observation/history/simulation design required</x:v>
      </x:c>
      <x:c r="H279" s="47" t="str">
        <x:v>Medium</x:v>
      </x:c>
      <x:c r="I279" s="47" t="str">
        <x:v>No</x:v>
      </x:c>
      <x:c r="J279" s="47" t="str">
        <x:v>DEFERRED</x:v>
      </x:c>
      <x:c r="K279" s="47" t="str">
        <x:v>NOT_RUN</x:v>
      </x:c>
    </x:row>
    <x:row r="280">
      <x:c r="A280" s="47" t="str">
        <x:v>TRF-091</x:v>
      </x:c>
      <x:c r="B280" s="48" t="str">
        <x:v>Ice Class Regulations and the Application Thereof</x:v>
      </x:c>
      <x:c r="C280" s="47" t="str">
        <x:v>TRAFICOM/68863/03.04.01.00/2021</x:v>
      </x:c>
      <x:c r="D280" s="59" t="n">
        <x:v>40</x:v>
      </x:c>
      <x:c r="E280" s="47" t="str">
        <x:v>6.5.3.4</x:v>
      </x:c>
      <x:c r="F280" s="47" t="str">
        <x:v>Static</x:v>
      </x:c>
      <x:c r="G280" s="48" t="str">
        <x:v>Stage 2 candidate - direct/deterministic</x:v>
      </x:c>
      <x:c r="H280" s="47" t="str">
        <x:v>High</x:v>
      </x:c>
      <x:c r="I280" s="47" t="str">
        <x:v>No</x:v>
      </x:c>
      <x:c r="J280" s="47" t="str">
        <x:v>ELIGIBLE</x:v>
      </x:c>
      <x:c r="K280" s="47" t="str">
        <x:v>NOT_RUN</x:v>
      </x:c>
    </x:row>
    <x:row r="281">
      <x:c r="A281" s="47" t="str">
        <x:v>TRF-092</x:v>
      </x:c>
      <x:c r="B281" s="48" t="str">
        <x:v>Ice Class Regulations and the Application Thereof</x:v>
      </x:c>
      <x:c r="C281" s="47" t="str">
        <x:v>TRAFICOM/68863/03.04.01.00/2021</x:v>
      </x:c>
      <x:c r="D281" s="59" t="n">
        <x:v>40</x:v>
      </x:c>
      <x:c r="E281" s="47" t="str">
        <x:v>6.5.3.4</x:v>
      </x:c>
      <x:c r="F281" s="47" t="str">
        <x:v>Dynamic</x:v>
      </x:c>
      <x:c r="G281" s="48" t="str">
        <x:v>Deferred - observation/history/simulation design required</x:v>
      </x:c>
      <x:c r="H281" s="47" t="str">
        <x:v>Deferred</x:v>
      </x:c>
      <x:c r="I281" s="47" t="str">
        <x:v>No</x:v>
      </x:c>
      <x:c r="J281" s="47" t="str">
        <x:v>DEFERRED</x:v>
      </x:c>
      <x:c r="K281" s="47" t="str">
        <x:v>NOT_RUN</x:v>
      </x:c>
    </x:row>
    <x:row r="282">
      <x:c r="A282" s="47" t="str">
        <x:v>TRF-093</x:v>
      </x:c>
      <x:c r="B282" s="48" t="str">
        <x:v>Ice Class Regulations and the Application Thereof</x:v>
      </x:c>
      <x:c r="C282" s="47" t="str">
        <x:v>TRAFICOM/68863/03.04.01.00/2021</x:v>
      </x:c>
      <x:c r="D282" s="59" t="n">
        <x:v>40</x:v>
      </x:c>
      <x:c r="E282" s="47" t="str">
        <x:v>6.5.3.4</x:v>
      </x:c>
      <x:c r="F282" s="47" t="str">
        <x:v>Dynamic</x:v>
      </x:c>
      <x:c r="G282" s="48" t="str">
        <x:v>Deferred - observation/history/simulation design required</x:v>
      </x:c>
      <x:c r="H282" s="47" t="str">
        <x:v>Medium</x:v>
      </x:c>
      <x:c r="I282" s="47" t="str">
        <x:v>No</x:v>
      </x:c>
      <x:c r="J282" s="47" t="str">
        <x:v>DEFERRED</x:v>
      </x:c>
      <x:c r="K282" s="47" t="str">
        <x:v>NOT_RUN</x:v>
      </x:c>
    </x:row>
    <x:row r="283">
      <x:c r="A283" s="47" t="str">
        <x:v>TRF-094</x:v>
      </x:c>
      <x:c r="B283" s="48" t="str">
        <x:v>Ice Class Regulations and the Application Thereof</x:v>
      </x:c>
      <x:c r="C283" s="47" t="str">
        <x:v>TRAFICOM/68863/03.04.01.00/2021</x:v>
      </x:c>
      <x:c r="D283" s="59" t="n">
        <x:v>40</x:v>
      </x:c>
      <x:c r="E283" s="47" t="str">
        <x:v>6.5.3.4</x:v>
      </x:c>
      <x:c r="F283" s="47" t="str">
        <x:v>Dynamic</x:v>
      </x:c>
      <x:c r="G283" s="48" t="str">
        <x:v>Deferred - observation/history/simulation design required</x:v>
      </x:c>
      <x:c r="H283" s="47" t="str">
        <x:v>Medium</x:v>
      </x:c>
      <x:c r="I283" s="47" t="str">
        <x:v>No</x:v>
      </x:c>
      <x:c r="J283" s="47" t="str">
        <x:v>DEFERRED</x:v>
      </x:c>
      <x:c r="K283" s="47" t="str">
        <x:v>NOT_RUN</x:v>
      </x:c>
    </x:row>
    <x:row r="284">
      <x:c r="A284" s="47" t="str">
        <x:v>TRF-095</x:v>
      </x:c>
      <x:c r="B284" s="48" t="str">
        <x:v>Ice Class Regulations and the Application Thereof</x:v>
      </x:c>
      <x:c r="C284" s="47" t="str">
        <x:v>TRAFICOM/68863/03.04.01.00/2021</x:v>
      </x:c>
      <x:c r="D284" s="59" t="n">
        <x:v>40</x:v>
      </x:c>
      <x:c r="E284" s="47" t="str">
        <x:v>6.5.3.4</x:v>
      </x:c>
      <x:c r="F284" s="47" t="str">
        <x:v>Dynamic</x:v>
      </x:c>
      <x:c r="G284" s="48" t="str">
        <x:v>Deferred - observation/history/simulation design required</x:v>
      </x:c>
      <x:c r="H284" s="47" t="str">
        <x:v>Medium</x:v>
      </x:c>
      <x:c r="I284" s="47" t="str">
        <x:v>No</x:v>
      </x:c>
      <x:c r="J284" s="47" t="str">
        <x:v>DEFERRED</x:v>
      </x:c>
      <x:c r="K284" s="47" t="str">
        <x:v>NOT_RUN</x:v>
      </x:c>
    </x:row>
    <x:row r="285">
      <x:c r="A285" s="47" t="str">
        <x:v>TRF-096</x:v>
      </x:c>
      <x:c r="B285" s="48" t="str">
        <x:v>Ice Class Regulations and the Application Thereof</x:v>
      </x:c>
      <x:c r="C285" s="47" t="str">
        <x:v>TRAFICOM/68863/03.04.01.00/2021</x:v>
      </x:c>
      <x:c r="D285" s="59" t="n">
        <x:v>41</x:v>
      </x:c>
      <x:c r="E285" s="47" t="str">
        <x:v>6.5.3.4</x:v>
      </x:c>
      <x:c r="F285" s="47" t="str">
        <x:v>Dynamic</x:v>
      </x:c>
      <x:c r="G285" s="48" t="str">
        <x:v>Deferred - observation/history/simulation design required</x:v>
      </x:c>
      <x:c r="H285" s="47" t="str">
        <x:v>Deferred</x:v>
      </x:c>
      <x:c r="I285" s="47" t="str">
        <x:v>No</x:v>
      </x:c>
      <x:c r="J285" s="47" t="str">
        <x:v>DEFERRED</x:v>
      </x:c>
      <x:c r="K285" s="47" t="str">
        <x:v>NOT_RUN</x:v>
      </x:c>
    </x:row>
    <x:row r="286">
      <x:c r="A286" s="47" t="str">
        <x:v>TRF-097</x:v>
      </x:c>
      <x:c r="B286" s="48" t="str">
        <x:v>Ice Class Regulations and the Application Thereof</x:v>
      </x:c>
      <x:c r="C286" s="47" t="str">
        <x:v>TRAFICOM/68863/03.04.01.00/2021</x:v>
      </x:c>
      <x:c r="D286" s="59" t="str">
        <x:v>43-44</x:v>
      </x:c>
      <x:c r="E286" s="47" t="str">
        <x:v>6.5.3.4</x:v>
      </x:c>
      <x:c r="F286" s="47" t="str">
        <x:v>Dynamic</x:v>
      </x:c>
      <x:c r="G286" s="48" t="str">
        <x:v>Deferred - observation/history/simulation design required</x:v>
      </x:c>
      <x:c r="H286" s="47" t="str">
        <x:v>Medium</x:v>
      </x:c>
      <x:c r="I286" s="47" t="str">
        <x:v>No</x:v>
      </x:c>
      <x:c r="J286" s="47" t="str">
        <x:v>DEFERRED</x:v>
      </x:c>
      <x:c r="K286" s="47" t="str">
        <x:v>NOT_RUN</x:v>
      </x:c>
    </x:row>
    <x:row r="287">
      <x:c r="A287" s="47" t="str">
        <x:v>TRF-098</x:v>
      </x:c>
      <x:c r="B287" s="48" t="str">
        <x:v>Ice Class Regulations and the Application Thereof</x:v>
      </x:c>
      <x:c r="C287" s="47" t="str">
        <x:v>TRAFICOM/68863/03.04.01.00/2021</x:v>
      </x:c>
      <x:c r="D287" s="59" t="n">
        <x:v>44</x:v>
      </x:c>
      <x:c r="E287" s="47" t="str">
        <x:v>6.5.3.4</x:v>
      </x:c>
      <x:c r="F287" s="47" t="str">
        <x:v>Dynamic</x:v>
      </x:c>
      <x:c r="G287" s="48" t="str">
        <x:v>Deferred - observation/history/simulation design required</x:v>
      </x:c>
      <x:c r="H287" s="47" t="str">
        <x:v>Medium</x:v>
      </x:c>
      <x:c r="I287" s="47" t="str">
        <x:v>No</x:v>
      </x:c>
      <x:c r="J287" s="47" t="str">
        <x:v>DEFERRED</x:v>
      </x:c>
      <x:c r="K287" s="47" t="str">
        <x:v>NOT_RUN</x:v>
      </x:c>
    </x:row>
    <x:row r="288">
      <x:c r="A288" s="47" t="str">
        <x:v>TRF-099</x:v>
      </x:c>
      <x:c r="B288" s="48" t="str">
        <x:v>Ice Class Regulations and the Application Thereof</x:v>
      </x:c>
      <x:c r="C288" s="47" t="str">
        <x:v>TRAFICOM/68863/03.04.01.00/2021</x:v>
      </x:c>
      <x:c r="D288" s="59" t="n">
        <x:v>45</x:v>
      </x:c>
      <x:c r="E288" s="47" t="str">
        <x:v>6.5.3.4</x:v>
      </x:c>
      <x:c r="F288" s="47" t="str">
        <x:v>Dynamic</x:v>
      </x:c>
      <x:c r="G288" s="48" t="str">
        <x:v>Deferred - observation/history/simulation design required</x:v>
      </x:c>
      <x:c r="H288" s="47" t="str">
        <x:v>Medium</x:v>
      </x:c>
      <x:c r="I288" s="47" t="str">
        <x:v>No</x:v>
      </x:c>
      <x:c r="J288" s="47" t="str">
        <x:v>DEFERRED</x:v>
      </x:c>
      <x:c r="K288" s="47" t="str">
        <x:v>NOT_RUN</x:v>
      </x:c>
    </x:row>
    <x:row r="289">
      <x:c r="A289" s="47" t="str">
        <x:v>TRF-100</x:v>
      </x:c>
      <x:c r="B289" s="48" t="str">
        <x:v>Ice Class Regulations and the Application Thereof</x:v>
      </x:c>
      <x:c r="C289" s="47" t="str">
        <x:v>TRAFICOM/68863/03.04.01.00/2021</x:v>
      </x:c>
      <x:c r="D289" s="59" t="n">
        <x:v>45</x:v>
      </x:c>
      <x:c r="E289" s="47" t="str">
        <x:v>6.5.3.4</x:v>
      </x:c>
      <x:c r="F289" s="47" t="str">
        <x:v>Dynamic</x:v>
      </x:c>
      <x:c r="G289" s="48" t="str">
        <x:v>Deferred - observation/history/simulation design required</x:v>
      </x:c>
      <x:c r="H289" s="47" t="str">
        <x:v>Medium</x:v>
      </x:c>
      <x:c r="I289" s="47" t="str">
        <x:v>No</x:v>
      </x:c>
      <x:c r="J289" s="47" t="str">
        <x:v>DEFERRED</x:v>
      </x:c>
      <x:c r="K289" s="47" t="str">
        <x:v>NOT_RUN</x:v>
      </x:c>
    </x:row>
    <x:row r="290">
      <x:c r="A290" s="47" t="str">
        <x:v>TRF-101</x:v>
      </x:c>
      <x:c r="B290" s="48" t="str">
        <x:v>Ice Class Regulations and the Application Thereof</x:v>
      </x:c>
      <x:c r="C290" s="47" t="str">
        <x:v>TRAFICOM/68863/03.04.01.00/2021</x:v>
      </x:c>
      <x:c r="D290" s="59" t="str">
        <x:v>45-46</x:v>
      </x:c>
      <x:c r="E290" s="47" t="str">
        <x:v>6.5.4.1</x:v>
      </x:c>
      <x:c r="F290" s="47" t="str">
        <x:v>Static Calculation</x:v>
      </x:c>
      <x:c r="G290" s="48" t="str">
        <x:v>Stage 2 candidate - direct/deterministic</x:v>
      </x:c>
      <x:c r="H290" s="47" t="str">
        <x:v>Medium</x:v>
      </x:c>
      <x:c r="I290" s="47" t="str">
        <x:v>No</x:v>
      </x:c>
      <x:c r="J290" s="47" t="str">
        <x:v>ELIGIBLE</x:v>
      </x:c>
      <x:c r="K290" s="47" t="str">
        <x:v>NOT_RUN</x:v>
      </x:c>
    </x:row>
    <x:row r="291">
      <x:c r="A291" s="47" t="str">
        <x:v>TRF-102</x:v>
      </x:c>
      <x:c r="B291" s="48" t="str">
        <x:v>Ice Class Regulations and the Application Thereof</x:v>
      </x:c>
      <x:c r="C291" s="47" t="str">
        <x:v>TRAFICOM/68863/03.04.01.00/2021</x:v>
      </x:c>
      <x:c r="D291" s="59" t="n">
        <x:v>46</x:v>
      </x:c>
      <x:c r="E291" s="47" t="str">
        <x:v>6.5.4.2</x:v>
      </x:c>
      <x:c r="F291" s="47" t="str">
        <x:v>Static Calculation</x:v>
      </x:c>
      <x:c r="G291" s="48" t="str">
        <x:v>Stage 2 candidate - direct/deterministic</x:v>
      </x:c>
      <x:c r="H291" s="47" t="str">
        <x:v>Medium</x:v>
      </x:c>
      <x:c r="I291" s="47" t="str">
        <x:v>No</x:v>
      </x:c>
      <x:c r="J291" s="47" t="str">
        <x:v>ELIGIBLE</x:v>
      </x:c>
      <x:c r="K291" s="47" t="str">
        <x:v>NOT_RUN</x:v>
      </x:c>
    </x:row>
    <x:row r="292">
      <x:c r="A292" s="47" t="str">
        <x:v>TRF-103</x:v>
      </x:c>
      <x:c r="B292" s="48" t="str">
        <x:v>Ice Class Regulations and the Application Thereof</x:v>
      </x:c>
      <x:c r="C292" s="47" t="str">
        <x:v>TRAFICOM/68863/03.04.01.00/2021</x:v>
      </x:c>
      <x:c r="D292" s="59" t="n">
        <x:v>46</x:v>
      </x:c>
      <x:c r="E292" s="47" t="str">
        <x:v>6.5.4.2</x:v>
      </x:c>
      <x:c r="F292" s="47" t="str">
        <x:v>Static</x:v>
      </x:c>
      <x:c r="G292" s="48" t="str">
        <x:v>Stage 2 candidate - direct static</x:v>
      </x:c>
      <x:c r="H292" s="47" t="str">
        <x:v>Direct static</x:v>
      </x:c>
      <x:c r="I292" s="47" t="str">
        <x:v>No</x:v>
      </x:c>
      <x:c r="J292" s="47" t="str">
        <x:v>ELIGIBLE</x:v>
      </x:c>
      <x:c r="K292" s="47" t="str">
        <x:v>NOT_RUN</x:v>
      </x:c>
    </x:row>
    <x:row r="293">
      <x:c r="A293" s="47" t="str">
        <x:v>TRF-104</x:v>
      </x:c>
      <x:c r="B293" s="48" t="str">
        <x:v>Ice Class Regulations and the Application Thereof</x:v>
      </x:c>
      <x:c r="C293" s="47" t="str">
        <x:v>TRAFICOM/68863/03.04.01.00/2021</x:v>
      </x:c>
      <x:c r="D293" s="59" t="n">
        <x:v>47</x:v>
      </x:c>
      <x:c r="E293" s="47" t="str">
        <x:v>6.6.1</x:v>
      </x:c>
      <x:c r="F293" s="47" t="str">
        <x:v>Static</x:v>
      </x:c>
      <x:c r="G293" s="48" t="str">
        <x:v>Stage 2 candidate - direct/deterministic</x:v>
      </x:c>
      <x:c r="H293" s="47" t="str">
        <x:v>High</x:v>
      </x:c>
      <x:c r="I293" s="47" t="str">
        <x:v>No</x:v>
      </x:c>
      <x:c r="J293" s="47" t="str">
        <x:v>ELIGIBLE</x:v>
      </x:c>
      <x:c r="K293" s="47" t="str">
        <x:v>NOT_RUN</x:v>
      </x:c>
    </x:row>
    <x:row r="294">
      <x:c r="A294" s="47" t="str">
        <x:v>TRF-105</x:v>
      </x:c>
      <x:c r="B294" s="48" t="str">
        <x:v>Ice Class Regulations and the Application Thereof</x:v>
      </x:c>
      <x:c r="C294" s="47" t="str">
        <x:v>TRAFICOM/68863/03.04.01.00/2021</x:v>
      </x:c>
      <x:c r="D294" s="59" t="n">
        <x:v>47</x:v>
      </x:c>
      <x:c r="E294" s="47" t="str">
        <x:v>6.6.2.1</x:v>
      </x:c>
      <x:c r="F294" s="47" t="str">
        <x:v>Complex</x:v>
      </x:c>
      <x:c r="G294" s="48" t="str">
        <x:v>Deferred - composite/evidence workflow review</x:v>
      </x:c>
      <x:c r="H294" s="47" t="str">
        <x:v>Medium</x:v>
      </x:c>
      <x:c r="I294" s="47" t="str">
        <x:v>No</x:v>
      </x:c>
      <x:c r="J294" s="47" t="str">
        <x:v>DEFERRED</x:v>
      </x:c>
      <x:c r="K294" s="47" t="str">
        <x:v>NOT_RUN</x:v>
      </x:c>
    </x:row>
    <x:row r="295">
      <x:c r="A295" s="47" t="str">
        <x:v>TRF-106</x:v>
      </x:c>
      <x:c r="B295" s="48" t="str">
        <x:v>Ice Class Regulations and the Application Thereof</x:v>
      </x:c>
      <x:c r="C295" s="47" t="str">
        <x:v>TRAFICOM/68863/03.04.01.00/2021</x:v>
      </x:c>
      <x:c r="D295" s="59" t="n">
        <x:v>48</x:v>
      </x:c>
      <x:c r="E295" s="47" t="str">
        <x:v>6.6.2.2-6.6.2.3</x:v>
      </x:c>
      <x:c r="F295" s="47" t="str">
        <x:v>Complex</x:v>
      </x:c>
      <x:c r="G295" s="48" t="str">
        <x:v>Deferred - composite/evidence workflow review</x:v>
      </x:c>
      <x:c r="H295" s="47" t="str">
        <x:v>Medium</x:v>
      </x:c>
      <x:c r="I295" s="47" t="str">
        <x:v>No</x:v>
      </x:c>
      <x:c r="J295" s="47" t="str">
        <x:v>DEFERRED</x:v>
      </x:c>
      <x:c r="K295" s="47" t="str">
        <x:v>NOT_RUN</x:v>
      </x:c>
    </x:row>
    <x:row r="296">
      <x:c r="A296" s="47" t="str">
        <x:v>TRF-108</x:v>
      </x:c>
      <x:c r="B296" s="48" t="str">
        <x:v>Ice Class Regulations and the Application Thereof</x:v>
      </x:c>
      <x:c r="C296" s="47" t="str">
        <x:v>TRAFICOM/68863/03.04.01.00/2021</x:v>
      </x:c>
      <x:c r="D296" s="59" t="n">
        <x:v>48</x:v>
      </x:c>
      <x:c r="E296" s="47" t="str">
        <x:v>6.6.2.3</x:v>
      </x:c>
      <x:c r="F296" s="47" t="str">
        <x:v>Static</x:v>
      </x:c>
      <x:c r="G296" s="48" t="str">
        <x:v>Stage 2 candidate - direct/deterministic</x:v>
      </x:c>
      <x:c r="H296" s="47" t="str">
        <x:v>High</x:v>
      </x:c>
      <x:c r="I296" s="47" t="str">
        <x:v>No</x:v>
      </x:c>
      <x:c r="J296" s="47" t="str">
        <x:v>ELIGIBLE</x:v>
      </x:c>
      <x:c r="K296" s="47" t="str">
        <x:v>NOT_RUN</x:v>
      </x:c>
    </x:row>
    <x:row r="297">
      <x:c r="A297" s="47" t="str">
        <x:v>TRF-109</x:v>
      </x:c>
      <x:c r="B297" s="48" t="str">
        <x:v>Ice Class Regulations and the Application Thereof</x:v>
      </x:c>
      <x:c r="C297" s="47" t="str">
        <x:v>TRAFICOM/68863/03.04.01.00/2021</x:v>
      </x:c>
      <x:c r="D297" s="59" t="n">
        <x:v>50</x:v>
      </x:c>
      <x:c r="E297" s="47" t="str">
        <x:v>6.6.2.3</x:v>
      </x:c>
      <x:c r="F297" s="47" t="str">
        <x:v>Static</x:v>
      </x:c>
      <x:c r="G297" s="48" t="str">
        <x:v>Stage 2 candidate - direct/deterministic</x:v>
      </x:c>
      <x:c r="H297" s="47" t="str">
        <x:v>Medium</x:v>
      </x:c>
      <x:c r="I297" s="47" t="str">
        <x:v>No</x:v>
      </x:c>
      <x:c r="J297" s="47" t="str">
        <x:v>ELIGIBLE</x:v>
      </x:c>
      <x:c r="K297" s="47" t="str">
        <x:v>NOT_RUN</x:v>
      </x:c>
    </x:row>
    <x:row r="298">
      <x:c r="A298" s="47" t="str">
        <x:v>TRF-110</x:v>
      </x:c>
      <x:c r="B298" s="48" t="str">
        <x:v>Ice Class Regulations and the Application Thereof</x:v>
      </x:c>
      <x:c r="C298" s="47" t="str">
        <x:v>TRAFICOM/68863/03.04.01.00/2021</x:v>
      </x:c>
      <x:c r="D298" s="59" t="n">
        <x:v>51</x:v>
      </x:c>
      <x:c r="E298" s="47" t="str">
        <x:v>6.6.2.4; 6.6.3</x:v>
      </x:c>
      <x:c r="F298" s="47" t="str">
        <x:v>Complex</x:v>
      </x:c>
      <x:c r="G298" s="48" t="str">
        <x:v>Deferred - composite/evidence workflow review</x:v>
      </x:c>
      <x:c r="H298" s="47" t="str">
        <x:v>Medium</x:v>
      </x:c>
      <x:c r="I298" s="47" t="str">
        <x:v>No</x:v>
      </x:c>
      <x:c r="J298" s="47" t="str">
        <x:v>DEFERRED</x:v>
      </x:c>
      <x:c r="K298" s="47" t="str">
        <x:v>NOT_RUN</x:v>
      </x:c>
    </x:row>
    <x:row r="299">
      <x:c r="A299" s="47" t="str">
        <x:v>TRF-111</x:v>
      </x:c>
      <x:c r="B299" s="48" t="str">
        <x:v>Ice Class Regulations and the Application Thereof</x:v>
      </x:c>
      <x:c r="C299" s="47" t="str">
        <x:v>TRAFICOM/68863/03.04.01.00/2021</x:v>
      </x:c>
      <x:c r="D299" s="59" t="n">
        <x:v>51</x:v>
      </x:c>
      <x:c r="E299" s="47" t="str">
        <x:v>6.6.4</x:v>
      </x:c>
      <x:c r="F299" s="47" t="str">
        <x:v>Complex</x:v>
      </x:c>
      <x:c r="G299" s="48" t="str">
        <x:v>Stage 2 candidate - complex readiness</x:v>
      </x:c>
      <x:c r="H299" s="47" t="str">
        <x:v>Complex readiness</x:v>
      </x:c>
      <x:c r="I299" s="47" t="str">
        <x:v>No</x:v>
      </x:c>
      <x:c r="J299" s="47" t="str">
        <x:v>ELIGIBLE</x:v>
      </x:c>
      <x:c r="K299" s="47" t="str">
        <x:v>NOT_RUN</x:v>
      </x:c>
    </x:row>
    <x:row r="300">
      <x:c r="A300" s="47" t="str">
        <x:v>TRF-112</x:v>
      </x:c>
      <x:c r="B300" s="48" t="str">
        <x:v>Ice Class Regulations and the Application Thereof</x:v>
      </x:c>
      <x:c r="C300" s="47" t="str">
        <x:v>TRAFICOM/68863/03.04.01.00/2021</x:v>
      </x:c>
      <x:c r="D300" s="59" t="n">
        <x:v>52</x:v>
      </x:c>
      <x:c r="E300" s="47" t="str">
        <x:v>6.6.4.1</x:v>
      </x:c>
      <x:c r="F300" s="47" t="str">
        <x:v>Complex</x:v>
      </x:c>
      <x:c r="G300" s="48" t="str">
        <x:v>Stage 2 candidate - complex readiness</x:v>
      </x:c>
      <x:c r="H300" s="47" t="str">
        <x:v>Complex readiness</x:v>
      </x:c>
      <x:c r="I300" s="47" t="str">
        <x:v>No</x:v>
      </x:c>
      <x:c r="J300" s="47" t="str">
        <x:v>ELIGIBLE</x:v>
      </x:c>
      <x:c r="K300" s="47" t="str">
        <x:v>NOT_RUN</x:v>
      </x:c>
    </x:row>
    <x:row r="301">
      <x:c r="A301" s="47" t="str">
        <x:v>TRF-113</x:v>
      </x:c>
      <x:c r="B301" s="48" t="str">
        <x:v>Ice Class Regulations and the Application Thereof</x:v>
      </x:c>
      <x:c r="C301" s="47" t="str">
        <x:v>TRAFICOM/68863/03.04.01.00/2021</x:v>
      </x:c>
      <x:c r="D301" s="59" t="n">
        <x:v>52</x:v>
      </x:c>
      <x:c r="E301" s="47" t="str">
        <x:v>6.6.5.1</x:v>
      </x:c>
      <x:c r="F301" s="47" t="str">
        <x:v>Static</x:v>
      </x:c>
      <x:c r="G301" s="48" t="str">
        <x:v>Stage 2 candidate - direct/deterministic</x:v>
      </x:c>
      <x:c r="H301" s="47" t="str">
        <x:v>High</x:v>
      </x:c>
      <x:c r="I301" s="47" t="str">
        <x:v>No</x:v>
      </x:c>
      <x:c r="J301" s="47" t="str">
        <x:v>ELIGIBLE</x:v>
      </x:c>
      <x:c r="K301" s="47" t="str">
        <x:v>NOT_RUN</x:v>
      </x:c>
    </x:row>
    <x:row r="302">
      <x:c r="A302" s="47" t="str">
        <x:v>TRF-114</x:v>
      </x:c>
      <x:c r="B302" s="48" t="str">
        <x:v>Ice Class Regulations and the Application Thereof</x:v>
      </x:c>
      <x:c r="C302" s="47" t="str">
        <x:v>TRAFICOM/68863/03.04.01.00/2021</x:v>
      </x:c>
      <x:c r="D302" s="59" t="n">
        <x:v>53</x:v>
      </x:c>
      <x:c r="E302" s="47" t="str">
        <x:v>6.6.5.2</x:v>
      </x:c>
      <x:c r="F302" s="47" t="str">
        <x:v>Complex</x:v>
      </x:c>
      <x:c r="G302" s="48" t="str">
        <x:v>Stage 2 candidate - complex readiness</x:v>
      </x:c>
      <x:c r="H302" s="47" t="str">
        <x:v>Complex readiness</x:v>
      </x:c>
      <x:c r="I302" s="47" t="str">
        <x:v>No</x:v>
      </x:c>
      <x:c r="J302" s="47" t="str">
        <x:v>ELIGIBLE</x:v>
      </x:c>
      <x:c r="K302" s="47" t="str">
        <x:v>NOT_RUN</x:v>
      </x:c>
    </x:row>
    <x:row r="303">
      <x:c r="A303" s="47" t="str">
        <x:v>TRF-116</x:v>
      </x:c>
      <x:c r="B303" s="48" t="str">
        <x:v>Ice Class Regulations and the Application Thereof</x:v>
      </x:c>
      <x:c r="C303" s="47" t="str">
        <x:v>TRAFICOM/68863/03.04.01.00/2021</x:v>
      </x:c>
      <x:c r="D303" s="59" t="n">
        <x:v>56</x:v>
      </x:c>
      <x:c r="E303" s="47" t="str">
        <x:v>6.6.5.2</x:v>
      </x:c>
      <x:c r="F303" s="47" t="str">
        <x:v>Complex</x:v>
      </x:c>
      <x:c r="G303" s="48" t="str">
        <x:v>Stage 2 candidate - complex readiness</x:v>
      </x:c>
      <x:c r="H303" s="47" t="str">
        <x:v>Complex readiness</x:v>
      </x:c>
      <x:c r="I303" s="47" t="str">
        <x:v>No</x:v>
      </x:c>
      <x:c r="J303" s="47" t="str">
        <x:v>ELIGIBLE</x:v>
      </x:c>
      <x:c r="K303" s="47" t="str">
        <x:v>NOT_RUN</x:v>
      </x:c>
    </x:row>
    <x:row r="304">
      <x:c r="A304" s="47" t="str">
        <x:v>TRF-118</x:v>
      </x:c>
      <x:c r="B304" s="48" t="str">
        <x:v>Ice Class Regulations and the Application Thereof</x:v>
      </x:c>
      <x:c r="C304" s="47" t="str">
        <x:v>TRAFICOM/68863/03.04.01.00/2021</x:v>
      </x:c>
      <x:c r="D304" s="59" t="n">
        <x:v>60</x:v>
      </x:c>
      <x:c r="E304" s="47" t="str">
        <x:v>6.6.5.4</x:v>
      </x:c>
      <x:c r="F304" s="47" t="str">
        <x:v>Complex</x:v>
      </x:c>
      <x:c r="G304" s="48" t="str">
        <x:v>Stage 2 candidate - complex readiness</x:v>
      </x:c>
      <x:c r="H304" s="47" t="str">
        <x:v>Complex readiness</x:v>
      </x:c>
      <x:c r="I304" s="47" t="str">
        <x:v>No</x:v>
      </x:c>
      <x:c r="J304" s="47" t="str">
        <x:v>ELIGIBLE</x:v>
      </x:c>
      <x:c r="K304" s="47" t="str">
        <x:v>NOT_RUN</x:v>
      </x:c>
    </x:row>
    <x:row r="305">
      <x:c r="A305" s="47" t="str">
        <x:v>TRF-119</x:v>
      </x:c>
      <x:c r="B305" s="48" t="str">
        <x:v>Ice Class Regulations and the Application Thereof</x:v>
      </x:c>
      <x:c r="C305" s="47" t="str">
        <x:v>TRAFICOM/68863/03.04.01.00/2021</x:v>
      </x:c>
      <x:c r="D305" s="59" t="n">
        <x:v>60</x:v>
      </x:c>
      <x:c r="E305" s="47" t="str">
        <x:v>6.6.5.5</x:v>
      </x:c>
      <x:c r="F305" s="47" t="str">
        <x:v>Dynamic</x:v>
      </x:c>
      <x:c r="G305" s="48" t="str">
        <x:v>Deferred - observation/history/simulation design required</x:v>
      </x:c>
      <x:c r="H305" s="47" t="str">
        <x:v>Medium</x:v>
      </x:c>
      <x:c r="I305" s="47" t="str">
        <x:v>No</x:v>
      </x:c>
      <x:c r="J305" s="47" t="str">
        <x:v>DEFERRED</x:v>
      </x:c>
      <x:c r="K305" s="47" t="str">
        <x:v>NOT_RUN</x:v>
      </x:c>
    </x:row>
    <x:row r="306">
      <x:c r="A306" s="47" t="str">
        <x:v>TRF-120</x:v>
      </x:c>
      <x:c r="B306" s="48" t="str">
        <x:v>Ice Class Regulations and the Application Thereof</x:v>
      </x:c>
      <x:c r="C306" s="47" t="str">
        <x:v>TRAFICOM/68863/03.04.01.00/2021</x:v>
      </x:c>
      <x:c r="D306" s="59" t="n">
        <x:v>60</x:v>
      </x:c>
      <x:c r="E306" s="47" t="str">
        <x:v>6.6.5.5</x:v>
      </x:c>
      <x:c r="F306" s="47" t="str">
        <x:v>Static</x:v>
      </x:c>
      <x:c r="G306" s="48" t="str">
        <x:v>Stage 2 candidate - direct/deterministic</x:v>
      </x:c>
      <x:c r="H306" s="47" t="str">
        <x:v>High</x:v>
      </x:c>
      <x:c r="I306" s="47" t="str">
        <x:v>No</x:v>
      </x:c>
      <x:c r="J306" s="47" t="str">
        <x:v>ELIGIBLE</x:v>
      </x:c>
      <x:c r="K306" s="47" t="str">
        <x:v>NOT_RUN</x:v>
      </x:c>
    </x:row>
    <x:row r="307">
      <x:c r="A307" s="47" t="str">
        <x:v>TRF-121</x:v>
      </x:c>
      <x:c r="B307" s="48" t="str">
        <x:v>Ice Class Regulations and the Application Thereof</x:v>
      </x:c>
      <x:c r="C307" s="47" t="str">
        <x:v>TRAFICOM/68863/03.04.01.00/2021</x:v>
      </x:c>
      <x:c r="D307" s="59" t="n">
        <x:v>61</x:v>
      </x:c>
      <x:c r="E307" s="47" t="str">
        <x:v>6.7.1</x:v>
      </x:c>
      <x:c r="F307" s="47" t="str">
        <x:v>Complex</x:v>
      </x:c>
      <x:c r="G307" s="48" t="str">
        <x:v>Deferred - composite/evidence workflow review</x:v>
      </x:c>
      <x:c r="H307" s="47" t="str">
        <x:v>Medium</x:v>
      </x:c>
      <x:c r="I307" s="47" t="str">
        <x:v>No</x:v>
      </x:c>
      <x:c r="J307" s="47" t="str">
        <x:v>DEFERRED</x:v>
      </x:c>
      <x:c r="K307" s="47" t="str">
        <x:v>NOT_RUN</x:v>
      </x:c>
    </x:row>
    <x:row r="308">
      <x:c r="A308" s="47" t="str">
        <x:v>TRF-123</x:v>
      </x:c>
      <x:c r="B308" s="48" t="str">
        <x:v>Ice Class Regulations and the Application Thereof</x:v>
      </x:c>
      <x:c r="C308" s="47" t="str">
        <x:v>TRAFICOM/68863/03.04.01.00/2021</x:v>
      </x:c>
      <x:c r="D308" s="59" t="n">
        <x:v>61</x:v>
      </x:c>
      <x:c r="E308" s="47" t="str">
        <x:v>6.7.3</x:v>
      </x:c>
      <x:c r="F308" s="47" t="str">
        <x:v>Complex</x:v>
      </x:c>
      <x:c r="G308" s="48" t="str">
        <x:v>Stage 2 candidate - complex readiness</x:v>
      </x:c>
      <x:c r="H308" s="47" t="str">
        <x:v>Complex readiness</x:v>
      </x:c>
      <x:c r="I308" s="47" t="str">
        <x:v>No</x:v>
      </x:c>
      <x:c r="J308" s="47" t="str">
        <x:v>ELIGIBLE</x:v>
      </x:c>
      <x:c r="K308" s="47" t="str">
        <x:v>NOT_RUN</x:v>
      </x:c>
    </x:row>
    <x:row r="309">
      <x:c r="A309" s="47" t="str">
        <x:v>TRF-125</x:v>
      </x:c>
      <x:c r="B309" s="48" t="str">
        <x:v>Ice Class Regulations and the Application Thereof</x:v>
      </x:c>
      <x:c r="C309" s="47" t="str">
        <x:v>TRAFICOM/68863/03.04.01.00/2021</x:v>
      </x:c>
      <x:c r="D309" s="59" t="n">
        <x:v>61</x:v>
      </x:c>
      <x:c r="E309" s="47" t="str">
        <x:v>6.7.3</x:v>
      </x:c>
      <x:c r="F309" s="47" t="str">
        <x:v>Dynamic</x:v>
      </x:c>
      <x:c r="G309" s="48" t="str">
        <x:v>Deferred - observation/history/simulation design required</x:v>
      </x:c>
      <x:c r="H309" s="47" t="str">
        <x:v>Medium</x:v>
      </x:c>
      <x:c r="I309" s="47" t="str">
        <x:v>No</x:v>
      </x:c>
      <x:c r="J309" s="47" t="str">
        <x:v>DEFERRED</x:v>
      </x:c>
      <x:c r="K309" s="47" t="str">
        <x:v>NOT_RUN</x:v>
      </x:c>
    </x:row>
    <x:row r="310">
      <x:c r="A310" s="47" t="str">
        <x:v>TRF-126</x:v>
      </x:c>
      <x:c r="B310" s="48" t="str">
        <x:v>Ice Class Regulations and the Application Thereof</x:v>
      </x:c>
      <x:c r="C310" s="47" t="str">
        <x:v>TRAFICOM/68863/03.04.01.00/2021</x:v>
      </x:c>
      <x:c r="D310" s="59" t="n">
        <x:v>61</x:v>
      </x:c>
      <x:c r="E310" s="47" t="str">
        <x:v>7.1</x:v>
      </x:c>
      <x:c r="F310" s="47" t="str">
        <x:v>Static</x:v>
      </x:c>
      <x:c r="G310" s="48" t="str">
        <x:v>Stage 2 candidate - direct/deterministic</x:v>
      </x:c>
      <x:c r="H310" s="47" t="str">
        <x:v>High</x:v>
      </x:c>
      <x:c r="I310" s="47" t="str">
        <x:v>No</x:v>
      </x:c>
      <x:c r="J310" s="47" t="str">
        <x:v>ELIGIBLE</x:v>
      </x:c>
      <x:c r="K310" s="47" t="str">
        <x:v>NOT_RUN</x:v>
      </x:c>
    </x:row>
    <x:row r="311">
      <x:c r="A311" s="47" t="str">
        <x:v>TRF-127</x:v>
      </x:c>
      <x:c r="B311" s="48" t="str">
        <x:v>Ice Class Regulations and the Application Thereof</x:v>
      </x:c>
      <x:c r="C311" s="47" t="str">
        <x:v>TRAFICOM/68863/03.04.01.00/2021</x:v>
      </x:c>
      <x:c r="D311" s="59" t="n">
        <x:v>61</x:v>
      </x:c>
      <x:c r="E311" s="47" t="str">
        <x:v>7.1</x:v>
      </x:c>
      <x:c r="F311" s="47" t="str">
        <x:v>Static</x:v>
      </x:c>
      <x:c r="G311" s="48" t="str">
        <x:v>Stage 2 candidate - direct/deterministic</x:v>
      </x:c>
      <x:c r="H311" s="47" t="str">
        <x:v>High</x:v>
      </x:c>
      <x:c r="I311" s="47" t="str">
        <x:v>No</x:v>
      </x:c>
      <x:c r="J311" s="47" t="str">
        <x:v>ELIGIBLE</x:v>
      </x:c>
      <x:c r="K311" s="47" t="str">
        <x:v>NOT_RUN</x:v>
      </x:c>
    </x:row>
    <x:row r="312">
      <x:c r="A312" s="47" t="str">
        <x:v>TRF-128</x:v>
      </x:c>
      <x:c r="B312" s="48" t="str">
        <x:v>Ice Class Regulations and the Application Thereof</x:v>
      </x:c>
      <x:c r="C312" s="47" t="str">
        <x:v>TRAFICOM/68863/03.04.01.00/2021</x:v>
      </x:c>
      <x:c r="D312" s="59" t="n">
        <x:v>61</x:v>
      </x:c>
      <x:c r="E312" s="47" t="str">
        <x:v>7.1</x:v>
      </x:c>
      <x:c r="F312" s="47" t="str">
        <x:v>Static</x:v>
      </x:c>
      <x:c r="G312" s="48" t="str">
        <x:v>Stage 2 candidate - direct static</x:v>
      </x:c>
      <x:c r="H312" s="47" t="str">
        <x:v>Direct static</x:v>
      </x:c>
      <x:c r="I312" s="47" t="str">
        <x:v>No</x:v>
      </x:c>
      <x:c r="J312" s="47" t="str">
        <x:v>ELIGIBLE</x:v>
      </x:c>
      <x:c r="K312" s="47" t="str">
        <x:v>NOT_RUN</x:v>
      </x:c>
    </x:row>
    <x:row r="313">
      <x:c r="A313" s="47" t="str">
        <x:v>TRF-129</x:v>
      </x:c>
      <x:c r="B313" s="48" t="str">
        <x:v>Ice Class Regulations and the Application Thereof</x:v>
      </x:c>
      <x:c r="C313" s="47" t="str">
        <x:v>TRAFICOM/68863/03.04.01.00/2021</x:v>
      </x:c>
      <x:c r="D313" s="59" t="n">
        <x:v>61</x:v>
      </x:c>
      <x:c r="E313" s="47" t="str">
        <x:v>7.2</x:v>
      </x:c>
      <x:c r="F313" s="47" t="str">
        <x:v>Static</x:v>
      </x:c>
      <x:c r="G313" s="48" t="str">
        <x:v>Stage 2 candidate - direct/deterministic</x:v>
      </x:c>
      <x:c r="H313" s="47" t="str">
        <x:v>High</x:v>
      </x:c>
      <x:c r="I313" s="47" t="str">
        <x:v>No</x:v>
      </x:c>
      <x:c r="J313" s="47" t="str">
        <x:v>ELIGIBLE</x:v>
      </x:c>
      <x:c r="K313" s="47" t="str">
        <x:v>NOT_RUN</x:v>
      </x:c>
    </x:row>
    <x:row r="314">
      <x:c r="A314" s="47" t="str">
        <x:v>TRF-130</x:v>
      </x:c>
      <x:c r="B314" s="48" t="str">
        <x:v>Ice Class Regulations and the Application Thereof</x:v>
      </x:c>
      <x:c r="C314" s="47" t="str">
        <x:v>TRAFICOM/68863/03.04.01.00/2021</x:v>
      </x:c>
      <x:c r="D314" s="59" t="n">
        <x:v>62</x:v>
      </x:c>
      <x:c r="E314" s="47" t="str">
        <x:v>7.2</x:v>
      </x:c>
      <x:c r="F314" s="47" t="str">
        <x:v>Static Calculation</x:v>
      </x:c>
      <x:c r="G314" s="48" t="str">
        <x:v>Stage 2 candidate - direct calculation</x:v>
      </x:c>
      <x:c r="H314" s="47" t="str">
        <x:v>Direct calculation</x:v>
      </x:c>
      <x:c r="I314" s="47" t="str">
        <x:v>No</x:v>
      </x:c>
      <x:c r="J314" s="47" t="str">
        <x:v>ELIGIBLE</x:v>
      </x:c>
      <x:c r="K314" s="47" t="str">
        <x:v>NOT_RUN</x:v>
      </x:c>
    </x:row>
    <x:row r="315">
      <x:c r="A315" s="47" t="str">
        <x:v>TRF-131</x:v>
      </x:c>
      <x:c r="B315" s="48" t="str">
        <x:v>Ice Class Regulations and the Application Thereof</x:v>
      </x:c>
      <x:c r="C315" s="47" t="str">
        <x:v>TRAFICOM/68863/03.04.01.00/2021</x:v>
      </x:c>
      <x:c r="D315" s="59" t="n">
        <x:v>62</x:v>
      </x:c>
      <x:c r="E315" s="47" t="str">
        <x:v>7.2</x:v>
      </x:c>
      <x:c r="F315" s="47" t="str">
        <x:v>Static</x:v>
      </x:c>
      <x:c r="G315" s="48" t="str">
        <x:v>Stage 2 candidate - direct/deterministic</x:v>
      </x:c>
      <x:c r="H315" s="47" t="str">
        <x:v>High</x:v>
      </x:c>
      <x:c r="I315" s="47" t="str">
        <x:v>No</x:v>
      </x:c>
      <x:c r="J315" s="47" t="str">
        <x:v>ELIGIBLE</x:v>
      </x:c>
      <x:c r="K315" s="47" t="str">
        <x:v>NOT_RUN</x:v>
      </x:c>
    </x:row>
    <x:row r="316">
      <x:c r="A316" s="47" t="str">
        <x:v>TRF-132</x:v>
      </x:c>
      <x:c r="B316" s="48" t="str">
        <x:v>Ice Class Regulations and the Application Thereof</x:v>
      </x:c>
      <x:c r="C316" s="47" t="str">
        <x:v>TRAFICOM/68863/03.04.01.00/2021</x:v>
      </x:c>
      <x:c r="D316" s="59" t="n">
        <x:v>64</x:v>
      </x:c>
      <x:c r="E316" s="47" t="str">
        <x:v>8</x:v>
      </x:c>
      <x:c r="F316" s="47" t="str">
        <x:v>Static Calculation</x:v>
      </x:c>
      <x:c r="G316" s="48" t="str">
        <x:v>Stage 2 candidate - direct/deterministic</x:v>
      </x:c>
      <x:c r="H316" s="47" t="str">
        <x:v>High</x:v>
      </x:c>
      <x:c r="I316" s="47" t="str">
        <x:v>No</x:v>
      </x:c>
      <x:c r="J316" s="47" t="str">
        <x:v>ELIGIBLE</x:v>
      </x:c>
      <x:c r="K316" s="47" t="str">
        <x:v>NOT_RUN</x:v>
      </x:c>
    </x:row>
    <x:row r="317">
      <x:c r="A317" s="49" t="str">
        <x:v>TRF-133</x:v>
      </x:c>
      <x:c r="B317" s="50" t="str">
        <x:v>Ice Class Regulations and the Application Thereof</x:v>
      </x:c>
      <x:c r="C317" s="49" t="str">
        <x:v>TRAFICOM/68863/03.04.01.00/2021</x:v>
      </x:c>
      <x:c r="D317" s="60" t="n">
        <x:v>65</x:v>
      </x:c>
      <x:c r="E317" s="49" t="str">
        <x:v>8</x:v>
      </x:c>
      <x:c r="F317" s="49" t="str">
        <x:v>Static</x:v>
      </x:c>
      <x:c r="G317" s="50" t="str">
        <x:v>Stage 2 candidate - direct/deterministic</x:v>
      </x:c>
      <x:c r="H317" s="49" t="str">
        <x:v>High</x:v>
      </x:c>
      <x:c r="I317" s="49" t="str">
        <x:v>No</x:v>
      </x:c>
      <x:c r="J317" s="49" t="str">
        <x:v>ELIGIBLE</x:v>
      </x:c>
      <x:c r="K317" s="49" t="str">
        <x:v>NOT_RUN</x:v>
      </x:c>
    </x:row>
  </x:sheetData>
  <x:conditionalFormatting sqref="G5:G317">
    <x:cfRule type="containsText" dxfId="0" priority="1" operator="containsText" text="ACCEPT"/>
    <x:cfRule type="containsText" dxfId="1" priority="2" operator="containsText" text="ELIGIBLE"/>
    <x:cfRule type="containsText" dxfId="2" priority="3" operator="containsText" text="PASS"/>
    <x:cfRule type="containsText" dxfId="3" priority="4" operator="containsText" text="GAP"/>
    <x:cfRule type="containsText" dxfId="4" priority="5" operator="containsText" text="FAIL"/>
    <x:cfRule type="containsText" dxfId="5" priority="6" operator="containsText" text="DEFERRED"/>
  </x:conditionalFormatting>
  <x:conditionalFormatting sqref="J5:J317">
    <x:cfRule type="containsText" dxfId="6" priority="7" operator="containsText" text="ACCEPT"/>
    <x:cfRule type="containsText" dxfId="7" priority="8" operator="containsText" text="ELIGIBLE"/>
    <x:cfRule type="containsText" dxfId="8" priority="9" operator="containsText" text="PASS"/>
    <x:cfRule type="containsText" dxfId="9" priority="10" operator="containsText" text="GAP"/>
    <x:cfRule type="containsText" dxfId="10" priority="11" operator="containsText" text="FAIL"/>
    <x:cfRule type="containsText" dxfId="11" priority="12" operator="containsText" text="DEFERRED"/>
  </x:conditionalFormatting>
  <x:conditionalFormatting sqref="K5:K317">
    <x:cfRule type="containsText" dxfId="12" priority="13" operator="containsText" text="ACCEPT"/>
    <x:cfRule type="containsText" dxfId="13" priority="14" operator="containsText" text="ELIGIBLE"/>
    <x:cfRule type="containsText" dxfId="14" priority="15" operator="containsText" text="PASS"/>
    <x:cfRule type="containsText" dxfId="15" priority="16" operator="containsText" text="GAP"/>
    <x:cfRule type="containsText" dxfId="16" priority="17" operator="containsText" text="FAIL"/>
    <x:cfRule type="containsText" dxfId="17" priority="18" operator="containsText" text="DEFERRED"/>
  </x:conditionalFormatting>
  <x:pageMargins left="0.7" right="0.7" top="0.75" bottom="0.75" header="0.3" footer="0.3"/>
  <x:tableParts count="1">
    <x:tablePart xmlns:r="http://schemas.openxmlformats.org/officeDocument/2006/relationships" r:id="Rd1f24f983d5e4328"/>
  </x:tableParts>
</x:worksheet>
</file>

<file path=xl/worksheets/sheet4.xml><?xml version="1.0" encoding="utf-8"?>
<x:worksheet xmlns:x="http://schemas.openxmlformats.org/spreadsheetml/2006/main">
  <x:sheetViews>
    <x:sheetView showGridLines="0" workbookViewId="0"/>
  </x:sheetViews>
  <x:sheetFormatPr defaultRowHeight="15"/>
  <x:cols>
    <x:col min="1" max="1" width="36" hidden="0" customWidth="1"/>
    <x:col min="2" max="2" width="42" hidden="0" customWidth="1"/>
    <x:col min="3" max="3" width="18" hidden="0" customWidth="1"/>
    <x:col min="4" max="4" width="25" hidden="0" customWidth="1"/>
    <x:col min="5" max="5" width="25" hidden="0" customWidth="1"/>
    <x:col min="6" max="6" width="23" hidden="0" customWidth="1"/>
    <x:col min="7" max="7" width="24" hidden="0" customWidth="1"/>
    <x:col min="8" max="8" width="11" hidden="0" customWidth="1"/>
    <x:col min="9" max="9" width="24" hidden="0" customWidth="1"/>
    <x:col min="10" max="10" width="11" hidden="0" customWidth="1"/>
    <x:col min="11" max="11" width="13" hidden="0" customWidth="1"/>
    <x:col min="12" max="12" width="52" hidden="0" customWidth="1"/>
  </x:cols>
  <x:sheetData>
    <x:row r="1">
      <x:c r="A1" s="18" t="str">
        <x:v>NLTL SHACL Pipeline Run Tracker</x:v>
      </x:c>
      <x:c r="B1" s="19"/>
      <x:c r="C1" s="19"/>
      <x:c r="D1" s="19"/>
      <x:c r="E1" s="19"/>
      <x:c r="F1" s="19"/>
      <x:c r="G1" s="19"/>
      <x:c r="H1" s="19"/>
      <x:c r="I1" s="19"/>
      <x:c r="J1" s="19"/>
      <x:c r="K1" s="19"/>
      <x:c r="L1" s="19"/>
    </x:row>
    <x:row r="2">
      <x:c r="A2" s="20" t="str">
        <x:v>RUNS | Run folder: RUN-IMO-048-20260829T082613777541Z</x:v>
      </x:c>
      <x:c r="B2" s="20"/>
      <x:c r="C2" s="20"/>
      <x:c r="D2" s="20"/>
      <x:c r="E2" s="20"/>
      <x:c r="F2" s="20"/>
      <x:c r="G2" s="20"/>
      <x:c r="H2" s="20"/>
      <x:c r="I2" s="20"/>
      <x:c r="J2" s="20"/>
      <x:c r="K2" s="20"/>
      <x:c r="L2" s="20"/>
    </x:row>
    <x:row r="3">
      <x:c r="A3" s="21"/>
      <x:c r="B3" s="21"/>
      <x:c r="C3" s="21"/>
      <x:c r="D3" s="21"/>
      <x:c r="E3" s="21"/>
      <x:c r="F3" s="21"/>
      <x:c r="G3" s="21"/>
      <x:c r="H3" s="21"/>
      <x:c r="I3" s="21"/>
      <x:c r="J3" s="21"/>
      <x:c r="K3" s="21"/>
      <x:c r="L3" s="21"/>
    </x:row>
    <x:row r="4" ht="30" customHeight="1">
      <x:c r="A4" s="43" t="str">
        <x:v>SESSION_ID</x:v>
      </x:c>
      <x:c r="B4" s="57" t="str">
        <x:v>RUN_ID</x:v>
      </x:c>
      <x:c r="C4" s="57" t="str">
        <x:v>REQUIREMENT_ID</x:v>
      </x:c>
      <x:c r="D4" s="57" t="str">
        <x:v>STARTED_UTC</x:v>
      </x:c>
      <x:c r="E4" s="57" t="str">
        <x:v>FINISHED_UTC</x:v>
      </x:c>
      <x:c r="F4" s="57" t="str">
        <x:v>PIPELINE_VERSION</x:v>
      </x:c>
      <x:c r="G4" s="57" t="str">
        <x:v>VOCABULARY_LOCK_ID</x:v>
      </x:c>
      <x:c r="H4" s="57" t="str">
        <x:v>ATTEMPTS</x:v>
      </x:c>
      <x:c r="I4" s="57" t="str">
        <x:v>FINAL_STATUS</x:v>
      </x:c>
      <x:c r="J4" s="57" t="str">
        <x:v>ACCEPTED</x:v>
      </x:c>
      <x:c r="K4" s="57" t="str">
        <x:v>FINAL_SHAPE</x:v>
      </x:c>
      <x:c r="L4" s="44" t="str">
        <x:v>FINAL_FEEDBACK</x:v>
      </x:c>
    </x:row>
    <x:row r="5">
      <x:c r="A5" s="69" t="str">
        <x:v>SESSION-BATCH-20260829T055713815378Z</x:v>
      </x:c>
      <x:c r="B5" s="69" t="str">
        <x:v>RUN-IMO-048-20260829T082613777541Z</x:v>
      </x:c>
      <x:c r="C5" s="69" t="str">
        <x:v>IMO-048</x:v>
      </x:c>
      <x:c r="D5" s="70" t="n">
        <x:v>46263.351548356484</x:v>
      </x:c>
      <x:c r="E5" s="70" t="n">
        <x:v>46263.352381805555</x:v>
      </x:c>
      <x:c r="F5" s="69" t="str">
        <x:v>final-luna-main-run05</x:v>
      </x:c>
      <x:c r="G5" s="69" t="str">
        <x:v>VOCAB-LOCK-2026-08-22-R13</x:v>
      </x:c>
      <x:c r="H5" s="71" t="n">
        <x:v>2</x:v>
      </x:c>
      <x:c r="I5" s="69" t="str">
        <x:v>TERM_RESOLUTION_UNRESOLVED</x:v>
      </x:c>
      <x:c r="J5" s="72" t="b">
        <x:v>0</x:v>
      </x:c>
      <x:c r="K5" s="69" t="str"/>
      <x:c r="L5" s="73" t="str">
        <x:v>Reject. The candidate still performs global ship-level checks rather than enforcing the requirement for every individual exposed machinery or foundation material: one approval evidence, authority, standard, approved status, and PST can incorrectly satisfy all materials. Bind each material to its own qualified approval-evidence/material-certificate record and require the authority, authorized standard alternative, approved status, and PST basis on that same qualification; do not merely require unrelated ship-level properties. The supplied hasEvidence relation is ship-owned and cannot provide the missing material-to-evidence binding, so locate the canonical per-material approval-evidence/material-certificate association term before regenerating. Preserve the prior instruction that applicability must remain conditional and that no unconditional existence constraint should be added.</x:v>
      </x:c>
    </x:row>
  </x:sheetData>
  <x:conditionalFormatting sqref="I5:I5">
    <x:cfRule type="containsText" dxfId="18" priority="1" operator="containsText" text="ACCEPT"/>
    <x:cfRule type="containsText" dxfId="19" priority="2" operator="containsText" text="ELIGIBLE"/>
    <x:cfRule type="containsText" dxfId="20" priority="3" operator="containsText" text="PASS"/>
    <x:cfRule type="containsText" dxfId="21" priority="4" operator="containsText" text="GAP"/>
    <x:cfRule type="containsText" dxfId="22" priority="5" operator="containsText" text="FAIL"/>
    <x:cfRule type="containsText" dxfId="23" priority="6" operator="containsText" text="DEFERRED"/>
  </x:conditionalFormatting>
  <x:pageMargins left="0.7" right="0.7" top="0.75" bottom="0.75" header="0.3" footer="0.3"/>
  <x:tableParts count="1">
    <x:tablePart xmlns:r="http://schemas.openxmlformats.org/officeDocument/2006/relationships" r:id="R00ba161ca8914ea0"/>
  </x:tableParts>
</x:worksheet>
</file>

<file path=xl/worksheets/sheet5.xml><?xml version="1.0" encoding="utf-8"?>
<x:worksheet xmlns:x="http://schemas.openxmlformats.org/spreadsheetml/2006/main">
  <x:sheetViews>
    <x:sheetView showGridLines="0" workbookViewId="0"/>
  </x:sheetViews>
  <x:sheetFormatPr defaultRowHeight="15"/>
  <x:cols>
    <x:col min="1" max="1" width="42" hidden="0" customWidth="1"/>
    <x:col min="2" max="2" width="18" hidden="0" customWidth="1"/>
    <x:col min="3" max="3" width="11" hidden="0" customWidth="1"/>
    <x:col min="4" max="4" width="14" hidden="0" customWidth="1"/>
    <x:col min="5" max="5" width="18" hidden="0" customWidth="1"/>
    <x:col min="6" max="6" width="19" hidden="0" customWidth="1"/>
    <x:col min="7" max="7" width="22" hidden="0" customWidth="1"/>
    <x:col min="8" max="8" width="52" hidden="0" customWidth="1"/>
    <x:col min="9" max="9" width="22" hidden="0" customWidth="1"/>
    <x:col min="10" max="10" width="22" hidden="0" customWidth="1"/>
  </x:cols>
  <x:sheetData>
    <x:row r="1">
      <x:c r="A1" s="18" t="str">
        <x:v>NLTL SHACL Pipeline Run Tracker</x:v>
      </x:c>
      <x:c r="B1" s="19"/>
      <x:c r="C1" s="19"/>
      <x:c r="D1" s="19"/>
      <x:c r="E1" s="19"/>
      <x:c r="F1" s="19"/>
      <x:c r="G1" s="19"/>
      <x:c r="H1" s="19"/>
      <x:c r="I1" s="19"/>
      <x:c r="J1" s="19"/>
    </x:row>
    <x:row r="2">
      <x:c r="A2" s="20" t="str">
        <x:v>ITERATIONS | Run folder: RUN-IMO-048-20260829T082613777541Z</x:v>
      </x:c>
      <x:c r="B2" s="20"/>
      <x:c r="C2" s="20"/>
      <x:c r="D2" s="20"/>
      <x:c r="E2" s="20"/>
      <x:c r="F2" s="20"/>
      <x:c r="G2" s="20"/>
      <x:c r="H2" s="20"/>
      <x:c r="I2" s="20"/>
      <x:c r="J2" s="20"/>
    </x:row>
    <x:row r="3">
      <x:c r="A3" s="21"/>
      <x:c r="B3" s="21"/>
      <x:c r="C3" s="21"/>
      <x:c r="D3" s="21"/>
      <x:c r="E3" s="21"/>
      <x:c r="F3" s="21"/>
      <x:c r="G3" s="21"/>
      <x:c r="H3" s="21"/>
      <x:c r="I3" s="21"/>
      <x:c r="J3" s="21"/>
    </x:row>
    <x:row r="4" ht="30" customHeight="1">
      <x:c r="A4" s="43" t="str">
        <x:v>RUN_ID</x:v>
      </x:c>
      <x:c r="B4" s="57" t="str">
        <x:v>REQUIREMENT_ID</x:v>
      </x:c>
      <x:c r="C4" s="57" t="str">
        <x:v>ITERATION</x:v>
      </x:c>
      <x:c r="D4" s="57" t="str">
        <x:v>STATIC_VALID</x:v>
      </x:c>
      <x:c r="E4" s="57" t="str">
        <x:v>VALIDATOR_ACCEPT</x:v>
      </x:c>
      <x:c r="F4" s="57" t="str">
        <x:v>MATCHER_ACTIVATED</x:v>
      </x:c>
      <x:c r="G4" s="57" t="str">
        <x:v>DECISION</x:v>
      </x:c>
      <x:c r="H4" s="57" t="str">
        <x:v>FEEDBACK</x:v>
      </x:c>
      <x:c r="I4" s="57" t="str">
        <x:v>GENERATOR_ELAPSED_MS</x:v>
      </x:c>
      <x:c r="J4" s="44" t="str">
        <x:v>VALIDATOR_ELAPSED_MS</x:v>
      </x:c>
    </x:row>
    <x:row r="5">
      <x:c r="A5" s="45" t="str">
        <x:v>RUN-IMO-048-20260829T082613777541Z</x:v>
      </x:c>
      <x:c r="B5" s="45" t="str">
        <x:v>IMO-048</x:v>
      </x:c>
      <x:c r="C5" s="58" t="n">
        <x:v>1</x:v>
      </x:c>
      <x:c r="D5" s="80" t="b">
        <x:v>1</x:v>
      </x:c>
      <x:c r="E5" s="80" t="b">
        <x:v>0</x:v>
      </x:c>
      <x:c r="F5" s="80" t="b">
        <x:v>1</x:v>
      </x:c>
      <x:c r="G5" s="45" t="str">
        <x:v>REVISE_WITH_MATCH</x:v>
      </x:c>
      <x:c r="H5" s="46" t="str">
        <x:v>Reject: the shape is only a ship-level presence check and does not encode that each exposed machinery or foundation material has its own approval evidence using the authorized authority and standard while preserving the polar service temperature basis. It also imposes unconditional sh:minCount 1 on exposed material and PST, although a universal approval rule does not establish that such materials exist. Add the canonical per-material approval/evidence association (including the material certificate concept if required), condition the approval checks on the existence of applicable exposed materials, and bind each approval evidence record to its material, approving authority, accepted/equivalent standard, and PST. The required association/certificate concept is absent from the scoped vocabulary, so locate the canonical term before regenerating the shape.</x:v>
      </x:c>
      <x:c r="I5" s="81" t="n">
        <x:v>11807.079</x:v>
      </x:c>
      <x:c r="J5" s="81" t="n">
        <x:v>22945.219</x:v>
      </x:c>
    </x:row>
    <x:row r="6">
      <x:c r="A6" s="49" t="str">
        <x:v>RUN-IMO-048-20260829T082613777541Z</x:v>
      </x:c>
      <x:c r="B6" s="49" t="str">
        <x:v>IMO-048</x:v>
      </x:c>
      <x:c r="C6" s="60" t="n">
        <x:v>2</x:v>
      </x:c>
      <x:c r="D6" s="82" t="b">
        <x:v>1</x:v>
      </x:c>
      <x:c r="E6" s="82" t="b">
        <x:v>0</x:v>
      </x:c>
      <x:c r="F6" s="82" t="b">
        <x:v>1</x:v>
      </x:c>
      <x:c r="G6" s="49" t="str">
        <x:v>STOP_TERM_RESOLUTION</x:v>
      </x:c>
      <x:c r="H6" s="50" t="str">
        <x:v>Reject. The candidate still performs global ship-level checks rather than enforcing the requirement for every individual exposed machinery or foundation material: one approval evidence, authority, standard, approved status, and PST can incorrectly satisfy all materials. Bind each material to its own qualified approval-evidence/material-certificate record and require the authority, authorized standard alternative, approved status, and PST basis on that same qualification; do not merely require unrelated ship-level properties. The supplied hasEvidence relation is ship-owned and cannot provide the missing material-to-evidence binding, so locate the canonical per-material approval-evidence/material-certificate association term before regenerating. Preserve the prior instruction that applicability must remain conditional and that no unconditional existence constraint should be added.</x:v>
      </x:c>
      <x:c r="I6" s="83" t="n">
        <x:v>21083.845</x:v>
      </x:c>
      <x:c r="J6" s="83" t="n">
        <x:v>8329.756</x:v>
      </x:c>
    </x:row>
  </x:sheetData>
  <x:conditionalFormatting sqref="G5:G6">
    <x:cfRule type="containsText" dxfId="24" priority="1" operator="containsText" text="ACCEPT"/>
    <x:cfRule type="containsText" dxfId="25" priority="2" operator="containsText" text="ELIGIBLE"/>
    <x:cfRule type="containsText" dxfId="26" priority="3" operator="containsText" text="PASS"/>
    <x:cfRule type="containsText" dxfId="27" priority="4" operator="containsText" text="GAP"/>
    <x:cfRule type="containsText" dxfId="28" priority="5" operator="containsText" text="FAIL"/>
    <x:cfRule type="containsText" dxfId="29" priority="6" operator="containsText" text="DEFERRED"/>
  </x:conditionalFormatting>
  <x:pageMargins left="0.7" right="0.7" top="0.75" bottom="0.75" header="0.3" footer="0.3"/>
  <x:tableParts count="1">
    <x:tablePart xmlns:r="http://schemas.openxmlformats.org/officeDocument/2006/relationships" r:id="Re34c537025b749d0"/>
  </x:tableParts>
</x:worksheet>
</file>

<file path=xl/worksheets/sheet6.xml><?xml version="1.0" encoding="utf-8"?>
<x:worksheet xmlns:x="http://schemas.openxmlformats.org/spreadsheetml/2006/main">
  <x:sheetViews>
    <x:sheetView showGridLines="0" workbookViewId="0"/>
  </x:sheetViews>
  <x:sheetFormatPr defaultRowHeight="15"/>
  <x:cols>
    <x:col min="1" max="1" width="16" hidden="0" customWidth="1"/>
    <x:col min="2" max="2" width="42" hidden="0" customWidth="1"/>
    <x:col min="3" max="3" width="18" hidden="0" customWidth="1"/>
    <x:col min="4" max="4" width="25" hidden="0" customWidth="1"/>
    <x:col min="5" max="5" width="20" hidden="0" customWidth="1"/>
    <x:col min="6" max="6" width="30" hidden="0" customWidth="1"/>
    <x:col min="7" max="7" width="19" hidden="0" customWidth="1"/>
    <x:col min="8" max="8" width="11" hidden="0" customWidth="1"/>
    <x:col min="9" max="9" width="24" hidden="0" customWidth="1"/>
    <x:col min="10" max="10" width="20" hidden="0" customWidth="1"/>
    <x:col min="11" max="11" width="12" hidden="0" customWidth="1"/>
    <x:col min="12" max="12" width="11" hidden="0" customWidth="1"/>
    <x:col min="13" max="13" width="24" hidden="0" customWidth="1"/>
    <x:col min="14" max="14" width="14" hidden="0" customWidth="1"/>
    <x:col min="15" max="15" width="15" hidden="0" customWidth="1"/>
    <x:col min="16" max="16" width="14" hidden="0" customWidth="1"/>
  </x:cols>
  <x:sheetData>
    <x:row r="1">
      <x:c r="A1" s="18" t="str">
        <x:v>NLTL SHACL Pipeline Run Tracker</x:v>
      </x:c>
      <x:c r="B1" s="19"/>
      <x:c r="C1" s="19"/>
      <x:c r="D1" s="19"/>
      <x:c r="E1" s="19"/>
      <x:c r="F1" s="19"/>
      <x:c r="G1" s="19"/>
      <x:c r="H1" s="19"/>
      <x:c r="I1" s="19"/>
      <x:c r="J1" s="19"/>
      <x:c r="K1" s="19"/>
      <x:c r="L1" s="19"/>
      <x:c r="M1" s="19"/>
      <x:c r="N1" s="19"/>
      <x:c r="O1" s="19"/>
      <x:c r="P1" s="19"/>
    </x:row>
    <x:row r="2">
      <x:c r="A2" s="20" t="str">
        <x:v>API_CALLS | Run folder: RUN-IMO-048-20260829T082613777541Z</x:v>
      </x:c>
      <x:c r="B2" s="20"/>
      <x:c r="C2" s="20"/>
      <x:c r="D2" s="20"/>
      <x:c r="E2" s="20"/>
      <x:c r="F2" s="20"/>
      <x:c r="G2" s="20"/>
      <x:c r="H2" s="20"/>
      <x:c r="I2" s="20"/>
      <x:c r="J2" s="20"/>
      <x:c r="K2" s="20"/>
      <x:c r="L2" s="20"/>
      <x:c r="M2" s="20"/>
      <x:c r="N2" s="20"/>
      <x:c r="O2" s="20"/>
      <x:c r="P2" s="20"/>
    </x:row>
    <x:row r="3">
      <x:c r="A3" s="21"/>
      <x:c r="B3" s="21"/>
      <x:c r="C3" s="21"/>
      <x:c r="D3" s="21"/>
      <x:c r="E3" s="21"/>
      <x:c r="F3" s="21"/>
      <x:c r="G3" s="21"/>
      <x:c r="H3" s="21"/>
      <x:c r="I3" s="21"/>
      <x:c r="J3" s="21"/>
      <x:c r="K3" s="21"/>
      <x:c r="L3" s="21"/>
      <x:c r="M3" s="21"/>
      <x:c r="N3" s="21"/>
      <x:c r="O3" s="21"/>
      <x:c r="P3" s="21"/>
    </x:row>
    <x:row r="4" ht="30" customHeight="1">
      <x:c r="A4" s="43" t="str">
        <x:v>EVENT_ID</x:v>
      </x:c>
      <x:c r="B4" s="57" t="str">
        <x:v>RUN_ID</x:v>
      </x:c>
      <x:c r="C4" s="57" t="str">
        <x:v>REQUIREMENT_ID</x:v>
      </x:c>
      <x:c r="D4" s="57" t="str">
        <x:v>TIMESTAMP_UTC</x:v>
      </x:c>
      <x:c r="E4" s="57" t="str">
        <x:v>ROLE</x:v>
      </x:c>
      <x:c r="F4" s="57" t="str">
        <x:v>MODEL</x:v>
      </x:c>
      <x:c r="G4" s="57" t="str">
        <x:v>TRANSPORT_ATTEMPT</x:v>
      </x:c>
      <x:c r="H4" s="57" t="str">
        <x:v>STATUS</x:v>
      </x:c>
      <x:c r="I4" s="57" t="str">
        <x:v>AUTH_HEADER_NAME</x:v>
      </x:c>
      <x:c r="J4" s="57" t="str">
        <x:v>RATE_LIMIT_WAIT_MS</x:v>
      </x:c>
      <x:c r="K4" s="57" t="str">
        <x:v>ELAPSED_MS</x:v>
      </x:c>
      <x:c r="L4" s="57" t="str">
        <x:v>RETRYING</x:v>
      </x:c>
      <x:c r="M4" s="57" t="str">
        <x:v>RESPONSE_ID</x:v>
      </x:c>
      <x:c r="N4" s="57" t="str">
        <x:v>INPUT_TOKENS</x:v>
      </x:c>
      <x:c r="O4" s="57" t="str">
        <x:v>OUTPUT_TOKENS</x:v>
      </x:c>
      <x:c r="P4" s="44" t="str">
        <x:v>TOTAL_TOKENS</x:v>
      </x:c>
    </x:row>
    <x:row r="5">
      <x:c r="A5" s="45" t="str">
        <x:v>EVT-000027</x:v>
      </x:c>
      <x:c r="B5" s="45" t="str">
        <x:v>RUN-IMO-048-20260829T082613777541Z</x:v>
      </x:c>
      <x:c r="C5" s="45" t="str">
        <x:v>IMO-048</x:v>
      </x:c>
      <x:c r="D5" s="90" t="n">
        <x:v>46263.35168496528</x:v>
      </x:c>
      <x:c r="E5" s="45" t="str">
        <x:v>generator</x:v>
      </x:c>
      <x:c r="F5" s="45" t="str">
        <x:v>gpt-5.6-luna-2026-07-09</x:v>
      </x:c>
      <x:c r="G5" s="45" t="n">
        <x:v>1</x:v>
      </x:c>
      <x:c r="H5" s="45" t="n">
        <x:v>200</x:v>
      </x:c>
      <x:c r="I5" s="45" t="str">
        <x:v>Ocp-Apim-Subscription-Key</x:v>
      </x:c>
      <x:c r="J5" s="81" t="n">
        <x:v>0</x:v>
      </x:c>
      <x:c r="K5" s="81" t="n">
        <x:v>11805.456</x:v>
      </x:c>
      <x:c r="L5" s="80" t="b">
        <x:v>0</x:v>
      </x:c>
      <x:c r="M5" s="45" t="str"/>
      <x:c r="N5" s="58" t="str"/>
      <x:c r="O5" s="58" t="str"/>
      <x:c r="P5" s="58" t="str"/>
    </x:row>
    <x:row r="6">
      <x:c r="A6" s="47" t="str">
        <x:v>EVT-000028</x:v>
      </x:c>
      <x:c r="B6" s="47" t="str">
        <x:v>RUN-IMO-048-20260829T082613777541Z</x:v>
      </x:c>
      <x:c r="C6" s="47" t="str">
        <x:v>IMO-048</x:v>
      </x:c>
      <x:c r="D6" s="91" t="n">
        <x:v>46263.351684988425</x:v>
      </x:c>
      <x:c r="E6" s="47" t="str">
        <x:v>generator</x:v>
      </x:c>
      <x:c r="F6" s="47" t="str">
        <x:v>gpt-5.6-luna-2026-07-09</x:v>
      </x:c>
      <x:c r="G6" s="47" t="n">
        <x:v>1</x:v>
      </x:c>
      <x:c r="H6" s="47" t="str">
        <x:v>COMPLETED</x:v>
      </x:c>
      <x:c r="I6" s="47" t="str"/>
      <x:c r="J6" s="92" t="n">
        <x:v>0</x:v>
      </x:c>
      <x:c r="K6" s="92" t="n">
        <x:v>11807.079</x:v>
      </x:c>
      <x:c r="L6" s="93" t="b">
        <x:v>0</x:v>
      </x:c>
      <x:c r="M6" s="47" t="str">
        <x:v>resp_0501491e86b12fcd006a9297a616a08196a91cead7b8a0bb86</x:v>
      </x:c>
      <x:c r="N6" s="59" t="n">
        <x:v>9270</x:v>
      </x:c>
      <x:c r="O6" s="59" t="n">
        <x:v>1083</x:v>
      </x:c>
      <x:c r="P6" s="59" t="n">
        <x:v>10353</x:v>
      </x:c>
    </x:row>
    <x:row r="7">
      <x:c r="A7" s="47" t="str">
        <x:v>EVT-000035</x:v>
      </x:c>
      <x:c r="B7" s="47" t="str">
        <x:v>RUN-IMO-048-20260829T082613777541Z</x:v>
      </x:c>
      <x:c r="C7" s="47" t="str">
        <x:v>IMO-048</x:v>
      </x:c>
      <x:c r="D7" s="91" t="n">
        <x:v>46263.35195162037</x:v>
      </x:c>
      <x:c r="E7" s="47" t="str">
        <x:v>validator</x:v>
      </x:c>
      <x:c r="F7" s="47" t="str">
        <x:v>gpt-5.6-luna-2026-07-09</x:v>
      </x:c>
      <x:c r="G7" s="47" t="n">
        <x:v>1</x:v>
      </x:c>
      <x:c r="H7" s="47" t="n">
        <x:v>200</x:v>
      </x:c>
      <x:c r="I7" s="47" t="str">
        <x:v>Ocp-Apim-Subscription-Key</x:v>
      </x:c>
      <x:c r="J7" s="92" t="n">
        <x:v>0</x:v>
      </x:c>
      <x:c r="K7" s="92" t="n">
        <x:v>22943.568</x:v>
      </x:c>
      <x:c r="L7" s="93" t="b">
        <x:v>0</x:v>
      </x:c>
      <x:c r="M7" s="47" t="str"/>
      <x:c r="N7" s="59" t="str"/>
      <x:c r="O7" s="59" t="str"/>
      <x:c r="P7" s="59" t="str"/>
    </x:row>
    <x:row r="8">
      <x:c r="A8" s="47" t="str">
        <x:v>EVT-000036</x:v>
      </x:c>
      <x:c r="B8" s="47" t="str">
        <x:v>RUN-IMO-048-20260829T082613777541Z</x:v>
      </x:c>
      <x:c r="C8" s="47" t="str">
        <x:v>IMO-048</x:v>
      </x:c>
      <x:c r="D8" s="91" t="n">
        <x:v>46263.35195163194</x:v>
      </x:c>
      <x:c r="E8" s="47" t="str">
        <x:v>validator</x:v>
      </x:c>
      <x:c r="F8" s="47" t="str">
        <x:v>gpt-5.6-luna-2026-07-09</x:v>
      </x:c>
      <x:c r="G8" s="47" t="n">
        <x:v>1</x:v>
      </x:c>
      <x:c r="H8" s="47" t="str">
        <x:v>COMPLETED</x:v>
      </x:c>
      <x:c r="I8" s="47" t="str"/>
      <x:c r="J8" s="92" t="n">
        <x:v>0</x:v>
      </x:c>
      <x:c r="K8" s="92" t="n">
        <x:v>22945.219</x:v>
      </x:c>
      <x:c r="L8" s="93" t="b">
        <x:v>0</x:v>
      </x:c>
      <x:c r="M8" s="47" t="str">
        <x:v>resp_03b557c60b7674a8006a9297b1d46c81978f1c75a1107959cb</x:v>
      </x:c>
      <x:c r="N8" s="59" t="n">
        <x:v>8481</x:v>
      </x:c>
      <x:c r="O8" s="59" t="n">
        <x:v>1719</x:v>
      </x:c>
      <x:c r="P8" s="59" t="n">
        <x:v>10200</x:v>
      </x:c>
    </x:row>
    <x:row r="9">
      <x:c r="A9" s="47" t="str">
        <x:v>EVT-000042</x:v>
      </x:c>
      <x:c r="B9" s="47" t="str">
        <x:v>RUN-IMO-048-20260829T082613777541Z</x:v>
      </x:c>
      <x:c r="C9" s="47" t="str">
        <x:v>IMO-048</x:v>
      </x:c>
      <x:c r="D9" s="91" t="n">
        <x:v>46263.35200491898</x:v>
      </x:c>
      <x:c r="E9" s="47" t="str">
        <x:v>vocabulary_matcher</x:v>
      </x:c>
      <x:c r="F9" s="47" t="str">
        <x:v>gpt-5.6-luna-2026-07-09</x:v>
      </x:c>
      <x:c r="G9" s="47" t="n">
        <x:v>1</x:v>
      </x:c>
      <x:c r="H9" s="47" t="n">
        <x:v>200</x:v>
      </x:c>
      <x:c r="I9" s="47" t="str">
        <x:v>Ocp-Apim-Subscription-Key</x:v>
      </x:c>
      <x:c r="J9" s="92" t="n">
        <x:v>0</x:v>
      </x:c>
      <x:c r="K9" s="92" t="n">
        <x:v>3137.045</x:v>
      </x:c>
      <x:c r="L9" s="93" t="b">
        <x:v>0</x:v>
      </x:c>
      <x:c r="M9" s="47" t="str"/>
      <x:c r="N9" s="59" t="str"/>
      <x:c r="O9" s="59" t="str"/>
      <x:c r="P9" s="59" t="str"/>
    </x:row>
    <x:row r="10">
      <x:c r="A10" s="47" t="str">
        <x:v>EVT-000043</x:v>
      </x:c>
      <x:c r="B10" s="47" t="str">
        <x:v>RUN-IMO-048-20260829T082613777541Z</x:v>
      </x:c>
      <x:c r="C10" s="47" t="str">
        <x:v>IMO-048</x:v>
      </x:c>
      <x:c r="D10" s="91" t="n">
        <x:v>46263.35200494213</x:v>
      </x:c>
      <x:c r="E10" s="47" t="str">
        <x:v>vocabulary_matcher</x:v>
      </x:c>
      <x:c r="F10" s="47" t="str">
        <x:v>gpt-5.6-luna-2026-07-09</x:v>
      </x:c>
      <x:c r="G10" s="47" t="n">
        <x:v>1</x:v>
      </x:c>
      <x:c r="H10" s="47" t="str">
        <x:v>COMPLETED</x:v>
      </x:c>
      <x:c r="I10" s="47" t="str"/>
      <x:c r="J10" s="92" t="n">
        <x:v>0</x:v>
      </x:c>
      <x:c r="K10" s="92" t="n">
        <x:v>3138.587</x:v>
      </x:c>
      <x:c r="L10" s="93" t="b">
        <x:v>0</x:v>
      </x:c>
      <x:c r="M10" s="47" t="str">
        <x:v>resp_02a2c2dfedebac89006a9297ca3b748197af13ebcab38aec24</x:v>
      </x:c>
      <x:c r="N10" s="59" t="n">
        <x:v>2560</x:v>
      </x:c>
      <x:c r="O10" s="59" t="n">
        <x:v>211</x:v>
      </x:c>
      <x:c r="P10" s="59" t="n">
        <x:v>2771</x:v>
      </x:c>
    </x:row>
    <x:row r="11">
      <x:c r="A11" s="47" t="str">
        <x:v>EVT-000070</x:v>
      </x:c>
      <x:c r="B11" s="47" t="str">
        <x:v>RUN-IMO-048-20260829T082613777541Z</x:v>
      </x:c>
      <x:c r="C11" s="47" t="str">
        <x:v>IMO-048</x:v>
      </x:c>
      <x:c r="D11" s="91" t="n">
        <x:v>46263.35224907407</x:v>
      </x:c>
      <x:c r="E11" s="47" t="str">
        <x:v>generator</x:v>
      </x:c>
      <x:c r="F11" s="47" t="str">
        <x:v>gpt-5.6-luna-2026-07-09</x:v>
      </x:c>
      <x:c r="G11" s="47" t="n">
        <x:v>1</x:v>
      </x:c>
      <x:c r="H11" s="47" t="n">
        <x:v>200</x:v>
      </x:c>
      <x:c r="I11" s="47" t="str">
        <x:v>Ocp-Apim-Subscription-Key</x:v>
      </x:c>
      <x:c r="J11" s="92" t="n">
        <x:v>0</x:v>
      </x:c>
      <x:c r="K11" s="92" t="n">
        <x:v>21082.337</x:v>
      </x:c>
      <x:c r="L11" s="93" t="b">
        <x:v>0</x:v>
      </x:c>
      <x:c r="M11" s="47" t="str"/>
      <x:c r="N11" s="59" t="str"/>
      <x:c r="O11" s="59" t="str"/>
      <x:c r="P11" s="59" t="str"/>
    </x:row>
    <x:row r="12">
      <x:c r="A12" s="47" t="str">
        <x:v>EVT-000071</x:v>
      </x:c>
      <x:c r="B12" s="47" t="str">
        <x:v>RUN-IMO-048-20260829T082613777541Z</x:v>
      </x:c>
      <x:c r="C12" s="47" t="str">
        <x:v>IMO-048</x:v>
      </x:c>
      <x:c r="D12" s="91" t="n">
        <x:v>46263.35224908565</x:v>
      </x:c>
      <x:c r="E12" s="47" t="str">
        <x:v>generator</x:v>
      </x:c>
      <x:c r="F12" s="47" t="str">
        <x:v>gpt-5.6-luna-2026-07-09</x:v>
      </x:c>
      <x:c r="G12" s="47" t="n">
        <x:v>1</x:v>
      </x:c>
      <x:c r="H12" s="47" t="str">
        <x:v>COMPLETED</x:v>
      </x:c>
      <x:c r="I12" s="47" t="str"/>
      <x:c r="J12" s="92" t="n">
        <x:v>0</x:v>
      </x:c>
      <x:c r="K12" s="92" t="n">
        <x:v>21083.845</x:v>
      </x:c>
      <x:c r="L12" s="93" t="b">
        <x:v>0</x:v>
      </x:c>
      <x:c r="M12" s="47" t="str">
        <x:v>resp_09cb9f9a33500f17006a9297cd6188819485e42e43d634a553</x:v>
      </x:c>
      <x:c r="N12" s="59" t="n">
        <x:v>9636</x:v>
      </x:c>
      <x:c r="O12" s="59" t="n">
        <x:v>2097</x:v>
      </x:c>
      <x:c r="P12" s="59" t="n">
        <x:v>11733</x:v>
      </x:c>
    </x:row>
    <x:row r="13">
      <x:c r="A13" s="47" t="str">
        <x:v>EVT-000078</x:v>
      </x:c>
      <x:c r="B13" s="47" t="str">
        <x:v>RUN-IMO-048-20260829T082613777541Z</x:v>
      </x:c>
      <x:c r="C13" s="47" t="str">
        <x:v>IMO-048</x:v>
      </x:c>
      <x:c r="D13" s="91" t="n">
        <x:v>46263.352346238426</x:v>
      </x:c>
      <x:c r="E13" s="47" t="str">
        <x:v>validator</x:v>
      </x:c>
      <x:c r="F13" s="47" t="str">
        <x:v>gpt-5.6-luna-2026-07-09</x:v>
      </x:c>
      <x:c r="G13" s="47" t="n">
        <x:v>1</x:v>
      </x:c>
      <x:c r="H13" s="47" t="n">
        <x:v>200</x:v>
      </x:c>
      <x:c r="I13" s="47" t="str">
        <x:v>Ocp-Apim-Subscription-Key</x:v>
      </x:c>
      <x:c r="J13" s="92" t="n">
        <x:v>0</x:v>
      </x:c>
      <x:c r="K13" s="92" t="n">
        <x:v>8327.655</x:v>
      </x:c>
      <x:c r="L13" s="93" t="b">
        <x:v>0</x:v>
      </x:c>
      <x:c r="M13" s="47" t="str"/>
      <x:c r="N13" s="59" t="str"/>
      <x:c r="O13" s="59" t="str"/>
      <x:c r="P13" s="59" t="str"/>
    </x:row>
    <x:row r="14">
      <x:c r="A14" s="47" t="str">
        <x:v>EVT-000079</x:v>
      </x:c>
      <x:c r="B14" s="47" t="str">
        <x:v>RUN-IMO-048-20260829T082613777541Z</x:v>
      </x:c>
      <x:c r="C14" s="47" t="str">
        <x:v>IMO-048</x:v>
      </x:c>
      <x:c r="D14" s="91" t="n">
        <x:v>46263.35234626158</x:v>
      </x:c>
      <x:c r="E14" s="47" t="str">
        <x:v>validator</x:v>
      </x:c>
      <x:c r="F14" s="47" t="str">
        <x:v>gpt-5.6-luna-2026-07-09</x:v>
      </x:c>
      <x:c r="G14" s="47" t="n">
        <x:v>1</x:v>
      </x:c>
      <x:c r="H14" s="47" t="str">
        <x:v>COMPLETED</x:v>
      </x:c>
      <x:c r="I14" s="47" t="str"/>
      <x:c r="J14" s="92" t="n">
        <x:v>0</x:v>
      </x:c>
      <x:c r="K14" s="92" t="n">
        <x:v>8329.756</x:v>
      </x:c>
      <x:c r="L14" s="93" t="b">
        <x:v>0</x:v>
      </x:c>
      <x:c r="M14" s="47" t="str">
        <x:v>resp_0d3f52f46560b10f006a9297e28bdc81958dd3a0e4b3de1374</x:v>
      </x:c>
      <x:c r="N14" s="59" t="n">
        <x:v>9093</x:v>
      </x:c>
      <x:c r="O14" s="59" t="n">
        <x:v>679</x:v>
      </x:c>
      <x:c r="P14" s="59" t="n">
        <x:v>9772</x:v>
      </x:c>
    </x:row>
    <x:row r="15">
      <x:c r="A15" s="47" t="str">
        <x:v>EVT-000085</x:v>
      </x:c>
      <x:c r="B15" s="47" t="str">
        <x:v>RUN-IMO-048-20260829T082613777541Z</x:v>
      </x:c>
      <x:c r="C15" s="47" t="str">
        <x:v>IMO-048</x:v>
      </x:c>
      <x:c r="D15" s="91" t="n">
        <x:v>46263.35238178241</x:v>
      </x:c>
      <x:c r="E15" s="47" t="str">
        <x:v>vocabulary_matcher</x:v>
      </x:c>
      <x:c r="F15" s="47" t="str">
        <x:v>gpt-5.6-luna-2026-07-09</x:v>
      </x:c>
      <x:c r="G15" s="47" t="n">
        <x:v>1</x:v>
      </x:c>
      <x:c r="H15" s="47" t="n">
        <x:v>200</x:v>
      </x:c>
      <x:c r="I15" s="47" t="str">
        <x:v>Ocp-Apim-Subscription-Key</x:v>
      </x:c>
      <x:c r="J15" s="92" t="n">
        <x:v>0</x:v>
      </x:c>
      <x:c r="K15" s="92" t="n">
        <x:v>1537.515</x:v>
      </x:c>
      <x:c r="L15" s="93" t="b">
        <x:v>0</x:v>
      </x:c>
      <x:c r="M15" s="47" t="str"/>
      <x:c r="N15" s="59" t="str"/>
      <x:c r="O15" s="59" t="str"/>
      <x:c r="P15" s="59" t="str"/>
    </x:row>
    <x:row r="16">
      <x:c r="A16" s="49" t="str">
        <x:v>EVT-000086</x:v>
      </x:c>
      <x:c r="B16" s="49" t="str">
        <x:v>RUN-IMO-048-20260829T082613777541Z</x:v>
      </x:c>
      <x:c r="C16" s="49" t="str">
        <x:v>IMO-048</x:v>
      </x:c>
      <x:c r="D16" s="94" t="n">
        <x:v>46263.35238178241</x:v>
      </x:c>
      <x:c r="E16" s="49" t="str">
        <x:v>vocabulary_matcher</x:v>
      </x:c>
      <x:c r="F16" s="49" t="str">
        <x:v>gpt-5.6-luna-2026-07-09</x:v>
      </x:c>
      <x:c r="G16" s="49" t="n">
        <x:v>1</x:v>
      </x:c>
      <x:c r="H16" s="49" t="str">
        <x:v>COMPLETED</x:v>
      </x:c>
      <x:c r="I16" s="49" t="str"/>
      <x:c r="J16" s="83" t="n">
        <x:v>0</x:v>
      </x:c>
      <x:c r="K16" s="83" t="n">
        <x:v>1538.255</x:v>
      </x:c>
      <x:c r="L16" s="82" t="b">
        <x:v>0</x:v>
      </x:c>
      <x:c r="M16" s="49" t="str">
        <x:v>resp_099907ab9929e71a006a9297ec62708194a066c955b457fc01</x:v>
      </x:c>
      <x:c r="N16" s="60" t="n">
        <x:v>2222</x:v>
      </x:c>
      <x:c r="O16" s="60" t="n">
        <x:v>68</x:v>
      </x:c>
      <x:c r="P16" s="60" t="n">
        <x:v>2290</x:v>
      </x:c>
    </x:row>
  </x:sheetData>
  <x:conditionalFormatting sqref="H5:H16">
    <x:cfRule type="containsText" dxfId="30" priority="1" operator="containsText" text="ACCEPT"/>
    <x:cfRule type="containsText" dxfId="31" priority="2" operator="containsText" text="ELIGIBLE"/>
    <x:cfRule type="containsText" dxfId="32" priority="3" operator="containsText" text="PASS"/>
    <x:cfRule type="containsText" dxfId="33" priority="4" operator="containsText" text="GAP"/>
    <x:cfRule type="containsText" dxfId="34" priority="5" operator="containsText" text="FAIL"/>
    <x:cfRule type="containsText" dxfId="35" priority="6" operator="containsText" text="DEFERRED"/>
  </x:conditionalFormatting>
  <x:pageMargins left="0.7" right="0.7" top="0.75" bottom="0.75" header="0.3" footer="0.3"/>
  <x:tableParts count="1">
    <x:tablePart xmlns:r="http://schemas.openxmlformats.org/officeDocument/2006/relationships" r:id="Rb26ffca550484167"/>
  </x:tableParts>
</x:worksheet>
</file>

<file path=xl/worksheets/sheet7.xml><?xml version="1.0" encoding="utf-8"?>
<x:worksheet xmlns:x="http://schemas.openxmlformats.org/spreadsheetml/2006/main">
  <x:sheetViews>
    <x:sheetView showGridLines="0" workbookViewId="0"/>
  </x:sheetViews>
  <x:sheetFormatPr defaultRowHeight="15"/>
  <x:cols>
    <x:col min="1" max="1" width="42" hidden="0" customWidth="1"/>
    <x:col min="2" max="2" width="18" hidden="0" customWidth="1"/>
    <x:col min="3" max="3" width="38" hidden="0" customWidth="1"/>
    <x:col min="4" max="4" width="52" hidden="0" customWidth="1"/>
    <x:col min="5" max="5" width="18" hidden="0" customWidth="1"/>
    <x:col min="6" max="6" width="12" hidden="0" customWidth="1"/>
    <x:col min="7" max="7" width="46" hidden="0" customWidth="1"/>
    <x:col min="8" max="8" width="24" hidden="0" customWidth="1"/>
    <x:col min="9" max="9" width="52" hidden="0" customWidth="1"/>
    <x:col min="10" max="10" width="17" hidden="0" customWidth="1"/>
  </x:cols>
  <x:sheetData>
    <x:row r="1">
      <x:c r="A1" s="18" t="str">
        <x:v>NLTL SHACL Pipeline Run Tracker</x:v>
      </x:c>
      <x:c r="B1" s="19"/>
      <x:c r="C1" s="19"/>
      <x:c r="D1" s="19"/>
      <x:c r="E1" s="19"/>
      <x:c r="F1" s="19"/>
      <x:c r="G1" s="19"/>
      <x:c r="H1" s="19"/>
      <x:c r="I1" s="19"/>
      <x:c r="J1" s="19"/>
    </x:row>
    <x:row r="2">
      <x:c r="A2" s="20" t="str">
        <x:v>TERM_RETRIEVAL | Run folder: RUN-IMO-048-20260829T082613777541Z</x:v>
      </x:c>
      <x:c r="B2" s="20"/>
      <x:c r="C2" s="20"/>
      <x:c r="D2" s="20"/>
      <x:c r="E2" s="20"/>
      <x:c r="F2" s="20"/>
      <x:c r="G2" s="20"/>
      <x:c r="H2" s="20"/>
      <x:c r="I2" s="20"/>
      <x:c r="J2" s="20"/>
    </x:row>
    <x:row r="3">
      <x:c r="A3" s="21"/>
      <x:c r="B3" s="21"/>
      <x:c r="C3" s="21"/>
      <x:c r="D3" s="21"/>
      <x:c r="E3" s="21"/>
      <x:c r="F3" s="21"/>
      <x:c r="G3" s="21"/>
      <x:c r="H3" s="21"/>
      <x:c r="I3" s="21"/>
      <x:c r="J3" s="21"/>
    </x:row>
    <x:row r="4" ht="30" customHeight="1">
      <x:c r="A4" s="43" t="str">
        <x:v>RUN_ID</x:v>
      </x:c>
      <x:c r="B4" s="57" t="str">
        <x:v>REQUIREMENT_ID</x:v>
      </x:c>
      <x:c r="C4" s="57" t="str">
        <x:v>LOCAL_NAME</x:v>
      </x:c>
      <x:c r="D4" s="57" t="str">
        <x:v>IRI</x:v>
      </x:c>
      <x:c r="E4" s="57" t="str">
        <x:v>KIND</x:v>
      </x:c>
      <x:c r="F4" s="57" t="str">
        <x:v>DATATYPE</x:v>
      </x:c>
      <x:c r="G4" s="57" t="str">
        <x:v>RANGE</x:v>
      </x:c>
      <x:c r="H4" s="57" t="str">
        <x:v>RECOMMENDED_UNIT</x:v>
      </x:c>
      <x:c r="I4" s="57" t="str">
        <x:v>SELECTION_REASON</x:v>
      </x:c>
      <x:c r="J4" s="44" t="str">
        <x:v>ITERATION_ADDED</x:v>
      </x:c>
    </x:row>
    <x:row r="5">
      <x:c r="A5" s="45" t="str">
        <x:v>RUN-IMO-048-20260829T082613777541Z</x:v>
      </x:c>
      <x:c r="B5" s="45" t="str">
        <x:v>IMO-048</x:v>
      </x:c>
      <x:c r="C5" s="45" t="str">
        <x:v>approvalStandard</x:v>
      </x:c>
      <x:c r="D5" s="46" t="str">
        <x:v>https://w3id.org/nltl/vocab#approvalStandard</x:v>
      </x:c>
      <x:c r="E5" s="45" t="str">
        <x:v>DatatypeProperty</x:v>
      </x:c>
      <x:c r="F5" s="45" t="str">
        <x:v>xsd:string</x:v>
      </x:c>
      <x:c r="G5" s="45" t="str">
        <x:v>http://www.w3.org/2001/XMLSchema#string</x:v>
      </x:c>
      <x:c r="H5" s="45" t="str"/>
      <x:c r="I5" s="46" t="str">
        <x:v>linked by the locked 313-requirement index</x:v>
      </x:c>
      <x:c r="J5" s="45" t="n">
        <x:v>0</x:v>
      </x:c>
    </x:row>
    <x:row r="6">
      <x:c r="A6" s="47" t="str">
        <x:v>RUN-IMO-048-20260829T082613777541Z</x:v>
      </x:c>
      <x:c r="B6" s="47" t="str">
        <x:v>IMO-048</x:v>
      </x:c>
      <x:c r="C6" s="47" t="str">
        <x:v>approvingAuthority</x:v>
      </x:c>
      <x:c r="D6" s="48" t="str">
        <x:v>https://w3id.org/nltl/vocab#approvingAuthority</x:v>
      </x:c>
      <x:c r="E6" s="47" t="str">
        <x:v>DatatypeProperty</x:v>
      </x:c>
      <x:c r="F6" s="47" t="str">
        <x:v>xsd:string</x:v>
      </x:c>
      <x:c r="G6" s="47" t="str">
        <x:v>http://www.w3.org/2001/XMLSchema#string</x:v>
      </x:c>
      <x:c r="H6" s="47" t="str"/>
      <x:c r="I6" s="48" t="str">
        <x:v>linked by the locked 313-requirement index</x:v>
      </x:c>
      <x:c r="J6" s="47" t="n">
        <x:v>0</x:v>
      </x:c>
    </x:row>
    <x:row r="7">
      <x:c r="A7" s="47" t="str">
        <x:v>RUN-IMO-048-20260829T082613777541Z</x:v>
      </x:c>
      <x:c r="B7" s="47" t="str">
        <x:v>IMO-048</x:v>
      </x:c>
      <x:c r="C7" s="47" t="str">
        <x:v>benchmarkEntity</x:v>
      </x:c>
      <x:c r="D7" s="48" t="str">
        <x:v>https://w3id.org/nltl/vocab#benchmarkEntity</x:v>
      </x:c>
      <x:c r="E7" s="47" t="str">
        <x:v>Class</x:v>
      </x:c>
      <x:c r="F7" s="47" t="str"/>
      <x:c r="G7" s="47" t="str"/>
      <x:c r="H7" s="47" t="str"/>
      <x:c r="I7" s="48" t="str">
        <x:v>baseline target infrastructure; domain dependency of approvalStandard; domain dependency of approvingAuthority; domain dependency of exposedMachineryOrFoundationMaterial; domain dependency of materialApprovalStatus; domain dependency of polarServiceTemperature</x:v>
      </x:c>
      <x:c r="J7" s="47" t="n">
        <x:v>0</x:v>
      </x:c>
    </x:row>
    <x:row r="8">
      <x:c r="A8" s="47" t="str">
        <x:v>RUN-IMO-048-20260829T082613777541Z</x:v>
      </x:c>
      <x:c r="B8" s="47" t="str">
        <x:v>IMO-048</x:v>
      </x:c>
      <x:c r="C8" s="47" t="str">
        <x:v>evidenceArtifact</x:v>
      </x:c>
      <x:c r="D8" s="48" t="str">
        <x:v>https://w3id.org/nltl/vocab#evidenceArtifact</x:v>
      </x:c>
      <x:c r="E8" s="47" t="str">
        <x:v>Class</x:v>
      </x:c>
      <x:c r="F8" s="47" t="str"/>
      <x:c r="G8" s="47" t="str"/>
      <x:c r="H8" s="47" t="str"/>
      <x:c r="I8" s="48" t="str">
        <x:v>evidence-node dependency from verification category</x:v>
      </x:c>
      <x:c r="J8" s="47" t="n">
        <x:v>0</x:v>
      </x:c>
    </x:row>
    <x:row r="9">
      <x:c r="A9" s="47" t="str">
        <x:v>RUN-IMO-048-20260829T082613777541Z</x:v>
      </x:c>
      <x:c r="B9" s="47" t="str">
        <x:v>IMO-048</x:v>
      </x:c>
      <x:c r="C9" s="47" t="str">
        <x:v>evidenceState</x:v>
      </x:c>
      <x:c r="D9" s="48" t="str">
        <x:v>https://w3id.org/nltl/vocab#evidenceState</x:v>
      </x:c>
      <x:c r="E9" s="47" t="str">
        <x:v>Class</x:v>
      </x:c>
      <x:c r="F9" s="47" t="str"/>
      <x:c r="G9" s="47" t="str"/>
      <x:c r="H9" s="47" t="str"/>
      <x:c r="I9" s="48" t="str">
        <x:v>range dependency of materialApprovalStatus</x:v>
      </x:c>
      <x:c r="J9" s="47" t="n">
        <x:v>0</x:v>
      </x:c>
    </x:row>
    <x:row r="10">
      <x:c r="A10" s="47" t="str">
        <x:v>RUN-IMO-048-20260829T082613777541Z</x:v>
      </x:c>
      <x:c r="B10" s="47" t="str">
        <x:v>IMO-048</x:v>
      </x:c>
      <x:c r="C10" s="47" t="str">
        <x:v>evidenceStateApproved</x:v>
      </x:c>
      <x:c r="D10" s="48" t="str">
        <x:v>https://w3id.org/nltl/vocab#evidenceStateApproved</x:v>
      </x:c>
      <x:c r="E10" s="47" t="str">
        <x:v>NamedIndividual</x:v>
      </x:c>
      <x:c r="F10" s="47" t="str"/>
      <x:c r="G10" s="47" t="str">
        <x:v>https://w3id.org/nltl/vocab#evidenceState</x:v>
      </x:c>
      <x:c r="H10" s="47" t="str"/>
      <x:c r="I10" s="48" t="str">
        <x:v>controlled value permitted by the range of materialApprovalStatus</x:v>
      </x:c>
      <x:c r="J10" s="47" t="n">
        <x:v>0</x:v>
      </x:c>
    </x:row>
    <x:row r="11">
      <x:c r="A11" s="47" t="str">
        <x:v>RUN-IMO-048-20260829T082613777541Z</x:v>
      </x:c>
      <x:c r="B11" s="47" t="str">
        <x:v>IMO-048</x:v>
      </x:c>
      <x:c r="C11" s="47" t="str">
        <x:v>evidenceStateDraft</x:v>
      </x:c>
      <x:c r="D11" s="48" t="str">
        <x:v>https://w3id.org/nltl/vocab#evidenceStateDraft</x:v>
      </x:c>
      <x:c r="E11" s="47" t="str">
        <x:v>NamedIndividual</x:v>
      </x:c>
      <x:c r="F11" s="47" t="str"/>
      <x:c r="G11" s="47" t="str">
        <x:v>https://w3id.org/nltl/vocab#evidenceState</x:v>
      </x:c>
      <x:c r="H11" s="47" t="str"/>
      <x:c r="I11" s="48" t="str">
        <x:v>controlled value permitted by the range of materialApprovalStatus</x:v>
      </x:c>
      <x:c r="J11" s="47" t="n">
        <x:v>0</x:v>
      </x:c>
    </x:row>
    <x:row r="12">
      <x:c r="A12" s="47" t="str">
        <x:v>RUN-IMO-048-20260829T082613777541Z</x:v>
      </x:c>
      <x:c r="B12" s="47" t="str">
        <x:v>IMO-048</x:v>
      </x:c>
      <x:c r="C12" s="47" t="str">
        <x:v>evidenceStateExpired</x:v>
      </x:c>
      <x:c r="D12" s="48" t="str">
        <x:v>https://w3id.org/nltl/vocab#evidenceStateExpired</x:v>
      </x:c>
      <x:c r="E12" s="47" t="str">
        <x:v>NamedIndividual</x:v>
      </x:c>
      <x:c r="F12" s="47" t="str"/>
      <x:c r="G12" s="47" t="str">
        <x:v>https://w3id.org/nltl/vocab#evidenceState</x:v>
      </x:c>
      <x:c r="H12" s="47" t="str"/>
      <x:c r="I12" s="48" t="str">
        <x:v>controlled value permitted by the range of materialApprovalStatus</x:v>
      </x:c>
      <x:c r="J12" s="47" t="n">
        <x:v>0</x:v>
      </x:c>
    </x:row>
    <x:row r="13">
      <x:c r="A13" s="47" t="str">
        <x:v>RUN-IMO-048-20260829T082613777541Z</x:v>
      </x:c>
      <x:c r="B13" s="47" t="str">
        <x:v>IMO-048</x:v>
      </x:c>
      <x:c r="C13" s="47" t="str">
        <x:v>evidenceStateRejected</x:v>
      </x:c>
      <x:c r="D13" s="48" t="str">
        <x:v>https://w3id.org/nltl/vocab#evidenceStateRejected</x:v>
      </x:c>
      <x:c r="E13" s="47" t="str">
        <x:v>NamedIndividual</x:v>
      </x:c>
      <x:c r="F13" s="47" t="str"/>
      <x:c r="G13" s="47" t="str">
        <x:v>https://w3id.org/nltl/vocab#evidenceState</x:v>
      </x:c>
      <x:c r="H13" s="47" t="str"/>
      <x:c r="I13" s="48" t="str">
        <x:v>controlled value permitted by the range of materialApprovalStatus</x:v>
      </x:c>
      <x:c r="J13" s="47" t="n">
        <x:v>0</x:v>
      </x:c>
    </x:row>
    <x:row r="14">
      <x:c r="A14" s="47" t="str">
        <x:v>RUN-IMO-048-20260829T082613777541Z</x:v>
      </x:c>
      <x:c r="B14" s="47" t="str">
        <x:v>IMO-048</x:v>
      </x:c>
      <x:c r="C14" s="47" t="str">
        <x:v>evidenceStateRevoked</x:v>
      </x:c>
      <x:c r="D14" s="48" t="str">
        <x:v>https://w3id.org/nltl/vocab#evidenceStateRevoked</x:v>
      </x:c>
      <x:c r="E14" s="47" t="str">
        <x:v>NamedIndividual</x:v>
      </x:c>
      <x:c r="F14" s="47" t="str"/>
      <x:c r="G14" s="47" t="str">
        <x:v>https://w3id.org/nltl/vocab#evidenceState</x:v>
      </x:c>
      <x:c r="H14" s="47" t="str"/>
      <x:c r="I14" s="48" t="str">
        <x:v>controlled value permitted by the range of materialApprovalStatus</x:v>
      </x:c>
      <x:c r="J14" s="47" t="n">
        <x:v>0</x:v>
      </x:c>
    </x:row>
    <x:row r="15">
      <x:c r="A15" s="47" t="str">
        <x:v>RUN-IMO-048-20260829T082613777541Z</x:v>
      </x:c>
      <x:c r="B15" s="47" t="str">
        <x:v>IMO-048</x:v>
      </x:c>
      <x:c r="C15" s="47" t="str">
        <x:v>evidenceStateSubmitted</x:v>
      </x:c>
      <x:c r="D15" s="48" t="str">
        <x:v>https://w3id.org/nltl/vocab#evidenceStateSubmitted</x:v>
      </x:c>
      <x:c r="E15" s="47" t="str">
        <x:v>NamedIndividual</x:v>
      </x:c>
      <x:c r="F15" s="47" t="str"/>
      <x:c r="G15" s="47" t="str">
        <x:v>https://w3id.org/nltl/vocab#evidenceState</x:v>
      </x:c>
      <x:c r="H15" s="47" t="str"/>
      <x:c r="I15" s="48" t="str">
        <x:v>controlled value permitted by the range of materialApprovalStatus</x:v>
      </x:c>
      <x:c r="J15" s="47" t="n">
        <x:v>0</x:v>
      </x:c>
    </x:row>
    <x:row r="16">
      <x:c r="A16" s="47" t="str">
        <x:v>RUN-IMO-048-20260829T082613777541Z</x:v>
      </x:c>
      <x:c r="B16" s="47" t="str">
        <x:v>IMO-048</x:v>
      </x:c>
      <x:c r="C16" s="47" t="str">
        <x:v>evidenceStateUnderReview</x:v>
      </x:c>
      <x:c r="D16" s="48" t="str">
        <x:v>https://w3id.org/nltl/vocab#evidenceStateUnderReview</x:v>
      </x:c>
      <x:c r="E16" s="47" t="str">
        <x:v>NamedIndividual</x:v>
      </x:c>
      <x:c r="F16" s="47" t="str"/>
      <x:c r="G16" s="47" t="str">
        <x:v>https://w3id.org/nltl/vocab#evidenceState</x:v>
      </x:c>
      <x:c r="H16" s="47" t="str"/>
      <x:c r="I16" s="48" t="str">
        <x:v>controlled value permitted by the range of materialApprovalStatus</x:v>
      </x:c>
      <x:c r="J16" s="47" t="n">
        <x:v>0</x:v>
      </x:c>
    </x:row>
    <x:row r="17">
      <x:c r="A17" s="47" t="str">
        <x:v>RUN-IMO-048-20260829T082613777541Z</x:v>
      </x:c>
      <x:c r="B17" s="47" t="str">
        <x:v>IMO-048</x:v>
      </x:c>
      <x:c r="C17" s="47" t="str">
        <x:v>exposedMachineryOrFoundationMaterial</x:v>
      </x:c>
      <x:c r="D17" s="48" t="str">
        <x:v>https://w3id.org/nltl/vocab#exposedMachineryOrFoundationMaterial</x:v>
      </x:c>
      <x:c r="E17" s="47" t="str">
        <x:v>DatatypeProperty</x:v>
      </x:c>
      <x:c r="F17" s="47" t="str">
        <x:v>xsd:string</x:v>
      </x:c>
      <x:c r="G17" s="47" t="str">
        <x:v>http://www.w3.org/2001/XMLSchema#string</x:v>
      </x:c>
      <x:c r="H17" s="47" t="str"/>
      <x:c r="I17" s="48" t="str">
        <x:v>linked by the locked 313-requirement index</x:v>
      </x:c>
      <x:c r="J17" s="47" t="n">
        <x:v>0</x:v>
      </x:c>
    </x:row>
    <x:row r="18">
      <x:c r="A18" s="47" t="str">
        <x:v>RUN-IMO-048-20260829T082613777541Z</x:v>
      </x:c>
      <x:c r="B18" s="47" t="str">
        <x:v>IMO-048</x:v>
      </x:c>
      <x:c r="C18" s="47" t="str">
        <x:v>hasComponent</x:v>
      </x:c>
      <x:c r="D18" s="48" t="str">
        <x:v>https://w3id.org/nltl/vocab#hasComponent</x:v>
      </x:c>
      <x:c r="E18" s="47" t="str">
        <x:v>ObjectProperty</x:v>
      </x:c>
      <x:c r="F18" s="47" t="str"/>
      <x:c r="G18" s="47" t="str">
        <x:v>https://w3id.org/nltl/vocab#shipComponent</x:v>
      </x:c>
      <x:c r="H18" s="47" t="str"/>
      <x:c r="I18" s="48" t="str">
        <x:v>component-path dependency inferred from the linked term module</x:v>
      </x:c>
      <x:c r="J18" s="47" t="n">
        <x:v>0</x:v>
      </x:c>
    </x:row>
    <x:row r="19">
      <x:c r="A19" s="47" t="str">
        <x:v>RUN-IMO-048-20260829T082613777541Z</x:v>
      </x:c>
      <x:c r="B19" s="47" t="str">
        <x:v>IMO-048</x:v>
      </x:c>
      <x:c r="C19" s="47" t="str">
        <x:v>hasEvidence</x:v>
      </x:c>
      <x:c r="D19" s="48" t="str">
        <x:v>https://w3id.org/nltl/vocab#hasEvidence</x:v>
      </x:c>
      <x:c r="E19" s="47" t="str">
        <x:v>ObjectProperty</x:v>
      </x:c>
      <x:c r="F19" s="47" t="str"/>
      <x:c r="G19" s="47" t="str">
        <x:v>https://w3id.org/nltl/vocab#evidenceArtifact</x:v>
      </x:c>
      <x:c r="H19" s="47" t="str"/>
      <x:c r="I19" s="48" t="str">
        <x:v>evidence-node dependency from verification category</x:v>
      </x:c>
      <x:c r="J19" s="47" t="n">
        <x:v>0</x:v>
      </x:c>
    </x:row>
    <x:row r="20">
      <x:c r="A20" s="47" t="str">
        <x:v>RUN-IMO-048-20260829T082613777541Z</x:v>
      </x:c>
      <x:c r="B20" s="47" t="str">
        <x:v>IMO-048</x:v>
      </x:c>
      <x:c r="C20" s="47" t="str">
        <x:v>materialApprovalStatus</x:v>
      </x:c>
      <x:c r="D20" s="48" t="str">
        <x:v>https://w3id.org/nltl/vocab#materialApprovalStatus</x:v>
      </x:c>
      <x:c r="E20" s="47" t="str">
        <x:v>ObjectProperty</x:v>
      </x:c>
      <x:c r="F20" s="47" t="str"/>
      <x:c r="G20" s="47" t="str">
        <x:v>https://w3id.org/nltl/vocab#evidenceState</x:v>
      </x:c>
      <x:c r="H20" s="47" t="str"/>
      <x:c r="I20" s="48" t="str">
        <x:v>linked by the locked 313-requirement index</x:v>
      </x:c>
      <x:c r="J20" s="47" t="n">
        <x:v>0</x:v>
      </x:c>
    </x:row>
    <x:row r="21">
      <x:c r="A21" s="47" t="str">
        <x:v>RUN-IMO-048-20260829T082613777541Z</x:v>
      </x:c>
      <x:c r="B21" s="47" t="str">
        <x:v>IMO-048</x:v>
      </x:c>
      <x:c r="C21" s="47" t="str">
        <x:v>polarServiceTemperature</x:v>
      </x:c>
      <x:c r="D21" s="48" t="str">
        <x:v>https://w3id.org/nltl/vocab#polarServiceTemperature</x:v>
      </x:c>
      <x:c r="E21" s="47" t="str">
        <x:v>QuantityProperty</x:v>
      </x:c>
      <x:c r="F21" s="47" t="str"/>
      <x:c r="G21" s="47" t="str">
        <x:v>http://qudt.org/schema/qudt/QuantityValue</x:v>
      </x:c>
      <x:c r="H21" s="47" t="str">
        <x:v>http://qudt.org/vocab/unit/DEG_C</x:v>
      </x:c>
      <x:c r="I21" s="48" t="str">
        <x:v>linked by the locked 313-requirement index</x:v>
      </x:c>
      <x:c r="J21" s="47" t="n">
        <x:v>0</x:v>
      </x:c>
    </x:row>
    <x:row r="22">
      <x:c r="A22" s="47" t="str">
        <x:v>RUN-IMO-048-20260829T082613777541Z</x:v>
      </x:c>
      <x:c r="B22" s="47" t="str">
        <x:v>IMO-048</x:v>
      </x:c>
      <x:c r="C22" s="47" t="str">
        <x:v>ship</x:v>
      </x:c>
      <x:c r="D22" s="48" t="str">
        <x:v>https://w3id.org/nltl/vocab#ship</x:v>
      </x:c>
      <x:c r="E22" s="47" t="str">
        <x:v>Class</x:v>
      </x:c>
      <x:c r="F22" s="47" t="str"/>
      <x:c r="G22" s="47" t="str"/>
      <x:c r="H22" s="47" t="str"/>
      <x:c r="I22" s="48" t="str">
        <x:v>authoritative required owner class; authoritative requirement target owner; baseline target infrastructure</x:v>
      </x:c>
      <x:c r="J22" s="47" t="n">
        <x:v>0</x:v>
      </x:c>
    </x:row>
    <x:row r="23">
      <x:c r="A23" s="47" t="str">
        <x:v>RUN-IMO-048-20260829T082613777541Z</x:v>
      </x:c>
      <x:c r="B23" s="47" t="str">
        <x:v>IMO-048</x:v>
      </x:c>
      <x:c r="C23" s="47" t="str">
        <x:v>shipComponent</x:v>
      </x:c>
      <x:c r="D23" s="48" t="str">
        <x:v>https://w3id.org/nltl/vocab#shipComponent</x:v>
      </x:c>
      <x:c r="E23" s="47" t="str">
        <x:v>Class</x:v>
      </x:c>
      <x:c r="F23" s="47" t="str"/>
      <x:c r="G23" s="47" t="str"/>
      <x:c r="H23" s="47" t="str"/>
      <x:c r="I23" s="48" t="str">
        <x:v>component-path dependency inferred from the linked term module</x:v>
      </x:c>
      <x:c r="J23" s="47" t="n">
        <x:v>0</x:v>
      </x:c>
    </x:row>
    <x:row r="24">
      <x:c r="A24" s="47" t="str">
        <x:v>RUN-IMO-048-20260829T082613777541Z</x:v>
      </x:c>
      <x:c r="B24" s="47" t="str">
        <x:v>IMO-048</x:v>
      </x:c>
      <x:c r="C24" s="47" t="str">
        <x:v>approvalEvidence</x:v>
      </x:c>
      <x:c r="D24" s="48" t="str">
        <x:v>https://w3id.org/nltl/vocab#approvalEvidence</x:v>
      </x:c>
      <x:c r="E24" s="47" t="str">
        <x:v>Class</x:v>
      </x:c>
      <x:c r="F24" s="47" t="str"/>
      <x:c r="G24" s="47" t="str"/>
      <x:c r="H24" s="47" t="str"/>
      <x:c r="I24" s="48" t="str">
        <x:v>verified vocabulary-matcher addition</x:v>
      </x:c>
      <x:c r="J24" s="47" t="n">
        <x:v>2</x:v>
      </x:c>
    </x:row>
    <x:row r="25">
      <x:c r="A25" s="47" t="str">
        <x:v>RUN-IMO-048-20260829T082613777541Z</x:v>
      </x:c>
      <x:c r="B25" s="47" t="str">
        <x:v>IMO-048</x:v>
      </x:c>
      <x:c r="C25" s="47" t="str">
        <x:v>approvalStandard</x:v>
      </x:c>
      <x:c r="D25" s="48" t="str">
        <x:v>https://w3id.org/nltl/vocab#approvalStandard</x:v>
      </x:c>
      <x:c r="E25" s="47" t="str">
        <x:v>DatatypeProperty</x:v>
      </x:c>
      <x:c r="F25" s="47" t="str">
        <x:v>xsd:string</x:v>
      </x:c>
      <x:c r="G25" s="47" t="str">
        <x:v>http://www.w3.org/2001/XMLSchema#string</x:v>
      </x:c>
      <x:c r="H25" s="47" t="str"/>
      <x:c r="I25" s="48" t="str">
        <x:v>linked by the locked 313-requirement index</x:v>
      </x:c>
      <x:c r="J25" s="47" t="n">
        <x:v>2</x:v>
      </x:c>
    </x:row>
    <x:row r="26">
      <x:c r="A26" s="47" t="str">
        <x:v>RUN-IMO-048-20260829T082613777541Z</x:v>
      </x:c>
      <x:c r="B26" s="47" t="str">
        <x:v>IMO-048</x:v>
      </x:c>
      <x:c r="C26" s="47" t="str">
        <x:v>approvingAuthority</x:v>
      </x:c>
      <x:c r="D26" s="48" t="str">
        <x:v>https://w3id.org/nltl/vocab#approvingAuthority</x:v>
      </x:c>
      <x:c r="E26" s="47" t="str">
        <x:v>DatatypeProperty</x:v>
      </x:c>
      <x:c r="F26" s="47" t="str">
        <x:v>xsd:string</x:v>
      </x:c>
      <x:c r="G26" s="47" t="str">
        <x:v>http://www.w3.org/2001/XMLSchema#string</x:v>
      </x:c>
      <x:c r="H26" s="47" t="str"/>
      <x:c r="I26" s="48" t="str">
        <x:v>linked by the locked 313-requirement index</x:v>
      </x:c>
      <x:c r="J26" s="47" t="n">
        <x:v>2</x:v>
      </x:c>
    </x:row>
    <x:row r="27">
      <x:c r="A27" s="47" t="str">
        <x:v>RUN-IMO-048-20260829T082613777541Z</x:v>
      </x:c>
      <x:c r="B27" s="47" t="str">
        <x:v>IMO-048</x:v>
      </x:c>
      <x:c r="C27" s="47" t="str">
        <x:v>benchmarkEntity</x:v>
      </x:c>
      <x:c r="D27" s="48" t="str">
        <x:v>https://w3id.org/nltl/vocab#benchmarkEntity</x:v>
      </x:c>
      <x:c r="E27" s="47" t="str">
        <x:v>Class</x:v>
      </x:c>
      <x:c r="F27" s="47" t="str"/>
      <x:c r="G27" s="47" t="str"/>
      <x:c r="H27" s="47" t="str"/>
      <x:c r="I27" s="48" t="str">
        <x:v>baseline target infrastructure; domain dependency of approvalStandard; domain dependency of approvingAuthority; domain dependency of exposedMachineryOrFoundationMaterial; domain dependency of materialApprovalStatus; domain dependency of polarServiceTemperature</x:v>
      </x:c>
      <x:c r="J27" s="47" t="n">
        <x:v>2</x:v>
      </x:c>
    </x:row>
    <x:row r="28">
      <x:c r="A28" s="47" t="str">
        <x:v>RUN-IMO-048-20260829T082613777541Z</x:v>
      </x:c>
      <x:c r="B28" s="47" t="str">
        <x:v>IMO-048</x:v>
      </x:c>
      <x:c r="C28" s="47" t="str">
        <x:v>evidenceArtifact</x:v>
      </x:c>
      <x:c r="D28" s="48" t="str">
        <x:v>https://w3id.org/nltl/vocab#evidenceArtifact</x:v>
      </x:c>
      <x:c r="E28" s="47" t="str">
        <x:v>Class</x:v>
      </x:c>
      <x:c r="F28" s="47" t="str"/>
      <x:c r="G28" s="47" t="str"/>
      <x:c r="H28" s="47" t="str"/>
      <x:c r="I28" s="48" t="str">
        <x:v>evidence-node dependency from verification category</x:v>
      </x:c>
      <x:c r="J28" s="47" t="n">
        <x:v>2</x:v>
      </x:c>
    </x:row>
    <x:row r="29">
      <x:c r="A29" s="47" t="str">
        <x:v>RUN-IMO-048-20260829T082613777541Z</x:v>
      </x:c>
      <x:c r="B29" s="47" t="str">
        <x:v>IMO-048</x:v>
      </x:c>
      <x:c r="C29" s="47" t="str">
        <x:v>evidenceState</x:v>
      </x:c>
      <x:c r="D29" s="48" t="str">
        <x:v>https://w3id.org/nltl/vocab#evidenceState</x:v>
      </x:c>
      <x:c r="E29" s="47" t="str">
        <x:v>Class</x:v>
      </x:c>
      <x:c r="F29" s="47" t="str"/>
      <x:c r="G29" s="47" t="str"/>
      <x:c r="H29" s="47" t="str"/>
      <x:c r="I29" s="48" t="str">
        <x:v>range dependency of materialApprovalStatus</x:v>
      </x:c>
      <x:c r="J29" s="47" t="n">
        <x:v>2</x:v>
      </x:c>
    </x:row>
    <x:row r="30">
      <x:c r="A30" s="47" t="str">
        <x:v>RUN-IMO-048-20260829T082613777541Z</x:v>
      </x:c>
      <x:c r="B30" s="47" t="str">
        <x:v>IMO-048</x:v>
      </x:c>
      <x:c r="C30" s="47" t="str">
        <x:v>evidenceStateApproved</x:v>
      </x:c>
      <x:c r="D30" s="48" t="str">
        <x:v>https://w3id.org/nltl/vocab#evidenceStateApproved</x:v>
      </x:c>
      <x:c r="E30" s="47" t="str">
        <x:v>NamedIndividual</x:v>
      </x:c>
      <x:c r="F30" s="47" t="str"/>
      <x:c r="G30" s="47" t="str">
        <x:v>https://w3id.org/nltl/vocab#evidenceState</x:v>
      </x:c>
      <x:c r="H30" s="47" t="str"/>
      <x:c r="I30" s="48" t="str">
        <x:v>controlled value permitted by the range of materialApprovalStatus</x:v>
      </x:c>
      <x:c r="J30" s="47" t="n">
        <x:v>2</x:v>
      </x:c>
    </x:row>
    <x:row r="31">
      <x:c r="A31" s="47" t="str">
        <x:v>RUN-IMO-048-20260829T082613777541Z</x:v>
      </x:c>
      <x:c r="B31" s="47" t="str">
        <x:v>IMO-048</x:v>
      </x:c>
      <x:c r="C31" s="47" t="str">
        <x:v>evidenceStateDraft</x:v>
      </x:c>
      <x:c r="D31" s="48" t="str">
        <x:v>https://w3id.org/nltl/vocab#evidenceStateDraft</x:v>
      </x:c>
      <x:c r="E31" s="47" t="str">
        <x:v>NamedIndividual</x:v>
      </x:c>
      <x:c r="F31" s="47" t="str"/>
      <x:c r="G31" s="47" t="str">
        <x:v>https://w3id.org/nltl/vocab#evidenceState</x:v>
      </x:c>
      <x:c r="H31" s="47" t="str"/>
      <x:c r="I31" s="48" t="str">
        <x:v>controlled value permitted by the range of materialApprovalStatus</x:v>
      </x:c>
      <x:c r="J31" s="47" t="n">
        <x:v>2</x:v>
      </x:c>
    </x:row>
    <x:row r="32">
      <x:c r="A32" s="47" t="str">
        <x:v>RUN-IMO-048-20260829T082613777541Z</x:v>
      </x:c>
      <x:c r="B32" s="47" t="str">
        <x:v>IMO-048</x:v>
      </x:c>
      <x:c r="C32" s="47" t="str">
        <x:v>evidenceStateExpired</x:v>
      </x:c>
      <x:c r="D32" s="48" t="str">
        <x:v>https://w3id.org/nltl/vocab#evidenceStateExpired</x:v>
      </x:c>
      <x:c r="E32" s="47" t="str">
        <x:v>NamedIndividual</x:v>
      </x:c>
      <x:c r="F32" s="47" t="str"/>
      <x:c r="G32" s="47" t="str">
        <x:v>https://w3id.org/nltl/vocab#evidenceState</x:v>
      </x:c>
      <x:c r="H32" s="47" t="str"/>
      <x:c r="I32" s="48" t="str">
        <x:v>controlled value permitted by the range of materialApprovalStatus</x:v>
      </x:c>
      <x:c r="J32" s="47" t="n">
        <x:v>2</x:v>
      </x:c>
    </x:row>
    <x:row r="33">
      <x:c r="A33" s="47" t="str">
        <x:v>RUN-IMO-048-20260829T082613777541Z</x:v>
      </x:c>
      <x:c r="B33" s="47" t="str">
        <x:v>IMO-048</x:v>
      </x:c>
      <x:c r="C33" s="47" t="str">
        <x:v>evidenceStateRejected</x:v>
      </x:c>
      <x:c r="D33" s="48" t="str">
        <x:v>https://w3id.org/nltl/vocab#evidenceStateRejected</x:v>
      </x:c>
      <x:c r="E33" s="47" t="str">
        <x:v>NamedIndividual</x:v>
      </x:c>
      <x:c r="F33" s="47" t="str"/>
      <x:c r="G33" s="47" t="str">
        <x:v>https://w3id.org/nltl/vocab#evidenceState</x:v>
      </x:c>
      <x:c r="H33" s="47" t="str"/>
      <x:c r="I33" s="48" t="str">
        <x:v>controlled value permitted by the range of materialApprovalStatus</x:v>
      </x:c>
      <x:c r="J33" s="47" t="n">
        <x:v>2</x:v>
      </x:c>
    </x:row>
    <x:row r="34">
      <x:c r="A34" s="47" t="str">
        <x:v>RUN-IMO-048-20260829T082613777541Z</x:v>
      </x:c>
      <x:c r="B34" s="47" t="str">
        <x:v>IMO-048</x:v>
      </x:c>
      <x:c r="C34" s="47" t="str">
        <x:v>evidenceStateRevoked</x:v>
      </x:c>
      <x:c r="D34" s="48" t="str">
        <x:v>https://w3id.org/nltl/vocab#evidenceStateRevoked</x:v>
      </x:c>
      <x:c r="E34" s="47" t="str">
        <x:v>NamedIndividual</x:v>
      </x:c>
      <x:c r="F34" s="47" t="str"/>
      <x:c r="G34" s="47" t="str">
        <x:v>https://w3id.org/nltl/vocab#evidenceState</x:v>
      </x:c>
      <x:c r="H34" s="47" t="str"/>
      <x:c r="I34" s="48" t="str">
        <x:v>controlled value permitted by the range of materialApprovalStatus</x:v>
      </x:c>
      <x:c r="J34" s="47" t="n">
        <x:v>2</x:v>
      </x:c>
    </x:row>
    <x:row r="35">
      <x:c r="A35" s="47" t="str">
        <x:v>RUN-IMO-048-20260829T082613777541Z</x:v>
      </x:c>
      <x:c r="B35" s="47" t="str">
        <x:v>IMO-048</x:v>
      </x:c>
      <x:c r="C35" s="47" t="str">
        <x:v>evidenceStateSubmitted</x:v>
      </x:c>
      <x:c r="D35" s="48" t="str">
        <x:v>https://w3id.org/nltl/vocab#evidenceStateSubmitted</x:v>
      </x:c>
      <x:c r="E35" s="47" t="str">
        <x:v>NamedIndividual</x:v>
      </x:c>
      <x:c r="F35" s="47" t="str"/>
      <x:c r="G35" s="47" t="str">
        <x:v>https://w3id.org/nltl/vocab#evidenceState</x:v>
      </x:c>
      <x:c r="H35" s="47" t="str"/>
      <x:c r="I35" s="48" t="str">
        <x:v>controlled value permitted by the range of materialApprovalStatus</x:v>
      </x:c>
      <x:c r="J35" s="47" t="n">
        <x:v>2</x:v>
      </x:c>
    </x:row>
    <x:row r="36">
      <x:c r="A36" s="47" t="str">
        <x:v>RUN-IMO-048-20260829T082613777541Z</x:v>
      </x:c>
      <x:c r="B36" s="47" t="str">
        <x:v>IMO-048</x:v>
      </x:c>
      <x:c r="C36" s="47" t="str">
        <x:v>evidenceStateUnderReview</x:v>
      </x:c>
      <x:c r="D36" s="48" t="str">
        <x:v>https://w3id.org/nltl/vocab#evidenceStateUnderReview</x:v>
      </x:c>
      <x:c r="E36" s="47" t="str">
        <x:v>NamedIndividual</x:v>
      </x:c>
      <x:c r="F36" s="47" t="str"/>
      <x:c r="G36" s="47" t="str">
        <x:v>https://w3id.org/nltl/vocab#evidenceState</x:v>
      </x:c>
      <x:c r="H36" s="47" t="str"/>
      <x:c r="I36" s="48" t="str">
        <x:v>controlled value permitted by the range of materialApprovalStatus</x:v>
      </x:c>
      <x:c r="J36" s="47" t="n">
        <x:v>2</x:v>
      </x:c>
    </x:row>
    <x:row r="37">
      <x:c r="A37" s="47" t="str">
        <x:v>RUN-IMO-048-20260829T082613777541Z</x:v>
      </x:c>
      <x:c r="B37" s="47" t="str">
        <x:v>IMO-048</x:v>
      </x:c>
      <x:c r="C37" s="47" t="str">
        <x:v>exposedMachineryOrFoundationMaterial</x:v>
      </x:c>
      <x:c r="D37" s="48" t="str">
        <x:v>https://w3id.org/nltl/vocab#exposedMachineryOrFoundationMaterial</x:v>
      </x:c>
      <x:c r="E37" s="47" t="str">
        <x:v>DatatypeProperty</x:v>
      </x:c>
      <x:c r="F37" s="47" t="str">
        <x:v>xsd:string</x:v>
      </x:c>
      <x:c r="G37" s="47" t="str">
        <x:v>http://www.w3.org/2001/XMLSchema#string</x:v>
      </x:c>
      <x:c r="H37" s="47" t="str"/>
      <x:c r="I37" s="48" t="str">
        <x:v>linked by the locked 313-requirement index</x:v>
      </x:c>
      <x:c r="J37" s="47" t="n">
        <x:v>2</x:v>
      </x:c>
    </x:row>
    <x:row r="38">
      <x:c r="A38" s="47" t="str">
        <x:v>RUN-IMO-048-20260829T082613777541Z</x:v>
      </x:c>
      <x:c r="B38" s="47" t="str">
        <x:v>IMO-048</x:v>
      </x:c>
      <x:c r="C38" s="47" t="str">
        <x:v>hasComponent</x:v>
      </x:c>
      <x:c r="D38" s="48" t="str">
        <x:v>https://w3id.org/nltl/vocab#hasComponent</x:v>
      </x:c>
      <x:c r="E38" s="47" t="str">
        <x:v>ObjectProperty</x:v>
      </x:c>
      <x:c r="F38" s="47" t="str"/>
      <x:c r="G38" s="47" t="str">
        <x:v>https://w3id.org/nltl/vocab#shipComponent</x:v>
      </x:c>
      <x:c r="H38" s="47" t="str"/>
      <x:c r="I38" s="48" t="str">
        <x:v>component-path dependency inferred from the linked term module</x:v>
      </x:c>
      <x:c r="J38" s="47" t="n">
        <x:v>2</x:v>
      </x:c>
    </x:row>
    <x:row r="39">
      <x:c r="A39" s="47" t="str">
        <x:v>RUN-IMO-048-20260829T082613777541Z</x:v>
      </x:c>
      <x:c r="B39" s="47" t="str">
        <x:v>IMO-048</x:v>
      </x:c>
      <x:c r="C39" s="47" t="str">
        <x:v>hasEvidence</x:v>
      </x:c>
      <x:c r="D39" s="48" t="str">
        <x:v>https://w3id.org/nltl/vocab#hasEvidence</x:v>
      </x:c>
      <x:c r="E39" s="47" t="str">
        <x:v>ObjectProperty</x:v>
      </x:c>
      <x:c r="F39" s="47" t="str"/>
      <x:c r="G39" s="47" t="str">
        <x:v>https://w3id.org/nltl/vocab#evidenceArtifact</x:v>
      </x:c>
      <x:c r="H39" s="47" t="str"/>
      <x:c r="I39" s="48" t="str">
        <x:v>evidence-node dependency from verification category</x:v>
      </x:c>
      <x:c r="J39" s="47" t="n">
        <x:v>2</x:v>
      </x:c>
    </x:row>
    <x:row r="40">
      <x:c r="A40" s="47" t="str">
        <x:v>RUN-IMO-048-20260829T082613777541Z</x:v>
      </x:c>
      <x:c r="B40" s="47" t="str">
        <x:v>IMO-048</x:v>
      </x:c>
      <x:c r="C40" s="47" t="str">
        <x:v>materialApprovalStatus</x:v>
      </x:c>
      <x:c r="D40" s="48" t="str">
        <x:v>https://w3id.org/nltl/vocab#materialApprovalStatus</x:v>
      </x:c>
      <x:c r="E40" s="47" t="str">
        <x:v>ObjectProperty</x:v>
      </x:c>
      <x:c r="F40" s="47" t="str"/>
      <x:c r="G40" s="47" t="str">
        <x:v>https://w3id.org/nltl/vocab#evidenceState</x:v>
      </x:c>
      <x:c r="H40" s="47" t="str"/>
      <x:c r="I40" s="48" t="str">
        <x:v>linked by the locked 313-requirement index</x:v>
      </x:c>
      <x:c r="J40" s="47" t="n">
        <x:v>2</x:v>
      </x:c>
    </x:row>
    <x:row r="41">
      <x:c r="A41" s="47" t="str">
        <x:v>RUN-IMO-048-20260829T082613777541Z</x:v>
      </x:c>
      <x:c r="B41" s="47" t="str">
        <x:v>IMO-048</x:v>
      </x:c>
      <x:c r="C41" s="47" t="str">
        <x:v>polarServiceTemperature</x:v>
      </x:c>
      <x:c r="D41" s="48" t="str">
        <x:v>https://w3id.org/nltl/vocab#polarServiceTemperature</x:v>
      </x:c>
      <x:c r="E41" s="47" t="str">
        <x:v>QuantityProperty</x:v>
      </x:c>
      <x:c r="F41" s="47" t="str"/>
      <x:c r="G41" s="47" t="str">
        <x:v>http://qudt.org/schema/qudt/QuantityValue</x:v>
      </x:c>
      <x:c r="H41" s="47" t="str">
        <x:v>http://qudt.org/vocab/unit/DEG_C</x:v>
      </x:c>
      <x:c r="I41" s="48" t="str">
        <x:v>linked by the locked 313-requirement index</x:v>
      </x:c>
      <x:c r="J41" s="47" t="n">
        <x:v>2</x:v>
      </x:c>
    </x:row>
    <x:row r="42">
      <x:c r="A42" s="47" t="str">
        <x:v>RUN-IMO-048-20260829T082613777541Z</x:v>
      </x:c>
      <x:c r="B42" s="47" t="str">
        <x:v>IMO-048</x:v>
      </x:c>
      <x:c r="C42" s="47" t="str">
        <x:v>ship</x:v>
      </x:c>
      <x:c r="D42" s="48" t="str">
        <x:v>https://w3id.org/nltl/vocab#ship</x:v>
      </x:c>
      <x:c r="E42" s="47" t="str">
        <x:v>Class</x:v>
      </x:c>
      <x:c r="F42" s="47" t="str"/>
      <x:c r="G42" s="47" t="str"/>
      <x:c r="H42" s="47" t="str"/>
      <x:c r="I42" s="48" t="str">
        <x:v>authoritative required owner class; authoritative requirement target owner; baseline target infrastructure</x:v>
      </x:c>
      <x:c r="J42" s="47" t="n">
        <x:v>2</x:v>
      </x:c>
    </x:row>
    <x:row r="43">
      <x:c r="A43" s="49" t="str">
        <x:v>RUN-IMO-048-20260829T082613777541Z</x:v>
      </x:c>
      <x:c r="B43" s="49" t="str">
        <x:v>IMO-048</x:v>
      </x:c>
      <x:c r="C43" s="49" t="str">
        <x:v>shipComponent</x:v>
      </x:c>
      <x:c r="D43" s="50" t="str">
        <x:v>https://w3id.org/nltl/vocab#shipComponent</x:v>
      </x:c>
      <x:c r="E43" s="49" t="str">
        <x:v>Class</x:v>
      </x:c>
      <x:c r="F43" s="49" t="str"/>
      <x:c r="G43" s="49" t="str"/>
      <x:c r="H43" s="49" t="str"/>
      <x:c r="I43" s="50" t="str">
        <x:v>component-path dependency inferred from the linked term module</x:v>
      </x:c>
      <x:c r="J43" s="49" t="n">
        <x:v>2</x:v>
      </x:c>
    </x:row>
  </x:sheetData>
  <x:pageMargins left="0.7" right="0.7" top="0.75" bottom="0.75" header="0.3" footer="0.3"/>
  <x:tableParts count="1">
    <x:tablePart xmlns:r="http://schemas.openxmlformats.org/officeDocument/2006/relationships" r:id="R39f62cf5a20244f6"/>
  </x:tableParts>
</x:worksheet>
</file>

<file path=xl/worksheets/sheet8.xml><?xml version="1.0" encoding="utf-8"?>
<x:worksheet xmlns:x="http://schemas.openxmlformats.org/spreadsheetml/2006/main">
  <x:sheetViews>
    <x:sheetView showGridLines="0" workbookViewId="0"/>
  </x:sheetViews>
  <x:sheetFormatPr defaultRowHeight="15"/>
  <x:cols>
    <x:col min="1" max="1" width="42" hidden="0" customWidth="1"/>
    <x:col min="2" max="2" width="18" hidden="0" customWidth="1"/>
    <x:col min="3" max="3" width="12" hidden="0" customWidth="1"/>
    <x:col min="4" max="4" width="15" hidden="0" customWidth="1"/>
    <x:col min="5" max="5" width="11" hidden="0" customWidth="1"/>
    <x:col min="6" max="6" width="17" hidden="0" customWidth="1"/>
    <x:col min="7" max="7" width="24" hidden="0" customWidth="1"/>
  </x:cols>
  <x:sheetData>
    <x:row r="1">
      <x:c r="A1" s="18" t="str">
        <x:v>NLTL SHACL Pipeline Run Tracker</x:v>
      </x:c>
      <x:c r="B1" s="19"/>
      <x:c r="C1" s="19"/>
      <x:c r="D1" s="19"/>
      <x:c r="E1" s="19"/>
      <x:c r="F1" s="19"/>
      <x:c r="G1" s="19"/>
    </x:row>
    <x:row r="2">
      <x:c r="A2" s="20" t="str">
        <x:v>FEW_SHOT_SELECTION | Run folder: RUN-IMO-048-20260829T082613777541Z</x:v>
      </x:c>
      <x:c r="B2" s="20"/>
      <x:c r="C2" s="20"/>
      <x:c r="D2" s="20"/>
      <x:c r="E2" s="20"/>
      <x:c r="F2" s="20"/>
      <x:c r="G2" s="20"/>
    </x:row>
    <x:row r="3">
      <x:c r="A3" s="21"/>
      <x:c r="B3" s="21"/>
      <x:c r="C3" s="21"/>
      <x:c r="D3" s="21"/>
      <x:c r="E3" s="21"/>
      <x:c r="F3" s="21"/>
      <x:c r="G3" s="21"/>
    </x:row>
    <x:row r="4" ht="30" customHeight="1">
      <x:c r="A4" s="43" t="str">
        <x:v>RUN_ID</x:v>
      </x:c>
      <x:c r="B4" s="57" t="str">
        <x:v>REQUIREMENT_ID</x:v>
      </x:c>
      <x:c r="C4" s="57" t="str">
        <x:v>EXAMPLE_ID</x:v>
      </x:c>
      <x:c r="D4" s="57" t="str">
        <x:v>CASE_ID</x:v>
      </x:c>
      <x:c r="E4" s="57" t="str">
        <x:v>SCORE</x:v>
      </x:c>
      <x:c r="F4" s="57" t="str">
        <x:v>MATCHED_TAGS</x:v>
      </x:c>
      <x:c r="G4" s="44" t="str">
        <x:v>STATUS</x:v>
      </x:c>
    </x:row>
    <x:row r="5">
      <x:c r="A5" s="45" t="str">
        <x:v>RUN-IMO-048-20260829T082613777541Z</x:v>
      </x:c>
      <x:c r="B5" s="45" t="str">
        <x:v>IMO-048</x:v>
      </x:c>
      <x:c r="C5" s="45" t="str">
        <x:v>FS-QTY-01</x:v>
      </x:c>
      <x:c r="D5" s="45" t="str">
        <x:v>qudt_quantity</x:v>
      </x:c>
      <x:c r="E5" s="97" t="n">
        <x:v>0.037736</x:v>
      </x:c>
      <x:c r="F5" s="45" t="str">
        <x:v>quantity | qudt</x:v>
      </x:c>
      <x:c r="G5" s="45" t="str">
        <x:v>synthetic-few-shot-not-benchmark-ground-truth</x:v>
      </x:c>
    </x:row>
    <x:row r="6">
      <x:c r="A6" s="49" t="str">
        <x:v>RUN-IMO-048-20260829T082613777541Z</x:v>
      </x:c>
      <x:c r="B6" s="49" t="str">
        <x:v>IMO-048</x:v>
      </x:c>
      <x:c r="C6" s="49" t="str">
        <x:v>FS-QTY-02</x:v>
      </x:c>
      <x:c r="D6" s="49" t="str">
        <x:v>qudt_quantity</x:v>
      </x:c>
      <x:c r="E6" s="98" t="n">
        <x:v>0.037736</x:v>
      </x:c>
      <x:c r="F6" s="49" t="str">
        <x:v>quantity | qudt</x:v>
      </x:c>
      <x:c r="G6" s="49" t="str">
        <x:v>synthetic-few-shot-not-benchmark-ground-truth</x:v>
      </x:c>
    </x:row>
  </x:sheetData>
  <x:conditionalFormatting sqref="G5:G6">
    <x:cfRule type="containsText" dxfId="36" priority="1" operator="containsText" text="ACCEPT"/>
    <x:cfRule type="containsText" dxfId="37" priority="2" operator="containsText" text="ELIGIBLE"/>
    <x:cfRule type="containsText" dxfId="38" priority="3" operator="containsText" text="PASS"/>
    <x:cfRule type="containsText" dxfId="39" priority="4" operator="containsText" text="GAP"/>
    <x:cfRule type="containsText" dxfId="40" priority="5" operator="containsText" text="FAIL"/>
    <x:cfRule type="containsText" dxfId="41" priority="6" operator="containsText" text="DEFERRED"/>
  </x:conditionalFormatting>
  <x:pageMargins left="0.7" right="0.7" top="0.75" bottom="0.75" header="0.3" footer="0.3"/>
  <x:tableParts count="1">
    <x:tablePart xmlns:r="http://schemas.openxmlformats.org/officeDocument/2006/relationships" r:id="Rc4aaacbc22f5403b"/>
  </x:tableParts>
</x:worksheet>
</file>

<file path=xl/worksheets/sheet9.xml><?xml version="1.0" encoding="utf-8"?>
<x:worksheet xmlns:x="http://schemas.openxmlformats.org/spreadsheetml/2006/main">
  <x:sheetViews>
    <x:sheetView showGridLines="0" workbookViewId="0"/>
  </x:sheetViews>
  <x:sheetFormatPr defaultRowHeight="15"/>
  <x:cols>
    <x:col min="1" max="1" width="42" hidden="0" customWidth="1"/>
    <x:col min="2" max="2" width="18" hidden="0" customWidth="1"/>
    <x:col min="3" max="3" width="11" hidden="0" customWidth="1"/>
    <x:col min="4" max="4" width="11" hidden="0" customWidth="1"/>
    <x:col min="5" max="5" width="18" hidden="0" customWidth="1"/>
    <x:col min="6" max="6" width="14" hidden="0" customWidth="1"/>
    <x:col min="7" max="7" width="23" hidden="0" customWidth="1"/>
    <x:col min="8" max="8" width="18" hidden="0" customWidth="1"/>
    <x:col min="9" max="9" width="18" hidden="0" customWidth="1"/>
    <x:col min="10" max="10" width="21" hidden="0" customWidth="1"/>
    <x:col min="11" max="11" width="20" hidden="0" customWidth="1"/>
    <x:col min="12" max="12" width="20" hidden="0" customWidth="1"/>
    <x:col min="13" max="13" width="20" hidden="0" customWidth="1"/>
    <x:col min="14" max="14" width="52" hidden="0" customWidth="1"/>
    <x:col min="15" max="15" width="20" hidden="0" customWidth="1"/>
    <x:col min="16" max="16" width="20" hidden="0" customWidth="1"/>
    <x:col min="17" max="17" width="26" hidden="0" customWidth="1"/>
  </x:cols>
  <x:sheetData>
    <x:row r="1">
      <x:c r="A1" s="18" t="str">
        <x:v>NLTL SHACL Pipeline Run Tracker</x:v>
      </x:c>
      <x:c r="B1" s="19"/>
      <x:c r="C1" s="19"/>
      <x:c r="D1" s="19"/>
      <x:c r="E1" s="19"/>
      <x:c r="F1" s="19"/>
      <x:c r="G1" s="19"/>
      <x:c r="H1" s="19"/>
      <x:c r="I1" s="19"/>
      <x:c r="J1" s="19"/>
      <x:c r="K1" s="19"/>
      <x:c r="L1" s="19"/>
      <x:c r="M1" s="19"/>
      <x:c r="N1" s="19"/>
      <x:c r="O1" s="19"/>
      <x:c r="P1" s="19"/>
      <x:c r="Q1" s="19"/>
    </x:row>
    <x:row r="2">
      <x:c r="A2" s="20" t="str">
        <x:v>VALIDATION | Run folder: RUN-IMO-048-20260829T082613777541Z</x:v>
      </x:c>
      <x:c r="B2" s="20"/>
      <x:c r="C2" s="20"/>
      <x:c r="D2" s="20"/>
      <x:c r="E2" s="20"/>
      <x:c r="F2" s="20"/>
      <x:c r="G2" s="20"/>
      <x:c r="H2" s="20"/>
      <x:c r="I2" s="20"/>
      <x:c r="J2" s="20"/>
      <x:c r="K2" s="20"/>
      <x:c r="L2" s="20"/>
      <x:c r="M2" s="20"/>
      <x:c r="N2" s="20"/>
      <x:c r="O2" s="20"/>
      <x:c r="P2" s="20"/>
      <x:c r="Q2" s="20"/>
    </x:row>
    <x:row r="3">
      <x:c r="A3" s="21"/>
      <x:c r="B3" s="21"/>
      <x:c r="C3" s="21"/>
      <x:c r="D3" s="21"/>
      <x:c r="E3" s="21"/>
      <x:c r="F3" s="21"/>
      <x:c r="G3" s="21"/>
      <x:c r="H3" s="21"/>
      <x:c r="I3" s="21"/>
      <x:c r="J3" s="21"/>
      <x:c r="K3" s="21"/>
      <x:c r="L3" s="21"/>
      <x:c r="M3" s="21"/>
      <x:c r="N3" s="21"/>
      <x:c r="O3" s="21"/>
      <x:c r="P3" s="21"/>
      <x:c r="Q3" s="21"/>
    </x:row>
    <x:row r="4" ht="30" customHeight="1">
      <x:c r="A4" s="43" t="str">
        <x:v>RUN_ID</x:v>
      </x:c>
      <x:c r="B4" s="57" t="str">
        <x:v>REQUIREMENT_ID</x:v>
      </x:c>
      <x:c r="C4" s="57" t="str">
        <x:v>ITERATION</x:v>
      </x:c>
      <x:c r="D4" s="57" t="str">
        <x:v>VALID</x:v>
      </x:c>
      <x:c r="E4" s="57" t="str">
        <x:v>EXTRACTION_VALID</x:v>
      </x:c>
      <x:c r="F4" s="57" t="str">
        <x:v>TURTLE_VALID</x:v>
      </x:c>
      <x:c r="G4" s="57" t="str">
        <x:v>SHACL_STRUCTURE_VALID</x:v>
      </x:c>
      <x:c r="H4" s="57" t="str">
        <x:v>META_SHACL_VALID</x:v>
      </x:c>
      <x:c r="I4" s="57" t="str">
        <x:v>VOCABULARY_VALID</x:v>
      </x:c>
      <x:c r="J4" s="57" t="str">
        <x:v>DATATYPE_UNIT_VALID</x:v>
      </x:c>
      <x:c r="K4" s="57" t="str">
        <x:v>TARGET_PATH_VALID</x:v>
      </x:c>
      <x:c r="L4" s="57" t="str">
        <x:v>ERRORS</x:v>
      </x:c>
      <x:c r="M4" s="57" t="str">
        <x:v>WARNINGS</x:v>
      </x:c>
      <x:c r="N4" s="57" t="str">
        <x:v>USED_CANONICAL_IRIS</x:v>
      </x:c>
      <x:c r="O4" s="57" t="str">
        <x:v>UNKNOWN_IRIS</x:v>
      </x:c>
      <x:c r="P4" s="57" t="str">
        <x:v>OUT_OF_SCOPE_IRIS</x:v>
      </x:c>
      <x:c r="Q4" s="44" t="str">
        <x:v>SUSPICIOUS_EXTERNAL_IRIS</x:v>
      </x:c>
    </x:row>
    <x:row r="5">
      <x:c r="A5" s="45" t="str">
        <x:v>RUN-IMO-048-20260829T082613777541Z</x:v>
      </x:c>
      <x:c r="B5" s="45" t="str">
        <x:v>IMO-048</x:v>
      </x:c>
      <x:c r="C5" s="58" t="n">
        <x:v>1</x:v>
      </x:c>
      <x:c r="D5" s="80" t="b">
        <x:v>1</x:v>
      </x:c>
      <x:c r="E5" s="80" t="b">
        <x:v>1</x:v>
      </x:c>
      <x:c r="F5" s="80" t="b">
        <x:v>1</x:v>
      </x:c>
      <x:c r="G5" s="80" t="b">
        <x:v>1</x:v>
      </x:c>
      <x:c r="H5" s="80" t="b">
        <x:v>1</x:v>
      </x:c>
      <x:c r="I5" s="80" t="b">
        <x:v>1</x:v>
      </x:c>
      <x:c r="J5" s="80" t="b">
        <x:v>1</x:v>
      </x:c>
      <x:c r="K5" s="101" t="b">
        <x:v>1</x:v>
      </x:c>
      <x:c r="L5" s="46" t="str"/>
      <x:c r="M5" s="46" t="str"/>
      <x:c r="N5" s="46" t="str">
        <x:v>https://w3id.org/nltl/vocab#approvalStandard | https://w3id.org/nltl/vocab#approvingAuthority | https://w3id.org/nltl/vocab#evidenceStateApproved | https://w3id.org/nltl/vocab#exposedMachineryOrFoundationMaterial | https://w3id.org/nltl/vocab#materialApprovalStatus | https://w3id.org/nltl/vocab#polarServiceTemperature | https://w3id.org/nltl/vocab#ship</x:v>
      </x:c>
      <x:c r="O5" s="46" t="str"/>
      <x:c r="P5" s="46" t="str"/>
      <x:c r="Q5" s="46" t="str"/>
    </x:row>
    <x:row r="6">
      <x:c r="A6" s="49" t="str">
        <x:v>RUN-IMO-048-20260829T082613777541Z</x:v>
      </x:c>
      <x:c r="B6" s="49" t="str">
        <x:v>IMO-048</x:v>
      </x:c>
      <x:c r="C6" s="60" t="n">
        <x:v>2</x:v>
      </x:c>
      <x:c r="D6" s="82" t="b">
        <x:v>1</x:v>
      </x:c>
      <x:c r="E6" s="82" t="b">
        <x:v>1</x:v>
      </x:c>
      <x:c r="F6" s="82" t="b">
        <x:v>1</x:v>
      </x:c>
      <x:c r="G6" s="82" t="b">
        <x:v>1</x:v>
      </x:c>
      <x:c r="H6" s="82" t="b">
        <x:v>1</x:v>
      </x:c>
      <x:c r="I6" s="82" t="b">
        <x:v>1</x:v>
      </x:c>
      <x:c r="J6" s="82" t="b">
        <x:v>1</x:v>
      </x:c>
      <x:c r="K6" s="102" t="b">
        <x:v>1</x:v>
      </x:c>
      <x:c r="L6" s="50" t="str"/>
      <x:c r="M6" s="50" t="str"/>
      <x:c r="N6" s="50" t="str">
        <x:v>https://w3id.org/nltl/vocab#approvalEvidence | https://w3id.org/nltl/vocab#approvalStandard | https://w3id.org/nltl/vocab#approvingAuthority | https://w3id.org/nltl/vocab#evidenceArtifact | https://w3id.org/nltl/vocab#evidenceStateApproved | https://w3id.org/nltl/vocab#exposedMachineryOrFoundationMaterial | https://w3id.org/nltl/vocab#hasEvidence | https://w3id.org/nltl/vocab#materialApprovalStatus | https://w3id.org/nltl/vocab#polarServiceTemperature | https://w3id.org/nltl/vocab#ship</x:v>
      </x:c>
      <x:c r="O6" s="50" t="str"/>
      <x:c r="P6" s="50" t="str"/>
      <x:c r="Q6" s="50" t="str"/>
    </x:row>
  </x:sheetData>
  <x:pageMargins left="0.7" right="0.7" top="0.75" bottom="0.75" header="0.3" footer="0.3"/>
  <x:tableParts count="1">
    <x:tablePart xmlns:r="http://schemas.openxmlformats.org/officeDocument/2006/relationships" r:id="R158a6a8fb33844a6"/>
  </x:tableParts>
</x:worksheet>
</file>

<file path=xl/worksheets/sheet10.xml><?xml version="1.0" encoding="utf-8"?>
<x:worksheet xmlns:x="http://schemas.openxmlformats.org/spreadsheetml/2006/main">
  <x:sheetViews>
    <x:sheetView showGridLines="0" workbookViewId="0"/>
  </x:sheetViews>
  <x:sheetFormatPr defaultRowHeight="15"/>
  <x:cols>
    <x:col min="1" max="1" width="42" hidden="0" customWidth="1"/>
    <x:col min="2" max="2" width="18" hidden="0" customWidth="1"/>
    <x:col min="3" max="3" width="11" hidden="0" customWidth="1"/>
    <x:col min="4" max="4" width="18" hidden="0" customWidth="1"/>
    <x:col min="5" max="5" width="52" hidden="0" customWidth="1"/>
    <x:col min="6" max="6" width="17" hidden="0" customWidth="1"/>
    <x:col min="7" max="7" width="13" hidden="0" customWidth="1"/>
    <x:col min="8" max="8" width="40" hidden="0" customWidth="1"/>
    <x:col min="9" max="9" width="52" hidden="0" customWidth="1"/>
    <x:col min="10" max="10" width="52" hidden="0" customWidth="1"/>
  </x:cols>
  <x:sheetData>
    <x:row r="1">
      <x:c r="A1" s="18" t="str">
        <x:v>NLTL SHACL Pipeline Run Tracker</x:v>
      </x:c>
      <x:c r="B1" s="19"/>
      <x:c r="C1" s="19"/>
      <x:c r="D1" s="19"/>
      <x:c r="E1" s="19"/>
      <x:c r="F1" s="19"/>
      <x:c r="G1" s="19"/>
      <x:c r="H1" s="19"/>
      <x:c r="I1" s="19"/>
      <x:c r="J1" s="19"/>
    </x:row>
    <x:row r="2">
      <x:c r="A2" s="20" t="str">
        <x:v>VOCAB_MATCHES | Run folder: RUN-IMO-048-20260829T082613777541Z</x:v>
      </x:c>
      <x:c r="B2" s="20"/>
      <x:c r="C2" s="20"/>
      <x:c r="D2" s="20"/>
      <x:c r="E2" s="20"/>
      <x:c r="F2" s="20"/>
      <x:c r="G2" s="20"/>
      <x:c r="H2" s="20"/>
      <x:c r="I2" s="20"/>
      <x:c r="J2" s="20"/>
    </x:row>
    <x:row r="3">
      <x:c r="A3" s="21"/>
      <x:c r="B3" s="21"/>
      <x:c r="C3" s="21"/>
      <x:c r="D3" s="21"/>
      <x:c r="E3" s="21"/>
      <x:c r="F3" s="21"/>
      <x:c r="G3" s="21"/>
      <x:c r="H3" s="21"/>
      <x:c r="I3" s="21"/>
      <x:c r="J3" s="21"/>
    </x:row>
    <x:row r="4" ht="30" customHeight="1">
      <x:c r="A4" s="43" t="str">
        <x:v>RUN_ID</x:v>
      </x:c>
      <x:c r="B4" s="57" t="str">
        <x:v>REQUIREMENT_ID</x:v>
      </x:c>
      <x:c r="C4" s="57" t="str">
        <x:v>ITERATION</x:v>
      </x:c>
      <x:c r="D4" s="57" t="str">
        <x:v>EVENT</x:v>
      </x:c>
      <x:c r="E4" s="57" t="str">
        <x:v>QUERY_FEEDBACK</x:v>
      </x:c>
      <x:c r="F4" s="57" t="str">
        <x:v>CANDIDATE_COUNT</x:v>
      </x:c>
      <x:c r="G4" s="57" t="str">
        <x:v>MATCH_FOUND</x:v>
      </x:c>
      <x:c r="H4" s="57" t="str">
        <x:v>CANONICAL_LOCAL_NAME</x:v>
      </x:c>
      <x:c r="I4" s="57" t="str">
        <x:v>CANONICAL_IRI</x:v>
      </x:c>
      <x:c r="J4" s="44" t="str">
        <x:v>FEEDBACK_APPENDIX</x:v>
      </x:c>
    </x:row>
    <x:row r="5">
      <x:c r="A5" s="45" t="str">
        <x:v>RUN-IMO-048-20260829T082613777541Z</x:v>
      </x:c>
      <x:c r="B5" s="45" t="str">
        <x:v>IMO-048</x:v>
      </x:c>
      <x:c r="C5" s="58" t="n">
        <x:v>1</x:v>
      </x:c>
      <x:c r="D5" s="45" t="str">
        <x:v>matcher_search</x:v>
      </x:c>
      <x:c r="E5" s="46" t="str">
        <x:v>Reject: the shape is only a ship-level presence check and does not encode that each exposed machinery or foundation material has its own approval evidence using the authorized authority and standard while preserving the polar service temperature basis. It also imposes unconditional sh:minCount 1 on exposed material and PST, although a universal approval rule does not establish that such materials exist. Add the canonical per-material approval/evidence association (including the material certificate concept if required), condition the approval checks on the existence of applicable exposed materials, and bind each approval evidence record to its material, approving authority, accepted/equivalent standard, and PST. The required association/certificate concept is absent from the scoped vocabulary, so locate the canonical term before regenerating the shape.</x:v>
      </x:c>
      <x:c r="F5" s="58" t="n">
        <x:v>5</x:v>
      </x:c>
      <x:c r="G5" s="45" t="str"/>
      <x:c r="H5" s="45" t="str"/>
      <x:c r="I5" s="46" t="str"/>
      <x:c r="J5" s="46" t="str"/>
    </x:row>
    <x:row r="6">
      <x:c r="A6" s="47" t="str">
        <x:v>RUN-IMO-048-20260829T082613777541Z</x:v>
      </x:c>
      <x:c r="B6" s="47" t="str">
        <x:v>IMO-048</x:v>
      </x:c>
      <x:c r="C6" s="59" t="n">
        <x:v>1</x:v>
      </x:c>
      <x:c r="D6" s="47" t="str">
        <x:v>matcher_decision</x:v>
      </x:c>
      <x:c r="E6" s="48" t="str"/>
      <x:c r="F6" s="59" t="str"/>
      <x:c r="G6" s="93" t="b">
        <x:v>1</x:v>
      </x:c>
      <x:c r="H6" s="47" t="str">
        <x:v>approvalEvidence</x:v>
      </x:c>
      <x:c r="I6" s="48" t="str">
        <x:v>https://w3id.org/nltl/vocab#approvalEvidence</x:v>
      </x:c>
      <x:c r="J6" s="48" t="str">
        <x:v>Use this exact term because the feedback requires a canonical approval-evidence record that can be associated with each exposed machinery or foundation material and carry the authority, standard, and PST basis.</x:v>
      </x:c>
    </x:row>
    <x:row r="7">
      <x:c r="A7" s="47" t="str">
        <x:v>RUN-IMO-048-20260829T082613777541Z</x:v>
      </x:c>
      <x:c r="B7" s="47" t="str">
        <x:v>IMO-048</x:v>
      </x:c>
      <x:c r="C7" s="59" t="n">
        <x:v>2</x:v>
      </x:c>
      <x:c r="D7" s="47" t="str">
        <x:v>matcher_search</x:v>
      </x:c>
      <x:c r="E7" s="48" t="str">
        <x:v>Reject. The candidate still performs global ship-level checks rather than enforcing the requirement for every individual exposed machinery or foundation material: one approval evidence, authority, standard, approved status, and PST can incorrectly satisfy all materials. Bind each material to its own qualified approval-evidence/material-certificate record and require the authority, authorized standard alternative, approved status, and PST basis on that same qualification; do not merely require unrelated ship-level properties. The supplied hasEvidence relation is ship-owned and cannot provide the missing material-to-evidence binding, so locate the canonical per-material approval-evidence/material-certificate association term before regenerating. Preserve the prior instruction that applicability must remain conditional and that no unconditional existence constraint should be added.</x:v>
      </x:c>
      <x:c r="F7" s="59" t="n">
        <x:v>5</x:v>
      </x:c>
      <x:c r="G7" s="47" t="str"/>
      <x:c r="H7" s="47" t="str"/>
      <x:c r="I7" s="48" t="str"/>
      <x:c r="J7" s="48" t="str"/>
    </x:row>
    <x:row r="8">
      <x:c r="A8" s="49" t="str">
        <x:v>RUN-IMO-048-20260829T082613777541Z</x:v>
      </x:c>
      <x:c r="B8" s="49" t="str">
        <x:v>IMO-048</x:v>
      </x:c>
      <x:c r="C8" s="60" t="n">
        <x:v>2</x:v>
      </x:c>
      <x:c r="D8" s="49" t="str">
        <x:v>matcher_decision</x:v>
      </x:c>
      <x:c r="E8" s="50" t="str"/>
      <x:c r="F8" s="60" t="str"/>
      <x:c r="G8" s="82" t="b">
        <x:v>0</x:v>
      </x:c>
      <x:c r="H8" s="49" t="str"/>
      <x:c r="I8" s="50" t="str"/>
      <x:c r="J8" s="50" t="str"/>
    </x:row>
  </x:sheetData>
  <x:pageMargins left="0.7" right="0.7" top="0.75" bottom="0.75" header="0.3" footer="0.3"/>
  <x:tableParts count="1">
    <x:tablePart xmlns:r="http://schemas.openxmlformats.org/officeDocument/2006/relationships" r:id="Rb33e70fbf7b3401d"/>
  </x:tableParts>
</x:worksheet>
</file>

<file path=xl/worksheets/sheet11.xml><?xml version="1.0" encoding="utf-8"?>
<x:worksheet xmlns:x="http://schemas.openxmlformats.org/spreadsheetml/2006/main">
  <x:sheetViews>
    <x:sheetView showGridLines="0" workbookViewId="0"/>
  </x:sheetViews>
  <x:sheetFormatPr defaultRowHeight="15"/>
  <x:cols>
    <x:col min="1" max="1" width="42" hidden="0" customWidth="1"/>
    <x:col min="2" max="2" width="18" hidden="0" customWidth="1"/>
    <x:col min="3" max="3" width="11" hidden="0" customWidth="1"/>
    <x:col min="4" max="4" width="28" hidden="0" customWidth="1"/>
    <x:col min="5" max="5" width="52" hidden="0" customWidth="1"/>
    <x:col min="6" max="6" width="36" hidden="0" customWidth="1"/>
    <x:col min="7" max="7" width="11" hidden="0" customWidth="1"/>
  </x:cols>
  <x:sheetData>
    <x:row r="1">
      <x:c r="A1" s="18" t="str">
        <x:v>NLTL SHACL Pipeline Run Tracker</x:v>
      </x:c>
      <x:c r="B1" s="19"/>
      <x:c r="C1" s="19"/>
      <x:c r="D1" s="19"/>
      <x:c r="E1" s="19"/>
      <x:c r="F1" s="19"/>
      <x:c r="G1" s="19"/>
    </x:row>
    <x:row r="2">
      <x:c r="A2" s="20" t="str">
        <x:v>ARTIFACTS | Run folder: RUN-IMO-048-20260829T082613777541Z</x:v>
      </x:c>
      <x:c r="B2" s="20"/>
      <x:c r="C2" s="20"/>
      <x:c r="D2" s="20"/>
      <x:c r="E2" s="20"/>
      <x:c r="F2" s="20"/>
      <x:c r="G2" s="20"/>
    </x:row>
    <x:row r="3">
      <x:c r="A3" s="21"/>
      <x:c r="B3" s="21"/>
      <x:c r="C3" s="21"/>
      <x:c r="D3" s="21"/>
      <x:c r="E3" s="21"/>
      <x:c r="F3" s="21"/>
      <x:c r="G3" s="21"/>
    </x:row>
    <x:row r="4" ht="30" customHeight="1">
      <x:c r="A4" s="43" t="str">
        <x:v>RUN_ID</x:v>
      </x:c>
      <x:c r="B4" s="57" t="str">
        <x:v>REQUIREMENT_ID</x:v>
      </x:c>
      <x:c r="C4" s="57" t="str">
        <x:v>ITERATION</x:v>
      </x:c>
      <x:c r="D4" s="57" t="str">
        <x:v>ARTIFACT_TYPE</x:v>
      </x:c>
      <x:c r="E4" s="57" t="str">
        <x:v>ARTIFACT_PATH</x:v>
      </x:c>
      <x:c r="F4" s="57" t="str">
        <x:v>SHA256</x:v>
      </x:c>
      <x:c r="G4" s="44" t="str">
        <x:v>BYTES</x:v>
      </x:c>
    </x:row>
    <x:row r="5">
      <x:c r="A5" s="45" t="str">
        <x:v>RUN-IMO-048-20260829T082613777541Z</x:v>
      </x:c>
      <x:c r="B5" s="45" t="str">
        <x:v>IMO-048</x:v>
      </x:c>
      <x:c r="C5" s="58"/>
      <x:c r="D5" s="45" t="str">
        <x:v>initial_context_pack</x:v>
      </x:c>
      <x:c r="E5" s="46" t="str">
        <x:v>artifacts/context_pack_initial.json</x:v>
      </x:c>
      <x:c r="F5" s="45" t="str">
        <x:v>ab06545af8401fbd9b4d6cb8684f2eae78f7e3e21573789fafd092483c8e0e4f</x:v>
      </x:c>
      <x:c r="G5" s="58" t="n">
        <x:v>23416</x:v>
      </x:c>
    </x:row>
    <x:row r="6">
      <x:c r="A6" s="47" t="str">
        <x:v>RUN-IMO-048-20260829T082613777541Z</x:v>
      </x:c>
      <x:c r="B6" s="47" t="str">
        <x:v>IMO-048</x:v>
      </x:c>
      <x:c r="C6" s="59"/>
      <x:c r="D6" s="47" t="str">
        <x:v>few_shot_selection</x:v>
      </x:c>
      <x:c r="E6" s="48" t="str">
        <x:v>artifacts/few_shots_selected.json</x:v>
      </x:c>
      <x:c r="F6" s="47" t="str">
        <x:v>999c4c3d0a82db0a2be37d2d3d2b5ed2044bd2f9de9d2262961bc7497e37ab68</x:v>
      </x:c>
      <x:c r="G6" s="59" t="n">
        <x:v>4294</x:v>
      </x:c>
    </x:row>
    <x:row r="7">
      <x:c r="A7" s="47" t="str">
        <x:v>RUN-IMO-048-20260829T082613777541Z</x:v>
      </x:c>
      <x:c r="B7" s="47" t="str">
        <x:v>IMO-048</x:v>
      </x:c>
      <x:c r="C7" s="59" t="n">
        <x:v>1</x:v>
      </x:c>
      <x:c r="D7" s="47" t="str">
        <x:v>generator_prompt</x:v>
      </x:c>
      <x:c r="E7" s="48" t="str">
        <x:v>artifacts/attempt_01/generator_prompt.txt</x:v>
      </x:c>
      <x:c r="F7" s="47" t="str">
        <x:v>84c7c67f22e6988978f7eadb4abdae5952eabc91cc2a7f10ff2141a826347f06</x:v>
      </x:c>
      <x:c r="G7" s="59" t="n">
        <x:v>39224</x:v>
      </x:c>
    </x:row>
    <x:row r="8">
      <x:c r="A8" s="47" t="str">
        <x:v>RUN-IMO-048-20260829T082613777541Z</x:v>
      </x:c>
      <x:c r="B8" s="47" t="str">
        <x:v>IMO-048</x:v>
      </x:c>
      <x:c r="C8" s="59" t="n">
        <x:v>1</x:v>
      </x:c>
      <x:c r="D8" s="47" t="str">
        <x:v>generator_raw_response</x:v>
      </x:c>
      <x:c r="E8" s="48" t="str">
        <x:v>artifacts/attempt_01/generator_raw.txt</x:v>
      </x:c>
      <x:c r="F8" s="47" t="str">
        <x:v>2622da6a572e4d785fbae616a7e1e3e91d54538d38529fec89e8e6e59645bd12</x:v>
      </x:c>
      <x:c r="G8" s="59" t="n">
        <x:v>2346</x:v>
      </x:c>
    </x:row>
    <x:row r="9">
      <x:c r="A9" s="47" t="str">
        <x:v>RUN-IMO-048-20260829T082613777541Z</x:v>
      </x:c>
      <x:c r="B9" s="47" t="str">
        <x:v>IMO-048</x:v>
      </x:c>
      <x:c r="C9" s="59" t="n">
        <x:v>1</x:v>
      </x:c>
      <x:c r="D9" s="47" t="str">
        <x:v>candidate_shape</x:v>
      </x:c>
      <x:c r="E9" s="48" t="str">
        <x:v>artifacts/attempt_01/candidate_shape.ttl</x:v>
      </x:c>
      <x:c r="F9" s="47" t="str">
        <x:v>c6ed79d303c951985033bd031c816d77513703001fa944bc0847267671356b7b</x:v>
      </x:c>
      <x:c r="G9" s="59" t="n">
        <x:v>2321</x:v>
      </x:c>
    </x:row>
    <x:row r="10">
      <x:c r="A10" s="47" t="str">
        <x:v>RUN-IMO-048-20260829T082613777541Z</x:v>
      </x:c>
      <x:c r="B10" s="47" t="str">
        <x:v>IMO-048</x:v>
      </x:c>
      <x:c r="C10" s="59" t="n">
        <x:v>1</x:v>
      </x:c>
      <x:c r="D10" s="47" t="str">
        <x:v>deterministic_validation</x:v>
      </x:c>
      <x:c r="E10" s="48" t="str">
        <x:v>artifacts/attempt_01/deterministic_validation.json</x:v>
      </x:c>
      <x:c r="F10" s="47" t="str">
        <x:v>90db2157d01a706a6f2150aa74abc690b0a69af90a75fc023004dd9973b849a5</x:v>
      </x:c>
      <x:c r="G10" s="59" t="n">
        <x:v>781</x:v>
      </x:c>
    </x:row>
    <x:row r="11">
      <x:c r="A11" s="47" t="str">
        <x:v>RUN-IMO-048-20260829T082613777541Z</x:v>
      </x:c>
      <x:c r="B11" s="47" t="str">
        <x:v>IMO-048</x:v>
      </x:c>
      <x:c r="C11" s="59" t="n">
        <x:v>1</x:v>
      </x:c>
      <x:c r="D11" s="47" t="str">
        <x:v>validator_prompt</x:v>
      </x:c>
      <x:c r="E11" s="48" t="str">
        <x:v>artifacts/attempt_01/validator_prompt_01.txt</x:v>
      </x:c>
      <x:c r="F11" s="47" t="str">
        <x:v>49ed4fcf682e215715de95efadba12e169b3b6f4a26804415c6b09ca9e0f65b4</x:v>
      </x:c>
      <x:c r="G11" s="59" t="n">
        <x:v>35654</x:v>
      </x:c>
    </x:row>
    <x:row r="12">
      <x:c r="A12" s="47" t="str">
        <x:v>RUN-IMO-048-20260829T082613777541Z</x:v>
      </x:c>
      <x:c r="B12" s="47" t="str">
        <x:v>IMO-048</x:v>
      </x:c>
      <x:c r="C12" s="59" t="n">
        <x:v>1</x:v>
      </x:c>
      <x:c r="D12" s="47" t="str">
        <x:v>validator_raw_response</x:v>
      </x:c>
      <x:c r="E12" s="48" t="str">
        <x:v>artifacts/attempt_01/validator_raw_01.txt</x:v>
      </x:c>
      <x:c r="F12" s="47" t="str">
        <x:v>c4b6bbe276a5db72be4d4bec4c525eddf1c3a08f8518dc2c46737d03ccb537f2</x:v>
      </x:c>
      <x:c r="G12" s="59" t="n">
        <x:v>927</x:v>
      </x:c>
    </x:row>
    <x:row r="13">
      <x:c r="A13" s="47" t="str">
        <x:v>RUN-IMO-048-20260829T082613777541Z</x:v>
      </x:c>
      <x:c r="B13" s="47" t="str">
        <x:v>IMO-048</x:v>
      </x:c>
      <x:c r="C13" s="59" t="n">
        <x:v>1</x:v>
      </x:c>
      <x:c r="D13" s="47" t="str">
        <x:v>matcher_candidates</x:v>
      </x:c>
      <x:c r="E13" s="48" t="str">
        <x:v>artifacts/attempt_01/matcher_candidates.json</x:v>
      </x:c>
      <x:c r="F13" s="47" t="str">
        <x:v>dec7b5a5311d8b339803784520ca7089418204544a6aa585321733f9144f9e70</x:v>
      </x:c>
      <x:c r="G13" s="59" t="n">
        <x:v>3535</x:v>
      </x:c>
    </x:row>
    <x:row r="14">
      <x:c r="A14" s="47" t="str">
        <x:v>RUN-IMO-048-20260829T082613777541Z</x:v>
      </x:c>
      <x:c r="B14" s="47" t="str">
        <x:v>IMO-048</x:v>
      </x:c>
      <x:c r="C14" s="59" t="n">
        <x:v>1</x:v>
      </x:c>
      <x:c r="D14" s="47" t="str">
        <x:v>vocabulary_matcher_prompt</x:v>
      </x:c>
      <x:c r="E14" s="48" t="str">
        <x:v>artifacts/attempt_01/vocabulary_matcher_prompt_01.txt</x:v>
      </x:c>
      <x:c r="F14" s="47" t="str">
        <x:v>1838c0cc55a19f02b3ef04664c65148ea18fc528613bc72195e3266cdda079fc</x:v>
      </x:c>
      <x:c r="G14" s="59" t="n">
        <x:v>10826</x:v>
      </x:c>
    </x:row>
    <x:row r="15">
      <x:c r="A15" s="47" t="str">
        <x:v>RUN-IMO-048-20260829T082613777541Z</x:v>
      </x:c>
      <x:c r="B15" s="47" t="str">
        <x:v>IMO-048</x:v>
      </x:c>
      <x:c r="C15" s="59" t="n">
        <x:v>1</x:v>
      </x:c>
      <x:c r="D15" s="47" t="str">
        <x:v>vocabulary_matcher_raw_response</x:v>
      </x:c>
      <x:c r="E15" s="48" t="str">
        <x:v>artifacts/attempt_01/vocabulary_matcher_raw_01.txt</x:v>
      </x:c>
      <x:c r="F15" s="47" t="str">
        <x:v>507d7f1b92f32dda653bb126c76452243c0b07f80eec50d0f1cdda113622cc26</x:v>
      </x:c>
      <x:c r="G15" s="59" t="n">
        <x:v>358</x:v>
      </x:c>
    </x:row>
    <x:row r="16">
      <x:c r="A16" s="47" t="str">
        <x:v>RUN-IMO-048-20260829T082613777541Z</x:v>
      </x:c>
      <x:c r="B16" s="47" t="str">
        <x:v>IMO-048</x:v>
      </x:c>
      <x:c r="C16" s="59" t="n">
        <x:v>2</x:v>
      </x:c>
      <x:c r="D16" s="47" t="str">
        <x:v>expanded_context_pack</x:v>
      </x:c>
      <x:c r="E16" s="48" t="str">
        <x:v>artifacts/attempt_02/context_pack_expanded.json</x:v>
      </x:c>
      <x:c r="F16" s="47" t="str">
        <x:v>41e4c749977d6735cfa4d9a470671cbf42c1d254beb66cc297be4825a0614dd6</x:v>
      </x:c>
      <x:c r="G16" s="59" t="n">
        <x:v>24111</x:v>
      </x:c>
    </x:row>
    <x:row r="17">
      <x:c r="A17" s="47" t="str">
        <x:v>RUN-IMO-048-20260829T082613777541Z</x:v>
      </x:c>
      <x:c r="B17" s="47" t="str">
        <x:v>IMO-048</x:v>
      </x:c>
      <x:c r="C17" s="59" t="n">
        <x:v>2</x:v>
      </x:c>
      <x:c r="D17" s="47" t="str">
        <x:v>generator_prompt</x:v>
      </x:c>
      <x:c r="E17" s="48" t="str">
        <x:v>artifacts/attempt_02/generator_prompt.txt</x:v>
      </x:c>
      <x:c r="F17" s="47" t="str">
        <x:v>d569f1e6f2176016c0b58bd88290d8a9dbadef6990e5fbd532b180dceb681039</x:v>
      </x:c>
      <x:c r="G17" s="59" t="n">
        <x:v>41085</x:v>
      </x:c>
    </x:row>
    <x:row r="18">
      <x:c r="A18" s="47" t="str">
        <x:v>RUN-IMO-048-20260829T082613777541Z</x:v>
      </x:c>
      <x:c r="B18" s="47" t="str">
        <x:v>IMO-048</x:v>
      </x:c>
      <x:c r="C18" s="59" t="n">
        <x:v>2</x:v>
      </x:c>
      <x:c r="D18" s="47" t="str">
        <x:v>generator_raw_response</x:v>
      </x:c>
      <x:c r="E18" s="48" t="str">
        <x:v>artifacts/attempt_02/generator_raw.txt</x:v>
      </x:c>
      <x:c r="F18" s="47" t="str">
        <x:v>5f4e4312c9912109297de8fa224824a5cc70149bcd03da264519854941fab71a</x:v>
      </x:c>
      <x:c r="G18" s="59" t="n">
        <x:v>2660</x:v>
      </x:c>
    </x:row>
    <x:row r="19">
      <x:c r="A19" s="47" t="str">
        <x:v>RUN-IMO-048-20260829T082613777541Z</x:v>
      </x:c>
      <x:c r="B19" s="47" t="str">
        <x:v>IMO-048</x:v>
      </x:c>
      <x:c r="C19" s="59" t="n">
        <x:v>2</x:v>
      </x:c>
      <x:c r="D19" s="47" t="str">
        <x:v>candidate_shape</x:v>
      </x:c>
      <x:c r="E19" s="48" t="str">
        <x:v>artifacts/attempt_02/candidate_shape.ttl</x:v>
      </x:c>
      <x:c r="F19" s="47" t="str">
        <x:v>17392d801994f5a368609975da7cb493575a93794abd4d7bef64c1922d8702bf</x:v>
      </x:c>
      <x:c r="G19" s="59" t="n">
        <x:v>2635</x:v>
      </x:c>
    </x:row>
    <x:row r="20">
      <x:c r="A20" s="47" t="str">
        <x:v>RUN-IMO-048-20260829T082613777541Z</x:v>
      </x:c>
      <x:c r="B20" s="47" t="str">
        <x:v>IMO-048</x:v>
      </x:c>
      <x:c r="C20" s="59" t="n">
        <x:v>2</x:v>
      </x:c>
      <x:c r="D20" s="47" t="str">
        <x:v>deterministic_validation</x:v>
      </x:c>
      <x:c r="E20" s="48" t="str">
        <x:v>artifacts/attempt_02/deterministic_validation.json</x:v>
      </x:c>
      <x:c r="F20" s="47" t="str">
        <x:v>fd6900588bb392f4c214a94e6804a000ce4706053640c00a322fdbcff25d2e1c</x:v>
      </x:c>
      <x:c r="G20" s="59" t="n">
        <x:v>932</x:v>
      </x:c>
    </x:row>
    <x:row r="21">
      <x:c r="A21" s="47" t="str">
        <x:v>RUN-IMO-048-20260829T082613777541Z</x:v>
      </x:c>
      <x:c r="B21" s="47" t="str">
        <x:v>IMO-048</x:v>
      </x:c>
      <x:c r="C21" s="59" t="n">
        <x:v>2</x:v>
      </x:c>
      <x:c r="D21" s="47" t="str">
        <x:v>validator_prompt</x:v>
      </x:c>
      <x:c r="E21" s="48" t="str">
        <x:v>artifacts/attempt_02/validator_prompt_01.txt</x:v>
      </x:c>
      <x:c r="F21" s="47" t="str">
        <x:v>45d147ddbe8c9bd0cae1d317f4c19229b034669c37d3cc8c33e216ffd31c4478</x:v>
      </x:c>
      <x:c r="G21" s="59" t="n">
        <x:v>38830</x:v>
      </x:c>
    </x:row>
    <x:row r="22">
      <x:c r="A22" s="47" t="str">
        <x:v>RUN-IMO-048-20260829T082613777541Z</x:v>
      </x:c>
      <x:c r="B22" s="47" t="str">
        <x:v>IMO-048</x:v>
      </x:c>
      <x:c r="C22" s="59" t="n">
        <x:v>2</x:v>
      </x:c>
      <x:c r="D22" s="47" t="str">
        <x:v>validator_raw_response</x:v>
      </x:c>
      <x:c r="E22" s="48" t="str">
        <x:v>artifacts/attempt_02/validator_raw_01.txt</x:v>
      </x:c>
      <x:c r="F22" s="47" t="str">
        <x:v>b88591373d64ce7f8a56e44e126f1771f270509f5b610dc7a51b583297ba51ab</x:v>
      </x:c>
      <x:c r="G22" s="59" t="n">
        <x:v>954</x:v>
      </x:c>
    </x:row>
    <x:row r="23">
      <x:c r="A23" s="47" t="str">
        <x:v>RUN-IMO-048-20260829T082613777541Z</x:v>
      </x:c>
      <x:c r="B23" s="47" t="str">
        <x:v>IMO-048</x:v>
      </x:c>
      <x:c r="C23" s="59" t="n">
        <x:v>2</x:v>
      </x:c>
      <x:c r="D23" s="47" t="str">
        <x:v>matcher_candidates</x:v>
      </x:c>
      <x:c r="E23" s="48" t="str">
        <x:v>artifacts/attempt_02/matcher_candidates.json</x:v>
      </x:c>
      <x:c r="F23" s="47" t="str">
        <x:v>64a394a576b00405512b4de42440a11b9d5381aae07626bd0e01904cb2c6b828</x:v>
      </x:c>
      <x:c r="G23" s="59" t="n">
        <x:v>2632</x:v>
      </x:c>
    </x:row>
    <x:row r="24">
      <x:c r="A24" s="47" t="str">
        <x:v>RUN-IMO-048-20260829T082613777541Z</x:v>
      </x:c>
      <x:c r="B24" s="47" t="str">
        <x:v>IMO-048</x:v>
      </x:c>
      <x:c r="C24" s="59" t="n">
        <x:v>2</x:v>
      </x:c>
      <x:c r="D24" s="47" t="str">
        <x:v>vocabulary_matcher_prompt</x:v>
      </x:c>
      <x:c r="E24" s="48" t="str">
        <x:v>artifacts/attempt_02/vocabulary_matcher_prompt_01.txt</x:v>
      </x:c>
      <x:c r="F24" s="47" t="str">
        <x:v>01ee696d9a802b10dd8606449f450d5ac3afd9120daaf0da862a9dd1898e6e4d</x:v>
      </x:c>
      <x:c r="G24" s="59" t="n">
        <x:v>9936</x:v>
      </x:c>
    </x:row>
    <x:row r="25">
      <x:c r="A25" s="49" t="str">
        <x:v>RUN-IMO-048-20260829T082613777541Z</x:v>
      </x:c>
      <x:c r="B25" s="49" t="str">
        <x:v>IMO-048</x:v>
      </x:c>
      <x:c r="C25" s="60" t="n">
        <x:v>2</x:v>
      </x:c>
      <x:c r="D25" s="49" t="str">
        <x:v>vocabulary_matcher_raw_response</x:v>
      </x:c>
      <x:c r="E25" s="50" t="str">
        <x:v>artifacts/attempt_02/vocabulary_matcher_raw_01.txt</x:v>
      </x:c>
      <x:c r="F25" s="49" t="str">
        <x:v>a47f3adf9d135202e9946cf125e30bbbd6d394508e1f0b8e8b43635fa3d4d053</x:v>
      </x:c>
      <x:c r="G25" s="60" t="n">
        <x:v>89</x:v>
      </x:c>
    </x:row>
  </x:sheetData>
  <x:pageMargins left="0.7" right="0.7" top="0.75" bottom="0.75" header="0.3" footer="0.3"/>
  <x:tableParts count="1">
    <x:tablePart xmlns:r="http://schemas.openxmlformats.org/officeDocument/2006/relationships" r:id="Ref7c6e2c98d44eeb"/>
  </x:tableParts>
</x:worksheet>
</file>

<file path=xl/worksheets/sheet12.xml><?xml version="1.0" encoding="utf-8"?>
<x:worksheet xmlns:x="http://schemas.openxmlformats.org/spreadsheetml/2006/main">
  <x:sheetViews>
    <x:sheetView showGridLines="0" workbookViewId="0"/>
  </x:sheetViews>
  <x:sheetFormatPr defaultRowHeight="15"/>
  <x:cols>
    <x:col min="1" max="1" width="42" hidden="0" customWidth="1"/>
    <x:col min="2" max="2" width="18" hidden="0" customWidth="1"/>
    <x:col min="3" max="3" width="11" hidden="0" customWidth="1"/>
    <x:col min="4" max="4" width="24" hidden="0" customWidth="1"/>
    <x:col min="5" max="5" width="52" hidden="0" customWidth="1"/>
    <x:col min="6" max="6" width="11" hidden="0" customWidth="1"/>
  </x:cols>
  <x:sheetData>
    <x:row r="1">
      <x:c r="A1" s="18" t="str">
        <x:v>NLTL SHACL Pipeline Run Tracker</x:v>
      </x:c>
      <x:c r="B1" s="19"/>
      <x:c r="C1" s="19"/>
      <x:c r="D1" s="19"/>
      <x:c r="E1" s="19"/>
      <x:c r="F1" s="19"/>
    </x:row>
    <x:row r="2">
      <x:c r="A2" s="20" t="str">
        <x:v>UNRESOLVED | Run folder: RUN-IMO-048-20260829T082613777541Z</x:v>
      </x:c>
      <x:c r="B2" s="20"/>
      <x:c r="C2" s="20"/>
      <x:c r="D2" s="20"/>
      <x:c r="E2" s="20"/>
      <x:c r="F2" s="20"/>
    </x:row>
    <x:row r="3">
      <x:c r="A3" s="21"/>
      <x:c r="B3" s="21"/>
      <x:c r="C3" s="21"/>
      <x:c r="D3" s="21"/>
      <x:c r="E3" s="21"/>
      <x:c r="F3" s="21"/>
    </x:row>
    <x:row r="4" ht="30" customHeight="1">
      <x:c r="A4" s="43" t="str">
        <x:v>RUN_ID</x:v>
      </x:c>
      <x:c r="B4" s="57" t="str">
        <x:v>REQUIREMENT_ID</x:v>
      </x:c>
      <x:c r="C4" s="57" t="str">
        <x:v>ITERATION</x:v>
      </x:c>
      <x:c r="D4" s="57" t="str">
        <x:v>ISSUE_TYPE</x:v>
      </x:c>
      <x:c r="E4" s="57" t="str">
        <x:v>DETAIL</x:v>
      </x:c>
      <x:c r="F4" s="44" t="str">
        <x:v>STATUS</x:v>
      </x:c>
    </x:row>
    <x:row r="5">
      <x:c r="A5" s="69" t="str">
        <x:v>RUN-IMO-048-20260829T082613777541Z</x:v>
      </x:c>
      <x:c r="B5" s="69" t="str">
        <x:v>IMO-048</x:v>
      </x:c>
      <x:c r="C5" s="71" t="n">
        <x:v>2</x:v>
      </x:c>
      <x:c r="D5" s="69" t="str">
        <x:v>TERM_RESOLUTION_UNRESOLVED</x:v>
      </x:c>
      <x:c r="E5" s="73" t="str">
        <x:v>Reject. The candidate still performs global ship-level checks rather than enforcing the requirement for every individual exposed machinery or foundation material: one approval evidence, authority, standard, approved status, and PST can incorrectly satisfy all materials. Bind each material to its own qualified approval-evidence/material-certificate record and require the authority, authorized standard alternative, approved status, and PST basis on that same qualification; do not merely require unrelated ship-level properties. The supplied hasEvidence relation is ship-owned and cannot provide the missing material-to-evidence binding, so locate the canonical per-material approval-evidence/material-certificate association term before regenerating. Preserve the prior instruction that applicability must remain conditional and that no unconditional existence constraint should be added.</x:v>
      </x:c>
      <x:c r="F5" s="69" t="str">
        <x:v>OPEN</x:v>
      </x:c>
    </x:row>
  </x:sheetData>
  <x:conditionalFormatting sqref="F5:F5">
    <x:cfRule type="containsText" dxfId="42" priority="1" operator="containsText" text="ACCEPT"/>
    <x:cfRule type="containsText" dxfId="43" priority="2" operator="containsText" text="ELIGIBLE"/>
    <x:cfRule type="containsText" dxfId="44" priority="3" operator="containsText" text="PASS"/>
    <x:cfRule type="containsText" dxfId="45" priority="4" operator="containsText" text="GAP"/>
    <x:cfRule type="containsText" dxfId="46" priority="5" operator="containsText" text="FAIL"/>
    <x:cfRule type="containsText" dxfId="47" priority="6" operator="containsText" text="DEFERRED"/>
  </x:conditionalFormatting>
  <x:pageMargins left="0.7" right="0.7" top="0.75" bottom="0.75" header="0.3" footer="0.3"/>
  <x:tableParts count="1">
    <x:tablePart xmlns:r="http://schemas.openxmlformats.org/officeDocument/2006/relationships" r:id="R35b06a750f824e51"/>
  </x:tableParts>
</x:worksheet>
</file>

<file path=xl/worksheets/sheet13.xml><?xml version="1.0" encoding="utf-8"?>
<x:worksheet xmlns:x="http://schemas.openxmlformats.org/spreadsheetml/2006/main">
  <x:sheetViews>
    <x:sheetView showGridLines="0" workbookViewId="0"/>
  </x:sheetViews>
  <x:sheetFormatPr defaultRowHeight="15"/>
  <x:sheetData>
    <x:row r="1">
      <x:c r="A1" s="18" t="str">
        <x:v>NLTL SHACL Pipeline Run Tracker</x:v>
      </x:c>
      <x:c r="B1" s="19"/>
      <x:c r="C1" s="19"/>
      <x:c r="D1" s="19"/>
      <x:c r="E1" s="19"/>
      <x:c r="F1" s="19"/>
    </x:row>
    <x:row r="2">
      <x:c r="A2" s="20" t="str">
        <x:v>RDF_TEST_QUEUE | Run folder: RUN-IMO-048-20260829T082613777541Z</x:v>
      </x:c>
      <x:c r="B2" s="20"/>
      <x:c r="C2" s="20"/>
      <x:c r="D2" s="20"/>
      <x:c r="E2" s="20"/>
      <x:c r="F2" s="20"/>
    </x:row>
    <x:row r="3">
      <x:c r="A3" s="21"/>
      <x:c r="B3" s="21"/>
      <x:c r="C3" s="21"/>
      <x:c r="D3" s="21"/>
      <x:c r="E3" s="21"/>
      <x:c r="F3" s="21"/>
    </x:row>
    <x:row r="4" ht="30" customHeight="1">
      <x:c r="A4" s="43" t="str">
        <x:v>RUN_ID</x:v>
      </x:c>
      <x:c r="B4" s="57" t="str">
        <x:v>REQUIREMENT_ID</x:v>
      </x:c>
      <x:c r="C4" s="57" t="str">
        <x:v>FINAL_SHAPE</x:v>
      </x:c>
      <x:c r="D4" s="57" t="str">
        <x:v>GENERATION_STATUS</x:v>
      </x:c>
      <x:c r="E4" s="57" t="str">
        <x:v>RDF_EVALUATION_STATUS</x:v>
      </x:c>
      <x:c r="F4" s="44" t="str">
        <x:v>NOTES</x:v>
      </x:c>
    </x:row>
    <x:row r="5">
      <x:c r="A5" s="104" t="str">
        <x:v>No records for this run.</x:v>
      </x:c>
      <x:c r="B5" s="21"/>
      <x:c r="C5" s="21"/>
      <x:c r="D5" s="21"/>
      <x:c r="E5" s="21"/>
      <x:c r="F5" s="21"/>
    </x:row>
  </x:sheetData>
  <x:pageMargins left="0.7" right="0.7" top="0.75" bottom="0.75" header="0.3" footer="0.3"/>
</x:worksheet>
</file>