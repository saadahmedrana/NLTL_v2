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3018b120c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819b5516d04aeb"/>
    <x:sheet xmlns:r="http://schemas.openxmlformats.org/officeDocument/2006/relationships" name="README" sheetId="2" r:id="Ree34a72e8b964a82"/>
    <x:sheet xmlns:r="http://schemas.openxmlformats.org/officeDocument/2006/relationships" name="REGULATION_QUEUE" sheetId="3" r:id="Rd6ba6d6e56a74856"/>
    <x:sheet xmlns:r="http://schemas.openxmlformats.org/officeDocument/2006/relationships" name="RUNS" sheetId="4" r:id="Rcfc06cfa576a4d0f"/>
    <x:sheet xmlns:r="http://schemas.openxmlformats.org/officeDocument/2006/relationships" name="ITERATIONS" sheetId="5" r:id="Rf72dfaaf881f4c20"/>
    <x:sheet xmlns:r="http://schemas.openxmlformats.org/officeDocument/2006/relationships" name="API_CALLS" sheetId="6" r:id="R06ebf2d2b8ef432b"/>
    <x:sheet xmlns:r="http://schemas.openxmlformats.org/officeDocument/2006/relationships" name="TERM_RETRIEVAL" sheetId="7" r:id="R1208d24bf1d5492a"/>
    <x:sheet xmlns:r="http://schemas.openxmlformats.org/officeDocument/2006/relationships" name="FEW_SHOT_SELECTION" sheetId="8" r:id="Rba57bd4142a24352"/>
    <x:sheet xmlns:r="http://schemas.openxmlformats.org/officeDocument/2006/relationships" name="VALIDATION" sheetId="9" r:id="R33dd3051849b4231"/>
    <x:sheet xmlns:r="http://schemas.openxmlformats.org/officeDocument/2006/relationships" name="VOCAB_MATCHES" sheetId="10" r:id="Re7ff3529dd484225"/>
    <x:sheet xmlns:r="http://schemas.openxmlformats.org/officeDocument/2006/relationships" name="ARTIFACTS" sheetId="11" r:id="R1851dd5fbcb44309"/>
    <x:sheet xmlns:r="http://schemas.openxmlformats.org/officeDocument/2006/relationships" name="UNRESOLVED" sheetId="12" r:id="R55650fc2fac5410a"/>
    <x:sheet xmlns:r="http://schemas.openxmlformats.org/officeDocument/2006/relationships" name="RDF_TEST_QUEUE" sheetId="13" r:id="Rd620349879c0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589f69a154407" /><Relationship Type="http://schemas.openxmlformats.org/officeDocument/2006/relationships/theme" Target="/xl/theme/theme1.xml" Id="Rd6fe3f7b8abc4604" /><Relationship Type="http://schemas.microsoft.com/office/2022/11/relationships/FeaturePropertyBag" Target="/xl/featurePropertyBag/featurePropertyBag.xml" Id="R5217864c5e654f2f" /><Relationship Type="http://schemas.openxmlformats.org/officeDocument/2006/relationships/sharedStrings" Target="/xl/sharedStrings.xml" Id="Rfd2b4a7025d84ac4" /><Relationship Type="http://schemas.openxmlformats.org/officeDocument/2006/relationships/worksheet" Target="/xl/worksheets/sheet1.xml" Id="R2d819b5516d04aeb" /><Relationship Type="http://schemas.openxmlformats.org/officeDocument/2006/relationships/worksheet" Target="/xl/worksheets/sheet2.xml" Id="Ree34a72e8b964a82" /><Relationship Type="http://schemas.openxmlformats.org/officeDocument/2006/relationships/worksheet" Target="/xl/worksheets/sheet3.xml" Id="Rd6ba6d6e56a74856" /><Relationship Type="http://schemas.openxmlformats.org/officeDocument/2006/relationships/worksheet" Target="/xl/worksheets/sheet4.xml" Id="Rcfc06cfa576a4d0f" /><Relationship Type="http://schemas.openxmlformats.org/officeDocument/2006/relationships/worksheet" Target="/xl/worksheets/sheet5.xml" Id="Rf72dfaaf881f4c20" /><Relationship Type="http://schemas.openxmlformats.org/officeDocument/2006/relationships/worksheet" Target="/xl/worksheets/sheet6.xml" Id="R06ebf2d2b8ef432b" /><Relationship Type="http://schemas.openxmlformats.org/officeDocument/2006/relationships/worksheet" Target="/xl/worksheets/sheet7.xml" Id="R1208d24bf1d5492a" /><Relationship Type="http://schemas.openxmlformats.org/officeDocument/2006/relationships/worksheet" Target="/xl/worksheets/sheet8.xml" Id="Rba57bd4142a24352" /><Relationship Type="http://schemas.openxmlformats.org/officeDocument/2006/relationships/worksheet" Target="/xl/worksheets/sheet9.xml" Id="R33dd3051849b4231" /><Relationship Type="http://schemas.openxmlformats.org/officeDocument/2006/relationships/worksheet" Target="/xl/worksheets/sheet10.xml" Id="Re7ff3529dd484225" /><Relationship Type="http://schemas.openxmlformats.org/officeDocument/2006/relationships/worksheet" Target="/xl/worksheets/sheet11.xml" Id="R1851dd5fbcb44309" /><Relationship Type="http://schemas.openxmlformats.org/officeDocument/2006/relationships/worksheet" Target="/xl/worksheets/sheet12.xml" Id="R55650fc2fac5410a" /><Relationship Type="http://schemas.openxmlformats.org/officeDocument/2006/relationships/worksheet" Target="/xl/worksheets/sheet13.xml" Id="Rd620349879c046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c956e228444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5da214796f48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3db95d697243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24d98a553442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361ca025424e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23304fb14045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acbc5b998249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f5bd2ac12f4e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5572e88bcb4e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3bcac59760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RUN-IMO-077-20260829T084410065581Z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14962.415500000001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RUN-IMO-077-20260829T084410065581Z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dc956e228444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da214796f48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RUN-IMO-077-20260829T084410065581Z</x:v>
      </x:c>
      <x:c r="C5" s="69" t="str">
        <x:v>IMO-077</x:v>
      </x:c>
      <x:c r="D5" s="70" t="n">
        <x:v>46263.364005393516</x:v>
      </x:c>
      <x:c r="E5" s="70" t="n">
        <x:v>46263.36470181713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DIRECT_CALCULATION requirement: applicability is explicitly constrained to true or false, all required ship-owned operands and results are present with canonical datatypes and units, survivalCraftAvailableCapacity is correctly modeled as xsd:integer, and both inclusive comparisons are enforced with direct arithmetic and quantity numeric values. No canonical vocabulary or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db95d697243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RUN-IMO-077-20260829T084410065581Z</x:v>
      </x:c>
      <x:c r="B5" s="45" t="str">
        <x:v>IMO-077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survivalCraftAvailableCapacity encoding: its verified canonical kind is DatatypeProperty with range xsd:integer and no unit, but the candidate models it as a qudt:QuantityValue with decimal numericValue and unit:KiloGM. Constrain it directly on the ship with xsd:integer and update the calculation query to compare that literal directly with personsCapacityRequirement + additionalEquipmentCapacityRequirement. Retain QV/kg only for launchingApplianceCapacity and loadedSurvivalCraftRequirement, and preserve both inclusive &gt;= comparisons and the explicit true/false branch-selection evidence.</x:v>
      </x:c>
      <x:c r="I5" s="81" t="n">
        <x:v>18183.451</x:v>
      </x:c>
      <x:c r="J5" s="81" t="n">
        <x:v>15448.15</x:v>
      </x:c>
    </x:row>
    <x:row r="6">
      <x:c r="A6" s="49" t="str">
        <x:v>RUN-IMO-077-20260829T084410065581Z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DIRECT_CALCULATION requirement: applicability is explicitly constrained to true or false, all required ship-owned operands and results are present with canonical datatypes and units, survivalCraftAvailableCapacity is correctly modeled as xsd:integer, and both inclusive comparisons are enforced with direct arithmetic and quantity numeric values. No canonical vocabulary or semantic repair is required.</x:v>
      </x:c>
      <x:c r="I6" s="83" t="n">
        <x:v>18685.862</x:v>
      </x:c>
      <x:c r="J6" s="83" t="n">
        <x:v>7534.51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4d98a553442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RUN-IMO-077-20260829T084410065581Z</x:v>
      </x:c>
      <x:c r="C5" s="45" t="str">
        <x:v>IMO-077</x:v>
      </x:c>
      <x:c r="D5" s="90" t="n">
        <x:v>46263.36421584491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18182.117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RUN-IMO-077-20260829T084410065581Z</x:v>
      </x:c>
      <x:c r="C6" s="47" t="str">
        <x:v>IMO-077</x:v>
      </x:c>
      <x:c r="D6" s="91" t="n">
        <x:v>46263.36421586805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18183.451</x:v>
      </x:c>
      <x:c r="L6" s="93" t="b">
        <x:v>0</x:v>
      </x:c>
      <x:c r="M6" s="47" t="str">
        <x:v>resp_002b6c930c6dff56006a929bda3ef881908a7fcc90937edf8f</x:v>
      </x:c>
      <x:c r="N6" s="59" t="n">
        <x:v>7344</x:v>
      </x:c>
      <x:c r="O6" s="59" t="n">
        <x:v>1935</x:v>
      </x:c>
      <x:c r="P6" s="59" t="n">
        <x:v>9279</x:v>
      </x:c>
    </x:row>
    <x:row r="7">
      <x:c r="A7" s="47" t="str">
        <x:v>EVT-000024</x:v>
      </x:c>
      <x:c r="B7" s="47" t="str">
        <x:v>RUN-IMO-077-20260829T084410065581Z</x:v>
      </x:c>
      <x:c r="C7" s="47" t="str">
        <x:v>IMO-077</x:v>
      </x:c>
      <x:c r="D7" s="91" t="n">
        <x:v>46263.36439650463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15447.142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RUN-IMO-077-20260829T084410065581Z</x:v>
      </x:c>
      <x:c r="C8" s="47" t="str">
        <x:v>IMO-077</x:v>
      </x:c>
      <x:c r="D8" s="91" t="n">
        <x:v>46263.364396516205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15448.15</x:v>
      </x:c>
      <x:c r="L8" s="93" t="b">
        <x:v>0</x:v>
      </x:c>
      <x:c r="M8" s="47" t="str">
        <x:v>resp_0587ae65f88dfe20006a929bec8f448194948b29946664df73</x:v>
      </x:c>
      <x:c r="N8" s="59" t="n">
        <x:v>6778</x:v>
      </x:c>
      <x:c r="O8" s="59" t="n">
        <x:v>1153</x:v>
      </x:c>
      <x:c r="P8" s="59" t="n">
        <x:v>7931</x:v>
      </x:c>
    </x:row>
    <x:row r="9">
      <x:c r="A9" s="47" t="str">
        <x:v>EVT-000030</x:v>
      </x:c>
      <x:c r="B9" s="47" t="str">
        <x:v>RUN-IMO-077-20260829T084410065581Z</x:v>
      </x:c>
      <x:c r="C9" s="47" t="str">
        <x:v>IMO-077</x:v>
      </x:c>
      <x:c r="D9" s="91" t="n">
        <x:v>46263.36461283565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18684.546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RUN-IMO-077-20260829T084410065581Z</x:v>
      </x:c>
      <x:c r="C10" s="47" t="str">
        <x:v>IMO-077</x:v>
      </x:c>
      <x:c r="D10" s="91" t="n">
        <x:v>46263.364612847225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18685.862</x:v>
      </x:c>
      <x:c r="L10" s="93" t="b">
        <x:v>0</x:v>
      </x:c>
      <x:c r="M10" s="47" t="str">
        <x:v>resp_038fa84632a4b4aa006a929bfc05c48196bb2ce9c0281c1c54</x:v>
      </x:c>
      <x:c r="N10" s="59" t="n">
        <x:v>7459</x:v>
      </x:c>
      <x:c r="O10" s="59" t="n">
        <x:v>1871</x:v>
      </x:c>
      <x:c r="P10" s="59" t="n">
        <x:v>9330</x:v>
      </x:c>
    </x:row>
    <x:row r="11">
      <x:c r="A11" s="47" t="str">
        <x:v>EVT-000038</x:v>
      </x:c>
      <x:c r="B11" s="47" t="str">
        <x:v>RUN-IMO-077-20260829T084410065581Z</x:v>
      </x:c>
      <x:c r="C11" s="47" t="str">
        <x:v>IMO-077</x:v>
      </x:c>
      <x:c r="D11" s="91" t="n">
        <x:v>46263.364701782404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7533.546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RUN-IMO-077-20260829T084410065581Z</x:v>
      </x:c>
      <x:c r="C12" s="49" t="str">
        <x:v>IMO-077</x:v>
      </x:c>
      <x:c r="D12" s="94" t="n">
        <x:v>46263.36470179398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7534.51</x:v>
      </x:c>
      <x:c r="L12" s="82" t="b">
        <x:v>0</x:v>
      </x:c>
      <x:c r="M12" s="49" t="str">
        <x:v>resp_064b3042647be392006a929c0edb808196a6de9e95c13d32f8</x:v>
      </x:c>
      <x:c r="N12" s="60" t="n">
        <x:v>6724</x:v>
      </x:c>
      <x:c r="O12" s="60" t="n">
        <x:v>526</x:v>
      </x:c>
      <x:c r="P12" s="60" t="n">
        <x:v>7250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61ca025424e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RUN-IMO-077-20260829T084410065581Z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RUN-IMO-077-20260829T084410065581Z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RUN-IMO-077-20260829T084410065581Z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RUN-IMO-077-20260829T084410065581Z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RUN-IMO-077-20260829T084410065581Z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RUN-IMO-077-20260829T084410065581Z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RUN-IMO-077-20260829T084410065581Z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RUN-IMO-077-20260829T084410065581Z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23304fb14045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RUN-IMO-077-20260829T084410065581Z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RUN-IMO-077-20260829T084410065581Z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RUN-IMO-077-20260829T084410065581Z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cbc5b998249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RUN-IMO-077-20260829T084410065581Z</x:v>
      </x:c>
      <x:c r="B5" s="45" t="str">
        <x:v>IMO-077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/>
    </x:row>
    <x:row r="6">
      <x:c r="A6" s="49" t="str">
        <x:v>RUN-IMO-077-20260829T084410065581Z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f5bd2ac12f4e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RUN-IMO-077-20260829T084410065581Z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RUN-IMO-077-20260829T084410065581Z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RUN-IMO-077-20260829T084410065581Z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RUN-IMO-077-20260829T084410065581Z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RUN-IMO-077-20260829T084410065581Z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RUN-IMO-077-20260829T084410065581Z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ed46f4a8c166730e78e3b3d9df9c88b97fe0a7a017404b12f0d84b36268e15f4</x:v>
      </x:c>
      <x:c r="G8" s="59" t="n">
        <x:v>4653</x:v>
      </x:c>
    </x:row>
    <x:row r="9">
      <x:c r="A9" s="47" t="str">
        <x:v>RUN-IMO-077-20260829T084410065581Z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01cb17a5857f5fdc45472da93537c6ce67ca886e62eea3e72e3d4e0c3e350cdc</x:v>
      </x:c>
      <x:c r="G9" s="59" t="n">
        <x:v>4628</x:v>
      </x:c>
    </x:row>
    <x:row r="10">
      <x:c r="A10" s="47" t="str">
        <x:v>RUN-IMO-077-20260829T084410065581Z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RUN-IMO-077-20260829T084410065581Z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cc94ea67f787832bdbac840cbb2a7798487e2020ed66bac8fc5bc603f901bd3d</x:v>
      </x:c>
      <x:c r="G11" s="59" t="n">
        <x:v>28676</x:v>
      </x:c>
    </x:row>
    <x:row r="12">
      <x:c r="A12" s="47" t="str">
        <x:v>RUN-IMO-077-20260829T084410065581Z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2885b5128299c04e9350458c62d5e0d54b3a5e1a93b384ce1de41b53a4268713</x:v>
      </x:c>
      <x:c r="G12" s="59" t="n">
        <x:v>668</x:v>
      </x:c>
    </x:row>
    <x:row r="13">
      <x:c r="A13" s="47" t="str">
        <x:v>RUN-IMO-077-20260829T084410065581Z</x:v>
      </x:c>
      <x:c r="B13" s="47" t="str">
        <x:v>IMO-077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ff4ee62bed6d5c370760fb07776d6348e5215898d196850670453b4a3d43365c</x:v>
      </x:c>
      <x:c r="G13" s="59" t="n">
        <x:v>31930</x:v>
      </x:c>
    </x:row>
    <x:row r="14">
      <x:c r="A14" s="47" t="str">
        <x:v>RUN-IMO-077-20260829T084410065581Z</x:v>
      </x:c>
      <x:c r="B14" s="47" t="str">
        <x:v>IMO-077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6eab622ba2040c629fc12ee4e94fe12bdda07b542aba91bef4e4d0281abd59ce</x:v>
      </x:c>
      <x:c r="G14" s="59" t="n">
        <x:v>4372</x:v>
      </x:c>
    </x:row>
    <x:row r="15">
      <x:c r="A15" s="47" t="str">
        <x:v>RUN-IMO-077-20260829T084410065581Z</x:v>
      </x:c>
      <x:c r="B15" s="47" t="str">
        <x:v>IMO-077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d94a9985a3fb3b5f6fb9e1e724cda1b2947c8b155583abfc87d0ff49ca448583</x:v>
      </x:c>
      <x:c r="G15" s="59" t="n">
        <x:v>4347</x:v>
      </x:c>
    </x:row>
    <x:row r="16">
      <x:c r="A16" s="47" t="str">
        <x:v>RUN-IMO-077-20260829T084410065581Z</x:v>
      </x:c>
      <x:c r="B16" s="47" t="str">
        <x:v>IMO-077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2e936bc062711ed35ca20f283b7958563b42b8b841e13179bb7cad33b78395eb</x:v>
      </x:c>
      <x:c r="G16" s="59" t="n">
        <x:v>836</x:v>
      </x:c>
    </x:row>
    <x:row r="17">
      <x:c r="A17" s="47" t="str">
        <x:v>RUN-IMO-077-20260829T084410065581Z</x:v>
      </x:c>
      <x:c r="B17" s="47" t="str">
        <x:v>IMO-077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83da1496458ffe7cd9b63361c07bc35e530e65dbb210c98a9ec8a77d55f96786</x:v>
      </x:c>
      <x:c r="G17" s="59" t="n">
        <x:v>28991</x:v>
      </x:c>
    </x:row>
    <x:row r="18">
      <x:c r="A18" s="47" t="str">
        <x:v>RUN-IMO-077-20260829T084410065581Z</x:v>
      </x:c>
      <x:c r="B18" s="47" t="str">
        <x:v>IMO-077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3364c9660b936698496105dd6be8a589fde8818d9ddb377d760d0026830ed081</x:v>
      </x:c>
      <x:c r="G18" s="59" t="n">
        <x:v>511</x:v>
      </x:c>
    </x:row>
    <x:row r="19">
      <x:c r="A19" s="49" t="str">
        <x:v>RUN-IMO-077-20260829T084410065581Z</x:v>
      </x:c>
      <x:c r="B19" s="49" t="str">
        <x:v>IMO-077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d94a9985a3fb3b5f6fb9e1e724cda1b2947c8b155583abfc87d0ff49ca448583</x:v>
      </x:c>
      <x:c r="G19" s="60" t="n">
        <x:v>4347</x:v>
      </x:c>
    </x:row>
  </x:sheetData>
  <x:pageMargins left="0.7" right="0.7" top="0.75" bottom="0.75" header="0.3" footer="0.3"/>
  <x:tableParts count="1">
    <x:tablePart xmlns:r="http://schemas.openxmlformats.org/officeDocument/2006/relationships" r:id="Rbd5572e88bcb4e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RUN-IMO-077-20260829T084410065581Z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RUN-IMO-077-20260829T084410065581Z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RUN-IMO-077-20260829T084410065581Z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3bcac597604943"/>
  </x:tableParts>
</x:worksheet>
</file>