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325b87c3c48463b" /></Relationships>
</file>

<file path=xl/workbook.xml><?xml version="1.0" encoding="utf-8"?>
<x:workbook xmlns:x="http://schemas.openxmlformats.org/spreadsheetml/2006/main">
  <x:sheets>
    <x:sheet xmlns:r="http://schemas.openxmlformats.org/officeDocument/2006/relationships" name="SUMMARY" sheetId="1" r:id="Ra8356b990a2d443f"/>
    <x:sheet xmlns:r="http://schemas.openxmlformats.org/officeDocument/2006/relationships" name="README" sheetId="2" r:id="Rf68991a706ed4807"/>
    <x:sheet xmlns:r="http://schemas.openxmlformats.org/officeDocument/2006/relationships" name="REGULATION_QUEUE" sheetId="3" r:id="R75a5d4a8a8e54734"/>
    <x:sheet xmlns:r="http://schemas.openxmlformats.org/officeDocument/2006/relationships" name="RUNS" sheetId="4" r:id="R28b254a5d9384a8b"/>
    <x:sheet xmlns:r="http://schemas.openxmlformats.org/officeDocument/2006/relationships" name="ITERATIONS" sheetId="5" r:id="Re7e7dceeda7c4793"/>
    <x:sheet xmlns:r="http://schemas.openxmlformats.org/officeDocument/2006/relationships" name="API_CALLS" sheetId="6" r:id="Rf3897b9fc9b94eac"/>
    <x:sheet xmlns:r="http://schemas.openxmlformats.org/officeDocument/2006/relationships" name="TERM_RETRIEVAL" sheetId="7" r:id="R899dcda6991f44d9"/>
    <x:sheet xmlns:r="http://schemas.openxmlformats.org/officeDocument/2006/relationships" name="FEW_SHOT_SELECTION" sheetId="8" r:id="R10609640ff7b4c83"/>
    <x:sheet xmlns:r="http://schemas.openxmlformats.org/officeDocument/2006/relationships" name="VALIDATION" sheetId="9" r:id="R92bb23b87c744898"/>
    <x:sheet xmlns:r="http://schemas.openxmlformats.org/officeDocument/2006/relationships" name="VOCAB_MATCHES" sheetId="10" r:id="R6173c94f56ba496f"/>
    <x:sheet xmlns:r="http://schemas.openxmlformats.org/officeDocument/2006/relationships" name="ARTIFACTS" sheetId="11" r:id="R2600bbaf734e4492"/>
    <x:sheet xmlns:r="http://schemas.openxmlformats.org/officeDocument/2006/relationships" name="UNRESOLVED" sheetId="12" r:id="R46518aedefa0461c"/>
    <x:sheet xmlns:r="http://schemas.openxmlformats.org/officeDocument/2006/relationships" name="RDF_TEST_QUEUE" sheetId="13" r:id="R877b780f060e4db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b6dccc97a5d4798" /><Relationship Type="http://schemas.openxmlformats.org/officeDocument/2006/relationships/theme" Target="/xl/theme/theme1.xml" Id="Rab925b191da5493e" /><Relationship Type="http://schemas.microsoft.com/office/2022/11/relationships/FeaturePropertyBag" Target="/xl/featurePropertyBag/featurePropertyBag.xml" Id="R1403d74ea2ff4c9d" /><Relationship Type="http://schemas.openxmlformats.org/officeDocument/2006/relationships/sharedStrings" Target="/xl/sharedStrings.xml" Id="Rce4d8e580e2f454b" /><Relationship Type="http://schemas.openxmlformats.org/officeDocument/2006/relationships/worksheet" Target="/xl/worksheets/sheet1.xml" Id="Ra8356b990a2d443f" /><Relationship Type="http://schemas.openxmlformats.org/officeDocument/2006/relationships/worksheet" Target="/xl/worksheets/sheet2.xml" Id="Rf68991a706ed4807" /><Relationship Type="http://schemas.openxmlformats.org/officeDocument/2006/relationships/worksheet" Target="/xl/worksheets/sheet3.xml" Id="R75a5d4a8a8e54734" /><Relationship Type="http://schemas.openxmlformats.org/officeDocument/2006/relationships/worksheet" Target="/xl/worksheets/sheet4.xml" Id="R28b254a5d9384a8b" /><Relationship Type="http://schemas.openxmlformats.org/officeDocument/2006/relationships/worksheet" Target="/xl/worksheets/sheet5.xml" Id="Re7e7dceeda7c4793" /><Relationship Type="http://schemas.openxmlformats.org/officeDocument/2006/relationships/worksheet" Target="/xl/worksheets/sheet6.xml" Id="Rf3897b9fc9b94eac" /><Relationship Type="http://schemas.openxmlformats.org/officeDocument/2006/relationships/worksheet" Target="/xl/worksheets/sheet7.xml" Id="R899dcda6991f44d9" /><Relationship Type="http://schemas.openxmlformats.org/officeDocument/2006/relationships/worksheet" Target="/xl/worksheets/sheet8.xml" Id="R10609640ff7b4c83" /><Relationship Type="http://schemas.openxmlformats.org/officeDocument/2006/relationships/worksheet" Target="/xl/worksheets/sheet9.xml" Id="R92bb23b87c744898" /><Relationship Type="http://schemas.openxmlformats.org/officeDocument/2006/relationships/worksheet" Target="/xl/worksheets/sheet10.xml" Id="R6173c94f56ba496f" /><Relationship Type="http://schemas.openxmlformats.org/officeDocument/2006/relationships/worksheet" Target="/xl/worksheets/sheet11.xml" Id="R2600bbaf734e4492" /><Relationship Type="http://schemas.openxmlformats.org/officeDocument/2006/relationships/worksheet" Target="/xl/worksheets/sheet12.xml" Id="R46518aedefa0461c" /><Relationship Type="http://schemas.openxmlformats.org/officeDocument/2006/relationships/worksheet" Target="/xl/worksheets/sheet13.xml" Id="R877b780f060e4db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da8737d7f8d4f51" /></Relationships>
</file>

<file path=xl/worksheets/_rels/sheet3.xml.rels>&#65279;<?xml version="1.0" encoding="utf-8"?><Relationships xmlns="http://schemas.openxmlformats.org/package/2006/relationships"><Relationship Type="http://schemas.openxmlformats.org/officeDocument/2006/relationships/table" Target="/xl/tables/table2.xml" Id="Ree8ae77092604257" /></Relationships>
</file>

<file path=xl/worksheets/_rels/sheet4.xml.rels>&#65279;<?xml version="1.0" encoding="utf-8"?><Relationships xmlns="http://schemas.openxmlformats.org/package/2006/relationships"><Relationship Type="http://schemas.openxmlformats.org/officeDocument/2006/relationships/table" Target="/xl/tables/table3.xml" Id="Raf43d4fab36549a8" /></Relationships>
</file>

<file path=xl/worksheets/_rels/sheet5.xml.rels>&#65279;<?xml version="1.0" encoding="utf-8"?><Relationships xmlns="http://schemas.openxmlformats.org/package/2006/relationships"><Relationship Type="http://schemas.openxmlformats.org/officeDocument/2006/relationships/table" Target="/xl/tables/table4.xml" Id="R121fcf860b6741e7" /></Relationships>
</file>

<file path=xl/worksheets/_rels/sheet6.xml.rels>&#65279;<?xml version="1.0" encoding="utf-8"?><Relationships xmlns="http://schemas.openxmlformats.org/package/2006/relationships"><Relationship Type="http://schemas.openxmlformats.org/officeDocument/2006/relationships/table" Target="/xl/tables/table5.xml" Id="R18f892b06bb3414b" /></Relationships>
</file>

<file path=xl/worksheets/_rels/sheet7.xml.rels>&#65279;<?xml version="1.0" encoding="utf-8"?><Relationships xmlns="http://schemas.openxmlformats.org/package/2006/relationships"><Relationship Type="http://schemas.openxmlformats.org/officeDocument/2006/relationships/table" Target="/xl/tables/table6.xml" Id="Rd64cd54d2d124d3e" /></Relationships>
</file>

<file path=xl/worksheets/_rels/sheet8.xml.rels>&#65279;<?xml version="1.0" encoding="utf-8"?><Relationships xmlns="http://schemas.openxmlformats.org/package/2006/relationships"><Relationship Type="http://schemas.openxmlformats.org/officeDocument/2006/relationships/table" Target="/xl/tables/table7.xml" Id="R87e78ce08c9d4cb5" /></Relationships>
</file>

<file path=xl/worksheets/_rels/sheet9.xml.rels>&#65279;<?xml version="1.0" encoding="utf-8"?><Relationships xmlns="http://schemas.openxmlformats.org/package/2006/relationships"><Relationship Type="http://schemas.openxmlformats.org/officeDocument/2006/relationships/table" Target="/xl/tables/table8.xml" Id="R01f90b76903942a8" /></Relationships>
</file>

<file path=xl/worksheets/_rels/sheet11.xml.rels>&#65279;<?xml version="1.0" encoding="utf-8"?><Relationships xmlns="http://schemas.openxmlformats.org/package/2006/relationships"><Relationship Type="http://schemas.openxmlformats.org/officeDocument/2006/relationships/table" Target="/xl/tables/table9.xml" Id="R64ef6b3a9fea4517" /></Relationships>
</file>

<file path=xl/worksheets/_rels/sheet12.xml.rels>&#65279;<?xml version="1.0" encoding="utf-8"?><Relationships xmlns="http://schemas.openxmlformats.org/package/2006/relationships"><Relationship Type="http://schemas.openxmlformats.org/officeDocument/2006/relationships/table" Target="/xl/tables/table10.xml" Id="R535bda78c0d8488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RUN-IMO-120-20260829T092009364337Z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COUNTA('API_CALLS'!$A$5:$A$24)</x:f>
        <x:v>20</x:v>
      </x:c>
      <x:c r="C9" s="21"/>
      <x:c r="D9" s="21"/>
    </x:row>
    <x:row r="10">
      <x:c r="A10" s="27" t="str">
        <x:v>Mean API/LLM elapsed ms</x:v>
      </x:c>
      <x:c r="B10" s="28" t="n">
        <x:f>IFERROR(AVERAGE('API_CALLS'!$K$5:$K$24),0)</x:f>
        <x:v>22064.251549999997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RUN-IMO-120-20260829T092009364337Z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da8737d7f8d4f5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RUN-IMO-120-20260829T092009364337Z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SYNTAX_REPAIR_EXHAUSTED</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e8ae7709260425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RUN-IMO-120-20260829T092009364337Z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RUN-IMO-120-20260829T092009364337Z</x:v>
      </x:c>
      <x:c r="C5" s="69" t="str">
        <x:v>IMO-120</x:v>
      </x:c>
      <x:c r="D5" s="70" t="n">
        <x:v>46263.38899726852</x:v>
      </x:c>
      <x:c r="E5" s="70" t="n">
        <x:v>46263.39155606482</x:v>
      </x:c>
      <x:c r="F5" s="69" t="str">
        <x:v>final-luna-main-run05</x:v>
      </x:c>
      <x:c r="G5" s="69" t="str">
        <x:v>VOCAB-LOCK-2026-08-22-R13</x:v>
      </x:c>
      <x:c r="H5" s="71" t="n">
        <x:v>2</x:v>
      </x:c>
      <x:c r="I5" s="69" t="str">
        <x:v>SYNTAX_REPAIR_EXHAUSTED</x:v>
      </x:c>
      <x:c r="J5" s="72" t="b">
        <x:v>0</x:v>
      </x:c>
      <x:c r="K5" s="69" t="str"/>
      <x:c r="L5" s="73" t="str">
        <x:v>Syntax-only repair budget exhausted before semantic validation: Turtle parse error: at line 145 of &lt;&gt;:
Bad syntax (EOF found when expected verb in property list) at ^ in:
"...b'on exceeds one tenth." .\n&lt;/urn:nltl:generated-shape:IMO-120&gt;'^b'\n'"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f43d4fab36549a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RUN-IMO-120-20260829T092009364337Z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RUN-IMO-120-20260829T092009364337Z</x:v>
      </x:c>
      <x:c r="B5" s="45" t="str">
        <x:v>IMO-120</x:v>
      </x:c>
      <x:c r="C5" s="58" t="n">
        <x:v>1</x:v>
      </x:c>
      <x:c r="D5" s="80" t="b">
        <x:v>1</x:v>
      </x:c>
      <x:c r="E5" s="80" t="b">
        <x:v>0</x:v>
      </x:c>
      <x:c r="F5" s="80" t="b">
        <x:v>0</x:v>
      </x:c>
      <x:c r="G5" s="45" t="str">
        <x:v>REVISE</x:v>
      </x:c>
      <x:c r="H5" s="46" t="str">
        <x:v>Repair the conditional logic and semantic coverage. Do not require the redundant nltl:arcticWaters applicability field; operatingArea and foodWasteDischargeToSea already determine applicability. When operatingArea is Arctic_waters and foodWasteDischargeToSea is true, require distanceToNearestLandIceShelfOrFastIce &gt;= 12 MI_N and explicitly encode the distinct ice-area condition: nearbyIceConcentration must be compared as exceeding one tenth (with the declared unit) and distanceFromAreaWithIceConcentrationAboveOneTenth must be recorded and paired with that condition. The current branches only check presence of nearbyIceConcentration, iceConcentration, and the second distance and therefore permit missing comparison/relationship semantics; also avoid a branch formulation that can pass by omitting or inadequately constraining applicability evidence.</x:v>
      </x:c>
      <x:c r="I5" s="81" t="n">
        <x:v>36111.506</x:v>
      </x:c>
      <x:c r="J5" s="81" t="n">
        <x:v>9150.518</x:v>
      </x:c>
    </x:row>
    <x:row r="6">
      <x:c r="A6" s="49" t="str">
        <x:v>RUN-IMO-120-20260829T092009364337Z</x:v>
      </x:c>
      <x:c r="B6" s="49" t="str">
        <x:v>IMO-120</x:v>
      </x:c>
      <x:c r="C6" s="60" t="n">
        <x:v>2</x:v>
      </x:c>
      <x:c r="D6" s="82" t="b">
        <x:v>1</x:v>
      </x:c>
      <x:c r="E6" s="82" t="b">
        <x:v>0</x:v>
      </x:c>
      <x:c r="F6" s="82" t="b">
        <x:v>0</x:v>
      </x:c>
      <x:c r="G6" s="49" t="str">
        <x:v>REVISE</x:v>
      </x:c>
      <x:c r="H6" s="50" t="str">
        <x:v>Repair the conditional logic before freezing. The first sh:or branch matches merely on Arctic_waters plus foodWasteDischargeToSea=true and therefore permits the applicable case to pass without enforcing any distance or ice conditions; remove it or replace it with a genuine non-applicable alternative so applicable ships must satisfy every constraint. Preserve the existing applicability inputs without adding arcticWaters. In the applicable branch retain distanceToNearestLandIceShelfOrFastIce &gt;= 12 MI_N, nearbyIceConcentration &gt; 0.1 with unit:UNITLESS, and the recorded distanceFromAreaWithIceConcentrationAboveOneTenth in MI_N, with those two ice-area values on the same supplied case/ship node as the explicit pairing. Remove the needless presence-only iceConcentration constraint, since it is not a required result or independently constrained obligation here.</x:v>
      </x:c>
      <x:c r="I6" s="83" t="n">
        <x:v>34408.457</x:v>
      </x:c>
      <x:c r="J6" s="83" t="n">
        <x:v>9920.666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21fcf860b6741e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RUN-IMO-120-20260829T092009364337Z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RUN-IMO-120-20260829T092009364337Z</x:v>
      </x:c>
      <x:c r="C5" s="45" t="str">
        <x:v>IMO-120</x:v>
      </x:c>
      <x:c r="D5" s="90" t="n">
        <x:v>46263.38941523148</x:v>
      </x:c>
      <x:c r="E5" s="45" t="str">
        <x:v>generator</x:v>
      </x:c>
      <x:c r="F5" s="45" t="str">
        <x:v>gpt-5.6-luna-2026-07-09</x:v>
      </x:c>
      <x:c r="G5" s="45" t="n">
        <x:v>1</x:v>
      </x:c>
      <x:c r="H5" s="45" t="n">
        <x:v>200</x:v>
      </x:c>
      <x:c r="I5" s="45" t="str">
        <x:v>Ocp-Apim-Subscription-Key</x:v>
      </x:c>
      <x:c r="J5" s="81" t="n">
        <x:v>0</x:v>
      </x:c>
      <x:c r="K5" s="81" t="n">
        <x:v>36110.04</x:v>
      </x:c>
      <x:c r="L5" s="80" t="b">
        <x:v>0</x:v>
      </x:c>
      <x:c r="M5" s="45" t="str"/>
      <x:c r="N5" s="58" t="str"/>
      <x:c r="O5" s="58" t="str"/>
      <x:c r="P5" s="58" t="str"/>
    </x:row>
    <x:row r="6">
      <x:c r="A6" s="47" t="str">
        <x:v>EVT-000018</x:v>
      </x:c>
      <x:c r="B6" s="47" t="str">
        <x:v>RUN-IMO-120-20260829T092009364337Z</x:v>
      </x:c>
      <x:c r="C6" s="47" t="str">
        <x:v>IMO-120</x:v>
      </x:c>
      <x:c r="D6" s="91" t="n">
        <x:v>46263.38941524306</x:v>
      </x:c>
      <x:c r="E6" s="47" t="str">
        <x:v>generator</x:v>
      </x:c>
      <x:c r="F6" s="47" t="str">
        <x:v>gpt-5.6-luna-2026-07-09</x:v>
      </x:c>
      <x:c r="G6" s="47" t="n">
        <x:v>1</x:v>
      </x:c>
      <x:c r="H6" s="47" t="str">
        <x:v>COMPLETED</x:v>
      </x:c>
      <x:c r="I6" s="47" t="str"/>
      <x:c r="J6" s="92" t="n">
        <x:v>0</x:v>
      </x:c>
      <x:c r="K6" s="92" t="n">
        <x:v>36111.506</x:v>
      </x:c>
      <x:c r="L6" s="93" t="b">
        <x:v>0</x:v>
      </x:c>
      <x:c r="M6" s="47" t="str">
        <x:v>resp_04f1f0f38ba988cb006a92a4499e4c81949687bf28cf8378e4</x:v>
      </x:c>
      <x:c r="N6" s="59" t="n">
        <x:v>8346</x:v>
      </x:c>
      <x:c r="O6" s="59" t="n">
        <x:v>3715</x:v>
      </x:c>
      <x:c r="P6" s="59" t="n">
        <x:v>12061</x:v>
      </x:c>
    </x:row>
    <x:row r="7">
      <x:c r="A7" s="47" t="str">
        <x:v>EVT-000025</x:v>
      </x:c>
      <x:c r="B7" s="47" t="str">
        <x:v>RUN-IMO-120-20260829T092009364337Z</x:v>
      </x:c>
      <x:c r="C7" s="47" t="str">
        <x:v>IMO-120</x:v>
      </x:c>
      <x:c r="D7" s="91" t="n">
        <x:v>46263.38952329861</x:v>
      </x:c>
      <x:c r="E7" s="47" t="str">
        <x:v>validator</x:v>
      </x:c>
      <x:c r="F7" s="47" t="str">
        <x:v>gpt-5.6-luna-2026-07-09</x:v>
      </x:c>
      <x:c r="G7" s="47" t="n">
        <x:v>1</x:v>
      </x:c>
      <x:c r="H7" s="47" t="n">
        <x:v>200</x:v>
      </x:c>
      <x:c r="I7" s="47" t="str">
        <x:v>Ocp-Apim-Subscription-Key</x:v>
      </x:c>
      <x:c r="J7" s="92" t="n">
        <x:v>0</x:v>
      </x:c>
      <x:c r="K7" s="92" t="n">
        <x:v>9149.009</x:v>
      </x:c>
      <x:c r="L7" s="93" t="b">
        <x:v>0</x:v>
      </x:c>
      <x:c r="M7" s="47" t="str"/>
      <x:c r="N7" s="59" t="str"/>
      <x:c r="O7" s="59" t="str"/>
      <x:c r="P7" s="59" t="str"/>
    </x:row>
    <x:row r="8">
      <x:c r="A8" s="47" t="str">
        <x:v>EVT-000026</x:v>
      </x:c>
      <x:c r="B8" s="47" t="str">
        <x:v>RUN-IMO-120-20260829T092009364337Z</x:v>
      </x:c>
      <x:c r="C8" s="47" t="str">
        <x:v>IMO-120</x:v>
      </x:c>
      <x:c r="D8" s="91" t="n">
        <x:v>46263.38952331019</x:v>
      </x:c>
      <x:c r="E8" s="47" t="str">
        <x:v>validator</x:v>
      </x:c>
      <x:c r="F8" s="47" t="str">
        <x:v>gpt-5.6-luna-2026-07-09</x:v>
      </x:c>
      <x:c r="G8" s="47" t="n">
        <x:v>1</x:v>
      </x:c>
      <x:c r="H8" s="47" t="str">
        <x:v>COMPLETED</x:v>
      </x:c>
      <x:c r="I8" s="47" t="str"/>
      <x:c r="J8" s="92" t="n">
        <x:v>0</x:v>
      </x:c>
      <x:c r="K8" s="92" t="n">
        <x:v>9150.518</x:v>
      </x:c>
      <x:c r="L8" s="93" t="b">
        <x:v>0</x:v>
      </x:c>
      <x:c r="M8" s="47" t="str">
        <x:v>resp_046f43225fdcfa55006a92a46dcfa881939a82a3a07924b58c</x:v>
      </x:c>
      <x:c r="N8" s="59" t="n">
        <x:v>7968</x:v>
      </x:c>
      <x:c r="O8" s="59" t="n">
        <x:v>701</x:v>
      </x:c>
      <x:c r="P8" s="59" t="n">
        <x:v>8669</x:v>
      </x:c>
    </x:row>
    <x:row r="9">
      <x:c r="A9" s="47" t="str">
        <x:v>EVT-000031</x:v>
      </x:c>
      <x:c r="B9" s="47" t="str">
        <x:v>RUN-IMO-120-20260829T092009364337Z</x:v>
      </x:c>
      <x:c r="C9" s="47" t="str">
        <x:v>IMO-120</x:v>
      </x:c>
      <x:c r="D9" s="91" t="n">
        <x:v>46263.389921608796</x:v>
      </x:c>
      <x:c r="E9" s="47" t="str">
        <x:v>generator</x:v>
      </x:c>
      <x:c r="F9" s="47" t="str">
        <x:v>gpt-5.6-luna-2026-07-09</x:v>
      </x:c>
      <x:c r="G9" s="47" t="n">
        <x:v>1</x:v>
      </x:c>
      <x:c r="H9" s="47" t="n">
        <x:v>200</x:v>
      </x:c>
      <x:c r="I9" s="47" t="str">
        <x:v>Ocp-Apim-Subscription-Key</x:v>
      </x:c>
      <x:c r="J9" s="92" t="n">
        <x:v>0</x:v>
      </x:c>
      <x:c r="K9" s="92" t="n">
        <x:v>34406.925</x:v>
      </x:c>
      <x:c r="L9" s="93" t="b">
        <x:v>0</x:v>
      </x:c>
      <x:c r="M9" s="47" t="str"/>
      <x:c r="N9" s="59" t="str"/>
      <x:c r="O9" s="59" t="str"/>
      <x:c r="P9" s="59" t="str"/>
    </x:row>
    <x:row r="10">
      <x:c r="A10" s="47" t="str">
        <x:v>EVT-000032</x:v>
      </x:c>
      <x:c r="B10" s="47" t="str">
        <x:v>RUN-IMO-120-20260829T092009364337Z</x:v>
      </x:c>
      <x:c r="C10" s="47" t="str">
        <x:v>IMO-120</x:v>
      </x:c>
      <x:c r="D10" s="91" t="n">
        <x:v>46263.38992162037</x:v>
      </x:c>
      <x:c r="E10" s="47" t="str">
        <x:v>generator</x:v>
      </x:c>
      <x:c r="F10" s="47" t="str">
        <x:v>gpt-5.6-luna-2026-07-09</x:v>
      </x:c>
      <x:c r="G10" s="47" t="n">
        <x:v>1</x:v>
      </x:c>
      <x:c r="H10" s="47" t="str">
        <x:v>COMPLETED</x:v>
      </x:c>
      <x:c r="I10" s="47" t="str"/>
      <x:c r="J10" s="92" t="n">
        <x:v>0</x:v>
      </x:c>
      <x:c r="K10" s="92" t="n">
        <x:v>34408.457</x:v>
      </x:c>
      <x:c r="L10" s="93" t="b">
        <x:v>0</x:v>
      </x:c>
      <x:c r="M10" s="47" t="str">
        <x:v>resp_0813e2c72c8efe97006a92a477135081909684625c5b17f34d</x:v>
      </x:c>
      <x:c r="N10" s="59" t="n">
        <x:v>8510</x:v>
      </x:c>
      <x:c r="O10" s="59" t="n">
        <x:v>2886</x:v>
      </x:c>
      <x:c r="P10" s="59" t="n">
        <x:v>11396</x:v>
      </x:c>
    </x:row>
    <x:row r="11">
      <x:c r="A11" s="47" t="str">
        <x:v>EVT-000037</x:v>
      </x:c>
      <x:c r="B11" s="47" t="str">
        <x:v>RUN-IMO-120-20260829T092009364337Z</x:v>
      </x:c>
      <x:c r="C11" s="47" t="str">
        <x:v>IMO-120</x:v>
      </x:c>
      <x:c r="D11" s="91" t="n">
        <x:v>46263.389997592596</x:v>
      </x:c>
      <x:c r="E11" s="47" t="str">
        <x:v>syntax_repair</x:v>
      </x:c>
      <x:c r="F11" s="47" t="str">
        <x:v>gpt-5.6-luna-2026-07-09</x:v>
      </x:c>
      <x:c r="G11" s="47" t="n">
        <x:v>1</x:v>
      </x:c>
      <x:c r="H11" s="47" t="n">
        <x:v>200</x:v>
      </x:c>
      <x:c r="I11" s="47" t="str">
        <x:v>Ocp-Apim-Subscription-Key</x:v>
      </x:c>
      <x:c r="J11" s="92" t="n">
        <x:v>0</x:v>
      </x:c>
      <x:c r="K11" s="92" t="n">
        <x:v>6557.001</x:v>
      </x:c>
      <x:c r="L11" s="93" t="b">
        <x:v>0</x:v>
      </x:c>
      <x:c r="M11" s="47" t="str"/>
      <x:c r="N11" s="59" t="str"/>
      <x:c r="O11" s="59" t="str"/>
      <x:c r="P11" s="59" t="str"/>
    </x:row>
    <x:row r="12">
      <x:c r="A12" s="47" t="str">
        <x:v>EVT-000038</x:v>
      </x:c>
      <x:c r="B12" s="47" t="str">
        <x:v>RUN-IMO-120-20260829T092009364337Z</x:v>
      </x:c>
      <x:c r="C12" s="47" t="str">
        <x:v>IMO-120</x:v>
      </x:c>
      <x:c r="D12" s="91" t="n">
        <x:v>46263.389997604165</x:v>
      </x:c>
      <x:c r="E12" s="47" t="str">
        <x:v>syntax_repair</x:v>
      </x:c>
      <x:c r="F12" s="47" t="str">
        <x:v>gpt-5.6-luna-2026-07-09</x:v>
      </x:c>
      <x:c r="G12" s="47" t="n">
        <x:v>1</x:v>
      </x:c>
      <x:c r="H12" s="47" t="str">
        <x:v>COMPLETED</x:v>
      </x:c>
      <x:c r="I12" s="47" t="str"/>
      <x:c r="J12" s="92" t="n">
        <x:v>0</x:v>
      </x:c>
      <x:c r="K12" s="92" t="n">
        <x:v>6558.367</x:v>
      </x:c>
      <x:c r="L12" s="93" t="b">
        <x:v>0</x:v>
      </x:c>
      <x:c r="M12" s="47" t="str">
        <x:v>resp_0782f1634591ea13006a92a4996b488197b2f2fe53cef8e21e</x:v>
      </x:c>
      <x:c r="N12" s="59" t="n">
        <x:v>1647</x:v>
      </x:c>
      <x:c r="O12" s="59" t="n">
        <x:v>1193</x:v>
      </x:c>
      <x:c r="P12" s="59" t="n">
        <x:v>2840</x:v>
      </x:c>
    </x:row>
    <x:row r="13">
      <x:c r="A13" s="47" t="str">
        <x:v>EVT-000044</x:v>
      </x:c>
      <x:c r="B13" s="47" t="str">
        <x:v>RUN-IMO-120-20260829T092009364337Z</x:v>
      </x:c>
      <x:c r="C13" s="47" t="str">
        <x:v>IMO-120</x:v>
      </x:c>
      <x:c r="D13" s="91" t="n">
        <x:v>46263.39010204861</x:v>
      </x:c>
      <x:c r="E13" s="47" t="str">
        <x:v>syntax_repair</x:v>
      </x:c>
      <x:c r="F13" s="47" t="str">
        <x:v>gpt-5.6-luna-2026-07-09</x:v>
      </x:c>
      <x:c r="G13" s="47" t="n">
        <x:v>1</x:v>
      </x:c>
      <x:c r="H13" s="47" t="n">
        <x:v>200</x:v>
      </x:c>
      <x:c r="I13" s="47" t="str">
        <x:v>Ocp-Apim-Subscription-Key</x:v>
      </x:c>
      <x:c r="J13" s="92" t="n">
        <x:v>0</x:v>
      </x:c>
      <x:c r="K13" s="92" t="n">
        <x:v>9016.137</x:v>
      </x:c>
      <x:c r="L13" s="93" t="b">
        <x:v>0</x:v>
      </x:c>
      <x:c r="M13" s="47" t="str"/>
      <x:c r="N13" s="59" t="str"/>
      <x:c r="O13" s="59" t="str"/>
      <x:c r="P13" s="59" t="str"/>
    </x:row>
    <x:row r="14">
      <x:c r="A14" s="47" t="str">
        <x:v>EVT-000045</x:v>
      </x:c>
      <x:c r="B14" s="47" t="str">
        <x:v>RUN-IMO-120-20260829T092009364337Z</x:v>
      </x:c>
      <x:c r="C14" s="47" t="str">
        <x:v>IMO-120</x:v>
      </x:c>
      <x:c r="D14" s="91" t="n">
        <x:v>46263.39010208334</x:v>
      </x:c>
      <x:c r="E14" s="47" t="str">
        <x:v>syntax_repair</x:v>
      </x:c>
      <x:c r="F14" s="47" t="str">
        <x:v>gpt-5.6-luna-2026-07-09</x:v>
      </x:c>
      <x:c r="G14" s="47" t="n">
        <x:v>1</x:v>
      </x:c>
      <x:c r="H14" s="47" t="str">
        <x:v>COMPLETED</x:v>
      </x:c>
      <x:c r="I14" s="47" t="str"/>
      <x:c r="J14" s="92" t="n">
        <x:v>0</x:v>
      </x:c>
      <x:c r="K14" s="92" t="n">
        <x:v>9018.965</x:v>
      </x:c>
      <x:c r="L14" s="93" t="b">
        <x:v>0</x:v>
      </x:c>
      <x:c r="M14" s="47" t="str">
        <x:v>resp_0a756273c6be4c7c006a92a49fef74819680c691e2a9cb4813</x:v>
      </x:c>
      <x:c r="N14" s="59" t="n">
        <x:v>1647</x:v>
      </x:c>
      <x:c r="O14" s="59" t="n">
        <x:v>1376</x:v>
      </x:c>
      <x:c r="P14" s="59" t="n">
        <x:v>3023</x:v>
      </x:c>
    </x:row>
    <x:row r="15">
      <x:c r="A15" s="47" t="str">
        <x:v>EVT-000053</x:v>
      </x:c>
      <x:c r="B15" s="47" t="str">
        <x:v>RUN-IMO-120-20260829T092009364337Z</x:v>
      </x:c>
      <x:c r="C15" s="47" t="str">
        <x:v>IMO-120</x:v>
      </x:c>
      <x:c r="D15" s="91" t="n">
        <x:v>46263.39021907408</x:v>
      </x:c>
      <x:c r="E15" s="47" t="str">
        <x:v>validator</x:v>
      </x:c>
      <x:c r="F15" s="47" t="str">
        <x:v>gpt-5.6-luna-2026-07-09</x:v>
      </x:c>
      <x:c r="G15" s="47" t="n">
        <x:v>1</x:v>
      </x:c>
      <x:c r="H15" s="47" t="n">
        <x:v>200</x:v>
      </x:c>
      <x:c r="I15" s="47" t="str">
        <x:v>Ocp-Apim-Subscription-Key</x:v>
      </x:c>
      <x:c r="J15" s="92" t="n">
        <x:v>0</x:v>
      </x:c>
      <x:c r="K15" s="92" t="n">
        <x:v>9919.456</x:v>
      </x:c>
      <x:c r="L15" s="93" t="b">
        <x:v>0</x:v>
      </x:c>
      <x:c r="M15" s="47" t="str"/>
      <x:c r="N15" s="59" t="str"/>
      <x:c r="O15" s="59" t="str"/>
      <x:c r="P15" s="59" t="str"/>
    </x:row>
    <x:row r="16">
      <x:c r="A16" s="47" t="str">
        <x:v>EVT-000054</x:v>
      </x:c>
      <x:c r="B16" s="47" t="str">
        <x:v>RUN-IMO-120-20260829T092009364337Z</x:v>
      </x:c>
      <x:c r="C16" s="47" t="str">
        <x:v>IMO-120</x:v>
      </x:c>
      <x:c r="D16" s="91" t="n">
        <x:v>46263.390219085646</x:v>
      </x:c>
      <x:c r="E16" s="47" t="str">
        <x:v>validator</x:v>
      </x:c>
      <x:c r="F16" s="47" t="str">
        <x:v>gpt-5.6-luna-2026-07-09</x:v>
      </x:c>
      <x:c r="G16" s="47" t="n">
        <x:v>1</x:v>
      </x:c>
      <x:c r="H16" s="47" t="str">
        <x:v>COMPLETED</x:v>
      </x:c>
      <x:c r="I16" s="47" t="str"/>
      <x:c r="J16" s="92" t="n">
        <x:v>0</x:v>
      </x:c>
      <x:c r="K16" s="92" t="n">
        <x:v>9920.666</x:v>
      </x:c>
      <x:c r="L16" s="93" t="b">
        <x:v>0</x:v>
      </x:c>
      <x:c r="M16" s="47" t="str">
        <x:v>resp_0ef11145143d0c1b006a92a4a9651c8195aad0139a0986ad8f</x:v>
      </x:c>
      <x:c r="N16" s="59" t="n">
        <x:v>7960</x:v>
      </x:c>
      <x:c r="O16" s="59" t="n">
        <x:v>685</x:v>
      </x:c>
      <x:c r="P16" s="59" t="n">
        <x:v>8645</x:v>
      </x:c>
    </x:row>
    <x:row r="17">
      <x:c r="A17" s="47" t="str">
        <x:v>EVT-000060</x:v>
      </x:c>
      <x:c r="B17" s="47" t="str">
        <x:v>RUN-IMO-120-20260829T092009364337Z</x:v>
      </x:c>
      <x:c r="C17" s="47" t="str">
        <x:v>IMO-120</x:v>
      </x:c>
      <x:c r="D17" s="91" t="n">
        <x:v>46263.39044070602</x:v>
      </x:c>
      <x:c r="E17" s="47" t="str">
        <x:v>generator</x:v>
      </x:c>
      <x:c r="F17" s="47" t="str">
        <x:v>gpt-5.6-luna-2026-07-09</x:v>
      </x:c>
      <x:c r="G17" s="47" t="n">
        <x:v>1</x:v>
      </x:c>
      <x:c r="H17" s="47" t="n">
        <x:v>200</x:v>
      </x:c>
      <x:c r="I17" s="47" t="str">
        <x:v>Ocp-Apim-Subscription-Key</x:v>
      </x:c>
      <x:c r="J17" s="92" t="n">
        <x:v>0</x:v>
      </x:c>
      <x:c r="K17" s="92" t="n">
        <x:v>19144.882</x:v>
      </x:c>
      <x:c r="L17" s="93" t="b">
        <x:v>0</x:v>
      </x:c>
      <x:c r="M17" s="47" t="str"/>
      <x:c r="N17" s="59" t="str"/>
      <x:c r="O17" s="59" t="str"/>
      <x:c r="P17" s="59" t="str"/>
    </x:row>
    <x:row r="18">
      <x:c r="A18" s="47" t="str">
        <x:v>EVT-000061</x:v>
      </x:c>
      <x:c r="B18" s="47" t="str">
        <x:v>RUN-IMO-120-20260829T092009364337Z</x:v>
      </x:c>
      <x:c r="C18" s="47" t="str">
        <x:v>IMO-120</x:v>
      </x:c>
      <x:c r="D18" s="91" t="n">
        <x:v>46263.39044072917</x:v>
      </x:c>
      <x:c r="E18" s="47" t="str">
        <x:v>generator</x:v>
      </x:c>
      <x:c r="F18" s="47" t="str">
        <x:v>gpt-5.6-luna-2026-07-09</x:v>
      </x:c>
      <x:c r="G18" s="47" t="n">
        <x:v>1</x:v>
      </x:c>
      <x:c r="H18" s="47" t="str">
        <x:v>COMPLETED</x:v>
      </x:c>
      <x:c r="I18" s="47" t="str"/>
      <x:c r="J18" s="92" t="n">
        <x:v>0</x:v>
      </x:c>
      <x:c r="K18" s="92" t="n">
        <x:v>19146.378</x:v>
      </x:c>
      <x:c r="L18" s="93" t="b">
        <x:v>0</x:v>
      </x:c>
      <x:c r="M18" s="47" t="str">
        <x:v>resp_0cb5dab5c5ea12eb006a92a4b31344819684a9a71b37d30940</x:v>
      </x:c>
      <x:c r="N18" s="59" t="n">
        <x:v>8685</x:v>
      </x:c>
      <x:c r="O18" s="59" t="n">
        <x:v>2158</x:v>
      </x:c>
      <x:c r="P18" s="59" t="n">
        <x:v>10843</x:v>
      </x:c>
    </x:row>
    <x:row r="19">
      <x:c r="A19" s="47" t="str">
        <x:v>EVT-000066</x:v>
      </x:c>
      <x:c r="B19" s="47" t="str">
        <x:v>RUN-IMO-120-20260829T092009364337Z</x:v>
      </x:c>
      <x:c r="C19" s="47" t="str">
        <x:v>IMO-120</x:v>
      </x:c>
      <x:c r="D19" s="91" t="n">
        <x:v>46263.390573449076</x:v>
      </x:c>
      <x:c r="E19" s="47" t="str">
        <x:v>syntax_repair</x:v>
      </x:c>
      <x:c r="F19" s="47" t="str">
        <x:v>gpt-5.6-luna-2026-07-09</x:v>
      </x:c>
      <x:c r="G19" s="47" t="n">
        <x:v>1</x:v>
      </x:c>
      <x:c r="H19" s="47" t="n">
        <x:v>200</x:v>
      </x:c>
      <x:c r="I19" s="47" t="str">
        <x:v>Ocp-Apim-Subscription-Key</x:v>
      </x:c>
      <x:c r="J19" s="92" t="n">
        <x:v>0</x:v>
      </x:c>
      <x:c r="K19" s="92" t="n">
        <x:v>11458.873</x:v>
      </x:c>
      <x:c r="L19" s="93" t="b">
        <x:v>0</x:v>
      </x:c>
      <x:c r="M19" s="47" t="str"/>
      <x:c r="N19" s="59" t="str"/>
      <x:c r="O19" s="59" t="str"/>
      <x:c r="P19" s="59" t="str"/>
    </x:row>
    <x:row r="20">
      <x:c r="A20" s="47" t="str">
        <x:v>EVT-000067</x:v>
      </x:c>
      <x:c r="B20" s="47" t="str">
        <x:v>RUN-IMO-120-20260829T092009364337Z</x:v>
      </x:c>
      <x:c r="C20" s="47" t="str">
        <x:v>IMO-120</x:v>
      </x:c>
      <x:c r="D20" s="91" t="n">
        <x:v>46263.390573460645</x:v>
      </x:c>
      <x:c r="E20" s="47" t="str">
        <x:v>syntax_repair</x:v>
      </x:c>
      <x:c r="F20" s="47" t="str">
        <x:v>gpt-5.6-luna-2026-07-09</x:v>
      </x:c>
      <x:c r="G20" s="47" t="n">
        <x:v>1</x:v>
      </x:c>
      <x:c r="H20" s="47" t="str">
        <x:v>COMPLETED</x:v>
      </x:c>
      <x:c r="I20" s="47" t="str"/>
      <x:c r="J20" s="92" t="n">
        <x:v>0</x:v>
      </x:c>
      <x:c r="K20" s="92" t="n">
        <x:v>11460.396</x:v>
      </x:c>
      <x:c r="L20" s="93" t="b">
        <x:v>0</x:v>
      </x:c>
      <x:c r="M20" s="47" t="str">
        <x:v>resp_06589c5c95dcb2d0006a92a4c639d0819583b7682b51f7b254</x:v>
      </x:c>
      <x:c r="N20" s="59" t="n">
        <x:v>1684</x:v>
      </x:c>
      <x:c r="O20" s="59" t="n">
        <x:v>1407</x:v>
      </x:c>
      <x:c r="P20" s="59" t="n">
        <x:v>3091</x:v>
      </x:c>
    </x:row>
    <x:row r="21">
      <x:c r="A21" s="47" t="str">
        <x:v>EVT-000073</x:v>
      </x:c>
      <x:c r="B21" s="47" t="str">
        <x:v>RUN-IMO-120-20260829T092009364337Z</x:v>
      </x:c>
      <x:c r="C21" s="47" t="str">
        <x:v>IMO-120</x:v>
      </x:c>
      <x:c r="D21" s="91" t="n">
        <x:v>46263.391000104166</x:v>
      </x:c>
      <x:c r="E21" s="47" t="str">
        <x:v>syntax_repair</x:v>
      </x:c>
      <x:c r="F21" s="47" t="str">
        <x:v>gpt-5.6-luna-2026-07-09</x:v>
      </x:c>
      <x:c r="G21" s="47" t="n">
        <x:v>1</x:v>
      </x:c>
      <x:c r="H21" s="47" t="n">
        <x:v>200</x:v>
      </x:c>
      <x:c r="I21" s="47" t="str">
        <x:v>Ocp-Apim-Subscription-Key</x:v>
      </x:c>
      <x:c r="J21" s="92" t="n">
        <x:v>0</x:v>
      </x:c>
      <x:c r="K21" s="92" t="n">
        <x:v>36853.01</x:v>
      </x:c>
      <x:c r="L21" s="93" t="b">
        <x:v>0</x:v>
      </x:c>
      <x:c r="M21" s="47" t="str"/>
      <x:c r="N21" s="59" t="str"/>
      <x:c r="O21" s="59" t="str"/>
      <x:c r="P21" s="59" t="str"/>
    </x:row>
    <x:row r="22">
      <x:c r="A22" s="47" t="str">
        <x:v>EVT-000074</x:v>
      </x:c>
      <x:c r="B22" s="47" t="str">
        <x:v>RUN-IMO-120-20260829T092009364337Z</x:v>
      </x:c>
      <x:c r="C22" s="47" t="str">
        <x:v>IMO-120</x:v>
      </x:c>
      <x:c r="D22" s="91" t="n">
        <x:v>46263.39100011574</x:v>
      </x:c>
      <x:c r="E22" s="47" t="str">
        <x:v>syntax_repair</x:v>
      </x:c>
      <x:c r="F22" s="47" t="str">
        <x:v>gpt-5.6-luna-2026-07-09</x:v>
      </x:c>
      <x:c r="G22" s="47" t="n">
        <x:v>1</x:v>
      </x:c>
      <x:c r="H22" s="47" t="str">
        <x:v>COMPLETED</x:v>
      </x:c>
      <x:c r="I22" s="47" t="str"/>
      <x:c r="J22" s="92" t="n">
        <x:v>0</x:v>
      </x:c>
      <x:c r="K22" s="92" t="n">
        <x:v>36854.388</x:v>
      </x:c>
      <x:c r="L22" s="93" t="b">
        <x:v>0</x:v>
      </x:c>
      <x:c r="M22" s="47" t="str">
        <x:v>resp_037b23f36d7ac6cc006a92a4d1b2b48196a23fc3d28171738c</x:v>
      </x:c>
      <x:c r="N22" s="59" t="n">
        <x:v>1681</x:v>
      </x:c>
      <x:c r="O22" s="59" t="n">
        <x:v>3819</x:v>
      </x:c>
      <x:c r="P22" s="59" t="n">
        <x:v>5500</x:v>
      </x:c>
    </x:row>
    <x:row r="23">
      <x:c r="A23" s="47" t="str">
        <x:v>EVT-000080</x:v>
      </x:c>
      <x:c r="B23" s="47" t="str">
        <x:v>RUN-IMO-120-20260829T092009364337Z</x:v>
      </x:c>
      <x:c r="C23" s="47" t="str">
        <x:v>IMO-120</x:v>
      </x:c>
      <x:c r="D23" s="91" t="n">
        <x:v>46263.39155599537</x:v>
      </x:c>
      <x:c r="E23" s="47" t="str">
        <x:v>syntax_repair</x:v>
      </x:c>
      <x:c r="F23" s="47" t="str">
        <x:v>gpt-5.6-luna-2026-07-09</x:v>
      </x:c>
      <x:c r="G23" s="47" t="n">
        <x:v>1</x:v>
      </x:c>
      <x:c r="H23" s="47" t="n">
        <x:v>200</x:v>
      </x:c>
      <x:c r="I23" s="47" t="str">
        <x:v>Ocp-Apim-Subscription-Key</x:v>
      </x:c>
      <x:c r="J23" s="92" t="n">
        <x:v>0</x:v>
      </x:c>
      <x:c r="K23" s="92" t="n">
        <x:v>48019.503</x:v>
      </x:c>
      <x:c r="L23" s="93" t="b">
        <x:v>0</x:v>
      </x:c>
      <x:c r="M23" s="47" t="str"/>
      <x:c r="N23" s="59" t="str"/>
      <x:c r="O23" s="59" t="str"/>
      <x:c r="P23" s="59" t="str"/>
    </x:row>
    <x:row r="24">
      <x:c r="A24" s="49" t="str">
        <x:v>EVT-000081</x:v>
      </x:c>
      <x:c r="B24" s="49" t="str">
        <x:v>RUN-IMO-120-20260829T092009364337Z</x:v>
      </x:c>
      <x:c r="C24" s="49" t="str">
        <x:v>IMO-120</x:v>
      </x:c>
      <x:c r="D24" s="94" t="n">
        <x:v>46263.39155600694</x:v>
      </x:c>
      <x:c r="E24" s="49" t="str">
        <x:v>syntax_repair</x:v>
      </x:c>
      <x:c r="F24" s="49" t="str">
        <x:v>gpt-5.6-luna-2026-07-09</x:v>
      </x:c>
      <x:c r="G24" s="49" t="n">
        <x:v>1</x:v>
      </x:c>
      <x:c r="H24" s="49" t="str">
        <x:v>COMPLETED</x:v>
      </x:c>
      <x:c r="I24" s="49" t="str"/>
      <x:c r="J24" s="83" t="n">
        <x:v>0</x:v>
      </x:c>
      <x:c r="K24" s="83" t="n">
        <x:v>48020.554</x:v>
      </x:c>
      <x:c r="L24" s="82" t="b">
        <x:v>0</x:v>
      </x:c>
      <x:c r="M24" s="49" t="str">
        <x:v>resp_032ad75a7d55b0c0006a92a4f691f081959ff443350489d18d</x:v>
      </x:c>
      <x:c r="N24" s="60" t="n">
        <x:v>1681</x:v>
      </x:c>
      <x:c r="O24" s="60" t="n">
        <x:v>5139</x:v>
      </x:c>
      <x:c r="P24" s="60" t="n">
        <x:v>6820</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8f892b06bb3414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RUN-IMO-120-20260829T092009364337Z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RUN-IMO-120-20260829T092009364337Z</x:v>
      </x:c>
      <x:c r="B5" s="45" t="str">
        <x:v>IMO-120</x:v>
      </x:c>
      <x:c r="C5" s="45" t="str">
        <x:v>arcticWaters</x:v>
      </x:c>
      <x:c r="D5" s="46" t="str">
        <x:v>https://w3id.org/nltl/vocab#arcticWaters</x:v>
      </x:c>
      <x:c r="E5" s="45" t="str">
        <x:v>DatatypeProperty</x:v>
      </x:c>
      <x:c r="F5" s="45" t="str">
        <x:v>xsd:string</x:v>
      </x:c>
      <x:c r="G5" s="45" t="str">
        <x:v>http://www.w3.org/2001/XMLSchema#string</x:v>
      </x:c>
      <x:c r="H5" s="45" t="str"/>
      <x:c r="I5" s="46" t="str">
        <x:v>linked by the locked 313-requirement index</x:v>
      </x:c>
      <x:c r="J5" s="45" t="n">
        <x:v>0</x:v>
      </x:c>
    </x:row>
    <x:row r="6">
      <x:c r="A6" s="47" t="str">
        <x:v>RUN-IMO-120-20260829T092009364337Z</x:v>
      </x:c>
      <x:c r="B6" s="47" t="str">
        <x:v>IMO-120</x:v>
      </x:c>
      <x:c r="C6" s="47" t="str">
        <x:v>benchmarkEntity</x:v>
      </x:c>
      <x:c r="D6" s="48" t="str">
        <x:v>https://w3id.org/nltl/vocab#benchmarkEntity</x:v>
      </x:c>
      <x:c r="E6" s="47" t="str">
        <x:v>Class</x:v>
      </x:c>
      <x:c r="F6" s="47" t="str"/>
      <x:c r="G6" s="47" t="str"/>
      <x:c r="H6" s="47" t="str"/>
      <x:c r="I6" s="48" t="str">
        <x:v>baseline target infrastructure; domain dependency of arcticWaters; domain dependency of distanceToNearestLandIceShelfOrFastIce; domain dependency of foodWasteDischargeToSea; domain dependency of iceConcentration; domain dependency of nearbyIceConcentration; domain dependency of operatingArea</x:v>
      </x:c>
      <x:c r="J6" s="47" t="n">
        <x:v>0</x:v>
      </x:c>
    </x:row>
    <x:row r="7">
      <x:c r="A7" s="47" t="str">
        <x:v>RUN-IMO-120-20260829T092009364337Z</x:v>
      </x:c>
      <x:c r="B7" s="47" t="str">
        <x:v>IMO-120</x:v>
      </x:c>
      <x:c r="C7" s="47" t="str">
        <x:v>distanceFromAreaWithIceConcentrationAboveOneTenth</x:v>
      </x:c>
      <x:c r="D7" s="48" t="str">
        <x:v>https://w3id.org/nltl/vocab#distanceFromAreaWithIceConcentrationAboveOneTenth</x:v>
      </x:c>
      <x:c r="E7" s="47" t="str">
        <x:v>QuantityProperty</x:v>
      </x:c>
      <x:c r="F7" s="47" t="str"/>
      <x:c r="G7" s="47" t="str">
        <x:v>http://qudt.org/schema/qudt/QuantityValue</x:v>
      </x:c>
      <x:c r="H7" s="47" t="str">
        <x:v>http://qudt.org/vocab/unit/MI_N</x:v>
      </x:c>
      <x:c r="I7" s="48" t="str">
        <x:v>linked by the locked 313-requirement index</x:v>
      </x:c>
      <x:c r="J7" s="47" t="n">
        <x:v>0</x:v>
      </x:c>
    </x:row>
    <x:row r="8">
      <x:c r="A8" s="47" t="str">
        <x:v>RUN-IMO-120-20260829T092009364337Z</x:v>
      </x:c>
      <x:c r="B8" s="47" t="str">
        <x:v>IMO-120</x:v>
      </x:c>
      <x:c r="C8" s="47" t="str">
        <x:v>distanceToNearestLandIceShelfOrFastIce</x:v>
      </x:c>
      <x:c r="D8" s="48" t="str">
        <x:v>https://w3id.org/nltl/vocab#distanceToNearestLandIceShelfOrFastIce</x:v>
      </x:c>
      <x:c r="E8" s="47" t="str">
        <x:v>QuantityProperty</x:v>
      </x:c>
      <x:c r="F8" s="47" t="str"/>
      <x:c r="G8" s="47" t="str">
        <x:v>http://qudt.org/schema/qudt/QuantityValue</x:v>
      </x:c>
      <x:c r="H8" s="47" t="str">
        <x:v>http://qudt.org/vocab/unit/MI_N</x:v>
      </x:c>
      <x:c r="I8" s="48" t="str">
        <x:v>linked by the locked 313-requirement index</x:v>
      </x:c>
      <x:c r="J8" s="47" t="n">
        <x:v>0</x:v>
      </x:c>
    </x:row>
    <x:row r="9">
      <x:c r="A9" s="47" t="str">
        <x:v>RUN-IMO-120-20260829T092009364337Z</x:v>
      </x:c>
      <x:c r="B9" s="47" t="str">
        <x:v>IMO-120</x:v>
      </x:c>
      <x:c r="C9" s="47" t="str">
        <x:v>foodWasteDischargeToSea</x:v>
      </x:c>
      <x:c r="D9" s="48" t="str">
        <x:v>https://w3id.org/nltl/vocab#foodWasteDischargeToSea</x:v>
      </x:c>
      <x:c r="E9" s="47" t="str">
        <x:v>DatatypeProperty</x:v>
      </x:c>
      <x:c r="F9" s="47" t="str">
        <x:v>xsd:boolean</x:v>
      </x:c>
      <x:c r="G9" s="47" t="str">
        <x:v>http://www.w3.org/2001/XMLSchema#boolean</x:v>
      </x:c>
      <x:c r="H9" s="47" t="str"/>
      <x:c r="I9" s="48" t="str">
        <x:v>linked by the locked 313-requirement index</x:v>
      </x:c>
      <x:c r="J9" s="47" t="n">
        <x:v>0</x:v>
      </x:c>
    </x:row>
    <x:row r="10">
      <x:c r="A10" s="47" t="str">
        <x:v>RUN-IMO-120-20260829T092009364337Z</x:v>
      </x:c>
      <x:c r="B10" s="47" t="str">
        <x:v>IMO-120</x:v>
      </x:c>
      <x:c r="C10" s="47" t="str">
        <x:v>iceConcentration</x:v>
      </x:c>
      <x:c r="D10" s="48" t="str">
        <x:v>https://w3id.org/nltl/vocab#iceConcentration</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RUN-IMO-120-20260829T092009364337Z</x:v>
      </x:c>
      <x:c r="B11" s="47" t="str">
        <x:v>IMO-120</x:v>
      </x:c>
      <x:c r="C11" s="47" t="str">
        <x:v>nearbyIceConcentration</x:v>
      </x:c>
      <x:c r="D11" s="48" t="str">
        <x:v>https://w3id.org/nltl/vocab#nearbyIceConcentration</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RUN-IMO-120-20260829T092009364337Z</x:v>
      </x:c>
      <x:c r="B12" s="47" t="str">
        <x:v>IMO-120</x:v>
      </x:c>
      <x:c r="C12" s="47" t="str">
        <x:v>operatingArea</x:v>
      </x:c>
      <x:c r="D12" s="48" t="str">
        <x:v>https://w3id.org/nltl/vocab#operatingArea</x:v>
      </x:c>
      <x:c r="E12" s="47" t="str">
        <x:v>DatatypeProperty</x:v>
      </x:c>
      <x:c r="F12" s="47" t="str">
        <x:v>xsd:string</x:v>
      </x:c>
      <x:c r="G12" s="47" t="str">
        <x:v>http://www.w3.org/2001/XMLSchema#string</x:v>
      </x:c>
      <x:c r="H12" s="47" t="str"/>
      <x:c r="I12" s="48" t="str">
        <x:v>linked by the locked 313-requirement index</x:v>
      </x:c>
      <x:c r="J12" s="47" t="n">
        <x:v>0</x:v>
      </x:c>
    </x:row>
    <x:row r="13">
      <x:c r="A13" s="49" t="str">
        <x:v>RUN-IMO-120-20260829T092009364337Z</x:v>
      </x:c>
      <x:c r="B13" s="49" t="str">
        <x:v>IMO-120</x:v>
      </x:c>
      <x:c r="C13" s="49" t="str">
        <x:v>ship</x:v>
      </x:c>
      <x:c r="D13" s="50" t="str">
        <x:v>https://w3id.org/nltl/vocab#ship</x:v>
      </x:c>
      <x:c r="E13" s="49" t="str">
        <x:v>Class</x:v>
      </x:c>
      <x:c r="F13" s="49" t="str"/>
      <x:c r="G13" s="49" t="str"/>
      <x:c r="H13" s="49" t="str"/>
      <x:c r="I13" s="50" t="str">
        <x:v>authoritative required owner class; authoritative requirement target owner; baseline target infrastructure; domain dependency of distanceFromAreaWithIceConcentrationAboveOneTenth</x:v>
      </x:c>
      <x:c r="J13" s="49" t="n">
        <x:v>0</x:v>
      </x:c>
    </x:row>
  </x:sheetData>
  <x:pageMargins left="0.7" right="0.7" top="0.75" bottom="0.75" header="0.3" footer="0.3"/>
  <x:tableParts count="1">
    <x:tablePart xmlns:r="http://schemas.openxmlformats.org/officeDocument/2006/relationships" r:id="Rd64cd54d2d124d3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RUN-IMO-120-20260829T092009364337Z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RUN-IMO-120-20260829T092009364337Z</x:v>
      </x:c>
      <x:c r="B5" s="45" t="str">
        <x:v>IMO-120</x:v>
      </x:c>
      <x:c r="C5" s="45" t="str">
        <x:v>FS-INT-02</x:v>
      </x:c>
      <x:c r="D5" s="45" t="str">
        <x:v>conditional_integrated</x:v>
      </x:c>
      <x:c r="E5" s="97" t="n">
        <x:v>0.059701</x:v>
      </x:c>
      <x:c r="F5" s="45" t="str">
        <x:v>boolean | conditional | quantity | value</x:v>
      </x:c>
      <x:c r="G5" s="45" t="str">
        <x:v>synthetic-few-shot-not-benchmark-ground-truth</x:v>
      </x:c>
    </x:row>
    <x:row r="6">
      <x:c r="A6" s="49" t="str">
        <x:v>RUN-IMO-120-20260829T092009364337Z</x:v>
      </x:c>
      <x:c r="B6" s="49" t="str">
        <x:v>IMO-120</x:v>
      </x:c>
      <x:c r="C6" s="49" t="str">
        <x:v>FS-BOOL-01</x:v>
      </x:c>
      <x:c r="D6" s="49" t="str">
        <x:v>boolean_state</x:v>
      </x:c>
      <x:c r="E6" s="98" t="n">
        <x:v>0.045455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7e78ce08c9d4cb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RUN-IMO-120-20260829T092009364337Z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RUN-IMO-120-20260829T092009364337Z</x:v>
      </x:c>
      <x:c r="B5" s="45" t="str">
        <x:v>IMO-120</x:v>
      </x:c>
      <x:c r="C5" s="58" t="n">
        <x:v>1</x:v>
      </x:c>
      <x:c r="D5" s="80" t="b">
        <x:v>1</x:v>
      </x:c>
      <x:c r="E5" s="80" t="b">
        <x:v>1</x:v>
      </x:c>
      <x:c r="F5" s="80" t="b">
        <x:v>1</x:v>
      </x:c>
      <x:c r="G5" s="80" t="b">
        <x:v>1</x:v>
      </x:c>
      <x:c r="H5" s="80" t="b">
        <x:v>1</x:v>
      </x:c>
      <x:c r="I5" s="80" t="b">
        <x:v>1</x:v>
      </x:c>
      <x:c r="J5" s="80" t="b">
        <x:v>1</x:v>
      </x:c>
      <x:c r="K5" s="102" t="b">
        <x:v>1</x:v>
      </x:c>
      <x:c r="L5" s="46" t="str"/>
      <x:c r="M5" s="46" t="str"/>
      <x:c r="N5" s="46" t="str">
        <x:v>https://w3id.org/nltl/vocab#arcticWaters | https://w3id.org/nltl/vocab#distanceFromAreaWithIceConcentrationAboveOneTenth | https://w3id.org/nltl/vocab#distanceToNearestLandIceShelfOrFastIce | https://w3id.org/nltl/vocab#foodWasteDischargeToSea | https://w3id.org/nltl/vocab#iceConcentration | https://w3id.org/nltl/vocab#nearbyIceConcentration | https://w3id.org/nltl/vocab#operatingArea | https://w3id.org/nltl/vocab#ship</x:v>
      </x:c>
      <x:c r="O5" s="46" t="str"/>
      <x:c r="P5" s="46" t="str"/>
      <x:c r="Q5" s="46" t="str"/>
    </x:row>
    <x:row r="6">
      <x:c r="A6" s="47" t="str">
        <x:v>RUN-IMO-120-20260829T092009364337Z</x:v>
      </x:c>
      <x:c r="B6" s="47" t="str">
        <x:v>IMO-120</x:v>
      </x:c>
      <x:c r="C6" s="59" t="n">
        <x:v>2</x:v>
      </x:c>
      <x:c r="D6" s="93" t="b">
        <x:v>1</x:v>
      </x:c>
      <x:c r="E6" s="93" t="b">
        <x:v>1</x:v>
      </x:c>
      <x:c r="F6" s="93" t="b">
        <x:v>1</x:v>
      </x:c>
      <x:c r="G6" s="93" t="b">
        <x:v>1</x:v>
      </x:c>
      <x:c r="H6" s="93" t="b">
        <x:v>1</x:v>
      </x:c>
      <x:c r="I6" s="93" t="b">
        <x:v>1</x:v>
      </x:c>
      <x:c r="J6" s="93" t="b">
        <x:v>1</x:v>
      </x:c>
      <x:c r="K6" s="103" t="b">
        <x:v>1</x:v>
      </x:c>
      <x:c r="L6" s="48" t="str"/>
      <x:c r="M6" s="48" t="str"/>
      <x:c r="N6" s="48" t="str">
        <x:v>https://w3id.org/nltl/vocab#distanceFromAreaWithIceConcentrationAboveOneTenth | https://w3id.org/nltl/vocab#distanceToNearestLandIceShelfOrFastIce | https://w3id.org/nltl/vocab#foodWasteDischargeToSea | https://w3id.org/nltl/vocab#iceConcentration | https://w3id.org/nltl/vocab#nearbyIceConcentration | https://w3id.org/nltl/vocab#operatingArea | https://w3id.org/nltl/vocab#ship</x:v>
      </x:c>
      <x:c r="O6" s="48" t="str"/>
      <x:c r="P6" s="48" t="str"/>
      <x:c r="Q6" s="48" t="str"/>
    </x:row>
    <x:row r="7">
      <x:c r="A7" s="49" t="str">
        <x:v>RUN-IMO-120-20260829T092009364337Z</x:v>
      </x:c>
      <x:c r="B7" s="49" t="str">
        <x:v>IMO-120</x:v>
      </x:c>
      <x:c r="C7" s="60" t="n">
        <x:v>3</x:v>
      </x:c>
      <x:c r="D7" s="82" t="b">
        <x:v>0</x:v>
      </x:c>
      <x:c r="E7" s="82" t="b">
        <x:v>1</x:v>
      </x:c>
      <x:c r="F7" s="82" t="b">
        <x:v>0</x:v>
      </x:c>
      <x:c r="G7" s="82" t="b">
        <x:v>0</x:v>
      </x:c>
      <x:c r="H7" s="82" t="b">
        <x:v>0</x:v>
      </x:c>
      <x:c r="I7" s="82" t="b">
        <x:v>0</x:v>
      </x:c>
      <x:c r="J7" s="82" t="b">
        <x:v>0</x:v>
      </x:c>
      <x:c r="K7" s="104" t="b">
        <x:v>0</x:v>
      </x:c>
      <x:c r="L7" s="50" t="str">
        <x:v>Turtle parse error: at line 145 of &lt;&gt;:
Bad syntax (EOF found when expected verb in property list) at ^ in:
"...b'on exceeds one tenth." .\n&lt;/urn:nltl:generated-shape:IMO-120&gt;'^b'\n'"</x:v>
      </x:c>
      <x:c r="M7" s="50" t="str"/>
      <x:c r="N7" s="50" t="str"/>
      <x:c r="O7" s="50" t="str"/>
      <x:c r="P7" s="50" t="str"/>
      <x:c r="Q7" s="50" t="str"/>
    </x:row>
  </x:sheetData>
  <x:pageMargins left="0.7" right="0.7" top="0.75" bottom="0.75" header="0.3" footer="0.3"/>
  <x:tableParts count="1">
    <x:tablePart xmlns:r="http://schemas.openxmlformats.org/officeDocument/2006/relationships" r:id="R01f90b76903942a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RUN-IMO-120-20260829T092009364337Z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RUN-IMO-120-20260829T092009364337Z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RUN-IMO-120-20260829T092009364337Z</x:v>
      </x:c>
      <x:c r="B5" s="45" t="str">
        <x:v>IMO-120</x:v>
      </x:c>
      <x:c r="C5" s="58"/>
      <x:c r="D5" s="45" t="str">
        <x:v>initial_context_pack</x:v>
      </x:c>
      <x:c r="E5" s="46" t="str">
        <x:v>artifacts/context_pack_initial.json</x:v>
      </x:c>
      <x:c r="F5" s="45" t="str">
        <x:v>9f6a1943525efcbd364095cd226e4fa100700786ef38fa11eccc80eaa230b585</x:v>
      </x:c>
      <x:c r="G5" s="58" t="n">
        <x:v>16104</x:v>
      </x:c>
    </x:row>
    <x:row r="6">
      <x:c r="A6" s="47" t="str">
        <x:v>RUN-IMO-120-20260829T092009364337Z</x:v>
      </x:c>
      <x:c r="B6" s="47" t="str">
        <x:v>IMO-120</x:v>
      </x:c>
      <x:c r="C6" s="59"/>
      <x:c r="D6" s="47" t="str">
        <x:v>few_shot_selection</x:v>
      </x:c>
      <x:c r="E6" s="48" t="str">
        <x:v>artifacts/few_shots_selected.json</x:v>
      </x:c>
      <x:c r="F6" s="47" t="str">
        <x:v>2931f21051531e4159e8e31bd484d741a0ec2fc3e300d191f864db8d3620ef96</x:v>
      </x:c>
      <x:c r="G6" s="59" t="n">
        <x:v>6149</x:v>
      </x:c>
    </x:row>
    <x:row r="7">
      <x:c r="A7" s="47" t="str">
        <x:v>RUN-IMO-120-20260829T092009364337Z</x:v>
      </x:c>
      <x:c r="B7" s="47" t="str">
        <x:v>IMO-120</x:v>
      </x:c>
      <x:c r="C7" s="59" t="n">
        <x:v>1</x:v>
      </x:c>
      <x:c r="D7" s="47" t="str">
        <x:v>generator_prompt</x:v>
      </x:c>
      <x:c r="E7" s="48" t="str">
        <x:v>artifacts/attempt_01/generator_prompt.txt</x:v>
      </x:c>
      <x:c r="F7" s="47" t="str">
        <x:v>a8981f115d441d52632c9d2740a05c97eb78831c66436d5109d3db4b1c1fc6fd</x:v>
      </x:c>
      <x:c r="G7" s="59" t="n">
        <x:v>33867</x:v>
      </x:c>
    </x:row>
    <x:row r="8">
      <x:c r="A8" s="47" t="str">
        <x:v>RUN-IMO-120-20260829T092009364337Z</x:v>
      </x:c>
      <x:c r="B8" s="47" t="str">
        <x:v>IMO-120</x:v>
      </x:c>
      <x:c r="C8" s="59" t="n">
        <x:v>1</x:v>
      </x:c>
      <x:c r="D8" s="47" t="str">
        <x:v>generator_raw_response</x:v>
      </x:c>
      <x:c r="E8" s="48" t="str">
        <x:v>artifacts/attempt_01/generator_raw.txt</x:v>
      </x:c>
      <x:c r="F8" s="47" t="str">
        <x:v>ceeb959b2dbb29fdc7f30349f09dd6585a722520bbbb84ee51bc8467c46bc6ac</x:v>
      </x:c>
      <x:c r="G8" s="59" t="n">
        <x:v>5394</x:v>
      </x:c>
    </x:row>
    <x:row r="9">
      <x:c r="A9" s="47" t="str">
        <x:v>RUN-IMO-120-20260829T092009364337Z</x:v>
      </x:c>
      <x:c r="B9" s="47" t="str">
        <x:v>IMO-120</x:v>
      </x:c>
      <x:c r="C9" s="59" t="n">
        <x:v>1</x:v>
      </x:c>
      <x:c r="D9" s="47" t="str">
        <x:v>candidate_shape</x:v>
      </x:c>
      <x:c r="E9" s="48" t="str">
        <x:v>artifacts/attempt_01/candidate_shape.ttl</x:v>
      </x:c>
      <x:c r="F9" s="47" t="str">
        <x:v>60ea9d13cda0a48c9a6d1c0220c581a67429a51af1af1111c158b509c5f11be7</x:v>
      </x:c>
      <x:c r="G9" s="59" t="n">
        <x:v>5369</x:v>
      </x:c>
    </x:row>
    <x:row r="10">
      <x:c r="A10" s="47" t="str">
        <x:v>RUN-IMO-120-20260829T092009364337Z</x:v>
      </x:c>
      <x:c r="B10" s="47" t="str">
        <x:v>IMO-120</x:v>
      </x:c>
      <x:c r="C10" s="59" t="n">
        <x:v>1</x:v>
      </x:c>
      <x:c r="D10" s="47" t="str">
        <x:v>deterministic_validation</x:v>
      </x:c>
      <x:c r="E10" s="48" t="str">
        <x:v>artifacts/attempt_01/deterministic_validation.json</x:v>
      </x:c>
      <x:c r="F10" s="47" t="str">
        <x:v>ce79438542ff034cf9007440c7d05e07a0285240a52ef428257bda92b43f3769</x:v>
      </x:c>
      <x:c r="G10" s="59" t="n">
        <x:v>854</x:v>
      </x:c>
    </x:row>
    <x:row r="11">
      <x:c r="A11" s="47" t="str">
        <x:v>RUN-IMO-120-20260829T092009364337Z</x:v>
      </x:c>
      <x:c r="B11" s="47" t="str">
        <x:v>IMO-120</x:v>
      </x:c>
      <x:c r="C11" s="59" t="n">
        <x:v>1</x:v>
      </x:c>
      <x:c r="D11" s="47" t="str">
        <x:v>validator_prompt</x:v>
      </x:c>
      <x:c r="E11" s="48" t="str">
        <x:v>artifacts/attempt_01/validator_prompt_01.txt</x:v>
      </x:c>
      <x:c r="F11" s="47" t="str">
        <x:v>4ff1520d8c19dbcd03206120341259686a844d7e03e48dbd4d68fb2aa46e8585</x:v>
      </x:c>
      <x:c r="G11" s="59" t="n">
        <x:v>32215</x:v>
      </x:c>
    </x:row>
    <x:row r="12">
      <x:c r="A12" s="47" t="str">
        <x:v>RUN-IMO-120-20260829T092009364337Z</x:v>
      </x:c>
      <x:c r="B12" s="47" t="str">
        <x:v>IMO-120</x:v>
      </x:c>
      <x:c r="C12" s="59" t="n">
        <x:v>1</x:v>
      </x:c>
      <x:c r="D12" s="47" t="str">
        <x:v>validator_raw_response</x:v>
      </x:c>
      <x:c r="E12" s="48" t="str">
        <x:v>artifacts/attempt_01/validator_raw_01.txt</x:v>
      </x:c>
      <x:c r="F12" s="47" t="str">
        <x:v>00bcff9b669eaff7319a1031eab77aa19708b3a78de82a9d941b5b1c25e99453</x:v>
      </x:c>
      <x:c r="G12" s="59" t="n">
        <x:v>920</x:v>
      </x:c>
    </x:row>
    <x:row r="13">
      <x:c r="A13" s="47" t="str">
        <x:v>RUN-IMO-120-20260829T092009364337Z</x:v>
      </x:c>
      <x:c r="B13" s="47" t="str">
        <x:v>IMO-120</x:v>
      </x:c>
      <x:c r="C13" s="59" t="n">
        <x:v>2</x:v>
      </x:c>
      <x:c r="D13" s="47" t="str">
        <x:v>generator_prompt</x:v>
      </x:c>
      <x:c r="E13" s="48" t="str">
        <x:v>artifacts/attempt_02/generator_prompt.txt</x:v>
      </x:c>
      <x:c r="F13" s="47" t="str">
        <x:v>6ce579a27eb9ad0762d96d3c6fe92737e4eddc582da855847e055f14bc6eb1df</x:v>
      </x:c>
      <x:c r="G13" s="59" t="n">
        <x:v>34722</x:v>
      </x:c>
    </x:row>
    <x:row r="14">
      <x:c r="A14" s="47" t="str">
        <x:v>RUN-IMO-120-20260829T092009364337Z</x:v>
      </x:c>
      <x:c r="B14" s="47" t="str">
        <x:v>IMO-120</x:v>
      </x:c>
      <x:c r="C14" s="59" t="n">
        <x:v>2</x:v>
      </x:c>
      <x:c r="D14" s="47" t="str">
        <x:v>generator_raw_response</x:v>
      </x:c>
      <x:c r="E14" s="48" t="str">
        <x:v>artifacts/attempt_02/generator_raw.txt</x:v>
      </x:c>
      <x:c r="F14" s="47" t="str">
        <x:v>f6a0f0a381da0244b808ce3ad30805ab2023dc072f663df2d8caa05ea8cb7143</x:v>
      </x:c>
      <x:c r="G14" s="59" t="n">
        <x:v>5249</x:v>
      </x:c>
    </x:row>
    <x:row r="15">
      <x:c r="A15" s="47" t="str">
        <x:v>RUN-IMO-120-20260829T092009364337Z</x:v>
      </x:c>
      <x:c r="B15" s="47" t="str">
        <x:v>IMO-120</x:v>
      </x:c>
      <x:c r="C15" s="59" t="n">
        <x:v>2</x:v>
      </x:c>
      <x:c r="D15" s="47" t="str">
        <x:v>syntax_repair_prompt</x:v>
      </x:c>
      <x:c r="E15" s="48" t="str">
        <x:v>artifacts/attempt_02/syntax_repair_prompt_01.txt</x:v>
      </x:c>
      <x:c r="F15" s="47" t="str">
        <x:v>e6482214647048a15fccc4ed8c5f32ec77faaf440643ce5352099db54596020a</x:v>
      </x:c>
      <x:c r="G15" s="59" t="n">
        <x:v>6601</x:v>
      </x:c>
    </x:row>
    <x:row r="16">
      <x:c r="A16" s="47" t="str">
        <x:v>RUN-IMO-120-20260829T092009364337Z</x:v>
      </x:c>
      <x:c r="B16" s="47" t="str">
        <x:v>IMO-120</x:v>
      </x:c>
      <x:c r="C16" s="59" t="n">
        <x:v>2</x:v>
      </x:c>
      <x:c r="D16" s="47" t="str">
        <x:v>syntax_repair_raw_response</x:v>
      </x:c>
      <x:c r="E16" s="48" t="str">
        <x:v>artifacts/attempt_02/syntax_repair_raw_01.txt</x:v>
      </x:c>
      <x:c r="F16" s="47" t="str">
        <x:v>b71f6e81ff76b07ba431c8698f4c94d16d275f06063efb6ecffa716f4d5ec920</x:v>
      </x:c>
      <x:c r="G16" s="59" t="n">
        <x:v>5249</x:v>
      </x:c>
    </x:row>
    <x:row r="17">
      <x:c r="A17" s="47" t="str">
        <x:v>RUN-IMO-120-20260829T092009364337Z</x:v>
      </x:c>
      <x:c r="B17" s="47" t="str">
        <x:v>IMO-120</x:v>
      </x:c>
      <x:c r="C17" s="59" t="n">
        <x:v>2</x:v>
      </x:c>
      <x:c r="D17" s="47" t="str">
        <x:v>syntax_repair_prompt</x:v>
      </x:c>
      <x:c r="E17" s="48" t="str">
        <x:v>artifacts/attempt_02/syntax_repair_prompt_02.txt</x:v>
      </x:c>
      <x:c r="F17" s="47" t="str">
        <x:v>f4b9c3eefd5eb3f14345174e54f095f39116ec5b44ac1f63e7a192ca56973986</x:v>
      </x:c>
      <x:c r="G17" s="59" t="n">
        <x:v>6568</x:v>
      </x:c>
    </x:row>
    <x:row r="18">
      <x:c r="A18" s="47" t="str">
        <x:v>RUN-IMO-120-20260829T092009364337Z</x:v>
      </x:c>
      <x:c r="B18" s="47" t="str">
        <x:v>IMO-120</x:v>
      </x:c>
      <x:c r="C18" s="59" t="n">
        <x:v>2</x:v>
      </x:c>
      <x:c r="D18" s="47" t="str">
        <x:v>syntax_repair_raw_response</x:v>
      </x:c>
      <x:c r="E18" s="48" t="str">
        <x:v>artifacts/attempt_02/syntax_repair_raw_02.txt</x:v>
      </x:c>
      <x:c r="F18" s="47" t="str">
        <x:v>06b9bbd32e92399fe07db79302a69612a1f17acc5dae2038e0bffe9ca2a6fa97</x:v>
      </x:c>
      <x:c r="G18" s="59" t="n">
        <x:v>5213</x:v>
      </x:c>
    </x:row>
    <x:row r="19">
      <x:c r="A19" s="47" t="str">
        <x:v>RUN-IMO-120-20260829T092009364337Z</x:v>
      </x:c>
      <x:c r="B19" s="47" t="str">
        <x:v>IMO-120</x:v>
      </x:c>
      <x:c r="C19" s="59" t="n">
        <x:v>2</x:v>
      </x:c>
      <x:c r="D19" s="47" t="str">
        <x:v>candidate_shape</x:v>
      </x:c>
      <x:c r="E19" s="48" t="str">
        <x:v>artifacts/attempt_02/candidate_shape.ttl</x:v>
      </x:c>
      <x:c r="F19" s="47" t="str">
        <x:v>d8e803336e03e712c602cad0eb5320c7d23812299e22ea0180c1768bbd4d52fa</x:v>
      </x:c>
      <x:c r="G19" s="59" t="n">
        <x:v>5188</x:v>
      </x:c>
    </x:row>
    <x:row r="20">
      <x:c r="A20" s="47" t="str">
        <x:v>RUN-IMO-120-20260829T092009364337Z</x:v>
      </x:c>
      <x:c r="B20" s="47" t="str">
        <x:v>IMO-120</x:v>
      </x:c>
      <x:c r="C20" s="59" t="n">
        <x:v>2</x:v>
      </x:c>
      <x:c r="D20" s="47" t="str">
        <x:v>deterministic_validation</x:v>
      </x:c>
      <x:c r="E20" s="48" t="str">
        <x:v>artifacts/attempt_02/deterministic_validation.json</x:v>
      </x:c>
      <x:c r="F20" s="47" t="str">
        <x:v>df0e4d352deee8760d18fbd00c88d01143f5c7fa87c7629530643c16ab0cc99a</x:v>
      </x:c>
      <x:c r="G20" s="59" t="n">
        <x:v>806</x:v>
      </x:c>
    </x:row>
    <x:row r="21">
      <x:c r="A21" s="47" t="str">
        <x:v>RUN-IMO-120-20260829T092009364337Z</x:v>
      </x:c>
      <x:c r="B21" s="47" t="str">
        <x:v>IMO-120</x:v>
      </x:c>
      <x:c r="C21" s="59" t="n">
        <x:v>2</x:v>
      </x:c>
      <x:c r="D21" s="47" t="str">
        <x:v>validator_prompt</x:v>
      </x:c>
      <x:c r="E21" s="48" t="str">
        <x:v>artifacts/attempt_02/validator_prompt_01.txt</x:v>
      </x:c>
      <x:c r="F21" s="47" t="str">
        <x:v>42b2d156ffde930212660adab226de0499a4eb4dcd46a182200d18ca7a36bc38</x:v>
      </x:c>
      <x:c r="G21" s="59" t="n">
        <x:v>32503</x:v>
      </x:c>
    </x:row>
    <x:row r="22">
      <x:c r="A22" s="47" t="str">
        <x:v>RUN-IMO-120-20260829T092009364337Z</x:v>
      </x:c>
      <x:c r="B22" s="47" t="str">
        <x:v>IMO-120</x:v>
      </x:c>
      <x:c r="C22" s="59" t="n">
        <x:v>2</x:v>
      </x:c>
      <x:c r="D22" s="47" t="str">
        <x:v>validator_raw_response</x:v>
      </x:c>
      <x:c r="E22" s="48" t="str">
        <x:v>artifacts/attempt_02/validator_raw_01.txt</x:v>
      </x:c>
      <x:c r="F22" s="47" t="str">
        <x:v>a4e127c4f5c5287a2e257fd87da65feb630b6993f846f1d641b7bf0910a467ff</x:v>
      </x:c>
      <x:c r="G22" s="59" t="n">
        <x:v>930</x:v>
      </x:c>
    </x:row>
    <x:row r="23">
      <x:c r="A23" s="47" t="str">
        <x:v>RUN-IMO-120-20260829T092009364337Z</x:v>
      </x:c>
      <x:c r="B23" s="47" t="str">
        <x:v>IMO-120</x:v>
      </x:c>
      <x:c r="C23" s="59" t="n">
        <x:v>3</x:v>
      </x:c>
      <x:c r="D23" s="47" t="str">
        <x:v>generator_prompt</x:v>
      </x:c>
      <x:c r="E23" s="48" t="str">
        <x:v>artifacts/attempt_03/generator_prompt.txt</x:v>
      </x:c>
      <x:c r="F23" s="47" t="str">
        <x:v>97fa659b044c503fd8c078648dd4060bf0587e3700e5d290c1d60606c9298ace</x:v>
      </x:c>
      <x:c r="G23" s="59" t="n">
        <x:v>35595</x:v>
      </x:c>
    </x:row>
    <x:row r="24">
      <x:c r="A24" s="47" t="str">
        <x:v>RUN-IMO-120-20260829T092009364337Z</x:v>
      </x:c>
      <x:c r="B24" s="47" t="str">
        <x:v>IMO-120</x:v>
      </x:c>
      <x:c r="C24" s="59" t="n">
        <x:v>3</x:v>
      </x:c>
      <x:c r="D24" s="47" t="str">
        <x:v>generator_raw_response</x:v>
      </x:c>
      <x:c r="E24" s="48" t="str">
        <x:v>artifacts/attempt_03/generator_raw.txt</x:v>
      </x:c>
      <x:c r="F24" s="47" t="str">
        <x:v>f8745b7001cee9c856dfded853297c3f8d1e50c22d425102c9e079e0b69b196a</x:v>
      </x:c>
      <x:c r="G24" s="59" t="n">
        <x:v>5199</x:v>
      </x:c>
    </x:row>
    <x:row r="25">
      <x:c r="A25" s="47" t="str">
        <x:v>RUN-IMO-120-20260829T092009364337Z</x:v>
      </x:c>
      <x:c r="B25" s="47" t="str">
        <x:v>IMO-120</x:v>
      </x:c>
      <x:c r="C25" s="59" t="n">
        <x:v>3</x:v>
      </x:c>
      <x:c r="D25" s="47" t="str">
        <x:v>syntax_repair_prompt</x:v>
      </x:c>
      <x:c r="E25" s="48" t="str">
        <x:v>artifacts/attempt_03/syntax_repair_prompt_01.txt</x:v>
      </x:c>
      <x:c r="F25" s="47" t="str">
        <x:v>220afce2c1f8d56d060b0de32b4422e7cc5fac7d5ee3cf359a2036f80038084c</x:v>
      </x:c>
      <x:c r="G25" s="59" t="n">
        <x:v>6549</x:v>
      </x:c>
    </x:row>
    <x:row r="26">
      <x:c r="A26" s="47" t="str">
        <x:v>RUN-IMO-120-20260829T092009364337Z</x:v>
      </x:c>
      <x:c r="B26" s="47" t="str">
        <x:v>IMO-120</x:v>
      </x:c>
      <x:c r="C26" s="59" t="n">
        <x:v>3</x:v>
      </x:c>
      <x:c r="D26" s="47" t="str">
        <x:v>syntax_repair_raw_response</x:v>
      </x:c>
      <x:c r="E26" s="48" t="str">
        <x:v>artifacts/attempt_03/syntax_repair_raw_01.txt</x:v>
      </x:c>
      <x:c r="F26" s="47" t="str">
        <x:v>c4009a7a22b7417f257afb9dbb7be1f57e8c591ca0c230ccef30a53e8998eba9</x:v>
      </x:c>
      <x:c r="G26" s="59" t="n">
        <x:v>5201</x:v>
      </x:c>
    </x:row>
    <x:row r="27">
      <x:c r="A27" s="47" t="str">
        <x:v>RUN-IMO-120-20260829T092009364337Z</x:v>
      </x:c>
      <x:c r="B27" s="47" t="str">
        <x:v>IMO-120</x:v>
      </x:c>
      <x:c r="C27" s="59" t="n">
        <x:v>3</x:v>
      </x:c>
      <x:c r="D27" s="47" t="str">
        <x:v>syntax_repair_prompt</x:v>
      </x:c>
      <x:c r="E27" s="48" t="str">
        <x:v>artifacts/attempt_03/syntax_repair_prompt_02.txt</x:v>
      </x:c>
      <x:c r="F27" s="47" t="str">
        <x:v>41710cdd9c1d37b3bcf4c84d91dfb2a74706bfca8228f02822cdac7fa3bc68a1</x:v>
      </x:c>
      <x:c r="G27" s="59" t="n">
        <x:v>6516</x:v>
      </x:c>
    </x:row>
    <x:row r="28">
      <x:c r="A28" s="47" t="str">
        <x:v>RUN-IMO-120-20260829T092009364337Z</x:v>
      </x:c>
      <x:c r="B28" s="47" t="str">
        <x:v>IMO-120</x:v>
      </x:c>
      <x:c r="C28" s="59" t="n">
        <x:v>3</x:v>
      </x:c>
      <x:c r="D28" s="47" t="str">
        <x:v>syntax_repair_raw_response</x:v>
      </x:c>
      <x:c r="E28" s="48" t="str">
        <x:v>artifacts/attempt_03/syntax_repair_raw_02.txt</x:v>
      </x:c>
      <x:c r="F28" s="47" t="str">
        <x:v>c4009a7a22b7417f257afb9dbb7be1f57e8c591ca0c230ccef30a53e8998eba9</x:v>
      </x:c>
      <x:c r="G28" s="59" t="n">
        <x:v>5201</x:v>
      </x:c>
    </x:row>
    <x:row r="29">
      <x:c r="A29" s="47" t="str">
        <x:v>RUN-IMO-120-20260829T092009364337Z</x:v>
      </x:c>
      <x:c r="B29" s="47" t="str">
        <x:v>IMO-120</x:v>
      </x:c>
      <x:c r="C29" s="59" t="n">
        <x:v>3</x:v>
      </x:c>
      <x:c r="D29" s="47" t="str">
        <x:v>syntax_repair_prompt</x:v>
      </x:c>
      <x:c r="E29" s="48" t="str">
        <x:v>artifacts/attempt_03/syntax_repair_prompt_03.txt</x:v>
      </x:c>
      <x:c r="F29" s="47" t="str">
        <x:v>41710cdd9c1d37b3bcf4c84d91dfb2a74706bfca8228f02822cdac7fa3bc68a1</x:v>
      </x:c>
      <x:c r="G29" s="59" t="n">
        <x:v>6516</x:v>
      </x:c>
    </x:row>
    <x:row r="30">
      <x:c r="A30" s="47" t="str">
        <x:v>RUN-IMO-120-20260829T092009364337Z</x:v>
      </x:c>
      <x:c r="B30" s="47" t="str">
        <x:v>IMO-120</x:v>
      </x:c>
      <x:c r="C30" s="59" t="n">
        <x:v>3</x:v>
      </x:c>
      <x:c r="D30" s="47" t="str">
        <x:v>syntax_repair_raw_response</x:v>
      </x:c>
      <x:c r="E30" s="48" t="str">
        <x:v>artifacts/attempt_03/syntax_repair_raw_03.txt</x:v>
      </x:c>
      <x:c r="F30" s="47" t="str">
        <x:v>c4009a7a22b7417f257afb9dbb7be1f57e8c591ca0c230ccef30a53e8998eba9</x:v>
      </x:c>
      <x:c r="G30" s="59" t="n">
        <x:v>5201</x:v>
      </x:c>
    </x:row>
    <x:row r="31">
      <x:c r="A31" s="47" t="str">
        <x:v>RUN-IMO-120-20260829T092009364337Z</x:v>
      </x:c>
      <x:c r="B31" s="47" t="str">
        <x:v>IMO-120</x:v>
      </x:c>
      <x:c r="C31" s="59" t="n">
        <x:v>3</x:v>
      </x:c>
      <x:c r="D31" s="47" t="str">
        <x:v>candidate_shape</x:v>
      </x:c>
      <x:c r="E31" s="48" t="str">
        <x:v>artifacts/attempt_03/candidate_shape.ttl</x:v>
      </x:c>
      <x:c r="F31" s="47" t="str">
        <x:v>f2a0ea7b9c5a348497348024989ced7821dc581abc8f59af4ea61bec21822aa7</x:v>
      </x:c>
      <x:c r="G31" s="59" t="n">
        <x:v>5176</x:v>
      </x:c>
    </x:row>
    <x:row r="32">
      <x:c r="A32" s="49" t="str">
        <x:v>RUN-IMO-120-20260829T092009364337Z</x:v>
      </x:c>
      <x:c r="B32" s="49" t="str">
        <x:v>IMO-120</x:v>
      </x:c>
      <x:c r="C32" s="60" t="n">
        <x:v>3</x:v>
      </x:c>
      <x:c r="D32" s="49" t="str">
        <x:v>deterministic_validation</x:v>
      </x:c>
      <x:c r="E32" s="50" t="str">
        <x:v>artifacts/attempt_03/deterministic_validation.json</x:v>
      </x:c>
      <x:c r="F32" s="49" t="str">
        <x:v>2c488c09d83086e22004d8717d8f190bffda799efe61998cce5b86e1f6775ed5</x:v>
      </x:c>
      <x:c r="G32" s="60" t="n">
        <x:v>593</x:v>
      </x:c>
    </x:row>
  </x:sheetData>
  <x:pageMargins left="0.7" right="0.7" top="0.75" bottom="0.75" header="0.3" footer="0.3"/>
  <x:tableParts count="1">
    <x:tablePart xmlns:r="http://schemas.openxmlformats.org/officeDocument/2006/relationships" r:id="R64ef6b3a9fea4517"/>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RUN-IMO-120-20260829T092009364337Z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RUN-IMO-120-20260829T092009364337Z</x:v>
      </x:c>
      <x:c r="B5" s="69" t="str">
        <x:v>IMO-120</x:v>
      </x:c>
      <x:c r="C5" s="71" t="n">
        <x:v>3</x:v>
      </x:c>
      <x:c r="D5" s="69" t="str">
        <x:v>SYNTAX_REPAIR_EXHAUSTED</x:v>
      </x:c>
      <x:c r="E5" s="73" t="str">
        <x:v>Syntax-only repair budget exhausted before semantic validation: Turtle parse error: at line 145 of &lt;&gt;:
Bad syntax (EOF found when expected verb in property list) at ^ in:
"...b'on exceeds one tenth." .\n&lt;/urn:nltl:generated-shape:IMO-120&gt;'^b'\n'"</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535bda78c0d8488f"/>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RUN-IMO-120-20260829T092009364337Z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