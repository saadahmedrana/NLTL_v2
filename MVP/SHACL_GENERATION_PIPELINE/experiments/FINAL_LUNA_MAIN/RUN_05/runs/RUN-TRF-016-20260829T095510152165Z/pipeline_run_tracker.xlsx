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686cc80f7864ae6" /></Relationships>
</file>

<file path=xl/workbook.xml><?xml version="1.0" encoding="utf-8"?>
<x:workbook xmlns:x="http://schemas.openxmlformats.org/spreadsheetml/2006/main">
  <x:sheets>
    <x:sheet xmlns:r="http://schemas.openxmlformats.org/officeDocument/2006/relationships" name="SUMMARY" sheetId="1" r:id="R0137cc31fe404cfd"/>
    <x:sheet xmlns:r="http://schemas.openxmlformats.org/officeDocument/2006/relationships" name="README" sheetId="2" r:id="Rb360512fe5fb442d"/>
    <x:sheet xmlns:r="http://schemas.openxmlformats.org/officeDocument/2006/relationships" name="REGULATION_QUEUE" sheetId="3" r:id="R603a47e472e640a1"/>
    <x:sheet xmlns:r="http://schemas.openxmlformats.org/officeDocument/2006/relationships" name="RUNS" sheetId="4" r:id="R3e0afc1b9ddf49e7"/>
    <x:sheet xmlns:r="http://schemas.openxmlformats.org/officeDocument/2006/relationships" name="ITERATIONS" sheetId="5" r:id="R8959d7a96e994e7d"/>
    <x:sheet xmlns:r="http://schemas.openxmlformats.org/officeDocument/2006/relationships" name="API_CALLS" sheetId="6" r:id="Rac2796202458482b"/>
    <x:sheet xmlns:r="http://schemas.openxmlformats.org/officeDocument/2006/relationships" name="TERM_RETRIEVAL" sheetId="7" r:id="Rde2376b63aea40fb"/>
    <x:sheet xmlns:r="http://schemas.openxmlformats.org/officeDocument/2006/relationships" name="FEW_SHOT_SELECTION" sheetId="8" r:id="R44153623962f4ee4"/>
    <x:sheet xmlns:r="http://schemas.openxmlformats.org/officeDocument/2006/relationships" name="VALIDATION" sheetId="9" r:id="R9430915b3e4b4477"/>
    <x:sheet xmlns:r="http://schemas.openxmlformats.org/officeDocument/2006/relationships" name="VOCAB_MATCHES" sheetId="10" r:id="Re8877f013e3247ce"/>
    <x:sheet xmlns:r="http://schemas.openxmlformats.org/officeDocument/2006/relationships" name="ARTIFACTS" sheetId="11" r:id="R3dfdfdb631ff4f95"/>
    <x:sheet xmlns:r="http://schemas.openxmlformats.org/officeDocument/2006/relationships" name="UNRESOLVED" sheetId="12" r:id="Rc43aef58d293414c"/>
    <x:sheet xmlns:r="http://schemas.openxmlformats.org/officeDocument/2006/relationships" name="RDF_TEST_QUEUE" sheetId="13" r:id="R8094650eb79a433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a1f798e4d794289" /><Relationship Type="http://schemas.openxmlformats.org/officeDocument/2006/relationships/theme" Target="/xl/theme/theme1.xml" Id="Re18e7dc2584e478c" /><Relationship Type="http://schemas.microsoft.com/office/2022/11/relationships/FeaturePropertyBag" Target="/xl/featurePropertyBag/featurePropertyBag.xml" Id="R9859942e54a648fa" /><Relationship Type="http://schemas.openxmlformats.org/officeDocument/2006/relationships/sharedStrings" Target="/xl/sharedStrings.xml" Id="R1eb2198791154fed" /><Relationship Type="http://schemas.openxmlformats.org/officeDocument/2006/relationships/worksheet" Target="/xl/worksheets/sheet1.xml" Id="R0137cc31fe404cfd" /><Relationship Type="http://schemas.openxmlformats.org/officeDocument/2006/relationships/worksheet" Target="/xl/worksheets/sheet2.xml" Id="Rb360512fe5fb442d" /><Relationship Type="http://schemas.openxmlformats.org/officeDocument/2006/relationships/worksheet" Target="/xl/worksheets/sheet3.xml" Id="R603a47e472e640a1" /><Relationship Type="http://schemas.openxmlformats.org/officeDocument/2006/relationships/worksheet" Target="/xl/worksheets/sheet4.xml" Id="R3e0afc1b9ddf49e7" /><Relationship Type="http://schemas.openxmlformats.org/officeDocument/2006/relationships/worksheet" Target="/xl/worksheets/sheet5.xml" Id="R8959d7a96e994e7d" /><Relationship Type="http://schemas.openxmlformats.org/officeDocument/2006/relationships/worksheet" Target="/xl/worksheets/sheet6.xml" Id="Rac2796202458482b" /><Relationship Type="http://schemas.openxmlformats.org/officeDocument/2006/relationships/worksheet" Target="/xl/worksheets/sheet7.xml" Id="Rde2376b63aea40fb" /><Relationship Type="http://schemas.openxmlformats.org/officeDocument/2006/relationships/worksheet" Target="/xl/worksheets/sheet8.xml" Id="R44153623962f4ee4" /><Relationship Type="http://schemas.openxmlformats.org/officeDocument/2006/relationships/worksheet" Target="/xl/worksheets/sheet9.xml" Id="R9430915b3e4b4477" /><Relationship Type="http://schemas.openxmlformats.org/officeDocument/2006/relationships/worksheet" Target="/xl/worksheets/sheet10.xml" Id="Re8877f013e3247ce" /><Relationship Type="http://schemas.openxmlformats.org/officeDocument/2006/relationships/worksheet" Target="/xl/worksheets/sheet11.xml" Id="R3dfdfdb631ff4f95" /><Relationship Type="http://schemas.openxmlformats.org/officeDocument/2006/relationships/worksheet" Target="/xl/worksheets/sheet12.xml" Id="Rc43aef58d293414c" /><Relationship Type="http://schemas.openxmlformats.org/officeDocument/2006/relationships/worksheet" Target="/xl/worksheets/sheet13.xml" Id="R8094650eb79a433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3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6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10"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5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f7567c4c8474a09" /></Relationships>
</file>

<file path=xl/worksheets/_rels/sheet3.xml.rels>&#65279;<?xml version="1.0" encoding="utf-8"?><Relationships xmlns="http://schemas.openxmlformats.org/package/2006/relationships"><Relationship Type="http://schemas.openxmlformats.org/officeDocument/2006/relationships/table" Target="/xl/tables/table2.xml" Id="R22de9df2525c4e71" /></Relationships>
</file>

<file path=xl/worksheets/_rels/sheet4.xml.rels>&#65279;<?xml version="1.0" encoding="utf-8"?><Relationships xmlns="http://schemas.openxmlformats.org/package/2006/relationships"><Relationship Type="http://schemas.openxmlformats.org/officeDocument/2006/relationships/table" Target="/xl/tables/table3.xml" Id="Rbd483afea9a34f5f" /></Relationships>
</file>

<file path=xl/worksheets/_rels/sheet5.xml.rels>&#65279;<?xml version="1.0" encoding="utf-8"?><Relationships xmlns="http://schemas.openxmlformats.org/package/2006/relationships"><Relationship Type="http://schemas.openxmlformats.org/officeDocument/2006/relationships/table" Target="/xl/tables/table4.xml" Id="Rfbb240c7e30645a7" /></Relationships>
</file>

<file path=xl/worksheets/_rels/sheet6.xml.rels>&#65279;<?xml version="1.0" encoding="utf-8"?><Relationships xmlns="http://schemas.openxmlformats.org/package/2006/relationships"><Relationship Type="http://schemas.openxmlformats.org/officeDocument/2006/relationships/table" Target="/xl/tables/table5.xml" Id="R51e98e611ff742a8" /></Relationships>
</file>

<file path=xl/worksheets/_rels/sheet7.xml.rels>&#65279;<?xml version="1.0" encoding="utf-8"?><Relationships xmlns="http://schemas.openxmlformats.org/package/2006/relationships"><Relationship Type="http://schemas.openxmlformats.org/officeDocument/2006/relationships/table" Target="/xl/tables/table6.xml" Id="Rd245de541af04ba0" /></Relationships>
</file>

<file path=xl/worksheets/_rels/sheet8.xml.rels>&#65279;<?xml version="1.0" encoding="utf-8"?><Relationships xmlns="http://schemas.openxmlformats.org/package/2006/relationships"><Relationship Type="http://schemas.openxmlformats.org/officeDocument/2006/relationships/table" Target="/xl/tables/table7.xml" Id="Rb78964e6c59f40e2" /></Relationships>
</file>

<file path=xl/worksheets/_rels/sheet9.xml.rels>&#65279;<?xml version="1.0" encoding="utf-8"?><Relationships xmlns="http://schemas.openxmlformats.org/package/2006/relationships"><Relationship Type="http://schemas.openxmlformats.org/officeDocument/2006/relationships/table" Target="/xl/tables/table8.xml" Id="R28276391d18f4165" /></Relationships>
</file>

<file path=xl/worksheets/_rels/sheet10.xml.rels>&#65279;<?xml version="1.0" encoding="utf-8"?><Relationships xmlns="http://schemas.openxmlformats.org/package/2006/relationships"><Relationship Type="http://schemas.openxmlformats.org/officeDocument/2006/relationships/table" Target="/xl/tables/table9.xml" Id="R6e628f14078a4227" /></Relationships>
</file>

<file path=xl/worksheets/_rels/sheet11.xml.rels>&#65279;<?xml version="1.0" encoding="utf-8"?><Relationships xmlns="http://schemas.openxmlformats.org/package/2006/relationships"><Relationship Type="http://schemas.openxmlformats.org/officeDocument/2006/relationships/table" Target="/xl/tables/table10.xml" Id="R5435450a36794b01" /></Relationships>
</file>

<file path=xl/worksheets/_rels/sheet12.xml.rels>&#65279;<?xml version="1.0" encoding="utf-8"?><Relationships xmlns="http://schemas.openxmlformats.org/package/2006/relationships"><Relationship Type="http://schemas.openxmlformats.org/officeDocument/2006/relationships/table" Target="/xl/tables/table11.xml" Id="Rd4d704650ddb437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RUN-TRF-016-20260829T095510152165Z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COUNTA('API_CALLS'!$A$5:$A$38)</x:f>
        <x:v>34</x:v>
      </x:c>
      <x:c r="C9" s="21"/>
      <x:c r="D9" s="21"/>
    </x:row>
    <x:row r="10">
      <x:c r="A10" s="27" t="str">
        <x:v>Mean API/LLM elapsed ms</x:v>
      </x:c>
      <x:c r="B10" s="28" t="n">
        <x:f>IFERROR(AVERAGE('API_CALLS'!$K$5:$K$38),0)</x:f>
        <x:v>19543.754411764705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RUN-TRF-016-20260829T095510152165Z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0f7567c4c8474a0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RUN-TRF-016-20260829T095510152165Z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TERM_RESOLUTION_UNRESOLVED</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2de9df2525c4e7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RUN-TRF-016-20260829T095510152165Z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RUN-TRF-016-20260829T095510152165Z</x:v>
      </x:c>
      <x:c r="C5" s="69" t="str">
        <x:v>TRF-016</x:v>
      </x:c>
      <x:c r="D5" s="70" t="n">
        <x:v>46263.41331195602</x:v>
      </x:c>
      <x:c r="E5" s="70" t="n">
        <x:v>46263.417231099535</x:v>
      </x:c>
      <x:c r="F5" s="69" t="str">
        <x:v>final-luna-main-run05</x:v>
      </x:c>
      <x:c r="G5" s="69" t="str">
        <x:v>VOCAB-LOCK-2026-08-22-R13</x:v>
      </x:c>
      <x:c r="H5" s="71" t="n">
        <x:v>4</x:v>
      </x:c>
      <x:c r="I5" s="69" t="str">
        <x:v>TERM_RESOLUTION_UNRESOLVED</x:v>
      </x:c>
      <x:c r="J5" s="72" t="b">
        <x:v>0</x:v>
      </x:c>
      <x:c r="K5" s="69" t="str"/>
      <x:c r="L5" s="73" t="str">
        <x:v>Retain the prior ballast-tank implication, boolean datatype, ship ownership, and directional forward-draught formula repairs. The ballast-tank sh:or still permits missing branch-selection evidence: require both situatedAboveLowerIceWaterline and usedToReachLowerIceWaterline, and enforce freezingPreventionPresent=true exactly when both are true; allow either explicitly present false case without requiring freezing prevention. The UIWL selection remains absent: the candidate merely requires an upper ice waterline and checks a ship-level displacementAtUpperIceWaterline, without proving that it corresponds to the greatest displacement among all linked UIWLs. Do not move or duplicate displacement facts. Use the authoritative ship-owned waterlineDisplacement on each linked iceWaterline and an owner-compatible canonical cross-owner path selecting the maximum linked displacement; locate/request that missing canonical path. Constrain hasUpperIceWaterline to the required relationship rather than presence-only. Preserve the valid min formula and expected-value-scaled tolerance, and do not introduce ABS or unsupported functions.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d483afea9a34f5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RUN-TRF-016-20260829T095510152165Z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RUN-TRF-016-20260829T095510152165Z</x:v>
      </x:c>
      <x:c r="B5" s="45" t="str">
        <x:v>TRF-016</x:v>
      </x:c>
      <x:c r="C5" s="58" t="n">
        <x:v>1</x:v>
      </x:c>
      <x:c r="D5" s="83" t="b">
        <x:v>1</x:v>
      </x:c>
      <x:c r="E5" s="83" t="b">
        <x:v>0</x:v>
      </x:c>
      <x:c r="F5" s="83" t="b">
        <x:v>0</x:v>
      </x:c>
      <x:c r="G5" s="45" t="str">
        <x:v>REVISE</x:v>
      </x:c>
      <x:c r="H5" s="46" t="str">
        <x:v>Repair the ballast-tank implication: the current sh:or permits a tank with situatedAboveLowerIceWaterline=true or usedToReachLowerIceWaterline=true to pass without freezingPreventionPresent=true; require freezing prevention whenever both booleans are true, while allowing either false case. Also place waterlineDisplacement according to its authoritative requiredOwner (ship), not on each iceWaterline node, and revise the UIWL selection/query path accordingly without duplicating the fact or targeting another owner.</x:v>
      </x:c>
      <x:c r="I5" s="84" t="n">
        <x:v>35244.997</x:v>
      </x:c>
      <x:c r="J5" s="84" t="n">
        <x:v>22773.39</x:v>
      </x:c>
    </x:row>
    <x:row r="6">
      <x:c r="A6" s="47" t="str">
        <x:v>RUN-TRF-016-20260829T095510152165Z</x:v>
      </x:c>
      <x:c r="B6" s="47" t="str">
        <x:v>TRF-016</x:v>
      </x:c>
      <x:c r="C6" s="59" t="n">
        <x:v>2</x:v>
      </x:c>
      <x:c r="D6" s="85" t="b">
        <x:v>1</x:v>
      </x:c>
      <x:c r="E6" s="85" t="b">
        <x:v>0</x:v>
      </x:c>
      <x:c r="F6" s="85" t="b">
        <x:v>1</x:v>
      </x:c>
      <x:c r="G6" s="47" t="str">
        <x:v>REVISE_WITH_MATCH</x:v>
      </x:c>
      <x:c r="H6" s="48" t="str">
        <x:v>Retain the corrected ballast-tank implication and ship ownership of waterlineDisplacement, but repair the UIWL selection: the current FILTER (?candidate &gt; ?selected) does not select the greatest-displacement UIWL and can create accidental passes. Constrain hasUpperIceWaterline to the required ice-waterline relationship and use an owner-compatible canonical cross-owner selection path (request/locate that path if unavailable) so displacementAtUpperIceWaterline is the displacement corresponding to the greatest-displacement UIWL; do not treat hasUpperIceWaterline as presence-only. The forward-draught check is also wrong: the requirement is a lower bound, not equality. Replace the ABS equality failure with a directionally correct tolerance-aware failure such as forwardDraught + scaled tolerance &lt; expected, where expected is min((2 + 0.00025 * selected UIWL displacement) * levelIceThickness, 4 * levelIceThickness). Add xsd:boolean to the freezingPreventionPresent property shape.</x:v>
      </x:c>
      <x:c r="I6" s="86" t="n">
        <x:v>34441.098</x:v>
      </x:c>
      <x:c r="J6" s="86" t="n">
        <x:v>21904.323</x:v>
      </x:c>
    </x:row>
    <x:row r="7">
      <x:c r="A7" s="47" t="str">
        <x:v>RUN-TRF-016-20260829T095510152165Z</x:v>
      </x:c>
      <x:c r="B7" s="47" t="str">
        <x:v>TRF-016</x:v>
      </x:c>
      <x:c r="C7" s="59" t="n">
        <x:v>3</x:v>
      </x:c>
      <x:c r="D7" s="85" t="b">
        <x:v>1</x:v>
      </x:c>
      <x:c r="E7" s="85" t="b">
        <x:v>0</x:v>
      </x:c>
      <x:c r="F7" s="85" t="b">
        <x:v>1</x:v>
      </x:c>
      <x:c r="G7" s="47" t="str">
        <x:v>REVISE_WITH_MATCH</x:v>
      </x:c>
      <x:c r="H7" s="48" t="str">
        <x:v>Retain the corrected ballast-tank implication, xsd:boolean datatype, ship ownership of waterlineDisplacement, and the directional forward-draught lower-bound formula. The UIWL query still does not select the greatest-displacement UIWL: it merely compares against a ship-level selected value and can pass without proving that value corresponds to the maximum waterlineDisplacement among all linked UIWLs. Use an owner-compatible canonical cross-owner selection path that relates each ship-linked UIWL to its displacement, then constrain the selected displacement to the greatest one; do not move waterlineDisplacement onto iceWaterline or duplicate it. The required path is absent from the scoped vocabulary, so locate/request the canonical path. Also remove ABS from the DIRECT_CALCULATION queries: only the registered arithmetic, comparisons, min/max, and simple piecewise operations are permitted. Use a tolerance scaled from the positive expected value with the fixed floor, not ABS(?selected) or ABS(?expected).</x:v>
      </x:c>
      <x:c r="I7" s="86" t="n">
        <x:v>36682.245</x:v>
      </x:c>
      <x:c r="J7" s="86" t="n">
        <x:v>14078.074</x:v>
      </x:c>
    </x:row>
    <x:row r="8">
      <x:c r="A8" s="49" t="str">
        <x:v>RUN-TRF-016-20260829T095510152165Z</x:v>
      </x:c>
      <x:c r="B8" s="49" t="str">
        <x:v>TRF-016</x:v>
      </x:c>
      <x:c r="C8" s="60" t="n">
        <x:v>4</x:v>
      </x:c>
      <x:c r="D8" s="87" t="b">
        <x:v>1</x:v>
      </x:c>
      <x:c r="E8" s="87" t="b">
        <x:v>0</x:v>
      </x:c>
      <x:c r="F8" s="87" t="b">
        <x:v>1</x:v>
      </x:c>
      <x:c r="G8" s="49" t="str">
        <x:v>STOP_TERM_RESOLUTION</x:v>
      </x:c>
      <x:c r="H8" s="50" t="str">
        <x:v>Retain the prior ballast-tank implication, boolean datatype, ship ownership, and directional forward-draught formula repairs. The ballast-tank sh:or still permits missing branch-selection evidence: require both situatedAboveLowerIceWaterline and usedToReachLowerIceWaterline, and enforce freezingPreventionPresent=true exactly when both are true; allow either explicitly present false case without requiring freezing prevention. The UIWL selection remains absent: the candidate merely requires an upper ice waterline and checks a ship-level displacementAtUpperIceWaterline, without proving that it corresponds to the greatest displacement among all linked UIWLs. Do not move or duplicate displacement facts. Use the authoritative ship-owned waterlineDisplacement on each linked iceWaterline and an owner-compatible canonical cross-owner path selecting the maximum linked displacement; locate/request that missing canonical path. Constrain hasUpperIceWaterline to the required relationship rather than presence-only. Preserve the valid min formula and expected-value-scaled tolerance, and do not introduce ABS or unsupported functions.</x:v>
      </x:c>
      <x:c r="I8" s="88" t="n">
        <x:v>23983.18</x:v>
      </x:c>
      <x:c r="J8" s="88" t="n">
        <x:v>11902.586</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bb240c7e30645a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RUN-TRF-016-20260829T095510152165Z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EVT-000028</x:v>
      </x:c>
      <x:c r="B5" s="45" t="str">
        <x:v>RUN-TRF-016-20260829T095510152165Z</x:v>
      </x:c>
      <x:c r="C5" s="45" t="str">
        <x:v>TRF-016</x:v>
      </x:c>
      <x:c r="D5" s="92" t="n">
        <x:v>46263.41371988426</x:v>
      </x:c>
      <x:c r="E5" s="45" t="str">
        <x:v>generator</x:v>
      </x:c>
      <x:c r="F5" s="45" t="str">
        <x:v>gpt-5.6-luna-2026-07-09</x:v>
      </x:c>
      <x:c r="G5" s="45" t="n">
        <x:v>1</x:v>
      </x:c>
      <x:c r="H5" s="45" t="n">
        <x:v>200</x:v>
      </x:c>
      <x:c r="I5" s="45" t="str">
        <x:v>Ocp-Apim-Subscription-Key</x:v>
      </x:c>
      <x:c r="J5" s="84" t="n">
        <x:v>0</x:v>
      </x:c>
      <x:c r="K5" s="84" t="n">
        <x:v>35242.97</x:v>
      </x:c>
      <x:c r="L5" s="83" t="b">
        <x:v>0</x:v>
      </x:c>
      <x:c r="M5" s="45" t="str"/>
      <x:c r="N5" s="58" t="str"/>
      <x:c r="O5" s="58" t="str"/>
      <x:c r="P5" s="58" t="str"/>
    </x:row>
    <x:row r="6">
      <x:c r="A6" s="47" t="str">
        <x:v>EVT-000029</x:v>
      </x:c>
      <x:c r="B6" s="47" t="str">
        <x:v>RUN-TRF-016-20260829T095510152165Z</x:v>
      </x:c>
      <x:c r="C6" s="47" t="str">
        <x:v>TRF-016</x:v>
      </x:c>
      <x:c r="D6" s="93" t="n">
        <x:v>46263.41371991898</x:v>
      </x:c>
      <x:c r="E6" s="47" t="str">
        <x:v>generator</x:v>
      </x:c>
      <x:c r="F6" s="47" t="str">
        <x:v>gpt-5.6-luna-2026-07-09</x:v>
      </x:c>
      <x:c r="G6" s="47" t="n">
        <x:v>1</x:v>
      </x:c>
      <x:c r="H6" s="47" t="str">
        <x:v>COMPLETED</x:v>
      </x:c>
      <x:c r="I6" s="47" t="str"/>
      <x:c r="J6" s="86" t="n">
        <x:v>0</x:v>
      </x:c>
      <x:c r="K6" s="86" t="n">
        <x:v>35244.997</x:v>
      </x:c>
      <x:c r="L6" s="85" t="b">
        <x:v>0</x:v>
      </x:c>
      <x:c r="M6" s="47" t="str">
        <x:v>resp_00cb9da1c8818649006a92ac7e494881909fa7354a038412b1</x:v>
      </x:c>
      <x:c r="N6" s="59" t="n">
        <x:v>10609</x:v>
      </x:c>
      <x:c r="O6" s="59" t="n">
        <x:v>4247</x:v>
      </x:c>
      <x:c r="P6" s="59" t="n">
        <x:v>14856</x:v>
      </x:c>
    </x:row>
    <x:row r="7">
      <x:c r="A7" s="47" t="str">
        <x:v>EVT-000034</x:v>
      </x:c>
      <x:c r="B7" s="47" t="str">
        <x:v>RUN-TRF-016-20260829T095510152165Z</x:v>
      </x:c>
      <x:c r="C7" s="47" t="str">
        <x:v>TRF-016</x:v>
      </x:c>
      <x:c r="D7" s="93" t="n">
        <x:v>46263.41386986111</x:v>
      </x:c>
      <x:c r="E7" s="47" t="str">
        <x:v>syntax_repair</x:v>
      </x:c>
      <x:c r="F7" s="47" t="str">
        <x:v>gpt-5.6-luna-2026-07-09</x:v>
      </x:c>
      <x:c r="G7" s="47" t="n">
        <x:v>1</x:v>
      </x:c>
      <x:c r="H7" s="47" t="n">
        <x:v>200</x:v>
      </x:c>
      <x:c r="I7" s="47" t="str">
        <x:v>Ocp-Apim-Subscription-Key</x:v>
      </x:c>
      <x:c r="J7" s="86" t="n">
        <x:v>0</x:v>
      </x:c>
      <x:c r="K7" s="86" t="n">
        <x:v>12943.406</x:v>
      </x:c>
      <x:c r="L7" s="85" t="b">
        <x:v>0</x:v>
      </x:c>
      <x:c r="M7" s="47" t="str"/>
      <x:c r="N7" s="59" t="str"/>
      <x:c r="O7" s="59" t="str"/>
      <x:c r="P7" s="59" t="str"/>
    </x:row>
    <x:row r="8">
      <x:c r="A8" s="47" t="str">
        <x:v>EVT-000035</x:v>
      </x:c>
      <x:c r="B8" s="47" t="str">
        <x:v>RUN-TRF-016-20260829T095510152165Z</x:v>
      </x:c>
      <x:c r="C8" s="47" t="str">
        <x:v>TRF-016</x:v>
      </x:c>
      <x:c r="D8" s="93" t="n">
        <x:v>46263.41386988426</x:v>
      </x:c>
      <x:c r="E8" s="47" t="str">
        <x:v>syntax_repair</x:v>
      </x:c>
      <x:c r="F8" s="47" t="str">
        <x:v>gpt-5.6-luna-2026-07-09</x:v>
      </x:c>
      <x:c r="G8" s="47" t="n">
        <x:v>1</x:v>
      </x:c>
      <x:c r="H8" s="47" t="str">
        <x:v>COMPLETED</x:v>
      </x:c>
      <x:c r="I8" s="47" t="str"/>
      <x:c r="J8" s="86" t="n">
        <x:v>0</x:v>
      </x:c>
      <x:c r="K8" s="86" t="n">
        <x:v>12945.165</x:v>
      </x:c>
      <x:c r="L8" s="85" t="b">
        <x:v>0</x:v>
      </x:c>
      <x:c r="M8" s="47" t="str">
        <x:v>resp_0b4782ff69d20907006a92aca189308197932f8230ad16915f</x:v>
      </x:c>
      <x:c r="N8" s="59" t="n">
        <x:v>2795</x:v>
      </x:c>
      <x:c r="O8" s="59" t="n">
        <x:v>2348</x:v>
      </x:c>
      <x:c r="P8" s="59" t="n">
        <x:v>5143</x:v>
      </x:c>
    </x:row>
    <x:row r="9">
      <x:c r="A9" s="47" t="str">
        <x:v>EVT-000041</x:v>
      </x:c>
      <x:c r="B9" s="47" t="str">
        <x:v>RUN-TRF-016-20260829T095510152165Z</x:v>
      </x:c>
      <x:c r="C9" s="47" t="str">
        <x:v>TRF-016</x:v>
      </x:c>
      <x:c r="D9" s="93" t="n">
        <x:v>46263.41415074074</x:v>
      </x:c>
      <x:c r="E9" s="47" t="str">
        <x:v>syntax_repair</x:v>
      </x:c>
      <x:c r="F9" s="47" t="str">
        <x:v>gpt-5.6-luna-2026-07-09</x:v>
      </x:c>
      <x:c r="G9" s="47" t="n">
        <x:v>1</x:v>
      </x:c>
      <x:c r="H9" s="47" t="n">
        <x:v>200</x:v>
      </x:c>
      <x:c r="I9" s="47" t="str">
        <x:v>Ocp-Apim-Subscription-Key</x:v>
      </x:c>
      <x:c r="J9" s="86" t="n">
        <x:v>0</x:v>
      </x:c>
      <x:c r="K9" s="86" t="n">
        <x:v>24254.863</x:v>
      </x:c>
      <x:c r="L9" s="85" t="b">
        <x:v>0</x:v>
      </x:c>
      <x:c r="M9" s="47" t="str"/>
      <x:c r="N9" s="59" t="str"/>
      <x:c r="O9" s="59" t="str"/>
      <x:c r="P9" s="59" t="str"/>
    </x:row>
    <x:row r="10">
      <x:c r="A10" s="47" t="str">
        <x:v>EVT-000042</x:v>
      </x:c>
      <x:c r="B10" s="47" t="str">
        <x:v>RUN-TRF-016-20260829T095510152165Z</x:v>
      </x:c>
      <x:c r="C10" s="47" t="str">
        <x:v>TRF-016</x:v>
      </x:c>
      <x:c r="D10" s="93" t="n">
        <x:v>46263.41415076389</x:v>
      </x:c>
      <x:c r="E10" s="47" t="str">
        <x:v>syntax_repair</x:v>
      </x:c>
      <x:c r="F10" s="47" t="str">
        <x:v>gpt-5.6-luna-2026-07-09</x:v>
      </x:c>
      <x:c r="G10" s="47" t="n">
        <x:v>1</x:v>
      </x:c>
      <x:c r="H10" s="47" t="str">
        <x:v>COMPLETED</x:v>
      </x:c>
      <x:c r="I10" s="47" t="str"/>
      <x:c r="J10" s="86" t="n">
        <x:v>0</x:v>
      </x:c>
      <x:c r="K10" s="86" t="n">
        <x:v>24256.623</x:v>
      </x:c>
      <x:c r="L10" s="85" t="b">
        <x:v>0</x:v>
      </x:c>
      <x:c r="M10" s="47" t="str">
        <x:v>resp_0f6871686000b109006a92acae80308195be7ae56d3c9a7c8d</x:v>
      </x:c>
      <x:c r="N10" s="59" t="n">
        <x:v>2793</x:v>
      </x:c>
      <x:c r="O10" s="59" t="n">
        <x:v>3227</x:v>
      </x:c>
      <x:c r="P10" s="59" t="n">
        <x:v>6020</x:v>
      </x:c>
    </x:row>
    <x:row r="11">
      <x:c r="A11" s="47" t="str">
        <x:v>EVT-000048</x:v>
      </x:c>
      <x:c r="B11" s="47" t="str">
        <x:v>RUN-TRF-016-20260829T095510152165Z</x:v>
      </x:c>
      <x:c r="C11" s="47" t="str">
        <x:v>TRF-016</x:v>
      </x:c>
      <x:c r="D11" s="93" t="n">
        <x:v>46263.41459402778</x:v>
      </x:c>
      <x:c r="E11" s="47" t="str">
        <x:v>syntax_repair</x:v>
      </x:c>
      <x:c r="F11" s="47" t="str">
        <x:v>gpt-5.6-luna-2026-07-09</x:v>
      </x:c>
      <x:c r="G11" s="47" t="n">
        <x:v>1</x:v>
      </x:c>
      <x:c r="H11" s="47" t="n">
        <x:v>200</x:v>
      </x:c>
      <x:c r="I11" s="47" t="str">
        <x:v>Ocp-Apim-Subscription-Key</x:v>
      </x:c>
      <x:c r="J11" s="86" t="n">
        <x:v>0</x:v>
      </x:c>
      <x:c r="K11" s="86" t="n">
        <x:v>38287.938</x:v>
      </x:c>
      <x:c r="L11" s="85" t="b">
        <x:v>0</x:v>
      </x:c>
      <x:c r="M11" s="47" t="str"/>
      <x:c r="N11" s="59" t="str"/>
      <x:c r="O11" s="59" t="str"/>
      <x:c r="P11" s="59" t="str"/>
    </x:row>
    <x:row r="12">
      <x:c r="A12" s="47" t="str">
        <x:v>EVT-000049</x:v>
      </x:c>
      <x:c r="B12" s="47" t="str">
        <x:v>RUN-TRF-016-20260829T095510152165Z</x:v>
      </x:c>
      <x:c r="C12" s="47" t="str">
        <x:v>TRF-016</x:v>
      </x:c>
      <x:c r="D12" s="93" t="n">
        <x:v>46263.41459403935</x:v>
      </x:c>
      <x:c r="E12" s="47" t="str">
        <x:v>syntax_repair</x:v>
      </x:c>
      <x:c r="F12" s="47" t="str">
        <x:v>gpt-5.6-luna-2026-07-09</x:v>
      </x:c>
      <x:c r="G12" s="47" t="n">
        <x:v>1</x:v>
      </x:c>
      <x:c r="H12" s="47" t="str">
        <x:v>COMPLETED</x:v>
      </x:c>
      <x:c r="I12" s="47" t="str"/>
      <x:c r="J12" s="86" t="n">
        <x:v>0</x:v>
      </x:c>
      <x:c r="K12" s="86" t="n">
        <x:v>38289.657</x:v>
      </x:c>
      <x:c r="L12" s="85" t="b">
        <x:v>0</x:v>
      </x:c>
      <x:c r="M12" s="47" t="str">
        <x:v>resp_0448b8d3c9eaade3006a92acc6c5148195a28d1f97220b9bd3</x:v>
      </x:c>
      <x:c r="N12" s="59" t="n">
        <x:v>2793</x:v>
      </x:c>
      <x:c r="O12" s="59" t="n">
        <x:v>4603</x:v>
      </x:c>
      <x:c r="P12" s="59" t="n">
        <x:v>7396</x:v>
      </x:c>
    </x:row>
    <x:row r="13">
      <x:c r="A13" s="47" t="str">
        <x:v>EVT-000057</x:v>
      </x:c>
      <x:c r="B13" s="47" t="str">
        <x:v>RUN-TRF-016-20260829T095510152165Z</x:v>
      </x:c>
      <x:c r="C13" s="47" t="str">
        <x:v>TRF-016</x:v>
      </x:c>
      <x:c r="D13" s="93" t="n">
        <x:v>46263.414861400466</x:v>
      </x:c>
      <x:c r="E13" s="47" t="str">
        <x:v>validator</x:v>
      </x:c>
      <x:c r="F13" s="47" t="str">
        <x:v>gpt-5.6-luna-2026-07-09</x:v>
      </x:c>
      <x:c r="G13" s="47" t="n">
        <x:v>1</x:v>
      </x:c>
      <x:c r="H13" s="47" t="n">
        <x:v>200</x:v>
      </x:c>
      <x:c r="I13" s="47" t="str">
        <x:v>Ocp-Apim-Subscription-Key</x:v>
      </x:c>
      <x:c r="J13" s="86" t="n">
        <x:v>0</x:v>
      </x:c>
      <x:c r="K13" s="86" t="n">
        <x:v>22771.53</x:v>
      </x:c>
      <x:c r="L13" s="85" t="b">
        <x:v>0</x:v>
      </x:c>
      <x:c r="M13" s="47" t="str"/>
      <x:c r="N13" s="59" t="str"/>
      <x:c r="O13" s="59" t="str"/>
      <x:c r="P13" s="59" t="str"/>
    </x:row>
    <x:row r="14">
      <x:c r="A14" s="47" t="str">
        <x:v>EVT-000058</x:v>
      </x:c>
      <x:c r="B14" s="47" t="str">
        <x:v>RUN-TRF-016-20260829T095510152165Z</x:v>
      </x:c>
      <x:c r="C14" s="47" t="str">
        <x:v>TRF-016</x:v>
      </x:c>
      <x:c r="D14" s="93" t="n">
        <x:v>46263.41486142361</x:v>
      </x:c>
      <x:c r="E14" s="47" t="str">
        <x:v>validator</x:v>
      </x:c>
      <x:c r="F14" s="47" t="str">
        <x:v>gpt-5.6-luna-2026-07-09</x:v>
      </x:c>
      <x:c r="G14" s="47" t="n">
        <x:v>1</x:v>
      </x:c>
      <x:c r="H14" s="47" t="str">
        <x:v>COMPLETED</x:v>
      </x:c>
      <x:c r="I14" s="47" t="str"/>
      <x:c r="J14" s="86" t="n">
        <x:v>0</x:v>
      </x:c>
      <x:c r="K14" s="86" t="n">
        <x:v>22773.39</x:v>
      </x:c>
      <x:c r="L14" s="85" t="b">
        <x:v>0</x:v>
      </x:c>
      <x:c r="M14" s="47" t="str">
        <x:v>resp_05fe6e3a578ac01a006a92aced5f648190a38b7211e8506ca7</x:v>
      </x:c>
      <x:c r="N14" s="59" t="n">
        <x:v>12830</x:v>
      </x:c>
      <x:c r="O14" s="59" t="n">
        <x:v>1959</x:v>
      </x:c>
      <x:c r="P14" s="59" t="n">
        <x:v>14789</x:v>
      </x:c>
    </x:row>
    <x:row r="15">
      <x:c r="A15" s="47" t="str">
        <x:v>EVT-000063</x:v>
      </x:c>
      <x:c r="B15" s="47" t="str">
        <x:v>RUN-TRF-016-20260829T095510152165Z</x:v>
      </x:c>
      <x:c r="C15" s="47" t="str">
        <x:v>TRF-016</x:v>
      </x:c>
      <x:c r="D15" s="93" t="n">
        <x:v>46263.415260092595</x:v>
      </x:c>
      <x:c r="E15" s="47" t="str">
        <x:v>generator</x:v>
      </x:c>
      <x:c r="F15" s="47" t="str">
        <x:v>gpt-5.6-luna-2026-07-09</x:v>
      </x:c>
      <x:c r="G15" s="47" t="n">
        <x:v>1</x:v>
      </x:c>
      <x:c r="H15" s="47" t="n">
        <x:v>200</x:v>
      </x:c>
      <x:c r="I15" s="47" t="str">
        <x:v>Ocp-Apim-Subscription-Key</x:v>
      </x:c>
      <x:c r="J15" s="86" t="n">
        <x:v>0</x:v>
      </x:c>
      <x:c r="K15" s="86" t="n">
        <x:v>34439.19</x:v>
      </x:c>
      <x:c r="L15" s="85" t="b">
        <x:v>0</x:v>
      </x:c>
      <x:c r="M15" s="47" t="str"/>
      <x:c r="N15" s="59" t="str"/>
      <x:c r="O15" s="59" t="str"/>
      <x:c r="P15" s="59" t="str"/>
    </x:row>
    <x:row r="16">
      <x:c r="A16" s="47" t="str">
        <x:v>EVT-000064</x:v>
      </x:c>
      <x:c r="B16" s="47" t="str">
        <x:v>RUN-TRF-016-20260829T095510152165Z</x:v>
      </x:c>
      <x:c r="C16" s="47" t="str">
        <x:v>TRF-016</x:v>
      </x:c>
      <x:c r="D16" s="93" t="n">
        <x:v>46263.41526011574</x:v>
      </x:c>
      <x:c r="E16" s="47" t="str">
        <x:v>generator</x:v>
      </x:c>
      <x:c r="F16" s="47" t="str">
        <x:v>gpt-5.6-luna-2026-07-09</x:v>
      </x:c>
      <x:c r="G16" s="47" t="n">
        <x:v>1</x:v>
      </x:c>
      <x:c r="H16" s="47" t="str">
        <x:v>COMPLETED</x:v>
      </x:c>
      <x:c r="I16" s="47" t="str"/>
      <x:c r="J16" s="86" t="n">
        <x:v>0</x:v>
      </x:c>
      <x:c r="K16" s="86" t="n">
        <x:v>34441.098</x:v>
      </x:c>
      <x:c r="L16" s="85" t="b">
        <x:v>0</x:v>
      </x:c>
      <x:c r="M16" s="47" t="str">
        <x:v>resp_07b93311d212f6a7006a92ad042b60819682c099e43344f8b9</x:v>
      </x:c>
      <x:c r="N16" s="59" t="n">
        <x:v>10709</x:v>
      </x:c>
      <x:c r="O16" s="59" t="n">
        <x:v>3873</x:v>
      </x:c>
      <x:c r="P16" s="59" t="n">
        <x:v>14582</x:v>
      </x:c>
    </x:row>
    <x:row r="17">
      <x:c r="A17" s="47" t="str">
        <x:v>EVT-000069</x:v>
      </x:c>
      <x:c r="B17" s="47" t="str">
        <x:v>RUN-TRF-016-20260829T095510152165Z</x:v>
      </x:c>
      <x:c r="C17" s="47" t="str">
        <x:v>TRF-016</x:v>
      </x:c>
      <x:c r="D17" s="93" t="n">
        <x:v>46263.41546037037</x:v>
      </x:c>
      <x:c r="E17" s="47" t="str">
        <x:v>syntax_repair</x:v>
      </x:c>
      <x:c r="F17" s="47" t="str">
        <x:v>gpt-5.6-luna-2026-07-09</x:v>
      </x:c>
      <x:c r="G17" s="47" t="n">
        <x:v>1</x:v>
      </x:c>
      <x:c r="H17" s="47" t="n">
        <x:v>200</x:v>
      </x:c>
      <x:c r="I17" s="47" t="str">
        <x:v>Ocp-Apim-Subscription-Key</x:v>
      </x:c>
      <x:c r="J17" s="86" t="n">
        <x:v>0</x:v>
      </x:c>
      <x:c r="K17" s="86" t="n">
        <x:v>17292.787</x:v>
      </x:c>
      <x:c r="L17" s="85" t="b">
        <x:v>0</x:v>
      </x:c>
      <x:c r="M17" s="47" t="str"/>
      <x:c r="N17" s="59" t="str"/>
      <x:c r="O17" s="59" t="str"/>
      <x:c r="P17" s="59" t="str"/>
    </x:row>
    <x:row r="18">
      <x:c r="A18" s="47" t="str">
        <x:v>EVT-000070</x:v>
      </x:c>
      <x:c r="B18" s="47" t="str">
        <x:v>RUN-TRF-016-20260829T095510152165Z</x:v>
      </x:c>
      <x:c r="C18" s="47" t="str">
        <x:v>TRF-016</x:v>
      </x:c>
      <x:c r="D18" s="93" t="n">
        <x:v>46263.41546039352</x:v>
      </x:c>
      <x:c r="E18" s="47" t="str">
        <x:v>syntax_repair</x:v>
      </x:c>
      <x:c r="F18" s="47" t="str">
        <x:v>gpt-5.6-luna-2026-07-09</x:v>
      </x:c>
      <x:c r="G18" s="47" t="n">
        <x:v>1</x:v>
      </x:c>
      <x:c r="H18" s="47" t="str">
        <x:v>COMPLETED</x:v>
      </x:c>
      <x:c r="I18" s="47" t="str"/>
      <x:c r="J18" s="86" t="n">
        <x:v>0</x:v>
      </x:c>
      <x:c r="K18" s="86" t="n">
        <x:v>17294.423</x:v>
      </x:c>
      <x:c r="L18" s="85" t="b">
        <x:v>0</x:v>
      </x:c>
      <x:c r="M18" s="47" t="str">
        <x:v>resp_016f82bffdecc9f1006a92ad2699988197858178fdc3c7b143</x:v>
      </x:c>
      <x:c r="N18" s="59" t="n">
        <x:v>2505</x:v>
      </x:c>
      <x:c r="O18" s="59" t="n">
        <x:v>2437</x:v>
      </x:c>
      <x:c r="P18" s="59" t="n">
        <x:v>4942</x:v>
      </x:c>
    </x:row>
    <x:row r="19">
      <x:c r="A19" s="47" t="str">
        <x:v>EVT-000078</x:v>
      </x:c>
      <x:c r="B19" s="47" t="str">
        <x:v>RUN-TRF-016-20260829T095510152165Z</x:v>
      </x:c>
      <x:c r="C19" s="47" t="str">
        <x:v>TRF-016</x:v>
      </x:c>
      <x:c r="D19" s="93" t="n">
        <x:v>46263.415717048614</x:v>
      </x:c>
      <x:c r="E19" s="47" t="str">
        <x:v>validator</x:v>
      </x:c>
      <x:c r="F19" s="47" t="str">
        <x:v>gpt-5.6-luna-2026-07-09</x:v>
      </x:c>
      <x:c r="G19" s="47" t="n">
        <x:v>1</x:v>
      </x:c>
      <x:c r="H19" s="47" t="n">
        <x:v>200</x:v>
      </x:c>
      <x:c r="I19" s="47" t="str">
        <x:v>Ocp-Apim-Subscription-Key</x:v>
      </x:c>
      <x:c r="J19" s="86" t="n">
        <x:v>0</x:v>
      </x:c>
      <x:c r="K19" s="86" t="n">
        <x:v>21902.572</x:v>
      </x:c>
      <x:c r="L19" s="85" t="b">
        <x:v>0</x:v>
      </x:c>
      <x:c r="M19" s="47" t="str"/>
      <x:c r="N19" s="59" t="str"/>
      <x:c r="O19" s="59" t="str"/>
      <x:c r="P19" s="59" t="str"/>
    </x:row>
    <x:row r="20">
      <x:c r="A20" s="47" t="str">
        <x:v>EVT-000079</x:v>
      </x:c>
      <x:c r="B20" s="47" t="str">
        <x:v>RUN-TRF-016-20260829T095510152165Z</x:v>
      </x:c>
      <x:c r="C20" s="47" t="str">
        <x:v>TRF-016</x:v>
      </x:c>
      <x:c r="D20" s="93" t="n">
        <x:v>46263.41571707176</x:v>
      </x:c>
      <x:c r="E20" s="47" t="str">
        <x:v>validator</x:v>
      </x:c>
      <x:c r="F20" s="47" t="str">
        <x:v>gpt-5.6-luna-2026-07-09</x:v>
      </x:c>
      <x:c r="G20" s="47" t="n">
        <x:v>1</x:v>
      </x:c>
      <x:c r="H20" s="47" t="str">
        <x:v>COMPLETED</x:v>
      </x:c>
      <x:c r="I20" s="47" t="str"/>
      <x:c r="J20" s="86" t="n">
        <x:v>0</x:v>
      </x:c>
      <x:c r="K20" s="86" t="n">
        <x:v>21904.323</x:v>
      </x:c>
      <x:c r="L20" s="85" t="b">
        <x:v>0</x:v>
      </x:c>
      <x:c r="M20" s="47" t="str">
        <x:v>resp_0ba9480374a24f41006a92ad3845508197bbd425f180a28b7f</x:v>
      </x:c>
      <x:c r="N20" s="59" t="n">
        <x:v>12295</x:v>
      </x:c>
      <x:c r="O20" s="59" t="n">
        <x:v>1774</x:v>
      </x:c>
      <x:c r="P20" s="59" t="n">
        <x:v>14069</x:v>
      </x:c>
    </x:row>
    <x:row r="21">
      <x:c r="A21" s="47" t="str">
        <x:v>EVT-000086</x:v>
      </x:c>
      <x:c r="B21" s="47" t="str">
        <x:v>RUN-TRF-016-20260829T095510152165Z</x:v>
      </x:c>
      <x:c r="C21" s="47" t="str">
        <x:v>TRF-016</x:v>
      </x:c>
      <x:c r="D21" s="93" t="n">
        <x:v>46263.41579067129</x:v>
      </x:c>
      <x:c r="E21" s="47" t="str">
        <x:v>vocabulary_matcher</x:v>
      </x:c>
      <x:c r="F21" s="47" t="str">
        <x:v>gpt-5.6-luna-2026-07-09</x:v>
      </x:c>
      <x:c r="G21" s="47" t="n">
        <x:v>1</x:v>
      </x:c>
      <x:c r="H21" s="47" t="n">
        <x:v>200</x:v>
      </x:c>
      <x:c r="I21" s="47" t="str">
        <x:v>Ocp-Apim-Subscription-Key</x:v>
      </x:c>
      <x:c r="J21" s="86" t="n">
        <x:v>0</x:v>
      </x:c>
      <x:c r="K21" s="86" t="n">
        <x:v>4728.981</x:v>
      </x:c>
      <x:c r="L21" s="85" t="b">
        <x:v>0</x:v>
      </x:c>
      <x:c r="M21" s="47" t="str"/>
      <x:c r="N21" s="59" t="str"/>
      <x:c r="O21" s="59" t="str"/>
      <x:c r="P21" s="59" t="str"/>
    </x:row>
    <x:row r="22">
      <x:c r="A22" s="47" t="str">
        <x:v>EVT-000087</x:v>
      </x:c>
      <x:c r="B22" s="47" t="str">
        <x:v>RUN-TRF-016-20260829T095510152165Z</x:v>
      </x:c>
      <x:c r="C22" s="47" t="str">
        <x:v>TRF-016</x:v>
      </x:c>
      <x:c r="D22" s="93" t="n">
        <x:v>46263.41579068287</x:v>
      </x:c>
      <x:c r="E22" s="47" t="str">
        <x:v>vocabulary_matcher</x:v>
      </x:c>
      <x:c r="F22" s="47" t="str">
        <x:v>gpt-5.6-luna-2026-07-09</x:v>
      </x:c>
      <x:c r="G22" s="47" t="n">
        <x:v>1</x:v>
      </x:c>
      <x:c r="H22" s="47" t="str">
        <x:v>COMPLETED</x:v>
      </x:c>
      <x:c r="I22" s="47" t="str"/>
      <x:c r="J22" s="86" t="n">
        <x:v>0</x:v>
      </x:c>
      <x:c r="K22" s="86" t="n">
        <x:v>4730.695</x:v>
      </x:c>
      <x:c r="L22" s="85" t="b">
        <x:v>0</x:v>
      </x:c>
      <x:c r="M22" s="47" t="str">
        <x:v>resp_048899ba7db60dae006a92ad4fda688193abb068f51dfe7fa9</x:v>
      </x:c>
      <x:c r="N22" s="59" t="n">
        <x:v>4168</x:v>
      </x:c>
      <x:c r="O22" s="59" t="n">
        <x:v>362</x:v>
      </x:c>
      <x:c r="P22" s="59" t="n">
        <x:v>4530</x:v>
      </x:c>
    </x:row>
    <x:row r="23">
      <x:c r="A23" s="47" t="str">
        <x:v>EVT-000114</x:v>
      </x:c>
      <x:c r="B23" s="47" t="str">
        <x:v>RUN-TRF-016-20260829T095510152165Z</x:v>
      </x:c>
      <x:c r="C23" s="47" t="str">
        <x:v>TRF-016</x:v>
      </x:c>
      <x:c r="D23" s="93" t="n">
        <x:v>46263.41621534722</x:v>
      </x:c>
      <x:c r="E23" s="47" t="str">
        <x:v>generator</x:v>
      </x:c>
      <x:c r="F23" s="47" t="str">
        <x:v>gpt-5.6-luna-2026-07-09</x:v>
      </x:c>
      <x:c r="G23" s="47" t="n">
        <x:v>1</x:v>
      </x:c>
      <x:c r="H23" s="47" t="n">
        <x:v>200</x:v>
      </x:c>
      <x:c r="I23" s="47" t="str">
        <x:v>Ocp-Apim-Subscription-Key</x:v>
      </x:c>
      <x:c r="J23" s="86" t="n">
        <x:v>0</x:v>
      </x:c>
      <x:c r="K23" s="86" t="n">
        <x:v>36680.55</x:v>
      </x:c>
      <x:c r="L23" s="85" t="b">
        <x:v>0</x:v>
      </x:c>
      <x:c r="M23" s="47" t="str"/>
      <x:c r="N23" s="59" t="str"/>
      <x:c r="O23" s="59" t="str"/>
      <x:c r="P23" s="59" t="str"/>
    </x:row>
    <x:row r="24">
      <x:c r="A24" s="47" t="str">
        <x:v>EVT-000115</x:v>
      </x:c>
      <x:c r="B24" s="47" t="str">
        <x:v>RUN-TRF-016-20260829T095510152165Z</x:v>
      </x:c>
      <x:c r="C24" s="47" t="str">
        <x:v>TRF-016</x:v>
      </x:c>
      <x:c r="D24" s="93" t="n">
        <x:v>46263.4162153588</x:v>
      </x:c>
      <x:c r="E24" s="47" t="str">
        <x:v>generator</x:v>
      </x:c>
      <x:c r="F24" s="47" t="str">
        <x:v>gpt-5.6-luna-2026-07-09</x:v>
      </x:c>
      <x:c r="G24" s="47" t="n">
        <x:v>1</x:v>
      </x:c>
      <x:c r="H24" s="47" t="str">
        <x:v>COMPLETED</x:v>
      </x:c>
      <x:c r="I24" s="47" t="str"/>
      <x:c r="J24" s="86" t="n">
        <x:v>0</x:v>
      </x:c>
      <x:c r="K24" s="86" t="n">
        <x:v>36682.245</x:v>
      </x:c>
      <x:c r="L24" s="85" t="b">
        <x:v>0</x:v>
      </x:c>
      <x:c r="M24" s="47" t="str">
        <x:v>resp_0795488afed4f817006a92ad54737481968aab4986feb60241</x:v>
      </x:c>
      <x:c r="N24" s="59" t="n">
        <x:v>10998</x:v>
      </x:c>
      <x:c r="O24" s="59" t="n">
        <x:v>4036</x:v>
      </x:c>
      <x:c r="P24" s="59" t="n">
        <x:v>15034</x:v>
      </x:c>
    </x:row>
    <x:row r="25">
      <x:c r="A25" s="47" t="str">
        <x:v>EVT-000120</x:v>
      </x:c>
      <x:c r="B25" s="47" t="str">
        <x:v>RUN-TRF-016-20260829T095510152165Z</x:v>
      </x:c>
      <x:c r="C25" s="47" t="str">
        <x:v>TRF-016</x:v>
      </x:c>
      <x:c r="D25" s="93" t="n">
        <x:v>46263.41641931713</x:v>
      </x:c>
      <x:c r="E25" s="47" t="str">
        <x:v>syntax_repair</x:v>
      </x:c>
      <x:c r="F25" s="47" t="str">
        <x:v>gpt-5.6-luna-2026-07-09</x:v>
      </x:c>
      <x:c r="G25" s="47" t="n">
        <x:v>1</x:v>
      </x:c>
      <x:c r="H25" s="47" t="n">
        <x:v>200</x:v>
      </x:c>
      <x:c r="I25" s="47" t="str">
        <x:v>Ocp-Apim-Subscription-Key</x:v>
      </x:c>
      <x:c r="J25" s="86" t="n">
        <x:v>0</x:v>
      </x:c>
      <x:c r="K25" s="86" t="n">
        <x:v>17611.966</x:v>
      </x:c>
      <x:c r="L25" s="85" t="b">
        <x:v>0</x:v>
      </x:c>
      <x:c r="M25" s="47" t="str"/>
      <x:c r="N25" s="59" t="str"/>
      <x:c r="O25" s="59" t="str"/>
      <x:c r="P25" s="59" t="str"/>
    </x:row>
    <x:row r="26">
      <x:c r="A26" s="47" t="str">
        <x:v>EVT-000121</x:v>
      </x:c>
      <x:c r="B26" s="47" t="str">
        <x:v>RUN-TRF-016-20260829T095510152165Z</x:v>
      </x:c>
      <x:c r="C26" s="47" t="str">
        <x:v>TRF-016</x:v>
      </x:c>
      <x:c r="D26" s="93" t="n">
        <x:v>46263.416419340276</x:v>
      </x:c>
      <x:c r="E26" s="47" t="str">
        <x:v>syntax_repair</x:v>
      </x:c>
      <x:c r="F26" s="47" t="str">
        <x:v>gpt-5.6-luna-2026-07-09</x:v>
      </x:c>
      <x:c r="G26" s="47" t="n">
        <x:v>1</x:v>
      </x:c>
      <x:c r="H26" s="47" t="str">
        <x:v>COMPLETED</x:v>
      </x:c>
      <x:c r="I26" s="47" t="str"/>
      <x:c r="J26" s="86" t="n">
        <x:v>0</x:v>
      </x:c>
      <x:c r="K26" s="86" t="n">
        <x:v>17613.724</x:v>
      </x:c>
      <x:c r="L26" s="85" t="b">
        <x:v>0</x:v>
      </x:c>
      <x:c r="M26" s="47" t="str">
        <x:v>resp_055cded189097902006a92ad7921c08197856129edcbc73b6b</x:v>
      </x:c>
      <x:c r="N26" s="59" t="n">
        <x:v>2457</x:v>
      </x:c>
      <x:c r="O26" s="59" t="n">
        <x:v>2503</x:v>
      </x:c>
      <x:c r="P26" s="59" t="n">
        <x:v>4960</x:v>
      </x:c>
    </x:row>
    <x:row r="27">
      <x:c r="A27" s="47" t="str">
        <x:v>EVT-000129</x:v>
      </x:c>
      <x:c r="B27" s="47" t="str">
        <x:v>RUN-TRF-016-20260829T095510152165Z</x:v>
      </x:c>
      <x:c r="C27" s="47" t="str">
        <x:v>TRF-016</x:v>
      </x:c>
      <x:c r="D27" s="93" t="n">
        <x:v>46263.41658493056</x:v>
      </x:c>
      <x:c r="E27" s="47" t="str">
        <x:v>validator</x:v>
      </x:c>
      <x:c r="F27" s="47" t="str">
        <x:v>gpt-5.6-luna-2026-07-09</x:v>
      </x:c>
      <x:c r="G27" s="47" t="n">
        <x:v>1</x:v>
      </x:c>
      <x:c r="H27" s="47" t="n">
        <x:v>200</x:v>
      </x:c>
      <x:c r="I27" s="47" t="str">
        <x:v>Ocp-Apim-Subscription-Key</x:v>
      </x:c>
      <x:c r="J27" s="86" t="n">
        <x:v>0</x:v>
      </x:c>
      <x:c r="K27" s="86" t="n">
        <x:v>14076.337</x:v>
      </x:c>
      <x:c r="L27" s="85" t="b">
        <x:v>0</x:v>
      </x:c>
      <x:c r="M27" s="47" t="str"/>
      <x:c r="N27" s="59" t="str"/>
      <x:c r="O27" s="59" t="str"/>
      <x:c r="P27" s="59" t="str"/>
    </x:row>
    <x:row r="28">
      <x:c r="A28" s="47" t="str">
        <x:v>EVT-000130</x:v>
      </x:c>
      <x:c r="B28" s="47" t="str">
        <x:v>RUN-TRF-016-20260829T095510152165Z</x:v>
      </x:c>
      <x:c r="C28" s="47" t="str">
        <x:v>TRF-016</x:v>
      </x:c>
      <x:c r="D28" s="93" t="n">
        <x:v>46263.4165849537</x:v>
      </x:c>
      <x:c r="E28" s="47" t="str">
        <x:v>validator</x:v>
      </x:c>
      <x:c r="F28" s="47" t="str">
        <x:v>gpt-5.6-luna-2026-07-09</x:v>
      </x:c>
      <x:c r="G28" s="47" t="n">
        <x:v>1</x:v>
      </x:c>
      <x:c r="H28" s="47" t="str">
        <x:v>COMPLETED</x:v>
      </x:c>
      <x:c r="I28" s="47" t="str"/>
      <x:c r="J28" s="86" t="n">
        <x:v>0</x:v>
      </x:c>
      <x:c r="K28" s="86" t="n">
        <x:v>14078.074</x:v>
      </x:c>
      <x:c r="L28" s="85" t="b">
        <x:v>0</x:v>
      </x:c>
      <x:c r="M28" s="47" t="str">
        <x:v>resp_026627d2afda39d6006a92ad8afc908194a4b1fec04fb03e6f</x:v>
      </x:c>
      <x:c r="N28" s="59" t="n">
        <x:v>12659</x:v>
      </x:c>
      <x:c r="O28" s="59" t="n">
        <x:v>1164</x:v>
      </x:c>
      <x:c r="P28" s="59" t="n">
        <x:v>13823</x:v>
      </x:c>
    </x:row>
    <x:row r="29">
      <x:c r="A29" s="47" t="str">
        <x:v>EVT-000137</x:v>
      </x:c>
      <x:c r="B29" s="47" t="str">
        <x:v>RUN-TRF-016-20260829T095510152165Z</x:v>
      </x:c>
      <x:c r="C29" s="47" t="str">
        <x:v>TRF-016</x:v>
      </x:c>
      <x:c r="D29" s="93" t="n">
        <x:v>46263.41665032408</x:v>
      </x:c>
      <x:c r="E29" s="47" t="str">
        <x:v>vocabulary_matcher</x:v>
      </x:c>
      <x:c r="F29" s="47" t="str">
        <x:v>gpt-5.6-luna-2026-07-09</x:v>
      </x:c>
      <x:c r="G29" s="47" t="n">
        <x:v>1</x:v>
      </x:c>
      <x:c r="H29" s="47" t="n">
        <x:v>200</x:v>
      </x:c>
      <x:c r="I29" s="47" t="str">
        <x:v>Ocp-Apim-Subscription-Key</x:v>
      </x:c>
      <x:c r="J29" s="86" t="n">
        <x:v>0</x:v>
      </x:c>
      <x:c r="K29" s="86" t="n">
        <x:v>3940.735</x:v>
      </x:c>
      <x:c r="L29" s="85" t="b">
        <x:v>0</x:v>
      </x:c>
      <x:c r="M29" s="47" t="str"/>
      <x:c r="N29" s="59" t="str"/>
      <x:c r="O29" s="59" t="str"/>
      <x:c r="P29" s="59" t="str"/>
    </x:row>
    <x:row r="30">
      <x:c r="A30" s="47" t="str">
        <x:v>EVT-000138</x:v>
      </x:c>
      <x:c r="B30" s="47" t="str">
        <x:v>RUN-TRF-016-20260829T095510152165Z</x:v>
      </x:c>
      <x:c r="C30" s="47" t="str">
        <x:v>TRF-016</x:v>
      </x:c>
      <x:c r="D30" s="93" t="n">
        <x:v>46263.41665034722</x:v>
      </x:c>
      <x:c r="E30" s="47" t="str">
        <x:v>vocabulary_matcher</x:v>
      </x:c>
      <x:c r="F30" s="47" t="str">
        <x:v>gpt-5.6-luna-2026-07-09</x:v>
      </x:c>
      <x:c r="G30" s="47" t="n">
        <x:v>1</x:v>
      </x:c>
      <x:c r="H30" s="47" t="str">
        <x:v>COMPLETED</x:v>
      </x:c>
      <x:c r="I30" s="47" t="str"/>
      <x:c r="J30" s="86" t="n">
        <x:v>0</x:v>
      </x:c>
      <x:c r="K30" s="86" t="n">
        <x:v>3942.701</x:v>
      </x:c>
      <x:c r="L30" s="85" t="b">
        <x:v>0</x:v>
      </x:c>
      <x:c r="M30" s="47" t="str">
        <x:v>resp_0f23bf45602075d9006a92ad9af2f081948150304ca88afd99</x:v>
      </x:c>
      <x:c r="N30" s="59" t="n">
        <x:v>2508</x:v>
      </x:c>
      <x:c r="O30" s="59" t="n">
        <x:v>290</x:v>
      </x:c>
      <x:c r="P30" s="59" t="n">
        <x:v>2798</x:v>
      </x:c>
    </x:row>
    <x:row r="31">
      <x:c r="A31" s="47" t="str">
        <x:v>EVT-000165</x:v>
      </x:c>
      <x:c r="B31" s="47" t="str">
        <x:v>RUN-TRF-016-20260829T095510152165Z</x:v>
      </x:c>
      <x:c r="C31" s="47" t="str">
        <x:v>TRF-016</x:v>
      </x:c>
      <x:c r="D31" s="93" t="n">
        <x:v>46263.41692804398</x:v>
      </x:c>
      <x:c r="E31" s="47" t="str">
        <x:v>generator</x:v>
      </x:c>
      <x:c r="F31" s="47" t="str">
        <x:v>gpt-5.6-luna-2026-07-09</x:v>
      </x:c>
      <x:c r="G31" s="47" t="n">
        <x:v>1</x:v>
      </x:c>
      <x:c r="H31" s="47" t="n">
        <x:v>200</x:v>
      </x:c>
      <x:c r="I31" s="47" t="str">
        <x:v>Ocp-Apim-Subscription-Key</x:v>
      </x:c>
      <x:c r="J31" s="86" t="n">
        <x:v>0</x:v>
      </x:c>
      <x:c r="K31" s="86" t="n">
        <x:v>23981.679</x:v>
      </x:c>
      <x:c r="L31" s="85" t="b">
        <x:v>0</x:v>
      </x:c>
      <x:c r="M31" s="47" t="str"/>
      <x:c r="N31" s="59" t="str"/>
      <x:c r="O31" s="59" t="str"/>
      <x:c r="P31" s="59" t="str"/>
    </x:row>
    <x:row r="32">
      <x:c r="A32" s="47" t="str">
        <x:v>EVT-000166</x:v>
      </x:c>
      <x:c r="B32" s="47" t="str">
        <x:v>RUN-TRF-016-20260829T095510152165Z</x:v>
      </x:c>
      <x:c r="C32" s="47" t="str">
        <x:v>TRF-016</x:v>
      </x:c>
      <x:c r="D32" s="93" t="n">
        <x:v>46263.41692806713</x:v>
      </x:c>
      <x:c r="E32" s="47" t="str">
        <x:v>generator</x:v>
      </x:c>
      <x:c r="F32" s="47" t="str">
        <x:v>gpt-5.6-luna-2026-07-09</x:v>
      </x:c>
      <x:c r="G32" s="47" t="n">
        <x:v>1</x:v>
      </x:c>
      <x:c r="H32" s="47" t="str">
        <x:v>COMPLETED</x:v>
      </x:c>
      <x:c r="I32" s="47" t="str"/>
      <x:c r="J32" s="86" t="n">
        <x:v>0</x:v>
      </x:c>
      <x:c r="K32" s="86" t="n">
        <x:v>23983.18</x:v>
      </x:c>
      <x:c r="L32" s="85" t="b">
        <x:v>0</x:v>
      </x:c>
      <x:c r="M32" s="47" t="str">
        <x:v>resp_07f22d65626ecf8f006a92ad9ed0588194ae54b2033d328825</x:v>
      </x:c>
      <x:c r="N32" s="59" t="n">
        <x:v>11277</x:v>
      </x:c>
      <x:c r="O32" s="59" t="n">
        <x:v>2942</x:v>
      </x:c>
      <x:c r="P32" s="59" t="n">
        <x:v>14219</x:v>
      </x:c>
    </x:row>
    <x:row r="33">
      <x:c r="A33" s="47" t="str">
        <x:v>EVT-000171</x:v>
      </x:c>
      <x:c r="B33" s="47" t="str">
        <x:v>RUN-TRF-016-20260829T095510152165Z</x:v>
      </x:c>
      <x:c r="C33" s="47" t="str">
        <x:v>TRF-016</x:v>
      </x:c>
      <x:c r="D33" s="93" t="n">
        <x:v>46263.4170437963</x:v>
      </x:c>
      <x:c r="E33" s="47" t="str">
        <x:v>syntax_repair</x:v>
      </x:c>
      <x:c r="F33" s="47" t="str">
        <x:v>gpt-5.6-luna-2026-07-09</x:v>
      </x:c>
      <x:c r="G33" s="47" t="n">
        <x:v>1</x:v>
      </x:c>
      <x:c r="H33" s="47" t="n">
        <x:v>200</x:v>
      </x:c>
      <x:c r="I33" s="47" t="str">
        <x:v>Ocp-Apim-Subscription-Key</x:v>
      </x:c>
      <x:c r="J33" s="86" t="n">
        <x:v>0</x:v>
      </x:c>
      <x:c r="K33" s="86" t="n">
        <x:v>9994.578</x:v>
      </x:c>
      <x:c r="L33" s="85" t="b">
        <x:v>0</x:v>
      </x:c>
      <x:c r="M33" s="47" t="str"/>
      <x:c r="N33" s="59" t="str"/>
      <x:c r="O33" s="59" t="str"/>
      <x:c r="P33" s="59" t="str"/>
    </x:row>
    <x:row r="34">
      <x:c r="A34" s="47" t="str">
        <x:v>EVT-000172</x:v>
      </x:c>
      <x:c r="B34" s="47" t="str">
        <x:v>RUN-TRF-016-20260829T095510152165Z</x:v>
      </x:c>
      <x:c r="C34" s="47" t="str">
        <x:v>TRF-016</x:v>
      </x:c>
      <x:c r="D34" s="93" t="n">
        <x:v>46263.41704381944</x:v>
      </x:c>
      <x:c r="E34" s="47" t="str">
        <x:v>syntax_repair</x:v>
      </x:c>
      <x:c r="F34" s="47" t="str">
        <x:v>gpt-5.6-luna-2026-07-09</x:v>
      </x:c>
      <x:c r="G34" s="47" t="n">
        <x:v>1</x:v>
      </x:c>
      <x:c r="H34" s="47" t="str">
        <x:v>COMPLETED</x:v>
      </x:c>
      <x:c r="I34" s="47" t="str"/>
      <x:c r="J34" s="86" t="n">
        <x:v>0</x:v>
      </x:c>
      <x:c r="K34" s="86" t="n">
        <x:v>9996.393</x:v>
      </x:c>
      <x:c r="L34" s="85" t="b">
        <x:v>0</x:v>
      </x:c>
      <x:c r="M34" s="47" t="str">
        <x:v>resp_01fb9a681f1964dc006a92adb6b6488197a95d7b9161f37a69</x:v>
      </x:c>
      <x:c r="N34" s="59" t="n">
        <x:v>2404</x:v>
      </x:c>
      <x:c r="O34" s="59" t="n">
        <x:v>1898</x:v>
      </x:c>
      <x:c r="P34" s="59" t="n">
        <x:v>4302</x:v>
      </x:c>
    </x:row>
    <x:row r="35">
      <x:c r="A35" s="47" t="str">
        <x:v>EVT-000180</x:v>
      </x:c>
      <x:c r="B35" s="47" t="str">
        <x:v>RUN-TRF-016-20260829T095510152165Z</x:v>
      </x:c>
      <x:c r="C35" s="47" t="str">
        <x:v>TRF-016</x:v>
      </x:c>
      <x:c r="D35" s="93" t="n">
        <x:v>46263.41718483796</x:v>
      </x:c>
      <x:c r="E35" s="47" t="str">
        <x:v>validator</x:v>
      </x:c>
      <x:c r="F35" s="47" t="str">
        <x:v>gpt-5.6-luna-2026-07-09</x:v>
      </x:c>
      <x:c r="G35" s="47" t="n">
        <x:v>1</x:v>
      </x:c>
      <x:c r="H35" s="47" t="n">
        <x:v>200</x:v>
      </x:c>
      <x:c r="I35" s="47" t="str">
        <x:v>Ocp-Apim-Subscription-Key</x:v>
      </x:c>
      <x:c r="J35" s="86" t="n">
        <x:v>0</x:v>
      </x:c>
      <x:c r="K35" s="86" t="n">
        <x:v>11900.761</x:v>
      </x:c>
      <x:c r="L35" s="85" t="b">
        <x:v>0</x:v>
      </x:c>
      <x:c r="M35" s="47" t="str"/>
      <x:c r="N35" s="59" t="str"/>
      <x:c r="O35" s="59" t="str"/>
      <x:c r="P35" s="59" t="str"/>
    </x:row>
    <x:row r="36">
      <x:c r="A36" s="47" t="str">
        <x:v>EVT-000181</x:v>
      </x:c>
      <x:c r="B36" s="47" t="str">
        <x:v>RUN-TRF-016-20260829T095510152165Z</x:v>
      </x:c>
      <x:c r="C36" s="47" t="str">
        <x:v>TRF-016</x:v>
      </x:c>
      <x:c r="D36" s="93" t="n">
        <x:v>46263.41718486111</x:v>
      </x:c>
      <x:c r="E36" s="47" t="str">
        <x:v>validator</x:v>
      </x:c>
      <x:c r="F36" s="47" t="str">
        <x:v>gpt-5.6-luna-2026-07-09</x:v>
      </x:c>
      <x:c r="G36" s="47" t="n">
        <x:v>1</x:v>
      </x:c>
      <x:c r="H36" s="47" t="str">
        <x:v>COMPLETED</x:v>
      </x:c>
      <x:c r="I36" s="47" t="str"/>
      <x:c r="J36" s="86" t="n">
        <x:v>0</x:v>
      </x:c>
      <x:c r="K36" s="86" t="n">
        <x:v>11902.586</x:v>
      </x:c>
      <x:c r="L36" s="85" t="b">
        <x:v>0</x:v>
      </x:c>
      <x:c r="M36" s="47" t="str">
        <x:v>resp_0df89f061f164366006a92adc1a54081949f8c521a6bc4be6b</x:v>
      </x:c>
      <x:c r="N36" s="59" t="n">
        <x:v>13032</x:v>
      </x:c>
      <x:c r="O36" s="59" t="n">
        <x:v>741</x:v>
      </x:c>
      <x:c r="P36" s="59" t="n">
        <x:v>13773</x:v>
      </x:c>
    </x:row>
    <x:row r="37">
      <x:c r="A37" s="47" t="str">
        <x:v>EVT-000188</x:v>
      </x:c>
      <x:c r="B37" s="47" t="str">
        <x:v>RUN-TRF-016-20260829T095510152165Z</x:v>
      </x:c>
      <x:c r="C37" s="47" t="str">
        <x:v>TRF-016</x:v>
      </x:c>
      <x:c r="D37" s="93" t="n">
        <x:v>46263.41723107639</x:v>
      </x:c>
      <x:c r="E37" s="47" t="str">
        <x:v>vocabulary_matcher</x:v>
      </x:c>
      <x:c r="F37" s="47" t="str">
        <x:v>gpt-5.6-luna-2026-07-09</x:v>
      </x:c>
      <x:c r="G37" s="47" t="n">
        <x:v>1</x:v>
      </x:c>
      <x:c r="H37" s="47" t="n">
        <x:v>200</x:v>
      </x:c>
      <x:c r="I37" s="47" t="str">
        <x:v>Ocp-Apim-Subscription-Key</x:v>
      </x:c>
      <x:c r="J37" s="86" t="n">
        <x:v>0</x:v>
      </x:c>
      <x:c r="K37" s="86" t="n">
        <x:v>2178.154</x:v>
      </x:c>
      <x:c r="L37" s="85" t="b">
        <x:v>0</x:v>
      </x:c>
      <x:c r="M37" s="47" t="str"/>
      <x:c r="N37" s="59" t="str"/>
      <x:c r="O37" s="59" t="str"/>
      <x:c r="P37" s="59" t="str"/>
    </x:row>
    <x:row r="38">
      <x:c r="A38" s="49" t="str">
        <x:v>EVT-000189</x:v>
      </x:c>
      <x:c r="B38" s="49" t="str">
        <x:v>RUN-TRF-016-20260829T095510152165Z</x:v>
      </x:c>
      <x:c r="C38" s="49" t="str">
        <x:v>TRF-016</x:v>
      </x:c>
      <x:c r="D38" s="94" t="n">
        <x:v>46263.417231087966</x:v>
      </x:c>
      <x:c r="E38" s="49" t="str">
        <x:v>vocabulary_matcher</x:v>
      </x:c>
      <x:c r="F38" s="49" t="str">
        <x:v>gpt-5.6-luna-2026-07-09</x:v>
      </x:c>
      <x:c r="G38" s="49" t="n">
        <x:v>1</x:v>
      </x:c>
      <x:c r="H38" s="49" t="str">
        <x:v>COMPLETED</x:v>
      </x:c>
      <x:c r="I38" s="49" t="str"/>
      <x:c r="J38" s="88" t="n">
        <x:v>0</x:v>
      </x:c>
      <x:c r="K38" s="88" t="n">
        <x:v>2179.379</x:v>
      </x:c>
      <x:c r="L38" s="87" t="b">
        <x:v>0</x:v>
      </x:c>
      <x:c r="M38" s="49" t="str">
        <x:v>resp_0a7bda8bb28616ad006a92adceb81c81909c4ff0c1c775f63c</x:v>
      </x:c>
      <x:c r="N38" s="60" t="n">
        <x:v>3918</x:v>
      </x:c>
      <x:c r="O38" s="60" t="n">
        <x:v>167</x:v>
      </x:c>
      <x:c r="P38" s="60" t="n">
        <x:v>4085</x:v>
      </x:c>
    </x:row>
  </x:sheetData>
  <x:conditionalFormatting sqref="H5:H3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51e98e611ff742a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RUN-TRF-016-20260829T095510152165Z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RUN-TRF-016-20260829T095510152165Z</x:v>
      </x:c>
      <x:c r="B5" s="45" t="str">
        <x:v>TRF-016</x:v>
      </x:c>
      <x:c r="C5" s="45" t="str">
        <x:v>ballastTank</x:v>
      </x:c>
      <x:c r="D5" s="46" t="str">
        <x:v>https://w3id.org/nltl/vocab#ballastTank</x:v>
      </x:c>
      <x:c r="E5" s="45" t="str">
        <x:v>Class</x:v>
      </x:c>
      <x:c r="F5" s="45" t="str"/>
      <x:c r="G5" s="45" t="str">
        <x:v>https://w3id.org/nltl/vocab#shipComponent</x:v>
      </x:c>
      <x:c r="H5" s="45" t="str"/>
      <x:c r="I5" s="46" t="str">
        <x:v>authoritative required owner class; linked by the locked 313-requirement index; range dependency of hasBallastTank</x:v>
      </x:c>
      <x:c r="J5" s="45" t="n">
        <x:v>0</x:v>
      </x:c>
    </x:row>
    <x:row r="6">
      <x:c r="A6" s="47" t="str">
        <x:v>RUN-TRF-016-20260829T095510152165Z</x:v>
      </x:c>
      <x:c r="B6" s="47" t="str">
        <x:v>TRF-016</x:v>
      </x:c>
      <x:c r="C6" s="47" t="str">
        <x:v>benchmarkEntity</x:v>
      </x:c>
      <x:c r="D6" s="48" t="str">
        <x:v>https://w3id.org/nltl/vocab#benchmarkEntity</x:v>
      </x:c>
      <x:c r="E6" s="47" t="str">
        <x:v>Class</x:v>
      </x:c>
      <x:c r="F6" s="47" t="str"/>
      <x:c r="G6" s="47" t="str"/>
      <x:c r="H6" s="47" t="str"/>
      <x:c r="I6" s="48" t="str">
        <x:v>baseline target infrastructure; domain dependency of displacementAtUpperIceWaterline; domain dependency of draughtAmidships; domain dependency of forwardDraught; domain dependency of freezingPreventionPresent; domain dependency of hasBallastTank; domain dependency of levelIceThickness; domain dependency of liwlDraughtAmidships; domain dependency of navigatingInIce; domain dependency of propellerHighestPointSubmerged; domain dependency of situatedAboveLowerIceWaterline; domain dependency of usedToReachLowerIceWaterline</x:v>
      </x:c>
      <x:c r="J6" s="47" t="n">
        <x:v>0</x:v>
      </x:c>
    </x:row>
    <x:row r="7">
      <x:c r="A7" s="47" t="str">
        <x:v>RUN-TRF-016-20260829T095510152165Z</x:v>
      </x:c>
      <x:c r="B7" s="47" t="str">
        <x:v>TRF-016</x:v>
      </x:c>
      <x:c r="C7" s="47" t="str">
        <x:v>displacementAtUpperIceWaterline</x:v>
      </x:c>
      <x:c r="D7" s="48" t="str">
        <x:v>https://w3id.org/nltl/vocab#displacementAtUpperIceWaterline</x:v>
      </x:c>
      <x:c r="E7" s="47" t="str">
        <x:v>QuantityProperty</x:v>
      </x:c>
      <x:c r="F7" s="47" t="str"/>
      <x:c r="G7" s="47" t="str">
        <x:v>http://qudt.org/schema/qudt/QuantityValue</x:v>
      </x:c>
      <x:c r="H7" s="47" t="str">
        <x:v>http://qudt.org/vocab/unit/TON_Metric</x:v>
      </x:c>
      <x:c r="I7" s="48" t="str">
        <x:v>linked by the locked 313-requirement index</x:v>
      </x:c>
      <x:c r="J7" s="47" t="n">
        <x:v>0</x:v>
      </x:c>
    </x:row>
    <x:row r="8">
      <x:c r="A8" s="47" t="str">
        <x:v>RUN-TRF-016-20260829T095510152165Z</x:v>
      </x:c>
      <x:c r="B8" s="47" t="str">
        <x:v>TRF-016</x:v>
      </x:c>
      <x:c r="C8" s="47" t="str">
        <x:v>draughtAmidships</x:v>
      </x:c>
      <x:c r="D8" s="48" t="str">
        <x:v>https://w3id.org/nltl/vocab#draughtAmidships</x:v>
      </x:c>
      <x:c r="E8" s="47" t="str">
        <x:v>QuantityProperty</x:v>
      </x:c>
      <x:c r="F8" s="47" t="str"/>
      <x:c r="G8" s="47" t="str">
        <x:v>http://qudt.org/schema/qudt/QuantityValue</x:v>
      </x:c>
      <x:c r="H8" s="47" t="str">
        <x:v>http://qudt.org/vocab/unit/M</x:v>
      </x:c>
      <x:c r="I8" s="48" t="str">
        <x:v>linked by the locked 313-requirement index</x:v>
      </x:c>
      <x:c r="J8" s="47" t="n">
        <x:v>0</x:v>
      </x:c>
    </x:row>
    <x:row r="9">
      <x:c r="A9" s="47" t="str">
        <x:v>RUN-TRF-016-20260829T095510152165Z</x:v>
      </x:c>
      <x:c r="B9" s="47" t="str">
        <x:v>TRF-016</x:v>
      </x:c>
      <x:c r="C9" s="47" t="str">
        <x:v>forwardDraught</x:v>
      </x:c>
      <x:c r="D9" s="48" t="str">
        <x:v>https://w3id.org/nltl/vocab#forwardDraught</x:v>
      </x:c>
      <x:c r="E9" s="47" t="str">
        <x:v>QuantityProperty</x:v>
      </x:c>
      <x:c r="F9" s="47" t="str"/>
      <x:c r="G9" s="47" t="str">
        <x:v>http://qudt.org/schema/qudt/QuantityValue</x:v>
      </x:c>
      <x:c r="H9" s="47" t="str">
        <x:v>http://qudt.org/vocab/unit/M</x:v>
      </x:c>
      <x:c r="I9" s="48" t="str">
        <x:v>linked by the locked 313-requirement index</x:v>
      </x:c>
      <x:c r="J9" s="47" t="n">
        <x:v>0</x:v>
      </x:c>
    </x:row>
    <x:row r="10">
      <x:c r="A10" s="47" t="str">
        <x:v>RUN-TRF-016-20260829T095510152165Z</x:v>
      </x:c>
      <x:c r="B10" s="47" t="str">
        <x:v>TRF-016</x:v>
      </x:c>
      <x:c r="C10" s="47" t="str">
        <x:v>freezingPreventionPresent</x:v>
      </x:c>
      <x:c r="D10" s="48" t="str">
        <x:v>https://w3id.org/nltl/vocab#freezingPreventionPresent</x:v>
      </x:c>
      <x:c r="E10" s="47" t="str">
        <x:v>DatatypeProperty</x:v>
      </x:c>
      <x:c r="F10" s="47" t="str">
        <x:v>xsd:boolean</x:v>
      </x:c>
      <x:c r="G10" s="47" t="str">
        <x:v>http://www.w3.org/2001/XMLSchema#boolean</x:v>
      </x:c>
      <x:c r="H10" s="47" t="str"/>
      <x:c r="I10" s="48" t="str">
        <x:v>linked by the locked 313-requirement index</x:v>
      </x:c>
      <x:c r="J10" s="47" t="n">
        <x:v>0</x:v>
      </x:c>
    </x:row>
    <x:row r="11">
      <x:c r="A11" s="47" t="str">
        <x:v>RUN-TRF-016-20260829T095510152165Z</x:v>
      </x:c>
      <x:c r="B11" s="47" t="str">
        <x:v>TRF-016</x:v>
      </x:c>
      <x:c r="C11" s="47" t="str">
        <x:v>hasBallastTank</x:v>
      </x:c>
      <x:c r="D11" s="48" t="str">
        <x:v>https://w3id.org/nltl/vocab#hasBallastTank</x:v>
      </x:c>
      <x:c r="E11" s="47" t="str">
        <x:v>ObjectProperty</x:v>
      </x:c>
      <x:c r="F11" s="47" t="str"/>
      <x:c r="G11" s="47" t="str">
        <x:v>https://w3id.org/nltl/vocab#ballastTank</x:v>
      </x:c>
      <x:c r="H11" s="47" t="str"/>
      <x:c r="I11" s="48" t="str">
        <x:v>linked by the locked 313-requirement index</x:v>
      </x:c>
      <x:c r="J11" s="47" t="n">
        <x:v>0</x:v>
      </x:c>
    </x:row>
    <x:row r="12">
      <x:c r="A12" s="47" t="str">
        <x:v>RUN-TRF-016-20260829T095510152165Z</x:v>
      </x:c>
      <x:c r="B12" s="47" t="str">
        <x:v>TRF-016</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RUN-TRF-016-20260829T095510152165Z</x:v>
      </x:c>
      <x:c r="B13" s="47" t="str">
        <x:v>TRF-016</x:v>
      </x:c>
      <x:c r="C13" s="47" t="str">
        <x:v>hasLowerIceWaterline</x:v>
      </x:c>
      <x:c r="D13" s="48" t="str">
        <x:v>https://w3id.org/nltl/vocab#hasLowerIceWaterline</x:v>
      </x:c>
      <x:c r="E13" s="47" t="str">
        <x:v>ObjectProperty</x:v>
      </x:c>
      <x:c r="F13" s="47" t="str"/>
      <x:c r="G13" s="47" t="str">
        <x:v>https://w3id.org/nltl/vocab#iceWaterline</x:v>
      </x:c>
      <x:c r="H13" s="47" t="str"/>
      <x:c r="I13" s="48" t="str">
        <x:v>linked by the locked 313-requirement index</x:v>
      </x:c>
      <x:c r="J13" s="47" t="n">
        <x:v>0</x:v>
      </x:c>
    </x:row>
    <x:row r="14">
      <x:c r="A14" s="47" t="str">
        <x:v>RUN-TRF-016-20260829T095510152165Z</x:v>
      </x:c>
      <x:c r="B14" s="47" t="str">
        <x:v>TRF-016</x:v>
      </x:c>
      <x:c r="C14" s="47" t="str">
        <x:v>hasUpperIceWaterline</x:v>
      </x:c>
      <x:c r="D14" s="48" t="str">
        <x:v>https://w3id.org/nltl/vocab#hasUpperIceWaterline</x:v>
      </x:c>
      <x:c r="E14" s="47" t="str">
        <x:v>ObjectProperty</x:v>
      </x:c>
      <x:c r="F14" s="47" t="str"/>
      <x:c r="G14" s="47" t="str">
        <x:v>https://w3id.org/nltl/vocab#iceWaterline</x:v>
      </x:c>
      <x:c r="H14" s="47" t="str"/>
      <x:c r="I14" s="48" t="str">
        <x:v>linked by the locked 313-requirement index</x:v>
      </x:c>
      <x:c r="J14" s="47" t="n">
        <x:v>0</x:v>
      </x:c>
    </x:row>
    <x:row r="15">
      <x:c r="A15" s="47" t="str">
        <x:v>RUN-TRF-016-20260829T095510152165Z</x:v>
      </x:c>
      <x:c r="B15" s="47" t="str">
        <x:v>TRF-016</x:v>
      </x:c>
      <x:c r="C15" s="47" t="str">
        <x:v>iceWaterline</x:v>
      </x:c>
      <x:c r="D15" s="48" t="str">
        <x:v>https://w3id.org/nltl/vocab#iceWaterline</x:v>
      </x:c>
      <x:c r="E15" s="47" t="str">
        <x:v>Class</x:v>
      </x:c>
      <x:c r="F15" s="47" t="str"/>
      <x:c r="G15" s="47" t="str">
        <x:v>https://w3id.org/nltl/vocab#benchmarkEntity</x:v>
      </x:c>
      <x:c r="H15" s="47" t="str"/>
      <x:c r="I15" s="48" t="str">
        <x:v>domain dependency of waterlineDisplacement; range dependency of hasLowerIceWaterline; range dependency of hasUpperIceWaterline</x:v>
      </x:c>
      <x:c r="J15" s="47" t="n">
        <x:v>0</x:v>
      </x:c>
    </x:row>
    <x:row r="16">
      <x:c r="A16" s="47" t="str">
        <x:v>RUN-TRF-016-20260829T095510152165Z</x:v>
      </x:c>
      <x:c r="B16" s="47" t="str">
        <x:v>TRF-016</x:v>
      </x:c>
      <x:c r="C16" s="47" t="str">
        <x:v>levelIceThickness</x:v>
      </x:c>
      <x:c r="D16" s="48" t="str">
        <x:v>https://w3id.org/nltl/vocab#levelIceThickness</x:v>
      </x:c>
      <x:c r="E16" s="47" t="str">
        <x:v>QuantityProperty</x:v>
      </x:c>
      <x:c r="F16" s="47" t="str"/>
      <x:c r="G16" s="47" t="str">
        <x:v>http://qudt.org/schema/qudt/QuantityValue</x:v>
      </x:c>
      <x:c r="H16" s="47" t="str">
        <x:v>http://qudt.org/vocab/unit/M</x:v>
      </x:c>
      <x:c r="I16" s="48" t="str">
        <x:v>linked by the locked 313-requirement index</x:v>
      </x:c>
      <x:c r="J16" s="47" t="n">
        <x:v>0</x:v>
      </x:c>
    </x:row>
    <x:row r="17">
      <x:c r="A17" s="47" t="str">
        <x:v>RUN-TRF-016-20260829T095510152165Z</x:v>
      </x:c>
      <x:c r="B17" s="47" t="str">
        <x:v>TRF-016</x:v>
      </x:c>
      <x:c r="C17" s="47" t="str">
        <x:v>liwlDraughtAmidships</x:v>
      </x:c>
      <x:c r="D17" s="48" t="str">
        <x:v>https://w3id.org/nltl/vocab#liwlDraughtAmidships</x:v>
      </x:c>
      <x:c r="E17" s="47" t="str">
        <x:v>QuantityProperty</x:v>
      </x:c>
      <x:c r="F17" s="47" t="str"/>
      <x:c r="G17" s="47" t="str">
        <x:v>http://qudt.org/schema/qudt/QuantityValue</x:v>
      </x:c>
      <x:c r="H17" s="47" t="str">
        <x:v>http://qudt.org/vocab/unit/M</x:v>
      </x:c>
      <x:c r="I17" s="48" t="str">
        <x:v>linked by the locked 313-requirement index</x:v>
      </x:c>
      <x:c r="J17" s="47" t="n">
        <x:v>0</x:v>
      </x:c>
    </x:row>
    <x:row r="18">
      <x:c r="A18" s="47" t="str">
        <x:v>RUN-TRF-016-20260829T095510152165Z</x:v>
      </x:c>
      <x:c r="B18" s="47" t="str">
        <x:v>TRF-016</x:v>
      </x:c>
      <x:c r="C18" s="47" t="str">
        <x:v>navigatingInIce</x:v>
      </x:c>
      <x:c r="D18" s="48" t="str">
        <x:v>https://w3id.org/nltl/vocab#navigatingInIce</x:v>
      </x:c>
      <x:c r="E18" s="47" t="str">
        <x:v>DatatypeProperty</x:v>
      </x:c>
      <x:c r="F18" s="47" t="str">
        <x:v>xsd:boolean</x:v>
      </x:c>
      <x:c r="G18" s="47" t="str">
        <x:v>http://www.w3.org/2001/XMLSchema#boolean</x:v>
      </x:c>
      <x:c r="H18" s="47" t="str"/>
      <x:c r="I18" s="48" t="str">
        <x:v>linked by the locked 313-requirement index</x:v>
      </x:c>
      <x:c r="J18" s="47" t="n">
        <x:v>0</x:v>
      </x:c>
    </x:row>
    <x:row r="19">
      <x:c r="A19" s="47" t="str">
        <x:v>RUN-TRF-016-20260829T095510152165Z</x:v>
      </x:c>
      <x:c r="B19" s="47" t="str">
        <x:v>TRF-016</x:v>
      </x:c>
      <x:c r="C19" s="47" t="str">
        <x:v>propellerHighestPointSubmerged</x:v>
      </x:c>
      <x:c r="D19" s="48" t="str">
        <x:v>https://w3id.org/nltl/vocab#propellerHighestPointSubmerged</x:v>
      </x:c>
      <x:c r="E19" s="47" t="str">
        <x:v>DatatypeProperty</x:v>
      </x:c>
      <x:c r="F19" s="47" t="str">
        <x:v>xsd:boolean</x:v>
      </x:c>
      <x:c r="G19" s="47" t="str">
        <x:v>http://www.w3.org/2001/XMLSchema#boolean</x:v>
      </x:c>
      <x:c r="H19" s="47" t="str"/>
      <x:c r="I19" s="48" t="str">
        <x:v>linked by the locked 313-requirement index</x:v>
      </x:c>
      <x:c r="J19" s="47" t="n">
        <x:v>0</x:v>
      </x:c>
    </x:row>
    <x:row r="20">
      <x:c r="A20" s="47" t="str">
        <x:v>RUN-TRF-016-20260829T095510152165Z</x:v>
      </x:c>
      <x:c r="B20" s="47" t="str">
        <x:v>TRF-016</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 domain dependency of hasLowerIceWaterline; domain dependency of hasUpperIceWaterline</x:v>
      </x:c>
      <x:c r="J20" s="47" t="n">
        <x:v>0</x:v>
      </x:c>
    </x:row>
    <x:row r="21">
      <x:c r="A21" s="47" t="str">
        <x:v>RUN-TRF-016-20260829T095510152165Z</x:v>
      </x:c>
      <x:c r="B21" s="47" t="str">
        <x:v>TRF-016</x:v>
      </x:c>
      <x:c r="C21" s="47" t="str">
        <x:v>shipComponent</x:v>
      </x:c>
      <x:c r="D21" s="48" t="str">
        <x:v>https://w3id.org/nltl/vocab#shipComponent</x:v>
      </x:c>
      <x:c r="E21" s="47" t="str">
        <x:v>Class</x:v>
      </x:c>
      <x:c r="F21" s="47" t="str"/>
      <x:c r="G21" s="47" t="str"/>
      <x:c r="H21" s="47" t="str"/>
      <x:c r="I21" s="48" t="str">
        <x:v>component-path dependency inferred from the linked term module; range dependency of ballastTank</x:v>
      </x:c>
      <x:c r="J21" s="47" t="n">
        <x:v>0</x:v>
      </x:c>
    </x:row>
    <x:row r="22">
      <x:c r="A22" s="47" t="str">
        <x:v>RUN-TRF-016-20260829T095510152165Z</x:v>
      </x:c>
      <x:c r="B22" s="47" t="str">
        <x:v>TRF-016</x:v>
      </x:c>
      <x:c r="C22" s="47" t="str">
        <x:v>situatedAboveLowerIceWaterline</x:v>
      </x:c>
      <x:c r="D22" s="48" t="str">
        <x:v>https://w3id.org/nltl/vocab#situatedAboveLowerIceWaterline</x:v>
      </x:c>
      <x:c r="E22" s="47" t="str">
        <x:v>DatatypeProperty</x:v>
      </x:c>
      <x:c r="F22" s="47" t="str">
        <x:v>xsd:boolean</x:v>
      </x:c>
      <x:c r="G22" s="47" t="str">
        <x:v>http://www.w3.org/2001/XMLSchema#boolean</x:v>
      </x:c>
      <x:c r="H22" s="47" t="str"/>
      <x:c r="I22" s="48" t="str">
        <x:v>linked by the locked 313-requirement index</x:v>
      </x:c>
      <x:c r="J22" s="47" t="n">
        <x:v>0</x:v>
      </x:c>
    </x:row>
    <x:row r="23">
      <x:c r="A23" s="47" t="str">
        <x:v>RUN-TRF-016-20260829T095510152165Z</x:v>
      </x:c>
      <x:c r="B23" s="47" t="str">
        <x:v>TRF-016</x:v>
      </x:c>
      <x:c r="C23" s="47" t="str">
        <x:v>usedToReachLowerIceWaterline</x:v>
      </x:c>
      <x:c r="D23" s="48" t="str">
        <x:v>https://w3id.org/nltl/vocab#usedToReachLowerIceWaterline</x:v>
      </x:c>
      <x:c r="E23" s="47" t="str">
        <x:v>DatatypeProperty</x:v>
      </x:c>
      <x:c r="F23" s="47" t="str">
        <x:v>xsd:boolean</x:v>
      </x:c>
      <x:c r="G23" s="47" t="str">
        <x:v>http://www.w3.org/2001/XMLSchema#boolean</x:v>
      </x:c>
      <x:c r="H23" s="47" t="str"/>
      <x:c r="I23" s="48" t="str">
        <x:v>linked by the locked 313-requirement index</x:v>
      </x:c>
      <x:c r="J23" s="47" t="n">
        <x:v>0</x:v>
      </x:c>
    </x:row>
    <x:row r="24">
      <x:c r="A24" s="47" t="str">
        <x:v>RUN-TRF-016-20260829T095510152165Z</x:v>
      </x:c>
      <x:c r="B24" s="47" t="str">
        <x:v>TRF-016</x:v>
      </x:c>
      <x:c r="C24" s="47" t="str">
        <x:v>waterlineDisplacement</x:v>
      </x:c>
      <x:c r="D24" s="48" t="str">
        <x:v>https://w3id.org/nltl/vocab#waterlineDisplacement</x:v>
      </x:c>
      <x:c r="E24" s="47" t="str">
        <x:v>QuantityProperty</x:v>
      </x:c>
      <x:c r="F24" s="47" t="str"/>
      <x:c r="G24" s="47" t="str">
        <x:v>http://qudt.org/schema/qudt/QuantityValue</x:v>
      </x:c>
      <x:c r="H24" s="47" t="str">
        <x:v>http://qudt.org/vocab/unit/TON_Metric</x:v>
      </x:c>
      <x:c r="I24" s="48" t="str">
        <x:v>linked by the locked 313-requirement index</x:v>
      </x:c>
      <x:c r="J24" s="47" t="n">
        <x:v>0</x:v>
      </x:c>
    </x:row>
    <x:row r="25">
      <x:c r="A25" s="47" t="str">
        <x:v>RUN-TRF-016-20260829T095510152165Z</x:v>
      </x:c>
      <x:c r="B25" s="47" t="str">
        <x:v>TRF-016</x:v>
      </x:c>
      <x:c r="C25" s="47" t="str">
        <x:v>ballastTank</x:v>
      </x:c>
      <x:c r="D25" s="48" t="str">
        <x:v>https://w3id.org/nltl/vocab#ballastTank</x:v>
      </x:c>
      <x:c r="E25" s="47" t="str">
        <x:v>Class</x:v>
      </x:c>
      <x:c r="F25" s="47" t="str"/>
      <x:c r="G25" s="47" t="str">
        <x:v>https://w3id.org/nltl/vocab#shipComponent</x:v>
      </x:c>
      <x:c r="H25" s="47" t="str"/>
      <x:c r="I25" s="48" t="str">
        <x:v>authoritative required owner class; linked by the locked 313-requirement index; range dependency of hasBallastTank</x:v>
      </x:c>
      <x:c r="J25" s="47" t="n">
        <x:v>3</x:v>
      </x:c>
    </x:row>
    <x:row r="26">
      <x:c r="A26" s="47" t="str">
        <x:v>RUN-TRF-016-20260829T095510152165Z</x:v>
      </x:c>
      <x:c r="B26" s="47" t="str">
        <x:v>TRF-016</x:v>
      </x:c>
      <x:c r="C26" s="47" t="str">
        <x:v>benchmarkEntity</x:v>
      </x:c>
      <x:c r="D26" s="48" t="str">
        <x:v>https://w3id.org/nltl/vocab#benchmarkEntity</x:v>
      </x:c>
      <x:c r="E26" s="47" t="str">
        <x:v>Class</x:v>
      </x:c>
      <x:c r="F26" s="47" t="str"/>
      <x:c r="G26" s="47" t="str"/>
      <x:c r="H26" s="47" t="str"/>
      <x:c r="I26" s="48" t="str">
        <x:v>baseline target infrastructure; domain dependency of displacementAtUpperIceWaterline; domain dependency of draughtAmidships; domain dependency of forwardDraught; domain dependency of freezingPreventionPresent; domain dependency of hasBallastTank; domain dependency of levelIceThickness; domain dependency of liwlDraughtAmidships; domain dependency of navigatingInIce; domain dependency of propellerHighestPointSubmerged; domain dependency of situatedAboveLowerIceWaterline; domain dependency of usedToReachLowerIceWaterline</x:v>
      </x:c>
      <x:c r="J26" s="47" t="n">
        <x:v>3</x:v>
      </x:c>
    </x:row>
    <x:row r="27">
      <x:c r="A27" s="47" t="str">
        <x:v>RUN-TRF-016-20260829T095510152165Z</x:v>
      </x:c>
      <x:c r="B27" s="47" t="str">
        <x:v>TRF-016</x:v>
      </x:c>
      <x:c r="C27" s="47" t="str">
        <x:v>displacementAtUpperIceWaterline</x:v>
      </x:c>
      <x:c r="D27" s="48" t="str">
        <x:v>https://w3id.org/nltl/vocab#displacementAtUpperIceWaterline</x:v>
      </x:c>
      <x:c r="E27" s="47" t="str">
        <x:v>QuantityProperty</x:v>
      </x:c>
      <x:c r="F27" s="47" t="str"/>
      <x:c r="G27" s="47" t="str">
        <x:v>http://qudt.org/schema/qudt/QuantityValue</x:v>
      </x:c>
      <x:c r="H27" s="47" t="str">
        <x:v>http://qudt.org/vocab/unit/TON_Metric</x:v>
      </x:c>
      <x:c r="I27" s="48" t="str">
        <x:v>linked by the locked 313-requirement index; verified vocabulary-matcher addition</x:v>
      </x:c>
      <x:c r="J27" s="47" t="n">
        <x:v>3</x:v>
      </x:c>
    </x:row>
    <x:row r="28">
      <x:c r="A28" s="47" t="str">
        <x:v>RUN-TRF-016-20260829T095510152165Z</x:v>
      </x:c>
      <x:c r="B28" s="47" t="str">
        <x:v>TRF-016</x:v>
      </x:c>
      <x:c r="C28" s="47" t="str">
        <x:v>draughtAmidships</x:v>
      </x:c>
      <x:c r="D28" s="48" t="str">
        <x:v>https://w3id.org/nltl/vocab#draughtAmidships</x:v>
      </x:c>
      <x:c r="E28" s="47" t="str">
        <x:v>QuantityProperty</x:v>
      </x:c>
      <x:c r="F28" s="47" t="str"/>
      <x:c r="G28" s="47" t="str">
        <x:v>http://qudt.org/schema/qudt/QuantityValue</x:v>
      </x:c>
      <x:c r="H28" s="47" t="str">
        <x:v>http://qudt.org/vocab/unit/M</x:v>
      </x:c>
      <x:c r="I28" s="48" t="str">
        <x:v>linked by the locked 313-requirement index</x:v>
      </x:c>
      <x:c r="J28" s="47" t="n">
        <x:v>3</x:v>
      </x:c>
    </x:row>
    <x:row r="29">
      <x:c r="A29" s="47" t="str">
        <x:v>RUN-TRF-016-20260829T095510152165Z</x:v>
      </x:c>
      <x:c r="B29" s="47" t="str">
        <x:v>TRF-016</x:v>
      </x:c>
      <x:c r="C29" s="47" t="str">
        <x:v>forwardDraught</x:v>
      </x:c>
      <x:c r="D29" s="48" t="str">
        <x:v>https://w3id.org/nltl/vocab#forwardDraught</x:v>
      </x:c>
      <x:c r="E29" s="47" t="str">
        <x:v>QuantityProperty</x:v>
      </x:c>
      <x:c r="F29" s="47" t="str"/>
      <x:c r="G29" s="47" t="str">
        <x:v>http://qudt.org/schema/qudt/QuantityValue</x:v>
      </x:c>
      <x:c r="H29" s="47" t="str">
        <x:v>http://qudt.org/vocab/unit/M</x:v>
      </x:c>
      <x:c r="I29" s="48" t="str">
        <x:v>linked by the locked 313-requirement index</x:v>
      </x:c>
      <x:c r="J29" s="47" t="n">
        <x:v>3</x:v>
      </x:c>
    </x:row>
    <x:row r="30">
      <x:c r="A30" s="47" t="str">
        <x:v>RUN-TRF-016-20260829T095510152165Z</x:v>
      </x:c>
      <x:c r="B30" s="47" t="str">
        <x:v>TRF-016</x:v>
      </x:c>
      <x:c r="C30" s="47" t="str">
        <x:v>freezingPreventionPresent</x:v>
      </x:c>
      <x:c r="D30" s="48" t="str">
        <x:v>https://w3id.org/nltl/vocab#freezingPreventionPresent</x:v>
      </x:c>
      <x:c r="E30" s="47" t="str">
        <x:v>DatatypeProperty</x:v>
      </x:c>
      <x:c r="F30" s="47" t="str">
        <x:v>xsd:boolean</x:v>
      </x:c>
      <x:c r="G30" s="47" t="str">
        <x:v>http://www.w3.org/2001/XMLSchema#boolean</x:v>
      </x:c>
      <x:c r="H30" s="47" t="str"/>
      <x:c r="I30" s="48" t="str">
        <x:v>linked by the locked 313-requirement index</x:v>
      </x:c>
      <x:c r="J30" s="47" t="n">
        <x:v>3</x:v>
      </x:c>
    </x:row>
    <x:row r="31">
      <x:c r="A31" s="47" t="str">
        <x:v>RUN-TRF-016-20260829T095510152165Z</x:v>
      </x:c>
      <x:c r="B31" s="47" t="str">
        <x:v>TRF-016</x:v>
      </x:c>
      <x:c r="C31" s="47" t="str">
        <x:v>hasBallastTank</x:v>
      </x:c>
      <x:c r="D31" s="48" t="str">
        <x:v>https://w3id.org/nltl/vocab#hasBallastTank</x:v>
      </x:c>
      <x:c r="E31" s="47" t="str">
        <x:v>ObjectProperty</x:v>
      </x:c>
      <x:c r="F31" s="47" t="str"/>
      <x:c r="G31" s="47" t="str">
        <x:v>https://w3id.org/nltl/vocab#ballastTank</x:v>
      </x:c>
      <x:c r="H31" s="47" t="str"/>
      <x:c r="I31" s="48" t="str">
        <x:v>linked by the locked 313-requirement index</x:v>
      </x:c>
      <x:c r="J31" s="47" t="n">
        <x:v>3</x:v>
      </x:c>
    </x:row>
    <x:row r="32">
      <x:c r="A32" s="47" t="str">
        <x:v>RUN-TRF-016-20260829T095510152165Z</x:v>
      </x:c>
      <x:c r="B32" s="47" t="str">
        <x:v>TRF-016</x:v>
      </x:c>
      <x:c r="C32" s="47" t="str">
        <x:v>hasComponent</x:v>
      </x:c>
      <x:c r="D32" s="48" t="str">
        <x:v>https://w3id.org/nltl/vocab#hasComponent</x:v>
      </x:c>
      <x:c r="E32" s="47" t="str">
        <x:v>ObjectProperty</x:v>
      </x:c>
      <x:c r="F32" s="47" t="str"/>
      <x:c r="G32" s="47" t="str">
        <x:v>https://w3id.org/nltl/vocab#shipComponent</x:v>
      </x:c>
      <x:c r="H32" s="47" t="str"/>
      <x:c r="I32" s="48" t="str">
        <x:v>component-path dependency inferred from the linked term module</x:v>
      </x:c>
      <x:c r="J32" s="47" t="n">
        <x:v>3</x:v>
      </x:c>
    </x:row>
    <x:row r="33">
      <x:c r="A33" s="47" t="str">
        <x:v>RUN-TRF-016-20260829T095510152165Z</x:v>
      </x:c>
      <x:c r="B33" s="47" t="str">
        <x:v>TRF-016</x:v>
      </x:c>
      <x:c r="C33" s="47" t="str">
        <x:v>hasLowerIceWaterline</x:v>
      </x:c>
      <x:c r="D33" s="48" t="str">
        <x:v>https://w3id.org/nltl/vocab#hasLowerIceWaterline</x:v>
      </x:c>
      <x:c r="E33" s="47" t="str">
        <x:v>ObjectProperty</x:v>
      </x:c>
      <x:c r="F33" s="47" t="str"/>
      <x:c r="G33" s="47" t="str">
        <x:v>https://w3id.org/nltl/vocab#iceWaterline</x:v>
      </x:c>
      <x:c r="H33" s="47" t="str"/>
      <x:c r="I33" s="48" t="str">
        <x:v>linked by the locked 313-requirement index</x:v>
      </x:c>
      <x:c r="J33" s="47" t="n">
        <x:v>3</x:v>
      </x:c>
    </x:row>
    <x:row r="34">
      <x:c r="A34" s="47" t="str">
        <x:v>RUN-TRF-016-20260829T095510152165Z</x:v>
      </x:c>
      <x:c r="B34" s="47" t="str">
        <x:v>TRF-016</x:v>
      </x:c>
      <x:c r="C34" s="47" t="str">
        <x:v>hasUpperIceWaterline</x:v>
      </x:c>
      <x:c r="D34" s="48" t="str">
        <x:v>https://w3id.org/nltl/vocab#hasUpperIceWaterline</x:v>
      </x:c>
      <x:c r="E34" s="47" t="str">
        <x:v>ObjectProperty</x:v>
      </x:c>
      <x:c r="F34" s="47" t="str"/>
      <x:c r="G34" s="47" t="str">
        <x:v>https://w3id.org/nltl/vocab#iceWaterline</x:v>
      </x:c>
      <x:c r="H34" s="47" t="str"/>
      <x:c r="I34" s="48" t="str">
        <x:v>linked by the locked 313-requirement index</x:v>
      </x:c>
      <x:c r="J34" s="47" t="n">
        <x:v>3</x:v>
      </x:c>
    </x:row>
    <x:row r="35">
      <x:c r="A35" s="47" t="str">
        <x:v>RUN-TRF-016-20260829T095510152165Z</x:v>
      </x:c>
      <x:c r="B35" s="47" t="str">
        <x:v>TRF-016</x:v>
      </x:c>
      <x:c r="C35" s="47" t="str">
        <x:v>iceWaterline</x:v>
      </x:c>
      <x:c r="D35" s="48" t="str">
        <x:v>https://w3id.org/nltl/vocab#iceWaterline</x:v>
      </x:c>
      <x:c r="E35" s="47" t="str">
        <x:v>Class</x:v>
      </x:c>
      <x:c r="F35" s="47" t="str"/>
      <x:c r="G35" s="47" t="str">
        <x:v>https://w3id.org/nltl/vocab#benchmarkEntity</x:v>
      </x:c>
      <x:c r="H35" s="47" t="str"/>
      <x:c r="I35" s="48" t="str">
        <x:v>domain dependency of waterlineDisplacement; range dependency of hasLowerIceWaterline; range dependency of hasUpperIceWaterline</x:v>
      </x:c>
      <x:c r="J35" s="47" t="n">
        <x:v>3</x:v>
      </x:c>
    </x:row>
    <x:row r="36">
      <x:c r="A36" s="47" t="str">
        <x:v>RUN-TRF-016-20260829T095510152165Z</x:v>
      </x:c>
      <x:c r="B36" s="47" t="str">
        <x:v>TRF-016</x:v>
      </x:c>
      <x:c r="C36" s="47" t="str">
        <x:v>levelIceThickness</x:v>
      </x:c>
      <x:c r="D36" s="48" t="str">
        <x:v>https://w3id.org/nltl/vocab#levelIceThickness</x:v>
      </x:c>
      <x:c r="E36" s="47" t="str">
        <x:v>QuantityProperty</x:v>
      </x:c>
      <x:c r="F36" s="47" t="str"/>
      <x:c r="G36" s="47" t="str">
        <x:v>http://qudt.org/schema/qudt/QuantityValue</x:v>
      </x:c>
      <x:c r="H36" s="47" t="str">
        <x:v>http://qudt.org/vocab/unit/M</x:v>
      </x:c>
      <x:c r="I36" s="48" t="str">
        <x:v>linked by the locked 313-requirement index</x:v>
      </x:c>
      <x:c r="J36" s="47" t="n">
        <x:v>3</x:v>
      </x:c>
    </x:row>
    <x:row r="37">
      <x:c r="A37" s="47" t="str">
        <x:v>RUN-TRF-016-20260829T095510152165Z</x:v>
      </x:c>
      <x:c r="B37" s="47" t="str">
        <x:v>TRF-016</x:v>
      </x:c>
      <x:c r="C37" s="47" t="str">
        <x:v>liwlDraughtAmidships</x:v>
      </x:c>
      <x:c r="D37" s="48" t="str">
        <x:v>https://w3id.org/nltl/vocab#liwlDraughtAmidships</x:v>
      </x:c>
      <x:c r="E37" s="47" t="str">
        <x:v>QuantityProperty</x:v>
      </x:c>
      <x:c r="F37" s="47" t="str"/>
      <x:c r="G37" s="47" t="str">
        <x:v>http://qudt.org/schema/qudt/QuantityValue</x:v>
      </x:c>
      <x:c r="H37" s="47" t="str">
        <x:v>http://qudt.org/vocab/unit/M</x:v>
      </x:c>
      <x:c r="I37" s="48" t="str">
        <x:v>linked by the locked 313-requirement index</x:v>
      </x:c>
      <x:c r="J37" s="47" t="n">
        <x:v>3</x:v>
      </x:c>
    </x:row>
    <x:row r="38">
      <x:c r="A38" s="47" t="str">
        <x:v>RUN-TRF-016-20260829T095510152165Z</x:v>
      </x:c>
      <x:c r="B38" s="47" t="str">
        <x:v>TRF-016</x:v>
      </x:c>
      <x:c r="C38" s="47" t="str">
        <x:v>navigatingInIce</x:v>
      </x:c>
      <x:c r="D38" s="48" t="str">
        <x:v>https://w3id.org/nltl/vocab#navigatingInIce</x:v>
      </x:c>
      <x:c r="E38" s="47" t="str">
        <x:v>DatatypeProperty</x:v>
      </x:c>
      <x:c r="F38" s="47" t="str">
        <x:v>xsd:boolean</x:v>
      </x:c>
      <x:c r="G38" s="47" t="str">
        <x:v>http://www.w3.org/2001/XMLSchema#boolean</x:v>
      </x:c>
      <x:c r="H38" s="47" t="str"/>
      <x:c r="I38" s="48" t="str">
        <x:v>linked by the locked 313-requirement index</x:v>
      </x:c>
      <x:c r="J38" s="47" t="n">
        <x:v>3</x:v>
      </x:c>
    </x:row>
    <x:row r="39">
      <x:c r="A39" s="47" t="str">
        <x:v>RUN-TRF-016-20260829T095510152165Z</x:v>
      </x:c>
      <x:c r="B39" s="47" t="str">
        <x:v>TRF-016</x:v>
      </x:c>
      <x:c r="C39" s="47" t="str">
        <x:v>propellerHighestPointSubmerged</x:v>
      </x:c>
      <x:c r="D39" s="48" t="str">
        <x:v>https://w3id.org/nltl/vocab#propellerHighestPointSubmerged</x:v>
      </x:c>
      <x:c r="E39" s="47" t="str">
        <x:v>DatatypeProperty</x:v>
      </x:c>
      <x:c r="F39" s="47" t="str">
        <x:v>xsd:boolean</x:v>
      </x:c>
      <x:c r="G39" s="47" t="str">
        <x:v>http://www.w3.org/2001/XMLSchema#boolean</x:v>
      </x:c>
      <x:c r="H39" s="47" t="str"/>
      <x:c r="I39" s="48" t="str">
        <x:v>linked by the locked 313-requirement index</x:v>
      </x:c>
      <x:c r="J39" s="47" t="n">
        <x:v>3</x:v>
      </x:c>
    </x:row>
    <x:row r="40">
      <x:c r="A40" s="47" t="str">
        <x:v>RUN-TRF-016-20260829T095510152165Z</x:v>
      </x:c>
      <x:c r="B40" s="47" t="str">
        <x:v>TRF-016</x:v>
      </x:c>
      <x:c r="C40" s="47" t="str">
        <x:v>ship</x:v>
      </x:c>
      <x:c r="D40" s="48" t="str">
        <x:v>https://w3id.org/nltl/vocab#ship</x:v>
      </x:c>
      <x:c r="E40" s="47" t="str">
        <x:v>Class</x:v>
      </x:c>
      <x:c r="F40" s="47" t="str"/>
      <x:c r="G40" s="47" t="str"/>
      <x:c r="H40" s="47" t="str"/>
      <x:c r="I40" s="48" t="str">
        <x:v>authoritative required owner class; authoritative requirement target owner; baseline target infrastructure; domain dependency of hasLowerIceWaterline; domain dependency of hasUpperIceWaterline</x:v>
      </x:c>
      <x:c r="J40" s="47" t="n">
        <x:v>3</x:v>
      </x:c>
    </x:row>
    <x:row r="41">
      <x:c r="A41" s="47" t="str">
        <x:v>RUN-TRF-016-20260829T095510152165Z</x:v>
      </x:c>
      <x:c r="B41" s="47" t="str">
        <x:v>TRF-016</x:v>
      </x:c>
      <x:c r="C41" s="47" t="str">
        <x:v>shipComponent</x:v>
      </x:c>
      <x:c r="D41" s="48" t="str">
        <x:v>https://w3id.org/nltl/vocab#shipComponent</x:v>
      </x:c>
      <x:c r="E41" s="47" t="str">
        <x:v>Class</x:v>
      </x:c>
      <x:c r="F41" s="47" t="str"/>
      <x:c r="G41" s="47" t="str"/>
      <x:c r="H41" s="47" t="str"/>
      <x:c r="I41" s="48" t="str">
        <x:v>component-path dependency inferred from the linked term module; range dependency of ballastTank</x:v>
      </x:c>
      <x:c r="J41" s="47" t="n">
        <x:v>3</x:v>
      </x:c>
    </x:row>
    <x:row r="42">
      <x:c r="A42" s="47" t="str">
        <x:v>RUN-TRF-016-20260829T095510152165Z</x:v>
      </x:c>
      <x:c r="B42" s="47" t="str">
        <x:v>TRF-016</x:v>
      </x:c>
      <x:c r="C42" s="47" t="str">
        <x:v>situatedAboveLowerIceWaterline</x:v>
      </x:c>
      <x:c r="D42" s="48" t="str">
        <x:v>https://w3id.org/nltl/vocab#situatedAboveLowerIceWaterline</x:v>
      </x:c>
      <x:c r="E42" s="47" t="str">
        <x:v>DatatypeProperty</x:v>
      </x:c>
      <x:c r="F42" s="47" t="str">
        <x:v>xsd:boolean</x:v>
      </x:c>
      <x:c r="G42" s="47" t="str">
        <x:v>http://www.w3.org/2001/XMLSchema#boolean</x:v>
      </x:c>
      <x:c r="H42" s="47" t="str"/>
      <x:c r="I42" s="48" t="str">
        <x:v>linked by the locked 313-requirement index</x:v>
      </x:c>
      <x:c r="J42" s="47" t="n">
        <x:v>3</x:v>
      </x:c>
    </x:row>
    <x:row r="43">
      <x:c r="A43" s="47" t="str">
        <x:v>RUN-TRF-016-20260829T095510152165Z</x:v>
      </x:c>
      <x:c r="B43" s="47" t="str">
        <x:v>TRF-016</x:v>
      </x:c>
      <x:c r="C43" s="47" t="str">
        <x:v>usedToReachLowerIceWaterline</x:v>
      </x:c>
      <x:c r="D43" s="48" t="str">
        <x:v>https://w3id.org/nltl/vocab#usedToReachLowerIceWaterline</x:v>
      </x:c>
      <x:c r="E43" s="47" t="str">
        <x:v>DatatypeProperty</x:v>
      </x:c>
      <x:c r="F43" s="47" t="str">
        <x:v>xsd:boolean</x:v>
      </x:c>
      <x:c r="G43" s="47" t="str">
        <x:v>http://www.w3.org/2001/XMLSchema#boolean</x:v>
      </x:c>
      <x:c r="H43" s="47" t="str"/>
      <x:c r="I43" s="48" t="str">
        <x:v>linked by the locked 313-requirement index</x:v>
      </x:c>
      <x:c r="J43" s="47" t="n">
        <x:v>3</x:v>
      </x:c>
    </x:row>
    <x:row r="44">
      <x:c r="A44" s="47" t="str">
        <x:v>RUN-TRF-016-20260829T095510152165Z</x:v>
      </x:c>
      <x:c r="B44" s="47" t="str">
        <x:v>TRF-016</x:v>
      </x:c>
      <x:c r="C44" s="47" t="str">
        <x:v>waterlineDisplacement</x:v>
      </x:c>
      <x:c r="D44" s="48" t="str">
        <x:v>https://w3id.org/nltl/vocab#waterlineDisplacement</x:v>
      </x:c>
      <x:c r="E44" s="47" t="str">
        <x:v>QuantityProperty</x:v>
      </x:c>
      <x:c r="F44" s="47" t="str"/>
      <x:c r="G44" s="47" t="str">
        <x:v>http://qudt.org/schema/qudt/QuantityValue</x:v>
      </x:c>
      <x:c r="H44" s="47" t="str">
        <x:v>http://qudt.org/vocab/unit/TON_Metric</x:v>
      </x:c>
      <x:c r="I44" s="48" t="str">
        <x:v>linked by the locked 313-requirement index</x:v>
      </x:c>
      <x:c r="J44" s="47" t="n">
        <x:v>3</x:v>
      </x:c>
    </x:row>
    <x:row r="45">
      <x:c r="A45" s="47" t="str">
        <x:v>RUN-TRF-016-20260829T095510152165Z</x:v>
      </x:c>
      <x:c r="B45" s="47" t="str">
        <x:v>TRF-016</x:v>
      </x:c>
      <x:c r="C45" s="47" t="str">
        <x:v>ballastTank</x:v>
      </x:c>
      <x:c r="D45" s="48" t="str">
        <x:v>https://w3id.org/nltl/vocab#ballastTank</x:v>
      </x:c>
      <x:c r="E45" s="47" t="str">
        <x:v>Class</x:v>
      </x:c>
      <x:c r="F45" s="47" t="str"/>
      <x:c r="G45" s="47" t="str">
        <x:v>https://w3id.org/nltl/vocab#shipComponent</x:v>
      </x:c>
      <x:c r="H45" s="47" t="str"/>
      <x:c r="I45" s="48" t="str">
        <x:v>authoritative required owner class; linked by the locked 313-requirement index; range dependency of hasBallastTank</x:v>
      </x:c>
      <x:c r="J45" s="47" t="n">
        <x:v>4</x:v>
      </x:c>
    </x:row>
    <x:row r="46">
      <x:c r="A46" s="47" t="str">
        <x:v>RUN-TRF-016-20260829T095510152165Z</x:v>
      </x:c>
      <x:c r="B46" s="47" t="str">
        <x:v>TRF-016</x:v>
      </x:c>
      <x:c r="C46" s="47" t="str">
        <x:v>benchmarkEntity</x:v>
      </x:c>
      <x:c r="D46" s="48" t="str">
        <x:v>https://w3id.org/nltl/vocab#benchmarkEntity</x:v>
      </x:c>
      <x:c r="E46" s="47" t="str">
        <x:v>Class</x:v>
      </x:c>
      <x:c r="F46" s="47" t="str"/>
      <x:c r="G46" s="47" t="str"/>
      <x:c r="H46" s="47" t="str"/>
      <x:c r="I46" s="48" t="str">
        <x:v>baseline target infrastructure; domain dependency of displacementAtUpperIceWaterline; domain dependency of draughtAmidships; domain dependency of forwardDraught; domain dependency of freezingPreventionPresent; domain dependency of hasBallastTank; domain dependency of levelIceThickness; domain dependency of liwlDraughtAmidships; domain dependency of navigatingInIce; domain dependency of propellerHighestPointSubmerged; domain dependency of situatedAboveLowerIceWaterline; domain dependency of usedToReachLowerIceWaterline</x:v>
      </x:c>
      <x:c r="J46" s="47" t="n">
        <x:v>4</x:v>
      </x:c>
    </x:row>
    <x:row r="47">
      <x:c r="A47" s="47" t="str">
        <x:v>RUN-TRF-016-20260829T095510152165Z</x:v>
      </x:c>
      <x:c r="B47" s="47" t="str">
        <x:v>TRF-016</x:v>
      </x:c>
      <x:c r="C47" s="47" t="str">
        <x:v>displacementAtUpperIceWaterline</x:v>
      </x:c>
      <x:c r="D47" s="48" t="str">
        <x:v>https://w3id.org/nltl/vocab#displacementAtUpperIceWaterline</x:v>
      </x:c>
      <x:c r="E47" s="47" t="str">
        <x:v>QuantityProperty</x:v>
      </x:c>
      <x:c r="F47" s="47" t="str"/>
      <x:c r="G47" s="47" t="str">
        <x:v>http://qudt.org/schema/qudt/QuantityValue</x:v>
      </x:c>
      <x:c r="H47" s="47" t="str">
        <x:v>http://qudt.org/vocab/unit/TON_Metric</x:v>
      </x:c>
      <x:c r="I47" s="48" t="str">
        <x:v>linked by the locked 313-requirement index; verified vocabulary-matcher addition</x:v>
      </x:c>
      <x:c r="J47" s="47" t="n">
        <x:v>4</x:v>
      </x:c>
    </x:row>
    <x:row r="48">
      <x:c r="A48" s="47" t="str">
        <x:v>RUN-TRF-016-20260829T095510152165Z</x:v>
      </x:c>
      <x:c r="B48" s="47" t="str">
        <x:v>TRF-016</x:v>
      </x:c>
      <x:c r="C48" s="47" t="str">
        <x:v>draughtAmidships</x:v>
      </x:c>
      <x:c r="D48" s="48" t="str">
        <x:v>https://w3id.org/nltl/vocab#draughtAmidships</x:v>
      </x:c>
      <x:c r="E48" s="47" t="str">
        <x:v>QuantityProperty</x:v>
      </x:c>
      <x:c r="F48" s="47" t="str"/>
      <x:c r="G48" s="47" t="str">
        <x:v>http://qudt.org/schema/qudt/QuantityValue</x:v>
      </x:c>
      <x:c r="H48" s="47" t="str">
        <x:v>http://qudt.org/vocab/unit/M</x:v>
      </x:c>
      <x:c r="I48" s="48" t="str">
        <x:v>linked by the locked 313-requirement index</x:v>
      </x:c>
      <x:c r="J48" s="47" t="n">
        <x:v>4</x:v>
      </x:c>
    </x:row>
    <x:row r="49">
      <x:c r="A49" s="47" t="str">
        <x:v>RUN-TRF-016-20260829T095510152165Z</x:v>
      </x:c>
      <x:c r="B49" s="47" t="str">
        <x:v>TRF-016</x:v>
      </x:c>
      <x:c r="C49" s="47" t="str">
        <x:v>forwardDraught</x:v>
      </x:c>
      <x:c r="D49" s="48" t="str">
        <x:v>https://w3id.org/nltl/vocab#forwardDraught</x:v>
      </x:c>
      <x:c r="E49" s="47" t="str">
        <x:v>QuantityProperty</x:v>
      </x:c>
      <x:c r="F49" s="47" t="str"/>
      <x:c r="G49" s="47" t="str">
        <x:v>http://qudt.org/schema/qudt/QuantityValue</x:v>
      </x:c>
      <x:c r="H49" s="47" t="str">
        <x:v>http://qudt.org/vocab/unit/M</x:v>
      </x:c>
      <x:c r="I49" s="48" t="str">
        <x:v>linked by the locked 313-requirement index</x:v>
      </x:c>
      <x:c r="J49" s="47" t="n">
        <x:v>4</x:v>
      </x:c>
    </x:row>
    <x:row r="50">
      <x:c r="A50" s="47" t="str">
        <x:v>RUN-TRF-016-20260829T095510152165Z</x:v>
      </x:c>
      <x:c r="B50" s="47" t="str">
        <x:v>TRF-016</x:v>
      </x:c>
      <x:c r="C50" s="47" t="str">
        <x:v>freezingPreventionPresent</x:v>
      </x:c>
      <x:c r="D50" s="48" t="str">
        <x:v>https://w3id.org/nltl/vocab#freezingPreventionPresent</x:v>
      </x:c>
      <x:c r="E50" s="47" t="str">
        <x:v>DatatypeProperty</x:v>
      </x:c>
      <x:c r="F50" s="47" t="str">
        <x:v>xsd:boolean</x:v>
      </x:c>
      <x:c r="G50" s="47" t="str">
        <x:v>http://www.w3.org/2001/XMLSchema#boolean</x:v>
      </x:c>
      <x:c r="H50" s="47" t="str"/>
      <x:c r="I50" s="48" t="str">
        <x:v>linked by the locked 313-requirement index</x:v>
      </x:c>
      <x:c r="J50" s="47" t="n">
        <x:v>4</x:v>
      </x:c>
    </x:row>
    <x:row r="51">
      <x:c r="A51" s="47" t="str">
        <x:v>RUN-TRF-016-20260829T095510152165Z</x:v>
      </x:c>
      <x:c r="B51" s="47" t="str">
        <x:v>TRF-016</x:v>
      </x:c>
      <x:c r="C51" s="47" t="str">
        <x:v>hasBallastTank</x:v>
      </x:c>
      <x:c r="D51" s="48" t="str">
        <x:v>https://w3id.org/nltl/vocab#hasBallastTank</x:v>
      </x:c>
      <x:c r="E51" s="47" t="str">
        <x:v>ObjectProperty</x:v>
      </x:c>
      <x:c r="F51" s="47" t="str"/>
      <x:c r="G51" s="47" t="str">
        <x:v>https://w3id.org/nltl/vocab#ballastTank</x:v>
      </x:c>
      <x:c r="H51" s="47" t="str"/>
      <x:c r="I51" s="48" t="str">
        <x:v>linked by the locked 313-requirement index</x:v>
      </x:c>
      <x:c r="J51" s="47" t="n">
        <x:v>4</x:v>
      </x:c>
    </x:row>
    <x:row r="52">
      <x:c r="A52" s="47" t="str">
        <x:v>RUN-TRF-016-20260829T095510152165Z</x:v>
      </x:c>
      <x:c r="B52" s="47" t="str">
        <x:v>TRF-016</x:v>
      </x:c>
      <x:c r="C52" s="47" t="str">
        <x:v>hasComponent</x:v>
      </x:c>
      <x:c r="D52" s="48" t="str">
        <x:v>https://w3id.org/nltl/vocab#hasComponent</x:v>
      </x:c>
      <x:c r="E52" s="47" t="str">
        <x:v>ObjectProperty</x:v>
      </x:c>
      <x:c r="F52" s="47" t="str"/>
      <x:c r="G52" s="47" t="str">
        <x:v>https://w3id.org/nltl/vocab#shipComponent</x:v>
      </x:c>
      <x:c r="H52" s="47" t="str"/>
      <x:c r="I52" s="48" t="str">
        <x:v>component-path dependency inferred from the linked term module</x:v>
      </x:c>
      <x:c r="J52" s="47" t="n">
        <x:v>4</x:v>
      </x:c>
    </x:row>
    <x:row r="53">
      <x:c r="A53" s="47" t="str">
        <x:v>RUN-TRF-016-20260829T095510152165Z</x:v>
      </x:c>
      <x:c r="B53" s="47" t="str">
        <x:v>TRF-016</x:v>
      </x:c>
      <x:c r="C53" s="47" t="str">
        <x:v>hasLowerIceWaterline</x:v>
      </x:c>
      <x:c r="D53" s="48" t="str">
        <x:v>https://w3id.org/nltl/vocab#hasLowerIceWaterline</x:v>
      </x:c>
      <x:c r="E53" s="47" t="str">
        <x:v>ObjectProperty</x:v>
      </x:c>
      <x:c r="F53" s="47" t="str"/>
      <x:c r="G53" s="47" t="str">
        <x:v>https://w3id.org/nltl/vocab#iceWaterline</x:v>
      </x:c>
      <x:c r="H53" s="47" t="str"/>
      <x:c r="I53" s="48" t="str">
        <x:v>linked by the locked 313-requirement index</x:v>
      </x:c>
      <x:c r="J53" s="47" t="n">
        <x:v>4</x:v>
      </x:c>
    </x:row>
    <x:row r="54">
      <x:c r="A54" s="47" t="str">
        <x:v>RUN-TRF-016-20260829T095510152165Z</x:v>
      </x:c>
      <x:c r="B54" s="47" t="str">
        <x:v>TRF-016</x:v>
      </x:c>
      <x:c r="C54" s="47" t="str">
        <x:v>hasUpperIceWaterline</x:v>
      </x:c>
      <x:c r="D54" s="48" t="str">
        <x:v>https://w3id.org/nltl/vocab#hasUpperIceWaterline</x:v>
      </x:c>
      <x:c r="E54" s="47" t="str">
        <x:v>ObjectProperty</x:v>
      </x:c>
      <x:c r="F54" s="47" t="str"/>
      <x:c r="G54" s="47" t="str">
        <x:v>https://w3id.org/nltl/vocab#iceWaterline</x:v>
      </x:c>
      <x:c r="H54" s="47" t="str"/>
      <x:c r="I54" s="48" t="str">
        <x:v>linked by the locked 313-requirement index</x:v>
      </x:c>
      <x:c r="J54" s="47" t="n">
        <x:v>4</x:v>
      </x:c>
    </x:row>
    <x:row r="55">
      <x:c r="A55" s="47" t="str">
        <x:v>RUN-TRF-016-20260829T095510152165Z</x:v>
      </x:c>
      <x:c r="B55" s="47" t="str">
        <x:v>TRF-016</x:v>
      </x:c>
      <x:c r="C55" s="47" t="str">
        <x:v>iceWaterline</x:v>
      </x:c>
      <x:c r="D55" s="48" t="str">
        <x:v>https://w3id.org/nltl/vocab#iceWaterline</x:v>
      </x:c>
      <x:c r="E55" s="47" t="str">
        <x:v>Class</x:v>
      </x:c>
      <x:c r="F55" s="47" t="str"/>
      <x:c r="G55" s="47" t="str">
        <x:v>https://w3id.org/nltl/vocab#benchmarkEntity</x:v>
      </x:c>
      <x:c r="H55" s="47" t="str"/>
      <x:c r="I55" s="48" t="str">
        <x:v>domain dependency of waterlineDisplacement; range dependency of hasLowerIceWaterline; range dependency of hasUpperIceWaterline</x:v>
      </x:c>
      <x:c r="J55" s="47" t="n">
        <x:v>4</x:v>
      </x:c>
    </x:row>
    <x:row r="56">
      <x:c r="A56" s="47" t="str">
        <x:v>RUN-TRF-016-20260829T095510152165Z</x:v>
      </x:c>
      <x:c r="B56" s="47" t="str">
        <x:v>TRF-016</x:v>
      </x:c>
      <x:c r="C56" s="47" t="str">
        <x:v>levelIceThickness</x:v>
      </x:c>
      <x:c r="D56" s="48" t="str">
        <x:v>https://w3id.org/nltl/vocab#levelIceThickness</x:v>
      </x:c>
      <x:c r="E56" s="47" t="str">
        <x:v>QuantityProperty</x:v>
      </x:c>
      <x:c r="F56" s="47" t="str"/>
      <x:c r="G56" s="47" t="str">
        <x:v>http://qudt.org/schema/qudt/QuantityValue</x:v>
      </x:c>
      <x:c r="H56" s="47" t="str">
        <x:v>http://qudt.org/vocab/unit/M</x:v>
      </x:c>
      <x:c r="I56" s="48" t="str">
        <x:v>linked by the locked 313-requirement index</x:v>
      </x:c>
      <x:c r="J56" s="47" t="n">
        <x:v>4</x:v>
      </x:c>
    </x:row>
    <x:row r="57">
      <x:c r="A57" s="47" t="str">
        <x:v>RUN-TRF-016-20260829T095510152165Z</x:v>
      </x:c>
      <x:c r="B57" s="47" t="str">
        <x:v>TRF-016</x:v>
      </x:c>
      <x:c r="C57" s="47" t="str">
        <x:v>liwlDraughtAmidships</x:v>
      </x:c>
      <x:c r="D57" s="48" t="str">
        <x:v>https://w3id.org/nltl/vocab#liwlDraughtAmidships</x:v>
      </x:c>
      <x:c r="E57" s="47" t="str">
        <x:v>QuantityProperty</x:v>
      </x:c>
      <x:c r="F57" s="47" t="str"/>
      <x:c r="G57" s="47" t="str">
        <x:v>http://qudt.org/schema/qudt/QuantityValue</x:v>
      </x:c>
      <x:c r="H57" s="47" t="str">
        <x:v>http://qudt.org/vocab/unit/M</x:v>
      </x:c>
      <x:c r="I57" s="48" t="str">
        <x:v>linked by the locked 313-requirement index</x:v>
      </x:c>
      <x:c r="J57" s="47" t="n">
        <x:v>4</x:v>
      </x:c>
    </x:row>
    <x:row r="58">
      <x:c r="A58" s="47" t="str">
        <x:v>RUN-TRF-016-20260829T095510152165Z</x:v>
      </x:c>
      <x:c r="B58" s="47" t="str">
        <x:v>TRF-016</x:v>
      </x:c>
      <x:c r="C58" s="47" t="str">
        <x:v>navigatingInIce</x:v>
      </x:c>
      <x:c r="D58" s="48" t="str">
        <x:v>https://w3id.org/nltl/vocab#navigatingInIce</x:v>
      </x:c>
      <x:c r="E58" s="47" t="str">
        <x:v>DatatypeProperty</x:v>
      </x:c>
      <x:c r="F58" s="47" t="str">
        <x:v>xsd:boolean</x:v>
      </x:c>
      <x:c r="G58" s="47" t="str">
        <x:v>http://www.w3.org/2001/XMLSchema#boolean</x:v>
      </x:c>
      <x:c r="H58" s="47" t="str"/>
      <x:c r="I58" s="48" t="str">
        <x:v>linked by the locked 313-requirement index</x:v>
      </x:c>
      <x:c r="J58" s="47" t="n">
        <x:v>4</x:v>
      </x:c>
    </x:row>
    <x:row r="59">
      <x:c r="A59" s="47" t="str">
        <x:v>RUN-TRF-016-20260829T095510152165Z</x:v>
      </x:c>
      <x:c r="B59" s="47" t="str">
        <x:v>TRF-016</x:v>
      </x:c>
      <x:c r="C59" s="47" t="str">
        <x:v>propellerHighestPointSubmerged</x:v>
      </x:c>
      <x:c r="D59" s="48" t="str">
        <x:v>https://w3id.org/nltl/vocab#propellerHighestPointSubmerged</x:v>
      </x:c>
      <x:c r="E59" s="47" t="str">
        <x:v>DatatypeProperty</x:v>
      </x:c>
      <x:c r="F59" s="47" t="str">
        <x:v>xsd:boolean</x:v>
      </x:c>
      <x:c r="G59" s="47" t="str">
        <x:v>http://www.w3.org/2001/XMLSchema#boolean</x:v>
      </x:c>
      <x:c r="H59" s="47" t="str"/>
      <x:c r="I59" s="48" t="str">
        <x:v>linked by the locked 313-requirement index</x:v>
      </x:c>
      <x:c r="J59" s="47" t="n">
        <x:v>4</x:v>
      </x:c>
    </x:row>
    <x:row r="60">
      <x:c r="A60" s="47" t="str">
        <x:v>RUN-TRF-016-20260829T095510152165Z</x:v>
      </x:c>
      <x:c r="B60" s="47" t="str">
        <x:v>TRF-016</x:v>
      </x:c>
      <x:c r="C60" s="47" t="str">
        <x:v>ship</x:v>
      </x:c>
      <x:c r="D60" s="48" t="str">
        <x:v>https://w3id.org/nltl/vocab#ship</x:v>
      </x:c>
      <x:c r="E60" s="47" t="str">
        <x:v>Class</x:v>
      </x:c>
      <x:c r="F60" s="47" t="str"/>
      <x:c r="G60" s="47" t="str"/>
      <x:c r="H60" s="47" t="str"/>
      <x:c r="I60" s="48" t="str">
        <x:v>authoritative required owner class; authoritative requirement target owner; baseline target infrastructure; domain dependency of hasLowerIceWaterline; domain dependency of hasUpperIceWaterline</x:v>
      </x:c>
      <x:c r="J60" s="47" t="n">
        <x:v>4</x:v>
      </x:c>
    </x:row>
    <x:row r="61">
      <x:c r="A61" s="47" t="str">
        <x:v>RUN-TRF-016-20260829T095510152165Z</x:v>
      </x:c>
      <x:c r="B61" s="47" t="str">
        <x:v>TRF-016</x:v>
      </x:c>
      <x:c r="C61" s="47" t="str">
        <x:v>shipComponent</x:v>
      </x:c>
      <x:c r="D61" s="48" t="str">
        <x:v>https://w3id.org/nltl/vocab#shipComponent</x:v>
      </x:c>
      <x:c r="E61" s="47" t="str">
        <x:v>Class</x:v>
      </x:c>
      <x:c r="F61" s="47" t="str"/>
      <x:c r="G61" s="47" t="str"/>
      <x:c r="H61" s="47" t="str"/>
      <x:c r="I61" s="48" t="str">
        <x:v>component-path dependency inferred from the linked term module; range dependency of ballastTank</x:v>
      </x:c>
      <x:c r="J61" s="47" t="n">
        <x:v>4</x:v>
      </x:c>
    </x:row>
    <x:row r="62">
      <x:c r="A62" s="47" t="str">
        <x:v>RUN-TRF-016-20260829T095510152165Z</x:v>
      </x:c>
      <x:c r="B62" s="47" t="str">
        <x:v>TRF-016</x:v>
      </x:c>
      <x:c r="C62" s="47" t="str">
        <x:v>situatedAboveLowerIceWaterline</x:v>
      </x:c>
      <x:c r="D62" s="48" t="str">
        <x:v>https://w3id.org/nltl/vocab#situatedAboveLowerIceWaterline</x:v>
      </x:c>
      <x:c r="E62" s="47" t="str">
        <x:v>DatatypeProperty</x:v>
      </x:c>
      <x:c r="F62" s="47" t="str">
        <x:v>xsd:boolean</x:v>
      </x:c>
      <x:c r="G62" s="47" t="str">
        <x:v>http://www.w3.org/2001/XMLSchema#boolean</x:v>
      </x:c>
      <x:c r="H62" s="47" t="str"/>
      <x:c r="I62" s="48" t="str">
        <x:v>linked by the locked 313-requirement index</x:v>
      </x:c>
      <x:c r="J62" s="47" t="n">
        <x:v>4</x:v>
      </x:c>
    </x:row>
    <x:row r="63">
      <x:c r="A63" s="47" t="str">
        <x:v>RUN-TRF-016-20260829T095510152165Z</x:v>
      </x:c>
      <x:c r="B63" s="47" t="str">
        <x:v>TRF-016</x:v>
      </x:c>
      <x:c r="C63" s="47" t="str">
        <x:v>usedToReachLowerIceWaterline</x:v>
      </x:c>
      <x:c r="D63" s="48" t="str">
        <x:v>https://w3id.org/nltl/vocab#usedToReachLowerIceWaterline</x:v>
      </x:c>
      <x:c r="E63" s="47" t="str">
        <x:v>DatatypeProperty</x:v>
      </x:c>
      <x:c r="F63" s="47" t="str">
        <x:v>xsd:boolean</x:v>
      </x:c>
      <x:c r="G63" s="47" t="str">
        <x:v>http://www.w3.org/2001/XMLSchema#boolean</x:v>
      </x:c>
      <x:c r="H63" s="47" t="str"/>
      <x:c r="I63" s="48" t="str">
        <x:v>linked by the locked 313-requirement index</x:v>
      </x:c>
      <x:c r="J63" s="47" t="n">
        <x:v>4</x:v>
      </x:c>
    </x:row>
    <x:row r="64">
      <x:c r="A64" s="49" t="str">
        <x:v>RUN-TRF-016-20260829T095510152165Z</x:v>
      </x:c>
      <x:c r="B64" s="49" t="str">
        <x:v>TRF-016</x:v>
      </x:c>
      <x:c r="C64" s="49" t="str">
        <x:v>waterlineDisplacement</x:v>
      </x:c>
      <x:c r="D64" s="50" t="str">
        <x:v>https://w3id.org/nltl/vocab#waterlineDisplacement</x:v>
      </x:c>
      <x:c r="E64" s="49" t="str">
        <x:v>QuantityProperty</x:v>
      </x:c>
      <x:c r="F64" s="49" t="str"/>
      <x:c r="G64" s="49" t="str">
        <x:v>http://qudt.org/schema/qudt/QuantityValue</x:v>
      </x:c>
      <x:c r="H64" s="49" t="str">
        <x:v>http://qudt.org/vocab/unit/TON_Metric</x:v>
      </x:c>
      <x:c r="I64" s="50" t="str">
        <x:v>linked by the locked 313-requirement index; verified vocabulary-matcher addition</x:v>
      </x:c>
      <x:c r="J64" s="49" t="n">
        <x:v>4</x:v>
      </x:c>
    </x:row>
  </x:sheetData>
  <x:pageMargins left="0.7" right="0.7" top="0.75" bottom="0.75" header="0.3" footer="0.3"/>
  <x:tableParts count="1">
    <x:tablePart xmlns:r="http://schemas.openxmlformats.org/officeDocument/2006/relationships" r:id="Rd245de541af04ba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RUN-TRF-016-20260829T095510152165Z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RUN-TRF-016-20260829T095510152165Z</x:v>
      </x:c>
      <x:c r="B5" s="45" t="str">
        <x:v>TRF-016</x:v>
      </x:c>
      <x:c r="C5" s="45" t="str">
        <x:v>FS-CALC-02</x:v>
      </x:c>
      <x:c r="D5" s="45" t="str">
        <x:v>comparison_calculation</x:v>
      </x:c>
      <x:c r="E5" s="97" t="n">
        <x:v>0.033613</x:v>
      </x:c>
      <x:c r="F5" s="45" t="str">
        <x:v>calculation | comparison | formula | sparql</x:v>
      </x:c>
      <x:c r="G5" s="45" t="str">
        <x:v>synthetic-few-shot-not-benchmark-ground-truth</x:v>
      </x:c>
    </x:row>
    <x:row r="6">
      <x:c r="A6" s="49" t="str">
        <x:v>RUN-TRF-016-20260829T095510152165Z</x:v>
      </x:c>
      <x:c r="B6" s="49" t="str">
        <x:v>TRF-016</x:v>
      </x:c>
      <x:c r="C6" s="49" t="str">
        <x:v>FS-BOOL-01</x:v>
      </x:c>
      <x:c r="D6" s="49" t="str">
        <x:v>boolean_state</x:v>
      </x:c>
      <x:c r="E6" s="98" t="n">
        <x:v>0.025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b78964e6c59f40e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RUN-TRF-016-20260829T095510152165Z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RUN-TRF-016-20260829T095510152165Z</x:v>
      </x:c>
      <x:c r="B5" s="45" t="str">
        <x:v>TRF-016</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https://w3id.org/nltl/vocab#ballastTank | https://w3id.org/nltl/vocab#displacementAtUpperIceWaterline | https://w3id.org/nltl/vocab#draughtAmidships | https://w3id.org/nltl/vocab#forwardDraught | https://w3id.org/nltl/vocab#freezingPreventionPresent | https://w3id.org/nltl/vocab#hasBallastTank | https://w3id.org/nltl/vocab#hasLowerIceWaterline | https://w3id.org/nltl/vocab#hasUpperIceWaterline | https://w3id.org/nltl/vocab#iceWaterline | https://w3id.org/nltl/vocab#levelIceThickness | https://w3id.org/nltl/vocab#liwlDraughtAmidships | https://w3id.org/nltl/vocab#navigatingInIce | https://w3id.org/nltl/vocab#propellerHighestPointSubmerged | https://w3id.org/nltl/vocab#ship | https://w3id.org/nltl/vocab#situatedAboveLowerIceWaterline | https://w3id.org/nltl/vocab#usedToReachLowerIceWaterline | https://w3id.org/nltl/vocab#waterlineDisplacement</x:v>
      </x:c>
      <x:c r="O5" s="46" t="str"/>
      <x:c r="P5" s="46" t="str"/>
      <x:c r="Q5" s="46" t="str"/>
    </x:row>
    <x:row r="6">
      <x:c r="A6" s="47" t="str">
        <x:v>RUN-TRF-016-20260829T095510152165Z</x:v>
      </x:c>
      <x:c r="B6" s="47" t="str">
        <x:v>TRF-016</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https://w3id.org/nltl/vocab#displacementAtUpperIceWaterline | https://w3id.org/nltl/vocab#draughtAmidships | https://w3id.org/nltl/vocab#forwardDraught | https://w3id.org/nltl/vocab#freezingPreventionPresent | https://w3id.org/nltl/vocab#hasBallastTank | https://w3id.org/nltl/vocab#hasUpperIceWaterline | https://w3id.org/nltl/vocab#levelIceThickness | https://w3id.org/nltl/vocab#liwlDraughtAmidships | https://w3id.org/nltl/vocab#navigatingInIce | https://w3id.org/nltl/vocab#propellerHighestPointSubmerged | https://w3id.org/nltl/vocab#ship | https://w3id.org/nltl/vocab#situatedAboveLowerIceWaterline | https://w3id.org/nltl/vocab#usedToReachLowerIceWaterline | https://w3id.org/nltl/vocab#waterlineDisplacement</x:v>
      </x:c>
      <x:c r="O6" s="48" t="str"/>
      <x:c r="P6" s="48" t="str"/>
      <x:c r="Q6" s="48" t="str"/>
    </x:row>
    <x:row r="7">
      <x:c r="A7" s="47" t="str">
        <x:v>RUN-TRF-016-20260829T095510152165Z</x:v>
      </x:c>
      <x:c r="B7" s="47" t="str">
        <x:v>TRF-016</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https://w3id.org/nltl/vocab#displacementAtUpperIceWaterline | https://w3id.org/nltl/vocab#draughtAmidships | https://w3id.org/nltl/vocab#forwardDraught | https://w3id.org/nltl/vocab#freezingPreventionPresent | https://w3id.org/nltl/vocab#hasBallastTank | https://w3id.org/nltl/vocab#hasUpperIceWaterline | https://w3id.org/nltl/vocab#iceWaterline | https://w3id.org/nltl/vocab#levelIceThickness | https://w3id.org/nltl/vocab#liwlDraughtAmidships | https://w3id.org/nltl/vocab#navigatingInIce | https://w3id.org/nltl/vocab#propellerHighestPointSubmerged | https://w3id.org/nltl/vocab#ship | https://w3id.org/nltl/vocab#situatedAboveLowerIceWaterline | https://w3id.org/nltl/vocab#usedToReachLowerIceWaterline | https://w3id.org/nltl/vocab#waterlineDisplacement</x:v>
      </x:c>
      <x:c r="O7" s="48" t="str"/>
      <x:c r="P7" s="48" t="str"/>
      <x:c r="Q7" s="48" t="str"/>
    </x:row>
    <x:row r="8">
      <x:c r="A8" s="49" t="str">
        <x:v>RUN-TRF-016-20260829T095510152165Z</x:v>
      </x:c>
      <x:c r="B8" s="49" t="str">
        <x:v>TRF-016</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https://w3id.org/nltl/vocab#ballastTank | https://w3id.org/nltl/vocab#displacementAtUpperIceWaterline | https://w3id.org/nltl/vocab#draughtAmidships | https://w3id.org/nltl/vocab#forwardDraught | https://w3id.org/nltl/vocab#freezingPreventionPresent | https://w3id.org/nltl/vocab#hasBallastTank | https://w3id.org/nltl/vocab#hasLowerIceWaterline | https://w3id.org/nltl/vocab#hasUpperIceWaterline | https://w3id.org/nltl/vocab#iceWaterline | https://w3id.org/nltl/vocab#levelIceThickness | https://w3id.org/nltl/vocab#liwlDraughtAmidships | https://w3id.org/nltl/vocab#navigatingInIce | https://w3id.org/nltl/vocab#propellerHighestPointSubmerged | https://w3id.org/nltl/vocab#ship | https://w3id.org/nltl/vocab#situatedAboveLowerIceWaterline | https://w3id.org/nltl/vocab#usedToReachLowerIceWaterline</x:v>
      </x:c>
      <x:c r="O8" s="50" t="str"/>
      <x:c r="P8" s="50" t="str"/>
      <x:c r="Q8" s="50" t="str"/>
    </x:row>
  </x:sheetData>
  <x:pageMargins left="0.7" right="0.7" top="0.75" bottom="0.75" header="0.3" footer="0.3"/>
  <x:tableParts count="1">
    <x:tablePart xmlns:r="http://schemas.openxmlformats.org/officeDocument/2006/relationships" r:id="R28276391d18f4165"/>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RUN-TRF-016-20260829T095510152165Z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RUN-TRF-016-20260829T095510152165Z</x:v>
      </x:c>
      <x:c r="B5" s="45" t="str">
        <x:v>TRF-016</x:v>
      </x:c>
      <x:c r="C5" s="58" t="n">
        <x:v>2</x:v>
      </x:c>
      <x:c r="D5" s="45" t="str">
        <x:v>matcher_search</x:v>
      </x:c>
      <x:c r="E5" s="46" t="str">
        <x:v>Retain the corrected ballast-tank implication and ship ownership of waterlineDisplacement, but repair the UIWL selection: the current FILTER (?candidate &gt; ?selected) does not select the greatest-displacement UIWL and can create accidental passes. Constrain hasUpperIceWaterline to the required ice-waterline relationship and use an owner-compatible canonical cross-owner selection path (request/locate that path if unavailable) so displacementAtUpperIceWaterline is the displacement corresponding to the greatest-displacement UIWL; do not treat hasUpperIceWaterline as presence-only. The forward-draught check is also wrong: the requirement is a lower bound, not equality. Replace the ABS equality failure with a directionally correct tolerance-aware failure such as forwardDraught + scaled tolerance &lt; expected, where expected is min((2 + 0.00025 * selected UIWL displacement) * levelIceThickness, 4 * levelIceThickness). Add xsd:boolean to the freezingPreventionPresent property shape.</x:v>
      </x:c>
      <x:c r="F5" s="58" t="n">
        <x:v>11</x:v>
      </x:c>
      <x:c r="G5" s="45" t="str"/>
      <x:c r="H5" s="45" t="str"/>
      <x:c r="I5" s="46" t="str"/>
      <x:c r="J5" s="46" t="str"/>
    </x:row>
    <x:row r="6">
      <x:c r="A6" s="47" t="str">
        <x:v>RUN-TRF-016-20260829T095510152165Z</x:v>
      </x:c>
      <x:c r="B6" s="47" t="str">
        <x:v>TRF-016</x:v>
      </x:c>
      <x:c r="C6" s="59" t="n">
        <x:v>2</x:v>
      </x:c>
      <x:c r="D6" s="47" t="str">
        <x:v>matcher_decision</x:v>
      </x:c>
      <x:c r="E6" s="48" t="str"/>
      <x:c r="F6" s="59" t="str"/>
      <x:c r="G6" s="85" t="b">
        <x:v>1</x:v>
      </x:c>
      <x:c r="H6" s="47" t="str">
        <x:v>displacementAtUpperIceWaterline</x:v>
      </x:c>
      <x:c r="I6" s="48" t="str">
        <x:v>https://w3id.org/nltl/vocab#displacementAtUpperIceWaterline</x:v>
      </x:c>
      <x:c r="J6" s="48" t="str">
        <x:v>Use this exact term because the requirement explicitly defines displacement as the value determined from the UIWL, and this QuantityProperty with a metric-ton QuantityValue range is the owner-compatible canonical operand for selecting the displacement corresponding to the greatest-displacement upper ice waterline.</x:v>
      </x:c>
    </x:row>
    <x:row r="7">
      <x:c r="A7" s="47" t="str">
        <x:v>RUN-TRF-016-20260829T095510152165Z</x:v>
      </x:c>
      <x:c r="B7" s="47" t="str">
        <x:v>TRF-016</x:v>
      </x:c>
      <x:c r="C7" s="59" t="n">
        <x:v>3</x:v>
      </x:c>
      <x:c r="D7" s="47" t="str">
        <x:v>matcher_search</x:v>
      </x:c>
      <x:c r="E7" s="48" t="str">
        <x:v>Retain the corrected ballast-tank implication, xsd:boolean datatype, ship ownership of waterlineDisplacement, and the directional forward-draught lower-bound formula. The UIWL query still does not select the greatest-displacement UIWL: it merely compares against a ship-level selected value and can pass without proving that value corresponds to the maximum waterlineDisplacement among all linked UIWLs. Use an owner-compatible canonical cross-owner selection path that relates each ship-linked UIWL to its displacement, then constrain the selected displacement to the greatest one; do not move waterlineDisplacement onto iceWaterline or duplicate it. The required path is absent from the scoped vocabulary, so locate/request the canonical path. Also remove ABS from the DIRECT_CALCULATION queries: only the registered arithmetic, comparisons, min/max, and simple piecewise operations are permitted. Use a tolerance scaled from the positive expected value with the fixed floor, not ABS(?selected) or ABS(?expected).</x:v>
      </x:c>
      <x:c r="F7" s="59" t="n">
        <x:v>4</x:v>
      </x:c>
      <x:c r="G7" s="47" t="str"/>
      <x:c r="H7" s="47" t="str"/>
      <x:c r="I7" s="48" t="str"/>
      <x:c r="J7" s="48" t="str"/>
    </x:row>
    <x:row r="8">
      <x:c r="A8" s="47" t="str">
        <x:v>RUN-TRF-016-20260829T095510152165Z</x:v>
      </x:c>
      <x:c r="B8" s="47" t="str">
        <x:v>TRF-016</x:v>
      </x:c>
      <x:c r="C8" s="59" t="n">
        <x:v>3</x:v>
      </x:c>
      <x:c r="D8" s="47" t="str">
        <x:v>matcher_decision</x:v>
      </x:c>
      <x:c r="E8" s="48" t="str"/>
      <x:c r="F8" s="59" t="str"/>
      <x:c r="G8" s="85" t="b">
        <x:v>1</x:v>
      </x:c>
      <x:c r="H8" s="47" t="str">
        <x:v>waterlineDisplacement</x:v>
      </x:c>
      <x:c r="I8" s="48" t="str">
        <x:v>https://w3id.org/nltl/vocab#waterlineDisplacement</x:v>
      </x:c>
      <x:c r="J8" s="48" t="str">
        <x:v>Use this exact term because the requirement's displacement at the UIWL is a ship-linked quantity property with QuantityValue range and metric-ton unit; retain it on the ship and use it in the canonical cross-owner selection path to identify the greatest UIWL displacement.</x:v>
      </x:c>
    </x:row>
    <x:row r="9">
      <x:c r="A9" s="47" t="str">
        <x:v>RUN-TRF-016-20260829T095510152165Z</x:v>
      </x:c>
      <x:c r="B9" s="47" t="str">
        <x:v>TRF-016</x:v>
      </x:c>
      <x:c r="C9" s="59" t="n">
        <x:v>4</x:v>
      </x:c>
      <x:c r="D9" s="47" t="str">
        <x:v>matcher_search</x:v>
      </x:c>
      <x:c r="E9" s="48" t="str">
        <x:v>Retain the prior ballast-tank implication, boolean datatype, ship ownership, and directional forward-draught formula repairs. The ballast-tank sh:or still permits missing branch-selection evidence: require both situatedAboveLowerIceWaterline and usedToReachLowerIceWaterline, and enforce freezingPreventionPresent=true exactly when both are true; allow either explicitly present false case without requiring freezing prevention. The UIWL selection remains absent: the candidate merely requires an upper ice waterline and checks a ship-level displacementAtUpperIceWaterline, without proving that it corresponds to the greatest displacement among all linked UIWLs. Do not move or duplicate displacement facts. Use the authoritative ship-owned waterlineDisplacement on each linked iceWaterline and an owner-compatible canonical cross-owner path selecting the maximum linked displacement; locate/request that missing canonical path. Constrain hasUpperIceWaterline to the required relationship rather than presence-only. Preserve the valid min formula and expected-value-scaled tolerance, and do not introduce ABS or unsupported functions.</x:v>
      </x:c>
      <x:c r="F9" s="59" t="n">
        <x:v>10</x:v>
      </x:c>
      <x:c r="G9" s="47" t="str"/>
      <x:c r="H9" s="47" t="str"/>
      <x:c r="I9" s="48" t="str"/>
      <x:c r="J9" s="48" t="str"/>
    </x:row>
    <x:row r="10">
      <x:c r="A10" s="49" t="str">
        <x:v>RUN-TRF-016-20260829T095510152165Z</x:v>
      </x:c>
      <x:c r="B10" s="49" t="str">
        <x:v>TRF-016</x:v>
      </x:c>
      <x:c r="C10" s="60" t="n">
        <x:v>4</x:v>
      </x:c>
      <x:c r="D10" s="49" t="str">
        <x:v>matcher_decision</x:v>
      </x:c>
      <x:c r="E10" s="50" t="str"/>
      <x:c r="F10" s="60" t="str"/>
      <x:c r="G10" s="87" t="b">
        <x:v>0</x:v>
      </x:c>
      <x:c r="H10" s="49" t="str"/>
      <x:c r="I10" s="50" t="str"/>
      <x:c r="J10" s="50" t="str"/>
    </x:row>
  </x:sheetData>
  <x:pageMargins left="0.7" right="0.7" top="0.75" bottom="0.75" header="0.3" footer="0.3"/>
  <x:tableParts count="1">
    <x:tablePart xmlns:r="http://schemas.openxmlformats.org/officeDocument/2006/relationships" r:id="R6e628f14078a4227"/>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RUN-TRF-016-20260829T095510152165Z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RUN-TRF-016-20260829T095510152165Z</x:v>
      </x:c>
      <x:c r="B5" s="45" t="str">
        <x:v>TRF-016</x:v>
      </x:c>
      <x:c r="C5" s="58"/>
      <x:c r="D5" s="45" t="str">
        <x:v>initial_context_pack</x:v>
      </x:c>
      <x:c r="E5" s="46" t="str">
        <x:v>artifacts/context_pack_initial.json</x:v>
      </x:c>
      <x:c r="F5" s="45" t="str">
        <x:v>f06479ac2b09c02b097ac94b615103484b23083da0f98e794fd1993d2e4a81c5</x:v>
      </x:c>
      <x:c r="G5" s="58" t="n">
        <x:v>27552</x:v>
      </x:c>
    </x:row>
    <x:row r="6">
      <x:c r="A6" s="47" t="str">
        <x:v>RUN-TRF-016-20260829T095510152165Z</x:v>
      </x:c>
      <x:c r="B6" s="47" t="str">
        <x:v>TRF-016</x:v>
      </x:c>
      <x:c r="C6" s="59"/>
      <x:c r="D6" s="47" t="str">
        <x:v>few_shot_selection</x:v>
      </x:c>
      <x:c r="E6" s="48" t="str">
        <x:v>artifacts/few_shots_selected.json</x:v>
      </x:c>
      <x:c r="F6" s="47" t="str">
        <x:v>a9f5058563bf13c00e42a957bf8b0e3d3e624bdc8e8c481c15c5a0e4917915f7</x:v>
      </x:c>
      <x:c r="G6" s="59" t="n">
        <x:v>4746</x:v>
      </x:c>
    </x:row>
    <x:row r="7">
      <x:c r="A7" s="47" t="str">
        <x:v>RUN-TRF-016-20260829T095510152165Z</x:v>
      </x:c>
      <x:c r="B7" s="47" t="str">
        <x:v>TRF-016</x:v>
      </x:c>
      <x:c r="C7" s="59" t="n">
        <x:v>1</x:v>
      </x:c>
      <x:c r="D7" s="47" t="str">
        <x:v>generator_prompt</x:v>
      </x:c>
      <x:c r="E7" s="48" t="str">
        <x:v>artifacts/attempt_01/generator_prompt.txt</x:v>
      </x:c>
      <x:c r="F7" s="47" t="str">
        <x:v>ac4893c14c452ef40eb230dfd86b1f3d6c6fe9eedfd4ad051c328f1bc5d558cc</x:v>
      </x:c>
      <x:c r="G7" s="59" t="n">
        <x:v>43852</x:v>
      </x:c>
    </x:row>
    <x:row r="8">
      <x:c r="A8" s="47" t="str">
        <x:v>RUN-TRF-016-20260829T095510152165Z</x:v>
      </x:c>
      <x:c r="B8" s="47" t="str">
        <x:v>TRF-016</x:v>
      </x:c>
      <x:c r="C8" s="59" t="n">
        <x:v>1</x:v>
      </x:c>
      <x:c r="D8" s="47" t="str">
        <x:v>generator_raw_response</x:v>
      </x:c>
      <x:c r="E8" s="48" t="str">
        <x:v>artifacts/attempt_01/generator_raw.txt</x:v>
      </x:c>
      <x:c r="F8" s="47" t="str">
        <x:v>754cbcc9c8a2ca94e7bae0c78e20396c4852c590a9d5b463a8cf5ab23db39858</x:v>
      </x:c>
      <x:c r="G8" s="59" t="n">
        <x:v>10602</x:v>
      </x:c>
    </x:row>
    <x:row r="9">
      <x:c r="A9" s="47" t="str">
        <x:v>RUN-TRF-016-20260829T095510152165Z</x:v>
      </x:c>
      <x:c r="B9" s="47" t="str">
        <x:v>TRF-016</x:v>
      </x:c>
      <x:c r="C9" s="59" t="n">
        <x:v>1</x:v>
      </x:c>
      <x:c r="D9" s="47" t="str">
        <x:v>syntax_repair_prompt</x:v>
      </x:c>
      <x:c r="E9" s="48" t="str">
        <x:v>artifacts/attempt_01/syntax_repair_prompt_01.txt</x:v>
      </x:c>
      <x:c r="F9" s="47" t="str">
        <x:v>83b118068a4e103e4be1187ecd75241aa8c85372e1fd85524c2c5c85b38f8e2b</x:v>
      </x:c>
      <x:c r="G9" s="59" t="n">
        <x:v>12078</x:v>
      </x:c>
    </x:row>
    <x:row r="10">
      <x:c r="A10" s="47" t="str">
        <x:v>RUN-TRF-016-20260829T095510152165Z</x:v>
      </x:c>
      <x:c r="B10" s="47" t="str">
        <x:v>TRF-016</x:v>
      </x:c>
      <x:c r="C10" s="59" t="n">
        <x:v>1</x:v>
      </x:c>
      <x:c r="D10" s="47" t="str">
        <x:v>syntax_repair_raw_response</x:v>
      </x:c>
      <x:c r="E10" s="48" t="str">
        <x:v>artifacts/attempt_01/syntax_repair_raw_01.txt</x:v>
      </x:c>
      <x:c r="F10" s="47" t="str">
        <x:v>27850ac9b2c938c2d62f4707811b1fe7449e6b12ca68b2617c16677ca4cbffce</x:v>
      </x:c>
      <x:c r="G10" s="59" t="n">
        <x:v>10596</x:v>
      </x:c>
    </x:row>
    <x:row r="11">
      <x:c r="A11" s="47" t="str">
        <x:v>RUN-TRF-016-20260829T095510152165Z</x:v>
      </x:c>
      <x:c r="B11" s="47" t="str">
        <x:v>TRF-016</x:v>
      </x:c>
      <x:c r="C11" s="59" t="n">
        <x:v>1</x:v>
      </x:c>
      <x:c r="D11" s="47" t="str">
        <x:v>syntax_repair_prompt</x:v>
      </x:c>
      <x:c r="E11" s="48" t="str">
        <x:v>artifacts/attempt_01/syntax_repair_prompt_02.txt</x:v>
      </x:c>
      <x:c r="F11" s="47" t="str">
        <x:v>7776ae8be7e1a392c9c6357f96c2558fe8873159bb08bfa5afb1173f55307a2f</x:v>
      </x:c>
      <x:c r="G11" s="59" t="n">
        <x:v>12012</x:v>
      </x:c>
    </x:row>
    <x:row r="12">
      <x:c r="A12" s="47" t="str">
        <x:v>RUN-TRF-016-20260829T095510152165Z</x:v>
      </x:c>
      <x:c r="B12" s="47" t="str">
        <x:v>TRF-016</x:v>
      </x:c>
      <x:c r="C12" s="59" t="n">
        <x:v>1</x:v>
      </x:c>
      <x:c r="D12" s="47" t="str">
        <x:v>syntax_repair_raw_response</x:v>
      </x:c>
      <x:c r="E12" s="48" t="str">
        <x:v>artifacts/attempt_01/syntax_repair_raw_02.txt</x:v>
      </x:c>
      <x:c r="F12" s="47" t="str">
        <x:v>cb4ed7a4bb7010529d712438d9bf59faff12141dd99e05a4f08d1297bf47b057</x:v>
      </x:c>
      <x:c r="G12" s="59" t="n">
        <x:v>10598</x:v>
      </x:c>
    </x:row>
    <x:row r="13">
      <x:c r="A13" s="47" t="str">
        <x:v>RUN-TRF-016-20260829T095510152165Z</x:v>
      </x:c>
      <x:c r="B13" s="47" t="str">
        <x:v>TRF-016</x:v>
      </x:c>
      <x:c r="C13" s="59" t="n">
        <x:v>1</x:v>
      </x:c>
      <x:c r="D13" s="47" t="str">
        <x:v>syntax_repair_prompt</x:v>
      </x:c>
      <x:c r="E13" s="48" t="str">
        <x:v>artifacts/attempt_01/syntax_repair_prompt_03.txt</x:v>
      </x:c>
      <x:c r="F13" s="47" t="str">
        <x:v>57575c803b4d34c24836f1946943d26980f41e574bcbd9f4a83e9f02f6621d2b</x:v>
      </x:c>
      <x:c r="G13" s="59" t="n">
        <x:v>12017</x:v>
      </x:c>
    </x:row>
    <x:row r="14">
      <x:c r="A14" s="47" t="str">
        <x:v>RUN-TRF-016-20260829T095510152165Z</x:v>
      </x:c>
      <x:c r="B14" s="47" t="str">
        <x:v>TRF-016</x:v>
      </x:c>
      <x:c r="C14" s="59" t="n">
        <x:v>1</x:v>
      </x:c>
      <x:c r="D14" s="47" t="str">
        <x:v>syntax_repair_raw_response</x:v>
      </x:c>
      <x:c r="E14" s="48" t="str">
        <x:v>artifacts/attempt_01/syntax_repair_raw_03.txt</x:v>
      </x:c>
      <x:c r="F14" s="47" t="str">
        <x:v>52b86fda6d0bd1f13b72c2d4c2447e88dce6388c9dec5392e895e287858453fe</x:v>
      </x:c>
      <x:c r="G14" s="59" t="n">
        <x:v>10596</x:v>
      </x:c>
    </x:row>
    <x:row r="15">
      <x:c r="A15" s="47" t="str">
        <x:v>RUN-TRF-016-20260829T095510152165Z</x:v>
      </x:c>
      <x:c r="B15" s="47" t="str">
        <x:v>TRF-016</x:v>
      </x:c>
      <x:c r="C15" s="59" t="n">
        <x:v>1</x:v>
      </x:c>
      <x:c r="D15" s="47" t="str">
        <x:v>candidate_shape</x:v>
      </x:c>
      <x:c r="E15" s="48" t="str">
        <x:v>artifacts/attempt_01/candidate_shape.ttl</x:v>
      </x:c>
      <x:c r="F15" s="47" t="str">
        <x:v>8cb9ada3c0c7ae7c0460c32e9537975d68f159e83d5a864c5f5b460dd33bd829</x:v>
      </x:c>
      <x:c r="G15" s="59" t="n">
        <x:v>10571</x:v>
      </x:c>
    </x:row>
    <x:row r="16">
      <x:c r="A16" s="47" t="str">
        <x:v>RUN-TRF-016-20260829T095510152165Z</x:v>
      </x:c>
      <x:c r="B16" s="47" t="str">
        <x:v>TRF-016</x:v>
      </x:c>
      <x:c r="C16" s="59" t="n">
        <x:v>1</x:v>
      </x:c>
      <x:c r="D16" s="47" t="str">
        <x:v>deterministic_validation</x:v>
      </x:c>
      <x:c r="E16" s="48" t="str">
        <x:v>artifacts/attempt_01/deterministic_validation.json</x:v>
      </x:c>
      <x:c r="F16" s="47" t="str">
        <x:v>38c55e37150bfe2f074b40c9516f6d4f4be9a3c6469cd42b1d8d8e20acdae776</x:v>
      </x:c>
      <x:c r="G16" s="59" t="n">
        <x:v>1329</x:v>
      </x:c>
    </x:row>
    <x:row r="17">
      <x:c r="A17" s="47" t="str">
        <x:v>RUN-TRF-016-20260829T095510152165Z</x:v>
      </x:c>
      <x:c r="B17" s="47" t="str">
        <x:v>TRF-016</x:v>
      </x:c>
      <x:c r="C17" s="59" t="n">
        <x:v>1</x:v>
      </x:c>
      <x:c r="D17" s="47" t="str">
        <x:v>validator_prompt</x:v>
      </x:c>
      <x:c r="E17" s="48" t="str">
        <x:v>artifacts/attempt_01/validator_prompt_01.txt</x:v>
      </x:c>
      <x:c r="F17" s="47" t="str">
        <x:v>3a7ae2638ff4a102854091a52a6cee17f25d9804ed44a15e01fecc12875a0e30</x:v>
      </x:c>
      <x:c r="G17" s="59" t="n">
        <x:v>52348</x:v>
      </x:c>
    </x:row>
    <x:row r="18">
      <x:c r="A18" s="47" t="str">
        <x:v>RUN-TRF-016-20260829T095510152165Z</x:v>
      </x:c>
      <x:c r="B18" s="47" t="str">
        <x:v>TRF-016</x:v>
      </x:c>
      <x:c r="C18" s="59" t="n">
        <x:v>1</x:v>
      </x:c>
      <x:c r="D18" s="47" t="str">
        <x:v>validator_raw_response</x:v>
      </x:c>
      <x:c r="E18" s="48" t="str">
        <x:v>artifacts/attempt_01/validator_raw_01.txt</x:v>
      </x:c>
      <x:c r="F18" s="47" t="str">
        <x:v>31c234e7573a920e90dea8f8d677dea14dc583b9ddd0212351608b9172f6e517</x:v>
      </x:c>
      <x:c r="G18" s="59" t="n">
        <x:v>581</x:v>
      </x:c>
    </x:row>
    <x:row r="19">
      <x:c r="A19" s="47" t="str">
        <x:v>RUN-TRF-016-20260829T095510152165Z</x:v>
      </x:c>
      <x:c r="B19" s="47" t="str">
        <x:v>TRF-016</x:v>
      </x:c>
      <x:c r="C19" s="59" t="n">
        <x:v>2</x:v>
      </x:c>
      <x:c r="D19" s="47" t="str">
        <x:v>generator_prompt</x:v>
      </x:c>
      <x:c r="E19" s="48" t="str">
        <x:v>artifacts/attempt_02/generator_prompt.txt</x:v>
      </x:c>
      <x:c r="F19" s="47" t="str">
        <x:v>f47866ea3154d13951eff2b371500d028233cd826c902bfab47e01a73f8401d6</x:v>
      </x:c>
      <x:c r="G19" s="59" t="n">
        <x:v>44368</x:v>
      </x:c>
    </x:row>
    <x:row r="20">
      <x:c r="A20" s="47" t="str">
        <x:v>RUN-TRF-016-20260829T095510152165Z</x:v>
      </x:c>
      <x:c r="B20" s="47" t="str">
        <x:v>TRF-016</x:v>
      </x:c>
      <x:c r="C20" s="59" t="n">
        <x:v>2</x:v>
      </x:c>
      <x:c r="D20" s="47" t="str">
        <x:v>generator_raw_response</x:v>
      </x:c>
      <x:c r="E20" s="48" t="str">
        <x:v>artifacts/attempt_02/generator_raw.txt</x:v>
      </x:c>
      <x:c r="F20" s="47" t="str">
        <x:v>6d2990ef5b0f1b307a71e0d238e71203d53806d05016f41aebbe69dbd76e50f2</x:v>
      </x:c>
      <x:c r="G20" s="59" t="n">
        <x:v>8290</x:v>
      </x:c>
    </x:row>
    <x:row r="21">
      <x:c r="A21" s="47" t="str">
        <x:v>RUN-TRF-016-20260829T095510152165Z</x:v>
      </x:c>
      <x:c r="B21" s="47" t="str">
        <x:v>TRF-016</x:v>
      </x:c>
      <x:c r="C21" s="59" t="n">
        <x:v>2</x:v>
      </x:c>
      <x:c r="D21" s="47" t="str">
        <x:v>syntax_repair_prompt</x:v>
      </x:c>
      <x:c r="E21" s="48" t="str">
        <x:v>artifacts/attempt_02/syntax_repair_prompt_01.txt</x:v>
      </x:c>
      <x:c r="F21" s="47" t="str">
        <x:v>0b19b99a41016108c77b4bb822c27e066b1460d3fc5dbcfca60f1e1d990d1129</x:v>
      </x:c>
      <x:c r="G21" s="59" t="n">
        <x:v>9725</x:v>
      </x:c>
    </x:row>
    <x:row r="22">
      <x:c r="A22" s="47" t="str">
        <x:v>RUN-TRF-016-20260829T095510152165Z</x:v>
      </x:c>
      <x:c r="B22" s="47" t="str">
        <x:v>TRF-016</x:v>
      </x:c>
      <x:c r="C22" s="59" t="n">
        <x:v>2</x:v>
      </x:c>
      <x:c r="D22" s="47" t="str">
        <x:v>syntax_repair_raw_response</x:v>
      </x:c>
      <x:c r="E22" s="48" t="str">
        <x:v>artifacts/attempt_02/syntax_repair_raw_01.txt</x:v>
      </x:c>
      <x:c r="F22" s="47" t="str">
        <x:v>6e043c7d279dbb803cec696731997712dfd09654a78df90289c6cef636c266f7</x:v>
      </x:c>
      <x:c r="G22" s="59" t="n">
        <x:v>8292</x:v>
      </x:c>
    </x:row>
    <x:row r="23">
      <x:c r="A23" s="47" t="str">
        <x:v>RUN-TRF-016-20260829T095510152165Z</x:v>
      </x:c>
      <x:c r="B23" s="47" t="str">
        <x:v>TRF-016</x:v>
      </x:c>
      <x:c r="C23" s="59" t="n">
        <x:v>2</x:v>
      </x:c>
      <x:c r="D23" s="47" t="str">
        <x:v>candidate_shape</x:v>
      </x:c>
      <x:c r="E23" s="48" t="str">
        <x:v>artifacts/attempt_02/candidate_shape.ttl</x:v>
      </x:c>
      <x:c r="F23" s="47" t="str">
        <x:v>b1c728e1374161ab65d30f72b794db144efa759d56884c1de4defd99c2997bbb</x:v>
      </x:c>
      <x:c r="G23" s="59" t="n">
        <x:v>8267</x:v>
      </x:c>
    </x:row>
    <x:row r="24">
      <x:c r="A24" s="47" t="str">
        <x:v>RUN-TRF-016-20260829T095510152165Z</x:v>
      </x:c>
      <x:c r="B24" s="47" t="str">
        <x:v>TRF-016</x:v>
      </x:c>
      <x:c r="C24" s="59" t="n">
        <x:v>2</x:v>
      </x:c>
      <x:c r="D24" s="47" t="str">
        <x:v>deterministic_validation</x:v>
      </x:c>
      <x:c r="E24" s="48" t="str">
        <x:v>artifacts/attempt_02/deterministic_validation.json</x:v>
      </x:c>
      <x:c r="F24" s="47" t="str">
        <x:v>b7b66b6e076795eb936ab3bd9558e6e4b539095336cea01c62416ee99984eec3</x:v>
      </x:c>
      <x:c r="G24" s="59" t="n">
        <x:v>1178</x:v>
      </x:c>
    </x:row>
    <x:row r="25">
      <x:c r="A25" s="47" t="str">
        <x:v>RUN-TRF-016-20260829T095510152165Z</x:v>
      </x:c>
      <x:c r="B25" s="47" t="str">
        <x:v>TRF-016</x:v>
      </x:c>
      <x:c r="C25" s="59" t="n">
        <x:v>2</x:v>
      </x:c>
      <x:c r="D25" s="47" t="str">
        <x:v>validator_prompt</x:v>
      </x:c>
      <x:c r="E25" s="48" t="str">
        <x:v>artifacts/attempt_02/validator_prompt_01.txt</x:v>
      </x:c>
      <x:c r="F25" s="47" t="str">
        <x:v>a18a622c36ca43d1e10e7c07396f9dab0cd4030b75c34a2c89eae207f38acdf2</x:v>
      </x:c>
      <x:c r="G25" s="59" t="n">
        <x:v>49465</x:v>
      </x:c>
    </x:row>
    <x:row r="26">
      <x:c r="A26" s="47" t="str">
        <x:v>RUN-TRF-016-20260829T095510152165Z</x:v>
      </x:c>
      <x:c r="B26" s="47" t="str">
        <x:v>TRF-016</x:v>
      </x:c>
      <x:c r="C26" s="59" t="n">
        <x:v>2</x:v>
      </x:c>
      <x:c r="D26" s="47" t="str">
        <x:v>validator_raw_response</x:v>
      </x:c>
      <x:c r="E26" s="48" t="str">
        <x:v>artifacts/attempt_02/validator_raw_01.txt</x:v>
      </x:c>
      <x:c r="F26" s="47" t="str">
        <x:v>9ba93c8ba931c453212fcac317d5bdbbeb427c67ea89e2626b9037432372d3d5</x:v>
      </x:c>
      <x:c r="G26" s="59" t="n">
        <x:v>1050</x:v>
      </x:c>
    </x:row>
    <x:row r="27">
      <x:c r="A27" s="47" t="str">
        <x:v>RUN-TRF-016-20260829T095510152165Z</x:v>
      </x:c>
      <x:c r="B27" s="47" t="str">
        <x:v>TRF-016</x:v>
      </x:c>
      <x:c r="C27" s="59" t="n">
        <x:v>2</x:v>
      </x:c>
      <x:c r="D27" s="47" t="str">
        <x:v>matcher_candidates</x:v>
      </x:c>
      <x:c r="E27" s="48" t="str">
        <x:v>artifacts/attempt_02/matcher_candidates.json</x:v>
      </x:c>
      <x:c r="F27" s="47" t="str">
        <x:v>40156e01d05d3bbcd447a8add0903175a5c8c74a092984fe6f3ad26ec232f5b6</x:v>
      </x:c>
      <x:c r="G27" s="59" t="n">
        <x:v>8190</x:v>
      </x:c>
    </x:row>
    <x:row r="28">
      <x:c r="A28" s="47" t="str">
        <x:v>RUN-TRF-016-20260829T095510152165Z</x:v>
      </x:c>
      <x:c r="B28" s="47" t="str">
        <x:v>TRF-016</x:v>
      </x:c>
      <x:c r="C28" s="59" t="n">
        <x:v>2</x:v>
      </x:c>
      <x:c r="D28" s="47" t="str">
        <x:v>vocabulary_matcher_prompt</x:v>
      </x:c>
      <x:c r="E28" s="48" t="str">
        <x:v>artifacts/attempt_02/vocabulary_matcher_prompt_01.txt</x:v>
      </x:c>
      <x:c r="F28" s="47" t="str">
        <x:v>9f049bd44705ba854864bb25d7d17f8f7077a4dac5b4b897c551a91741591d17</x:v>
      </x:c>
      <x:c r="G28" s="59" t="n">
        <x:v>15250</x:v>
      </x:c>
    </x:row>
    <x:row r="29">
      <x:c r="A29" s="47" t="str">
        <x:v>RUN-TRF-016-20260829T095510152165Z</x:v>
      </x:c>
      <x:c r="B29" s="47" t="str">
        <x:v>TRF-016</x:v>
      </x:c>
      <x:c r="C29" s="59" t="n">
        <x:v>2</x:v>
      </x:c>
      <x:c r="D29" s="47" t="str">
        <x:v>vocabulary_matcher_raw_response</x:v>
      </x:c>
      <x:c r="E29" s="48" t="str">
        <x:v>artifacts/attempt_02/vocabulary_matcher_raw_01.txt</x:v>
      </x:c>
      <x:c r="F29" s="47" t="str">
        <x:v>34fac188dfc9b9e01974dea67da25badf0683a00ca3a79429acd2e53f6d8fc1f</x:v>
      </x:c>
      <x:c r="G29" s="59" t="n">
        <x:v>493</x:v>
      </x:c>
    </x:row>
    <x:row r="30">
      <x:c r="A30" s="47" t="str">
        <x:v>RUN-TRF-016-20260829T095510152165Z</x:v>
      </x:c>
      <x:c r="B30" s="47" t="str">
        <x:v>TRF-016</x:v>
      </x:c>
      <x:c r="C30" s="59" t="n">
        <x:v>3</x:v>
      </x:c>
      <x:c r="D30" s="47" t="str">
        <x:v>expanded_context_pack</x:v>
      </x:c>
      <x:c r="E30" s="48" t="str">
        <x:v>artifacts/attempt_03/context_pack_expanded.json</x:v>
      </x:c>
      <x:c r="F30" s="47" t="str">
        <x:v>e1323f8e5995656da84017e986db2cc81db9acc7db5dd50c96cdf1aaf2244a49</x:v>
      </x:c>
      <x:c r="G30" s="59" t="n">
        <x:v>27590</x:v>
      </x:c>
    </x:row>
    <x:row r="31">
      <x:c r="A31" s="47" t="str">
        <x:v>RUN-TRF-016-20260829T095510152165Z</x:v>
      </x:c>
      <x:c r="B31" s="47" t="str">
        <x:v>TRF-016</x:v>
      </x:c>
      <x:c r="C31" s="59" t="n">
        <x:v>3</x:v>
      </x:c>
      <x:c r="D31" s="47" t="str">
        <x:v>generator_prompt</x:v>
      </x:c>
      <x:c r="E31" s="48" t="str">
        <x:v>artifacts/attempt_03/generator_prompt.txt</x:v>
      </x:c>
      <x:c r="F31" s="47" t="str">
        <x:v>7a55237d81f092a227009b5d475a33121f8c67ae2e99c5d0d4afdd6724f76352</x:v>
      </x:c>
      <x:c r="G31" s="59" t="n">
        <x:v>45823</x:v>
      </x:c>
    </x:row>
    <x:row r="32">
      <x:c r="A32" s="47" t="str">
        <x:v>RUN-TRF-016-20260829T095510152165Z</x:v>
      </x:c>
      <x:c r="B32" s="47" t="str">
        <x:v>TRF-016</x:v>
      </x:c>
      <x:c r="C32" s="59" t="n">
        <x:v>3</x:v>
      </x:c>
      <x:c r="D32" s="47" t="str">
        <x:v>generator_raw_response</x:v>
      </x:c>
      <x:c r="E32" s="48" t="str">
        <x:v>artifacts/attempt_03/generator_raw.txt</x:v>
      </x:c>
      <x:c r="F32" s="47" t="str">
        <x:v>93ba1f93b3a85b4aa0108be620f9f074557f4fe990c6a9f79aee89121fa6b15e</x:v>
      </x:c>
      <x:c r="G32" s="59" t="n">
        <x:v>7794</x:v>
      </x:c>
    </x:row>
    <x:row r="33">
      <x:c r="A33" s="47" t="str">
        <x:v>RUN-TRF-016-20260829T095510152165Z</x:v>
      </x:c>
      <x:c r="B33" s="47" t="str">
        <x:v>TRF-016</x:v>
      </x:c>
      <x:c r="C33" s="59" t="n">
        <x:v>3</x:v>
      </x:c>
      <x:c r="D33" s="47" t="str">
        <x:v>syntax_repair_prompt</x:v>
      </x:c>
      <x:c r="E33" s="48" t="str">
        <x:v>artifacts/attempt_03/syntax_repair_prompt_01.txt</x:v>
      </x:c>
      <x:c r="F33" s="47" t="str">
        <x:v>07d5113500d23efd6170a101c6de3665c22e7fc3d5ff193da504aeca9633a8cb</x:v>
      </x:c>
      <x:c r="G33" s="59" t="n">
        <x:v>9193</x:v>
      </x:c>
    </x:row>
    <x:row r="34">
      <x:c r="A34" s="47" t="str">
        <x:v>RUN-TRF-016-20260829T095510152165Z</x:v>
      </x:c>
      <x:c r="B34" s="47" t="str">
        <x:v>TRF-016</x:v>
      </x:c>
      <x:c r="C34" s="59" t="n">
        <x:v>3</x:v>
      </x:c>
      <x:c r="D34" s="47" t="str">
        <x:v>syntax_repair_raw_response</x:v>
      </x:c>
      <x:c r="E34" s="48" t="str">
        <x:v>artifacts/attempt_03/syntax_repair_raw_01.txt</x:v>
      </x:c>
      <x:c r="F34" s="47" t="str">
        <x:v>56e1b600b803765cb15db5204cecb8541618d7ea2fca072084db873e0553a839</x:v>
      </x:c>
      <x:c r="G34" s="59" t="n">
        <x:v>7794</x:v>
      </x:c>
    </x:row>
    <x:row r="35">
      <x:c r="A35" s="47" t="str">
        <x:v>RUN-TRF-016-20260829T095510152165Z</x:v>
      </x:c>
      <x:c r="B35" s="47" t="str">
        <x:v>TRF-016</x:v>
      </x:c>
      <x:c r="C35" s="59" t="n">
        <x:v>3</x:v>
      </x:c>
      <x:c r="D35" s="47" t="str">
        <x:v>candidate_shape</x:v>
      </x:c>
      <x:c r="E35" s="48" t="str">
        <x:v>artifacts/attempt_03/candidate_shape.ttl</x:v>
      </x:c>
      <x:c r="F35" s="47" t="str">
        <x:v>94206221277ab7ce2b24d9488df715109293a06370b564ffb07c53a38456c615</x:v>
      </x:c>
      <x:c r="G35" s="59" t="n">
        <x:v>7769</x:v>
      </x:c>
    </x:row>
    <x:row r="36">
      <x:c r="A36" s="47" t="str">
        <x:v>RUN-TRF-016-20260829T095510152165Z</x:v>
      </x:c>
      <x:c r="B36" s="47" t="str">
        <x:v>TRF-016</x:v>
      </x:c>
      <x:c r="C36" s="59" t="n">
        <x:v>3</x:v>
      </x:c>
      <x:c r="D36" s="47" t="str">
        <x:v>deterministic_validation</x:v>
      </x:c>
      <x:c r="E36" s="48" t="str">
        <x:v>artifacts/attempt_03/deterministic_validation.json</x:v>
      </x:c>
      <x:c r="F36" s="47" t="str">
        <x:v>989efa23929a8517961b90bdb717621e5ebcf85e98cc022d6e0fcfe5891a714b</x:v>
      </x:c>
      <x:c r="G36" s="59" t="n">
        <x:v>1226</x:v>
      </x:c>
    </x:row>
    <x:row r="37">
      <x:c r="A37" s="47" t="str">
        <x:v>RUN-TRF-016-20260829T095510152165Z</x:v>
      </x:c>
      <x:c r="B37" s="47" t="str">
        <x:v>TRF-016</x:v>
      </x:c>
      <x:c r="C37" s="59" t="n">
        <x:v>3</x:v>
      </x:c>
      <x:c r="D37" s="47" t="str">
        <x:v>validator_prompt</x:v>
      </x:c>
      <x:c r="E37" s="48" t="str">
        <x:v>artifacts/attempt_03/validator_prompt_01.txt</x:v>
      </x:c>
      <x:c r="F37" s="47" t="str">
        <x:v>8042570c0d5fe83d9266e354d2b10702a53adba531ce398ef1eaa68dc2b4dbf8</x:v>
      </x:c>
      <x:c r="G37" s="59" t="n">
        <x:v>50779</x:v>
      </x:c>
    </x:row>
    <x:row r="38">
      <x:c r="A38" s="47" t="str">
        <x:v>RUN-TRF-016-20260829T095510152165Z</x:v>
      </x:c>
      <x:c r="B38" s="47" t="str">
        <x:v>TRF-016</x:v>
      </x:c>
      <x:c r="C38" s="59" t="n">
        <x:v>3</x:v>
      </x:c>
      <x:c r="D38" s="47" t="str">
        <x:v>validator_raw_response</x:v>
      </x:c>
      <x:c r="E38" s="48" t="str">
        <x:v>artifacts/attempt_03/validator_raw_01.txt</x:v>
      </x:c>
      <x:c r="F38" s="47" t="str">
        <x:v>00804b0fe3bae22659667904cf41915d21048e35a6a75b6945a946ced53f6edf</x:v>
      </x:c>
      <x:c r="G38" s="59" t="n">
        <x:v>1078</x:v>
      </x:c>
    </x:row>
    <x:row r="39">
      <x:c r="A39" s="47" t="str">
        <x:v>RUN-TRF-016-20260829T095510152165Z</x:v>
      </x:c>
      <x:c r="B39" s="47" t="str">
        <x:v>TRF-016</x:v>
      </x:c>
      <x:c r="C39" s="59" t="n">
        <x:v>3</x:v>
      </x:c>
      <x:c r="D39" s="47" t="str">
        <x:v>matcher_candidates</x:v>
      </x:c>
      <x:c r="E39" s="48" t="str">
        <x:v>artifacts/attempt_03/matcher_candidates.json</x:v>
      </x:c>
      <x:c r="F39" s="47" t="str">
        <x:v>fffbff3de85ffc2112f41184e86abf1a402eebb14fd5090ee4f13b18c0f3b28b</x:v>
      </x:c>
      <x:c r="G39" s="59" t="n">
        <x:v>2738</x:v>
      </x:c>
    </x:row>
    <x:row r="40">
      <x:c r="A40" s="47" t="str">
        <x:v>RUN-TRF-016-20260829T095510152165Z</x:v>
      </x:c>
      <x:c r="B40" s="47" t="str">
        <x:v>TRF-016</x:v>
      </x:c>
      <x:c r="C40" s="59" t="n">
        <x:v>3</x:v>
      </x:c>
      <x:c r="D40" s="47" t="str">
        <x:v>vocabulary_matcher_prompt</x:v>
      </x:c>
      <x:c r="E40" s="48" t="str">
        <x:v>artifacts/attempt_03/vocabulary_matcher_prompt_01.txt</x:v>
      </x:c>
      <x:c r="F40" s="47" t="str">
        <x:v>6737a9d7a145813e7034098724a10e6a30311d19dc263ecaf457dd967ad898de</x:v>
      </x:c>
      <x:c r="G40" s="59" t="n">
        <x:v>9554</x:v>
      </x:c>
    </x:row>
    <x:row r="41">
      <x:c r="A41" s="47" t="str">
        <x:v>RUN-TRF-016-20260829T095510152165Z</x:v>
      </x:c>
      <x:c r="B41" s="47" t="str">
        <x:v>TRF-016</x:v>
      </x:c>
      <x:c r="C41" s="59" t="n">
        <x:v>3</x:v>
      </x:c>
      <x:c r="D41" s="47" t="str">
        <x:v>vocabulary_matcher_raw_response</x:v>
      </x:c>
      <x:c r="E41" s="48" t="str">
        <x:v>artifacts/attempt_03/vocabulary_matcher_raw_01.txt</x:v>
      </x:c>
      <x:c r="F41" s="47" t="str">
        <x:v>216da26752feafc2dc32a6b2aa59b41cb675609f84aac1c1372ec7fdcd948a8e</x:v>
      </x:c>
      <x:c r="G41" s="59" t="n">
        <x:v>430</x:v>
      </x:c>
    </x:row>
    <x:row r="42">
      <x:c r="A42" s="47" t="str">
        <x:v>RUN-TRF-016-20260829T095510152165Z</x:v>
      </x:c>
      <x:c r="B42" s="47" t="str">
        <x:v>TRF-016</x:v>
      </x:c>
      <x:c r="C42" s="59" t="n">
        <x:v>4</x:v>
      </x:c>
      <x:c r="D42" s="47" t="str">
        <x:v>expanded_context_pack</x:v>
      </x:c>
      <x:c r="E42" s="48" t="str">
        <x:v>artifacts/attempt_04/context_pack_expanded.json</x:v>
      </x:c>
      <x:c r="F42" s="47" t="str">
        <x:v>d9259f8ca8f9470dc73435480d2e0b8a29658fe04ac74d392d8ae5cd50ad10ac</x:v>
      </x:c>
      <x:c r="G42" s="59" t="n">
        <x:v>27628</x:v>
      </x:c>
    </x:row>
    <x:row r="43">
      <x:c r="A43" s="47" t="str">
        <x:v>RUN-TRF-016-20260829T095510152165Z</x:v>
      </x:c>
      <x:c r="B43" s="47" t="str">
        <x:v>TRF-016</x:v>
      </x:c>
      <x:c r="C43" s="59" t="n">
        <x:v>4</x:v>
      </x:c>
      <x:c r="D43" s="47" t="str">
        <x:v>generator_prompt</x:v>
      </x:c>
      <x:c r="E43" s="48" t="str">
        <x:v>artifacts/attempt_04/generator_prompt.txt</x:v>
      </x:c>
      <x:c r="F43" s="47" t="str">
        <x:v>1690dd44eb275bac440edac20db19d8419e66d85837b29b31c8e5bcdde6654cb</x:v>
      </x:c>
      <x:c r="G43" s="59" t="n">
        <x:v>47253</x:v>
      </x:c>
    </x:row>
    <x:row r="44">
      <x:c r="A44" s="47" t="str">
        <x:v>RUN-TRF-016-20260829T095510152165Z</x:v>
      </x:c>
      <x:c r="B44" s="47" t="str">
        <x:v>TRF-016</x:v>
      </x:c>
      <x:c r="C44" s="59" t="n">
        <x:v>4</x:v>
      </x:c>
      <x:c r="D44" s="47" t="str">
        <x:v>generator_raw_response</x:v>
      </x:c>
      <x:c r="E44" s="48" t="str">
        <x:v>artifacts/attempt_04/generator_raw.txt</x:v>
      </x:c>
      <x:c r="F44" s="47" t="str">
        <x:v>530322d043b98b9992f2bb7d296be7aa92bb75c9b0183ab0f84fa48f8d4fa7af</x:v>
      </x:c>
      <x:c r="G44" s="59" t="n">
        <x:v>8898</x:v>
      </x:c>
    </x:row>
    <x:row r="45">
      <x:c r="A45" s="47" t="str">
        <x:v>RUN-TRF-016-20260829T095510152165Z</x:v>
      </x:c>
      <x:c r="B45" s="47" t="str">
        <x:v>TRF-016</x:v>
      </x:c>
      <x:c r="C45" s="59" t="n">
        <x:v>4</x:v>
      </x:c>
      <x:c r="D45" s="47" t="str">
        <x:v>syntax_repair_prompt</x:v>
      </x:c>
      <x:c r="E45" s="48" t="str">
        <x:v>artifacts/attempt_04/syntax_repair_prompt_01.txt</x:v>
      </x:c>
      <x:c r="F45" s="47" t="str">
        <x:v>e4ab3d5a99ab930f3ba1886ae4982aa4c4eed5441e7b536fdeb0de1ca37bae31</x:v>
      </x:c>
      <x:c r="G45" s="59" t="n">
        <x:v>10184</x:v>
      </x:c>
    </x:row>
    <x:row r="46">
      <x:c r="A46" s="47" t="str">
        <x:v>RUN-TRF-016-20260829T095510152165Z</x:v>
      </x:c>
      <x:c r="B46" s="47" t="str">
        <x:v>TRF-016</x:v>
      </x:c>
      <x:c r="C46" s="59" t="n">
        <x:v>4</x:v>
      </x:c>
      <x:c r="D46" s="47" t="str">
        <x:v>syntax_repair_raw_response</x:v>
      </x:c>
      <x:c r="E46" s="48" t="str">
        <x:v>artifacts/attempt_04/syntax_repair_raw_01.txt</x:v>
      </x:c>
      <x:c r="F46" s="47" t="str">
        <x:v>17e72b2b9c0b8dce2e3c14c4882cb4e8a3ccb60a5416fd59a5cb47f25c86ed01</x:v>
      </x:c>
      <x:c r="G46" s="59" t="n">
        <x:v>8895</x:v>
      </x:c>
    </x:row>
    <x:row r="47">
      <x:c r="A47" s="47" t="str">
        <x:v>RUN-TRF-016-20260829T095510152165Z</x:v>
      </x:c>
      <x:c r="B47" s="47" t="str">
        <x:v>TRF-016</x:v>
      </x:c>
      <x:c r="C47" s="59" t="n">
        <x:v>4</x:v>
      </x:c>
      <x:c r="D47" s="47" t="str">
        <x:v>candidate_shape</x:v>
      </x:c>
      <x:c r="E47" s="48" t="str">
        <x:v>artifacts/attempt_04/candidate_shape.ttl</x:v>
      </x:c>
      <x:c r="F47" s="47" t="str">
        <x:v>d359c71fa747a2dfc6fc6f0e4534197f2e874b016c1819231a1bc6312f337aab</x:v>
      </x:c>
      <x:c r="G47" s="59" t="n">
        <x:v>8870</x:v>
      </x:c>
    </x:row>
    <x:row r="48">
      <x:c r="A48" s="47" t="str">
        <x:v>RUN-TRF-016-20260829T095510152165Z</x:v>
      </x:c>
      <x:c r="B48" s="47" t="str">
        <x:v>TRF-016</x:v>
      </x:c>
      <x:c r="C48" s="59" t="n">
        <x:v>4</x:v>
      </x:c>
      <x:c r="D48" s="47" t="str">
        <x:v>deterministic_validation</x:v>
      </x:c>
      <x:c r="E48" s="48" t="str">
        <x:v>artifacts/attempt_04/deterministic_validation.json</x:v>
      </x:c>
      <x:c r="F48" s="47" t="str">
        <x:v>92c1bd9cefa6a376e332ed29cf6c6c8b78599d1ad5efdc9398d68162e162a5b6</x:v>
      </x:c>
      <x:c r="G48" s="59" t="n">
        <x:v>1272</x:v>
      </x:c>
    </x:row>
    <x:row r="49">
      <x:c r="A49" s="47" t="str">
        <x:v>RUN-TRF-016-20260829T095510152165Z</x:v>
      </x:c>
      <x:c r="B49" s="47" t="str">
        <x:v>TRF-016</x:v>
      </x:c>
      <x:c r="C49" s="59" t="n">
        <x:v>4</x:v>
      </x:c>
      <x:c r="D49" s="47" t="str">
        <x:v>validator_prompt</x:v>
      </x:c>
      <x:c r="E49" s="48" t="str">
        <x:v>artifacts/attempt_04/validator_prompt_01.txt</x:v>
      </x:c>
      <x:c r="F49" s="47" t="str">
        <x:v>3ce51c2ffff31a9f1e3b302b573b26b55e96461ab99fa6dd5762865f66c06f91</x:v>
      </x:c>
      <x:c r="G49" s="59" t="n">
        <x:v>53606</x:v>
      </x:c>
    </x:row>
    <x:row r="50">
      <x:c r="A50" s="47" t="str">
        <x:v>RUN-TRF-016-20260829T095510152165Z</x:v>
      </x:c>
      <x:c r="B50" s="47" t="str">
        <x:v>TRF-016</x:v>
      </x:c>
      <x:c r="C50" s="59" t="n">
        <x:v>4</x:v>
      </x:c>
      <x:c r="D50" s="47" t="str">
        <x:v>validator_raw_response</x:v>
      </x:c>
      <x:c r="E50" s="48" t="str">
        <x:v>artifacts/attempt_04/validator_raw_01.txt</x:v>
      </x:c>
      <x:c r="F50" s="47" t="str">
        <x:v>3aee2e7fb2999cb34a3c4ca6376da6ade903df579b263d9c3507a02a4f343ed9</x:v>
      </x:c>
      <x:c r="G50" s="59" t="n">
        <x:v>1197</x:v>
      </x:c>
    </x:row>
    <x:row r="51">
      <x:c r="A51" s="47" t="str">
        <x:v>RUN-TRF-016-20260829T095510152165Z</x:v>
      </x:c>
      <x:c r="B51" s="47" t="str">
        <x:v>TRF-016</x:v>
      </x:c>
      <x:c r="C51" s="59" t="n">
        <x:v>4</x:v>
      </x:c>
      <x:c r="D51" s="47" t="str">
        <x:v>matcher_candidates</x:v>
      </x:c>
      <x:c r="E51" s="48" t="str">
        <x:v>artifacts/attempt_04/matcher_candidates.json</x:v>
      </x:c>
      <x:c r="F51" s="47" t="str">
        <x:v>7d6239607fc43d27179a7981ba8b4a0ea6eb4148b2104733e281c4268d3e1d10</x:v>
      </x:c>
      <x:c r="G51" s="59" t="n">
        <x:v>7618</x:v>
      </x:c>
    </x:row>
    <x:row r="52">
      <x:c r="A52" s="47" t="str">
        <x:v>RUN-TRF-016-20260829T095510152165Z</x:v>
      </x:c>
      <x:c r="B52" s="47" t="str">
        <x:v>TRF-016</x:v>
      </x:c>
      <x:c r="C52" s="59" t="n">
        <x:v>4</x:v>
      </x:c>
      <x:c r="D52" s="47" t="str">
        <x:v>vocabulary_matcher_prompt</x:v>
      </x:c>
      <x:c r="E52" s="48" t="str">
        <x:v>artifacts/attempt_04/vocabulary_matcher_prompt_01.txt</x:v>
      </x:c>
      <x:c r="F52" s="47" t="str">
        <x:v>48b3f0bd628786c3b8af9b5a5ada9a47838e075fb77042fc0129ad5bdddd01d8</x:v>
      </x:c>
      <x:c r="G52" s="59" t="n">
        <x:v>14803</x:v>
      </x:c>
    </x:row>
    <x:row r="53">
      <x:c r="A53" s="49" t="str">
        <x:v>RUN-TRF-016-20260829T095510152165Z</x:v>
      </x:c>
      <x:c r="B53" s="49" t="str">
        <x:v>TRF-016</x:v>
      </x:c>
      <x:c r="C53" s="60" t="n">
        <x:v>4</x:v>
      </x:c>
      <x:c r="D53" s="49" t="str">
        <x:v>vocabulary_matcher_raw_response</x:v>
      </x:c>
      <x:c r="E53" s="50" t="str">
        <x:v>artifacts/attempt_04/vocabulary_matcher_raw_01.txt</x:v>
      </x:c>
      <x:c r="F53" s="49" t="str">
        <x:v>a47f3adf9d135202e9946cf125e30bbbd6d394508e1f0b8e8b43635fa3d4d053</x:v>
      </x:c>
      <x:c r="G53" s="60" t="n">
        <x:v>89</x:v>
      </x:c>
    </x:row>
  </x:sheetData>
  <x:pageMargins left="0.7" right="0.7" top="0.75" bottom="0.75" header="0.3" footer="0.3"/>
  <x:tableParts count="1">
    <x:tablePart xmlns:r="http://schemas.openxmlformats.org/officeDocument/2006/relationships" r:id="R5435450a36794b01"/>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RUN-TRF-016-20260829T095510152165Z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RUN-TRF-016-20260829T095510152165Z</x:v>
      </x:c>
      <x:c r="B5" s="69" t="str">
        <x:v>TRF-016</x:v>
      </x:c>
      <x:c r="C5" s="71" t="n">
        <x:v>4</x:v>
      </x:c>
      <x:c r="D5" s="69" t="str">
        <x:v>TERM_RESOLUTION_UNRESOLVED</x:v>
      </x:c>
      <x:c r="E5" s="73" t="str">
        <x:v>Retain the prior ballast-tank implication, boolean datatype, ship ownership, and directional forward-draught formula repairs. The ballast-tank sh:or still permits missing branch-selection evidence: require both situatedAboveLowerIceWaterline and usedToReachLowerIceWaterline, and enforce freezingPreventionPresent=true exactly when both are true; allow either explicitly present false case without requiring freezing prevention. The UIWL selection remains absent: the candidate merely requires an upper ice waterline and checks a ship-level displacementAtUpperIceWaterline, without proving that it corresponds to the greatest displacement among all linked UIWLs. Do not move or duplicate displacement facts. Use the authoritative ship-owned waterlineDisplacement on each linked iceWaterline and an owner-compatible canonical cross-owner path selecting the maximum linked displacement; locate/request that missing canonical path. Constrain hasUpperIceWaterline to the required relationship rather than presence-only. Preserve the valid min formula and expected-value-scaled tolerance, and do not introduce ABS or unsupported functions.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d4d704650ddb437c"/>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RUN-TRF-016-20260829T095510152165Z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