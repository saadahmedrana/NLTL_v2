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ables/table10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7b9e05ee62746b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f0e80a2dfb2d4b35"/>
    <x:sheet xmlns:r="http://schemas.openxmlformats.org/officeDocument/2006/relationships" name="README" sheetId="2" r:id="Rc6d78f0ccf724943"/>
    <x:sheet xmlns:r="http://schemas.openxmlformats.org/officeDocument/2006/relationships" name="REGULATION_QUEUE" sheetId="3" r:id="R5de889d09196494a"/>
    <x:sheet xmlns:r="http://schemas.openxmlformats.org/officeDocument/2006/relationships" name="RUNS" sheetId="4" r:id="R3340983a4c3c4f74"/>
    <x:sheet xmlns:r="http://schemas.openxmlformats.org/officeDocument/2006/relationships" name="ITERATIONS" sheetId="5" r:id="Re68c217032b84d9b"/>
    <x:sheet xmlns:r="http://schemas.openxmlformats.org/officeDocument/2006/relationships" name="API_CALLS" sheetId="6" r:id="R2386b8df1de84d09"/>
    <x:sheet xmlns:r="http://schemas.openxmlformats.org/officeDocument/2006/relationships" name="TERM_RETRIEVAL" sheetId="7" r:id="R93001a9cc75e47ee"/>
    <x:sheet xmlns:r="http://schemas.openxmlformats.org/officeDocument/2006/relationships" name="FEW_SHOT_SELECTION" sheetId="8" r:id="Rbc739584456d4fbc"/>
    <x:sheet xmlns:r="http://schemas.openxmlformats.org/officeDocument/2006/relationships" name="VALIDATION" sheetId="9" r:id="R72acf3a3d2c5489d"/>
    <x:sheet xmlns:r="http://schemas.openxmlformats.org/officeDocument/2006/relationships" name="VOCAB_MATCHES" sheetId="10" r:id="R589a1d993a744d8e"/>
    <x:sheet xmlns:r="http://schemas.openxmlformats.org/officeDocument/2006/relationships" name="ARTIFACTS" sheetId="11" r:id="R8fc611e70bc24c29"/>
    <x:sheet xmlns:r="http://schemas.openxmlformats.org/officeDocument/2006/relationships" name="UNRESOLVED" sheetId="12" r:id="R49d9131580004684"/>
    <x:sheet xmlns:r="http://schemas.openxmlformats.org/officeDocument/2006/relationships" name="RDF_TEST_QUEUE" sheetId="13" r:id="Rc29e8fb295f24cf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7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1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2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3" xfId="0" applyNumberFormat="1" applyFont="1" applyFill="1" applyBorder="1" applyAlignment="1">
      <x:alignment vertical="top"/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2" fontId="6" fillId="0" borderId="2" xfId="0" applyNumberFormat="1" applyFont="1" applyFill="1" applyBorder="1" applyAlignment="1">
      <x:alignment vertical="top"/>
    </x:xf>
    <x:xf numFmtId="202" fontId="6" fillId="0" borderId="3" xfId="0" applyNumberFormat="1" applyFont="1" applyFill="1" applyBorder="1" applyAlignment="1">
      <x:alignment vertical="top"/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2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54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35d3e924e654da4" /><Relationship Type="http://schemas.openxmlformats.org/officeDocument/2006/relationships/theme" Target="/xl/theme/theme1.xml" Id="R8b68e75c5e004568" /><Relationship Type="http://schemas.microsoft.com/office/2022/11/relationships/FeaturePropertyBag" Target="/xl/featurePropertyBag/featurePropertyBag.xml" Id="R2a3c826edf864498" /><Relationship Type="http://schemas.openxmlformats.org/officeDocument/2006/relationships/sharedStrings" Target="/xl/sharedStrings.xml" Id="R205bb51395df495a" /><Relationship Type="http://schemas.openxmlformats.org/officeDocument/2006/relationships/worksheet" Target="/xl/worksheets/sheet1.xml" Id="Rf0e80a2dfb2d4b35" /><Relationship Type="http://schemas.openxmlformats.org/officeDocument/2006/relationships/worksheet" Target="/xl/worksheets/sheet2.xml" Id="Rc6d78f0ccf724943" /><Relationship Type="http://schemas.openxmlformats.org/officeDocument/2006/relationships/worksheet" Target="/xl/worksheets/sheet3.xml" Id="R5de889d09196494a" /><Relationship Type="http://schemas.openxmlformats.org/officeDocument/2006/relationships/worksheet" Target="/xl/worksheets/sheet4.xml" Id="R3340983a4c3c4f74" /><Relationship Type="http://schemas.openxmlformats.org/officeDocument/2006/relationships/worksheet" Target="/xl/worksheets/sheet5.xml" Id="Re68c217032b84d9b" /><Relationship Type="http://schemas.openxmlformats.org/officeDocument/2006/relationships/worksheet" Target="/xl/worksheets/sheet6.xml" Id="R2386b8df1de84d09" /><Relationship Type="http://schemas.openxmlformats.org/officeDocument/2006/relationships/worksheet" Target="/xl/worksheets/sheet7.xml" Id="R93001a9cc75e47ee" /><Relationship Type="http://schemas.openxmlformats.org/officeDocument/2006/relationships/worksheet" Target="/xl/worksheets/sheet8.xml" Id="Rbc739584456d4fbc" /><Relationship Type="http://schemas.openxmlformats.org/officeDocument/2006/relationships/worksheet" Target="/xl/worksheets/sheet9.xml" Id="R72acf3a3d2c5489d" /><Relationship Type="http://schemas.openxmlformats.org/officeDocument/2006/relationships/worksheet" Target="/xl/worksheets/sheet10.xml" Id="R589a1d993a744d8e" /><Relationship Type="http://schemas.openxmlformats.org/officeDocument/2006/relationships/worksheet" Target="/xl/worksheets/sheet11.xml" Id="R8fc611e70bc24c29" /><Relationship Type="http://schemas.openxmlformats.org/officeDocument/2006/relationships/worksheet" Target="/xl/worksheets/sheet12.xml" Id="R49d9131580004684" /><Relationship Type="http://schemas.openxmlformats.org/officeDocument/2006/relationships/worksheet" Target="/xl/worksheets/sheet13.xml" Id="Rc29e8fb295f24cfc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7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18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41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7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27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2_RDFTESTQUEUE" displayName="T12_RDFTESTQUEUE" ref="A4:F5" headerRowCount="1" totalsRowCount="0" totalsRowShown="0">
  <x:tableColumns count="6">
    <x:tableColumn id="1" name="RUN_ID"/>
    <x:tableColumn id="2" name="REQUIREMENT_ID"/>
    <x:tableColumn id="3" name="FINAL_SHAPE"/>
    <x:tableColumn id="4" name="GENERATION_STATUS"/>
    <x:tableColumn id="5" name="RDF_EVALUATION_STATUS"/>
    <x:tableColumn id="6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d29622265110499c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8bb0b1fc102c47d4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c259f5e907da4bd1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c4d10607df5b4ad0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41aec2e392dd43e9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a01aabaca0464761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8b62ac13446b40a8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7a69f6d9ca1e49d3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129b9ef89d094018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0.xml" Id="Re21f2989dc234e62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RUN-TRF-020-20260829T100212841602Z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1</x:v>
      </x:c>
      <x:c r="C8" s="21"/>
      <x:c r="D8" s="21"/>
    </x:row>
    <x:row r="9">
      <x:c r="A9" s="25" t="str">
        <x:v>API/LLM records</x:v>
      </x:c>
      <x:c r="B9" s="26" t="n">
        <x:f>COUNTA('API_CALLS'!$A$5:$A$18)</x:f>
        <x:v>14</x:v>
      </x:c>
      <x:c r="C9" s="21"/>
      <x:c r="D9" s="21"/>
    </x:row>
    <x:row r="10">
      <x:c r="A10" s="27" t="str">
        <x:v>Mean API/LLM elapsed ms</x:v>
      </x:c>
      <x:c r="B10" s="28" t="n">
        <x:f>IFERROR(AVERAGE('API_CALLS'!$K$5:$K$18),0)</x:f>
        <x:v>21898.06442857143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RUN-TRF-020-20260829T100212841602Z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d29622265110499c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RUN-TRF-020-20260829T100212841602Z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GENERATION_ACCEPTED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8bb0b1fc102c47d4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3" hidden="0" customWidth="1"/>
    <x:col min="7" max="7" width="24" hidden="0" customWidth="1"/>
    <x:col min="8" max="8" width="11" hidden="0" customWidth="1"/>
    <x:col min="9" max="9" width="21" hidden="0" customWidth="1"/>
    <x:col min="10" max="10" width="11" hidden="0" customWidth="1"/>
    <x:col min="11" max="11" width="2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RUN-TRF-020-20260829T100212841602Z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SESSION-BATCH-20260829T055713815378Z</x:v>
      </x:c>
      <x:c r="B5" s="69" t="str">
        <x:v>RUN-TRF-020-20260829T100212841602Z</x:v>
      </x:c>
      <x:c r="C5" s="69" t="str">
        <x:v>TRF-020</x:v>
      </x:c>
      <x:c r="D5" s="70" t="n">
        <x:v>46263.418204201385</x:v>
      </x:c>
      <x:c r="E5" s="70" t="n">
        <x:v>46263.419990243056</x:v>
      </x:c>
      <x:c r="F5" s="69" t="str">
        <x:v>final-luna-main-run05</x:v>
      </x:c>
      <x:c r="G5" s="69" t="str">
        <x:v>VOCAB-LOCK-2026-08-22-R13</x:v>
      </x:c>
      <x:c r="H5" s="71" t="n">
        <x:v>3</x:v>
      </x:c>
      <x:c r="I5" s="69" t="str">
        <x:v>GENERATION_ACCEPTED</x:v>
      </x:c>
      <x:c r="J5" s="72" t="b">
        <x:v>1</x:v>
      </x:c>
      <x:c r="K5" s="69" t="str">
        <x:v>final/final_shape.ttl</x:v>
      </x:c>
      <x:c r="L5" s="73" t="str">
        <x:v>The candidate is semantically faithful and deterministic validation is valid. Applicability alternatives, ship ownership, waterline relationships and upper-waterline nesting, operand/result evidence, untyped resistance quantities, and the direct maximum-power comparison are correctly encoded for COMPLEX_READINESS.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c259f5e907da4bd1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11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RUN-TRF-020-20260829T100212841602Z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45" t="str">
        <x:v>RUN-TRF-020-20260829T100212841602Z</x:v>
      </x:c>
      <x:c r="B5" s="45" t="str">
        <x:v>TRF-020</x:v>
      </x:c>
      <x:c r="C5" s="58" t="n">
        <x:v>1</x:v>
      </x:c>
      <x:c r="D5" s="83" t="b">
        <x:v>1</x:v>
      </x:c>
      <x:c r="E5" s="83" t="b">
        <x:v>0</x:v>
      </x:c>
      <x:c r="F5" s="83" t="b">
        <x:v>0</x:v>
      </x:c>
      <x:c r="G5" s="45" t="str">
        <x:v>REVISE</x:v>
      </x:c>
      <x:c r="H5" s="46" t="str">
        <x:v>Repair the applicability alternatives to prevent accidental passes. The first sh:or branch currently requires all engine-output inputs but does not restrict iceClass to the applicable set, so a non-applicable ship with class II/III can pass merely by supplying those inputs. Make the non-applicable branch explicitly require date/class evidence proving the condition is false, and make the applicable branch explicitly require constructionStageDate &gt;= 2003-09-01 with iceClass in {IA Super, IA, IB, IC} before requiring every declared operand, both waterline relationships, both externally calculated result terms, and the direct mcrPower &gt;= both-results check. Preserve the existing ship ownership and upper-waterline nesting for upper length and breadth.</x:v>
      </x:c>
      <x:c r="I5" s="84" t="n">
        <x:v>29378.706</x:v>
      </x:c>
      <x:c r="J5" s="84" t="n">
        <x:v>12019.198</x:v>
      </x:c>
    </x:row>
    <x:row r="6">
      <x:c r="A6" s="47" t="str">
        <x:v>RUN-TRF-020-20260829T100212841602Z</x:v>
      </x:c>
      <x:c r="B6" s="47" t="str">
        <x:v>TRF-020</x:v>
      </x:c>
      <x:c r="C6" s="59" t="n">
        <x:v>2</x:v>
      </x:c>
      <x:c r="D6" s="85" t="b">
        <x:v>1</x:v>
      </x:c>
      <x:c r="E6" s="85" t="b">
        <x:v>0</x:v>
      </x:c>
      <x:c r="F6" s="85" t="b">
        <x:v>0</x:v>
      </x:c>
      <x:c r="G6" s="47" t="str">
        <x:v>REVISE</x:v>
      </x:c>
      <x:c r="H6" s="48" t="str">
        <x:v>Preserve the repaired applicability alternatives, ship ownership, waterline relationships, upper-waterline length/breadth nesting, and direct maximum-power comparison. Remove the invented N-unit constraint from brashIceChannelResistanceAtLowerIceWaterline and brashIceChannelResistanceAtUpperIceWaterline: their canonical metadata declares no recommended unit, so do not constrain qudt:unit (or use a canonical unit only if subsequently supplied).</x:v>
      </x:c>
      <x:c r="I6" s="86" t="n">
        <x:v>30312.9</x:v>
      </x:c>
      <x:c r="J6" s="86" t="n">
        <x:v>12867.686</x:v>
      </x:c>
    </x:row>
    <x:row r="7">
      <x:c r="A7" s="49" t="str">
        <x:v>RUN-TRF-020-20260829T100212841602Z</x:v>
      </x:c>
      <x:c r="B7" s="49" t="str">
        <x:v>TRF-020</x:v>
      </x:c>
      <x:c r="C7" s="60" t="n">
        <x:v>3</x:v>
      </x:c>
      <x:c r="D7" s="87" t="b">
        <x:v>1</x:v>
      </x:c>
      <x:c r="E7" s="87" t="b">
        <x:v>1</x:v>
      </x:c>
      <x:c r="F7" s="87" t="b">
        <x:v>0</x:v>
      </x:c>
      <x:c r="G7" s="49" t="str">
        <x:v>ACCEPT</x:v>
      </x:c>
      <x:c r="H7" s="50" t="str">
        <x:v>The candidate is semantically faithful and deterministic validation is valid. Applicability alternatives, ship ownership, waterline relationships and upper-waterline nesting, operand/result evidence, untyped resistance quantities, and the direct maximum-power comparison are correctly encoded for COMPLEX_READINESS.</x:v>
      </x:c>
      <x:c r="I7" s="88" t="n">
        <x:v>22936.863</x:v>
      </x:c>
      <x:c r="J7" s="88" t="n">
        <x:v>13226.442</x:v>
      </x:c>
    </x:row>
  </x:sheetData>
  <x:conditionalFormatting sqref="G5:G7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c4d10607df5b4ad0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5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RUN-TRF-020-20260829T100212841602Z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EVT-000045</x:v>
      </x:c>
      <x:c r="B5" s="45" t="str">
        <x:v>RUN-TRF-020-20260829T100212841602Z</x:v>
      </x:c>
      <x:c r="C5" s="45" t="str">
        <x:v>TRF-020</x:v>
      </x:c>
      <x:c r="D5" s="92" t="n">
        <x:v>46263.41854424769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4" t="n">
        <x:v>0</x:v>
      </x:c>
      <x:c r="K5" s="84" t="n">
        <x:v>29377.098</x:v>
      </x:c>
      <x:c r="L5" s="83" t="b">
        <x:v>0</x:v>
      </x:c>
      <x:c r="M5" s="45" t="str"/>
      <x:c r="N5" s="58" t="str"/>
      <x:c r="O5" s="58" t="str"/>
      <x:c r="P5" s="58" t="str"/>
    </x:row>
    <x:row r="6">
      <x:c r="A6" s="47" t="str">
        <x:v>EVT-000046</x:v>
      </x:c>
      <x:c r="B6" s="47" t="str">
        <x:v>RUN-TRF-020-20260829T100212841602Z</x:v>
      </x:c>
      <x:c r="C6" s="47" t="str">
        <x:v>TRF-020</x:v>
      </x:c>
      <x:c r="D6" s="93" t="n">
        <x:v>46263.41854427083</x:v>
      </x:c>
      <x:c r="E6" s="47" t="str">
        <x:v>generator</x:v>
      </x:c>
      <x:c r="F6" s="47" t="str">
        <x:v>gpt-5.6-luna-2026-07-09</x:v>
      </x:c>
      <x:c r="G6" s="47" t="n">
        <x:v>1</x:v>
      </x:c>
      <x:c r="H6" s="47" t="str">
        <x:v>COMPLETED</x:v>
      </x:c>
      <x:c r="I6" s="47" t="str"/>
      <x:c r="J6" s="86" t="n">
        <x:v>0</x:v>
      </x:c>
      <x:c r="K6" s="86" t="n">
        <x:v>29378.706</x:v>
      </x:c>
      <x:c r="L6" s="85" t="b">
        <x:v>0</x:v>
      </x:c>
      <x:c r="M6" s="47" t="str">
        <x:v>resp_0c5765aa6374dd87006a92ae2505148195b8138c80317f687d</x:v>
      </x:c>
      <x:c r="N6" s="59" t="n">
        <x:v>17000</x:v>
      </x:c>
      <x:c r="O6" s="59" t="n">
        <x:v>3626</x:v>
      </x:c>
      <x:c r="P6" s="59" t="n">
        <x:v>20626</x:v>
      </x:c>
    </x:row>
    <x:row r="7">
      <x:c r="A7" s="47" t="str">
        <x:v>EVT-000053</x:v>
      </x:c>
      <x:c r="B7" s="47" t="str">
        <x:v>RUN-TRF-020-20260829T100212841602Z</x:v>
      </x:c>
      <x:c r="C7" s="47" t="str">
        <x:v>TRF-020</x:v>
      </x:c>
      <x:c r="D7" s="93" t="n">
        <x:v>46263.41868768518</x:v>
      </x:c>
      <x:c r="E7" s="47" t="str">
        <x:v>validator</x:v>
      </x:c>
      <x:c r="F7" s="47" t="str">
        <x:v>gpt-5.6-luna-2026-07-09</x:v>
      </x:c>
      <x:c r="G7" s="47" t="n">
        <x:v>1</x:v>
      </x:c>
      <x:c r="H7" s="47" t="n">
        <x:v>200</x:v>
      </x:c>
      <x:c r="I7" s="47" t="str">
        <x:v>Ocp-Apim-Subscription-Key</x:v>
      </x:c>
      <x:c r="J7" s="86" t="n">
        <x:v>0</x:v>
      </x:c>
      <x:c r="K7" s="86" t="n">
        <x:v>12017.679</x:v>
      </x:c>
      <x:c r="L7" s="85" t="b">
        <x:v>0</x:v>
      </x:c>
      <x:c r="M7" s="47" t="str"/>
      <x:c r="N7" s="59" t="str"/>
      <x:c r="O7" s="59" t="str"/>
      <x:c r="P7" s="59" t="str"/>
    </x:row>
    <x:row r="8">
      <x:c r="A8" s="47" t="str">
        <x:v>EVT-000054</x:v>
      </x:c>
      <x:c r="B8" s="47" t="str">
        <x:v>RUN-TRF-020-20260829T100212841602Z</x:v>
      </x:c>
      <x:c r="C8" s="47" t="str">
        <x:v>TRF-020</x:v>
      </x:c>
      <x:c r="D8" s="93" t="n">
        <x:v>46263.41868769676</x:v>
      </x:c>
      <x:c r="E8" s="47" t="str">
        <x:v>validator</x:v>
      </x:c>
      <x:c r="F8" s="47" t="str">
        <x:v>gpt-5.6-luna-2026-07-09</x:v>
      </x:c>
      <x:c r="G8" s="47" t="n">
        <x:v>1</x:v>
      </x:c>
      <x:c r="H8" s="47" t="str">
        <x:v>COMPLETED</x:v>
      </x:c>
      <x:c r="I8" s="47" t="str"/>
      <x:c r="J8" s="86" t="n">
        <x:v>0</x:v>
      </x:c>
      <x:c r="K8" s="86" t="n">
        <x:v>12019.198</x:v>
      </x:c>
      <x:c r="L8" s="85" t="b">
        <x:v>0</x:v>
      </x:c>
      <x:c r="M8" s="47" t="str">
        <x:v>resp_0dbf66b264f02e29006a92ae42c9ec8190bbde17fd42a732ee</x:v>
      </x:c>
      <x:c r="N8" s="59" t="n">
        <x:v>20147</x:v>
      </x:c>
      <x:c r="O8" s="59" t="n">
        <x:v>958</x:v>
      </x:c>
      <x:c r="P8" s="59" t="n">
        <x:v>21105</x:v>
      </x:c>
    </x:row>
    <x:row r="9">
      <x:c r="A9" s="47" t="str">
        <x:v>EVT-000059</x:v>
      </x:c>
      <x:c r="B9" s="47" t="str">
        <x:v>RUN-TRF-020-20260829T100212841602Z</x:v>
      </x:c>
      <x:c r="C9" s="47" t="str">
        <x:v>TRF-020</x:v>
      </x:c>
      <x:c r="D9" s="93" t="n">
        <x:v>46263.41903859954</x:v>
      </x:c>
      <x:c r="E9" s="47" t="str">
        <x:v>generator</x:v>
      </x:c>
      <x:c r="F9" s="47" t="str">
        <x:v>gpt-5.6-luna-2026-07-09</x:v>
      </x:c>
      <x:c r="G9" s="47" t="n">
        <x:v>1</x:v>
      </x:c>
      <x:c r="H9" s="47" t="n">
        <x:v>200</x:v>
      </x:c>
      <x:c r="I9" s="47" t="str">
        <x:v>Ocp-Apim-Subscription-Key</x:v>
      </x:c>
      <x:c r="J9" s="86" t="n">
        <x:v>0</x:v>
      </x:c>
      <x:c r="K9" s="86" t="n">
        <x:v>30311.765</x:v>
      </x:c>
      <x:c r="L9" s="85" t="b">
        <x:v>0</x:v>
      </x:c>
      <x:c r="M9" s="47" t="str"/>
      <x:c r="N9" s="59" t="str"/>
      <x:c r="O9" s="59" t="str"/>
      <x:c r="P9" s="59" t="str"/>
    </x:row>
    <x:row r="10">
      <x:c r="A10" s="47" t="str">
        <x:v>EVT-000060</x:v>
      </x:c>
      <x:c r="B10" s="47" t="str">
        <x:v>RUN-TRF-020-20260829T100212841602Z</x:v>
      </x:c>
      <x:c r="C10" s="47" t="str">
        <x:v>TRF-020</x:v>
      </x:c>
      <x:c r="D10" s="93" t="n">
        <x:v>46263.41903861111</x:v>
      </x:c>
      <x:c r="E10" s="47" t="str">
        <x:v>generator</x:v>
      </x:c>
      <x:c r="F10" s="47" t="str">
        <x:v>gpt-5.6-luna-2026-07-09</x:v>
      </x:c>
      <x:c r="G10" s="47" t="n">
        <x:v>1</x:v>
      </x:c>
      <x:c r="H10" s="47" t="str">
        <x:v>COMPLETED</x:v>
      </x:c>
      <x:c r="I10" s="47" t="str"/>
      <x:c r="J10" s="86" t="n">
        <x:v>0</x:v>
      </x:c>
      <x:c r="K10" s="86" t="n">
        <x:v>30312.9</x:v>
      </x:c>
      <x:c r="L10" s="85" t="b">
        <x:v>0</x:v>
      </x:c>
      <x:c r="M10" s="47" t="str">
        <x:v>resp_0496b74312c98c7c006a92ae4ecd2881978524f19473f6198f</x:v>
      </x:c>
      <x:c r="N10" s="59" t="n">
        <x:v>17144</x:v>
      </x:c>
      <x:c r="O10" s="59" t="n">
        <x:v>3914</x:v>
      </x:c>
      <x:c r="P10" s="59" t="n">
        <x:v>21058</x:v>
      </x:c>
    </x:row>
    <x:row r="11">
      <x:c r="A11" s="47" t="str">
        <x:v>EVT-000067</x:v>
      </x:c>
      <x:c r="B11" s="47" t="str">
        <x:v>RUN-TRF-020-20260829T100212841602Z</x:v>
      </x:c>
      <x:c r="C11" s="47" t="str">
        <x:v>TRF-020</x:v>
      </x:c>
      <x:c r="D11" s="93" t="n">
        <x:v>46263.41919137732</x:v>
      </x:c>
      <x:c r="E11" s="47" t="str">
        <x:v>validator</x:v>
      </x:c>
      <x:c r="F11" s="47" t="str">
        <x:v>gpt-5.6-luna-2026-07-09</x:v>
      </x:c>
      <x:c r="G11" s="47" t="n">
        <x:v>1</x:v>
      </x:c>
      <x:c r="H11" s="47" t="n">
        <x:v>200</x:v>
      </x:c>
      <x:c r="I11" s="47" t="str">
        <x:v>Ocp-Apim-Subscription-Key</x:v>
      </x:c>
      <x:c r="J11" s="86" t="n">
        <x:v>0</x:v>
      </x:c>
      <x:c r="K11" s="86" t="n">
        <x:v>12866.14</x:v>
      </x:c>
      <x:c r="L11" s="85" t="b">
        <x:v>0</x:v>
      </x:c>
      <x:c r="M11" s="47" t="str"/>
      <x:c r="N11" s="59" t="str"/>
      <x:c r="O11" s="59" t="str"/>
      <x:c r="P11" s="59" t="str"/>
    </x:row>
    <x:row r="12">
      <x:c r="A12" s="47" t="str">
        <x:v>EVT-000068</x:v>
      </x:c>
      <x:c r="B12" s="47" t="str">
        <x:v>RUN-TRF-020-20260829T100212841602Z</x:v>
      </x:c>
      <x:c r="C12" s="47" t="str">
        <x:v>TRF-020</x:v>
      </x:c>
      <x:c r="D12" s="93" t="n">
        <x:v>46263.419191388886</x:v>
      </x:c>
      <x:c r="E12" s="47" t="str">
        <x:v>validator</x:v>
      </x:c>
      <x:c r="F12" s="47" t="str">
        <x:v>gpt-5.6-luna-2026-07-09</x:v>
      </x:c>
      <x:c r="G12" s="47" t="n">
        <x:v>1</x:v>
      </x:c>
      <x:c r="H12" s="47" t="str">
        <x:v>COMPLETED</x:v>
      </x:c>
      <x:c r="I12" s="47" t="str"/>
      <x:c r="J12" s="86" t="n">
        <x:v>0</x:v>
      </x:c>
      <x:c r="K12" s="86" t="n">
        <x:v>12867.686</x:v>
      </x:c>
      <x:c r="L12" s="85" t="b">
        <x:v>0</x:v>
      </x:c>
      <x:c r="M12" s="47" t="str">
        <x:v>resp_0cd5af936d858619006a92ae6d74d08194b074b81a1132253f</x:v>
      </x:c>
      <x:c r="N12" s="59" t="n">
        <x:v>20855</x:v>
      </x:c>
      <x:c r="O12" s="59" t="n">
        <x:v>1140</x:v>
      </x:c>
      <x:c r="P12" s="59" t="n">
        <x:v>21995</x:v>
      </x:c>
    </x:row>
    <x:row r="13">
      <x:c r="A13" s="47" t="str">
        <x:v>EVT-000073</x:v>
      </x:c>
      <x:c r="B13" s="47" t="str">
        <x:v>RUN-TRF-020-20260829T100212841602Z</x:v>
      </x:c>
      <x:c r="C13" s="47" t="str">
        <x:v>TRF-020</x:v>
      </x:c>
      <x:c r="D13" s="93" t="n">
        <x:v>46263.41945690972</x:v>
      </x:c>
      <x:c r="E13" s="47" t="str">
        <x:v>generator</x:v>
      </x:c>
      <x:c r="F13" s="47" t="str">
        <x:v>gpt-5.6-luna-2026-07-09</x:v>
      </x:c>
      <x:c r="G13" s="47" t="n">
        <x:v>1</x:v>
      </x:c>
      <x:c r="H13" s="47" t="n">
        <x:v>200</x:v>
      </x:c>
      <x:c r="I13" s="47" t="str">
        <x:v>Ocp-Apim-Subscription-Key</x:v>
      </x:c>
      <x:c r="J13" s="86" t="n">
        <x:v>0</x:v>
      </x:c>
      <x:c r="K13" s="86" t="n">
        <x:v>22935.284</x:v>
      </x:c>
      <x:c r="L13" s="85" t="b">
        <x:v>0</x:v>
      </x:c>
      <x:c r="M13" s="47" t="str"/>
      <x:c r="N13" s="59" t="str"/>
      <x:c r="O13" s="59" t="str"/>
      <x:c r="P13" s="59" t="str"/>
    </x:row>
    <x:row r="14">
      <x:c r="A14" s="47" t="str">
        <x:v>EVT-000074</x:v>
      </x:c>
      <x:c r="B14" s="47" t="str">
        <x:v>RUN-TRF-020-20260829T100212841602Z</x:v>
      </x:c>
      <x:c r="C14" s="47" t="str">
        <x:v>TRF-020</x:v>
      </x:c>
      <x:c r="D14" s="93" t="n">
        <x:v>46263.41945693287</x:v>
      </x:c>
      <x:c r="E14" s="47" t="str">
        <x:v>generator</x:v>
      </x:c>
      <x:c r="F14" s="47" t="str">
        <x:v>gpt-5.6-luna-2026-07-09</x:v>
      </x:c>
      <x:c r="G14" s="47" t="n">
        <x:v>1</x:v>
      </x:c>
      <x:c r="H14" s="47" t="str">
        <x:v>COMPLETED</x:v>
      </x:c>
      <x:c r="I14" s="47" t="str"/>
      <x:c r="J14" s="86" t="n">
        <x:v>0</x:v>
      </x:c>
      <x:c r="K14" s="86" t="n">
        <x:v>22936.863</x:v>
      </x:c>
      <x:c r="L14" s="85" t="b">
        <x:v>0</x:v>
      </x:c>
      <x:c r="M14" s="47" t="str">
        <x:v>resp_013764456772745a006a92ae7a5b808190a18e6bd793baa8db</x:v>
      </x:c>
      <x:c r="N14" s="59" t="n">
        <x:v>17233</x:v>
      </x:c>
      <x:c r="O14" s="59" t="n">
        <x:v>3184</x:v>
      </x:c>
      <x:c r="P14" s="59" t="n">
        <x:v>20417</x:v>
      </x:c>
    </x:row>
    <x:row r="15">
      <x:c r="A15" s="47" t="str">
        <x:v>EVT-000079</x:v>
      </x:c>
      <x:c r="B15" s="47" t="str">
        <x:v>RUN-TRF-020-20260829T100212841602Z</x:v>
      </x:c>
      <x:c r="C15" s="47" t="str">
        <x:v>TRF-020</x:v>
      </x:c>
      <x:c r="D15" s="93" t="n">
        <x:v>46263.419833761574</x:v>
      </x:c>
      <x:c r="E15" s="47" t="str">
        <x:v>syntax_repair</x:v>
      </x:c>
      <x:c r="F15" s="47" t="str">
        <x:v>gpt-5.6-luna-2026-07-09</x:v>
      </x:c>
      <x:c r="G15" s="47" t="n">
        <x:v>1</x:v>
      </x:c>
      <x:c r="H15" s="47" t="n">
        <x:v>200</x:v>
      </x:c>
      <x:c r="I15" s="47" t="str">
        <x:v>Ocp-Apim-Subscription-Key</x:v>
      </x:c>
      <x:c r="J15" s="86" t="n">
        <x:v>0</x:v>
      </x:c>
      <x:c r="K15" s="86" t="n">
        <x:v>32548.21</x:v>
      </x:c>
      <x:c r="L15" s="85" t="b">
        <x:v>0</x:v>
      </x:c>
      <x:c r="M15" s="47" t="str"/>
      <x:c r="N15" s="59" t="str"/>
      <x:c r="O15" s="59" t="str"/>
      <x:c r="P15" s="59" t="str"/>
    </x:row>
    <x:row r="16">
      <x:c r="A16" s="47" t="str">
        <x:v>EVT-000080</x:v>
      </x:c>
      <x:c r="B16" s="47" t="str">
        <x:v>RUN-TRF-020-20260829T100212841602Z</x:v>
      </x:c>
      <x:c r="C16" s="47" t="str">
        <x:v>TRF-020</x:v>
      </x:c>
      <x:c r="D16" s="93" t="n">
        <x:v>46263.41983378472</x:v>
      </x:c>
      <x:c r="E16" s="47" t="str">
        <x:v>syntax_repair</x:v>
      </x:c>
      <x:c r="F16" s="47" t="str">
        <x:v>gpt-5.6-luna-2026-07-09</x:v>
      </x:c>
      <x:c r="G16" s="47" t="n">
        <x:v>1</x:v>
      </x:c>
      <x:c r="H16" s="47" t="str">
        <x:v>COMPLETED</x:v>
      </x:c>
      <x:c r="I16" s="47" t="str"/>
      <x:c r="J16" s="86" t="n">
        <x:v>0</x:v>
      </x:c>
      <x:c r="K16" s="86" t="n">
        <x:v>32549.817</x:v>
      </x:c>
      <x:c r="L16" s="85" t="b">
        <x:v>0</x:v>
      </x:c>
      <x:c r="M16" s="47" t="str">
        <x:v>resp_0a94dda6fb290cad006a92ae9152cc81948714ef4a0edd2e37</x:v>
      </x:c>
      <x:c r="N16" s="59" t="n">
        <x:v>2896</x:v>
      </x:c>
      <x:c r="O16" s="59" t="n">
        <x:v>4219</x:v>
      </x:c>
      <x:c r="P16" s="59" t="n">
        <x:v>7115</x:v>
      </x:c>
    </x:row>
    <x:row r="17">
      <x:c r="A17" s="47" t="str">
        <x:v>EVT-000088</x:v>
      </x:c>
      <x:c r="B17" s="47" t="str">
        <x:v>RUN-TRF-020-20260829T100212841602Z</x:v>
      </x:c>
      <x:c r="C17" s="47" t="str">
        <x:v>TRF-020</x:v>
      </x:c>
      <x:c r="D17" s="93" t="n">
        <x:v>46263.419990173614</x:v>
      </x:c>
      <x:c r="E17" s="47" t="str">
        <x:v>validator</x:v>
      </x:c>
      <x:c r="F17" s="47" t="str">
        <x:v>gpt-5.6-luna-2026-07-09</x:v>
      </x:c>
      <x:c r="G17" s="47" t="n">
        <x:v>1</x:v>
      </x:c>
      <x:c r="H17" s="47" t="n">
        <x:v>200</x:v>
      </x:c>
      <x:c r="I17" s="47" t="str">
        <x:v>Ocp-Apim-Subscription-Key</x:v>
      </x:c>
      <x:c r="J17" s="86" t="n">
        <x:v>0</x:v>
      </x:c>
      <x:c r="K17" s="86" t="n">
        <x:v>13225.114</x:v>
      </x:c>
      <x:c r="L17" s="85" t="b">
        <x:v>0</x:v>
      </x:c>
      <x:c r="M17" s="47" t="str"/>
      <x:c r="N17" s="59" t="str"/>
      <x:c r="O17" s="59" t="str"/>
      <x:c r="P17" s="59" t="str"/>
    </x:row>
    <x:row r="18">
      <x:c r="A18" s="49" t="str">
        <x:v>EVT-000089</x:v>
      </x:c>
      <x:c r="B18" s="49" t="str">
        <x:v>RUN-TRF-020-20260829T100212841602Z</x:v>
      </x:c>
      <x:c r="C18" s="49" t="str">
        <x:v>TRF-020</x:v>
      </x:c>
      <x:c r="D18" s="94" t="n">
        <x:v>46263.41999019676</x:v>
      </x:c>
      <x:c r="E18" s="49" t="str">
        <x:v>validator</x:v>
      </x:c>
      <x:c r="F18" s="49" t="str">
        <x:v>gpt-5.6-luna-2026-07-09</x:v>
      </x:c>
      <x:c r="G18" s="49" t="n">
        <x:v>1</x:v>
      </x:c>
      <x:c r="H18" s="49" t="str">
        <x:v>COMPLETED</x:v>
      </x:c>
      <x:c r="I18" s="49" t="str"/>
      <x:c r="J18" s="88" t="n">
        <x:v>0</x:v>
      </x:c>
      <x:c r="K18" s="88" t="n">
        <x:v>13226.442</x:v>
      </x:c>
      <x:c r="L18" s="87" t="b">
        <x:v>0</x:v>
      </x:c>
      <x:c r="M18" s="49" t="str">
        <x:v>resp_0e0339c8d801f75c006a92aeb22d788197883a1068c6f41827</x:v>
      </x:c>
      <x:c r="N18" s="60" t="n">
        <x:v>20277</x:v>
      </x:c>
      <x:c r="O18" s="60" t="n">
        <x:v>1074</x:v>
      </x:c>
      <x:c r="P18" s="60" t="n">
        <x:v>21351</x:v>
      </x:c>
    </x:row>
  </x:sheetData>
  <x:conditionalFormatting sqref="H5:H18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41aec2e392dd43e9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RUN-TRF-020-20260829T100212841602Z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RUN-TRF-020-20260829T100212841602Z</x:v>
      </x:c>
      <x:c r="B5" s="45" t="str">
        <x:v>TRF-020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brashIceChannelResistanceAtLowerIceWaterline; domain dependency of brashIceChannelResistanceAtUpperIceWaterline; domain dependency of brashIceChannelResistanceRch; domain dependency of constructionStageDate; domain dependency of engineOutputCoefficientKe; domain dependency of iceClass; domain dependency of maximumContinuousRatingPower; domain dependency of minimumRequiredPowerAtLowerIceWaterline; domain dependency of minimumRequiredPowerAtUpperIceWaterline; domain dependency of propellerCount; domain dependency of propellerDiameter; domain dependency of propellerPitchControlType; domain dependency of propulsionSystemType; domain dependency of upperIceWaterlineLength; range dependency of iceWaterline</x:v>
      </x:c>
      <x:c r="J5" s="45" t="n">
        <x:v>0</x:v>
      </x:c>
    </x:row>
    <x:row r="6">
      <x:c r="A6" s="47" t="str">
        <x:v>RUN-TRF-020-20260829T100212841602Z</x:v>
      </x:c>
      <x:c r="B6" s="47" t="str">
        <x:v>TRF-020</x:v>
      </x:c>
      <x:c r="C6" s="47" t="str">
        <x:v>brashIceChannelResistanceAtLowerIceWaterline</x:v>
      </x:c>
      <x:c r="D6" s="48" t="str">
        <x:v>https://w3id.org/nltl/vocab#brashIceChannelResistanceAtLowerIceWaterline</x:v>
      </x:c>
      <x:c r="E6" s="47" t="str">
        <x:v>QuantityProperty</x:v>
      </x:c>
      <x:c r="F6" s="47" t="str"/>
      <x:c r="G6" s="47" t="str">
        <x:v>http://qudt.org/schema/qudt/QuantityValue</x:v>
      </x:c>
      <x:c r="H6" s="47" t="str"/>
      <x:c r="I6" s="48" t="str">
        <x:v>linked by the locked 313-requirement index</x:v>
      </x:c>
      <x:c r="J6" s="47" t="n">
        <x:v>0</x:v>
      </x:c>
    </x:row>
    <x:row r="7">
      <x:c r="A7" s="47" t="str">
        <x:v>RUN-TRF-020-20260829T100212841602Z</x:v>
      </x:c>
      <x:c r="B7" s="47" t="str">
        <x:v>TRF-020</x:v>
      </x:c>
      <x:c r="C7" s="47" t="str">
        <x:v>brashIceChannelResistanceAtUpperIceWaterline</x:v>
      </x:c>
      <x:c r="D7" s="48" t="str">
        <x:v>https://w3id.org/nltl/vocab#brashIceChannelResistanceAtUpperIceWaterline</x:v>
      </x:c>
      <x:c r="E7" s="47" t="str">
        <x:v>QuantityProperty</x:v>
      </x:c>
      <x:c r="F7" s="47" t="str"/>
      <x:c r="G7" s="47" t="str">
        <x:v>http://qudt.org/schema/qudt/QuantityValue</x:v>
      </x:c>
      <x:c r="H7" s="47" t="str"/>
      <x:c r="I7" s="48" t="str">
        <x:v>linked by the locked 313-requirement index</x:v>
      </x:c>
      <x:c r="J7" s="47" t="n">
        <x:v>0</x:v>
      </x:c>
    </x:row>
    <x:row r="8">
      <x:c r="A8" s="47" t="str">
        <x:v>RUN-TRF-020-20260829T100212841602Z</x:v>
      </x:c>
      <x:c r="B8" s="47" t="str">
        <x:v>TRF-020</x:v>
      </x:c>
      <x:c r="C8" s="47" t="str">
        <x:v>brashIceChannelResistanceRch</x:v>
      </x:c>
      <x:c r="D8" s="48" t="str">
        <x:v>https://w3id.org/nltl/vocab#brashIceChannelResistanceRch</x:v>
      </x:c>
      <x:c r="E8" s="47" t="str">
        <x:v>QuantityProperty</x:v>
      </x:c>
      <x:c r="F8" s="47" t="str"/>
      <x:c r="G8" s="47" t="str">
        <x:v>http://qudt.org/schema/qudt/QuantityValue</x:v>
      </x:c>
      <x:c r="H8" s="47" t="str">
        <x:v>http://qudt.org/vocab/unit/N</x:v>
      </x:c>
      <x:c r="I8" s="48" t="str">
        <x:v>linked by the locked 313-requirement index</x:v>
      </x:c>
      <x:c r="J8" s="47" t="n">
        <x:v>0</x:v>
      </x:c>
    </x:row>
    <x:row r="9">
      <x:c r="A9" s="47" t="str">
        <x:v>RUN-TRF-020-20260829T100212841602Z</x:v>
      </x:c>
      <x:c r="B9" s="47" t="str">
        <x:v>TRF-020</x:v>
      </x:c>
      <x:c r="C9" s="47" t="str">
        <x:v>constructionStageDate</x:v>
      </x:c>
      <x:c r="D9" s="48" t="str">
        <x:v>https://w3id.org/nltl/vocab#constructionStageDate</x:v>
      </x:c>
      <x:c r="E9" s="47" t="str">
        <x:v>DatatypeProperty</x:v>
      </x:c>
      <x:c r="F9" s="47" t="str">
        <x:v>xsd:date</x:v>
      </x:c>
      <x:c r="G9" s="47" t="str">
        <x:v>http://www.w3.org/2001/XMLSchema#date</x:v>
      </x:c>
      <x:c r="H9" s="47" t="str"/>
      <x:c r="I9" s="48" t="str">
        <x:v>linked by the locked 313-requirement index</x:v>
      </x:c>
      <x:c r="J9" s="47" t="n">
        <x:v>0</x:v>
      </x:c>
    </x:row>
    <x:row r="10">
      <x:c r="A10" s="47" t="str">
        <x:v>RUN-TRF-020-20260829T100212841602Z</x:v>
      </x:c>
      <x:c r="B10" s="47" t="str">
        <x:v>TRF-020</x:v>
      </x:c>
      <x:c r="C10" s="47" t="str">
        <x:v>controllablePitch</x:v>
      </x:c>
      <x:c r="D10" s="48" t="str">
        <x:v>https://w3id.org/nltl/vocab#controllablePitch</x:v>
      </x:c>
      <x:c r="E10" s="47" t="str">
        <x:v>NamedIndividual</x:v>
      </x:c>
      <x:c r="F10" s="47" t="str"/>
      <x:c r="G10" s="47" t="str">
        <x:v>https://w3id.org/nltl/vocab#propellerPitchControlTypeValue</x:v>
      </x:c>
      <x:c r="H10" s="47" t="str"/>
      <x:c r="I10" s="48" t="str">
        <x:v>controlled value permitted by the range of controllablePitch; controlled value permitted by the range of fixedPitch; controlled value permitted by the range of propellerPitchControlType; linked by the locked 313-requirement index</x:v>
      </x:c>
      <x:c r="J10" s="47" t="n">
        <x:v>0</x:v>
      </x:c>
    </x:row>
    <x:row r="11">
      <x:c r="A11" s="47" t="str">
        <x:v>RUN-TRF-020-20260829T100212841602Z</x:v>
      </x:c>
      <x:c r="B11" s="47" t="str">
        <x:v>TRF-020</x:v>
      </x:c>
      <x:c r="C11" s="47" t="str">
        <x:v>conventionalPropulsionSystem</x:v>
      </x:c>
      <x:c r="D11" s="48" t="str">
        <x:v>https://w3id.org/nltl/vocab#conventionalPropulsionSystem</x:v>
      </x:c>
      <x:c r="E11" s="47" t="str">
        <x:v>NamedIndividual</x:v>
      </x:c>
      <x:c r="F11" s="47" t="str"/>
      <x:c r="G11" s="47" t="str">
        <x:v>https://w3id.org/nltl/vocab#propulsionSystemTypeValue</x:v>
      </x:c>
      <x:c r="H11" s="47" t="str"/>
      <x:c r="I11" s="48" t="str">
        <x:v>controlled value permitted by the range of conventionalPropulsionSystem; controlled value permitted by the range of electricPropulsionMachinery; controlled value permitted by the range of hydraulicPropulsionMachinery; controlled value permitted by the range of propulsionSystemType; linked by the locked 313-requirement index</x:v>
      </x:c>
      <x:c r="J11" s="47" t="n">
        <x:v>0</x:v>
      </x:c>
    </x:row>
    <x:row r="12">
      <x:c r="A12" s="47" t="str">
        <x:v>RUN-TRF-020-20260829T100212841602Z</x:v>
      </x:c>
      <x:c r="B12" s="47" t="str">
        <x:v>TRF-020</x:v>
      </x:c>
      <x:c r="C12" s="47" t="str">
        <x:v>electricPropulsionMachinery</x:v>
      </x:c>
      <x:c r="D12" s="48" t="str">
        <x:v>https://w3id.org/nltl/vocab#electricPropulsionMachinery</x:v>
      </x:c>
      <x:c r="E12" s="47" t="str">
        <x:v>NamedIndividual</x:v>
      </x:c>
      <x:c r="F12" s="47" t="str"/>
      <x:c r="G12" s="47" t="str">
        <x:v>https://w3id.org/nltl/vocab#propulsionSystemTypeValue</x:v>
      </x:c>
      <x:c r="H12" s="47" t="str"/>
      <x:c r="I12" s="48" t="str">
        <x:v>controlled value permitted by the range of conventionalPropulsionSystem; controlled value permitted by the range of electricPropulsionMachinery; controlled value permitted by the range of hydraulicPropulsionMachinery; controlled value permitted by the range of propulsionSystemType; linked by the locked 313-requirement index</x:v>
      </x:c>
      <x:c r="J12" s="47" t="n">
        <x:v>0</x:v>
      </x:c>
    </x:row>
    <x:row r="13">
      <x:c r="A13" s="47" t="str">
        <x:v>RUN-TRF-020-20260829T100212841602Z</x:v>
      </x:c>
      <x:c r="B13" s="47" t="str">
        <x:v>TRF-020</x:v>
      </x:c>
      <x:c r="C13" s="47" t="str">
        <x:v>engineOutputCoefficientKe</x:v>
      </x:c>
      <x:c r="D13" s="48" t="str">
        <x:v>https://w3id.org/nltl/vocab#engineOutputCoefficientKe</x:v>
      </x:c>
      <x:c r="E13" s="47" t="str">
        <x:v>QuantityProperty</x:v>
      </x:c>
      <x:c r="F13" s="47" t="str"/>
      <x:c r="G13" s="47" t="str">
        <x:v>http://qudt.org/schema/qudt/QuantityValue</x:v>
      </x:c>
      <x:c r="H13" s="47" t="str">
        <x:v>http://qudt.org/vocab/unit/UNITLESS</x:v>
      </x:c>
      <x:c r="I13" s="48" t="str">
        <x:v>linked by the locked 313-requirement index</x:v>
      </x:c>
      <x:c r="J13" s="47" t="n">
        <x:v>0</x:v>
      </x:c>
    </x:row>
    <x:row r="14">
      <x:c r="A14" s="47" t="str">
        <x:v>RUN-TRF-020-20260829T100212841602Z</x:v>
      </x:c>
      <x:c r="B14" s="47" t="str">
        <x:v>TRF-020</x:v>
      </x:c>
      <x:c r="C14" s="47" t="str">
        <x:v>fixedPitch</x:v>
      </x:c>
      <x:c r="D14" s="48" t="str">
        <x:v>https://w3id.org/nltl/vocab#fixedPitch</x:v>
      </x:c>
      <x:c r="E14" s="47" t="str">
        <x:v>NamedIndividual</x:v>
      </x:c>
      <x:c r="F14" s="47" t="str"/>
      <x:c r="G14" s="47" t="str">
        <x:v>https://w3id.org/nltl/vocab#propellerPitchControlTypeValue</x:v>
      </x:c>
      <x:c r="H14" s="47" t="str"/>
      <x:c r="I14" s="48" t="str">
        <x:v>controlled value permitted by the range of controllablePitch; controlled value permitted by the range of fixedPitch; controlled value permitted by the range of propellerPitchControlType; linked by the locked 313-requirement index</x:v>
      </x:c>
      <x:c r="J14" s="47" t="n">
        <x:v>0</x:v>
      </x:c>
    </x:row>
    <x:row r="15">
      <x:c r="A15" s="47" t="str">
        <x:v>RUN-TRF-020-20260829T100212841602Z</x:v>
      </x:c>
      <x:c r="B15" s="47" t="str">
        <x:v>TRF-020</x:v>
      </x:c>
      <x:c r="C15" s="47" t="str">
        <x:v>hasComponent</x:v>
      </x:c>
      <x:c r="D15" s="48" t="str">
        <x:v>https://w3id.org/nltl/vocab#hasComponent</x:v>
      </x:c>
      <x:c r="E15" s="47" t="str">
        <x:v>ObjectProperty</x:v>
      </x:c>
      <x:c r="F15" s="47" t="str"/>
      <x:c r="G15" s="47" t="str">
        <x:v>https://w3id.org/nltl/vocab#shipComponent</x:v>
      </x:c>
      <x:c r="H15" s="47" t="str"/>
      <x:c r="I15" s="48" t="str">
        <x:v>component-path dependency inferred from the linked term module</x:v>
      </x:c>
      <x:c r="J15" s="47" t="n">
        <x:v>0</x:v>
      </x:c>
    </x:row>
    <x:row r="16">
      <x:c r="A16" s="47" t="str">
        <x:v>RUN-TRF-020-20260829T100212841602Z</x:v>
      </x:c>
      <x:c r="B16" s="47" t="str">
        <x:v>TRF-020</x:v>
      </x:c>
      <x:c r="C16" s="47" t="str">
        <x:v>hasIntendedIceOperatingWaterline</x:v>
      </x:c>
      <x:c r="D16" s="48" t="str">
        <x:v>https://w3id.org/nltl/vocab#hasIntendedIceOperatingWaterline</x:v>
      </x:c>
      <x:c r="E16" s="47" t="str">
        <x:v>ObjectProperty</x:v>
      </x:c>
      <x:c r="F16" s="47" t="str"/>
      <x:c r="G16" s="47" t="str">
        <x:v>https://w3id.org/nltl/vocab#iceWaterline</x:v>
      </x:c>
      <x:c r="H16" s="47" t="str"/>
      <x:c r="I16" s="48" t="str">
        <x:v>canonical path from target owner ship to required owner iceWaterline</x:v>
      </x:c>
      <x:c r="J16" s="47" t="n">
        <x:v>0</x:v>
      </x:c>
    </x:row>
    <x:row r="17">
      <x:c r="A17" s="47" t="str">
        <x:v>RUN-TRF-020-20260829T100212841602Z</x:v>
      </x:c>
      <x:c r="B17" s="47" t="str">
        <x:v>TRF-020</x:v>
      </x:c>
      <x:c r="C17" s="47" t="str">
        <x:v>hasLowerIceWaterline</x:v>
      </x:c>
      <x:c r="D17" s="48" t="str">
        <x:v>https://w3id.org/nltl/vocab#hasLowerIceWaterline</x:v>
      </x:c>
      <x:c r="E17" s="47" t="str">
        <x:v>ObjectProperty</x:v>
      </x:c>
      <x:c r="F17" s="47" t="str"/>
      <x:c r="G17" s="47" t="str">
        <x:v>https://w3id.org/nltl/vocab#iceWaterline</x:v>
      </x:c>
      <x:c r="H17" s="47" t="str"/>
      <x:c r="I17" s="48" t="str">
        <x:v>canonical path from target owner ship to required owner iceWaterline; linked by the locked 313-requirement index</x:v>
      </x:c>
      <x:c r="J17" s="47" t="n">
        <x:v>0</x:v>
      </x:c>
    </x:row>
    <x:row r="18">
      <x:c r="A18" s="47" t="str">
        <x:v>RUN-TRF-020-20260829T100212841602Z</x:v>
      </x:c>
      <x:c r="B18" s="47" t="str">
        <x:v>TRF-020</x:v>
      </x:c>
      <x:c r="C18" s="47" t="str">
        <x:v>hasUpperIceWaterline</x:v>
      </x:c>
      <x:c r="D18" s="48" t="str">
        <x:v>https://w3id.org/nltl/vocab#hasUpperIceWaterline</x:v>
      </x:c>
      <x:c r="E18" s="47" t="str">
        <x:v>ObjectProperty</x:v>
      </x:c>
      <x:c r="F18" s="47" t="str"/>
      <x:c r="G18" s="47" t="str">
        <x:v>https://w3id.org/nltl/vocab#iceWaterline</x:v>
      </x:c>
      <x:c r="H18" s="47" t="str"/>
      <x:c r="I18" s="48" t="str">
        <x:v>canonical path from target owner ship to required owner iceWaterline; linked by the locked 313-requirement index</x:v>
      </x:c>
      <x:c r="J18" s="47" t="n">
        <x:v>0</x:v>
      </x:c>
    </x:row>
    <x:row r="19">
      <x:c r="A19" s="47" t="str">
        <x:v>RUN-TRF-020-20260829T100212841602Z</x:v>
      </x:c>
      <x:c r="B19" s="47" t="str">
        <x:v>TRF-020</x:v>
      </x:c>
      <x:c r="C19" s="47" t="str">
        <x:v>hydraulicPropulsionMachinery</x:v>
      </x:c>
      <x:c r="D19" s="48" t="str">
        <x:v>https://w3id.org/nltl/vocab#hydraulicPropulsionMachinery</x:v>
      </x:c>
      <x:c r="E19" s="47" t="str">
        <x:v>NamedIndividual</x:v>
      </x:c>
      <x:c r="F19" s="47" t="str"/>
      <x:c r="G19" s="47" t="str">
        <x:v>https://w3id.org/nltl/vocab#propulsionSystemTypeValue</x:v>
      </x:c>
      <x:c r="H19" s="47" t="str"/>
      <x:c r="I19" s="48" t="str">
        <x:v>controlled value permitted by the range of conventionalPropulsionSystem; controlled value permitted by the range of electricPropulsionMachinery; controlled value permitted by the range of hydraulicPropulsionMachinery; controlled value permitted by the range of propulsionSystemType; linked by the locked 313-requirement index</x:v>
      </x:c>
      <x:c r="J19" s="47" t="n">
        <x:v>0</x:v>
      </x:c>
    </x:row>
    <x:row r="20">
      <x:c r="A20" s="47" t="str">
        <x:v>RUN-TRF-020-20260829T100212841602Z</x:v>
      </x:c>
      <x:c r="B20" s="47" t="str">
        <x:v>TRF-020</x:v>
      </x:c>
      <x:c r="C20" s="47" t="str">
        <x:v>iceClass</x:v>
      </x:c>
      <x:c r="D20" s="48" t="str">
        <x:v>https://w3id.org/nltl/vocab#iceClass</x:v>
      </x:c>
      <x:c r="E20" s="47" t="str">
        <x:v>ObjectProperty</x:v>
      </x:c>
      <x:c r="F20" s="47" t="str"/>
      <x:c r="G20" s="47" t="str">
        <x:v>https://w3id.org/nltl/vocab#iceClassValue</x:v>
      </x:c>
      <x:c r="H20" s="47" t="str"/>
      <x:c r="I20" s="48" t="str">
        <x:v>linked by the locked 313-requirement index</x:v>
      </x:c>
      <x:c r="J20" s="47" t="n">
        <x:v>0</x:v>
      </x:c>
    </x:row>
    <x:row r="21">
      <x:c r="A21" s="47" t="str">
        <x:v>RUN-TRF-020-20260829T100212841602Z</x:v>
      </x:c>
      <x:c r="B21" s="47" t="str">
        <x:v>TRF-020</x:v>
      </x:c>
      <x:c r="C21" s="47" t="str">
        <x:v>iceClassIa</x:v>
      </x:c>
      <x:c r="D21" s="48" t="str">
        <x:v>https://w3id.org/nltl/vocab#iceClassIa</x:v>
      </x:c>
      <x:c r="E21" s="47" t="str">
        <x:v>NamedIndividual</x:v>
      </x:c>
      <x:c r="F21" s="47" t="str"/>
      <x:c r="G21" s="47" t="str">
        <x:v>https://w3id.org/nltl/vocab#iceClassValue</x:v>
      </x:c>
      <x:c r="H21" s="47" t="str"/>
      <x:c r="I21" s="48" t="str">
        <x:v>controlled value permitted by the range of iceClass</x:v>
      </x:c>
      <x:c r="J21" s="47" t="n">
        <x:v>0</x:v>
      </x:c>
    </x:row>
    <x:row r="22">
      <x:c r="A22" s="47" t="str">
        <x:v>RUN-TRF-020-20260829T100212841602Z</x:v>
      </x:c>
      <x:c r="B22" s="47" t="str">
        <x:v>TRF-020</x:v>
      </x:c>
      <x:c r="C22" s="47" t="str">
        <x:v>iceClassIaSuper</x:v>
      </x:c>
      <x:c r="D22" s="48" t="str">
        <x:v>https://w3id.org/nltl/vocab#iceClassIaSuper</x:v>
      </x:c>
      <x:c r="E22" s="47" t="str">
        <x:v>NamedIndividual</x:v>
      </x:c>
      <x:c r="F22" s="47" t="str"/>
      <x:c r="G22" s="47" t="str">
        <x:v>https://w3id.org/nltl/vocab#iceClassValue</x:v>
      </x:c>
      <x:c r="H22" s="47" t="str"/>
      <x:c r="I22" s="48" t="str">
        <x:v>controlled value permitted by the range of iceClass</x:v>
      </x:c>
      <x:c r="J22" s="47" t="n">
        <x:v>0</x:v>
      </x:c>
    </x:row>
    <x:row r="23">
      <x:c r="A23" s="47" t="str">
        <x:v>RUN-TRF-020-20260829T100212841602Z</x:v>
      </x:c>
      <x:c r="B23" s="47" t="str">
        <x:v>TRF-020</x:v>
      </x:c>
      <x:c r="C23" s="47" t="str">
        <x:v>iceClassIb</x:v>
      </x:c>
      <x:c r="D23" s="48" t="str">
        <x:v>https://w3id.org/nltl/vocab#iceClassIb</x:v>
      </x:c>
      <x:c r="E23" s="47" t="str">
        <x:v>NamedIndividual</x:v>
      </x:c>
      <x:c r="F23" s="47" t="str"/>
      <x:c r="G23" s="47" t="str">
        <x:v>https://w3id.org/nltl/vocab#iceClassValue</x:v>
      </x:c>
      <x:c r="H23" s="47" t="str"/>
      <x:c r="I23" s="48" t="str">
        <x:v>controlled value permitted by the range of iceClass</x:v>
      </x:c>
      <x:c r="J23" s="47" t="n">
        <x:v>0</x:v>
      </x:c>
    </x:row>
    <x:row r="24">
      <x:c r="A24" s="47" t="str">
        <x:v>RUN-TRF-020-20260829T100212841602Z</x:v>
      </x:c>
      <x:c r="B24" s="47" t="str">
        <x:v>TRF-020</x:v>
      </x:c>
      <x:c r="C24" s="47" t="str">
        <x:v>iceClassIc</x:v>
      </x:c>
      <x:c r="D24" s="48" t="str">
        <x:v>https://w3id.org/nltl/vocab#iceClassIc</x:v>
      </x:c>
      <x:c r="E24" s="47" t="str">
        <x:v>NamedIndividual</x:v>
      </x:c>
      <x:c r="F24" s="47" t="str"/>
      <x:c r="G24" s="47" t="str">
        <x:v>https://w3id.org/nltl/vocab#iceClassValue</x:v>
      </x:c>
      <x:c r="H24" s="47" t="str"/>
      <x:c r="I24" s="48" t="str">
        <x:v>controlled value permitted by the range of iceClass</x:v>
      </x:c>
      <x:c r="J24" s="47" t="n">
        <x:v>0</x:v>
      </x:c>
    </x:row>
    <x:row r="25">
      <x:c r="A25" s="47" t="str">
        <x:v>RUN-TRF-020-20260829T100212841602Z</x:v>
      </x:c>
      <x:c r="B25" s="47" t="str">
        <x:v>TRF-020</x:v>
      </x:c>
      <x:c r="C25" s="47" t="str">
        <x:v>iceClassIi</x:v>
      </x:c>
      <x:c r="D25" s="48" t="str">
        <x:v>https://w3id.org/nltl/vocab#iceClassIi</x:v>
      </x:c>
      <x:c r="E25" s="47" t="str">
        <x:v>NamedIndividual</x:v>
      </x:c>
      <x:c r="F25" s="47" t="str"/>
      <x:c r="G25" s="47" t="str">
        <x:v>https://w3id.org/nltl/vocab#iceClassValue</x:v>
      </x:c>
      <x:c r="H25" s="47" t="str"/>
      <x:c r="I25" s="48" t="str">
        <x:v>controlled value permitted by the range of iceClass</x:v>
      </x:c>
      <x:c r="J25" s="47" t="n">
        <x:v>0</x:v>
      </x:c>
    </x:row>
    <x:row r="26">
      <x:c r="A26" s="47" t="str">
        <x:v>RUN-TRF-020-20260829T100212841602Z</x:v>
      </x:c>
      <x:c r="B26" s="47" t="str">
        <x:v>TRF-020</x:v>
      </x:c>
      <x:c r="C26" s="47" t="str">
        <x:v>iceClassIii</x:v>
      </x:c>
      <x:c r="D26" s="48" t="str">
        <x:v>https://w3id.org/nltl/vocab#iceClassIii</x:v>
      </x:c>
      <x:c r="E26" s="47" t="str">
        <x:v>NamedIndividual</x:v>
      </x:c>
      <x:c r="F26" s="47" t="str"/>
      <x:c r="G26" s="47" t="str">
        <x:v>https://w3id.org/nltl/vocab#iceClassValue</x:v>
      </x:c>
      <x:c r="H26" s="47" t="str"/>
      <x:c r="I26" s="48" t="str">
        <x:v>controlled value permitted by the range of iceClass</x:v>
      </x:c>
      <x:c r="J26" s="47" t="n">
        <x:v>0</x:v>
      </x:c>
    </x:row>
    <x:row r="27">
      <x:c r="A27" s="47" t="str">
        <x:v>RUN-TRF-020-20260829T100212841602Z</x:v>
      </x:c>
      <x:c r="B27" s="47" t="str">
        <x:v>TRF-020</x:v>
      </x:c>
      <x:c r="C27" s="47" t="str">
        <x:v>iceClassValue</x:v>
      </x:c>
      <x:c r="D27" s="48" t="str">
        <x:v>https://w3id.org/nltl/vocab#iceClassValue</x:v>
      </x:c>
      <x:c r="E27" s="47" t="str">
        <x:v>Class</x:v>
      </x:c>
      <x:c r="F27" s="47" t="str"/>
      <x:c r="G27" s="47" t="str"/>
      <x:c r="H27" s="47" t="str"/>
      <x:c r="I27" s="48" t="str">
        <x:v>range dependency of iceClass</x:v>
      </x:c>
      <x:c r="J27" s="47" t="n">
        <x:v>0</x:v>
      </x:c>
    </x:row>
    <x:row r="28">
      <x:c r="A28" s="47" t="str">
        <x:v>RUN-TRF-020-20260829T100212841602Z</x:v>
      </x:c>
      <x:c r="B28" s="47" t="str">
        <x:v>TRF-020</x:v>
      </x:c>
      <x:c r="C28" s="47" t="str">
        <x:v>iceWaterline</x:v>
      </x:c>
      <x:c r="D28" s="48" t="str">
        <x:v>https://w3id.org/nltl/vocab#iceWaterline</x:v>
      </x:c>
      <x:c r="E28" s="47" t="str">
        <x:v>Class</x:v>
      </x:c>
      <x:c r="F28" s="47" t="str"/>
      <x:c r="G28" s="47" t="str">
        <x:v>https://w3id.org/nltl/vocab#benchmarkEntity</x:v>
      </x:c>
      <x:c r="H28" s="47" t="str"/>
      <x:c r="I28" s="48" t="str">
        <x:v>authoritative required owner class; domain dependency of upperIceWaterlineBreadth; linked by the locked 313-requirement index; range dependency of hasLowerIceWaterline; range dependency of hasUpperIceWaterline</x:v>
      </x:c>
      <x:c r="J28" s="47" t="n">
        <x:v>0</x:v>
      </x:c>
    </x:row>
    <x:row r="29">
      <x:c r="A29" s="47" t="str">
        <x:v>RUN-TRF-020-20260829T100212841602Z</x:v>
      </x:c>
      <x:c r="B29" s="47" t="str">
        <x:v>TRF-020</x:v>
      </x:c>
      <x:c r="C29" s="47" t="str">
        <x:v>maximumContinuousRatingPower</x:v>
      </x:c>
      <x:c r="D29" s="48" t="str">
        <x:v>https://w3id.org/nltl/vocab#maximumContinuousRatingPower</x:v>
      </x:c>
      <x:c r="E29" s="47" t="str">
        <x:v>QuantityProperty</x:v>
      </x:c>
      <x:c r="F29" s="47" t="str"/>
      <x:c r="G29" s="47" t="str">
        <x:v>http://qudt.org/schema/qudt/QuantityValue</x:v>
      </x:c>
      <x:c r="H29" s="47" t="str">
        <x:v>http://qudt.org/vocab/unit/KiloW</x:v>
      </x:c>
      <x:c r="I29" s="48" t="str">
        <x:v>linked by the locked 313-requirement index</x:v>
      </x:c>
      <x:c r="J29" s="47" t="n">
        <x:v>0</x:v>
      </x:c>
    </x:row>
    <x:row r="30">
      <x:c r="A30" s="47" t="str">
        <x:v>RUN-TRF-020-20260829T100212841602Z</x:v>
      </x:c>
      <x:c r="B30" s="47" t="str">
        <x:v>TRF-020</x:v>
      </x:c>
      <x:c r="C30" s="47" t="str">
        <x:v>minimumRequiredPowerAtLowerIceWaterline</x:v>
      </x:c>
      <x:c r="D30" s="48" t="str">
        <x:v>https://w3id.org/nltl/vocab#minimumRequiredPowerAtLowerIceWaterline</x:v>
      </x:c>
      <x:c r="E30" s="47" t="str">
        <x:v>QuantityProperty</x:v>
      </x:c>
      <x:c r="F30" s="47" t="str"/>
      <x:c r="G30" s="47" t="str">
        <x:v>http://qudt.org/schema/qudt/QuantityValue</x:v>
      </x:c>
      <x:c r="H30" s="47" t="str">
        <x:v>http://qudt.org/vocab/unit/KiloW</x:v>
      </x:c>
      <x:c r="I30" s="48" t="str">
        <x:v>linked by the locked 313-requirement index</x:v>
      </x:c>
      <x:c r="J30" s="47" t="n">
        <x:v>0</x:v>
      </x:c>
    </x:row>
    <x:row r="31">
      <x:c r="A31" s="47" t="str">
        <x:v>RUN-TRF-020-20260829T100212841602Z</x:v>
      </x:c>
      <x:c r="B31" s="47" t="str">
        <x:v>TRF-020</x:v>
      </x:c>
      <x:c r="C31" s="47" t="str">
        <x:v>minimumRequiredPowerAtUpperIceWaterline</x:v>
      </x:c>
      <x:c r="D31" s="48" t="str">
        <x:v>https://w3id.org/nltl/vocab#minimumRequiredPowerAtUpperIceWaterline</x:v>
      </x:c>
      <x:c r="E31" s="47" t="str">
        <x:v>QuantityProperty</x:v>
      </x:c>
      <x:c r="F31" s="47" t="str"/>
      <x:c r="G31" s="47" t="str">
        <x:v>http://qudt.org/schema/qudt/QuantityValue</x:v>
      </x:c>
      <x:c r="H31" s="47" t="str">
        <x:v>http://qudt.org/vocab/unit/KiloW</x:v>
      </x:c>
      <x:c r="I31" s="48" t="str">
        <x:v>linked by the locked 313-requirement index</x:v>
      </x:c>
      <x:c r="J31" s="47" t="n">
        <x:v>0</x:v>
      </x:c>
    </x:row>
    <x:row r="32">
      <x:c r="A32" s="47" t="str">
        <x:v>RUN-TRF-020-20260829T100212841602Z</x:v>
      </x:c>
      <x:c r="B32" s="47" t="str">
        <x:v>TRF-020</x:v>
      </x:c>
      <x:c r="C32" s="47" t="str">
        <x:v>propellerCount</x:v>
      </x:c>
      <x:c r="D32" s="48" t="str">
        <x:v>https://w3id.org/nltl/vocab#propellerCount</x:v>
      </x:c>
      <x:c r="E32" s="47" t="str">
        <x:v>DatatypeProperty</x:v>
      </x:c>
      <x:c r="F32" s="47" t="str">
        <x:v>xsd:integer</x:v>
      </x:c>
      <x:c r="G32" s="47" t="str">
        <x:v>http://www.w3.org/2001/XMLSchema#integer</x:v>
      </x:c>
      <x:c r="H32" s="47" t="str"/>
      <x:c r="I32" s="48" t="str">
        <x:v>linked by the locked 313-requirement index</x:v>
      </x:c>
      <x:c r="J32" s="47" t="n">
        <x:v>0</x:v>
      </x:c>
    </x:row>
    <x:row r="33">
      <x:c r="A33" s="47" t="str">
        <x:v>RUN-TRF-020-20260829T100212841602Z</x:v>
      </x:c>
      <x:c r="B33" s="47" t="str">
        <x:v>TRF-020</x:v>
      </x:c>
      <x:c r="C33" s="47" t="str">
        <x:v>propellerDiameter</x:v>
      </x:c>
      <x:c r="D33" s="48" t="str">
        <x:v>https://w3id.org/nltl/vocab#propellerDiameter</x:v>
      </x:c>
      <x:c r="E33" s="47" t="str">
        <x:v>QuantityProperty</x:v>
      </x:c>
      <x:c r="F33" s="47" t="str"/>
      <x:c r="G33" s="47" t="str">
        <x:v>http://qudt.org/schema/qudt/QuantityValue</x:v>
      </x:c>
      <x:c r="H33" s="47" t="str">
        <x:v>http://qudt.org/vocab/unit/M</x:v>
      </x:c>
      <x:c r="I33" s="48" t="str">
        <x:v>linked by the locked 313-requirement index</x:v>
      </x:c>
      <x:c r="J33" s="47" t="n">
        <x:v>0</x:v>
      </x:c>
    </x:row>
    <x:row r="34">
      <x:c r="A34" s="47" t="str">
        <x:v>RUN-TRF-020-20260829T100212841602Z</x:v>
      </x:c>
      <x:c r="B34" s="47" t="str">
        <x:v>TRF-020</x:v>
      </x:c>
      <x:c r="C34" s="47" t="str">
        <x:v>propellerPitchControlType</x:v>
      </x:c>
      <x:c r="D34" s="48" t="str">
        <x:v>https://w3id.org/nltl/vocab#propellerPitchControlType</x:v>
      </x:c>
      <x:c r="E34" s="47" t="str">
        <x:v>ObjectProperty</x:v>
      </x:c>
      <x:c r="F34" s="47" t="str"/>
      <x:c r="G34" s="47" t="str">
        <x:v>https://w3id.org/nltl/vocab#propellerPitchControlTypeValue</x:v>
      </x:c>
      <x:c r="H34" s="47" t="str"/>
      <x:c r="I34" s="48" t="str">
        <x:v>linked by the locked 313-requirement index</x:v>
      </x:c>
      <x:c r="J34" s="47" t="n">
        <x:v>0</x:v>
      </x:c>
    </x:row>
    <x:row r="35">
      <x:c r="A35" s="47" t="str">
        <x:v>RUN-TRF-020-20260829T100212841602Z</x:v>
      </x:c>
      <x:c r="B35" s="47" t="str">
        <x:v>TRF-020</x:v>
      </x:c>
      <x:c r="C35" s="47" t="str">
        <x:v>propellerPitchControlTypeValue</x:v>
      </x:c>
      <x:c r="D35" s="48" t="str">
        <x:v>https://w3id.org/nltl/vocab#propellerPitchControlTypeValue</x:v>
      </x:c>
      <x:c r="E35" s="47" t="str">
        <x:v>Class</x:v>
      </x:c>
      <x:c r="F35" s="47" t="str"/>
      <x:c r="G35" s="47" t="str">
        <x:v>https://w3id.org/nltl/vocab#benchmarkEntity</x:v>
      </x:c>
      <x:c r="H35" s="47" t="str"/>
      <x:c r="I35" s="48" t="str">
        <x:v>range dependency of controllablePitch; range dependency of fixedPitch; range dependency of propellerPitchControlType</x:v>
      </x:c>
      <x:c r="J35" s="47" t="n">
        <x:v>0</x:v>
      </x:c>
    </x:row>
    <x:row r="36">
      <x:c r="A36" s="47" t="str">
        <x:v>RUN-TRF-020-20260829T100212841602Z</x:v>
      </x:c>
      <x:c r="B36" s="47" t="str">
        <x:v>TRF-020</x:v>
      </x:c>
      <x:c r="C36" s="47" t="str">
        <x:v>propulsionSystemType</x:v>
      </x:c>
      <x:c r="D36" s="48" t="str">
        <x:v>https://w3id.org/nltl/vocab#propulsionSystemType</x:v>
      </x:c>
      <x:c r="E36" s="47" t="str">
        <x:v>ObjectProperty</x:v>
      </x:c>
      <x:c r="F36" s="47" t="str"/>
      <x:c r="G36" s="47" t="str">
        <x:v>https://w3id.org/nltl/vocab#propulsionSystemTypeValue</x:v>
      </x:c>
      <x:c r="H36" s="47" t="str"/>
      <x:c r="I36" s="48" t="str">
        <x:v>linked by the locked 313-requirement index</x:v>
      </x:c>
      <x:c r="J36" s="47" t="n">
        <x:v>0</x:v>
      </x:c>
    </x:row>
    <x:row r="37">
      <x:c r="A37" s="47" t="str">
        <x:v>RUN-TRF-020-20260829T100212841602Z</x:v>
      </x:c>
      <x:c r="B37" s="47" t="str">
        <x:v>TRF-020</x:v>
      </x:c>
      <x:c r="C37" s="47" t="str">
        <x:v>propulsionSystemTypeValue</x:v>
      </x:c>
      <x:c r="D37" s="48" t="str">
        <x:v>https://w3id.org/nltl/vocab#propulsionSystemTypeValue</x:v>
      </x:c>
      <x:c r="E37" s="47" t="str">
        <x:v>Class</x:v>
      </x:c>
      <x:c r="F37" s="47" t="str"/>
      <x:c r="G37" s="47" t="str">
        <x:v>https://w3id.org/nltl/vocab#benchmarkEntity</x:v>
      </x:c>
      <x:c r="H37" s="47" t="str"/>
      <x:c r="I37" s="48" t="str">
        <x:v>range dependency of conventionalPropulsionSystem; range dependency of electricPropulsionMachinery; range dependency of hydraulicPropulsionMachinery; range dependency of propulsionSystemType</x:v>
      </x:c>
      <x:c r="J37" s="47" t="n">
        <x:v>0</x:v>
      </x:c>
    </x:row>
    <x:row r="38">
      <x:c r="A38" s="47" t="str">
        <x:v>RUN-TRF-020-20260829T100212841602Z</x:v>
      </x:c>
      <x:c r="B38" s="47" t="str">
        <x:v>TRF-020</x:v>
      </x:c>
      <x:c r="C38" s="47" t="str">
        <x:v>ship</x:v>
      </x:c>
      <x:c r="D38" s="48" t="str">
        <x:v>https://w3id.org/nltl/vocab#ship</x:v>
      </x:c>
      <x:c r="E38" s="47" t="str">
        <x:v>Class</x:v>
      </x:c>
      <x:c r="F38" s="47" t="str"/>
      <x:c r="G38" s="47" t="str"/>
      <x:c r="H38" s="47" t="str"/>
      <x:c r="I38" s="48" t="str">
        <x:v>authoritative required owner class; authoritative requirement target owner; baseline target infrastructure; domain dependency of hasLowerIceWaterline; domain dependency of hasUpperIceWaterline</x:v>
      </x:c>
      <x:c r="J38" s="47" t="n">
        <x:v>0</x:v>
      </x:c>
    </x:row>
    <x:row r="39">
      <x:c r="A39" s="47" t="str">
        <x:v>RUN-TRF-020-20260829T100212841602Z</x:v>
      </x:c>
      <x:c r="B39" s="47" t="str">
        <x:v>TRF-020</x:v>
      </x:c>
      <x:c r="C39" s="47" t="str">
        <x:v>shipComponent</x:v>
      </x:c>
      <x:c r="D39" s="48" t="str">
        <x:v>https://w3id.org/nltl/vocab#shipComponent</x:v>
      </x:c>
      <x:c r="E39" s="47" t="str">
        <x:v>Class</x:v>
      </x:c>
      <x:c r="F39" s="47" t="str"/>
      <x:c r="G39" s="47" t="str"/>
      <x:c r="H39" s="47" t="str"/>
      <x:c r="I39" s="48" t="str">
        <x:v>component-path dependency inferred from the linked term module</x:v>
      </x:c>
      <x:c r="J39" s="47" t="n">
        <x:v>0</x:v>
      </x:c>
    </x:row>
    <x:row r="40">
      <x:c r="A40" s="47" t="str">
        <x:v>RUN-TRF-020-20260829T100212841602Z</x:v>
      </x:c>
      <x:c r="B40" s="47" t="str">
        <x:v>TRF-020</x:v>
      </x:c>
      <x:c r="C40" s="47" t="str">
        <x:v>upperIceWaterlineBreadth</x:v>
      </x:c>
      <x:c r="D40" s="48" t="str">
        <x:v>https://w3id.org/nltl/vocab#upperIceWaterlineBreadth</x:v>
      </x:c>
      <x:c r="E40" s="47" t="str">
        <x:v>QuantityProperty</x:v>
      </x:c>
      <x:c r="F40" s="47" t="str"/>
      <x:c r="G40" s="47" t="str">
        <x:v>http://qudt.org/schema/qudt/QuantityValue</x:v>
      </x:c>
      <x:c r="H40" s="47" t="str">
        <x:v>http://qudt.org/vocab/unit/M</x:v>
      </x:c>
      <x:c r="I40" s="48" t="str">
        <x:v>linked by the locked 313-requirement index</x:v>
      </x:c>
      <x:c r="J40" s="47" t="n">
        <x:v>0</x:v>
      </x:c>
    </x:row>
    <x:row r="41">
      <x:c r="A41" s="49" t="str">
        <x:v>RUN-TRF-020-20260829T100212841602Z</x:v>
      </x:c>
      <x:c r="B41" s="49" t="str">
        <x:v>TRF-020</x:v>
      </x:c>
      <x:c r="C41" s="49" t="str">
        <x:v>upperIceWaterlineLength</x:v>
      </x:c>
      <x:c r="D41" s="50" t="str">
        <x:v>https://w3id.org/nltl/vocab#upperIceWaterlineLength</x:v>
      </x:c>
      <x:c r="E41" s="49" t="str">
        <x:v>QuantityProperty</x:v>
      </x:c>
      <x:c r="F41" s="49" t="str"/>
      <x:c r="G41" s="49" t="str">
        <x:v>http://qudt.org/schema/qudt/QuantityValue</x:v>
      </x:c>
      <x:c r="H41" s="49" t="str">
        <x:v>http://qudt.org/vocab/unit/M</x:v>
      </x:c>
      <x:c r="I41" s="50" t="str">
        <x:v>linked by the locked 313-requirement index</x:v>
      </x:c>
      <x:c r="J41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a01aabaca0464761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4" hidden="0" customWidth="1"/>
    <x:col min="4" max="4" width="24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RUN-TRF-020-20260829T100212841602Z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RUN-TRF-020-20260829T100212841602Z</x:v>
      </x:c>
      <x:c r="B5" s="45" t="str">
        <x:v>TRF-020</x:v>
      </x:c>
      <x:c r="C5" s="45" t="str">
        <x:v>FS-COMPLEX-READINESS-01</x:v>
      </x:c>
      <x:c r="D5" s="45" t="str">
        <x:v>complex_readiness_external_calculation</x:v>
      </x:c>
      <x:c r="E5" s="97" t="n">
        <x:v>2.057554</x:v>
      </x:c>
      <x:c r="F5" s="45" t="str">
        <x:v>calculation | complex | engineering | evidence | external | inputs | readiness | results</x:v>
      </x:c>
      <x:c r="G5" s="45" t="str">
        <x:v>synthetic-few-shot-not-benchmark-ground-truth</x:v>
      </x:c>
    </x:row>
    <x:row r="6">
      <x:c r="A6" s="49" t="str">
        <x:v>RUN-TRF-020-20260829T100212841602Z</x:v>
      </x:c>
      <x:c r="B6" s="49" t="str">
        <x:v>TRF-020</x:v>
      </x:c>
      <x:c r="C6" s="49" t="str">
        <x:v>FS-COMPLEX-READINESS-02</x:v>
      </x:c>
      <x:c r="D6" s="49" t="str">
        <x:v>complex_readiness_with_direct_residual_check</x:v>
      </x:c>
      <x:c r="E6" s="98" t="n">
        <x:v>2.034722</x:v>
      </x:c>
      <x:c r="F6" s="49" t="str">
        <x:v>complex | engineering | evidence | readiness | with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8b62ac13446b40a8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RUN-TRF-020-20260829T100212841602Z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45" t="str">
        <x:v>RUN-TRF-020-20260829T100212841602Z</x:v>
      </x:c>
      <x:c r="B5" s="45" t="str">
        <x:v>TRF-020</x:v>
      </x:c>
      <x:c r="C5" s="58" t="n">
        <x:v>1</x:v>
      </x:c>
      <x:c r="D5" s="83" t="b">
        <x:v>1</x:v>
      </x:c>
      <x:c r="E5" s="83" t="b">
        <x:v>1</x:v>
      </x:c>
      <x:c r="F5" s="83" t="b">
        <x:v>1</x:v>
      </x:c>
      <x:c r="G5" s="83" t="b">
        <x:v>1</x:v>
      </x:c>
      <x:c r="H5" s="83" t="b">
        <x:v>1</x:v>
      </x:c>
      <x:c r="I5" s="83" t="b">
        <x:v>1</x:v>
      </x:c>
      <x:c r="J5" s="83" t="b">
        <x:v>1</x:v>
      </x:c>
      <x:c r="K5" s="102" t="b">
        <x:v>1</x:v>
      </x:c>
      <x:c r="L5" s="46" t="str"/>
      <x:c r="M5" s="46" t="str"/>
      <x:c r="N5" s="46" t="str">
        <x:v>https://w3id.org/nltl/vocab#brashIceChannelResistanceAtLowerIceWaterline | https://w3id.org/nltl/vocab#brashIceChannelResistanceAtUpperIceWaterline | https://w3id.org/nltl/vocab#constructionStageDate | https://w3id.org/nltl/vocab#controllablePitch | https://w3id.org/nltl/vocab#conventionalPropulsionSystem | https://w3id.org/nltl/vocab#electricPropulsionMachinery | https://w3id.org/nltl/vocab#engineOutputCoefficientKe | https://w3id.org/nltl/vocab#fixedPitch | https://w3id.org/nltl/vocab#hasLowerIceWaterline | https://w3id.org/nltl/vocab#hasUpperIceWaterline | https://w3id.org/nltl/vocab#hydraulicPropulsionMachinery | https://w3id.org/nltl/vocab#iceClass | https://w3id.org/nltl/vocab#iceClassIa | https://w3id.org/nltl/vocab#iceClassIaSuper | https://w3id.org/nltl/vocab#iceClassIb | https://w3id.org/nltl/vocab#iceClassIc | https://w3id.org/nltl/vocab#iceClassIi | https://w3id.org/nltl/vocab#iceClassIii | https://w3id.org/nltl/vocab#iceWaterline | https://w3id.org/nltl/vocab#maximumContinuousRatingPower | https://w3id.org/nltl/vocab#minimumRequiredPowerAtLowerIceWaterline | https://w3id.org/nltl/vocab#minimumRequiredPowerAtUpperIceWaterline | https://w3id.org/nltl/vocab#propellerCount | https://w3id.org/nltl/vocab#propellerDiameter | https://w3id.org/nltl/vocab#propellerPitchControlType | https://w3id.org/nltl/vocab#propulsionSystemType | https://w3id.org/nltl/vocab#ship | https://w3id.org/nltl/vocab#upperIceWaterlineBreadth | https://w3id.org/nltl/vocab#upperIceWaterlineLength</x:v>
      </x:c>
      <x:c r="O5" s="46" t="str"/>
      <x:c r="P5" s="46" t="str"/>
      <x:c r="Q5" s="46" t="str"/>
    </x:row>
    <x:row r="6">
      <x:c r="A6" s="47" t="str">
        <x:v>RUN-TRF-020-20260829T100212841602Z</x:v>
      </x:c>
      <x:c r="B6" s="47" t="str">
        <x:v>TRF-020</x:v>
      </x:c>
      <x:c r="C6" s="59" t="n">
        <x:v>2</x:v>
      </x:c>
      <x:c r="D6" s="85" t="b">
        <x:v>1</x:v>
      </x:c>
      <x:c r="E6" s="85" t="b">
        <x:v>1</x:v>
      </x:c>
      <x:c r="F6" s="85" t="b">
        <x:v>1</x:v>
      </x:c>
      <x:c r="G6" s="85" t="b">
        <x:v>1</x:v>
      </x:c>
      <x:c r="H6" s="85" t="b">
        <x:v>1</x:v>
      </x:c>
      <x:c r="I6" s="85" t="b">
        <x:v>1</x:v>
      </x:c>
      <x:c r="J6" s="85" t="b">
        <x:v>1</x:v>
      </x:c>
      <x:c r="K6" s="103" t="b">
        <x:v>1</x:v>
      </x:c>
      <x:c r="L6" s="48" t="str"/>
      <x:c r="M6" s="48" t="str"/>
      <x:c r="N6" s="48" t="str">
        <x:v>https://w3id.org/nltl/vocab#brashIceChannelResistanceAtLowerIceWaterline | https://w3id.org/nltl/vocab#brashIceChannelResistanceAtUpperIceWaterline | https://w3id.org/nltl/vocab#brashIceChannelResistanceRch | https://w3id.org/nltl/vocab#constructionStageDate | https://w3id.org/nltl/vocab#controllablePitch | https://w3id.org/nltl/vocab#conventionalPropulsionSystem | https://w3id.org/nltl/vocab#electricPropulsionMachinery | https://w3id.org/nltl/vocab#engineOutputCoefficientKe | https://w3id.org/nltl/vocab#fixedPitch | https://w3id.org/nltl/vocab#hasLowerIceWaterline | https://w3id.org/nltl/vocab#hasUpperIceWaterline | https://w3id.org/nltl/vocab#hydraulicPropulsionMachinery | https://w3id.org/nltl/vocab#iceClass | https://w3id.org/nltl/vocab#iceClassIa | https://w3id.org/nltl/vocab#iceClassIaSuper | https://w3id.org/nltl/vocab#iceClassIb | https://w3id.org/nltl/vocab#iceClassIc | https://w3id.org/nltl/vocab#iceClassIi | https://w3id.org/nltl/vocab#iceClassIii | https://w3id.org/nltl/vocab#iceWaterline | https://w3id.org/nltl/vocab#maximumContinuousRatingPower | https://w3id.org/nltl/vocab#minimumRequiredPowerAtLowerIceWaterline | https://w3id.org/nltl/vocab#minimumRequiredPowerAtUpperIceWaterline | https://w3id.org/nltl/vocab#propellerCount | https://w3id.org/nltl/vocab#propellerDiameter | https://w3id.org/nltl/vocab#propellerPitchControlType | https://w3id.org/nltl/vocab#propulsionSystemType | https://w3id.org/nltl/vocab#ship | https://w3id.org/nltl/vocab#upperIceWaterlineBreadth | https://w3id.org/nltl/vocab#upperIceWaterlineLength</x:v>
      </x:c>
      <x:c r="O6" s="48" t="str"/>
      <x:c r="P6" s="48" t="str"/>
      <x:c r="Q6" s="48" t="str"/>
    </x:row>
    <x:row r="7">
      <x:c r="A7" s="49" t="str">
        <x:v>RUN-TRF-020-20260829T100212841602Z</x:v>
      </x:c>
      <x:c r="B7" s="49" t="str">
        <x:v>TRF-020</x:v>
      </x:c>
      <x:c r="C7" s="60" t="n">
        <x:v>3</x:v>
      </x:c>
      <x:c r="D7" s="87" t="b">
        <x:v>1</x:v>
      </x:c>
      <x:c r="E7" s="87" t="b">
        <x:v>1</x:v>
      </x:c>
      <x:c r="F7" s="87" t="b">
        <x:v>1</x:v>
      </x:c>
      <x:c r="G7" s="87" t="b">
        <x:v>1</x:v>
      </x:c>
      <x:c r="H7" s="87" t="b">
        <x:v>1</x:v>
      </x:c>
      <x:c r="I7" s="87" t="b">
        <x:v>1</x:v>
      </x:c>
      <x:c r="J7" s="87" t="b">
        <x:v>1</x:v>
      </x:c>
      <x:c r="K7" s="104" t="b">
        <x:v>1</x:v>
      </x:c>
      <x:c r="L7" s="50" t="str"/>
      <x:c r="M7" s="50" t="str"/>
      <x:c r="N7" s="50" t="str">
        <x:v>https://w3id.org/nltl/vocab#brashIceChannelResistanceAtLowerIceWaterline | https://w3id.org/nltl/vocab#brashIceChannelResistanceAtUpperIceWaterline | https://w3id.org/nltl/vocab#constructionStageDate | https://w3id.org/nltl/vocab#controllablePitch | https://w3id.org/nltl/vocab#conventionalPropulsionSystem | https://w3id.org/nltl/vocab#electricPropulsionMachinery | https://w3id.org/nltl/vocab#engineOutputCoefficientKe | https://w3id.org/nltl/vocab#fixedPitch | https://w3id.org/nltl/vocab#hasLowerIceWaterline | https://w3id.org/nltl/vocab#hasUpperIceWaterline | https://w3id.org/nltl/vocab#hydraulicPropulsionMachinery | https://w3id.org/nltl/vocab#iceClass | https://w3id.org/nltl/vocab#iceClassIa | https://w3id.org/nltl/vocab#iceClassIaSuper | https://w3id.org/nltl/vocab#iceClassIb | https://w3id.org/nltl/vocab#iceClassIc | https://w3id.org/nltl/vocab#iceWaterline | https://w3id.org/nltl/vocab#maximumContinuousRatingPower | https://w3id.org/nltl/vocab#minimumRequiredPowerAtLowerIceWaterline | https://w3id.org/nltl/vocab#minimumRequiredPowerAtUpperIceWaterline | https://w3id.org/nltl/vocab#propellerCount | https://w3id.org/nltl/vocab#propellerDiameter | https://w3id.org/nltl/vocab#propellerPitchControlType | https://w3id.org/nltl/vocab#propulsionSystemType | https://w3id.org/nltl/vocab#ship | https://w3id.org/nltl/vocab#upperIceWaterlineBreadth | https://w3id.org/nltl/vocab#upperIceWaterlineLength</x:v>
      </x:c>
      <x:c r="O7" s="50" t="str"/>
      <x:c r="P7" s="50" t="str"/>
      <x:c r="Q7" s="50" t="str"/>
    </x:row>
  </x:sheetData>
  <x:pageMargins left="0.7" right="0.7" top="0.75" bottom="0.75" header="0.3" footer="0.3"/>
  <x:tableParts count="1">
    <x:tablePart xmlns:r="http://schemas.openxmlformats.org/officeDocument/2006/relationships" r:id="R7a69f6d9ca1e49d3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RUN-TRF-020-20260829T100212841602Z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6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RUN-TRF-020-20260829T100212841602Z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RUN-TRF-020-20260829T100212841602Z</x:v>
      </x:c>
      <x:c r="B5" s="45" t="str">
        <x:v>TRF-020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357028f3a7f46748481e836274ecdc37dc6d7b0f5caa8c4edc5c0f29ff36ee23</x:v>
      </x:c>
      <x:c r="G5" s="58" t="n">
        <x:v>50392</x:v>
      </x:c>
    </x:row>
    <x:row r="6">
      <x:c r="A6" s="47" t="str">
        <x:v>RUN-TRF-020-20260829T100212841602Z</x:v>
      </x:c>
      <x:c r="B6" s="47" t="str">
        <x:v>TRF-020</x:v>
      </x:c>
      <x:c r="C6" s="59"/>
      <x:c r="D6" s="47" t="str">
        <x:v>few_shot_selection</x:v>
      </x:c>
      <x:c r="E6" s="48" t="str">
        <x:v>artifacts/few_shots_selected.json</x:v>
      </x:c>
      <x:c r="F6" s="47" t="str">
        <x:v>563231127d67b8f390195b01633b313eb09ab15e47c1b9984459501f7da53ae3</x:v>
      </x:c>
      <x:c r="G6" s="59" t="n">
        <x:v>6569</x:v>
      </x:c>
    </x:row>
    <x:row r="7">
      <x:c r="A7" s="47" t="str">
        <x:v>RUN-TRF-020-20260829T100212841602Z</x:v>
      </x:c>
      <x:c r="B7" s="47" t="str">
        <x:v>TRF-020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1ffb2983dc6def41b33f2ed4f6c55354ce028bbc7257d66876c48e6343b01e87</x:v>
      </x:c>
      <x:c r="G7" s="59" t="n">
        <x:v>68607</x:v>
      </x:c>
    </x:row>
    <x:row r="8">
      <x:c r="A8" s="47" t="str">
        <x:v>RUN-TRF-020-20260829T100212841602Z</x:v>
      </x:c>
      <x:c r="B8" s="47" t="str">
        <x:v>TRF-020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918ed3c547c16c79a9d4cdde0234a69d5b10fd067fd2a8629a8c5b33919bb7d1</x:v>
      </x:c>
      <x:c r="G8" s="59" t="n">
        <x:v>9234</x:v>
      </x:c>
    </x:row>
    <x:row r="9">
      <x:c r="A9" s="47" t="str">
        <x:v>RUN-TRF-020-20260829T100212841602Z</x:v>
      </x:c>
      <x:c r="B9" s="47" t="str">
        <x:v>TRF-020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5a32cefe4e26c14e9a13bcecb01508c40261e21bf12483d11b94d4c6719587eb</x:v>
      </x:c>
      <x:c r="G9" s="59" t="n">
        <x:v>9209</x:v>
      </x:c>
    </x:row>
    <x:row r="10">
      <x:c r="A10" s="47" t="str">
        <x:v>RUN-TRF-020-20260829T100212841602Z</x:v>
      </x:c>
      <x:c r="B10" s="47" t="str">
        <x:v>TRF-020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c43d53f1eda01442c528fc5475a687baba46cc9e15d0262681ecad15c269c3c3</x:v>
      </x:c>
      <x:c r="G10" s="59" t="n">
        <x:v>2036</x:v>
      </x:c>
    </x:row>
    <x:row r="11">
      <x:c r="A11" s="47" t="str">
        <x:v>RUN-TRF-020-20260829T100212841602Z</x:v>
      </x:c>
      <x:c r="B11" s="47" t="str">
        <x:v>TRF-020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c9062ec73e0fcbb44858784fc4d1d7c2dac8142f11b626f09b0c3ed328274f30</x:v>
      </x:c>
      <x:c r="G11" s="59" t="n">
        <x:v>78761</x:v>
      </x:c>
    </x:row>
    <x:row r="12">
      <x:c r="A12" s="47" t="str">
        <x:v>RUN-TRF-020-20260829T100212841602Z</x:v>
      </x:c>
      <x:c r="B12" s="47" t="str">
        <x:v>TRF-020</x:v>
      </x:c>
      <x:c r="C12" s="59" t="n">
        <x:v>1</x:v>
      </x:c>
      <x:c r="D12" s="47" t="str">
        <x:v>validator_raw_response</x:v>
      </x:c>
      <x:c r="E12" s="48" t="str">
        <x:v>artifacts/attempt_01/validator_raw_01.txt</x:v>
      </x:c>
      <x:c r="F12" s="47" t="str">
        <x:v>6af9bf72370b5375d49c7ca2475fe63fd0e3a607ea26201d114999beffcd803d</x:v>
      </x:c>
      <x:c r="G12" s="59" t="n">
        <x:v>820</x:v>
      </x:c>
    </x:row>
    <x:row r="13">
      <x:c r="A13" s="47" t="str">
        <x:v>RUN-TRF-020-20260829T100212841602Z</x:v>
      </x:c>
      <x:c r="B13" s="47" t="str">
        <x:v>TRF-020</x:v>
      </x:c>
      <x:c r="C13" s="59" t="n">
        <x:v>2</x:v>
      </x:c>
      <x:c r="D13" s="47" t="str">
        <x:v>generator_prompt</x:v>
      </x:c>
      <x:c r="E13" s="48" t="str">
        <x:v>artifacts/attempt_02/generator_prompt.txt</x:v>
      </x:c>
      <x:c r="F13" s="47" t="str">
        <x:v>2aa4a2534194f15da5754823bc5411c03282c490bf8315fbcdddf82b2676acad</x:v>
      </x:c>
      <x:c r="G13" s="59" t="n">
        <x:v>69362</x:v>
      </x:c>
    </x:row>
    <x:row r="14">
      <x:c r="A14" s="47" t="str">
        <x:v>RUN-TRF-020-20260829T100212841602Z</x:v>
      </x:c>
      <x:c r="B14" s="47" t="str">
        <x:v>TRF-020</x:v>
      </x:c>
      <x:c r="C14" s="59" t="n">
        <x:v>2</x:v>
      </x:c>
      <x:c r="D14" s="47" t="str">
        <x:v>generator_raw_response</x:v>
      </x:c>
      <x:c r="E14" s="48" t="str">
        <x:v>artifacts/attempt_02/generator_raw.txt</x:v>
      </x:c>
      <x:c r="F14" s="47" t="str">
        <x:v>2f6834b2b442a79a265f839ec8834c85730081a3cb45b20f7f60fcd6444a6194</x:v>
      </x:c>
      <x:c r="G14" s="59" t="n">
        <x:v>8664</x:v>
      </x:c>
    </x:row>
    <x:row r="15">
      <x:c r="A15" s="47" t="str">
        <x:v>RUN-TRF-020-20260829T100212841602Z</x:v>
      </x:c>
      <x:c r="B15" s="47" t="str">
        <x:v>TRF-020</x:v>
      </x:c>
      <x:c r="C15" s="59" t="n">
        <x:v>2</x:v>
      </x:c>
      <x:c r="D15" s="47" t="str">
        <x:v>candidate_shape</x:v>
      </x:c>
      <x:c r="E15" s="48" t="str">
        <x:v>artifacts/attempt_02/candidate_shape.ttl</x:v>
      </x:c>
      <x:c r="F15" s="47" t="str">
        <x:v>ba7aedf5fa3ccd8a7cdde8f228a628045bb9ea9c41d9d8ce139acfdf7cce5d6b</x:v>
      </x:c>
      <x:c r="G15" s="59" t="n">
        <x:v>8639</x:v>
      </x:c>
    </x:row>
    <x:row r="16">
      <x:c r="A16" s="47" t="str">
        <x:v>RUN-TRF-020-20260829T100212841602Z</x:v>
      </x:c>
      <x:c r="B16" s="47" t="str">
        <x:v>TRF-020</x:v>
      </x:c>
      <x:c r="C16" s="59" t="n">
        <x:v>2</x:v>
      </x:c>
      <x:c r="D16" s="47" t="str">
        <x:v>deterministic_validation</x:v>
      </x:c>
      <x:c r="E16" s="48" t="str">
        <x:v>artifacts/attempt_02/deterministic_validation.json</x:v>
      </x:c>
      <x:c r="F16" s="47" t="str">
        <x:v>25b07580992c1e56259fa667856fa21e75b50e2e854da29f9a59efd74fba72b9</x:v>
      </x:c>
      <x:c r="G16" s="59" t="n">
        <x:v>2100</x:v>
      </x:c>
    </x:row>
    <x:row r="17">
      <x:c r="A17" s="47" t="str">
        <x:v>RUN-TRF-020-20260829T100212841602Z</x:v>
      </x:c>
      <x:c r="B17" s="47" t="str">
        <x:v>TRF-020</x:v>
      </x:c>
      <x:c r="C17" s="59" t="n">
        <x:v>2</x:v>
      </x:c>
      <x:c r="D17" s="47" t="str">
        <x:v>validator_prompt</x:v>
      </x:c>
      <x:c r="E17" s="48" t="str">
        <x:v>artifacts/attempt_02/validator_prompt_01.txt</x:v>
      </x:c>
      <x:c r="F17" s="47" t="str">
        <x:v>25f3218cd813772d6609b17ba14c8d39d3da3715c6beb64f7262de868a3c1523</x:v>
      </x:c>
      <x:c r="G17" s="59" t="n">
        <x:v>79501</x:v>
      </x:c>
    </x:row>
    <x:row r="18">
      <x:c r="A18" s="47" t="str">
        <x:v>RUN-TRF-020-20260829T100212841602Z</x:v>
      </x:c>
      <x:c r="B18" s="47" t="str">
        <x:v>TRF-020</x:v>
      </x:c>
      <x:c r="C18" s="59" t="n">
        <x:v>2</x:v>
      </x:c>
      <x:c r="D18" s="47" t="str">
        <x:v>validator_raw_response</x:v>
      </x:c>
      <x:c r="E18" s="48" t="str">
        <x:v>artifacts/attempt_02/validator_raw_01.txt</x:v>
      </x:c>
      <x:c r="F18" s="47" t="str">
        <x:v>7c4f0ee652388acc961ad760fd7cd0eb8ee0cf185dcc26aec33db93b67b181be</x:v>
      </x:c>
      <x:c r="G18" s="59" t="n">
        <x:v>511</x:v>
      </x:c>
    </x:row>
    <x:row r="19">
      <x:c r="A19" s="47" t="str">
        <x:v>RUN-TRF-020-20260829T100212841602Z</x:v>
      </x:c>
      <x:c r="B19" s="47" t="str">
        <x:v>TRF-020</x:v>
      </x:c>
      <x:c r="C19" s="59" t="n">
        <x:v>3</x:v>
      </x:c>
      <x:c r="D19" s="47" t="str">
        <x:v>generator_prompt</x:v>
      </x:c>
      <x:c r="E19" s="48" t="str">
        <x:v>artifacts/attempt_03/generator_prompt.txt</x:v>
      </x:c>
      <x:c r="F19" s="47" t="str">
        <x:v>31a7feea253644983173009e51c0b97f0df3b97f0ea44411aff0f8a3b0f5dd94</x:v>
      </x:c>
      <x:c r="G19" s="59" t="n">
        <x:v>69816</x:v>
      </x:c>
    </x:row>
    <x:row r="20">
      <x:c r="A20" s="47" t="str">
        <x:v>RUN-TRF-020-20260829T100212841602Z</x:v>
      </x:c>
      <x:c r="B20" s="47" t="str">
        <x:v>TRF-020</x:v>
      </x:c>
      <x:c r="C20" s="59" t="n">
        <x:v>3</x:v>
      </x:c>
      <x:c r="D20" s="47" t="str">
        <x:v>generator_raw_response</x:v>
      </x:c>
      <x:c r="E20" s="48" t="str">
        <x:v>artifacts/attempt_03/generator_raw.txt</x:v>
      </x:c>
      <x:c r="F20" s="47" t="str">
        <x:v>d46958ec2c5e9a00a22ed6252aec497f77b2db299520f21ebb0fa39da90792c7</x:v>
      </x:c>
      <x:c r="G20" s="59" t="n">
        <x:v>9848</x:v>
      </x:c>
    </x:row>
    <x:row r="21">
      <x:c r="A21" s="47" t="str">
        <x:v>RUN-TRF-020-20260829T100212841602Z</x:v>
      </x:c>
      <x:c r="B21" s="47" t="str">
        <x:v>TRF-020</x:v>
      </x:c>
      <x:c r="C21" s="59" t="n">
        <x:v>3</x:v>
      </x:c>
      <x:c r="D21" s="47" t="str">
        <x:v>syntax_repair_prompt</x:v>
      </x:c>
      <x:c r="E21" s="48" t="str">
        <x:v>artifacts/attempt_03/syntax_repair_prompt_01.txt</x:v>
      </x:c>
      <x:c r="F21" s="47" t="str">
        <x:v>d572e80c49fa231cb0c7f6faa341ed6f3754b8f780ec8240539dae7783f017a3</x:v>
      </x:c>
      <x:c r="G21" s="59" t="n">
        <x:v>11352</x:v>
      </x:c>
    </x:row>
    <x:row r="22">
      <x:c r="A22" s="47" t="str">
        <x:v>RUN-TRF-020-20260829T100212841602Z</x:v>
      </x:c>
      <x:c r="B22" s="47" t="str">
        <x:v>TRF-020</x:v>
      </x:c>
      <x:c r="C22" s="59" t="n">
        <x:v>3</x:v>
      </x:c>
      <x:c r="D22" s="47" t="str">
        <x:v>syntax_repair_raw_response</x:v>
      </x:c>
      <x:c r="E22" s="48" t="str">
        <x:v>artifacts/attempt_03/syntax_repair_raw_01.txt</x:v>
      </x:c>
      <x:c r="F22" s="47" t="str">
        <x:v>086618943d33c75e3f585e3a5712bea6a38f8b9db0f81b93edd9f57652321234</x:v>
      </x:c>
      <x:c r="G22" s="59" t="n">
        <x:v>9848</x:v>
      </x:c>
    </x:row>
    <x:row r="23">
      <x:c r="A23" s="47" t="str">
        <x:v>RUN-TRF-020-20260829T100212841602Z</x:v>
      </x:c>
      <x:c r="B23" s="47" t="str">
        <x:v>TRF-020</x:v>
      </x:c>
      <x:c r="C23" s="59" t="n">
        <x:v>3</x:v>
      </x:c>
      <x:c r="D23" s="47" t="str">
        <x:v>candidate_shape</x:v>
      </x:c>
      <x:c r="E23" s="48" t="str">
        <x:v>artifacts/attempt_03/candidate_shape.ttl</x:v>
      </x:c>
      <x:c r="F23" s="47" t="str">
        <x:v>ffbb6ea79fbafe3d65636d49ef76fdd35bc22c111919bc74f74bd2163e8172bf</x:v>
      </x:c>
      <x:c r="G23" s="59" t="n">
        <x:v>9823</x:v>
      </x:c>
    </x:row>
    <x:row r="24">
      <x:c r="A24" s="47" t="str">
        <x:v>RUN-TRF-020-20260829T100212841602Z</x:v>
      </x:c>
      <x:c r="B24" s="47" t="str">
        <x:v>TRF-020</x:v>
      </x:c>
      <x:c r="C24" s="59" t="n">
        <x:v>3</x:v>
      </x:c>
      <x:c r="D24" s="47" t="str">
        <x:v>deterministic_validation</x:v>
      </x:c>
      <x:c r="E24" s="48" t="str">
        <x:v>artifacts/attempt_03/deterministic_validation.json</x:v>
      </x:c>
      <x:c r="F24" s="47" t="str">
        <x:v>65afd27fa124ceb2d6a9323157ea36691a7556e12376f65c28aeff1218adae53</x:v>
      </x:c>
      <x:c r="G24" s="59" t="n">
        <x:v>1943</x:v>
      </x:c>
    </x:row>
    <x:row r="25">
      <x:c r="A25" s="47" t="str">
        <x:v>RUN-TRF-020-20260829T100212841602Z</x:v>
      </x:c>
      <x:c r="B25" s="47" t="str">
        <x:v>TRF-020</x:v>
      </x:c>
      <x:c r="C25" s="59" t="n">
        <x:v>3</x:v>
      </x:c>
      <x:c r="D25" s="47" t="str">
        <x:v>validator_prompt</x:v>
      </x:c>
      <x:c r="E25" s="48" t="str">
        <x:v>artifacts/attempt_03/validator_prompt_01.txt</x:v>
      </x:c>
      <x:c r="F25" s="47" t="str">
        <x:v>411286866444166fe28bc284ebf8b85e62e90faa938015ef8eec8e1bd5c4bcd5</x:v>
      </x:c>
      <x:c r="G25" s="59" t="n">
        <x:v>79952</x:v>
      </x:c>
    </x:row>
    <x:row r="26">
      <x:c r="A26" s="47" t="str">
        <x:v>RUN-TRF-020-20260829T100212841602Z</x:v>
      </x:c>
      <x:c r="B26" s="47" t="str">
        <x:v>TRF-020</x:v>
      </x:c>
      <x:c r="C26" s="59" t="n">
        <x:v>3</x:v>
      </x:c>
      <x:c r="D26" s="47" t="str">
        <x:v>validator_raw_response</x:v>
      </x:c>
      <x:c r="E26" s="48" t="str">
        <x:v>artifacts/attempt_03/validator_raw_01.txt</x:v>
      </x:c>
      <x:c r="F26" s="47" t="str">
        <x:v>0b06a48399917b9ce94305554b8895844c34fdf7f40a5f86023491e63942ea84</x:v>
      </x:c>
      <x:c r="G26" s="59" t="n">
        <x:v>378</x:v>
      </x:c>
    </x:row>
    <x:row r="27">
      <x:c r="A27" s="49" t="str">
        <x:v>RUN-TRF-020-20260829T100212841602Z</x:v>
      </x:c>
      <x:c r="B27" s="49" t="str">
        <x:v>TRF-020</x:v>
      </x:c>
      <x:c r="C27" s="60" t="n">
        <x:v>3</x:v>
      </x:c>
      <x:c r="D27" s="49" t="str">
        <x:v>final_accepted_shape</x:v>
      </x:c>
      <x:c r="E27" s="50" t="str">
        <x:v>final/final_shape.ttl</x:v>
      </x:c>
      <x:c r="F27" s="49" t="str">
        <x:v>ffbb6ea79fbafe3d65636d49ef76fdd35bc22c111919bc74f74bd2163e8172bf</x:v>
      </x:c>
      <x:c r="G27" s="60" t="n">
        <x:v>9823</x:v>
      </x:c>
    </x:row>
  </x:sheetData>
  <x:pageMargins left="0.7" right="0.7" top="0.75" bottom="0.75" header="0.3" footer="0.3"/>
  <x:tableParts count="1">
    <x:tablePart xmlns:r="http://schemas.openxmlformats.org/officeDocument/2006/relationships" r:id="R129b9ef89d094018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RUN-TRF-020-20260829T100212841602Z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6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3" hidden="0" customWidth="1"/>
    <x:col min="4" max="4" width="21" hidden="0" customWidth="1"/>
    <x:col min="5" max="5" width="23" hidden="0" customWidth="1"/>
    <x:col min="6" max="6" width="49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RUN-TRF-020-20260829T100212841602Z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69" t="str">
        <x:v>RUN-TRF-020-20260829T100212841602Z</x:v>
      </x:c>
      <x:c r="B5" s="69" t="str">
        <x:v>TRF-020</x:v>
      </x:c>
      <x:c r="C5" s="69" t="str">
        <x:v>final/final_shape.ttl</x:v>
      </x:c>
      <x:c r="D5" s="69" t="str">
        <x:v>GENERATION_ACCEPTED</x:v>
      </x:c>
      <x:c r="E5" s="69" t="str">
        <x:v>NOT_RUN</x:v>
      </x:c>
      <x:c r="F5" s="73" t="str">
        <x:v>Run later with the separate bulk RDF evaluator.</x:v>
      </x:c>
    </x:row>
  </x:sheetData>
  <x:conditionalFormatting sqref="D5:D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conditionalFormatting sqref="E5:E5">
    <x:cfRule type="containsText" dxfId="48" priority="7" operator="containsText" text="ACCEPT"/>
    <x:cfRule type="containsText" dxfId="49" priority="8" operator="containsText" text="ELIGIBLE"/>
    <x:cfRule type="containsText" dxfId="50" priority="9" operator="containsText" text="PASS"/>
    <x:cfRule type="containsText" dxfId="51" priority="10" operator="containsText" text="GAP"/>
    <x:cfRule type="containsText" dxfId="52" priority="11" operator="containsText" text="FAIL"/>
    <x:cfRule type="containsText" dxfId="53" priority="12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e21f2989dc234e62"/>
  </x:tableParts>
</x:worksheet>
</file>