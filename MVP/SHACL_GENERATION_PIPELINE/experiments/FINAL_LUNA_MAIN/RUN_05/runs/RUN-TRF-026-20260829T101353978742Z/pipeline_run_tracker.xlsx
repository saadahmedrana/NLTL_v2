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eff53f83024ff9" /></Relationships>
</file>

<file path=xl/workbook.xml><?xml version="1.0" encoding="utf-8"?>
<x:workbook xmlns:x="http://schemas.openxmlformats.org/spreadsheetml/2006/main">
  <x:sheets>
    <x:sheet xmlns:r="http://schemas.openxmlformats.org/officeDocument/2006/relationships" name="SUMMARY" sheetId="1" r:id="Red004488c80d4135"/>
    <x:sheet xmlns:r="http://schemas.openxmlformats.org/officeDocument/2006/relationships" name="README" sheetId="2" r:id="R36ae32c2bfeb412e"/>
    <x:sheet xmlns:r="http://schemas.openxmlformats.org/officeDocument/2006/relationships" name="REGULATION_QUEUE" sheetId="3" r:id="R65fa89a57b3246f5"/>
    <x:sheet xmlns:r="http://schemas.openxmlformats.org/officeDocument/2006/relationships" name="RUNS" sheetId="4" r:id="R5814807adf734d9e"/>
    <x:sheet xmlns:r="http://schemas.openxmlformats.org/officeDocument/2006/relationships" name="ITERATIONS" sheetId="5" r:id="R2c1b8fac26164ae4"/>
    <x:sheet xmlns:r="http://schemas.openxmlformats.org/officeDocument/2006/relationships" name="API_CALLS" sheetId="6" r:id="R0ec45c9d26924116"/>
    <x:sheet xmlns:r="http://schemas.openxmlformats.org/officeDocument/2006/relationships" name="TERM_RETRIEVAL" sheetId="7" r:id="Rbdd55bd51c38402c"/>
    <x:sheet xmlns:r="http://schemas.openxmlformats.org/officeDocument/2006/relationships" name="FEW_SHOT_SELECTION" sheetId="8" r:id="R04a79a54f4da43fb"/>
    <x:sheet xmlns:r="http://schemas.openxmlformats.org/officeDocument/2006/relationships" name="VALIDATION" sheetId="9" r:id="R3b9bd3a282c449f9"/>
    <x:sheet xmlns:r="http://schemas.openxmlformats.org/officeDocument/2006/relationships" name="VOCAB_MATCHES" sheetId="10" r:id="Rc12d67169688404e"/>
    <x:sheet xmlns:r="http://schemas.openxmlformats.org/officeDocument/2006/relationships" name="ARTIFACTS" sheetId="11" r:id="R49aa017443be4df4"/>
    <x:sheet xmlns:r="http://schemas.openxmlformats.org/officeDocument/2006/relationships" name="UNRESOLVED" sheetId="12" r:id="Re71afcfb189e4c41"/>
    <x:sheet xmlns:r="http://schemas.openxmlformats.org/officeDocument/2006/relationships" name="RDF_TEST_QUEUE" sheetId="13" r:id="R5ee7242880b9481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f4c0fcc65a24ed3" /><Relationship Type="http://schemas.openxmlformats.org/officeDocument/2006/relationships/theme" Target="/xl/theme/theme1.xml" Id="R1d4cbc46362f467f" /><Relationship Type="http://schemas.microsoft.com/office/2022/11/relationships/FeaturePropertyBag" Target="/xl/featurePropertyBag/featurePropertyBag.xml" Id="R8e9518386814409a" /><Relationship Type="http://schemas.openxmlformats.org/officeDocument/2006/relationships/sharedStrings" Target="/xl/sharedStrings.xml" Id="Ra76961b0ebb4430a" /><Relationship Type="http://schemas.openxmlformats.org/officeDocument/2006/relationships/worksheet" Target="/xl/worksheets/sheet1.xml" Id="Red004488c80d4135" /><Relationship Type="http://schemas.openxmlformats.org/officeDocument/2006/relationships/worksheet" Target="/xl/worksheets/sheet2.xml" Id="R36ae32c2bfeb412e" /><Relationship Type="http://schemas.openxmlformats.org/officeDocument/2006/relationships/worksheet" Target="/xl/worksheets/sheet3.xml" Id="R65fa89a57b3246f5" /><Relationship Type="http://schemas.openxmlformats.org/officeDocument/2006/relationships/worksheet" Target="/xl/worksheets/sheet4.xml" Id="R5814807adf734d9e" /><Relationship Type="http://schemas.openxmlformats.org/officeDocument/2006/relationships/worksheet" Target="/xl/worksheets/sheet5.xml" Id="R2c1b8fac26164ae4" /><Relationship Type="http://schemas.openxmlformats.org/officeDocument/2006/relationships/worksheet" Target="/xl/worksheets/sheet6.xml" Id="R0ec45c9d26924116" /><Relationship Type="http://schemas.openxmlformats.org/officeDocument/2006/relationships/worksheet" Target="/xl/worksheets/sheet7.xml" Id="Rbdd55bd51c38402c" /><Relationship Type="http://schemas.openxmlformats.org/officeDocument/2006/relationships/worksheet" Target="/xl/worksheets/sheet8.xml" Id="R04a79a54f4da43fb" /><Relationship Type="http://schemas.openxmlformats.org/officeDocument/2006/relationships/worksheet" Target="/xl/worksheets/sheet9.xml" Id="R3b9bd3a282c449f9" /><Relationship Type="http://schemas.openxmlformats.org/officeDocument/2006/relationships/worksheet" Target="/xl/worksheets/sheet10.xml" Id="Rc12d67169688404e" /><Relationship Type="http://schemas.openxmlformats.org/officeDocument/2006/relationships/worksheet" Target="/xl/worksheets/sheet11.xml" Id="R49aa017443be4df4" /><Relationship Type="http://schemas.openxmlformats.org/officeDocument/2006/relationships/worksheet" Target="/xl/worksheets/sheet12.xml" Id="Re71afcfb189e4c41" /><Relationship Type="http://schemas.openxmlformats.org/officeDocument/2006/relationships/worksheet" Target="/xl/worksheets/sheet13.xml" Id="R5ee7242880b9481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1b226ae18484b5e" /></Relationships>
</file>

<file path=xl/worksheets/_rels/sheet3.xml.rels>&#65279;<?xml version="1.0" encoding="utf-8"?><Relationships xmlns="http://schemas.openxmlformats.org/package/2006/relationships"><Relationship Type="http://schemas.openxmlformats.org/officeDocument/2006/relationships/table" Target="/xl/tables/table2.xml" Id="R040a1143458f4254" /></Relationships>
</file>

<file path=xl/worksheets/_rels/sheet4.xml.rels>&#65279;<?xml version="1.0" encoding="utf-8"?><Relationships xmlns="http://schemas.openxmlformats.org/package/2006/relationships"><Relationship Type="http://schemas.openxmlformats.org/officeDocument/2006/relationships/table" Target="/xl/tables/table3.xml" Id="R7ae68d0b709d447d" /></Relationships>
</file>

<file path=xl/worksheets/_rels/sheet5.xml.rels>&#65279;<?xml version="1.0" encoding="utf-8"?><Relationships xmlns="http://schemas.openxmlformats.org/package/2006/relationships"><Relationship Type="http://schemas.openxmlformats.org/officeDocument/2006/relationships/table" Target="/xl/tables/table4.xml" Id="R7affb55125de419a" /></Relationships>
</file>

<file path=xl/worksheets/_rels/sheet6.xml.rels>&#65279;<?xml version="1.0" encoding="utf-8"?><Relationships xmlns="http://schemas.openxmlformats.org/package/2006/relationships"><Relationship Type="http://schemas.openxmlformats.org/officeDocument/2006/relationships/table" Target="/xl/tables/table5.xml" Id="R816fc7c599a4448e" /></Relationships>
</file>

<file path=xl/worksheets/_rels/sheet7.xml.rels>&#65279;<?xml version="1.0" encoding="utf-8"?><Relationships xmlns="http://schemas.openxmlformats.org/package/2006/relationships"><Relationship Type="http://schemas.openxmlformats.org/officeDocument/2006/relationships/table" Target="/xl/tables/table6.xml" Id="Rc7bd5ab58cab4b13" /></Relationships>
</file>

<file path=xl/worksheets/_rels/sheet8.xml.rels>&#65279;<?xml version="1.0" encoding="utf-8"?><Relationships xmlns="http://schemas.openxmlformats.org/package/2006/relationships"><Relationship Type="http://schemas.openxmlformats.org/officeDocument/2006/relationships/table" Target="/xl/tables/table7.xml" Id="R264f9ca77c634fa2" /></Relationships>
</file>

<file path=xl/worksheets/_rels/sheet9.xml.rels>&#65279;<?xml version="1.0" encoding="utf-8"?><Relationships xmlns="http://schemas.openxmlformats.org/package/2006/relationships"><Relationship Type="http://schemas.openxmlformats.org/officeDocument/2006/relationships/table" Target="/xl/tables/table8.xml" Id="R58d151d7a9254cea" /></Relationships>
</file>

<file path=xl/worksheets/_rels/sheet10.xml.rels>&#65279;<?xml version="1.0" encoding="utf-8"?><Relationships xmlns="http://schemas.openxmlformats.org/package/2006/relationships"><Relationship Type="http://schemas.openxmlformats.org/officeDocument/2006/relationships/table" Target="/xl/tables/table9.xml" Id="R29e94273ce404ec8" /></Relationships>
</file>

<file path=xl/worksheets/_rels/sheet11.xml.rels>&#65279;<?xml version="1.0" encoding="utf-8"?><Relationships xmlns="http://schemas.openxmlformats.org/package/2006/relationships"><Relationship Type="http://schemas.openxmlformats.org/officeDocument/2006/relationships/table" Target="/xl/tables/table10.xml" Id="R696f4f99283f4441" /></Relationships>
</file>

<file path=xl/worksheets/_rels/sheet12.xml.rels>&#65279;<?xml version="1.0" encoding="utf-8"?><Relationships xmlns="http://schemas.openxmlformats.org/package/2006/relationships"><Relationship Type="http://schemas.openxmlformats.org/officeDocument/2006/relationships/table" Target="/xl/tables/table11.xml" Id="R8022ef96dcda43e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RUN-TRF-026-20260829T101353978742Z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COUNTA('API_CALLS'!$A$5:$A$12)</x:f>
        <x:v>8</x:v>
      </x:c>
      <x:c r="C9" s="21"/>
      <x:c r="D9" s="21"/>
    </x:row>
    <x:row r="10">
      <x:c r="A10" s="27" t="str">
        <x:v>Mean API/LLM elapsed ms</x:v>
      </x:c>
      <x:c r="B10" s="28" t="n">
        <x:f>IFERROR(AVERAGE('API_CALLS'!$K$5:$K$12),0)</x:f>
        <x:v>12117.2575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RUN-TRF-026-20260829T101353978742Z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1b226ae18484b5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RUN-TRF-026-20260829T101353978742Z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TERM_RESOLUTION_UNRESOLVED</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40a1143458f425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RUN-TRF-026-20260829T101353978742Z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RUN-TRF-026-20260829T101353978742Z</x:v>
      </x:c>
      <x:c r="C5" s="69" t="str">
        <x:v>TRF-026</x:v>
      </x:c>
      <x:c r="D5" s="70" t="n">
        <x:v>46263.42631920139</x:v>
      </x:c>
      <x:c r="E5" s="70" t="n">
        <x:v>46263.42689667824</x:v>
      </x:c>
      <x:c r="F5" s="69" t="str">
        <x:v>final-luna-main-run05</x:v>
      </x:c>
      <x:c r="G5" s="69" t="str">
        <x:v>VOCAB-LOCK-2026-08-22-R13</x:v>
      </x:c>
      <x:c r="H5" s="71" t="n">
        <x:v>1</x:v>
      </x:c>
      <x:c r="I5" s="69" t="str">
        <x:v>TERM_RESOLUTION_UNRESOLVED</x:v>
      </x:c>
      <x:c r="J5" s="72" t="b">
        <x:v>0</x:v>
      </x:c>
      <x:c r="K5" s="69" t="str"/>
      <x:c r="L5" s="73" t="str">
        <x:v>Deterministic validation prevents acceptance. Fix: Known benchmark IRI(s) outside the generator allow-list: https://w3id.org/nltl/vocab#newtonPerMetreToPowerOnePointFiveUnit
Semantic validator feedback: Replace the out-of-scope project unit nltl:newtonPerMetreToPowerOnePointFiveUnit used for coefficientG3 with an in-scope canonical unit term representing N/m^1.5; preserve the declared ship ownership, QuantityValue structure, and unit constraint. The deterministic validation is invalid solely because this required unit term is out of scope, so locate the canonical replacement before freezing.</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ae68d0b709d447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RUN-TRF-026-20260829T101353978742Z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RUN-TRF-026-20260829T101353978742Z</x:v>
      </x:c>
      <x:c r="B5" s="69" t="str">
        <x:v>TRF-026</x:v>
      </x:c>
      <x:c r="C5" s="71" t="n">
        <x:v>1</x:v>
      </x:c>
      <x:c r="D5" s="72" t="b">
        <x:v>0</x:v>
      </x:c>
      <x:c r="E5" s="72" t="b">
        <x:v>0</x:v>
      </x:c>
      <x:c r="F5" s="72" t="b">
        <x:v>1</x:v>
      </x:c>
      <x:c r="G5" s="69" t="str">
        <x:v>STOP_TERM_RESOLUTION</x:v>
      </x:c>
      <x:c r="H5" s="73" t="str">
        <x:v>Deterministic validation prevents acceptance. Fix: Known benchmark IRI(s) outside the generator allow-list: https://w3id.org/nltl/vocab#newtonPerMetreToPowerOnePointFiveUnit
Semantic validator feedback: Replace the out-of-scope project unit nltl:newtonPerMetreToPowerOnePointFiveUnit used for coefficientG3 with an in-scope canonical unit term representing N/m^1.5; preserve the declared ship ownership, QuantityValue structure, and unit constraint. The deterministic validation is invalid solely because this required unit term is out of scope, so locate the canonical replacement before freezing.</x:v>
      </x:c>
      <x:c r="I5" s="75" t="n">
        <x:v>24597.562</x:v>
      </x:c>
      <x:c r="J5" s="75" t="n">
        <x:v>6367.533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affb55125de419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RUN-TRF-026-20260829T101353978742Z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RUN-TRF-026-20260829T101353978742Z</x:v>
      </x:c>
      <x:c r="C5" s="45" t="str">
        <x:v>TRF-026</x:v>
      </x:c>
      <x:c r="D5" s="88" t="n">
        <x:v>46263.42660392361</x:v>
      </x:c>
      <x:c r="E5" s="45" t="str">
        <x:v>generator</x:v>
      </x:c>
      <x:c r="F5" s="45" t="str">
        <x:v>gpt-5.6-luna-2026-07-09</x:v>
      </x:c>
      <x:c r="G5" s="45" t="n">
        <x:v>1</x:v>
      </x:c>
      <x:c r="H5" s="45" t="n">
        <x:v>200</x:v>
      </x:c>
      <x:c r="I5" s="45" t="str">
        <x:v>Ocp-Apim-Subscription-Key</x:v>
      </x:c>
      <x:c r="J5" s="89" t="n">
        <x:v>0</x:v>
      </x:c>
      <x:c r="K5" s="89" t="n">
        <x:v>24596.263</x:v>
      </x:c>
      <x:c r="L5" s="90" t="b">
        <x:v>0</x:v>
      </x:c>
      <x:c r="M5" s="45" t="str"/>
      <x:c r="N5" s="58" t="str"/>
      <x:c r="O5" s="58" t="str"/>
      <x:c r="P5" s="58" t="str"/>
    </x:row>
    <x:row r="6">
      <x:c r="A6" s="47" t="str">
        <x:v>EVT-000034</x:v>
      </x:c>
      <x:c r="B6" s="47" t="str">
        <x:v>RUN-TRF-026-20260829T101353978742Z</x:v>
      </x:c>
      <x:c r="C6" s="47" t="str">
        <x:v>TRF-026</x:v>
      </x:c>
      <x:c r="D6" s="91" t="n">
        <x:v>46263.426603935186</x:v>
      </x:c>
      <x:c r="E6" s="47" t="str">
        <x:v>generator</x:v>
      </x:c>
      <x:c r="F6" s="47" t="str">
        <x:v>gpt-5.6-luna-2026-07-09</x:v>
      </x:c>
      <x:c r="G6" s="47" t="n">
        <x:v>1</x:v>
      </x:c>
      <x:c r="H6" s="47" t="str">
        <x:v>COMPLETED</x:v>
      </x:c>
      <x:c r="I6" s="47" t="str"/>
      <x:c r="J6" s="92" t="n">
        <x:v>0</x:v>
      </x:c>
      <x:c r="K6" s="92" t="n">
        <x:v>24597.562</x:v>
      </x:c>
      <x:c r="L6" s="93" t="b">
        <x:v>0</x:v>
      </x:c>
      <x:c r="M6" s="47" t="str">
        <x:v>resp_0fa92f55cdf80975006a92b0e241408193886bd24e0dbe40fc</x:v>
      </x:c>
      <x:c r="N6" s="59" t="n">
        <x:v>12224</x:v>
      </x:c>
      <x:c r="O6" s="59" t="n">
        <x:v>3094</x:v>
      </x:c>
      <x:c r="P6" s="59" t="n">
        <x:v>15318</x:v>
      </x:c>
    </x:row>
    <x:row r="7">
      <x:c r="A7" s="47" t="str">
        <x:v>EVT-000039</x:v>
      </x:c>
      <x:c r="B7" s="47" t="str">
        <x:v>RUN-TRF-026-20260829T101353978742Z</x:v>
      </x:c>
      <x:c r="C7" s="47" t="str">
        <x:v>TRF-026</x:v>
      </x:c>
      <x:c r="D7" s="91" t="n">
        <x:v>46263.42676134259</x:v>
      </x:c>
      <x:c r="E7" s="47" t="str">
        <x:v>syntax_repair</x:v>
      </x:c>
      <x:c r="F7" s="47" t="str">
        <x:v>gpt-5.6-luna-2026-07-09</x:v>
      </x:c>
      <x:c r="G7" s="47" t="n">
        <x:v>1</x:v>
      </x:c>
      <x:c r="H7" s="47" t="n">
        <x:v>200</x:v>
      </x:c>
      <x:c r="I7" s="47" t="str">
        <x:v>Ocp-Apim-Subscription-Key</x:v>
      </x:c>
      <x:c r="J7" s="92" t="n">
        <x:v>0</x:v>
      </x:c>
      <x:c r="K7" s="92" t="n">
        <x:v>13591.217</x:v>
      </x:c>
      <x:c r="L7" s="93" t="b">
        <x:v>0</x:v>
      </x:c>
      <x:c r="M7" s="47" t="str"/>
      <x:c r="N7" s="59" t="str"/>
      <x:c r="O7" s="59" t="str"/>
      <x:c r="P7" s="59" t="str"/>
    </x:row>
    <x:row r="8">
      <x:c r="A8" s="47" t="str">
        <x:v>EVT-000040</x:v>
      </x:c>
      <x:c r="B8" s="47" t="str">
        <x:v>RUN-TRF-026-20260829T101353978742Z</x:v>
      </x:c>
      <x:c r="C8" s="47" t="str">
        <x:v>TRF-026</x:v>
      </x:c>
      <x:c r="D8" s="91" t="n">
        <x:v>46263.42676135417</x:v>
      </x:c>
      <x:c r="E8" s="47" t="str">
        <x:v>syntax_repair</x:v>
      </x:c>
      <x:c r="F8" s="47" t="str">
        <x:v>gpt-5.6-luna-2026-07-09</x:v>
      </x:c>
      <x:c r="G8" s="47" t="n">
        <x:v>1</x:v>
      </x:c>
      <x:c r="H8" s="47" t="str">
        <x:v>COMPLETED</x:v>
      </x:c>
      <x:c r="I8" s="47" t="str"/>
      <x:c r="J8" s="92" t="n">
        <x:v>0</x:v>
      </x:c>
      <x:c r="K8" s="92" t="n">
        <x:v>13592.653</x:v>
      </x:c>
      <x:c r="L8" s="93" t="b">
        <x:v>0</x:v>
      </x:c>
      <x:c r="M8" s="47" t="str">
        <x:v>resp_05af3c8da1097a75006a92b0faac2c8194abbd82ae89fc4dfc</x:v>
      </x:c>
      <x:c r="N8" s="59" t="n">
        <x:v>2649</x:v>
      </x:c>
      <x:c r="O8" s="59" t="n">
        <x:v>2344</x:v>
      </x:c>
      <x:c r="P8" s="59" t="n">
        <x:v>4993</x:v>
      </x:c>
    </x:row>
    <x:row r="9">
      <x:c r="A9" s="47" t="str">
        <x:v>EVT-000048</x:v>
      </x:c>
      <x:c r="B9" s="47" t="str">
        <x:v>RUN-TRF-026-20260829T101353978742Z</x:v>
      </x:c>
      <x:c r="C9" s="47" t="str">
        <x:v>TRF-026</x:v>
      </x:c>
      <x:c r="D9" s="91" t="n">
        <x:v>46263.42684215278</x:v>
      </x:c>
      <x:c r="E9" s="47" t="str">
        <x:v>validator</x:v>
      </x:c>
      <x:c r="F9" s="47" t="str">
        <x:v>gpt-5.6-luna-2026-07-09</x:v>
      </x:c>
      <x:c r="G9" s="47" t="n">
        <x:v>1</x:v>
      </x:c>
      <x:c r="H9" s="47" t="n">
        <x:v>200</x:v>
      </x:c>
      <x:c r="I9" s="47" t="str">
        <x:v>Ocp-Apim-Subscription-Key</x:v>
      </x:c>
      <x:c r="J9" s="92" t="n">
        <x:v>0</x:v>
      </x:c>
      <x:c r="K9" s="92" t="n">
        <x:v>6366.379</x:v>
      </x:c>
      <x:c r="L9" s="93" t="b">
        <x:v>0</x:v>
      </x:c>
      <x:c r="M9" s="47" t="str"/>
      <x:c r="N9" s="59" t="str"/>
      <x:c r="O9" s="59" t="str"/>
      <x:c r="P9" s="59" t="str"/>
    </x:row>
    <x:row r="10">
      <x:c r="A10" s="47" t="str">
        <x:v>EVT-000049</x:v>
      </x:c>
      <x:c r="B10" s="47" t="str">
        <x:v>RUN-TRF-026-20260829T101353978742Z</x:v>
      </x:c>
      <x:c r="C10" s="47" t="str">
        <x:v>TRF-026</x:v>
      </x:c>
      <x:c r="D10" s="91" t="n">
        <x:v>46263.42684216435</x:v>
      </x:c>
      <x:c r="E10" s="47" t="str">
        <x:v>validator</x:v>
      </x:c>
      <x:c r="F10" s="47" t="str">
        <x:v>gpt-5.6-luna-2026-07-09</x:v>
      </x:c>
      <x:c r="G10" s="47" t="n">
        <x:v>1</x:v>
      </x:c>
      <x:c r="H10" s="47" t="str">
        <x:v>COMPLETED</x:v>
      </x:c>
      <x:c r="I10" s="47" t="str"/>
      <x:c r="J10" s="92" t="n">
        <x:v>0</x:v>
      </x:c>
      <x:c r="K10" s="92" t="n">
        <x:v>6367.533</x:v>
      </x:c>
      <x:c r="L10" s="93" t="b">
        <x:v>0</x:v>
      </x:c>
      <x:c r="M10" s="47" t="str">
        <x:v>resp_06f7c7d2b477f79e006a92b109059c8194b8c068e425f5d772</x:v>
      </x:c>
      <x:c r="N10" s="59" t="n">
        <x:v>14739</x:v>
      </x:c>
      <x:c r="O10" s="59" t="n">
        <x:v>533</x:v>
      </x:c>
      <x:c r="P10" s="59" t="n">
        <x:v>15272</x:v>
      </x:c>
    </x:row>
    <x:row r="11">
      <x:c r="A11" s="47" t="str">
        <x:v>EVT-000055</x:v>
      </x:c>
      <x:c r="B11" s="47" t="str">
        <x:v>RUN-TRF-026-20260829T101353978742Z</x:v>
      </x:c>
      <x:c r="C11" s="47" t="str">
        <x:v>TRF-026</x:v>
      </x:c>
      <x:c r="D11" s="91" t="n">
        <x:v>46263.42689663194</x:v>
      </x:c>
      <x:c r="E11" s="47" t="str">
        <x:v>vocabulary_matcher</x:v>
      </x:c>
      <x:c r="F11" s="47" t="str">
        <x:v>gpt-5.6-luna-2026-07-09</x:v>
      </x:c>
      <x:c r="G11" s="47" t="n">
        <x:v>1</x:v>
      </x:c>
      <x:c r="H11" s="47" t="n">
        <x:v>200</x:v>
      </x:c>
      <x:c r="I11" s="47" t="str">
        <x:v>Ocp-Apim-Subscription-Key</x:v>
      </x:c>
      <x:c r="J11" s="92" t="n">
        <x:v>0</x:v>
      </x:c>
      <x:c r="K11" s="92" t="n">
        <x:v>3912.775</x:v>
      </x:c>
      <x:c r="L11" s="93" t="b">
        <x:v>0</x:v>
      </x:c>
      <x:c r="M11" s="47" t="str"/>
      <x:c r="N11" s="59" t="str"/>
      <x:c r="O11" s="59" t="str"/>
      <x:c r="P11" s="59" t="str"/>
    </x:row>
    <x:row r="12">
      <x:c r="A12" s="49" t="str">
        <x:v>EVT-000056</x:v>
      </x:c>
      <x:c r="B12" s="49" t="str">
        <x:v>RUN-TRF-026-20260829T101353978742Z</x:v>
      </x:c>
      <x:c r="C12" s="49" t="str">
        <x:v>TRF-026</x:v>
      </x:c>
      <x:c r="D12" s="94" t="n">
        <x:v>46263.42689664352</x:v>
      </x:c>
      <x:c r="E12" s="49" t="str">
        <x:v>vocabulary_matcher</x:v>
      </x:c>
      <x:c r="F12" s="49" t="str">
        <x:v>gpt-5.6-luna-2026-07-09</x:v>
      </x:c>
      <x:c r="G12" s="49" t="n">
        <x:v>1</x:v>
      </x:c>
      <x:c r="H12" s="49" t="str">
        <x:v>COMPLETED</x:v>
      </x:c>
      <x:c r="I12" s="49" t="str"/>
      <x:c r="J12" s="95" t="n">
        <x:v>0</x:v>
      </x:c>
      <x:c r="K12" s="95" t="n">
        <x:v>3913.678</x:v>
      </x:c>
      <x:c r="L12" s="96" t="b">
        <x:v>0</x:v>
      </x:c>
      <x:c r="M12" s="49" t="str">
        <x:v>resp_0f6bb6d62edea00b006a92b11009ac8196a52014ab613e4990</x:v>
      </x:c>
      <x:c r="N12" s="60" t="n">
        <x:v>2207</x:v>
      </x:c>
      <x:c r="O12" s="60" t="n">
        <x:v>189</x:v>
      </x:c>
      <x:c r="P12" s="60" t="n">
        <x:v>2396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16fc7c599a4448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RUN-TRF-026-20260829T101353978742Z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RUN-TRF-026-20260829T101353978742Z</x:v>
      </x:c>
      <x:c r="B5" s="45" t="str">
        <x:v>TRF-026</x:v>
      </x:c>
      <x:c r="C5" s="45" t="str">
        <x:v>benchmarkEntity</x:v>
      </x:c>
      <x:c r="D5" s="46" t="str">
        <x:v>https://w3id.org/nltl/vocab#benchmarkEntity</x:v>
      </x:c>
      <x:c r="E5" s="45" t="str">
        <x:v>Class</x:v>
      </x:c>
      <x:c r="F5" s="45" t="str"/>
      <x:c r="G5" s="45" t="str"/>
      <x:c r="H5" s="45" t="str"/>
      <x:c r="I5" s="46" t="str">
        <x:v>baseline target infrastructure; domain dependency of brashIceResistanceCoefficientC1; domain dependency of brashIceResistanceCoefficientC2; domain dependency of bulbousBowPresent; domain dependency of coefficientF1; domain dependency of coefficientF2; domain dependency of coefficientF3; domain dependency of coefficientF4; domain dependency of coefficientG1; domain dependency of coefficientG2; domain dependency of coefficientG3; domain dependency of iceClass; domain dependency of iceClassDraught; domain dependency of shipBreadth; domain dependency of shipLength</x:v>
      </x:c>
      <x:c r="J5" s="45" t="n">
        <x:v>0</x:v>
      </x:c>
    </x:row>
    <x:row r="6">
      <x:c r="A6" s="47" t="str">
        <x:v>RUN-TRF-026-20260829T101353978742Z</x:v>
      </x:c>
      <x:c r="B6" s="47" t="str">
        <x:v>TRF-026</x:v>
      </x:c>
      <x:c r="C6" s="47" t="str">
        <x:v>brashIceResistanceCoefficientC1</x:v>
      </x:c>
      <x:c r="D6" s="48" t="str">
        <x:v>https://w3id.org/nltl/vocab#brashIceResistanceCoefficientC1</x:v>
      </x:c>
      <x:c r="E6" s="47" t="str">
        <x:v>QuantityProperty</x:v>
      </x:c>
      <x:c r="F6" s="47" t="str"/>
      <x:c r="G6" s="47" t="str">
        <x:v>http://qudt.org/schema/qudt/QuantityValue</x:v>
      </x:c>
      <x:c r="H6" s="47" t="str">
        <x:v>http://qudt.org/vocab/unit/N</x:v>
      </x:c>
      <x:c r="I6" s="48" t="str">
        <x:v>linked by the locked 313-requirement index</x:v>
      </x:c>
      <x:c r="J6" s="47" t="n">
        <x:v>0</x:v>
      </x:c>
    </x:row>
    <x:row r="7">
      <x:c r="A7" s="47" t="str">
        <x:v>RUN-TRF-026-20260829T101353978742Z</x:v>
      </x:c>
      <x:c r="B7" s="47" t="str">
        <x:v>TRF-026</x:v>
      </x:c>
      <x:c r="C7" s="47" t="str">
        <x:v>brashIceResistanceCoefficientC2</x:v>
      </x:c>
      <x:c r="D7" s="48" t="str">
        <x:v>https://w3id.org/nltl/vocab#brashIceResistanceCoefficientC2</x:v>
      </x:c>
      <x:c r="E7" s="47" t="str">
        <x:v>QuantityProperty</x:v>
      </x:c>
      <x:c r="F7" s="47" t="str"/>
      <x:c r="G7" s="47" t="str">
        <x:v>http://qudt.org/schema/qudt/QuantityValue</x:v>
      </x:c>
      <x:c r="H7" s="47" t="str">
        <x:v>http://qudt.org/vocab/unit/N</x:v>
      </x:c>
      <x:c r="I7" s="48" t="str">
        <x:v>linked by the locked 313-requirement index</x:v>
      </x:c>
      <x:c r="J7" s="47" t="n">
        <x:v>0</x:v>
      </x:c>
    </x:row>
    <x:row r="8">
      <x:c r="A8" s="47" t="str">
        <x:v>RUN-TRF-026-20260829T101353978742Z</x:v>
      </x:c>
      <x:c r="B8" s="47" t="str">
        <x:v>TRF-026</x:v>
      </x:c>
      <x:c r="C8" s="47" t="str">
        <x:v>bulbousBowPresent</x:v>
      </x:c>
      <x:c r="D8" s="48" t="str">
        <x:v>https://w3id.org/nltl/vocab#bulbousBowPresent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RUN-TRF-026-20260829T101353978742Z</x:v>
      </x:c>
      <x:c r="B9" s="47" t="str">
        <x:v>TRF-026</x:v>
      </x:c>
      <x:c r="C9" s="47" t="str">
        <x:v>coefficientF1</x:v>
      </x:c>
      <x:c r="D9" s="48" t="str">
        <x:v>https://w3id.org/nltl/vocab#coefficientF1</x:v>
      </x:c>
      <x:c r="E9" s="47" t="str">
        <x:v>QuantityProperty</x:v>
      </x:c>
      <x:c r="F9" s="47" t="str"/>
      <x:c r="G9" s="47" t="str">
        <x:v>http://qudt.org/schema/qudt/QuantityValue</x:v>
      </x:c>
      <x:c r="H9" s="47" t="str">
        <x:v>http://qudt.org/vocab/unit/N-PER-M2</x:v>
      </x:c>
      <x:c r="I9" s="48" t="str">
        <x:v>linked by the locked 313-requirement index</x:v>
      </x:c>
      <x:c r="J9" s="47" t="n">
        <x:v>0</x:v>
      </x:c>
    </x:row>
    <x:row r="10">
      <x:c r="A10" s="47" t="str">
        <x:v>RUN-TRF-026-20260829T101353978742Z</x:v>
      </x:c>
      <x:c r="B10" s="47" t="str">
        <x:v>TRF-026</x:v>
      </x:c>
      <x:c r="C10" s="47" t="str">
        <x:v>coefficientF2</x:v>
      </x:c>
      <x:c r="D10" s="48" t="str">
        <x:v>https://w3id.org/nltl/vocab#coefficientF2</x:v>
      </x:c>
      <x:c r="E10" s="47" t="str">
        <x:v>QuantityProperty</x:v>
      </x:c>
      <x:c r="F10" s="47" t="str"/>
      <x:c r="G10" s="47" t="str">
        <x:v>http://qudt.org/schema/qudt/QuantityValue</x:v>
      </x:c>
      <x:c r="H10" s="47" t="str">
        <x:v>http://qudt.org/vocab/unit/N-PER-M</x:v>
      </x:c>
      <x:c r="I10" s="48" t="str">
        <x:v>linked by the locked 313-requirement index</x:v>
      </x:c>
      <x:c r="J10" s="47" t="n">
        <x:v>0</x:v>
      </x:c>
    </x:row>
    <x:row r="11">
      <x:c r="A11" s="47" t="str">
        <x:v>RUN-TRF-026-20260829T101353978742Z</x:v>
      </x:c>
      <x:c r="B11" s="47" t="str">
        <x:v>TRF-026</x:v>
      </x:c>
      <x:c r="C11" s="47" t="str">
        <x:v>coefficientF3</x:v>
      </x:c>
      <x:c r="D11" s="48" t="str">
        <x:v>https://w3id.org/nltl/vocab#coefficientF3</x:v>
      </x:c>
      <x:c r="E11" s="47" t="str">
        <x:v>QuantityProperty</x:v>
      </x:c>
      <x:c r="F11" s="47" t="str"/>
      <x:c r="G11" s="47" t="str">
        <x:v>http://qudt.org/schema/qudt/QuantityValue</x:v>
      </x:c>
      <x:c r="H11" s="47" t="str">
        <x:v>http://qudt.org/vocab/unit/N-PER-M</x:v>
      </x:c>
      <x:c r="I11" s="48" t="str">
        <x:v>linked by the locked 313-requirement index</x:v>
      </x:c>
      <x:c r="J11" s="47" t="n">
        <x:v>0</x:v>
      </x:c>
    </x:row>
    <x:row r="12">
      <x:c r="A12" s="47" t="str">
        <x:v>RUN-TRF-026-20260829T101353978742Z</x:v>
      </x:c>
      <x:c r="B12" s="47" t="str">
        <x:v>TRF-026</x:v>
      </x:c>
      <x:c r="C12" s="47" t="str">
        <x:v>coefficientF4</x:v>
      </x:c>
      <x:c r="D12" s="48" t="str">
        <x:v>https://w3id.org/nltl/vocab#coefficientF4</x:v>
      </x:c>
      <x:c r="E12" s="47" t="str">
        <x:v>QuantityProperty</x:v>
      </x:c>
      <x:c r="F12" s="47" t="str"/>
      <x:c r="G12" s="47" t="str">
        <x:v>http://qudt.org/schema/qudt/QuantityValue</x:v>
      </x:c>
      <x:c r="H12" s="47" t="str">
        <x:v>http://qudt.org/vocab/unit/N-PER-M2</x:v>
      </x:c>
      <x:c r="I12" s="48" t="str">
        <x:v>linked by the locked 313-requirement index</x:v>
      </x:c>
      <x:c r="J12" s="47" t="n">
        <x:v>0</x:v>
      </x:c>
    </x:row>
    <x:row r="13">
      <x:c r="A13" s="47" t="str">
        <x:v>RUN-TRF-026-20260829T101353978742Z</x:v>
      </x:c>
      <x:c r="B13" s="47" t="str">
        <x:v>TRF-026</x:v>
      </x:c>
      <x:c r="C13" s="47" t="str">
        <x:v>coefficientG1</x:v>
      </x:c>
      <x:c r="D13" s="48" t="str">
        <x:v>https://w3id.org/nltl/vocab#coefficientG1</x:v>
      </x:c>
      <x:c r="E13" s="47" t="str">
        <x:v>QuantityProperty</x:v>
      </x:c>
      <x:c r="F13" s="47" t="str"/>
      <x:c r="G13" s="47" t="str">
        <x:v>http://qudt.org/schema/qudt/QuantityValue</x:v>
      </x:c>
      <x:c r="H13" s="47" t="str">
        <x:v>http://qudt.org/vocab/unit/N</x:v>
      </x:c>
      <x:c r="I13" s="48" t="str">
        <x:v>linked by the locked 313-requirement index</x:v>
      </x:c>
      <x:c r="J13" s="47" t="n">
        <x:v>0</x:v>
      </x:c>
    </x:row>
    <x:row r="14">
      <x:c r="A14" s="47" t="str">
        <x:v>RUN-TRF-026-20260829T101353978742Z</x:v>
      </x:c>
      <x:c r="B14" s="47" t="str">
        <x:v>TRF-026</x:v>
      </x:c>
      <x:c r="C14" s="47" t="str">
        <x:v>coefficientG2</x:v>
      </x:c>
      <x:c r="D14" s="48" t="str">
        <x:v>https://w3id.org/nltl/vocab#coefficientG2</x:v>
      </x:c>
      <x:c r="E14" s="47" t="str">
        <x:v>QuantityProperty</x:v>
      </x:c>
      <x:c r="F14" s="47" t="str"/>
      <x:c r="G14" s="47" t="str">
        <x:v>http://qudt.org/schema/qudt/QuantityValue</x:v>
      </x:c>
      <x:c r="H14" s="47" t="str">
        <x:v>http://qudt.org/vocab/unit/N-PER-M</x:v>
      </x:c>
      <x:c r="I14" s="48" t="str">
        <x:v>linked by the locked 313-requirement index</x:v>
      </x:c>
      <x:c r="J14" s="47" t="n">
        <x:v>0</x:v>
      </x:c>
    </x:row>
    <x:row r="15">
      <x:c r="A15" s="47" t="str">
        <x:v>RUN-TRF-026-20260829T101353978742Z</x:v>
      </x:c>
      <x:c r="B15" s="47" t="str">
        <x:v>TRF-026</x:v>
      </x:c>
      <x:c r="C15" s="47" t="str">
        <x:v>coefficientG3</x:v>
      </x:c>
      <x:c r="D15" s="48" t="str">
        <x:v>https://w3id.org/nltl/vocab#coefficientG3</x:v>
      </x:c>
      <x:c r="E15" s="47" t="str">
        <x:v>QuantityProperty</x:v>
      </x:c>
      <x:c r="F15" s="47" t="str"/>
      <x:c r="G15" s="47" t="str">
        <x:v>http://qudt.org/schema/qudt/QuantityValue</x:v>
      </x:c>
      <x:c r="H15" s="47" t="str">
        <x:v>https://w3id.org/nltl/vocab#newtonPerMetreToPowerOnePointFiveUnit</x:v>
      </x:c>
      <x:c r="I15" s="48" t="str">
        <x:v>linked by the locked 313-requirement index</x:v>
      </x:c>
      <x:c r="J15" s="47" t="n">
        <x:v>0</x:v>
      </x:c>
    </x:row>
    <x:row r="16">
      <x:c r="A16" s="47" t="str">
        <x:v>RUN-TRF-026-20260829T101353978742Z</x:v>
      </x:c>
      <x:c r="B16" s="47" t="str">
        <x:v>TRF-026</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RUN-TRF-026-20260829T101353978742Z</x:v>
      </x:c>
      <x:c r="B17" s="47" t="str">
        <x:v>TRF-026</x:v>
      </x:c>
      <x:c r="C17" s="47" t="str">
        <x:v>iceClass</x:v>
      </x:c>
      <x:c r="D17" s="48" t="str">
        <x:v>https://w3id.org/nltl/vocab#iceClass</x:v>
      </x:c>
      <x:c r="E17" s="47" t="str">
        <x:v>ObjectProperty</x:v>
      </x:c>
      <x:c r="F17" s="47" t="str"/>
      <x:c r="G17" s="47" t="str">
        <x:v>https://w3id.org/nltl/vocab#iceClassValue</x:v>
      </x:c>
      <x:c r="H17" s="47" t="str"/>
      <x:c r="I17" s="48" t="str">
        <x:v>linked by the locked 313-requirement index</x:v>
      </x:c>
      <x:c r="J17" s="47" t="n">
        <x:v>0</x:v>
      </x:c>
    </x:row>
    <x:row r="18">
      <x:c r="A18" s="47" t="str">
        <x:v>RUN-TRF-026-20260829T101353978742Z</x:v>
      </x:c>
      <x:c r="B18" s="47" t="str">
        <x:v>TRF-026</x:v>
      </x:c>
      <x:c r="C18" s="47" t="str">
        <x:v>iceClassDraught</x:v>
      </x:c>
      <x:c r="D18" s="48" t="str">
        <x:v>https://w3id.org/nltl/vocab#iceClassDraught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RUN-TRF-026-20260829T101353978742Z</x:v>
      </x:c>
      <x:c r="B19" s="47" t="str">
        <x:v>TRF-026</x:v>
      </x:c>
      <x:c r="C19" s="47" t="str">
        <x:v>iceClassIa</x:v>
      </x:c>
      <x:c r="D19" s="48" t="str">
        <x:v>https://w3id.org/nltl/vocab#iceClassIa</x:v>
      </x:c>
      <x:c r="E19" s="47" t="str">
        <x:v>NamedIndividual</x:v>
      </x:c>
      <x:c r="F19" s="47" t="str"/>
      <x:c r="G19" s="47" t="str">
        <x:v>https://w3id.org/nltl/vocab#iceClassValue</x:v>
      </x:c>
      <x:c r="H19" s="47" t="str"/>
      <x:c r="I19" s="48" t="str">
        <x:v>controlled value permitted by the range of iceClass</x:v>
      </x:c>
      <x:c r="J19" s="47" t="n">
        <x:v>0</x:v>
      </x:c>
    </x:row>
    <x:row r="20">
      <x:c r="A20" s="47" t="str">
        <x:v>RUN-TRF-026-20260829T101353978742Z</x:v>
      </x:c>
      <x:c r="B20" s="47" t="str">
        <x:v>TRF-026</x:v>
      </x:c>
      <x:c r="C20" s="47" t="str">
        <x:v>iceClassIaSuper</x:v>
      </x:c>
      <x:c r="D20" s="48" t="str">
        <x:v>https://w3id.org/nltl/vocab#iceClassIaSuper</x:v>
      </x:c>
      <x:c r="E20" s="47" t="str">
        <x:v>NamedIndividual</x:v>
      </x:c>
      <x:c r="F20" s="47" t="str"/>
      <x:c r="G20" s="47" t="str">
        <x:v>https://w3id.org/nltl/vocab#iceClassValue</x:v>
      </x:c>
      <x:c r="H20" s="47" t="str"/>
      <x:c r="I20" s="48" t="str">
        <x:v>controlled value permitted by the range of iceClass</x:v>
      </x:c>
      <x:c r="J20" s="47" t="n">
        <x:v>0</x:v>
      </x:c>
    </x:row>
    <x:row r="21">
      <x:c r="A21" s="47" t="str">
        <x:v>RUN-TRF-026-20260829T101353978742Z</x:v>
      </x:c>
      <x:c r="B21" s="47" t="str">
        <x:v>TRF-026</x:v>
      </x:c>
      <x:c r="C21" s="47" t="str">
        <x:v>iceClassIb</x:v>
      </x:c>
      <x:c r="D21" s="48" t="str">
        <x:v>https://w3id.org/nltl/vocab#iceClassIb</x:v>
      </x:c>
      <x:c r="E21" s="47" t="str">
        <x:v>NamedIndividual</x:v>
      </x:c>
      <x:c r="F21" s="47" t="str"/>
      <x:c r="G21" s="47" t="str">
        <x:v>https://w3id.org/nltl/vocab#iceClassValue</x:v>
      </x:c>
      <x:c r="H21" s="47" t="str"/>
      <x:c r="I21" s="48" t="str">
        <x:v>controlled value permitted by the range of iceClass</x:v>
      </x:c>
      <x:c r="J21" s="47" t="n">
        <x:v>0</x:v>
      </x:c>
    </x:row>
    <x:row r="22">
      <x:c r="A22" s="47" t="str">
        <x:v>RUN-TRF-026-20260829T101353978742Z</x:v>
      </x:c>
      <x:c r="B22" s="47" t="str">
        <x:v>TRF-026</x:v>
      </x:c>
      <x:c r="C22" s="47" t="str">
        <x:v>iceClassIc</x:v>
      </x:c>
      <x:c r="D22" s="48" t="str">
        <x:v>https://w3id.org/nltl/vocab#iceClassIc</x:v>
      </x:c>
      <x:c r="E22" s="47" t="str">
        <x:v>NamedIndividual</x:v>
      </x:c>
      <x:c r="F22" s="47" t="str"/>
      <x:c r="G22" s="47" t="str">
        <x:v>https://w3id.org/nltl/vocab#iceClassValue</x:v>
      </x:c>
      <x:c r="H22" s="47" t="str"/>
      <x:c r="I22" s="48" t="str">
        <x:v>controlled value permitted by the range of iceClass</x:v>
      </x:c>
      <x:c r="J22" s="47" t="n">
        <x:v>0</x:v>
      </x:c>
    </x:row>
    <x:row r="23">
      <x:c r="A23" s="47" t="str">
        <x:v>RUN-TRF-026-20260829T101353978742Z</x:v>
      </x:c>
      <x:c r="B23" s="47" t="str">
        <x:v>TRF-026</x:v>
      </x:c>
      <x:c r="C23" s="47" t="str">
        <x:v>iceClassIi</x:v>
      </x:c>
      <x:c r="D23" s="48" t="str">
        <x:v>https://w3id.org/nltl/vocab#iceClassIi</x:v>
      </x:c>
      <x:c r="E23" s="47" t="str">
        <x:v>NamedIndividual</x:v>
      </x:c>
      <x:c r="F23" s="47" t="str"/>
      <x:c r="G23" s="47" t="str">
        <x:v>https://w3id.org/nltl/vocab#iceClassValue</x:v>
      </x:c>
      <x:c r="H23" s="47" t="str"/>
      <x:c r="I23" s="48" t="str">
        <x:v>controlled value permitted by the range of iceClass</x:v>
      </x:c>
      <x:c r="J23" s="47" t="n">
        <x:v>0</x:v>
      </x:c>
    </x:row>
    <x:row r="24">
      <x:c r="A24" s="47" t="str">
        <x:v>RUN-TRF-026-20260829T101353978742Z</x:v>
      </x:c>
      <x:c r="B24" s="47" t="str">
        <x:v>TRF-026</x:v>
      </x:c>
      <x:c r="C24" s="47" t="str">
        <x:v>iceClassIii</x:v>
      </x:c>
      <x:c r="D24" s="48" t="str">
        <x:v>https://w3id.org/nltl/vocab#iceClassIii</x:v>
      </x:c>
      <x:c r="E24" s="47" t="str">
        <x:v>NamedIndividual</x:v>
      </x:c>
      <x:c r="F24" s="47" t="str"/>
      <x:c r="G24" s="47" t="str">
        <x:v>https://w3id.org/nltl/vocab#iceClassValue</x:v>
      </x:c>
      <x:c r="H24" s="47" t="str"/>
      <x:c r="I24" s="48" t="str">
        <x:v>controlled value permitted by the range of iceClass</x:v>
      </x:c>
      <x:c r="J24" s="47" t="n">
        <x:v>0</x:v>
      </x:c>
    </x:row>
    <x:row r="25">
      <x:c r="A25" s="47" t="str">
        <x:v>RUN-TRF-026-20260829T101353978742Z</x:v>
      </x:c>
      <x:c r="B25" s="47" t="str">
        <x:v>TRF-026</x:v>
      </x:c>
      <x:c r="C25" s="47" t="str">
        <x:v>iceClassValue</x:v>
      </x:c>
      <x:c r="D25" s="48" t="str">
        <x:v>https://w3id.org/nltl/vocab#iceClassValue</x:v>
      </x:c>
      <x:c r="E25" s="47" t="str">
        <x:v>Class</x:v>
      </x:c>
      <x:c r="F25" s="47" t="str"/>
      <x:c r="G25" s="47" t="str"/>
      <x:c r="H25" s="47" t="str"/>
      <x:c r="I25" s="48" t="str">
        <x:v>range dependency of iceClass</x:v>
      </x:c>
      <x:c r="J25" s="47" t="n">
        <x:v>0</x:v>
      </x:c>
    </x:row>
    <x:row r="26">
      <x:c r="A26" s="47" t="str">
        <x:v>RUN-TRF-026-20260829T101353978742Z</x:v>
      </x:c>
      <x:c r="B26" s="47" t="str">
        <x:v>TRF-026</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x:v>
      </x:c>
      <x:c r="J26" s="47" t="n">
        <x:v>0</x:v>
      </x:c>
    </x:row>
    <x:row r="27">
      <x:c r="A27" s="47" t="str">
        <x:v>RUN-TRF-026-20260829T101353978742Z</x:v>
      </x:c>
      <x:c r="B27" s="47" t="str">
        <x:v>TRF-026</x:v>
      </x:c>
      <x:c r="C27" s="47" t="str">
        <x:v>shipBreadth</x:v>
      </x:c>
      <x:c r="D27" s="48" t="str">
        <x:v>https://w3id.org/nltl/vocab#shipBreadth</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RUN-TRF-026-20260829T101353978742Z</x:v>
      </x:c>
      <x:c r="B28" s="47" t="str">
        <x:v>TRF-026</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9" t="str">
        <x:v>RUN-TRF-026-20260829T101353978742Z</x:v>
      </x:c>
      <x:c r="B29" s="49" t="str">
        <x:v>TRF-026</x:v>
      </x:c>
      <x:c r="C29" s="49" t="str">
        <x:v>shipLength</x:v>
      </x:c>
      <x:c r="D29" s="50" t="str">
        <x:v>https://w3id.org/nltl/vocab#shipLength</x:v>
      </x:c>
      <x:c r="E29" s="49" t="str">
        <x:v>QuantityProperty</x:v>
      </x:c>
      <x:c r="F29" s="49" t="str"/>
      <x:c r="G29" s="49" t="str">
        <x:v>http://qudt.org/schema/qudt/QuantityValue</x:v>
      </x:c>
      <x:c r="H29" s="49" t="str">
        <x:v>http://qudt.org/vocab/unit/M</x:v>
      </x:c>
      <x:c r="I29" s="50" t="str">
        <x:v>linked by the locked 313-requirement index</x:v>
      </x:c>
      <x:c r="J29" s="49" t="n">
        <x:v>0</x:v>
      </x:c>
    </x:row>
  </x:sheetData>
  <x:pageMargins left="0.7" right="0.7" top="0.75" bottom="0.75" header="0.3" footer="0.3"/>
  <x:tableParts count="1">
    <x:tablePart xmlns:r="http://schemas.openxmlformats.org/officeDocument/2006/relationships" r:id="Rc7bd5ab58cab4b1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RUN-TRF-026-20260829T101353978742Z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RUN-TRF-026-20260829T101353978742Z</x:v>
      </x:c>
      <x:c r="B5" s="45" t="str">
        <x:v>TRF-026</x:v>
      </x:c>
      <x:c r="C5" s="45" t="str">
        <x:v>FS-COMPLEX-READINESS-01</x:v>
      </x:c>
      <x:c r="D5" s="45" t="str">
        <x:v>complex_readiness_external_calculation</x:v>
      </x:c>
      <x:c r="E5" s="99" t="n">
        <x:v>2.163265</x:v>
      </x:c>
      <x:c r="F5" s="45" t="str">
        <x:v>calculation | complex | engineering | evidence | external | inputs | readiness | results</x:v>
      </x:c>
      <x:c r="G5" s="45" t="str">
        <x:v>synthetic-few-shot-not-benchmark-ground-truth</x:v>
      </x:c>
    </x:row>
    <x:row r="6">
      <x:c r="A6" s="49" t="str">
        <x:v>RUN-TRF-026-20260829T101353978742Z</x:v>
      </x:c>
      <x:c r="B6" s="49" t="str">
        <x:v>TRF-026</x:v>
      </x:c>
      <x:c r="C6" s="49" t="str">
        <x:v>FS-COMPLEX-READINESS-02</x:v>
      </x:c>
      <x:c r="D6" s="49" t="str">
        <x:v>complex_readiness_with_direct_residual_check</x:v>
      </x:c>
      <x:c r="E6" s="100" t="n">
        <x:v>2.092593</x:v>
      </x:c>
      <x:c r="F6" s="49" t="str">
        <x:v>complex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64f9ca77c634fa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52"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RUN-TRF-026-20260829T101353978742Z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RUN-TRF-026-20260829T101353978742Z</x:v>
      </x:c>
      <x:c r="B5" s="69" t="str">
        <x:v>TRF-026</x:v>
      </x:c>
      <x:c r="C5" s="71" t="n">
        <x:v>1</x:v>
      </x:c>
      <x:c r="D5" s="72" t="b">
        <x:v>0</x:v>
      </x:c>
      <x:c r="E5" s="72" t="b">
        <x:v>1</x:v>
      </x:c>
      <x:c r="F5" s="72" t="b">
        <x:v>1</x:v>
      </x:c>
      <x:c r="G5" s="72" t="b">
        <x:v>1</x:v>
      </x:c>
      <x:c r="H5" s="72" t="b">
        <x:v>1</x:v>
      </x:c>
      <x:c r="I5" s="72" t="b">
        <x:v>0</x:v>
      </x:c>
      <x:c r="J5" s="72" t="b">
        <x:v>1</x:v>
      </x:c>
      <x:c r="K5" s="102" t="b">
        <x:v>1</x:v>
      </x:c>
      <x:c r="L5" s="73" t="str">
        <x:v>Known benchmark IRI(s) outside the generator allow-list: https://w3id.org/nltl/vocab#newtonPerMetreToPowerOnePointFiveUnit</x:v>
      </x:c>
      <x:c r="M5" s="73" t="str"/>
      <x:c r="N5" s="73"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https://w3id.org/nltl/vocab#newtonPerMetreToPowerOnePointFiveUnit | https://w3id.org/nltl/vocab#ship | https://w3id.org/nltl/vocab#shipBreadth | https://w3id.org/nltl/vocab#shipLength</x:v>
      </x:c>
      <x:c r="O5" s="73" t="str"/>
      <x:c r="P5" s="73" t="str">
        <x:v>https://w3id.org/nltl/vocab#newtonPerMetreToPowerOnePointFiveUnit</x:v>
      </x:c>
      <x:c r="Q5" s="73" t="str"/>
    </x:row>
  </x:sheetData>
  <x:pageMargins left="0.7" right="0.7" top="0.75" bottom="0.75" header="0.3" footer="0.3"/>
  <x:tableParts count="1">
    <x:tablePart xmlns:r="http://schemas.openxmlformats.org/officeDocument/2006/relationships" r:id="R58d151d7a9254ce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RUN-TRF-026-20260829T101353978742Z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RUN-TRF-026-20260829T101353978742Z</x:v>
      </x:c>
      <x:c r="B5" s="45" t="str">
        <x:v>TRF-026</x:v>
      </x:c>
      <x:c r="C5" s="58" t="n">
        <x:v>1</x:v>
      </x:c>
      <x:c r="D5" s="45" t="str">
        <x:v>matcher_search</x:v>
      </x:c>
      <x:c r="E5" s="46" t="str">
        <x:v>Deterministic validation prevents acceptance. Fix: Known benchmark IRI(s) outside the generator allow-list: https://w3id.org/nltl/vocab#newtonPerMetreToPowerOnePointFiveUnit
Semantic validator feedback: Replace the out-of-scope project unit nltl:newtonPerMetreToPowerOnePointFiveUnit used for coefficientG3 with an in-scope canonical unit term representing N/m^1.5; preserve the declared ship ownership, QuantityValue structure, and unit constraint. The deterministic validation is invalid solely because this required unit term is out of scope, so locate the canonical replacement before freezing.</x:v>
      </x:c>
      <x:c r="F5" s="58" t="n">
        <x:v>3</x:v>
      </x:c>
      <x:c r="G5" s="45" t="str"/>
      <x:c r="H5" s="45" t="str"/>
      <x:c r="I5" s="46" t="str"/>
      <x:c r="J5" s="46" t="str"/>
    </x:row>
    <x:row r="6">
      <x:c r="A6" s="49" t="str">
        <x:v>RUN-TRF-026-20260829T101353978742Z</x:v>
      </x:c>
      <x:c r="B6" s="49" t="str">
        <x:v>TRF-026</x:v>
      </x:c>
      <x:c r="C6" s="60" t="n">
        <x:v>1</x:v>
      </x:c>
      <x:c r="D6" s="49" t="str">
        <x:v>matcher_decision</x:v>
      </x:c>
      <x:c r="E6" s="50" t="str"/>
      <x:c r="F6" s="60" t="str"/>
      <x:c r="G6" s="96" t="b">
        <x:v>0</x:v>
      </x:c>
      <x:c r="H6" s="49" t="str"/>
      <x:c r="I6" s="50" t="str"/>
      <x:c r="J6" s="50" t="str"/>
    </x:row>
  </x:sheetData>
  <x:pageMargins left="0.7" right="0.7" top="0.75" bottom="0.75" header="0.3" footer="0.3"/>
  <x:tableParts count="1">
    <x:tablePart xmlns:r="http://schemas.openxmlformats.org/officeDocument/2006/relationships" r:id="R29e94273ce404ec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RUN-TRF-026-20260829T101353978742Z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RUN-TRF-026-20260829T101353978742Z</x:v>
      </x:c>
      <x:c r="B5" s="45" t="str">
        <x:v>TRF-026</x:v>
      </x:c>
      <x:c r="C5" s="58"/>
      <x:c r="D5" s="45" t="str">
        <x:v>initial_context_pack</x:v>
      </x:c>
      <x:c r="E5" s="46" t="str">
        <x:v>artifacts/context_pack_initial.json</x:v>
      </x:c>
      <x:c r="F5" s="45" t="str">
        <x:v>b4fda1178d36e79114c3cbc1171e29c68efbcc47b1300afa261eca3b7b0d008e</x:v>
      </x:c>
      <x:c r="G5" s="58" t="n">
        <x:v>30079</x:v>
      </x:c>
    </x:row>
    <x:row r="6">
      <x:c r="A6" s="47" t="str">
        <x:v>RUN-TRF-026-20260829T101353978742Z</x:v>
      </x:c>
      <x:c r="B6" s="47" t="str">
        <x:v>TRF-026</x:v>
      </x:c>
      <x:c r="C6" s="59"/>
      <x:c r="D6" s="47" t="str">
        <x:v>few_shot_selection</x:v>
      </x:c>
      <x:c r="E6" s="48" t="str">
        <x:v>artifacts/few_shots_selected.json</x:v>
      </x:c>
      <x:c r="F6" s="47" t="str">
        <x:v>5a30c1c1a2e8672d394fbd1af5287c653fe2fcc7cdedc49b6a5eda37bc2b8cb7</x:v>
      </x:c>
      <x:c r="G6" s="59" t="n">
        <x:v>6569</x:v>
      </x:c>
    </x:row>
    <x:row r="7">
      <x:c r="A7" s="47" t="str">
        <x:v>RUN-TRF-026-20260829T101353978742Z</x:v>
      </x:c>
      <x:c r="B7" s="47" t="str">
        <x:v>TRF-026</x:v>
      </x:c>
      <x:c r="C7" s="59" t="n">
        <x:v>1</x:v>
      </x:c>
      <x:c r="D7" s="47" t="str">
        <x:v>generator_prompt</x:v>
      </x:c>
      <x:c r="E7" s="48" t="str">
        <x:v>artifacts/attempt_01/generator_prompt.txt</x:v>
      </x:c>
      <x:c r="F7" s="47" t="str">
        <x:v>5368c4f4c22d646b98d2dc2621ff24ef7e74a0b26c6cab047461a0410cc0a084</x:v>
      </x:c>
      <x:c r="G7" s="59" t="n">
        <x:v>48294</x:v>
      </x:c>
    </x:row>
    <x:row r="8">
      <x:c r="A8" s="47" t="str">
        <x:v>RUN-TRF-026-20260829T101353978742Z</x:v>
      </x:c>
      <x:c r="B8" s="47" t="str">
        <x:v>TRF-026</x:v>
      </x:c>
      <x:c r="C8" s="59" t="n">
        <x:v>1</x:v>
      </x:c>
      <x:c r="D8" s="47" t="str">
        <x:v>generator_raw_response</x:v>
      </x:c>
      <x:c r="E8" s="48" t="str">
        <x:v>artifacts/attempt_01/generator_raw.txt</x:v>
      </x:c>
      <x:c r="F8" s="47" t="str">
        <x:v>50872f21dfa77e54e59bdf4d320dabe059d0887b68f86292e06f40a005d80ae2</x:v>
      </x:c>
      <x:c r="G8" s="59" t="n">
        <x:v>7257</x:v>
      </x:c>
    </x:row>
    <x:row r="9">
      <x:c r="A9" s="47" t="str">
        <x:v>RUN-TRF-026-20260829T101353978742Z</x:v>
      </x:c>
      <x:c r="B9" s="47" t="str">
        <x:v>TRF-026</x:v>
      </x:c>
      <x:c r="C9" s="59" t="n">
        <x:v>1</x:v>
      </x:c>
      <x:c r="D9" s="47" t="str">
        <x:v>syntax_repair_prompt</x:v>
      </x:c>
      <x:c r="E9" s="48" t="str">
        <x:v>artifacts/attempt_01/syntax_repair_prompt_01.txt</x:v>
      </x:c>
      <x:c r="F9" s="47" t="str">
        <x:v>b64622d232d12622dc3a9838cadfaf599d6cb727078e48cc843f81d733bfa880</x:v>
      </x:c>
      <x:c r="G9" s="59" t="n">
        <x:v>8724</x:v>
      </x:c>
    </x:row>
    <x:row r="10">
      <x:c r="A10" s="47" t="str">
        <x:v>RUN-TRF-026-20260829T101353978742Z</x:v>
      </x:c>
      <x:c r="B10" s="47" t="str">
        <x:v>TRF-026</x:v>
      </x:c>
      <x:c r="C10" s="59" t="n">
        <x:v>1</x:v>
      </x:c>
      <x:c r="D10" s="47" t="str">
        <x:v>syntax_repair_raw_response</x:v>
      </x:c>
      <x:c r="E10" s="48" t="str">
        <x:v>artifacts/attempt_01/syntax_repair_raw_01.txt</x:v>
      </x:c>
      <x:c r="F10" s="47" t="str">
        <x:v>3c688d89bc1772fe21da9580900d89b8b818c7c77f6836a31746047baff205bd</x:v>
      </x:c>
      <x:c r="G10" s="59" t="n">
        <x:v>7257</x:v>
      </x:c>
    </x:row>
    <x:row r="11">
      <x:c r="A11" s="47" t="str">
        <x:v>RUN-TRF-026-20260829T101353978742Z</x:v>
      </x:c>
      <x:c r="B11" s="47" t="str">
        <x:v>TRF-026</x:v>
      </x:c>
      <x:c r="C11" s="59" t="n">
        <x:v>1</x:v>
      </x:c>
      <x:c r="D11" s="47" t="str">
        <x:v>candidate_shape</x:v>
      </x:c>
      <x:c r="E11" s="48" t="str">
        <x:v>artifacts/attempt_01/candidate_shape.ttl</x:v>
      </x:c>
      <x:c r="F11" s="47" t="str">
        <x:v>e2c227f3933f8da5ff993b76a55546b7a716b6f3eaca65393f6e199e8573c6d6</x:v>
      </x:c>
      <x:c r="G11" s="59" t="n">
        <x:v>7232</x:v>
      </x:c>
    </x:row>
    <x:row r="12">
      <x:c r="A12" s="47" t="str">
        <x:v>RUN-TRF-026-20260829T101353978742Z</x:v>
      </x:c>
      <x:c r="B12" s="47" t="str">
        <x:v>TRF-026</x:v>
      </x:c>
      <x:c r="C12" s="59" t="n">
        <x:v>1</x:v>
      </x:c>
      <x:c r="D12" s="47" t="str">
        <x:v>deterministic_validation</x:v>
      </x:c>
      <x:c r="E12" s="48" t="str">
        <x:v>artifacts/attempt_01/deterministic_validation.json</x:v>
      </x:c>
      <x:c r="F12" s="47" t="str">
        <x:v>7f3f74fc5830d8ac571beb406b9c1b0f5c5021178cb18f096e56e9aa1d0fbac7</x:v>
      </x:c>
      <x:c r="G12" s="59" t="n">
        <x:v>1711</x:v>
      </x:c>
    </x:row>
    <x:row r="13">
      <x:c r="A13" s="47" t="str">
        <x:v>RUN-TRF-026-20260829T101353978742Z</x:v>
      </x:c>
      <x:c r="B13" s="47" t="str">
        <x:v>TRF-026</x:v>
      </x:c>
      <x:c r="C13" s="59" t="n">
        <x:v>1</x:v>
      </x:c>
      <x:c r="D13" s="47" t="str">
        <x:v>validator_prompt</x:v>
      </x:c>
      <x:c r="E13" s="48" t="str">
        <x:v>artifacts/attempt_01/validator_prompt_01.txt</x:v>
      </x:c>
      <x:c r="F13" s="47" t="str">
        <x:v>e74bd70f6deba0621866dd12dd4970b78128c889efc97ae639348defe1c7bc03</x:v>
      </x:c>
      <x:c r="G13" s="59" t="n">
        <x:v>54317</x:v>
      </x:c>
    </x:row>
    <x:row r="14">
      <x:c r="A14" s="47" t="str">
        <x:v>RUN-TRF-026-20260829T101353978742Z</x:v>
      </x:c>
      <x:c r="B14" s="47" t="str">
        <x:v>TRF-026</x:v>
      </x:c>
      <x:c r="C14" s="59" t="n">
        <x:v>1</x:v>
      </x:c>
      <x:c r="D14" s="47" t="str">
        <x:v>validator_raw_response</x:v>
      </x:c>
      <x:c r="E14" s="48" t="str">
        <x:v>artifacts/attempt_01/validator_raw_01.txt</x:v>
      </x:c>
      <x:c r="F14" s="47" t="str">
        <x:v>c09d2ff173932fb63a80c85192aba161d7ad24f15aef353d97a611bbbcfd9eda</x:v>
      </x:c>
      <x:c r="G14" s="59" t="n">
        <x:v>458</x:v>
      </x:c>
    </x:row>
    <x:row r="15">
      <x:c r="A15" s="47" t="str">
        <x:v>RUN-TRF-026-20260829T101353978742Z</x:v>
      </x:c>
      <x:c r="B15" s="47" t="str">
        <x:v>TRF-026</x:v>
      </x:c>
      <x:c r="C15" s="59" t="n">
        <x:v>1</x:v>
      </x:c>
      <x:c r="D15" s="47" t="str">
        <x:v>matcher_candidates</x:v>
      </x:c>
      <x:c r="E15" s="48" t="str">
        <x:v>artifacts/attempt_01/matcher_candidates.json</x:v>
      </x:c>
      <x:c r="F15" s="47" t="str">
        <x:v>819a9ddb78b637aa4ea5b1ec69a69cf6b0de32756f5ee5fbe83cfe820a71c1c2</x:v>
      </x:c>
      <x:c r="G15" s="59" t="n">
        <x:v>1944</x:v>
      </x:c>
    </x:row>
    <x:row r="16">
      <x:c r="A16" s="47" t="str">
        <x:v>RUN-TRF-026-20260829T101353978742Z</x:v>
      </x:c>
      <x:c r="B16" s="47" t="str">
        <x:v>TRF-026</x:v>
      </x:c>
      <x:c r="C16" s="59" t="n">
        <x:v>1</x:v>
      </x:c>
      <x:c r="D16" s="47" t="str">
        <x:v>vocabulary_matcher_prompt</x:v>
      </x:c>
      <x:c r="E16" s="48" t="str">
        <x:v>artifacts/attempt_01/vocabulary_matcher_prompt_01.txt</x:v>
      </x:c>
      <x:c r="F16" s="47" t="str">
        <x:v>c18ff2beaa060aec380cf59d1945daca426704202898a74e1f7b050e04f3f582</x:v>
      </x:c>
      <x:c r="G16" s="59" t="n">
        <x:v>7764</x:v>
      </x:c>
    </x:row>
    <x:row r="17">
      <x:c r="A17" s="49" t="str">
        <x:v>RUN-TRF-026-20260829T101353978742Z</x:v>
      </x:c>
      <x:c r="B17" s="49" t="str">
        <x:v>TRF-026</x:v>
      </x:c>
      <x:c r="C17" s="60" t="n">
        <x:v>1</x:v>
      </x:c>
      <x:c r="D17" s="49" t="str">
        <x:v>vocabulary_matcher_raw_response</x:v>
      </x:c>
      <x:c r="E17" s="50" t="str">
        <x:v>artifacts/attempt_01/vocabulary_matcher_raw_01.txt</x:v>
      </x:c>
      <x:c r="F17" s="49" t="str">
        <x:v>a47f3adf9d135202e9946cf125e30bbbd6d394508e1f0b8e8b43635fa3d4d053</x:v>
      </x:c>
      <x:c r="G17" s="60" t="n">
        <x:v>89</x:v>
      </x:c>
    </x:row>
  </x:sheetData>
  <x:pageMargins left="0.7" right="0.7" top="0.75" bottom="0.75" header="0.3" footer="0.3"/>
  <x:tableParts count="1">
    <x:tablePart xmlns:r="http://schemas.openxmlformats.org/officeDocument/2006/relationships" r:id="R696f4f99283f444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RUN-TRF-026-20260829T101353978742Z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RUN-TRF-026-20260829T101353978742Z</x:v>
      </x:c>
      <x:c r="B5" s="69" t="str">
        <x:v>TRF-026</x:v>
      </x:c>
      <x:c r="C5" s="71" t="n">
        <x:v>1</x:v>
      </x:c>
      <x:c r="D5" s="69" t="str">
        <x:v>TERM_RESOLUTION_UNRESOLVED</x:v>
      </x:c>
      <x:c r="E5" s="73" t="str">
        <x:v>Deterministic validation prevents acceptance. Fix: Known benchmark IRI(s) outside the generator allow-list: https://w3id.org/nltl/vocab#newtonPerMetreToPowerOnePointFiveUnit
Semantic validator feedback: Replace the out-of-scope project unit nltl:newtonPerMetreToPowerOnePointFiveUnit used for coefficientG3 with an in-scope canonical unit term representing N/m^1.5; preserve the declared ship ownership, QuantityValue structure, and unit constraint. The deterministic validation is invalid solely because this required unit term is out of scope, so locate the canonical replacement before freezing.</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022ef96dcda43e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RUN-TRF-026-20260829T101353978742Z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